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5815" documentId="13_ncr:1_{52745E9B-3AA1-4770-AAD3-E6166BFC13AE}" xr6:coauthVersionLast="47" xr6:coauthVersionMax="47" xr10:uidLastSave="{F6D80BC0-AD39-4054-84B8-5CCD57433EB5}"/>
  <bookViews>
    <workbookView xWindow="-28920" yWindow="-105" windowWidth="29040" windowHeight="15720" tabRatio="500" firstSheet="2"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Log'!$L$2:$L$2</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c r="J16" i="8" a="1"/>
  <c r="J16" i="8"/>
  <c r="I16" i="8" a="1"/>
  <c r="I16" i="8"/>
  <c r="H16" i="8" a="1"/>
  <c r="H16" i="8"/>
  <c r="G16" i="8" a="1"/>
  <c r="G16" i="8"/>
  <c r="F16" i="8" a="1"/>
  <c r="F16" i="8"/>
  <c r="E16" i="8" a="1"/>
  <c r="E16" i="8"/>
  <c r="D16" i="8" a="1"/>
  <c r="D16" i="8"/>
  <c r="C16" i="8" a="1"/>
  <c r="C16" i="8"/>
  <c r="L15" i="8"/>
  <c r="K15" i="8" a="1"/>
  <c r="K15" i="8"/>
  <c r="J15" i="8" a="1"/>
  <c r="J15" i="8"/>
  <c r="I15" i="8" a="1"/>
  <c r="I15" i="8"/>
  <c r="H15" i="8" a="1"/>
  <c r="H15" i="8"/>
  <c r="G15" i="8" a="1"/>
  <c r="G15" i="8"/>
  <c r="F15" i="8" a="1"/>
  <c r="F15" i="8"/>
  <c r="E15" i="8" a="1"/>
  <c r="E15" i="8"/>
  <c r="D15" i="8" a="1"/>
  <c r="D15" i="8"/>
  <c r="C15" i="8" a="1"/>
  <c r="C15" i="8"/>
  <c r="L14" i="8"/>
  <c r="K14" i="8" a="1"/>
  <c r="K14" i="8"/>
  <c r="J14" i="8" a="1"/>
  <c r="J14" i="8"/>
  <c r="I14" i="8" a="1"/>
  <c r="I14" i="8"/>
  <c r="H14" i="8" a="1"/>
  <c r="H14" i="8"/>
  <c r="G14" i="8" a="1"/>
  <c r="G14" i="8"/>
  <c r="F14" i="8" a="1"/>
  <c r="F14" i="8"/>
  <c r="E14" i="8" a="1"/>
  <c r="E14" i="8"/>
  <c r="D14" i="8" a="1"/>
  <c r="D14" i="8"/>
  <c r="C14" i="8" a="1"/>
  <c r="C14" i="8"/>
  <c r="L13" i="8"/>
  <c r="K13" i="8" a="1"/>
  <c r="K13" i="8"/>
  <c r="J13" i="8" a="1"/>
  <c r="J13" i="8"/>
  <c r="I13" i="8" a="1"/>
  <c r="I13" i="8"/>
  <c r="H13" i="8" a="1"/>
  <c r="H13" i="8"/>
  <c r="G13" i="8" a="1"/>
  <c r="G13" i="8"/>
  <c r="F13" i="8" a="1"/>
  <c r="F13" i="8"/>
  <c r="E13" i="8" a="1"/>
  <c r="E13" i="8"/>
  <c r="D13" i="8" a="1"/>
  <c r="D13" i="8"/>
  <c r="C13" i="8" a="1"/>
  <c r="C13" i="8"/>
  <c r="L12" i="8"/>
  <c r="K12" i="8" a="1"/>
  <c r="K12" i="8"/>
  <c r="J12" i="8" a="1"/>
  <c r="J12" i="8"/>
  <c r="J17" i="8" s="1"/>
  <c r="I12" i="8" a="1"/>
  <c r="I12" i="8"/>
  <c r="I17" i="8" s="1"/>
  <c r="H12" i="8" a="1"/>
  <c r="H12" i="8"/>
  <c r="H17" i="8" s="1"/>
  <c r="G12" i="8" a="1"/>
  <c r="G12" i="8"/>
  <c r="G17" i="8" s="1"/>
  <c r="F12" i="8" a="1"/>
  <c r="F12" i="8"/>
  <c r="F17" i="8" s="1"/>
  <c r="E12" i="8" a="1"/>
  <c r="E12" i="8"/>
  <c r="E17" i="8" s="1"/>
  <c r="D12" i="8" a="1"/>
  <c r="D12" i="8"/>
  <c r="D17" i="8" s="1"/>
  <c r="C12" i="8" a="1"/>
  <c r="C12" i="8"/>
  <c r="C17" i="8" s="1"/>
  <c r="K7" i="8" a="1"/>
  <c r="K7" i="8"/>
  <c r="I7" i="8" a="1"/>
  <c r="I7" i="8"/>
  <c r="G7" i="8" a="1"/>
  <c r="G7" i="8"/>
  <c r="E7" i="8" a="1"/>
  <c r="E7" i="8"/>
  <c r="C7" i="8" a="1"/>
  <c r="C7" i="8"/>
  <c r="C5" i="8"/>
  <c r="M2" i="8"/>
  <c r="C3" i="10" a="1"/>
  <c r="C3" i="10"/>
  <c r="A3" i="10" a="1"/>
  <c r="A3" i="10"/>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c r="AN116" i="2" a="1"/>
  <c r="AN116" i="2"/>
  <c r="D84" i="2" a="1"/>
  <c r="D84" i="2" s="1"/>
  <c r="P5" i="4"/>
  <c r="P4" i="4"/>
  <c r="P3"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D81" i="2" s="1" a="1"/>
  <c r="D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D67" i="2" s="1" a="1"/>
  <c r="D67" i="2" s="1"/>
  <c r="AM66" i="2" a="1"/>
  <c r="AM66" i="2" s="1"/>
  <c r="AM65" i="2" a="1"/>
  <c r="AM65" i="2" s="1"/>
  <c r="AM64" i="2" a="1"/>
  <c r="AM64" i="2" s="1"/>
  <c r="D64" i="2" s="1" a="1"/>
  <c r="D64" i="2" s="1"/>
  <c r="AM63" i="2" a="1"/>
  <c r="AM63" i="2" s="1"/>
  <c r="D63" i="2" s="1" a="1"/>
  <c r="D63" i="2" s="1"/>
  <c r="AM62" i="2" a="1"/>
  <c r="AM62" i="2" s="1"/>
  <c r="D62" i="2" s="1" a="1"/>
  <c r="D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B53" i="8" l="1" a="1"/>
  <c r="B53" i="8" s="1"/>
  <c r="I50" i="8" s="1"/>
  <c r="B37" i="8" a="1"/>
  <c r="B37" i="8" s="1"/>
  <c r="B35" i="8" a="1"/>
  <c r="B35" i="8" s="1"/>
  <c r="K17" i="8"/>
  <c r="M12" i="8"/>
  <c r="M13" i="8"/>
  <c r="M14" i="8"/>
  <c r="M15" i="8"/>
  <c r="M16" i="8"/>
  <c r="D52" i="2"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B5" i="8" l="1"/>
  <c r="B3" i="8"/>
  <c r="M8" i="8" a="1"/>
  <c r="M8" i="8" s="1"/>
  <c r="M17" i="8"/>
  <c r="T6" i="4"/>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<sst xmlns="http://schemas.openxmlformats.org/spreadsheetml/2006/main" count="3598" uniqueCount="519">
  <si>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</si>
  <si>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</si>
  <si>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</si>
  <si>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</si>
  <si>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</si>
  <si>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</si>
  <si>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</si>
  <si>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</si>
  <si>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</si>
  <si>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</si>
  <si>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</si>
  <si>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</si>
  <si>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</si>
  <si>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</si>
  <si>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</si>
  <si>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</si>
  <si>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</si>
  <si>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</si>
  <si>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</si>
  <si>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</si>
  <si>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</si>
  <si>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</si>
  <si>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</si>
  <si>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</si>
  <si>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</si>
  <si>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</si>
  <si>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</si>
  <si>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</si>
  <si>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</si>
  <si>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</si>
  <si>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</si>
  <si>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</si>
  <si>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</si>
  <si>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</si>
  <si>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</si>
  <si>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</si>
  <si>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</si>
  <si>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</si>
  <si>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</si>
  <si>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</si>
  <si>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</si>
  <si>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</si>
  <si>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</si>
  <si>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</si>
  <si>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</si>
  <si>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</si>
  <si>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</si>
  <si>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</si>
  <si>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</si>
  <si>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</si>
  <si>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</si>
  <si>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</si>
  <si>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</si>
  <si>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</si>
  <si>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</si>
  <si>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</si>
  <si>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</si>
  <si>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</si>
  <si>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</si>
  <si>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</si>
  <si>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</si>
  <si>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</si>
  <si>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</si>
  <si>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</si>
  <si>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</si>
  <si>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</si>
  <si>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</si>
  <si>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</si>
  <si>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</si>
  <si>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</si>
  <si>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</si>
  <si>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</si>
  <si>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</si>
  <si>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</si>
  <si>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</si>
  <si>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</si>
  <si>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</si>
  <si>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</si>
  <si>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</si>
  <si>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</si>
  <si>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</si>
  <si>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</si>
  <si>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</si>
  <si>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</si>
  <si>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</si>
  <si>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</si>
  <si>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</si>
  <si>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</si>
  <si>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</si>
  <si>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</si>
  <si>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</si>
  <si>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</si>
  <si>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</si>
  <si>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</si>
  <si>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</si>
  <si>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</si>
  <si>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</si>
  <si>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</si>
  <si>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</si>
  <si>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</si>
  <si>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</si>
  <si>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</si>
  <si>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</si>
  <si>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</si>
  <si>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</si>
  <si>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</si>
  <si>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</si>
  <si>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</si>
  <si>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</si>
  <si>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</si>
  <si>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</si>
  <si>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</si>
  <si>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</si>
  <si>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</si>
  <si>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</si>
  <si>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</si>
  <si>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</si>
  <si>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</si>
  <si>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</si>
  <si>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</si>
  <si>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</si>
  <si>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</si>
  <si>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</si>
  <si>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</si>
  <si>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</si>
  <si>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</si>
  <si>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</si>
  <si>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</si>
  <si>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</si>
  <si>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</si>
  <si>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</si>
  <si>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</si>
  <si>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</si>
  <si>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</si>
  <si>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</si>
  <si>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</si>
  <si>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</si>
  <si>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</si>
  <si>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</si>
  <si>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</si>
  <si>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</si>
  <si>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</si>
  <si>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</si>
  <si>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</si>
  <si>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</si>
  <si>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</si>
  <si>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</si>
  <si>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</si>
  <si>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</si>
  <si>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</si>
  <si>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</si>
  <si>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</si>
  <si>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</si>
  <si>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</si>
  <si>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</si>
  <si>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</si>
  <si>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DB Dev</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</si>
  <si>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</si>
  <si>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</si>
  <si>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</si>
  <si>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</si>
  <si>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</si>
  <si>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</si>
  <si>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</si>
  <si>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</si>
  <si>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</si>
  <si>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</si>
  <si>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</si>
  <si>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</si>
  <si>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</si>
  <si>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</si>
  <si>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</si>
  <si>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</si>
  <si>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</si>
  <si>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</si>
  <si>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</si>
  <si>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</si>
  <si>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</si>
  <si>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</si>
  <si>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</si>
  <si>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</si>
  <si>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</si>
  <si>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</si>
  <si>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</si>
  <si>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</si>
  <si>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</si>
  <si>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</si>
  <si>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</si>
  <si>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</si>
  <si>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</si>
  <si>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</si>
  <si>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</si>
  <si>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</si>
  <si>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</si>
  <si>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</si>
  <si>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</si>
  <si>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</si>
  <si>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</si>
  <si>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Olu</t>
  </si>
  <si>
    <t>Anthony Massimino</t>
  </si>
  <si>
    <t>Ready For PBI</t>
  </si>
  <si>
    <t>RPT_02_High Bill Investigations</t>
  </si>
  <si>
    <t>RPT_02_Emergency Order Type</t>
  </si>
  <si>
    <t>PBI Dev</t>
  </si>
  <si>
    <t>Yes – other</t>
  </si>
  <si>
    <t>Need Kushal's help to get sharepoint file access.</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</si>
  <si>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</si>
  <si>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</si>
  <si>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</si>
  <si>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</si>
  <si>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</si>
  <si>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</si>
  <si>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</si>
  <si>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</si>
  <si>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</si>
  <si>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</si>
  <si>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QA</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</si>
  <si>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</si>
  <si>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</si>
  <si>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</si>
  <si>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</si>
  <si>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</si>
  <si>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</si>
  <si>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</si>
  <si>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</si>
  <si>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</si>
  <si>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</si>
  <si>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</si>
  <si>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</si>
  <si>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</si>
  <si>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</si>
  <si>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</si>
  <si>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</si>
  <si>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</si>
  <si>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</si>
  <si>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</si>
  <si>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</si>
  <si>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</si>
  <si>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</si>
  <si>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</si>
  <si>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</si>
  <si>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</si>
  <si>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</si>
  <si>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</si>
  <si>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</si>
  <si>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</si>
  <si>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</si>
  <si>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</si>
  <si>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</si>
  <si>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</si>
  <si>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Need another date column to show all the edits made to the workorder</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</si>
  <si>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</si>
  <si>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</si>
  <si>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</si>
  <si>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</si>
  <si>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</si>
  <si>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</si>
  <si>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</si>
  <si>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</si>
  <si>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</si>
  <si>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</si>
  <si>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</si>
  <si>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</si>
  <si>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</si>
  <si>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</si>
  <si>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</si>
  <si>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</si>
  <si>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</si>
  <si>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</si>
  <si>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</si>
  <si>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</si>
  <si>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</si>
  <si>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</si>
  <si>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</si>
  <si>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</si>
  <si>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</si>
  <si>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</si>
  <si>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BILL_ACCOUNT_NUM is not available as its dependent on CSS table working with team on the plan</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</si>
  <si>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</si>
  <si>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</si>
  <si>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</si>
  <si>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</si>
  <si>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</si>
  <si>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</si>
  <si>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</si>
  <si>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</si>
  <si>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</si>
  <si>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</si>
  <si>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</si>
  <si>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</si>
  <si>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</si>
  <si>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</si>
  <si>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</si>
  <si>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</si>
  <si>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</si>
  <si>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</si>
  <si>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</si>
  <si>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</si>
  <si>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</si>
  <si>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</si>
  <si>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</si>
  <si>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</si>
  <si>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</si>
  <si>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</si>
  <si>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</si>
  <si>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</si>
  <si>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</si>
  <si>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</si>
  <si>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</si>
  <si>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</si>
  <si>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</si>
  <si>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</si>
  <si>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</si>
  <si>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</si>
  <si>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</si>
  <si>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</si>
  <si>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</si>
  <si>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</si>
  <si>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</si>
  <si>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</si>
  <si>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</si>
  <si>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</si>
  <si>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</si>
  <si>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</si>
  <si>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</si>
  <si>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</si>
  <si>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</si>
  <si>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</si>
  <si>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</si>
  <si>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</si>
  <si>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</si>
  <si>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Yes – Blocked in Prod</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</si>
  <si>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</si>
  <si>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</si>
  <si>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</si>
  <si>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</si>
  <si>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</si>
  <si>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</si>
  <si>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</si>
  <si>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</si>
  <si>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</si>
  <si>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</si>
  <si>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</si>
  <si>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</si>
  <si>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</si>
  <si>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</si>
  <si>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</si>
  <si>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</si>
  <si>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</si>
  <si>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</si>
  <si>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</si>
  <si>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</si>
  <si>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</si>
  <si>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</si>
  <si>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</si>
  <si>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</si>
  <si>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</si>
  <si>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</si>
  <si>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</si>
  <si>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</si>
  <si>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</si>
  <si>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</si>
  <si>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</si>
  <si>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</si>
  <si>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</si>
  <si>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</si>
  <si>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</si>
  <si>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</si>
  <si>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</si>
  <si>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</si>
  <si>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</si>
  <si>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</si>
  <si>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</si>
  <si>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</si>
  <si>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</si>
  <si>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</si>
  <si>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</si>
  <si>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</si>
  <si>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</si>
  <si>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</si>
  <si>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</si>
  <si>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</si>
  <si>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</si>
  <si>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</si>
  <si>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</si>
  <si>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</si>
  <si>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</si>
  <si>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</si>
  <si>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</si>
  <si>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</si>
  <si>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</si>
  <si>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</si>
  <si>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</si>
  <si>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</si>
  <si>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</si>
  <si>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</si>
  <si>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</si>
  <si>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</si>
  <si>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</si>
  <si>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</si>
  <si>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</si>
  <si>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</si>
  <si>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</si>
  <si>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</si>
  <si>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</si>
  <si>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</si>
  <si>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</si>
  <si>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</si>
  <si>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</si>
  <si>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</si>
  <si>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</si>
  <si>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</si>
  <si>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</si>
  <si>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</si>
  <si>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</si>
  <si>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</si>
  <si>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</si>
  <si>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</si>
  <si>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</si>
  <si>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</si>
  <si>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</si>
  <si>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</si>
  <si>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</si>
  <si>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</si>
  <si>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</si>
  <si>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</si>
  <si>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</si>
  <si>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</si>
  <si>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</si>
  <si>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</si>
  <si>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</si>
  <si>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</si>
  <si>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</si>
  <si>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</si>
  <si>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</si>
  <si>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</si>
  <si>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</si>
  <si>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</si>
  <si>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</si>
  <si>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</si>
  <si>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</si>
  <si>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</si>
  <si>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</si>
  <si>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</si>
  <si>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</si>
  <si>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</si>
  <si>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</si>
  <si>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</si>
  <si>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</si>
  <si>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</si>
  <si>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</si>
  <si>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</si>
  <si>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</si>
  <si>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</si>
  <si>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</si>
  <si>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</si>
  <si>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</si>
  <si>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</si>
  <si>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</si>
  <si>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</si>
  <si>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</si>
  <si>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</si>
  <si>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</si>
  <si>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</si>
  <si>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Yes – needs DPO Approval to fix</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</si>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</sst>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7" fillId="0" borderId="0" applyNumberFormat="0" applyFill="0" applyBorder="0" applyAlignment="0" applyProtection="0"/>
  </cellStyleXfs>
  <cellXfs count="269">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0" fontId="36" fillId="20" borderId="0" xfId="0" applyFont="1" applyFill="1" applyAlignment="1">
      <alignment vertical="center"/>
    </xf>
    <xf numFmtId="0" fontId="37" fillId="20" borderId="0" xfId="0" applyFont="1" applyFill="1" applyAlignment="1">
      <alignment vertical="center"/>
    </xf>
    <xf numFmtId="0" fontId="40" fillId="20" borderId="0" xfId="0" applyFont="1" applyFill="1" applyAlignment="1">
      <alignment vertical="center"/>
    </xf>
    <xf numFmtId="0" fontId="41" fillId="20" borderId="0" xfId="0" applyFont="1" applyFill="1" applyAlignment="1">
      <alignment vertical="center"/>
    </xf>
    <xf numFmtId="0" fontId="36" fillId="21" borderId="0" xfId="0" applyFont="1" applyFill="1" applyAlignment="1">
      <alignment vertical="center"/>
    </xf>
    <xf numFmtId="0" fontId="36" fillId="21" borderId="17" xfId="0" applyFont="1" applyFill="1" applyBorder="1" applyAlignment="1">
      <alignment vertical="center"/>
    </xf>
    <xf numFmtId="0" fontId="36" fillId="21" borderId="18" xfId="0" applyFont="1" applyFill="1" applyBorder="1" applyAlignment="1">
      <alignment vertical="center"/>
    </xf>
    <xf numFmtId="0" fontId="36" fillId="21" borderId="19" xfId="0" applyFont="1" applyFill="1" applyBorder="1" applyAlignment="1">
      <alignment vertical="center"/>
    </xf>
    <xf numFmtId="0" fontId="36" fillId="21" borderId="20" xfId="0" applyFont="1" applyFill="1" applyBorder="1" applyAlignment="1">
      <alignment vertical="center"/>
    </xf>
    <xf numFmtId="0" fontId="36" fillId="21" borderId="21"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xf>
    <xf numFmtId="0" fontId="46" fillId="20" borderId="0" xfId="0" applyFont="1" applyFill="1" applyAlignment="1">
      <alignment vertical="center"/>
    </xf>
    <xf numFmtId="0" fontId="36" fillId="21" borderId="40" xfId="0" applyFont="1" applyFill="1" applyBorder="1" applyAlignment="1">
      <alignment vertical="center"/>
    </xf>
    <xf numFmtId="0" fontId="47" fillId="21" borderId="17" xfId="0" applyFont="1" applyFill="1" applyBorder="1" applyAlignment="1">
      <alignment horizontal="right" wrapText="1"/>
    </xf>
    <xf numFmtId="0" fontId="48" fillId="21" borderId="20" xfId="0" applyFont="1" applyFill="1" applyBorder="1" applyAlignment="1">
      <alignment vertical="center" indent="1"/>
    </xf>
    <xf numFmtId="0" fontId="48" fillId="21" borderId="18" xfId="0" applyFont="1" applyFill="1" applyBorder="1" applyAlignment="1">
      <alignment vertical="center"/>
    </xf>
    <xf numFmtId="0" fontId="47" fillId="21" borderId="19" xfId="0" applyFont="1" applyFill="1" applyBorder="1" applyAlignment="1">
      <alignment wrapText="1" indent="1"/>
    </xf>
    <xf numFmtId="0" fontId="36" fillId="21" borderId="34" xfId="0" applyFont="1" applyFill="1" applyBorder="1" applyAlignment="1">
      <alignment vertical="center" indent="1"/>
    </xf>
    <xf numFmtId="164" fontId="36" fillId="21" borderId="35" xfId="0" applyNumberFormat="1" applyFont="1" applyFill="1" applyBorder="1" applyAlignment="1">
      <alignment horizontal="right" vertical="center"/>
    </xf>
    <xf numFmtId="165" fontId="40" fillId="21" borderId="35" xfId="0" applyNumberFormat="1" applyFont="1" applyFill="1" applyBorder="1" applyAlignment="1">
      <alignment horizontal="right" vertical="center"/>
    </xf>
    <xf numFmtId="0" fontId="36" fillId="21" borderId="44" xfId="0" applyFont="1" applyFill="1" applyBorder="1" applyAlignment="1">
      <alignment vertical="center" indent="1"/>
    </xf>
    <xf numFmtId="164" fontId="36" fillId="21" borderId="45" xfId="0" applyNumberFormat="1" applyFont="1" applyFill="1" applyBorder="1" applyAlignment="1">
      <alignment horizontal="right" vertical="center"/>
    </xf>
    <xf numFmtId="165" fontId="40" fillId="21" borderId="45" xfId="0" applyNumberFormat="1" applyFont="1" applyFill="1" applyBorder="1" applyAlignment="1">
      <alignment horizontal="right" vertical="center"/>
    </xf>
    <xf numFmtId="0" fontId="36" fillId="21" borderId="19" xfId="0" applyFont="1" applyFill="1" applyBorder="1" applyAlignment="1">
      <alignment vertical="center" indent="1"/>
    </xf>
    <xf numFmtId="164" fontId="36" fillId="21" borderId="17" xfId="0" applyNumberFormat="1" applyFont="1" applyFill="1" applyBorder="1" applyAlignment="1">
      <alignment horizontal="right" vertical="center"/>
    </xf>
    <xf numFmtId="165" fontId="40" fillId="21" borderId="17" xfId="0" applyNumberFormat="1" applyFont="1" applyFill="1" applyBorder="1" applyAlignment="1">
      <alignment horizontal="right" vertical="center"/>
    </xf>
    <xf numFmtId="164" fontId="48" fillId="21" borderId="18" xfId="0" applyNumberFormat="1" applyFont="1" applyFill="1" applyBorder="1" applyAlignment="1">
      <alignment horizontal="right" vertical="center"/>
    </xf>
    <xf numFmtId="0" fontId="47" fillId="21" borderId="42" xfId="0" applyFont="1" applyFill="1" applyBorder="1" applyAlignment="1">
      <alignment vertical="center"/>
    </xf>
    <xf numFmtId="0" fontId="47" fillId="21" borderId="43" xfId="0" applyFont="1" applyFill="1" applyBorder="1" applyAlignment="1">
      <alignment vertical="center"/>
    </xf>
    <xf numFmtId="0" fontId="47" fillId="21" borderId="41" xfId="0" applyFont="1" applyFill="1" applyBorder="1" applyAlignment="1">
      <alignment vertical="center" indent="1"/>
    </xf>
    <xf numFmtId="0" fontId="38" fillId="21" borderId="0" xfId="0" applyFont="1" applyFill="1" applyAlignment="1">
      <alignment vertical="center"/>
    </xf>
    <xf numFmtId="0" fontId="38" fillId="21" borderId="40" xfId="0" applyFont="1" applyFill="1" applyBorder="1" applyAlignment="1">
      <alignment vertical="center"/>
    </xf>
    <xf numFmtId="0" fontId="38" fillId="21" borderId="18" xfId="0" applyFont="1" applyFill="1" applyBorder="1" applyAlignment="1">
      <alignment vertical="center"/>
    </xf>
    <xf numFmtId="0" fontId="38" fillId="21" borderId="22" xfId="0" applyFont="1" applyFill="1" applyBorder="1" applyAlignment="1">
      <alignment vertical="center"/>
    </xf>
    <xf numFmtId="0" fontId="38" fillId="21" borderId="24" xfId="0" applyFont="1" applyFill="1" applyBorder="1" applyAlignment="1">
      <alignment vertical="center" indent="1"/>
    </xf>
    <xf numFmtId="0" fontId="38" fillId="21" borderId="20" xfId="0" applyFont="1" applyFill="1" applyBorder="1" applyAlignment="1">
      <alignment vertical="center" indent="1"/>
    </xf>
    <xf numFmtId="0" fontId="47" fillId="21" borderId="51" xfId="0" applyFont="1" applyFill="1" applyBorder="1" applyAlignment="1">
      <alignment wrapText="1"/>
    </xf>
    <xf numFmtId="0" fontId="47" fillId="21" borderId="51" xfId="0" applyFont="1" applyFill="1" applyBorder="1" applyAlignment="1">
      <alignment wrapText="1" indent="1"/>
    </xf>
    <xf numFmtId="0" fontId="47" fillId="21" borderId="51" xfId="0" applyFont="1" applyFill="1" applyBorder="1" applyAlignment="1">
      <alignment horizontal="right" wrapText="1"/>
    </xf>
    <xf numFmtId="0" fontId="38" fillId="21" borderId="0" xfId="0" quotePrefix="1" applyFont="1" applyFill="1" applyAlignment="1">
      <alignment vertical="center"/>
    </xf>
    <xf numFmtId="0" fontId="38" fillId="21" borderId="0" xfId="0" applyFont="1" applyFill="1" applyAlignment="1">
      <alignment vertical="center" indent="1"/>
    </xf>
    <xf numFmtId="165" fontId="38" fillId="21" borderId="0" xfId="0" applyNumberFormat="1" applyFont="1" applyFill="1" applyAlignment="1">
      <alignment horizontal="right" vertical="center"/>
    </xf>
    <xf numFmtId="164" fontId="38" fillId="21" borderId="0" xfId="0" applyNumberFormat="1" applyFont="1" applyFill="1" applyAlignment="1">
      <alignment horizontal="right" vertical="center"/>
    </xf>
    <xf numFmtId="0" fontId="13" fillId="0" borderId="0" xfId="0" applyFont="1" applyAlignment="1">
      <alignment vertical="center" wrapText="1"/>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47" fillId="21" borderId="18" xfId="0" applyFont="1" applyFill="1" applyBorder="1" applyAlignment="1">
      <alignment vertical="center" wrapText="1" indent="1"/>
    </xf>
    <xf numFmtId="0" fontId="47" fillId="21" borderId="18" xfId="0" applyFont="1" applyFill="1" applyBorder="1" applyAlignment="1">
      <alignment vertical="center" wrapText="1"/>
    </xf>
    <xf numFmtId="0" fontId="47" fillId="21" borderId="22" xfId="0" applyFont="1" applyFill="1" applyBorder="1" applyAlignment="1">
      <alignment vertical="center" wrapText="1"/>
    </xf>
    <xf numFmtId="0" fontId="39" fillId="20" borderId="0" xfId="0" applyFont="1" applyFill="1" applyAlignment="1">
      <alignment vertical="center"/>
    </xf>
    <xf numFmtId="0" fontId="0" fillId="0" borderId="19" xfId="0" applyBorder="1" applyAlignment="1">
      <alignment indent="1"/>
    </xf>
    <xf numFmtId="0" fontId="0" fillId="0" borderId="20" xfId="0" applyBorder="1" applyAlignment="1">
      <alignment indent="1"/>
    </xf>
    <xf numFmtId="0" fontId="49" fillId="21" borderId="17" xfId="0" applyFont="1" applyFill="1" applyBorder="1" applyAlignment="1">
      <alignment vertical="center"/>
    </xf>
    <xf numFmtId="0" fontId="50" fillId="21" borderId="48" xfId="0" applyFont="1" applyFill="1" applyBorder="1" applyAlignment="1">
      <alignment indent="1"/>
    </xf>
    <xf numFmtId="0" fontId="50" fillId="21" borderId="47" xfId="0" applyFont="1" applyFill="1" applyBorder="1" applyAlignment="1">
      <alignment indent="1"/>
    </xf>
    <xf numFmtId="0" fontId="50" fillId="21" borderId="49" xfId="0" applyFont="1" applyFill="1" applyBorder="1" applyAlignment="1">
      <alignment indent="1"/>
    </xf>
    <xf numFmtId="0" fontId="40" fillId="21" borderId="50" xfId="0" applyFont="1" applyFill="1" applyBorder="1" applyAlignment="1">
      <alignment vertical="center" indent="1"/>
    </xf>
    <xf numFmtId="0" fontId="40" fillId="21" borderId="18" xfId="0" applyFont="1" applyFill="1" applyBorder="1" applyAlignment="1">
      <alignment vertical="center" indent="1"/>
    </xf>
    <xf numFmtId="0" fontId="40" fillId="21" borderId="22" xfId="0" applyFont="1" applyFill="1" applyBorder="1" applyAlignment="1">
      <alignment vertical="center" indent="1"/>
    </xf>
    <xf numFmtId="0" fontId="44" fillId="21" borderId="17" xfId="0" applyFont="1" applyFill="1" applyBorder="1" applyAlignment="1">
      <alignment vertical="center" wrapText="1" indent="1"/>
    </xf>
    <xf numFmtId="0" fontId="44" fillId="21" borderId="17" xfId="0" applyFont="1" applyFill="1" applyBorder="1" applyAlignment="1">
      <alignment vertical="center" wrapText="1"/>
    </xf>
    <xf numFmtId="0" fontId="44" fillId="21" borderId="21" xfId="0" applyFont="1" applyFill="1" applyBorder="1" applyAlignment="1">
      <alignment vertical="center" wrapText="1"/>
    </xf>
    <xf numFmtId="0" fontId="44" fillId="21" borderId="45" xfId="0" applyFont="1" applyFill="1" applyBorder="1" applyAlignment="1">
      <alignment vertical="center" wrapText="1" indent="1"/>
    </xf>
    <xf numFmtId="0" fontId="44" fillId="21" borderId="45" xfId="0" applyFont="1" applyFill="1" applyBorder="1" applyAlignment="1">
      <alignment vertical="center" wrapText="1"/>
    </xf>
    <xf numFmtId="0" fontId="44" fillId="21" borderId="46" xfId="0" applyFont="1" applyFill="1" applyBorder="1" applyAlignment="1">
      <alignment vertical="center" wrapText="1"/>
    </xf>
    <xf numFmtId="0" fontId="47" fillId="21" borderId="17" xfId="0" applyFont="1" applyFill="1" applyBorder="1" applyAlignment="1">
      <alignment wrapText="1" indent="1"/>
    </xf>
    <xf numFmtId="0" fontId="47" fillId="21" borderId="17" xfId="0" applyFont="1" applyFill="1" applyBorder="1" applyAlignment="1">
      <alignment wrapText="1"/>
    </xf>
    <xf numFmtId="0" fontId="47" fillId="21" borderId="21" xfId="0" applyFont="1" applyFill="1" applyBorder="1" applyAlignment="1">
      <alignment wrapText="1"/>
    </xf>
    <xf numFmtId="0" fontId="44" fillId="21" borderId="35" xfId="0" applyFont="1" applyFill="1" applyBorder="1" applyAlignment="1">
      <alignment vertical="center" wrapText="1" indent="1"/>
    </xf>
    <xf numFmtId="0" fontId="44" fillId="21" borderId="35" xfId="0" applyFont="1" applyFill="1" applyBorder="1" applyAlignment="1">
      <alignment vertical="center" wrapText="1"/>
    </xf>
    <xf numFmtId="0" fontId="44" fillId="21" borderId="36" xfId="0" applyFont="1" applyFill="1" applyBorder="1" applyAlignment="1">
      <alignment vertical="center" wrapText="1"/>
    </xf>
    <xf numFmtId="0" fontId="39" fillId="20" borderId="0" xfId="0" applyFont="1" applyFill="1" applyAlignment="1">
      <alignment horizontal="right" vertical="center"/>
    </xf>
    <xf numFmtId="0" fontId="42" fillId="20" borderId="0" xfId="0" applyFont="1" applyFill="1" applyAlignment="1">
      <alignment vertical="center" indent="1"/>
    </xf>
    <xf numFmtId="0" fontId="43" fillId="21" borderId="23" xfId="0" applyFont="1" applyFill="1" applyBorder="1" applyAlignment="1">
      <alignment indent="1"/>
    </xf>
    <xf numFmtId="0" fontId="43" fillId="21" borderId="25" xfId="0" applyFont="1" applyFill="1" applyBorder="1" applyAlignment="1">
      <alignment indent="1"/>
    </xf>
    <xf numFmtId="0" fontId="44" fillId="21" borderId="20" xfId="0" applyFont="1" applyFill="1" applyBorder="1" applyAlignment="1">
      <alignment vertical="top" wrapText="1" indent="1"/>
    </xf>
    <xf numFmtId="0" fontId="44" fillId="21" borderId="18" xfId="0" applyFont="1" applyFill="1" applyBorder="1" applyAlignment="1">
      <alignment vertical="top" wrapText="1" indent="1"/>
    </xf>
    <xf numFmtId="0" fontId="43" fillId="21" borderId="26" xfId="0" applyFont="1" applyFill="1" applyBorder="1" applyAlignment="1">
      <alignment indent="1"/>
    </xf>
    <xf numFmtId="0" fontId="43" fillId="21" borderId="27" xfId="0" applyFont="1" applyFill="1" applyBorder="1" applyAlignment="1">
      <alignment indent="1"/>
    </xf>
    <xf numFmtId="0" fontId="43" fillId="21" borderId="28" xfId="0" applyFont="1" applyFill="1" applyBorder="1" applyAlignment="1">
      <alignment indent="1"/>
    </xf>
    <xf numFmtId="0" fontId="43" fillId="21" borderId="29" xfId="0" applyFont="1" applyFill="1" applyBorder="1" applyAlignment="1">
      <alignment indent="1"/>
    </xf>
    <xf numFmtId="0" fontId="43" fillId="21" borderId="30" xfId="0" applyFont="1" applyFill="1" applyBorder="1" applyAlignment="1">
      <alignment indent="1"/>
    </xf>
    <xf numFmtId="0" fontId="43" fillId="21" borderId="31" xfId="0" applyFont="1" applyFill="1" applyBorder="1" applyAlignment="1">
      <alignment indent="1"/>
    </xf>
    <xf numFmtId="0" fontId="43" fillId="21" borderId="32" xfId="0" applyFont="1" applyFill="1" applyBorder="1" applyAlignment="1">
      <alignment indent="1"/>
    </xf>
    <xf numFmtId="0" fontId="43" fillId="21" borderId="33" xfId="0" applyFont="1" applyFill="1" applyBorder="1" applyAlignment="1">
      <alignment indent="1"/>
    </xf>
    <xf numFmtId="0" fontId="45" fillId="21" borderId="37" xfId="0" applyFont="1" applyFill="1" applyBorder="1" applyAlignment="1">
      <alignment vertical="top" indent="1"/>
    </xf>
    <xf numFmtId="0" fontId="45" fillId="21" borderId="38" xfId="0" applyFont="1" applyFill="1" applyBorder="1" applyAlignment="1">
      <alignment vertical="top" indent="1"/>
    </xf>
    <xf numFmtId="0" fontId="45" fillId="21" borderId="39" xfId="0" applyFont="1" applyFill="1" applyBorder="1" applyAlignment="1">
      <alignment vertical="top" indent="1"/>
    </xf>
    <xf numFmtId="0" fontId="44" fillId="21" borderId="22" xfId="0" applyFont="1" applyFill="1" applyBorder="1" applyAlignment="1">
      <alignment vertical="top" wrapText="1"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64">
    <dxf>
      <font>
        <color rgb="FF0A5A0A"/>
      </font>
      <fill>
        <patternFill patternType="solid">
          <fgColor indexed="64"/>
          <bgColor rgb="FFE1F3E1"/>
        </patternFill>
      </fill>
    </dxf>
    <dxf>
      <font>
        <b/>
        <i val="0"/>
        <color rgb="FFD03B3B"/>
      </font>
    </dxf>
    <dxf>
      <font>
        <color rgb="FF8B1A1A"/>
      </font>
      <fill>
        <patternFill patternType="solid">
          <fgColor indexed="64"/>
          <bgColor rgb="FFFBE3E3"/>
        </patternFill>
      </fill>
    </dxf>
    <dxf>
      <font>
        <color rgb="FF8A5A0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b/>
        <i val="0"/>
      </font>
      <fill>
        <patternFill patternType="solid">
          <fgColor indexed="64"/>
          <bgColor rgb="FFDCE5F1"/>
        </patternFill>
      </fill>
    </dxf>
    <dxf>
      <font>
        <b/>
        <i val="0"/>
      </font>
      <fill>
        <patternFill patternType="solid">
          <fgColor indexed="64"/>
          <bgColor rgb="FFFBE3E3"/>
        </patternFill>
      </fill>
    </dxf>
    <dxf>
      <font>
        <b/>
        <i val="0"/>
      </font>
      <fill>
        <patternFill patternType="solid">
          <fgColor indexed="64"/>
          <bgColor rgb="FFFFF1D6"/>
        </patternFill>
      </fill>
    </dxf>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13</c:v>
                </c:pt>
                <c:pt idx="1">
                  <c:v>10</c:v>
                </c:pt>
                <c:pt idx="2">
                  <c:v>2</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2</c:v>
                </c:pt>
                <c:pt idx="3">
                  <c:v>1</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2</c:v>
                </c:pt>
                <c:pt idx="2">
                  <c:v>7</c:v>
                </c:pt>
                <c:pt idx="3">
                  <c:v>0</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2</c:v>
                </c:pt>
                <c:pt idx="3">
                  <c:v>2</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3</c:v>
                </c:pt>
                <c:pt idx="3">
                  <c:v>5</c:v>
                </c:pt>
                <c:pt idx="4">
                  <c:v>0</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1</c:v>
                </c:pt>
                <c:pt idx="1">
                  <c:v>0</c:v>
                </c:pt>
                <c:pt idx="2">
                  <c:v>1</c:v>
                </c:pt>
                <c:pt idx="3">
                  <c:v>1</c:v>
                </c:pt>
                <c:pt idx="4">
                  <c:v>0</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15</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80">
  <autoFilter ref="A1:AN116" xr:uid="{00000000-0009-0000-0100-000001000000}">
    <filterColumn colId="0">
      <filters>
        <filter val="CMS"/>
      </filters>
    </filterColumn>
    <filterColumn colId="8">
      <filters>
        <filter val="November"/>
        <filter val="October"/>
      </filters>
    </filterColumn>
  </autoFilter>
  <tableColumns count="40">
    <tableColumn id="1" xr3:uid="{00000000-0010-0000-0000-000001000000}" name="Domain" dataDxfId="79"/>
    <tableColumn id="2" xr3:uid="{00000000-0010-0000-0000-000002000000}" name="Report Name" dataDxfId="78"/>
    <tableColumn id="3" xr3:uid="{00000000-0010-0000-0000-000003000000}" name="Current Status (Update next stage after completion date)" dataDxfId="77"/>
    <tableColumn id="4" xr3:uid="{00000000-0010-0000-0000-000004000000}" name="Status Flag" dataDxfId="76"/>
    <tableColumn id="5" xr3:uid="{00000000-0010-0000-0000-000005000000}" name="Business Value Rank" dataDxfId="75"/>
    <tableColumn id="6" xr3:uid="{00000000-0010-0000-0000-000006000000}" name="PO" dataDxfId="74"/>
    <tableColumn id="10" xr3:uid="{00000000-0010-0000-0000-00000A000000}" name="Schema" dataDxfId="73"/>
    <tableColumn id="11" xr3:uid="{00000000-0010-0000-0000-00000B000000}" name="Plan Delivery Date" dataDxfId="72"/>
    <tableColumn id="12" xr3:uid="{00000000-0010-0000-0000-00000C000000}" name="Plan Delivery Month" dataDxfId="71"/>
    <tableColumn id="7" xr3:uid="{00000000-0010-0000-0000-000007000000}" name="DB Developer" dataDxfId="70"/>
    <tableColumn id="13" xr3:uid="{00000000-0010-0000-0000-00000D000000}" name="DB Dev Baseline Completion Date" dataDxfId="69"/>
    <tableColumn id="30" xr3:uid="{00000000-0010-0000-0000-00001E000000}" name="DB Dev Reforecast Completion Date" dataDxfId="68"/>
    <tableColumn id="14" xr3:uid="{00000000-0010-0000-0000-00000E000000}" name="DB Dev Actual Completion Date" dataDxfId="67"/>
    <tableColumn id="35" xr3:uid="{1A518B0C-8D73-4DAB-8F10-7B4DFF037343}" name="Build Source" dataDxfId="66"/>
    <tableColumn id="28" xr3:uid="{EFCDFAEE-1B00-42CE-9649-7541F5DDC136}" name="Sprint DB" dataDxfId="65"/>
    <tableColumn id="8" xr3:uid="{00000000-0010-0000-0000-000008000000}" name="PBI Developer" dataDxfId="64"/>
    <tableColumn id="15" xr3:uid="{00000000-0010-0000-0000-00000F000000}" name="PBI Dev Baseline Completion Date" dataDxfId="63"/>
    <tableColumn id="31" xr3:uid="{00000000-0010-0000-0000-00001F000000}" name="PBI Dev Reforecast Completion Date" dataDxfId="62"/>
    <tableColumn id="16" xr3:uid="{00000000-0010-0000-0000-000010000000}" name="PBI Dev Actual Completion Date" dataDxfId="61"/>
    <tableColumn id="29" xr3:uid="{4630D178-9B47-4360-A40B-22C7384DB9C9}" name="Sprint PBI" dataDxfId="60"/>
    <tableColumn id="9" xr3:uid="{00000000-0010-0000-0000-000009000000}" name="QA Tester" dataDxfId="59"/>
    <tableColumn id="17" xr3:uid="{00000000-0010-0000-0000-000011000000}" name="QA Baseline Completion Date" dataDxfId="58"/>
    <tableColumn id="32" xr3:uid="{00000000-0010-0000-0000-000020000000}" name="QA Reforecast Completion Date" dataDxfId="57"/>
    <tableColumn id="43" xr3:uid="{4636FA56-7728-4236-AC33-8557B12CD9BB}" name="Initial QA Completion Date" dataDxfId="56"/>
    <tableColumn id="18" xr3:uid="{00000000-0010-0000-0000-000012000000}" name="QA Actual Completion Date" dataDxfId="55"/>
    <tableColumn id="34" xr3:uid="{70C5E8CB-08B0-4A84-9B68-89630FC3C5C7}" name="Sprint QA" dataDxfId="54"/>
    <tableColumn id="19" xr3:uid="{00000000-0010-0000-0000-000013000000}" name="DPO Approval Baseline Completion Date" dataDxfId="53"/>
    <tableColumn id="33" xr3:uid="{00000000-0010-0000-0000-000021000000}" name="DPO Approval Reforecast Completion Date" dataDxfId="52"/>
    <tableColumn id="36" xr3:uid="{86D482BF-E7A4-45A2-B2F5-CA0223EBDDD1}" name="DPO Approval Completion Date" dataDxfId="51"/>
    <tableColumn id="20" xr3:uid="{00000000-0010-0000-0000-000014000000}" name="DPO Approval Reviewer" dataDxfId="50"/>
    <tableColumn id="39" xr3:uid="{D4F67DF1-1A6D-469A-AA66-A681F9EBF81F}" name="Report Type" dataDxfId="49"/>
    <tableColumn id="21" xr3:uid="{00000000-0010-0000-0000-000015000000}" name="Confirmed Deployed?" dataDxfId="48"/>
    <tableColumn id="22" xr3:uid="{00000000-0010-0000-0000-000016000000}" name="Confirmed Deployed Date" dataDxfId="47"/>
    <tableColumn id="23" xr3:uid="{00000000-0010-0000-0000-000017000000}" name="UAT Report URL" dataDxfId="46"/>
    <tableColumn id="24" xr3:uid="{00000000-0010-0000-0000-000018000000}" name="Production URL" dataDxfId="45"/>
    <tableColumn id="25" xr3:uid="{00000000-0010-0000-0000-000019000000}" name="Blocked?" dataDxfId="44"/>
    <tableColumn id="26" xr3:uid="{00000000-0010-0000-0000-00001A000000}" name="Data Check" dataDxfId="43"/>
    <tableColumn id="27" xr3:uid="{00000000-0010-0000-0000-00001B000000}" name="Comments" dataDxfId="42"/>
    <tableColumn id="37" xr3:uid="{80A8E094-8F50-434A-A9E3-195269D50436}" name="QA Rework Due_x0009_DPO Rework Due" dataDxfId="41">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40">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xSplit="2" topLeftCell="AH1" activePane="topRight" state="frozen"/>
      <selection pane="topRight" activeCell="AJ39" sqref="AJ39"/>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8"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8"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8"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8"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H)",IF(COUNTIF($B$2:$B$528,$B12)&gt;1,"Duplicate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H)",IF(COUNTIF($B$2:$B$528,$B13)&gt;1,"Duplicate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H)",IF(COUNTIF($B$2:$B$528,$B14)&gt;1,"Duplicate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H)",IF(COUNTIF($B$2:$B$528,$B20)&gt;1,"Duplicate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H)",IF(COUNTIF($B$2:$B$528,$B22)&gt;1,"Duplicate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H)",IF(COUNTIF($B$2:$B$528,$B23)&gt;1,"Duplicate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H)",IF(COUNTIF($B$2:$B$528,$B24)&gt;1,"Duplicate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H)",IF(COUNTIF($B$2:$B$528,$B26)&gt;1,"Duplicate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c r="A39" s="33" t="s">
        <v>126</v>
      </c>
      <c r="B39" s="33" t="s">
        <v>155</v>
      </c>
      <c r="C39" s="33" t="s">
        <v>156</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c r="A40" s="33" t="s">
        <v>126</v>
      </c>
      <c r="B40" s="33" t="s">
        <v>157</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158</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c r="A41" s="33" t="s">
        <v>126</v>
      </c>
      <c r="B41" s="33" t="s">
        <v>159</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160</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c r="A42" s="33" t="s">
        <v>126</v>
      </c>
      <c r="B42" s="33" t="s">
        <v>161</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8"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163</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164</v>
      </c>
      <c r="C43" s="33" t="s">
        <v>128</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46304</v>
      </c>
    </row>
    <row r="44" spans="1:40" ht="14.45">
      <c r="A44" s="33" t="s">
        <v>126</v>
      </c>
      <c r="B44" s="33" t="s">
        <v>169</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69"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172</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174</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175</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H)",IF(COUNTIF($B$2:$B$528,$B46)&gt;1,"Duplicate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176</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177</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178</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177</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180</v>
      </c>
      <c r="C49" s="33" t="s">
        <v>181</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Overdue</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182</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177</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183</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177</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184</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185</v>
      </c>
      <c r="C52" s="33" t="s">
        <v>181</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177</v>
      </c>
      <c r="P52" s="64" t="s">
        <v>46</v>
      </c>
      <c r="Q52" s="4">
        <v>46241</v>
      </c>
      <c r="R52" s="36">
        <v>46266</v>
      </c>
      <c r="S52" s="36">
        <v>46267</v>
      </c>
      <c r="T52" s="68"/>
      <c r="U52" s="53" t="s">
        <v>129</v>
      </c>
      <c r="V52" s="58">
        <v>46293</v>
      </c>
      <c r="W52" s="36">
        <v>46269</v>
      </c>
      <c r="X52" s="36"/>
      <c r="Y52" s="36">
        <v>46290</v>
      </c>
      <c r="Z52" s="36"/>
      <c r="AA52" s="51">
        <v>46260</v>
      </c>
      <c r="AB52" s="36">
        <v>46297</v>
      </c>
      <c r="AC52" s="36"/>
      <c r="AD52" s="33" t="s">
        <v>186</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187</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188</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189</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190</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191</v>
      </c>
      <c r="C55" s="33" t="s">
        <v>181</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Log'!$C$3:$C$498,"QA"),_xlpm.act,IF(AND(X55&lt;&gt;"",X55&gt;=_xlpm.sent),X55,""),IF(_xlpm.tgt="","No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192</v>
      </c>
      <c r="J55" s="33" t="s">
        <v>76</v>
      </c>
      <c r="K55" s="4">
        <v>46262</v>
      </c>
      <c r="L55" s="36">
        <v>46253</v>
      </c>
      <c r="M55" s="36">
        <v>46253</v>
      </c>
      <c r="N55" s="36"/>
      <c r="O55" s="36" t="s">
        <v>193</v>
      </c>
      <c r="P55" s="62" t="s">
        <v>77</v>
      </c>
      <c r="Q55" s="4">
        <v>46269</v>
      </c>
      <c r="R55" s="36">
        <v>46267</v>
      </c>
      <c r="S55" s="36">
        <v>46267</v>
      </c>
      <c r="T55" s="68" t="s">
        <v>194</v>
      </c>
      <c r="U55" s="33" t="s">
        <v>47</v>
      </c>
      <c r="V55" s="58">
        <v>46276</v>
      </c>
      <c r="W55" s="58">
        <v>46289</v>
      </c>
      <c r="X55" s="58">
        <v>46293</v>
      </c>
      <c r="Y55" s="46"/>
      <c r="Z55" s="36"/>
      <c r="AA55" s="51">
        <v>46290</v>
      </c>
      <c r="AB55" s="36">
        <v>46297</v>
      </c>
      <c r="AC55" s="36"/>
      <c r="AD55" s="33" t="s">
        <v>195</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196</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197</v>
      </c>
      <c r="C56" s="33" t="s">
        <v>181</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192</v>
      </c>
      <c r="J56" s="33" t="s">
        <v>76</v>
      </c>
      <c r="K56" s="4">
        <v>46262</v>
      </c>
      <c r="L56" s="36">
        <v>46253</v>
      </c>
      <c r="M56" s="36">
        <v>46253</v>
      </c>
      <c r="N56" s="36" t="s">
        <v>146</v>
      </c>
      <c r="O56" s="36" t="s">
        <v>193</v>
      </c>
      <c r="P56" s="62" t="s">
        <v>60</v>
      </c>
      <c r="Q56" s="4">
        <v>46269</v>
      </c>
      <c r="R56" s="36">
        <v>46266</v>
      </c>
      <c r="S56" s="36">
        <v>46266</v>
      </c>
      <c r="T56" s="68" t="s">
        <v>194</v>
      </c>
      <c r="U56" s="33" t="s">
        <v>198</v>
      </c>
      <c r="V56" s="58">
        <v>46276</v>
      </c>
      <c r="W56" s="36">
        <v>46285</v>
      </c>
      <c r="X56" s="36">
        <v>46274</v>
      </c>
      <c r="Y56" s="36">
        <v>46288</v>
      </c>
      <c r="Z56" s="36"/>
      <c r="AA56" s="51">
        <v>46290</v>
      </c>
      <c r="AB56" s="36">
        <v>46297</v>
      </c>
      <c r="AC56" s="36"/>
      <c r="AD56" s="33" t="s">
        <v>199</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200</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201</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192</v>
      </c>
      <c r="J57" s="33" t="s">
        <v>65</v>
      </c>
      <c r="K57" s="4">
        <v>46262</v>
      </c>
      <c r="L57" s="36">
        <v>46254</v>
      </c>
      <c r="M57" s="36"/>
      <c r="N57" s="46" t="s">
        <v>146</v>
      </c>
      <c r="O57" s="36" t="s">
        <v>193</v>
      </c>
      <c r="P57" s="62" t="s">
        <v>46</v>
      </c>
      <c r="Q57" s="4">
        <v>46269</v>
      </c>
      <c r="R57" s="36">
        <v>46268</v>
      </c>
      <c r="S57" s="36">
        <v>46268</v>
      </c>
      <c r="T57" s="68" t="s">
        <v>194</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163</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202</v>
      </c>
      <c r="C58" s="33" t="s">
        <v>203</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192</v>
      </c>
      <c r="J58" s="33" t="s">
        <v>65</v>
      </c>
      <c r="K58" s="4">
        <v>46262</v>
      </c>
      <c r="L58" s="36">
        <v>46254</v>
      </c>
      <c r="M58" s="36"/>
      <c r="N58" s="46" t="s">
        <v>146</v>
      </c>
      <c r="O58" s="36" t="s">
        <v>193</v>
      </c>
      <c r="P58" s="62" t="s">
        <v>77</v>
      </c>
      <c r="Q58" s="4">
        <v>46269</v>
      </c>
      <c r="R58" s="36">
        <v>46272</v>
      </c>
      <c r="S58" s="36"/>
      <c r="T58" s="68" t="s">
        <v>194</v>
      </c>
      <c r="U58" s="33" t="s">
        <v>129</v>
      </c>
      <c r="V58" s="58">
        <v>46276</v>
      </c>
      <c r="W58" s="36"/>
      <c r="X58" s="36"/>
      <c r="Y58" s="36"/>
      <c r="Z58" s="36"/>
      <c r="AA58" s="51">
        <v>46290</v>
      </c>
      <c r="AB58" s="36"/>
      <c r="AC58" s="36"/>
      <c r="AD58" s="33" t="s">
        <v>132</v>
      </c>
      <c r="AE58" s="33" t="s">
        <v>49</v>
      </c>
      <c r="AF58" s="38"/>
      <c r="AG58" s="36"/>
      <c r="AH58" s="39"/>
      <c r="AI58" s="33"/>
      <c r="AJ58" s="40" t="s">
        <v>204</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205</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206</v>
      </c>
      <c r="C59" s="33" t="s">
        <v>181</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Log'!$C$3:$C$498,"QA"),_xlpm.act,IF(AND(X59&lt;&gt;"",X59&gt;=_xlpm.sent),X59,""),IF(_xlpm.tgt="","No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207</v>
      </c>
      <c r="G59" s="33"/>
      <c r="H59" s="49">
        <v>46295</v>
      </c>
      <c r="I59" s="54" t="s">
        <v>192</v>
      </c>
      <c r="J59" s="33" t="s">
        <v>44</v>
      </c>
      <c r="K59" s="4">
        <v>46262</v>
      </c>
      <c r="L59" s="36">
        <v>46253</v>
      </c>
      <c r="M59" s="36">
        <v>46253</v>
      </c>
      <c r="N59" s="36"/>
      <c r="O59" s="36" t="s">
        <v>193</v>
      </c>
      <c r="P59" s="62" t="s">
        <v>60</v>
      </c>
      <c r="Q59" s="4">
        <v>46269</v>
      </c>
      <c r="R59" s="36">
        <v>46266</v>
      </c>
      <c r="S59" s="36">
        <v>46266</v>
      </c>
      <c r="T59" s="68" t="s">
        <v>194</v>
      </c>
      <c r="U59" s="33" t="s">
        <v>47</v>
      </c>
      <c r="V59" s="58">
        <v>46276</v>
      </c>
      <c r="W59" s="36">
        <v>46289</v>
      </c>
      <c r="X59" s="36">
        <v>46288</v>
      </c>
      <c r="Y59" s="46"/>
      <c r="Z59" s="36"/>
      <c r="AA59" s="51">
        <v>46290</v>
      </c>
      <c r="AB59" s="36">
        <v>46297</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208</v>
      </c>
      <c r="C60" s="33" t="s">
        <v>128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207</v>
      </c>
      <c r="G60" s="33"/>
      <c r="H60" s="49">
        <v>46295</v>
      </c>
      <c r="I60" s="54" t="s">
        <v>192</v>
      </c>
      <c r="J60" s="33" t="s">
        <v>154</v>
      </c>
      <c r="K60" s="4">
        <v>46262</v>
      </c>
      <c r="L60" s="36">
        <v>46255</v>
      </c>
      <c r="M60" s="36">
        <v>46255</v>
      </c>
      <c r="N60" s="36" t="s">
        <v>146</v>
      </c>
      <c r="O60" s="36" t="s">
        <v>193</v>
      </c>
      <c r="P60" s="62" t="s">
        <v>46</v>
      </c>
      <c r="Q60" s="4">
        <v>46269</v>
      </c>
      <c r="R60" s="36">
        <v>46273</v>
      </c>
      <c r="S60" s="36">
        <v>46273</v>
      </c>
      <c r="T60" s="68" t="s">
        <v>194</v>
      </c>
      <c r="U60" s="33" t="s">
        <v>47</v>
      </c>
      <c r="V60" s="58">
        <v>46276</v>
      </c>
      <c r="W60" s="36">
        <v>46287</v>
      </c>
      <c r="X60" s="36"/>
      <c r="Y60" s="36">
        <v>46286</v>
      </c>
      <c r="Z60" s="36"/>
      <c r="AA60" s="51">
        <v>46290</v>
      </c>
      <c r="AB60" s="36">
        <v>46296</v>
      </c>
      <c r="AC60" s="36">
        <v>46295</v>
      </c>
      <c r="AD60" s="33" t="s">
        <v>209</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210</v>
      </c>
      <c r="C61" s="33" t="s">
        <v>181</v>
      </c>
      <c r="D61" t="s">
        <v>211</v>
      </c>
      <c r="E61" s="33">
        <v>37</v>
      </c>
      <c r="F61" s="34" t="s">
        <v>129</v>
      </c>
      <c r="G61" s="33"/>
      <c r="H61" s="49">
        <v>46295</v>
      </c>
      <c r="I61" s="54" t="s">
        <v>192</v>
      </c>
      <c r="J61" s="33" t="s">
        <v>44</v>
      </c>
      <c r="K61" s="4">
        <v>46262</v>
      </c>
      <c r="L61" s="36">
        <v>46255</v>
      </c>
      <c r="M61" s="36">
        <v>46255</v>
      </c>
      <c r="N61" s="36"/>
      <c r="O61" s="36" t="s">
        <v>193</v>
      </c>
      <c r="P61" s="62" t="s">
        <v>60</v>
      </c>
      <c r="Q61" s="4">
        <v>46269</v>
      </c>
      <c r="R61" s="36">
        <v>46268</v>
      </c>
      <c r="S61" s="36">
        <v>46268</v>
      </c>
      <c r="T61" s="68" t="s">
        <v>194</v>
      </c>
      <c r="U61" s="33" t="s">
        <v>47</v>
      </c>
      <c r="V61" s="58">
        <v>46276</v>
      </c>
      <c r="W61" s="36">
        <v>46296</v>
      </c>
      <c r="X61" s="36">
        <v>46281</v>
      </c>
      <c r="Y61" s="36">
        <v>46295</v>
      </c>
      <c r="Z61" s="36"/>
      <c r="AA61" s="51">
        <v>46290</v>
      </c>
      <c r="AB61" s="36"/>
      <c r="AC61" s="36"/>
      <c r="AD61" s="33" t="s">
        <v>212</v>
      </c>
      <c r="AE61" s="33" t="s">
        <v>72</v>
      </c>
      <c r="AF61" s="38"/>
      <c r="AG61" s="36"/>
      <c r="AH61" s="39"/>
      <c r="AI61" s="33"/>
      <c r="AJ61" s="40" t="s">
        <v>53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213</v>
      </c>
      <c r="C62" s="33" t="s">
        <v>181</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207</v>
      </c>
      <c r="G62" s="33"/>
      <c r="H62" s="49">
        <v>46295</v>
      </c>
      <c r="I62" s="54" t="s">
        <v>192</v>
      </c>
      <c r="J62" s="33" t="s">
        <v>84</v>
      </c>
      <c r="K62" s="4">
        <v>46262</v>
      </c>
      <c r="L62" s="36">
        <v>46260</v>
      </c>
      <c r="M62" s="36">
        <v>46259</v>
      </c>
      <c r="N62" s="36"/>
      <c r="O62" s="36" t="s">
        <v>193</v>
      </c>
      <c r="P62" s="62" t="s">
        <v>77</v>
      </c>
      <c r="Q62" s="4">
        <v>46269</v>
      </c>
      <c r="R62" s="36">
        <v>46280</v>
      </c>
      <c r="S62" s="36">
        <v>46282</v>
      </c>
      <c r="T62" s="68" t="s">
        <v>194</v>
      </c>
      <c r="U62" s="33" t="s">
        <v>198</v>
      </c>
      <c r="V62" s="58">
        <v>46276</v>
      </c>
      <c r="W62" s="36">
        <v>46288</v>
      </c>
      <c r="X62" s="36">
        <v>46283</v>
      </c>
      <c r="Y62" s="36">
        <v>46289</v>
      </c>
      <c r="Z62" s="36"/>
      <c r="AA62" s="51">
        <v>46290</v>
      </c>
      <c r="AB62" s="36">
        <v>46300</v>
      </c>
      <c r="AC62" s="36"/>
      <c r="AD62" s="33" t="s">
        <v>214</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215</v>
      </c>
      <c r="C63" s="33" t="s">
        <v>216</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207</v>
      </c>
      <c r="G63" s="33"/>
      <c r="H63" s="49">
        <v>46295</v>
      </c>
      <c r="I63" s="54" t="s">
        <v>192</v>
      </c>
      <c r="J63" s="33" t="s">
        <v>84</v>
      </c>
      <c r="K63" s="4">
        <v>46276</v>
      </c>
      <c r="L63" s="36">
        <v>46276</v>
      </c>
      <c r="M63" s="36">
        <v>46266</v>
      </c>
      <c r="N63" s="36"/>
      <c r="O63" s="36" t="s">
        <v>193</v>
      </c>
      <c r="P63" s="62" t="s">
        <v>60</v>
      </c>
      <c r="Q63" s="4">
        <v>46286</v>
      </c>
      <c r="R63" s="4">
        <v>46275</v>
      </c>
      <c r="S63" s="36">
        <v>46294</v>
      </c>
      <c r="T63" s="68" t="s">
        <v>194</v>
      </c>
      <c r="U63" s="33" t="s">
        <v>47</v>
      </c>
      <c r="V63" s="58">
        <v>46290</v>
      </c>
      <c r="W63" s="36">
        <v>46300</v>
      </c>
      <c r="X63" s="36">
        <v>46295</v>
      </c>
      <c r="Y63" s="36"/>
      <c r="Z63" s="36"/>
      <c r="AA63" s="51">
        <v>46295</v>
      </c>
      <c r="AB63" s="36"/>
      <c r="AC63" s="36"/>
      <c r="AD63" s="33" t="s">
        <v>217</v>
      </c>
      <c r="AE63" s="33" t="s">
        <v>72</v>
      </c>
      <c r="AF63" s="38"/>
      <c r="AG63" s="36"/>
      <c r="AH63" s="39"/>
      <c r="AI63" s="33"/>
      <c r="AJ63" s="40" t="s">
        <v>53</v>
      </c>
      <c r="AK63" s="72"/>
      <c r="AL63" s="41" t="s">
        <v>163</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218</v>
      </c>
      <c r="C64" s="116" t="s">
        <v>216</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Overdue</v>
      </c>
      <c r="E64" s="116">
        <v>40</v>
      </c>
      <c r="F64" s="118" t="s">
        <v>129</v>
      </c>
      <c r="G64" s="116"/>
      <c r="H64" s="119">
        <v>46295</v>
      </c>
      <c r="I64" s="120" t="s">
        <v>192</v>
      </c>
      <c r="J64" s="116" t="s">
        <v>103</v>
      </c>
      <c r="K64" s="121">
        <v>46276</v>
      </c>
      <c r="L64" s="122">
        <v>46265</v>
      </c>
      <c r="M64" s="122">
        <v>46266</v>
      </c>
      <c r="N64" s="122" t="s">
        <v>146</v>
      </c>
      <c r="O64" s="122" t="s">
        <v>193</v>
      </c>
      <c r="P64" s="123" t="s">
        <v>60</v>
      </c>
      <c r="Q64" s="121">
        <v>46286</v>
      </c>
      <c r="R64" s="122">
        <v>46269</v>
      </c>
      <c r="S64" s="122">
        <v>46269</v>
      </c>
      <c r="T64" s="124" t="s">
        <v>194</v>
      </c>
      <c r="U64" s="116" t="s">
        <v>47</v>
      </c>
      <c r="V64" s="125">
        <v>46290</v>
      </c>
      <c r="W64" s="122"/>
      <c r="X64" s="122">
        <v>46295</v>
      </c>
      <c r="Y64" s="122"/>
      <c r="Z64" s="122"/>
      <c r="AA64" s="126">
        <v>46295</v>
      </c>
      <c r="AB64" s="122"/>
      <c r="AC64" s="122"/>
      <c r="AD64" s="116" t="s">
        <v>219</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t="s">
        <v>173</v>
      </c>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220</v>
      </c>
      <c r="C65" s="33" t="s">
        <v>181</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192</v>
      </c>
      <c r="J65" s="33" t="s">
        <v>154</v>
      </c>
      <c r="K65" s="4">
        <v>46276</v>
      </c>
      <c r="L65" s="4">
        <v>46262</v>
      </c>
      <c r="M65" s="36">
        <v>46265</v>
      </c>
      <c r="N65" s="36" t="s">
        <v>45</v>
      </c>
      <c r="O65" s="36" t="s">
        <v>193</v>
      </c>
      <c r="P65" s="62" t="s">
        <v>77</v>
      </c>
      <c r="Q65" s="4">
        <v>46286</v>
      </c>
      <c r="R65" s="43">
        <v>46273</v>
      </c>
      <c r="S65" s="32">
        <v>46273</v>
      </c>
      <c r="T65" s="68" t="s">
        <v>194</v>
      </c>
      <c r="U65" s="33" t="s">
        <v>198</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221</v>
      </c>
      <c r="C66" s="155" t="s">
        <v>203</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192</v>
      </c>
      <c r="J66" s="155" t="s">
        <v>44</v>
      </c>
      <c r="K66" s="158">
        <v>46276</v>
      </c>
      <c r="L66" s="143">
        <v>46276</v>
      </c>
      <c r="M66" s="143">
        <v>46282</v>
      </c>
      <c r="N66" s="143"/>
      <c r="O66" s="143" t="s">
        <v>193</v>
      </c>
      <c r="P66" s="159" t="s">
        <v>46</v>
      </c>
      <c r="Q66" s="158">
        <v>46286</v>
      </c>
      <c r="R66" s="143">
        <v>46273</v>
      </c>
      <c r="S66" s="143"/>
      <c r="T66" s="160" t="s">
        <v>194</v>
      </c>
      <c r="U66" s="155"/>
      <c r="V66" s="142">
        <v>46290</v>
      </c>
      <c r="W66" s="143"/>
      <c r="X66" s="143"/>
      <c r="Y66" s="143"/>
      <c r="Z66" s="143"/>
      <c r="AA66" s="161">
        <v>46295</v>
      </c>
      <c r="AB66" s="143"/>
      <c r="AC66" s="143"/>
      <c r="AD66" s="155" t="s">
        <v>219</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222</v>
      </c>
      <c r="C67" s="33" t="s">
        <v>156</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192</v>
      </c>
      <c r="J67" s="33" t="s">
        <v>44</v>
      </c>
      <c r="K67" s="4">
        <v>46276</v>
      </c>
      <c r="L67" s="36">
        <v>46254</v>
      </c>
      <c r="M67" s="36">
        <v>46254</v>
      </c>
      <c r="N67" s="36"/>
      <c r="O67" s="36" t="s">
        <v>193</v>
      </c>
      <c r="P67" s="62" t="s">
        <v>60</v>
      </c>
      <c r="Q67" s="4">
        <v>46286</v>
      </c>
      <c r="R67" s="36">
        <v>46254</v>
      </c>
      <c r="S67" s="36">
        <v>46254</v>
      </c>
      <c r="T67" s="68" t="s">
        <v>194</v>
      </c>
      <c r="U67" s="33" t="s">
        <v>129</v>
      </c>
      <c r="V67" s="58">
        <v>46290</v>
      </c>
      <c r="W67" s="36">
        <v>46296</v>
      </c>
      <c r="X67" s="36"/>
      <c r="Y67" s="36"/>
      <c r="Z67" s="36"/>
      <c r="AA67" s="51">
        <v>46295</v>
      </c>
      <c r="AB67" s="36">
        <v>46268</v>
      </c>
      <c r="AC67" s="36"/>
      <c r="AD67" s="33" t="s">
        <v>223</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"&amp;_xlpm.nxt,IF(COUNTIF($B$2:$B$528,$B67)&gt;1,"Duplicate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Open rework row - mark Blocked or close it</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224</v>
      </c>
      <c r="C68" s="80" t="s">
        <v>203</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192</v>
      </c>
      <c r="J68" s="80" t="s">
        <v>225</v>
      </c>
      <c r="K68" s="85">
        <v>46276</v>
      </c>
      <c r="L68" s="86">
        <v>46258</v>
      </c>
      <c r="M68" s="86">
        <v>46258</v>
      </c>
      <c r="N68" s="86"/>
      <c r="O68" s="86" t="s">
        <v>193</v>
      </c>
      <c r="P68" s="87" t="s">
        <v>77</v>
      </c>
      <c r="Q68" s="85">
        <v>46286</v>
      </c>
      <c r="R68" s="86"/>
      <c r="S68" s="86"/>
      <c r="T68" s="88" t="s">
        <v>226</v>
      </c>
      <c r="U68" s="80"/>
      <c r="V68" s="89">
        <v>46290</v>
      </c>
      <c r="W68" s="86"/>
      <c r="X68" s="86"/>
      <c r="Y68" s="86"/>
      <c r="Z68" s="86"/>
      <c r="AA68" s="90">
        <v>46295</v>
      </c>
      <c r="AB68" s="86"/>
      <c r="AC68" s="86"/>
      <c r="AD68" s="77" t="s">
        <v>227</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228</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229</v>
      </c>
      <c r="C69" s="97" t="s">
        <v>230</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Review - planned start passed</v>
      </c>
      <c r="E69" s="97">
        <v>45</v>
      </c>
      <c r="F69" s="34" t="s">
        <v>207</v>
      </c>
      <c r="G69" s="97"/>
      <c r="H69" s="99">
        <v>46295</v>
      </c>
      <c r="I69" s="100" t="s">
        <v>192</v>
      </c>
      <c r="J69" s="97" t="s">
        <v>59</v>
      </c>
      <c r="K69" s="101">
        <v>46276</v>
      </c>
      <c r="L69" s="102"/>
      <c r="M69" s="102"/>
      <c r="N69" s="102"/>
      <c r="O69" s="102" t="s">
        <v>193</v>
      </c>
      <c r="P69" s="103" t="s">
        <v>46</v>
      </c>
      <c r="Q69" s="101">
        <v>46286</v>
      </c>
      <c r="R69" s="102"/>
      <c r="S69" s="102"/>
      <c r="T69" s="104" t="s">
        <v>226</v>
      </c>
      <c r="U69" s="97"/>
      <c r="V69" s="105">
        <v>46290</v>
      </c>
      <c r="W69" s="102"/>
      <c r="X69" s="102"/>
      <c r="Y69" s="102"/>
      <c r="Z69" s="102"/>
      <c r="AA69" s="106">
        <v>46295</v>
      </c>
      <c r="AB69" s="102"/>
      <c r="AC69" s="102"/>
      <c r="AD69" s="78" t="s">
        <v>231</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232</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233</v>
      </c>
      <c r="C70" s="33" t="s">
        <v>203</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207</v>
      </c>
      <c r="G70" s="33"/>
      <c r="H70" s="49">
        <v>46295</v>
      </c>
      <c r="I70" s="54" t="s">
        <v>192</v>
      </c>
      <c r="J70" s="33" t="s">
        <v>65</v>
      </c>
      <c r="K70" s="4">
        <v>46276</v>
      </c>
      <c r="L70" s="36">
        <v>46262</v>
      </c>
      <c r="M70" s="36">
        <v>46276</v>
      </c>
      <c r="N70" s="46" t="s">
        <v>146</v>
      </c>
      <c r="O70" s="36" t="s">
        <v>193</v>
      </c>
      <c r="P70" s="62" t="s">
        <v>46</v>
      </c>
      <c r="Q70" s="4">
        <v>46286</v>
      </c>
      <c r="R70" s="36">
        <v>46283</v>
      </c>
      <c r="S70" s="36"/>
      <c r="T70" s="68" t="s">
        <v>226</v>
      </c>
      <c r="U70" s="33"/>
      <c r="V70" s="58">
        <v>46290</v>
      </c>
      <c r="W70" s="36"/>
      <c r="X70" s="36"/>
      <c r="Y70" s="36"/>
      <c r="Z70" s="36"/>
      <c r="AA70" s="51">
        <v>46295</v>
      </c>
      <c r="AB70" s="36"/>
      <c r="AC70" s="36"/>
      <c r="AD70" s="33" t="s">
        <v>124</v>
      </c>
      <c r="AE70" s="33" t="s">
        <v>72</v>
      </c>
      <c r="AF70" s="38"/>
      <c r="AG70" s="36"/>
      <c r="AH70" s="39"/>
      <c r="AI70" s="33"/>
      <c r="AJ70" s="40" t="s">
        <v>204</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234</v>
      </c>
      <c r="C71" s="33" t="s">
        <v>181</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track"))),IF(C71="QA",_xlfn.LET(_xlpm.tgt,IF(AM71&lt;&gt;"",AM71,IF(#REF!&lt;&gt;"",#REF!,V71)),_xlpm.sent,_xlfn.MAXIFS('Rework Log'!$B$3:$B$498,'Rework Log'!$A$3:$A$498,$B71,'Rework Log'!$C$3:$C$498,"QA"),_xlpm.act,IF(AND(W71&lt;&gt;"",W71&gt;=_xlpm.sent),W71,""),IF(_xlpm.tgt="","No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207</v>
      </c>
      <c r="G71" s="33"/>
      <c r="H71" s="49">
        <v>46295</v>
      </c>
      <c r="I71" s="54" t="s">
        <v>192</v>
      </c>
      <c r="J71" s="33" t="s">
        <v>44</v>
      </c>
      <c r="K71" s="4">
        <v>46276</v>
      </c>
      <c r="L71" s="36">
        <v>46259</v>
      </c>
      <c r="M71" s="36">
        <v>46259</v>
      </c>
      <c r="N71" s="36"/>
      <c r="O71" s="36" t="s">
        <v>193</v>
      </c>
      <c r="P71" s="62" t="s">
        <v>60</v>
      </c>
      <c r="Q71" s="4">
        <v>46286</v>
      </c>
      <c r="R71" s="36">
        <v>46281</v>
      </c>
      <c r="S71" s="36">
        <v>46281</v>
      </c>
      <c r="T71" s="68" t="s">
        <v>226</v>
      </c>
      <c r="U71" s="33" t="s">
        <v>47</v>
      </c>
      <c r="V71" s="58">
        <v>46290</v>
      </c>
      <c r="W71" s="36">
        <v>46296</v>
      </c>
      <c r="X71" s="46"/>
      <c r="Y71" s="46"/>
      <c r="Z71" s="36"/>
      <c r="AA71" s="51">
        <v>46295</v>
      </c>
      <c r="AB71" s="36">
        <v>46304</v>
      </c>
      <c r="AC71" s="36"/>
      <c r="AD71" s="33" t="s">
        <v>235</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236</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237</v>
      </c>
      <c r="C72" s="33" t="s">
        <v>203</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192</v>
      </c>
      <c r="J72" s="33" t="s">
        <v>76</v>
      </c>
      <c r="K72" s="4">
        <v>46276</v>
      </c>
      <c r="L72" s="36">
        <v>46258</v>
      </c>
      <c r="M72" s="36">
        <v>46258</v>
      </c>
      <c r="N72" s="36" t="s">
        <v>45</v>
      </c>
      <c r="O72" s="36" t="s">
        <v>193</v>
      </c>
      <c r="P72" s="62" t="s">
        <v>77</v>
      </c>
      <c r="Q72" s="4">
        <v>46286</v>
      </c>
      <c r="R72" s="36">
        <v>46276</v>
      </c>
      <c r="S72" s="36">
        <v>46276</v>
      </c>
      <c r="T72" s="68" t="s">
        <v>226</v>
      </c>
      <c r="U72" s="33" t="s">
        <v>47</v>
      </c>
      <c r="V72" s="58">
        <v>46290</v>
      </c>
      <c r="W72" s="36">
        <v>46296</v>
      </c>
      <c r="X72" s="36">
        <v>46280</v>
      </c>
      <c r="Y72" s="36"/>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Move status to QA</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238</v>
      </c>
      <c r="C73" s="31" t="s">
        <v>216</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207</v>
      </c>
      <c r="G73" s="31"/>
      <c r="H73" s="49">
        <v>46325</v>
      </c>
      <c r="I73" s="55" t="s">
        <v>239</v>
      </c>
      <c r="J73" s="31" t="s">
        <v>76</v>
      </c>
      <c r="K73" s="43">
        <v>46304</v>
      </c>
      <c r="L73" s="43">
        <v>46259</v>
      </c>
      <c r="M73" s="46">
        <v>46259</v>
      </c>
      <c r="N73" s="44" t="s">
        <v>45</v>
      </c>
      <c r="O73" s="44" t="s">
        <v>193</v>
      </c>
      <c r="P73" s="65" t="s">
        <v>77</v>
      </c>
      <c r="Q73" s="43">
        <v>46313</v>
      </c>
      <c r="R73" s="43">
        <v>46289</v>
      </c>
      <c r="S73" s="43">
        <v>46289</v>
      </c>
      <c r="T73" s="69" t="s">
        <v>240</v>
      </c>
      <c r="U73" s="31" t="s">
        <v>47</v>
      </c>
      <c r="V73" s="28">
        <v>46316</v>
      </c>
      <c r="W73" s="43"/>
      <c r="X73" s="36">
        <v>46296</v>
      </c>
      <c r="Y73" s="31"/>
      <c r="Z73" s="31"/>
      <c r="AA73" s="28">
        <v>46325</v>
      </c>
      <c r="AB73" s="43"/>
      <c r="AC73" s="43"/>
      <c r="AD73" s="31" t="s">
        <v>195</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241</v>
      </c>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242</v>
      </c>
      <c r="C74" s="31" t="s">
        <v>203</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207</v>
      </c>
      <c r="G74" s="31"/>
      <c r="H74" s="49">
        <v>46325</v>
      </c>
      <c r="I74" s="55" t="s">
        <v>239</v>
      </c>
      <c r="J74" s="53" t="s">
        <v>225</v>
      </c>
      <c r="K74" s="43">
        <v>46304</v>
      </c>
      <c r="L74" s="43">
        <v>46269</v>
      </c>
      <c r="M74" s="44">
        <v>46269</v>
      </c>
      <c r="N74" s="44"/>
      <c r="O74" s="44" t="s">
        <v>193</v>
      </c>
      <c r="P74" s="74" t="s">
        <v>77</v>
      </c>
      <c r="Q74" s="43">
        <v>46313</v>
      </c>
      <c r="R74" s="43">
        <v>46300</v>
      </c>
      <c r="S74" s="44"/>
      <c r="T74" s="69" t="s">
        <v>240</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243</v>
      </c>
      <c r="C75" s="133" t="s">
        <v>230</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239</v>
      </c>
      <c r="J75" s="133" t="s">
        <v>59</v>
      </c>
      <c r="K75" s="137">
        <v>46304</v>
      </c>
      <c r="L75" s="137"/>
      <c r="M75" s="138"/>
      <c r="N75" s="138"/>
      <c r="O75" s="138" t="s">
        <v>193</v>
      </c>
      <c r="P75" s="139"/>
      <c r="Q75" s="137">
        <v>46313</v>
      </c>
      <c r="R75" s="137"/>
      <c r="S75" s="138"/>
      <c r="T75" s="140" t="s">
        <v>240</v>
      </c>
      <c r="U75" s="141"/>
      <c r="V75" s="142">
        <v>46316</v>
      </c>
      <c r="W75" s="137"/>
      <c r="X75" s="133"/>
      <c r="Y75" s="133"/>
      <c r="Z75" s="143"/>
      <c r="AA75" s="142">
        <v>46325</v>
      </c>
      <c r="AB75" s="137"/>
      <c r="AC75" s="137"/>
      <c r="AD75" s="133" t="s">
        <v>244</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245</v>
      </c>
      <c r="C76" s="133" t="s">
        <v>230</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239</v>
      </c>
      <c r="J76" s="133" t="s">
        <v>59</v>
      </c>
      <c r="K76" s="137">
        <v>46304</v>
      </c>
      <c r="L76" s="137"/>
      <c r="M76" s="138"/>
      <c r="N76" s="138"/>
      <c r="O76" s="138" t="s">
        <v>193</v>
      </c>
      <c r="P76" s="139"/>
      <c r="Q76" s="137">
        <v>46313</v>
      </c>
      <c r="R76" s="137"/>
      <c r="S76" s="138"/>
      <c r="T76" s="140" t="s">
        <v>240</v>
      </c>
      <c r="U76" s="141"/>
      <c r="V76" s="142">
        <v>46316</v>
      </c>
      <c r="W76" s="137"/>
      <c r="X76" s="133"/>
      <c r="Y76" s="133"/>
      <c r="Z76" s="143"/>
      <c r="AA76" s="142">
        <v>46325</v>
      </c>
      <c r="AB76" s="137"/>
      <c r="AC76" s="137"/>
      <c r="AD76" s="133" t="s">
        <v>244</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246</v>
      </c>
      <c r="C77" s="133" t="s">
        <v>230</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239</v>
      </c>
      <c r="J77" s="133" t="s">
        <v>154</v>
      </c>
      <c r="K77" s="137">
        <v>46304</v>
      </c>
      <c r="L77" s="137"/>
      <c r="M77" s="138"/>
      <c r="N77" s="138"/>
      <c r="O77" s="138" t="s">
        <v>193</v>
      </c>
      <c r="P77" s="139"/>
      <c r="Q77" s="137">
        <v>46313</v>
      </c>
      <c r="R77" s="137"/>
      <c r="S77" s="138"/>
      <c r="T77" s="140" t="s">
        <v>240</v>
      </c>
      <c r="U77" s="141"/>
      <c r="V77" s="142">
        <v>46316</v>
      </c>
      <c r="W77" s="137"/>
      <c r="X77" s="133"/>
      <c r="Y77" s="133"/>
      <c r="Z77" s="143"/>
      <c r="AA77" s="142">
        <v>46325</v>
      </c>
      <c r="AB77" s="137"/>
      <c r="AC77" s="137"/>
      <c r="AD77" s="133" t="s">
        <v>244</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247</v>
      </c>
      <c r="C78" s="144" t="s">
        <v>203</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239</v>
      </c>
      <c r="J78" s="144" t="s">
        <v>44</v>
      </c>
      <c r="K78" s="148">
        <v>46304</v>
      </c>
      <c r="L78" s="148">
        <v>46266</v>
      </c>
      <c r="M78" s="149">
        <v>46266</v>
      </c>
      <c r="N78" s="149"/>
      <c r="O78" s="149" t="s">
        <v>248</v>
      </c>
      <c r="P78" s="150" t="s">
        <v>60</v>
      </c>
      <c r="Q78" s="148">
        <v>46313</v>
      </c>
      <c r="R78" s="148">
        <v>46297</v>
      </c>
      <c r="S78" s="149"/>
      <c r="T78" s="151" t="s">
        <v>240</v>
      </c>
      <c r="U78" s="152"/>
      <c r="V78" s="153">
        <v>46316</v>
      </c>
      <c r="W78" s="148">
        <v>46296</v>
      </c>
      <c r="X78" s="144"/>
      <c r="Y78" s="144"/>
      <c r="Z78" s="154"/>
      <c r="AA78" s="153">
        <v>46325</v>
      </c>
      <c r="AB78" s="148"/>
      <c r="AC78" s="148"/>
      <c r="AD78" s="144" t="s">
        <v>186</v>
      </c>
      <c r="AE78" s="144" t="s">
        <v>94</v>
      </c>
      <c r="AF78" s="144"/>
      <c r="AG78" s="144"/>
      <c r="AH78" s="144"/>
      <c r="AI78" s="144"/>
      <c r="AJ78" s="144" t="s">
        <v>249</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250</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251</v>
      </c>
      <c r="C79" s="31" t="s">
        <v>203</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239</v>
      </c>
      <c r="J79" s="53" t="s">
        <v>76</v>
      </c>
      <c r="K79" s="43">
        <v>46304</v>
      </c>
      <c r="L79" s="43">
        <v>46266</v>
      </c>
      <c r="M79" s="46">
        <v>46266</v>
      </c>
      <c r="N79" s="44" t="s">
        <v>252</v>
      </c>
      <c r="O79" s="44" t="s">
        <v>193</v>
      </c>
      <c r="P79" s="74" t="s">
        <v>60</v>
      </c>
      <c r="Q79" s="43">
        <v>46313</v>
      </c>
      <c r="R79" s="43">
        <v>46297</v>
      </c>
      <c r="S79" s="44"/>
      <c r="T79" s="69" t="s">
        <v>240</v>
      </c>
      <c r="U79" s="46"/>
      <c r="V79" s="28">
        <v>46316</v>
      </c>
      <c r="W79" s="43"/>
      <c r="X79" s="31"/>
      <c r="Y79" s="31"/>
      <c r="Z79" s="36"/>
      <c r="AA79" s="28">
        <v>46325</v>
      </c>
      <c r="AB79" s="43"/>
      <c r="AC79" s="43"/>
      <c r="AD79" s="31" t="s">
        <v>253</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254</v>
      </c>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255</v>
      </c>
      <c r="C80" s="31" t="s">
        <v>203</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239</v>
      </c>
      <c r="J80" s="33" t="s">
        <v>103</v>
      </c>
      <c r="K80" s="43">
        <v>46304</v>
      </c>
      <c r="L80" s="43">
        <v>46276</v>
      </c>
      <c r="M80" s="46">
        <v>46280</v>
      </c>
      <c r="N80" s="44" t="s">
        <v>45</v>
      </c>
      <c r="O80" s="44" t="s">
        <v>248</v>
      </c>
      <c r="P80" s="74" t="s">
        <v>60</v>
      </c>
      <c r="Q80" s="43">
        <v>46313</v>
      </c>
      <c r="R80" s="43">
        <v>46300</v>
      </c>
      <c r="S80" s="44"/>
      <c r="T80" s="69" t="s">
        <v>240</v>
      </c>
      <c r="U80" s="46" t="s">
        <v>47</v>
      </c>
      <c r="V80" s="28">
        <v>46316</v>
      </c>
      <c r="W80" s="43"/>
      <c r="X80" s="31"/>
      <c r="Y80" s="31"/>
      <c r="Z80" s="36"/>
      <c r="AA80" s="28">
        <v>46325</v>
      </c>
      <c r="AB80" s="43"/>
      <c r="AC80" s="43"/>
      <c r="AD80" s="31" t="s">
        <v>209</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c r="A81" s="144" t="s">
        <v>126</v>
      </c>
      <c r="B81" s="144" t="s">
        <v>256</v>
      </c>
      <c r="C81" s="144" t="s">
        <v>216</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239</v>
      </c>
      <c r="J81" s="33" t="s">
        <v>103</v>
      </c>
      <c r="K81" s="148">
        <v>46304</v>
      </c>
      <c r="L81" s="148">
        <v>46287</v>
      </c>
      <c r="M81" s="148">
        <v>46287</v>
      </c>
      <c r="N81" s="149" t="s">
        <v>252</v>
      </c>
      <c r="O81" s="149" t="s">
        <v>248</v>
      </c>
      <c r="P81" s="150" t="s">
        <v>60</v>
      </c>
      <c r="Q81" s="148">
        <v>46313</v>
      </c>
      <c r="R81" s="148">
        <v>46295</v>
      </c>
      <c r="S81" s="149">
        <v>46294</v>
      </c>
      <c r="T81" s="69" t="s">
        <v>240</v>
      </c>
      <c r="U81" s="152" t="s">
        <v>47</v>
      </c>
      <c r="V81" s="153">
        <v>46316</v>
      </c>
      <c r="W81" s="148"/>
      <c r="X81" s="144"/>
      <c r="Y81" s="144"/>
      <c r="Z81" s="154"/>
      <c r="AA81" s="153">
        <v>46325</v>
      </c>
      <c r="AB81" s="148"/>
      <c r="AC81" s="148"/>
      <c r="AD81" s="144" t="s">
        <v>219</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257</v>
      </c>
      <c r="C82" s="31" t="s">
        <v>156</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239</v>
      </c>
      <c r="J82" s="53" t="s">
        <v>154</v>
      </c>
      <c r="K82" s="43">
        <v>46304</v>
      </c>
      <c r="L82" s="43">
        <v>46281</v>
      </c>
      <c r="M82" s="44">
        <v>46283</v>
      </c>
      <c r="N82" s="46" t="s">
        <v>146</v>
      </c>
      <c r="O82" s="44" t="s">
        <v>248</v>
      </c>
      <c r="P82" s="74" t="s">
        <v>77</v>
      </c>
      <c r="Q82" s="43">
        <v>46313</v>
      </c>
      <c r="R82" s="43">
        <v>46304</v>
      </c>
      <c r="S82" s="44"/>
      <c r="T82" s="68" t="s">
        <v>258</v>
      </c>
      <c r="U82" s="46" t="s">
        <v>47</v>
      </c>
      <c r="V82" s="28">
        <v>46316</v>
      </c>
      <c r="W82" s="43"/>
      <c r="X82" s="31"/>
      <c r="Y82" s="31"/>
      <c r="Z82" s="36"/>
      <c r="AA82" s="28">
        <v>46325</v>
      </c>
      <c r="AB82" s="43"/>
      <c r="AC82" s="43"/>
      <c r="AD82" s="31" t="s">
        <v>259</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c r="A83" s="31" t="s">
        <v>126</v>
      </c>
      <c r="B83" s="31" t="s">
        <v>260</v>
      </c>
      <c r="C83" s="31" t="s">
        <v>203</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239</v>
      </c>
      <c r="J83" s="53" t="s">
        <v>76</v>
      </c>
      <c r="K83" s="43">
        <v>46304</v>
      </c>
      <c r="L83" s="43">
        <v>46268</v>
      </c>
      <c r="M83" s="46">
        <v>46268</v>
      </c>
      <c r="N83" s="44" t="s">
        <v>252</v>
      </c>
      <c r="O83" s="44" t="s">
        <v>248</v>
      </c>
      <c r="P83" s="74" t="s">
        <v>77</v>
      </c>
      <c r="Q83" s="43">
        <v>46313</v>
      </c>
      <c r="R83" s="43">
        <v>46294</v>
      </c>
      <c r="S83" s="44">
        <v>46294</v>
      </c>
      <c r="T83" s="69" t="s">
        <v>240</v>
      </c>
      <c r="U83" s="46" t="s">
        <v>47</v>
      </c>
      <c r="V83" s="28">
        <v>46316</v>
      </c>
      <c r="W83" s="43"/>
      <c r="X83" s="31"/>
      <c r="Y83" s="31"/>
      <c r="Z83" s="36"/>
      <c r="AA83" s="28">
        <v>46325</v>
      </c>
      <c r="AB83" s="43"/>
      <c r="AC83" s="43"/>
      <c r="AD83" s="31" t="s">
        <v>261</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to QA</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c r="A84" s="31" t="s">
        <v>126</v>
      </c>
      <c r="B84" s="31" t="s">
        <v>262</v>
      </c>
      <c r="C84" s="31" t="s">
        <v>203</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207</v>
      </c>
      <c r="G84" s="31"/>
      <c r="H84" s="49">
        <v>46325</v>
      </c>
      <c r="I84" s="55" t="s">
        <v>239</v>
      </c>
      <c r="J84" s="53" t="s">
        <v>76</v>
      </c>
      <c r="K84" s="43">
        <v>46304</v>
      </c>
      <c r="L84" s="43">
        <v>46286</v>
      </c>
      <c r="M84" s="46">
        <v>46286</v>
      </c>
      <c r="N84" s="44" t="s">
        <v>252</v>
      </c>
      <c r="O84" s="44" t="s">
        <v>248</v>
      </c>
      <c r="P84" s="74" t="s">
        <v>60</v>
      </c>
      <c r="Q84" s="43">
        <v>46313</v>
      </c>
      <c r="R84" s="43">
        <v>46301</v>
      </c>
      <c r="S84" s="44"/>
      <c r="T84" s="69" t="s">
        <v>240</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263</v>
      </c>
      <c r="C85" s="31" t="s">
        <v>230</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4" t="s">
        <v>207</v>
      </c>
      <c r="G85" s="31"/>
      <c r="H85" s="49">
        <v>46325</v>
      </c>
      <c r="I85" s="55" t="s">
        <v>239</v>
      </c>
      <c r="J85" s="53" t="s">
        <v>44</v>
      </c>
      <c r="K85" s="43">
        <v>46304</v>
      </c>
      <c r="L85" s="43">
        <v>46276</v>
      </c>
      <c r="M85" s="44"/>
      <c r="N85" s="44"/>
      <c r="O85" s="44" t="s">
        <v>248</v>
      </c>
      <c r="P85" s="74" t="s">
        <v>60</v>
      </c>
      <c r="Q85" s="43">
        <v>46313</v>
      </c>
      <c r="R85" s="43"/>
      <c r="S85" s="44"/>
      <c r="T85" s="68" t="s">
        <v>258</v>
      </c>
      <c r="U85" s="46"/>
      <c r="V85" s="28">
        <v>46316</v>
      </c>
      <c r="W85" s="43"/>
      <c r="X85" s="31"/>
      <c r="Y85" s="31"/>
      <c r="Z85" s="36"/>
      <c r="AA85" s="28">
        <v>46325</v>
      </c>
      <c r="AB85" s="43"/>
      <c r="AC85" s="43"/>
      <c r="AD85" s="31" t="s">
        <v>186</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265</v>
      </c>
      <c r="C86" s="31" t="s">
        <v>230</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207</v>
      </c>
      <c r="G86" s="31"/>
      <c r="H86" s="49">
        <v>46356</v>
      </c>
      <c r="I86" s="55" t="s">
        <v>266</v>
      </c>
      <c r="J86" s="53" t="s">
        <v>84</v>
      </c>
      <c r="K86" s="49">
        <v>46332</v>
      </c>
      <c r="L86" s="43">
        <v>46332</v>
      </c>
      <c r="M86" s="44">
        <v>46290</v>
      </c>
      <c r="N86" s="44"/>
      <c r="O86" s="44" t="s">
        <v>248</v>
      </c>
      <c r="P86" s="74"/>
      <c r="Q86" s="49">
        <v>46339</v>
      </c>
      <c r="R86" s="43"/>
      <c r="S86" s="44"/>
      <c r="T86" s="68" t="s">
        <v>258</v>
      </c>
      <c r="U86" s="46"/>
      <c r="V86" s="28">
        <v>46344</v>
      </c>
      <c r="W86" s="43"/>
      <c r="X86" s="31"/>
      <c r="Y86" s="31"/>
      <c r="Z86" s="36"/>
      <c r="AA86" s="28">
        <v>46356</v>
      </c>
      <c r="AB86" s="43"/>
      <c r="AC86" s="43"/>
      <c r="AD86" s="31" t="s">
        <v>267</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0" t="s">
        <v>268</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269</v>
      </c>
      <c r="C87" s="31" t="s">
        <v>230</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207</v>
      </c>
      <c r="G87" s="31"/>
      <c r="H87" s="49">
        <v>46356</v>
      </c>
      <c r="I87" s="55" t="s">
        <v>266</v>
      </c>
      <c r="J87" s="53" t="s">
        <v>59</v>
      </c>
      <c r="K87" s="49">
        <v>46332</v>
      </c>
      <c r="L87" s="43"/>
      <c r="M87" s="44"/>
      <c r="N87" s="44"/>
      <c r="O87" s="44" t="s">
        <v>248</v>
      </c>
      <c r="P87" s="74"/>
      <c r="Q87" s="49">
        <v>46339</v>
      </c>
      <c r="R87" s="43"/>
      <c r="S87" s="44"/>
      <c r="T87" s="68" t="s">
        <v>258</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270</v>
      </c>
      <c r="C88" s="31" t="s">
        <v>230</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207</v>
      </c>
      <c r="G88" s="31"/>
      <c r="H88" s="49">
        <v>46356</v>
      </c>
      <c r="I88" s="55" t="s">
        <v>266</v>
      </c>
      <c r="J88" s="53" t="s">
        <v>59</v>
      </c>
      <c r="K88" s="49">
        <v>46332</v>
      </c>
      <c r="L88" s="43"/>
      <c r="M88" s="44"/>
      <c r="N88" s="44"/>
      <c r="O88" s="44" t="s">
        <v>248</v>
      </c>
      <c r="P88" s="74"/>
      <c r="Q88" s="49">
        <v>46339</v>
      </c>
      <c r="R88" s="43"/>
      <c r="S88" s="44"/>
      <c r="T88" s="68" t="s">
        <v>271</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272</v>
      </c>
      <c r="C89" s="31" t="s">
        <v>230</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207</v>
      </c>
      <c r="G89" s="31"/>
      <c r="H89" s="49">
        <v>46356</v>
      </c>
      <c r="I89" s="55" t="s">
        <v>266</v>
      </c>
      <c r="J89" s="53" t="s">
        <v>225</v>
      </c>
      <c r="K89" s="49">
        <v>46332</v>
      </c>
      <c r="L89" s="43">
        <v>46282</v>
      </c>
      <c r="M89" s="44">
        <v>46282</v>
      </c>
      <c r="N89" s="44"/>
      <c r="O89" s="44" t="s">
        <v>248</v>
      </c>
      <c r="P89" s="74"/>
      <c r="Q89" s="49">
        <v>46339</v>
      </c>
      <c r="R89" s="43"/>
      <c r="S89" s="44"/>
      <c r="T89" s="68" t="s">
        <v>271</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273</v>
      </c>
      <c r="C90" s="31" t="s">
        <v>230</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207</v>
      </c>
      <c r="G90" s="31"/>
      <c r="H90" s="49">
        <v>46356</v>
      </c>
      <c r="I90" s="55" t="s">
        <v>266</v>
      </c>
      <c r="J90" s="53" t="s">
        <v>225</v>
      </c>
      <c r="K90" s="49">
        <v>46332</v>
      </c>
      <c r="L90" s="43"/>
      <c r="M90" s="44"/>
      <c r="N90" s="44"/>
      <c r="O90" s="36" t="s">
        <v>274</v>
      </c>
      <c r="P90" s="74"/>
      <c r="Q90" s="49">
        <v>46339</v>
      </c>
      <c r="R90" s="43"/>
      <c r="S90" s="44"/>
      <c r="T90" s="68" t="s">
        <v>271</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275</v>
      </c>
      <c r="C91" s="31" t="s">
        <v>230</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266</v>
      </c>
      <c r="J91" s="53" t="s">
        <v>65</v>
      </c>
      <c r="K91" s="49">
        <v>46332</v>
      </c>
      <c r="L91" s="43">
        <v>46273</v>
      </c>
      <c r="M91" s="46">
        <v>46273</v>
      </c>
      <c r="N91" s="46" t="s">
        <v>146</v>
      </c>
      <c r="O91" s="44" t="s">
        <v>248</v>
      </c>
      <c r="P91" s="74"/>
      <c r="Q91" s="49">
        <v>46339</v>
      </c>
      <c r="R91" s="43"/>
      <c r="S91" s="44"/>
      <c r="T91" s="68" t="s">
        <v>271</v>
      </c>
      <c r="U91" s="46"/>
      <c r="V91" s="28">
        <v>46344</v>
      </c>
      <c r="W91" s="43"/>
      <c r="X91" s="31"/>
      <c r="Y91" s="31"/>
      <c r="Z91" s="36"/>
      <c r="AA91" s="28">
        <v>46356</v>
      </c>
      <c r="AB91" s="43"/>
      <c r="AC91" s="43"/>
      <c r="AD91" s="31" t="s">
        <v>276</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277</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278</v>
      </c>
      <c r="C92" s="31" t="s">
        <v>230</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207</v>
      </c>
      <c r="G92" s="31"/>
      <c r="H92" s="49">
        <v>46356</v>
      </c>
      <c r="I92" s="55" t="s">
        <v>266</v>
      </c>
      <c r="J92" s="53" t="s">
        <v>84</v>
      </c>
      <c r="K92" s="49">
        <v>46332</v>
      </c>
      <c r="L92" s="43">
        <v>46332</v>
      </c>
      <c r="M92" s="44">
        <v>46275</v>
      </c>
      <c r="N92" s="44"/>
      <c r="O92" s="44" t="s">
        <v>248</v>
      </c>
      <c r="P92" s="74"/>
      <c r="Q92" s="49">
        <v>46339</v>
      </c>
      <c r="R92" s="43"/>
      <c r="S92" s="44"/>
      <c r="T92" s="68" t="s">
        <v>271</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279</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280</v>
      </c>
      <c r="C93" s="31" t="s">
        <v>230</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266</v>
      </c>
      <c r="J93" s="53" t="s">
        <v>154</v>
      </c>
      <c r="K93" s="49">
        <v>46332</v>
      </c>
      <c r="L93" s="43"/>
      <c r="M93" s="44"/>
      <c r="N93" s="44"/>
      <c r="O93" s="36" t="s">
        <v>274</v>
      </c>
      <c r="P93" s="74"/>
      <c r="Q93" s="49">
        <v>46339</v>
      </c>
      <c r="R93" s="43"/>
      <c r="S93" s="44"/>
      <c r="T93" s="68" t="s">
        <v>271</v>
      </c>
      <c r="U93" s="46"/>
      <c r="V93" s="28">
        <v>46344</v>
      </c>
      <c r="W93" s="43"/>
      <c r="X93" s="31"/>
      <c r="Y93" s="31"/>
      <c r="Z93" s="36"/>
      <c r="AA93" s="28">
        <v>46356</v>
      </c>
      <c r="AB93" s="43"/>
      <c r="AC93" s="43"/>
      <c r="AD93" s="31" t="s">
        <v>281</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282</v>
      </c>
      <c r="C94" s="31" t="s">
        <v>230</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207</v>
      </c>
      <c r="G94" s="31"/>
      <c r="H94" s="49">
        <v>46356</v>
      </c>
      <c r="I94" s="55" t="s">
        <v>266</v>
      </c>
      <c r="J94" s="53" t="s">
        <v>154</v>
      </c>
      <c r="K94" s="49">
        <v>46332</v>
      </c>
      <c r="L94" s="43"/>
      <c r="M94" s="44"/>
      <c r="N94" s="44"/>
      <c r="O94" s="36" t="s">
        <v>274</v>
      </c>
      <c r="P94" s="74"/>
      <c r="Q94" s="49">
        <v>46339</v>
      </c>
      <c r="R94" s="43"/>
      <c r="S94" s="44"/>
      <c r="T94" s="68" t="s">
        <v>271</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283</v>
      </c>
      <c r="C95" s="31" t="s">
        <v>230</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207</v>
      </c>
      <c r="G95" s="31"/>
      <c r="H95" s="49">
        <v>46356</v>
      </c>
      <c r="I95" s="55" t="s">
        <v>266</v>
      </c>
      <c r="J95" s="53" t="s">
        <v>76</v>
      </c>
      <c r="K95" s="49">
        <v>46332</v>
      </c>
      <c r="L95" s="43"/>
      <c r="M95" s="44"/>
      <c r="N95" s="44"/>
      <c r="O95" s="36" t="s">
        <v>274</v>
      </c>
      <c r="P95" s="74"/>
      <c r="Q95" s="49">
        <v>46339</v>
      </c>
      <c r="R95" s="43"/>
      <c r="S95" s="44"/>
      <c r="T95" s="68" t="s">
        <v>284</v>
      </c>
      <c r="U95" s="46"/>
      <c r="V95" s="28">
        <v>46344</v>
      </c>
      <c r="W95" s="43"/>
      <c r="X95" s="31"/>
      <c r="Y95" s="31"/>
      <c r="Z95" s="36"/>
      <c r="AA95" s="28">
        <v>46356</v>
      </c>
      <c r="AB95" s="43"/>
      <c r="AC95" s="43"/>
      <c r="AD95" s="31" t="s">
        <v>285</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286</v>
      </c>
      <c r="C96" s="31" t="s">
        <v>230</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266</v>
      </c>
      <c r="J96" s="53" t="s">
        <v>76</v>
      </c>
      <c r="K96" s="49">
        <v>46332</v>
      </c>
      <c r="L96" s="43"/>
      <c r="M96" s="44"/>
      <c r="N96" s="44"/>
      <c r="O96" s="36" t="s">
        <v>274</v>
      </c>
      <c r="P96" s="74"/>
      <c r="Q96" s="49">
        <v>46339</v>
      </c>
      <c r="R96" s="43"/>
      <c r="S96" s="44"/>
      <c r="T96" s="68" t="s">
        <v>284</v>
      </c>
      <c r="U96" s="46"/>
      <c r="V96" s="28">
        <v>46344</v>
      </c>
      <c r="W96" s="43"/>
      <c r="X96" s="31"/>
      <c r="Y96" s="31"/>
      <c r="Z96" s="36"/>
      <c r="AA96" s="28">
        <v>46356</v>
      </c>
      <c r="AB96" s="43"/>
      <c r="AC96" s="43"/>
      <c r="AD96" s="31" t="s">
        <v>287</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288</v>
      </c>
      <c r="C97" s="31" t="s">
        <v>230</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266</v>
      </c>
      <c r="J97" s="53" t="s">
        <v>289</v>
      </c>
      <c r="K97" s="49">
        <v>46332</v>
      </c>
      <c r="L97" s="49">
        <v>46332</v>
      </c>
      <c r="M97" s="44"/>
      <c r="N97" s="44"/>
      <c r="O97" s="36" t="s">
        <v>274</v>
      </c>
      <c r="P97" s="74"/>
      <c r="Q97" s="49">
        <v>46339</v>
      </c>
      <c r="R97" s="43"/>
      <c r="S97" s="44"/>
      <c r="T97" s="68" t="s">
        <v>284</v>
      </c>
      <c r="U97" s="46"/>
      <c r="V97" s="28">
        <v>46344</v>
      </c>
      <c r="W97" s="43"/>
      <c r="X97" s="31"/>
      <c r="Y97" s="31"/>
      <c r="Z97" s="36"/>
      <c r="AA97" s="28">
        <v>46356</v>
      </c>
      <c r="AB97" s="43"/>
      <c r="AC97" s="43"/>
      <c r="AD97" s="31" t="s">
        <v>290</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291</v>
      </c>
      <c r="C98" s="31" t="s">
        <v>230</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207</v>
      </c>
      <c r="G98" s="31"/>
      <c r="H98" s="49">
        <v>46356</v>
      </c>
      <c r="I98" s="55" t="s">
        <v>266</v>
      </c>
      <c r="J98" s="53" t="s">
        <v>289</v>
      </c>
      <c r="K98" s="49">
        <v>46332</v>
      </c>
      <c r="L98" s="49">
        <v>46332</v>
      </c>
      <c r="M98" s="44">
        <v>46296</v>
      </c>
      <c r="N98" s="44" t="s">
        <v>146</v>
      </c>
      <c r="O98" s="36" t="s">
        <v>274</v>
      </c>
      <c r="P98" s="74"/>
      <c r="Q98" s="49">
        <v>46339</v>
      </c>
      <c r="R98" s="43"/>
      <c r="S98" s="44"/>
      <c r="T98" s="68" t="s">
        <v>284</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Move status to PBI Dev</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292</v>
      </c>
      <c r="C99" s="31" t="s">
        <v>230</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293</v>
      </c>
      <c r="F99" s="31" t="s">
        <v>129</v>
      </c>
      <c r="G99" s="31"/>
      <c r="H99" s="49">
        <v>46356</v>
      </c>
      <c r="I99" s="55" t="s">
        <v>266</v>
      </c>
      <c r="J99" s="53" t="s">
        <v>65</v>
      </c>
      <c r="K99" s="49">
        <v>46332</v>
      </c>
      <c r="L99" s="43"/>
      <c r="M99" s="44"/>
      <c r="N99" s="44"/>
      <c r="O99" s="44" t="s">
        <v>248</v>
      </c>
      <c r="P99" s="74"/>
      <c r="Q99" s="49">
        <v>46339</v>
      </c>
      <c r="R99" s="43"/>
      <c r="S99" s="44"/>
      <c r="T99" s="68" t="s">
        <v>284</v>
      </c>
      <c r="U99" s="46"/>
      <c r="V99" s="28">
        <v>46344</v>
      </c>
      <c r="W99" s="43"/>
      <c r="X99" s="31"/>
      <c r="Y99" s="31"/>
      <c r="Z99" s="36"/>
      <c r="AA99" s="28">
        <v>46356</v>
      </c>
      <c r="AB99" s="43"/>
      <c r="AC99" s="43"/>
      <c r="AD99" s="31" t="s">
        <v>294</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295</v>
      </c>
      <c r="C100" s="31" t="s">
        <v>230</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266</v>
      </c>
      <c r="J100" s="53" t="s">
        <v>84</v>
      </c>
      <c r="K100" s="49">
        <v>46332</v>
      </c>
      <c r="L100" s="43"/>
      <c r="M100" s="44"/>
      <c r="N100" s="44"/>
      <c r="O100" s="36" t="s">
        <v>274</v>
      </c>
      <c r="P100" s="74"/>
      <c r="Q100" s="49">
        <v>46339</v>
      </c>
      <c r="R100" s="43"/>
      <c r="S100" s="44"/>
      <c r="T100" s="68" t="s">
        <v>284</v>
      </c>
      <c r="U100" s="46"/>
      <c r="V100" s="28">
        <v>46344</v>
      </c>
      <c r="W100" s="43"/>
      <c r="X100" s="31"/>
      <c r="Y100" s="31"/>
      <c r="Z100" s="36"/>
      <c r="AA100" s="28">
        <v>46356</v>
      </c>
      <c r="AB100" s="43"/>
      <c r="AC100" s="43"/>
      <c r="AD100" s="31" t="s">
        <v>296</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297</v>
      </c>
      <c r="B101" s="31" t="s">
        <v>298</v>
      </c>
      <c r="C101" s="31" t="s">
        <v>156</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299</v>
      </c>
      <c r="J101" s="53" t="s">
        <v>59</v>
      </c>
      <c r="K101" s="28">
        <v>46363</v>
      </c>
      <c r="L101" s="43"/>
      <c r="M101" s="31"/>
      <c r="N101" s="31"/>
      <c r="O101" s="36" t="s">
        <v>274</v>
      </c>
      <c r="P101" s="74"/>
      <c r="Q101" s="28">
        <v>46370</v>
      </c>
      <c r="R101" s="43"/>
      <c r="S101" s="31"/>
      <c r="T101" s="68" t="s">
        <v>284</v>
      </c>
      <c r="U101" s="46"/>
      <c r="V101" s="28">
        <v>46373</v>
      </c>
      <c r="W101" s="43"/>
      <c r="X101" s="31"/>
      <c r="Y101" s="31"/>
      <c r="Z101" s="36"/>
      <c r="AA101" s="28">
        <v>46386</v>
      </c>
      <c r="AB101" s="43"/>
      <c r="AC101" s="43"/>
      <c r="AD101" s="31" t="s">
        <v>300</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297</v>
      </c>
      <c r="B102" s="31" t="s">
        <v>301</v>
      </c>
      <c r="C102" s="31" t="s">
        <v>203</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299</v>
      </c>
      <c r="J102" s="53" t="s">
        <v>44</v>
      </c>
      <c r="K102" s="28">
        <v>46363</v>
      </c>
      <c r="L102" s="43"/>
      <c r="M102" s="31"/>
      <c r="N102" s="31"/>
      <c r="O102" s="36" t="s">
        <v>274</v>
      </c>
      <c r="P102" s="74"/>
      <c r="Q102" s="28">
        <v>46370</v>
      </c>
      <c r="R102" s="43"/>
      <c r="S102" s="31"/>
      <c r="T102" s="68" t="s">
        <v>302</v>
      </c>
      <c r="U102" s="46"/>
      <c r="V102" s="28">
        <v>46373</v>
      </c>
      <c r="W102" s="43"/>
      <c r="X102" s="31"/>
      <c r="Y102" s="31"/>
      <c r="Z102" s="36"/>
      <c r="AA102" s="28">
        <v>46386</v>
      </c>
      <c r="AB102" s="43"/>
      <c r="AC102" s="43"/>
      <c r="AD102" s="31" t="s">
        <v>303</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297</v>
      </c>
      <c r="B103" s="31" t="s">
        <v>304</v>
      </c>
      <c r="C103" s="31" t="s">
        <v>203</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299</v>
      </c>
      <c r="J103" s="53" t="s">
        <v>44</v>
      </c>
      <c r="K103" s="28">
        <v>46363</v>
      </c>
      <c r="L103" s="43"/>
      <c r="M103" s="31"/>
      <c r="N103" s="31"/>
      <c r="O103" s="36" t="s">
        <v>274</v>
      </c>
      <c r="P103" s="74"/>
      <c r="Q103" s="28">
        <v>46370</v>
      </c>
      <c r="R103" s="43"/>
      <c r="S103" s="31"/>
      <c r="T103" s="68" t="s">
        <v>302</v>
      </c>
      <c r="U103" s="46"/>
      <c r="V103" s="28">
        <v>46373</v>
      </c>
      <c r="W103" s="43"/>
      <c r="X103" s="31"/>
      <c r="Y103" s="31"/>
      <c r="Z103" s="36"/>
      <c r="AA103" s="28">
        <v>46386</v>
      </c>
      <c r="AB103" s="43"/>
      <c r="AC103" s="43"/>
      <c r="AD103" s="31" t="s">
        <v>305</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306</v>
      </c>
      <c r="B104" s="31" t="s">
        <v>307</v>
      </c>
      <c r="C104" s="31" t="s">
        <v>230</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299</v>
      </c>
      <c r="J104" s="53" t="s">
        <v>84</v>
      </c>
      <c r="K104" s="28">
        <v>46363</v>
      </c>
      <c r="L104" s="43"/>
      <c r="M104" s="31"/>
      <c r="N104" s="31"/>
      <c r="O104" s="36" t="s">
        <v>274</v>
      </c>
      <c r="P104" s="74"/>
      <c r="Q104" s="28">
        <v>46370</v>
      </c>
      <c r="R104" s="43"/>
      <c r="S104" s="31"/>
      <c r="T104" s="68" t="s">
        <v>302</v>
      </c>
      <c r="U104" s="46"/>
      <c r="V104" s="28">
        <v>46373</v>
      </c>
      <c r="W104" s="43"/>
      <c r="X104" s="31"/>
      <c r="Y104" s="31"/>
      <c r="Z104" s="36"/>
      <c r="AA104" s="28">
        <v>46386</v>
      </c>
      <c r="AB104" s="43"/>
      <c r="AC104" s="43"/>
      <c r="AD104" s="31" t="s">
        <v>308</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297</v>
      </c>
      <c r="B105" s="31" t="s">
        <v>309</v>
      </c>
      <c r="C105" s="31" t="s">
        <v>203</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299</v>
      </c>
      <c r="J105" s="53"/>
      <c r="K105" s="28">
        <v>46363</v>
      </c>
      <c r="L105" s="43"/>
      <c r="M105" s="31"/>
      <c r="N105" s="31"/>
      <c r="O105" s="36" t="s">
        <v>310</v>
      </c>
      <c r="P105" s="74"/>
      <c r="Q105" s="28">
        <v>46370</v>
      </c>
      <c r="R105" s="43"/>
      <c r="S105" s="31"/>
      <c r="T105" s="68" t="s">
        <v>302</v>
      </c>
      <c r="U105" s="46"/>
      <c r="V105" s="28">
        <v>46373</v>
      </c>
      <c r="W105" s="43"/>
      <c r="X105" s="31"/>
      <c r="Y105" s="31"/>
      <c r="Z105" s="36"/>
      <c r="AA105" s="28">
        <v>46386</v>
      </c>
      <c r="AB105" s="43"/>
      <c r="AC105" s="43"/>
      <c r="AD105" s="31" t="s">
        <v>311</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297</v>
      </c>
      <c r="B106" s="31" t="s">
        <v>312</v>
      </c>
      <c r="C106" s="31" t="s">
        <v>203</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299</v>
      </c>
      <c r="J106" s="53"/>
      <c r="K106" s="28">
        <v>46363</v>
      </c>
      <c r="L106" s="43"/>
      <c r="M106" s="31"/>
      <c r="N106" s="31"/>
      <c r="O106" s="36" t="s">
        <v>310</v>
      </c>
      <c r="P106" s="74"/>
      <c r="Q106" s="28">
        <v>46370</v>
      </c>
      <c r="R106" s="43"/>
      <c r="S106" s="31"/>
      <c r="T106" s="68" t="s">
        <v>302</v>
      </c>
      <c r="U106" s="46"/>
      <c r="V106" s="28">
        <v>46373</v>
      </c>
      <c r="W106" s="43"/>
      <c r="X106" s="31"/>
      <c r="Y106" s="31"/>
      <c r="Z106" s="36"/>
      <c r="AA106" s="28">
        <v>46386</v>
      </c>
      <c r="AB106" s="43"/>
      <c r="AC106" s="43"/>
      <c r="AD106" s="31" t="s">
        <v>313</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297</v>
      </c>
      <c r="B107" s="31" t="s">
        <v>314</v>
      </c>
      <c r="C107" s="31" t="s">
        <v>203</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299</v>
      </c>
      <c r="J107" s="53"/>
      <c r="K107" s="28">
        <v>46363</v>
      </c>
      <c r="L107" s="43"/>
      <c r="M107" s="31"/>
      <c r="N107" s="31"/>
      <c r="O107" s="36" t="s">
        <v>310</v>
      </c>
      <c r="P107" s="74"/>
      <c r="Q107" s="28">
        <v>46370</v>
      </c>
      <c r="R107" s="43"/>
      <c r="S107" s="31"/>
      <c r="T107" s="68" t="s">
        <v>302</v>
      </c>
      <c r="U107" s="46"/>
      <c r="V107" s="28">
        <v>46373</v>
      </c>
      <c r="W107" s="43"/>
      <c r="X107" s="31"/>
      <c r="Y107" s="31"/>
      <c r="Z107" s="36"/>
      <c r="AA107" s="28">
        <v>46386</v>
      </c>
      <c r="AB107" s="43"/>
      <c r="AC107" s="43"/>
      <c r="AD107" s="31" t="s">
        <v>315</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297</v>
      </c>
      <c r="B108" s="31" t="s">
        <v>316</v>
      </c>
      <c r="C108" s="31" t="s">
        <v>156</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299</v>
      </c>
      <c r="J108" s="53"/>
      <c r="K108" s="28">
        <v>46363</v>
      </c>
      <c r="L108" s="43"/>
      <c r="M108" s="31"/>
      <c r="N108" s="31"/>
      <c r="O108" s="36" t="s">
        <v>317</v>
      </c>
      <c r="P108" s="74"/>
      <c r="Q108" s="28">
        <v>46370</v>
      </c>
      <c r="R108" s="43"/>
      <c r="S108" s="31"/>
      <c r="T108" s="68" t="s">
        <v>302</v>
      </c>
      <c r="U108" s="46"/>
      <c r="V108" s="28">
        <v>46373</v>
      </c>
      <c r="W108" s="43"/>
      <c r="X108" s="31"/>
      <c r="Y108" s="31"/>
      <c r="Z108" s="36"/>
      <c r="AA108" s="28">
        <v>46386</v>
      </c>
      <c r="AB108" s="43"/>
      <c r="AC108" s="43"/>
      <c r="AD108" s="31" t="s">
        <v>318</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306</v>
      </c>
      <c r="B109" s="31" t="s">
        <v>319</v>
      </c>
      <c r="C109" s="31" t="s">
        <v>230</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299</v>
      </c>
      <c r="J109" s="53"/>
      <c r="K109" s="28">
        <v>46363</v>
      </c>
      <c r="L109" s="43"/>
      <c r="M109" s="31"/>
      <c r="N109" s="31"/>
      <c r="O109" s="36" t="s">
        <v>317</v>
      </c>
      <c r="P109" s="74"/>
      <c r="Q109" s="28">
        <v>46370</v>
      </c>
      <c r="R109" s="43"/>
      <c r="S109" s="31"/>
      <c r="T109" s="68" t="s">
        <v>320</v>
      </c>
      <c r="U109" s="46"/>
      <c r="V109" s="28">
        <v>46373</v>
      </c>
      <c r="W109" s="43"/>
      <c r="X109" s="31"/>
      <c r="Y109" s="31"/>
      <c r="Z109" s="36"/>
      <c r="AA109" s="28">
        <v>46386</v>
      </c>
      <c r="AB109" s="43"/>
      <c r="AC109" s="43"/>
      <c r="AD109" s="31" t="s">
        <v>321</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297</v>
      </c>
      <c r="B110" s="31" t="s">
        <v>322</v>
      </c>
      <c r="C110" s="31" t="s">
        <v>203</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299</v>
      </c>
      <c r="J110" s="53"/>
      <c r="K110" s="28">
        <v>46363</v>
      </c>
      <c r="L110" s="43"/>
      <c r="M110" s="31"/>
      <c r="N110" s="31"/>
      <c r="O110" s="36" t="s">
        <v>317</v>
      </c>
      <c r="P110" s="74"/>
      <c r="Q110" s="28">
        <v>46370</v>
      </c>
      <c r="R110" s="43"/>
      <c r="S110" s="31"/>
      <c r="T110" s="68" t="s">
        <v>320</v>
      </c>
      <c r="U110" s="46"/>
      <c r="V110" s="28">
        <v>46373</v>
      </c>
      <c r="W110" s="43"/>
      <c r="X110" s="31"/>
      <c r="Y110" s="31"/>
      <c r="Z110" s="36"/>
      <c r="AA110" s="28">
        <v>46386</v>
      </c>
      <c r="AB110" s="43"/>
      <c r="AC110" s="43"/>
      <c r="AD110" s="31" t="s">
        <v>323</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306</v>
      </c>
      <c r="B111" s="31" t="s">
        <v>324</v>
      </c>
      <c r="C111" s="31" t="s">
        <v>230</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299</v>
      </c>
      <c r="J111" s="53"/>
      <c r="K111" s="28">
        <v>46363</v>
      </c>
      <c r="L111" s="43"/>
      <c r="M111" s="31"/>
      <c r="N111" s="31"/>
      <c r="O111" s="36" t="s">
        <v>317</v>
      </c>
      <c r="P111" s="74"/>
      <c r="Q111" s="28">
        <v>46370</v>
      </c>
      <c r="R111" s="43"/>
      <c r="S111" s="31"/>
      <c r="T111" s="68" t="s">
        <v>320</v>
      </c>
      <c r="U111" s="46"/>
      <c r="V111" s="28">
        <v>46373</v>
      </c>
      <c r="W111" s="43"/>
      <c r="X111" s="31"/>
      <c r="Y111" s="31"/>
      <c r="Z111" s="36"/>
      <c r="AA111" s="28">
        <v>46386</v>
      </c>
      <c r="AB111" s="43"/>
      <c r="AC111" s="43"/>
      <c r="AD111" s="31" t="s">
        <v>325</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306</v>
      </c>
      <c r="B112" s="31" t="s">
        <v>326</v>
      </c>
      <c r="C112" s="31" t="s">
        <v>230</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299</v>
      </c>
      <c r="J112" s="53"/>
      <c r="K112" s="28">
        <v>46363</v>
      </c>
      <c r="L112" s="43"/>
      <c r="M112" s="31"/>
      <c r="N112" s="31"/>
      <c r="O112" s="36" t="s">
        <v>317</v>
      </c>
      <c r="P112" s="74"/>
      <c r="Q112" s="28">
        <v>46370</v>
      </c>
      <c r="R112" s="43"/>
      <c r="S112" s="31"/>
      <c r="T112" s="68" t="s">
        <v>320</v>
      </c>
      <c r="U112" s="46"/>
      <c r="V112" s="28">
        <v>46373</v>
      </c>
      <c r="W112" s="43"/>
      <c r="X112" s="31"/>
      <c r="Y112" s="31"/>
      <c r="Z112" s="36"/>
      <c r="AA112" s="28">
        <v>46386</v>
      </c>
      <c r="AB112" s="43"/>
      <c r="AC112" s="43"/>
      <c r="AD112" s="31" t="s">
        <v>321</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306</v>
      </c>
      <c r="B113" s="31" t="s">
        <v>327</v>
      </c>
      <c r="C113" s="31" t="s">
        <v>230</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299</v>
      </c>
      <c r="J113" s="53"/>
      <c r="K113" s="28">
        <v>46363</v>
      </c>
      <c r="L113" s="43"/>
      <c r="M113" s="31"/>
      <c r="N113" s="31"/>
      <c r="O113" s="36" t="s">
        <v>317</v>
      </c>
      <c r="P113" s="74"/>
      <c r="Q113" s="28">
        <v>46370</v>
      </c>
      <c r="R113" s="43"/>
      <c r="S113" s="31"/>
      <c r="T113" s="68" t="s">
        <v>320</v>
      </c>
      <c r="U113" s="46"/>
      <c r="V113" s="28">
        <v>46373</v>
      </c>
      <c r="W113" s="43"/>
      <c r="X113" s="31"/>
      <c r="Y113" s="31"/>
      <c r="Z113" s="36"/>
      <c r="AA113" s="28">
        <v>46386</v>
      </c>
      <c r="AB113" s="43"/>
      <c r="AC113" s="43"/>
      <c r="AD113" s="31" t="s">
        <v>321</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306</v>
      </c>
      <c r="B114" s="31" t="s">
        <v>328</v>
      </c>
      <c r="C114" s="31" t="s">
        <v>230</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299</v>
      </c>
      <c r="J114" s="53"/>
      <c r="K114" s="28">
        <v>46363</v>
      </c>
      <c r="L114" s="43"/>
      <c r="M114" s="31"/>
      <c r="N114" s="31"/>
      <c r="O114" s="36" t="s">
        <v>329</v>
      </c>
      <c r="P114" s="74"/>
      <c r="Q114" s="28">
        <v>46370</v>
      </c>
      <c r="R114" s="43"/>
      <c r="S114" s="31"/>
      <c r="T114" s="68" t="s">
        <v>320</v>
      </c>
      <c r="U114" s="46"/>
      <c r="V114" s="28">
        <v>46373</v>
      </c>
      <c r="W114" s="43"/>
      <c r="X114" s="31"/>
      <c r="Y114" s="31"/>
      <c r="Z114" s="36"/>
      <c r="AA114" s="28">
        <v>46386</v>
      </c>
      <c r="AB114" s="43"/>
      <c r="AC114" s="43"/>
      <c r="AD114" s="31" t="s">
        <v>325</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306</v>
      </c>
      <c r="B115" s="31" t="s">
        <v>330</v>
      </c>
      <c r="C115" s="31" t="s">
        <v>230</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299</v>
      </c>
      <c r="J115" s="53"/>
      <c r="K115" s="28">
        <v>46363</v>
      </c>
      <c r="L115" s="43"/>
      <c r="M115" s="31"/>
      <c r="N115" s="31"/>
      <c r="O115" s="36" t="s">
        <v>329</v>
      </c>
      <c r="P115" s="74"/>
      <c r="Q115" s="28">
        <v>46370</v>
      </c>
      <c r="R115" s="43"/>
      <c r="S115" s="31"/>
      <c r="T115" s="68" t="s">
        <v>320</v>
      </c>
      <c r="U115" s="46"/>
      <c r="V115" s="28">
        <v>46373</v>
      </c>
      <c r="W115" s="43"/>
      <c r="X115" s="31"/>
      <c r="Y115" s="31"/>
      <c r="Z115" s="36"/>
      <c r="AA115" s="28">
        <v>46386</v>
      </c>
      <c r="AB115" s="43"/>
      <c r="AC115" s="43"/>
      <c r="AD115" s="31" t="s">
        <v>267</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21" hidden="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331</v>
      </c>
      <c r="AK116" s="31"/>
      <c r="AL116" s="31"/>
      <c r="AM116" s="31" t="str" cm="1">
        <f t="array" ref="AM116">_xlfn.LET(_xlpm.rep,$B116,_xlpm.sent,_xlfn.MAXIFS('Rework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6" s="31" t="str" cm="1">
        <f t="array" ref="AN116">_xlfn.LET(_xlpm.rep,$B116,_xlpm.sent,_xlfn.MAXIFS('Rework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9" type="noConversion"/>
  <conditionalFormatting sqref="D2:D528">
    <cfRule type="expression" dxfId="163" priority="45">
      <formula>ISNUMBER(SEARCH("Blocked",$D2))</formula>
    </cfRule>
    <cfRule type="expression" dxfId="162" priority="46">
      <formula>ISNUMBER(SEARCH("overdue",$D2))</formula>
    </cfRule>
    <cfRule type="expression" dxfId="161" priority="47">
      <formula>ISNUMBER(SEARCH("no target",$D2))</formula>
    </cfRule>
    <cfRule type="expression" dxfId="160" priority="48">
      <formula>ISNUMBER(SEARCH("Review",$D2))</formula>
    </cfRule>
    <cfRule type="expression" dxfId="159" priority="49">
      <formula>OR($D2="On track",$D2="Delivered")</formula>
    </cfRule>
  </conditionalFormatting>
  <conditionalFormatting sqref="J2:O116">
    <cfRule type="expression" dxfId="158" priority="23">
      <formula>$AJ2="Yes – needs DB Dev to fix"</formula>
    </cfRule>
  </conditionalFormatting>
  <conditionalFormatting sqref="J117:O193">
    <cfRule type="expression" dxfId="157" priority="28">
      <formula>$AH117="Yes – needs DB Dev to fix"</formula>
    </cfRule>
  </conditionalFormatting>
  <conditionalFormatting sqref="K41">
    <cfRule type="expression" dxfId="156" priority="604">
      <formula>AND($B41&lt;&gt;"",MOD(ROW(),2)=0)</formula>
    </cfRule>
    <cfRule type="expression" dxfId="155" priority="605">
      <formula>$AJ41="Yes – needs DB Dev to fix"</formula>
    </cfRule>
  </conditionalFormatting>
  <conditionalFormatting sqref="K42">
    <cfRule type="expression" dxfId="154" priority="606">
      <formula>AND($B41&lt;&gt;"",MOD(ROW(),2)=0)</formula>
    </cfRule>
    <cfRule type="expression" dxfId="153" priority="607">
      <formula>$AJ41="Yes – needs DB Dev to fix"</formula>
    </cfRule>
  </conditionalFormatting>
  <conditionalFormatting sqref="K73:L100">
    <cfRule type="expression" dxfId="152" priority="120">
      <formula>$AF73="Yes – needs DB Dev to fix"</formula>
    </cfRule>
  </conditionalFormatting>
  <conditionalFormatting sqref="K101:L116">
    <cfRule type="expression" dxfId="151" priority="350">
      <formula>$AA101="Yes – needs DB Dev to fix"</formula>
    </cfRule>
  </conditionalFormatting>
  <conditionalFormatting sqref="K117:L528">
    <cfRule type="expression" dxfId="150" priority="577">
      <formula>$X117="Yes – needs DB Dev to fix"</formula>
    </cfRule>
  </conditionalFormatting>
  <conditionalFormatting sqref="M73">
    <cfRule type="expression" dxfId="149" priority="27">
      <formula>$AF73="Yes – needs DB Dev to fix"</formula>
    </cfRule>
  </conditionalFormatting>
  <conditionalFormatting sqref="M79">
    <cfRule type="expression" dxfId="148" priority="14">
      <formula>$AF79="Yes – needs DB Dev to fix"</formula>
    </cfRule>
  </conditionalFormatting>
  <conditionalFormatting sqref="M73:P100">
    <cfRule type="expression" dxfId="147" priority="305">
      <formula>$AD73="Yes – needs PBI Dev to fix"</formula>
    </cfRule>
  </conditionalFormatting>
  <conditionalFormatting sqref="M101:P116">
    <cfRule type="expression" dxfId="146" priority="352">
      <formula>$AA101="Yes – needs PBI Dev to fix"</formula>
    </cfRule>
  </conditionalFormatting>
  <conditionalFormatting sqref="M117:P528">
    <cfRule type="expression" dxfId="145" priority="578">
      <formula>$X117="Yes – needs PBI Dev to fix"</formula>
    </cfRule>
  </conditionalFormatting>
  <conditionalFormatting sqref="O101:O113">
    <cfRule type="expression" dxfId="144" priority="26">
      <formula>$AD101="Yes – needs PBI Dev to fix"</formula>
    </cfRule>
  </conditionalFormatting>
  <conditionalFormatting sqref="Q73:Q100">
    <cfRule type="expression" dxfId="143" priority="21">
      <formula>$AJ73="Yes – needs DB Dev to fix"</formula>
    </cfRule>
    <cfRule type="expression" dxfId="142" priority="22">
      <formula>$AF73="Yes – needs DB Dev to fix"</formula>
    </cfRule>
    <cfRule type="expression" dxfId="141" priority="124">
      <formula>$AF73="Yes – needs PBI Dev to fix"</formula>
    </cfRule>
  </conditionalFormatting>
  <conditionalFormatting sqref="Q101:R116 V101:V116 X101:X116">
    <cfRule type="expression" dxfId="140" priority="20">
      <formula>$AA101="Yes – needs QA to fix"</formula>
    </cfRule>
  </conditionalFormatting>
  <conditionalFormatting sqref="Q117:R528">
    <cfRule type="expression" dxfId="139" priority="579">
      <formula>$X117="Yes – needs QA to fix"</formula>
    </cfRule>
  </conditionalFormatting>
  <conditionalFormatting sqref="U10:V19 X10:X19 J29 M29:P29 J32:J33 M32:P33 K40:K41 M40:P41 Q65 T65:U65 V101:V115 Q2:U64 X101:X116 Q116:V116 Q66:U115">
    <cfRule type="expression" dxfId="138" priority="35">
      <formula>$AJ2="Yes – needs PBI Dev to fix"</formula>
    </cfRule>
  </conditionalFormatting>
  <conditionalFormatting sqref="R58">
    <cfRule type="expression" dxfId="137" priority="320">
      <formula>AND($B65&lt;&gt;"",MOD(ROW(),2)=0)</formula>
    </cfRule>
    <cfRule type="expression" dxfId="136" priority="322">
      <formula>$AJ65="Yes – needs PBI Dev to fix"</formula>
    </cfRule>
  </conditionalFormatting>
  <conditionalFormatting sqref="T96:T101 R73:U100">
    <cfRule type="expression" dxfId="135" priority="126">
      <formula>$AF73="Yes – needs QA to fix"</formula>
    </cfRule>
  </conditionalFormatting>
  <conditionalFormatting sqref="S101:U116">
    <cfRule type="expression" dxfId="134" priority="366">
      <formula>$AA101="Yes – needs DPO Approval to fix"</formula>
    </cfRule>
  </conditionalFormatting>
  <conditionalFormatting sqref="S117:U528">
    <cfRule type="expression" dxfId="133" priority="580">
      <formula>$X117="Yes – needs DPO Approval to fix"</formula>
    </cfRule>
  </conditionalFormatting>
  <conditionalFormatting sqref="U101:V528 X101:X528">
    <cfRule type="expression" dxfId="132" priority="53">
      <formula>$V101="Yes"</formula>
    </cfRule>
  </conditionalFormatting>
  <conditionalFormatting sqref="U73:Y100">
    <cfRule type="expression" dxfId="131" priority="128">
      <formula>$AF73="Yes – needs DPO Approval to fix"</formula>
    </cfRule>
  </conditionalFormatting>
  <conditionalFormatting sqref="X117:X528">
    <cfRule type="expression" dxfId="130" priority="581">
      <formula>LEFT($X117,3)="Yes"</formula>
    </cfRule>
  </conditionalFormatting>
  <conditionalFormatting sqref="X73:Z100">
    <cfRule type="expression" dxfId="129" priority="480">
      <formula>$Y73="Yes"</formula>
    </cfRule>
  </conditionalFormatting>
  <conditionalFormatting sqref="Z117:AA528">
    <cfRule type="expression" dxfId="128" priority="58">
      <formula>ISNUMBER(SEARCH("Move old",$Z117))</formula>
    </cfRule>
    <cfRule type="expression" dxfId="127" priority="58">
      <formula>ISNUMBER(SEARCH("log it",$Z117))</formula>
    </cfRule>
    <cfRule type="expression" dxfId="126" priority="58">
      <formula>ISNUMBER(SEARCH("Open rework",$Z117))</formula>
    </cfRule>
    <cfRule type="expression" dxfId="125" priority="59">
      <formula>ISNUMBER(SEARCH("Duplicate",$Z117))</formula>
    </cfRule>
    <cfRule type="expression" dxfId="124" priority="60">
      <formula>$Z117&lt;&gt;""</formula>
    </cfRule>
  </conditionalFormatting>
  <conditionalFormatting sqref="G2:V40 N3:N44 L41:V42 T65:V65 G41:J42 Z2:AL2 Z3 Z4:AL41 Z42:AK42 Z43:AL44 Z45:AK47 Z101:AE115 AB3:AL3 G65:Q65 Z73:AH100 G43:V64 G66:V73 A2:F87 A117:AC528 A116:AE116 AJ116 AJ30:AJ42 AJ44:AJ48 Z48:AL72 W2:Y54 W55:X55 W56:Y58 W60:Y70 W59:X59 W71 W72:Y116 A74:V115">
    <cfRule type="expression" dxfId="123" priority="61">
      <formula>AND($B2&lt;&gt;"",MOD(ROW(),2)=0)</formula>
    </cfRule>
  </conditionalFormatting>
  <conditionalFormatting sqref="AA3">
    <cfRule type="expression" dxfId="122" priority="608">
      <formula>AND($B3&lt;&gt;"",MOD(ROW(),2)=0)</formula>
    </cfRule>
    <cfRule type="expression" dxfId="121" priority="609">
      <formula>$AJ3="Yes – needs DPO Approval to fix"</formula>
    </cfRule>
  </conditionalFormatting>
  <conditionalFormatting sqref="AA101:AA115 U116:AA116 Z71 U2:Z54 Z55 U55:X55 U56:Z58 U60:Z70 Z59 U59:X59 U71:W71 U72:Z116">
    <cfRule type="expression" dxfId="120" priority="18">
      <formula>$AJ2="Yes – needs QA to fix"</formula>
    </cfRule>
  </conditionalFormatting>
  <conditionalFormatting sqref="AA101:AA116">
    <cfRule type="expression" dxfId="119" priority="15">
      <formula>$AJ101="Yes – needs PBI Dev to fix"</formula>
    </cfRule>
    <cfRule type="expression" dxfId="118" priority="16">
      <formula>$AA101="Yes – needs QA to fix"</formula>
    </cfRule>
    <cfRule type="expression" dxfId="117" priority="17">
      <formula>$V101="Yes"</formula>
    </cfRule>
    <cfRule type="expression" dxfId="116" priority="374">
      <formula>LEFT($AA101,3)="Yes"</formula>
    </cfRule>
  </conditionalFormatting>
  <conditionalFormatting sqref="AA2:AE2 AB3:AE3 AA4:AE100">
    <cfRule type="expression" dxfId="115" priority="102">
      <formula>$AJ2="Yes – needs DPO Approval to fix"</formula>
    </cfRule>
  </conditionalFormatting>
  <conditionalFormatting sqref="AB101:AC116">
    <cfRule type="expression" dxfId="114" priority="382">
      <formula>ISNUMBER(SEARCH("Open rework",$AB101))</formula>
    </cfRule>
    <cfRule type="expression" dxfId="113" priority="383">
      <formula>ISNUMBER(SEARCH("Move old",$AB101))</formula>
    </cfRule>
    <cfRule type="expression" dxfId="112" priority="384">
      <formula>ISNUMBER(SEARCH("log it",$AB101))</formula>
    </cfRule>
    <cfRule type="expression" dxfId="111" priority="385">
      <formula>ISNUMBER(SEARCH("Duplicate",$AB101))</formula>
    </cfRule>
    <cfRule type="expression" dxfId="110" priority="386">
      <formula>$AB101&lt;&gt;""</formula>
    </cfRule>
  </conditionalFormatting>
  <conditionalFormatting sqref="AF2:AF116">
    <cfRule type="expression" dxfId="109" priority="74">
      <formula>$AF2="Yes"</formula>
    </cfRule>
  </conditionalFormatting>
  <conditionalFormatting sqref="AF73:AF100">
    <cfRule type="expression" dxfId="108" priority="132">
      <formula>LEFT($AF73,3)="Yes"</formula>
    </cfRule>
  </conditionalFormatting>
  <conditionalFormatting sqref="AG73:AG100">
    <cfRule type="expression" dxfId="107" priority="138">
      <formula>ISNUMBER(SEARCH("Open rework",$AG73))</formula>
    </cfRule>
    <cfRule type="expression" dxfId="106" priority="139">
      <formula>ISNUMBER(SEARCH("Move old",$AG73))</formula>
    </cfRule>
    <cfRule type="expression" dxfId="105" priority="140">
      <formula>ISNUMBER(SEARCH("log it",$AG73))</formula>
    </cfRule>
    <cfRule type="expression" dxfId="104" priority="141">
      <formula>ISNUMBER(SEARCH("Duplicate",$AG73))</formula>
    </cfRule>
    <cfRule type="expression" dxfId="103" priority="142">
      <formula>$AG73&lt;&gt;""</formula>
    </cfRule>
  </conditionalFormatting>
  <conditionalFormatting sqref="AJ2:AJ116">
    <cfRule type="expression" dxfId="102" priority="76">
      <formula>LEFT($AJ2,3)="Yes"</formula>
    </cfRule>
  </conditionalFormatting>
  <conditionalFormatting sqref="AK2:AK116">
    <cfRule type="expression" dxfId="101" priority="82">
      <formula>ISNUMBER(SEARCH("log it",$AK2))</formula>
    </cfRule>
    <cfRule type="expression" dxfId="100" priority="83">
      <formula>ISNUMBER(SEARCH("Open rework",$AK2))</formula>
    </cfRule>
    <cfRule type="expression" dxfId="99" priority="84">
      <formula>ISNUMBER(SEARCH("Move old",$AK2))</formula>
    </cfRule>
    <cfRule type="expression" dxfId="98" priority="85">
      <formula>ISNUMBER(SEARCH("Duplicate",$AK2))</formula>
    </cfRule>
    <cfRule type="expression" dxfId="97" priority="86">
      <formula>$AK2&lt;&gt;""</formula>
    </cfRule>
  </conditionalFormatting>
  <conditionalFormatting sqref="AL45:AL47">
    <cfRule type="expression" dxfId="96" priority="25">
      <formula>AND($B49&lt;&gt;"",MOD(ROW(),2)=0)</formula>
    </cfRule>
  </conditionalFormatting>
  <conditionalFormatting sqref="D88">
    <cfRule type="expression" dxfId="95" priority="621">
      <formula>AND($B50&lt;&gt;"",MOD(ROW(),2)=0)</formula>
    </cfRule>
  </conditionalFormatting>
  <conditionalFormatting sqref="R60">
    <cfRule type="expression" dxfId="94" priority="12">
      <formula>AND($B67&lt;&gt;"",MOD(ROW(),2)=0)</formula>
    </cfRule>
    <cfRule type="expression" dxfId="93" priority="13">
      <formula>$AJ67="Yes – needs PBI Dev to fix"</formula>
    </cfRule>
  </conditionalFormatting>
  <conditionalFormatting sqref="R60:S60">
    <cfRule type="expression" dxfId="92" priority="10">
      <formula>AND($B67&lt;&gt;"",MOD(ROW(),2)=0)</formula>
    </cfRule>
    <cfRule type="expression" dxfId="91" priority="11">
      <formula>$AJ67="Yes – needs PBI Dev to fix"</formula>
    </cfRule>
  </conditionalFormatting>
  <conditionalFormatting sqref="N70">
    <cfRule type="expression" dxfId="90" priority="9">
      <formula>$AD70="Yes – needs PBI Dev to fix"</formula>
    </cfRule>
  </conditionalFormatting>
  <conditionalFormatting sqref="N58">
    <cfRule type="expression" dxfId="89" priority="8">
      <formula>$AD58="Yes – needs PBI Dev to fix"</formula>
    </cfRule>
  </conditionalFormatting>
  <conditionalFormatting sqref="M91">
    <cfRule type="expression" dxfId="88" priority="7">
      <formula>$AF91="Yes – needs DB Dev to fix"</formula>
    </cfRule>
  </conditionalFormatting>
  <conditionalFormatting sqref="M80">
    <cfRule type="expression" dxfId="87" priority="6">
      <formula>$AF80="Yes – needs DB Dev to fix"</formula>
    </cfRule>
  </conditionalFormatting>
  <conditionalFormatting sqref="N82">
    <cfRule type="expression" dxfId="86" priority="5">
      <formula>$AD82="Yes – needs PBI Dev to fix"</formula>
    </cfRule>
  </conditionalFormatting>
  <conditionalFormatting sqref="M83">
    <cfRule type="expression" dxfId="85" priority="4">
      <formula>$AF83="Yes – needs DB Dev to fix"</formula>
    </cfRule>
  </conditionalFormatting>
  <conditionalFormatting sqref="C2:C116">
    <cfRule type="expression" dxfId="84" priority="622">
      <formula>LEFT($AK2,4)="Move"</formula>
    </cfRule>
  </conditionalFormatting>
  <conditionalFormatting sqref="M84">
    <cfRule type="expression" dxfId="83" priority="3">
      <formula>$AF84="Yes – needs DB Dev to fix"</formula>
    </cfRule>
  </conditionalFormatting>
  <conditionalFormatting sqref="O101:O104">
    <cfRule type="expression" dxfId="82" priority="2">
      <formula>$AD101="Yes – needs PBI Dev to fix"</formula>
    </cfRule>
  </conditionalFormatting>
  <conditionalFormatting sqref="M81">
    <cfRule type="expression" dxfId="81" priority="1">
      <formula>$AF81="Yes – needs DB Dev to fix"</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K2:L116 H2:H528 W101:X528 Q66:R528"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332</v>
      </c>
    </row>
    <row r="2" spans="1:5">
      <c r="A2" s="6" t="s">
        <v>333</v>
      </c>
    </row>
    <row r="4" spans="1:5" ht="21.95" customHeight="1">
      <c r="A4" s="5" t="s">
        <v>334</v>
      </c>
      <c r="B4" s="261"/>
      <c r="C4" s="262"/>
      <c r="D4" s="262"/>
      <c r="E4" s="262"/>
    </row>
    <row r="6" spans="1:5">
      <c r="A6" s="42" t="s">
        <v>0</v>
      </c>
      <c r="B6" s="217" t="str">
        <f>IF($B$4="","",IFERROR(INDEX('Combined Delivery Data'!$A:$A,MATCH($B$4,'Combined Delivery Data'!$B:$B,0)),""))</f>
        <v/>
      </c>
      <c r="C6" s="263"/>
      <c r="D6" s="263"/>
      <c r="E6" s="264"/>
    </row>
    <row r="7" spans="1:5">
      <c r="A7" s="42" t="s">
        <v>335</v>
      </c>
      <c r="B7" s="217" t="str">
        <f>IF($B$4="","",IFERROR(INDEX('Combined Delivery Data'!$C:$C,MATCH($B$4,'Combined Delivery Data'!$B:$B,0)),""))</f>
        <v/>
      </c>
      <c r="C7" s="263"/>
      <c r="D7" s="263"/>
      <c r="E7" s="264"/>
    </row>
    <row r="8" spans="1:5">
      <c r="A8" s="42" t="s">
        <v>3</v>
      </c>
      <c r="B8" s="217" t="str">
        <f>IF($B$4="","",IFERROR(INDEX('Combined Delivery Data'!$D:$D,MATCH($B$4,'Combined Delivery Data'!$B:$B,0)),""))</f>
        <v/>
      </c>
      <c r="C8" s="263"/>
      <c r="D8" s="263"/>
      <c r="E8" s="264"/>
    </row>
    <row r="9" spans="1:5">
      <c r="A9" s="42" t="s">
        <v>4</v>
      </c>
      <c r="B9" s="217" t="str">
        <f>IF($B$4="","",IFERROR(INDEX('Combined Delivery Data'!$E:$E,MATCH($B$4,'Combined Delivery Data'!$B:$B,0)),""))</f>
        <v/>
      </c>
      <c r="C9" s="263"/>
      <c r="D9" s="263"/>
      <c r="E9" s="264"/>
    </row>
    <row r="10" spans="1:5">
      <c r="A10" s="42" t="s">
        <v>5</v>
      </c>
      <c r="B10" s="217" t="str">
        <f>IF($B$4="","",IFERROR(INDEX('Combined Delivery Data'!$F:$F,MATCH($B$4,'Combined Delivery Data'!$B:$B,0)),""))</f>
        <v/>
      </c>
      <c r="C10" s="263"/>
      <c r="D10" s="263"/>
      <c r="E10" s="264"/>
    </row>
    <row r="11" spans="1:5">
      <c r="A11" s="42" t="s">
        <v>9</v>
      </c>
      <c r="B11" s="217" t="str">
        <f>IF($B$4="","",IFERROR(INDEX('Combined Delivery Data'!$J:$J,MATCH($B$4,'Combined Delivery Data'!$B:$B,0)),""))</f>
        <v/>
      </c>
      <c r="C11" s="263"/>
      <c r="D11" s="263"/>
      <c r="E11" s="264"/>
    </row>
    <row r="12" spans="1:5">
      <c r="A12" s="42" t="s">
        <v>15</v>
      </c>
      <c r="B12" s="217" t="str">
        <f>IF($B$4="","",IFERROR(INDEX('Combined Delivery Data'!$P:$P,MATCH($B$4,'Combined Delivery Data'!$B:$B,0)),""))</f>
        <v/>
      </c>
      <c r="C12" s="263"/>
      <c r="D12" s="263"/>
      <c r="E12" s="264"/>
    </row>
    <row r="13" spans="1:5">
      <c r="A13" s="42" t="s">
        <v>20</v>
      </c>
      <c r="B13" s="217" t="str">
        <f>IF($B$4="","",IFERROR(INDEX('Combined Delivery Data'!$U:$U,MATCH($B$4,'Combined Delivery Data'!$B:$B,0)),""))</f>
        <v/>
      </c>
      <c r="C13" s="263"/>
      <c r="D13" s="263"/>
      <c r="E13" s="264"/>
    </row>
    <row r="14" spans="1:5">
      <c r="A14" s="42" t="s">
        <v>336</v>
      </c>
      <c r="B14" s="216" t="str">
        <f>IF($B$4="","",IFERROR(INDEX('Combined Delivery Data'!$K:$K,MATCH($B$4,'Combined Delivery Data'!$B:$B,0)),""))</f>
        <v/>
      </c>
      <c r="C14" s="263"/>
      <c r="D14" s="263"/>
      <c r="E14" s="264"/>
    </row>
    <row r="15" spans="1:5">
      <c r="A15" s="42" t="s">
        <v>337</v>
      </c>
      <c r="B15" s="216" t="str">
        <f>IF($B$4="","",IFERROR(INDEX('Combined Delivery Data'!$L:$L,MATCH($B$4,'Combined Delivery Data'!$B:$B,0)),""))</f>
        <v/>
      </c>
      <c r="C15" s="263"/>
      <c r="D15" s="263"/>
      <c r="E15" s="264"/>
    </row>
    <row r="16" spans="1:5">
      <c r="A16" s="42" t="s">
        <v>338</v>
      </c>
      <c r="B16" s="216" t="str">
        <f>IF($B$4="","",IFERROR(INDEX('Combined Delivery Data'!$M:$M,MATCH($B$4,'Combined Delivery Data'!$B:$B,0)),""))</f>
        <v/>
      </c>
      <c r="C16" s="263"/>
      <c r="D16" s="263"/>
      <c r="E16" s="264"/>
    </row>
    <row r="17" spans="1:5">
      <c r="A17" s="42" t="s">
        <v>339</v>
      </c>
      <c r="B17" s="216" t="str">
        <f>IF($B$4="","",IFERROR(INDEX('Combined Delivery Data'!$O:$O,MATCH($B$4,'Combined Delivery Data'!$B:$B,0)),""))</f>
        <v/>
      </c>
      <c r="C17" s="263"/>
      <c r="D17" s="263"/>
      <c r="E17" s="264"/>
    </row>
    <row r="18" spans="1:5">
      <c r="A18" s="42" t="s">
        <v>340</v>
      </c>
      <c r="B18" s="216" t="str">
        <f>IF($B$4="","",IFERROR(INDEX('Combined Delivery Data'!$Q:$Q,MATCH($B$4,'Combined Delivery Data'!$B:$B,0)),""))</f>
        <v/>
      </c>
      <c r="C18" s="263"/>
      <c r="D18" s="263"/>
      <c r="E18" s="264"/>
    </row>
    <row r="19" spans="1:5">
      <c r="A19" s="42" t="s">
        <v>341</v>
      </c>
      <c r="B19" s="216" t="str">
        <f>IF($B$4="","",IFERROR(INDEX('Combined Delivery Data'!$R:$R,MATCH($B$4,'Combined Delivery Data'!$B:$B,0)),""))</f>
        <v/>
      </c>
      <c r="C19" s="263"/>
      <c r="D19" s="263"/>
      <c r="E19" s="264"/>
    </row>
    <row r="20" spans="1:5">
      <c r="A20" s="42" t="s">
        <v>342</v>
      </c>
      <c r="B20" s="216" t="str">
        <f>IF($B$4="","",IFERROR(INDEX('Combined Delivery Data'!$S:$S,MATCH($B$4,'Combined Delivery Data'!$B:$B,0)),""))</f>
        <v/>
      </c>
      <c r="C20" s="263"/>
      <c r="D20" s="263"/>
      <c r="E20" s="264"/>
    </row>
    <row r="21" spans="1:5">
      <c r="A21" s="42" t="s">
        <v>29</v>
      </c>
      <c r="B21" s="217" t="str">
        <f>IF($B$4="","",IFERROR(INDEX('Combined Delivery Data'!$T:$T,MATCH($B$4,'Combined Delivery Data'!$B:$B,0)),""))</f>
        <v/>
      </c>
      <c r="C21" s="263"/>
      <c r="D21" s="263"/>
      <c r="E21" s="264"/>
    </row>
    <row r="22" spans="1:5">
      <c r="A22" s="42" t="s">
        <v>31</v>
      </c>
      <c r="B22" s="217" t="str">
        <f>IF($B$4="","",IFERROR(INDEX('Combined Delivery Data'!$V:$V,MATCH($B$4,'Combined Delivery Data'!$B:$B,0)),""))</f>
        <v/>
      </c>
      <c r="C22" s="263"/>
      <c r="D22" s="263"/>
      <c r="E22" s="264"/>
    </row>
    <row r="23" spans="1:5">
      <c r="A23" s="42" t="s">
        <v>32</v>
      </c>
      <c r="B23" s="216" t="str">
        <f>IF($B$4="","",IFERROR(INDEX('Combined Delivery Data'!$W:$W,MATCH($B$4,'Combined Delivery Data'!$B:$B,0)),""))</f>
        <v/>
      </c>
      <c r="C23" s="263"/>
      <c r="D23" s="263"/>
      <c r="E23" s="264"/>
    </row>
    <row r="24" spans="1:5">
      <c r="A24" s="42" t="s">
        <v>35</v>
      </c>
      <c r="B24" s="217" t="str">
        <f>IF($B$4="","",IFERROR(INDEX('Combined Delivery Data'!$X:$X,MATCH($B$4,'Combined Delivery Data'!$B:$B,0)),""))</f>
        <v/>
      </c>
      <c r="C24" s="263"/>
      <c r="D24" s="263"/>
      <c r="E24" s="264"/>
    </row>
    <row r="25" spans="1:5">
      <c r="A25" s="42" t="s">
        <v>36</v>
      </c>
      <c r="B25" s="217" t="str">
        <f>IF($B$4="","",IFERROR(INDEX('Combined Delivery Data'!$Z:$Z,MATCH($B$4,'Combined Delivery Data'!$B:$B,0)),""))</f>
        <v/>
      </c>
      <c r="C25" s="263"/>
      <c r="D25" s="263"/>
      <c r="E25" s="264"/>
    </row>
    <row r="26" spans="1:5">
      <c r="A26" s="42" t="s">
        <v>343</v>
      </c>
      <c r="B26" s="217" t="str">
        <f>IF($B$4="","",IFERROR(INDEX('Rework Log'!$Q:$Q,MATCH($B$4,'Rework Log'!$P:$P,0)),""))</f>
        <v/>
      </c>
      <c r="C26" s="263"/>
      <c r="D26" s="263"/>
      <c r="E26" s="264"/>
    </row>
    <row r="27" spans="1:5">
      <c r="A27" s="42" t="s">
        <v>344</v>
      </c>
      <c r="B27" s="217" t="str">
        <f>IF($B$4="","",IFERROR(INDEX('Rework Log'!$R:$R,MATCH($B$4,'Rework Log'!$P:$P,0)),""))</f>
        <v/>
      </c>
      <c r="C27" s="263"/>
      <c r="D27" s="263"/>
      <c r="E27" s="264"/>
    </row>
    <row r="28" spans="1:5">
      <c r="A28" s="42" t="s">
        <v>345</v>
      </c>
      <c r="B28" s="217" t="str">
        <f>IF($B$4="","",IFERROR(INDEX('Rework Log'!$S:$S,MATCH($B$4,'Rework Log'!$P:$P,0)),""))</f>
        <v/>
      </c>
      <c r="C28" s="263"/>
      <c r="D28" s="263"/>
      <c r="E28" s="264"/>
    </row>
    <row r="29" spans="1:5">
      <c r="A29" s="42" t="s">
        <v>346</v>
      </c>
      <c r="B29" s="217" t="str">
        <f>IF($B$4="","",IFERROR(INDEX('Rework Log'!$T:$T,MATCH($B$4,'Rework Log'!$P:$P,0)),""))</f>
        <v/>
      </c>
      <c r="C29" s="263"/>
      <c r="D29" s="263"/>
      <c r="E29" s="264"/>
    </row>
    <row r="30" spans="1:5" ht="15.6" customHeight="1">
      <c r="A30" s="42"/>
      <c r="B30" s="217"/>
      <c r="C30" s="263"/>
      <c r="D30" s="263"/>
      <c r="E30" s="264"/>
    </row>
    <row r="31" spans="1:5" ht="15.6" customHeight="1">
      <c r="A31" s="5" t="s">
        <v>37</v>
      </c>
      <c r="B31" s="265" t="str">
        <f>IF($B$4="","",IFERROR(INDEX('Combined Delivery Data'!$AB:$AB,MATCH($B$4,'Combined Delivery Data'!$B:$B,0)),""))</f>
        <v/>
      </c>
      <c r="C31" s="262"/>
      <c r="D31" s="262"/>
      <c r="E31" s="262"/>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15" activePane="bottomLeft" state="frozen"/>
      <selection pane="bottomLeft" activeCell="L47" sqref="L47"/>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215" t="s">
        <v>347</v>
      </c>
      <c r="B1" s="215"/>
      <c r="C1" s="215"/>
      <c r="D1" s="215"/>
      <c r="E1" s="215"/>
      <c r="F1" s="215"/>
      <c r="G1" s="215"/>
      <c r="H1" s="215"/>
      <c r="I1" s="215"/>
      <c r="J1" s="215"/>
      <c r="K1" s="215"/>
      <c r="L1" s="215"/>
      <c r="M1" s="215"/>
      <c r="P1" s="266" t="s">
        <v>348</v>
      </c>
      <c r="Q1" s="266"/>
      <c r="R1" s="266"/>
      <c r="S1" s="266"/>
      <c r="T1" s="266"/>
    </row>
    <row r="2" spans="1:20" ht="30" customHeight="1">
      <c r="A2" s="17" t="s">
        <v>1</v>
      </c>
      <c r="B2" s="17" t="s">
        <v>349</v>
      </c>
      <c r="C2" s="17" t="s">
        <v>350</v>
      </c>
      <c r="D2" s="17" t="s">
        <v>351</v>
      </c>
      <c r="E2" s="17" t="s">
        <v>352</v>
      </c>
      <c r="F2" s="17" t="s">
        <v>353</v>
      </c>
      <c r="G2" s="17" t="s">
        <v>354</v>
      </c>
      <c r="H2" s="56" t="s">
        <v>355</v>
      </c>
      <c r="I2" s="30" t="s">
        <v>356</v>
      </c>
      <c r="J2" s="30" t="s">
        <v>357</v>
      </c>
      <c r="K2" s="30" t="s">
        <v>358</v>
      </c>
      <c r="L2" s="30" t="s">
        <v>359</v>
      </c>
      <c r="M2" s="21" t="s">
        <v>360</v>
      </c>
      <c r="N2" s="21" t="s">
        <v>361</v>
      </c>
      <c r="P2" s="13" t="s">
        <v>1</v>
      </c>
      <c r="Q2" s="13" t="s">
        <v>343</v>
      </c>
      <c r="R2" s="13" t="s">
        <v>344</v>
      </c>
      <c r="S2" s="13" t="s">
        <v>345</v>
      </c>
      <c r="T2" s="13" t="s">
        <v>346</v>
      </c>
    </row>
    <row r="3" spans="1:20">
      <c r="A3" s="33" t="s">
        <v>142</v>
      </c>
      <c r="B3" s="36">
        <v>46230</v>
      </c>
      <c r="C3" s="33" t="s">
        <v>216</v>
      </c>
      <c r="D3" s="33" t="s">
        <v>156</v>
      </c>
      <c r="E3" s="33" t="s">
        <v>143</v>
      </c>
      <c r="F3" s="33" t="s">
        <v>362</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216</v>
      </c>
      <c r="D4" s="31" t="s">
        <v>156</v>
      </c>
      <c r="E4" s="31" t="s">
        <v>143</v>
      </c>
      <c r="F4" s="31" t="s">
        <v>363</v>
      </c>
      <c r="G4" s="31" t="s">
        <v>50</v>
      </c>
      <c r="H4" s="32" t="s">
        <v>154</v>
      </c>
      <c r="I4" s="32"/>
      <c r="J4" s="32">
        <v>46247</v>
      </c>
      <c r="K4" s="31" t="s">
        <v>60</v>
      </c>
      <c r="L4" s="31" t="s">
        <v>364</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216</v>
      </c>
      <c r="D5" s="31" t="s">
        <v>156</v>
      </c>
      <c r="E5" s="31" t="s">
        <v>129</v>
      </c>
      <c r="F5" s="31" t="s">
        <v>365</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216</v>
      </c>
      <c r="D6" s="31" t="s">
        <v>156</v>
      </c>
      <c r="E6" s="31" t="s">
        <v>129</v>
      </c>
      <c r="F6" s="31" t="s">
        <v>366</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216</v>
      </c>
      <c r="D7" s="31" t="s">
        <v>156</v>
      </c>
      <c r="E7" s="31" t="s">
        <v>129</v>
      </c>
      <c r="F7" s="31" t="s">
        <v>367</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216</v>
      </c>
      <c r="D8" s="31" t="s">
        <v>156</v>
      </c>
      <c r="E8" s="31" t="s">
        <v>129</v>
      </c>
      <c r="F8" s="31" t="s">
        <v>368</v>
      </c>
      <c r="G8" s="31" t="s">
        <v>50</v>
      </c>
      <c r="H8" s="32" t="s">
        <v>65</v>
      </c>
      <c r="I8" s="32"/>
      <c r="J8" s="32">
        <v>46251</v>
      </c>
      <c r="K8" s="31"/>
      <c r="L8" s="31"/>
      <c r="M8" s="3" t="str">
        <f t="shared" ca="1" si="4"/>
        <v>Fixed</v>
      </c>
      <c r="N8" t="s">
        <v>369</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216</v>
      </c>
      <c r="D9" s="31" t="s">
        <v>156</v>
      </c>
      <c r="E9" s="31" t="s">
        <v>143</v>
      </c>
      <c r="F9" s="31" t="s">
        <v>370</v>
      </c>
      <c r="G9" s="31" t="s">
        <v>50</v>
      </c>
      <c r="H9" s="32" t="s">
        <v>154</v>
      </c>
      <c r="I9" s="32"/>
      <c r="J9" s="32">
        <v>46254</v>
      </c>
      <c r="K9" s="31"/>
      <c r="L9" s="31"/>
      <c r="M9" s="3" t="str">
        <f t="shared" ca="1" si="4"/>
        <v>Fixed</v>
      </c>
      <c r="N9" t="s">
        <v>369</v>
      </c>
      <c r="P9" t="str">
        <f>'Combined Delivery Data'!B11</f>
        <v>RPT_04_SEI Leak Activity</v>
      </c>
      <c r="Q9">
        <f t="shared" si="0"/>
        <v>0</v>
      </c>
      <c r="R9">
        <f t="shared" si="1"/>
        <v>0</v>
      </c>
      <c r="S9" s="28" t="str">
        <f t="shared" si="2"/>
        <v/>
      </c>
      <c r="T9" t="str">
        <f t="shared" si="3"/>
        <v/>
      </c>
    </row>
    <row r="10" spans="1:20">
      <c r="A10" s="31" t="s">
        <v>142</v>
      </c>
      <c r="B10" s="32">
        <v>46237</v>
      </c>
      <c r="C10" s="31" t="s">
        <v>216</v>
      </c>
      <c r="D10" s="31" t="s">
        <v>156</v>
      </c>
      <c r="E10" s="31" t="s">
        <v>143</v>
      </c>
      <c r="F10" s="31" t="s">
        <v>363</v>
      </c>
      <c r="G10" s="31" t="s">
        <v>50</v>
      </c>
      <c r="H10" s="32" t="s">
        <v>84</v>
      </c>
      <c r="I10" s="32"/>
      <c r="J10" s="32">
        <v>46252</v>
      </c>
      <c r="K10" s="31"/>
      <c r="L10" s="31"/>
      <c r="M10" s="3" t="str">
        <f t="shared" ca="1" si="4"/>
        <v>Fixed</v>
      </c>
      <c r="N10" t="s">
        <v>369</v>
      </c>
      <c r="P10" t="str">
        <f>'Combined Delivery Data'!B12</f>
        <v>RPT_04_CMS Leak Productivity</v>
      </c>
      <c r="Q10">
        <f t="shared" si="0"/>
        <v>0</v>
      </c>
      <c r="R10">
        <f t="shared" si="1"/>
        <v>0</v>
      </c>
      <c r="S10" s="28" t="str">
        <f t="shared" si="2"/>
        <v/>
      </c>
      <c r="T10" t="str">
        <f t="shared" si="3"/>
        <v/>
      </c>
    </row>
    <row r="11" spans="1:20">
      <c r="A11" s="53" t="s">
        <v>134</v>
      </c>
      <c r="B11" s="32">
        <v>46254</v>
      </c>
      <c r="C11" s="31" t="s">
        <v>216</v>
      </c>
      <c r="D11" s="31" t="s">
        <v>156</v>
      </c>
      <c r="E11" s="31" t="s">
        <v>129</v>
      </c>
      <c r="F11" s="31" t="s">
        <v>365</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216</v>
      </c>
      <c r="D12" s="31" t="s">
        <v>156</v>
      </c>
      <c r="E12" s="31" t="s">
        <v>143</v>
      </c>
      <c r="F12" s="31" t="s">
        <v>371</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372</v>
      </c>
      <c r="P12" t="str">
        <f>'Combined Delivery Data'!B14</f>
        <v>RPT_04_Leak Summary Status</v>
      </c>
      <c r="Q12">
        <f t="shared" si="0"/>
        <v>0</v>
      </c>
      <c r="R12">
        <f t="shared" si="1"/>
        <v>0</v>
      </c>
      <c r="S12" s="28" t="str">
        <f t="shared" si="2"/>
        <v/>
      </c>
      <c r="T12" t="str">
        <f t="shared" si="3"/>
        <v/>
      </c>
    </row>
    <row r="13" spans="1:20">
      <c r="A13" s="53" t="s">
        <v>138</v>
      </c>
      <c r="B13" s="32">
        <v>46258</v>
      </c>
      <c r="C13" s="31" t="s">
        <v>216</v>
      </c>
      <c r="D13" s="31" t="s">
        <v>156</v>
      </c>
      <c r="E13" s="31" t="s">
        <v>129</v>
      </c>
      <c r="F13" s="31" t="s">
        <v>373</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216</v>
      </c>
      <c r="D14" s="31" t="s">
        <v>203</v>
      </c>
      <c r="E14" s="31" t="s">
        <v>143</v>
      </c>
      <c r="F14" s="31" t="s">
        <v>374</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216</v>
      </c>
      <c r="D15" s="31" t="s">
        <v>203</v>
      </c>
      <c r="E15" s="31" t="s">
        <v>143</v>
      </c>
      <c r="F15" s="31" t="s">
        <v>375</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216</v>
      </c>
      <c r="D16" s="31" t="s">
        <v>156</v>
      </c>
      <c r="E16" s="31" t="s">
        <v>143</v>
      </c>
      <c r="F16" s="31" t="s">
        <v>376</v>
      </c>
      <c r="G16" s="31" t="s">
        <v>50</v>
      </c>
      <c r="H16" s="32" t="s">
        <v>65</v>
      </c>
      <c r="I16" s="32"/>
      <c r="J16" s="32">
        <v>46258</v>
      </c>
      <c r="K16" s="31"/>
      <c r="L16" s="31"/>
      <c r="M16" s="3" t="str">
        <f t="shared" ca="1" si="4"/>
        <v>Fixed</v>
      </c>
      <c r="N16" t="s">
        <v>372</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216</v>
      </c>
      <c r="D17" s="31" t="s">
        <v>203</v>
      </c>
      <c r="E17" s="31" t="s">
        <v>143</v>
      </c>
      <c r="F17" s="31" t="s">
        <v>377</v>
      </c>
      <c r="G17" s="31" t="s">
        <v>50</v>
      </c>
      <c r="H17" s="32" t="s">
        <v>46</v>
      </c>
      <c r="I17" s="32"/>
      <c r="J17" s="32"/>
      <c r="K17" s="31"/>
      <c r="L17" s="31"/>
      <c r="M17" s="3"/>
      <c r="S17" s="28"/>
    </row>
    <row r="18" spans="1:20">
      <c r="A18" s="33" t="s">
        <v>180</v>
      </c>
      <c r="B18" s="32">
        <v>46261</v>
      </c>
      <c r="C18" s="31" t="s">
        <v>216</v>
      </c>
      <c r="D18" s="31" t="s">
        <v>156</v>
      </c>
      <c r="E18" s="31" t="s">
        <v>129</v>
      </c>
      <c r="F18" s="31" t="s">
        <v>378</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216</v>
      </c>
      <c r="D19" s="31" t="s">
        <v>203</v>
      </c>
      <c r="E19" s="31" t="s">
        <v>143</v>
      </c>
      <c r="F19" s="31" t="s">
        <v>379</v>
      </c>
      <c r="G19" s="31" t="s">
        <v>50</v>
      </c>
      <c r="H19" s="32" t="s">
        <v>46</v>
      </c>
      <c r="I19" s="32"/>
      <c r="J19" s="32">
        <v>46266</v>
      </c>
      <c r="K19" s="31"/>
      <c r="L19" s="31"/>
      <c r="M19" s="3" t="str">
        <f t="shared" ca="1" si="4"/>
        <v>Fixed</v>
      </c>
      <c r="N19" t="s">
        <v>369</v>
      </c>
      <c r="P19" t="str">
        <f>'Combined Delivery Data'!B13</f>
        <v>RPT_04_Main Break Corrosion and Leak Cluster</v>
      </c>
      <c r="Q19">
        <f t="shared" si="5"/>
        <v>0</v>
      </c>
      <c r="R19">
        <f t="shared" si="6"/>
        <v>0</v>
      </c>
      <c r="S19" s="28" t="str">
        <f t="shared" si="7"/>
        <v/>
      </c>
      <c r="T19" t="str">
        <f t="shared" si="8"/>
        <v/>
      </c>
    </row>
    <row r="20" spans="1:20">
      <c r="A20" s="31" t="s">
        <v>172</v>
      </c>
      <c r="B20" s="32">
        <v>46265</v>
      </c>
      <c r="C20" s="31" t="s">
        <v>216</v>
      </c>
      <c r="D20" s="31" t="s">
        <v>203</v>
      </c>
      <c r="E20" s="31" t="s">
        <v>47</v>
      </c>
      <c r="F20" s="31" t="s">
        <v>380</v>
      </c>
      <c r="G20" s="31" t="s">
        <v>50</v>
      </c>
      <c r="H20" s="32" t="s">
        <v>77</v>
      </c>
      <c r="I20" s="32">
        <v>46265</v>
      </c>
      <c r="J20" s="32">
        <v>46265</v>
      </c>
      <c r="K20" s="31" t="s">
        <v>77</v>
      </c>
      <c r="L20" s="31" t="s">
        <v>381</v>
      </c>
      <c r="M20" s="3" t="str">
        <f t="shared" ca="1" si="4"/>
        <v>Fixed</v>
      </c>
      <c r="N20" t="s">
        <v>372</v>
      </c>
      <c r="P20" t="str">
        <f>'Combined Delivery Data'!B14</f>
        <v>RPT_04_Leak Summary Status</v>
      </c>
      <c r="Q20">
        <f t="shared" si="5"/>
        <v>0</v>
      </c>
      <c r="R20">
        <f t="shared" si="6"/>
        <v>0</v>
      </c>
      <c r="S20" s="28" t="str">
        <f t="shared" si="7"/>
        <v/>
      </c>
      <c r="T20" t="str">
        <f t="shared" si="8"/>
        <v/>
      </c>
    </row>
    <row r="21" spans="1:20">
      <c r="A21" s="31" t="s">
        <v>174</v>
      </c>
      <c r="B21" s="32">
        <v>46265</v>
      </c>
      <c r="C21" s="31" t="s">
        <v>216</v>
      </c>
      <c r="D21" s="31" t="s">
        <v>156</v>
      </c>
      <c r="E21" s="31" t="s">
        <v>47</v>
      </c>
      <c r="F21" s="31" t="s">
        <v>382</v>
      </c>
      <c r="G21" s="31" t="s">
        <v>50</v>
      </c>
      <c r="H21" s="32" t="s">
        <v>84</v>
      </c>
      <c r="I21" s="32">
        <v>46266</v>
      </c>
      <c r="J21" s="32">
        <v>46266</v>
      </c>
      <c r="K21" s="31"/>
      <c r="L21" s="31" t="s">
        <v>383</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216</v>
      </c>
      <c r="D22" s="31" t="s">
        <v>156</v>
      </c>
      <c r="E22" s="31" t="s">
        <v>129</v>
      </c>
      <c r="F22" s="31" t="s">
        <v>384</v>
      </c>
      <c r="G22" s="31" t="s">
        <v>50</v>
      </c>
      <c r="H22" s="32" t="s">
        <v>59</v>
      </c>
      <c r="I22" s="32"/>
      <c r="J22" s="32">
        <v>46266</v>
      </c>
      <c r="K22" s="31" t="s">
        <v>59</v>
      </c>
      <c r="L22" s="31"/>
      <c r="M22" s="3" t="str">
        <f t="shared" ca="1" si="4"/>
        <v>Fixed</v>
      </c>
      <c r="N22" t="s">
        <v>372</v>
      </c>
      <c r="P22" t="str">
        <f>'Combined Delivery Data'!B21</f>
        <v>RPT_04_Leak Life Cycle</v>
      </c>
      <c r="Q22">
        <f t="shared" si="5"/>
        <v>0</v>
      </c>
      <c r="R22">
        <f t="shared" si="6"/>
        <v>0</v>
      </c>
      <c r="S22" s="28" t="str">
        <f t="shared" si="7"/>
        <v/>
      </c>
      <c r="T22" t="str">
        <f t="shared" si="8"/>
        <v/>
      </c>
    </row>
    <row r="23" spans="1:20">
      <c r="A23" s="31" t="s">
        <v>169</v>
      </c>
      <c r="B23" s="32">
        <v>46266</v>
      </c>
      <c r="C23" s="31" t="s">
        <v>216</v>
      </c>
      <c r="D23" s="31" t="s">
        <v>203</v>
      </c>
      <c r="E23" s="31" t="s">
        <v>47</v>
      </c>
      <c r="F23" s="31" t="s">
        <v>385</v>
      </c>
      <c r="G23" s="31" t="s">
        <v>50</v>
      </c>
      <c r="H23" s="32" t="s">
        <v>46</v>
      </c>
      <c r="I23" s="32">
        <v>46267</v>
      </c>
      <c r="J23" s="32">
        <v>46268</v>
      </c>
      <c r="K23" s="31" t="s">
        <v>46</v>
      </c>
      <c r="L23" s="31" t="s">
        <v>383</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216</v>
      </c>
      <c r="D24" s="31" t="s">
        <v>203</v>
      </c>
      <c r="E24" s="31" t="s">
        <v>47</v>
      </c>
      <c r="F24" s="31" t="s">
        <v>386</v>
      </c>
      <c r="G24" s="31" t="s">
        <v>50</v>
      </c>
      <c r="H24" s="32" t="s">
        <v>46</v>
      </c>
      <c r="I24" s="167">
        <v>46267</v>
      </c>
      <c r="J24" s="32">
        <v>46268</v>
      </c>
      <c r="K24" s="31" t="s">
        <v>46</v>
      </c>
      <c r="L24" s="31" t="s">
        <v>383</v>
      </c>
      <c r="M24" s="3" t="str">
        <f t="shared" ca="1" si="4"/>
        <v>Fixed</v>
      </c>
      <c r="N24" t="s">
        <v>372</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216</v>
      </c>
      <c r="D25" s="31" t="s">
        <v>203</v>
      </c>
      <c r="E25" s="31" t="s">
        <v>47</v>
      </c>
      <c r="F25" s="76" t="s">
        <v>387</v>
      </c>
      <c r="G25" s="31" t="s">
        <v>50</v>
      </c>
      <c r="H25" s="32" t="s">
        <v>46</v>
      </c>
      <c r="I25" s="32">
        <v>46267</v>
      </c>
      <c r="J25" s="32">
        <v>46268</v>
      </c>
      <c r="K25" s="31" t="s">
        <v>46</v>
      </c>
      <c r="L25" s="31" t="s">
        <v>383</v>
      </c>
      <c r="M25" s="3" t="str">
        <f t="shared" ca="1" si="4"/>
        <v>Fixed</v>
      </c>
      <c r="N25" s="33" t="s">
        <v>372</v>
      </c>
      <c r="P25" t="str">
        <f>'Combined Delivery Data'!B24</f>
        <v>Leak 360 Dashboard</v>
      </c>
      <c r="Q25">
        <f t="shared" si="5"/>
        <v>0</v>
      </c>
      <c r="R25">
        <f t="shared" si="6"/>
        <v>0</v>
      </c>
      <c r="S25" s="28" t="str">
        <f t="shared" si="7"/>
        <v/>
      </c>
      <c r="T25" t="str">
        <f t="shared" si="8"/>
        <v/>
      </c>
    </row>
    <row r="26" spans="1:20">
      <c r="A26" s="53" t="s">
        <v>185</v>
      </c>
      <c r="B26" s="32">
        <v>46267</v>
      </c>
      <c r="C26" s="31" t="s">
        <v>216</v>
      </c>
      <c r="D26" s="31" t="s">
        <v>203</v>
      </c>
      <c r="E26" s="31" t="s">
        <v>129</v>
      </c>
      <c r="F26" s="31" t="s">
        <v>388</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30 d</v>
      </c>
      <c r="N26" t="s">
        <v>50</v>
      </c>
      <c r="P26" t="str">
        <f>'Combined Delivery Data'!B25</f>
        <v>RPT_04_Leak Recheck Control</v>
      </c>
      <c r="Q26">
        <f t="shared" si="5"/>
        <v>0</v>
      </c>
      <c r="R26">
        <f t="shared" si="6"/>
        <v>0</v>
      </c>
      <c r="S26" s="28" t="str">
        <f t="shared" si="7"/>
        <v/>
      </c>
      <c r="T26" t="str">
        <f t="shared" si="8"/>
        <v/>
      </c>
    </row>
    <row r="27" spans="1:20">
      <c r="A27" s="53" t="s">
        <v>180</v>
      </c>
      <c r="B27" s="32">
        <v>46267</v>
      </c>
      <c r="C27" s="31" t="s">
        <v>216</v>
      </c>
      <c r="D27" s="31" t="s">
        <v>156</v>
      </c>
      <c r="E27" s="31" t="s">
        <v>129</v>
      </c>
      <c r="F27" s="31" t="s">
        <v>378</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372</v>
      </c>
      <c r="P27" t="str">
        <f>'Combined Delivery Data'!B26</f>
        <v>RPT_04_Main_Replacement Report</v>
      </c>
      <c r="Q27">
        <f t="shared" si="5"/>
        <v>0</v>
      </c>
      <c r="R27">
        <f t="shared" si="6"/>
        <v>0</v>
      </c>
      <c r="S27" s="28" t="str">
        <f t="shared" si="7"/>
        <v/>
      </c>
      <c r="T27" t="str">
        <f t="shared" si="8"/>
        <v/>
      </c>
    </row>
    <row r="28" spans="1:20">
      <c r="A28" s="31" t="s">
        <v>155</v>
      </c>
      <c r="B28" s="32">
        <v>46267</v>
      </c>
      <c r="C28" s="31" t="s">
        <v>216</v>
      </c>
      <c r="D28" s="31" t="s">
        <v>203</v>
      </c>
      <c r="E28" s="31" t="s">
        <v>143</v>
      </c>
      <c r="F28" s="31" t="s">
        <v>389</v>
      </c>
      <c r="G28" s="31" t="s">
        <v>50</v>
      </c>
      <c r="H28" s="32" t="s">
        <v>77</v>
      </c>
      <c r="I28" s="32"/>
      <c r="J28" s="32">
        <v>46267</v>
      </c>
      <c r="K28" s="31" t="s">
        <v>77</v>
      </c>
      <c r="L28" s="31" t="s">
        <v>390</v>
      </c>
      <c r="M28" s="3" t="str">
        <f t="shared" ca="1" si="4"/>
        <v>Fixed</v>
      </c>
      <c r="N28" t="s">
        <v>372</v>
      </c>
      <c r="P28" t="str">
        <f>'Combined Delivery Data'!B27</f>
        <v>New Report: Leak Repair Exception</v>
      </c>
      <c r="Q28">
        <f t="shared" si="5"/>
        <v>0</v>
      </c>
      <c r="R28">
        <f t="shared" si="6"/>
        <v>0</v>
      </c>
      <c r="S28" s="28" t="str">
        <f t="shared" si="7"/>
        <v/>
      </c>
      <c r="T28" t="str">
        <f t="shared" si="8"/>
        <v/>
      </c>
    </row>
    <row r="29" spans="1:20">
      <c r="A29" s="31" t="s">
        <v>136</v>
      </c>
      <c r="B29" s="32">
        <v>46267</v>
      </c>
      <c r="C29" s="31" t="s">
        <v>216</v>
      </c>
      <c r="D29" s="31" t="s">
        <v>203</v>
      </c>
      <c r="E29" s="31" t="s">
        <v>129</v>
      </c>
      <c r="F29" s="31" t="s">
        <v>389</v>
      </c>
      <c r="G29" s="31" t="s">
        <v>50</v>
      </c>
      <c r="H29" s="32" t="s">
        <v>77</v>
      </c>
      <c r="I29" s="32"/>
      <c r="J29" s="32">
        <v>46267</v>
      </c>
      <c r="K29" s="31" t="s">
        <v>77</v>
      </c>
      <c r="L29" s="113" t="s">
        <v>390</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157</v>
      </c>
      <c r="B30" s="32">
        <v>46267</v>
      </c>
      <c r="C30" s="31" t="s">
        <v>216</v>
      </c>
      <c r="D30" s="31" t="s">
        <v>203</v>
      </c>
      <c r="E30" s="31" t="s">
        <v>129</v>
      </c>
      <c r="F30" s="31" t="s">
        <v>389</v>
      </c>
      <c r="G30" s="31" t="s">
        <v>50</v>
      </c>
      <c r="H30" s="32" t="s">
        <v>77</v>
      </c>
      <c r="I30" s="32"/>
      <c r="J30" s="32">
        <v>46267</v>
      </c>
      <c r="K30" s="31" t="s">
        <v>77</v>
      </c>
      <c r="L30" s="113" t="s">
        <v>390</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180</v>
      </c>
      <c r="B31" s="32">
        <v>46267</v>
      </c>
      <c r="C31" s="31" t="s">
        <v>216</v>
      </c>
      <c r="D31" s="31" t="s">
        <v>156</v>
      </c>
      <c r="E31" s="31" t="s">
        <v>129</v>
      </c>
      <c r="F31" s="31" t="s">
        <v>391</v>
      </c>
      <c r="G31" s="31" t="s">
        <v>50</v>
      </c>
      <c r="H31" s="32" t="s">
        <v>154</v>
      </c>
      <c r="I31" s="32"/>
      <c r="J31" s="32">
        <v>46267</v>
      </c>
      <c r="K31" s="31" t="s">
        <v>154</v>
      </c>
      <c r="L31" s="31"/>
      <c r="M31" s="3" t="str">
        <f t="shared" ca="1" si="4"/>
        <v>Fixed</v>
      </c>
      <c r="N31" t="s">
        <v>372</v>
      </c>
      <c r="P31" t="str">
        <f>'Combined Delivery Data'!B30</f>
        <v>RPT_02_Warning Tag HEFPA</v>
      </c>
      <c r="Q31">
        <f t="shared" si="5"/>
        <v>3</v>
      </c>
      <c r="R31">
        <f t="shared" si="6"/>
        <v>0</v>
      </c>
      <c r="S31" s="28">
        <f t="shared" si="7"/>
        <v>46254</v>
      </c>
      <c r="T31" t="str">
        <f t="shared" si="8"/>
        <v>QA -&gt; DB Dev</v>
      </c>
    </row>
    <row r="32" spans="1:20">
      <c r="A32" s="31" t="s">
        <v>164</v>
      </c>
      <c r="B32" s="32">
        <v>46268</v>
      </c>
      <c r="C32" s="31" t="s">
        <v>216</v>
      </c>
      <c r="D32" s="31" t="s">
        <v>156</v>
      </c>
      <c r="E32" s="31" t="s">
        <v>47</v>
      </c>
      <c r="F32" s="31" t="s">
        <v>392</v>
      </c>
      <c r="G32" s="31" t="s">
        <v>50</v>
      </c>
      <c r="H32" s="32" t="s">
        <v>103</v>
      </c>
      <c r="I32" s="32">
        <v>46269</v>
      </c>
      <c r="J32" s="32">
        <v>46269</v>
      </c>
      <c r="K32" s="31"/>
      <c r="L32" s="31" t="s">
        <v>383</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182</v>
      </c>
      <c r="B33" s="32">
        <v>46267</v>
      </c>
      <c r="C33" s="31" t="s">
        <v>216</v>
      </c>
      <c r="D33" s="31" t="s">
        <v>156</v>
      </c>
      <c r="E33" s="31" t="s">
        <v>198</v>
      </c>
      <c r="F33" s="31" t="s">
        <v>393</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164</v>
      </c>
      <c r="B34" s="32">
        <v>46273</v>
      </c>
      <c r="C34" s="31" t="s">
        <v>216</v>
      </c>
      <c r="D34" s="31" t="s">
        <v>156</v>
      </c>
      <c r="E34" s="31" t="s">
        <v>47</v>
      </c>
      <c r="F34" s="31" t="s">
        <v>394</v>
      </c>
      <c r="G34" s="31" t="s">
        <v>50</v>
      </c>
      <c r="H34" s="32" t="s">
        <v>103</v>
      </c>
      <c r="I34" s="32">
        <v>46274</v>
      </c>
      <c r="J34" s="32">
        <v>46274</v>
      </c>
      <c r="K34" s="31"/>
      <c r="L34" s="31" t="s">
        <v>383</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191</v>
      </c>
      <c r="B35" s="32">
        <v>46274</v>
      </c>
      <c r="C35" s="31" t="s">
        <v>216</v>
      </c>
      <c r="D35" s="31" t="s">
        <v>203</v>
      </c>
      <c r="E35" s="31" t="s">
        <v>47</v>
      </c>
      <c r="F35" s="76" t="s">
        <v>395</v>
      </c>
      <c r="G35" s="31" t="s">
        <v>50</v>
      </c>
      <c r="H35" s="32" t="s">
        <v>77</v>
      </c>
      <c r="I35" s="32">
        <v>46275</v>
      </c>
      <c r="J35" s="32">
        <v>46275</v>
      </c>
      <c r="K35" s="31" t="s">
        <v>77</v>
      </c>
      <c r="L35" s="31" t="s">
        <v>396</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180</v>
      </c>
      <c r="B36" s="32">
        <v>46275</v>
      </c>
      <c r="C36" s="31" t="s">
        <v>216</v>
      </c>
      <c r="D36" s="31" t="s">
        <v>156</v>
      </c>
      <c r="E36" s="31" t="s">
        <v>129</v>
      </c>
      <c r="F36" s="31" t="s">
        <v>397</v>
      </c>
      <c r="G36" s="31" t="s">
        <v>50</v>
      </c>
      <c r="H36" s="32" t="s">
        <v>154</v>
      </c>
      <c r="I36" s="32"/>
      <c r="J36" s="32">
        <v>46276</v>
      </c>
      <c r="K36" s="31" t="s">
        <v>154</v>
      </c>
      <c r="L36" s="31"/>
      <c r="M36" s="3" t="str">
        <f t="shared" ca="1" si="4"/>
        <v>Fixed</v>
      </c>
      <c r="N36" t="s">
        <v>372</v>
      </c>
      <c r="P36" t="str">
        <f>'Combined Delivery Data'!B36</f>
        <v>RPT_02_Service Regulator Inspection Printout</v>
      </c>
      <c r="Q36">
        <f t="shared" si="5"/>
        <v>1</v>
      </c>
      <c r="R36">
        <f t="shared" si="6"/>
        <v>0</v>
      </c>
      <c r="S36" s="28">
        <f t="shared" si="7"/>
        <v>46258</v>
      </c>
      <c r="T36" t="str">
        <f t="shared" si="8"/>
        <v>QA -&gt; DB Dev</v>
      </c>
    </row>
    <row r="37" spans="1:20">
      <c r="A37" s="33" t="s">
        <v>185</v>
      </c>
      <c r="B37" s="32">
        <v>46275</v>
      </c>
      <c r="C37" s="31" t="s">
        <v>216</v>
      </c>
      <c r="D37" s="31" t="s">
        <v>156</v>
      </c>
      <c r="E37" s="31" t="s">
        <v>129</v>
      </c>
      <c r="F37" s="31" t="s">
        <v>398</v>
      </c>
      <c r="G37" s="31" t="s">
        <v>53</v>
      </c>
      <c r="H37" s="32" t="s">
        <v>65</v>
      </c>
      <c r="I37" s="32"/>
      <c r="J37" s="32">
        <v>46288</v>
      </c>
      <c r="K37" s="31"/>
      <c r="L37" s="31"/>
      <c r="M37" s="3" t="str">
        <f t="shared" ca="1" si="4"/>
        <v>Fixed</v>
      </c>
      <c r="N37" t="s">
        <v>372</v>
      </c>
      <c r="P37" t="str">
        <f>'Combined Delivery Data'!B37</f>
        <v>RPT_02_20 Year Regulator Inspection</v>
      </c>
      <c r="Q37">
        <f t="shared" si="5"/>
        <v>1</v>
      </c>
      <c r="R37">
        <f t="shared" si="6"/>
        <v>0</v>
      </c>
      <c r="S37" s="28">
        <f t="shared" si="7"/>
        <v>46254</v>
      </c>
      <c r="T37" t="str">
        <f t="shared" si="8"/>
        <v>QA -&gt; DB Dev</v>
      </c>
    </row>
    <row r="38" spans="1:20">
      <c r="A38" s="33" t="s">
        <v>180</v>
      </c>
      <c r="B38" s="32">
        <v>46279</v>
      </c>
      <c r="C38" s="31" t="s">
        <v>216</v>
      </c>
      <c r="D38" s="31" t="s">
        <v>156</v>
      </c>
      <c r="E38" s="31" t="s">
        <v>129</v>
      </c>
      <c r="F38" s="31" t="s">
        <v>399</v>
      </c>
      <c r="G38" s="31" t="s">
        <v>50</v>
      </c>
      <c r="H38" s="32" t="s">
        <v>154</v>
      </c>
      <c r="I38" s="32">
        <v>46282</v>
      </c>
      <c r="J38" s="32">
        <v>46282</v>
      </c>
      <c r="K38" s="31" t="s">
        <v>154</v>
      </c>
      <c r="L38" s="31" t="s">
        <v>400</v>
      </c>
      <c r="M38" s="3" t="str">
        <f t="shared" ca="1" si="4"/>
        <v>Fixed</v>
      </c>
      <c r="N38" t="s">
        <v>372</v>
      </c>
      <c r="P38" t="str">
        <f>'Combined Delivery Data'!B38</f>
        <v>RPT_02_Fixed Factor</v>
      </c>
      <c r="Q38">
        <f t="shared" si="5"/>
        <v>2</v>
      </c>
      <c r="R38">
        <f t="shared" si="6"/>
        <v>0</v>
      </c>
      <c r="S38" s="28">
        <f t="shared" si="7"/>
        <v>46251</v>
      </c>
      <c r="T38" t="str">
        <f t="shared" si="8"/>
        <v>QA -&gt; DB Dev</v>
      </c>
    </row>
    <row r="39" spans="1:20" hidden="1">
      <c r="A39" s="31" t="s">
        <v>188</v>
      </c>
      <c r="B39" s="32">
        <v>46279</v>
      </c>
      <c r="C39" s="31" t="s">
        <v>216</v>
      </c>
      <c r="D39" s="31" t="s">
        <v>203</v>
      </c>
      <c r="E39" s="31" t="s">
        <v>143</v>
      </c>
      <c r="F39" s="31" t="s">
        <v>401</v>
      </c>
      <c r="G39" s="31" t="s">
        <v>50</v>
      </c>
      <c r="H39" s="32" t="s">
        <v>77</v>
      </c>
      <c r="I39" s="32">
        <v>46281</v>
      </c>
      <c r="J39" s="32">
        <v>46281</v>
      </c>
      <c r="K39" s="31" t="s">
        <v>77</v>
      </c>
      <c r="L39" s="31" t="s">
        <v>402</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206</v>
      </c>
      <c r="B40" s="32">
        <v>46280</v>
      </c>
      <c r="C40" s="31" t="s">
        <v>216</v>
      </c>
      <c r="D40" s="31" t="s">
        <v>156</v>
      </c>
      <c r="E40" s="31" t="s">
        <v>47</v>
      </c>
      <c r="F40" s="31" t="s">
        <v>403</v>
      </c>
      <c r="G40" s="31" t="s">
        <v>50</v>
      </c>
      <c r="H40" s="32" t="s">
        <v>44</v>
      </c>
      <c r="I40" s="32">
        <v>46283</v>
      </c>
      <c r="J40" s="32">
        <v>46283</v>
      </c>
      <c r="K40" s="31"/>
      <c r="L40" s="31" t="s">
        <v>404</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201</v>
      </c>
      <c r="B41" s="32">
        <v>46281</v>
      </c>
      <c r="C41" s="31" t="s">
        <v>216</v>
      </c>
      <c r="D41" s="31" t="s">
        <v>203</v>
      </c>
      <c r="E41" s="31" t="s">
        <v>198</v>
      </c>
      <c r="F41" s="31" t="s">
        <v>405</v>
      </c>
      <c r="G41" s="31" t="s">
        <v>50</v>
      </c>
      <c r="H41" s="32" t="s">
        <v>46</v>
      </c>
      <c r="I41" s="32"/>
      <c r="J41" s="32"/>
      <c r="K41" s="31"/>
      <c r="L41" s="31"/>
      <c r="M41" s="3" t="str">
        <f t="shared" ca="1" si="4"/>
        <v>UNCLAIMED 16 d</v>
      </c>
      <c r="P41" t="str">
        <f>'Combined Delivery Data'!B41</f>
        <v>RPT_02_GRO Control</v>
      </c>
      <c r="Q41">
        <f t="shared" si="5"/>
        <v>0</v>
      </c>
      <c r="R41">
        <f t="shared" si="6"/>
        <v>0</v>
      </c>
      <c r="S41" s="28" t="str">
        <f t="shared" si="7"/>
        <v/>
      </c>
      <c r="T41" t="str">
        <f t="shared" si="8"/>
        <v/>
      </c>
    </row>
    <row r="42" spans="1:20" hidden="1">
      <c r="A42" s="31" t="s">
        <v>208</v>
      </c>
      <c r="B42" s="32">
        <v>46282</v>
      </c>
      <c r="C42" s="31" t="s">
        <v>216</v>
      </c>
      <c r="D42" s="31" t="s">
        <v>156</v>
      </c>
      <c r="E42" s="31" t="s">
        <v>47</v>
      </c>
      <c r="F42" s="31" t="s">
        <v>406</v>
      </c>
      <c r="G42" s="31" t="s">
        <v>50</v>
      </c>
      <c r="H42" s="32" t="s">
        <v>154</v>
      </c>
      <c r="I42" s="32">
        <v>46282</v>
      </c>
      <c r="J42" s="32">
        <v>46282</v>
      </c>
      <c r="K42" s="31"/>
      <c r="L42" s="31" t="s">
        <v>407</v>
      </c>
      <c r="M42" s="3" t="str">
        <f t="shared" ca="1" si="4"/>
        <v>Fixed</v>
      </c>
      <c r="P42" t="str">
        <f>'Combined Delivery Data'!B42</f>
        <v>RPT_02_GRO Monitor</v>
      </c>
      <c r="Q42">
        <f t="shared" si="5"/>
        <v>0</v>
      </c>
      <c r="R42">
        <f t="shared" si="6"/>
        <v>0</v>
      </c>
      <c r="S42" s="28" t="str">
        <f t="shared" si="7"/>
        <v/>
      </c>
      <c r="T42" t="str">
        <f t="shared" si="8"/>
        <v/>
      </c>
    </row>
    <row r="43" spans="1:20">
      <c r="A43" s="33" t="s">
        <v>210</v>
      </c>
      <c r="B43" s="32">
        <v>46287</v>
      </c>
      <c r="C43" s="31" t="s">
        <v>216</v>
      </c>
      <c r="D43" s="31" t="s">
        <v>156</v>
      </c>
      <c r="E43" s="31" t="s">
        <v>129</v>
      </c>
      <c r="F43" s="31" t="s">
        <v>408</v>
      </c>
      <c r="G43" s="31" t="s">
        <v>50</v>
      </c>
      <c r="H43" s="32" t="s">
        <v>44</v>
      </c>
      <c r="I43" s="32"/>
      <c r="J43" s="32"/>
      <c r="K43" s="31"/>
      <c r="L43" s="31"/>
      <c r="M43" s="3" t="str">
        <f t="shared" ca="1" si="4"/>
        <v>UNCLAIMED 10 d</v>
      </c>
      <c r="N43" t="s">
        <v>50</v>
      </c>
      <c r="P43" t="str">
        <f>'Combined Delivery Data'!B43</f>
        <v>RPT_02_Public Buildings Inspection</v>
      </c>
      <c r="Q43">
        <f t="shared" si="5"/>
        <v>3</v>
      </c>
      <c r="R43">
        <f t="shared" si="6"/>
        <v>0</v>
      </c>
      <c r="S43" s="28">
        <f t="shared" si="7"/>
        <v>46288</v>
      </c>
      <c r="T43" t="str">
        <f t="shared" si="8"/>
        <v>DPO Approval -&gt; PBI Dev</v>
      </c>
    </row>
    <row r="44" spans="1:20">
      <c r="A44" s="31" t="s">
        <v>164</v>
      </c>
      <c r="B44" s="32">
        <v>46288</v>
      </c>
      <c r="C44" s="31" t="s">
        <v>181</v>
      </c>
      <c r="D44" s="31" t="s">
        <v>203</v>
      </c>
      <c r="E44" s="31" t="s">
        <v>143</v>
      </c>
      <c r="F44" s="31" t="s">
        <v>409</v>
      </c>
      <c r="G44" s="31" t="s">
        <v>50</v>
      </c>
      <c r="H44" s="32" t="s">
        <v>60</v>
      </c>
      <c r="I44" s="32">
        <v>46294</v>
      </c>
      <c r="J44" s="32">
        <v>46295</v>
      </c>
      <c r="K44" s="31" t="s">
        <v>60</v>
      </c>
      <c r="L44" s="31" t="s">
        <v>410</v>
      </c>
      <c r="M44" s="3" t="str">
        <f t="shared" ca="1" si="4"/>
        <v>Fixed</v>
      </c>
      <c r="N44" t="s">
        <v>372</v>
      </c>
      <c r="P44" t="str">
        <f>'Combined Delivery Data'!B44</f>
        <v>RPT_02_Investigate Wall Check and Service Check</v>
      </c>
      <c r="Q44">
        <f t="shared" si="5"/>
        <v>3</v>
      </c>
      <c r="R44">
        <f t="shared" si="6"/>
        <v>0</v>
      </c>
      <c r="S44" s="28">
        <f t="shared" si="7"/>
        <v>46267</v>
      </c>
      <c r="T44" t="str">
        <f t="shared" si="8"/>
        <v>QA -&gt; PBI Dev</v>
      </c>
    </row>
    <row r="45" spans="1:20" ht="15">
      <c r="A45" s="33" t="s">
        <v>222</v>
      </c>
      <c r="B45" s="32">
        <v>46295</v>
      </c>
      <c r="C45" s="31" t="s">
        <v>216</v>
      </c>
      <c r="D45" s="31" t="s">
        <v>156</v>
      </c>
      <c r="E45" s="31" t="s">
        <v>129</v>
      </c>
      <c r="F45" s="31" t="s">
        <v>411</v>
      </c>
      <c r="G45" s="31" t="s">
        <v>53</v>
      </c>
      <c r="H45" s="32"/>
      <c r="I45" s="32"/>
      <c r="J45" s="32"/>
      <c r="K45" s="31"/>
      <c r="L45" s="31"/>
      <c r="M45" s="3" t="str">
        <f t="shared" ca="1" si="4"/>
        <v>UNCLAIMED 2 d</v>
      </c>
      <c r="N45" t="s">
        <v>50</v>
      </c>
      <c r="P45" t="str">
        <f>'Combined Delivery Data'!B45</f>
        <v>RPT_02_Cut Out Orders</v>
      </c>
      <c r="Q45">
        <f t="shared" si="5"/>
        <v>1</v>
      </c>
      <c r="R45">
        <f t="shared" si="6"/>
        <v>0</v>
      </c>
      <c r="S45" s="28">
        <f t="shared" si="7"/>
        <v>46265</v>
      </c>
      <c r="T45" t="str">
        <f t="shared" si="8"/>
        <v>QA -&gt; PBI Dev</v>
      </c>
    </row>
    <row r="46" spans="1:20" ht="15">
      <c r="A46" s="144"/>
      <c r="B46" s="32"/>
      <c r="C46" s="31"/>
      <c r="D46" s="31"/>
      <c r="E46" s="31"/>
      <c r="F46" s="31"/>
      <c r="G46" s="31"/>
      <c r="H46" s="32"/>
      <c r="I46" s="32"/>
      <c r="J46" s="32"/>
      <c r="K46" s="31"/>
      <c r="L46" s="31"/>
      <c r="M46" s="3"/>
      <c r="S46" s="28"/>
    </row>
    <row r="47" spans="1:20">
      <c r="A47" s="31"/>
      <c r="B47" s="32"/>
      <c r="C47" s="31" t="s">
        <v>216</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216</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216</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216</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216</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216</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216</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216</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216</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216</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216</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216</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216</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216</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216</v>
      </c>
      <c r="D61" s="31"/>
      <c r="E61" s="31"/>
      <c r="F61" s="31"/>
      <c r="G61" s="31" t="s">
        <v>53</v>
      </c>
      <c r="H61" s="32"/>
      <c r="I61" s="32"/>
      <c r="J61" s="32"/>
      <c r="K61" s="31"/>
      <c r="L61" s="31"/>
      <c r="M61" s="3" t="str">
        <f t="shared" ca="1" si="4"/>
        <v/>
      </c>
      <c r="P61" t="str">
        <f>'Combined Delivery Data'!B61</f>
        <v>RPT_02_Outside Repeat Leaks</v>
      </c>
      <c r="Q61">
        <f t="shared" si="5"/>
        <v>1</v>
      </c>
      <c r="R61">
        <f t="shared" si="6"/>
        <v>0</v>
      </c>
      <c r="S61" s="28">
        <f t="shared" si="7"/>
        <v>46287</v>
      </c>
      <c r="T61" t="str">
        <f t="shared" si="8"/>
        <v>QA -&gt; DB Dev</v>
      </c>
    </row>
    <row r="62" spans="1:20">
      <c r="A62" s="31"/>
      <c r="B62" s="32"/>
      <c r="C62" s="31" t="s">
        <v>216</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216</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216</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216</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216</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216</v>
      </c>
      <c r="D67" s="31"/>
      <c r="E67" s="31"/>
      <c r="F67" s="31"/>
      <c r="G67" s="31" t="s">
        <v>53</v>
      </c>
      <c r="H67" s="32"/>
      <c r="I67" s="32"/>
      <c r="J67" s="32"/>
      <c r="K67" s="31"/>
      <c r="L67" s="31"/>
      <c r="M67" s="3" t="str">
        <f t="shared" ca="1" si="9"/>
        <v/>
      </c>
      <c r="P67" t="str">
        <f>'Combined Delivery Data'!B67</f>
        <v>RPT_02_Hazardous Above Ground Leak</v>
      </c>
      <c r="Q67">
        <f t="shared" si="5"/>
        <v>1</v>
      </c>
      <c r="R67">
        <f t="shared" si="6"/>
        <v>1</v>
      </c>
      <c r="S67" s="28">
        <f t="shared" si="7"/>
        <v>46295</v>
      </c>
      <c r="T67" t="str">
        <f t="shared" si="8"/>
        <v>QA -&gt; DB Dev</v>
      </c>
    </row>
    <row r="68" spans="1:20">
      <c r="A68" s="31"/>
      <c r="B68" s="32"/>
      <c r="C68" s="31" t="s">
        <v>216</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216</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216</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216</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216</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216</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216</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216</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216</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216</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216</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216</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216</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216</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216</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216</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216</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216</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216</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216</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216</v>
      </c>
      <c r="D88" s="31"/>
      <c r="E88" s="31"/>
      <c r="F88" s="31"/>
      <c r="G88" s="31" t="s">
        <v>53</v>
      </c>
      <c r="H88" s="32"/>
      <c r="I88" s="32"/>
      <c r="J88" s="32"/>
      <c r="K88" s="31"/>
      <c r="L88" s="31"/>
      <c r="M88" s="3" t="str">
        <f t="shared" ca="1" si="10"/>
        <v/>
      </c>
      <c r="P88" t="str">
        <f>'Combined Delivery Data'!B115</f>
        <v>RPT_06_Installed Meters</v>
      </c>
      <c r="Q88">
        <f t="shared" si="11"/>
        <v>0</v>
      </c>
      <c r="R88">
        <f t="shared" si="12"/>
        <v>0</v>
      </c>
      <c r="S88" s="28" t="str">
        <f t="shared" si="13"/>
        <v/>
      </c>
      <c r="T88" t="str">
        <f t="shared" si="14"/>
        <v/>
      </c>
    </row>
    <row r="89" spans="1:20">
      <c r="A89" s="31"/>
      <c r="B89" s="32"/>
      <c r="C89" s="31" t="s">
        <v>216</v>
      </c>
      <c r="D89" s="31"/>
      <c r="E89" s="31"/>
      <c r="F89" s="31"/>
      <c r="G89" s="31" t="s">
        <v>53</v>
      </c>
      <c r="H89" s="32"/>
      <c r="I89" s="32"/>
      <c r="J89" s="32"/>
      <c r="K89" s="31"/>
      <c r="L89" s="31"/>
      <c r="M89" s="3" t="str">
        <f t="shared" ca="1" si="10"/>
        <v/>
      </c>
      <c r="P89">
        <f>'Combined Delivery Data'!B117</f>
        <v>0</v>
      </c>
      <c r="Q89">
        <f t="shared" si="11"/>
        <v>0</v>
      </c>
      <c r="R89">
        <f t="shared" si="12"/>
        <v>453</v>
      </c>
      <c r="S89" s="28">
        <f t="shared" si="13"/>
        <v>0</v>
      </c>
      <c r="T89" t="str">
        <f t="shared" si="14"/>
        <v xml:space="preserve"> -&gt; </v>
      </c>
    </row>
    <row r="90" spans="1:20">
      <c r="A90" s="31"/>
      <c r="B90" s="32"/>
      <c r="C90" s="31" t="s">
        <v>216</v>
      </c>
      <c r="D90" s="31"/>
      <c r="E90" s="31"/>
      <c r="F90" s="31"/>
      <c r="G90" s="31" t="s">
        <v>53</v>
      </c>
      <c r="H90" s="32"/>
      <c r="I90" s="32"/>
      <c r="J90" s="32"/>
      <c r="K90" s="31"/>
      <c r="L90" s="31"/>
      <c r="M90" s="3" t="str">
        <f t="shared" ca="1" si="10"/>
        <v/>
      </c>
      <c r="P90">
        <f>'Combined Delivery Data'!B118</f>
        <v>0</v>
      </c>
      <c r="Q90">
        <f t="shared" si="11"/>
        <v>0</v>
      </c>
      <c r="R90">
        <f t="shared" si="12"/>
        <v>453</v>
      </c>
      <c r="S90" s="28">
        <f t="shared" si="13"/>
        <v>0</v>
      </c>
      <c r="T90" t="str">
        <f t="shared" si="14"/>
        <v xml:space="preserve"> -&gt; </v>
      </c>
    </row>
    <row r="91" spans="1:20">
      <c r="A91" s="31"/>
      <c r="B91" s="32"/>
      <c r="C91" s="31" t="s">
        <v>216</v>
      </c>
      <c r="D91" s="31"/>
      <c r="E91" s="31"/>
      <c r="F91" s="31"/>
      <c r="G91" s="31" t="s">
        <v>53</v>
      </c>
      <c r="H91" s="32"/>
      <c r="I91" s="32"/>
      <c r="J91" s="32"/>
      <c r="K91" s="31"/>
      <c r="L91" s="31"/>
      <c r="M91" s="3" t="str">
        <f t="shared" ca="1" si="10"/>
        <v/>
      </c>
      <c r="P91">
        <f>'Combined Delivery Data'!B119</f>
        <v>0</v>
      </c>
      <c r="Q91">
        <f t="shared" si="11"/>
        <v>0</v>
      </c>
      <c r="R91">
        <f t="shared" si="12"/>
        <v>453</v>
      </c>
      <c r="S91" s="28">
        <f t="shared" si="13"/>
        <v>0</v>
      </c>
      <c r="T91" t="str">
        <f t="shared" si="14"/>
        <v xml:space="preserve"> -&gt; </v>
      </c>
    </row>
    <row r="92" spans="1:20">
      <c r="A92" s="31"/>
      <c r="B92" s="32"/>
      <c r="C92" s="31" t="s">
        <v>216</v>
      </c>
      <c r="D92" s="31"/>
      <c r="E92" s="31"/>
      <c r="F92" s="31"/>
      <c r="G92" s="31" t="s">
        <v>53</v>
      </c>
      <c r="H92" s="32"/>
      <c r="I92" s="32"/>
      <c r="J92" s="32"/>
      <c r="K92" s="31"/>
      <c r="L92" s="31"/>
      <c r="M92" s="3" t="str">
        <f t="shared" ca="1" si="10"/>
        <v/>
      </c>
      <c r="P92">
        <f>'Combined Delivery Data'!B120</f>
        <v>0</v>
      </c>
      <c r="Q92">
        <f t="shared" si="11"/>
        <v>0</v>
      </c>
      <c r="R92">
        <f t="shared" si="12"/>
        <v>453</v>
      </c>
      <c r="S92" s="28">
        <f t="shared" si="13"/>
        <v>0</v>
      </c>
      <c r="T92" t="str">
        <f t="shared" si="14"/>
        <v xml:space="preserve"> -&gt; </v>
      </c>
    </row>
    <row r="93" spans="1:20">
      <c r="A93" s="31"/>
      <c r="B93" s="32"/>
      <c r="C93" s="31" t="s">
        <v>216</v>
      </c>
      <c r="D93" s="31"/>
      <c r="E93" s="31"/>
      <c r="F93" s="31"/>
      <c r="G93" s="31" t="s">
        <v>53</v>
      </c>
      <c r="H93" s="32"/>
      <c r="I93" s="32"/>
      <c r="J93" s="32"/>
      <c r="K93" s="31"/>
      <c r="L93" s="31"/>
      <c r="M93" s="3" t="str">
        <f t="shared" ca="1" si="10"/>
        <v/>
      </c>
      <c r="P93">
        <f>'Combined Delivery Data'!B121</f>
        <v>0</v>
      </c>
      <c r="Q93">
        <f t="shared" si="11"/>
        <v>0</v>
      </c>
      <c r="R93">
        <f t="shared" si="12"/>
        <v>453</v>
      </c>
      <c r="S93" s="28">
        <f t="shared" si="13"/>
        <v>0</v>
      </c>
      <c r="T93" t="str">
        <f t="shared" si="14"/>
        <v xml:space="preserve"> -&gt; </v>
      </c>
    </row>
    <row r="94" spans="1:20">
      <c r="A94" s="31"/>
      <c r="B94" s="32"/>
      <c r="C94" s="31" t="s">
        <v>216</v>
      </c>
      <c r="D94" s="31"/>
      <c r="E94" s="31"/>
      <c r="F94" s="31"/>
      <c r="G94" s="31" t="s">
        <v>53</v>
      </c>
      <c r="H94" s="32"/>
      <c r="I94" s="32"/>
      <c r="J94" s="32"/>
      <c r="K94" s="31"/>
      <c r="L94" s="31"/>
      <c r="M94" s="3" t="str">
        <f t="shared" ca="1" si="10"/>
        <v/>
      </c>
      <c r="P94">
        <f>'Combined Delivery Data'!B122</f>
        <v>0</v>
      </c>
      <c r="Q94">
        <f t="shared" si="11"/>
        <v>0</v>
      </c>
      <c r="R94">
        <f t="shared" si="12"/>
        <v>453</v>
      </c>
      <c r="S94" s="28">
        <f t="shared" si="13"/>
        <v>0</v>
      </c>
      <c r="T94" t="str">
        <f t="shared" si="14"/>
        <v xml:space="preserve"> -&gt; </v>
      </c>
    </row>
    <row r="95" spans="1:20">
      <c r="A95" s="31"/>
      <c r="B95" s="32"/>
      <c r="C95" s="31" t="s">
        <v>216</v>
      </c>
      <c r="D95" s="31"/>
      <c r="E95" s="31"/>
      <c r="F95" s="31"/>
      <c r="G95" s="31" t="s">
        <v>53</v>
      </c>
      <c r="H95" s="32"/>
      <c r="I95" s="32"/>
      <c r="J95" s="32"/>
      <c r="K95" s="31"/>
      <c r="L95" s="31"/>
      <c r="M95" s="3" t="str">
        <f t="shared" ca="1" si="10"/>
        <v/>
      </c>
      <c r="P95">
        <f>'Combined Delivery Data'!B123</f>
        <v>0</v>
      </c>
      <c r="Q95">
        <f t="shared" si="11"/>
        <v>0</v>
      </c>
      <c r="R95">
        <f t="shared" si="12"/>
        <v>453</v>
      </c>
      <c r="S95" s="28">
        <f t="shared" si="13"/>
        <v>0</v>
      </c>
      <c r="T95" t="str">
        <f t="shared" si="14"/>
        <v xml:space="preserve"> -&gt; </v>
      </c>
    </row>
    <row r="96" spans="1:20">
      <c r="A96" s="31"/>
      <c r="B96" s="32"/>
      <c r="C96" s="31" t="s">
        <v>216</v>
      </c>
      <c r="D96" s="31"/>
      <c r="E96" s="31"/>
      <c r="F96" s="31"/>
      <c r="G96" s="31" t="s">
        <v>53</v>
      </c>
      <c r="H96" s="32"/>
      <c r="I96" s="32"/>
      <c r="J96" s="32"/>
      <c r="K96" s="31"/>
      <c r="L96" s="31"/>
      <c r="M96" s="3" t="str">
        <f t="shared" ca="1" si="10"/>
        <v/>
      </c>
      <c r="P96">
        <f>'Combined Delivery Data'!B124</f>
        <v>0</v>
      </c>
      <c r="Q96">
        <f t="shared" si="11"/>
        <v>0</v>
      </c>
      <c r="R96">
        <f t="shared" si="12"/>
        <v>453</v>
      </c>
      <c r="S96" s="28">
        <f t="shared" si="13"/>
        <v>0</v>
      </c>
      <c r="T96" t="str">
        <f t="shared" si="14"/>
        <v xml:space="preserve"> -&gt; </v>
      </c>
    </row>
    <row r="97" spans="1:20">
      <c r="A97" s="31"/>
      <c r="B97" s="32"/>
      <c r="C97" s="31" t="s">
        <v>216</v>
      </c>
      <c r="D97" s="31"/>
      <c r="E97" s="31"/>
      <c r="F97" s="31"/>
      <c r="G97" s="31" t="s">
        <v>53</v>
      </c>
      <c r="H97" s="32"/>
      <c r="I97" s="32"/>
      <c r="J97" s="32"/>
      <c r="K97" s="31"/>
      <c r="L97" s="31"/>
      <c r="M97" s="3" t="str">
        <f t="shared" ca="1" si="10"/>
        <v/>
      </c>
      <c r="P97">
        <f>'Combined Delivery Data'!B125</f>
        <v>0</v>
      </c>
      <c r="Q97">
        <f t="shared" si="11"/>
        <v>0</v>
      </c>
      <c r="R97">
        <f t="shared" si="12"/>
        <v>453</v>
      </c>
      <c r="S97" s="28">
        <f t="shared" si="13"/>
        <v>0</v>
      </c>
      <c r="T97" t="str">
        <f t="shared" si="14"/>
        <v xml:space="preserve"> -&gt; </v>
      </c>
    </row>
    <row r="98" spans="1:20">
      <c r="A98" s="31"/>
      <c r="B98" s="32"/>
      <c r="C98" s="31" t="s">
        <v>216</v>
      </c>
      <c r="D98" s="31"/>
      <c r="E98" s="31"/>
      <c r="F98" s="31"/>
      <c r="G98" s="31" t="s">
        <v>53</v>
      </c>
      <c r="H98" s="32"/>
      <c r="I98" s="32"/>
      <c r="J98" s="32"/>
      <c r="K98" s="31"/>
      <c r="L98" s="31"/>
      <c r="M98" s="3" t="str">
        <f t="shared" ca="1" si="10"/>
        <v/>
      </c>
      <c r="P98">
        <f>'Combined Delivery Data'!B126</f>
        <v>0</v>
      </c>
      <c r="Q98">
        <f t="shared" si="11"/>
        <v>0</v>
      </c>
      <c r="R98">
        <f t="shared" si="12"/>
        <v>453</v>
      </c>
      <c r="S98" s="28">
        <f t="shared" si="13"/>
        <v>0</v>
      </c>
      <c r="T98" t="str">
        <f t="shared" si="14"/>
        <v xml:space="preserve"> -&gt; </v>
      </c>
    </row>
    <row r="99" spans="1:20">
      <c r="A99" s="31"/>
      <c r="B99" s="32"/>
      <c r="C99" s="31" t="s">
        <v>216</v>
      </c>
      <c r="D99" s="31"/>
      <c r="E99" s="31"/>
      <c r="F99" s="31"/>
      <c r="G99" s="31" t="s">
        <v>53</v>
      </c>
      <c r="H99" s="32"/>
      <c r="I99" s="32"/>
      <c r="J99" s="32"/>
      <c r="K99" s="31"/>
      <c r="L99" s="31"/>
      <c r="M99" s="3" t="str">
        <f t="shared" ca="1" si="10"/>
        <v/>
      </c>
      <c r="P99">
        <f>'Combined Delivery Data'!B127</f>
        <v>0</v>
      </c>
      <c r="Q99">
        <f t="shared" si="11"/>
        <v>0</v>
      </c>
      <c r="R99">
        <f t="shared" si="12"/>
        <v>453</v>
      </c>
      <c r="S99" s="28">
        <f t="shared" si="13"/>
        <v>0</v>
      </c>
      <c r="T99" t="str">
        <f t="shared" si="14"/>
        <v xml:space="preserve"> -&gt; </v>
      </c>
    </row>
    <row r="100" spans="1:20">
      <c r="A100" s="31"/>
      <c r="B100" s="32"/>
      <c r="C100" s="31" t="s">
        <v>216</v>
      </c>
      <c r="D100" s="31"/>
      <c r="E100" s="31"/>
      <c r="F100" s="31"/>
      <c r="G100" s="31" t="s">
        <v>53</v>
      </c>
      <c r="H100" s="32"/>
      <c r="I100" s="32"/>
      <c r="J100" s="32"/>
      <c r="K100" s="31"/>
      <c r="L100" s="31"/>
      <c r="M100" s="3" t="str">
        <f t="shared" ca="1" si="10"/>
        <v/>
      </c>
      <c r="P100">
        <f>'Combined Delivery Data'!B128</f>
        <v>0</v>
      </c>
      <c r="Q100">
        <f t="shared" si="11"/>
        <v>0</v>
      </c>
      <c r="R100">
        <f t="shared" si="12"/>
        <v>453</v>
      </c>
      <c r="S100" s="28">
        <f t="shared" si="13"/>
        <v>0</v>
      </c>
      <c r="T100" t="str">
        <f t="shared" si="14"/>
        <v xml:space="preserve"> -&gt; </v>
      </c>
    </row>
    <row r="101" spans="1:20">
      <c r="A101" s="31"/>
      <c r="B101" s="32"/>
      <c r="C101" s="31" t="s">
        <v>216</v>
      </c>
      <c r="D101" s="31"/>
      <c r="E101" s="31"/>
      <c r="F101" s="31"/>
      <c r="G101" s="31" t="s">
        <v>53</v>
      </c>
      <c r="H101" s="32"/>
      <c r="I101" s="32"/>
      <c r="J101" s="32"/>
      <c r="K101" s="31"/>
      <c r="L101" s="31"/>
      <c r="M101" s="3" t="str">
        <f t="shared" ca="1" si="10"/>
        <v/>
      </c>
      <c r="P101">
        <f>'Combined Delivery Data'!B129</f>
        <v>0</v>
      </c>
      <c r="Q101">
        <f t="shared" si="11"/>
        <v>0</v>
      </c>
      <c r="R101">
        <f t="shared" si="12"/>
        <v>453</v>
      </c>
      <c r="S101" s="28">
        <f t="shared" si="13"/>
        <v>0</v>
      </c>
      <c r="T101" t="str">
        <f t="shared" si="14"/>
        <v xml:space="preserve"> -&gt; </v>
      </c>
    </row>
    <row r="102" spans="1:20">
      <c r="A102" s="31"/>
      <c r="B102" s="32"/>
      <c r="C102" s="31" t="s">
        <v>216</v>
      </c>
      <c r="D102" s="31"/>
      <c r="E102" s="31"/>
      <c r="F102" s="31"/>
      <c r="G102" s="31" t="s">
        <v>53</v>
      </c>
      <c r="H102" s="32"/>
      <c r="I102" s="32"/>
      <c r="J102" s="32"/>
      <c r="K102" s="31"/>
      <c r="L102" s="31"/>
      <c r="M102" s="3" t="str">
        <f t="shared" ca="1" si="10"/>
        <v/>
      </c>
      <c r="P102">
        <f>'Combined Delivery Data'!B130</f>
        <v>0</v>
      </c>
      <c r="Q102">
        <f t="shared" si="11"/>
        <v>0</v>
      </c>
      <c r="R102">
        <f t="shared" si="12"/>
        <v>453</v>
      </c>
      <c r="S102" s="28">
        <f t="shared" si="13"/>
        <v>0</v>
      </c>
      <c r="T102" t="str">
        <f t="shared" si="14"/>
        <v xml:space="preserve"> -&gt; </v>
      </c>
    </row>
    <row r="103" spans="1:20">
      <c r="A103" s="31"/>
      <c r="B103" s="32"/>
      <c r="C103" s="31" t="s">
        <v>216</v>
      </c>
      <c r="D103" s="31"/>
      <c r="E103" s="31"/>
      <c r="F103" s="31"/>
      <c r="G103" s="31" t="s">
        <v>53</v>
      </c>
      <c r="H103" s="32"/>
      <c r="I103" s="32"/>
      <c r="J103" s="32"/>
      <c r="K103" s="31"/>
      <c r="L103" s="31"/>
      <c r="M103" s="3" t="str">
        <f t="shared" ca="1" si="10"/>
        <v/>
      </c>
      <c r="P103">
        <f>'Combined Delivery Data'!B131</f>
        <v>0</v>
      </c>
      <c r="Q103">
        <f t="shared" si="11"/>
        <v>0</v>
      </c>
      <c r="R103">
        <f t="shared" si="12"/>
        <v>453</v>
      </c>
      <c r="S103" s="28">
        <f t="shared" si="13"/>
        <v>0</v>
      </c>
      <c r="T103" t="str">
        <f t="shared" si="14"/>
        <v xml:space="preserve"> -&gt; </v>
      </c>
    </row>
    <row r="104" spans="1:20">
      <c r="A104" s="31"/>
      <c r="B104" s="32"/>
      <c r="C104" s="31" t="s">
        <v>216</v>
      </c>
      <c r="D104" s="31"/>
      <c r="E104" s="31"/>
      <c r="F104" s="31"/>
      <c r="G104" s="31" t="s">
        <v>53</v>
      </c>
      <c r="H104" s="32"/>
      <c r="I104" s="32"/>
      <c r="J104" s="32"/>
      <c r="K104" s="31"/>
      <c r="L104" s="31"/>
      <c r="M104" s="3" t="str">
        <f t="shared" ca="1" si="10"/>
        <v/>
      </c>
      <c r="P104">
        <f>'Combined Delivery Data'!B132</f>
        <v>0</v>
      </c>
      <c r="Q104">
        <f t="shared" si="11"/>
        <v>0</v>
      </c>
      <c r="R104">
        <f t="shared" si="12"/>
        <v>453</v>
      </c>
      <c r="S104" s="28">
        <f t="shared" si="13"/>
        <v>0</v>
      </c>
      <c r="T104" t="str">
        <f t="shared" si="14"/>
        <v xml:space="preserve"> -&gt; </v>
      </c>
    </row>
    <row r="105" spans="1:20">
      <c r="A105" s="31"/>
      <c r="B105" s="32"/>
      <c r="C105" s="31" t="s">
        <v>216</v>
      </c>
      <c r="D105" s="31"/>
      <c r="E105" s="31"/>
      <c r="F105" s="31"/>
      <c r="G105" s="31" t="s">
        <v>53</v>
      </c>
      <c r="H105" s="32"/>
      <c r="I105" s="32"/>
      <c r="J105" s="32"/>
      <c r="K105" s="31"/>
      <c r="L105" s="31"/>
      <c r="M105" s="3" t="str">
        <f t="shared" ca="1" si="10"/>
        <v/>
      </c>
      <c r="P105">
        <f>'Combined Delivery Data'!B134</f>
        <v>0</v>
      </c>
      <c r="Q105">
        <f t="shared" si="11"/>
        <v>0</v>
      </c>
      <c r="R105">
        <f t="shared" si="12"/>
        <v>453</v>
      </c>
      <c r="S105" s="28">
        <f t="shared" si="13"/>
        <v>0</v>
      </c>
      <c r="T105" t="str">
        <f t="shared" si="14"/>
        <v xml:space="preserve"> -&gt; </v>
      </c>
    </row>
    <row r="106" spans="1:20">
      <c r="A106" s="31"/>
      <c r="B106" s="32"/>
      <c r="C106" s="31" t="s">
        <v>216</v>
      </c>
      <c r="D106" s="31"/>
      <c r="E106" s="31"/>
      <c r="F106" s="31"/>
      <c r="G106" s="31" t="s">
        <v>53</v>
      </c>
      <c r="H106" s="32"/>
      <c r="I106" s="32"/>
      <c r="J106" s="32"/>
      <c r="K106" s="31"/>
      <c r="L106" s="31"/>
      <c r="M106" s="3" t="str">
        <f t="shared" ca="1" si="10"/>
        <v/>
      </c>
      <c r="P106">
        <f>'Combined Delivery Data'!B135</f>
        <v>0</v>
      </c>
      <c r="Q106">
        <f t="shared" si="11"/>
        <v>0</v>
      </c>
      <c r="R106">
        <f t="shared" si="12"/>
        <v>453</v>
      </c>
      <c r="S106" s="28">
        <f t="shared" si="13"/>
        <v>0</v>
      </c>
      <c r="T106" t="str">
        <f t="shared" si="14"/>
        <v xml:space="preserve"> -&gt; </v>
      </c>
    </row>
    <row r="107" spans="1:20">
      <c r="A107" s="31"/>
      <c r="B107" s="32"/>
      <c r="C107" s="31" t="s">
        <v>216</v>
      </c>
      <c r="D107" s="31"/>
      <c r="E107" s="31"/>
      <c r="F107" s="31"/>
      <c r="G107" s="31" t="s">
        <v>53</v>
      </c>
      <c r="H107" s="32"/>
      <c r="I107" s="32"/>
      <c r="J107" s="32"/>
      <c r="K107" s="31"/>
      <c r="L107" s="31"/>
      <c r="M107" s="3" t="str">
        <f t="shared" ca="1" si="10"/>
        <v/>
      </c>
      <c r="P107">
        <f>'Combined Delivery Data'!B136</f>
        <v>0</v>
      </c>
      <c r="Q107">
        <f t="shared" si="11"/>
        <v>0</v>
      </c>
      <c r="R107">
        <f t="shared" si="12"/>
        <v>453</v>
      </c>
      <c r="S107" s="28">
        <f t="shared" si="13"/>
        <v>0</v>
      </c>
      <c r="T107" t="str">
        <f t="shared" si="14"/>
        <v xml:space="preserve"> -&gt; </v>
      </c>
    </row>
    <row r="108" spans="1:20">
      <c r="A108" s="31"/>
      <c r="B108" s="32"/>
      <c r="C108" s="31" t="s">
        <v>216</v>
      </c>
      <c r="D108" s="31"/>
      <c r="E108" s="31"/>
      <c r="F108" s="31"/>
      <c r="G108" s="31" t="s">
        <v>53</v>
      </c>
      <c r="H108" s="32"/>
      <c r="I108" s="32"/>
      <c r="J108" s="32"/>
      <c r="K108" s="31"/>
      <c r="L108" s="31"/>
      <c r="M108" s="3" t="str">
        <f t="shared" ca="1" si="10"/>
        <v/>
      </c>
      <c r="P108">
        <f>'Combined Delivery Data'!B137</f>
        <v>0</v>
      </c>
      <c r="Q108">
        <f t="shared" si="11"/>
        <v>0</v>
      </c>
      <c r="R108">
        <f t="shared" si="12"/>
        <v>453</v>
      </c>
      <c r="S108" s="28">
        <f t="shared" si="13"/>
        <v>0</v>
      </c>
      <c r="T108" t="str">
        <f t="shared" si="14"/>
        <v xml:space="preserve"> -&gt; </v>
      </c>
    </row>
    <row r="109" spans="1:20">
      <c r="A109" s="31"/>
      <c r="B109" s="32"/>
      <c r="C109" s="31" t="s">
        <v>216</v>
      </c>
      <c r="D109" s="31"/>
      <c r="E109" s="31"/>
      <c r="F109" s="31"/>
      <c r="G109" s="31" t="s">
        <v>53</v>
      </c>
      <c r="H109" s="32"/>
      <c r="I109" s="32"/>
      <c r="J109" s="32"/>
      <c r="K109" s="31"/>
      <c r="L109" s="31"/>
      <c r="M109" s="3" t="str">
        <f t="shared" ca="1" si="10"/>
        <v/>
      </c>
      <c r="P109">
        <f>'Combined Delivery Data'!B138</f>
        <v>0</v>
      </c>
      <c r="Q109">
        <f t="shared" si="11"/>
        <v>0</v>
      </c>
      <c r="R109">
        <f t="shared" si="12"/>
        <v>453</v>
      </c>
      <c r="S109" s="28">
        <f t="shared" si="13"/>
        <v>0</v>
      </c>
      <c r="T109" t="str">
        <f t="shared" si="14"/>
        <v xml:space="preserve"> -&gt; </v>
      </c>
    </row>
    <row r="110" spans="1:20">
      <c r="A110" s="31"/>
      <c r="B110" s="32"/>
      <c r="C110" s="31" t="s">
        <v>216</v>
      </c>
      <c r="D110" s="31"/>
      <c r="E110" s="31"/>
      <c r="F110" s="31"/>
      <c r="G110" s="31" t="s">
        <v>53</v>
      </c>
      <c r="H110" s="32"/>
      <c r="I110" s="32"/>
      <c r="J110" s="32"/>
      <c r="K110" s="31"/>
      <c r="L110" s="31"/>
      <c r="M110" s="3" t="str">
        <f t="shared" ca="1" si="10"/>
        <v/>
      </c>
      <c r="P110">
        <f>'Combined Delivery Data'!B139</f>
        <v>0</v>
      </c>
      <c r="Q110">
        <f t="shared" si="11"/>
        <v>0</v>
      </c>
      <c r="R110">
        <f t="shared" si="12"/>
        <v>453</v>
      </c>
      <c r="S110" s="28">
        <f t="shared" si="13"/>
        <v>0</v>
      </c>
      <c r="T110" t="str">
        <f t="shared" si="14"/>
        <v xml:space="preserve"> -&gt; </v>
      </c>
    </row>
    <row r="111" spans="1:20">
      <c r="A111" s="31"/>
      <c r="B111" s="32"/>
      <c r="C111" s="31" t="s">
        <v>216</v>
      </c>
      <c r="D111" s="31"/>
      <c r="E111" s="31"/>
      <c r="F111" s="31"/>
      <c r="G111" s="31" t="s">
        <v>53</v>
      </c>
      <c r="H111" s="32"/>
      <c r="I111" s="32"/>
      <c r="J111" s="32"/>
      <c r="K111" s="31"/>
      <c r="L111" s="31"/>
      <c r="M111" s="3" t="str">
        <f t="shared" ca="1" si="10"/>
        <v/>
      </c>
      <c r="P111">
        <f>'Combined Delivery Data'!B140</f>
        <v>0</v>
      </c>
      <c r="Q111">
        <f t="shared" si="11"/>
        <v>0</v>
      </c>
      <c r="R111">
        <f t="shared" si="12"/>
        <v>453</v>
      </c>
      <c r="S111" s="28">
        <f t="shared" si="13"/>
        <v>0</v>
      </c>
      <c r="T111" t="str">
        <f t="shared" si="14"/>
        <v xml:space="preserve"> -&gt; </v>
      </c>
    </row>
    <row r="112" spans="1:20">
      <c r="A112" s="31"/>
      <c r="B112" s="32"/>
      <c r="C112" s="31" t="s">
        <v>216</v>
      </c>
      <c r="D112" s="31"/>
      <c r="E112" s="31"/>
      <c r="F112" s="31"/>
      <c r="G112" s="31" t="s">
        <v>53</v>
      </c>
      <c r="H112" s="32"/>
      <c r="I112" s="32"/>
      <c r="J112" s="32"/>
      <c r="K112" s="31"/>
      <c r="L112" s="31"/>
      <c r="M112" s="3" t="str">
        <f t="shared" ca="1" si="10"/>
        <v/>
      </c>
      <c r="P112">
        <f>'Combined Delivery Data'!B141</f>
        <v>0</v>
      </c>
      <c r="Q112">
        <f t="shared" si="11"/>
        <v>0</v>
      </c>
      <c r="R112">
        <f t="shared" si="12"/>
        <v>453</v>
      </c>
      <c r="S112" s="28">
        <f t="shared" si="13"/>
        <v>0</v>
      </c>
      <c r="T112" t="str">
        <f t="shared" si="14"/>
        <v xml:space="preserve"> -&gt; </v>
      </c>
    </row>
    <row r="113" spans="1:20">
      <c r="A113" s="31"/>
      <c r="B113" s="32"/>
      <c r="C113" s="31" t="s">
        <v>216</v>
      </c>
      <c r="D113" s="31"/>
      <c r="E113" s="31"/>
      <c r="F113" s="31"/>
      <c r="G113" s="31" t="s">
        <v>53</v>
      </c>
      <c r="H113" s="32"/>
      <c r="I113" s="32"/>
      <c r="J113" s="32"/>
      <c r="K113" s="31"/>
      <c r="L113" s="31"/>
      <c r="M113" s="3" t="str">
        <f t="shared" ca="1" si="10"/>
        <v/>
      </c>
      <c r="P113">
        <f>'Combined Delivery Data'!B142</f>
        <v>0</v>
      </c>
      <c r="Q113">
        <f t="shared" si="11"/>
        <v>0</v>
      </c>
      <c r="R113">
        <f t="shared" si="12"/>
        <v>453</v>
      </c>
      <c r="S113" s="28">
        <f t="shared" si="13"/>
        <v>0</v>
      </c>
      <c r="T113" t="str">
        <f t="shared" si="14"/>
        <v xml:space="preserve"> -&gt; </v>
      </c>
    </row>
    <row r="114" spans="1:20">
      <c r="A114" s="31"/>
      <c r="B114" s="32"/>
      <c r="C114" s="31" t="s">
        <v>216</v>
      </c>
      <c r="D114" s="31"/>
      <c r="E114" s="31"/>
      <c r="F114" s="31"/>
      <c r="G114" s="31" t="s">
        <v>53</v>
      </c>
      <c r="H114" s="32"/>
      <c r="I114" s="32"/>
      <c r="J114" s="32"/>
      <c r="K114" s="31"/>
      <c r="L114" s="31"/>
      <c r="M114" s="3" t="str">
        <f t="shared" ca="1" si="10"/>
        <v/>
      </c>
      <c r="P114">
        <f>'Combined Delivery Data'!B143</f>
        <v>0</v>
      </c>
      <c r="Q114">
        <f t="shared" si="11"/>
        <v>0</v>
      </c>
      <c r="R114">
        <f t="shared" si="12"/>
        <v>453</v>
      </c>
      <c r="S114" s="28">
        <f t="shared" si="13"/>
        <v>0</v>
      </c>
      <c r="T114" t="str">
        <f t="shared" si="14"/>
        <v xml:space="preserve"> -&gt; </v>
      </c>
    </row>
    <row r="115" spans="1:20">
      <c r="A115" s="31"/>
      <c r="B115" s="32"/>
      <c r="C115" s="31" t="s">
        <v>216</v>
      </c>
      <c r="D115" s="31"/>
      <c r="E115" s="31"/>
      <c r="F115" s="31"/>
      <c r="G115" s="31" t="s">
        <v>53</v>
      </c>
      <c r="H115" s="32"/>
      <c r="I115" s="32"/>
      <c r="J115" s="32"/>
      <c r="K115" s="31"/>
      <c r="L115" s="31"/>
      <c r="M115" s="3" t="str">
        <f t="shared" ca="1" si="10"/>
        <v/>
      </c>
      <c r="P115">
        <f>'Combined Delivery Data'!B144</f>
        <v>0</v>
      </c>
      <c r="Q115">
        <f t="shared" si="11"/>
        <v>0</v>
      </c>
      <c r="R115">
        <f t="shared" si="12"/>
        <v>453</v>
      </c>
      <c r="S115" s="28">
        <f t="shared" si="13"/>
        <v>0</v>
      </c>
      <c r="T115" t="str">
        <f t="shared" si="14"/>
        <v xml:space="preserve"> -&gt; </v>
      </c>
    </row>
    <row r="116" spans="1:20">
      <c r="A116" s="31"/>
      <c r="B116" s="32"/>
      <c r="C116" s="31" t="s">
        <v>216</v>
      </c>
      <c r="D116" s="31"/>
      <c r="E116" s="31"/>
      <c r="F116" s="31"/>
      <c r="G116" s="31" t="s">
        <v>53</v>
      </c>
      <c r="H116" s="32"/>
      <c r="I116" s="32"/>
      <c r="J116" s="32"/>
      <c r="K116" s="31"/>
      <c r="L116" s="31"/>
      <c r="M116" s="3" t="str">
        <f t="shared" ca="1" si="10"/>
        <v/>
      </c>
      <c r="P116">
        <f>'Combined Delivery Data'!B145</f>
        <v>0</v>
      </c>
      <c r="Q116">
        <f t="shared" si="11"/>
        <v>0</v>
      </c>
      <c r="R116">
        <f t="shared" si="12"/>
        <v>453</v>
      </c>
      <c r="S116" s="28">
        <f t="shared" si="13"/>
        <v>0</v>
      </c>
      <c r="T116" t="str">
        <f t="shared" si="14"/>
        <v xml:space="preserve"> -&gt; </v>
      </c>
    </row>
    <row r="117" spans="1:20">
      <c r="A117" s="31"/>
      <c r="B117" s="32"/>
      <c r="C117" s="31" t="s">
        <v>216</v>
      </c>
      <c r="D117" s="31"/>
      <c r="E117" s="31"/>
      <c r="F117" s="31"/>
      <c r="G117" s="31" t="s">
        <v>53</v>
      </c>
      <c r="H117" s="32"/>
      <c r="I117" s="32"/>
      <c r="J117" s="32"/>
      <c r="K117" s="31"/>
      <c r="L117" s="31"/>
      <c r="M117" s="3" t="str">
        <f t="shared" ca="1" si="10"/>
        <v/>
      </c>
      <c r="P117">
        <f>'Combined Delivery Data'!B146</f>
        <v>0</v>
      </c>
      <c r="Q117">
        <f t="shared" si="11"/>
        <v>0</v>
      </c>
      <c r="R117">
        <f t="shared" si="12"/>
        <v>453</v>
      </c>
      <c r="S117" s="28">
        <f t="shared" si="13"/>
        <v>0</v>
      </c>
      <c r="T117" t="str">
        <f t="shared" si="14"/>
        <v xml:space="preserve"> -&gt; </v>
      </c>
    </row>
    <row r="118" spans="1:20">
      <c r="A118" s="31"/>
      <c r="B118" s="32"/>
      <c r="C118" s="31" t="s">
        <v>216</v>
      </c>
      <c r="D118" s="31"/>
      <c r="E118" s="31"/>
      <c r="F118" s="31"/>
      <c r="G118" s="31" t="s">
        <v>53</v>
      </c>
      <c r="H118" s="32"/>
      <c r="I118" s="32"/>
      <c r="J118" s="32"/>
      <c r="K118" s="31"/>
      <c r="L118" s="31"/>
      <c r="M118" s="3" t="str">
        <f t="shared" ca="1" si="10"/>
        <v/>
      </c>
      <c r="P118">
        <f>'Combined Delivery Data'!B147</f>
        <v>0</v>
      </c>
      <c r="Q118">
        <f t="shared" si="11"/>
        <v>0</v>
      </c>
      <c r="R118">
        <f t="shared" si="12"/>
        <v>453</v>
      </c>
      <c r="S118" s="28">
        <f t="shared" si="13"/>
        <v>0</v>
      </c>
      <c r="T118" t="str">
        <f t="shared" si="14"/>
        <v xml:space="preserve"> -&gt; </v>
      </c>
    </row>
    <row r="119" spans="1:20">
      <c r="A119" s="31"/>
      <c r="B119" s="32"/>
      <c r="C119" s="31" t="s">
        <v>216</v>
      </c>
      <c r="D119" s="31"/>
      <c r="E119" s="31"/>
      <c r="F119" s="31"/>
      <c r="G119" s="31" t="s">
        <v>53</v>
      </c>
      <c r="H119" s="32"/>
      <c r="I119" s="32"/>
      <c r="J119" s="32"/>
      <c r="K119" s="31"/>
      <c r="L119" s="31"/>
      <c r="M119" s="3" t="str">
        <f t="shared" ca="1" si="10"/>
        <v/>
      </c>
      <c r="P119">
        <f>'Combined Delivery Data'!B148</f>
        <v>0</v>
      </c>
      <c r="Q119">
        <f t="shared" si="11"/>
        <v>0</v>
      </c>
      <c r="R119">
        <f t="shared" si="12"/>
        <v>453</v>
      </c>
      <c r="S119" s="28">
        <f t="shared" si="13"/>
        <v>0</v>
      </c>
      <c r="T119" t="str">
        <f t="shared" si="14"/>
        <v xml:space="preserve"> -&gt; </v>
      </c>
    </row>
    <row r="120" spans="1:20">
      <c r="A120" s="31"/>
      <c r="B120" s="32"/>
      <c r="C120" s="31" t="s">
        <v>216</v>
      </c>
      <c r="D120" s="31"/>
      <c r="E120" s="31"/>
      <c r="F120" s="31"/>
      <c r="G120" s="31" t="s">
        <v>53</v>
      </c>
      <c r="H120" s="32"/>
      <c r="I120" s="32"/>
      <c r="J120" s="32"/>
      <c r="K120" s="31"/>
      <c r="L120" s="31"/>
      <c r="M120" s="3" t="str">
        <f t="shared" ca="1" si="10"/>
        <v/>
      </c>
      <c r="P120">
        <f>'Combined Delivery Data'!B149</f>
        <v>0</v>
      </c>
      <c r="Q120">
        <f t="shared" si="11"/>
        <v>0</v>
      </c>
      <c r="R120">
        <f t="shared" si="12"/>
        <v>453</v>
      </c>
      <c r="S120" s="28">
        <f t="shared" si="13"/>
        <v>0</v>
      </c>
      <c r="T120" t="str">
        <f t="shared" si="14"/>
        <v xml:space="preserve"> -&gt; </v>
      </c>
    </row>
    <row r="121" spans="1:20">
      <c r="A121" s="31"/>
      <c r="B121" s="32"/>
      <c r="C121" s="31" t="s">
        <v>216</v>
      </c>
      <c r="D121" s="31"/>
      <c r="E121" s="31"/>
      <c r="F121" s="31"/>
      <c r="G121" s="31" t="s">
        <v>53</v>
      </c>
      <c r="H121" s="32"/>
      <c r="I121" s="32"/>
      <c r="J121" s="32"/>
      <c r="K121" s="31"/>
      <c r="L121" s="31"/>
      <c r="M121" s="3" t="str">
        <f t="shared" ca="1" si="10"/>
        <v/>
      </c>
      <c r="P121">
        <f>'Combined Delivery Data'!B150</f>
        <v>0</v>
      </c>
      <c r="Q121">
        <f t="shared" si="11"/>
        <v>0</v>
      </c>
      <c r="R121">
        <f t="shared" si="12"/>
        <v>453</v>
      </c>
      <c r="S121" s="28">
        <f t="shared" si="13"/>
        <v>0</v>
      </c>
      <c r="T121" t="str">
        <f t="shared" si="14"/>
        <v xml:space="preserve"> -&gt; </v>
      </c>
    </row>
    <row r="122" spans="1:20">
      <c r="A122" s="31"/>
      <c r="B122" s="32"/>
      <c r="C122" s="31" t="s">
        <v>216</v>
      </c>
      <c r="D122" s="31"/>
      <c r="E122" s="31"/>
      <c r="F122" s="31"/>
      <c r="G122" s="31" t="s">
        <v>53</v>
      </c>
      <c r="H122" s="32"/>
      <c r="I122" s="32"/>
      <c r="J122" s="32"/>
      <c r="K122" s="31"/>
      <c r="L122" s="31"/>
      <c r="M122" s="3" t="str">
        <f t="shared" ca="1" si="10"/>
        <v/>
      </c>
      <c r="P122">
        <f>'Combined Delivery Data'!B151</f>
        <v>0</v>
      </c>
      <c r="Q122">
        <f t="shared" si="11"/>
        <v>0</v>
      </c>
      <c r="R122">
        <f t="shared" si="12"/>
        <v>453</v>
      </c>
      <c r="S122" s="28">
        <f t="shared" si="13"/>
        <v>0</v>
      </c>
      <c r="T122" t="str">
        <f t="shared" si="14"/>
        <v xml:space="preserve"> -&gt; </v>
      </c>
    </row>
    <row r="123" spans="1:20">
      <c r="A123" s="31"/>
      <c r="B123" s="32"/>
      <c r="C123" s="31" t="s">
        <v>216</v>
      </c>
      <c r="D123" s="31"/>
      <c r="E123" s="31"/>
      <c r="F123" s="31"/>
      <c r="G123" s="31" t="s">
        <v>53</v>
      </c>
      <c r="H123" s="32"/>
      <c r="I123" s="32"/>
      <c r="J123" s="32"/>
      <c r="K123" s="31"/>
      <c r="L123" s="31"/>
      <c r="M123" s="3" t="str">
        <f t="shared" ca="1" si="10"/>
        <v/>
      </c>
      <c r="P123">
        <f>'Combined Delivery Data'!B152</f>
        <v>0</v>
      </c>
      <c r="Q123">
        <f t="shared" si="11"/>
        <v>0</v>
      </c>
      <c r="R123">
        <f t="shared" si="12"/>
        <v>453</v>
      </c>
      <c r="S123" s="28">
        <f t="shared" si="13"/>
        <v>0</v>
      </c>
      <c r="T123" t="str">
        <f t="shared" si="14"/>
        <v xml:space="preserve"> -&gt; </v>
      </c>
    </row>
    <row r="124" spans="1:20">
      <c r="A124" s="31"/>
      <c r="B124" s="32"/>
      <c r="C124" s="31" t="s">
        <v>216</v>
      </c>
      <c r="D124" s="31"/>
      <c r="E124" s="31"/>
      <c r="F124" s="31"/>
      <c r="G124" s="31" t="s">
        <v>53</v>
      </c>
      <c r="H124" s="32"/>
      <c r="I124" s="32"/>
      <c r="J124" s="32"/>
      <c r="K124" s="31"/>
      <c r="L124" s="31"/>
      <c r="M124" s="3" t="str">
        <f t="shared" ca="1" si="10"/>
        <v/>
      </c>
      <c r="P124">
        <f>'Combined Delivery Data'!B153</f>
        <v>0</v>
      </c>
      <c r="Q124">
        <f t="shared" si="11"/>
        <v>0</v>
      </c>
      <c r="R124">
        <f t="shared" si="12"/>
        <v>453</v>
      </c>
      <c r="S124" s="28">
        <f t="shared" si="13"/>
        <v>0</v>
      </c>
      <c r="T124" t="str">
        <f t="shared" si="14"/>
        <v xml:space="preserve"> -&gt; </v>
      </c>
    </row>
    <row r="125" spans="1:20">
      <c r="A125" s="31"/>
      <c r="B125" s="32"/>
      <c r="C125" s="31" t="s">
        <v>216</v>
      </c>
      <c r="D125" s="31"/>
      <c r="E125" s="31"/>
      <c r="F125" s="31"/>
      <c r="G125" s="31" t="s">
        <v>53</v>
      </c>
      <c r="H125" s="32"/>
      <c r="I125" s="32"/>
      <c r="J125" s="32"/>
      <c r="K125" s="31"/>
      <c r="L125" s="31"/>
      <c r="M125" s="3" t="str">
        <f t="shared" ca="1" si="10"/>
        <v/>
      </c>
      <c r="P125">
        <f>'Combined Delivery Data'!B154</f>
        <v>0</v>
      </c>
      <c r="Q125">
        <f t="shared" si="11"/>
        <v>0</v>
      </c>
      <c r="R125">
        <f t="shared" si="12"/>
        <v>453</v>
      </c>
      <c r="S125" s="28">
        <f t="shared" si="13"/>
        <v>0</v>
      </c>
      <c r="T125" t="str">
        <f t="shared" si="14"/>
        <v xml:space="preserve"> -&gt; </v>
      </c>
    </row>
    <row r="126" spans="1:20">
      <c r="A126" s="31"/>
      <c r="B126" s="32"/>
      <c r="C126" s="31" t="s">
        <v>216</v>
      </c>
      <c r="D126" s="31"/>
      <c r="E126" s="31"/>
      <c r="F126" s="31"/>
      <c r="G126" s="31" t="s">
        <v>53</v>
      </c>
      <c r="H126" s="32"/>
      <c r="I126" s="32"/>
      <c r="J126" s="32"/>
      <c r="K126" s="31"/>
      <c r="L126" s="31"/>
      <c r="M126" s="3" t="str">
        <f t="shared" ca="1" si="10"/>
        <v/>
      </c>
      <c r="P126">
        <f>'Combined Delivery Data'!B155</f>
        <v>0</v>
      </c>
      <c r="Q126">
        <f t="shared" si="11"/>
        <v>0</v>
      </c>
      <c r="R126">
        <f t="shared" si="12"/>
        <v>453</v>
      </c>
      <c r="S126" s="28">
        <f t="shared" si="13"/>
        <v>0</v>
      </c>
      <c r="T126" t="str">
        <f t="shared" si="14"/>
        <v xml:space="preserve"> -&gt; </v>
      </c>
    </row>
    <row r="127" spans="1:20">
      <c r="A127" s="31"/>
      <c r="B127" s="32"/>
      <c r="C127" s="31" t="s">
        <v>216</v>
      </c>
      <c r="D127" s="31"/>
      <c r="E127" s="31"/>
      <c r="F127" s="31"/>
      <c r="G127" s="31" t="s">
        <v>53</v>
      </c>
      <c r="H127" s="32"/>
      <c r="I127" s="32"/>
      <c r="J127" s="32"/>
      <c r="K127" s="31"/>
      <c r="L127" s="31"/>
      <c r="M127" s="3" t="str">
        <f t="shared" ca="1" si="10"/>
        <v/>
      </c>
      <c r="P127">
        <f>'Combined Delivery Data'!B156</f>
        <v>0</v>
      </c>
      <c r="Q127">
        <f t="shared" si="11"/>
        <v>0</v>
      </c>
      <c r="R127">
        <f t="shared" si="12"/>
        <v>453</v>
      </c>
      <c r="S127" s="28">
        <f t="shared" si="13"/>
        <v>0</v>
      </c>
      <c r="T127" t="str">
        <f t="shared" si="14"/>
        <v xml:space="preserve"> -&gt; </v>
      </c>
    </row>
    <row r="128" spans="1:20">
      <c r="A128" s="31"/>
      <c r="B128" s="32"/>
      <c r="C128" s="31" t="s">
        <v>216</v>
      </c>
      <c r="D128" s="31"/>
      <c r="E128" s="31"/>
      <c r="F128" s="31"/>
      <c r="G128" s="31" t="s">
        <v>53</v>
      </c>
      <c r="H128" s="32"/>
      <c r="I128" s="32"/>
      <c r="J128" s="32"/>
      <c r="K128" s="31"/>
      <c r="L128" s="31"/>
      <c r="M128" s="3" t="str">
        <f t="shared" ca="1" si="10"/>
        <v/>
      </c>
      <c r="P128">
        <f>'Combined Delivery Data'!B157</f>
        <v>0</v>
      </c>
      <c r="Q128">
        <f t="shared" si="11"/>
        <v>0</v>
      </c>
      <c r="R128">
        <f t="shared" si="12"/>
        <v>453</v>
      </c>
      <c r="S128" s="28">
        <f t="shared" si="13"/>
        <v>0</v>
      </c>
      <c r="T128" t="str">
        <f t="shared" si="14"/>
        <v xml:space="preserve"> -&gt; </v>
      </c>
    </row>
    <row r="129" spans="1:20">
      <c r="A129" s="31"/>
      <c r="B129" s="32"/>
      <c r="C129" s="31" t="s">
        <v>216</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Data'!B158</f>
        <v>0</v>
      </c>
      <c r="Q129">
        <f t="shared" si="11"/>
        <v>0</v>
      </c>
      <c r="R129">
        <f t="shared" si="12"/>
        <v>453</v>
      </c>
      <c r="S129" s="28">
        <f t="shared" si="13"/>
        <v>0</v>
      </c>
      <c r="T129" t="str">
        <f t="shared" si="14"/>
        <v xml:space="preserve"> -&gt; </v>
      </c>
    </row>
    <row r="130" spans="1:20">
      <c r="A130" s="31"/>
      <c r="B130" s="32"/>
      <c r="C130" s="31" t="s">
        <v>216</v>
      </c>
      <c r="D130" s="31"/>
      <c r="E130" s="31"/>
      <c r="F130" s="31"/>
      <c r="G130" s="31" t="s">
        <v>53</v>
      </c>
      <c r="H130" s="32"/>
      <c r="I130" s="32"/>
      <c r="J130" s="32"/>
      <c r="K130" s="31"/>
      <c r="L130" s="31"/>
      <c r="M130" s="3" t="str">
        <f t="shared" ca="1" si="15"/>
        <v/>
      </c>
      <c r="P130">
        <f>'Combined Delivery Data'!B159</f>
        <v>0</v>
      </c>
      <c r="Q130">
        <f t="shared" si="11"/>
        <v>0</v>
      </c>
      <c r="R130">
        <f t="shared" si="12"/>
        <v>453</v>
      </c>
      <c r="S130" s="28">
        <f t="shared" si="13"/>
        <v>0</v>
      </c>
      <c r="T130" t="str">
        <f t="shared" si="14"/>
        <v xml:space="preserve"> -&gt; </v>
      </c>
    </row>
    <row r="131" spans="1:20">
      <c r="A131" s="31"/>
      <c r="B131" s="32"/>
      <c r="C131" s="31" t="s">
        <v>216</v>
      </c>
      <c r="D131" s="31"/>
      <c r="E131" s="31"/>
      <c r="F131" s="31"/>
      <c r="G131" s="31" t="s">
        <v>53</v>
      </c>
      <c r="H131" s="32"/>
      <c r="I131" s="32"/>
      <c r="J131" s="32"/>
      <c r="K131" s="31"/>
      <c r="L131" s="31"/>
      <c r="M131" s="3" t="str">
        <f t="shared" ca="1" si="15"/>
        <v/>
      </c>
      <c r="P131">
        <f>'Combined Delivery Data'!B160</f>
        <v>0</v>
      </c>
      <c r="Q131">
        <f t="shared" si="11"/>
        <v>0</v>
      </c>
      <c r="R131">
        <f t="shared" si="12"/>
        <v>453</v>
      </c>
      <c r="S131" s="28">
        <f t="shared" si="13"/>
        <v>0</v>
      </c>
      <c r="T131" t="str">
        <f t="shared" si="14"/>
        <v xml:space="preserve"> -&gt; </v>
      </c>
    </row>
    <row r="132" spans="1:20">
      <c r="A132" s="31"/>
      <c r="B132" s="32"/>
      <c r="C132" s="31" t="s">
        <v>216</v>
      </c>
      <c r="D132" s="31"/>
      <c r="E132" s="31"/>
      <c r="F132" s="31"/>
      <c r="G132" s="31" t="s">
        <v>53</v>
      </c>
      <c r="H132" s="32"/>
      <c r="I132" s="32"/>
      <c r="J132" s="32"/>
      <c r="K132" s="31"/>
      <c r="L132" s="31"/>
      <c r="M132" s="3" t="str">
        <f t="shared" ca="1" si="15"/>
        <v/>
      </c>
      <c r="P132">
        <f>'Combined Delivery Data'!B161</f>
        <v>0</v>
      </c>
      <c r="Q132">
        <f t="shared" si="11"/>
        <v>0</v>
      </c>
      <c r="R132">
        <f t="shared" si="12"/>
        <v>453</v>
      </c>
      <c r="S132" s="28">
        <f t="shared" si="13"/>
        <v>0</v>
      </c>
      <c r="T132" t="str">
        <f t="shared" si="14"/>
        <v xml:space="preserve"> -&gt; </v>
      </c>
    </row>
    <row r="133" spans="1:20">
      <c r="A133" s="31"/>
      <c r="B133" s="32"/>
      <c r="C133" s="31" t="s">
        <v>216</v>
      </c>
      <c r="D133" s="31"/>
      <c r="E133" s="31"/>
      <c r="F133" s="31"/>
      <c r="G133" s="31" t="s">
        <v>53</v>
      </c>
      <c r="H133" s="32"/>
      <c r="I133" s="32"/>
      <c r="J133" s="32"/>
      <c r="K133" s="31"/>
      <c r="L133" s="31"/>
      <c r="M133" s="3" t="str">
        <f t="shared" ca="1" si="15"/>
        <v/>
      </c>
      <c r="P133">
        <f>'Combined Delivery Data'!B162</f>
        <v>0</v>
      </c>
      <c r="Q133">
        <f t="shared" si="11"/>
        <v>0</v>
      </c>
      <c r="R133">
        <f t="shared" si="12"/>
        <v>453</v>
      </c>
      <c r="S133" s="28">
        <f t="shared" si="13"/>
        <v>0</v>
      </c>
      <c r="T133" t="str">
        <f t="shared" si="14"/>
        <v xml:space="preserve"> -&gt; </v>
      </c>
    </row>
    <row r="134" spans="1:20">
      <c r="A134" s="31"/>
      <c r="B134" s="32"/>
      <c r="C134" s="31" t="s">
        <v>216</v>
      </c>
      <c r="D134" s="31"/>
      <c r="E134" s="31"/>
      <c r="F134" s="31"/>
      <c r="G134" s="31" t="s">
        <v>53</v>
      </c>
      <c r="H134" s="32"/>
      <c r="I134" s="32"/>
      <c r="J134" s="32"/>
      <c r="K134" s="31"/>
      <c r="L134" s="31"/>
      <c r="M134" s="3" t="str">
        <f t="shared" ca="1" si="15"/>
        <v/>
      </c>
      <c r="P134">
        <f>'Combined Delivery Data'!B163</f>
        <v>0</v>
      </c>
      <c r="Q134">
        <f t="shared" si="11"/>
        <v>0</v>
      </c>
      <c r="R134">
        <f t="shared" si="12"/>
        <v>453</v>
      </c>
      <c r="S134" s="28">
        <f t="shared" si="13"/>
        <v>0</v>
      </c>
      <c r="T134" t="str">
        <f t="shared" si="14"/>
        <v xml:space="preserve"> -&gt; </v>
      </c>
    </row>
    <row r="135" spans="1:20">
      <c r="A135" s="31"/>
      <c r="B135" s="32"/>
      <c r="C135" s="31" t="s">
        <v>216</v>
      </c>
      <c r="D135" s="31"/>
      <c r="E135" s="31"/>
      <c r="F135" s="31"/>
      <c r="G135" s="31" t="s">
        <v>53</v>
      </c>
      <c r="H135" s="32"/>
      <c r="I135" s="32"/>
      <c r="J135" s="32"/>
      <c r="K135" s="31"/>
      <c r="L135" s="31"/>
      <c r="M135" s="3" t="str">
        <f t="shared" ca="1" si="15"/>
        <v/>
      </c>
      <c r="P135">
        <f>'Combined Delivery Data'!B164</f>
        <v>0</v>
      </c>
      <c r="Q135">
        <f t="shared" si="11"/>
        <v>0</v>
      </c>
      <c r="R135">
        <f t="shared" si="12"/>
        <v>453</v>
      </c>
      <c r="S135" s="28">
        <f t="shared" si="13"/>
        <v>0</v>
      </c>
      <c r="T135" t="str">
        <f t="shared" si="14"/>
        <v xml:space="preserve"> -&gt; </v>
      </c>
    </row>
    <row r="136" spans="1:20">
      <c r="A136" s="31"/>
      <c r="B136" s="32"/>
      <c r="C136" s="31" t="s">
        <v>216</v>
      </c>
      <c r="D136" s="31"/>
      <c r="E136" s="31"/>
      <c r="F136" s="31"/>
      <c r="G136" s="31" t="s">
        <v>53</v>
      </c>
      <c r="H136" s="32"/>
      <c r="I136" s="32"/>
      <c r="J136" s="32"/>
      <c r="K136" s="31"/>
      <c r="L136" s="31"/>
      <c r="M136" s="3" t="str">
        <f t="shared" ca="1" si="15"/>
        <v/>
      </c>
      <c r="P136">
        <f>'Combined Delivery Data'!B165</f>
        <v>0</v>
      </c>
      <c r="Q136">
        <f t="shared" si="11"/>
        <v>0</v>
      </c>
      <c r="R136">
        <f t="shared" si="12"/>
        <v>453</v>
      </c>
      <c r="S136" s="28">
        <f t="shared" si="13"/>
        <v>0</v>
      </c>
      <c r="T136" t="str">
        <f t="shared" si="14"/>
        <v xml:space="preserve"> -&gt; </v>
      </c>
    </row>
    <row r="137" spans="1:20">
      <c r="A137" s="31"/>
      <c r="B137" s="32"/>
      <c r="C137" s="31" t="s">
        <v>216</v>
      </c>
      <c r="D137" s="31"/>
      <c r="E137" s="31"/>
      <c r="F137" s="31"/>
      <c r="G137" s="31" t="s">
        <v>53</v>
      </c>
      <c r="H137" s="32"/>
      <c r="I137" s="32"/>
      <c r="J137" s="32"/>
      <c r="K137" s="31"/>
      <c r="L137" s="31"/>
      <c r="M137" s="3" t="str">
        <f t="shared" ca="1" si="15"/>
        <v/>
      </c>
      <c r="P137">
        <f>'Combined Delivery Data'!B166</f>
        <v>0</v>
      </c>
      <c r="Q137">
        <f t="shared" si="11"/>
        <v>0</v>
      </c>
      <c r="R137">
        <f t="shared" si="12"/>
        <v>453</v>
      </c>
      <c r="S137" s="28">
        <f t="shared" si="13"/>
        <v>0</v>
      </c>
      <c r="T137" t="str">
        <f t="shared" si="14"/>
        <v xml:space="preserve"> -&gt; </v>
      </c>
    </row>
    <row r="138" spans="1:20">
      <c r="A138" s="31"/>
      <c r="B138" s="32"/>
      <c r="C138" s="31" t="s">
        <v>216</v>
      </c>
      <c r="D138" s="31"/>
      <c r="E138" s="31"/>
      <c r="F138" s="31"/>
      <c r="G138" s="31" t="s">
        <v>53</v>
      </c>
      <c r="H138" s="32"/>
      <c r="I138" s="32"/>
      <c r="J138" s="32"/>
      <c r="K138" s="31"/>
      <c r="L138" s="31"/>
      <c r="M138" s="3" t="str">
        <f t="shared" ca="1" si="15"/>
        <v/>
      </c>
      <c r="P138">
        <f>'Combined Delivery Data'!B167</f>
        <v>0</v>
      </c>
      <c r="Q138">
        <f t="shared" si="11"/>
        <v>0</v>
      </c>
      <c r="R138">
        <f t="shared" si="12"/>
        <v>453</v>
      </c>
      <c r="S138" s="28">
        <f t="shared" si="13"/>
        <v>0</v>
      </c>
      <c r="T138" t="str">
        <f t="shared" si="14"/>
        <v xml:space="preserve"> -&gt; </v>
      </c>
    </row>
    <row r="139" spans="1:20">
      <c r="A139" s="31"/>
      <c r="B139" s="32"/>
      <c r="C139" s="31" t="s">
        <v>216</v>
      </c>
      <c r="D139" s="31"/>
      <c r="E139" s="31"/>
      <c r="F139" s="31"/>
      <c r="G139" s="31" t="s">
        <v>53</v>
      </c>
      <c r="H139" s="32"/>
      <c r="I139" s="32"/>
      <c r="J139" s="32"/>
      <c r="K139" s="31"/>
      <c r="L139" s="31"/>
      <c r="M139" s="3" t="str">
        <f t="shared" ca="1" si="15"/>
        <v/>
      </c>
      <c r="P139">
        <f>'Combined Delivery Data'!B168</f>
        <v>0</v>
      </c>
      <c r="Q139">
        <f t="shared" si="11"/>
        <v>0</v>
      </c>
      <c r="R139">
        <f t="shared" si="12"/>
        <v>453</v>
      </c>
      <c r="S139" s="28">
        <f t="shared" si="13"/>
        <v>0</v>
      </c>
      <c r="T139" t="str">
        <f t="shared" si="14"/>
        <v xml:space="preserve"> -&gt; </v>
      </c>
    </row>
    <row r="140" spans="1:20">
      <c r="A140" s="31"/>
      <c r="B140" s="32"/>
      <c r="C140" s="31" t="s">
        <v>216</v>
      </c>
      <c r="D140" s="31"/>
      <c r="E140" s="31"/>
      <c r="F140" s="31"/>
      <c r="G140" s="31" t="s">
        <v>53</v>
      </c>
      <c r="H140" s="32"/>
      <c r="I140" s="32"/>
      <c r="J140" s="32"/>
      <c r="K140" s="31"/>
      <c r="L140" s="31"/>
      <c r="M140" s="3" t="str">
        <f t="shared" ca="1" si="15"/>
        <v/>
      </c>
      <c r="P140">
        <f>'Combined Delivery Data'!B169</f>
        <v>0</v>
      </c>
      <c r="Q140">
        <f t="shared" si="11"/>
        <v>0</v>
      </c>
      <c r="R140">
        <f t="shared" si="12"/>
        <v>453</v>
      </c>
      <c r="S140" s="28">
        <f t="shared" si="13"/>
        <v>0</v>
      </c>
      <c r="T140" t="str">
        <f t="shared" si="14"/>
        <v xml:space="preserve"> -&gt; </v>
      </c>
    </row>
    <row r="141" spans="1:20">
      <c r="A141" s="31"/>
      <c r="B141" s="32"/>
      <c r="C141" s="31" t="s">
        <v>216</v>
      </c>
      <c r="D141" s="31"/>
      <c r="E141" s="31"/>
      <c r="F141" s="31"/>
      <c r="G141" s="31" t="s">
        <v>53</v>
      </c>
      <c r="H141" s="32"/>
      <c r="I141" s="32"/>
      <c r="J141" s="32"/>
      <c r="K141" s="31"/>
      <c r="L141" s="31"/>
      <c r="M141" s="3" t="str">
        <f t="shared" ca="1" si="15"/>
        <v/>
      </c>
      <c r="P141">
        <f>'Combined Delivery Data'!B170</f>
        <v>0</v>
      </c>
      <c r="Q141">
        <f t="shared" si="11"/>
        <v>0</v>
      </c>
      <c r="R141">
        <f t="shared" si="12"/>
        <v>453</v>
      </c>
      <c r="S141" s="28">
        <f t="shared" si="13"/>
        <v>0</v>
      </c>
      <c r="T141" t="str">
        <f t="shared" si="14"/>
        <v xml:space="preserve"> -&gt; </v>
      </c>
    </row>
    <row r="142" spans="1:20">
      <c r="A142" s="31"/>
      <c r="B142" s="32"/>
      <c r="C142" s="31" t="s">
        <v>216</v>
      </c>
      <c r="D142" s="31"/>
      <c r="E142" s="31"/>
      <c r="F142" s="31"/>
      <c r="G142" s="31" t="s">
        <v>53</v>
      </c>
      <c r="H142" s="32"/>
      <c r="I142" s="32"/>
      <c r="J142" s="32"/>
      <c r="K142" s="31"/>
      <c r="L142" s="31"/>
      <c r="M142" s="3" t="str">
        <f t="shared" ca="1" si="15"/>
        <v/>
      </c>
      <c r="P142">
        <f>'Combined Delivery Data'!B171</f>
        <v>0</v>
      </c>
      <c r="Q142">
        <f t="shared" si="11"/>
        <v>0</v>
      </c>
      <c r="R142">
        <f t="shared" si="12"/>
        <v>453</v>
      </c>
      <c r="S142" s="28">
        <f t="shared" si="13"/>
        <v>0</v>
      </c>
      <c r="T142" t="str">
        <f t="shared" si="14"/>
        <v xml:space="preserve"> -&gt; </v>
      </c>
    </row>
    <row r="143" spans="1:20">
      <c r="A143" s="31"/>
      <c r="B143" s="32"/>
      <c r="C143" s="31" t="s">
        <v>216</v>
      </c>
      <c r="D143" s="31"/>
      <c r="E143" s="31"/>
      <c r="F143" s="31"/>
      <c r="G143" s="31" t="s">
        <v>53</v>
      </c>
      <c r="H143" s="32"/>
      <c r="I143" s="32"/>
      <c r="J143" s="32"/>
      <c r="K143" s="31"/>
      <c r="L143" s="31"/>
      <c r="M143" s="3" t="str">
        <f t="shared" ca="1" si="15"/>
        <v/>
      </c>
      <c r="P143">
        <f>'Combined Delivery Data'!B172</f>
        <v>0</v>
      </c>
      <c r="Q143">
        <f t="shared" si="11"/>
        <v>0</v>
      </c>
      <c r="R143">
        <f t="shared" si="12"/>
        <v>453</v>
      </c>
      <c r="S143" s="28">
        <f t="shared" si="13"/>
        <v>0</v>
      </c>
      <c r="T143" t="str">
        <f t="shared" si="14"/>
        <v xml:space="preserve"> -&gt; </v>
      </c>
    </row>
    <row r="144" spans="1:20">
      <c r="A144" s="31"/>
      <c r="B144" s="32"/>
      <c r="C144" s="31" t="s">
        <v>216</v>
      </c>
      <c r="D144" s="31"/>
      <c r="E144" s="31"/>
      <c r="F144" s="31"/>
      <c r="G144" s="31" t="s">
        <v>53</v>
      </c>
      <c r="H144" s="32"/>
      <c r="I144" s="32"/>
      <c r="J144" s="32"/>
      <c r="K144" s="31"/>
      <c r="L144" s="31"/>
      <c r="M144" s="3" t="str">
        <f t="shared" ca="1" si="15"/>
        <v/>
      </c>
      <c r="P144">
        <f>'Combined Delivery Data'!B173</f>
        <v>0</v>
      </c>
      <c r="Q144">
        <f t="shared" si="11"/>
        <v>0</v>
      </c>
      <c r="R144">
        <f t="shared" si="12"/>
        <v>453</v>
      </c>
      <c r="S144" s="28">
        <f t="shared" si="13"/>
        <v>0</v>
      </c>
      <c r="T144" t="str">
        <f t="shared" si="14"/>
        <v xml:space="preserve"> -&gt; </v>
      </c>
    </row>
    <row r="145" spans="1:20">
      <c r="A145" s="31"/>
      <c r="B145" s="32"/>
      <c r="C145" s="31" t="s">
        <v>216</v>
      </c>
      <c r="D145" s="31"/>
      <c r="E145" s="31"/>
      <c r="F145" s="31"/>
      <c r="G145" s="31" t="s">
        <v>53</v>
      </c>
      <c r="H145" s="32"/>
      <c r="I145" s="32"/>
      <c r="J145" s="32"/>
      <c r="K145" s="31"/>
      <c r="L145" s="31"/>
      <c r="M145" s="3" t="str">
        <f t="shared" ca="1" si="15"/>
        <v/>
      </c>
      <c r="P145">
        <f>'Combined Delivery Data'!B174</f>
        <v>0</v>
      </c>
      <c r="Q145">
        <f t="shared" si="11"/>
        <v>0</v>
      </c>
      <c r="R145">
        <f t="shared" si="12"/>
        <v>453</v>
      </c>
      <c r="S145" s="28">
        <f t="shared" si="13"/>
        <v>0</v>
      </c>
      <c r="T145" t="str">
        <f t="shared" si="14"/>
        <v xml:space="preserve"> -&gt; </v>
      </c>
    </row>
    <row r="146" spans="1:20">
      <c r="A146" s="31"/>
      <c r="B146" s="32"/>
      <c r="C146" s="31" t="s">
        <v>216</v>
      </c>
      <c r="D146" s="31"/>
      <c r="E146" s="31"/>
      <c r="F146" s="31"/>
      <c r="G146" s="31" t="s">
        <v>53</v>
      </c>
      <c r="H146" s="32"/>
      <c r="I146" s="32"/>
      <c r="J146" s="32"/>
      <c r="K146" s="31"/>
      <c r="L146" s="31"/>
      <c r="M146" s="3" t="str">
        <f t="shared" ca="1" si="15"/>
        <v/>
      </c>
      <c r="P146">
        <f>'Combined Delivery Data'!B175</f>
        <v>0</v>
      </c>
      <c r="Q146">
        <f t="shared" ref="Q146:Q209" si="16">IF($P146="","",COUNTIF($A$3:$A$498,$P146))</f>
        <v>0</v>
      </c>
      <c r="R146">
        <f t="shared" ref="R146:R209" si="17">IF($P146="","",SUMPRODUCT(($A$3:$A$498=$P146)*($G$3:$G$498&lt;&gt;"Yes")*($G$3:$G$498&lt;&gt;"Did not pass re-test")))</f>
        <v>453</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216</v>
      </c>
      <c r="D147" s="31"/>
      <c r="E147" s="31"/>
      <c r="F147" s="31"/>
      <c r="G147" s="31" t="s">
        <v>53</v>
      </c>
      <c r="H147" s="32"/>
      <c r="I147" s="32"/>
      <c r="J147" s="32"/>
      <c r="K147" s="31"/>
      <c r="L147" s="31"/>
      <c r="M147" s="3" t="str">
        <f t="shared" ca="1" si="15"/>
        <v/>
      </c>
      <c r="P147">
        <f>'Combined Delivery Data'!B176</f>
        <v>0</v>
      </c>
      <c r="Q147">
        <f t="shared" si="16"/>
        <v>0</v>
      </c>
      <c r="R147">
        <f t="shared" si="17"/>
        <v>453</v>
      </c>
      <c r="S147" s="28">
        <f t="shared" si="18"/>
        <v>0</v>
      </c>
      <c r="T147" t="str">
        <f t="shared" si="19"/>
        <v xml:space="preserve"> -&gt; </v>
      </c>
    </row>
    <row r="148" spans="1:20">
      <c r="A148" s="31"/>
      <c r="B148" s="32"/>
      <c r="C148" s="31" t="s">
        <v>216</v>
      </c>
      <c r="D148" s="31"/>
      <c r="E148" s="31"/>
      <c r="F148" s="31"/>
      <c r="G148" s="31" t="s">
        <v>53</v>
      </c>
      <c r="H148" s="32"/>
      <c r="I148" s="32"/>
      <c r="J148" s="32"/>
      <c r="K148" s="31"/>
      <c r="L148" s="31"/>
      <c r="M148" s="3" t="str">
        <f t="shared" ca="1" si="15"/>
        <v/>
      </c>
      <c r="P148">
        <f>'Combined Delivery Data'!B177</f>
        <v>0</v>
      </c>
      <c r="Q148">
        <f t="shared" si="16"/>
        <v>0</v>
      </c>
      <c r="R148">
        <f t="shared" si="17"/>
        <v>453</v>
      </c>
      <c r="S148" s="28">
        <f t="shared" si="18"/>
        <v>0</v>
      </c>
      <c r="T148" t="str">
        <f t="shared" si="19"/>
        <v xml:space="preserve"> -&gt; </v>
      </c>
    </row>
    <row r="149" spans="1:20">
      <c r="A149" s="31"/>
      <c r="B149" s="32"/>
      <c r="C149" s="31" t="s">
        <v>216</v>
      </c>
      <c r="D149" s="31"/>
      <c r="E149" s="31"/>
      <c r="F149" s="31"/>
      <c r="G149" s="31" t="s">
        <v>53</v>
      </c>
      <c r="H149" s="32"/>
      <c r="I149" s="32"/>
      <c r="J149" s="32"/>
      <c r="K149" s="31"/>
      <c r="L149" s="31"/>
      <c r="M149" s="3" t="str">
        <f t="shared" ca="1" si="15"/>
        <v/>
      </c>
      <c r="P149">
        <f>'Combined Delivery Data'!B178</f>
        <v>0</v>
      </c>
      <c r="Q149">
        <f t="shared" si="16"/>
        <v>0</v>
      </c>
      <c r="R149">
        <f t="shared" si="17"/>
        <v>453</v>
      </c>
      <c r="S149" s="28">
        <f t="shared" si="18"/>
        <v>0</v>
      </c>
      <c r="T149" t="str">
        <f t="shared" si="19"/>
        <v xml:space="preserve"> -&gt; </v>
      </c>
    </row>
    <row r="150" spans="1:20">
      <c r="A150" s="31"/>
      <c r="B150" s="32"/>
      <c r="C150" s="31" t="s">
        <v>216</v>
      </c>
      <c r="D150" s="31"/>
      <c r="E150" s="31"/>
      <c r="F150" s="31"/>
      <c r="G150" s="31" t="s">
        <v>53</v>
      </c>
      <c r="H150" s="32"/>
      <c r="I150" s="32"/>
      <c r="J150" s="32"/>
      <c r="K150" s="31"/>
      <c r="L150" s="31"/>
      <c r="M150" s="3" t="str">
        <f t="shared" ca="1" si="15"/>
        <v/>
      </c>
      <c r="P150">
        <f>'Combined Delivery Data'!B179</f>
        <v>0</v>
      </c>
      <c r="Q150">
        <f t="shared" si="16"/>
        <v>0</v>
      </c>
      <c r="R150">
        <f t="shared" si="17"/>
        <v>453</v>
      </c>
      <c r="S150" s="28">
        <f t="shared" si="18"/>
        <v>0</v>
      </c>
      <c r="T150" t="str">
        <f t="shared" si="19"/>
        <v xml:space="preserve"> -&gt; </v>
      </c>
    </row>
    <row r="151" spans="1:20">
      <c r="A151" s="31"/>
      <c r="B151" s="32"/>
      <c r="C151" s="31" t="s">
        <v>216</v>
      </c>
      <c r="D151" s="31"/>
      <c r="E151" s="31"/>
      <c r="F151" s="31"/>
      <c r="G151" s="31" t="s">
        <v>53</v>
      </c>
      <c r="H151" s="32"/>
      <c r="I151" s="32"/>
      <c r="J151" s="32"/>
      <c r="K151" s="31"/>
      <c r="L151" s="31"/>
      <c r="M151" s="3" t="str">
        <f t="shared" ca="1" si="15"/>
        <v/>
      </c>
      <c r="P151">
        <f>'Combined Delivery Data'!B180</f>
        <v>0</v>
      </c>
      <c r="Q151">
        <f t="shared" si="16"/>
        <v>0</v>
      </c>
      <c r="R151">
        <f t="shared" si="17"/>
        <v>453</v>
      </c>
      <c r="S151" s="28">
        <f t="shared" si="18"/>
        <v>0</v>
      </c>
      <c r="T151" t="str">
        <f t="shared" si="19"/>
        <v xml:space="preserve"> -&gt; </v>
      </c>
    </row>
    <row r="152" spans="1:20">
      <c r="A152" s="31"/>
      <c r="B152" s="32"/>
      <c r="C152" s="31" t="s">
        <v>216</v>
      </c>
      <c r="D152" s="31"/>
      <c r="E152" s="31"/>
      <c r="F152" s="31"/>
      <c r="G152" s="31" t="s">
        <v>53</v>
      </c>
      <c r="H152" s="32"/>
      <c r="I152" s="32"/>
      <c r="J152" s="32"/>
      <c r="K152" s="31"/>
      <c r="L152" s="31"/>
      <c r="M152" s="3" t="str">
        <f t="shared" ca="1" si="15"/>
        <v/>
      </c>
      <c r="P152">
        <f>'Combined Delivery Data'!B181</f>
        <v>0</v>
      </c>
      <c r="Q152">
        <f t="shared" si="16"/>
        <v>0</v>
      </c>
      <c r="R152">
        <f t="shared" si="17"/>
        <v>453</v>
      </c>
      <c r="S152" s="28">
        <f t="shared" si="18"/>
        <v>0</v>
      </c>
      <c r="T152" t="str">
        <f t="shared" si="19"/>
        <v xml:space="preserve"> -&gt; </v>
      </c>
    </row>
    <row r="153" spans="1:20">
      <c r="A153" s="31"/>
      <c r="B153" s="32"/>
      <c r="C153" s="31" t="s">
        <v>216</v>
      </c>
      <c r="D153" s="31"/>
      <c r="E153" s="31"/>
      <c r="F153" s="31"/>
      <c r="G153" s="31" t="s">
        <v>53</v>
      </c>
      <c r="H153" s="32"/>
      <c r="I153" s="32"/>
      <c r="J153" s="32"/>
      <c r="K153" s="31"/>
      <c r="L153" s="31"/>
      <c r="M153" s="3" t="str">
        <f t="shared" ca="1" si="15"/>
        <v/>
      </c>
      <c r="P153">
        <f>'Combined Delivery Data'!B182</f>
        <v>0</v>
      </c>
      <c r="Q153">
        <f t="shared" si="16"/>
        <v>0</v>
      </c>
      <c r="R153">
        <f t="shared" si="17"/>
        <v>453</v>
      </c>
      <c r="S153" s="28">
        <f t="shared" si="18"/>
        <v>0</v>
      </c>
      <c r="T153" t="str">
        <f t="shared" si="19"/>
        <v xml:space="preserve"> -&gt; </v>
      </c>
    </row>
    <row r="154" spans="1:20">
      <c r="A154" s="31"/>
      <c r="B154" s="32"/>
      <c r="C154" s="31" t="s">
        <v>216</v>
      </c>
      <c r="D154" s="31"/>
      <c r="E154" s="31"/>
      <c r="F154" s="31"/>
      <c r="G154" s="31" t="s">
        <v>53</v>
      </c>
      <c r="H154" s="32"/>
      <c r="I154" s="32"/>
      <c r="J154" s="32"/>
      <c r="K154" s="31"/>
      <c r="L154" s="31"/>
      <c r="M154" s="3" t="str">
        <f t="shared" ca="1" si="15"/>
        <v/>
      </c>
      <c r="P154">
        <f>'Combined Delivery Data'!B183</f>
        <v>0</v>
      </c>
      <c r="Q154">
        <f t="shared" si="16"/>
        <v>0</v>
      </c>
      <c r="R154">
        <f t="shared" si="17"/>
        <v>453</v>
      </c>
      <c r="S154" s="28">
        <f t="shared" si="18"/>
        <v>0</v>
      </c>
      <c r="T154" t="str">
        <f t="shared" si="19"/>
        <v xml:space="preserve"> -&gt; </v>
      </c>
    </row>
    <row r="155" spans="1:20">
      <c r="A155" s="31"/>
      <c r="B155" s="32"/>
      <c r="C155" s="31" t="s">
        <v>216</v>
      </c>
      <c r="D155" s="31"/>
      <c r="E155" s="31"/>
      <c r="F155" s="31"/>
      <c r="G155" s="31" t="s">
        <v>53</v>
      </c>
      <c r="H155" s="32"/>
      <c r="I155" s="32"/>
      <c r="J155" s="32"/>
      <c r="K155" s="31"/>
      <c r="L155" s="31"/>
      <c r="M155" s="3" t="str">
        <f t="shared" ca="1" si="15"/>
        <v/>
      </c>
      <c r="P155">
        <f>'Combined Delivery Data'!B184</f>
        <v>0</v>
      </c>
      <c r="Q155">
        <f t="shared" si="16"/>
        <v>0</v>
      </c>
      <c r="R155">
        <f t="shared" si="17"/>
        <v>453</v>
      </c>
      <c r="S155" s="28">
        <f t="shared" si="18"/>
        <v>0</v>
      </c>
      <c r="T155" t="str">
        <f t="shared" si="19"/>
        <v xml:space="preserve"> -&gt; </v>
      </c>
    </row>
    <row r="156" spans="1:20">
      <c r="A156" s="31"/>
      <c r="B156" s="32"/>
      <c r="C156" s="31" t="s">
        <v>216</v>
      </c>
      <c r="D156" s="31"/>
      <c r="E156" s="31"/>
      <c r="F156" s="31"/>
      <c r="G156" s="31" t="s">
        <v>53</v>
      </c>
      <c r="H156" s="32"/>
      <c r="I156" s="32"/>
      <c r="J156" s="32"/>
      <c r="K156" s="31"/>
      <c r="L156" s="31"/>
      <c r="M156" s="3" t="str">
        <f t="shared" ca="1" si="15"/>
        <v/>
      </c>
      <c r="P156">
        <f>'Combined Delivery Data'!B185</f>
        <v>0</v>
      </c>
      <c r="Q156">
        <f t="shared" si="16"/>
        <v>0</v>
      </c>
      <c r="R156">
        <f t="shared" si="17"/>
        <v>453</v>
      </c>
      <c r="S156" s="28">
        <f t="shared" si="18"/>
        <v>0</v>
      </c>
      <c r="T156" t="str">
        <f t="shared" si="19"/>
        <v xml:space="preserve"> -&gt; </v>
      </c>
    </row>
    <row r="157" spans="1:20">
      <c r="A157" s="31"/>
      <c r="B157" s="32"/>
      <c r="C157" s="31" t="s">
        <v>216</v>
      </c>
      <c r="D157" s="31"/>
      <c r="E157" s="31"/>
      <c r="F157" s="31"/>
      <c r="G157" s="31" t="s">
        <v>53</v>
      </c>
      <c r="H157" s="32"/>
      <c r="I157" s="32"/>
      <c r="J157" s="32"/>
      <c r="K157" s="31"/>
      <c r="L157" s="31"/>
      <c r="M157" s="3" t="str">
        <f t="shared" ca="1" si="15"/>
        <v/>
      </c>
      <c r="P157">
        <f>'Combined Delivery Data'!B186</f>
        <v>0</v>
      </c>
      <c r="Q157">
        <f t="shared" si="16"/>
        <v>0</v>
      </c>
      <c r="R157">
        <f t="shared" si="17"/>
        <v>453</v>
      </c>
      <c r="S157" s="28">
        <f t="shared" si="18"/>
        <v>0</v>
      </c>
      <c r="T157" t="str">
        <f t="shared" si="19"/>
        <v xml:space="preserve"> -&gt; </v>
      </c>
    </row>
    <row r="158" spans="1:20">
      <c r="A158" s="31"/>
      <c r="B158" s="32"/>
      <c r="C158" s="31" t="s">
        <v>216</v>
      </c>
      <c r="D158" s="31"/>
      <c r="E158" s="31"/>
      <c r="F158" s="31"/>
      <c r="G158" s="31" t="s">
        <v>53</v>
      </c>
      <c r="H158" s="32"/>
      <c r="I158" s="32"/>
      <c r="J158" s="32"/>
      <c r="K158" s="31"/>
      <c r="L158" s="31"/>
      <c r="M158" s="3" t="str">
        <f t="shared" ca="1" si="15"/>
        <v/>
      </c>
      <c r="P158">
        <f>'Combined Delivery Data'!B187</f>
        <v>0</v>
      </c>
      <c r="Q158">
        <f t="shared" si="16"/>
        <v>0</v>
      </c>
      <c r="R158">
        <f t="shared" si="17"/>
        <v>453</v>
      </c>
      <c r="S158" s="28">
        <f t="shared" si="18"/>
        <v>0</v>
      </c>
      <c r="T158" t="str">
        <f t="shared" si="19"/>
        <v xml:space="preserve"> -&gt; </v>
      </c>
    </row>
    <row r="159" spans="1:20">
      <c r="A159" s="31"/>
      <c r="B159" s="32"/>
      <c r="C159" s="31" t="s">
        <v>216</v>
      </c>
      <c r="D159" s="31"/>
      <c r="E159" s="31"/>
      <c r="F159" s="31"/>
      <c r="G159" s="31" t="s">
        <v>53</v>
      </c>
      <c r="H159" s="32"/>
      <c r="I159" s="32"/>
      <c r="J159" s="32"/>
      <c r="K159" s="31"/>
      <c r="L159" s="31"/>
      <c r="M159" s="3" t="str">
        <f t="shared" ca="1" si="15"/>
        <v/>
      </c>
      <c r="P159">
        <f>'Combined Delivery Data'!B188</f>
        <v>0</v>
      </c>
      <c r="Q159">
        <f t="shared" si="16"/>
        <v>0</v>
      </c>
      <c r="R159">
        <f t="shared" si="17"/>
        <v>453</v>
      </c>
      <c r="S159" s="28">
        <f t="shared" si="18"/>
        <v>0</v>
      </c>
      <c r="T159" t="str">
        <f t="shared" si="19"/>
        <v xml:space="preserve"> -&gt; </v>
      </c>
    </row>
    <row r="160" spans="1:20">
      <c r="A160" s="31"/>
      <c r="B160" s="32"/>
      <c r="C160" s="31" t="s">
        <v>216</v>
      </c>
      <c r="D160" s="31"/>
      <c r="E160" s="31"/>
      <c r="F160" s="31"/>
      <c r="G160" s="31" t="s">
        <v>53</v>
      </c>
      <c r="H160" s="32"/>
      <c r="I160" s="32"/>
      <c r="J160" s="32"/>
      <c r="K160" s="31"/>
      <c r="L160" s="31"/>
      <c r="M160" s="3" t="str">
        <f t="shared" ca="1" si="15"/>
        <v/>
      </c>
      <c r="P160">
        <f>'Combined Delivery Data'!B189</f>
        <v>0</v>
      </c>
      <c r="Q160">
        <f t="shared" si="16"/>
        <v>0</v>
      </c>
      <c r="R160">
        <f t="shared" si="17"/>
        <v>453</v>
      </c>
      <c r="S160" s="28">
        <f t="shared" si="18"/>
        <v>0</v>
      </c>
      <c r="T160" t="str">
        <f t="shared" si="19"/>
        <v xml:space="preserve"> -&gt; </v>
      </c>
    </row>
    <row r="161" spans="1:20">
      <c r="A161" s="31"/>
      <c r="B161" s="32"/>
      <c r="C161" s="31" t="s">
        <v>216</v>
      </c>
      <c r="D161" s="31"/>
      <c r="E161" s="31"/>
      <c r="F161" s="31"/>
      <c r="G161" s="31" t="s">
        <v>53</v>
      </c>
      <c r="H161" s="32"/>
      <c r="I161" s="32"/>
      <c r="J161" s="32"/>
      <c r="K161" s="31"/>
      <c r="L161" s="31"/>
      <c r="M161" s="3" t="str">
        <f t="shared" ca="1" si="15"/>
        <v/>
      </c>
      <c r="P161">
        <f>'Combined Delivery Data'!B190</f>
        <v>0</v>
      </c>
      <c r="Q161">
        <f t="shared" si="16"/>
        <v>0</v>
      </c>
      <c r="R161">
        <f t="shared" si="17"/>
        <v>453</v>
      </c>
      <c r="S161" s="28">
        <f t="shared" si="18"/>
        <v>0</v>
      </c>
      <c r="T161" t="str">
        <f t="shared" si="19"/>
        <v xml:space="preserve"> -&gt; </v>
      </c>
    </row>
    <row r="162" spans="1:20">
      <c r="A162" s="31"/>
      <c r="B162" s="32"/>
      <c r="C162" s="31" t="s">
        <v>216</v>
      </c>
      <c r="D162" s="31"/>
      <c r="E162" s="31"/>
      <c r="F162" s="31"/>
      <c r="G162" s="31" t="s">
        <v>53</v>
      </c>
      <c r="H162" s="32"/>
      <c r="I162" s="32"/>
      <c r="J162" s="32"/>
      <c r="K162" s="31"/>
      <c r="L162" s="31"/>
      <c r="M162" s="3" t="str">
        <f t="shared" ca="1" si="15"/>
        <v/>
      </c>
      <c r="P162">
        <f>'Combined Delivery Data'!B191</f>
        <v>0</v>
      </c>
      <c r="Q162">
        <f t="shared" si="16"/>
        <v>0</v>
      </c>
      <c r="R162">
        <f t="shared" si="17"/>
        <v>453</v>
      </c>
      <c r="S162" s="28">
        <f t="shared" si="18"/>
        <v>0</v>
      </c>
      <c r="T162" t="str">
        <f t="shared" si="19"/>
        <v xml:space="preserve"> -&gt; </v>
      </c>
    </row>
    <row r="163" spans="1:20">
      <c r="A163" s="31"/>
      <c r="B163" s="32"/>
      <c r="C163" s="31" t="s">
        <v>216</v>
      </c>
      <c r="D163" s="31"/>
      <c r="E163" s="31"/>
      <c r="F163" s="31"/>
      <c r="G163" s="31" t="s">
        <v>53</v>
      </c>
      <c r="H163" s="32"/>
      <c r="I163" s="32"/>
      <c r="J163" s="32"/>
      <c r="K163" s="31"/>
      <c r="L163" s="31"/>
      <c r="M163" s="3" t="str">
        <f t="shared" ca="1" si="15"/>
        <v/>
      </c>
      <c r="P163">
        <f>'Combined Delivery Data'!B192</f>
        <v>0</v>
      </c>
      <c r="Q163">
        <f t="shared" si="16"/>
        <v>0</v>
      </c>
      <c r="R163">
        <f t="shared" si="17"/>
        <v>453</v>
      </c>
      <c r="S163" s="28">
        <f t="shared" si="18"/>
        <v>0</v>
      </c>
      <c r="T163" t="str">
        <f t="shared" si="19"/>
        <v xml:space="preserve"> -&gt; </v>
      </c>
    </row>
    <row r="164" spans="1:20">
      <c r="A164" s="31"/>
      <c r="B164" s="32"/>
      <c r="C164" s="31" t="s">
        <v>216</v>
      </c>
      <c r="D164" s="31"/>
      <c r="E164" s="31"/>
      <c r="F164" s="31"/>
      <c r="G164" s="31" t="s">
        <v>53</v>
      </c>
      <c r="H164" s="32"/>
      <c r="I164" s="32"/>
      <c r="J164" s="32"/>
      <c r="K164" s="31"/>
      <c r="L164" s="31"/>
      <c r="M164" s="3" t="str">
        <f t="shared" ca="1" si="15"/>
        <v/>
      </c>
      <c r="P164">
        <f>'Combined Delivery Data'!B193</f>
        <v>0</v>
      </c>
      <c r="Q164">
        <f t="shared" si="16"/>
        <v>0</v>
      </c>
      <c r="R164">
        <f t="shared" si="17"/>
        <v>453</v>
      </c>
      <c r="S164" s="28">
        <f t="shared" si="18"/>
        <v>0</v>
      </c>
      <c r="T164" t="str">
        <f t="shared" si="19"/>
        <v xml:space="preserve"> -&gt; </v>
      </c>
    </row>
    <row r="165" spans="1:20">
      <c r="A165" s="31"/>
      <c r="B165" s="32"/>
      <c r="C165" s="31" t="s">
        <v>216</v>
      </c>
      <c r="D165" s="31"/>
      <c r="E165" s="31"/>
      <c r="F165" s="31"/>
      <c r="G165" s="31" t="s">
        <v>53</v>
      </c>
      <c r="H165" s="32"/>
      <c r="I165" s="32"/>
      <c r="J165" s="32"/>
      <c r="K165" s="31"/>
      <c r="L165" s="31"/>
      <c r="M165" s="3" t="str">
        <f t="shared" ca="1" si="15"/>
        <v/>
      </c>
      <c r="P165">
        <f>'Combined Delivery Data'!B194</f>
        <v>0</v>
      </c>
      <c r="Q165">
        <f t="shared" si="16"/>
        <v>0</v>
      </c>
      <c r="R165">
        <f t="shared" si="17"/>
        <v>453</v>
      </c>
      <c r="S165" s="28">
        <f t="shared" si="18"/>
        <v>0</v>
      </c>
      <c r="T165" t="str">
        <f t="shared" si="19"/>
        <v xml:space="preserve"> -&gt; </v>
      </c>
    </row>
    <row r="166" spans="1:20">
      <c r="A166" s="31"/>
      <c r="B166" s="32"/>
      <c r="C166" s="31" t="s">
        <v>216</v>
      </c>
      <c r="D166" s="31"/>
      <c r="E166" s="31"/>
      <c r="F166" s="31"/>
      <c r="G166" s="31" t="s">
        <v>53</v>
      </c>
      <c r="H166" s="32"/>
      <c r="I166" s="32"/>
      <c r="J166" s="32"/>
      <c r="K166" s="31"/>
      <c r="L166" s="31"/>
      <c r="M166" s="3" t="str">
        <f t="shared" ca="1" si="15"/>
        <v/>
      </c>
      <c r="P166">
        <f>'Combined Delivery Data'!B195</f>
        <v>0</v>
      </c>
      <c r="Q166">
        <f t="shared" si="16"/>
        <v>0</v>
      </c>
      <c r="R166">
        <f t="shared" si="17"/>
        <v>453</v>
      </c>
      <c r="S166" s="28">
        <f t="shared" si="18"/>
        <v>0</v>
      </c>
      <c r="T166" t="str">
        <f t="shared" si="19"/>
        <v xml:space="preserve"> -&gt; </v>
      </c>
    </row>
    <row r="167" spans="1:20">
      <c r="A167" s="31"/>
      <c r="B167" s="32"/>
      <c r="C167" s="31" t="s">
        <v>216</v>
      </c>
      <c r="D167" s="31"/>
      <c r="E167" s="31"/>
      <c r="F167" s="31"/>
      <c r="G167" s="31" t="s">
        <v>53</v>
      </c>
      <c r="H167" s="32"/>
      <c r="I167" s="32"/>
      <c r="J167" s="32"/>
      <c r="K167" s="31"/>
      <c r="L167" s="31"/>
      <c r="M167" s="3" t="str">
        <f t="shared" ca="1" si="15"/>
        <v/>
      </c>
      <c r="P167">
        <f>'Combined Delivery Data'!B196</f>
        <v>0</v>
      </c>
      <c r="Q167">
        <f t="shared" si="16"/>
        <v>0</v>
      </c>
      <c r="R167">
        <f t="shared" si="17"/>
        <v>453</v>
      </c>
      <c r="S167" s="28">
        <f t="shared" si="18"/>
        <v>0</v>
      </c>
      <c r="T167" t="str">
        <f t="shared" si="19"/>
        <v xml:space="preserve"> -&gt; </v>
      </c>
    </row>
    <row r="168" spans="1:20">
      <c r="A168" s="31"/>
      <c r="B168" s="32"/>
      <c r="C168" s="31" t="s">
        <v>216</v>
      </c>
      <c r="D168" s="31"/>
      <c r="E168" s="31"/>
      <c r="F168" s="31"/>
      <c r="G168" s="31" t="s">
        <v>53</v>
      </c>
      <c r="H168" s="32"/>
      <c r="I168" s="32"/>
      <c r="J168" s="32"/>
      <c r="K168" s="31"/>
      <c r="L168" s="31"/>
      <c r="M168" s="3" t="str">
        <f t="shared" ca="1" si="15"/>
        <v/>
      </c>
      <c r="P168">
        <f>'Combined Delivery Data'!B197</f>
        <v>0</v>
      </c>
      <c r="Q168">
        <f t="shared" si="16"/>
        <v>0</v>
      </c>
      <c r="R168">
        <f t="shared" si="17"/>
        <v>453</v>
      </c>
      <c r="S168" s="28">
        <f t="shared" si="18"/>
        <v>0</v>
      </c>
      <c r="T168" t="str">
        <f t="shared" si="19"/>
        <v xml:space="preserve"> -&gt; </v>
      </c>
    </row>
    <row r="169" spans="1:20">
      <c r="A169" s="31"/>
      <c r="B169" s="32"/>
      <c r="C169" s="31" t="s">
        <v>216</v>
      </c>
      <c r="D169" s="31"/>
      <c r="E169" s="31"/>
      <c r="F169" s="31"/>
      <c r="G169" s="31" t="s">
        <v>53</v>
      </c>
      <c r="H169" s="32"/>
      <c r="I169" s="32"/>
      <c r="J169" s="32"/>
      <c r="K169" s="31"/>
      <c r="L169" s="31"/>
      <c r="M169" s="3" t="str">
        <f t="shared" ca="1" si="15"/>
        <v/>
      </c>
      <c r="P169">
        <f>'Combined Delivery Data'!B198</f>
        <v>0</v>
      </c>
      <c r="Q169">
        <f t="shared" si="16"/>
        <v>0</v>
      </c>
      <c r="R169">
        <f t="shared" si="17"/>
        <v>453</v>
      </c>
      <c r="S169" s="28">
        <f t="shared" si="18"/>
        <v>0</v>
      </c>
      <c r="T169" t="str">
        <f t="shared" si="19"/>
        <v xml:space="preserve"> -&gt; </v>
      </c>
    </row>
    <row r="170" spans="1:20">
      <c r="A170" s="31"/>
      <c r="B170" s="32"/>
      <c r="C170" s="31" t="s">
        <v>216</v>
      </c>
      <c r="D170" s="31"/>
      <c r="E170" s="31"/>
      <c r="F170" s="31"/>
      <c r="G170" s="31" t="s">
        <v>53</v>
      </c>
      <c r="H170" s="32"/>
      <c r="I170" s="32"/>
      <c r="J170" s="32"/>
      <c r="K170" s="31"/>
      <c r="L170" s="31"/>
      <c r="M170" s="3" t="str">
        <f t="shared" ca="1" si="15"/>
        <v/>
      </c>
      <c r="P170">
        <f>'Combined Delivery Data'!B199</f>
        <v>0</v>
      </c>
      <c r="Q170">
        <f t="shared" si="16"/>
        <v>0</v>
      </c>
      <c r="R170">
        <f t="shared" si="17"/>
        <v>453</v>
      </c>
      <c r="S170" s="28">
        <f t="shared" si="18"/>
        <v>0</v>
      </c>
      <c r="T170" t="str">
        <f t="shared" si="19"/>
        <v xml:space="preserve"> -&gt; </v>
      </c>
    </row>
    <row r="171" spans="1:20">
      <c r="A171" s="31"/>
      <c r="B171" s="32"/>
      <c r="C171" s="31" t="s">
        <v>216</v>
      </c>
      <c r="D171" s="31"/>
      <c r="E171" s="31"/>
      <c r="F171" s="31"/>
      <c r="G171" s="31" t="s">
        <v>53</v>
      </c>
      <c r="H171" s="32"/>
      <c r="I171" s="32"/>
      <c r="J171" s="32"/>
      <c r="K171" s="31"/>
      <c r="L171" s="31"/>
      <c r="M171" s="3" t="str">
        <f t="shared" ca="1" si="15"/>
        <v/>
      </c>
      <c r="P171">
        <f>'Combined Delivery Data'!B200</f>
        <v>0</v>
      </c>
      <c r="Q171">
        <f t="shared" si="16"/>
        <v>0</v>
      </c>
      <c r="R171">
        <f t="shared" si="17"/>
        <v>453</v>
      </c>
      <c r="S171" s="28">
        <f t="shared" si="18"/>
        <v>0</v>
      </c>
      <c r="T171" t="str">
        <f t="shared" si="19"/>
        <v xml:space="preserve"> -&gt; </v>
      </c>
    </row>
    <row r="172" spans="1:20">
      <c r="A172" s="31"/>
      <c r="B172" s="32"/>
      <c r="C172" s="31" t="s">
        <v>216</v>
      </c>
      <c r="D172" s="31"/>
      <c r="E172" s="31"/>
      <c r="F172" s="31"/>
      <c r="G172" s="31" t="s">
        <v>53</v>
      </c>
      <c r="H172" s="32"/>
      <c r="I172" s="32"/>
      <c r="J172" s="32"/>
      <c r="K172" s="31"/>
      <c r="L172" s="31"/>
      <c r="M172" s="3" t="str">
        <f t="shared" ca="1" si="15"/>
        <v/>
      </c>
      <c r="P172">
        <f>'Combined Delivery Data'!B201</f>
        <v>0</v>
      </c>
      <c r="Q172">
        <f t="shared" si="16"/>
        <v>0</v>
      </c>
      <c r="R172">
        <f t="shared" si="17"/>
        <v>453</v>
      </c>
      <c r="S172" s="28">
        <f t="shared" si="18"/>
        <v>0</v>
      </c>
      <c r="T172" t="str">
        <f t="shared" si="19"/>
        <v xml:space="preserve"> -&gt; </v>
      </c>
    </row>
    <row r="173" spans="1:20">
      <c r="A173" s="31"/>
      <c r="B173" s="32"/>
      <c r="C173" s="31" t="s">
        <v>216</v>
      </c>
      <c r="D173" s="31"/>
      <c r="E173" s="31"/>
      <c r="F173" s="31"/>
      <c r="G173" s="31" t="s">
        <v>53</v>
      </c>
      <c r="H173" s="32"/>
      <c r="I173" s="32"/>
      <c r="J173" s="32"/>
      <c r="K173" s="31"/>
      <c r="L173" s="31"/>
      <c r="M173" s="3" t="str">
        <f t="shared" ca="1" si="15"/>
        <v/>
      </c>
      <c r="P173">
        <f>'Combined Delivery Data'!B202</f>
        <v>0</v>
      </c>
      <c r="Q173">
        <f t="shared" si="16"/>
        <v>0</v>
      </c>
      <c r="R173">
        <f t="shared" si="17"/>
        <v>453</v>
      </c>
      <c r="S173" s="28">
        <f t="shared" si="18"/>
        <v>0</v>
      </c>
      <c r="T173" t="str">
        <f t="shared" si="19"/>
        <v xml:space="preserve"> -&gt; </v>
      </c>
    </row>
    <row r="174" spans="1:20">
      <c r="A174" s="31"/>
      <c r="B174" s="32"/>
      <c r="C174" s="31" t="s">
        <v>216</v>
      </c>
      <c r="D174" s="31"/>
      <c r="E174" s="31"/>
      <c r="F174" s="31"/>
      <c r="G174" s="31" t="s">
        <v>53</v>
      </c>
      <c r="H174" s="32"/>
      <c r="I174" s="32"/>
      <c r="J174" s="32"/>
      <c r="K174" s="31"/>
      <c r="L174" s="31"/>
      <c r="M174" s="3" t="str">
        <f t="shared" ca="1" si="15"/>
        <v/>
      </c>
      <c r="P174">
        <f>'Combined Delivery Data'!B203</f>
        <v>0</v>
      </c>
      <c r="Q174">
        <f t="shared" si="16"/>
        <v>0</v>
      </c>
      <c r="R174">
        <f t="shared" si="17"/>
        <v>453</v>
      </c>
      <c r="S174" s="28">
        <f t="shared" si="18"/>
        <v>0</v>
      </c>
      <c r="T174" t="str">
        <f t="shared" si="19"/>
        <v xml:space="preserve"> -&gt; </v>
      </c>
    </row>
    <row r="175" spans="1:20">
      <c r="A175" s="31"/>
      <c r="B175" s="32"/>
      <c r="C175" s="31" t="s">
        <v>216</v>
      </c>
      <c r="D175" s="31"/>
      <c r="E175" s="31"/>
      <c r="F175" s="31"/>
      <c r="G175" s="31" t="s">
        <v>53</v>
      </c>
      <c r="H175" s="32"/>
      <c r="I175" s="32"/>
      <c r="J175" s="32"/>
      <c r="K175" s="31"/>
      <c r="L175" s="31"/>
      <c r="M175" s="3" t="str">
        <f t="shared" ca="1" si="15"/>
        <v/>
      </c>
      <c r="P175">
        <f>'Combined Delivery Data'!B204</f>
        <v>0</v>
      </c>
      <c r="Q175">
        <f t="shared" si="16"/>
        <v>0</v>
      </c>
      <c r="R175">
        <f t="shared" si="17"/>
        <v>453</v>
      </c>
      <c r="S175" s="28">
        <f t="shared" si="18"/>
        <v>0</v>
      </c>
      <c r="T175" t="str">
        <f t="shared" si="19"/>
        <v xml:space="preserve"> -&gt; </v>
      </c>
    </row>
    <row r="176" spans="1:20">
      <c r="A176" s="31"/>
      <c r="B176" s="32"/>
      <c r="C176" s="31" t="s">
        <v>216</v>
      </c>
      <c r="D176" s="31"/>
      <c r="E176" s="31"/>
      <c r="F176" s="31"/>
      <c r="G176" s="31" t="s">
        <v>53</v>
      </c>
      <c r="H176" s="32"/>
      <c r="I176" s="32"/>
      <c r="J176" s="32"/>
      <c r="K176" s="31"/>
      <c r="L176" s="31"/>
      <c r="M176" s="3" t="str">
        <f t="shared" ca="1" si="15"/>
        <v/>
      </c>
      <c r="P176">
        <f>'Combined Delivery Data'!B205</f>
        <v>0</v>
      </c>
      <c r="Q176">
        <f t="shared" si="16"/>
        <v>0</v>
      </c>
      <c r="R176">
        <f t="shared" si="17"/>
        <v>453</v>
      </c>
      <c r="S176" s="28">
        <f t="shared" si="18"/>
        <v>0</v>
      </c>
      <c r="T176" t="str">
        <f t="shared" si="19"/>
        <v xml:space="preserve"> -&gt; </v>
      </c>
    </row>
    <row r="177" spans="1:20">
      <c r="A177" s="31"/>
      <c r="B177" s="32"/>
      <c r="C177" s="31" t="s">
        <v>216</v>
      </c>
      <c r="D177" s="31"/>
      <c r="E177" s="31"/>
      <c r="F177" s="31"/>
      <c r="G177" s="31" t="s">
        <v>53</v>
      </c>
      <c r="H177" s="32"/>
      <c r="I177" s="32"/>
      <c r="J177" s="32"/>
      <c r="K177" s="31"/>
      <c r="L177" s="31"/>
      <c r="M177" s="3" t="str">
        <f t="shared" ca="1" si="15"/>
        <v/>
      </c>
      <c r="P177">
        <f>'Combined Delivery Data'!B206</f>
        <v>0</v>
      </c>
      <c r="Q177">
        <f t="shared" si="16"/>
        <v>0</v>
      </c>
      <c r="R177">
        <f t="shared" si="17"/>
        <v>453</v>
      </c>
      <c r="S177" s="28">
        <f t="shared" si="18"/>
        <v>0</v>
      </c>
      <c r="T177" t="str">
        <f t="shared" si="19"/>
        <v xml:space="preserve"> -&gt; </v>
      </c>
    </row>
    <row r="178" spans="1:20">
      <c r="A178" s="31"/>
      <c r="B178" s="32"/>
      <c r="C178" s="31" t="s">
        <v>216</v>
      </c>
      <c r="D178" s="31"/>
      <c r="E178" s="31"/>
      <c r="F178" s="31"/>
      <c r="G178" s="31" t="s">
        <v>53</v>
      </c>
      <c r="H178" s="32"/>
      <c r="I178" s="32"/>
      <c r="J178" s="32"/>
      <c r="K178" s="31"/>
      <c r="L178" s="31"/>
      <c r="M178" s="3" t="str">
        <f t="shared" ca="1" si="15"/>
        <v/>
      </c>
      <c r="P178">
        <f>'Combined Delivery Data'!B207</f>
        <v>0</v>
      </c>
      <c r="Q178">
        <f t="shared" si="16"/>
        <v>0</v>
      </c>
      <c r="R178">
        <f t="shared" si="17"/>
        <v>453</v>
      </c>
      <c r="S178" s="28">
        <f t="shared" si="18"/>
        <v>0</v>
      </c>
      <c r="T178" t="str">
        <f t="shared" si="19"/>
        <v xml:space="preserve"> -&gt; </v>
      </c>
    </row>
    <row r="179" spans="1:20">
      <c r="A179" s="31"/>
      <c r="B179" s="32"/>
      <c r="C179" s="31" t="s">
        <v>216</v>
      </c>
      <c r="D179" s="31"/>
      <c r="E179" s="31"/>
      <c r="F179" s="31"/>
      <c r="G179" s="31" t="s">
        <v>53</v>
      </c>
      <c r="H179" s="32"/>
      <c r="I179" s="32"/>
      <c r="J179" s="32"/>
      <c r="K179" s="31"/>
      <c r="L179" s="31"/>
      <c r="M179" s="3" t="str">
        <f t="shared" ca="1" si="15"/>
        <v/>
      </c>
      <c r="P179">
        <f>'Combined Delivery Data'!B208</f>
        <v>0</v>
      </c>
      <c r="Q179">
        <f t="shared" si="16"/>
        <v>0</v>
      </c>
      <c r="R179">
        <f t="shared" si="17"/>
        <v>453</v>
      </c>
      <c r="S179" s="28">
        <f t="shared" si="18"/>
        <v>0</v>
      </c>
      <c r="T179" t="str">
        <f t="shared" si="19"/>
        <v xml:space="preserve"> -&gt; </v>
      </c>
    </row>
    <row r="180" spans="1:20">
      <c r="A180" s="31"/>
      <c r="B180" s="32"/>
      <c r="C180" s="31" t="s">
        <v>216</v>
      </c>
      <c r="D180" s="31"/>
      <c r="E180" s="31"/>
      <c r="F180" s="31"/>
      <c r="G180" s="31" t="s">
        <v>53</v>
      </c>
      <c r="H180" s="32"/>
      <c r="I180" s="32"/>
      <c r="J180" s="32"/>
      <c r="K180" s="31"/>
      <c r="L180" s="31"/>
      <c r="M180" s="3" t="str">
        <f t="shared" ca="1" si="15"/>
        <v/>
      </c>
      <c r="P180">
        <f>'Combined Delivery Data'!B209</f>
        <v>0</v>
      </c>
      <c r="Q180">
        <f t="shared" si="16"/>
        <v>0</v>
      </c>
      <c r="R180">
        <f t="shared" si="17"/>
        <v>453</v>
      </c>
      <c r="S180" s="28">
        <f t="shared" si="18"/>
        <v>0</v>
      </c>
      <c r="T180" t="str">
        <f t="shared" si="19"/>
        <v xml:space="preserve"> -&gt; </v>
      </c>
    </row>
    <row r="181" spans="1:20">
      <c r="A181" s="31"/>
      <c r="B181" s="32"/>
      <c r="C181" s="31" t="s">
        <v>216</v>
      </c>
      <c r="D181" s="31"/>
      <c r="E181" s="31"/>
      <c r="F181" s="31"/>
      <c r="G181" s="31" t="s">
        <v>53</v>
      </c>
      <c r="H181" s="32"/>
      <c r="I181" s="32"/>
      <c r="J181" s="32"/>
      <c r="K181" s="31"/>
      <c r="L181" s="31"/>
      <c r="M181" s="3" t="str">
        <f t="shared" ca="1" si="15"/>
        <v/>
      </c>
      <c r="P181">
        <f>'Combined Delivery Data'!B210</f>
        <v>0</v>
      </c>
      <c r="Q181">
        <f t="shared" si="16"/>
        <v>0</v>
      </c>
      <c r="R181">
        <f t="shared" si="17"/>
        <v>453</v>
      </c>
      <c r="S181" s="28">
        <f t="shared" si="18"/>
        <v>0</v>
      </c>
      <c r="T181" t="str">
        <f t="shared" si="19"/>
        <v xml:space="preserve"> -&gt; </v>
      </c>
    </row>
    <row r="182" spans="1:20">
      <c r="A182" s="31"/>
      <c r="B182" s="32"/>
      <c r="C182" s="31" t="s">
        <v>216</v>
      </c>
      <c r="D182" s="31"/>
      <c r="E182" s="31"/>
      <c r="F182" s="31"/>
      <c r="G182" s="31" t="s">
        <v>53</v>
      </c>
      <c r="H182" s="32"/>
      <c r="I182" s="32"/>
      <c r="J182" s="32"/>
      <c r="K182" s="31"/>
      <c r="L182" s="31"/>
      <c r="M182" s="3" t="str">
        <f t="shared" ca="1" si="15"/>
        <v/>
      </c>
      <c r="P182">
        <f>'Combined Delivery Data'!B211</f>
        <v>0</v>
      </c>
      <c r="Q182">
        <f t="shared" si="16"/>
        <v>0</v>
      </c>
      <c r="R182">
        <f t="shared" si="17"/>
        <v>453</v>
      </c>
      <c r="S182" s="28">
        <f t="shared" si="18"/>
        <v>0</v>
      </c>
      <c r="T182" t="str">
        <f t="shared" si="19"/>
        <v xml:space="preserve"> -&gt; </v>
      </c>
    </row>
    <row r="183" spans="1:20">
      <c r="A183" s="31"/>
      <c r="B183" s="32"/>
      <c r="C183" s="31" t="s">
        <v>216</v>
      </c>
      <c r="D183" s="31"/>
      <c r="E183" s="31"/>
      <c r="F183" s="31"/>
      <c r="G183" s="31" t="s">
        <v>53</v>
      </c>
      <c r="H183" s="32"/>
      <c r="I183" s="32"/>
      <c r="J183" s="32"/>
      <c r="K183" s="31"/>
      <c r="L183" s="31"/>
      <c r="M183" s="3" t="str">
        <f t="shared" ca="1" si="15"/>
        <v/>
      </c>
      <c r="P183">
        <f>'Combined Delivery Data'!B212</f>
        <v>0</v>
      </c>
      <c r="Q183">
        <f t="shared" si="16"/>
        <v>0</v>
      </c>
      <c r="R183">
        <f t="shared" si="17"/>
        <v>453</v>
      </c>
      <c r="S183" s="28">
        <f t="shared" si="18"/>
        <v>0</v>
      </c>
      <c r="T183" t="str">
        <f t="shared" si="19"/>
        <v xml:space="preserve"> -&gt; </v>
      </c>
    </row>
    <row r="184" spans="1:20">
      <c r="A184" s="31"/>
      <c r="B184" s="32"/>
      <c r="C184" s="31" t="s">
        <v>216</v>
      </c>
      <c r="D184" s="31"/>
      <c r="E184" s="31"/>
      <c r="F184" s="31"/>
      <c r="G184" s="31" t="s">
        <v>53</v>
      </c>
      <c r="H184" s="32"/>
      <c r="I184" s="32"/>
      <c r="J184" s="32"/>
      <c r="K184" s="31"/>
      <c r="L184" s="31"/>
      <c r="M184" s="3" t="str">
        <f t="shared" ca="1" si="15"/>
        <v/>
      </c>
      <c r="P184">
        <f>'Combined Delivery Data'!B213</f>
        <v>0</v>
      </c>
      <c r="Q184">
        <f t="shared" si="16"/>
        <v>0</v>
      </c>
      <c r="R184">
        <f t="shared" si="17"/>
        <v>453</v>
      </c>
      <c r="S184" s="28">
        <f t="shared" si="18"/>
        <v>0</v>
      </c>
      <c r="T184" t="str">
        <f t="shared" si="19"/>
        <v xml:space="preserve"> -&gt; </v>
      </c>
    </row>
    <row r="185" spans="1:20">
      <c r="A185" s="31"/>
      <c r="B185" s="32"/>
      <c r="C185" s="31" t="s">
        <v>216</v>
      </c>
      <c r="D185" s="31"/>
      <c r="E185" s="31"/>
      <c r="F185" s="31"/>
      <c r="G185" s="31" t="s">
        <v>53</v>
      </c>
      <c r="H185" s="32"/>
      <c r="I185" s="32"/>
      <c r="J185" s="32"/>
      <c r="K185" s="31"/>
      <c r="L185" s="31"/>
      <c r="M185" s="3" t="str">
        <f t="shared" ca="1" si="15"/>
        <v/>
      </c>
      <c r="P185">
        <f>'Combined Delivery Data'!B214</f>
        <v>0</v>
      </c>
      <c r="Q185">
        <f t="shared" si="16"/>
        <v>0</v>
      </c>
      <c r="R185">
        <f t="shared" si="17"/>
        <v>453</v>
      </c>
      <c r="S185" s="28">
        <f t="shared" si="18"/>
        <v>0</v>
      </c>
      <c r="T185" t="str">
        <f t="shared" si="19"/>
        <v xml:space="preserve"> -&gt; </v>
      </c>
    </row>
    <row r="186" spans="1:20">
      <c r="A186" s="31"/>
      <c r="B186" s="32"/>
      <c r="C186" s="31" t="s">
        <v>216</v>
      </c>
      <c r="D186" s="31"/>
      <c r="E186" s="31"/>
      <c r="F186" s="31"/>
      <c r="G186" s="31" t="s">
        <v>53</v>
      </c>
      <c r="H186" s="32"/>
      <c r="I186" s="32"/>
      <c r="J186" s="32"/>
      <c r="K186" s="31"/>
      <c r="L186" s="31"/>
      <c r="M186" s="3" t="str">
        <f t="shared" ca="1" si="15"/>
        <v/>
      </c>
      <c r="P186">
        <f>'Combined Delivery Data'!B215</f>
        <v>0</v>
      </c>
      <c r="Q186">
        <f t="shared" si="16"/>
        <v>0</v>
      </c>
      <c r="R186">
        <f t="shared" si="17"/>
        <v>453</v>
      </c>
      <c r="S186" s="28">
        <f t="shared" si="18"/>
        <v>0</v>
      </c>
      <c r="T186" t="str">
        <f t="shared" si="19"/>
        <v xml:space="preserve"> -&gt; </v>
      </c>
    </row>
    <row r="187" spans="1:20">
      <c r="A187" s="31"/>
      <c r="B187" s="32"/>
      <c r="C187" s="31" t="s">
        <v>216</v>
      </c>
      <c r="D187" s="31"/>
      <c r="E187" s="31"/>
      <c r="F187" s="31"/>
      <c r="G187" s="31" t="s">
        <v>53</v>
      </c>
      <c r="H187" s="32"/>
      <c r="I187" s="32"/>
      <c r="J187" s="32"/>
      <c r="K187" s="31"/>
      <c r="L187" s="31"/>
      <c r="M187" s="3" t="str">
        <f t="shared" ca="1" si="15"/>
        <v/>
      </c>
      <c r="P187">
        <f>'Combined Delivery Data'!B216</f>
        <v>0</v>
      </c>
      <c r="Q187">
        <f t="shared" si="16"/>
        <v>0</v>
      </c>
      <c r="R187">
        <f t="shared" si="17"/>
        <v>453</v>
      </c>
      <c r="S187" s="28">
        <f t="shared" si="18"/>
        <v>0</v>
      </c>
      <c r="T187" t="str">
        <f t="shared" si="19"/>
        <v xml:space="preserve"> -&gt; </v>
      </c>
    </row>
    <row r="188" spans="1:20">
      <c r="A188" s="31"/>
      <c r="B188" s="32"/>
      <c r="C188" s="31" t="s">
        <v>216</v>
      </c>
      <c r="D188" s="31"/>
      <c r="E188" s="31"/>
      <c r="F188" s="31"/>
      <c r="G188" s="31" t="s">
        <v>53</v>
      </c>
      <c r="H188" s="32"/>
      <c r="I188" s="32"/>
      <c r="J188" s="32"/>
      <c r="K188" s="31"/>
      <c r="L188" s="31"/>
      <c r="M188" s="3" t="str">
        <f t="shared" ca="1" si="15"/>
        <v/>
      </c>
      <c r="P188">
        <f>'Combined Delivery Data'!B217</f>
        <v>0</v>
      </c>
      <c r="Q188">
        <f t="shared" si="16"/>
        <v>0</v>
      </c>
      <c r="R188">
        <f t="shared" si="17"/>
        <v>453</v>
      </c>
      <c r="S188" s="28">
        <f t="shared" si="18"/>
        <v>0</v>
      </c>
      <c r="T188" t="str">
        <f t="shared" si="19"/>
        <v xml:space="preserve"> -&gt; </v>
      </c>
    </row>
    <row r="189" spans="1:20">
      <c r="A189" s="31"/>
      <c r="B189" s="32"/>
      <c r="C189" s="31" t="s">
        <v>216</v>
      </c>
      <c r="D189" s="31"/>
      <c r="E189" s="31"/>
      <c r="F189" s="31"/>
      <c r="G189" s="31" t="s">
        <v>53</v>
      </c>
      <c r="H189" s="32"/>
      <c r="I189" s="32"/>
      <c r="J189" s="32"/>
      <c r="K189" s="31"/>
      <c r="L189" s="31"/>
      <c r="M189" s="3" t="str">
        <f t="shared" ca="1" si="15"/>
        <v/>
      </c>
      <c r="P189">
        <f>'Combined Delivery Data'!B218</f>
        <v>0</v>
      </c>
      <c r="Q189">
        <f t="shared" si="16"/>
        <v>0</v>
      </c>
      <c r="R189">
        <f t="shared" si="17"/>
        <v>453</v>
      </c>
      <c r="S189" s="28">
        <f t="shared" si="18"/>
        <v>0</v>
      </c>
      <c r="T189" t="str">
        <f t="shared" si="19"/>
        <v xml:space="preserve"> -&gt; </v>
      </c>
    </row>
    <row r="190" spans="1:20">
      <c r="A190" s="31"/>
      <c r="B190" s="32"/>
      <c r="C190" s="31" t="s">
        <v>216</v>
      </c>
      <c r="D190" s="31"/>
      <c r="E190" s="31"/>
      <c r="F190" s="31"/>
      <c r="G190" s="31" t="s">
        <v>53</v>
      </c>
      <c r="H190" s="32"/>
      <c r="I190" s="32"/>
      <c r="J190" s="32"/>
      <c r="K190" s="31"/>
      <c r="L190" s="31"/>
      <c r="M190" s="3" t="str">
        <f t="shared" ca="1" si="15"/>
        <v/>
      </c>
      <c r="P190">
        <f>'Combined Delivery Data'!B219</f>
        <v>0</v>
      </c>
      <c r="Q190">
        <f t="shared" si="16"/>
        <v>0</v>
      </c>
      <c r="R190">
        <f t="shared" si="17"/>
        <v>453</v>
      </c>
      <c r="S190" s="28">
        <f t="shared" si="18"/>
        <v>0</v>
      </c>
      <c r="T190" t="str">
        <f t="shared" si="19"/>
        <v xml:space="preserve"> -&gt; </v>
      </c>
    </row>
    <row r="191" spans="1:20">
      <c r="A191" s="31"/>
      <c r="B191" s="32"/>
      <c r="C191" s="31" t="s">
        <v>216</v>
      </c>
      <c r="D191" s="31"/>
      <c r="E191" s="31"/>
      <c r="F191" s="31"/>
      <c r="G191" s="31" t="s">
        <v>53</v>
      </c>
      <c r="H191" s="32"/>
      <c r="I191" s="32"/>
      <c r="J191" s="32"/>
      <c r="K191" s="31"/>
      <c r="L191" s="31"/>
      <c r="M191" s="3" t="str">
        <f t="shared" ca="1" si="15"/>
        <v/>
      </c>
      <c r="P191">
        <f>'Combined Delivery Data'!B220</f>
        <v>0</v>
      </c>
      <c r="Q191">
        <f t="shared" si="16"/>
        <v>0</v>
      </c>
      <c r="R191">
        <f t="shared" si="17"/>
        <v>453</v>
      </c>
      <c r="S191" s="28">
        <f t="shared" si="18"/>
        <v>0</v>
      </c>
      <c r="T191" t="str">
        <f t="shared" si="19"/>
        <v xml:space="preserve"> -&gt; </v>
      </c>
    </row>
    <row r="192" spans="1:20">
      <c r="A192" s="31"/>
      <c r="B192" s="32"/>
      <c r="C192" s="31" t="s">
        <v>216</v>
      </c>
      <c r="D192" s="31"/>
      <c r="E192" s="31"/>
      <c r="F192" s="31"/>
      <c r="G192" s="31" t="s">
        <v>53</v>
      </c>
      <c r="H192" s="32"/>
      <c r="I192" s="32"/>
      <c r="J192" s="32"/>
      <c r="K192" s="31"/>
      <c r="L192" s="31"/>
      <c r="M192" s="3" t="str">
        <f t="shared" ca="1" si="15"/>
        <v/>
      </c>
      <c r="P192">
        <f>'Combined Delivery Data'!B221</f>
        <v>0</v>
      </c>
      <c r="Q192">
        <f t="shared" si="16"/>
        <v>0</v>
      </c>
      <c r="R192">
        <f t="shared" si="17"/>
        <v>453</v>
      </c>
      <c r="S192" s="28">
        <f t="shared" si="18"/>
        <v>0</v>
      </c>
      <c r="T192" t="str">
        <f t="shared" si="19"/>
        <v xml:space="preserve"> -&gt; </v>
      </c>
    </row>
    <row r="193" spans="1:20">
      <c r="A193" s="31"/>
      <c r="B193" s="32"/>
      <c r="C193" s="31" t="s">
        <v>216</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Data'!B222</f>
        <v>0</v>
      </c>
      <c r="Q193">
        <f t="shared" si="16"/>
        <v>0</v>
      </c>
      <c r="R193">
        <f t="shared" si="17"/>
        <v>453</v>
      </c>
      <c r="S193" s="28">
        <f t="shared" si="18"/>
        <v>0</v>
      </c>
      <c r="T193" t="str">
        <f t="shared" si="19"/>
        <v xml:space="preserve"> -&gt; </v>
      </c>
    </row>
    <row r="194" spans="1:20">
      <c r="A194" s="31"/>
      <c r="B194" s="32"/>
      <c r="C194" s="31" t="s">
        <v>216</v>
      </c>
      <c r="D194" s="31"/>
      <c r="E194" s="31"/>
      <c r="F194" s="31"/>
      <c r="G194" s="31" t="s">
        <v>53</v>
      </c>
      <c r="H194" s="32"/>
      <c r="I194" s="32"/>
      <c r="J194" s="32"/>
      <c r="K194" s="31"/>
      <c r="L194" s="31"/>
      <c r="M194" s="3" t="str">
        <f t="shared" ca="1" si="20"/>
        <v/>
      </c>
      <c r="P194">
        <f>'Combined Delivery Data'!B223</f>
        <v>0</v>
      </c>
      <c r="Q194">
        <f t="shared" si="16"/>
        <v>0</v>
      </c>
      <c r="R194">
        <f t="shared" si="17"/>
        <v>453</v>
      </c>
      <c r="S194" s="28">
        <f t="shared" si="18"/>
        <v>0</v>
      </c>
      <c r="T194" t="str">
        <f t="shared" si="19"/>
        <v xml:space="preserve"> -&gt; </v>
      </c>
    </row>
    <row r="195" spans="1:20">
      <c r="A195" s="31"/>
      <c r="B195" s="32"/>
      <c r="C195" s="31" t="s">
        <v>216</v>
      </c>
      <c r="D195" s="31"/>
      <c r="E195" s="31"/>
      <c r="F195" s="31"/>
      <c r="G195" s="31" t="s">
        <v>53</v>
      </c>
      <c r="H195" s="32"/>
      <c r="I195" s="32"/>
      <c r="J195" s="32"/>
      <c r="K195" s="31"/>
      <c r="L195" s="31"/>
      <c r="M195" s="3" t="str">
        <f t="shared" ca="1" si="20"/>
        <v/>
      </c>
      <c r="P195">
        <f>'Combined Delivery Data'!B224</f>
        <v>0</v>
      </c>
      <c r="Q195">
        <f t="shared" si="16"/>
        <v>0</v>
      </c>
      <c r="R195">
        <f t="shared" si="17"/>
        <v>453</v>
      </c>
      <c r="S195" s="28">
        <f t="shared" si="18"/>
        <v>0</v>
      </c>
      <c r="T195" t="str">
        <f t="shared" si="19"/>
        <v xml:space="preserve"> -&gt; </v>
      </c>
    </row>
    <row r="196" spans="1:20">
      <c r="A196" s="31"/>
      <c r="B196" s="32"/>
      <c r="C196" s="31" t="s">
        <v>216</v>
      </c>
      <c r="D196" s="31"/>
      <c r="E196" s="31"/>
      <c r="F196" s="31"/>
      <c r="G196" s="31" t="s">
        <v>53</v>
      </c>
      <c r="H196" s="32"/>
      <c r="I196" s="32"/>
      <c r="J196" s="32"/>
      <c r="K196" s="31"/>
      <c r="L196" s="31"/>
      <c r="M196" s="3" t="str">
        <f t="shared" ca="1" si="20"/>
        <v/>
      </c>
      <c r="P196">
        <f>'Combined Delivery Data'!B225</f>
        <v>0</v>
      </c>
      <c r="Q196">
        <f t="shared" si="16"/>
        <v>0</v>
      </c>
      <c r="R196">
        <f t="shared" si="17"/>
        <v>453</v>
      </c>
      <c r="S196" s="28">
        <f t="shared" si="18"/>
        <v>0</v>
      </c>
      <c r="T196" t="str">
        <f t="shared" si="19"/>
        <v xml:space="preserve"> -&gt; </v>
      </c>
    </row>
    <row r="197" spans="1:20">
      <c r="A197" s="31"/>
      <c r="B197" s="32"/>
      <c r="C197" s="31" t="s">
        <v>216</v>
      </c>
      <c r="D197" s="31"/>
      <c r="E197" s="31"/>
      <c r="F197" s="31"/>
      <c r="G197" s="31" t="s">
        <v>53</v>
      </c>
      <c r="H197" s="32"/>
      <c r="I197" s="32"/>
      <c r="J197" s="32"/>
      <c r="K197" s="31"/>
      <c r="L197" s="31"/>
      <c r="M197" s="3" t="str">
        <f t="shared" ca="1" si="20"/>
        <v/>
      </c>
      <c r="P197">
        <f>'Combined Delivery Data'!B226</f>
        <v>0</v>
      </c>
      <c r="Q197">
        <f t="shared" si="16"/>
        <v>0</v>
      </c>
      <c r="R197">
        <f t="shared" si="17"/>
        <v>453</v>
      </c>
      <c r="S197" s="28">
        <f t="shared" si="18"/>
        <v>0</v>
      </c>
      <c r="T197" t="str">
        <f t="shared" si="19"/>
        <v xml:space="preserve"> -&gt; </v>
      </c>
    </row>
    <row r="198" spans="1:20">
      <c r="A198" s="31"/>
      <c r="B198" s="32"/>
      <c r="C198" s="31" t="s">
        <v>216</v>
      </c>
      <c r="D198" s="31"/>
      <c r="E198" s="31"/>
      <c r="F198" s="31"/>
      <c r="G198" s="31" t="s">
        <v>53</v>
      </c>
      <c r="H198" s="32"/>
      <c r="I198" s="32"/>
      <c r="J198" s="32"/>
      <c r="K198" s="31"/>
      <c r="L198" s="31"/>
      <c r="M198" s="3" t="str">
        <f t="shared" ca="1" si="20"/>
        <v/>
      </c>
      <c r="P198">
        <f>'Combined Delivery Data'!B227</f>
        <v>0</v>
      </c>
      <c r="Q198">
        <f t="shared" si="16"/>
        <v>0</v>
      </c>
      <c r="R198">
        <f t="shared" si="17"/>
        <v>453</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Data'!B228</f>
        <v>0</v>
      </c>
      <c r="Q199">
        <f t="shared" si="16"/>
        <v>0</v>
      </c>
      <c r="R199">
        <f t="shared" si="17"/>
        <v>453</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Data'!B229</f>
        <v>0</v>
      </c>
      <c r="Q200">
        <f t="shared" si="16"/>
        <v>0</v>
      </c>
      <c r="R200">
        <f t="shared" si="17"/>
        <v>453</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Data'!B230</f>
        <v>0</v>
      </c>
      <c r="Q201">
        <f t="shared" si="16"/>
        <v>0</v>
      </c>
      <c r="R201">
        <f t="shared" si="17"/>
        <v>453</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Data'!B231</f>
        <v>0</v>
      </c>
      <c r="Q202">
        <f t="shared" si="16"/>
        <v>0</v>
      </c>
      <c r="R202">
        <f t="shared" si="17"/>
        <v>453</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Data'!B232</f>
        <v>0</v>
      </c>
      <c r="Q203">
        <f t="shared" si="16"/>
        <v>0</v>
      </c>
      <c r="R203">
        <f t="shared" si="17"/>
        <v>453</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Data'!B233</f>
        <v>0</v>
      </c>
      <c r="Q204">
        <f t="shared" si="16"/>
        <v>0</v>
      </c>
      <c r="R204">
        <f t="shared" si="17"/>
        <v>453</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Data'!B234</f>
        <v>0</v>
      </c>
      <c r="Q205">
        <f t="shared" si="16"/>
        <v>0</v>
      </c>
      <c r="R205">
        <f t="shared" si="17"/>
        <v>453</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Data'!B235</f>
        <v>0</v>
      </c>
      <c r="Q206">
        <f t="shared" si="16"/>
        <v>0</v>
      </c>
      <c r="R206">
        <f t="shared" si="17"/>
        <v>453</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Data'!B236</f>
        <v>0</v>
      </c>
      <c r="Q207">
        <f t="shared" si="16"/>
        <v>0</v>
      </c>
      <c r="R207">
        <f t="shared" si="17"/>
        <v>453</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Data'!B237</f>
        <v>0</v>
      </c>
      <c r="Q208">
        <f t="shared" si="16"/>
        <v>0</v>
      </c>
      <c r="R208">
        <f t="shared" si="17"/>
        <v>453</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Data'!B238</f>
        <v>0</v>
      </c>
      <c r="Q209">
        <f t="shared" si="16"/>
        <v>0</v>
      </c>
      <c r="R209">
        <f t="shared" si="17"/>
        <v>453</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Data'!B239</f>
        <v>0</v>
      </c>
      <c r="Q210">
        <f t="shared" ref="Q210:Q273" si="21">IF($P210="","",COUNTIF($A$3:$A$498,$P210))</f>
        <v>0</v>
      </c>
      <c r="R210">
        <f t="shared" ref="R210:R273" si="22">IF($P210="","",SUMPRODUCT(($A$3:$A$498=$P210)*($G$3:$G$498&lt;&gt;"Yes")*($G$3:$G$498&lt;&gt;"Did not pass re-test")))</f>
        <v>453</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Data'!B240</f>
        <v>0</v>
      </c>
      <c r="Q211">
        <f t="shared" si="21"/>
        <v>0</v>
      </c>
      <c r="R211">
        <f t="shared" si="22"/>
        <v>453</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Data'!B241</f>
        <v>0</v>
      </c>
      <c r="Q212">
        <f t="shared" si="21"/>
        <v>0</v>
      </c>
      <c r="R212">
        <f t="shared" si="22"/>
        <v>453</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Data'!B242</f>
        <v>0</v>
      </c>
      <c r="Q213">
        <f t="shared" si="21"/>
        <v>0</v>
      </c>
      <c r="R213">
        <f t="shared" si="22"/>
        <v>453</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Data'!B243</f>
        <v>0</v>
      </c>
      <c r="Q214">
        <f t="shared" si="21"/>
        <v>0</v>
      </c>
      <c r="R214">
        <f t="shared" si="22"/>
        <v>453</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Data'!B244</f>
        <v>0</v>
      </c>
      <c r="Q215">
        <f t="shared" si="21"/>
        <v>0</v>
      </c>
      <c r="R215">
        <f t="shared" si="22"/>
        <v>453</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Data'!B245</f>
        <v>0</v>
      </c>
      <c r="Q216">
        <f t="shared" si="21"/>
        <v>0</v>
      </c>
      <c r="R216">
        <f t="shared" si="22"/>
        <v>453</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Data'!B246</f>
        <v>0</v>
      </c>
      <c r="Q217">
        <f t="shared" si="21"/>
        <v>0</v>
      </c>
      <c r="R217">
        <f t="shared" si="22"/>
        <v>453</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Data'!B247</f>
        <v>0</v>
      </c>
      <c r="Q218">
        <f t="shared" si="21"/>
        <v>0</v>
      </c>
      <c r="R218">
        <f t="shared" si="22"/>
        <v>453</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Data'!B248</f>
        <v>0</v>
      </c>
      <c r="Q219">
        <f t="shared" si="21"/>
        <v>0</v>
      </c>
      <c r="R219">
        <f t="shared" si="22"/>
        <v>453</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Data'!B249</f>
        <v>0</v>
      </c>
      <c r="Q220">
        <f t="shared" si="21"/>
        <v>0</v>
      </c>
      <c r="R220">
        <f t="shared" si="22"/>
        <v>453</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Data'!B250</f>
        <v>0</v>
      </c>
      <c r="Q221">
        <f t="shared" si="21"/>
        <v>0</v>
      </c>
      <c r="R221">
        <f t="shared" si="22"/>
        <v>453</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Data'!B251</f>
        <v>0</v>
      </c>
      <c r="Q222">
        <f t="shared" si="21"/>
        <v>0</v>
      </c>
      <c r="R222">
        <f t="shared" si="22"/>
        <v>453</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Data'!B252</f>
        <v>0</v>
      </c>
      <c r="Q223">
        <f t="shared" si="21"/>
        <v>0</v>
      </c>
      <c r="R223">
        <f t="shared" si="22"/>
        <v>453</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Data'!B253</f>
        <v>0</v>
      </c>
      <c r="Q224">
        <f t="shared" si="21"/>
        <v>0</v>
      </c>
      <c r="R224">
        <f t="shared" si="22"/>
        <v>453</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Data'!B254</f>
        <v>0</v>
      </c>
      <c r="Q225">
        <f t="shared" si="21"/>
        <v>0</v>
      </c>
      <c r="R225">
        <f t="shared" si="22"/>
        <v>453</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Data'!B255</f>
        <v>0</v>
      </c>
      <c r="Q226">
        <f t="shared" si="21"/>
        <v>0</v>
      </c>
      <c r="R226">
        <f t="shared" si="22"/>
        <v>453</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Data'!B256</f>
        <v>0</v>
      </c>
      <c r="Q227">
        <f t="shared" si="21"/>
        <v>0</v>
      </c>
      <c r="R227">
        <f t="shared" si="22"/>
        <v>453</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Data'!B257</f>
        <v>0</v>
      </c>
      <c r="Q228">
        <f t="shared" si="21"/>
        <v>0</v>
      </c>
      <c r="R228">
        <f t="shared" si="22"/>
        <v>453</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Data'!B258</f>
        <v>0</v>
      </c>
      <c r="Q229">
        <f t="shared" si="21"/>
        <v>0</v>
      </c>
      <c r="R229">
        <f t="shared" si="22"/>
        <v>453</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Data'!B259</f>
        <v>0</v>
      </c>
      <c r="Q230">
        <f t="shared" si="21"/>
        <v>0</v>
      </c>
      <c r="R230">
        <f t="shared" si="22"/>
        <v>453</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Data'!B260</f>
        <v>0</v>
      </c>
      <c r="Q231">
        <f t="shared" si="21"/>
        <v>0</v>
      </c>
      <c r="R231">
        <f t="shared" si="22"/>
        <v>453</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Data'!B261</f>
        <v>0</v>
      </c>
      <c r="Q232">
        <f t="shared" si="21"/>
        <v>0</v>
      </c>
      <c r="R232">
        <f t="shared" si="22"/>
        <v>453</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Data'!B262</f>
        <v>0</v>
      </c>
      <c r="Q233">
        <f t="shared" si="21"/>
        <v>0</v>
      </c>
      <c r="R233">
        <f t="shared" si="22"/>
        <v>453</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Data'!B263</f>
        <v>0</v>
      </c>
      <c r="Q234">
        <f t="shared" si="21"/>
        <v>0</v>
      </c>
      <c r="R234">
        <f t="shared" si="22"/>
        <v>453</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Data'!B264</f>
        <v>0</v>
      </c>
      <c r="Q235">
        <f t="shared" si="21"/>
        <v>0</v>
      </c>
      <c r="R235">
        <f t="shared" si="22"/>
        <v>453</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Data'!B265</f>
        <v>0</v>
      </c>
      <c r="Q236">
        <f t="shared" si="21"/>
        <v>0</v>
      </c>
      <c r="R236">
        <f t="shared" si="22"/>
        <v>453</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Data'!B266</f>
        <v>0</v>
      </c>
      <c r="Q237">
        <f t="shared" si="21"/>
        <v>0</v>
      </c>
      <c r="R237">
        <f t="shared" si="22"/>
        <v>453</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Data'!B267</f>
        <v>0</v>
      </c>
      <c r="Q238">
        <f t="shared" si="21"/>
        <v>0</v>
      </c>
      <c r="R238">
        <f t="shared" si="22"/>
        <v>453</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Data'!B268</f>
        <v>0</v>
      </c>
      <c r="Q239">
        <f t="shared" si="21"/>
        <v>0</v>
      </c>
      <c r="R239">
        <f t="shared" si="22"/>
        <v>453</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Data'!B269</f>
        <v>0</v>
      </c>
      <c r="Q240">
        <f t="shared" si="21"/>
        <v>0</v>
      </c>
      <c r="R240">
        <f t="shared" si="22"/>
        <v>453</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Data'!B270</f>
        <v>0</v>
      </c>
      <c r="Q241">
        <f t="shared" si="21"/>
        <v>0</v>
      </c>
      <c r="R241">
        <f t="shared" si="22"/>
        <v>453</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Data'!B271</f>
        <v>0</v>
      </c>
      <c r="Q242">
        <f t="shared" si="21"/>
        <v>0</v>
      </c>
      <c r="R242">
        <f t="shared" si="22"/>
        <v>453</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Data'!B272</f>
        <v>0</v>
      </c>
      <c r="Q243">
        <f t="shared" si="21"/>
        <v>0</v>
      </c>
      <c r="R243">
        <f t="shared" si="22"/>
        <v>453</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Data'!B273</f>
        <v>0</v>
      </c>
      <c r="Q244">
        <f t="shared" si="21"/>
        <v>0</v>
      </c>
      <c r="R244">
        <f t="shared" si="22"/>
        <v>453</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Data'!B274</f>
        <v>0</v>
      </c>
      <c r="Q245">
        <f t="shared" si="21"/>
        <v>0</v>
      </c>
      <c r="R245">
        <f t="shared" si="22"/>
        <v>453</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Data'!B275</f>
        <v>0</v>
      </c>
      <c r="Q246">
        <f t="shared" si="21"/>
        <v>0</v>
      </c>
      <c r="R246">
        <f t="shared" si="22"/>
        <v>453</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Data'!B276</f>
        <v>0</v>
      </c>
      <c r="Q247">
        <f t="shared" si="21"/>
        <v>0</v>
      </c>
      <c r="R247">
        <f t="shared" si="22"/>
        <v>453</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Data'!B277</f>
        <v>0</v>
      </c>
      <c r="Q248">
        <f t="shared" si="21"/>
        <v>0</v>
      </c>
      <c r="R248">
        <f t="shared" si="22"/>
        <v>453</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Data'!B278</f>
        <v>0</v>
      </c>
      <c r="Q249">
        <f t="shared" si="21"/>
        <v>0</v>
      </c>
      <c r="R249">
        <f t="shared" si="22"/>
        <v>453</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Data'!B279</f>
        <v>0</v>
      </c>
      <c r="Q250">
        <f t="shared" si="21"/>
        <v>0</v>
      </c>
      <c r="R250">
        <f t="shared" si="22"/>
        <v>453</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Data'!B280</f>
        <v>0</v>
      </c>
      <c r="Q251">
        <f t="shared" si="21"/>
        <v>0</v>
      </c>
      <c r="R251">
        <f t="shared" si="22"/>
        <v>453</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Data'!B281</f>
        <v>0</v>
      </c>
      <c r="Q252">
        <f t="shared" si="21"/>
        <v>0</v>
      </c>
      <c r="R252">
        <f t="shared" si="22"/>
        <v>453</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Data'!B282</f>
        <v>0</v>
      </c>
      <c r="Q253">
        <f t="shared" si="21"/>
        <v>0</v>
      </c>
      <c r="R253">
        <f t="shared" si="22"/>
        <v>453</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Data'!B283</f>
        <v>0</v>
      </c>
      <c r="Q254">
        <f t="shared" si="21"/>
        <v>0</v>
      </c>
      <c r="R254">
        <f t="shared" si="22"/>
        <v>453</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Data'!B284</f>
        <v>0</v>
      </c>
      <c r="Q255">
        <f t="shared" si="21"/>
        <v>0</v>
      </c>
      <c r="R255">
        <f t="shared" si="22"/>
        <v>453</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Data'!B285</f>
        <v>0</v>
      </c>
      <c r="Q256">
        <f t="shared" si="21"/>
        <v>0</v>
      </c>
      <c r="R256">
        <f t="shared" si="22"/>
        <v>453</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Data'!B286</f>
        <v>0</v>
      </c>
      <c r="Q257">
        <f t="shared" si="21"/>
        <v>0</v>
      </c>
      <c r="R257">
        <f t="shared" si="22"/>
        <v>453</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Data'!B287</f>
        <v>0</v>
      </c>
      <c r="Q258">
        <f t="shared" si="21"/>
        <v>0</v>
      </c>
      <c r="R258">
        <f t="shared" si="22"/>
        <v>453</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Data'!B288</f>
        <v>0</v>
      </c>
      <c r="Q259">
        <f t="shared" si="21"/>
        <v>0</v>
      </c>
      <c r="R259">
        <f t="shared" si="22"/>
        <v>453</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Data'!B289</f>
        <v>0</v>
      </c>
      <c r="Q260">
        <f t="shared" si="21"/>
        <v>0</v>
      </c>
      <c r="R260">
        <f t="shared" si="22"/>
        <v>453</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Data'!B290</f>
        <v>0</v>
      </c>
      <c r="Q261">
        <f t="shared" si="21"/>
        <v>0</v>
      </c>
      <c r="R261">
        <f t="shared" si="22"/>
        <v>453</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Data'!B291</f>
        <v>0</v>
      </c>
      <c r="Q262">
        <f t="shared" si="21"/>
        <v>0</v>
      </c>
      <c r="R262">
        <f t="shared" si="22"/>
        <v>453</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Data'!B292</f>
        <v>0</v>
      </c>
      <c r="Q263">
        <f t="shared" si="21"/>
        <v>0</v>
      </c>
      <c r="R263">
        <f t="shared" si="22"/>
        <v>453</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Data'!B293</f>
        <v>0</v>
      </c>
      <c r="Q264">
        <f t="shared" si="21"/>
        <v>0</v>
      </c>
      <c r="R264">
        <f t="shared" si="22"/>
        <v>453</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Data'!B294</f>
        <v>0</v>
      </c>
      <c r="Q265">
        <f t="shared" si="21"/>
        <v>0</v>
      </c>
      <c r="R265">
        <f t="shared" si="22"/>
        <v>453</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Data'!B295</f>
        <v>0</v>
      </c>
      <c r="Q266">
        <f t="shared" si="21"/>
        <v>0</v>
      </c>
      <c r="R266">
        <f t="shared" si="22"/>
        <v>453</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Data'!B296</f>
        <v>0</v>
      </c>
      <c r="Q267">
        <f t="shared" si="21"/>
        <v>0</v>
      </c>
      <c r="R267">
        <f t="shared" si="22"/>
        <v>453</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Data'!B297</f>
        <v>0</v>
      </c>
      <c r="Q268">
        <f t="shared" si="21"/>
        <v>0</v>
      </c>
      <c r="R268">
        <f t="shared" si="22"/>
        <v>453</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Data'!B298</f>
        <v>0</v>
      </c>
      <c r="Q269">
        <f t="shared" si="21"/>
        <v>0</v>
      </c>
      <c r="R269">
        <f t="shared" si="22"/>
        <v>453</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Data'!B299</f>
        <v>0</v>
      </c>
      <c r="Q270">
        <f t="shared" si="21"/>
        <v>0</v>
      </c>
      <c r="R270">
        <f t="shared" si="22"/>
        <v>453</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Data'!B300</f>
        <v>0</v>
      </c>
      <c r="Q271">
        <f t="shared" si="21"/>
        <v>0</v>
      </c>
      <c r="R271">
        <f t="shared" si="22"/>
        <v>453</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Data'!B301</f>
        <v>0</v>
      </c>
      <c r="Q272">
        <f t="shared" si="21"/>
        <v>0</v>
      </c>
      <c r="R272">
        <f t="shared" si="22"/>
        <v>453</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Data'!B302</f>
        <v>0</v>
      </c>
      <c r="Q273">
        <f t="shared" si="21"/>
        <v>0</v>
      </c>
      <c r="R273">
        <f t="shared" si="22"/>
        <v>453</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Data'!B303</f>
        <v>0</v>
      </c>
      <c r="Q274">
        <f t="shared" ref="Q274:Q337" si="26">IF($P274="","",COUNTIF($A$3:$A$498,$P274))</f>
        <v>0</v>
      </c>
      <c r="R274">
        <f t="shared" ref="R274:R337" si="27">IF($P274="","",SUMPRODUCT(($A$3:$A$498=$P274)*($G$3:$G$498&lt;&gt;"Yes")*($G$3:$G$498&lt;&gt;"Did not pass re-test")))</f>
        <v>453</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Data'!B304</f>
        <v>0</v>
      </c>
      <c r="Q275">
        <f t="shared" si="26"/>
        <v>0</v>
      </c>
      <c r="R275">
        <f t="shared" si="27"/>
        <v>453</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Data'!B305</f>
        <v>0</v>
      </c>
      <c r="Q276">
        <f t="shared" si="26"/>
        <v>0</v>
      </c>
      <c r="R276">
        <f t="shared" si="27"/>
        <v>453</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Data'!B306</f>
        <v>0</v>
      </c>
      <c r="Q277">
        <f t="shared" si="26"/>
        <v>0</v>
      </c>
      <c r="R277">
        <f t="shared" si="27"/>
        <v>453</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Data'!B307</f>
        <v>0</v>
      </c>
      <c r="Q278">
        <f t="shared" si="26"/>
        <v>0</v>
      </c>
      <c r="R278">
        <f t="shared" si="27"/>
        <v>453</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Data'!B308</f>
        <v>0</v>
      </c>
      <c r="Q279">
        <f t="shared" si="26"/>
        <v>0</v>
      </c>
      <c r="R279">
        <f t="shared" si="27"/>
        <v>453</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Data'!B309</f>
        <v>0</v>
      </c>
      <c r="Q280">
        <f t="shared" si="26"/>
        <v>0</v>
      </c>
      <c r="R280">
        <f t="shared" si="27"/>
        <v>453</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Data'!B310</f>
        <v>0</v>
      </c>
      <c r="Q281">
        <f t="shared" si="26"/>
        <v>0</v>
      </c>
      <c r="R281">
        <f t="shared" si="27"/>
        <v>453</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Data'!B311</f>
        <v>0</v>
      </c>
      <c r="Q282">
        <f t="shared" si="26"/>
        <v>0</v>
      </c>
      <c r="R282">
        <f t="shared" si="27"/>
        <v>453</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Data'!B312</f>
        <v>0</v>
      </c>
      <c r="Q283">
        <f t="shared" si="26"/>
        <v>0</v>
      </c>
      <c r="R283">
        <f t="shared" si="27"/>
        <v>453</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Data'!B313</f>
        <v>0</v>
      </c>
      <c r="Q284">
        <f t="shared" si="26"/>
        <v>0</v>
      </c>
      <c r="R284">
        <f t="shared" si="27"/>
        <v>453</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Data'!B314</f>
        <v>0</v>
      </c>
      <c r="Q285">
        <f t="shared" si="26"/>
        <v>0</v>
      </c>
      <c r="R285">
        <f t="shared" si="27"/>
        <v>453</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Data'!B315</f>
        <v>0</v>
      </c>
      <c r="Q286">
        <f t="shared" si="26"/>
        <v>0</v>
      </c>
      <c r="R286">
        <f t="shared" si="27"/>
        <v>453</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Data'!B316</f>
        <v>0</v>
      </c>
      <c r="Q287">
        <f t="shared" si="26"/>
        <v>0</v>
      </c>
      <c r="R287">
        <f t="shared" si="27"/>
        <v>453</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Data'!B317</f>
        <v>0</v>
      </c>
      <c r="Q288">
        <f t="shared" si="26"/>
        <v>0</v>
      </c>
      <c r="R288">
        <f t="shared" si="27"/>
        <v>453</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Data'!B318</f>
        <v>0</v>
      </c>
      <c r="Q289">
        <f t="shared" si="26"/>
        <v>0</v>
      </c>
      <c r="R289">
        <f t="shared" si="27"/>
        <v>453</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Data'!B319</f>
        <v>0</v>
      </c>
      <c r="Q290">
        <f t="shared" si="26"/>
        <v>0</v>
      </c>
      <c r="R290">
        <f t="shared" si="27"/>
        <v>453</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Data'!B320</f>
        <v>0</v>
      </c>
      <c r="Q291">
        <f t="shared" si="26"/>
        <v>0</v>
      </c>
      <c r="R291">
        <f t="shared" si="27"/>
        <v>453</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Data'!B321</f>
        <v>0</v>
      </c>
      <c r="Q292">
        <f t="shared" si="26"/>
        <v>0</v>
      </c>
      <c r="R292">
        <f t="shared" si="27"/>
        <v>453</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Data'!B322</f>
        <v>0</v>
      </c>
      <c r="Q293">
        <f t="shared" si="26"/>
        <v>0</v>
      </c>
      <c r="R293">
        <f t="shared" si="27"/>
        <v>453</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Data'!B323</f>
        <v>0</v>
      </c>
      <c r="Q294">
        <f t="shared" si="26"/>
        <v>0</v>
      </c>
      <c r="R294">
        <f t="shared" si="27"/>
        <v>453</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Data'!B324</f>
        <v>0</v>
      </c>
      <c r="Q295">
        <f t="shared" si="26"/>
        <v>0</v>
      </c>
      <c r="R295">
        <f t="shared" si="27"/>
        <v>453</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Data'!B325</f>
        <v>0</v>
      </c>
      <c r="Q296">
        <f t="shared" si="26"/>
        <v>0</v>
      </c>
      <c r="R296">
        <f t="shared" si="27"/>
        <v>453</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Data'!B326</f>
        <v>0</v>
      </c>
      <c r="Q297">
        <f t="shared" si="26"/>
        <v>0</v>
      </c>
      <c r="R297">
        <f t="shared" si="27"/>
        <v>453</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Data'!B327</f>
        <v>0</v>
      </c>
      <c r="Q298">
        <f t="shared" si="26"/>
        <v>0</v>
      </c>
      <c r="R298">
        <f t="shared" si="27"/>
        <v>453</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Data'!B328</f>
        <v>0</v>
      </c>
      <c r="Q299">
        <f t="shared" si="26"/>
        <v>0</v>
      </c>
      <c r="R299">
        <f t="shared" si="27"/>
        <v>453</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Data'!B329</f>
        <v>0</v>
      </c>
      <c r="Q300">
        <f t="shared" si="26"/>
        <v>0</v>
      </c>
      <c r="R300">
        <f t="shared" si="27"/>
        <v>453</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Data'!B330</f>
        <v>0</v>
      </c>
      <c r="Q301">
        <f t="shared" si="26"/>
        <v>0</v>
      </c>
      <c r="R301">
        <f t="shared" si="27"/>
        <v>453</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Data'!B331</f>
        <v>0</v>
      </c>
      <c r="Q302">
        <f t="shared" si="26"/>
        <v>0</v>
      </c>
      <c r="R302">
        <f t="shared" si="27"/>
        <v>453</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Data'!B332</f>
        <v>0</v>
      </c>
      <c r="Q303">
        <f t="shared" si="26"/>
        <v>0</v>
      </c>
      <c r="R303">
        <f t="shared" si="27"/>
        <v>453</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Data'!B333</f>
        <v>0</v>
      </c>
      <c r="Q304">
        <f t="shared" si="26"/>
        <v>0</v>
      </c>
      <c r="R304">
        <f t="shared" si="27"/>
        <v>453</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Data'!B334</f>
        <v>0</v>
      </c>
      <c r="Q305">
        <f t="shared" si="26"/>
        <v>0</v>
      </c>
      <c r="R305">
        <f t="shared" si="27"/>
        <v>453</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Data'!B335</f>
        <v>0</v>
      </c>
      <c r="Q306">
        <f t="shared" si="26"/>
        <v>0</v>
      </c>
      <c r="R306">
        <f t="shared" si="27"/>
        <v>453</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Data'!B336</f>
        <v>0</v>
      </c>
      <c r="Q307">
        <f t="shared" si="26"/>
        <v>0</v>
      </c>
      <c r="R307">
        <f t="shared" si="27"/>
        <v>453</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Data'!B337</f>
        <v>0</v>
      </c>
      <c r="Q308">
        <f t="shared" si="26"/>
        <v>0</v>
      </c>
      <c r="R308">
        <f t="shared" si="27"/>
        <v>453</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Data'!B338</f>
        <v>0</v>
      </c>
      <c r="Q309">
        <f t="shared" si="26"/>
        <v>0</v>
      </c>
      <c r="R309">
        <f t="shared" si="27"/>
        <v>453</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Data'!B339</f>
        <v>0</v>
      </c>
      <c r="Q310">
        <f t="shared" si="26"/>
        <v>0</v>
      </c>
      <c r="R310">
        <f t="shared" si="27"/>
        <v>453</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Data'!B340</f>
        <v>0</v>
      </c>
      <c r="Q311">
        <f t="shared" si="26"/>
        <v>0</v>
      </c>
      <c r="R311">
        <f t="shared" si="27"/>
        <v>453</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Data'!B341</f>
        <v>0</v>
      </c>
      <c r="Q312">
        <f t="shared" si="26"/>
        <v>0</v>
      </c>
      <c r="R312">
        <f t="shared" si="27"/>
        <v>453</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Data'!B342</f>
        <v>0</v>
      </c>
      <c r="Q313">
        <f t="shared" si="26"/>
        <v>0</v>
      </c>
      <c r="R313">
        <f t="shared" si="27"/>
        <v>453</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Data'!B343</f>
        <v>0</v>
      </c>
      <c r="Q314">
        <f t="shared" si="26"/>
        <v>0</v>
      </c>
      <c r="R314">
        <f t="shared" si="27"/>
        <v>453</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Data'!B344</f>
        <v>0</v>
      </c>
      <c r="Q315">
        <f t="shared" si="26"/>
        <v>0</v>
      </c>
      <c r="R315">
        <f t="shared" si="27"/>
        <v>453</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Data'!B345</f>
        <v>0</v>
      </c>
      <c r="Q316">
        <f t="shared" si="26"/>
        <v>0</v>
      </c>
      <c r="R316">
        <f t="shared" si="27"/>
        <v>453</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Data'!B346</f>
        <v>0</v>
      </c>
      <c r="Q317">
        <f t="shared" si="26"/>
        <v>0</v>
      </c>
      <c r="R317">
        <f t="shared" si="27"/>
        <v>453</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Data'!B347</f>
        <v>0</v>
      </c>
      <c r="Q318">
        <f t="shared" si="26"/>
        <v>0</v>
      </c>
      <c r="R318">
        <f t="shared" si="27"/>
        <v>453</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Data'!B348</f>
        <v>0</v>
      </c>
      <c r="Q319">
        <f t="shared" si="26"/>
        <v>0</v>
      </c>
      <c r="R319">
        <f t="shared" si="27"/>
        <v>453</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Data'!B349</f>
        <v>0</v>
      </c>
      <c r="Q320">
        <f t="shared" si="26"/>
        <v>0</v>
      </c>
      <c r="R320">
        <f t="shared" si="27"/>
        <v>453</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Data'!B350</f>
        <v>0</v>
      </c>
      <c r="Q321">
        <f t="shared" si="26"/>
        <v>0</v>
      </c>
      <c r="R321">
        <f t="shared" si="27"/>
        <v>453</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Data'!B351</f>
        <v>0</v>
      </c>
      <c r="Q322">
        <f t="shared" si="26"/>
        <v>0</v>
      </c>
      <c r="R322">
        <f t="shared" si="27"/>
        <v>453</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Data'!B352</f>
        <v>0</v>
      </c>
      <c r="Q323">
        <f t="shared" si="26"/>
        <v>0</v>
      </c>
      <c r="R323">
        <f t="shared" si="27"/>
        <v>453</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Data'!B353</f>
        <v>0</v>
      </c>
      <c r="Q324">
        <f t="shared" si="26"/>
        <v>0</v>
      </c>
      <c r="R324">
        <f t="shared" si="27"/>
        <v>453</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Data'!B354</f>
        <v>0</v>
      </c>
      <c r="Q325">
        <f t="shared" si="26"/>
        <v>0</v>
      </c>
      <c r="R325">
        <f t="shared" si="27"/>
        <v>453</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Data'!B355</f>
        <v>0</v>
      </c>
      <c r="Q326">
        <f t="shared" si="26"/>
        <v>0</v>
      </c>
      <c r="R326">
        <f t="shared" si="27"/>
        <v>453</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Data'!B356</f>
        <v>0</v>
      </c>
      <c r="Q327">
        <f t="shared" si="26"/>
        <v>0</v>
      </c>
      <c r="R327">
        <f t="shared" si="27"/>
        <v>453</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Data'!B357</f>
        <v>0</v>
      </c>
      <c r="Q328">
        <f t="shared" si="26"/>
        <v>0</v>
      </c>
      <c r="R328">
        <f t="shared" si="27"/>
        <v>453</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Data'!B358</f>
        <v>0</v>
      </c>
      <c r="Q329">
        <f t="shared" si="26"/>
        <v>0</v>
      </c>
      <c r="R329">
        <f t="shared" si="27"/>
        <v>453</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Data'!B359</f>
        <v>0</v>
      </c>
      <c r="Q330">
        <f t="shared" si="26"/>
        <v>0</v>
      </c>
      <c r="R330">
        <f t="shared" si="27"/>
        <v>453</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Data'!B360</f>
        <v>0</v>
      </c>
      <c r="Q331">
        <f t="shared" si="26"/>
        <v>0</v>
      </c>
      <c r="R331">
        <f t="shared" si="27"/>
        <v>453</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Data'!B361</f>
        <v>0</v>
      </c>
      <c r="Q332">
        <f t="shared" si="26"/>
        <v>0</v>
      </c>
      <c r="R332">
        <f t="shared" si="27"/>
        <v>453</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Data'!B362</f>
        <v>0</v>
      </c>
      <c r="Q333">
        <f t="shared" si="26"/>
        <v>0</v>
      </c>
      <c r="R333">
        <f t="shared" si="27"/>
        <v>453</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Data'!B363</f>
        <v>0</v>
      </c>
      <c r="Q334">
        <f t="shared" si="26"/>
        <v>0</v>
      </c>
      <c r="R334">
        <f t="shared" si="27"/>
        <v>453</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Data'!B364</f>
        <v>0</v>
      </c>
      <c r="Q335">
        <f t="shared" si="26"/>
        <v>0</v>
      </c>
      <c r="R335">
        <f t="shared" si="27"/>
        <v>453</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Data'!B365</f>
        <v>0</v>
      </c>
      <c r="Q336">
        <f t="shared" si="26"/>
        <v>0</v>
      </c>
      <c r="R336">
        <f t="shared" si="27"/>
        <v>453</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Data'!B366</f>
        <v>0</v>
      </c>
      <c r="Q337">
        <f t="shared" si="26"/>
        <v>0</v>
      </c>
      <c r="R337">
        <f t="shared" si="27"/>
        <v>453</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Data'!B367</f>
        <v>0</v>
      </c>
      <c r="Q338">
        <f t="shared" ref="Q338:Q401" si="31">IF($P338="","",COUNTIF($A$3:$A$498,$P338))</f>
        <v>0</v>
      </c>
      <c r="R338">
        <f t="shared" ref="R338:R401" si="32">IF($P338="","",SUMPRODUCT(($A$3:$A$498=$P338)*($G$3:$G$498&lt;&gt;"Yes")*($G$3:$G$498&lt;&gt;"Did not pass re-test")))</f>
        <v>453</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Data'!B368</f>
        <v>0</v>
      </c>
      <c r="Q339">
        <f t="shared" si="31"/>
        <v>0</v>
      </c>
      <c r="R339">
        <f t="shared" si="32"/>
        <v>453</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Data'!B369</f>
        <v>0</v>
      </c>
      <c r="Q340">
        <f t="shared" si="31"/>
        <v>0</v>
      </c>
      <c r="R340">
        <f t="shared" si="32"/>
        <v>453</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Data'!B370</f>
        <v>0</v>
      </c>
      <c r="Q341">
        <f t="shared" si="31"/>
        <v>0</v>
      </c>
      <c r="R341">
        <f t="shared" si="32"/>
        <v>453</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Data'!B371</f>
        <v>0</v>
      </c>
      <c r="Q342">
        <f t="shared" si="31"/>
        <v>0</v>
      </c>
      <c r="R342">
        <f t="shared" si="32"/>
        <v>453</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Data'!B372</f>
        <v>0</v>
      </c>
      <c r="Q343">
        <f t="shared" si="31"/>
        <v>0</v>
      </c>
      <c r="R343">
        <f t="shared" si="32"/>
        <v>453</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Data'!B373</f>
        <v>0</v>
      </c>
      <c r="Q344">
        <f t="shared" si="31"/>
        <v>0</v>
      </c>
      <c r="R344">
        <f t="shared" si="32"/>
        <v>453</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Data'!B374</f>
        <v>0</v>
      </c>
      <c r="Q345">
        <f t="shared" si="31"/>
        <v>0</v>
      </c>
      <c r="R345">
        <f t="shared" si="32"/>
        <v>453</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Data'!B375</f>
        <v>0</v>
      </c>
      <c r="Q346">
        <f t="shared" si="31"/>
        <v>0</v>
      </c>
      <c r="R346">
        <f t="shared" si="32"/>
        <v>453</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Data'!B376</f>
        <v>0</v>
      </c>
      <c r="Q347">
        <f t="shared" si="31"/>
        <v>0</v>
      </c>
      <c r="R347">
        <f t="shared" si="32"/>
        <v>453</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Data'!B377</f>
        <v>0</v>
      </c>
      <c r="Q348">
        <f t="shared" si="31"/>
        <v>0</v>
      </c>
      <c r="R348">
        <f t="shared" si="32"/>
        <v>453</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Data'!B378</f>
        <v>0</v>
      </c>
      <c r="Q349">
        <f t="shared" si="31"/>
        <v>0</v>
      </c>
      <c r="R349">
        <f t="shared" si="32"/>
        <v>453</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Data'!B379</f>
        <v>0</v>
      </c>
      <c r="Q350">
        <f t="shared" si="31"/>
        <v>0</v>
      </c>
      <c r="R350">
        <f t="shared" si="32"/>
        <v>453</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Data'!B380</f>
        <v>0</v>
      </c>
      <c r="Q351">
        <f t="shared" si="31"/>
        <v>0</v>
      </c>
      <c r="R351">
        <f t="shared" si="32"/>
        <v>453</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Data'!B381</f>
        <v>0</v>
      </c>
      <c r="Q352">
        <f t="shared" si="31"/>
        <v>0</v>
      </c>
      <c r="R352">
        <f t="shared" si="32"/>
        <v>453</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Data'!B382</f>
        <v>0</v>
      </c>
      <c r="Q353">
        <f t="shared" si="31"/>
        <v>0</v>
      </c>
      <c r="R353">
        <f t="shared" si="32"/>
        <v>453</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Data'!B383</f>
        <v>0</v>
      </c>
      <c r="Q354">
        <f t="shared" si="31"/>
        <v>0</v>
      </c>
      <c r="R354">
        <f t="shared" si="32"/>
        <v>453</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Data'!B384</f>
        <v>0</v>
      </c>
      <c r="Q355">
        <f t="shared" si="31"/>
        <v>0</v>
      </c>
      <c r="R355">
        <f t="shared" si="32"/>
        <v>453</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Data'!B385</f>
        <v>0</v>
      </c>
      <c r="Q356">
        <f t="shared" si="31"/>
        <v>0</v>
      </c>
      <c r="R356">
        <f t="shared" si="32"/>
        <v>453</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Data'!B386</f>
        <v>0</v>
      </c>
      <c r="Q357">
        <f t="shared" si="31"/>
        <v>0</v>
      </c>
      <c r="R357">
        <f t="shared" si="32"/>
        <v>453</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Data'!B387</f>
        <v>0</v>
      </c>
      <c r="Q358">
        <f t="shared" si="31"/>
        <v>0</v>
      </c>
      <c r="R358">
        <f t="shared" si="32"/>
        <v>453</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Data'!B388</f>
        <v>0</v>
      </c>
      <c r="Q359">
        <f t="shared" si="31"/>
        <v>0</v>
      </c>
      <c r="R359">
        <f t="shared" si="32"/>
        <v>453</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Data'!B389</f>
        <v>0</v>
      </c>
      <c r="Q360">
        <f t="shared" si="31"/>
        <v>0</v>
      </c>
      <c r="R360">
        <f t="shared" si="32"/>
        <v>453</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Data'!B390</f>
        <v>0</v>
      </c>
      <c r="Q361">
        <f t="shared" si="31"/>
        <v>0</v>
      </c>
      <c r="R361">
        <f t="shared" si="32"/>
        <v>453</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Data'!B391</f>
        <v>0</v>
      </c>
      <c r="Q362">
        <f t="shared" si="31"/>
        <v>0</v>
      </c>
      <c r="R362">
        <f t="shared" si="32"/>
        <v>453</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Data'!B392</f>
        <v>0</v>
      </c>
      <c r="Q363">
        <f t="shared" si="31"/>
        <v>0</v>
      </c>
      <c r="R363">
        <f t="shared" si="32"/>
        <v>453</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Data'!B393</f>
        <v>0</v>
      </c>
      <c r="Q364">
        <f t="shared" si="31"/>
        <v>0</v>
      </c>
      <c r="R364">
        <f t="shared" si="32"/>
        <v>453</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Data'!B394</f>
        <v>0</v>
      </c>
      <c r="Q365">
        <f t="shared" si="31"/>
        <v>0</v>
      </c>
      <c r="R365">
        <f t="shared" si="32"/>
        <v>453</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Data'!B395</f>
        <v>0</v>
      </c>
      <c r="Q366">
        <f t="shared" si="31"/>
        <v>0</v>
      </c>
      <c r="R366">
        <f t="shared" si="32"/>
        <v>453</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Data'!B396</f>
        <v>0</v>
      </c>
      <c r="Q367">
        <f t="shared" si="31"/>
        <v>0</v>
      </c>
      <c r="R367">
        <f t="shared" si="32"/>
        <v>453</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Data'!B397</f>
        <v>0</v>
      </c>
      <c r="Q368">
        <f t="shared" si="31"/>
        <v>0</v>
      </c>
      <c r="R368">
        <f t="shared" si="32"/>
        <v>453</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Data'!B398</f>
        <v>0</v>
      </c>
      <c r="Q369">
        <f t="shared" si="31"/>
        <v>0</v>
      </c>
      <c r="R369">
        <f t="shared" si="32"/>
        <v>453</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Data'!B399</f>
        <v>0</v>
      </c>
      <c r="Q370">
        <f t="shared" si="31"/>
        <v>0</v>
      </c>
      <c r="R370">
        <f t="shared" si="32"/>
        <v>453</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Data'!B400</f>
        <v>0</v>
      </c>
      <c r="Q371">
        <f t="shared" si="31"/>
        <v>0</v>
      </c>
      <c r="R371">
        <f t="shared" si="32"/>
        <v>453</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Data'!B401</f>
        <v>0</v>
      </c>
      <c r="Q372">
        <f t="shared" si="31"/>
        <v>0</v>
      </c>
      <c r="R372">
        <f t="shared" si="32"/>
        <v>453</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Data'!B402</f>
        <v>0</v>
      </c>
      <c r="Q373">
        <f t="shared" si="31"/>
        <v>0</v>
      </c>
      <c r="R373">
        <f t="shared" si="32"/>
        <v>453</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Data'!B403</f>
        <v>0</v>
      </c>
      <c r="Q374">
        <f t="shared" si="31"/>
        <v>0</v>
      </c>
      <c r="R374">
        <f t="shared" si="32"/>
        <v>453</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Data'!B404</f>
        <v>0</v>
      </c>
      <c r="Q375">
        <f t="shared" si="31"/>
        <v>0</v>
      </c>
      <c r="R375">
        <f t="shared" si="32"/>
        <v>453</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Data'!B405</f>
        <v>0</v>
      </c>
      <c r="Q376">
        <f t="shared" si="31"/>
        <v>0</v>
      </c>
      <c r="R376">
        <f t="shared" si="32"/>
        <v>453</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Data'!B406</f>
        <v>0</v>
      </c>
      <c r="Q377">
        <f t="shared" si="31"/>
        <v>0</v>
      </c>
      <c r="R377">
        <f t="shared" si="32"/>
        <v>453</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Data'!B407</f>
        <v>0</v>
      </c>
      <c r="Q378">
        <f t="shared" si="31"/>
        <v>0</v>
      </c>
      <c r="R378">
        <f t="shared" si="32"/>
        <v>453</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Data'!B408</f>
        <v>0</v>
      </c>
      <c r="Q379">
        <f t="shared" si="31"/>
        <v>0</v>
      </c>
      <c r="R379">
        <f t="shared" si="32"/>
        <v>453</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Data'!B409</f>
        <v>0</v>
      </c>
      <c r="Q380">
        <f t="shared" si="31"/>
        <v>0</v>
      </c>
      <c r="R380">
        <f t="shared" si="32"/>
        <v>453</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Data'!B410</f>
        <v>0</v>
      </c>
      <c r="Q381">
        <f t="shared" si="31"/>
        <v>0</v>
      </c>
      <c r="R381">
        <f t="shared" si="32"/>
        <v>453</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Data'!B411</f>
        <v>0</v>
      </c>
      <c r="Q382">
        <f t="shared" si="31"/>
        <v>0</v>
      </c>
      <c r="R382">
        <f t="shared" si="32"/>
        <v>453</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Data'!B412</f>
        <v>0</v>
      </c>
      <c r="Q383">
        <f t="shared" si="31"/>
        <v>0</v>
      </c>
      <c r="R383">
        <f t="shared" si="32"/>
        <v>453</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Data'!B413</f>
        <v>0</v>
      </c>
      <c r="Q384">
        <f t="shared" si="31"/>
        <v>0</v>
      </c>
      <c r="R384">
        <f t="shared" si="32"/>
        <v>453</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Data'!B414</f>
        <v>0</v>
      </c>
      <c r="Q385">
        <f t="shared" si="31"/>
        <v>0</v>
      </c>
      <c r="R385">
        <f t="shared" si="32"/>
        <v>453</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Data'!B415</f>
        <v>0</v>
      </c>
      <c r="Q386">
        <f t="shared" si="31"/>
        <v>0</v>
      </c>
      <c r="R386">
        <f t="shared" si="32"/>
        <v>453</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Data'!B416</f>
        <v>0</v>
      </c>
      <c r="Q387">
        <f t="shared" si="31"/>
        <v>0</v>
      </c>
      <c r="R387">
        <f t="shared" si="32"/>
        <v>453</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Data'!B417</f>
        <v>0</v>
      </c>
      <c r="Q388">
        <f t="shared" si="31"/>
        <v>0</v>
      </c>
      <c r="R388">
        <f t="shared" si="32"/>
        <v>453</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Data'!B418</f>
        <v>0</v>
      </c>
      <c r="Q389">
        <f t="shared" si="31"/>
        <v>0</v>
      </c>
      <c r="R389">
        <f t="shared" si="32"/>
        <v>453</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Data'!B419</f>
        <v>0</v>
      </c>
      <c r="Q390">
        <f t="shared" si="31"/>
        <v>0</v>
      </c>
      <c r="R390">
        <f t="shared" si="32"/>
        <v>453</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Data'!B420</f>
        <v>0</v>
      </c>
      <c r="Q391">
        <f t="shared" si="31"/>
        <v>0</v>
      </c>
      <c r="R391">
        <f t="shared" si="32"/>
        <v>453</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Data'!B421</f>
        <v>0</v>
      </c>
      <c r="Q392">
        <f t="shared" si="31"/>
        <v>0</v>
      </c>
      <c r="R392">
        <f t="shared" si="32"/>
        <v>453</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Data'!B422</f>
        <v>0</v>
      </c>
      <c r="Q393">
        <f t="shared" si="31"/>
        <v>0</v>
      </c>
      <c r="R393">
        <f t="shared" si="32"/>
        <v>453</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Data'!B423</f>
        <v>0</v>
      </c>
      <c r="Q394">
        <f t="shared" si="31"/>
        <v>0</v>
      </c>
      <c r="R394">
        <f t="shared" si="32"/>
        <v>453</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Data'!B424</f>
        <v>0</v>
      </c>
      <c r="Q395">
        <f t="shared" si="31"/>
        <v>0</v>
      </c>
      <c r="R395">
        <f t="shared" si="32"/>
        <v>453</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Data'!B425</f>
        <v>0</v>
      </c>
      <c r="Q396">
        <f t="shared" si="31"/>
        <v>0</v>
      </c>
      <c r="R396">
        <f t="shared" si="32"/>
        <v>453</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Data'!B426</f>
        <v>0</v>
      </c>
      <c r="Q397">
        <f t="shared" si="31"/>
        <v>0</v>
      </c>
      <c r="R397">
        <f t="shared" si="32"/>
        <v>453</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Data'!B427</f>
        <v>0</v>
      </c>
      <c r="Q398">
        <f t="shared" si="31"/>
        <v>0</v>
      </c>
      <c r="R398">
        <f t="shared" si="32"/>
        <v>453</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Data'!B428</f>
        <v>0</v>
      </c>
      <c r="Q399">
        <f t="shared" si="31"/>
        <v>0</v>
      </c>
      <c r="R399">
        <f t="shared" si="32"/>
        <v>453</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Data'!B429</f>
        <v>0</v>
      </c>
      <c r="Q400">
        <f t="shared" si="31"/>
        <v>0</v>
      </c>
      <c r="R400">
        <f t="shared" si="32"/>
        <v>453</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Data'!B430</f>
        <v>0</v>
      </c>
      <c r="Q401">
        <f t="shared" si="31"/>
        <v>0</v>
      </c>
      <c r="R401">
        <f t="shared" si="32"/>
        <v>453</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Data'!B431</f>
        <v>0</v>
      </c>
      <c r="Q402">
        <f t="shared" ref="Q402:Q465" si="36">IF($P402="","",COUNTIF($A$3:$A$498,$P402))</f>
        <v>0</v>
      </c>
      <c r="R402">
        <f t="shared" ref="R402:R465" si="37">IF($P402="","",SUMPRODUCT(($A$3:$A$498=$P402)*($G$3:$G$498&lt;&gt;"Yes")*($G$3:$G$498&lt;&gt;"Did not pass re-test")))</f>
        <v>453</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Data'!B432</f>
        <v>0</v>
      </c>
      <c r="Q403">
        <f t="shared" si="36"/>
        <v>0</v>
      </c>
      <c r="R403">
        <f t="shared" si="37"/>
        <v>453</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Data'!B433</f>
        <v>0</v>
      </c>
      <c r="Q404">
        <f t="shared" si="36"/>
        <v>0</v>
      </c>
      <c r="R404">
        <f t="shared" si="37"/>
        <v>453</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Data'!B434</f>
        <v>0</v>
      </c>
      <c r="Q405">
        <f t="shared" si="36"/>
        <v>0</v>
      </c>
      <c r="R405">
        <f t="shared" si="37"/>
        <v>453</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Data'!B435</f>
        <v>0</v>
      </c>
      <c r="Q406">
        <f t="shared" si="36"/>
        <v>0</v>
      </c>
      <c r="R406">
        <f t="shared" si="37"/>
        <v>453</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Data'!B436</f>
        <v>0</v>
      </c>
      <c r="Q407">
        <f t="shared" si="36"/>
        <v>0</v>
      </c>
      <c r="R407">
        <f t="shared" si="37"/>
        <v>453</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Data'!B437</f>
        <v>0</v>
      </c>
      <c r="Q408">
        <f t="shared" si="36"/>
        <v>0</v>
      </c>
      <c r="R408">
        <f t="shared" si="37"/>
        <v>453</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Data'!B438</f>
        <v>0</v>
      </c>
      <c r="Q409">
        <f t="shared" si="36"/>
        <v>0</v>
      </c>
      <c r="R409">
        <f t="shared" si="37"/>
        <v>453</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Data'!B439</f>
        <v>0</v>
      </c>
      <c r="Q410">
        <f t="shared" si="36"/>
        <v>0</v>
      </c>
      <c r="R410">
        <f t="shared" si="37"/>
        <v>453</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Data'!B440</f>
        <v>0</v>
      </c>
      <c r="Q411">
        <f t="shared" si="36"/>
        <v>0</v>
      </c>
      <c r="R411">
        <f t="shared" si="37"/>
        <v>453</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Data'!B441</f>
        <v>0</v>
      </c>
      <c r="Q412">
        <f t="shared" si="36"/>
        <v>0</v>
      </c>
      <c r="R412">
        <f t="shared" si="37"/>
        <v>453</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Data'!B442</f>
        <v>0</v>
      </c>
      <c r="Q413">
        <f t="shared" si="36"/>
        <v>0</v>
      </c>
      <c r="R413">
        <f t="shared" si="37"/>
        <v>453</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Data'!B443</f>
        <v>0</v>
      </c>
      <c r="Q414">
        <f t="shared" si="36"/>
        <v>0</v>
      </c>
      <c r="R414">
        <f t="shared" si="37"/>
        <v>453</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Data'!B444</f>
        <v>0</v>
      </c>
      <c r="Q415">
        <f t="shared" si="36"/>
        <v>0</v>
      </c>
      <c r="R415">
        <f t="shared" si="37"/>
        <v>453</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Data'!B445</f>
        <v>0</v>
      </c>
      <c r="Q416">
        <f t="shared" si="36"/>
        <v>0</v>
      </c>
      <c r="R416">
        <f t="shared" si="37"/>
        <v>453</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Data'!B446</f>
        <v>0</v>
      </c>
      <c r="Q417">
        <f t="shared" si="36"/>
        <v>0</v>
      </c>
      <c r="R417">
        <f t="shared" si="37"/>
        <v>453</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Data'!B447</f>
        <v>0</v>
      </c>
      <c r="Q418">
        <f t="shared" si="36"/>
        <v>0</v>
      </c>
      <c r="R418">
        <f t="shared" si="37"/>
        <v>453</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Data'!B448</f>
        <v>0</v>
      </c>
      <c r="Q419">
        <f t="shared" si="36"/>
        <v>0</v>
      </c>
      <c r="R419">
        <f t="shared" si="37"/>
        <v>453</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Data'!B449</f>
        <v>0</v>
      </c>
      <c r="Q420">
        <f t="shared" si="36"/>
        <v>0</v>
      </c>
      <c r="R420">
        <f t="shared" si="37"/>
        <v>453</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Data'!B450</f>
        <v>0</v>
      </c>
      <c r="Q421">
        <f t="shared" si="36"/>
        <v>0</v>
      </c>
      <c r="R421">
        <f t="shared" si="37"/>
        <v>453</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Data'!B451</f>
        <v>0</v>
      </c>
      <c r="Q422">
        <f t="shared" si="36"/>
        <v>0</v>
      </c>
      <c r="R422">
        <f t="shared" si="37"/>
        <v>453</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Data'!B452</f>
        <v>0</v>
      </c>
      <c r="Q423">
        <f t="shared" si="36"/>
        <v>0</v>
      </c>
      <c r="R423">
        <f t="shared" si="37"/>
        <v>453</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Data'!B453</f>
        <v>0</v>
      </c>
      <c r="Q424">
        <f t="shared" si="36"/>
        <v>0</v>
      </c>
      <c r="R424">
        <f t="shared" si="37"/>
        <v>453</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Data'!B454</f>
        <v>0</v>
      </c>
      <c r="Q425">
        <f t="shared" si="36"/>
        <v>0</v>
      </c>
      <c r="R425">
        <f t="shared" si="37"/>
        <v>453</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Data'!B455</f>
        <v>0</v>
      </c>
      <c r="Q426">
        <f t="shared" si="36"/>
        <v>0</v>
      </c>
      <c r="R426">
        <f t="shared" si="37"/>
        <v>453</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Data'!B456</f>
        <v>0</v>
      </c>
      <c r="Q427">
        <f t="shared" si="36"/>
        <v>0</v>
      </c>
      <c r="R427">
        <f t="shared" si="37"/>
        <v>453</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Data'!B457</f>
        <v>0</v>
      </c>
      <c r="Q428">
        <f t="shared" si="36"/>
        <v>0</v>
      </c>
      <c r="R428">
        <f t="shared" si="37"/>
        <v>453</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Data'!B458</f>
        <v>0</v>
      </c>
      <c r="Q429">
        <f t="shared" si="36"/>
        <v>0</v>
      </c>
      <c r="R429">
        <f t="shared" si="37"/>
        <v>453</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Data'!B459</f>
        <v>0</v>
      </c>
      <c r="Q430">
        <f t="shared" si="36"/>
        <v>0</v>
      </c>
      <c r="R430">
        <f t="shared" si="37"/>
        <v>453</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Data'!B460</f>
        <v>0</v>
      </c>
      <c r="Q431">
        <f t="shared" si="36"/>
        <v>0</v>
      </c>
      <c r="R431">
        <f t="shared" si="37"/>
        <v>453</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Data'!B461</f>
        <v>0</v>
      </c>
      <c r="Q432">
        <f t="shared" si="36"/>
        <v>0</v>
      </c>
      <c r="R432">
        <f t="shared" si="37"/>
        <v>453</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Data'!B462</f>
        <v>0</v>
      </c>
      <c r="Q433">
        <f t="shared" si="36"/>
        <v>0</v>
      </c>
      <c r="R433">
        <f t="shared" si="37"/>
        <v>453</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Data'!B463</f>
        <v>0</v>
      </c>
      <c r="Q434">
        <f t="shared" si="36"/>
        <v>0</v>
      </c>
      <c r="R434">
        <f t="shared" si="37"/>
        <v>453</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Data'!B464</f>
        <v>0</v>
      </c>
      <c r="Q435">
        <f t="shared" si="36"/>
        <v>0</v>
      </c>
      <c r="R435">
        <f t="shared" si="37"/>
        <v>453</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Data'!B465</f>
        <v>0</v>
      </c>
      <c r="Q436">
        <f t="shared" si="36"/>
        <v>0</v>
      </c>
      <c r="R436">
        <f t="shared" si="37"/>
        <v>453</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Data'!B466</f>
        <v>0</v>
      </c>
      <c r="Q437">
        <f t="shared" si="36"/>
        <v>0</v>
      </c>
      <c r="R437">
        <f t="shared" si="37"/>
        <v>453</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Data'!B467</f>
        <v>0</v>
      </c>
      <c r="Q438">
        <f t="shared" si="36"/>
        <v>0</v>
      </c>
      <c r="R438">
        <f t="shared" si="37"/>
        <v>453</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Data'!B468</f>
        <v>0</v>
      </c>
      <c r="Q439">
        <f t="shared" si="36"/>
        <v>0</v>
      </c>
      <c r="R439">
        <f t="shared" si="37"/>
        <v>453</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Data'!B469</f>
        <v>0</v>
      </c>
      <c r="Q440">
        <f t="shared" si="36"/>
        <v>0</v>
      </c>
      <c r="R440">
        <f t="shared" si="37"/>
        <v>453</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Data'!B470</f>
        <v>0</v>
      </c>
      <c r="Q441">
        <f t="shared" si="36"/>
        <v>0</v>
      </c>
      <c r="R441">
        <f t="shared" si="37"/>
        <v>453</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Data'!B471</f>
        <v>0</v>
      </c>
      <c r="Q442">
        <f t="shared" si="36"/>
        <v>0</v>
      </c>
      <c r="R442">
        <f t="shared" si="37"/>
        <v>453</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Data'!B472</f>
        <v>0</v>
      </c>
      <c r="Q443">
        <f t="shared" si="36"/>
        <v>0</v>
      </c>
      <c r="R443">
        <f t="shared" si="37"/>
        <v>453</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Data'!B473</f>
        <v>0</v>
      </c>
      <c r="Q444">
        <f t="shared" si="36"/>
        <v>0</v>
      </c>
      <c r="R444">
        <f t="shared" si="37"/>
        <v>453</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Data'!B474</f>
        <v>0</v>
      </c>
      <c r="Q445">
        <f t="shared" si="36"/>
        <v>0</v>
      </c>
      <c r="R445">
        <f t="shared" si="37"/>
        <v>453</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Data'!B475</f>
        <v>0</v>
      </c>
      <c r="Q446">
        <f t="shared" si="36"/>
        <v>0</v>
      </c>
      <c r="R446">
        <f t="shared" si="37"/>
        <v>453</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Data'!B476</f>
        <v>0</v>
      </c>
      <c r="Q447">
        <f t="shared" si="36"/>
        <v>0</v>
      </c>
      <c r="R447">
        <f t="shared" si="37"/>
        <v>453</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Data'!B477</f>
        <v>0</v>
      </c>
      <c r="Q448">
        <f t="shared" si="36"/>
        <v>0</v>
      </c>
      <c r="R448">
        <f t="shared" si="37"/>
        <v>453</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Data'!B478</f>
        <v>0</v>
      </c>
      <c r="Q449">
        <f t="shared" si="36"/>
        <v>0</v>
      </c>
      <c r="R449">
        <f t="shared" si="37"/>
        <v>453</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Data'!B479</f>
        <v>0</v>
      </c>
      <c r="Q450">
        <f t="shared" si="36"/>
        <v>0</v>
      </c>
      <c r="R450">
        <f t="shared" si="37"/>
        <v>453</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Data'!B480</f>
        <v>0</v>
      </c>
      <c r="Q451">
        <f t="shared" si="36"/>
        <v>0</v>
      </c>
      <c r="R451">
        <f t="shared" si="37"/>
        <v>453</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Data'!B481</f>
        <v>0</v>
      </c>
      <c r="Q452">
        <f t="shared" si="36"/>
        <v>0</v>
      </c>
      <c r="R452">
        <f t="shared" si="37"/>
        <v>453</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Data'!B482</f>
        <v>0</v>
      </c>
      <c r="Q453">
        <f t="shared" si="36"/>
        <v>0</v>
      </c>
      <c r="R453">
        <f t="shared" si="37"/>
        <v>453</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Data'!B483</f>
        <v>0</v>
      </c>
      <c r="Q454">
        <f t="shared" si="36"/>
        <v>0</v>
      </c>
      <c r="R454">
        <f t="shared" si="37"/>
        <v>453</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Data'!B484</f>
        <v>0</v>
      </c>
      <c r="Q455">
        <f t="shared" si="36"/>
        <v>0</v>
      </c>
      <c r="R455">
        <f t="shared" si="37"/>
        <v>453</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Data'!B485</f>
        <v>0</v>
      </c>
      <c r="Q456">
        <f t="shared" si="36"/>
        <v>0</v>
      </c>
      <c r="R456">
        <f t="shared" si="37"/>
        <v>453</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Data'!B486</f>
        <v>0</v>
      </c>
      <c r="Q457">
        <f t="shared" si="36"/>
        <v>0</v>
      </c>
      <c r="R457">
        <f t="shared" si="37"/>
        <v>453</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Data'!B487</f>
        <v>0</v>
      </c>
      <c r="Q458">
        <f t="shared" si="36"/>
        <v>0</v>
      </c>
      <c r="R458">
        <f t="shared" si="37"/>
        <v>453</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Data'!B488</f>
        <v>0</v>
      </c>
      <c r="Q459">
        <f t="shared" si="36"/>
        <v>0</v>
      </c>
      <c r="R459">
        <f t="shared" si="37"/>
        <v>453</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Data'!B489</f>
        <v>0</v>
      </c>
      <c r="Q460">
        <f t="shared" si="36"/>
        <v>0</v>
      </c>
      <c r="R460">
        <f t="shared" si="37"/>
        <v>453</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Data'!B490</f>
        <v>0</v>
      </c>
      <c r="Q461">
        <f t="shared" si="36"/>
        <v>0</v>
      </c>
      <c r="R461">
        <f t="shared" si="37"/>
        <v>453</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Data'!B491</f>
        <v>0</v>
      </c>
      <c r="Q462">
        <f t="shared" si="36"/>
        <v>0</v>
      </c>
      <c r="R462">
        <f t="shared" si="37"/>
        <v>453</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Data'!B492</f>
        <v>0</v>
      </c>
      <c r="Q463">
        <f t="shared" si="36"/>
        <v>0</v>
      </c>
      <c r="R463">
        <f t="shared" si="37"/>
        <v>453</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Data'!B493</f>
        <v>0</v>
      </c>
      <c r="Q464">
        <f t="shared" si="36"/>
        <v>0</v>
      </c>
      <c r="R464">
        <f t="shared" si="37"/>
        <v>453</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Data'!B494</f>
        <v>0</v>
      </c>
      <c r="Q465">
        <f t="shared" si="36"/>
        <v>0</v>
      </c>
      <c r="R465">
        <f t="shared" si="37"/>
        <v>453</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Data'!B495</f>
        <v>0</v>
      </c>
      <c r="Q466">
        <f t="shared" ref="Q466:Q498" si="41">IF($P466="","",COUNTIF($A$3:$A$498,$P466))</f>
        <v>0</v>
      </c>
      <c r="R466">
        <f t="shared" ref="R466:R498" si="42">IF($P466="","",SUMPRODUCT(($A$3:$A$498=$P466)*($G$3:$G$498&lt;&gt;"Yes")*($G$3:$G$498&lt;&gt;"Did not pass re-test")))</f>
        <v>453</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Data'!B496</f>
        <v>0</v>
      </c>
      <c r="Q467">
        <f t="shared" si="41"/>
        <v>0</v>
      </c>
      <c r="R467">
        <f t="shared" si="42"/>
        <v>453</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Data'!B497</f>
        <v>0</v>
      </c>
      <c r="Q468">
        <f t="shared" si="41"/>
        <v>0</v>
      </c>
      <c r="R468">
        <f t="shared" si="42"/>
        <v>453</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Data'!B498</f>
        <v>0</v>
      </c>
      <c r="Q469">
        <f t="shared" si="41"/>
        <v>0</v>
      </c>
      <c r="R469">
        <f t="shared" si="42"/>
        <v>453</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Data'!B499</f>
        <v>0</v>
      </c>
      <c r="Q470">
        <f t="shared" si="41"/>
        <v>0</v>
      </c>
      <c r="R470">
        <f t="shared" si="42"/>
        <v>453</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Data'!B500</f>
        <v>0</v>
      </c>
      <c r="Q471">
        <f t="shared" si="41"/>
        <v>0</v>
      </c>
      <c r="R471">
        <f t="shared" si="42"/>
        <v>453</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Data'!B501</f>
        <v>0</v>
      </c>
      <c r="Q472">
        <f t="shared" si="41"/>
        <v>0</v>
      </c>
      <c r="R472">
        <f t="shared" si="42"/>
        <v>453</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Data'!B502</f>
        <v>0</v>
      </c>
      <c r="Q473">
        <f t="shared" si="41"/>
        <v>0</v>
      </c>
      <c r="R473">
        <f t="shared" si="42"/>
        <v>453</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Data'!B503</f>
        <v>0</v>
      </c>
      <c r="Q474">
        <f t="shared" si="41"/>
        <v>0</v>
      </c>
      <c r="R474">
        <f t="shared" si="42"/>
        <v>453</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Data'!B504</f>
        <v>0</v>
      </c>
      <c r="Q475">
        <f t="shared" si="41"/>
        <v>0</v>
      </c>
      <c r="R475">
        <f t="shared" si="42"/>
        <v>453</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Data'!B505</f>
        <v>0</v>
      </c>
      <c r="Q476">
        <f t="shared" si="41"/>
        <v>0</v>
      </c>
      <c r="R476">
        <f t="shared" si="42"/>
        <v>453</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Data'!B506</f>
        <v>0</v>
      </c>
      <c r="Q477">
        <f t="shared" si="41"/>
        <v>0</v>
      </c>
      <c r="R477">
        <f t="shared" si="42"/>
        <v>453</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Data'!B507</f>
        <v>0</v>
      </c>
      <c r="Q478">
        <f t="shared" si="41"/>
        <v>0</v>
      </c>
      <c r="R478">
        <f t="shared" si="42"/>
        <v>453</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Data'!B508</f>
        <v>0</v>
      </c>
      <c r="Q479">
        <f t="shared" si="41"/>
        <v>0</v>
      </c>
      <c r="R479">
        <f t="shared" si="42"/>
        <v>453</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Data'!B509</f>
        <v>0</v>
      </c>
      <c r="Q480">
        <f t="shared" si="41"/>
        <v>0</v>
      </c>
      <c r="R480">
        <f t="shared" si="42"/>
        <v>453</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Data'!B510</f>
        <v>0</v>
      </c>
      <c r="Q481">
        <f t="shared" si="41"/>
        <v>0</v>
      </c>
      <c r="R481">
        <f t="shared" si="42"/>
        <v>453</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Data'!B511</f>
        <v>0</v>
      </c>
      <c r="Q482">
        <f t="shared" si="41"/>
        <v>0</v>
      </c>
      <c r="R482">
        <f t="shared" si="42"/>
        <v>453</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Data'!B512</f>
        <v>0</v>
      </c>
      <c r="Q483">
        <f t="shared" si="41"/>
        <v>0</v>
      </c>
      <c r="R483">
        <f t="shared" si="42"/>
        <v>453</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Data'!B513</f>
        <v>0</v>
      </c>
      <c r="Q484">
        <f t="shared" si="41"/>
        <v>0</v>
      </c>
      <c r="R484">
        <f t="shared" si="42"/>
        <v>453</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Data'!B514</f>
        <v>0</v>
      </c>
      <c r="Q485">
        <f t="shared" si="41"/>
        <v>0</v>
      </c>
      <c r="R485">
        <f t="shared" si="42"/>
        <v>453</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Data'!B515</f>
        <v>0</v>
      </c>
      <c r="Q486">
        <f t="shared" si="41"/>
        <v>0</v>
      </c>
      <c r="R486">
        <f t="shared" si="42"/>
        <v>453</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Data'!B516</f>
        <v>0</v>
      </c>
      <c r="Q487">
        <f t="shared" si="41"/>
        <v>0</v>
      </c>
      <c r="R487">
        <f t="shared" si="42"/>
        <v>453</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Data'!B517</f>
        <v>0</v>
      </c>
      <c r="Q488">
        <f t="shared" si="41"/>
        <v>0</v>
      </c>
      <c r="R488">
        <f t="shared" si="42"/>
        <v>453</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Data'!B518</f>
        <v>0</v>
      </c>
      <c r="Q489">
        <f t="shared" si="41"/>
        <v>0</v>
      </c>
      <c r="R489">
        <f t="shared" si="42"/>
        <v>453</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Data'!B519</f>
        <v>0</v>
      </c>
      <c r="Q490">
        <f t="shared" si="41"/>
        <v>0</v>
      </c>
      <c r="R490">
        <f t="shared" si="42"/>
        <v>453</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Data'!B520</f>
        <v>0</v>
      </c>
      <c r="Q491">
        <f t="shared" si="41"/>
        <v>0</v>
      </c>
      <c r="R491">
        <f t="shared" si="42"/>
        <v>453</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Data'!B521</f>
        <v>0</v>
      </c>
      <c r="Q492">
        <f t="shared" si="41"/>
        <v>0</v>
      </c>
      <c r="R492">
        <f t="shared" si="42"/>
        <v>453</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Data'!B522</f>
        <v>0</v>
      </c>
      <c r="Q493">
        <f t="shared" si="41"/>
        <v>0</v>
      </c>
      <c r="R493">
        <f t="shared" si="42"/>
        <v>453</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Data'!B523</f>
        <v>0</v>
      </c>
      <c r="Q494">
        <f t="shared" si="41"/>
        <v>0</v>
      </c>
      <c r="R494">
        <f t="shared" si="42"/>
        <v>453</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Data'!B524</f>
        <v>0</v>
      </c>
      <c r="Q495">
        <f t="shared" si="41"/>
        <v>0</v>
      </c>
      <c r="R495">
        <f t="shared" si="42"/>
        <v>453</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Data'!B525</f>
        <v>0</v>
      </c>
      <c r="Q496">
        <f t="shared" si="41"/>
        <v>0</v>
      </c>
      <c r="R496">
        <f t="shared" si="42"/>
        <v>453</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Data'!B526</f>
        <v>0</v>
      </c>
      <c r="Q497">
        <f t="shared" si="41"/>
        <v>0</v>
      </c>
      <c r="R497">
        <f t="shared" si="42"/>
        <v>453</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Data'!B527</f>
        <v>0</v>
      </c>
      <c r="Q498">
        <f t="shared" si="41"/>
        <v>0</v>
      </c>
      <c r="R498">
        <f t="shared" si="42"/>
        <v>453</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39" priority="18">
      <formula>AND($B5&lt;&gt;"",MOD(ROW(),2)=0)</formula>
    </cfRule>
  </conditionalFormatting>
  <conditionalFormatting sqref="A11:A13">
    <cfRule type="expression" dxfId="38" priority="15">
      <formula>AND($B11&lt;&gt;"",MOD(ROW(),2)=0)</formula>
    </cfRule>
  </conditionalFormatting>
  <conditionalFormatting sqref="A18">
    <cfRule type="expression" dxfId="37" priority="14">
      <formula>AND($B18&lt;&gt;"",MOD(ROW(),2)=0)</formula>
    </cfRule>
  </conditionalFormatting>
  <conditionalFormatting sqref="A22">
    <cfRule type="expression" dxfId="36" priority="12">
      <formula>AND($B22&lt;&gt;"",MOD(ROW(),2)=0)</formula>
    </cfRule>
  </conditionalFormatting>
  <conditionalFormatting sqref="A26:A27">
    <cfRule type="expression" dxfId="35" priority="10">
      <formula>AND($B26&lt;&gt;"",MOD(ROW(),2)=0)</formula>
    </cfRule>
  </conditionalFormatting>
  <conditionalFormatting sqref="A31">
    <cfRule type="expression" dxfId="34" priority="9">
      <formula>AND($B31&lt;&gt;"",MOD(ROW(),2)=0)</formula>
    </cfRule>
  </conditionalFormatting>
  <conditionalFormatting sqref="A36:A38">
    <cfRule type="expression" dxfId="33" priority="5">
      <formula>AND($B36&lt;&gt;"",MOD(ROW(),2)=0)</formula>
    </cfRule>
  </conditionalFormatting>
  <conditionalFormatting sqref="A43">
    <cfRule type="expression" dxfId="32" priority="3">
      <formula>AND($B43&lt;&gt;"",MOD(ROW(),2)=0)</formula>
    </cfRule>
  </conditionalFormatting>
  <conditionalFormatting sqref="A3:H3 K3:M3 A4:M4 M4:M11 B5:M8 A9:M10 B11:M13 A14:M17 B18:M18 A19:M21 B22:M22 A23:M25 B26:M27 A28:M28 A29:K30 M29:M30 B31:M31 A32:M35 B36:M38 A39:M42 B43:M43 A44:M44 A47:M498 B45:M46">
    <cfRule type="expression" dxfId="31" priority="28">
      <formula>AND($A3&lt;&gt;"",$G3="Yes")</formula>
    </cfRule>
    <cfRule type="expression" dxfId="30" priority="29">
      <formula>AND($A3&lt;&gt;"",$J3&lt;&gt;"")</formula>
    </cfRule>
    <cfRule type="expression" dxfId="29" priority="30">
      <formula>$A3&lt;&gt;""</formula>
    </cfRule>
  </conditionalFormatting>
  <conditionalFormatting sqref="C3:C198 G3:G198">
    <cfRule type="expression" dxfId="28" priority="31">
      <formula>$A3=""</formula>
    </cfRule>
  </conditionalFormatting>
  <conditionalFormatting sqref="K3:M3 A4:M4 M4:M11 B5:M8 A9:M10 B11:M13 A14:M17 B18:M18 A19:M21 B22:M22 A23:M25 B26:M27 A28:M28 M29:M30 B31:M31 A32:M35 B36:M38 A39:M42 B43:M43 A44:M44 A3:H3 A29:K30 A47:M498 B45:M46">
    <cfRule type="expression" dxfId="27" priority="27">
      <formula>AND($A3&lt;&gt;"",$G3="Did not pass re-test")</formula>
    </cfRule>
  </conditionalFormatting>
  <conditionalFormatting sqref="M3:M498">
    <cfRule type="expression" dxfId="26" priority="21">
      <formula>ISNUMBER(SEARCH("Sent back again",$M3))</formula>
    </cfRule>
    <cfRule type="expression" dxfId="25" priority="22">
      <formula>ISNUMBER(SEARCH("LATE",$M3))</formula>
    </cfRule>
    <cfRule type="expression" dxfId="24" priority="23">
      <formula>ISNUMBER(SEARCH("UNCLAIMED",$M3))</formula>
    </cfRule>
    <cfRule type="expression" dxfId="23" priority="24">
      <formula>ISNUMBER(SEARCH("Missing",$M3))</formula>
    </cfRule>
    <cfRule type="expression" dxfId="22" priority="25">
      <formula>ISNUMBER(SEARCH("Fixed in",$M3))</formula>
    </cfRule>
    <cfRule type="expression" dxfId="21" priority="26">
      <formula>ISNUMBER(SEARCH("Open",$M3))</formula>
    </cfRule>
  </conditionalFormatting>
  <conditionalFormatting sqref="N25">
    <cfRule type="expression" dxfId="20" priority="4">
      <formula>AND($B25&lt;&gt;"",MOD(ROW(),2)=0)</formula>
    </cfRule>
  </conditionalFormatting>
  <conditionalFormatting sqref="A45">
    <cfRule type="expression" dxfId="19" priority="2">
      <formula>AND($B45&lt;&gt;"",MOD(ROW(),2)=0)</formula>
    </cfRule>
  </conditionalFormatting>
  <conditionalFormatting sqref="A46">
    <cfRule type="expression" dxfId="18"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 A47:A498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B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67" t="s">
        <v>412</v>
      </c>
      <c r="B1" s="262"/>
      <c r="C1" s="262"/>
    </row>
    <row r="2" spans="1:8" ht="14.25" customHeight="1">
      <c r="A2" s="8" t="s">
        <v>0</v>
      </c>
      <c r="B2" s="8" t="s">
        <v>413</v>
      </c>
      <c r="C2" s="8" t="s">
        <v>414</v>
      </c>
      <c r="E2" t="s">
        <v>415</v>
      </c>
      <c r="F2" t="s">
        <v>416</v>
      </c>
      <c r="G2" t="s">
        <v>417</v>
      </c>
      <c r="H2" t="s">
        <v>418</v>
      </c>
    </row>
    <row r="3" spans="1:8" ht="14.25" customHeight="1">
      <c r="A3" s="11" t="s">
        <v>40</v>
      </c>
      <c r="B3" s="11">
        <v>8</v>
      </c>
      <c r="C3" s="12">
        <v>46142</v>
      </c>
      <c r="E3" t="s">
        <v>419</v>
      </c>
      <c r="F3" s="28">
        <v>46233</v>
      </c>
      <c r="G3" s="28">
        <v>46274</v>
      </c>
    </row>
    <row r="4" spans="1:8" ht="14.25" customHeight="1">
      <c r="A4" s="11" t="s">
        <v>40</v>
      </c>
      <c r="B4" s="11">
        <v>10</v>
      </c>
      <c r="C4" s="12">
        <v>46172</v>
      </c>
      <c r="E4" t="s">
        <v>420</v>
      </c>
      <c r="F4" s="28">
        <v>46264</v>
      </c>
      <c r="G4" s="28">
        <v>46295</v>
      </c>
    </row>
    <row r="5" spans="1:8" ht="14.25" customHeight="1">
      <c r="A5" s="11" t="s">
        <v>40</v>
      </c>
      <c r="B5" s="11">
        <v>9</v>
      </c>
      <c r="C5" s="12">
        <v>46203</v>
      </c>
      <c r="E5" t="s">
        <v>421</v>
      </c>
      <c r="F5" s="28">
        <v>46295</v>
      </c>
      <c r="G5" s="28">
        <v>46325</v>
      </c>
    </row>
    <row r="6" spans="1:8" ht="14.25" customHeight="1">
      <c r="A6" s="11" t="s">
        <v>126</v>
      </c>
      <c r="B6" s="11">
        <v>15</v>
      </c>
      <c r="C6" s="12">
        <v>46233</v>
      </c>
      <c r="E6" t="s">
        <v>422</v>
      </c>
      <c r="F6" s="28">
        <v>46325</v>
      </c>
      <c r="G6" s="28">
        <v>46356</v>
      </c>
    </row>
    <row r="7" spans="1:8" ht="14.25" customHeight="1">
      <c r="A7" s="11" t="s">
        <v>126</v>
      </c>
      <c r="B7" s="11">
        <v>15</v>
      </c>
      <c r="C7" s="12">
        <v>46264</v>
      </c>
      <c r="E7" t="s">
        <v>423</v>
      </c>
      <c r="F7" s="28">
        <v>46356</v>
      </c>
      <c r="G7" s="28">
        <v>46387</v>
      </c>
    </row>
    <row r="8" spans="1:8" ht="14.25" customHeight="1">
      <c r="A8" s="11" t="s">
        <v>126</v>
      </c>
      <c r="B8" s="11">
        <v>17</v>
      </c>
      <c r="C8" s="12">
        <v>46295</v>
      </c>
      <c r="E8" t="s">
        <v>424</v>
      </c>
      <c r="F8" s="28">
        <v>46387</v>
      </c>
      <c r="G8" s="28">
        <v>46417</v>
      </c>
    </row>
    <row r="9" spans="1:8" ht="14.25" customHeight="1">
      <c r="A9" s="11" t="s">
        <v>126</v>
      </c>
      <c r="B9" s="11">
        <v>20</v>
      </c>
      <c r="C9" s="12">
        <v>46325</v>
      </c>
      <c r="E9" t="s">
        <v>425</v>
      </c>
      <c r="F9" s="28">
        <v>46417</v>
      </c>
      <c r="G9" s="28">
        <v>46445</v>
      </c>
    </row>
    <row r="10" spans="1:8" ht="14.25" customHeight="1">
      <c r="A10" s="11" t="s">
        <v>126</v>
      </c>
      <c r="B10" s="11">
        <v>20</v>
      </c>
      <c r="C10" s="12">
        <v>46356</v>
      </c>
      <c r="E10" t="s">
        <v>426</v>
      </c>
      <c r="F10" s="28">
        <v>46446</v>
      </c>
      <c r="G10" s="28">
        <v>46477</v>
      </c>
    </row>
    <row r="11" spans="1:8" ht="14.25" customHeight="1">
      <c r="A11" s="11" t="s">
        <v>427</v>
      </c>
      <c r="B11" s="11">
        <v>18</v>
      </c>
      <c r="C11" s="12">
        <v>46417</v>
      </c>
      <c r="E11" t="s">
        <v>428</v>
      </c>
      <c r="F11" s="28">
        <v>46477</v>
      </c>
      <c r="G11" s="28">
        <v>46480</v>
      </c>
    </row>
    <row r="12" spans="1:8" ht="14.25" customHeight="1">
      <c r="A12" s="11" t="s">
        <v>427</v>
      </c>
      <c r="B12" s="11">
        <v>18</v>
      </c>
      <c r="C12" s="12">
        <v>46446</v>
      </c>
    </row>
    <row r="13" spans="1:8" ht="14.25" customHeight="1">
      <c r="A13" s="11" t="s">
        <v>427</v>
      </c>
      <c r="B13" s="11">
        <v>19</v>
      </c>
      <c r="C13" s="12">
        <v>46477</v>
      </c>
    </row>
    <row r="14" spans="1:8" ht="14.25" customHeight="1">
      <c r="A14" s="11" t="s">
        <v>306</v>
      </c>
      <c r="B14" s="11">
        <v>9</v>
      </c>
      <c r="C14" s="12">
        <v>46387</v>
      </c>
    </row>
    <row r="15" spans="1:8" ht="14.25" customHeight="1">
      <c r="A15" s="11" t="s">
        <v>297</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68" t="s">
        <v>429</v>
      </c>
      <c r="B1" s="262"/>
      <c r="C1" s="262"/>
      <c r="D1" s="262"/>
      <c r="E1" s="262"/>
      <c r="F1" s="262"/>
      <c r="G1" s="262"/>
      <c r="H1" s="262"/>
      <c r="I1" s="262"/>
      <c r="J1" s="262"/>
    </row>
    <row r="2" spans="1:10" ht="27" customHeight="1">
      <c r="A2" s="8" t="s">
        <v>0</v>
      </c>
      <c r="B2" s="8" t="s">
        <v>430</v>
      </c>
      <c r="C2" s="8" t="s">
        <v>1</v>
      </c>
      <c r="D2" s="8" t="s">
        <v>431</v>
      </c>
      <c r="E2" s="8" t="s">
        <v>432</v>
      </c>
      <c r="F2" s="8" t="s">
        <v>6</v>
      </c>
      <c r="G2" s="8" t="s">
        <v>5</v>
      </c>
      <c r="H2" s="8" t="s">
        <v>433</v>
      </c>
      <c r="I2" s="8" t="s">
        <v>414</v>
      </c>
      <c r="J2" s="8" t="s">
        <v>434</v>
      </c>
    </row>
    <row r="3" spans="1:10" ht="14.25" customHeight="1">
      <c r="A3" s="9" t="s">
        <v>40</v>
      </c>
      <c r="B3" s="9" t="s">
        <v>156</v>
      </c>
      <c r="C3" s="9" t="s">
        <v>41</v>
      </c>
      <c r="D3" s="9" t="s">
        <v>44</v>
      </c>
      <c r="E3" s="9" t="s">
        <v>46</v>
      </c>
      <c r="F3" s="9"/>
      <c r="G3" s="9"/>
      <c r="H3" s="9"/>
      <c r="I3" s="10">
        <v>46115</v>
      </c>
      <c r="J3" s="10">
        <v>46115</v>
      </c>
    </row>
    <row r="4" spans="1:10" ht="14.25" customHeight="1">
      <c r="A4" s="9" t="s">
        <v>40</v>
      </c>
      <c r="B4" s="9" t="s">
        <v>203</v>
      </c>
      <c r="C4" s="9" t="s">
        <v>41</v>
      </c>
      <c r="D4" s="9" t="s">
        <v>44</v>
      </c>
      <c r="E4" s="9" t="s">
        <v>46</v>
      </c>
      <c r="F4" s="9"/>
      <c r="G4" s="9"/>
      <c r="H4" s="10">
        <v>46115</v>
      </c>
      <c r="I4" s="10">
        <v>46114</v>
      </c>
      <c r="J4" s="10">
        <v>46114</v>
      </c>
    </row>
    <row r="5" spans="1:10" ht="14.25" customHeight="1">
      <c r="A5" s="9" t="s">
        <v>40</v>
      </c>
      <c r="B5" s="9" t="s">
        <v>216</v>
      </c>
      <c r="C5" s="9" t="s">
        <v>41</v>
      </c>
      <c r="D5" s="9" t="s">
        <v>44</v>
      </c>
      <c r="E5" s="9" t="s">
        <v>46</v>
      </c>
      <c r="F5" s="9"/>
      <c r="G5" s="9"/>
      <c r="H5" s="10">
        <v>46114</v>
      </c>
      <c r="I5" s="10">
        <v>46122</v>
      </c>
      <c r="J5" s="10">
        <v>46122</v>
      </c>
    </row>
    <row r="6" spans="1:10" ht="14.25" customHeight="1">
      <c r="A6" s="9" t="s">
        <v>40</v>
      </c>
      <c r="B6" s="9" t="s">
        <v>181</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156</v>
      </c>
      <c r="C8" s="9" t="s">
        <v>55</v>
      </c>
      <c r="D8" s="9" t="s">
        <v>44</v>
      </c>
      <c r="E8" s="9" t="s">
        <v>46</v>
      </c>
      <c r="F8" s="9"/>
      <c r="G8" s="9"/>
      <c r="H8" s="10"/>
      <c r="I8" s="10">
        <v>46115</v>
      </c>
      <c r="J8" s="10">
        <v>46115</v>
      </c>
    </row>
    <row r="9" spans="1:10" ht="14.25" customHeight="1">
      <c r="A9" s="9" t="s">
        <v>40</v>
      </c>
      <c r="B9" s="9" t="s">
        <v>203</v>
      </c>
      <c r="C9" s="9" t="s">
        <v>55</v>
      </c>
      <c r="D9" s="9" t="s">
        <v>44</v>
      </c>
      <c r="E9" s="9" t="s">
        <v>46</v>
      </c>
      <c r="F9" s="9"/>
      <c r="G9" s="9"/>
      <c r="H9" s="10">
        <v>46115</v>
      </c>
      <c r="I9" s="10">
        <v>46114</v>
      </c>
      <c r="J9" s="10">
        <v>46114</v>
      </c>
    </row>
    <row r="10" spans="1:10" ht="14.25" customHeight="1">
      <c r="A10" s="9" t="s">
        <v>40</v>
      </c>
      <c r="B10" s="9" t="s">
        <v>216</v>
      </c>
      <c r="C10" s="9" t="s">
        <v>55</v>
      </c>
      <c r="D10" s="9" t="s">
        <v>44</v>
      </c>
      <c r="E10" s="9" t="s">
        <v>46</v>
      </c>
      <c r="F10" s="9"/>
      <c r="G10" s="9"/>
      <c r="H10" s="10">
        <v>46114</v>
      </c>
      <c r="I10" s="10">
        <v>46122</v>
      </c>
      <c r="J10" s="10">
        <v>46122</v>
      </c>
    </row>
    <row r="11" spans="1:10" ht="14.25" customHeight="1">
      <c r="A11" s="9" t="s">
        <v>40</v>
      </c>
      <c r="B11" s="9" t="s">
        <v>181</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156</v>
      </c>
      <c r="C13" s="9" t="s">
        <v>435</v>
      </c>
      <c r="D13" s="9" t="s">
        <v>436</v>
      </c>
      <c r="E13" s="9" t="s">
        <v>46</v>
      </c>
      <c r="F13" s="9"/>
      <c r="G13" s="9"/>
      <c r="H13" s="10"/>
      <c r="I13" s="10">
        <v>46115</v>
      </c>
      <c r="J13" s="10">
        <v>46115</v>
      </c>
    </row>
    <row r="14" spans="1:10" ht="14.25" customHeight="1">
      <c r="A14" s="9" t="s">
        <v>40</v>
      </c>
      <c r="B14" s="9" t="s">
        <v>203</v>
      </c>
      <c r="C14" s="9" t="s">
        <v>435</v>
      </c>
      <c r="D14" s="9" t="s">
        <v>436</v>
      </c>
      <c r="E14" s="9" t="s">
        <v>46</v>
      </c>
      <c r="F14" s="9"/>
      <c r="G14" s="9"/>
      <c r="H14" s="10">
        <v>46115</v>
      </c>
      <c r="I14" s="10">
        <v>46120</v>
      </c>
      <c r="J14" s="10">
        <v>46120</v>
      </c>
    </row>
    <row r="15" spans="1:10" ht="14.25" customHeight="1">
      <c r="A15" s="9" t="s">
        <v>40</v>
      </c>
      <c r="B15" s="9" t="s">
        <v>216</v>
      </c>
      <c r="C15" s="9" t="s">
        <v>435</v>
      </c>
      <c r="D15" s="9" t="s">
        <v>436</v>
      </c>
      <c r="E15" s="9" t="s">
        <v>46</v>
      </c>
      <c r="F15" s="9"/>
      <c r="G15" s="9"/>
      <c r="H15" s="10">
        <v>46120</v>
      </c>
      <c r="I15" s="10">
        <v>46122</v>
      </c>
      <c r="J15" s="10">
        <v>46122</v>
      </c>
    </row>
    <row r="16" spans="1:10" ht="14.25" customHeight="1">
      <c r="A16" s="9" t="s">
        <v>40</v>
      </c>
      <c r="B16" s="9" t="s">
        <v>181</v>
      </c>
      <c r="C16" s="9" t="s">
        <v>435</v>
      </c>
      <c r="D16" s="9" t="s">
        <v>436</v>
      </c>
      <c r="E16" s="9" t="s">
        <v>46</v>
      </c>
      <c r="F16" s="9"/>
      <c r="G16" s="9"/>
      <c r="H16" s="10">
        <v>46122</v>
      </c>
      <c r="I16" s="10"/>
      <c r="J16" s="10"/>
    </row>
    <row r="17" spans="1:10" ht="14.25" customHeight="1">
      <c r="A17" s="9" t="s">
        <v>40</v>
      </c>
      <c r="B17" s="9" t="s">
        <v>42</v>
      </c>
      <c r="C17" s="9" t="s">
        <v>435</v>
      </c>
      <c r="D17" s="9" t="s">
        <v>436</v>
      </c>
      <c r="E17" s="9" t="s">
        <v>46</v>
      </c>
      <c r="F17" s="9"/>
      <c r="G17" s="9"/>
      <c r="H17" s="10"/>
      <c r="I17" s="10"/>
      <c r="J17" s="10"/>
    </row>
    <row r="18" spans="1:10" ht="14.25" customHeight="1">
      <c r="A18" s="9" t="s">
        <v>40</v>
      </c>
      <c r="B18" s="9" t="s">
        <v>156</v>
      </c>
      <c r="C18" s="9" t="s">
        <v>58</v>
      </c>
      <c r="D18" s="9" t="s">
        <v>59</v>
      </c>
      <c r="E18" s="9" t="s">
        <v>60</v>
      </c>
      <c r="F18" s="9"/>
      <c r="G18" s="9"/>
      <c r="H18" s="9"/>
      <c r="I18" s="10">
        <v>46115</v>
      </c>
      <c r="J18" s="10">
        <v>46115</v>
      </c>
    </row>
    <row r="19" spans="1:10" ht="14.25" customHeight="1">
      <c r="A19" s="9" t="s">
        <v>40</v>
      </c>
      <c r="B19" s="9" t="s">
        <v>203</v>
      </c>
      <c r="C19" s="9" t="s">
        <v>58</v>
      </c>
      <c r="D19" s="9" t="s">
        <v>59</v>
      </c>
      <c r="E19" s="9" t="s">
        <v>60</v>
      </c>
      <c r="F19" s="9"/>
      <c r="G19" s="9"/>
      <c r="H19" s="10">
        <v>46115</v>
      </c>
      <c r="I19" s="10">
        <v>46126</v>
      </c>
      <c r="J19" s="10">
        <v>46126</v>
      </c>
    </row>
    <row r="20" spans="1:10" ht="14.25" customHeight="1">
      <c r="A20" s="9" t="s">
        <v>40</v>
      </c>
      <c r="B20" s="9" t="s">
        <v>216</v>
      </c>
      <c r="C20" s="9" t="s">
        <v>58</v>
      </c>
      <c r="D20" s="9" t="s">
        <v>59</v>
      </c>
      <c r="E20" s="9" t="s">
        <v>60</v>
      </c>
      <c r="F20" s="9"/>
      <c r="G20" s="9"/>
      <c r="H20" s="10">
        <v>46126</v>
      </c>
      <c r="I20" s="10">
        <v>46122</v>
      </c>
      <c r="J20" s="10">
        <v>46122</v>
      </c>
    </row>
    <row r="21" spans="1:10" ht="14.25" customHeight="1">
      <c r="A21" s="9" t="s">
        <v>40</v>
      </c>
      <c r="B21" s="9" t="s">
        <v>181</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156</v>
      </c>
      <c r="C23" s="9" t="s">
        <v>64</v>
      </c>
      <c r="D23" s="9" t="s">
        <v>436</v>
      </c>
      <c r="E23" s="9" t="s">
        <v>46</v>
      </c>
      <c r="F23" s="9"/>
      <c r="G23" s="9"/>
      <c r="H23" s="10"/>
      <c r="I23" s="10">
        <v>46115</v>
      </c>
      <c r="J23" s="10">
        <v>46115</v>
      </c>
    </row>
    <row r="24" spans="1:10" ht="14.25" customHeight="1">
      <c r="A24" s="9" t="s">
        <v>40</v>
      </c>
      <c r="B24" s="9" t="s">
        <v>203</v>
      </c>
      <c r="C24" s="9" t="s">
        <v>64</v>
      </c>
      <c r="D24" s="9" t="s">
        <v>436</v>
      </c>
      <c r="E24" s="9" t="s">
        <v>46</v>
      </c>
      <c r="F24" s="9"/>
      <c r="G24" s="9"/>
      <c r="H24" s="10">
        <v>46115</v>
      </c>
      <c r="I24" s="10">
        <v>46120</v>
      </c>
      <c r="J24" s="10">
        <v>46120</v>
      </c>
    </row>
    <row r="25" spans="1:10" ht="14.25" customHeight="1">
      <c r="A25" s="9" t="s">
        <v>40</v>
      </c>
      <c r="B25" s="9" t="s">
        <v>216</v>
      </c>
      <c r="C25" s="9" t="s">
        <v>64</v>
      </c>
      <c r="D25" s="9" t="s">
        <v>436</v>
      </c>
      <c r="E25" s="9" t="s">
        <v>46</v>
      </c>
      <c r="F25" s="9"/>
      <c r="G25" s="9"/>
      <c r="H25" s="10">
        <v>46120</v>
      </c>
      <c r="I25" s="10">
        <v>46122</v>
      </c>
      <c r="J25" s="10">
        <v>46122</v>
      </c>
    </row>
    <row r="26" spans="1:10" ht="14.25" customHeight="1">
      <c r="A26" s="9" t="s">
        <v>40</v>
      </c>
      <c r="B26" s="9" t="s">
        <v>181</v>
      </c>
      <c r="C26" s="9" t="s">
        <v>64</v>
      </c>
      <c r="D26" s="9" t="s">
        <v>436</v>
      </c>
      <c r="E26" s="9" t="s">
        <v>46</v>
      </c>
      <c r="F26" s="9"/>
      <c r="G26" s="9"/>
      <c r="H26" s="10">
        <v>46122</v>
      </c>
      <c r="I26" s="10"/>
      <c r="J26" s="10"/>
    </row>
    <row r="27" spans="1:10" ht="14.25" customHeight="1">
      <c r="A27" s="9" t="s">
        <v>40</v>
      </c>
      <c r="B27" s="9" t="s">
        <v>42</v>
      </c>
      <c r="C27" s="9" t="s">
        <v>64</v>
      </c>
      <c r="D27" s="9" t="s">
        <v>436</v>
      </c>
      <c r="E27" s="9" t="s">
        <v>46</v>
      </c>
      <c r="F27" s="9"/>
      <c r="G27" s="9"/>
      <c r="H27" s="10"/>
      <c r="I27" s="10"/>
      <c r="J27" s="10"/>
    </row>
    <row r="28" spans="1:10" ht="14.25" customHeight="1">
      <c r="A28" s="9" t="s">
        <v>40</v>
      </c>
      <c r="B28" s="9" t="s">
        <v>156</v>
      </c>
      <c r="C28" s="9" t="s">
        <v>69</v>
      </c>
      <c r="D28" s="9" t="s">
        <v>76</v>
      </c>
      <c r="E28" s="9" t="s">
        <v>60</v>
      </c>
      <c r="F28" s="9"/>
      <c r="G28" s="9"/>
      <c r="H28" s="10"/>
      <c r="I28" s="10">
        <v>46115</v>
      </c>
      <c r="J28" s="10">
        <v>46115</v>
      </c>
    </row>
    <row r="29" spans="1:10" ht="14.25" customHeight="1">
      <c r="A29" s="9" t="s">
        <v>40</v>
      </c>
      <c r="B29" s="9" t="s">
        <v>203</v>
      </c>
      <c r="C29" s="9" t="s">
        <v>69</v>
      </c>
      <c r="D29" s="9" t="s">
        <v>76</v>
      </c>
      <c r="E29" s="9" t="s">
        <v>60</v>
      </c>
      <c r="F29" s="9"/>
      <c r="G29" s="9"/>
      <c r="H29" s="10">
        <v>46115</v>
      </c>
      <c r="I29" s="10">
        <v>46126</v>
      </c>
      <c r="J29" s="10">
        <v>46126</v>
      </c>
    </row>
    <row r="30" spans="1:10" ht="14.25" customHeight="1">
      <c r="A30" s="9" t="s">
        <v>40</v>
      </c>
      <c r="B30" s="9" t="s">
        <v>216</v>
      </c>
      <c r="C30" s="9" t="s">
        <v>69</v>
      </c>
      <c r="D30" s="9" t="s">
        <v>76</v>
      </c>
      <c r="E30" s="9" t="s">
        <v>60</v>
      </c>
      <c r="F30" s="9"/>
      <c r="G30" s="9"/>
      <c r="H30" s="10">
        <v>46126</v>
      </c>
      <c r="I30" s="10">
        <v>46122</v>
      </c>
      <c r="J30" s="10">
        <v>46122</v>
      </c>
    </row>
    <row r="31" spans="1:10" ht="14.25" customHeight="1">
      <c r="A31" s="9" t="s">
        <v>40</v>
      </c>
      <c r="B31" s="9" t="s">
        <v>181</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156</v>
      </c>
      <c r="C33" s="9" t="s">
        <v>70</v>
      </c>
      <c r="D33" s="9" t="s">
        <v>436</v>
      </c>
      <c r="E33" s="9" t="s">
        <v>60</v>
      </c>
      <c r="F33" s="9"/>
      <c r="G33" s="9"/>
      <c r="H33" s="10"/>
      <c r="I33" s="10">
        <v>46122</v>
      </c>
      <c r="J33" s="10">
        <v>46122</v>
      </c>
    </row>
    <row r="34" spans="1:10" ht="14.25" customHeight="1">
      <c r="A34" s="9" t="s">
        <v>40</v>
      </c>
      <c r="B34" s="9" t="s">
        <v>203</v>
      </c>
      <c r="C34" s="9" t="s">
        <v>70</v>
      </c>
      <c r="D34" s="9" t="s">
        <v>436</v>
      </c>
      <c r="E34" s="9" t="s">
        <v>60</v>
      </c>
      <c r="F34" s="9"/>
      <c r="G34" s="9"/>
      <c r="H34" s="10">
        <v>46122</v>
      </c>
      <c r="I34" s="10">
        <v>46126</v>
      </c>
      <c r="J34" s="10">
        <v>46126</v>
      </c>
    </row>
    <row r="35" spans="1:10" ht="14.25" customHeight="1">
      <c r="A35" s="9" t="s">
        <v>40</v>
      </c>
      <c r="B35" s="9" t="s">
        <v>216</v>
      </c>
      <c r="C35" s="9" t="s">
        <v>70</v>
      </c>
      <c r="D35" s="9" t="s">
        <v>436</v>
      </c>
      <c r="E35" s="9" t="s">
        <v>60</v>
      </c>
      <c r="F35" s="9"/>
      <c r="G35" s="9"/>
      <c r="H35" s="10">
        <v>46126</v>
      </c>
      <c r="I35" s="10">
        <v>46122</v>
      </c>
      <c r="J35" s="10">
        <v>46122</v>
      </c>
    </row>
    <row r="36" spans="1:10" ht="14.25" customHeight="1">
      <c r="A36" s="9" t="s">
        <v>40</v>
      </c>
      <c r="B36" s="9" t="s">
        <v>181</v>
      </c>
      <c r="C36" s="9" t="s">
        <v>70</v>
      </c>
      <c r="D36" s="9" t="s">
        <v>436</v>
      </c>
      <c r="E36" s="9" t="s">
        <v>60</v>
      </c>
      <c r="F36" s="9"/>
      <c r="G36" s="9"/>
      <c r="H36" s="10">
        <v>46122</v>
      </c>
      <c r="I36" s="10"/>
      <c r="J36" s="10"/>
    </row>
    <row r="37" spans="1:10" ht="14.25" customHeight="1">
      <c r="A37" s="9" t="s">
        <v>40</v>
      </c>
      <c r="B37" s="9" t="s">
        <v>42</v>
      </c>
      <c r="C37" s="9" t="s">
        <v>70</v>
      </c>
      <c r="D37" s="9" t="s">
        <v>436</v>
      </c>
      <c r="E37" s="9" t="s">
        <v>60</v>
      </c>
      <c r="F37" s="9"/>
      <c r="G37" s="9"/>
      <c r="H37" s="10"/>
      <c r="I37" s="10"/>
      <c r="J37" s="10"/>
    </row>
    <row r="38" spans="1:10" ht="14.25" customHeight="1">
      <c r="A38" s="9" t="s">
        <v>40</v>
      </c>
      <c r="B38" s="9" t="s">
        <v>156</v>
      </c>
      <c r="C38" s="9" t="s">
        <v>71</v>
      </c>
      <c r="D38" s="9" t="s">
        <v>84</v>
      </c>
      <c r="E38" s="9" t="s">
        <v>60</v>
      </c>
      <c r="F38" s="9"/>
      <c r="G38" s="9"/>
      <c r="H38" s="9"/>
      <c r="I38" s="10">
        <v>46122</v>
      </c>
      <c r="J38" s="10">
        <v>46122</v>
      </c>
    </row>
    <row r="39" spans="1:10" ht="14.25" customHeight="1">
      <c r="A39" s="9" t="s">
        <v>40</v>
      </c>
      <c r="B39" s="9" t="s">
        <v>203</v>
      </c>
      <c r="C39" s="9" t="s">
        <v>71</v>
      </c>
      <c r="D39" s="9" t="s">
        <v>84</v>
      </c>
      <c r="E39" s="9" t="s">
        <v>60</v>
      </c>
      <c r="F39" s="9"/>
      <c r="G39" s="9"/>
      <c r="H39" s="10">
        <v>46122</v>
      </c>
      <c r="I39" s="10">
        <v>46126</v>
      </c>
      <c r="J39" s="10">
        <v>46126</v>
      </c>
    </row>
    <row r="40" spans="1:10" ht="14.25" customHeight="1">
      <c r="A40" s="9" t="s">
        <v>40</v>
      </c>
      <c r="B40" s="9" t="s">
        <v>216</v>
      </c>
      <c r="C40" s="9" t="s">
        <v>71</v>
      </c>
      <c r="D40" s="9" t="s">
        <v>84</v>
      </c>
      <c r="E40" s="9" t="s">
        <v>60</v>
      </c>
      <c r="F40" s="9"/>
      <c r="G40" s="9"/>
      <c r="H40" s="10">
        <v>46126</v>
      </c>
      <c r="I40" s="10">
        <v>46122</v>
      </c>
      <c r="J40" s="10">
        <v>46122</v>
      </c>
    </row>
    <row r="41" spans="1:10" ht="14.25" customHeight="1">
      <c r="A41" s="9" t="s">
        <v>40</v>
      </c>
      <c r="B41" s="9" t="s">
        <v>181</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156</v>
      </c>
      <c r="C43" s="9" t="s">
        <v>73</v>
      </c>
      <c r="D43" s="9" t="s">
        <v>59</v>
      </c>
      <c r="E43" s="9" t="s">
        <v>60</v>
      </c>
      <c r="F43" s="9"/>
      <c r="G43" s="9"/>
      <c r="H43" s="10"/>
      <c r="I43" s="10">
        <v>46127</v>
      </c>
      <c r="J43" s="10">
        <v>46127</v>
      </c>
    </row>
    <row r="44" spans="1:10" ht="14.25" customHeight="1">
      <c r="A44" s="9" t="s">
        <v>40</v>
      </c>
      <c r="B44" s="9" t="s">
        <v>203</v>
      </c>
      <c r="C44" s="9" t="s">
        <v>73</v>
      </c>
      <c r="D44" s="9" t="s">
        <v>59</v>
      </c>
      <c r="E44" s="9" t="s">
        <v>60</v>
      </c>
      <c r="F44" s="9"/>
      <c r="G44" s="9"/>
      <c r="H44" s="10">
        <v>46127</v>
      </c>
      <c r="I44" s="10">
        <v>46126</v>
      </c>
      <c r="J44" s="10">
        <v>46126</v>
      </c>
    </row>
    <row r="45" spans="1:10" ht="14.25" customHeight="1">
      <c r="A45" s="9" t="s">
        <v>40</v>
      </c>
      <c r="B45" s="9" t="s">
        <v>216</v>
      </c>
      <c r="C45" s="9" t="s">
        <v>73</v>
      </c>
      <c r="D45" s="9" t="s">
        <v>59</v>
      </c>
      <c r="E45" s="9" t="s">
        <v>60</v>
      </c>
      <c r="F45" s="9"/>
      <c r="G45" s="9"/>
      <c r="H45" s="10">
        <v>46126</v>
      </c>
      <c r="I45" s="10">
        <v>46122</v>
      </c>
      <c r="J45" s="10">
        <v>46122</v>
      </c>
    </row>
    <row r="46" spans="1:10" ht="14.25" customHeight="1">
      <c r="A46" s="9" t="s">
        <v>40</v>
      </c>
      <c r="B46" s="9" t="s">
        <v>181</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156</v>
      </c>
      <c r="C48" s="9" t="s">
        <v>97</v>
      </c>
      <c r="D48" s="9" t="s">
        <v>436</v>
      </c>
      <c r="E48" s="9" t="s">
        <v>60</v>
      </c>
      <c r="F48" s="9"/>
      <c r="G48" s="9"/>
      <c r="H48" s="10"/>
      <c r="I48" s="10"/>
      <c r="J48" s="10"/>
    </row>
    <row r="49" spans="1:10" ht="14.25" customHeight="1">
      <c r="A49" s="9" t="s">
        <v>40</v>
      </c>
      <c r="B49" s="9" t="s">
        <v>203</v>
      </c>
      <c r="C49" s="9" t="s">
        <v>97</v>
      </c>
      <c r="D49" s="9" t="s">
        <v>436</v>
      </c>
      <c r="E49" s="9" t="s">
        <v>60</v>
      </c>
      <c r="F49" s="9"/>
      <c r="G49" s="9"/>
      <c r="H49" s="10"/>
      <c r="I49" s="10">
        <v>46139</v>
      </c>
      <c r="J49" s="10">
        <v>46139</v>
      </c>
    </row>
    <row r="50" spans="1:10" ht="14.25" customHeight="1">
      <c r="A50" s="9" t="s">
        <v>40</v>
      </c>
      <c r="B50" s="9" t="s">
        <v>216</v>
      </c>
      <c r="C50" s="9" t="s">
        <v>97</v>
      </c>
      <c r="D50" s="9" t="s">
        <v>436</v>
      </c>
      <c r="E50" s="9" t="s">
        <v>60</v>
      </c>
      <c r="F50" s="9"/>
      <c r="G50" s="9"/>
      <c r="H50" s="10">
        <v>46139</v>
      </c>
      <c r="I50" s="10">
        <v>46139</v>
      </c>
      <c r="J50" s="10">
        <v>46139</v>
      </c>
    </row>
    <row r="51" spans="1:10" ht="14.25" customHeight="1">
      <c r="A51" s="9" t="s">
        <v>40</v>
      </c>
      <c r="B51" s="9" t="s">
        <v>181</v>
      </c>
      <c r="C51" s="9" t="s">
        <v>97</v>
      </c>
      <c r="D51" s="9" t="s">
        <v>436</v>
      </c>
      <c r="E51" s="9" t="s">
        <v>60</v>
      </c>
      <c r="F51" s="9"/>
      <c r="G51" s="9"/>
      <c r="H51" s="10">
        <v>46139</v>
      </c>
      <c r="I51" s="10"/>
      <c r="J51" s="10"/>
    </row>
    <row r="52" spans="1:10" ht="14.25" customHeight="1">
      <c r="A52" s="9" t="s">
        <v>40</v>
      </c>
      <c r="B52" s="9" t="s">
        <v>42</v>
      </c>
      <c r="C52" s="9" t="s">
        <v>97</v>
      </c>
      <c r="D52" s="9" t="s">
        <v>436</v>
      </c>
      <c r="E52" s="9" t="s">
        <v>60</v>
      </c>
      <c r="F52" s="9"/>
      <c r="G52" s="9"/>
      <c r="H52" s="10"/>
      <c r="I52" s="10"/>
      <c r="J52" s="10"/>
    </row>
    <row r="53" spans="1:10" ht="14.25" customHeight="1">
      <c r="A53" s="9" t="s">
        <v>40</v>
      </c>
      <c r="B53" s="9" t="s">
        <v>156</v>
      </c>
      <c r="C53" s="9" t="s">
        <v>98</v>
      </c>
      <c r="D53" s="9" t="s">
        <v>436</v>
      </c>
      <c r="E53" s="9" t="s">
        <v>60</v>
      </c>
      <c r="F53" s="9"/>
      <c r="G53" s="9"/>
      <c r="H53" s="10"/>
      <c r="I53" s="10"/>
      <c r="J53" s="10"/>
    </row>
    <row r="54" spans="1:10" ht="14.25" customHeight="1">
      <c r="A54" s="9" t="s">
        <v>40</v>
      </c>
      <c r="B54" s="9" t="s">
        <v>203</v>
      </c>
      <c r="C54" s="9" t="s">
        <v>98</v>
      </c>
      <c r="D54" s="9" t="s">
        <v>436</v>
      </c>
      <c r="E54" s="9" t="s">
        <v>60</v>
      </c>
      <c r="F54" s="9"/>
      <c r="G54" s="9"/>
      <c r="H54" s="9"/>
      <c r="I54" s="10">
        <v>46141</v>
      </c>
      <c r="J54" s="10">
        <v>46141</v>
      </c>
    </row>
    <row r="55" spans="1:10" ht="14.25" customHeight="1">
      <c r="A55" s="9" t="s">
        <v>40</v>
      </c>
      <c r="B55" s="9" t="s">
        <v>216</v>
      </c>
      <c r="C55" s="9" t="s">
        <v>98</v>
      </c>
      <c r="D55" s="9" t="s">
        <v>436</v>
      </c>
      <c r="E55" s="9" t="s">
        <v>60</v>
      </c>
      <c r="F55" s="9"/>
      <c r="G55" s="9"/>
      <c r="H55" s="10">
        <v>46141</v>
      </c>
      <c r="I55" s="10">
        <v>46141</v>
      </c>
      <c r="J55" s="10">
        <v>46141</v>
      </c>
    </row>
    <row r="56" spans="1:10" ht="14.25" customHeight="1">
      <c r="A56" s="9" t="s">
        <v>40</v>
      </c>
      <c r="B56" s="9" t="s">
        <v>181</v>
      </c>
      <c r="C56" s="9" t="s">
        <v>98</v>
      </c>
      <c r="D56" s="9" t="s">
        <v>436</v>
      </c>
      <c r="E56" s="9" t="s">
        <v>60</v>
      </c>
      <c r="F56" s="9"/>
      <c r="G56" s="9"/>
      <c r="H56" s="10">
        <v>46141</v>
      </c>
      <c r="I56" s="10"/>
      <c r="J56" s="10"/>
    </row>
    <row r="57" spans="1:10" ht="14.25" customHeight="1">
      <c r="A57" s="9" t="s">
        <v>40</v>
      </c>
      <c r="B57" s="9" t="s">
        <v>42</v>
      </c>
      <c r="C57" s="9" t="s">
        <v>98</v>
      </c>
      <c r="D57" s="9" t="s">
        <v>436</v>
      </c>
      <c r="E57" s="9" t="s">
        <v>60</v>
      </c>
      <c r="F57" s="9"/>
      <c r="G57" s="9"/>
      <c r="H57" s="10"/>
      <c r="I57" s="10"/>
      <c r="J57" s="10"/>
    </row>
    <row r="58" spans="1:10" ht="14.25" customHeight="1">
      <c r="A58" s="9" t="s">
        <v>40</v>
      </c>
      <c r="B58" s="9" t="s">
        <v>156</v>
      </c>
      <c r="C58" s="9" t="s">
        <v>99</v>
      </c>
      <c r="D58" s="9" t="s">
        <v>436</v>
      </c>
      <c r="E58" s="9" t="s">
        <v>46</v>
      </c>
      <c r="F58" s="9"/>
      <c r="G58" s="9"/>
      <c r="H58" s="9"/>
      <c r="I58" s="10"/>
      <c r="J58" s="10"/>
    </row>
    <row r="59" spans="1:10" ht="14.25" customHeight="1">
      <c r="A59" s="9" t="s">
        <v>40</v>
      </c>
      <c r="B59" s="9" t="s">
        <v>203</v>
      </c>
      <c r="C59" s="9" t="s">
        <v>99</v>
      </c>
      <c r="D59" s="9" t="s">
        <v>436</v>
      </c>
      <c r="E59" s="9" t="s">
        <v>46</v>
      </c>
      <c r="F59" s="9"/>
      <c r="G59" s="9"/>
      <c r="H59" s="10"/>
      <c r="I59" s="10">
        <v>46161</v>
      </c>
      <c r="J59" s="10">
        <v>46161</v>
      </c>
    </row>
    <row r="60" spans="1:10" ht="14.25" customHeight="1">
      <c r="A60" s="9" t="s">
        <v>40</v>
      </c>
      <c r="B60" s="9" t="s">
        <v>216</v>
      </c>
      <c r="C60" s="9" t="s">
        <v>99</v>
      </c>
      <c r="D60" s="9" t="s">
        <v>436</v>
      </c>
      <c r="E60" s="9" t="s">
        <v>46</v>
      </c>
      <c r="F60" s="9"/>
      <c r="G60" s="9"/>
      <c r="H60" s="10">
        <v>46161</v>
      </c>
      <c r="I60" s="10">
        <v>46161</v>
      </c>
      <c r="J60" s="10">
        <v>46161</v>
      </c>
    </row>
    <row r="61" spans="1:10" ht="14.25" customHeight="1">
      <c r="A61" s="9" t="s">
        <v>40</v>
      </c>
      <c r="B61" s="9" t="s">
        <v>181</v>
      </c>
      <c r="C61" s="9" t="s">
        <v>99</v>
      </c>
      <c r="D61" s="9" t="s">
        <v>436</v>
      </c>
      <c r="E61" s="9" t="s">
        <v>46</v>
      </c>
      <c r="F61" s="9"/>
      <c r="G61" s="9"/>
      <c r="H61" s="10">
        <v>46161</v>
      </c>
      <c r="I61" s="10"/>
      <c r="J61" s="10"/>
    </row>
    <row r="62" spans="1:10" ht="14.25" customHeight="1">
      <c r="A62" s="9" t="s">
        <v>40</v>
      </c>
      <c r="B62" s="9" t="s">
        <v>42</v>
      </c>
      <c r="C62" s="9" t="s">
        <v>99</v>
      </c>
      <c r="D62" s="9" t="s">
        <v>436</v>
      </c>
      <c r="E62" s="9" t="s">
        <v>46</v>
      </c>
      <c r="F62" s="9"/>
      <c r="G62" s="9"/>
      <c r="H62" s="9"/>
      <c r="I62" s="10"/>
      <c r="J62" s="10"/>
    </row>
    <row r="63" spans="1:10" ht="14.25" customHeight="1">
      <c r="A63" s="9" t="s">
        <v>40</v>
      </c>
      <c r="B63" s="9" t="s">
        <v>156</v>
      </c>
      <c r="C63" s="9" t="s">
        <v>100</v>
      </c>
      <c r="D63" s="9" t="s">
        <v>103</v>
      </c>
      <c r="E63" s="9" t="s">
        <v>46</v>
      </c>
      <c r="F63" s="9"/>
      <c r="G63" s="9"/>
      <c r="H63" s="10"/>
      <c r="I63" s="10"/>
      <c r="J63" s="10"/>
    </row>
    <row r="64" spans="1:10" ht="14.25" customHeight="1">
      <c r="A64" s="9" t="s">
        <v>40</v>
      </c>
      <c r="B64" s="9" t="s">
        <v>203</v>
      </c>
      <c r="C64" s="9" t="s">
        <v>100</v>
      </c>
      <c r="D64" s="9" t="s">
        <v>103</v>
      </c>
      <c r="E64" s="9" t="s">
        <v>46</v>
      </c>
      <c r="F64" s="9"/>
      <c r="G64" s="9"/>
      <c r="H64" s="10"/>
      <c r="I64" s="10">
        <v>46175</v>
      </c>
      <c r="J64" s="10">
        <v>46175</v>
      </c>
    </row>
    <row r="65" spans="1:10" ht="14.25" customHeight="1">
      <c r="A65" s="9" t="s">
        <v>40</v>
      </c>
      <c r="B65" s="9" t="s">
        <v>216</v>
      </c>
      <c r="C65" s="9" t="s">
        <v>100</v>
      </c>
      <c r="D65" s="9" t="s">
        <v>103</v>
      </c>
      <c r="E65" s="9" t="s">
        <v>46</v>
      </c>
      <c r="F65" s="9"/>
      <c r="G65" s="9"/>
      <c r="H65" s="10">
        <v>46175</v>
      </c>
      <c r="I65" s="10">
        <v>46175</v>
      </c>
      <c r="J65" s="10">
        <v>46175</v>
      </c>
    </row>
    <row r="66" spans="1:10" ht="14.25" customHeight="1">
      <c r="A66" s="9" t="s">
        <v>40</v>
      </c>
      <c r="B66" s="9" t="s">
        <v>181</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156</v>
      </c>
      <c r="C68" s="9" t="s">
        <v>74</v>
      </c>
      <c r="D68" s="9" t="s">
        <v>76</v>
      </c>
      <c r="E68" s="9" t="s">
        <v>77</v>
      </c>
      <c r="F68" s="9"/>
      <c r="G68" s="9"/>
      <c r="H68" s="10"/>
      <c r="I68" s="10"/>
      <c r="J68" s="9"/>
    </row>
    <row r="69" spans="1:10" ht="14.25" customHeight="1">
      <c r="A69" s="9" t="s">
        <v>40</v>
      </c>
      <c r="B69" s="9" t="s">
        <v>203</v>
      </c>
      <c r="C69" s="9" t="s">
        <v>74</v>
      </c>
      <c r="D69" s="9" t="s">
        <v>76</v>
      </c>
      <c r="E69" s="9" t="s">
        <v>77</v>
      </c>
      <c r="F69" s="9"/>
      <c r="G69" s="9"/>
      <c r="H69" s="9"/>
      <c r="I69" s="10">
        <v>46134</v>
      </c>
      <c r="J69" s="10">
        <v>46134</v>
      </c>
    </row>
    <row r="70" spans="1:10" ht="14.25" customHeight="1">
      <c r="A70" s="9" t="s">
        <v>40</v>
      </c>
      <c r="B70" s="9" t="s">
        <v>216</v>
      </c>
      <c r="C70" s="9" t="s">
        <v>74</v>
      </c>
      <c r="D70" s="9" t="s">
        <v>76</v>
      </c>
      <c r="E70" s="9" t="s">
        <v>77</v>
      </c>
      <c r="F70" s="9"/>
      <c r="G70" s="9"/>
      <c r="H70" s="10">
        <v>46134</v>
      </c>
      <c r="I70" s="10">
        <v>46134</v>
      </c>
      <c r="J70" s="10">
        <v>46134</v>
      </c>
    </row>
    <row r="71" spans="1:10" ht="14.25" customHeight="1">
      <c r="A71" s="9" t="s">
        <v>40</v>
      </c>
      <c r="B71" s="9" t="s">
        <v>181</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156</v>
      </c>
      <c r="C73" s="9" t="s">
        <v>80</v>
      </c>
      <c r="D73" s="9" t="s">
        <v>59</v>
      </c>
      <c r="E73" s="9" t="s">
        <v>77</v>
      </c>
      <c r="F73" s="9"/>
      <c r="G73" s="9"/>
      <c r="H73" s="9"/>
      <c r="I73" s="10"/>
      <c r="J73" s="10"/>
    </row>
    <row r="74" spans="1:10" ht="14.25" customHeight="1">
      <c r="A74" s="9" t="s">
        <v>40</v>
      </c>
      <c r="B74" s="9" t="s">
        <v>203</v>
      </c>
      <c r="C74" s="9" t="s">
        <v>80</v>
      </c>
      <c r="D74" s="9" t="s">
        <v>59</v>
      </c>
      <c r="E74" s="9" t="s">
        <v>77</v>
      </c>
      <c r="F74" s="9"/>
      <c r="G74" s="9"/>
      <c r="H74" s="10"/>
      <c r="I74" s="10">
        <v>46139</v>
      </c>
      <c r="J74" s="10">
        <v>46139</v>
      </c>
    </row>
    <row r="75" spans="1:10" ht="14.25" customHeight="1">
      <c r="A75" s="9" t="s">
        <v>40</v>
      </c>
      <c r="B75" s="9" t="s">
        <v>216</v>
      </c>
      <c r="C75" s="9" t="s">
        <v>80</v>
      </c>
      <c r="D75" s="9" t="s">
        <v>59</v>
      </c>
      <c r="E75" s="9" t="s">
        <v>77</v>
      </c>
      <c r="F75" s="9"/>
      <c r="G75" s="9"/>
      <c r="H75" s="10">
        <v>46139</v>
      </c>
      <c r="I75" s="10">
        <v>46139</v>
      </c>
      <c r="J75" s="10">
        <v>46139</v>
      </c>
    </row>
    <row r="76" spans="1:10" ht="14.25" customHeight="1">
      <c r="A76" s="9" t="s">
        <v>40</v>
      </c>
      <c r="B76" s="9" t="s">
        <v>181</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156</v>
      </c>
      <c r="C78" s="9" t="s">
        <v>83</v>
      </c>
      <c r="D78" s="9" t="s">
        <v>84</v>
      </c>
      <c r="E78" s="9" t="s">
        <v>60</v>
      </c>
      <c r="F78" s="9"/>
      <c r="G78" s="9"/>
      <c r="H78" s="10"/>
      <c r="I78" s="10"/>
      <c r="J78" s="9"/>
    </row>
    <row r="79" spans="1:10" ht="14.25" customHeight="1">
      <c r="A79" s="9" t="s">
        <v>40</v>
      </c>
      <c r="B79" s="9" t="s">
        <v>203</v>
      </c>
      <c r="C79" s="9" t="s">
        <v>83</v>
      </c>
      <c r="D79" s="9" t="s">
        <v>84</v>
      </c>
      <c r="E79" s="9" t="s">
        <v>60</v>
      </c>
      <c r="F79" s="9"/>
      <c r="G79" s="9"/>
      <c r="H79" s="9"/>
      <c r="I79" s="10">
        <v>46147</v>
      </c>
      <c r="J79" s="10">
        <v>46147</v>
      </c>
    </row>
    <row r="80" spans="1:10" ht="14.25" customHeight="1">
      <c r="A80" s="9" t="s">
        <v>40</v>
      </c>
      <c r="B80" s="9" t="s">
        <v>216</v>
      </c>
      <c r="C80" s="9" t="s">
        <v>83</v>
      </c>
      <c r="D80" s="9" t="s">
        <v>84</v>
      </c>
      <c r="E80" s="9" t="s">
        <v>60</v>
      </c>
      <c r="F80" s="9"/>
      <c r="G80" s="9"/>
      <c r="H80" s="10">
        <v>46147</v>
      </c>
      <c r="I80" s="10">
        <v>46147</v>
      </c>
      <c r="J80" s="10">
        <v>46147</v>
      </c>
    </row>
    <row r="81" spans="1:10" ht="14.25" customHeight="1">
      <c r="A81" s="9" t="s">
        <v>40</v>
      </c>
      <c r="B81" s="9" t="s">
        <v>181</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156</v>
      </c>
      <c r="C83" s="9" t="s">
        <v>87</v>
      </c>
      <c r="D83" s="9" t="s">
        <v>84</v>
      </c>
      <c r="E83" s="9" t="s">
        <v>46</v>
      </c>
      <c r="F83" s="9"/>
      <c r="G83" s="9"/>
      <c r="H83" s="9"/>
      <c r="I83" s="10"/>
      <c r="J83" s="10"/>
    </row>
    <row r="84" spans="1:10" ht="14.25" customHeight="1">
      <c r="A84" s="9" t="s">
        <v>40</v>
      </c>
      <c r="B84" s="9" t="s">
        <v>203</v>
      </c>
      <c r="C84" s="9" t="s">
        <v>87</v>
      </c>
      <c r="D84" s="9" t="s">
        <v>84</v>
      </c>
      <c r="E84" s="9" t="s">
        <v>46</v>
      </c>
      <c r="F84" s="9"/>
      <c r="G84" s="9"/>
      <c r="H84" s="10"/>
      <c r="I84" s="10">
        <v>46175</v>
      </c>
      <c r="J84" s="10">
        <v>46175</v>
      </c>
    </row>
    <row r="85" spans="1:10" ht="14.25" customHeight="1">
      <c r="A85" s="9" t="s">
        <v>40</v>
      </c>
      <c r="B85" s="9" t="s">
        <v>216</v>
      </c>
      <c r="C85" s="9" t="s">
        <v>87</v>
      </c>
      <c r="D85" s="9" t="s">
        <v>84</v>
      </c>
      <c r="E85" s="9" t="s">
        <v>46</v>
      </c>
      <c r="F85" s="9"/>
      <c r="G85" s="9"/>
      <c r="H85" s="10">
        <v>46175</v>
      </c>
      <c r="I85" s="10">
        <v>46179</v>
      </c>
      <c r="J85" s="10">
        <v>46179</v>
      </c>
    </row>
    <row r="86" spans="1:10" ht="14.25" customHeight="1">
      <c r="A86" s="9" t="s">
        <v>40</v>
      </c>
      <c r="B86" s="9" t="s">
        <v>181</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156</v>
      </c>
      <c r="C88" s="9" t="s">
        <v>90</v>
      </c>
      <c r="D88" s="9" t="s">
        <v>44</v>
      </c>
      <c r="E88" s="9" t="s">
        <v>60</v>
      </c>
      <c r="F88" s="9"/>
      <c r="G88" s="9"/>
      <c r="H88" s="10"/>
      <c r="I88" s="10"/>
      <c r="J88" s="9"/>
    </row>
    <row r="89" spans="1:10" ht="14.25" customHeight="1">
      <c r="A89" s="9" t="s">
        <v>40</v>
      </c>
      <c r="B89" s="9" t="s">
        <v>203</v>
      </c>
      <c r="C89" s="9" t="s">
        <v>90</v>
      </c>
      <c r="D89" s="9" t="s">
        <v>44</v>
      </c>
      <c r="E89" s="9" t="s">
        <v>60</v>
      </c>
      <c r="F89" s="9"/>
      <c r="G89" s="9"/>
      <c r="H89" s="9"/>
      <c r="I89" s="10">
        <v>46143</v>
      </c>
      <c r="J89" s="10">
        <v>46143</v>
      </c>
    </row>
    <row r="90" spans="1:10" ht="14.25" customHeight="1">
      <c r="A90" s="9" t="s">
        <v>40</v>
      </c>
      <c r="B90" s="9" t="s">
        <v>216</v>
      </c>
      <c r="C90" s="9" t="s">
        <v>90</v>
      </c>
      <c r="D90" s="9" t="s">
        <v>44</v>
      </c>
      <c r="E90" s="9" t="s">
        <v>60</v>
      </c>
      <c r="F90" s="9"/>
      <c r="G90" s="9"/>
      <c r="H90" s="10">
        <v>46143</v>
      </c>
      <c r="I90" s="10">
        <v>46175</v>
      </c>
      <c r="J90" s="10">
        <v>46175</v>
      </c>
    </row>
    <row r="91" spans="1:10" ht="14.25" customHeight="1">
      <c r="A91" s="9" t="s">
        <v>40</v>
      </c>
      <c r="B91" s="9" t="s">
        <v>181</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156</v>
      </c>
      <c r="C93" s="9" t="s">
        <v>93</v>
      </c>
      <c r="D93" s="9" t="s">
        <v>44</v>
      </c>
      <c r="E93" s="9" t="s">
        <v>77</v>
      </c>
      <c r="F93" s="9"/>
      <c r="G93" s="9"/>
      <c r="H93" s="9"/>
      <c r="I93" s="10">
        <v>46175</v>
      </c>
      <c r="J93" s="10">
        <v>46175</v>
      </c>
    </row>
    <row r="94" spans="1:10" ht="14.25" customHeight="1">
      <c r="A94" s="9" t="s">
        <v>40</v>
      </c>
      <c r="B94" s="9" t="s">
        <v>203</v>
      </c>
      <c r="C94" s="9" t="s">
        <v>93</v>
      </c>
      <c r="D94" s="9" t="s">
        <v>44</v>
      </c>
      <c r="E94" s="9" t="s">
        <v>77</v>
      </c>
      <c r="F94" s="9"/>
      <c r="G94" s="9"/>
      <c r="H94" s="10">
        <v>46175</v>
      </c>
      <c r="I94" s="10">
        <v>46178</v>
      </c>
      <c r="J94" s="10">
        <v>46178</v>
      </c>
    </row>
    <row r="95" spans="1:10" ht="14.25" customHeight="1">
      <c r="A95" s="9" t="s">
        <v>40</v>
      </c>
      <c r="B95" s="9" t="s">
        <v>216</v>
      </c>
      <c r="C95" s="9" t="s">
        <v>93</v>
      </c>
      <c r="D95" s="9" t="s">
        <v>44</v>
      </c>
      <c r="E95" s="9" t="s">
        <v>77</v>
      </c>
      <c r="F95" s="9"/>
      <c r="G95" s="9"/>
      <c r="H95" s="10">
        <v>46178</v>
      </c>
      <c r="I95" s="10">
        <v>46175</v>
      </c>
      <c r="J95" s="10">
        <v>46175</v>
      </c>
    </row>
    <row r="96" spans="1:10" ht="14.25" customHeight="1">
      <c r="A96" s="9" t="s">
        <v>40</v>
      </c>
      <c r="B96" s="9" t="s">
        <v>181</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156</v>
      </c>
      <c r="C98" s="9" t="s">
        <v>101</v>
      </c>
      <c r="D98" s="9" t="s">
        <v>103</v>
      </c>
      <c r="E98" s="9" t="s">
        <v>60</v>
      </c>
      <c r="F98" s="9"/>
      <c r="G98" s="9"/>
      <c r="H98" s="10"/>
      <c r="I98" s="10">
        <v>46148</v>
      </c>
      <c r="J98" s="10">
        <v>46148</v>
      </c>
    </row>
    <row r="99" spans="1:10" ht="14.25" customHeight="1">
      <c r="A99" s="9" t="s">
        <v>40</v>
      </c>
      <c r="B99" s="9" t="s">
        <v>203</v>
      </c>
      <c r="C99" s="9" t="s">
        <v>101</v>
      </c>
      <c r="D99" s="9" t="s">
        <v>103</v>
      </c>
      <c r="E99" s="9" t="s">
        <v>60</v>
      </c>
      <c r="F99" s="9"/>
      <c r="G99" s="9"/>
      <c r="H99" s="10">
        <v>46148</v>
      </c>
      <c r="I99" s="10">
        <v>46183</v>
      </c>
      <c r="J99" s="10">
        <v>46183</v>
      </c>
    </row>
    <row r="100" spans="1:10" ht="14.25" customHeight="1">
      <c r="A100" s="9" t="s">
        <v>40</v>
      </c>
      <c r="B100" s="9" t="s">
        <v>216</v>
      </c>
      <c r="C100" s="9" t="s">
        <v>101</v>
      </c>
      <c r="D100" s="9" t="s">
        <v>103</v>
      </c>
      <c r="E100" s="9" t="s">
        <v>60</v>
      </c>
      <c r="F100" s="9"/>
      <c r="G100" s="9"/>
      <c r="H100" s="10">
        <v>46183</v>
      </c>
      <c r="I100" s="10">
        <v>46195</v>
      </c>
      <c r="J100" s="10">
        <v>46195</v>
      </c>
    </row>
    <row r="101" spans="1:10" ht="14.25" customHeight="1">
      <c r="A101" s="9" t="s">
        <v>40</v>
      </c>
      <c r="B101" s="9" t="s">
        <v>181</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156</v>
      </c>
      <c r="C103" s="9" t="s">
        <v>105</v>
      </c>
      <c r="D103" s="9" t="s">
        <v>103</v>
      </c>
      <c r="E103" s="9" t="s">
        <v>77</v>
      </c>
      <c r="F103" s="9"/>
      <c r="G103" s="9"/>
      <c r="H103" s="9"/>
      <c r="I103" s="10">
        <v>46162</v>
      </c>
      <c r="J103" s="10">
        <v>46162</v>
      </c>
    </row>
    <row r="104" spans="1:10" ht="14.25" customHeight="1">
      <c r="A104" s="9" t="s">
        <v>40</v>
      </c>
      <c r="B104" s="9" t="s">
        <v>203</v>
      </c>
      <c r="C104" s="9" t="s">
        <v>105</v>
      </c>
      <c r="D104" s="9" t="s">
        <v>103</v>
      </c>
      <c r="E104" s="9" t="s">
        <v>77</v>
      </c>
      <c r="F104" s="9"/>
      <c r="G104" s="9"/>
      <c r="H104" s="10">
        <v>46162</v>
      </c>
      <c r="I104" s="10">
        <v>46182</v>
      </c>
      <c r="J104" s="10">
        <v>46182</v>
      </c>
    </row>
    <row r="105" spans="1:10" ht="14.25" customHeight="1">
      <c r="A105" s="9" t="s">
        <v>40</v>
      </c>
      <c r="B105" s="9" t="s">
        <v>216</v>
      </c>
      <c r="C105" s="9" t="s">
        <v>105</v>
      </c>
      <c r="D105" s="9" t="s">
        <v>103</v>
      </c>
      <c r="E105" s="9" t="s">
        <v>77</v>
      </c>
      <c r="F105" s="9"/>
      <c r="G105" s="9"/>
      <c r="H105" s="10">
        <v>46182</v>
      </c>
      <c r="I105" s="10">
        <v>46198</v>
      </c>
      <c r="J105" s="10">
        <v>46198</v>
      </c>
    </row>
    <row r="106" spans="1:10" ht="14.25" customHeight="1">
      <c r="A106" s="9" t="s">
        <v>40</v>
      </c>
      <c r="B106" s="9" t="s">
        <v>181</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156</v>
      </c>
      <c r="C108" s="9" t="s">
        <v>108</v>
      </c>
      <c r="D108" s="9" t="s">
        <v>44</v>
      </c>
      <c r="E108" s="9" t="s">
        <v>60</v>
      </c>
      <c r="F108" s="9"/>
      <c r="G108" s="9"/>
      <c r="H108" s="10"/>
      <c r="I108" s="10">
        <v>46168</v>
      </c>
      <c r="J108" s="10">
        <v>46168</v>
      </c>
    </row>
    <row r="109" spans="1:10" ht="14.25" customHeight="1">
      <c r="A109" s="9" t="s">
        <v>40</v>
      </c>
      <c r="B109" s="9" t="s">
        <v>203</v>
      </c>
      <c r="C109" s="9" t="s">
        <v>108</v>
      </c>
      <c r="D109" s="9" t="s">
        <v>44</v>
      </c>
      <c r="E109" s="9" t="s">
        <v>60</v>
      </c>
      <c r="F109" s="9"/>
      <c r="G109" s="9"/>
      <c r="H109" s="10">
        <v>46168</v>
      </c>
      <c r="I109" s="10">
        <v>46183</v>
      </c>
      <c r="J109" s="10">
        <v>46183</v>
      </c>
    </row>
    <row r="110" spans="1:10" ht="14.25" customHeight="1">
      <c r="A110" s="9" t="s">
        <v>40</v>
      </c>
      <c r="B110" s="9" t="s">
        <v>216</v>
      </c>
      <c r="C110" s="9" t="s">
        <v>108</v>
      </c>
      <c r="D110" s="9" t="s">
        <v>44</v>
      </c>
      <c r="E110" s="9" t="s">
        <v>60</v>
      </c>
      <c r="F110" s="9"/>
      <c r="G110" s="9"/>
      <c r="H110" s="10">
        <v>46183</v>
      </c>
      <c r="I110" s="10">
        <v>46198</v>
      </c>
      <c r="J110" s="10">
        <v>46198</v>
      </c>
    </row>
    <row r="111" spans="1:10" ht="14.25" customHeight="1">
      <c r="A111" s="9" t="s">
        <v>40</v>
      </c>
      <c r="B111" s="9" t="s">
        <v>181</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156</v>
      </c>
      <c r="C113" s="9" t="s">
        <v>109</v>
      </c>
      <c r="D113" s="9" t="s">
        <v>44</v>
      </c>
      <c r="E113" s="9" t="s">
        <v>60</v>
      </c>
      <c r="F113" s="9"/>
      <c r="G113" s="9"/>
      <c r="H113" s="9"/>
      <c r="I113" s="10">
        <v>46165</v>
      </c>
      <c r="J113" s="10">
        <v>46165</v>
      </c>
    </row>
    <row r="114" spans="1:10" ht="14.25" customHeight="1">
      <c r="A114" s="9" t="s">
        <v>40</v>
      </c>
      <c r="B114" s="9" t="s">
        <v>203</v>
      </c>
      <c r="C114" s="9" t="s">
        <v>109</v>
      </c>
      <c r="D114" s="9" t="s">
        <v>44</v>
      </c>
      <c r="E114" s="9" t="s">
        <v>60</v>
      </c>
      <c r="F114" s="9"/>
      <c r="G114" s="9"/>
      <c r="H114" s="10">
        <v>46165</v>
      </c>
      <c r="I114" s="10">
        <v>46153</v>
      </c>
      <c r="J114" s="10">
        <v>46153</v>
      </c>
    </row>
    <row r="115" spans="1:10" ht="14.25" customHeight="1">
      <c r="A115" s="9" t="s">
        <v>40</v>
      </c>
      <c r="B115" s="9" t="s">
        <v>216</v>
      </c>
      <c r="C115" s="9" t="s">
        <v>109</v>
      </c>
      <c r="D115" s="9" t="s">
        <v>44</v>
      </c>
      <c r="E115" s="9" t="s">
        <v>60</v>
      </c>
      <c r="F115" s="9"/>
      <c r="G115" s="9"/>
      <c r="H115" s="10">
        <v>46153</v>
      </c>
      <c r="I115" s="10">
        <v>46154</v>
      </c>
      <c r="J115" s="10">
        <v>46154</v>
      </c>
    </row>
    <row r="116" spans="1:10" ht="14.25" customHeight="1">
      <c r="A116" s="9" t="s">
        <v>40</v>
      </c>
      <c r="B116" s="9" t="s">
        <v>181</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156</v>
      </c>
      <c r="C118" s="9" t="s">
        <v>113</v>
      </c>
      <c r="D118" s="9" t="s">
        <v>59</v>
      </c>
      <c r="E118" s="9" t="s">
        <v>46</v>
      </c>
      <c r="F118" s="9"/>
      <c r="G118" s="9"/>
      <c r="H118" s="10"/>
      <c r="I118" s="10">
        <v>46162</v>
      </c>
      <c r="J118" s="10">
        <v>46162</v>
      </c>
    </row>
    <row r="119" spans="1:10" ht="14.25" customHeight="1">
      <c r="A119" s="9" t="s">
        <v>40</v>
      </c>
      <c r="B119" s="9" t="s">
        <v>203</v>
      </c>
      <c r="C119" s="9" t="s">
        <v>113</v>
      </c>
      <c r="D119" s="9" t="s">
        <v>59</v>
      </c>
      <c r="E119" s="9" t="s">
        <v>46</v>
      </c>
      <c r="F119" s="9"/>
      <c r="G119" s="9"/>
      <c r="H119" s="10">
        <v>46162</v>
      </c>
      <c r="I119" s="10">
        <v>46186</v>
      </c>
      <c r="J119" s="10">
        <v>46186</v>
      </c>
    </row>
    <row r="120" spans="1:10" ht="14.25" customHeight="1">
      <c r="A120" s="9" t="s">
        <v>40</v>
      </c>
      <c r="B120" s="9" t="s">
        <v>216</v>
      </c>
      <c r="C120" s="9" t="s">
        <v>113</v>
      </c>
      <c r="D120" s="9" t="s">
        <v>59</v>
      </c>
      <c r="E120" s="9" t="s">
        <v>46</v>
      </c>
      <c r="F120" s="9"/>
      <c r="G120" s="9"/>
      <c r="H120" s="10">
        <v>46186</v>
      </c>
      <c r="I120" s="10">
        <v>46188</v>
      </c>
      <c r="J120" s="10">
        <v>46188</v>
      </c>
    </row>
    <row r="121" spans="1:10" ht="14.25" customHeight="1">
      <c r="A121" s="9" t="s">
        <v>40</v>
      </c>
      <c r="B121" s="9" t="s">
        <v>156</v>
      </c>
      <c r="C121" s="9" t="s">
        <v>116</v>
      </c>
      <c r="D121" s="9" t="s">
        <v>59</v>
      </c>
      <c r="E121" s="9" t="s">
        <v>77</v>
      </c>
      <c r="F121" s="9"/>
      <c r="G121" s="9"/>
      <c r="H121" s="9"/>
      <c r="I121" s="10">
        <v>46162</v>
      </c>
      <c r="J121" s="10">
        <v>46162</v>
      </c>
    </row>
    <row r="122" spans="1:10" ht="14.25" customHeight="1">
      <c r="A122" s="9" t="s">
        <v>40</v>
      </c>
      <c r="B122" s="9" t="s">
        <v>203</v>
      </c>
      <c r="C122" s="9" t="s">
        <v>116</v>
      </c>
      <c r="D122" s="9" t="s">
        <v>59</v>
      </c>
      <c r="E122" s="9" t="s">
        <v>77</v>
      </c>
      <c r="F122" s="9"/>
      <c r="G122" s="9"/>
      <c r="H122" s="10">
        <v>46162</v>
      </c>
      <c r="I122" s="10">
        <v>46164</v>
      </c>
      <c r="J122" s="10">
        <v>46164</v>
      </c>
    </row>
    <row r="123" spans="1:10" ht="14.25" customHeight="1">
      <c r="A123" s="9" t="s">
        <v>40</v>
      </c>
      <c r="B123" s="9" t="s">
        <v>216</v>
      </c>
      <c r="C123" s="9" t="s">
        <v>116</v>
      </c>
      <c r="D123" s="9" t="s">
        <v>59</v>
      </c>
      <c r="E123" s="9" t="s">
        <v>77</v>
      </c>
      <c r="F123" s="9"/>
      <c r="G123" s="9"/>
      <c r="H123" s="10">
        <v>46164</v>
      </c>
      <c r="I123" s="10">
        <v>46204</v>
      </c>
      <c r="J123" s="10">
        <v>46204</v>
      </c>
    </row>
    <row r="124" spans="1:10" ht="14.25" customHeight="1">
      <c r="A124" s="9" t="s">
        <v>40</v>
      </c>
      <c r="B124" s="9" t="s">
        <v>181</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156</v>
      </c>
      <c r="C126" s="9" t="s">
        <v>117</v>
      </c>
      <c r="D126" s="9" t="s">
        <v>65</v>
      </c>
      <c r="E126" s="9" t="s">
        <v>60</v>
      </c>
      <c r="F126" s="9"/>
      <c r="G126" s="9"/>
      <c r="H126" s="10"/>
      <c r="I126" s="10">
        <v>46169</v>
      </c>
      <c r="J126" s="10">
        <v>46169</v>
      </c>
    </row>
    <row r="127" spans="1:10" ht="14.25" customHeight="1">
      <c r="A127" s="9" t="s">
        <v>40</v>
      </c>
      <c r="B127" s="9" t="s">
        <v>203</v>
      </c>
      <c r="C127" s="9" t="s">
        <v>117</v>
      </c>
      <c r="D127" s="9" t="s">
        <v>65</v>
      </c>
      <c r="E127" s="9" t="s">
        <v>60</v>
      </c>
      <c r="F127" s="9"/>
      <c r="G127" s="9"/>
      <c r="H127" s="10">
        <v>46169</v>
      </c>
      <c r="I127" s="10">
        <v>46191</v>
      </c>
      <c r="J127" s="10">
        <v>46191</v>
      </c>
    </row>
    <row r="128" spans="1:10" ht="14.25" customHeight="1">
      <c r="A128" s="9" t="s">
        <v>40</v>
      </c>
      <c r="B128" s="9" t="s">
        <v>216</v>
      </c>
      <c r="C128" s="9" t="s">
        <v>117</v>
      </c>
      <c r="D128" s="9" t="s">
        <v>65</v>
      </c>
      <c r="E128" s="9" t="s">
        <v>60</v>
      </c>
      <c r="F128" s="9"/>
      <c r="G128" s="9"/>
      <c r="H128" s="10">
        <v>46191</v>
      </c>
      <c r="I128" s="10">
        <v>46196</v>
      </c>
      <c r="J128" s="10">
        <v>46196</v>
      </c>
    </row>
    <row r="129" spans="1:10" ht="14.25" customHeight="1">
      <c r="A129" s="9" t="s">
        <v>40</v>
      </c>
      <c r="B129" s="9" t="s">
        <v>181</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156</v>
      </c>
      <c r="C131" s="9" t="s">
        <v>121</v>
      </c>
      <c r="D131" s="9" t="s">
        <v>103</v>
      </c>
      <c r="E131" s="9" t="s">
        <v>77</v>
      </c>
      <c r="F131" s="9"/>
      <c r="G131" s="9"/>
      <c r="H131" s="9"/>
      <c r="I131" s="10">
        <v>46168</v>
      </c>
      <c r="J131" s="10">
        <v>46168</v>
      </c>
    </row>
    <row r="132" spans="1:10" ht="14.25" customHeight="1">
      <c r="A132" s="9" t="s">
        <v>40</v>
      </c>
      <c r="B132" s="9" t="s">
        <v>203</v>
      </c>
      <c r="C132" s="9" t="s">
        <v>121</v>
      </c>
      <c r="D132" s="9" t="s">
        <v>103</v>
      </c>
      <c r="E132" s="9" t="s">
        <v>77</v>
      </c>
      <c r="F132" s="9"/>
      <c r="G132" s="9"/>
      <c r="H132" s="10">
        <v>46168</v>
      </c>
      <c r="I132" s="10">
        <v>46189</v>
      </c>
      <c r="J132" s="10">
        <v>46189</v>
      </c>
    </row>
    <row r="133" spans="1:10" ht="14.25" customHeight="1">
      <c r="A133" s="9" t="s">
        <v>40</v>
      </c>
      <c r="B133" s="9" t="s">
        <v>216</v>
      </c>
      <c r="C133" s="9" t="s">
        <v>121</v>
      </c>
      <c r="D133" s="9" t="s">
        <v>103</v>
      </c>
      <c r="E133" s="9" t="s">
        <v>77</v>
      </c>
      <c r="F133" s="9"/>
      <c r="G133" s="9"/>
      <c r="H133" s="10">
        <v>46189</v>
      </c>
      <c r="I133" s="10">
        <v>46189</v>
      </c>
      <c r="J133" s="10">
        <v>46189</v>
      </c>
    </row>
    <row r="134" spans="1:10" ht="14.25" customHeight="1">
      <c r="A134" s="9" t="s">
        <v>40</v>
      </c>
      <c r="B134" s="9" t="s">
        <v>181</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156</v>
      </c>
      <c r="C136" s="9" t="s">
        <v>123</v>
      </c>
      <c r="D136" s="9" t="s">
        <v>84</v>
      </c>
      <c r="E136" s="9" t="s">
        <v>77</v>
      </c>
      <c r="F136" s="9"/>
      <c r="G136" s="9"/>
      <c r="H136" s="9"/>
      <c r="I136" s="10">
        <v>46169</v>
      </c>
      <c r="J136" s="10">
        <v>46169</v>
      </c>
    </row>
    <row r="137" spans="1:10" ht="14.25" customHeight="1">
      <c r="A137" s="9" t="s">
        <v>40</v>
      </c>
      <c r="B137" s="9" t="s">
        <v>203</v>
      </c>
      <c r="C137" s="9" t="s">
        <v>123</v>
      </c>
      <c r="D137" s="9" t="s">
        <v>84</v>
      </c>
      <c r="E137" s="9" t="s">
        <v>77</v>
      </c>
      <c r="F137" s="9"/>
      <c r="G137" s="9"/>
      <c r="H137" s="10">
        <v>46169</v>
      </c>
      <c r="I137" s="10">
        <v>46195</v>
      </c>
      <c r="J137" s="10">
        <v>46195</v>
      </c>
    </row>
    <row r="138" spans="1:10" ht="14.25" customHeight="1">
      <c r="A138" s="9" t="s">
        <v>40</v>
      </c>
      <c r="B138" s="9" t="s">
        <v>216</v>
      </c>
      <c r="C138" s="9" t="s">
        <v>123</v>
      </c>
      <c r="D138" s="9" t="s">
        <v>84</v>
      </c>
      <c r="E138" s="9" t="s">
        <v>77</v>
      </c>
      <c r="F138" s="9"/>
      <c r="G138" s="9"/>
      <c r="H138" s="10">
        <v>46195</v>
      </c>
      <c r="I138" s="10">
        <v>46197</v>
      </c>
      <c r="J138" s="10">
        <v>46197</v>
      </c>
    </row>
    <row r="139" spans="1:10" ht="14.25" customHeight="1">
      <c r="A139" s="9" t="s">
        <v>40</v>
      </c>
      <c r="B139" s="9" t="s">
        <v>181</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156</v>
      </c>
      <c r="C141" s="9" t="s">
        <v>127</v>
      </c>
      <c r="D141" s="9" t="s">
        <v>76</v>
      </c>
      <c r="E141" s="9" t="s">
        <v>60</v>
      </c>
      <c r="F141" s="9"/>
      <c r="G141" s="9" t="s">
        <v>129</v>
      </c>
      <c r="H141" s="9"/>
      <c r="I141" s="9"/>
      <c r="J141" s="9"/>
    </row>
    <row r="142" spans="1:10" ht="14.25" customHeight="1">
      <c r="A142" s="9" t="s">
        <v>126</v>
      </c>
      <c r="B142" s="9" t="s">
        <v>203</v>
      </c>
      <c r="C142" s="9" t="s">
        <v>127</v>
      </c>
      <c r="D142" s="9" t="s">
        <v>76</v>
      </c>
      <c r="E142" s="9" t="s">
        <v>60</v>
      </c>
      <c r="F142" s="9"/>
      <c r="G142" s="9" t="s">
        <v>129</v>
      </c>
      <c r="H142" s="9"/>
      <c r="I142" s="10">
        <v>46213</v>
      </c>
      <c r="J142" s="10">
        <v>46213</v>
      </c>
    </row>
    <row r="143" spans="1:10" ht="14.25" customHeight="1">
      <c r="A143" s="9" t="s">
        <v>126</v>
      </c>
      <c r="B143" s="9" t="s">
        <v>216</v>
      </c>
      <c r="C143" s="9" t="s">
        <v>127</v>
      </c>
      <c r="D143" s="9" t="s">
        <v>76</v>
      </c>
      <c r="E143" s="9" t="s">
        <v>60</v>
      </c>
      <c r="F143" s="9"/>
      <c r="G143" s="9" t="s">
        <v>129</v>
      </c>
      <c r="H143" s="10">
        <v>46213</v>
      </c>
      <c r="I143" s="10">
        <v>46223</v>
      </c>
      <c r="J143" s="10">
        <v>46223</v>
      </c>
    </row>
    <row r="144" spans="1:10" ht="14.25" customHeight="1">
      <c r="A144" s="9" t="s">
        <v>126</v>
      </c>
      <c r="B144" s="9" t="s">
        <v>156</v>
      </c>
      <c r="C144" s="9" t="s">
        <v>134</v>
      </c>
      <c r="D144" s="9" t="s">
        <v>65</v>
      </c>
      <c r="E144" s="9" t="s">
        <v>77</v>
      </c>
      <c r="F144" s="9"/>
      <c r="G144" s="9" t="s">
        <v>129</v>
      </c>
      <c r="H144" s="9"/>
      <c r="I144" s="9"/>
      <c r="J144" s="9"/>
    </row>
    <row r="145" spans="1:10" ht="14.25" customHeight="1">
      <c r="A145" s="9" t="s">
        <v>126</v>
      </c>
      <c r="B145" s="9" t="s">
        <v>203</v>
      </c>
      <c r="C145" s="9" t="s">
        <v>134</v>
      </c>
      <c r="D145" s="9" t="s">
        <v>65</v>
      </c>
      <c r="E145" s="9" t="s">
        <v>77</v>
      </c>
      <c r="F145" s="9"/>
      <c r="G145" s="9" t="s">
        <v>129</v>
      </c>
      <c r="H145" s="9"/>
      <c r="I145" s="10">
        <v>46218</v>
      </c>
      <c r="J145" s="10">
        <v>46218</v>
      </c>
    </row>
    <row r="146" spans="1:10" ht="14.25" customHeight="1">
      <c r="A146" s="9" t="s">
        <v>126</v>
      </c>
      <c r="B146" s="9" t="s">
        <v>216</v>
      </c>
      <c r="C146" s="9" t="s">
        <v>134</v>
      </c>
      <c r="D146" s="9" t="s">
        <v>65</v>
      </c>
      <c r="E146" s="9" t="s">
        <v>77</v>
      </c>
      <c r="F146" s="9"/>
      <c r="G146" s="9" t="s">
        <v>129</v>
      </c>
      <c r="H146" s="10">
        <v>46218</v>
      </c>
      <c r="I146" s="10">
        <v>46223</v>
      </c>
      <c r="J146" s="10">
        <v>46223</v>
      </c>
    </row>
    <row r="147" spans="1:10" ht="14.25" customHeight="1">
      <c r="A147" s="9" t="s">
        <v>126</v>
      </c>
      <c r="B147" s="9" t="s">
        <v>156</v>
      </c>
      <c r="C147" s="9" t="s">
        <v>136</v>
      </c>
      <c r="D147" s="9" t="s">
        <v>65</v>
      </c>
      <c r="E147" s="9" t="s">
        <v>77</v>
      </c>
      <c r="F147" s="9"/>
      <c r="G147" s="9" t="s">
        <v>129</v>
      </c>
      <c r="H147" s="9"/>
      <c r="I147" s="9"/>
      <c r="J147" s="9"/>
    </row>
    <row r="148" spans="1:10" ht="14.25" customHeight="1">
      <c r="A148" s="9" t="s">
        <v>126</v>
      </c>
      <c r="B148" s="9" t="s">
        <v>203</v>
      </c>
      <c r="C148" s="9" t="s">
        <v>136</v>
      </c>
      <c r="D148" s="9" t="s">
        <v>65</v>
      </c>
      <c r="E148" s="9" t="s">
        <v>77</v>
      </c>
      <c r="F148" s="9"/>
      <c r="G148" s="9" t="s">
        <v>129</v>
      </c>
      <c r="H148" s="9"/>
      <c r="I148" s="10">
        <v>46225</v>
      </c>
      <c r="J148" s="10">
        <v>46225</v>
      </c>
    </row>
    <row r="149" spans="1:10" ht="14.25" customHeight="1">
      <c r="A149" s="9" t="s">
        <v>126</v>
      </c>
      <c r="B149" s="9" t="s">
        <v>216</v>
      </c>
      <c r="C149" s="9" t="s">
        <v>136</v>
      </c>
      <c r="D149" s="9" t="s">
        <v>65</v>
      </c>
      <c r="E149" s="9" t="s">
        <v>77</v>
      </c>
      <c r="F149" s="9"/>
      <c r="G149" s="9" t="s">
        <v>129</v>
      </c>
      <c r="H149" s="10">
        <v>46225</v>
      </c>
      <c r="I149" s="10">
        <v>46223</v>
      </c>
      <c r="J149" s="10">
        <v>46223</v>
      </c>
    </row>
    <row r="150" spans="1:10" ht="14.25" customHeight="1">
      <c r="A150" s="9" t="s">
        <v>126</v>
      </c>
      <c r="B150" s="9" t="s">
        <v>156</v>
      </c>
      <c r="C150" s="9" t="s">
        <v>138</v>
      </c>
      <c r="D150" s="9" t="s">
        <v>59</v>
      </c>
      <c r="E150" s="9" t="s">
        <v>46</v>
      </c>
      <c r="F150" s="9"/>
      <c r="G150" s="9" t="s">
        <v>129</v>
      </c>
      <c r="H150" s="9"/>
      <c r="I150" s="9"/>
      <c r="J150" s="9"/>
    </row>
    <row r="151" spans="1:10" ht="14.25" customHeight="1">
      <c r="A151" s="9" t="s">
        <v>126</v>
      </c>
      <c r="B151" s="9" t="s">
        <v>203</v>
      </c>
      <c r="C151" s="9" t="s">
        <v>138</v>
      </c>
      <c r="D151" s="9" t="s">
        <v>59</v>
      </c>
      <c r="E151" s="9" t="s">
        <v>46</v>
      </c>
      <c r="F151" s="9"/>
      <c r="G151" s="9" t="s">
        <v>129</v>
      </c>
      <c r="H151" s="9"/>
      <c r="I151" s="10">
        <v>46227</v>
      </c>
      <c r="J151" s="10">
        <v>46227</v>
      </c>
    </row>
    <row r="152" spans="1:10" ht="14.25" customHeight="1">
      <c r="A152" s="9" t="s">
        <v>126</v>
      </c>
      <c r="B152" s="9" t="s">
        <v>216</v>
      </c>
      <c r="C152" s="9" t="s">
        <v>138</v>
      </c>
      <c r="D152" s="9" t="s">
        <v>59</v>
      </c>
      <c r="E152" s="9" t="s">
        <v>46</v>
      </c>
      <c r="F152" s="9"/>
      <c r="G152" s="9" t="s">
        <v>129</v>
      </c>
      <c r="H152" s="10">
        <v>46227</v>
      </c>
      <c r="I152" s="10">
        <v>46223</v>
      </c>
      <c r="J152" s="10">
        <v>46223</v>
      </c>
    </row>
    <row r="153" spans="1:10" ht="14.25" customHeight="1">
      <c r="A153" s="9" t="s">
        <v>126</v>
      </c>
      <c r="B153" s="9" t="s">
        <v>156</v>
      </c>
      <c r="C153" s="9" t="s">
        <v>140</v>
      </c>
      <c r="D153" s="9" t="s">
        <v>103</v>
      </c>
      <c r="E153" s="9" t="s">
        <v>77</v>
      </c>
      <c r="F153" s="9"/>
      <c r="G153" s="9" t="s">
        <v>129</v>
      </c>
      <c r="H153" s="9"/>
      <c r="I153" s="9"/>
      <c r="J153" s="9"/>
    </row>
    <row r="154" spans="1:10" ht="14.25" customHeight="1">
      <c r="A154" s="9" t="s">
        <v>126</v>
      </c>
      <c r="B154" s="9" t="s">
        <v>203</v>
      </c>
      <c r="C154" s="9" t="s">
        <v>140</v>
      </c>
      <c r="D154" s="9" t="s">
        <v>103</v>
      </c>
      <c r="E154" s="9" t="s">
        <v>77</v>
      </c>
      <c r="F154" s="9"/>
      <c r="G154" s="9" t="s">
        <v>129</v>
      </c>
      <c r="H154" s="9"/>
      <c r="I154" s="10">
        <v>46216</v>
      </c>
      <c r="J154" s="10">
        <v>46216</v>
      </c>
    </row>
    <row r="155" spans="1:10" ht="14.25" customHeight="1">
      <c r="A155" s="9" t="s">
        <v>126</v>
      </c>
      <c r="B155" s="9" t="s">
        <v>216</v>
      </c>
      <c r="C155" s="9" t="s">
        <v>140</v>
      </c>
      <c r="D155" s="9" t="s">
        <v>103</v>
      </c>
      <c r="E155" s="9" t="s">
        <v>77</v>
      </c>
      <c r="F155" s="9"/>
      <c r="G155" s="9" t="s">
        <v>129</v>
      </c>
      <c r="H155" s="10">
        <v>46216</v>
      </c>
      <c r="I155" s="10">
        <v>46225</v>
      </c>
      <c r="J155" s="10">
        <v>46225</v>
      </c>
    </row>
    <row r="156" spans="1:10" ht="14.25" customHeight="1">
      <c r="A156" s="9" t="s">
        <v>126</v>
      </c>
      <c r="B156" s="9" t="s">
        <v>156</v>
      </c>
      <c r="C156" s="9" t="s">
        <v>142</v>
      </c>
      <c r="D156" s="9" t="s">
        <v>84</v>
      </c>
      <c r="E156" s="9" t="s">
        <v>60</v>
      </c>
      <c r="F156" s="9"/>
      <c r="G156" s="9" t="s">
        <v>143</v>
      </c>
      <c r="H156" s="9"/>
      <c r="I156" s="9"/>
      <c r="J156" s="9"/>
    </row>
    <row r="157" spans="1:10">
      <c r="A157" s="3" t="s">
        <v>126</v>
      </c>
      <c r="B157" s="3" t="s">
        <v>156</v>
      </c>
      <c r="C157" s="3" t="s">
        <v>145</v>
      </c>
      <c r="D157" s="3" t="s">
        <v>65</v>
      </c>
      <c r="E157" s="3" t="s">
        <v>46</v>
      </c>
      <c r="F157" s="3"/>
      <c r="G157" s="3" t="s">
        <v>143</v>
      </c>
      <c r="H157" s="3"/>
      <c r="I157" s="3"/>
      <c r="J157" s="3"/>
    </row>
    <row r="158" spans="1:10">
      <c r="A158" s="3" t="s">
        <v>126</v>
      </c>
      <c r="B158" s="3" t="s">
        <v>156</v>
      </c>
      <c r="C158" s="3" t="s">
        <v>148</v>
      </c>
      <c r="D158" s="3" t="s">
        <v>65</v>
      </c>
      <c r="E158" s="3" t="s">
        <v>46</v>
      </c>
      <c r="F158" s="3"/>
      <c r="G158" s="3" t="s">
        <v>143</v>
      </c>
      <c r="H158" s="3"/>
      <c r="I158" s="3"/>
      <c r="J158" s="3"/>
    </row>
    <row r="159" spans="1:10">
      <c r="A159" s="3" t="s">
        <v>126</v>
      </c>
      <c r="B159" s="3" t="s">
        <v>203</v>
      </c>
      <c r="C159" s="3" t="s">
        <v>148</v>
      </c>
      <c r="D159" s="3" t="s">
        <v>65</v>
      </c>
      <c r="E159" s="3" t="s">
        <v>46</v>
      </c>
      <c r="F159" s="3"/>
      <c r="G159" s="3" t="s">
        <v>143</v>
      </c>
      <c r="H159" s="3"/>
      <c r="I159" s="4">
        <v>46221</v>
      </c>
      <c r="J159" s="4">
        <v>46221</v>
      </c>
    </row>
    <row r="160" spans="1:10">
      <c r="A160" s="3" t="s">
        <v>126</v>
      </c>
      <c r="B160" s="3" t="s">
        <v>216</v>
      </c>
      <c r="C160" s="3" t="s">
        <v>148</v>
      </c>
      <c r="D160" s="3" t="s">
        <v>65</v>
      </c>
      <c r="E160" s="3" t="s">
        <v>46</v>
      </c>
      <c r="F160" s="3"/>
      <c r="G160" s="3" t="s">
        <v>143</v>
      </c>
      <c r="H160" s="4">
        <v>46221</v>
      </c>
      <c r="I160" s="4">
        <v>46223</v>
      </c>
      <c r="J160" s="4">
        <v>46223</v>
      </c>
    </row>
    <row r="161" spans="1:10">
      <c r="A161" s="3" t="s">
        <v>126</v>
      </c>
      <c r="B161" s="3" t="s">
        <v>156</v>
      </c>
      <c r="C161" s="3" t="s">
        <v>149</v>
      </c>
      <c r="D161" s="3" t="s">
        <v>84</v>
      </c>
      <c r="E161" s="3" t="s">
        <v>60</v>
      </c>
      <c r="F161" s="3"/>
      <c r="G161" s="3" t="s">
        <v>143</v>
      </c>
      <c r="H161" s="3"/>
      <c r="I161" s="3"/>
      <c r="J161" s="3"/>
    </row>
    <row r="162" spans="1:10">
      <c r="A162" s="3" t="s">
        <v>126</v>
      </c>
      <c r="B162" s="3" t="s">
        <v>203</v>
      </c>
      <c r="C162" s="3" t="s">
        <v>149</v>
      </c>
      <c r="D162" s="3" t="s">
        <v>84</v>
      </c>
      <c r="E162" s="3" t="s">
        <v>60</v>
      </c>
      <c r="F162" s="3"/>
      <c r="G162" s="3" t="s">
        <v>143</v>
      </c>
      <c r="H162" s="3"/>
      <c r="I162" s="4">
        <v>46220</v>
      </c>
      <c r="J162" s="4">
        <v>46220</v>
      </c>
    </row>
    <row r="163" spans="1:10">
      <c r="A163" s="3" t="s">
        <v>126</v>
      </c>
      <c r="B163" s="3" t="s">
        <v>216</v>
      </c>
      <c r="C163" s="3" t="s">
        <v>149</v>
      </c>
      <c r="D163" s="3" t="s">
        <v>84</v>
      </c>
      <c r="E163" s="3" t="s">
        <v>60</v>
      </c>
      <c r="F163" s="3"/>
      <c r="G163" s="3" t="s">
        <v>143</v>
      </c>
      <c r="H163" s="4">
        <v>46220</v>
      </c>
      <c r="I163" s="4">
        <v>46223</v>
      </c>
      <c r="J163" s="4">
        <v>46223</v>
      </c>
    </row>
    <row r="164" spans="1:10">
      <c r="A164" s="3" t="s">
        <v>126</v>
      </c>
      <c r="B164" s="3" t="s">
        <v>156</v>
      </c>
      <c r="C164" s="3" t="s">
        <v>152</v>
      </c>
      <c r="D164" s="3" t="s">
        <v>154</v>
      </c>
      <c r="E164" s="3" t="s">
        <v>60</v>
      </c>
      <c r="F164" s="3"/>
      <c r="G164" s="3" t="s">
        <v>143</v>
      </c>
      <c r="H164" s="3"/>
      <c r="I164" s="3"/>
      <c r="J164" s="3"/>
    </row>
    <row r="165" spans="1:10">
      <c r="A165" s="3" t="s">
        <v>126</v>
      </c>
      <c r="B165" s="3" t="s">
        <v>203</v>
      </c>
      <c r="C165" s="3" t="s">
        <v>152</v>
      </c>
      <c r="D165" s="3" t="s">
        <v>154</v>
      </c>
      <c r="E165" s="3" t="s">
        <v>60</v>
      </c>
      <c r="F165" s="3"/>
      <c r="G165" s="3" t="s">
        <v>143</v>
      </c>
      <c r="H165" s="3"/>
      <c r="I165" s="4">
        <v>46224</v>
      </c>
      <c r="J165" s="4">
        <v>46224</v>
      </c>
    </row>
    <row r="166" spans="1:10">
      <c r="A166" s="3" t="s">
        <v>126</v>
      </c>
      <c r="B166" s="3" t="s">
        <v>216</v>
      </c>
      <c r="C166" s="3" t="s">
        <v>152</v>
      </c>
      <c r="D166" s="3" t="s">
        <v>154</v>
      </c>
      <c r="E166" s="3" t="s">
        <v>60</v>
      </c>
      <c r="F166" s="3"/>
      <c r="G166" s="3" t="s">
        <v>143</v>
      </c>
      <c r="H166" s="4">
        <v>46224</v>
      </c>
      <c r="I166" s="4">
        <v>46223</v>
      </c>
      <c r="J166" s="4">
        <v>46223</v>
      </c>
    </row>
    <row r="167" spans="1:10">
      <c r="A167" s="3" t="s">
        <v>126</v>
      </c>
      <c r="B167" s="3" t="s">
        <v>156</v>
      </c>
      <c r="C167" s="3" t="s">
        <v>155</v>
      </c>
      <c r="D167" s="3" t="s">
        <v>154</v>
      </c>
      <c r="E167" s="3" t="s">
        <v>77</v>
      </c>
      <c r="F167" s="3"/>
      <c r="G167" s="3" t="s">
        <v>143</v>
      </c>
      <c r="H167" s="3"/>
      <c r="I167" s="3"/>
      <c r="J167" s="3"/>
    </row>
    <row r="168" spans="1:10">
      <c r="A168" s="3" t="s">
        <v>126</v>
      </c>
      <c r="B168" s="3" t="s">
        <v>203</v>
      </c>
      <c r="C168" s="3" t="s">
        <v>155</v>
      </c>
      <c r="D168" s="3" t="s">
        <v>154</v>
      </c>
      <c r="E168" s="3" t="s">
        <v>77</v>
      </c>
      <c r="F168" s="3"/>
      <c r="G168" s="3" t="s">
        <v>143</v>
      </c>
      <c r="H168" s="3"/>
      <c r="I168" s="4">
        <v>46225</v>
      </c>
      <c r="J168" s="4">
        <v>46225</v>
      </c>
    </row>
    <row r="169" spans="1:10">
      <c r="A169" s="3" t="s">
        <v>126</v>
      </c>
      <c r="B169" s="3" t="s">
        <v>216</v>
      </c>
      <c r="C169" s="3" t="s">
        <v>155</v>
      </c>
      <c r="D169" s="3" t="s">
        <v>154</v>
      </c>
      <c r="E169" s="3" t="s">
        <v>77</v>
      </c>
      <c r="F169" s="3"/>
      <c r="G169" s="3" t="s">
        <v>143</v>
      </c>
      <c r="H169" s="4">
        <v>46225</v>
      </c>
      <c r="I169" s="4">
        <v>46223</v>
      </c>
      <c r="J169" s="4">
        <v>46223</v>
      </c>
    </row>
    <row r="170" spans="1:10">
      <c r="A170" s="3" t="s">
        <v>126</v>
      </c>
      <c r="B170" s="3" t="s">
        <v>156</v>
      </c>
      <c r="C170" s="3" t="s">
        <v>157</v>
      </c>
      <c r="D170" s="3" t="s">
        <v>76</v>
      </c>
      <c r="E170" s="3" t="s">
        <v>46</v>
      </c>
      <c r="F170" s="3"/>
      <c r="G170" s="3" t="s">
        <v>129</v>
      </c>
      <c r="H170" s="3"/>
      <c r="I170" s="3"/>
      <c r="J170" s="3"/>
    </row>
    <row r="171" spans="1:10">
      <c r="A171" s="3" t="s">
        <v>126</v>
      </c>
      <c r="B171" s="3" t="s">
        <v>203</v>
      </c>
      <c r="C171" s="3" t="s">
        <v>157</v>
      </c>
      <c r="D171" s="3" t="s">
        <v>76</v>
      </c>
      <c r="E171" s="3" t="s">
        <v>46</v>
      </c>
      <c r="F171" s="3"/>
      <c r="G171" s="3" t="s">
        <v>129</v>
      </c>
      <c r="H171" s="3"/>
      <c r="I171" s="4">
        <v>46226</v>
      </c>
      <c r="J171" s="4">
        <v>46226</v>
      </c>
    </row>
    <row r="172" spans="1:10">
      <c r="A172" s="3" t="s">
        <v>126</v>
      </c>
      <c r="B172" s="3" t="s">
        <v>216</v>
      </c>
      <c r="C172" s="3" t="s">
        <v>157</v>
      </c>
      <c r="D172" s="3" t="s">
        <v>76</v>
      </c>
      <c r="E172" s="3" t="s">
        <v>46</v>
      </c>
      <c r="F172" s="3"/>
      <c r="G172" s="3" t="s">
        <v>129</v>
      </c>
      <c r="H172" s="4">
        <v>46226</v>
      </c>
      <c r="I172" s="4">
        <v>46223</v>
      </c>
      <c r="J172" s="4">
        <v>46223</v>
      </c>
    </row>
    <row r="173" spans="1:10">
      <c r="A173" s="3" t="s">
        <v>126</v>
      </c>
      <c r="B173" s="3" t="s">
        <v>156</v>
      </c>
      <c r="C173" s="3" t="s">
        <v>159</v>
      </c>
      <c r="D173" s="3" t="s">
        <v>59</v>
      </c>
      <c r="E173" s="3" t="s">
        <v>60</v>
      </c>
      <c r="F173" s="3"/>
      <c r="G173" s="3" t="s">
        <v>129</v>
      </c>
      <c r="H173" s="3"/>
      <c r="I173" s="3"/>
      <c r="J173" s="3"/>
    </row>
    <row r="174" spans="1:10">
      <c r="A174" s="3" t="s">
        <v>126</v>
      </c>
      <c r="B174" s="3" t="s">
        <v>203</v>
      </c>
      <c r="C174" s="3" t="s">
        <v>159</v>
      </c>
      <c r="D174" s="3" t="s">
        <v>59</v>
      </c>
      <c r="E174" s="3" t="s">
        <v>60</v>
      </c>
      <c r="F174" s="3"/>
      <c r="G174" s="3" t="s">
        <v>129</v>
      </c>
      <c r="H174" s="3"/>
      <c r="I174" s="4">
        <v>46225</v>
      </c>
      <c r="J174" s="4">
        <v>46225</v>
      </c>
    </row>
    <row r="175" spans="1:10">
      <c r="A175" s="3" t="s">
        <v>126</v>
      </c>
      <c r="B175" s="3" t="s">
        <v>216</v>
      </c>
      <c r="C175" s="3" t="s">
        <v>159</v>
      </c>
      <c r="D175" s="3" t="s">
        <v>59</v>
      </c>
      <c r="E175" s="3" t="s">
        <v>60</v>
      </c>
      <c r="F175" s="3"/>
      <c r="G175" s="3" t="s">
        <v>129</v>
      </c>
      <c r="H175" s="4">
        <v>46225</v>
      </c>
      <c r="I175" s="4">
        <v>46223</v>
      </c>
      <c r="J175" s="4">
        <v>46223</v>
      </c>
    </row>
    <row r="176" spans="1:10">
      <c r="A176" s="3" t="s">
        <v>126</v>
      </c>
      <c r="B176" s="3" t="s">
        <v>156</v>
      </c>
      <c r="C176" s="3" t="s">
        <v>161</v>
      </c>
      <c r="D176" s="3" t="s">
        <v>76</v>
      </c>
      <c r="E176" s="3" t="s">
        <v>77</v>
      </c>
      <c r="F176" s="3"/>
      <c r="G176" s="3" t="s">
        <v>143</v>
      </c>
      <c r="H176" s="3"/>
      <c r="I176" s="3"/>
      <c r="J176" s="3"/>
    </row>
    <row r="177" spans="1:10">
      <c r="A177" s="3" t="s">
        <v>126</v>
      </c>
      <c r="B177" s="3" t="s">
        <v>203</v>
      </c>
      <c r="C177" s="3" t="s">
        <v>161</v>
      </c>
      <c r="D177" s="3" t="s">
        <v>76</v>
      </c>
      <c r="E177" s="3" t="s">
        <v>77</v>
      </c>
      <c r="F177" s="3"/>
      <c r="G177" s="3" t="s">
        <v>143</v>
      </c>
      <c r="H177" s="3"/>
      <c r="I177" s="4">
        <v>46225</v>
      </c>
      <c r="J177" s="4">
        <v>46225</v>
      </c>
    </row>
    <row r="178" spans="1:10">
      <c r="A178" s="3" t="s">
        <v>126</v>
      </c>
      <c r="B178" s="3" t="s">
        <v>216</v>
      </c>
      <c r="C178" s="3" t="s">
        <v>161</v>
      </c>
      <c r="D178" s="3" t="s">
        <v>76</v>
      </c>
      <c r="E178" s="3" t="s">
        <v>77</v>
      </c>
      <c r="F178" s="3"/>
      <c r="G178" s="3" t="s">
        <v>143</v>
      </c>
      <c r="H178" s="4">
        <v>46225</v>
      </c>
      <c r="I178" s="4">
        <v>46230</v>
      </c>
      <c r="J178" s="4">
        <v>46230</v>
      </c>
    </row>
    <row r="179" spans="1:10">
      <c r="A179" s="3" t="s">
        <v>126</v>
      </c>
      <c r="B179" s="3" t="s">
        <v>156</v>
      </c>
      <c r="C179" s="3" t="s">
        <v>164</v>
      </c>
      <c r="D179" s="3" t="s">
        <v>103</v>
      </c>
      <c r="E179" s="3"/>
      <c r="F179" s="3"/>
      <c r="G179" s="3"/>
      <c r="H179" s="3"/>
      <c r="I179" s="3"/>
      <c r="J179" s="3"/>
    </row>
    <row r="180" spans="1:10">
      <c r="A180" s="3" t="s">
        <v>126</v>
      </c>
      <c r="B180" s="3" t="s">
        <v>203</v>
      </c>
      <c r="C180" s="3" t="s">
        <v>164</v>
      </c>
      <c r="D180" s="3" t="s">
        <v>103</v>
      </c>
      <c r="E180" s="3"/>
      <c r="F180" s="3"/>
      <c r="G180" s="3"/>
      <c r="H180" s="3"/>
      <c r="I180" s="3"/>
      <c r="J180" s="3"/>
    </row>
    <row r="181" spans="1:10">
      <c r="A181" s="3" t="s">
        <v>126</v>
      </c>
      <c r="B181" s="3" t="s">
        <v>216</v>
      </c>
      <c r="C181" s="3" t="s">
        <v>164</v>
      </c>
      <c r="D181" s="3" t="s">
        <v>103</v>
      </c>
      <c r="E181" s="3"/>
      <c r="F181" s="3"/>
      <c r="G181" s="3"/>
      <c r="H181" s="3"/>
      <c r="I181" s="3"/>
      <c r="J181" s="3"/>
    </row>
    <row r="182" spans="1:10">
      <c r="A182" s="3" t="s">
        <v>126</v>
      </c>
      <c r="B182" s="3" t="s">
        <v>156</v>
      </c>
      <c r="C182" s="3" t="s">
        <v>174</v>
      </c>
      <c r="D182" s="3" t="s">
        <v>84</v>
      </c>
      <c r="E182" s="3"/>
      <c r="F182" s="3"/>
      <c r="G182" s="3"/>
      <c r="H182" s="3"/>
      <c r="I182" s="3"/>
      <c r="J182" s="3"/>
    </row>
    <row r="183" spans="1:10">
      <c r="A183" s="3" t="s">
        <v>126</v>
      </c>
      <c r="B183" s="3" t="s">
        <v>203</v>
      </c>
      <c r="C183" s="3" t="s">
        <v>174</v>
      </c>
      <c r="D183" s="3" t="s">
        <v>84</v>
      </c>
      <c r="E183" s="3"/>
      <c r="F183" s="3"/>
      <c r="G183" s="3"/>
      <c r="H183" s="3"/>
      <c r="I183" s="3"/>
      <c r="J183" s="3"/>
    </row>
    <row r="184" spans="1:10">
      <c r="A184" s="3" t="s">
        <v>126</v>
      </c>
      <c r="B184" s="3" t="s">
        <v>216</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20"/>
  <sheetViews>
    <sheetView zoomScaleNormal="100" workbookViewId="0">
      <selection sqref="A1:XFD1048576"/>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437</v>
      </c>
      <c r="F1" s="1" t="s">
        <v>335</v>
      </c>
      <c r="G1" s="5" t="s">
        <v>438</v>
      </c>
      <c r="H1" s="5" t="s">
        <v>20</v>
      </c>
      <c r="I1" t="s">
        <v>35</v>
      </c>
      <c r="J1" s="5" t="s">
        <v>439</v>
      </c>
      <c r="K1" s="5" t="s">
        <v>181</v>
      </c>
      <c r="L1" s="5" t="s">
        <v>354</v>
      </c>
      <c r="M1" s="1" t="s">
        <v>440</v>
      </c>
      <c r="N1" s="1" t="s">
        <v>441</v>
      </c>
      <c r="R1" t="s">
        <v>13</v>
      </c>
      <c r="T1" t="s">
        <v>442</v>
      </c>
    </row>
    <row r="2" spans="1:20" ht="13.5" customHeight="1">
      <c r="A2" s="2" t="s">
        <v>443</v>
      </c>
      <c r="B2" s="2" t="s">
        <v>444</v>
      </c>
      <c r="C2" s="2" t="s">
        <v>445</v>
      </c>
      <c r="D2" s="2" t="s">
        <v>446</v>
      </c>
      <c r="E2" s="2" t="s">
        <v>447</v>
      </c>
      <c r="F2" s="2" t="s">
        <v>448</v>
      </c>
      <c r="G2" t="s">
        <v>449</v>
      </c>
      <c r="H2" t="s">
        <v>450</v>
      </c>
      <c r="I2" t="s">
        <v>451</v>
      </c>
      <c r="J2" s="29" t="s">
        <v>452</v>
      </c>
      <c r="K2" s="29" t="s">
        <v>453</v>
      </c>
      <c r="L2" s="29" t="s">
        <v>454</v>
      </c>
      <c r="M2" t="s">
        <v>143</v>
      </c>
      <c r="N2" t="s">
        <v>455</v>
      </c>
      <c r="R2" t="s">
        <v>252</v>
      </c>
      <c r="T2" t="s">
        <v>49</v>
      </c>
    </row>
    <row r="3" spans="1:20" ht="15" customHeight="1">
      <c r="A3" t="s">
        <v>40</v>
      </c>
      <c r="B3" t="s">
        <v>44</v>
      </c>
      <c r="C3" t="s">
        <v>60</v>
      </c>
      <c r="D3" t="s">
        <v>129</v>
      </c>
      <c r="E3" t="s">
        <v>50</v>
      </c>
      <c r="F3" t="s">
        <v>230</v>
      </c>
      <c r="G3" t="s">
        <v>44</v>
      </c>
      <c r="H3" t="s">
        <v>47</v>
      </c>
      <c r="I3" t="s">
        <v>53</v>
      </c>
      <c r="J3" t="s">
        <v>156</v>
      </c>
      <c r="K3" t="s">
        <v>48</v>
      </c>
      <c r="L3" t="s">
        <v>53</v>
      </c>
      <c r="M3" t="s">
        <v>44</v>
      </c>
      <c r="N3" t="s">
        <v>456</v>
      </c>
      <c r="R3" t="s">
        <v>45</v>
      </c>
      <c r="T3" t="s">
        <v>94</v>
      </c>
    </row>
    <row r="4" spans="1:20" ht="15" customHeight="1">
      <c r="A4" t="s">
        <v>126</v>
      </c>
      <c r="B4" t="s">
        <v>59</v>
      </c>
      <c r="C4" t="s">
        <v>46</v>
      </c>
      <c r="D4" t="s">
        <v>143</v>
      </c>
      <c r="E4" t="s">
        <v>53</v>
      </c>
      <c r="F4" t="s">
        <v>156</v>
      </c>
      <c r="G4" t="s">
        <v>59</v>
      </c>
      <c r="H4" t="s">
        <v>88</v>
      </c>
      <c r="I4" t="s">
        <v>204</v>
      </c>
      <c r="J4" t="s">
        <v>203</v>
      </c>
      <c r="L4" t="s">
        <v>50</v>
      </c>
      <c r="M4" t="s">
        <v>103</v>
      </c>
      <c r="N4" t="s">
        <v>457</v>
      </c>
      <c r="R4" t="s">
        <v>458</v>
      </c>
      <c r="T4" t="s">
        <v>72</v>
      </c>
    </row>
    <row r="5" spans="1:20" ht="15" customHeight="1">
      <c r="A5" t="s">
        <v>427</v>
      </c>
      <c r="B5" t="s">
        <v>436</v>
      </c>
      <c r="C5" t="s">
        <v>77</v>
      </c>
      <c r="F5" t="s">
        <v>203</v>
      </c>
      <c r="G5" t="s">
        <v>436</v>
      </c>
      <c r="H5" t="s">
        <v>129</v>
      </c>
      <c r="I5" t="s">
        <v>249</v>
      </c>
      <c r="J5" t="s">
        <v>216</v>
      </c>
      <c r="L5" t="s">
        <v>459</v>
      </c>
      <c r="M5" t="s">
        <v>88</v>
      </c>
      <c r="N5" t="s">
        <v>460</v>
      </c>
    </row>
    <row r="6" spans="1:20" ht="15" customHeight="1">
      <c r="A6" t="s">
        <v>306</v>
      </c>
      <c r="B6" t="s">
        <v>84</v>
      </c>
      <c r="F6" t="s">
        <v>216</v>
      </c>
      <c r="G6" t="s">
        <v>84</v>
      </c>
      <c r="H6" t="s">
        <v>143</v>
      </c>
      <c r="I6" t="s">
        <v>461</v>
      </c>
      <c r="J6" t="s">
        <v>181</v>
      </c>
      <c r="M6" t="s">
        <v>48</v>
      </c>
      <c r="N6" t="s">
        <v>460</v>
      </c>
    </row>
    <row r="7" spans="1:20" ht="15" customHeight="1">
      <c r="A7" t="s">
        <v>297</v>
      </c>
      <c r="B7" t="s">
        <v>65</v>
      </c>
      <c r="F7" t="s">
        <v>181</v>
      </c>
      <c r="G7" t="s">
        <v>65</v>
      </c>
      <c r="H7" t="s">
        <v>198</v>
      </c>
      <c r="I7" t="s">
        <v>462</v>
      </c>
      <c r="M7" t="s">
        <v>129</v>
      </c>
      <c r="N7" t="s">
        <v>463</v>
      </c>
    </row>
    <row r="8" spans="1:20" ht="15" customHeight="1">
      <c r="B8" t="s">
        <v>76</v>
      </c>
      <c r="F8" t="s">
        <v>128</v>
      </c>
      <c r="G8" t="s">
        <v>76</v>
      </c>
      <c r="I8" t="s">
        <v>464</v>
      </c>
      <c r="M8" t="s">
        <v>60</v>
      </c>
      <c r="N8" t="s">
        <v>465</v>
      </c>
    </row>
    <row r="9" spans="1:20" ht="15" customHeight="1">
      <c r="B9" t="s">
        <v>103</v>
      </c>
      <c r="F9" t="s">
        <v>42</v>
      </c>
      <c r="G9" t="s">
        <v>103</v>
      </c>
      <c r="I9" t="s">
        <v>331</v>
      </c>
      <c r="M9" t="s">
        <v>154</v>
      </c>
      <c r="N9" t="s">
        <v>466</v>
      </c>
    </row>
    <row r="10" spans="1:20" ht="15" customHeight="1">
      <c r="B10" t="s">
        <v>154</v>
      </c>
      <c r="G10" t="s">
        <v>154</v>
      </c>
      <c r="I10" t="s">
        <v>467</v>
      </c>
      <c r="M10" t="s">
        <v>47</v>
      </c>
      <c r="N10" t="s">
        <v>468</v>
      </c>
    </row>
    <row r="11" spans="1:20" ht="15">
      <c r="B11" t="s">
        <v>469</v>
      </c>
      <c r="G11" t="s">
        <v>60</v>
      </c>
      <c r="M11" t="s">
        <v>76</v>
      </c>
      <c r="N11" t="s">
        <v>470</v>
      </c>
    </row>
    <row r="12" spans="1:20" ht="15">
      <c r="B12" t="s">
        <v>471</v>
      </c>
      <c r="G12" t="s">
        <v>46</v>
      </c>
      <c r="M12" t="s">
        <v>46</v>
      </c>
      <c r="N12" t="s">
        <v>472</v>
      </c>
    </row>
    <row r="13" spans="1:20" ht="15">
      <c r="G13" t="s">
        <v>77</v>
      </c>
      <c r="M13" t="s">
        <v>77</v>
      </c>
      <c r="N13" t="s">
        <v>473</v>
      </c>
    </row>
    <row r="14" spans="1:20" ht="15">
      <c r="M14" t="s">
        <v>84</v>
      </c>
      <c r="N14" t="s">
        <v>474</v>
      </c>
    </row>
    <row r="15" spans="1:20" ht="15">
      <c r="M15" t="s">
        <v>59</v>
      </c>
      <c r="N15" t="s">
        <v>475</v>
      </c>
    </row>
    <row r="16" spans="1:20" ht="15">
      <c r="M16" t="s">
        <v>65</v>
      </c>
      <c r="N16" t="s">
        <v>476</v>
      </c>
    </row>
    <row r="17" spans="13:14" ht="15">
      <c r="M17" t="s">
        <v>436</v>
      </c>
      <c r="N17" t="s">
        <v>476</v>
      </c>
    </row>
    <row r="18" spans="13:14" ht="15">
      <c r="M18" t="s">
        <v>225</v>
      </c>
      <c r="N18" t="s">
        <v>477</v>
      </c>
    </row>
    <row r="19" spans="13:14" ht="15">
      <c r="M19" t="s">
        <v>198</v>
      </c>
      <c r="N19" t="s">
        <v>478</v>
      </c>
    </row>
    <row r="20" spans="13:14" ht="15"/>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71"/>
      <c r="B1" s="171"/>
      <c r="C1" s="171"/>
      <c r="D1" s="171"/>
      <c r="E1" s="171"/>
      <c r="F1" s="171"/>
      <c r="G1" s="171"/>
      <c r="H1" s="171"/>
      <c r="I1" s="171"/>
      <c r="J1" s="171"/>
      <c r="K1" s="171"/>
      <c r="L1" s="171"/>
      <c r="M1" s="171"/>
      <c r="N1" s="171"/>
      <c r="O1" s="171"/>
      <c r="P1" s="171"/>
      <c r="Q1" s="171"/>
      <c r="R1" s="171"/>
      <c r="S1" s="171"/>
      <c r="T1" s="171"/>
      <c r="U1" s="171"/>
      <c r="V1" s="171"/>
      <c r="W1" s="171"/>
      <c r="X1" s="171"/>
      <c r="Y1" s="171"/>
      <c r="Z1" s="171"/>
    </row>
    <row r="2" spans="1:26" ht="33.75" customHeight="1">
      <c r="A2" s="171"/>
      <c r="B2" s="172" t="s">
        <v>479</v>
      </c>
      <c r="C2" s="171"/>
      <c r="D2" s="171"/>
      <c r="E2" s="171"/>
      <c r="F2" s="171"/>
      <c r="G2" s="171"/>
      <c r="H2" s="171"/>
      <c r="I2" s="171"/>
      <c r="J2" s="171"/>
      <c r="K2" s="171"/>
      <c r="L2" s="171"/>
      <c r="M2" s="243" t="str">
        <f ca="1">"As of "&amp;TEXT(TODAY(),"d mmm yyyy")&amp;". Live from Combined Delivery Data."</f>
        <v>As of 2 Oct 2026. Live from Combined Delivery Data.</v>
      </c>
      <c r="N2" s="243"/>
      <c r="O2" s="243"/>
      <c r="P2" s="171"/>
      <c r="Q2" s="171"/>
      <c r="R2" s="171"/>
      <c r="S2" s="171"/>
      <c r="T2" s="171"/>
      <c r="U2" s="171"/>
      <c r="V2" s="171"/>
      <c r="W2" s="171"/>
      <c r="X2" s="171"/>
      <c r="Y2" s="171"/>
      <c r="Z2" s="171"/>
    </row>
    <row r="3" spans="1:26" ht="18" customHeight="1">
      <c r="A3" s="171"/>
      <c r="B3" s="173" t="str">
        <f>"GDM migration. "&amp;K17&amp;" reports in the July to November waves. Milestones are the revised committed dates."</f>
        <v>GDM migration. 72 reports in the July to November waves. Milestones are the revised committed dates.</v>
      </c>
      <c r="C3" s="171"/>
      <c r="D3" s="171"/>
      <c r="E3" s="171"/>
      <c r="F3" s="171"/>
      <c r="G3" s="171"/>
      <c r="H3" s="171"/>
      <c r="I3" s="171"/>
      <c r="J3" s="171"/>
      <c r="K3" s="171"/>
      <c r="L3" s="171"/>
      <c r="M3" s="171"/>
      <c r="N3" s="171"/>
      <c r="O3" s="171"/>
      <c r="P3" s="171"/>
      <c r="Q3" s="171"/>
      <c r="R3" s="171"/>
      <c r="S3" s="171"/>
      <c r="T3" s="171"/>
      <c r="U3" s="171"/>
      <c r="V3" s="171"/>
      <c r="W3" s="171"/>
      <c r="X3" s="171"/>
      <c r="Y3" s="171"/>
      <c r="Z3" s="171"/>
    </row>
    <row r="4" spans="1:26" ht="8.25" customHeight="1">
      <c r="A4" s="171"/>
      <c r="B4" s="171"/>
      <c r="C4" s="171"/>
      <c r="D4" s="171"/>
      <c r="E4" s="171"/>
      <c r="F4" s="171"/>
      <c r="G4" s="171"/>
      <c r="H4" s="171"/>
      <c r="I4" s="171"/>
      <c r="J4" s="171"/>
      <c r="K4" s="171"/>
      <c r="L4" s="171"/>
      <c r="M4" s="171"/>
      <c r="N4" s="171"/>
      <c r="O4" s="171"/>
      <c r="P4" s="171"/>
      <c r="Q4" s="171"/>
      <c r="R4" s="171"/>
      <c r="S4" s="171"/>
      <c r="T4" s="171"/>
      <c r="U4" s="171"/>
      <c r="V4" s="171"/>
      <c r="W4" s="171"/>
      <c r="X4" s="171"/>
      <c r="Y4" s="171"/>
      <c r="Z4" s="171"/>
    </row>
    <row r="5" spans="1:26" ht="39.75" customHeight="1">
      <c r="A5" s="171"/>
      <c r="B5" s="174" t="str">
        <f>(C7+E7)&amp;" of "&amp;K17</f>
        <v>28 of 72</v>
      </c>
      <c r="C5" s="244" t="str">
        <f>IF(C7+E7=0,"No CMS reports are blocked.","reports are blocked. "&amp;C7&amp;" are approved and waiting for a production release, "&amp;E7&amp;" are blocked in build or QA.")</f>
        <v>reports are blocked. 25 are approved and waiting for a production release, 3 are blocked in build or QA.</v>
      </c>
      <c r="D5" s="244"/>
      <c r="E5" s="244"/>
      <c r="F5" s="244"/>
      <c r="G5" s="244"/>
      <c r="H5" s="244"/>
      <c r="I5" s="244"/>
      <c r="J5" s="244"/>
      <c r="K5" s="244"/>
      <c r="L5" s="244"/>
      <c r="M5" s="244"/>
      <c r="N5" s="244"/>
      <c r="O5" s="244"/>
      <c r="P5" s="171"/>
      <c r="Q5" s="171"/>
      <c r="R5" s="171"/>
      <c r="S5" s="171"/>
      <c r="T5" s="171"/>
      <c r="U5" s="171"/>
      <c r="V5" s="171"/>
      <c r="W5" s="171"/>
      <c r="X5" s="171"/>
      <c r="Y5" s="171"/>
      <c r="Z5" s="171"/>
    </row>
    <row r="6" spans="1:26" ht="8.25" customHeight="1">
      <c r="A6" s="171"/>
      <c r="B6" s="171"/>
      <c r="C6" s="171"/>
      <c r="D6" s="171"/>
      <c r="E6" s="171"/>
      <c r="F6" s="171"/>
      <c r="G6" s="171"/>
      <c r="H6" s="171"/>
      <c r="I6" s="171"/>
      <c r="J6" s="171"/>
      <c r="K6" s="171"/>
      <c r="L6" s="171"/>
      <c r="M6" s="171"/>
      <c r="N6" s="171"/>
      <c r="O6" s="171"/>
      <c r="P6" s="171"/>
      <c r="Q6" s="171"/>
      <c r="R6" s="171"/>
      <c r="S6" s="171"/>
      <c r="T6" s="171"/>
      <c r="U6" s="171"/>
      <c r="V6" s="171"/>
      <c r="W6" s="171"/>
      <c r="X6" s="171"/>
      <c r="Y6" s="171"/>
      <c r="Z6" s="171"/>
    </row>
    <row r="7" spans="1:26" ht="36" customHeight="1">
      <c r="A7" s="171"/>
      <c r="B7" s="171"/>
      <c r="C7" s="245" cm="1">
        <f t="array" ref="C7">COUNTIFS(cmsDom,"CMS",cmsStatus,"Ready for Release in Prod")</f>
        <v>25</v>
      </c>
      <c r="D7" s="246"/>
      <c r="E7" s="249" cm="1">
        <f t="array" ref="E7">COUNTIFS(cmsDom,"CMS",cmsBlocked,"Yes*",cmsStatus,"&lt;&gt;Ready for Release in Prod",cmsStatus,"&lt;&gt;RELEASED IN PROD")</f>
        <v>3</v>
      </c>
      <c r="F7" s="250"/>
      <c r="G7" s="251" cm="1">
        <f t="array" ref="G7">SUM(COUNTIFS(cmsDom,"CMS",cmsBlocked,"&lt;&gt;Yes*",cmsStatus,{"DB Dev","PBI Dev","QA","DPO Approval"}))</f>
        <v>24</v>
      </c>
      <c r="H7" s="252"/>
      <c r="I7" s="253" cm="1">
        <f t="array" ref="I7">COUNTIFS(cmsDom,"CMS",cmsBlocked,"&lt;&gt;Yes*",cmsStatus,"NOT STARTED")</f>
        <v>20</v>
      </c>
      <c r="J7" s="254"/>
      <c r="K7" s="255" cm="1">
        <f t="array" ref="K7">COUNTIFS(cmsDom,"CMS",cmsStatus,"RELEASED IN PROD")</f>
        <v>0</v>
      </c>
      <c r="L7" s="256"/>
      <c r="M7" s="257" t="s">
        <v>480</v>
      </c>
      <c r="N7" s="258"/>
      <c r="O7" s="259"/>
      <c r="P7" s="171"/>
      <c r="Q7" s="171"/>
      <c r="R7" s="171"/>
      <c r="S7" s="171"/>
      <c r="T7" s="171"/>
      <c r="U7" s="171"/>
      <c r="V7" s="171"/>
      <c r="W7" s="171"/>
      <c r="X7" s="171"/>
      <c r="Y7" s="171"/>
      <c r="Z7" s="171"/>
    </row>
    <row r="8" spans="1:26" ht="30" customHeight="1">
      <c r="A8" s="171"/>
      <c r="B8" s="171"/>
      <c r="C8" s="247" t="s">
        <v>481</v>
      </c>
      <c r="D8" s="248"/>
      <c r="E8" s="247" t="s">
        <v>482</v>
      </c>
      <c r="F8" s="248"/>
      <c r="G8" s="247" t="s">
        <v>483</v>
      </c>
      <c r="H8" s="248"/>
      <c r="I8" s="247" t="s">
        <v>484</v>
      </c>
      <c r="J8" s="248"/>
      <c r="K8" s="247" t="s">
        <v>485</v>
      </c>
      <c r="L8" s="248"/>
      <c r="M8" s="247"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13.</v>
      </c>
      <c r="N8" s="248"/>
      <c r="O8" s="260"/>
      <c r="P8" s="171"/>
      <c r="Q8" s="171"/>
      <c r="R8" s="171"/>
      <c r="S8" s="171"/>
      <c r="T8" s="171"/>
      <c r="U8" s="171"/>
      <c r="V8" s="171"/>
      <c r="W8" s="171"/>
      <c r="X8" s="171"/>
      <c r="Y8" s="171"/>
      <c r="Z8" s="171"/>
    </row>
    <row r="9" spans="1:26" ht="12" customHeight="1">
      <c r="A9" s="171"/>
      <c r="B9" s="171"/>
      <c r="C9" s="171"/>
      <c r="D9" s="171"/>
      <c r="E9" s="171"/>
      <c r="F9" s="171"/>
      <c r="G9" s="171"/>
      <c r="H9" s="171"/>
      <c r="I9" s="171"/>
      <c r="J9" s="171"/>
      <c r="K9" s="171"/>
      <c r="L9" s="171"/>
      <c r="M9" s="171"/>
      <c r="N9" s="171"/>
      <c r="O9" s="171"/>
      <c r="P9" s="171"/>
      <c r="Q9" s="171"/>
      <c r="R9" s="171"/>
      <c r="S9" s="171"/>
      <c r="T9" s="171"/>
      <c r="U9" s="171"/>
      <c r="V9" s="171"/>
      <c r="W9" s="171"/>
      <c r="X9" s="171"/>
      <c r="Y9" s="171"/>
      <c r="Z9" s="171"/>
    </row>
    <row r="10" spans="1:26" ht="21.75" customHeight="1">
      <c r="A10" s="171"/>
      <c r="B10" s="183" t="s">
        <v>486</v>
      </c>
      <c r="C10" s="221" t="s">
        <v>487</v>
      </c>
      <c r="D10" s="221"/>
      <c r="E10" s="221"/>
      <c r="F10" s="221"/>
      <c r="G10" s="221"/>
      <c r="H10" s="221"/>
      <c r="I10" s="221"/>
      <c r="J10" s="221"/>
      <c r="K10" s="221"/>
      <c r="L10" s="221"/>
      <c r="M10" s="221"/>
      <c r="N10" s="221"/>
      <c r="O10" s="221"/>
      <c r="P10" s="171"/>
      <c r="Q10" s="171"/>
      <c r="R10" s="171"/>
      <c r="S10" s="171"/>
      <c r="T10" s="171"/>
      <c r="U10" s="171"/>
      <c r="V10" s="171"/>
      <c r="W10" s="171"/>
      <c r="X10" s="171"/>
      <c r="Y10" s="171"/>
      <c r="Z10" s="171"/>
    </row>
    <row r="11" spans="1:26" ht="30" customHeight="1">
      <c r="A11" s="171"/>
      <c r="B11" s="188" t="s">
        <v>488</v>
      </c>
      <c r="C11" s="185" t="s">
        <v>489</v>
      </c>
      <c r="D11" s="185" t="s">
        <v>490</v>
      </c>
      <c r="E11" s="185" t="s">
        <v>181</v>
      </c>
      <c r="F11" s="185" t="s">
        <v>216</v>
      </c>
      <c r="G11" s="185" t="s">
        <v>203</v>
      </c>
      <c r="H11" s="185" t="s">
        <v>156</v>
      </c>
      <c r="I11" s="185" t="s">
        <v>484</v>
      </c>
      <c r="J11" s="185" t="s">
        <v>491</v>
      </c>
      <c r="K11" s="185" t="s">
        <v>492</v>
      </c>
      <c r="L11" s="185" t="s">
        <v>493</v>
      </c>
      <c r="M11" s="237" t="s">
        <v>494</v>
      </c>
      <c r="N11" s="238"/>
      <c r="O11" s="239"/>
      <c r="P11" s="171"/>
      <c r="Q11" s="171"/>
      <c r="R11" s="171"/>
      <c r="S11" s="171"/>
      <c r="T11" s="171"/>
      <c r="U11" s="171"/>
      <c r="V11" s="171"/>
      <c r="W11" s="171"/>
      <c r="X11" s="171"/>
      <c r="Y11" s="171"/>
      <c r="Z11" s="171"/>
    </row>
    <row r="12" spans="1:26" ht="21.75" customHeight="1">
      <c r="A12" s="171"/>
      <c r="B12" s="189" t="s">
        <v>130</v>
      </c>
      <c r="C12" s="190" cm="1">
        <f t="array" ref="C12">COUNTIFS(cmsDom,"CMS",cmsMonth,$B12,cmsStatus,"Ready for Release in Prod")</f>
        <v>13</v>
      </c>
      <c r="D12" s="190" cm="1">
        <f t="array" ref="D12">COUNTIFS(cmsDom,"CMS",cmsMonth,$B12,cmsBlocked,"Yes*",cmsStatus,"&lt;&gt;Ready for Release in Prod",cmsStatus,"&lt;&gt;RELEASED IN PROD")</f>
        <v>0</v>
      </c>
      <c r="E12" s="190" cm="1">
        <f t="array" ref="E12">COUNTIFS(cmsDom,"CMS",cmsMonth,$B12,cmsBlocked,"&lt;&gt;Yes*",cmsStatus,"DPO Approval")</f>
        <v>0</v>
      </c>
      <c r="F12" s="190" cm="1">
        <f t="array" ref="F12">COUNTIFS(cmsDom,"CMS",cmsMonth,$B12,cmsBlocked,"&lt;&gt;Yes*",cmsStatus,"QA")</f>
        <v>0</v>
      </c>
      <c r="G12" s="190" cm="1">
        <f t="array" ref="G12">COUNTIFS(cmsDom,"CMS",cmsMonth,$B12,cmsBlocked,"&lt;&gt;Yes*",cmsStatus,"PBI Dev")</f>
        <v>0</v>
      </c>
      <c r="H12" s="190" cm="1">
        <f t="array" ref="H12">COUNTIFS(cmsDom,"CMS",cmsMonth,$B12,cmsBlocked,"&lt;&gt;Yes*",cmsStatus,"DB Dev")</f>
        <v>1</v>
      </c>
      <c r="I12" s="190" cm="1">
        <f t="array" ref="I12">COUNTIFS(cmsDom,"CMS",cmsMonth,$B12,cmsBlocked,"&lt;&gt;Yes*",cmsStatus,"NOT STARTED")</f>
        <v>0</v>
      </c>
      <c r="J12" s="190" cm="1">
        <f t="array" ref="J12">COUNTIFS(cmsDom,"CMS",cmsMonth,$B12,cmsStatus,"RELEASED IN PROD")</f>
        <v>0</v>
      </c>
      <c r="K12" s="190" cm="1">
        <f t="array" ref="K12">COUNTIFS(cmsDom,"CMS",cmsMonth,$B12)</f>
        <v>14</v>
      </c>
      <c r="L12" s="191">
        <f>_xlfn.XLOOKUP($B12&amp;" Reports",DimRebaseline[Delivery Wave],DimRebaseline[Revised Committed Milestone],"")</f>
        <v>46274</v>
      </c>
      <c r="M12" s="240" t="str">
        <f ca="1">IF($K12=0,"",IF($J12=$K12,"Delivered",IF($L12="","No milestone in Dim Table",IF(TODAY()&gt;$L12,TEXT(TODAY()-$L12,"0")&amp;" days past milestone, "&amp;($K12-$J12)&amp;" of "&amp;$K12&amp;" not released",TEXT($L12-TODAY(),"0")&amp;" days to milestone"&amp;IF($D12&gt;0,", "&amp;$D12&amp;" blocked","")))))</f>
        <v>23 days past milestone, 14 of 14 not released</v>
      </c>
      <c r="N12" s="241"/>
      <c r="O12" s="242"/>
      <c r="P12" s="171"/>
      <c r="Q12" s="171"/>
      <c r="R12" s="171"/>
      <c r="S12" s="171"/>
      <c r="T12" s="171"/>
      <c r="U12" s="171"/>
      <c r="V12" s="171"/>
      <c r="W12" s="171"/>
      <c r="X12" s="171"/>
      <c r="Y12" s="171"/>
      <c r="Z12" s="171"/>
    </row>
    <row r="13" spans="1:26" ht="21.75" customHeight="1">
      <c r="A13" s="171"/>
      <c r="B13" s="195" t="s">
        <v>166</v>
      </c>
      <c r="C13" s="196" cm="1">
        <f t="array" ref="C13">COUNTIFS(cmsDom,"CMS",cmsMonth,$B13,cmsStatus,"Ready for Release in Prod")</f>
        <v>10</v>
      </c>
      <c r="D13" s="196" cm="1">
        <f t="array" ref="D13">COUNTIFS(cmsDom,"CMS",cmsMonth,$B13,cmsBlocked,"Yes*",cmsStatus,"&lt;&gt;Ready for Release in Prod",cmsStatus,"&lt;&gt;RELEASED IN PROD")</f>
        <v>0</v>
      </c>
      <c r="E13" s="196" cm="1">
        <f t="array" ref="E13">COUNTIFS(cmsDom,"CMS",cmsMonth,$B13,cmsBlocked,"&lt;&gt;Yes*",cmsStatus,"DPO Approval")</f>
        <v>2</v>
      </c>
      <c r="F13" s="196" cm="1">
        <f t="array" ref="F13">COUNTIFS(cmsDom,"CMS",cmsMonth,$B13,cmsBlocked,"&lt;&gt;Yes*",cmsStatus,"QA")</f>
        <v>0</v>
      </c>
      <c r="G13" s="196" cm="1">
        <f t="array" ref="G13">COUNTIFS(cmsDom,"CMS",cmsMonth,$B13,cmsBlocked,"&lt;&gt;Yes*",cmsStatus,"PBI Dev")</f>
        <v>0</v>
      </c>
      <c r="H13" s="196" cm="1">
        <f t="array" ref="H13">COUNTIFS(cmsDom,"CMS",cmsMonth,$B13,cmsBlocked,"&lt;&gt;Yes*",cmsStatus,"DB Dev")</f>
        <v>0</v>
      </c>
      <c r="I13" s="196" cm="1">
        <f t="array" ref="I13">COUNTIFS(cmsDom,"CMS",cmsMonth,$B13,cmsBlocked,"&lt;&gt;Yes*",cmsStatus,"NOT STARTED")</f>
        <v>0</v>
      </c>
      <c r="J13" s="196" cm="1">
        <f t="array" ref="J13">COUNTIFS(cmsDom,"CMS",cmsMonth,$B13,cmsStatus,"RELEASED IN PROD")</f>
        <v>0</v>
      </c>
      <c r="K13" s="196" cm="1">
        <f t="array" ref="K13">COUNTIFS(cmsDom,"CMS",cmsMonth,$B13)</f>
        <v>12</v>
      </c>
      <c r="L13" s="197">
        <f>_xlfn.XLOOKUP($B13&amp;" Reports",DimRebaseline[Delivery Wave],DimRebaseline[Revised Committed Milestone],"")</f>
        <v>46295</v>
      </c>
      <c r="M13" s="231" t="str">
        <f ca="1">IF($K13=0,"",IF($J13=$K13,"Delivered",IF($L13="","No milestone in Dim Table",IF(TODAY()&gt;$L13,TEXT(TODAY()-$L13,"0")&amp;" days past milestone, "&amp;($K13-$J13)&amp;" of "&amp;$K13&amp;" not released",TEXT($L13-TODAY(),"0")&amp;" days to milestone"&amp;IF($D13&gt;0,", "&amp;$D13&amp;" blocked","")))))</f>
        <v>2 days past milestone, 12 of 12 not released</v>
      </c>
      <c r="N13" s="232"/>
      <c r="O13" s="233"/>
      <c r="P13" s="171"/>
      <c r="Q13" s="171"/>
      <c r="R13" s="171"/>
      <c r="S13" s="171"/>
      <c r="T13" s="171"/>
      <c r="U13" s="171"/>
      <c r="V13" s="171"/>
      <c r="W13" s="171"/>
      <c r="X13" s="171"/>
      <c r="Y13" s="171"/>
      <c r="Z13" s="171"/>
    </row>
    <row r="14" spans="1:26" ht="21.75" customHeight="1">
      <c r="A14" s="171"/>
      <c r="B14" s="195" t="s">
        <v>192</v>
      </c>
      <c r="C14" s="196" cm="1">
        <f t="array" ref="C14">COUNTIFS(cmsDom,"CMS",cmsMonth,$B14,cmsStatus,"Ready for Release in Prod")</f>
        <v>2</v>
      </c>
      <c r="D14" s="196" cm="1">
        <f t="array" ref="D14">COUNTIFS(cmsDom,"CMS",cmsMonth,$B14,cmsBlocked,"Yes*",cmsStatus,"&lt;&gt;Ready for Release in Prod",cmsStatus,"&lt;&gt;RELEASED IN PROD")</f>
        <v>2</v>
      </c>
      <c r="E14" s="196" cm="1">
        <f t="array" ref="E14">COUNTIFS(cmsDom,"CMS",cmsMonth,$B14,cmsBlocked,"&lt;&gt;Yes*",cmsStatus,"DPO Approval")</f>
        <v>7</v>
      </c>
      <c r="F14" s="196" cm="1">
        <f t="array" ref="F14">COUNTIFS(cmsDom,"CMS",cmsMonth,$B14,cmsBlocked,"&lt;&gt;Yes*",cmsStatus,"QA")</f>
        <v>2</v>
      </c>
      <c r="G14" s="196" cm="1">
        <f t="array" ref="G14">COUNTIFS(cmsDom,"CMS",cmsMonth,$B14,cmsBlocked,"&lt;&gt;Yes*",cmsStatus,"PBI Dev")</f>
        <v>3</v>
      </c>
      <c r="H14" s="196" cm="1">
        <f t="array" ref="H14">COUNTIFS(cmsDom,"CMS",cmsMonth,$B14,cmsBlocked,"&lt;&gt;Yes*",cmsStatus,"DB Dev")</f>
        <v>1</v>
      </c>
      <c r="I14" s="196" cm="1">
        <f t="array" ref="I14">COUNTIFS(cmsDom,"CMS",cmsMonth,$B14,cmsBlocked,"&lt;&gt;Yes*",cmsStatus,"NOT STARTED")</f>
        <v>1</v>
      </c>
      <c r="J14" s="196" cm="1">
        <f t="array" ref="J14">COUNTIFS(cmsDom,"CMS",cmsMonth,$B14,cmsStatus,"RELEASED IN PROD")</f>
        <v>0</v>
      </c>
      <c r="K14" s="196" cm="1">
        <f t="array" ref="K14">COUNTIFS(cmsDom,"CMS",cmsMonth,$B14)</f>
        <v>18</v>
      </c>
      <c r="L14" s="197">
        <f>_xlfn.XLOOKUP($B14&amp;" Reports",DimRebaseline[Delivery Wave],DimRebaseline[Revised Committed Milestone],"")</f>
        <v>46325</v>
      </c>
      <c r="M14" s="231" t="str">
        <f ca="1">IF($K14=0,"",IF($J14=$K14,"Delivered",IF($L14="","No milestone in Dim Table",IF(TODAY()&gt;$L14,TEXT(TODAY()-$L14,"0")&amp;" days past milestone, "&amp;($K14-$J14)&amp;" of "&amp;$K14&amp;" not released",TEXT($L14-TODAY(),"0")&amp;" days to milestone"&amp;IF($D14&gt;0,", "&amp;$D14&amp;" blocked","")))))</f>
        <v>28 days to milestone, 2 blocked</v>
      </c>
      <c r="N14" s="232"/>
      <c r="O14" s="233"/>
      <c r="P14" s="171"/>
      <c r="Q14" s="171"/>
      <c r="R14" s="171"/>
      <c r="S14" s="171"/>
      <c r="T14" s="171"/>
      <c r="U14" s="171"/>
      <c r="V14" s="171"/>
      <c r="W14" s="171"/>
      <c r="X14" s="171"/>
      <c r="Y14" s="171"/>
      <c r="Z14" s="171"/>
    </row>
    <row r="15" spans="1:26" ht="21.75" customHeight="1">
      <c r="A15" s="171"/>
      <c r="B15" s="195" t="s">
        <v>239</v>
      </c>
      <c r="C15" s="196" cm="1">
        <f t="array" ref="C15">COUNTIFS(cmsDom,"CMS",cmsMonth,$B15,cmsStatus,"Ready for Release in Prod")</f>
        <v>0</v>
      </c>
      <c r="D15" s="196" cm="1">
        <f t="array" ref="D15">COUNTIFS(cmsDom,"CMS",cmsMonth,$B15,cmsBlocked,"Yes*",cmsStatus,"&lt;&gt;Ready for Release in Prod",cmsStatus,"&lt;&gt;RELEASED IN PROD")</f>
        <v>1</v>
      </c>
      <c r="E15" s="196" cm="1">
        <f t="array" ref="E15">COUNTIFS(cmsDom,"CMS",cmsMonth,$B15,cmsBlocked,"&lt;&gt;Yes*",cmsStatus,"DPO Approval")</f>
        <v>0</v>
      </c>
      <c r="F15" s="196" cm="1">
        <f t="array" ref="F15">COUNTIFS(cmsDom,"CMS",cmsMonth,$B15,cmsBlocked,"&lt;&gt;Yes*",cmsStatus,"QA")</f>
        <v>2</v>
      </c>
      <c r="G15" s="196" cm="1">
        <f t="array" ref="G15">COUNTIFS(cmsDom,"CMS",cmsMonth,$B15,cmsBlocked,"&lt;&gt;Yes*",cmsStatus,"PBI Dev")</f>
        <v>5</v>
      </c>
      <c r="H15" s="196" cm="1">
        <f t="array" ref="H15">COUNTIFS(cmsDom,"CMS",cmsMonth,$B15,cmsBlocked,"&lt;&gt;Yes*",cmsStatus,"DB Dev")</f>
        <v>1</v>
      </c>
      <c r="I15" s="196" cm="1">
        <f t="array" ref="I15">COUNTIFS(cmsDom,"CMS",cmsMonth,$B15,cmsBlocked,"&lt;&gt;Yes*",cmsStatus,"NOT STARTED")</f>
        <v>4</v>
      </c>
      <c r="J15" s="196" cm="1">
        <f t="array" ref="J15">COUNTIFS(cmsDom,"CMS",cmsMonth,$B15,cmsStatus,"RELEASED IN PROD")</f>
        <v>0</v>
      </c>
      <c r="K15" s="196" cm="1">
        <f t="array" ref="K15">COUNTIFS(cmsDom,"CMS",cmsMonth,$B15)</f>
        <v>13</v>
      </c>
      <c r="L15" s="197">
        <f>_xlfn.XLOOKUP($B15&amp;" Reports",DimRebaseline[Delivery Wave],DimRebaseline[Revised Committed Milestone],"")</f>
        <v>46356</v>
      </c>
      <c r="M15" s="231" t="str">
        <f ca="1">IF($K15=0,"",IF($J15=$K15,"Delivered",IF($L15="","No milestone in Dim Table",IF(TODAY()&gt;$L15,TEXT(TODAY()-$L15,"0")&amp;" days past milestone, "&amp;($K15-$J15)&amp;" of "&amp;$K15&amp;" not released",TEXT($L15-TODAY(),"0")&amp;" days to milestone"&amp;IF($D15&gt;0,", "&amp;$D15&amp;" blocked","")))))</f>
        <v>59 days to milestone, 1 blocked</v>
      </c>
      <c r="N15" s="232"/>
      <c r="O15" s="233"/>
      <c r="P15" s="171"/>
      <c r="Q15" s="171"/>
      <c r="R15" s="171"/>
      <c r="S15" s="171"/>
      <c r="T15" s="171"/>
      <c r="U15" s="171"/>
      <c r="V15" s="171"/>
      <c r="W15" s="171"/>
      <c r="X15" s="171"/>
      <c r="Y15" s="171"/>
      <c r="Z15" s="171"/>
    </row>
    <row r="16" spans="1:26" ht="21.75" customHeight="1">
      <c r="A16" s="171"/>
      <c r="B16" s="192" t="s">
        <v>266</v>
      </c>
      <c r="C16" s="193" cm="1">
        <f t="array" ref="C16">COUNTIFS(cmsDom,"CMS",cmsMonth,$B16,cmsStatus,"Ready for Release in Prod")</f>
        <v>0</v>
      </c>
      <c r="D16" s="193" cm="1">
        <f t="array" ref="D16">COUNTIFS(cmsDom,"CMS",cmsMonth,$B16,cmsBlocked,"Yes*",cmsStatus,"&lt;&gt;Ready for Release in Prod",cmsStatus,"&lt;&gt;RELEASED IN PROD")</f>
        <v>0</v>
      </c>
      <c r="E16" s="193" cm="1">
        <f t="array" ref="E16">COUNTIFS(cmsDom,"CMS",cmsMonth,$B16,cmsBlocked,"&lt;&gt;Yes*",cmsStatus,"DPO Approval")</f>
        <v>0</v>
      </c>
      <c r="F16" s="193" cm="1">
        <f t="array" ref="F16">COUNTIFS(cmsDom,"CMS",cmsMonth,$B16,cmsBlocked,"&lt;&gt;Yes*",cmsStatus,"QA")</f>
        <v>0</v>
      </c>
      <c r="G16" s="193" cm="1">
        <f t="array" ref="G16">COUNTIFS(cmsDom,"CMS",cmsMonth,$B16,cmsBlocked,"&lt;&gt;Yes*",cmsStatus,"PBI Dev")</f>
        <v>0</v>
      </c>
      <c r="H16" s="193" cm="1">
        <f t="array" ref="H16">COUNTIFS(cmsDom,"CMS",cmsMonth,$B16,cmsBlocked,"&lt;&gt;Yes*",cmsStatus,"DB Dev")</f>
        <v>0</v>
      </c>
      <c r="I16" s="193" cm="1">
        <f t="array" ref="I16">COUNTIFS(cmsDom,"CMS",cmsMonth,$B16,cmsBlocked,"&lt;&gt;Yes*",cmsStatus,"NOT STARTED")</f>
        <v>15</v>
      </c>
      <c r="J16" s="193" cm="1">
        <f t="array" ref="J16">COUNTIFS(cmsDom,"CMS",cmsMonth,$B16,cmsStatus,"RELEASED IN PROD")</f>
        <v>0</v>
      </c>
      <c r="K16" s="193" cm="1">
        <f t="array" ref="K16">COUNTIFS(cmsDom,"CMS",cmsMonth,$B16)</f>
        <v>15</v>
      </c>
      <c r="L16" s="194">
        <f>_xlfn.XLOOKUP($B16&amp;" Reports",DimRebaseline[Delivery Wave],DimRebaseline[Revised Committed Milestone],"")</f>
        <v>46387</v>
      </c>
      <c r="M16" s="234" t="str">
        <f ca="1">IF($K16=0,"",IF($J16=$K16,"Delivered",IF($L16="","No milestone in Dim Table",IF(TODAY()&gt;$L16,TEXT(TODAY()-$L16,"0")&amp;" days past milestone, "&amp;($K16-$J16)&amp;" of "&amp;$K16&amp;" not released",TEXT($L16-TODAY(),"0")&amp;" days to milestone"&amp;IF($D16&gt;0,", "&amp;$D16&amp;" blocked","")))))</f>
        <v>90 days to milestone</v>
      </c>
      <c r="N16" s="235"/>
      <c r="O16" s="236"/>
      <c r="P16" s="171"/>
      <c r="Q16" s="171"/>
      <c r="R16" s="171"/>
      <c r="S16" s="171"/>
      <c r="T16" s="171"/>
      <c r="U16" s="171"/>
      <c r="V16" s="171"/>
      <c r="W16" s="171"/>
      <c r="X16" s="171"/>
      <c r="Y16" s="171"/>
      <c r="Z16" s="171"/>
    </row>
    <row r="17" spans="1:26" ht="24" customHeight="1">
      <c r="A17" s="171"/>
      <c r="B17" s="186" t="s">
        <v>495</v>
      </c>
      <c r="C17" s="198">
        <f>SUM(C12:C16)</f>
        <v>25</v>
      </c>
      <c r="D17" s="198">
        <f>SUM(D12:D16)</f>
        <v>3</v>
      </c>
      <c r="E17" s="198">
        <f>SUM(E12:E16)</f>
        <v>9</v>
      </c>
      <c r="F17" s="198">
        <f>SUM(F12:F16)</f>
        <v>4</v>
      </c>
      <c r="G17" s="198">
        <f>SUM(G12:G16)</f>
        <v>8</v>
      </c>
      <c r="H17" s="198">
        <f>SUM(H12:H16)</f>
        <v>3</v>
      </c>
      <c r="I17" s="198">
        <f>SUM(I12:I16)</f>
        <v>20</v>
      </c>
      <c r="J17" s="198">
        <f>SUM(J12:J16)</f>
        <v>0</v>
      </c>
      <c r="K17" s="198">
        <f>SUM(K12:K16)</f>
        <v>72</v>
      </c>
      <c r="L17" s="187"/>
      <c r="M17" s="218" t="str">
        <f>IF(SUM(C17:J17)=K17,"","Counts do not add up to the report total")</f>
        <v/>
      </c>
      <c r="N17" s="219"/>
      <c r="O17" s="220"/>
      <c r="P17" s="171"/>
      <c r="Q17" s="171"/>
      <c r="R17" s="171"/>
      <c r="S17" s="171"/>
      <c r="T17" s="171"/>
      <c r="U17" s="171"/>
      <c r="V17" s="171"/>
      <c r="W17" s="171"/>
      <c r="X17" s="171"/>
      <c r="Y17" s="171"/>
      <c r="Z17" s="171"/>
    </row>
    <row r="18" spans="1:26" ht="12" customHeight="1">
      <c r="A18" s="171"/>
      <c r="B18" s="171"/>
      <c r="C18" s="171"/>
      <c r="D18" s="171"/>
      <c r="E18" s="171"/>
      <c r="F18" s="171"/>
      <c r="G18" s="171"/>
      <c r="H18" s="171"/>
      <c r="I18" s="171"/>
      <c r="J18" s="171"/>
      <c r="K18" s="171"/>
      <c r="L18" s="171"/>
      <c r="M18" s="171"/>
      <c r="N18" s="171"/>
      <c r="O18" s="171"/>
      <c r="P18" s="171"/>
      <c r="Q18" s="171"/>
      <c r="R18" s="171"/>
      <c r="S18" s="171"/>
      <c r="T18" s="171"/>
      <c r="U18" s="171"/>
      <c r="V18" s="171"/>
      <c r="W18" s="171"/>
      <c r="X18" s="171"/>
      <c r="Y18" s="171"/>
      <c r="Z18" s="171"/>
    </row>
    <row r="19" spans="1:26" ht="21.75" customHeight="1">
      <c r="A19" s="171"/>
      <c r="B19" s="183" t="s">
        <v>496</v>
      </c>
      <c r="C19" s="221" t="s">
        <v>497</v>
      </c>
      <c r="D19" s="221"/>
      <c r="E19" s="221"/>
      <c r="F19" s="221"/>
      <c r="G19" s="221"/>
      <c r="H19" s="221"/>
      <c r="I19" s="221"/>
      <c r="J19" s="221"/>
      <c r="K19" s="221"/>
      <c r="L19" s="221"/>
      <c r="M19" s="221"/>
      <c r="N19" s="221"/>
      <c r="O19" s="221"/>
      <c r="P19" s="171"/>
      <c r="Q19" s="171"/>
      <c r="R19" s="171"/>
      <c r="S19" s="171"/>
      <c r="T19" s="171"/>
      <c r="U19" s="171"/>
      <c r="V19" s="171"/>
      <c r="W19" s="171"/>
      <c r="X19" s="171"/>
      <c r="Y19" s="171"/>
      <c r="Z19" s="171"/>
    </row>
    <row r="20" spans="1:26" ht="15" customHeight="1">
      <c r="A20" s="171"/>
      <c r="B20" s="178"/>
      <c r="C20" s="176"/>
      <c r="D20" s="176"/>
      <c r="E20" s="176"/>
      <c r="F20" s="176"/>
      <c r="G20" s="176"/>
      <c r="H20" s="176"/>
      <c r="I20" s="176"/>
      <c r="J20" s="176"/>
      <c r="K20" s="176"/>
      <c r="L20" s="176"/>
      <c r="M20" s="176"/>
      <c r="N20" s="176"/>
      <c r="O20" s="180"/>
      <c r="P20" s="171"/>
      <c r="Q20" s="171"/>
      <c r="R20" s="171"/>
      <c r="S20" s="171"/>
      <c r="T20" s="171"/>
      <c r="U20" s="171"/>
      <c r="V20" s="171"/>
      <c r="W20" s="171"/>
      <c r="X20" s="171"/>
      <c r="Y20" s="171"/>
      <c r="Z20" s="171"/>
    </row>
    <row r="21" spans="1:26" ht="15" customHeight="1">
      <c r="A21" s="171"/>
      <c r="B21" s="182"/>
      <c r="C21" s="175"/>
      <c r="D21" s="175"/>
      <c r="E21" s="175"/>
      <c r="F21" s="175"/>
      <c r="G21" s="175"/>
      <c r="H21" s="175"/>
      <c r="I21" s="175"/>
      <c r="J21" s="175"/>
      <c r="K21" s="175"/>
      <c r="L21" s="175"/>
      <c r="M21" s="175"/>
      <c r="N21" s="175"/>
      <c r="O21" s="184"/>
      <c r="P21" s="171"/>
      <c r="Q21" s="171"/>
      <c r="R21" s="171"/>
      <c r="S21" s="171"/>
      <c r="T21" s="171"/>
      <c r="U21" s="171"/>
      <c r="V21" s="171"/>
      <c r="W21" s="171"/>
      <c r="X21" s="171"/>
      <c r="Y21" s="171"/>
      <c r="Z21" s="171"/>
    </row>
    <row r="22" spans="1:26" ht="15" customHeight="1">
      <c r="A22" s="171"/>
      <c r="B22" s="182"/>
      <c r="C22" s="175"/>
      <c r="D22" s="175"/>
      <c r="E22" s="175"/>
      <c r="F22" s="175"/>
      <c r="G22" s="175"/>
      <c r="H22" s="175"/>
      <c r="I22" s="175"/>
      <c r="J22" s="175"/>
      <c r="K22" s="175"/>
      <c r="L22" s="175"/>
      <c r="M22" s="175"/>
      <c r="N22" s="175"/>
      <c r="O22" s="184"/>
      <c r="P22" s="171"/>
      <c r="Q22" s="171"/>
      <c r="R22" s="171"/>
      <c r="S22" s="171"/>
      <c r="T22" s="171"/>
      <c r="U22" s="171"/>
      <c r="V22" s="171"/>
      <c r="W22" s="171"/>
      <c r="X22" s="171"/>
      <c r="Y22" s="171"/>
      <c r="Z22" s="171"/>
    </row>
    <row r="23" spans="1:26" ht="15" customHeight="1">
      <c r="A23" s="171"/>
      <c r="B23" s="182"/>
      <c r="C23" s="175"/>
      <c r="D23" s="175"/>
      <c r="E23" s="175"/>
      <c r="F23" s="175"/>
      <c r="G23" s="175"/>
      <c r="H23" s="175"/>
      <c r="I23" s="175"/>
      <c r="J23" s="175"/>
      <c r="K23" s="175"/>
      <c r="L23" s="175"/>
      <c r="M23" s="175"/>
      <c r="N23" s="175"/>
      <c r="O23" s="184"/>
      <c r="P23" s="171"/>
      <c r="Q23" s="171"/>
      <c r="R23" s="171"/>
      <c r="S23" s="171"/>
      <c r="T23" s="171"/>
      <c r="U23" s="171"/>
      <c r="V23" s="171"/>
      <c r="W23" s="171"/>
      <c r="X23" s="171"/>
      <c r="Y23" s="171"/>
      <c r="Z23" s="171"/>
    </row>
    <row r="24" spans="1:26" ht="15" customHeight="1">
      <c r="A24" s="171"/>
      <c r="B24" s="182"/>
      <c r="C24" s="175"/>
      <c r="D24" s="175"/>
      <c r="E24" s="175"/>
      <c r="F24" s="175"/>
      <c r="G24" s="175"/>
      <c r="H24" s="175"/>
      <c r="I24" s="175"/>
      <c r="J24" s="175"/>
      <c r="K24" s="175"/>
      <c r="L24" s="175"/>
      <c r="M24" s="175"/>
      <c r="N24" s="175"/>
      <c r="O24" s="184"/>
      <c r="P24" s="171"/>
      <c r="Q24" s="171"/>
      <c r="R24" s="171"/>
      <c r="S24" s="171"/>
      <c r="T24" s="171"/>
      <c r="U24" s="171"/>
      <c r="V24" s="171"/>
      <c r="W24" s="171"/>
      <c r="X24" s="171"/>
      <c r="Y24" s="171"/>
      <c r="Z24" s="171"/>
    </row>
    <row r="25" spans="1:26" ht="15" customHeight="1">
      <c r="A25" s="171"/>
      <c r="B25" s="182"/>
      <c r="C25" s="175"/>
      <c r="D25" s="175"/>
      <c r="E25" s="175"/>
      <c r="F25" s="175"/>
      <c r="G25" s="175"/>
      <c r="H25" s="175"/>
      <c r="I25" s="175"/>
      <c r="J25" s="175"/>
      <c r="K25" s="175"/>
      <c r="L25" s="175"/>
      <c r="M25" s="175"/>
      <c r="N25" s="175"/>
      <c r="O25" s="184"/>
      <c r="P25" s="171"/>
      <c r="Q25" s="171"/>
      <c r="R25" s="171"/>
      <c r="S25" s="171"/>
      <c r="T25" s="171"/>
      <c r="U25" s="171"/>
      <c r="V25" s="171"/>
      <c r="W25" s="171"/>
      <c r="X25" s="171"/>
      <c r="Y25" s="171"/>
      <c r="Z25" s="171"/>
    </row>
    <row r="26" spans="1:26" ht="15" customHeight="1">
      <c r="A26" s="171"/>
      <c r="B26" s="182"/>
      <c r="C26" s="175"/>
      <c r="D26" s="175"/>
      <c r="E26" s="175"/>
      <c r="F26" s="175"/>
      <c r="G26" s="175"/>
      <c r="H26" s="175"/>
      <c r="I26" s="175"/>
      <c r="J26" s="175"/>
      <c r="K26" s="175"/>
      <c r="L26" s="175"/>
      <c r="M26" s="175"/>
      <c r="N26" s="175"/>
      <c r="O26" s="184"/>
      <c r="P26" s="171"/>
      <c r="Q26" s="171"/>
      <c r="R26" s="171"/>
      <c r="S26" s="171"/>
      <c r="T26" s="171"/>
      <c r="U26" s="171"/>
      <c r="V26" s="171"/>
      <c r="W26" s="171"/>
      <c r="X26" s="171"/>
      <c r="Y26" s="171"/>
      <c r="Z26" s="171"/>
    </row>
    <row r="27" spans="1:26" ht="15" customHeight="1">
      <c r="A27" s="171"/>
      <c r="B27" s="182"/>
      <c r="C27" s="175"/>
      <c r="D27" s="175"/>
      <c r="E27" s="175"/>
      <c r="F27" s="175"/>
      <c r="G27" s="175"/>
      <c r="H27" s="175"/>
      <c r="I27" s="175"/>
      <c r="J27" s="175"/>
      <c r="K27" s="175"/>
      <c r="L27" s="175"/>
      <c r="M27" s="175"/>
      <c r="N27" s="175"/>
      <c r="O27" s="184"/>
      <c r="P27" s="171"/>
      <c r="Q27" s="171"/>
      <c r="R27" s="171"/>
      <c r="S27" s="171"/>
      <c r="T27" s="171"/>
      <c r="U27" s="171"/>
      <c r="V27" s="171"/>
      <c r="W27" s="171"/>
      <c r="X27" s="171"/>
      <c r="Y27" s="171"/>
      <c r="Z27" s="171"/>
    </row>
    <row r="28" spans="1:26" ht="15" customHeight="1">
      <c r="A28" s="171"/>
      <c r="B28" s="182"/>
      <c r="C28" s="175"/>
      <c r="D28" s="175"/>
      <c r="E28" s="175"/>
      <c r="F28" s="175"/>
      <c r="G28" s="175"/>
      <c r="H28" s="175"/>
      <c r="I28" s="175"/>
      <c r="J28" s="175"/>
      <c r="K28" s="175"/>
      <c r="L28" s="175"/>
      <c r="M28" s="175"/>
      <c r="N28" s="175"/>
      <c r="O28" s="184"/>
      <c r="P28" s="171"/>
      <c r="Q28" s="171"/>
      <c r="R28" s="171"/>
      <c r="S28" s="171"/>
      <c r="T28" s="171"/>
      <c r="U28" s="171"/>
      <c r="V28" s="171"/>
      <c r="W28" s="171"/>
      <c r="X28" s="171"/>
      <c r="Y28" s="171"/>
      <c r="Z28" s="171"/>
    </row>
    <row r="29" spans="1:26" ht="15" customHeight="1">
      <c r="A29" s="171"/>
      <c r="B29" s="182"/>
      <c r="C29" s="175"/>
      <c r="D29" s="175"/>
      <c r="E29" s="175"/>
      <c r="F29" s="175"/>
      <c r="G29" s="175"/>
      <c r="H29" s="175"/>
      <c r="I29" s="175"/>
      <c r="J29" s="175"/>
      <c r="K29" s="175"/>
      <c r="L29" s="175"/>
      <c r="M29" s="175"/>
      <c r="N29" s="175"/>
      <c r="O29" s="184"/>
      <c r="P29" s="171"/>
      <c r="Q29" s="171"/>
      <c r="R29" s="171"/>
      <c r="S29" s="171"/>
      <c r="T29" s="171"/>
      <c r="U29" s="171"/>
      <c r="V29" s="171"/>
      <c r="W29" s="171"/>
      <c r="X29" s="171"/>
      <c r="Y29" s="171"/>
      <c r="Z29" s="171"/>
    </row>
    <row r="30" spans="1:26" ht="15" customHeight="1">
      <c r="A30" s="171"/>
      <c r="B30" s="182"/>
      <c r="C30" s="175"/>
      <c r="D30" s="175"/>
      <c r="E30" s="175"/>
      <c r="F30" s="175"/>
      <c r="G30" s="175"/>
      <c r="H30" s="175"/>
      <c r="I30" s="175"/>
      <c r="J30" s="175"/>
      <c r="K30" s="175"/>
      <c r="L30" s="175"/>
      <c r="M30" s="175"/>
      <c r="N30" s="175"/>
      <c r="O30" s="184"/>
      <c r="P30" s="171"/>
      <c r="Q30" s="171"/>
      <c r="R30" s="171"/>
      <c r="S30" s="171"/>
      <c r="T30" s="171"/>
      <c r="U30" s="171"/>
      <c r="V30" s="171"/>
      <c r="W30" s="171"/>
      <c r="X30" s="171"/>
      <c r="Y30" s="171"/>
      <c r="Z30" s="171"/>
    </row>
    <row r="31" spans="1:26" ht="15" customHeight="1">
      <c r="A31" s="171"/>
      <c r="B31" s="182"/>
      <c r="C31" s="175"/>
      <c r="D31" s="175"/>
      <c r="E31" s="175"/>
      <c r="F31" s="175"/>
      <c r="G31" s="175"/>
      <c r="H31" s="175"/>
      <c r="I31" s="175"/>
      <c r="J31" s="175"/>
      <c r="K31" s="175"/>
      <c r="L31" s="175"/>
      <c r="M31" s="175"/>
      <c r="N31" s="175"/>
      <c r="O31" s="184"/>
      <c r="P31" s="171"/>
      <c r="Q31" s="171"/>
      <c r="R31" s="171"/>
      <c r="S31" s="171"/>
      <c r="T31" s="171"/>
      <c r="U31" s="171"/>
      <c r="V31" s="171"/>
      <c r="W31" s="171"/>
      <c r="X31" s="171"/>
      <c r="Y31" s="171"/>
      <c r="Z31" s="171"/>
    </row>
    <row r="32" spans="1:26" ht="15" customHeight="1">
      <c r="A32" s="171"/>
      <c r="B32" s="182"/>
      <c r="C32" s="175"/>
      <c r="D32" s="175"/>
      <c r="E32" s="175"/>
      <c r="F32" s="175"/>
      <c r="G32" s="175"/>
      <c r="H32" s="175"/>
      <c r="I32" s="175"/>
      <c r="J32" s="175"/>
      <c r="K32" s="175"/>
      <c r="L32" s="175"/>
      <c r="M32" s="175"/>
      <c r="N32" s="175"/>
      <c r="O32" s="184"/>
      <c r="P32" s="171"/>
      <c r="Q32" s="171"/>
      <c r="R32" s="171"/>
      <c r="S32" s="171"/>
      <c r="T32" s="171"/>
      <c r="U32" s="171"/>
      <c r="V32" s="171"/>
      <c r="W32" s="171"/>
      <c r="X32" s="171"/>
      <c r="Y32" s="171"/>
      <c r="Z32" s="171"/>
    </row>
    <row r="33" spans="1:26" ht="15" customHeight="1">
      <c r="A33" s="171"/>
      <c r="B33" s="179"/>
      <c r="C33" s="177"/>
      <c r="D33" s="177"/>
      <c r="E33" s="177"/>
      <c r="F33" s="177"/>
      <c r="G33" s="177"/>
      <c r="H33" s="177"/>
      <c r="I33" s="177"/>
      <c r="J33" s="177"/>
      <c r="K33" s="177"/>
      <c r="L33" s="177"/>
      <c r="M33" s="177"/>
      <c r="N33" s="177"/>
      <c r="O33" s="181"/>
      <c r="P33" s="171"/>
      <c r="Q33" s="171"/>
      <c r="R33" s="171"/>
      <c r="S33" s="171"/>
      <c r="T33" s="171"/>
      <c r="U33" s="171"/>
      <c r="V33" s="171"/>
      <c r="W33" s="171"/>
      <c r="X33" s="171"/>
      <c r="Y33" s="171"/>
      <c r="Z33" s="171"/>
    </row>
    <row r="34" spans="1:26" ht="12" customHeight="1">
      <c r="A34" s="171"/>
      <c r="B34" s="171"/>
      <c r="C34" s="171"/>
      <c r="D34" s="171"/>
      <c r="E34" s="171"/>
      <c r="F34" s="171"/>
      <c r="G34" s="171"/>
      <c r="H34" s="171"/>
      <c r="I34" s="171"/>
      <c r="J34" s="171"/>
      <c r="K34" s="171"/>
      <c r="L34" s="171"/>
      <c r="M34" s="171"/>
      <c r="N34" s="171"/>
      <c r="O34" s="171"/>
      <c r="P34" s="171"/>
      <c r="Q34" s="171"/>
      <c r="R34" s="171"/>
      <c r="S34" s="171"/>
      <c r="T34" s="171"/>
      <c r="U34" s="171"/>
      <c r="V34" s="171"/>
      <c r="W34" s="171"/>
      <c r="X34" s="171"/>
      <c r="Y34" s="171"/>
      <c r="Z34" s="171"/>
    </row>
    <row r="35" spans="1:26" ht="21.75" customHeight="1">
      <c r="A35" s="171"/>
      <c r="B35" s="183" t="str" cm="1">
        <f t="array" ref="B35">"Status column behind the dates ("&amp;SUMPRODUCT((cmsDom="CMS")*(cmsCheck&lt;&gt;""))&amp;")"</f>
        <v>Status column behind the dates (13)</v>
      </c>
      <c r="C35" s="221" t="s">
        <v>498</v>
      </c>
      <c r="D35" s="221"/>
      <c r="E35" s="221"/>
      <c r="F35" s="221"/>
      <c r="G35" s="221"/>
      <c r="H35" s="221"/>
      <c r="I35" s="221"/>
      <c r="J35" s="221"/>
      <c r="K35" s="221"/>
      <c r="L35" s="221"/>
      <c r="M35" s="221"/>
      <c r="N35" s="221"/>
      <c r="O35" s="221"/>
      <c r="P35" s="171"/>
      <c r="Q35" s="171"/>
      <c r="R35" s="171"/>
      <c r="S35" s="171"/>
      <c r="T35" s="171"/>
      <c r="U35" s="171"/>
      <c r="V35" s="171"/>
      <c r="W35" s="171"/>
      <c r="X35" s="171"/>
      <c r="Y35" s="171"/>
      <c r="Z35" s="171"/>
    </row>
    <row r="36" spans="1:26" ht="21.75" customHeight="1">
      <c r="A36" s="171"/>
      <c r="B36" s="201" t="s">
        <v>499</v>
      </c>
      <c r="C36" s="199" t="s">
        <v>488</v>
      </c>
      <c r="D36" s="199" t="s">
        <v>500</v>
      </c>
      <c r="E36" s="199" t="s">
        <v>430</v>
      </c>
      <c r="F36" s="199" t="s">
        <v>501</v>
      </c>
      <c r="G36" s="199"/>
      <c r="H36" s="199"/>
      <c r="I36" s="199"/>
      <c r="J36" s="199"/>
      <c r="K36" s="199"/>
      <c r="L36" s="199"/>
      <c r="M36" s="199"/>
      <c r="N36" s="199"/>
      <c r="O36" s="200"/>
      <c r="P36" s="171"/>
      <c r="Q36" s="171"/>
      <c r="R36" s="171"/>
      <c r="S36" s="171"/>
      <c r="T36" s="171"/>
      <c r="U36" s="171"/>
      <c r="V36" s="171"/>
      <c r="W36" s="171"/>
      <c r="X36" s="171"/>
      <c r="Y36" s="171"/>
      <c r="Z36" s="171"/>
    </row>
    <row r="37" spans="1:26" ht="18" customHeight="1">
      <c r="A37" s="171"/>
      <c r="B37" s="206"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RPT_02_Turn On for Non-Payment</v>
      </c>
      <c r="C37" s="202" t="str">
        <v>August</v>
      </c>
      <c r="D37" s="202" t="str">
        <v>DPO Approval</v>
      </c>
      <c r="E37" s="202" t="str">
        <v>Open rework row - mark Blocked or close it</v>
      </c>
      <c r="F37" s="202" t="str">
        <v>Bryan Patterson, Reginald Durham, Shaunna Peters, Simone Brooks, Bill Contreras</v>
      </c>
      <c r="G37" s="202"/>
      <c r="H37" s="202"/>
      <c r="I37" s="202"/>
      <c r="J37" s="202"/>
      <c r="K37" s="202"/>
      <c r="L37" s="202"/>
      <c r="M37" s="202"/>
      <c r="N37" s="202"/>
      <c r="O37" s="203"/>
      <c r="P37" s="171"/>
      <c r="Q37" s="171"/>
      <c r="R37" s="171"/>
      <c r="S37" s="171"/>
      <c r="T37" s="171"/>
      <c r="U37" s="171"/>
      <c r="V37" s="171"/>
      <c r="W37" s="171"/>
      <c r="X37" s="171"/>
      <c r="Y37" s="171"/>
      <c r="Z37" s="171"/>
    </row>
    <row r="38" spans="1:26" ht="18" customHeight="1">
      <c r="A38" s="171"/>
      <c r="B38" s="206" t="str">
        <v>RPT_02_Emergency Order Type</v>
      </c>
      <c r="C38" s="202" t="str">
        <v>September</v>
      </c>
      <c r="D38" s="202" t="str">
        <v>PBI Dev</v>
      </c>
      <c r="E38" s="202" t="str">
        <v>Blocked - log it on Rework Log</v>
      </c>
      <c r="F38" s="202" t="str">
        <v>Shraddha</v>
      </c>
      <c r="G38" s="202"/>
      <c r="H38" s="202"/>
      <c r="I38" s="202"/>
      <c r="J38" s="202"/>
      <c r="K38" s="202"/>
      <c r="L38" s="202"/>
      <c r="M38" s="202"/>
      <c r="N38" s="202"/>
      <c r="O38" s="203"/>
      <c r="P38" s="171"/>
      <c r="Q38" s="171"/>
      <c r="R38" s="171"/>
      <c r="S38" s="171"/>
      <c r="T38" s="171"/>
      <c r="U38" s="171"/>
      <c r="V38" s="171"/>
      <c r="W38" s="171"/>
      <c r="X38" s="171"/>
      <c r="Y38" s="171"/>
      <c r="Z38" s="171"/>
    </row>
    <row r="39" spans="1:26" ht="18" customHeight="1">
      <c r="A39" s="171"/>
      <c r="B39" s="206" t="str">
        <v>RPT_02_Hazardous Above Ground Leak</v>
      </c>
      <c r="C39" s="202" t="str">
        <v>September</v>
      </c>
      <c r="D39" s="202" t="str">
        <v>DB Dev</v>
      </c>
      <c r="E39" s="202" t="str">
        <v>Open rework row - mark Blocked or close it</v>
      </c>
      <c r="F39" s="202" t="str">
        <v>Fetwi</v>
      </c>
      <c r="G39" s="202"/>
      <c r="H39" s="202"/>
      <c r="I39" s="202"/>
      <c r="J39" s="202"/>
      <c r="K39" s="202"/>
      <c r="L39" s="202"/>
      <c r="M39" s="202"/>
      <c r="N39" s="202"/>
      <c r="O39" s="203"/>
      <c r="P39" s="171"/>
      <c r="Q39" s="171"/>
      <c r="R39" s="171"/>
      <c r="S39" s="171"/>
      <c r="T39" s="171"/>
      <c r="U39" s="171"/>
      <c r="V39" s="171"/>
      <c r="W39" s="171"/>
      <c r="X39" s="171"/>
      <c r="Y39" s="171"/>
      <c r="Z39" s="171"/>
    </row>
    <row r="40" spans="1:26" ht="18" customHeight="1">
      <c r="A40" s="171"/>
      <c r="B40" s="206" t="str">
        <v>RPT_02_First and Last Job</v>
      </c>
      <c r="C40" s="202" t="str">
        <v>September</v>
      </c>
      <c r="D40" s="202" t="str">
        <v>PBI Dev</v>
      </c>
      <c r="E40" s="202" t="str">
        <v>Blocked - log it on Rework Log</v>
      </c>
      <c r="F40" s="202" t="str">
        <v>Sarath</v>
      </c>
      <c r="G40" s="202"/>
      <c r="H40" s="202"/>
      <c r="I40" s="202"/>
      <c r="J40" s="202"/>
      <c r="K40" s="202"/>
      <c r="L40" s="202"/>
      <c r="M40" s="202"/>
      <c r="N40" s="202"/>
      <c r="O40" s="203"/>
      <c r="P40" s="171"/>
      <c r="Q40" s="171"/>
      <c r="R40" s="171"/>
      <c r="S40" s="171"/>
      <c r="T40" s="171"/>
      <c r="U40" s="171"/>
      <c r="V40" s="171"/>
      <c r="W40" s="171"/>
      <c r="X40" s="171"/>
      <c r="Y40" s="171"/>
      <c r="Z40" s="171"/>
    </row>
    <row r="41" spans="1:26" ht="18" customHeight="1">
      <c r="A41" s="171"/>
      <c r="B41" s="206" t="str">
        <v>RPT_04_Leak Recheck Times</v>
      </c>
      <c r="C41" s="202" t="str">
        <v>September</v>
      </c>
      <c r="D41" s="202" t="str">
        <v>PBI Dev</v>
      </c>
      <c r="E41" s="202" t="str">
        <v>Move status to QA</v>
      </c>
      <c r="F41" s="202" t="str">
        <v>Shraddha</v>
      </c>
      <c r="G41" s="202"/>
      <c r="H41" s="202"/>
      <c r="I41" s="202"/>
      <c r="J41" s="202"/>
      <c r="K41" s="202"/>
      <c r="L41" s="202"/>
      <c r="M41" s="202"/>
      <c r="N41" s="202"/>
      <c r="O41" s="203"/>
      <c r="P41" s="171"/>
      <c r="Q41" s="171"/>
      <c r="R41" s="171"/>
      <c r="S41" s="171"/>
      <c r="T41" s="171"/>
      <c r="U41" s="171"/>
      <c r="V41" s="171"/>
      <c r="W41" s="171"/>
      <c r="X41" s="171"/>
      <c r="Y41" s="171"/>
      <c r="Z41" s="171"/>
    </row>
    <row r="42" spans="1:26" ht="18" customHeight="1">
      <c r="A42" s="171"/>
      <c r="B42" s="206" t="str">
        <v>RPT_02_Emergency Time Adjustments Log</v>
      </c>
      <c r="C42" s="202" t="str">
        <v>October</v>
      </c>
      <c r="D42" s="202" t="str">
        <v>PBI Dev</v>
      </c>
      <c r="E42" s="202" t="str">
        <v>Blocked - log it on Rework Log</v>
      </c>
      <c r="F42" s="202" t="str">
        <v>Navya</v>
      </c>
      <c r="G42" s="202"/>
      <c r="H42" s="202"/>
      <c r="I42" s="202"/>
      <c r="J42" s="202"/>
      <c r="K42" s="202"/>
      <c r="L42" s="202"/>
      <c r="M42" s="202"/>
      <c r="N42" s="202"/>
      <c r="O42" s="203"/>
      <c r="P42" s="171"/>
      <c r="Q42" s="171"/>
      <c r="R42" s="171"/>
      <c r="S42" s="171"/>
      <c r="T42" s="171"/>
      <c r="U42" s="171"/>
      <c r="V42" s="171"/>
      <c r="W42" s="171"/>
      <c r="X42" s="171"/>
      <c r="Y42" s="171"/>
      <c r="Z42" s="171"/>
    </row>
    <row r="43" spans="1:26" ht="18" customHeight="1">
      <c r="A43" s="171"/>
      <c r="B43" s="206" t="str">
        <v>RPT_02_Service Appointment Life Cycle</v>
      </c>
      <c r="C43" s="202" t="str">
        <v>October</v>
      </c>
      <c r="D43" s="202" t="str">
        <v>DB Dev</v>
      </c>
      <c r="E43" s="202" t="str">
        <v>Move status to PBI Dev</v>
      </c>
      <c r="F43" s="202" t="str">
        <v>Nick</v>
      </c>
      <c r="G43" s="202"/>
      <c r="H43" s="202"/>
      <c r="I43" s="202"/>
      <c r="J43" s="202"/>
      <c r="K43" s="202"/>
      <c r="L43" s="202"/>
      <c r="M43" s="202"/>
      <c r="N43" s="202"/>
      <c r="O43" s="203"/>
      <c r="P43" s="171"/>
      <c r="Q43" s="171"/>
      <c r="R43" s="171"/>
      <c r="S43" s="171"/>
      <c r="T43" s="171"/>
      <c r="U43" s="171"/>
      <c r="V43" s="171"/>
      <c r="W43" s="171"/>
      <c r="X43" s="171"/>
      <c r="Y43" s="171"/>
      <c r="Z43" s="171"/>
    </row>
    <row r="44" spans="1:26" ht="18" customHeight="1">
      <c r="A44" s="171"/>
      <c r="B44" s="206" t="str">
        <v>RPT_02_PSC Inactive Account</v>
      </c>
      <c r="C44" s="202" t="str">
        <v>October</v>
      </c>
      <c r="D44" s="202" t="str">
        <v>PBI Dev</v>
      </c>
      <c r="E44" s="202" t="str">
        <v>Move status to QA</v>
      </c>
      <c r="F44" s="202" t="str">
        <v>Shraddha</v>
      </c>
      <c r="G44" s="202"/>
      <c r="H44" s="202"/>
      <c r="I44" s="202"/>
      <c r="J44" s="202"/>
      <c r="K44" s="202"/>
      <c r="L44" s="202"/>
      <c r="M44" s="202"/>
      <c r="N44" s="202"/>
      <c r="O44" s="203"/>
      <c r="P44" s="171"/>
      <c r="Q44" s="171"/>
      <c r="R44" s="171"/>
      <c r="S44" s="171"/>
      <c r="T44" s="171"/>
      <c r="U44" s="171"/>
      <c r="V44" s="171"/>
      <c r="W44" s="171"/>
      <c r="X44" s="171"/>
      <c r="Y44" s="171"/>
      <c r="Z44" s="171"/>
    </row>
    <row r="45" spans="1:26" ht="18" customHeight="1">
      <c r="A45" s="171"/>
      <c r="B45" s="206" t="str">
        <v>RPT_02_Fixed Factor Mismatch</v>
      </c>
      <c r="C45" s="202" t="str">
        <v>November</v>
      </c>
      <c r="D45" s="202" t="str">
        <v>NOT STARTED</v>
      </c>
      <c r="E45" s="202" t="str">
        <v>Move status to PBI Dev</v>
      </c>
      <c r="F45" s="202" t="str">
        <v>Siddu</v>
      </c>
      <c r="G45" s="202"/>
      <c r="H45" s="202"/>
      <c r="I45" s="202"/>
      <c r="J45" s="202"/>
      <c r="K45" s="202"/>
      <c r="L45" s="202"/>
      <c r="M45" s="202"/>
      <c r="N45" s="202"/>
      <c r="O45" s="203"/>
      <c r="P45" s="171"/>
      <c r="Q45" s="171"/>
      <c r="R45" s="171"/>
      <c r="S45" s="171"/>
      <c r="T45" s="171"/>
      <c r="U45" s="171"/>
      <c r="V45" s="171"/>
      <c r="W45" s="171"/>
      <c r="X45" s="171"/>
      <c r="Y45" s="171"/>
      <c r="Z45" s="171"/>
    </row>
    <row r="46" spans="1:26" ht="18" customHeight="1">
      <c r="A46" s="171"/>
      <c r="B46" s="207" t="str">
        <v>RPT_02_Install Meter Orders</v>
      </c>
      <c r="C46" s="204" t="str">
        <v>November</v>
      </c>
      <c r="D46" s="204" t="str">
        <v>NOT STARTED</v>
      </c>
      <c r="E46" s="204" t="str">
        <v>Move status to PBI Dev</v>
      </c>
      <c r="F46" s="204" t="str">
        <v>Michael</v>
      </c>
      <c r="G46" s="204"/>
      <c r="H46" s="204"/>
      <c r="I46" s="204"/>
      <c r="J46" s="204"/>
      <c r="K46" s="204"/>
      <c r="L46" s="204"/>
      <c r="M46" s="204"/>
      <c r="N46" s="204"/>
      <c r="O46" s="205"/>
      <c r="P46" s="171"/>
      <c r="Q46" s="171"/>
      <c r="R46" s="171"/>
      <c r="S46" s="171"/>
      <c r="T46" s="171"/>
      <c r="U46" s="171"/>
      <c r="V46" s="171"/>
      <c r="W46" s="171"/>
      <c r="X46" s="171"/>
      <c r="Y46" s="171"/>
      <c r="Z46" s="171"/>
    </row>
    <row r="47" spans="1:26" ht="12" customHeight="1">
      <c r="A47" s="171"/>
      <c r="B47" s="171"/>
      <c r="C47" s="171"/>
      <c r="D47" s="171"/>
      <c r="E47" s="171"/>
      <c r="F47" s="171"/>
      <c r="G47" s="171"/>
      <c r="H47" s="171"/>
      <c r="I47" s="171"/>
      <c r="J47" s="171"/>
      <c r="K47" s="171"/>
      <c r="L47" s="171"/>
      <c r="M47" s="171"/>
      <c r="N47" s="171"/>
      <c r="O47" s="171"/>
      <c r="P47" s="171"/>
      <c r="Q47" s="171"/>
      <c r="R47" s="171"/>
      <c r="S47" s="171"/>
      <c r="T47" s="171"/>
      <c r="U47" s="171"/>
      <c r="V47" s="171"/>
      <c r="W47" s="171"/>
      <c r="X47" s="171"/>
      <c r="Y47" s="171"/>
      <c r="Z47" s="171"/>
    </row>
    <row r="48" spans="1:26" ht="21.75" customHeight="1">
      <c r="A48" s="171"/>
      <c r="B48" s="183" t="s">
        <v>492</v>
      </c>
      <c r="C48" s="221"/>
      <c r="D48" s="221"/>
      <c r="E48" s="221"/>
      <c r="F48" s="221"/>
      <c r="G48" s="221"/>
      <c r="H48" s="221"/>
      <c r="I48" s="221"/>
      <c r="J48" s="221"/>
      <c r="K48" s="221"/>
      <c r="L48" s="221"/>
      <c r="M48" s="221"/>
      <c r="N48" s="221"/>
      <c r="O48" s="221"/>
      <c r="P48" s="171"/>
      <c r="Q48" s="171"/>
      <c r="R48" s="171"/>
      <c r="S48" s="171"/>
      <c r="T48" s="171"/>
      <c r="U48" s="171"/>
      <c r="V48" s="171"/>
      <c r="W48" s="171"/>
      <c r="X48" s="171"/>
      <c r="Y48" s="171"/>
      <c r="Z48" s="171"/>
    </row>
    <row r="49" spans="1:26" ht="15.75" customHeight="1">
      <c r="A49" s="171"/>
      <c r="B49" s="222"/>
      <c r="C49" s="224" t="s">
        <v>488</v>
      </c>
      <c r="D49" s="224"/>
      <c r="E49" s="224" t="s">
        <v>430</v>
      </c>
      <c r="F49" s="224"/>
      <c r="G49" s="224" t="s">
        <v>440</v>
      </c>
      <c r="H49" s="224"/>
      <c r="I49" s="176"/>
      <c r="J49" s="176"/>
      <c r="K49" s="176"/>
      <c r="L49" s="176"/>
      <c r="M49" s="176"/>
      <c r="N49" s="176"/>
      <c r="O49" s="180"/>
      <c r="P49" s="171"/>
      <c r="Q49" s="171"/>
      <c r="R49" s="171"/>
      <c r="S49" s="171"/>
      <c r="T49" s="171"/>
      <c r="U49" s="171"/>
      <c r="V49" s="171"/>
      <c r="W49" s="171"/>
      <c r="X49" s="171"/>
      <c r="Y49" s="171"/>
      <c r="Z49" s="171"/>
    </row>
    <row r="50" spans="1:26" ht="26.25" customHeight="1">
      <c r="A50" s="171"/>
      <c r="B50" s="223"/>
      <c r="C50" s="225" t="s">
        <v>502</v>
      </c>
      <c r="D50" s="226"/>
      <c r="E50" s="225" t="s">
        <v>502</v>
      </c>
      <c r="F50" s="226"/>
      <c r="G50" s="225" t="s">
        <v>502</v>
      </c>
      <c r="H50" s="227"/>
      <c r="I50" s="228" t="str">
        <f>IF(ISTEXT(B53),"No reports match",IF(ROWS(_xlfn.ANCHORARRAY(B53))=1,"1 report","" &amp; ROWS(_xlfn.ANCHORARRAY(B53)) &amp; " reports"))</f>
        <v>No reports match</v>
      </c>
      <c r="J50" s="229"/>
      <c r="K50" s="229"/>
      <c r="L50" s="229"/>
      <c r="M50" s="229"/>
      <c r="N50" s="229"/>
      <c r="O50" s="230"/>
      <c r="P50" s="171"/>
      <c r="Q50" s="171"/>
      <c r="R50" s="171"/>
      <c r="S50" s="171"/>
      <c r="T50" s="171"/>
      <c r="U50" s="171"/>
      <c r="V50" s="171"/>
      <c r="W50" s="171"/>
      <c r="X50" s="171"/>
      <c r="Y50" s="171"/>
      <c r="Z50" s="171"/>
    </row>
    <row r="51" spans="1:26" ht="8.25" customHeight="1">
      <c r="A51" s="171"/>
      <c r="B51" s="171"/>
      <c r="C51" s="171"/>
      <c r="D51" s="171"/>
      <c r="E51" s="171"/>
      <c r="F51" s="171"/>
      <c r="G51" s="171"/>
      <c r="H51" s="171"/>
      <c r="I51" s="171"/>
      <c r="J51" s="171"/>
      <c r="K51" s="171"/>
      <c r="L51" s="171"/>
      <c r="M51" s="171"/>
      <c r="N51" s="171"/>
      <c r="O51" s="171"/>
      <c r="P51" s="171"/>
      <c r="Q51" s="171"/>
      <c r="R51" s="171"/>
      <c r="S51" s="171"/>
      <c r="T51" s="171"/>
      <c r="U51" s="171"/>
      <c r="V51" s="171"/>
      <c r="W51" s="171"/>
      <c r="X51" s="171"/>
      <c r="Y51" s="171"/>
      <c r="Z51" s="171"/>
    </row>
    <row r="52" spans="1:26" ht="30" customHeight="1">
      <c r="A52" s="171"/>
      <c r="B52" s="209" t="s">
        <v>499</v>
      </c>
      <c r="C52" s="208" t="s">
        <v>488</v>
      </c>
      <c r="D52" s="208" t="s">
        <v>500</v>
      </c>
      <c r="E52" s="208" t="s">
        <v>35</v>
      </c>
      <c r="F52" s="208" t="s">
        <v>503</v>
      </c>
      <c r="G52" s="208" t="s">
        <v>504</v>
      </c>
      <c r="H52" s="208" t="s">
        <v>505</v>
      </c>
      <c r="I52" s="208" t="s">
        <v>506</v>
      </c>
      <c r="J52" s="210" t="s">
        <v>507</v>
      </c>
      <c r="K52" s="210" t="s">
        <v>508</v>
      </c>
      <c r="L52" s="210" t="s">
        <v>509</v>
      </c>
      <c r="M52" s="210" t="s">
        <v>510</v>
      </c>
      <c r="N52" s="210" t="s">
        <v>511</v>
      </c>
      <c r="O52" s="208" t="s">
        <v>512</v>
      </c>
      <c r="P52" s="171"/>
      <c r="Q52" s="171"/>
      <c r="R52" s="171"/>
      <c r="S52" s="171"/>
      <c r="T52" s="171"/>
      <c r="U52" s="171"/>
      <c r="V52" s="171"/>
      <c r="W52" s="171"/>
      <c r="X52" s="171"/>
      <c r="Y52" s="171"/>
      <c r="Z52" s="171"/>
    </row>
    <row r="53" spans="1:26" ht="18" customHeight="1">
      <c r="A53" s="171"/>
      <c r="B53" s="212"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202" t="str">
        <v>July</v>
      </c>
      <c r="D53" s="202" t="str">
        <v>Ready for Release in Prod</v>
      </c>
      <c r="E53" s="202" t="str">
        <v>No</v>
      </c>
      <c r="F53" s="202" t="str">
        <v>Rupa</v>
      </c>
      <c r="G53" s="202" t="str">
        <v>Navya</v>
      </c>
      <c r="H53" s="202" t="str">
        <v>Kushal</v>
      </c>
      <c r="I53" s="202" t="str">
        <v>Jeanne Waldron, Anthony Massimino</v>
      </c>
      <c r="J53" s="213">
        <v>46245</v>
      </c>
      <c r="K53" s="213">
        <v>46245</v>
      </c>
      <c r="L53" s="213">
        <v>46252</v>
      </c>
      <c r="M53" s="213">
        <v>46273</v>
      </c>
      <c r="N53" s="214">
        <v>1</v>
      </c>
      <c r="O53" s="202" t="str">
        <v/>
      </c>
      <c r="P53" s="171"/>
      <c r="Q53" s="171"/>
      <c r="R53" s="171"/>
      <c r="S53" s="171"/>
      <c r="T53" s="171"/>
      <c r="U53" s="171"/>
      <c r="V53" s="171"/>
      <c r="W53" s="171"/>
      <c r="X53" s="171"/>
      <c r="Y53" s="171"/>
      <c r="Z53" s="171"/>
    </row>
    <row r="54" spans="1:26" ht="18" customHeight="1">
      <c r="A54" s="171"/>
      <c r="B54" s="212" t="str">
        <v>RPT_02_Warning Tag HEFPA</v>
      </c>
      <c r="C54" s="202" t="str">
        <v>July</v>
      </c>
      <c r="D54" s="202" t="str">
        <v>Ready for Release in Prod</v>
      </c>
      <c r="E54" s="202" t="str">
        <v>No</v>
      </c>
      <c r="F54" s="202" t="str">
        <v>Sree</v>
      </c>
      <c r="G54" s="202" t="str">
        <v>Shraddha</v>
      </c>
      <c r="H54" s="202" t="str">
        <v>Kushal</v>
      </c>
      <c r="I54" s="202" t="str">
        <v>Jeanne Waldron, Anthony Massimino</v>
      </c>
      <c r="J54" s="213">
        <v>46255</v>
      </c>
      <c r="K54" s="213">
        <v>46246</v>
      </c>
      <c r="L54" s="213">
        <v>46255</v>
      </c>
      <c r="M54" s="213">
        <v>46273</v>
      </c>
      <c r="N54" s="214">
        <v>3</v>
      </c>
      <c r="O54" s="202" t="str">
        <v/>
      </c>
      <c r="P54" s="171"/>
      <c r="Q54" s="171"/>
      <c r="R54" s="171"/>
      <c r="S54" s="171"/>
      <c r="T54" s="171"/>
      <c r="U54" s="171"/>
      <c r="V54" s="171"/>
      <c r="W54" s="171"/>
      <c r="X54" s="171"/>
      <c r="Y54" s="171"/>
      <c r="Z54" s="171"/>
    </row>
    <row r="55" spans="1:26" ht="18" customHeight="1">
      <c r="A55" s="171"/>
      <c r="B55" s="212" t="str">
        <v>RPT_02_Warning tag Printout</v>
      </c>
      <c r="C55" s="202" t="str">
        <v>July</v>
      </c>
      <c r="D55" s="202" t="str">
        <v>Ready for Release in Prod</v>
      </c>
      <c r="E55" s="202" t="str">
        <v>No</v>
      </c>
      <c r="F55" s="202" t="str">
        <v>Sree</v>
      </c>
      <c r="G55" s="202" t="str">
        <v>Shraddha</v>
      </c>
      <c r="H55" s="202" t="str">
        <v>Kushal</v>
      </c>
      <c r="I55" s="202" t="str">
        <v>Jeanne Waldron, Anthony Massimino</v>
      </c>
      <c r="J55" s="213">
        <v>46246</v>
      </c>
      <c r="K55" s="213">
        <v>46251</v>
      </c>
      <c r="L55" s="213">
        <v>46258</v>
      </c>
      <c r="M55" s="213">
        <v>46273</v>
      </c>
      <c r="N55" s="214">
        <v>1</v>
      </c>
      <c r="O55" s="202" t="str">
        <v/>
      </c>
      <c r="P55" s="171"/>
      <c r="Q55" s="171"/>
      <c r="R55" s="171"/>
      <c r="S55" s="171"/>
      <c r="T55" s="171"/>
      <c r="U55" s="171"/>
      <c r="V55" s="171"/>
      <c r="W55" s="171"/>
      <c r="X55" s="171"/>
      <c r="Y55" s="171"/>
      <c r="Z55" s="171"/>
    </row>
    <row r="56" spans="1:26" ht="18" customHeight="1">
      <c r="A56" s="171"/>
      <c r="B56" s="212" t="str">
        <v>RPT_02_Corrosion</v>
      </c>
      <c r="C56" s="202" t="str">
        <v>July</v>
      </c>
      <c r="D56" s="202" t="str">
        <v>Ready for Release in Prod</v>
      </c>
      <c r="E56" s="202" t="str">
        <v>No</v>
      </c>
      <c r="F56" s="202" t="str">
        <v>Siva</v>
      </c>
      <c r="G56" s="202" t="str">
        <v>Sarath</v>
      </c>
      <c r="H56" s="202" t="str">
        <v>Preety</v>
      </c>
      <c r="I56" s="202" t="str">
        <v>Jeanne Waldron, Anthony Massimino</v>
      </c>
      <c r="J56" s="213">
        <v>46266</v>
      </c>
      <c r="K56" s="213">
        <v>46253</v>
      </c>
      <c r="L56" s="213">
        <v>46269</v>
      </c>
      <c r="M56" s="213">
        <v>46273</v>
      </c>
      <c r="N56" s="214">
        <v>2</v>
      </c>
      <c r="O56" s="202" t="str">
        <v/>
      </c>
      <c r="P56" s="171"/>
      <c r="Q56" s="171"/>
      <c r="R56" s="171"/>
      <c r="S56" s="171"/>
      <c r="T56" s="171"/>
      <c r="U56" s="171"/>
      <c r="V56" s="171"/>
      <c r="W56" s="171"/>
      <c r="X56" s="171"/>
      <c r="Y56" s="171"/>
      <c r="Z56" s="171"/>
    </row>
    <row r="57" spans="1:26" ht="18" customHeight="1">
      <c r="A57" s="171"/>
      <c r="B57" s="212" t="str">
        <v>RPT_02_House Pipe Test Comment Control</v>
      </c>
      <c r="C57" s="202" t="str">
        <v>July</v>
      </c>
      <c r="D57" s="202" t="str">
        <v>Ready for Release in Prod</v>
      </c>
      <c r="E57" s="202" t="str">
        <v>No</v>
      </c>
      <c r="F57" s="202" t="str">
        <v>Geetha</v>
      </c>
      <c r="G57" s="202" t="str">
        <v>Shraddha</v>
      </c>
      <c r="H57" s="202" t="str">
        <v>Preety</v>
      </c>
      <c r="I57" s="202" t="str">
        <v>Jeanne Waldron, Anthony Massimino</v>
      </c>
      <c r="J57" s="213">
        <v>46251</v>
      </c>
      <c r="K57" s="213">
        <v>46244</v>
      </c>
      <c r="L57" s="213">
        <v>46254</v>
      </c>
      <c r="M57" s="213">
        <v>46273</v>
      </c>
      <c r="N57" s="214">
        <v>1</v>
      </c>
      <c r="O57" s="202" t="str">
        <v/>
      </c>
      <c r="P57" s="171"/>
      <c r="Q57" s="171"/>
      <c r="R57" s="171"/>
      <c r="S57" s="171"/>
      <c r="T57" s="171"/>
      <c r="U57" s="171"/>
      <c r="V57" s="171"/>
      <c r="W57" s="171"/>
      <c r="X57" s="171"/>
      <c r="Y57" s="171"/>
      <c r="Z57" s="171"/>
    </row>
    <row r="58" spans="1:26" ht="18" customHeight="1">
      <c r="A58" s="171"/>
      <c r="B58" s="212" t="str">
        <v>RPT_02_Required Regulator Inspection Performed Control</v>
      </c>
      <c r="C58" s="202" t="str">
        <v>July</v>
      </c>
      <c r="D58" s="202" t="str">
        <v>Ready for Release in Prod</v>
      </c>
      <c r="E58" s="202" t="str">
        <v>No</v>
      </c>
      <c r="F58" s="202" t="str">
        <v>Siddu</v>
      </c>
      <c r="G58" s="202" t="str">
        <v>Navya</v>
      </c>
      <c r="H58" s="202" t="str">
        <v>Bardia</v>
      </c>
      <c r="I58" s="202" t="str">
        <v>Jeanne Waldron, Anthony Massimino</v>
      </c>
      <c r="J58" s="213">
        <v>46252</v>
      </c>
      <c r="K58" s="213">
        <v>46251</v>
      </c>
      <c r="L58" s="213">
        <v>46255</v>
      </c>
      <c r="M58" s="213">
        <v>46273</v>
      </c>
      <c r="N58" s="214">
        <v>2</v>
      </c>
      <c r="O58" s="202" t="str">
        <v/>
      </c>
      <c r="P58" s="171"/>
      <c r="Q58" s="171"/>
      <c r="R58" s="171"/>
      <c r="S58" s="171"/>
      <c r="T58" s="171"/>
      <c r="U58" s="171"/>
      <c r="V58" s="171"/>
      <c r="W58" s="171"/>
      <c r="X58" s="171"/>
      <c r="Y58" s="171"/>
      <c r="Z58" s="171"/>
    </row>
    <row r="59" spans="1:26" ht="18" customHeight="1">
      <c r="A59" s="171"/>
      <c r="B59" s="212" t="str">
        <v>RPT_02_Service Regulator Inspections</v>
      </c>
      <c r="C59" s="202" t="str">
        <v>July</v>
      </c>
      <c r="D59" s="202" t="str">
        <v>Ready for Release in Prod</v>
      </c>
      <c r="E59" s="202" t="str">
        <v>No</v>
      </c>
      <c r="F59" s="202" t="str">
        <v>Sree</v>
      </c>
      <c r="G59" s="202" t="str">
        <v>Sarath</v>
      </c>
      <c r="H59" s="202" t="str">
        <v>Bardia</v>
      </c>
      <c r="I59" s="202" t="str">
        <v>Jeanne Waldron, Anthony Massimino</v>
      </c>
      <c r="J59" s="213">
        <v>46258</v>
      </c>
      <c r="K59" s="213">
        <v>46266</v>
      </c>
      <c r="L59" s="213">
        <v>46267</v>
      </c>
      <c r="M59" s="213">
        <v>46273</v>
      </c>
      <c r="N59" s="214">
        <v>3</v>
      </c>
      <c r="O59" s="202" t="str">
        <v/>
      </c>
      <c r="P59" s="171"/>
      <c r="Q59" s="171"/>
      <c r="R59" s="171"/>
      <c r="S59" s="171"/>
      <c r="T59" s="171"/>
      <c r="U59" s="171"/>
      <c r="V59" s="171"/>
      <c r="W59" s="171"/>
      <c r="X59" s="171"/>
      <c r="Y59" s="171"/>
      <c r="Z59" s="171"/>
    </row>
    <row r="60" spans="1:26" ht="18" customHeight="1">
      <c r="A60" s="171"/>
      <c r="B60" s="212" t="str">
        <v>RPT_02_Service Regulator Inspection Printout</v>
      </c>
      <c r="C60" s="202" t="str">
        <v>July</v>
      </c>
      <c r="D60" s="202" t="str">
        <v>Ready for Release in Prod</v>
      </c>
      <c r="E60" s="211" t="str">
        <v>No</v>
      </c>
      <c r="F60" s="202" t="str">
        <v>Sree</v>
      </c>
      <c r="G60" s="202" t="str">
        <v>Shraddha</v>
      </c>
      <c r="H60" s="202" t="str">
        <v>Bardia</v>
      </c>
      <c r="I60" s="202" t="str">
        <v>Jeanne Waldron, Anthony Massimino</v>
      </c>
      <c r="J60" s="213">
        <v>46258</v>
      </c>
      <c r="K60" s="213">
        <v>46246</v>
      </c>
      <c r="L60" s="213">
        <v>46267</v>
      </c>
      <c r="M60" s="213">
        <v>46273</v>
      </c>
      <c r="N60" s="214">
        <v>1</v>
      </c>
      <c r="O60" s="202" t="str">
        <v/>
      </c>
      <c r="P60" s="171"/>
      <c r="Q60" s="171"/>
      <c r="R60" s="171"/>
      <c r="S60" s="171"/>
      <c r="T60" s="171"/>
      <c r="U60" s="171"/>
      <c r="V60" s="171"/>
      <c r="W60" s="171"/>
      <c r="X60" s="171"/>
      <c r="Y60" s="171"/>
      <c r="Z60" s="171"/>
    </row>
    <row r="61" spans="1:26" ht="18" customHeight="1">
      <c r="A61" s="171"/>
      <c r="B61" s="212" t="str">
        <v>RPT_02_20 Year Regulator Inspection</v>
      </c>
      <c r="C61" s="202" t="str">
        <v>July</v>
      </c>
      <c r="D61" s="211" t="str">
        <v>Ready for Release in Prod</v>
      </c>
      <c r="E61" s="202" t="str">
        <v>No</v>
      </c>
      <c r="F61" s="202" t="str">
        <v>Siddu</v>
      </c>
      <c r="G61" s="202" t="str">
        <v>Navya</v>
      </c>
      <c r="H61" s="202" t="str">
        <v>Bardia</v>
      </c>
      <c r="I61" s="202" t="str">
        <v>Natalie Lattanzio</v>
      </c>
      <c r="J61" s="213">
        <v>46255</v>
      </c>
      <c r="K61" s="213">
        <v>46255</v>
      </c>
      <c r="L61" s="213">
        <v>46255</v>
      </c>
      <c r="M61" s="213">
        <v>46269</v>
      </c>
      <c r="N61" s="214">
        <v>1</v>
      </c>
      <c r="O61" s="202" t="str">
        <v/>
      </c>
      <c r="P61" s="171"/>
      <c r="Q61" s="171"/>
      <c r="R61" s="171"/>
      <c r="S61" s="171"/>
      <c r="T61" s="171"/>
      <c r="U61" s="171"/>
      <c r="V61" s="171"/>
      <c r="W61" s="171"/>
      <c r="X61" s="171"/>
      <c r="Y61" s="171"/>
      <c r="Z61" s="171"/>
    </row>
    <row r="62" spans="1:26" ht="18" customHeight="1">
      <c r="A62" s="171"/>
      <c r="B62" s="212" t="str">
        <v>RPT_02_Fixed Factor</v>
      </c>
      <c r="C62" s="202" t="str">
        <v>July</v>
      </c>
      <c r="D62" s="202" t="str">
        <v>Ready for Release in Prod</v>
      </c>
      <c r="E62" s="202" t="str">
        <v>No</v>
      </c>
      <c r="F62" s="202" t="str">
        <v>Nick</v>
      </c>
      <c r="G62" s="202" t="str">
        <v>Navya</v>
      </c>
      <c r="H62" s="202" t="str">
        <v>Bardia</v>
      </c>
      <c r="I62" s="202" t="str">
        <v>Natalie Lattanzio</v>
      </c>
      <c r="J62" s="213">
        <v>46254</v>
      </c>
      <c r="K62" s="213">
        <v>46254</v>
      </c>
      <c r="L62" s="213">
        <v>46254</v>
      </c>
      <c r="M62" s="213">
        <v>46269</v>
      </c>
      <c r="N62" s="214">
        <v>2</v>
      </c>
      <c r="O62" s="202" t="str">
        <v/>
      </c>
      <c r="P62" s="171"/>
      <c r="Q62" s="171"/>
      <c r="R62" s="171"/>
      <c r="S62" s="171"/>
      <c r="T62" s="171"/>
      <c r="U62" s="171"/>
      <c r="V62" s="171"/>
      <c r="W62" s="171"/>
      <c r="X62" s="171"/>
      <c r="Y62" s="171"/>
      <c r="Z62" s="171"/>
    </row>
    <row r="63" spans="1:26" ht="18" customHeight="1">
      <c r="A63" s="171"/>
      <c r="B63" s="212" t="str">
        <v>RPT_02_Fixed Factor Printout</v>
      </c>
      <c r="C63" s="202" t="str">
        <v>July</v>
      </c>
      <c r="D63" s="202" t="str">
        <v>DB Dev</v>
      </c>
      <c r="E63" s="202" t="str">
        <v>No</v>
      </c>
      <c r="F63" s="202" t="str">
        <v>Nick</v>
      </c>
      <c r="G63" s="202" t="str">
        <v>Shraddha</v>
      </c>
      <c r="H63" s="202" t="str">
        <v>Preety</v>
      </c>
      <c r="I63" s="202" t="str">
        <v>Natalie Lattanzio</v>
      </c>
      <c r="J63" s="213">
        <v>46245</v>
      </c>
      <c r="K63" s="213">
        <v>46258</v>
      </c>
      <c r="L63" s="213">
        <v>46258</v>
      </c>
      <c r="M63" s="213">
        <v>46269</v>
      </c>
      <c r="N63" s="214">
        <v>2</v>
      </c>
      <c r="O63" s="202" t="str">
        <v/>
      </c>
      <c r="P63" s="171"/>
      <c r="Q63" s="171"/>
      <c r="R63" s="171"/>
      <c r="S63" s="171"/>
      <c r="T63" s="171"/>
      <c r="U63" s="171"/>
      <c r="V63" s="171"/>
      <c r="W63" s="171"/>
      <c r="X63" s="171"/>
      <c r="Y63" s="171"/>
      <c r="Z63" s="171"/>
    </row>
    <row r="64" spans="1:26" ht="18" customHeight="1">
      <c r="A64" s="171"/>
      <c r="B64" s="212" t="str">
        <v>RPT_02_Work Order Completion Printout</v>
      </c>
      <c r="C64" s="202" t="str">
        <v>July</v>
      </c>
      <c r="D64" s="202" t="str">
        <v>Ready for Release in Prod</v>
      </c>
      <c r="E64" s="202" t="str">
        <v>No</v>
      </c>
      <c r="F64" s="202" t="str">
        <v>Rupa</v>
      </c>
      <c r="G64" s="202" t="str">
        <v>Shraddha</v>
      </c>
      <c r="H64" s="202" t="str">
        <v>Preety</v>
      </c>
      <c r="I64" s="202" t="str">
        <v>Jeanne Waldron, Anthony Massimino</v>
      </c>
      <c r="J64" s="213">
        <v>46251</v>
      </c>
      <c r="K64" s="213">
        <v>46255</v>
      </c>
      <c r="L64" s="213">
        <v>46258</v>
      </c>
      <c r="M64" s="213">
        <v>46273</v>
      </c>
      <c r="N64" s="214">
        <v>1</v>
      </c>
      <c r="O64" s="202" t="str">
        <v/>
      </c>
      <c r="P64" s="171"/>
      <c r="Q64" s="171"/>
      <c r="R64" s="171"/>
      <c r="S64" s="171"/>
      <c r="T64" s="171"/>
      <c r="U64" s="171"/>
      <c r="V64" s="171"/>
      <c r="W64" s="171"/>
      <c r="X64" s="171"/>
      <c r="Y64" s="171"/>
      <c r="Z64" s="171"/>
    </row>
    <row r="65" spans="1:26" ht="18" customHeight="1">
      <c r="A65" s="171"/>
      <c r="B65" s="212" t="str">
        <v>RPT_02_GRO Control</v>
      </c>
      <c r="C65" s="202" t="str">
        <v>July</v>
      </c>
      <c r="D65" s="202" t="str">
        <v>Ready for Release in Prod</v>
      </c>
      <c r="E65" s="202" t="str">
        <v>No</v>
      </c>
      <c r="F65" s="202" t="str">
        <v>Siva</v>
      </c>
      <c r="G65" s="202" t="str">
        <v>Navya</v>
      </c>
      <c r="H65" s="202" t="str">
        <v>Preety</v>
      </c>
      <c r="I65" s="202" t="str">
        <v>Jeanne Waldron, Anthony Massimino</v>
      </c>
      <c r="J65" s="213">
        <v>46248</v>
      </c>
      <c r="K65" s="213">
        <v>46251</v>
      </c>
      <c r="L65" s="213">
        <v>46258</v>
      </c>
      <c r="M65" s="213">
        <v>46273</v>
      </c>
      <c r="N65" s="214">
        <v>0</v>
      </c>
      <c r="O65" s="202" t="str">
        <v/>
      </c>
      <c r="P65" s="171"/>
      <c r="Q65" s="171"/>
      <c r="R65" s="171"/>
      <c r="S65" s="171"/>
      <c r="T65" s="171"/>
      <c r="U65" s="171"/>
      <c r="V65" s="171"/>
      <c r="W65" s="171"/>
      <c r="X65" s="171"/>
      <c r="Y65" s="171"/>
      <c r="Z65" s="171"/>
    </row>
    <row r="66" spans="1:26" ht="18" customHeight="1">
      <c r="A66" s="171"/>
      <c r="B66" s="212" t="str">
        <v>RPT_02_GRO Monitor</v>
      </c>
      <c r="C66" s="202" t="str">
        <v>July</v>
      </c>
      <c r="D66" s="202" t="str">
        <v>Ready for Release in Prod</v>
      </c>
      <c r="E66" s="202" t="str">
        <v>No</v>
      </c>
      <c r="F66" s="202" t="str">
        <v>Rupa</v>
      </c>
      <c r="G66" s="202" t="str">
        <v>Sarath</v>
      </c>
      <c r="H66" s="202" t="str">
        <v>Preety</v>
      </c>
      <c r="I66" s="202" t="str">
        <v>Natalie Lattanzio</v>
      </c>
      <c r="J66" s="213">
        <v>46245</v>
      </c>
      <c r="K66" s="213">
        <v>46248</v>
      </c>
      <c r="L66" s="213">
        <v>46261</v>
      </c>
      <c r="M66" s="213">
        <v>46269</v>
      </c>
      <c r="N66" s="214">
        <v>0</v>
      </c>
      <c r="O66" s="202" t="str">
        <v/>
      </c>
      <c r="P66" s="171"/>
      <c r="Q66" s="171"/>
      <c r="R66" s="171"/>
      <c r="S66" s="171"/>
      <c r="T66" s="171"/>
      <c r="U66" s="171"/>
      <c r="V66" s="171"/>
      <c r="W66" s="171"/>
      <c r="X66" s="171"/>
      <c r="Y66" s="171"/>
      <c r="Z66" s="171"/>
    </row>
    <row r="67" spans="1:26" ht="18" customHeight="1">
      <c r="A67" s="171"/>
      <c r="B67" s="212" t="str">
        <v>RPT_02_Public Buildings Inspection</v>
      </c>
      <c r="C67" s="202" t="str">
        <v>August</v>
      </c>
      <c r="D67" s="202" t="str">
        <v>Ready for Release in Prod</v>
      </c>
      <c r="E67" s="202" t="str">
        <v>No</v>
      </c>
      <c r="F67" s="202" t="str">
        <v>Geetha</v>
      </c>
      <c r="G67" s="202" t="str">
        <v>Navya</v>
      </c>
      <c r="H67" s="202" t="str">
        <v>Preety</v>
      </c>
      <c r="I67" s="202" t="str">
        <v>Jeanne Waldron, Anthony Massimino</v>
      </c>
      <c r="J67" s="213">
        <v>46252</v>
      </c>
      <c r="K67" s="213">
        <v>46295</v>
      </c>
      <c r="L67" s="213">
        <v>46296</v>
      </c>
      <c r="M67" s="213">
        <v>46296</v>
      </c>
      <c r="N67" s="214">
        <v>3</v>
      </c>
      <c r="O67" s="202" t="str">
        <v/>
      </c>
      <c r="P67" s="171"/>
      <c r="Q67" s="171"/>
      <c r="R67" s="171"/>
      <c r="S67" s="171"/>
      <c r="T67" s="171"/>
      <c r="U67" s="171"/>
      <c r="V67" s="171"/>
      <c r="W67" s="171"/>
      <c r="X67" s="171"/>
      <c r="Y67" s="171"/>
      <c r="Z67" s="171"/>
    </row>
    <row r="68" spans="1:26" ht="18" customHeight="1">
      <c r="A68" s="171"/>
      <c r="B68" s="212" t="str">
        <v>RPT_02_Investigate Wall Check and Service Check</v>
      </c>
      <c r="C68" s="202" t="str">
        <v>August</v>
      </c>
      <c r="D68" s="202" t="str">
        <v>Ready for Release in Prod</v>
      </c>
      <c r="E68" s="202" t="str">
        <v>No</v>
      </c>
      <c r="F68" s="202" t="str">
        <v>Siva</v>
      </c>
      <c r="G68" s="202" t="str">
        <v>Sarath</v>
      </c>
      <c r="H68" s="202" t="str">
        <v>Preety</v>
      </c>
      <c r="I68" s="202" t="str">
        <v>Shaunna Peters</v>
      </c>
      <c r="J68" s="213">
        <v>46255</v>
      </c>
      <c r="K68" s="213">
        <v>46258</v>
      </c>
      <c r="L68" s="213">
        <v>46273</v>
      </c>
      <c r="M68" s="213">
        <v>46283</v>
      </c>
      <c r="N68" s="214">
        <v>3</v>
      </c>
      <c r="O68" s="202" t="str">
        <v/>
      </c>
      <c r="P68" s="171"/>
      <c r="Q68" s="171"/>
      <c r="R68" s="171"/>
      <c r="S68" s="171"/>
      <c r="T68" s="171"/>
      <c r="U68" s="171"/>
      <c r="V68" s="171"/>
      <c r="W68" s="171"/>
      <c r="X68" s="171"/>
      <c r="Y68" s="171"/>
      <c r="Z68" s="171"/>
    </row>
    <row r="69" spans="1:26" ht="18" customHeight="1">
      <c r="A69" s="171"/>
      <c r="B69" s="212" t="str">
        <v>RPT_02_Cut Out Orders</v>
      </c>
      <c r="C69" s="202" t="str">
        <v>August</v>
      </c>
      <c r="D69" s="202" t="str">
        <v>Ready for Release in Prod</v>
      </c>
      <c r="E69" s="202" t="str">
        <v>No</v>
      </c>
      <c r="F69" s="202" t="str">
        <v>Fetwi</v>
      </c>
      <c r="G69" s="202" t="str">
        <v>Shraddha</v>
      </c>
      <c r="H69" s="202" t="str">
        <v>Preety</v>
      </c>
      <c r="I69" s="202" t="str">
        <v>Shaunna Peters</v>
      </c>
      <c r="J69" s="213">
        <v>46244</v>
      </c>
      <c r="K69" s="213">
        <v>46265</v>
      </c>
      <c r="L69" s="213">
        <v>46265</v>
      </c>
      <c r="M69" s="213">
        <v>46283</v>
      </c>
      <c r="N69" s="214">
        <v>1</v>
      </c>
      <c r="O69" s="202" t="str">
        <v/>
      </c>
      <c r="P69" s="171"/>
      <c r="Q69" s="171"/>
      <c r="R69" s="171"/>
      <c r="S69" s="171"/>
      <c r="T69" s="171"/>
      <c r="U69" s="171"/>
      <c r="V69" s="171"/>
      <c r="W69" s="171"/>
      <c r="X69" s="171"/>
      <c r="Y69" s="171"/>
      <c r="Z69" s="171"/>
    </row>
    <row r="70" spans="1:26" ht="18" customHeight="1">
      <c r="A70" s="171"/>
      <c r="B70" s="212" t="str">
        <v>RPT_02_Gas Trouble</v>
      </c>
      <c r="C70" s="202" t="str">
        <v>August</v>
      </c>
      <c r="D70" s="202" t="str">
        <v>Ready for Release in Prod</v>
      </c>
      <c r="E70" s="202" t="str">
        <v>No</v>
      </c>
      <c r="F70" s="202" t="str">
        <v>Siddu</v>
      </c>
      <c r="G70" s="202" t="str">
        <v>Navya</v>
      </c>
      <c r="H70" s="202" t="str">
        <v>Preety</v>
      </c>
      <c r="I70" s="202" t="str">
        <v>Jeanne Waldron, Anthony Massimino</v>
      </c>
      <c r="J70" s="213">
        <v>46244</v>
      </c>
      <c r="K70" s="213">
        <v>46261</v>
      </c>
      <c r="L70" s="213">
        <v>46266</v>
      </c>
      <c r="M70" s="213">
        <v>46283</v>
      </c>
      <c r="N70" s="214">
        <v>1</v>
      </c>
      <c r="O70" s="202" t="str">
        <v/>
      </c>
      <c r="P70" s="171"/>
      <c r="Q70" s="171"/>
      <c r="R70" s="171"/>
      <c r="S70" s="171"/>
      <c r="T70" s="171"/>
      <c r="U70" s="171"/>
      <c r="V70" s="171"/>
      <c r="W70" s="171"/>
      <c r="X70" s="171"/>
      <c r="Y70" s="171"/>
      <c r="Z70" s="171"/>
    </row>
    <row r="71" spans="1:26" ht="18" customHeight="1">
      <c r="A71" s="171"/>
      <c r="B71" s="212" t="str">
        <v>RPT_02_Wall Check Control</v>
      </c>
      <c r="C71" s="202" t="str">
        <v>August</v>
      </c>
      <c r="D71" s="202" t="str">
        <v>Ready for Release in Prod</v>
      </c>
      <c r="E71" s="202" t="str">
        <v>No</v>
      </c>
      <c r="F71" s="202" t="str">
        <v>Nick</v>
      </c>
      <c r="G71" s="202" t="str">
        <v>Shraddha</v>
      </c>
      <c r="H71" s="202" t="str">
        <v>Kushal</v>
      </c>
      <c r="I71" s="202" t="str">
        <v>Jeanne Waldron, Anthony Massimino</v>
      </c>
      <c r="J71" s="213">
        <v>46246</v>
      </c>
      <c r="K71" s="213">
        <v>46261</v>
      </c>
      <c r="L71" s="213">
        <v>46265</v>
      </c>
      <c r="M71" s="213">
        <v>46283</v>
      </c>
      <c r="N71" s="214">
        <v>0</v>
      </c>
      <c r="O71" s="202" t="str">
        <v/>
      </c>
      <c r="P71" s="171"/>
      <c r="Q71" s="171"/>
      <c r="R71" s="171"/>
      <c r="S71" s="171"/>
      <c r="T71" s="171"/>
      <c r="U71" s="171"/>
      <c r="V71" s="171"/>
      <c r="W71" s="171"/>
      <c r="X71" s="171"/>
      <c r="Y71" s="171"/>
      <c r="Z71" s="171"/>
    </row>
    <row r="72" spans="1:26" ht="18" customHeight="1">
      <c r="A72" s="171"/>
      <c r="B72" s="212" t="str">
        <v>RPT_02_High Pressure Steel Inside Inspection</v>
      </c>
      <c r="C72" s="202" t="str">
        <v>August</v>
      </c>
      <c r="D72" s="202" t="str">
        <v>Ready for Release in Prod</v>
      </c>
      <c r="E72" s="202" t="str">
        <v>No</v>
      </c>
      <c r="F72" s="202" t="str">
        <v>Geetha</v>
      </c>
      <c r="G72" s="202" t="str">
        <v>Sarath</v>
      </c>
      <c r="H72" s="202" t="str">
        <v>Bardia</v>
      </c>
      <c r="I72" s="202" t="str">
        <v>Shaunna Peters</v>
      </c>
      <c r="J72" s="213">
        <v>46253</v>
      </c>
      <c r="K72" s="213">
        <v>46255</v>
      </c>
      <c r="L72" s="213">
        <v>46269</v>
      </c>
      <c r="M72" s="213">
        <v>46283</v>
      </c>
      <c r="N72" s="214">
        <v>0</v>
      </c>
      <c r="O72" s="202" t="str">
        <v/>
      </c>
      <c r="P72" s="171"/>
      <c r="Q72" s="171"/>
      <c r="R72" s="171"/>
      <c r="S72" s="171"/>
      <c r="T72" s="171"/>
      <c r="U72" s="171"/>
      <c r="V72" s="171"/>
      <c r="W72" s="171"/>
      <c r="X72" s="171"/>
      <c r="Y72" s="171"/>
      <c r="Z72" s="171"/>
    </row>
    <row r="73" spans="1:26" ht="18" customHeight="1">
      <c r="A73" s="171"/>
      <c r="B73" s="212" t="str">
        <v>RPT_02_Large Gas Outage</v>
      </c>
      <c r="C73" s="202" t="str">
        <v>August</v>
      </c>
      <c r="D73" s="202" t="str">
        <v>DPO Approval</v>
      </c>
      <c r="E73" s="202" t="str">
        <v>No</v>
      </c>
      <c r="F73" s="202" t="str">
        <v>Nick</v>
      </c>
      <c r="G73" s="202" t="str">
        <v>Sarath</v>
      </c>
      <c r="H73" s="202" t="str">
        <v>Kushal</v>
      </c>
      <c r="I73" s="202" t="str">
        <v>Natalie Lattanzio</v>
      </c>
      <c r="J73" s="213">
        <v>46265</v>
      </c>
      <c r="K73" s="213">
        <v>46266</v>
      </c>
      <c r="L73" s="213">
        <v>46286</v>
      </c>
      <c r="M73" s="213" t="str">
        <v/>
      </c>
      <c r="N73" s="214">
        <v>5</v>
      </c>
      <c r="O73" s="202" t="str">
        <v/>
      </c>
      <c r="P73" s="171"/>
      <c r="Q73" s="171"/>
      <c r="R73" s="171"/>
      <c r="S73" s="171"/>
      <c r="T73" s="171"/>
      <c r="U73" s="171"/>
      <c r="V73" s="171"/>
      <c r="W73" s="171"/>
      <c r="X73" s="171"/>
      <c r="Y73" s="171"/>
      <c r="Z73" s="171"/>
    </row>
    <row r="74" spans="1:26" ht="18" customHeight="1">
      <c r="A74" s="171"/>
      <c r="B74" s="212" t="str">
        <v>RPT_02_Fitting Work</v>
      </c>
      <c r="C74" s="202" t="str">
        <v>August</v>
      </c>
      <c r="D74" s="202" t="str">
        <v>Ready for Release in Prod</v>
      </c>
      <c r="E74" s="202" t="str">
        <v>No</v>
      </c>
      <c r="F74" s="202" t="str">
        <v>Fetwi</v>
      </c>
      <c r="G74" s="202" t="str">
        <v>Navya</v>
      </c>
      <c r="H74" s="202" t="str">
        <v>Bardia</v>
      </c>
      <c r="I74" s="202" t="str">
        <v>Shaunna Peters</v>
      </c>
      <c r="J74" s="213">
        <v>46245</v>
      </c>
      <c r="K74" s="213">
        <v>46252</v>
      </c>
      <c r="L74" s="213">
        <v>46273</v>
      </c>
      <c r="M74" s="213">
        <v>46283</v>
      </c>
      <c r="N74" s="214">
        <v>1</v>
      </c>
      <c r="O74" s="202" t="str">
        <v/>
      </c>
      <c r="P74" s="171"/>
      <c r="Q74" s="171"/>
      <c r="R74" s="171"/>
      <c r="S74" s="171"/>
      <c r="T74" s="171"/>
      <c r="U74" s="171"/>
      <c r="V74" s="171"/>
      <c r="W74" s="171"/>
      <c r="X74" s="171"/>
      <c r="Y74" s="171"/>
      <c r="Z74" s="171"/>
    </row>
    <row r="75" spans="1:26" ht="18" customHeight="1">
      <c r="A75" s="171"/>
      <c r="B75" s="212" t="str">
        <v>RPT_02_Field Collector Report</v>
      </c>
      <c r="C75" s="202" t="str">
        <v>August</v>
      </c>
      <c r="D75" s="202" t="str">
        <v>Ready for Release in Prod</v>
      </c>
      <c r="E75" s="202" t="str">
        <v>No</v>
      </c>
      <c r="F75" s="202" t="str">
        <v>Rupa</v>
      </c>
      <c r="G75" s="202" t="str">
        <v>Shraddha</v>
      </c>
      <c r="H75" s="202" t="str">
        <v>Bardia</v>
      </c>
      <c r="I75" s="202" t="str">
        <v>Jeanne Timmons, Shaunna Peters</v>
      </c>
      <c r="J75" s="213">
        <v>46248</v>
      </c>
      <c r="K75" s="213">
        <v>46260</v>
      </c>
      <c r="L75" s="213">
        <v>46276</v>
      </c>
      <c r="M75" s="213">
        <v>46283</v>
      </c>
      <c r="N75" s="214">
        <v>0</v>
      </c>
      <c r="O75" s="202" t="str">
        <v/>
      </c>
      <c r="P75" s="171"/>
      <c r="Q75" s="171"/>
      <c r="R75" s="171"/>
      <c r="S75" s="171"/>
      <c r="T75" s="171"/>
      <c r="U75" s="171"/>
      <c r="V75" s="171"/>
      <c r="W75" s="171"/>
      <c r="X75" s="171"/>
      <c r="Y75" s="171"/>
      <c r="Z75" s="171"/>
    </row>
    <row r="76" spans="1:26" ht="18" customHeight="1">
      <c r="A76" s="171"/>
      <c r="B76" s="212" t="str">
        <v>RPT_02_Turn On for Non-Payment</v>
      </c>
      <c r="C76" s="202" t="str">
        <v>August</v>
      </c>
      <c r="D76" s="202" t="str">
        <v>DPO Approval</v>
      </c>
      <c r="E76" s="202" t="str">
        <v>No</v>
      </c>
      <c r="F76" s="202" t="str">
        <v>Sree</v>
      </c>
      <c r="G76" s="202" t="str">
        <v>Sarath</v>
      </c>
      <c r="H76" s="202" t="str">
        <v>Kushal</v>
      </c>
      <c r="I76" s="202" t="str">
        <v>Bryan Patterson, Reginald Durham, Shaunna Peters, Simone Brooks, Bill Contreras</v>
      </c>
      <c r="J76" s="213">
        <v>46252</v>
      </c>
      <c r="K76" s="213">
        <v>46267</v>
      </c>
      <c r="L76" s="213">
        <v>46290</v>
      </c>
      <c r="M76" s="213" t="str">
        <v/>
      </c>
      <c r="N76" s="214">
        <v>2</v>
      </c>
      <c r="O76" s="202" t="str">
        <v>Open rework row - mark Blocked or close it</v>
      </c>
      <c r="P76" s="171"/>
      <c r="Q76" s="171"/>
      <c r="R76" s="171"/>
      <c r="S76" s="171"/>
      <c r="T76" s="171"/>
      <c r="U76" s="171"/>
      <c r="V76" s="171"/>
      <c r="W76" s="171"/>
      <c r="X76" s="171"/>
      <c r="Y76" s="171"/>
      <c r="Z76" s="171"/>
    </row>
    <row r="77" spans="1:26" ht="18" customHeight="1">
      <c r="A77" s="171"/>
      <c r="B77" s="212" t="str">
        <v>RPT_02_Collector Payment Recap</v>
      </c>
      <c r="C77" s="202" t="str">
        <v>August</v>
      </c>
      <c r="D77" s="202" t="str">
        <v>Ready for Release in Prod</v>
      </c>
      <c r="E77" s="202" t="str">
        <v>No</v>
      </c>
      <c r="F77" s="202" t="str">
        <v>Rupa</v>
      </c>
      <c r="G77" s="202" t="str">
        <v>Shraddha</v>
      </c>
      <c r="H77" s="202" t="str">
        <v>Bardia</v>
      </c>
      <c r="I77" s="202" t="str">
        <v>Oneil Lashley</v>
      </c>
      <c r="J77" s="213">
        <v>46251</v>
      </c>
      <c r="K77" s="213">
        <v>46262</v>
      </c>
      <c r="L77" s="213">
        <v>46281</v>
      </c>
      <c r="M77" s="213">
        <v>46286</v>
      </c>
      <c r="N77" s="214">
        <v>1</v>
      </c>
      <c r="O77" s="202" t="str">
        <v/>
      </c>
      <c r="P77" s="171"/>
      <c r="Q77" s="171"/>
      <c r="R77" s="171"/>
      <c r="S77" s="171"/>
      <c r="T77" s="171"/>
      <c r="U77" s="171"/>
      <c r="V77" s="171"/>
      <c r="W77" s="171"/>
      <c r="X77" s="171"/>
      <c r="Y77" s="171"/>
      <c r="Z77" s="171"/>
    </row>
    <row r="78" spans="1:26" ht="18" customHeight="1">
      <c r="A78" s="171"/>
      <c r="B78" s="212" t="str">
        <v>RPT_02_Incentive Management</v>
      </c>
      <c r="C78" s="202" t="str">
        <v>August</v>
      </c>
      <c r="D78" s="202" t="str">
        <v>Ready for Release in Prod</v>
      </c>
      <c r="E78" s="202" t="str">
        <v>No</v>
      </c>
      <c r="F78" s="202" t="str">
        <v>Siddu</v>
      </c>
      <c r="G78" s="202" t="str">
        <v>Navya</v>
      </c>
      <c r="H78" s="202" t="str">
        <v>Preety</v>
      </c>
      <c r="I78" s="202" t="str">
        <v>Reginald Durham</v>
      </c>
      <c r="J78" s="213">
        <v>46253</v>
      </c>
      <c r="K78" s="213">
        <v>46262</v>
      </c>
      <c r="L78" s="213">
        <v>46269</v>
      </c>
      <c r="M78" s="213">
        <v>46282</v>
      </c>
      <c r="N78" s="214">
        <v>0</v>
      </c>
      <c r="O78" s="202" t="str">
        <v/>
      </c>
      <c r="P78" s="171"/>
      <c r="Q78" s="171"/>
      <c r="R78" s="171"/>
      <c r="S78" s="171"/>
      <c r="T78" s="171"/>
      <c r="U78" s="171"/>
      <c r="V78" s="171"/>
      <c r="W78" s="171"/>
      <c r="X78" s="171"/>
      <c r="Y78" s="171"/>
      <c r="Z78" s="171"/>
    </row>
    <row r="79" spans="1:26" ht="18" customHeight="1">
      <c r="A79" s="171"/>
      <c r="B79" s="212" t="str">
        <v>RPT_02_UTC Report</v>
      </c>
      <c r="C79" s="202" t="str">
        <v>September</v>
      </c>
      <c r="D79" s="202" t="str">
        <v>DPO Approval</v>
      </c>
      <c r="E79" s="202" t="str">
        <v>No</v>
      </c>
      <c r="F79" s="202" t="str">
        <v>Rupa</v>
      </c>
      <c r="G79" s="202" t="str">
        <v>Shraddha</v>
      </c>
      <c r="H79" s="202" t="str">
        <v>Preety</v>
      </c>
      <c r="I79" s="202" t="str">
        <v>Simone Brooks</v>
      </c>
      <c r="J79" s="213">
        <v>46253</v>
      </c>
      <c r="K79" s="213">
        <v>46267</v>
      </c>
      <c r="L79" s="213" t="str">
        <v/>
      </c>
      <c r="M79" s="213" t="str">
        <v/>
      </c>
      <c r="N79" s="214">
        <v>1</v>
      </c>
      <c r="O79" s="202" t="str">
        <v/>
      </c>
      <c r="P79" s="171"/>
      <c r="Q79" s="171"/>
      <c r="R79" s="171"/>
      <c r="S79" s="171"/>
      <c r="T79" s="171"/>
      <c r="U79" s="171"/>
      <c r="V79" s="171"/>
      <c r="W79" s="171"/>
      <c r="X79" s="171"/>
      <c r="Y79" s="171"/>
      <c r="Z79" s="171"/>
    </row>
    <row r="80" spans="1:26" ht="18" customHeight="1">
      <c r="A80" s="171"/>
      <c r="B80" s="212" t="str">
        <v>RPT_02_Adjacent Property Checks</v>
      </c>
      <c r="C80" s="202" t="str">
        <v>September</v>
      </c>
      <c r="D80" s="202" t="str">
        <v>DPO Approval</v>
      </c>
      <c r="E80" s="202" t="str">
        <v>No</v>
      </c>
      <c r="F80" s="202" t="str">
        <v>Rupa</v>
      </c>
      <c r="G80" s="202" t="str">
        <v>Navya</v>
      </c>
      <c r="H80" s="202" t="str">
        <v>Olu</v>
      </c>
      <c r="I80" s="202" t="str">
        <v>Anthony Massimino</v>
      </c>
      <c r="J80" s="213">
        <v>46253</v>
      </c>
      <c r="K80" s="213">
        <v>46266</v>
      </c>
      <c r="L80" s="213">
        <v>46288</v>
      </c>
      <c r="M80" s="213" t="str">
        <v/>
      </c>
      <c r="N80" s="214">
        <v>0</v>
      </c>
      <c r="O80" s="202" t="str">
        <v/>
      </c>
      <c r="P80" s="171"/>
      <c r="Q80" s="171"/>
      <c r="R80" s="171"/>
      <c r="S80" s="171"/>
      <c r="T80" s="171"/>
      <c r="U80" s="171"/>
      <c r="V80" s="171"/>
      <c r="W80" s="171"/>
      <c r="X80" s="171"/>
      <c r="Y80" s="171"/>
      <c r="Z80" s="171"/>
    </row>
    <row r="81" spans="1:26" ht="18" customHeight="1">
      <c r="A81" s="171"/>
      <c r="B81" s="212" t="str">
        <v>RPT_02_High Bill Investigations</v>
      </c>
      <c r="C81" s="202" t="str">
        <v>September</v>
      </c>
      <c r="D81" s="202" t="str">
        <v>Ready for Release in Prod</v>
      </c>
      <c r="E81" s="202" t="str">
        <v>No</v>
      </c>
      <c r="F81" s="202" t="str">
        <v>Sree</v>
      </c>
      <c r="G81" s="202" t="str">
        <v>Sarath</v>
      </c>
      <c r="H81" s="202" t="str">
        <v>Preety</v>
      </c>
      <c r="I81" s="202" t="str">
        <v>Oneil Lashley</v>
      </c>
      <c r="J81" s="213" t="str">
        <v/>
      </c>
      <c r="K81" s="213">
        <v>46268</v>
      </c>
      <c r="L81" s="213">
        <v>46282</v>
      </c>
      <c r="M81" s="213">
        <v>46286</v>
      </c>
      <c r="N81" s="214">
        <v>1</v>
      </c>
      <c r="O81" s="202" t="str">
        <v/>
      </c>
      <c r="P81" s="171"/>
      <c r="Q81" s="171"/>
      <c r="R81" s="171"/>
      <c r="S81" s="171"/>
      <c r="T81" s="171"/>
      <c r="U81" s="171"/>
      <c r="V81" s="171"/>
      <c r="W81" s="171"/>
      <c r="X81" s="171"/>
      <c r="Y81" s="171"/>
      <c r="Z81" s="171"/>
    </row>
    <row r="82" spans="1:26" ht="18" customHeight="1">
      <c r="A82" s="171"/>
      <c r="B82" s="212" t="str">
        <v>RPT_02_Emergency Order Type</v>
      </c>
      <c r="C82" s="202" t="str">
        <v>September</v>
      </c>
      <c r="D82" s="202" t="str">
        <v>PBI Dev</v>
      </c>
      <c r="E82" s="202" t="str">
        <v>Yes – other</v>
      </c>
      <c r="F82" s="202" t="str">
        <v>Sree</v>
      </c>
      <c r="G82" s="202" t="str">
        <v>Shraddha</v>
      </c>
      <c r="H82" s="202" t="str">
        <v>Kushal</v>
      </c>
      <c r="I82" s="202" t="str">
        <v>Jeanne Waldron, Anthony Massimino</v>
      </c>
      <c r="J82" s="213" t="str">
        <v/>
      </c>
      <c r="K82" s="213" t="str">
        <v/>
      </c>
      <c r="L82" s="213" t="str">
        <v/>
      </c>
      <c r="M82" s="213" t="str">
        <v/>
      </c>
      <c r="N82" s="214">
        <v>0</v>
      </c>
      <c r="O82" s="202" t="str">
        <v>Blocked - log it on Rework Log</v>
      </c>
      <c r="P82" s="171"/>
      <c r="Q82" s="171"/>
      <c r="R82" s="171"/>
      <c r="S82" s="171"/>
      <c r="T82" s="171"/>
      <c r="U82" s="171"/>
      <c r="V82" s="171"/>
      <c r="W82" s="171"/>
      <c r="X82" s="171"/>
      <c r="Y82" s="171"/>
      <c r="Z82" s="171"/>
    </row>
    <row r="83" spans="1:26" ht="18" customHeight="1">
      <c r="A83" s="171"/>
      <c r="B83" s="212" t="str">
        <v>RPT_02_Cut Out Curb Box</v>
      </c>
      <c r="C83" s="202" t="str">
        <v>September</v>
      </c>
      <c r="D83" s="202" t="str">
        <v>DPO Approval</v>
      </c>
      <c r="E83" s="202" t="str">
        <v>No</v>
      </c>
      <c r="F83" s="202" t="str">
        <v>Fetwi</v>
      </c>
      <c r="G83" s="202" t="str">
        <v>Navya</v>
      </c>
      <c r="H83" s="202" t="str">
        <v>Preety</v>
      </c>
      <c r="I83" s="202" t="str">
        <v>Oneil Lashley</v>
      </c>
      <c r="J83" s="213">
        <v>46253</v>
      </c>
      <c r="K83" s="213">
        <v>46266</v>
      </c>
      <c r="L83" s="213" t="str">
        <v/>
      </c>
      <c r="M83" s="213" t="str">
        <v/>
      </c>
      <c r="N83" s="214">
        <v>1</v>
      </c>
      <c r="O83" s="202" t="str">
        <v/>
      </c>
      <c r="P83" s="171"/>
      <c r="Q83" s="171"/>
      <c r="R83" s="171"/>
      <c r="S83" s="171"/>
      <c r="T83" s="171"/>
      <c r="U83" s="171"/>
      <c r="V83" s="171"/>
      <c r="W83" s="171"/>
      <c r="X83" s="171"/>
      <c r="Y83" s="171"/>
      <c r="Z83" s="171"/>
    </row>
    <row r="84" spans="1:26" ht="18" customHeight="1">
      <c r="A84" s="171"/>
      <c r="B84" s="212" t="str">
        <v>RPT_02_New York Incident</v>
      </c>
      <c r="C84" s="202" t="str">
        <v>September</v>
      </c>
      <c r="D84" s="202" t="str">
        <v>Ready for Release in Prod</v>
      </c>
      <c r="E84" s="202" t="str">
        <v>No</v>
      </c>
      <c r="F84" s="202" t="str">
        <v>Nick</v>
      </c>
      <c r="G84" s="202" t="str">
        <v>Sarath</v>
      </c>
      <c r="H84" s="202" t="str">
        <v>Preety</v>
      </c>
      <c r="I84" s="202" t="str">
        <v>Bryan Patterson, Reginald Durham, Bill Contreras</v>
      </c>
      <c r="J84" s="213">
        <v>46255</v>
      </c>
      <c r="K84" s="213">
        <v>46273</v>
      </c>
      <c r="L84" s="213">
        <v>46286</v>
      </c>
      <c r="M84" s="213">
        <v>46295</v>
      </c>
      <c r="N84" s="214">
        <v>1</v>
      </c>
      <c r="O84" s="202" t="str">
        <v/>
      </c>
      <c r="P84" s="171"/>
      <c r="Q84" s="171"/>
      <c r="R84" s="171"/>
      <c r="S84" s="171"/>
      <c r="T84" s="171"/>
      <c r="U84" s="171"/>
      <c r="V84" s="171"/>
      <c r="W84" s="171"/>
      <c r="X84" s="171"/>
      <c r="Y84" s="171"/>
      <c r="Z84" s="171"/>
    </row>
    <row r="85" spans="1:26" ht="18" customHeight="1">
      <c r="A85" s="171"/>
      <c r="B85" s="212" t="str">
        <v>RPT_02_Outside Repeat Leaks</v>
      </c>
      <c r="C85" s="202" t="str">
        <v>September</v>
      </c>
      <c r="D85" s="202" t="str">
        <v>DPO Approval</v>
      </c>
      <c r="E85" s="202" t="str">
        <v>No</v>
      </c>
      <c r="F85" s="202" t="str">
        <v>Fetwi</v>
      </c>
      <c r="G85" s="202" t="str">
        <v>Navya</v>
      </c>
      <c r="H85" s="202" t="str">
        <v>Preety</v>
      </c>
      <c r="I85" s="202" t="str">
        <v>Reginald Durham, Simone Brooks, Bill Contreras</v>
      </c>
      <c r="J85" s="213">
        <v>46255</v>
      </c>
      <c r="K85" s="213">
        <v>46268</v>
      </c>
      <c r="L85" s="213">
        <v>46295</v>
      </c>
      <c r="M85" s="213" t="str">
        <v/>
      </c>
      <c r="N85" s="214">
        <v>1</v>
      </c>
      <c r="O85" s="202" t="str">
        <v/>
      </c>
      <c r="P85" s="171"/>
      <c r="Q85" s="171"/>
      <c r="R85" s="171"/>
      <c r="S85" s="171"/>
      <c r="T85" s="171"/>
      <c r="U85" s="171"/>
      <c r="V85" s="171"/>
      <c r="W85" s="171"/>
      <c r="X85" s="171"/>
      <c r="Y85" s="171"/>
      <c r="Z85" s="171"/>
    </row>
    <row r="86" spans="1:26" ht="18" customHeight="1">
      <c r="A86" s="171"/>
      <c r="B86" s="212" t="str">
        <v>RPT_02_Meter Change</v>
      </c>
      <c r="C86" s="202" t="str">
        <v>September</v>
      </c>
      <c r="D86" s="202" t="str">
        <v>DPO Approval</v>
      </c>
      <c r="E86" s="202" t="str">
        <v>No</v>
      </c>
      <c r="F86" s="202" t="str">
        <v>Siddu</v>
      </c>
      <c r="G86" s="202" t="str">
        <v>Shraddha</v>
      </c>
      <c r="H86" s="202" t="str">
        <v>Olu</v>
      </c>
      <c r="I86" s="202" t="str">
        <v>Michelle Fitten</v>
      </c>
      <c r="J86" s="213">
        <v>46259</v>
      </c>
      <c r="K86" s="213">
        <v>46282</v>
      </c>
      <c r="L86" s="213">
        <v>46289</v>
      </c>
      <c r="M86" s="213" t="str">
        <v/>
      </c>
      <c r="N86" s="214">
        <v>0</v>
      </c>
      <c r="O86" s="202" t="str">
        <v/>
      </c>
      <c r="P86" s="171"/>
      <c r="Q86" s="171"/>
      <c r="R86" s="171"/>
      <c r="S86" s="171"/>
      <c r="T86" s="171"/>
      <c r="U86" s="171"/>
      <c r="V86" s="171"/>
      <c r="W86" s="171"/>
      <c r="X86" s="171"/>
      <c r="Y86" s="171"/>
      <c r="Z86" s="171"/>
    </row>
    <row r="87" spans="1:26" ht="18" customHeight="1">
      <c r="A87" s="171"/>
      <c r="B87" s="212" t="str">
        <v>RPT_02_Field Order Value</v>
      </c>
      <c r="C87" s="202" t="str">
        <v>September</v>
      </c>
      <c r="D87" s="202" t="str">
        <v>QA</v>
      </c>
      <c r="E87" s="202" t="str">
        <v>No</v>
      </c>
      <c r="F87" s="202" t="str">
        <v>Siddu</v>
      </c>
      <c r="G87" s="202" t="str">
        <v>Navya</v>
      </c>
      <c r="H87" s="202" t="str">
        <v>Preety</v>
      </c>
      <c r="I87" s="202" t="str">
        <v>Alex Giangolini</v>
      </c>
      <c r="J87" s="213">
        <v>46266</v>
      </c>
      <c r="K87" s="213">
        <v>46294</v>
      </c>
      <c r="L87" s="213" t="str">
        <v/>
      </c>
      <c r="M87" s="213" t="str">
        <v/>
      </c>
      <c r="N87" s="214">
        <v>0</v>
      </c>
      <c r="O87" s="202" t="str">
        <v/>
      </c>
      <c r="P87" s="171"/>
      <c r="Q87" s="171"/>
      <c r="R87" s="171"/>
      <c r="S87" s="171"/>
      <c r="T87" s="171"/>
      <c r="U87" s="171"/>
      <c r="V87" s="171"/>
      <c r="W87" s="171"/>
      <c r="X87" s="171"/>
      <c r="Y87" s="171"/>
      <c r="Z87" s="171"/>
    </row>
    <row r="88" spans="1:26" ht="18" customHeight="1">
      <c r="A88" s="171"/>
      <c r="B88" s="212" t="str">
        <v>RPT_02_Same Day Reconnect</v>
      </c>
      <c r="C88" s="202" t="str">
        <v>September</v>
      </c>
      <c r="D88" s="202" t="str">
        <v>QA</v>
      </c>
      <c r="E88" s="202" t="str">
        <v>No</v>
      </c>
      <c r="F88" s="202" t="str">
        <v>Geetha</v>
      </c>
      <c r="G88" s="202" t="str">
        <v>Navya</v>
      </c>
      <c r="H88" s="202" t="str">
        <v>Preety</v>
      </c>
      <c r="I88" s="202" t="str">
        <v>Bryan Patterson</v>
      </c>
      <c r="J88" s="213">
        <v>46266</v>
      </c>
      <c r="K88" s="213">
        <v>46269</v>
      </c>
      <c r="L88" s="213" t="str">
        <v/>
      </c>
      <c r="M88" s="213" t="str">
        <v/>
      </c>
      <c r="N88" s="214">
        <v>0</v>
      </c>
      <c r="O88" s="202" t="str">
        <v/>
      </c>
      <c r="P88" s="171"/>
      <c r="Q88" s="171"/>
      <c r="R88" s="171"/>
      <c r="S88" s="171"/>
      <c r="T88" s="171"/>
      <c r="U88" s="171"/>
      <c r="V88" s="171"/>
      <c r="W88" s="171"/>
      <c r="X88" s="171"/>
      <c r="Y88" s="171"/>
      <c r="Z88" s="171"/>
    </row>
    <row r="89" spans="1:26" ht="18" customHeight="1">
      <c r="A89" s="171"/>
      <c r="B89" s="212" t="str">
        <v>RPT_02_Site Specific Analysis</v>
      </c>
      <c r="C89" s="202" t="str">
        <v>September</v>
      </c>
      <c r="D89" s="202" t="str">
        <v>DPO Approval</v>
      </c>
      <c r="E89" s="202" t="str">
        <v>No</v>
      </c>
      <c r="F89" s="202" t="str">
        <v>Nick</v>
      </c>
      <c r="G89" s="202" t="str">
        <v>Shraddha</v>
      </c>
      <c r="H89" s="202" t="str">
        <v>Olu</v>
      </c>
      <c r="I89" s="202" t="str">
        <v>Jeanne Waldron, Anthony Massimino</v>
      </c>
      <c r="J89" s="213">
        <v>46265</v>
      </c>
      <c r="K89" s="213">
        <v>46273</v>
      </c>
      <c r="L89" s="213">
        <v>46288</v>
      </c>
      <c r="M89" s="213" t="str">
        <v/>
      </c>
      <c r="N89" s="214">
        <v>0</v>
      </c>
      <c r="O89" s="202" t="str">
        <v/>
      </c>
      <c r="P89" s="171"/>
      <c r="Q89" s="171"/>
      <c r="R89" s="171"/>
      <c r="S89" s="171"/>
      <c r="T89" s="171"/>
      <c r="U89" s="171"/>
      <c r="V89" s="171"/>
      <c r="W89" s="171"/>
      <c r="X89" s="171"/>
      <c r="Y89" s="171"/>
      <c r="Z89" s="171"/>
    </row>
    <row r="90" spans="1:26" ht="18" customHeight="1">
      <c r="A90" s="171"/>
      <c r="B90" s="212" t="str">
        <v>RPT_02_PSC Wire Down Response Time</v>
      </c>
      <c r="C90" s="202" t="str">
        <v>September</v>
      </c>
      <c r="D90" s="202" t="str">
        <v>PBI Dev</v>
      </c>
      <c r="E90" s="202" t="str">
        <v>No</v>
      </c>
      <c r="F90" s="202" t="str">
        <v>Fetwi</v>
      </c>
      <c r="G90" s="202" t="str">
        <v>Sarath</v>
      </c>
      <c r="H90" s="202" t="str">
        <v/>
      </c>
      <c r="I90" s="202" t="str">
        <v>Bryan Patterson</v>
      </c>
      <c r="J90" s="213">
        <v>46282</v>
      </c>
      <c r="K90" s="213" t="str">
        <v/>
      </c>
      <c r="L90" s="213" t="str">
        <v/>
      </c>
      <c r="M90" s="213" t="str">
        <v/>
      </c>
      <c r="N90" s="214">
        <v>0</v>
      </c>
      <c r="O90" s="202" t="str">
        <v/>
      </c>
      <c r="P90" s="171"/>
      <c r="Q90" s="171"/>
      <c r="R90" s="171"/>
      <c r="S90" s="171"/>
      <c r="T90" s="171"/>
      <c r="U90" s="171"/>
      <c r="V90" s="171"/>
      <c r="W90" s="171"/>
      <c r="X90" s="171"/>
      <c r="Y90" s="171"/>
      <c r="Z90" s="171"/>
    </row>
    <row r="91" spans="1:26" ht="18" customHeight="1">
      <c r="A91" s="171"/>
      <c r="B91" s="212" t="str">
        <v>RPT_02_Hazardous Above Ground Leak</v>
      </c>
      <c r="C91" s="202" t="str">
        <v>September</v>
      </c>
      <c r="D91" s="202" t="str">
        <v>DB Dev</v>
      </c>
      <c r="E91" s="202" t="str">
        <v>No</v>
      </c>
      <c r="F91" s="202" t="str">
        <v>Fetwi</v>
      </c>
      <c r="G91" s="202" t="str">
        <v>Navya</v>
      </c>
      <c r="H91" s="202" t="str">
        <v>Kushal</v>
      </c>
      <c r="I91" s="202" t="str">
        <v>Reginald Durham, Simone Brooks, Shaunna Peters, Bill Contreras</v>
      </c>
      <c r="J91" s="213">
        <v>46254</v>
      </c>
      <c r="K91" s="213">
        <v>46254</v>
      </c>
      <c r="L91" s="213" t="str">
        <v/>
      </c>
      <c r="M91" s="213" t="str">
        <v/>
      </c>
      <c r="N91" s="214">
        <v>1</v>
      </c>
      <c r="O91" s="202" t="str">
        <v>Open rework row - mark Blocked or close it</v>
      </c>
      <c r="P91" s="171"/>
      <c r="Q91" s="171"/>
      <c r="R91" s="171"/>
      <c r="S91" s="171"/>
      <c r="T91" s="171"/>
      <c r="U91" s="171"/>
      <c r="V91" s="171"/>
      <c r="W91" s="171"/>
      <c r="X91" s="171"/>
      <c r="Y91" s="171"/>
      <c r="Z91" s="171"/>
    </row>
    <row r="92" spans="1:26" ht="18" customHeight="1">
      <c r="A92" s="171"/>
      <c r="B92" s="212" t="str">
        <v>RPT_02_AMI Contractor Completion Report</v>
      </c>
      <c r="C92" s="202" t="str">
        <v>September</v>
      </c>
      <c r="D92" s="202" t="str">
        <v>PBI Dev</v>
      </c>
      <c r="E92" s="202" t="str">
        <v>No</v>
      </c>
      <c r="F92" s="202" t="str">
        <v>Michael</v>
      </c>
      <c r="G92" s="202" t="str">
        <v>Shraddha</v>
      </c>
      <c r="H92" s="202" t="str">
        <v/>
      </c>
      <c r="I92" s="202" t="str">
        <v>Meredith Dube</v>
      </c>
      <c r="J92" s="213">
        <v>46258</v>
      </c>
      <c r="K92" s="213" t="str">
        <v/>
      </c>
      <c r="L92" s="213" t="str">
        <v/>
      </c>
      <c r="M92" s="213" t="str">
        <v/>
      </c>
      <c r="N92" s="214">
        <v>0</v>
      </c>
      <c r="O92" s="202" t="str">
        <v/>
      </c>
      <c r="P92" s="171"/>
      <c r="Q92" s="171"/>
      <c r="R92" s="171"/>
      <c r="S92" s="171"/>
      <c r="T92" s="171"/>
      <c r="U92" s="171"/>
      <c r="V92" s="171"/>
      <c r="W92" s="171"/>
      <c r="X92" s="171"/>
      <c r="Y92" s="171"/>
      <c r="Z92" s="171"/>
    </row>
    <row r="93" spans="1:26" ht="18" customHeight="1">
      <c r="A93" s="171"/>
      <c r="B93" s="212" t="str">
        <v>RPT_02_Collection Statistic</v>
      </c>
      <c r="C93" s="202" t="str">
        <v>September</v>
      </c>
      <c r="D93" s="202" t="str">
        <v>NOT STARTED</v>
      </c>
      <c r="E93" s="202" t="str">
        <v>No</v>
      </c>
      <c r="F93" s="202" t="str">
        <v>Siva</v>
      </c>
      <c r="G93" s="202" t="str">
        <v>Sarath</v>
      </c>
      <c r="H93" s="202" t="str">
        <v/>
      </c>
      <c r="I93" s="202" t="str">
        <v>Brett Palmeri</v>
      </c>
      <c r="J93" s="213" t="str">
        <v/>
      </c>
      <c r="K93" s="213" t="str">
        <v/>
      </c>
      <c r="L93" s="213" t="str">
        <v/>
      </c>
      <c r="M93" s="213" t="str">
        <v/>
      </c>
      <c r="N93" s="214">
        <v>0</v>
      </c>
      <c r="O93" s="202" t="str">
        <v/>
      </c>
      <c r="P93" s="171"/>
      <c r="Q93" s="171"/>
      <c r="R93" s="171"/>
      <c r="S93" s="171"/>
      <c r="T93" s="171"/>
      <c r="U93" s="171"/>
      <c r="V93" s="171"/>
      <c r="W93" s="171"/>
      <c r="X93" s="171"/>
      <c r="Y93" s="171"/>
      <c r="Z93" s="171"/>
    </row>
    <row r="94" spans="1:26" ht="18" customHeight="1">
      <c r="A94" s="171"/>
      <c r="B94" s="212" t="str">
        <v>RPT_02_First and Last Job</v>
      </c>
      <c r="C94" s="202" t="str">
        <v>September</v>
      </c>
      <c r="D94" s="202" t="str">
        <v>PBI Dev</v>
      </c>
      <c r="E94" s="202" t="str">
        <v>Yes – other</v>
      </c>
      <c r="F94" s="202" t="str">
        <v>Sree</v>
      </c>
      <c r="G94" s="202" t="str">
        <v>Sarath</v>
      </c>
      <c r="H94" s="202" t="str">
        <v/>
      </c>
      <c r="I94" s="202" t="str">
        <v>Oneil Lashley</v>
      </c>
      <c r="J94" s="213">
        <v>46276</v>
      </c>
      <c r="K94" s="213" t="str">
        <v/>
      </c>
      <c r="L94" s="213" t="str">
        <v/>
      </c>
      <c r="M94" s="213" t="str">
        <v/>
      </c>
      <c r="N94" s="214">
        <v>0</v>
      </c>
      <c r="O94" s="202" t="str">
        <v>Blocked - log it on Rework Log</v>
      </c>
      <c r="P94" s="171"/>
      <c r="Q94" s="171"/>
      <c r="R94" s="171"/>
      <c r="S94" s="171"/>
      <c r="T94" s="171"/>
      <c r="U94" s="171"/>
      <c r="V94" s="171"/>
      <c r="W94" s="171"/>
      <c r="X94" s="171"/>
      <c r="Y94" s="171"/>
      <c r="Z94" s="171"/>
    </row>
    <row r="95" spans="1:26" ht="18" customHeight="1">
      <c r="A95" s="171"/>
      <c r="B95" s="212" t="str">
        <v>RPT_02_Rate Class</v>
      </c>
      <c r="C95" s="202" t="str">
        <v>September</v>
      </c>
      <c r="D95" s="202" t="str">
        <v>DPO Approval</v>
      </c>
      <c r="E95" s="202" t="str">
        <v>No</v>
      </c>
      <c r="F95" s="202" t="str">
        <v>Fetwi</v>
      </c>
      <c r="G95" s="202" t="str">
        <v>Navya</v>
      </c>
      <c r="H95" s="202" t="str">
        <v>Preety</v>
      </c>
      <c r="I95" s="202" t="str">
        <v>Zishan Momin</v>
      </c>
      <c r="J95" s="213">
        <v>46259</v>
      </c>
      <c r="K95" s="213">
        <v>46281</v>
      </c>
      <c r="L95" s="213" t="str">
        <v/>
      </c>
      <c r="M95" s="213" t="str">
        <v/>
      </c>
      <c r="N95" s="214">
        <v>0</v>
      </c>
      <c r="O95" s="202" t="str">
        <v/>
      </c>
      <c r="P95" s="171"/>
      <c r="Q95" s="171"/>
      <c r="R95" s="171"/>
      <c r="S95" s="171"/>
      <c r="T95" s="171"/>
      <c r="U95" s="171"/>
      <c r="V95" s="171"/>
      <c r="W95" s="171"/>
      <c r="X95" s="171"/>
      <c r="Y95" s="171"/>
      <c r="Z95" s="171"/>
    </row>
    <row r="96" spans="1:26" ht="18" customHeight="1">
      <c r="A96" s="171"/>
      <c r="B96" s="212" t="str">
        <v>RPT_04_Leak Recheck Times</v>
      </c>
      <c r="C96" s="202" t="str">
        <v>September</v>
      </c>
      <c r="D96" s="202" t="str">
        <v>PBI Dev</v>
      </c>
      <c r="E96" s="202" t="str">
        <v>No</v>
      </c>
      <c r="F96" s="202" t="str">
        <v>Rupa</v>
      </c>
      <c r="G96" s="202" t="str">
        <v>Shraddha</v>
      </c>
      <c r="H96" s="202" t="str">
        <v>Preety</v>
      </c>
      <c r="I96" s="202" t="str">
        <v>Shaunna Peters</v>
      </c>
      <c r="J96" s="213">
        <v>46258</v>
      </c>
      <c r="K96" s="213">
        <v>46276</v>
      </c>
      <c r="L96" s="213" t="str">
        <v/>
      </c>
      <c r="M96" s="213" t="str">
        <v/>
      </c>
      <c r="N96" s="214">
        <v>0</v>
      </c>
      <c r="O96" s="202" t="str">
        <v>Move status to QA</v>
      </c>
      <c r="P96" s="171"/>
      <c r="Q96" s="171"/>
      <c r="R96" s="171"/>
      <c r="S96" s="171"/>
      <c r="T96" s="171"/>
      <c r="U96" s="171"/>
      <c r="V96" s="171"/>
      <c r="W96" s="171"/>
      <c r="X96" s="171"/>
      <c r="Y96" s="171"/>
      <c r="Z96" s="171"/>
    </row>
    <row r="97" spans="1:26" ht="18" customHeight="1">
      <c r="A97" s="171"/>
      <c r="B97" s="212" t="str">
        <v>RPT_02_Service Resource Activity</v>
      </c>
      <c r="C97" s="202" t="str">
        <v>October</v>
      </c>
      <c r="D97" s="202" t="str">
        <v>QA</v>
      </c>
      <c r="E97" s="202" t="str">
        <v/>
      </c>
      <c r="F97" s="202" t="str">
        <v>Rupa</v>
      </c>
      <c r="G97" s="202" t="str">
        <v>Shraddha</v>
      </c>
      <c r="H97" s="202" t="str">
        <v>Preety</v>
      </c>
      <c r="I97" s="202" t="str">
        <v>Simone Brooks</v>
      </c>
      <c r="J97" s="213">
        <v>46259</v>
      </c>
      <c r="K97" s="213">
        <v>46289</v>
      </c>
      <c r="L97" s="213" t="str">
        <v/>
      </c>
      <c r="M97" s="213" t="str">
        <v/>
      </c>
      <c r="N97" s="214">
        <v>0</v>
      </c>
      <c r="O97" s="202" t="str">
        <v/>
      </c>
      <c r="P97" s="171"/>
      <c r="Q97" s="171"/>
      <c r="R97" s="171"/>
      <c r="S97" s="171"/>
      <c r="T97" s="171"/>
      <c r="U97" s="171"/>
      <c r="V97" s="171"/>
      <c r="W97" s="171"/>
      <c r="X97" s="171"/>
      <c r="Y97" s="171"/>
      <c r="Z97" s="171"/>
    </row>
    <row r="98" spans="1:26" ht="18" customHeight="1">
      <c r="A98" s="171"/>
      <c r="B98" s="212" t="str">
        <v>RPT_02_Incomplete Service Appointments</v>
      </c>
      <c r="C98" s="202" t="str">
        <v>October</v>
      </c>
      <c r="D98" s="202" t="str">
        <v>PBI Dev</v>
      </c>
      <c r="E98" s="202" t="str">
        <v/>
      </c>
      <c r="F98" s="202" t="str">
        <v>Michael</v>
      </c>
      <c r="G98" s="202" t="str">
        <v>Shraddha</v>
      </c>
      <c r="H98" s="202" t="str">
        <v>Preety</v>
      </c>
      <c r="I98" s="202" t="str">
        <v>Shaunna Peters</v>
      </c>
      <c r="J98" s="213">
        <v>46269</v>
      </c>
      <c r="K98" s="213" t="str">
        <v/>
      </c>
      <c r="L98" s="213" t="str">
        <v/>
      </c>
      <c r="M98" s="213" t="str">
        <v/>
      </c>
      <c r="N98" s="214">
        <v>0</v>
      </c>
      <c r="O98" s="202" t="str">
        <v/>
      </c>
      <c r="P98" s="171"/>
      <c r="Q98" s="171"/>
      <c r="R98" s="171"/>
      <c r="S98" s="171"/>
      <c r="T98" s="171"/>
      <c r="U98" s="171"/>
      <c r="V98" s="171"/>
      <c r="W98" s="171"/>
      <c r="X98" s="171"/>
      <c r="Y98" s="171"/>
      <c r="Z98" s="171"/>
    </row>
    <row r="99" spans="1:26" ht="18" customHeight="1">
      <c r="A99" s="171"/>
      <c r="B99" s="212" t="str">
        <v>RPT_02_Emergency Response Time Review Report</v>
      </c>
      <c r="C99" s="202" t="str">
        <v>October</v>
      </c>
      <c r="D99" s="202" t="str">
        <v>NOT STARTED</v>
      </c>
      <c r="E99" s="202" t="str">
        <v/>
      </c>
      <c r="F99" s="202" t="str">
        <v>Siva</v>
      </c>
      <c r="G99" s="202" t="str">
        <v/>
      </c>
      <c r="H99" s="202" t="str">
        <v/>
      </c>
      <c r="I99" s="202" t="str">
        <v>Christina Illingworth</v>
      </c>
      <c r="J99" s="213" t="str">
        <v/>
      </c>
      <c r="K99" s="213" t="str">
        <v/>
      </c>
      <c r="L99" s="213" t="str">
        <v/>
      </c>
      <c r="M99" s="213" t="str">
        <v/>
      </c>
      <c r="N99" s="214">
        <v>0</v>
      </c>
      <c r="O99" s="202" t="str">
        <v/>
      </c>
      <c r="P99" s="171"/>
      <c r="Q99" s="171"/>
      <c r="R99" s="171"/>
      <c r="S99" s="171"/>
      <c r="T99" s="171"/>
      <c r="U99" s="171"/>
      <c r="V99" s="171"/>
      <c r="W99" s="171"/>
      <c r="X99" s="171"/>
      <c r="Y99" s="171"/>
      <c r="Z99" s="171"/>
    </row>
    <row r="100" spans="1:26" ht="18" customHeight="1">
      <c r="A100" s="171"/>
      <c r="B100" s="212" t="str">
        <v>RPT_02_Personal Injury and Shock Investigation</v>
      </c>
      <c r="C100" s="202" t="str">
        <v>October</v>
      </c>
      <c r="D100" s="202" t="str">
        <v>NOT STARTED</v>
      </c>
      <c r="E100" s="202" t="str">
        <v/>
      </c>
      <c r="F100" s="202" t="str">
        <v>Siva</v>
      </c>
      <c r="G100" s="202" t="str">
        <v/>
      </c>
      <c r="H100" s="202" t="str">
        <v/>
      </c>
      <c r="I100" s="202" t="str">
        <v>Christina Illingworth</v>
      </c>
      <c r="J100" s="213" t="str">
        <v/>
      </c>
      <c r="K100" s="213" t="str">
        <v/>
      </c>
      <c r="L100" s="213" t="str">
        <v/>
      </c>
      <c r="M100" s="213" t="str">
        <v/>
      </c>
      <c r="N100" s="214">
        <v>0</v>
      </c>
      <c r="O100" s="202" t="str">
        <v/>
      </c>
      <c r="P100" s="171"/>
      <c r="Q100" s="171"/>
      <c r="R100" s="171"/>
      <c r="S100" s="171"/>
      <c r="T100" s="171"/>
      <c r="U100" s="171"/>
      <c r="V100" s="171"/>
      <c r="W100" s="171"/>
      <c r="X100" s="171"/>
      <c r="Y100" s="171"/>
      <c r="Z100" s="171"/>
    </row>
    <row r="101" spans="1:26" ht="18" customHeight="1">
      <c r="A101" s="171"/>
      <c r="B101" s="212" t="str">
        <v>RPT_02_Emergency Response Statistics</v>
      </c>
      <c r="C101" s="202" t="str">
        <v>October</v>
      </c>
      <c r="D101" s="202" t="str">
        <v>NOT STARTED</v>
      </c>
      <c r="E101" s="202" t="str">
        <v/>
      </c>
      <c r="F101" s="202" t="str">
        <v>Nick</v>
      </c>
      <c r="G101" s="202" t="str">
        <v/>
      </c>
      <c r="H101" s="202" t="str">
        <v/>
      </c>
      <c r="I101" s="202" t="str">
        <v>Christina Illingworth</v>
      </c>
      <c r="J101" s="213" t="str">
        <v/>
      </c>
      <c r="K101" s="213" t="str">
        <v/>
      </c>
      <c r="L101" s="213" t="str">
        <v/>
      </c>
      <c r="M101" s="213" t="str">
        <v/>
      </c>
      <c r="N101" s="214">
        <v>0</v>
      </c>
      <c r="O101" s="202" t="str">
        <v/>
      </c>
      <c r="P101" s="171"/>
      <c r="Q101" s="171"/>
      <c r="R101" s="171"/>
      <c r="S101" s="171"/>
      <c r="T101" s="171"/>
      <c r="U101" s="171"/>
      <c r="V101" s="171"/>
      <c r="W101" s="171"/>
      <c r="X101" s="171"/>
      <c r="Y101" s="171"/>
      <c r="Z101" s="171"/>
    </row>
    <row r="102" spans="1:26" ht="18" customHeight="1">
      <c r="A102" s="171"/>
      <c r="B102" s="212" t="str">
        <v>RPT_02_Emergency Time Adjustments Log</v>
      </c>
      <c r="C102" s="202" t="str">
        <v>October</v>
      </c>
      <c r="D102" s="202" t="str">
        <v>PBI Dev</v>
      </c>
      <c r="E102" s="211" t="str">
        <v>Yes – needs DB Dev to fix</v>
      </c>
      <c r="F102" s="202" t="str">
        <v>Fetwi</v>
      </c>
      <c r="G102" s="202" t="str">
        <v>Navya</v>
      </c>
      <c r="H102" s="202" t="str">
        <v/>
      </c>
      <c r="I102" s="202" t="str">
        <v>Bryan Patterson, Reginald Durham, Shaunna Peters, Simone Brooks, Bill Contreras</v>
      </c>
      <c r="J102" s="213">
        <v>46266</v>
      </c>
      <c r="K102" s="213" t="str">
        <v/>
      </c>
      <c r="L102" s="213" t="str">
        <v/>
      </c>
      <c r="M102" s="213" t="str">
        <v/>
      </c>
      <c r="N102" s="214">
        <v>0</v>
      </c>
      <c r="O102" s="202" t="str">
        <v>Blocked - log it on Rework Log</v>
      </c>
      <c r="P102" s="171"/>
      <c r="Q102" s="171"/>
      <c r="R102" s="171"/>
      <c r="S102" s="171"/>
      <c r="T102" s="171"/>
      <c r="U102" s="171"/>
      <c r="V102" s="171"/>
      <c r="W102" s="171"/>
      <c r="X102" s="171"/>
      <c r="Y102" s="171"/>
      <c r="Z102" s="171"/>
    </row>
    <row r="103" spans="1:26" ht="18" customHeight="1">
      <c r="A103" s="171"/>
      <c r="B103" s="212" t="str">
        <v>RPT_02_PSC Soft Off Report</v>
      </c>
      <c r="C103" s="202" t="str">
        <v>October</v>
      </c>
      <c r="D103" s="202" t="str">
        <v>PBI Dev</v>
      </c>
      <c r="E103" s="211" t="str">
        <v/>
      </c>
      <c r="F103" s="202" t="str">
        <v>Rupa</v>
      </c>
      <c r="G103" s="202" t="str">
        <v>Navya</v>
      </c>
      <c r="H103" s="202" t="str">
        <v/>
      </c>
      <c r="I103" s="202" t="str">
        <v>Angela Keegan</v>
      </c>
      <c r="J103" s="213">
        <v>46266</v>
      </c>
      <c r="K103" s="213" t="str">
        <v/>
      </c>
      <c r="L103" s="213" t="str">
        <v/>
      </c>
      <c r="M103" s="213" t="str">
        <v/>
      </c>
      <c r="N103" s="214">
        <v>0</v>
      </c>
      <c r="O103" s="202" t="str">
        <v/>
      </c>
      <c r="P103" s="171"/>
      <c r="Q103" s="171"/>
      <c r="R103" s="171"/>
      <c r="S103" s="171"/>
      <c r="T103" s="171"/>
      <c r="U103" s="171"/>
      <c r="V103" s="171"/>
      <c r="W103" s="171"/>
      <c r="X103" s="171"/>
      <c r="Y103" s="171"/>
      <c r="Z103" s="171"/>
    </row>
    <row r="104" spans="1:26" ht="18" customHeight="1">
      <c r="A104" s="171"/>
      <c r="B104" s="212" t="str">
        <v>RPT_02_Service Interruptions</v>
      </c>
      <c r="C104" s="202" t="str">
        <v>October</v>
      </c>
      <c r="D104" s="211" t="str">
        <v>PBI Dev</v>
      </c>
      <c r="E104" s="202" t="str">
        <v/>
      </c>
      <c r="F104" s="202" t="str">
        <v>Geetha</v>
      </c>
      <c r="G104" s="202" t="str">
        <v>Navya</v>
      </c>
      <c r="H104" s="202" t="str">
        <v>Preety</v>
      </c>
      <c r="I104" s="202" t="str">
        <v>Bryan Patterson, Reginald Durham, Bill Contreras</v>
      </c>
      <c r="J104" s="213">
        <v>46280</v>
      </c>
      <c r="K104" s="213" t="str">
        <v/>
      </c>
      <c r="L104" s="213" t="str">
        <v/>
      </c>
      <c r="M104" s="213" t="str">
        <v/>
      </c>
      <c r="N104" s="214">
        <v>0</v>
      </c>
      <c r="O104" s="202" t="str">
        <v/>
      </c>
      <c r="P104" s="171"/>
      <c r="Q104" s="171"/>
      <c r="R104" s="171"/>
      <c r="S104" s="171"/>
      <c r="T104" s="171"/>
      <c r="U104" s="171"/>
      <c r="V104" s="171"/>
      <c r="W104" s="171"/>
      <c r="X104" s="171"/>
      <c r="Y104" s="171"/>
      <c r="Z104" s="171"/>
    </row>
    <row r="105" spans="1:26" ht="18" customHeight="1">
      <c r="A105" s="171"/>
      <c r="B105" s="212" t="str">
        <v>RPT_02_Duty to Inspect</v>
      </c>
      <c r="C105" s="202" t="str">
        <v>October</v>
      </c>
      <c r="D105" s="202" t="str">
        <v>QA</v>
      </c>
      <c r="E105" s="202" t="str">
        <v/>
      </c>
      <c r="F105" s="202" t="str">
        <v>Geetha</v>
      </c>
      <c r="G105" s="202" t="str">
        <v>Navya</v>
      </c>
      <c r="H105" s="202" t="str">
        <v>Preety</v>
      </c>
      <c r="I105" s="202" t="str">
        <v>Bryan Patterson</v>
      </c>
      <c r="J105" s="213">
        <v>46287</v>
      </c>
      <c r="K105" s="213">
        <v>46294</v>
      </c>
      <c r="L105" s="213" t="str">
        <v/>
      </c>
      <c r="M105" s="213" t="str">
        <v/>
      </c>
      <c r="N105" s="214">
        <v>0</v>
      </c>
      <c r="O105" s="202" t="str">
        <v/>
      </c>
      <c r="P105" s="171"/>
      <c r="Q105" s="171"/>
      <c r="R105" s="171"/>
      <c r="S105" s="171"/>
      <c r="T105" s="171"/>
      <c r="U105" s="171"/>
      <c r="V105" s="171"/>
      <c r="W105" s="171"/>
      <c r="X105" s="171"/>
      <c r="Y105" s="171"/>
      <c r="Z105" s="171"/>
    </row>
    <row r="106" spans="1:26" ht="18" customHeight="1">
      <c r="A106" s="171"/>
      <c r="B106" s="212" t="str">
        <v>RPT_02_Service Appointment Life Cycle</v>
      </c>
      <c r="C106" s="202" t="str">
        <v>October</v>
      </c>
      <c r="D106" s="202" t="str">
        <v>DB Dev</v>
      </c>
      <c r="E106" s="202" t="str">
        <v/>
      </c>
      <c r="F106" s="202" t="str">
        <v>Nick</v>
      </c>
      <c r="G106" s="202" t="str">
        <v>Shraddha</v>
      </c>
      <c r="H106" s="202" t="str">
        <v>Preety</v>
      </c>
      <c r="I106" s="202" t="str">
        <v>Megan Piccarreto</v>
      </c>
      <c r="J106" s="213">
        <v>46283</v>
      </c>
      <c r="K106" s="213" t="str">
        <v/>
      </c>
      <c r="L106" s="213" t="str">
        <v/>
      </c>
      <c r="M106" s="213" t="str">
        <v/>
      </c>
      <c r="N106" s="214">
        <v>0</v>
      </c>
      <c r="O106" s="202" t="str">
        <v>Move status to PBI Dev</v>
      </c>
      <c r="P106" s="171"/>
      <c r="Q106" s="171"/>
      <c r="R106" s="171"/>
      <c r="S106" s="171"/>
      <c r="T106" s="171"/>
      <c r="U106" s="171"/>
      <c r="V106" s="171"/>
      <c r="W106" s="171"/>
      <c r="X106" s="171"/>
      <c r="Y106" s="171"/>
      <c r="Z106" s="171"/>
    </row>
    <row r="107" spans="1:26" ht="18" customHeight="1">
      <c r="A107" s="171"/>
      <c r="B107" s="212" t="str">
        <v>RPT_02_PSC Inactive Account</v>
      </c>
      <c r="C107" s="202" t="str">
        <v>October</v>
      </c>
      <c r="D107" s="202" t="str">
        <v>PBI Dev</v>
      </c>
      <c r="E107" s="202" t="str">
        <v/>
      </c>
      <c r="F107" s="202" t="str">
        <v>Rupa</v>
      </c>
      <c r="G107" s="202" t="str">
        <v>Shraddha</v>
      </c>
      <c r="H107" s="202" t="str">
        <v>Preety</v>
      </c>
      <c r="I107" s="202" t="str">
        <v>Reginald Durham, Simone Brooks</v>
      </c>
      <c r="J107" s="213">
        <v>46268</v>
      </c>
      <c r="K107" s="213">
        <v>46294</v>
      </c>
      <c r="L107" s="213" t="str">
        <v/>
      </c>
      <c r="M107" s="213" t="str">
        <v/>
      </c>
      <c r="N107" s="214">
        <v>0</v>
      </c>
      <c r="O107" s="202" t="str">
        <v>Move status to QA</v>
      </c>
      <c r="P107" s="171"/>
      <c r="Q107" s="171"/>
      <c r="R107" s="171"/>
      <c r="S107" s="171"/>
      <c r="T107" s="171"/>
      <c r="U107" s="171"/>
      <c r="V107" s="171"/>
      <c r="W107" s="171"/>
      <c r="X107" s="171"/>
      <c r="Y107" s="171"/>
      <c r="Z107" s="171"/>
    </row>
    <row r="108" spans="1:26" ht="18" customHeight="1">
      <c r="A108" s="171"/>
      <c r="B108" s="212" t="str">
        <v>RPT_02_Service Resource Performance</v>
      </c>
      <c r="C108" s="202" t="str">
        <v>October</v>
      </c>
      <c r="D108" s="202" t="str">
        <v>PBI Dev</v>
      </c>
      <c r="E108" s="202" t="str">
        <v/>
      </c>
      <c r="F108" s="202" t="str">
        <v>Rupa</v>
      </c>
      <c r="G108" s="202" t="str">
        <v>Navya</v>
      </c>
      <c r="H108" s="202" t="str">
        <v/>
      </c>
      <c r="I108" s="202" t="str">
        <v>Oneil Lashley</v>
      </c>
      <c r="J108" s="213">
        <v>46286</v>
      </c>
      <c r="K108" s="213" t="str">
        <v/>
      </c>
      <c r="L108" s="213" t="str">
        <v/>
      </c>
      <c r="M108" s="213" t="str">
        <v/>
      </c>
      <c r="N108" s="214">
        <v>0</v>
      </c>
      <c r="O108" s="202" t="str">
        <v/>
      </c>
      <c r="P108" s="171"/>
      <c r="Q108" s="171"/>
      <c r="R108" s="171"/>
      <c r="S108" s="171"/>
      <c r="T108" s="171"/>
      <c r="U108" s="171"/>
      <c r="V108" s="171"/>
      <c r="W108" s="171"/>
      <c r="X108" s="171"/>
      <c r="Y108" s="171"/>
      <c r="Z108" s="171"/>
    </row>
    <row r="109" spans="1:26" ht="18" customHeight="1">
      <c r="A109" s="171"/>
      <c r="B109" s="212" t="str">
        <v>RPT_02_Emergency Leak Response Metric (6 sub reports)</v>
      </c>
      <c r="C109" s="202" t="str">
        <v>October</v>
      </c>
      <c r="D109" s="202" t="str">
        <v>NOT STARTED</v>
      </c>
      <c r="E109" s="202" t="str">
        <v/>
      </c>
      <c r="F109" s="202" t="str">
        <v>Fetwi</v>
      </c>
      <c r="G109" s="202" t="str">
        <v>Navya</v>
      </c>
      <c r="H109" s="202" t="str">
        <v/>
      </c>
      <c r="I109" s="202" t="str">
        <v>Bryan Patterson, Reginald Durham, Shaunna Peters, Simone Brooks, Bill Contreras</v>
      </c>
      <c r="J109" s="213" t="str">
        <v/>
      </c>
      <c r="K109" s="213" t="str">
        <v/>
      </c>
      <c r="L109" s="213" t="str">
        <v/>
      </c>
      <c r="M109" s="213" t="str">
        <v/>
      </c>
      <c r="N109" s="214">
        <v>0</v>
      </c>
      <c r="O109" s="202" t="str">
        <v/>
      </c>
      <c r="P109" s="171"/>
      <c r="Q109" s="171"/>
      <c r="R109" s="171"/>
      <c r="S109" s="171"/>
      <c r="T109" s="171"/>
      <c r="U109" s="171"/>
      <c r="V109" s="171"/>
      <c r="W109" s="171"/>
      <c r="X109" s="171"/>
      <c r="Y109" s="171"/>
      <c r="Z109" s="171"/>
    </row>
    <row r="110" spans="1:26" ht="18" customHeight="1">
      <c r="A110" s="171"/>
      <c r="B110" s="212" t="str">
        <v>RPT_02_Fixed Factor Mismatch</v>
      </c>
      <c r="C110" s="202" t="str">
        <v>November</v>
      </c>
      <c r="D110" s="202" t="str">
        <v>NOT STARTED</v>
      </c>
      <c r="E110" s="202" t="str">
        <v/>
      </c>
      <c r="F110" s="202" t="str">
        <v>Siddu</v>
      </c>
      <c r="G110" s="202" t="str">
        <v/>
      </c>
      <c r="H110" s="202" t="str">
        <v/>
      </c>
      <c r="I110" s="202" t="str">
        <v>Matthew Menicucci</v>
      </c>
      <c r="J110" s="213">
        <v>46290</v>
      </c>
      <c r="K110" s="213" t="str">
        <v/>
      </c>
      <c r="L110" s="213" t="str">
        <v/>
      </c>
      <c r="M110" s="213" t="str">
        <v/>
      </c>
      <c r="N110" s="214">
        <v>0</v>
      </c>
      <c r="O110" s="202" t="str">
        <v>Move status to PBI Dev</v>
      </c>
      <c r="P110" s="171"/>
      <c r="Q110" s="171"/>
      <c r="R110" s="171"/>
      <c r="S110" s="171"/>
      <c r="T110" s="171"/>
      <c r="U110" s="171"/>
      <c r="V110" s="171"/>
      <c r="W110" s="171"/>
      <c r="X110" s="171"/>
      <c r="Y110" s="171"/>
      <c r="Z110" s="171"/>
    </row>
    <row r="111" spans="1:26" ht="18" customHeight="1">
      <c r="A111" s="171"/>
      <c r="B111" s="212" t="str">
        <v>RPT_02_Light Up Orders</v>
      </c>
      <c r="C111" s="202" t="str">
        <v>November</v>
      </c>
      <c r="D111" s="202" t="str">
        <v>NOT STARTED</v>
      </c>
      <c r="E111" s="202" t="str">
        <v/>
      </c>
      <c r="F111" s="202" t="str">
        <v>Siva</v>
      </c>
      <c r="G111" s="202" t="str">
        <v/>
      </c>
      <c r="H111" s="202" t="str">
        <v/>
      </c>
      <c r="I111" s="202" t="str">
        <v>Shaunna Peters</v>
      </c>
      <c r="J111" s="213" t="str">
        <v/>
      </c>
      <c r="K111" s="213" t="str">
        <v/>
      </c>
      <c r="L111" s="213" t="str">
        <v/>
      </c>
      <c r="M111" s="213" t="str">
        <v/>
      </c>
      <c r="N111" s="214">
        <v>0</v>
      </c>
      <c r="O111" s="202" t="str">
        <v/>
      </c>
      <c r="P111" s="171"/>
      <c r="Q111" s="171"/>
      <c r="R111" s="171"/>
      <c r="S111" s="171"/>
      <c r="T111" s="171"/>
      <c r="U111" s="171"/>
      <c r="V111" s="171"/>
      <c r="W111" s="171"/>
      <c r="X111" s="171"/>
      <c r="Y111" s="171"/>
      <c r="Z111" s="171"/>
    </row>
    <row r="112" spans="1:26" ht="18" customHeight="1">
      <c r="A112" s="171"/>
      <c r="B112" s="212" t="str">
        <v>RPT_02_Meter To Billing Report</v>
      </c>
      <c r="C112" s="202" t="str">
        <v>November</v>
      </c>
      <c r="D112" s="202" t="str">
        <v>NOT STARTED</v>
      </c>
      <c r="E112" s="202" t="str">
        <v/>
      </c>
      <c r="F112" s="202" t="str">
        <v>Siva</v>
      </c>
      <c r="G112" s="202" t="str">
        <v/>
      </c>
      <c r="H112" s="202" t="str">
        <v/>
      </c>
      <c r="I112" s="202" t="str">
        <v>Shaunna Peters</v>
      </c>
      <c r="J112" s="213" t="str">
        <v/>
      </c>
      <c r="K112" s="213" t="str">
        <v/>
      </c>
      <c r="L112" s="213" t="str">
        <v/>
      </c>
      <c r="M112" s="213" t="str">
        <v/>
      </c>
      <c r="N112" s="214">
        <v>0</v>
      </c>
      <c r="O112" s="202" t="str">
        <v/>
      </c>
      <c r="P112" s="171"/>
      <c r="Q112" s="171"/>
      <c r="R112" s="171"/>
      <c r="S112" s="171"/>
      <c r="T112" s="171"/>
      <c r="U112" s="171"/>
      <c r="V112" s="171"/>
      <c r="W112" s="171"/>
      <c r="X112" s="171"/>
      <c r="Y112" s="171"/>
      <c r="Z112" s="171"/>
    </row>
    <row r="113" spans="1:26" ht="18" customHeight="1">
      <c r="A113" s="171"/>
      <c r="B113" s="212" t="str">
        <v>RPT_02_Install Meter Orders</v>
      </c>
      <c r="C113" s="202" t="str">
        <v>November</v>
      </c>
      <c r="D113" s="202" t="str">
        <v>NOT STARTED</v>
      </c>
      <c r="E113" s="202" t="str">
        <v/>
      </c>
      <c r="F113" s="202" t="str">
        <v>Michael</v>
      </c>
      <c r="G113" s="202" t="str">
        <v/>
      </c>
      <c r="H113" s="202" t="str">
        <v/>
      </c>
      <c r="I113" s="202" t="str">
        <v>Shaunna Peters</v>
      </c>
      <c r="J113" s="213">
        <v>46282</v>
      </c>
      <c r="K113" s="213" t="str">
        <v/>
      </c>
      <c r="L113" s="213" t="str">
        <v/>
      </c>
      <c r="M113" s="213" t="str">
        <v/>
      </c>
      <c r="N113" s="214">
        <v>0</v>
      </c>
      <c r="O113" s="202" t="str">
        <v>Move status to PBI Dev</v>
      </c>
      <c r="P113" s="171"/>
      <c r="Q113" s="171"/>
      <c r="R113" s="171"/>
      <c r="S113" s="171"/>
      <c r="T113" s="171"/>
      <c r="U113" s="171"/>
      <c r="V113" s="171"/>
      <c r="W113" s="171"/>
      <c r="X113" s="171"/>
      <c r="Y113" s="171"/>
      <c r="Z113" s="171"/>
    </row>
    <row r="114" spans="1:26" ht="18" customHeight="1">
      <c r="A114" s="171"/>
      <c r="B114" s="212" t="str">
        <v>RPT_02_Non Emergency Orders</v>
      </c>
      <c r="C114" s="202" t="str">
        <v>November</v>
      </c>
      <c r="D114" s="202" t="str">
        <v>NOT STARTED</v>
      </c>
      <c r="E114" s="202" t="str">
        <v/>
      </c>
      <c r="F114" s="202" t="str">
        <v>Michael</v>
      </c>
      <c r="G114" s="202" t="str">
        <v/>
      </c>
      <c r="H114" s="202" t="str">
        <v/>
      </c>
      <c r="I114" s="202" t="str">
        <v>Shaunna Peters</v>
      </c>
      <c r="J114" s="213" t="str">
        <v/>
      </c>
      <c r="K114" s="213" t="str">
        <v/>
      </c>
      <c r="L114" s="213" t="str">
        <v/>
      </c>
      <c r="M114" s="213" t="str">
        <v/>
      </c>
      <c r="N114" s="214">
        <v>0</v>
      </c>
      <c r="O114" s="202" t="str">
        <v/>
      </c>
      <c r="P114" s="171"/>
      <c r="Q114" s="171"/>
      <c r="R114" s="171"/>
      <c r="S114" s="171"/>
      <c r="T114" s="171"/>
      <c r="U114" s="171"/>
      <c r="V114" s="171"/>
      <c r="W114" s="171"/>
      <c r="X114" s="171"/>
      <c r="Y114" s="171"/>
      <c r="Z114" s="171"/>
    </row>
    <row r="115" spans="1:26" ht="18" customHeight="1">
      <c r="A115" s="171"/>
      <c r="B115" s="212" t="str">
        <v>RPT_02_Carbon Monoxide</v>
      </c>
      <c r="C115" s="202" t="str">
        <v>November</v>
      </c>
      <c r="D115" s="202" t="str">
        <v>NOT STARTED</v>
      </c>
      <c r="E115" s="202" t="str">
        <v/>
      </c>
      <c r="F115" s="202" t="str">
        <v>Sree</v>
      </c>
      <c r="G115" s="202" t="str">
        <v/>
      </c>
      <c r="H115" s="202" t="str">
        <v/>
      </c>
      <c r="I115" s="202" t="str">
        <v>Bryan Patterson, Reginald Durham, Simone Brooks, Bill Contreras</v>
      </c>
      <c r="J115" s="213">
        <v>46273</v>
      </c>
      <c r="K115" s="213" t="str">
        <v/>
      </c>
      <c r="L115" s="213" t="str">
        <v/>
      </c>
      <c r="M115" s="213" t="str">
        <v/>
      </c>
      <c r="N115" s="214">
        <v>0</v>
      </c>
      <c r="O115" s="202" t="str">
        <v>Move status to PBI Dev</v>
      </c>
      <c r="P115" s="171"/>
      <c r="Q115" s="171"/>
      <c r="R115" s="171"/>
      <c r="S115" s="171"/>
      <c r="T115" s="171"/>
      <c r="U115" s="171"/>
      <c r="V115" s="171"/>
      <c r="W115" s="171"/>
      <c r="X115" s="171"/>
      <c r="Y115" s="171"/>
      <c r="Z115" s="171"/>
    </row>
    <row r="116" spans="1:26" ht="18" customHeight="1">
      <c r="A116" s="171"/>
      <c r="B116" s="212" t="str">
        <v>RPT_02_All Jobs</v>
      </c>
      <c r="C116" s="202" t="str">
        <v>November</v>
      </c>
      <c r="D116" s="202" t="str">
        <v>NOT STARTED</v>
      </c>
      <c r="E116" s="202" t="str">
        <v/>
      </c>
      <c r="F116" s="202" t="str">
        <v>Siddu</v>
      </c>
      <c r="G116" s="202" t="str">
        <v/>
      </c>
      <c r="H116" s="202" t="str">
        <v/>
      </c>
      <c r="I116" s="202" t="str">
        <v>Shaunna Peters</v>
      </c>
      <c r="J116" s="213">
        <v>46275</v>
      </c>
      <c r="K116" s="213" t="str">
        <v/>
      </c>
      <c r="L116" s="213" t="str">
        <v/>
      </c>
      <c r="M116" s="213" t="str">
        <v/>
      </c>
      <c r="N116" s="214">
        <v>0</v>
      </c>
      <c r="O116" s="202" t="str">
        <v>Move status to PBI Dev</v>
      </c>
      <c r="P116" s="171"/>
      <c r="Q116" s="171"/>
      <c r="R116" s="171"/>
      <c r="S116" s="171"/>
      <c r="T116" s="171"/>
      <c r="U116" s="171"/>
      <c r="V116" s="171"/>
      <c r="W116" s="171"/>
      <c r="X116" s="171"/>
      <c r="Y116" s="171"/>
      <c r="Z116" s="171"/>
    </row>
    <row r="117" spans="1:26" ht="18" customHeight="1">
      <c r="A117" s="171"/>
      <c r="B117" s="212" t="str">
        <v>RPT_02_BCP Service Appointment WOs</v>
      </c>
      <c r="C117" s="202" t="str">
        <v>November</v>
      </c>
      <c r="D117" s="202" t="str">
        <v>NOT STARTED</v>
      </c>
      <c r="E117" s="202" t="str">
        <v/>
      </c>
      <c r="F117" s="202" t="str">
        <v>Nick</v>
      </c>
      <c r="G117" s="202" t="str">
        <v/>
      </c>
      <c r="H117" s="202" t="str">
        <v/>
      </c>
      <c r="I117" s="202" t="str">
        <v>Reginald Durham, Bill Contreras</v>
      </c>
      <c r="J117" s="213" t="str">
        <v/>
      </c>
      <c r="K117" s="213" t="str">
        <v/>
      </c>
      <c r="L117" s="213" t="str">
        <v/>
      </c>
      <c r="M117" s="213" t="str">
        <v/>
      </c>
      <c r="N117" s="214">
        <v>0</v>
      </c>
      <c r="O117" s="202" t="str">
        <v/>
      </c>
      <c r="P117" s="171"/>
      <c r="Q117" s="171"/>
      <c r="R117" s="171"/>
      <c r="S117" s="171"/>
      <c r="T117" s="171"/>
      <c r="U117" s="171"/>
      <c r="V117" s="171"/>
      <c r="W117" s="171"/>
      <c r="X117" s="171"/>
      <c r="Y117" s="171"/>
      <c r="Z117" s="171"/>
    </row>
    <row r="118" spans="1:26" ht="18" customHeight="1">
      <c r="A118" s="171"/>
      <c r="B118" s="212" t="str">
        <v>RPT_02_Meter Order Tracking</v>
      </c>
      <c r="C118" s="202" t="str">
        <v>November</v>
      </c>
      <c r="D118" s="202" t="str">
        <v>NOT STARTED</v>
      </c>
      <c r="E118" s="202" t="str">
        <v/>
      </c>
      <c r="F118" s="202" t="str">
        <v>Nick</v>
      </c>
      <c r="G118" s="202" t="str">
        <v/>
      </c>
      <c r="H118" s="202" t="str">
        <v/>
      </c>
      <c r="I118" s="202" t="str">
        <v>Oneil Lashley</v>
      </c>
      <c r="J118" s="213" t="str">
        <v/>
      </c>
      <c r="K118" s="213" t="str">
        <v/>
      </c>
      <c r="L118" s="213" t="str">
        <v/>
      </c>
      <c r="M118" s="213" t="str">
        <v/>
      </c>
      <c r="N118" s="214">
        <v>0</v>
      </c>
      <c r="O118" s="202" t="str">
        <v/>
      </c>
      <c r="P118" s="171"/>
      <c r="Q118" s="171"/>
      <c r="R118" s="171"/>
      <c r="S118" s="171"/>
      <c r="T118" s="171"/>
      <c r="U118" s="171"/>
      <c r="V118" s="171"/>
      <c r="W118" s="171"/>
      <c r="X118" s="171"/>
      <c r="Y118" s="171"/>
      <c r="Z118" s="171"/>
    </row>
    <row r="119" spans="1:26" ht="18" customHeight="1">
      <c r="A119" s="171"/>
      <c r="B119" s="212" t="str">
        <v>RPT_02_Tech Availability, Utilization &amp; Absence</v>
      </c>
      <c r="C119" s="202" t="str">
        <v>November</v>
      </c>
      <c r="D119" s="202" t="str">
        <v>NOT STARTED</v>
      </c>
      <c r="E119" s="211" t="str">
        <v/>
      </c>
      <c r="F119" s="202" t="str">
        <v>Rupa</v>
      </c>
      <c r="G119" s="202" t="str">
        <v/>
      </c>
      <c r="H119" s="202" t="str">
        <v/>
      </c>
      <c r="I119" s="202" t="str">
        <v>Reginald Durham, Bill Contreras, Bill Contreras</v>
      </c>
      <c r="J119" s="213" t="str">
        <v/>
      </c>
      <c r="K119" s="213" t="str">
        <v/>
      </c>
      <c r="L119" s="213" t="str">
        <v/>
      </c>
      <c r="M119" s="213" t="str">
        <v/>
      </c>
      <c r="N119" s="214">
        <v>0</v>
      </c>
      <c r="O119" s="202" t="str">
        <v/>
      </c>
      <c r="P119" s="171"/>
      <c r="Q119" s="171"/>
      <c r="R119" s="171"/>
      <c r="S119" s="171"/>
      <c r="T119" s="171"/>
      <c r="U119" s="171"/>
      <c r="V119" s="171"/>
      <c r="W119" s="171"/>
      <c r="X119" s="171"/>
      <c r="Y119" s="171"/>
      <c r="Z119" s="171"/>
    </row>
    <row r="120" spans="1:26" ht="18" customHeight="1">
      <c r="A120" s="171"/>
      <c r="B120" s="212" t="str">
        <v>RPT_02_Job Productivity</v>
      </c>
      <c r="C120" s="202" t="str">
        <v>November</v>
      </c>
      <c r="D120" s="211" t="str">
        <v>NOT STARTED</v>
      </c>
      <c r="E120" s="202" t="str">
        <v/>
      </c>
      <c r="F120" s="202" t="str">
        <v>Rupa</v>
      </c>
      <c r="G120" s="202" t="str">
        <v/>
      </c>
      <c r="H120" s="202" t="str">
        <v/>
      </c>
      <c r="I120" s="202" t="str">
        <v>Laura Capasso, Michelle Fitten, Anthony Jenson</v>
      </c>
      <c r="J120" s="213" t="str">
        <v/>
      </c>
      <c r="K120" s="213" t="str">
        <v/>
      </c>
      <c r="L120" s="213" t="str">
        <v/>
      </c>
      <c r="M120" s="213" t="str">
        <v/>
      </c>
      <c r="N120" s="214">
        <v>0</v>
      </c>
      <c r="O120" s="202" t="str">
        <v/>
      </c>
      <c r="P120" s="171"/>
      <c r="Q120" s="171"/>
      <c r="R120" s="171"/>
      <c r="S120" s="171"/>
      <c r="T120" s="171"/>
      <c r="U120" s="171"/>
      <c r="V120" s="171"/>
      <c r="W120" s="171"/>
      <c r="X120" s="171"/>
      <c r="Y120" s="171"/>
      <c r="Z120" s="171"/>
    </row>
    <row r="121" spans="1:26" ht="18" customHeight="1">
      <c r="A121" s="171"/>
      <c r="B121" s="212" t="str">
        <v>RPT_02_Post Capacity Service Appointments</v>
      </c>
      <c r="C121" s="202" t="str">
        <v>November</v>
      </c>
      <c r="D121" s="202" t="str">
        <v>NOT STARTED</v>
      </c>
      <c r="E121" s="202" t="str">
        <v/>
      </c>
      <c r="F121" s="202" t="str">
        <v>Greeta</v>
      </c>
      <c r="G121" s="202" t="str">
        <v/>
      </c>
      <c r="H121" s="202" t="str">
        <v/>
      </c>
      <c r="I121" s="202" t="str">
        <v>Ryan Flaherty</v>
      </c>
      <c r="J121" s="213" t="str">
        <v/>
      </c>
      <c r="K121" s="213" t="str">
        <v/>
      </c>
      <c r="L121" s="213" t="str">
        <v/>
      </c>
      <c r="M121" s="213" t="str">
        <v/>
      </c>
      <c r="N121" s="214">
        <v>0</v>
      </c>
      <c r="O121" s="202" t="str">
        <v/>
      </c>
      <c r="P121" s="171"/>
      <c r="Q121" s="171"/>
      <c r="R121" s="171"/>
      <c r="S121" s="171"/>
      <c r="T121" s="171"/>
      <c r="U121" s="171"/>
      <c r="V121" s="171"/>
      <c r="W121" s="171"/>
      <c r="X121" s="171"/>
      <c r="Y121" s="171"/>
      <c r="Z121" s="171"/>
    </row>
    <row r="122" spans="1:26" ht="18" customHeight="1">
      <c r="A122" s="171"/>
      <c r="B122" s="212" t="str">
        <v>RPT_02_Check Estimate</v>
      </c>
      <c r="C122" s="202" t="str">
        <v>November</v>
      </c>
      <c r="D122" s="202" t="str">
        <v>NOT STARTED</v>
      </c>
      <c r="E122" s="202" t="str">
        <v/>
      </c>
      <c r="F122" s="202" t="str">
        <v>Greeta</v>
      </c>
      <c r="G122" s="202" t="str">
        <v/>
      </c>
      <c r="H122" s="202" t="str">
        <v/>
      </c>
      <c r="I122" s="202" t="str">
        <v>Shaunna Peters</v>
      </c>
      <c r="J122" s="213">
        <v>46296</v>
      </c>
      <c r="K122" s="213" t="str">
        <v/>
      </c>
      <c r="L122" s="213" t="str">
        <v/>
      </c>
      <c r="M122" s="213" t="str">
        <v/>
      </c>
      <c r="N122" s="214">
        <v>0</v>
      </c>
      <c r="O122" s="202" t="str">
        <v>Move status to PBI Dev</v>
      </c>
      <c r="P122" s="171"/>
      <c r="Q122" s="171"/>
      <c r="R122" s="171"/>
      <c r="S122" s="171"/>
      <c r="T122" s="171"/>
      <c r="U122" s="171"/>
      <c r="V122" s="171"/>
      <c r="W122" s="171"/>
      <c r="X122" s="171"/>
      <c r="Y122" s="171"/>
      <c r="Z122" s="171"/>
    </row>
    <row r="123" spans="1:26" ht="18" customHeight="1">
      <c r="A123" s="171"/>
      <c r="B123" s="212" t="str">
        <v>RPT_02_Service Appointments (5 sub reports)</v>
      </c>
      <c r="C123" s="202" t="str">
        <v>November</v>
      </c>
      <c r="D123" s="202" t="str">
        <v>NOT STARTED</v>
      </c>
      <c r="E123" s="202" t="str">
        <v/>
      </c>
      <c r="F123" s="202" t="str">
        <v>Sree</v>
      </c>
      <c r="G123" s="202" t="str">
        <v/>
      </c>
      <c r="H123" s="202" t="str">
        <v/>
      </c>
      <c r="I123" s="202" t="str">
        <v>Reginald Durham, Bill Contreras, Megan Piccarreto, Bryan Patterson, Bill Contreras</v>
      </c>
      <c r="J123" s="213" t="str">
        <v/>
      </c>
      <c r="K123" s="213" t="str">
        <v/>
      </c>
      <c r="L123" s="213" t="str">
        <v/>
      </c>
      <c r="M123" s="213" t="str">
        <v/>
      </c>
      <c r="N123" s="214">
        <v>0</v>
      </c>
      <c r="O123" s="202" t="str">
        <v/>
      </c>
      <c r="P123" s="171"/>
      <c r="Q123" s="171"/>
      <c r="R123" s="171"/>
      <c r="S123" s="171"/>
      <c r="T123" s="171"/>
      <c r="U123" s="171"/>
      <c r="V123" s="171"/>
      <c r="W123" s="171"/>
      <c r="X123" s="171"/>
      <c r="Y123" s="171"/>
      <c r="Z123" s="171"/>
    </row>
    <row r="124" spans="1:26" ht="18" customHeight="1">
      <c r="A124" s="171"/>
      <c r="B124" s="212" t="str">
        <v>RPT_02_Job Unit Count</v>
      </c>
      <c r="C124" s="202" t="str">
        <v>November</v>
      </c>
      <c r="D124" s="202" t="str">
        <v>NOT STARTED</v>
      </c>
      <c r="E124" s="202" t="str">
        <v/>
      </c>
      <c r="F124" s="202" t="str">
        <v>Siddu</v>
      </c>
      <c r="G124" s="202" t="str">
        <v/>
      </c>
      <c r="H124" s="202" t="str">
        <v/>
      </c>
      <c r="I124" s="202" t="str">
        <v>Laura Capasso, Michelle Fitten</v>
      </c>
      <c r="J124" s="213" t="str">
        <v/>
      </c>
      <c r="K124" s="213" t="str">
        <v/>
      </c>
      <c r="L124" s="213" t="str">
        <v/>
      </c>
      <c r="M124" s="213" t="str">
        <v/>
      </c>
      <c r="N124" s="214">
        <v>0</v>
      </c>
      <c r="O124" s="202" t="str">
        <v/>
      </c>
      <c r="P124" s="171"/>
      <c r="Q124" s="171"/>
      <c r="R124" s="171"/>
      <c r="S124" s="171"/>
      <c r="T124" s="171"/>
      <c r="U124" s="171"/>
      <c r="V124" s="171"/>
      <c r="W124" s="171"/>
      <c r="X124" s="171"/>
      <c r="Y124" s="171"/>
      <c r="Z124" s="171"/>
    </row>
    <row r="125" spans="1:26" ht="18" customHeight="1">
      <c r="A125" s="171"/>
      <c r="B125" s="212"/>
      <c r="C125" s="202"/>
      <c r="D125" s="202"/>
      <c r="E125" s="211"/>
      <c r="F125" s="202"/>
      <c r="G125" s="202"/>
      <c r="H125" s="202"/>
      <c r="I125" s="202"/>
      <c r="J125" s="213"/>
      <c r="K125" s="213"/>
      <c r="L125" s="213"/>
      <c r="M125" s="213"/>
      <c r="N125" s="214"/>
      <c r="O125" s="202"/>
      <c r="P125" s="171"/>
      <c r="Q125" s="171"/>
      <c r="R125" s="171"/>
      <c r="S125" s="171"/>
      <c r="T125" s="171"/>
      <c r="U125" s="171"/>
      <c r="V125" s="171"/>
      <c r="W125" s="171"/>
      <c r="X125" s="171"/>
      <c r="Y125" s="171"/>
      <c r="Z125" s="171"/>
    </row>
    <row r="126" spans="1:26" ht="18" customHeight="1">
      <c r="A126" s="171"/>
      <c r="B126" s="212"/>
      <c r="C126" s="202"/>
      <c r="D126" s="202"/>
      <c r="E126" s="211"/>
      <c r="F126" s="202"/>
      <c r="G126" s="202"/>
      <c r="H126" s="202"/>
      <c r="I126" s="202"/>
      <c r="J126" s="213"/>
      <c r="K126" s="213"/>
      <c r="L126" s="213"/>
      <c r="M126" s="213"/>
      <c r="N126" s="214"/>
      <c r="O126" s="202"/>
      <c r="P126" s="171"/>
      <c r="Q126" s="171"/>
      <c r="R126" s="171"/>
      <c r="S126" s="171"/>
      <c r="T126" s="171"/>
      <c r="U126" s="171"/>
      <c r="V126" s="171"/>
      <c r="W126" s="171"/>
      <c r="X126" s="171"/>
      <c r="Y126" s="171"/>
      <c r="Z126" s="171"/>
    </row>
    <row r="127" spans="1:26" ht="18" customHeight="1">
      <c r="A127" s="171"/>
      <c r="B127" s="212"/>
      <c r="C127" s="202"/>
      <c r="D127" s="211"/>
      <c r="E127" s="202"/>
      <c r="F127" s="202"/>
      <c r="G127" s="202"/>
      <c r="H127" s="202"/>
      <c r="I127" s="202"/>
      <c r="J127" s="213"/>
      <c r="K127" s="213"/>
      <c r="L127" s="213"/>
      <c r="M127" s="213"/>
      <c r="N127" s="214"/>
      <c r="O127" s="202"/>
      <c r="P127" s="171"/>
      <c r="Q127" s="171"/>
      <c r="R127" s="171"/>
      <c r="S127" s="171"/>
      <c r="T127" s="171"/>
      <c r="U127" s="171"/>
      <c r="V127" s="171"/>
      <c r="W127" s="171"/>
      <c r="X127" s="171"/>
      <c r="Y127" s="171"/>
      <c r="Z127" s="171"/>
    </row>
    <row r="128" spans="1:26" ht="18" customHeight="1">
      <c r="A128" s="171"/>
      <c r="B128" s="212"/>
      <c r="C128" s="202"/>
      <c r="D128" s="202"/>
      <c r="E128" s="202"/>
      <c r="F128" s="202"/>
      <c r="G128" s="202"/>
      <c r="H128" s="202"/>
      <c r="I128" s="202"/>
      <c r="J128" s="213"/>
      <c r="K128" s="213"/>
      <c r="L128" s="213"/>
      <c r="M128" s="213"/>
      <c r="N128" s="214"/>
      <c r="O128" s="202"/>
      <c r="P128" s="171"/>
      <c r="Q128" s="171"/>
      <c r="R128" s="171"/>
      <c r="S128" s="171"/>
      <c r="T128" s="171"/>
      <c r="U128" s="171"/>
      <c r="V128" s="171"/>
      <c r="W128" s="171"/>
      <c r="X128" s="171"/>
      <c r="Y128" s="171"/>
      <c r="Z128" s="171"/>
    </row>
    <row r="129" spans="1:26" ht="18" customHeight="1">
      <c r="A129" s="171"/>
      <c r="B129" s="212"/>
      <c r="C129" s="202"/>
      <c r="D129" s="202"/>
      <c r="E129" s="202"/>
      <c r="F129" s="202"/>
      <c r="G129" s="202"/>
      <c r="H129" s="202"/>
      <c r="I129" s="202"/>
      <c r="J129" s="213"/>
      <c r="K129" s="213"/>
      <c r="L129" s="213"/>
      <c r="M129" s="213"/>
      <c r="N129" s="214"/>
      <c r="O129" s="202"/>
      <c r="P129" s="171"/>
      <c r="Q129" s="171"/>
      <c r="R129" s="171"/>
      <c r="S129" s="171"/>
      <c r="T129" s="171"/>
      <c r="U129" s="171"/>
      <c r="V129" s="171"/>
      <c r="W129" s="171"/>
      <c r="X129" s="171"/>
      <c r="Y129" s="171"/>
      <c r="Z129" s="171"/>
    </row>
    <row r="130" spans="1:26" ht="18" customHeight="1">
      <c r="A130" s="171"/>
      <c r="B130" s="212"/>
      <c r="C130" s="202"/>
      <c r="D130" s="202"/>
      <c r="E130" s="202"/>
      <c r="F130" s="202"/>
      <c r="G130" s="202"/>
      <c r="H130" s="202"/>
      <c r="I130" s="202"/>
      <c r="J130" s="213"/>
      <c r="K130" s="213"/>
      <c r="L130" s="213"/>
      <c r="M130" s="213"/>
      <c r="N130" s="214"/>
      <c r="O130" s="202"/>
      <c r="P130" s="171"/>
      <c r="Q130" s="171"/>
      <c r="R130" s="171"/>
      <c r="S130" s="171"/>
      <c r="T130" s="171"/>
      <c r="U130" s="171"/>
      <c r="V130" s="171"/>
      <c r="W130" s="171"/>
      <c r="X130" s="171"/>
      <c r="Y130" s="171"/>
      <c r="Z130" s="171"/>
    </row>
    <row r="131" spans="1:26" ht="18" customHeight="1">
      <c r="A131" s="171"/>
      <c r="B131" s="212"/>
      <c r="C131" s="202"/>
      <c r="D131" s="202"/>
      <c r="E131" s="202"/>
      <c r="F131" s="202"/>
      <c r="G131" s="202"/>
      <c r="H131" s="202"/>
      <c r="I131" s="202"/>
      <c r="J131" s="213"/>
      <c r="K131" s="213"/>
      <c r="L131" s="213"/>
      <c r="M131" s="213"/>
      <c r="N131" s="214"/>
      <c r="O131" s="202"/>
      <c r="P131" s="171"/>
      <c r="Q131" s="171"/>
      <c r="R131" s="171"/>
      <c r="S131" s="171"/>
      <c r="T131" s="171"/>
      <c r="U131" s="171"/>
      <c r="V131" s="171"/>
      <c r="W131" s="171"/>
      <c r="X131" s="171"/>
      <c r="Y131" s="171"/>
      <c r="Z131" s="171"/>
    </row>
    <row r="132" spans="1:26" ht="18" customHeight="1">
      <c r="A132" s="171"/>
      <c r="B132" s="212"/>
      <c r="C132" s="202"/>
      <c r="D132" s="202"/>
      <c r="E132" s="202"/>
      <c r="F132" s="202"/>
      <c r="G132" s="202"/>
      <c r="H132" s="202"/>
      <c r="I132" s="202"/>
      <c r="J132" s="213"/>
      <c r="K132" s="213"/>
      <c r="L132" s="213"/>
      <c r="M132" s="213"/>
      <c r="N132" s="214"/>
      <c r="O132" s="202"/>
      <c r="P132" s="171"/>
      <c r="Q132" s="171"/>
      <c r="R132" s="171"/>
      <c r="S132" s="171"/>
      <c r="T132" s="171"/>
      <c r="U132" s="171"/>
      <c r="V132" s="171"/>
      <c r="W132" s="171"/>
      <c r="X132" s="171"/>
      <c r="Y132" s="171"/>
      <c r="Z132" s="171"/>
    </row>
    <row r="133" spans="1:26" ht="18" customHeight="1">
      <c r="A133" s="171"/>
      <c r="B133" s="212"/>
      <c r="C133" s="202"/>
      <c r="D133" s="202"/>
      <c r="E133" s="202"/>
      <c r="F133" s="202"/>
      <c r="G133" s="202"/>
      <c r="H133" s="202"/>
      <c r="I133" s="202"/>
      <c r="J133" s="213"/>
      <c r="K133" s="213"/>
      <c r="L133" s="213"/>
      <c r="M133" s="213"/>
      <c r="N133" s="214"/>
      <c r="O133" s="202"/>
      <c r="P133" s="171"/>
      <c r="Q133" s="171"/>
      <c r="R133" s="171"/>
      <c r="S133" s="171"/>
      <c r="T133" s="171"/>
      <c r="U133" s="171"/>
      <c r="V133" s="171"/>
      <c r="W133" s="171"/>
      <c r="X133" s="171"/>
      <c r="Y133" s="171"/>
      <c r="Z133" s="171"/>
    </row>
    <row r="134" spans="1:26" ht="18" customHeight="1">
      <c r="A134" s="171"/>
      <c r="B134" s="212"/>
      <c r="C134" s="202"/>
      <c r="D134" s="202"/>
      <c r="E134" s="202"/>
      <c r="F134" s="202"/>
      <c r="G134" s="202"/>
      <c r="H134" s="202"/>
      <c r="I134" s="202"/>
      <c r="J134" s="213"/>
      <c r="K134" s="213"/>
      <c r="L134" s="213"/>
      <c r="M134" s="213"/>
      <c r="N134" s="214"/>
      <c r="O134" s="202"/>
      <c r="P134" s="171"/>
      <c r="Q134" s="171"/>
      <c r="R134" s="171"/>
      <c r="S134" s="171"/>
      <c r="T134" s="171"/>
      <c r="U134" s="171"/>
      <c r="V134" s="171"/>
      <c r="W134" s="171"/>
      <c r="X134" s="171"/>
      <c r="Y134" s="171"/>
      <c r="Z134" s="171"/>
    </row>
    <row r="135" spans="1:26" ht="18" customHeight="1">
      <c r="A135" s="171"/>
      <c r="B135" s="212"/>
      <c r="C135" s="202"/>
      <c r="D135" s="202"/>
      <c r="E135" s="202"/>
      <c r="F135" s="202"/>
      <c r="G135" s="202"/>
      <c r="H135" s="202"/>
      <c r="I135" s="202"/>
      <c r="J135" s="213"/>
      <c r="K135" s="213"/>
      <c r="L135" s="213"/>
      <c r="M135" s="213"/>
      <c r="N135" s="214"/>
      <c r="O135" s="202"/>
      <c r="P135" s="171"/>
      <c r="Q135" s="171"/>
      <c r="R135" s="171"/>
      <c r="S135" s="171"/>
      <c r="T135" s="171"/>
      <c r="U135" s="171"/>
      <c r="V135" s="171"/>
      <c r="W135" s="171"/>
      <c r="X135" s="171"/>
      <c r="Y135" s="171"/>
      <c r="Z135" s="171"/>
    </row>
    <row r="136" spans="1:26" ht="18" customHeight="1">
      <c r="A136" s="171"/>
      <c r="B136" s="212"/>
      <c r="C136" s="202"/>
      <c r="D136" s="202"/>
      <c r="E136" s="202"/>
      <c r="F136" s="202"/>
      <c r="G136" s="202"/>
      <c r="H136" s="202"/>
      <c r="I136" s="202"/>
      <c r="J136" s="213"/>
      <c r="K136" s="213"/>
      <c r="L136" s="213"/>
      <c r="M136" s="213"/>
      <c r="N136" s="214"/>
      <c r="O136" s="202"/>
      <c r="P136" s="171"/>
      <c r="Q136" s="171"/>
      <c r="R136" s="171"/>
      <c r="S136" s="171"/>
      <c r="T136" s="171"/>
      <c r="U136" s="171"/>
      <c r="V136" s="171"/>
      <c r="W136" s="171"/>
      <c r="X136" s="171"/>
      <c r="Y136" s="171"/>
      <c r="Z136" s="171"/>
    </row>
    <row r="137" spans="1:26" ht="18" customHeight="1">
      <c r="A137" s="171"/>
      <c r="B137" s="212"/>
      <c r="C137" s="202"/>
      <c r="D137" s="202"/>
      <c r="E137" s="202"/>
      <c r="F137" s="202"/>
      <c r="G137" s="202"/>
      <c r="H137" s="202"/>
      <c r="I137" s="202"/>
      <c r="J137" s="213"/>
      <c r="K137" s="213"/>
      <c r="L137" s="213"/>
      <c r="M137" s="213"/>
      <c r="N137" s="214"/>
      <c r="O137" s="202"/>
      <c r="P137" s="171"/>
      <c r="Q137" s="171"/>
      <c r="R137" s="171"/>
      <c r="S137" s="171"/>
      <c r="T137" s="171"/>
      <c r="U137" s="171"/>
      <c r="V137" s="171"/>
      <c r="W137" s="171"/>
      <c r="X137" s="171"/>
      <c r="Y137" s="171"/>
      <c r="Z137" s="171"/>
    </row>
    <row r="138" spans="1:26" ht="18" customHeight="1">
      <c r="A138" s="171"/>
      <c r="B138" s="212"/>
      <c r="C138" s="202"/>
      <c r="D138" s="202"/>
      <c r="E138" s="202"/>
      <c r="F138" s="202"/>
      <c r="G138" s="202"/>
      <c r="H138" s="202"/>
      <c r="I138" s="202"/>
      <c r="J138" s="213"/>
      <c r="K138" s="213"/>
      <c r="L138" s="213"/>
      <c r="M138" s="213"/>
      <c r="N138" s="214"/>
      <c r="O138" s="202"/>
      <c r="P138" s="171"/>
      <c r="Q138" s="171"/>
      <c r="R138" s="171"/>
      <c r="S138" s="171"/>
      <c r="T138" s="171"/>
      <c r="U138" s="171"/>
      <c r="V138" s="171"/>
      <c r="W138" s="171"/>
      <c r="X138" s="171"/>
      <c r="Y138" s="171"/>
      <c r="Z138" s="171"/>
    </row>
    <row r="139" spans="1:26" ht="18" customHeight="1">
      <c r="A139" s="171"/>
      <c r="B139" s="212"/>
      <c r="C139" s="202"/>
      <c r="D139" s="202"/>
      <c r="E139" s="202"/>
      <c r="F139" s="202"/>
      <c r="G139" s="202"/>
      <c r="H139" s="202"/>
      <c r="I139" s="202"/>
      <c r="J139" s="213"/>
      <c r="K139" s="213"/>
      <c r="L139" s="213"/>
      <c r="M139" s="213"/>
      <c r="N139" s="214"/>
      <c r="O139" s="202"/>
      <c r="P139" s="171"/>
      <c r="Q139" s="171"/>
      <c r="R139" s="171"/>
      <c r="S139" s="171"/>
      <c r="T139" s="171"/>
      <c r="U139" s="171"/>
      <c r="V139" s="171"/>
      <c r="W139" s="171"/>
      <c r="X139" s="171"/>
      <c r="Y139" s="171"/>
      <c r="Z139" s="171"/>
    </row>
    <row r="140" spans="1:26" ht="18" customHeight="1">
      <c r="A140" s="171"/>
      <c r="B140" s="212"/>
      <c r="C140" s="202"/>
      <c r="D140" s="202"/>
      <c r="E140" s="202"/>
      <c r="F140" s="202"/>
      <c r="G140" s="202"/>
      <c r="H140" s="202"/>
      <c r="I140" s="202"/>
      <c r="J140" s="213"/>
      <c r="K140" s="213"/>
      <c r="L140" s="213"/>
      <c r="M140" s="213"/>
      <c r="N140" s="214"/>
      <c r="O140" s="202"/>
      <c r="P140" s="171"/>
      <c r="Q140" s="171"/>
      <c r="R140" s="171"/>
      <c r="S140" s="171"/>
      <c r="T140" s="171"/>
      <c r="U140" s="171"/>
      <c r="V140" s="171"/>
      <c r="W140" s="171"/>
      <c r="X140" s="171"/>
      <c r="Y140" s="171"/>
      <c r="Z140" s="171"/>
    </row>
    <row r="141" spans="1:26" ht="15" customHeight="1">
      <c r="A141" s="171"/>
      <c r="B141" s="171"/>
      <c r="C141" s="171"/>
      <c r="D141" s="171"/>
      <c r="E141" s="171"/>
      <c r="F141" s="171"/>
      <c r="G141" s="171"/>
      <c r="H141" s="171"/>
      <c r="I141" s="171"/>
      <c r="J141" s="171"/>
      <c r="K141" s="171"/>
      <c r="L141" s="171"/>
      <c r="M141" s="171"/>
      <c r="N141" s="171"/>
      <c r="O141" s="171"/>
      <c r="P141" s="171"/>
      <c r="Q141" s="171"/>
      <c r="R141" s="171"/>
      <c r="S141" s="171"/>
      <c r="T141" s="171"/>
      <c r="U141" s="171"/>
      <c r="V141" s="171"/>
      <c r="W141" s="171"/>
      <c r="X141" s="171"/>
      <c r="Y141" s="171"/>
      <c r="Z141" s="171"/>
    </row>
    <row r="142" spans="1:26" ht="15" customHeight="1">
      <c r="A142" s="171"/>
      <c r="B142" s="171"/>
      <c r="C142" s="171"/>
      <c r="D142" s="171"/>
      <c r="E142" s="171"/>
      <c r="F142" s="171"/>
      <c r="G142" s="171"/>
      <c r="H142" s="171"/>
      <c r="I142" s="171"/>
      <c r="J142" s="171"/>
      <c r="K142" s="171"/>
      <c r="L142" s="171"/>
      <c r="M142" s="171"/>
      <c r="N142" s="171"/>
      <c r="O142" s="171"/>
      <c r="P142" s="171"/>
      <c r="Q142" s="171"/>
      <c r="R142" s="171"/>
      <c r="S142" s="171"/>
      <c r="T142" s="171"/>
      <c r="U142" s="171"/>
      <c r="V142" s="171"/>
      <c r="W142" s="171"/>
      <c r="X142" s="171"/>
      <c r="Y142" s="171"/>
      <c r="Z142" s="171"/>
    </row>
    <row r="143" spans="1:26" ht="15" customHeight="1">
      <c r="A143" s="171"/>
      <c r="B143" s="171"/>
      <c r="C143" s="171"/>
      <c r="D143" s="171"/>
      <c r="E143" s="171"/>
      <c r="F143" s="171"/>
      <c r="G143" s="171"/>
      <c r="H143" s="171"/>
      <c r="I143" s="171"/>
      <c r="J143" s="171"/>
      <c r="K143" s="171"/>
      <c r="L143" s="171"/>
      <c r="M143" s="171"/>
      <c r="N143" s="171"/>
      <c r="O143" s="171"/>
      <c r="P143" s="171"/>
      <c r="Q143" s="171"/>
      <c r="R143" s="171"/>
      <c r="S143" s="171"/>
      <c r="T143" s="171"/>
      <c r="U143" s="171"/>
      <c r="V143" s="171"/>
      <c r="W143" s="171"/>
      <c r="X143" s="171"/>
      <c r="Y143" s="171"/>
      <c r="Z143" s="171"/>
    </row>
    <row r="144" spans="1:26" ht="15" customHeight="1">
      <c r="A144" s="171"/>
      <c r="B144" s="171"/>
      <c r="C144" s="171"/>
      <c r="D144" s="171"/>
      <c r="E144" s="171"/>
      <c r="F144" s="171"/>
      <c r="G144" s="171"/>
      <c r="H144" s="171"/>
      <c r="I144" s="171"/>
      <c r="J144" s="171"/>
      <c r="K144" s="171"/>
      <c r="L144" s="171"/>
      <c r="M144" s="171"/>
      <c r="N144" s="171"/>
      <c r="O144" s="171"/>
      <c r="P144" s="171"/>
      <c r="Q144" s="171"/>
      <c r="R144" s="171"/>
      <c r="S144" s="171"/>
      <c r="T144" s="171"/>
      <c r="U144" s="171"/>
      <c r="V144" s="171"/>
      <c r="W144" s="171"/>
      <c r="X144" s="171"/>
      <c r="Y144" s="171"/>
      <c r="Z144" s="171"/>
    </row>
    <row r="145" spans="1:26" ht="15" customHeight="1">
      <c r="A145" s="171"/>
      <c r="B145" s="171"/>
      <c r="C145" s="171"/>
      <c r="D145" s="171"/>
      <c r="E145" s="171"/>
      <c r="F145" s="171"/>
      <c r="G145" s="171"/>
      <c r="H145" s="171"/>
      <c r="I145" s="171"/>
      <c r="J145" s="171"/>
      <c r="K145" s="171"/>
      <c r="L145" s="171"/>
      <c r="M145" s="171"/>
      <c r="N145" s="171"/>
      <c r="O145" s="171"/>
      <c r="P145" s="171"/>
      <c r="Q145" s="171"/>
      <c r="R145" s="171"/>
      <c r="S145" s="171"/>
      <c r="T145" s="171"/>
      <c r="U145" s="171"/>
      <c r="V145" s="171"/>
      <c r="W145" s="171"/>
      <c r="X145" s="171"/>
      <c r="Y145" s="171"/>
      <c r="Z145" s="171"/>
    </row>
    <row r="146" spans="1:26" ht="15" customHeight="1">
      <c r="A146" s="171"/>
      <c r="B146" s="171"/>
      <c r="C146" s="171"/>
      <c r="D146" s="171"/>
      <c r="E146" s="171"/>
      <c r="F146" s="171"/>
      <c r="G146" s="171"/>
      <c r="H146" s="171"/>
      <c r="I146" s="171"/>
      <c r="J146" s="171"/>
      <c r="K146" s="171"/>
      <c r="L146" s="171"/>
      <c r="M146" s="171"/>
      <c r="N146" s="171"/>
      <c r="O146" s="171"/>
      <c r="P146" s="171"/>
      <c r="Q146" s="171"/>
      <c r="R146" s="171"/>
      <c r="S146" s="171"/>
      <c r="T146" s="171"/>
      <c r="U146" s="171"/>
      <c r="V146" s="171"/>
      <c r="W146" s="171"/>
      <c r="X146" s="171"/>
      <c r="Y146" s="171"/>
      <c r="Z146" s="171"/>
    </row>
    <row r="147" spans="1:26" ht="15" customHeight="1">
      <c r="A147" s="171"/>
      <c r="B147" s="171"/>
      <c r="C147" s="171"/>
      <c r="D147" s="171"/>
      <c r="E147" s="171"/>
      <c r="F147" s="171"/>
      <c r="G147" s="171"/>
      <c r="H147" s="171"/>
      <c r="I147" s="171"/>
      <c r="J147" s="171"/>
      <c r="K147" s="171"/>
      <c r="L147" s="171"/>
      <c r="M147" s="171"/>
      <c r="N147" s="171"/>
      <c r="O147" s="171"/>
      <c r="P147" s="171"/>
      <c r="Q147" s="171"/>
      <c r="R147" s="171"/>
      <c r="S147" s="171"/>
      <c r="T147" s="171"/>
      <c r="U147" s="171"/>
      <c r="V147" s="171"/>
      <c r="W147" s="171"/>
      <c r="X147" s="171"/>
      <c r="Y147" s="171"/>
      <c r="Z147" s="171"/>
    </row>
    <row r="148" spans="1:26" ht="15" customHeight="1">
      <c r="A148" s="171"/>
      <c r="B148" s="171"/>
      <c r="C148" s="171"/>
      <c r="D148" s="171"/>
      <c r="E148" s="171"/>
      <c r="F148" s="171"/>
      <c r="G148" s="171"/>
      <c r="H148" s="171"/>
      <c r="I148" s="171"/>
      <c r="J148" s="171"/>
      <c r="K148" s="171"/>
      <c r="L148" s="171"/>
      <c r="M148" s="171"/>
      <c r="N148" s="171"/>
      <c r="O148" s="171"/>
      <c r="P148" s="171"/>
      <c r="Q148" s="171"/>
      <c r="R148" s="171"/>
      <c r="S148" s="171"/>
      <c r="T148" s="171"/>
      <c r="U148" s="171"/>
      <c r="V148" s="171"/>
      <c r="W148" s="171"/>
      <c r="X148" s="171"/>
      <c r="Y148" s="171"/>
      <c r="Z148" s="171"/>
    </row>
    <row r="149" spans="1:26" ht="15" customHeight="1">
      <c r="A149" s="171"/>
      <c r="B149" s="171"/>
      <c r="C149" s="171"/>
      <c r="D149" s="171"/>
      <c r="E149" s="171"/>
      <c r="F149" s="171"/>
      <c r="G149" s="171"/>
      <c r="H149" s="171"/>
      <c r="I149" s="171"/>
      <c r="J149" s="171"/>
      <c r="K149" s="171"/>
      <c r="L149" s="171"/>
      <c r="M149" s="171"/>
      <c r="N149" s="171"/>
      <c r="O149" s="171"/>
      <c r="P149" s="171"/>
      <c r="Q149" s="171"/>
      <c r="R149" s="171"/>
      <c r="S149" s="171"/>
      <c r="T149" s="171"/>
      <c r="U149" s="171"/>
      <c r="V149" s="171"/>
      <c r="W149" s="171"/>
      <c r="X149" s="171"/>
      <c r="Y149" s="171"/>
      <c r="Z149" s="171"/>
    </row>
    <row r="150" spans="1:26" ht="15" customHeight="1">
      <c r="A150" s="171"/>
      <c r="B150" s="171"/>
      <c r="C150" s="171"/>
      <c r="D150" s="171"/>
      <c r="E150" s="171"/>
      <c r="F150" s="171"/>
      <c r="G150" s="171"/>
      <c r="H150" s="171"/>
      <c r="I150" s="171"/>
      <c r="J150" s="171"/>
      <c r="K150" s="171"/>
      <c r="L150" s="171"/>
      <c r="M150" s="171"/>
      <c r="N150" s="171"/>
      <c r="O150" s="171"/>
      <c r="P150" s="171"/>
      <c r="Q150" s="171"/>
      <c r="R150" s="171"/>
      <c r="S150" s="171"/>
      <c r="T150" s="171"/>
      <c r="U150" s="171"/>
      <c r="V150" s="171"/>
      <c r="W150" s="171"/>
      <c r="X150" s="171"/>
      <c r="Y150" s="171"/>
      <c r="Z150" s="171"/>
    </row>
    <row r="151" spans="1:26" ht="15" customHeight="1">
      <c r="A151" s="171"/>
      <c r="B151" s="171"/>
      <c r="C151" s="171"/>
      <c r="D151" s="171"/>
      <c r="E151" s="171"/>
      <c r="F151" s="171"/>
      <c r="G151" s="171"/>
      <c r="H151" s="171"/>
      <c r="I151" s="171"/>
      <c r="J151" s="171"/>
      <c r="K151" s="171"/>
      <c r="L151" s="171"/>
      <c r="M151" s="171"/>
      <c r="N151" s="171"/>
      <c r="O151" s="171"/>
      <c r="P151" s="171"/>
      <c r="Q151" s="171"/>
      <c r="R151" s="171"/>
      <c r="S151" s="171"/>
      <c r="T151" s="171"/>
      <c r="U151" s="171"/>
      <c r="V151" s="171"/>
      <c r="W151" s="171"/>
      <c r="X151" s="171"/>
      <c r="Y151" s="171"/>
      <c r="Z151" s="171"/>
    </row>
    <row r="152" spans="1:26" ht="15" customHeight="1">
      <c r="A152" s="171"/>
      <c r="B152" s="171"/>
      <c r="C152" s="171"/>
      <c r="D152" s="171"/>
      <c r="E152" s="171"/>
      <c r="F152" s="171"/>
      <c r="G152" s="171"/>
      <c r="H152" s="171"/>
      <c r="I152" s="171"/>
      <c r="J152" s="171"/>
      <c r="K152" s="171"/>
      <c r="L152" s="171"/>
      <c r="M152" s="171"/>
      <c r="N152" s="171"/>
      <c r="O152" s="171"/>
      <c r="P152" s="171"/>
      <c r="Q152" s="171"/>
      <c r="R152" s="171"/>
      <c r="S152" s="171"/>
      <c r="T152" s="171"/>
      <c r="U152" s="171"/>
      <c r="V152" s="171"/>
      <c r="W152" s="171"/>
      <c r="X152" s="171"/>
      <c r="Y152" s="171"/>
      <c r="Z152" s="171"/>
    </row>
    <row r="153" spans="1:26" ht="15" customHeight="1">
      <c r="A153" s="171"/>
      <c r="B153" s="171"/>
      <c r="C153" s="171"/>
      <c r="D153" s="171"/>
      <c r="E153" s="171"/>
      <c r="F153" s="171"/>
      <c r="G153" s="171"/>
      <c r="H153" s="171"/>
      <c r="I153" s="171"/>
      <c r="J153" s="171"/>
      <c r="K153" s="171"/>
      <c r="L153" s="171"/>
      <c r="M153" s="171"/>
      <c r="N153" s="171"/>
      <c r="O153" s="171"/>
      <c r="P153" s="171"/>
      <c r="Q153" s="171"/>
      <c r="R153" s="171"/>
      <c r="S153" s="171"/>
      <c r="T153" s="171"/>
      <c r="U153" s="171"/>
      <c r="V153" s="171"/>
      <c r="W153" s="171"/>
      <c r="X153" s="171"/>
      <c r="Y153" s="171"/>
      <c r="Z153" s="171"/>
    </row>
    <row r="154" spans="1:26" ht="15" customHeight="1">
      <c r="A154" s="171"/>
      <c r="B154" s="171"/>
      <c r="C154" s="171"/>
      <c r="D154" s="171"/>
      <c r="E154" s="171"/>
      <c r="F154" s="171"/>
      <c r="G154" s="171"/>
      <c r="H154" s="171"/>
      <c r="I154" s="171"/>
      <c r="J154" s="171"/>
      <c r="K154" s="171"/>
      <c r="L154" s="171"/>
      <c r="M154" s="171"/>
      <c r="N154" s="171"/>
      <c r="O154" s="171"/>
      <c r="P154" s="171"/>
      <c r="Q154" s="171"/>
      <c r="R154" s="171"/>
      <c r="S154" s="171"/>
      <c r="T154" s="171"/>
      <c r="U154" s="171"/>
      <c r="V154" s="171"/>
      <c r="W154" s="171"/>
      <c r="X154" s="171"/>
      <c r="Y154" s="171"/>
      <c r="Z154" s="171"/>
    </row>
    <row r="155" spans="1:26" ht="15" customHeight="1">
      <c r="A155" s="171"/>
      <c r="B155" s="171"/>
      <c r="C155" s="171"/>
      <c r="D155" s="171"/>
      <c r="E155" s="171"/>
      <c r="F155" s="171"/>
      <c r="G155" s="171"/>
      <c r="H155" s="171"/>
      <c r="I155" s="171"/>
      <c r="J155" s="171"/>
      <c r="K155" s="171"/>
      <c r="L155" s="171"/>
      <c r="M155" s="171"/>
      <c r="N155" s="171"/>
      <c r="O155" s="171"/>
      <c r="P155" s="171"/>
      <c r="Q155" s="171"/>
      <c r="R155" s="171"/>
      <c r="S155" s="171"/>
      <c r="T155" s="171"/>
      <c r="U155" s="171"/>
      <c r="V155" s="171"/>
      <c r="W155" s="171"/>
      <c r="X155" s="171"/>
      <c r="Y155" s="171"/>
      <c r="Z155" s="171"/>
    </row>
    <row r="156" spans="1:26" ht="15" customHeight="1">
      <c r="A156" s="171"/>
      <c r="B156" s="171"/>
      <c r="C156" s="171"/>
      <c r="D156" s="171"/>
      <c r="E156" s="171"/>
      <c r="F156" s="171"/>
      <c r="G156" s="171"/>
      <c r="H156" s="171"/>
      <c r="I156" s="171"/>
      <c r="J156" s="171"/>
      <c r="K156" s="171"/>
      <c r="L156" s="171"/>
      <c r="M156" s="171"/>
      <c r="N156" s="171"/>
      <c r="O156" s="171"/>
      <c r="P156" s="171"/>
      <c r="Q156" s="171"/>
      <c r="R156" s="171"/>
      <c r="S156" s="171"/>
      <c r="T156" s="171"/>
      <c r="U156" s="171"/>
      <c r="V156" s="171"/>
      <c r="W156" s="171"/>
      <c r="X156" s="171"/>
      <c r="Y156" s="171"/>
      <c r="Z156" s="171"/>
    </row>
    <row r="157" spans="1:26" ht="15" customHeight="1">
      <c r="A157" s="171"/>
      <c r="B157" s="171"/>
      <c r="C157" s="171"/>
      <c r="D157" s="171"/>
      <c r="E157" s="171"/>
      <c r="F157" s="171"/>
      <c r="G157" s="171"/>
      <c r="H157" s="171"/>
      <c r="I157" s="171"/>
      <c r="J157" s="171"/>
      <c r="K157" s="171"/>
      <c r="L157" s="171"/>
      <c r="M157" s="171"/>
      <c r="N157" s="171"/>
      <c r="O157" s="171"/>
      <c r="P157" s="171"/>
      <c r="Q157" s="171"/>
      <c r="R157" s="171"/>
      <c r="S157" s="171"/>
      <c r="T157" s="171"/>
      <c r="U157" s="171"/>
      <c r="V157" s="171"/>
      <c r="W157" s="171"/>
      <c r="X157" s="171"/>
      <c r="Y157" s="171"/>
      <c r="Z157" s="171"/>
    </row>
    <row r="158" spans="1:26" ht="15" customHeight="1">
      <c r="A158" s="171"/>
      <c r="B158" s="171"/>
      <c r="C158" s="171"/>
      <c r="D158" s="171"/>
      <c r="E158" s="171"/>
      <c r="F158" s="171"/>
      <c r="G158" s="171"/>
      <c r="H158" s="171"/>
      <c r="I158" s="171"/>
      <c r="J158" s="171"/>
      <c r="K158" s="171"/>
      <c r="L158" s="171"/>
      <c r="M158" s="171"/>
      <c r="N158" s="171"/>
      <c r="O158" s="171"/>
      <c r="P158" s="171"/>
      <c r="Q158" s="171"/>
      <c r="R158" s="171"/>
      <c r="S158" s="171"/>
      <c r="T158" s="171"/>
      <c r="U158" s="171"/>
      <c r="V158" s="171"/>
      <c r="W158" s="171"/>
      <c r="X158" s="171"/>
      <c r="Y158" s="171"/>
      <c r="Z158" s="171"/>
    </row>
    <row r="159" spans="1:26" ht="15" customHeight="1">
      <c r="A159" s="171"/>
      <c r="B159" s="171"/>
      <c r="C159" s="171"/>
      <c r="D159" s="171"/>
      <c r="E159" s="171"/>
      <c r="F159" s="171"/>
      <c r="G159" s="171"/>
      <c r="H159" s="171"/>
      <c r="I159" s="171"/>
      <c r="J159" s="171"/>
      <c r="K159" s="171"/>
      <c r="L159" s="171"/>
      <c r="M159" s="171"/>
      <c r="N159" s="171"/>
      <c r="O159" s="171"/>
      <c r="P159" s="171"/>
      <c r="Q159" s="171"/>
      <c r="R159" s="171"/>
      <c r="S159" s="171"/>
      <c r="T159" s="171"/>
      <c r="U159" s="171"/>
      <c r="V159" s="171"/>
      <c r="W159" s="171"/>
      <c r="X159" s="171"/>
      <c r="Y159" s="171"/>
      <c r="Z159" s="171"/>
    </row>
    <row r="160" spans="1:26" ht="15" customHeight="1">
      <c r="A160" s="171"/>
      <c r="B160" s="171"/>
      <c r="C160" s="171"/>
      <c r="D160" s="171"/>
      <c r="E160" s="171"/>
      <c r="F160" s="171"/>
      <c r="G160" s="171"/>
      <c r="H160" s="171"/>
      <c r="I160" s="171"/>
      <c r="J160" s="171"/>
      <c r="K160" s="171"/>
      <c r="L160" s="171"/>
      <c r="M160" s="171"/>
      <c r="N160" s="171"/>
      <c r="O160" s="171"/>
      <c r="P160" s="171"/>
      <c r="Q160" s="171"/>
      <c r="R160" s="171"/>
      <c r="S160" s="171"/>
      <c r="T160" s="171"/>
      <c r="U160" s="171"/>
      <c r="V160" s="171"/>
      <c r="W160" s="171"/>
      <c r="X160" s="171"/>
      <c r="Y160" s="171"/>
      <c r="Z160" s="171"/>
    </row>
    <row r="161" spans="1:26" ht="15" customHeight="1">
      <c r="A161" s="171"/>
      <c r="B161" s="171"/>
      <c r="C161" s="171"/>
      <c r="D161" s="171"/>
      <c r="E161" s="171"/>
      <c r="F161" s="171"/>
      <c r="G161" s="171"/>
      <c r="H161" s="171"/>
      <c r="I161" s="171"/>
      <c r="J161" s="171"/>
      <c r="K161" s="171"/>
      <c r="L161" s="171"/>
      <c r="M161" s="171"/>
      <c r="N161" s="171"/>
      <c r="O161" s="171"/>
      <c r="P161" s="171"/>
      <c r="Q161" s="171"/>
      <c r="R161" s="171"/>
      <c r="S161" s="171"/>
      <c r="T161" s="171"/>
      <c r="U161" s="171"/>
      <c r="V161" s="171"/>
      <c r="W161" s="171"/>
      <c r="X161" s="171"/>
      <c r="Y161" s="171"/>
      <c r="Z161" s="171"/>
    </row>
    <row r="162" spans="1:26" ht="15" customHeight="1">
      <c r="A162" s="171"/>
      <c r="B162" s="171"/>
      <c r="C162" s="171"/>
      <c r="D162" s="171"/>
      <c r="E162" s="171"/>
      <c r="F162" s="171"/>
      <c r="G162" s="171"/>
      <c r="H162" s="171"/>
      <c r="I162" s="171"/>
      <c r="J162" s="171"/>
      <c r="K162" s="171"/>
      <c r="L162" s="171"/>
      <c r="M162" s="171"/>
      <c r="N162" s="171"/>
      <c r="O162" s="171"/>
      <c r="P162" s="171"/>
      <c r="Q162" s="171"/>
      <c r="R162" s="171"/>
      <c r="S162" s="171"/>
      <c r="T162" s="171"/>
      <c r="U162" s="171"/>
      <c r="V162" s="171"/>
      <c r="W162" s="171"/>
      <c r="X162" s="171"/>
      <c r="Y162" s="171"/>
      <c r="Z162" s="171"/>
    </row>
    <row r="163" spans="1:26" ht="15" customHeight="1">
      <c r="A163" s="171"/>
      <c r="B163" s="171"/>
      <c r="C163" s="171"/>
      <c r="D163" s="171"/>
      <c r="E163" s="171"/>
      <c r="F163" s="171"/>
      <c r="G163" s="171"/>
      <c r="H163" s="171"/>
      <c r="I163" s="171"/>
      <c r="J163" s="171"/>
      <c r="K163" s="171"/>
      <c r="L163" s="171"/>
      <c r="M163" s="171"/>
      <c r="N163" s="171"/>
      <c r="O163" s="171"/>
      <c r="P163" s="171"/>
      <c r="Q163" s="171"/>
      <c r="R163" s="171"/>
      <c r="S163" s="171"/>
      <c r="T163" s="171"/>
      <c r="U163" s="171"/>
      <c r="V163" s="171"/>
      <c r="W163" s="171"/>
      <c r="X163" s="171"/>
      <c r="Y163" s="171"/>
      <c r="Z163" s="171"/>
    </row>
    <row r="164" spans="1:26" ht="15" customHeight="1">
      <c r="A164" s="171"/>
      <c r="B164" s="171"/>
      <c r="C164" s="171"/>
      <c r="D164" s="171"/>
      <c r="E164" s="171"/>
      <c r="F164" s="171"/>
      <c r="G164" s="171"/>
      <c r="H164" s="171"/>
      <c r="I164" s="171"/>
      <c r="J164" s="171"/>
      <c r="K164" s="171"/>
      <c r="L164" s="171"/>
      <c r="M164" s="171"/>
      <c r="N164" s="171"/>
      <c r="O164" s="171"/>
      <c r="P164" s="171"/>
      <c r="Q164" s="171"/>
      <c r="R164" s="171"/>
      <c r="S164" s="171"/>
      <c r="T164" s="171"/>
      <c r="U164" s="171"/>
      <c r="V164" s="171"/>
      <c r="W164" s="171"/>
      <c r="X164" s="171"/>
      <c r="Y164" s="171"/>
      <c r="Z164" s="171"/>
    </row>
    <row r="165" spans="1:26" ht="15" customHeight="1">
      <c r="A165" s="171"/>
      <c r="B165" s="171"/>
      <c r="C165" s="171"/>
      <c r="D165" s="171"/>
      <c r="E165" s="171"/>
      <c r="F165" s="171"/>
      <c r="G165" s="171"/>
      <c r="H165" s="171"/>
      <c r="I165" s="171"/>
      <c r="J165" s="171"/>
      <c r="K165" s="171"/>
      <c r="L165" s="171"/>
      <c r="M165" s="171"/>
      <c r="N165" s="171"/>
      <c r="O165" s="171"/>
      <c r="P165" s="171"/>
      <c r="Q165" s="171"/>
      <c r="R165" s="171"/>
      <c r="S165" s="171"/>
      <c r="T165" s="171"/>
      <c r="U165" s="171"/>
      <c r="V165" s="171"/>
      <c r="W165" s="171"/>
      <c r="X165" s="171"/>
      <c r="Y165" s="171"/>
      <c r="Z165" s="171"/>
    </row>
    <row r="166" spans="1:26" ht="15" customHeight="1">
      <c r="A166" s="171"/>
      <c r="B166" s="171"/>
      <c r="C166" s="171"/>
      <c r="D166" s="171"/>
      <c r="E166" s="171"/>
      <c r="F166" s="171"/>
      <c r="G166" s="171"/>
      <c r="H166" s="171"/>
      <c r="I166" s="171"/>
      <c r="J166" s="171"/>
      <c r="K166" s="171"/>
      <c r="L166" s="171"/>
      <c r="M166" s="171"/>
      <c r="N166" s="171"/>
      <c r="O166" s="171"/>
      <c r="P166" s="171"/>
      <c r="Q166" s="171"/>
      <c r="R166" s="171"/>
      <c r="S166" s="171"/>
      <c r="T166" s="171"/>
      <c r="U166" s="171"/>
      <c r="V166" s="171"/>
      <c r="W166" s="171"/>
      <c r="X166" s="171"/>
      <c r="Y166" s="171"/>
      <c r="Z166" s="171"/>
    </row>
    <row r="167" spans="1:26" ht="15" customHeight="1">
      <c r="A167" s="171"/>
      <c r="B167" s="171"/>
      <c r="C167" s="171"/>
      <c r="D167" s="171"/>
      <c r="E167" s="171"/>
      <c r="F167" s="171"/>
      <c r="G167" s="171"/>
      <c r="H167" s="171"/>
      <c r="I167" s="171"/>
      <c r="J167" s="171"/>
      <c r="K167" s="171"/>
      <c r="L167" s="171"/>
      <c r="M167" s="171"/>
      <c r="N167" s="171"/>
      <c r="O167" s="171"/>
      <c r="P167" s="171"/>
      <c r="Q167" s="171"/>
      <c r="R167" s="171"/>
      <c r="S167" s="171"/>
      <c r="T167" s="171"/>
      <c r="U167" s="171"/>
      <c r="V167" s="171"/>
      <c r="W167" s="171"/>
      <c r="X167" s="171"/>
      <c r="Y167" s="171"/>
      <c r="Z167" s="171"/>
    </row>
    <row r="168" spans="1:26" ht="15" customHeight="1">
      <c r="A168" s="171"/>
      <c r="B168" s="171"/>
      <c r="C168" s="171"/>
      <c r="D168" s="171"/>
      <c r="E168" s="171"/>
      <c r="F168" s="171"/>
      <c r="G168" s="171"/>
      <c r="H168" s="171"/>
      <c r="I168" s="171"/>
      <c r="J168" s="171"/>
      <c r="K168" s="171"/>
      <c r="L168" s="171"/>
      <c r="M168" s="171"/>
      <c r="N168" s="171"/>
      <c r="O168" s="171"/>
      <c r="P168" s="171"/>
      <c r="Q168" s="171"/>
      <c r="R168" s="171"/>
      <c r="S168" s="171"/>
      <c r="T168" s="171"/>
      <c r="U168" s="171"/>
      <c r="V168" s="171"/>
      <c r="W168" s="171"/>
      <c r="X168" s="171"/>
      <c r="Y168" s="171"/>
      <c r="Z168" s="171"/>
    </row>
    <row r="169" spans="1:26" ht="15" customHeight="1">
      <c r="A169" s="171"/>
      <c r="B169" s="171"/>
      <c r="C169" s="171"/>
      <c r="D169" s="171"/>
      <c r="E169" s="171"/>
      <c r="F169" s="171"/>
      <c r="G169" s="171"/>
      <c r="H169" s="171"/>
      <c r="I169" s="171"/>
      <c r="J169" s="171"/>
      <c r="K169" s="171"/>
      <c r="L169" s="171"/>
      <c r="M169" s="171"/>
      <c r="N169" s="171"/>
      <c r="O169" s="171"/>
      <c r="P169" s="171"/>
      <c r="Q169" s="171"/>
      <c r="R169" s="171"/>
      <c r="S169" s="171"/>
      <c r="T169" s="171"/>
      <c r="U169" s="171"/>
      <c r="V169" s="171"/>
      <c r="W169" s="171"/>
      <c r="X169" s="171"/>
      <c r="Y169" s="171"/>
      <c r="Z169" s="171"/>
    </row>
    <row r="170" spans="1:26" ht="15" customHeight="1">
      <c r="A170" s="171"/>
      <c r="B170" s="171"/>
      <c r="C170" s="171"/>
      <c r="D170" s="171"/>
      <c r="E170" s="171"/>
      <c r="F170" s="171"/>
      <c r="G170" s="171"/>
      <c r="H170" s="171"/>
      <c r="I170" s="171"/>
      <c r="J170" s="171"/>
      <c r="K170" s="171"/>
      <c r="L170" s="171"/>
      <c r="M170" s="171"/>
      <c r="N170" s="171"/>
      <c r="O170" s="171"/>
      <c r="P170" s="171"/>
      <c r="Q170" s="171"/>
      <c r="R170" s="171"/>
      <c r="S170" s="171"/>
      <c r="T170" s="171"/>
      <c r="U170" s="171"/>
      <c r="V170" s="171"/>
      <c r="W170" s="171"/>
      <c r="X170" s="171"/>
      <c r="Y170" s="171"/>
      <c r="Z170" s="171"/>
    </row>
    <row r="171" spans="1:26" ht="15" customHeight="1">
      <c r="A171" s="171"/>
      <c r="B171" s="171"/>
      <c r="C171" s="171"/>
      <c r="D171" s="171"/>
      <c r="E171" s="171"/>
      <c r="F171" s="171"/>
      <c r="G171" s="171"/>
      <c r="H171" s="171"/>
      <c r="I171" s="171"/>
      <c r="J171" s="171"/>
      <c r="K171" s="171"/>
      <c r="L171" s="171"/>
      <c r="M171" s="171"/>
      <c r="N171" s="171"/>
      <c r="O171" s="171"/>
      <c r="P171" s="171"/>
      <c r="Q171" s="171"/>
      <c r="R171" s="171"/>
      <c r="S171" s="171"/>
      <c r="T171" s="171"/>
      <c r="U171" s="171"/>
      <c r="V171" s="171"/>
      <c r="W171" s="171"/>
      <c r="X171" s="171"/>
      <c r="Y171" s="171"/>
      <c r="Z171" s="171"/>
    </row>
    <row r="172" spans="1:26" ht="15" customHeight="1">
      <c r="A172" s="171"/>
      <c r="B172" s="171"/>
      <c r="C172" s="171"/>
      <c r="D172" s="171"/>
      <c r="E172" s="171"/>
      <c r="F172" s="171"/>
      <c r="G172" s="171"/>
      <c r="H172" s="171"/>
      <c r="I172" s="171"/>
      <c r="J172" s="171"/>
      <c r="K172" s="171"/>
      <c r="L172" s="171"/>
      <c r="M172" s="171"/>
      <c r="N172" s="171"/>
      <c r="O172" s="171"/>
      <c r="P172" s="171"/>
      <c r="Q172" s="171"/>
      <c r="R172" s="171"/>
      <c r="S172" s="171"/>
      <c r="T172" s="171"/>
      <c r="U172" s="171"/>
      <c r="V172" s="171"/>
      <c r="W172" s="171"/>
      <c r="X172" s="171"/>
      <c r="Y172" s="171"/>
      <c r="Z172" s="171"/>
    </row>
    <row r="173" spans="1:26" ht="15" customHeight="1">
      <c r="A173" s="171"/>
      <c r="B173" s="171"/>
      <c r="C173" s="171"/>
      <c r="D173" s="171"/>
      <c r="E173" s="171"/>
      <c r="F173" s="171"/>
      <c r="G173" s="171"/>
      <c r="H173" s="171"/>
      <c r="I173" s="171"/>
      <c r="J173" s="171"/>
      <c r="K173" s="171"/>
      <c r="L173" s="171"/>
      <c r="M173" s="171"/>
      <c r="N173" s="171"/>
      <c r="O173" s="171"/>
      <c r="P173" s="171"/>
      <c r="Q173" s="171"/>
      <c r="R173" s="171"/>
      <c r="S173" s="171"/>
      <c r="T173" s="171"/>
      <c r="U173" s="171"/>
      <c r="V173" s="171"/>
      <c r="W173" s="171"/>
      <c r="X173" s="171"/>
      <c r="Y173" s="171"/>
      <c r="Z173" s="171"/>
    </row>
    <row r="174" spans="1:26" ht="15" customHeight="1">
      <c r="A174" s="171"/>
      <c r="B174" s="171"/>
      <c r="C174" s="171"/>
      <c r="D174" s="171"/>
      <c r="E174" s="171"/>
      <c r="F174" s="171"/>
      <c r="G174" s="171"/>
      <c r="H174" s="171"/>
      <c r="I174" s="171"/>
      <c r="J174" s="171"/>
      <c r="K174" s="171"/>
      <c r="L174" s="171"/>
      <c r="M174" s="171"/>
      <c r="N174" s="171"/>
      <c r="O174" s="171"/>
      <c r="P174" s="171"/>
      <c r="Q174" s="171"/>
      <c r="R174" s="171"/>
      <c r="S174" s="171"/>
      <c r="T174" s="171"/>
      <c r="U174" s="171"/>
      <c r="V174" s="171"/>
      <c r="W174" s="171"/>
      <c r="X174" s="171"/>
      <c r="Y174" s="171"/>
      <c r="Z174" s="171"/>
    </row>
    <row r="175" spans="1:26" ht="15" customHeight="1">
      <c r="A175" s="171"/>
      <c r="B175" s="171"/>
      <c r="C175" s="171"/>
      <c r="D175" s="171"/>
      <c r="E175" s="171"/>
      <c r="F175" s="171"/>
      <c r="G175" s="171"/>
      <c r="H175" s="171"/>
      <c r="I175" s="171"/>
      <c r="J175" s="171"/>
      <c r="K175" s="171"/>
      <c r="L175" s="171"/>
      <c r="M175" s="171"/>
      <c r="N175" s="171"/>
      <c r="O175" s="171"/>
      <c r="P175" s="171"/>
      <c r="Q175" s="171"/>
      <c r="R175" s="171"/>
      <c r="S175" s="171"/>
      <c r="T175" s="171"/>
      <c r="U175" s="171"/>
      <c r="V175" s="171"/>
      <c r="W175" s="171"/>
      <c r="X175" s="171"/>
      <c r="Y175" s="171"/>
      <c r="Z175" s="171"/>
    </row>
    <row r="176" spans="1:26" ht="15" customHeight="1">
      <c r="A176" s="171"/>
      <c r="B176" s="171"/>
      <c r="C176" s="171"/>
      <c r="D176" s="171"/>
      <c r="E176" s="171"/>
      <c r="F176" s="171"/>
      <c r="G176" s="171"/>
      <c r="H176" s="171"/>
      <c r="I176" s="171"/>
      <c r="J176" s="171"/>
      <c r="K176" s="171"/>
      <c r="L176" s="171"/>
      <c r="M176" s="171"/>
      <c r="N176" s="171"/>
      <c r="O176" s="171"/>
      <c r="P176" s="171"/>
      <c r="Q176" s="171"/>
      <c r="R176" s="171"/>
      <c r="S176" s="171"/>
      <c r="T176" s="171"/>
      <c r="U176" s="171"/>
      <c r="V176" s="171"/>
      <c r="W176" s="171"/>
      <c r="X176" s="171"/>
      <c r="Y176" s="171"/>
      <c r="Z176" s="171"/>
    </row>
    <row r="177" spans="1:26" ht="15" customHeight="1">
      <c r="A177" s="171"/>
      <c r="B177" s="171"/>
      <c r="C177" s="171"/>
      <c r="D177" s="171"/>
      <c r="E177" s="171"/>
      <c r="F177" s="171"/>
      <c r="G177" s="171"/>
      <c r="H177" s="171"/>
      <c r="I177" s="171"/>
      <c r="J177" s="171"/>
      <c r="K177" s="171"/>
      <c r="L177" s="171"/>
      <c r="M177" s="171"/>
      <c r="N177" s="171"/>
      <c r="O177" s="171"/>
      <c r="P177" s="171"/>
      <c r="Q177" s="171"/>
      <c r="R177" s="171"/>
      <c r="S177" s="171"/>
      <c r="T177" s="171"/>
      <c r="U177" s="171"/>
      <c r="V177" s="171"/>
      <c r="W177" s="171"/>
      <c r="X177" s="171"/>
      <c r="Y177" s="171"/>
      <c r="Z177" s="171"/>
    </row>
    <row r="178" spans="1:26" ht="15" customHeight="1">
      <c r="A178" s="171"/>
      <c r="B178" s="171"/>
      <c r="C178" s="171"/>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row>
    <row r="179" spans="1:26" ht="15" customHeight="1">
      <c r="A179" s="171"/>
      <c r="B179" s="171"/>
      <c r="C179" s="171"/>
      <c r="D179" s="171"/>
      <c r="E179" s="171"/>
      <c r="F179" s="171"/>
      <c r="G179" s="171"/>
      <c r="H179" s="171"/>
      <c r="I179" s="171"/>
      <c r="J179" s="171"/>
      <c r="K179" s="171"/>
      <c r="L179" s="171"/>
      <c r="M179" s="171"/>
      <c r="N179" s="171"/>
      <c r="O179" s="171"/>
      <c r="P179" s="171"/>
      <c r="Q179" s="171"/>
      <c r="R179" s="171"/>
      <c r="S179" s="171"/>
      <c r="T179" s="171"/>
      <c r="U179" s="171"/>
      <c r="V179" s="171"/>
      <c r="W179" s="171"/>
      <c r="X179" s="171"/>
      <c r="Y179" s="171"/>
      <c r="Z179" s="171"/>
    </row>
    <row r="180" spans="1:26" ht="15" customHeight="1">
      <c r="A180" s="171"/>
      <c r="B180" s="171"/>
      <c r="C180" s="171"/>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row>
    <row r="181" spans="1:26" ht="15" customHeight="1">
      <c r="A181" s="171"/>
      <c r="B181" s="171"/>
      <c r="C181" s="171"/>
      <c r="D181" s="171"/>
      <c r="E181" s="171"/>
      <c r="F181" s="171"/>
      <c r="G181" s="171"/>
      <c r="H181" s="171"/>
      <c r="I181" s="171"/>
      <c r="J181" s="171"/>
      <c r="K181" s="171"/>
      <c r="L181" s="171"/>
      <c r="M181" s="171"/>
      <c r="N181" s="171"/>
      <c r="O181" s="171"/>
      <c r="P181" s="171"/>
      <c r="Q181" s="171"/>
      <c r="R181" s="171"/>
      <c r="S181" s="171"/>
      <c r="T181" s="171"/>
      <c r="U181" s="171"/>
      <c r="V181" s="171"/>
      <c r="W181" s="171"/>
      <c r="X181" s="171"/>
      <c r="Y181" s="171"/>
      <c r="Z181" s="171"/>
    </row>
    <row r="182" spans="1:26" ht="15" customHeight="1">
      <c r="A182" s="171"/>
      <c r="B182" s="171"/>
      <c r="C182" s="171"/>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row>
    <row r="183" spans="1:26" ht="15" customHeight="1">
      <c r="A183" s="171"/>
      <c r="B183" s="171"/>
      <c r="C183" s="171"/>
      <c r="D183" s="171"/>
      <c r="E183" s="171"/>
      <c r="F183" s="171"/>
      <c r="G183" s="171"/>
      <c r="H183" s="171"/>
      <c r="I183" s="171"/>
      <c r="J183" s="171"/>
      <c r="K183" s="171"/>
      <c r="L183" s="171"/>
      <c r="M183" s="171"/>
      <c r="N183" s="171"/>
      <c r="O183" s="171"/>
      <c r="P183" s="171"/>
      <c r="Q183" s="171"/>
      <c r="R183" s="171"/>
      <c r="S183" s="171"/>
      <c r="T183" s="171"/>
      <c r="U183" s="171"/>
      <c r="V183" s="171"/>
      <c r="W183" s="171"/>
      <c r="X183" s="171"/>
      <c r="Y183" s="171"/>
      <c r="Z183" s="171"/>
    </row>
    <row r="184" spans="1:26" ht="15" customHeight="1">
      <c r="A184" s="171"/>
      <c r="B184" s="171"/>
      <c r="C184" s="171"/>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row>
    <row r="185" spans="1:26" ht="15" customHeight="1">
      <c r="A185" s="171"/>
      <c r="B185" s="171"/>
      <c r="C185" s="171"/>
      <c r="D185" s="171"/>
      <c r="E185" s="171"/>
      <c r="F185" s="171"/>
      <c r="G185" s="171"/>
      <c r="H185" s="171"/>
      <c r="I185" s="171"/>
      <c r="J185" s="171"/>
      <c r="K185" s="171"/>
      <c r="L185" s="171"/>
      <c r="M185" s="171"/>
      <c r="N185" s="171"/>
      <c r="O185" s="171"/>
      <c r="P185" s="171"/>
      <c r="Q185" s="171"/>
      <c r="R185" s="171"/>
      <c r="S185" s="171"/>
      <c r="T185" s="171"/>
      <c r="U185" s="171"/>
      <c r="V185" s="171"/>
      <c r="W185" s="171"/>
      <c r="X185" s="171"/>
      <c r="Y185" s="171"/>
      <c r="Z185" s="171"/>
    </row>
    <row r="186" spans="1:26" ht="15" customHeight="1">
      <c r="A186" s="171"/>
      <c r="B186" s="171"/>
      <c r="C186" s="171"/>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row>
    <row r="187" spans="1:26" ht="15" customHeight="1">
      <c r="A187" s="171"/>
      <c r="B187" s="171"/>
      <c r="C187" s="171"/>
      <c r="D187" s="171"/>
      <c r="E187" s="171"/>
      <c r="F187" s="171"/>
      <c r="G187" s="171"/>
      <c r="H187" s="171"/>
      <c r="I187" s="171"/>
      <c r="J187" s="171"/>
      <c r="K187" s="171"/>
      <c r="L187" s="171"/>
      <c r="M187" s="171"/>
      <c r="N187" s="171"/>
      <c r="O187" s="171"/>
      <c r="P187" s="171"/>
      <c r="Q187" s="171"/>
      <c r="R187" s="171"/>
      <c r="S187" s="171"/>
      <c r="T187" s="171"/>
      <c r="U187" s="171"/>
      <c r="V187" s="171"/>
      <c r="W187" s="171"/>
      <c r="X187" s="171"/>
      <c r="Y187" s="171"/>
      <c r="Z187" s="171"/>
    </row>
    <row r="188" spans="1:26" ht="15" customHeight="1">
      <c r="A188" s="171"/>
      <c r="B188" s="171"/>
      <c r="C188" s="171"/>
      <c r="D188" s="171"/>
      <c r="E188" s="171"/>
      <c r="F188" s="171"/>
      <c r="G188" s="171"/>
      <c r="H188" s="171"/>
      <c r="I188" s="171"/>
      <c r="J188" s="171"/>
      <c r="K188" s="171"/>
      <c r="L188" s="171"/>
      <c r="M188" s="171"/>
      <c r="N188" s="171"/>
      <c r="O188" s="171"/>
      <c r="P188" s="171"/>
      <c r="Q188" s="171"/>
      <c r="R188" s="171"/>
      <c r="S188" s="171"/>
      <c r="T188" s="171"/>
      <c r="U188" s="171"/>
      <c r="V188" s="171"/>
      <c r="W188" s="171"/>
      <c r="X188" s="171"/>
      <c r="Y188" s="171"/>
      <c r="Z188" s="171"/>
    </row>
    <row r="189" spans="1:26" ht="15" customHeight="1">
      <c r="A189" s="171"/>
      <c r="B189" s="171"/>
      <c r="C189" s="171"/>
      <c r="D189" s="171"/>
      <c r="E189" s="171"/>
      <c r="F189" s="171"/>
      <c r="G189" s="171"/>
      <c r="H189" s="171"/>
      <c r="I189" s="171"/>
      <c r="J189" s="171"/>
      <c r="K189" s="171"/>
      <c r="L189" s="171"/>
      <c r="M189" s="171"/>
      <c r="N189" s="171"/>
      <c r="O189" s="171"/>
      <c r="P189" s="171"/>
      <c r="Q189" s="171"/>
      <c r="R189" s="171"/>
      <c r="S189" s="171"/>
      <c r="T189" s="171"/>
      <c r="U189" s="171"/>
      <c r="V189" s="171"/>
      <c r="W189" s="171"/>
      <c r="X189" s="171"/>
      <c r="Y189" s="171"/>
      <c r="Z189" s="171"/>
    </row>
    <row r="190" spans="1:26" ht="15" customHeight="1">
      <c r="A190" s="171"/>
      <c r="B190" s="171"/>
      <c r="C190" s="171"/>
      <c r="D190" s="171"/>
      <c r="E190" s="171"/>
      <c r="F190" s="171"/>
      <c r="G190" s="171"/>
      <c r="H190" s="171"/>
      <c r="I190" s="171"/>
      <c r="J190" s="171"/>
      <c r="K190" s="171"/>
      <c r="L190" s="171"/>
      <c r="M190" s="171"/>
      <c r="N190" s="171"/>
      <c r="O190" s="171"/>
      <c r="P190" s="171"/>
      <c r="Q190" s="171"/>
      <c r="R190" s="171"/>
      <c r="S190" s="171"/>
      <c r="T190" s="171"/>
      <c r="U190" s="171"/>
      <c r="V190" s="171"/>
      <c r="W190" s="171"/>
      <c r="X190" s="171"/>
      <c r="Y190" s="171"/>
      <c r="Z190" s="171"/>
    </row>
    <row r="191" spans="1:26" ht="15" customHeight="1">
      <c r="A191" s="171"/>
      <c r="B191" s="171"/>
      <c r="C191" s="171"/>
      <c r="D191" s="171"/>
      <c r="E191" s="171"/>
      <c r="F191" s="171"/>
      <c r="G191" s="171"/>
      <c r="H191" s="171"/>
      <c r="I191" s="171"/>
      <c r="J191" s="171"/>
      <c r="K191" s="171"/>
      <c r="L191" s="171"/>
      <c r="M191" s="171"/>
      <c r="N191" s="171"/>
      <c r="O191" s="171"/>
      <c r="P191" s="171"/>
      <c r="Q191" s="171"/>
      <c r="R191" s="171"/>
      <c r="S191" s="171"/>
      <c r="T191" s="171"/>
      <c r="U191" s="171"/>
      <c r="V191" s="171"/>
      <c r="W191" s="171"/>
      <c r="X191" s="171"/>
      <c r="Y191" s="171"/>
      <c r="Z191" s="171"/>
    </row>
    <row r="192" spans="1:26" ht="15" customHeight="1">
      <c r="A192" s="171"/>
      <c r="B192" s="171"/>
      <c r="C192" s="171"/>
      <c r="D192" s="171"/>
      <c r="E192" s="171"/>
      <c r="F192" s="171"/>
      <c r="G192" s="171"/>
      <c r="H192" s="171"/>
      <c r="I192" s="171"/>
      <c r="J192" s="171"/>
      <c r="K192" s="171"/>
      <c r="L192" s="171"/>
      <c r="M192" s="171"/>
      <c r="N192" s="171"/>
      <c r="O192" s="171"/>
      <c r="P192" s="171"/>
      <c r="Q192" s="171"/>
      <c r="R192" s="171"/>
      <c r="S192" s="171"/>
      <c r="T192" s="171"/>
      <c r="U192" s="171"/>
      <c r="V192" s="171"/>
      <c r="W192" s="171"/>
      <c r="X192" s="171"/>
      <c r="Y192" s="171"/>
      <c r="Z192" s="171"/>
    </row>
    <row r="193" spans="1:26" ht="15" customHeight="1">
      <c r="A193" s="171"/>
      <c r="B193" s="171"/>
      <c r="C193" s="171"/>
      <c r="D193" s="171"/>
      <c r="E193" s="171"/>
      <c r="F193" s="171"/>
      <c r="G193" s="171"/>
      <c r="H193" s="171"/>
      <c r="I193" s="171"/>
      <c r="J193" s="171"/>
      <c r="K193" s="171"/>
      <c r="L193" s="171"/>
      <c r="M193" s="171"/>
      <c r="N193" s="171"/>
      <c r="O193" s="171"/>
      <c r="P193" s="171"/>
      <c r="Q193" s="171"/>
      <c r="R193" s="171"/>
      <c r="S193" s="171"/>
      <c r="T193" s="171"/>
      <c r="U193" s="171"/>
      <c r="V193" s="171"/>
      <c r="W193" s="171"/>
      <c r="X193" s="171"/>
      <c r="Y193" s="171"/>
      <c r="Z193" s="171"/>
    </row>
    <row r="194" spans="1:26" ht="15" customHeight="1">
      <c r="A194" s="171"/>
      <c r="B194" s="171"/>
      <c r="C194" s="171"/>
      <c r="D194" s="171"/>
      <c r="E194" s="171"/>
      <c r="F194" s="171"/>
      <c r="G194" s="171"/>
      <c r="H194" s="171"/>
      <c r="I194" s="171"/>
      <c r="J194" s="171"/>
      <c r="K194" s="171"/>
      <c r="L194" s="171"/>
      <c r="M194" s="171"/>
      <c r="N194" s="171"/>
      <c r="O194" s="171"/>
      <c r="P194" s="171"/>
      <c r="Q194" s="171"/>
      <c r="R194" s="171"/>
      <c r="S194" s="171"/>
      <c r="T194" s="171"/>
      <c r="U194" s="171"/>
      <c r="V194" s="171"/>
      <c r="W194" s="171"/>
      <c r="X194" s="171"/>
      <c r="Y194" s="171"/>
      <c r="Z194" s="171"/>
    </row>
    <row r="195" spans="1:26" ht="15" customHeight="1">
      <c r="A195" s="171"/>
      <c r="B195" s="171"/>
      <c r="C195" s="171"/>
      <c r="D195" s="171"/>
      <c r="E195" s="171"/>
      <c r="F195" s="171"/>
      <c r="G195" s="171"/>
      <c r="H195" s="171"/>
      <c r="I195" s="171"/>
      <c r="J195" s="171"/>
      <c r="K195" s="171"/>
      <c r="L195" s="171"/>
      <c r="M195" s="171"/>
      <c r="N195" s="171"/>
      <c r="O195" s="171"/>
      <c r="P195" s="171"/>
      <c r="Q195" s="171"/>
      <c r="R195" s="171"/>
      <c r="S195" s="171"/>
      <c r="T195" s="171"/>
      <c r="U195" s="171"/>
      <c r="V195" s="171"/>
      <c r="W195" s="171"/>
      <c r="X195" s="171"/>
      <c r="Y195" s="171"/>
      <c r="Z195" s="171"/>
    </row>
    <row r="196" spans="1:26" ht="15" customHeight="1">
      <c r="A196" s="171"/>
      <c r="B196" s="171"/>
      <c r="C196" s="171"/>
      <c r="D196" s="171"/>
      <c r="E196" s="171"/>
      <c r="F196" s="171"/>
      <c r="G196" s="171"/>
      <c r="H196" s="171"/>
      <c r="I196" s="171"/>
      <c r="J196" s="171"/>
      <c r="K196" s="171"/>
      <c r="L196" s="171"/>
      <c r="M196" s="171"/>
      <c r="N196" s="171"/>
      <c r="O196" s="171"/>
      <c r="P196" s="171"/>
      <c r="Q196" s="171"/>
      <c r="R196" s="171"/>
      <c r="S196" s="171"/>
      <c r="T196" s="171"/>
      <c r="U196" s="171"/>
      <c r="V196" s="171"/>
      <c r="W196" s="171"/>
      <c r="X196" s="171"/>
      <c r="Y196" s="171"/>
      <c r="Z196" s="171"/>
    </row>
    <row r="197" spans="1:26" ht="15" customHeight="1">
      <c r="A197" s="171"/>
      <c r="B197" s="171"/>
      <c r="C197" s="171"/>
      <c r="D197" s="171"/>
      <c r="E197" s="171"/>
      <c r="F197" s="171"/>
      <c r="G197" s="171"/>
      <c r="H197" s="171"/>
      <c r="I197" s="171"/>
      <c r="J197" s="171"/>
      <c r="K197" s="171"/>
      <c r="L197" s="171"/>
      <c r="M197" s="171"/>
      <c r="N197" s="171"/>
      <c r="O197" s="171"/>
      <c r="P197" s="171"/>
      <c r="Q197" s="171"/>
      <c r="R197" s="171"/>
      <c r="S197" s="171"/>
      <c r="T197" s="171"/>
      <c r="U197" s="171"/>
      <c r="V197" s="171"/>
      <c r="W197" s="171"/>
      <c r="X197" s="171"/>
      <c r="Y197" s="171"/>
      <c r="Z197" s="171"/>
    </row>
    <row r="198" spans="1:26" ht="15" customHeight="1">
      <c r="A198" s="171"/>
      <c r="B198" s="171"/>
      <c r="C198" s="171"/>
      <c r="D198" s="171"/>
      <c r="E198" s="171"/>
      <c r="F198" s="171"/>
      <c r="G198" s="171"/>
      <c r="H198" s="171"/>
      <c r="I198" s="171"/>
      <c r="J198" s="171"/>
      <c r="K198" s="171"/>
      <c r="L198" s="171"/>
      <c r="M198" s="171"/>
      <c r="N198" s="171"/>
      <c r="O198" s="171"/>
      <c r="P198" s="171"/>
      <c r="Q198" s="171"/>
      <c r="R198" s="171"/>
      <c r="S198" s="171"/>
      <c r="T198" s="171"/>
      <c r="U198" s="171"/>
      <c r="V198" s="171"/>
      <c r="W198" s="171"/>
      <c r="X198" s="171"/>
      <c r="Y198" s="171"/>
      <c r="Z198" s="171"/>
    </row>
    <row r="199" spans="1:26" ht="15" customHeight="1">
      <c r="A199" s="171"/>
      <c r="B199" s="171"/>
      <c r="C199" s="171"/>
      <c r="D199" s="171"/>
      <c r="E199" s="171"/>
      <c r="F199" s="171"/>
      <c r="G199" s="171"/>
      <c r="H199" s="171"/>
      <c r="I199" s="171"/>
      <c r="J199" s="171"/>
      <c r="K199" s="171"/>
      <c r="L199" s="171"/>
      <c r="M199" s="171"/>
      <c r="N199" s="171"/>
      <c r="O199" s="171"/>
      <c r="P199" s="171"/>
      <c r="Q199" s="171"/>
      <c r="R199" s="171"/>
      <c r="S199" s="171"/>
      <c r="T199" s="171"/>
      <c r="U199" s="171"/>
      <c r="V199" s="171"/>
      <c r="W199" s="171"/>
      <c r="X199" s="171"/>
      <c r="Y199" s="171"/>
      <c r="Z199" s="171"/>
    </row>
    <row r="200" spans="1:26" ht="15" customHeight="1">
      <c r="A200" s="171"/>
      <c r="B200" s="171"/>
      <c r="C200" s="171"/>
      <c r="D200" s="171"/>
      <c r="E200" s="171"/>
      <c r="F200" s="171"/>
      <c r="G200" s="171"/>
      <c r="H200" s="171"/>
      <c r="I200" s="171"/>
      <c r="J200" s="171"/>
      <c r="K200" s="171"/>
      <c r="L200" s="171"/>
      <c r="M200" s="171"/>
      <c r="N200" s="171"/>
      <c r="O200" s="171"/>
      <c r="P200" s="171"/>
      <c r="Q200" s="171"/>
      <c r="R200" s="171"/>
      <c r="S200" s="171"/>
      <c r="T200" s="171"/>
      <c r="U200" s="171"/>
      <c r="V200" s="171"/>
      <c r="W200" s="171"/>
      <c r="X200" s="171"/>
      <c r="Y200" s="171"/>
      <c r="Z200" s="171"/>
    </row>
  </sheetData>
  <mergeCells count="33">
    <mergeCell ref="M2:O2"/>
    <mergeCell ref="C5:O5"/>
    <mergeCell ref="C7:D7"/>
    <mergeCell ref="C8:D8"/>
    <mergeCell ref="E7:F7"/>
    <mergeCell ref="E8:F8"/>
    <mergeCell ref="G7:H7"/>
    <mergeCell ref="G8:H8"/>
    <mergeCell ref="I7:J7"/>
    <mergeCell ref="I8:J8"/>
    <mergeCell ref="K7:L7"/>
    <mergeCell ref="K8:L8"/>
    <mergeCell ref="M7:O7"/>
    <mergeCell ref="M8:O8"/>
    <mergeCell ref="M14:O14"/>
    <mergeCell ref="M15:O15"/>
    <mergeCell ref="M16:O16"/>
    <mergeCell ref="C10:O10"/>
    <mergeCell ref="M11:O11"/>
    <mergeCell ref="M12:O12"/>
    <mergeCell ref="M13:O13"/>
    <mergeCell ref="M17:O17"/>
    <mergeCell ref="C19:O19"/>
    <mergeCell ref="C35:O35"/>
    <mergeCell ref="C48:O48"/>
    <mergeCell ref="B49:B50"/>
    <mergeCell ref="C49:D49"/>
    <mergeCell ref="E49:F49"/>
    <mergeCell ref="G49:H49"/>
    <mergeCell ref="C50:D50"/>
    <mergeCell ref="E50:F50"/>
    <mergeCell ref="G50:H50"/>
    <mergeCell ref="I50:O50"/>
  </mergeCells>
  <conditionalFormatting sqref="C12:C16">
    <cfRule type="cellIs" dxfId="16" priority="1" operator="greaterThan">
      <formula>0</formula>
    </cfRule>
  </conditionalFormatting>
  <conditionalFormatting sqref="D12:D16">
    <cfRule type="cellIs" dxfId="15" priority="2" operator="greaterThan">
      <formula>0</formula>
    </cfRule>
  </conditionalFormatting>
  <conditionalFormatting sqref="E12:E16">
    <cfRule type="cellIs" dxfId="14" priority="3" operator="greaterThan">
      <formula>0</formula>
    </cfRule>
  </conditionalFormatting>
  <conditionalFormatting sqref="F12:F16">
    <cfRule type="cellIs" dxfId="13" priority="4" operator="greaterThan">
      <formula>0</formula>
    </cfRule>
  </conditionalFormatting>
  <conditionalFormatting sqref="G12:G16">
    <cfRule type="cellIs" dxfId="12" priority="5" operator="greaterThan">
      <formula>0</formula>
    </cfRule>
  </conditionalFormatting>
  <conditionalFormatting sqref="H12:H16">
    <cfRule type="cellIs" dxfId="11" priority="6" operator="greaterThan">
      <formula>0</formula>
    </cfRule>
  </conditionalFormatting>
  <conditionalFormatting sqref="I12:I16">
    <cfRule type="cellIs" dxfId="10" priority="7" operator="greaterThan">
      <formula>0</formula>
    </cfRule>
  </conditionalFormatting>
  <conditionalFormatting sqref="J12:J16">
    <cfRule type="cellIs" dxfId="9" priority="8" operator="greaterThan">
      <formula>0</formula>
    </cfRule>
  </conditionalFormatting>
  <conditionalFormatting sqref="M12:O16">
    <cfRule type="expression" dxfId="8" priority="9">
      <formula>ISNUMBER(SEARCH("past",$M12))</formula>
    </cfRule>
  </conditionalFormatting>
  <conditionalFormatting sqref="M12:O16">
    <cfRule type="expression" dxfId="7" priority="10">
      <formula>$M12="Delivered"</formula>
    </cfRule>
  </conditionalFormatting>
  <conditionalFormatting sqref="M17:O17">
    <cfRule type="expression" dxfId="6" priority="11">
      <formula>LEN($M17)&gt;0</formula>
    </cfRule>
  </conditionalFormatting>
  <conditionalFormatting sqref="B37:O46">
    <cfRule type="expression" dxfId="5" priority="12">
      <formula>AND(MOD(ROW(),2)=1,LEN($B37)&gt;0)</formula>
    </cfRule>
  </conditionalFormatting>
  <conditionalFormatting sqref="B53:O140">
    <cfRule type="expression" dxfId="4" priority="13">
      <formula>AND(MOD(ROW(),2)=0,LEN($B53)&gt;0)</formula>
    </cfRule>
  </conditionalFormatting>
  <conditionalFormatting sqref="D53:D140">
    <cfRule type="expression" dxfId="3" priority="14">
      <formula>$D53="Ready for Release in Prod"</formula>
    </cfRule>
  </conditionalFormatting>
  <conditionalFormatting sqref="E53:E140">
    <cfRule type="expression" dxfId="2" priority="15">
      <formula>LEFT($E53,3)="Yes"</formula>
    </cfRule>
  </conditionalFormatting>
  <conditionalFormatting sqref="O53:O140">
    <cfRule type="expression" dxfId="1" priority="16">
      <formula>LEN($O53)&gt;0</formula>
    </cfRule>
  </conditionalFormatting>
  <conditionalFormatting sqref="D53:D140">
    <cfRule type="expression" dxfId="0" priority="17">
      <formula>$D53="RELEASED IN PROD"</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513</v>
      </c>
      <c r="C1" t="s">
        <v>514</v>
      </c>
      <c r="D1" t="s">
        <v>35</v>
      </c>
      <c r="E1" t="s">
        <v>515</v>
      </c>
    </row>
    <row r="2" spans="1:5">
      <c r="A2" t="s">
        <v>127</v>
      </c>
      <c r="B2" t="s">
        <v>130</v>
      </c>
      <c r="C2" t="s">
        <v>128</v>
      </c>
      <c r="D2" t="s">
        <v>331</v>
      </c>
      <c r="E2" t="str">
        <f>IF(C2="Ready for Release in Prod","Blocked in Prod",IF(C2="RELEASED IN PROD","Released",IF(LEFT(D2,3)="Yes","Blocked - Build/QA",IF(C2="NOT STARTED","Not Started",C2))))</f>
        <v>Blocked in Prod</v>
      </c>
    </row>
    <row r="3" spans="1:5">
      <c r="A3" t="s">
        <v>134</v>
      </c>
      <c r="B3" t="s">
        <v>130</v>
      </c>
      <c r="C3" t="s">
        <v>128</v>
      </c>
      <c r="D3" t="s">
        <v>331</v>
      </c>
      <c r="E3" t="str">
        <f>IF(C3="Ready for Release in Prod","Blocked in Prod",IF(C3="RELEASED IN PROD","Released",IF(LEFT(D3,3)="Yes","Blocked - Build/QA",IF(C3="NOT STARTED","Not Started",C3))))</f>
        <v>Blocked in Prod</v>
      </c>
    </row>
    <row r="4" spans="1:5">
      <c r="A4" t="s">
        <v>136</v>
      </c>
      <c r="B4" t="s">
        <v>130</v>
      </c>
      <c r="C4" t="s">
        <v>128</v>
      </c>
      <c r="D4" t="s">
        <v>331</v>
      </c>
      <c r="E4" t="str">
        <f>IF(C4="Ready for Release in Prod","Blocked in Prod",IF(C4="RELEASED IN PROD","Released",IF(LEFT(D4,3)="Yes","Blocked - Build/QA",IF(C4="NOT STARTED","Not Started",C4))))</f>
        <v>Blocked in Prod</v>
      </c>
    </row>
    <row r="5" spans="1:5">
      <c r="A5" t="s">
        <v>138</v>
      </c>
      <c r="B5" t="s">
        <v>130</v>
      </c>
      <c r="C5" t="s">
        <v>128</v>
      </c>
      <c r="D5" t="s">
        <v>331</v>
      </c>
      <c r="E5" t="str">
        <f>IF(C5="Ready for Release in Prod","Blocked in Prod",IF(C5="RELEASED IN PROD","Released",IF(LEFT(D5,3)="Yes","Blocked - Build/QA",IF(C5="NOT STARTED","Not Started",C5))))</f>
        <v>Blocked in Prod</v>
      </c>
    </row>
    <row r="6" spans="1:5">
      <c r="A6" t="s">
        <v>140</v>
      </c>
      <c r="B6" t="s">
        <v>130</v>
      </c>
      <c r="C6" t="s">
        <v>128</v>
      </c>
      <c r="D6" t="s">
        <v>331</v>
      </c>
      <c r="E6" t="str">
        <f>IF(C6="Ready for Release in Prod","Blocked in Prod",IF(C6="RELEASED IN PROD","Released",IF(LEFT(D6,3)="Yes","Blocked - Build/QA",IF(C6="NOT STARTED","Not Started",C6))))</f>
        <v>Blocked in Prod</v>
      </c>
    </row>
    <row r="7" spans="1:5">
      <c r="A7" t="s">
        <v>142</v>
      </c>
      <c r="B7" t="s">
        <v>130</v>
      </c>
      <c r="C7" t="s">
        <v>128</v>
      </c>
      <c r="D7" t="s">
        <v>331</v>
      </c>
      <c r="E7" t="str">
        <f>IF(C7="Ready for Release in Prod","Blocked in Prod",IF(C7="RELEASED IN PROD","Released",IF(LEFT(D7,3)="Yes","Blocked - Build/QA",IF(C7="NOT STARTED","Not Started",C7))))</f>
        <v>Blocked in Prod</v>
      </c>
    </row>
    <row r="8" spans="1:5">
      <c r="A8" t="s">
        <v>145</v>
      </c>
      <c r="B8" t="s">
        <v>130</v>
      </c>
      <c r="C8" t="s">
        <v>128</v>
      </c>
      <c r="D8" t="s">
        <v>331</v>
      </c>
      <c r="E8" t="str">
        <f>IF(C8="Ready for Release in Prod","Blocked in Prod",IF(C8="RELEASED IN PROD","Released",IF(LEFT(D8,3)="Yes","Blocked - Build/QA",IF(C8="NOT STARTED","Not Started",C8))))</f>
        <v>Blocked in Prod</v>
      </c>
    </row>
    <row r="9" spans="1:5">
      <c r="A9" t="s">
        <v>148</v>
      </c>
      <c r="B9" t="s">
        <v>130</v>
      </c>
      <c r="C9" t="s">
        <v>128</v>
      </c>
      <c r="D9" t="s">
        <v>331</v>
      </c>
      <c r="E9" t="str">
        <f>IF(C9="Ready for Release in Prod","Blocked in Prod",IF(C9="RELEASED IN PROD","Released",IF(LEFT(D9,3)="Yes","Blocked - Build/QA",IF(C9="NOT STARTED","Not Started",C9))))</f>
        <v>Blocked in Prod</v>
      </c>
    </row>
    <row r="10" spans="1:5">
      <c r="A10" t="s">
        <v>149</v>
      </c>
      <c r="B10" t="s">
        <v>130</v>
      </c>
      <c r="C10" t="s">
        <v>128</v>
      </c>
      <c r="D10" t="s">
        <v>331</v>
      </c>
      <c r="E10" t="str">
        <f>IF(C10="Ready for Release in Prod","Blocked in Prod",IF(C10="RELEASED IN PROD","Released",IF(LEFT(D10,3)="Yes","Blocked - Build/QA",IF(C10="NOT STARTED","Not Started",C10))))</f>
        <v>Blocked in Prod</v>
      </c>
    </row>
    <row r="11" spans="1:5">
      <c r="A11" t="s">
        <v>152</v>
      </c>
      <c r="B11" t="s">
        <v>130</v>
      </c>
      <c r="C11" t="s">
        <v>128</v>
      </c>
      <c r="D11" t="s">
        <v>331</v>
      </c>
      <c r="E11" t="str">
        <f>IF(C11="Ready for Release in Prod","Blocked in Prod",IF(C11="RELEASED IN PROD","Released",IF(LEFT(D11,3)="Yes","Blocked - Build/QA",IF(C11="NOT STARTED","Not Started",C11))))</f>
        <v>Blocked in Prod</v>
      </c>
    </row>
    <row r="12" spans="1:5">
      <c r="A12" t="s">
        <v>155</v>
      </c>
      <c r="B12" t="s">
        <v>130</v>
      </c>
      <c r="C12" t="s">
        <v>128</v>
      </c>
      <c r="D12" t="s">
        <v>331</v>
      </c>
      <c r="E12" t="str">
        <f>IF(C12="Ready for Release in Prod","Blocked in Prod",IF(C12="RELEASED IN PROD","Released",IF(LEFT(D12,3)="Yes","Blocked - Build/QA",IF(C12="NOT STARTED","Not Started",C12))))</f>
        <v>Blocked in Prod</v>
      </c>
    </row>
    <row r="13" spans="1:5">
      <c r="A13" t="s">
        <v>157</v>
      </c>
      <c r="B13" t="s">
        <v>130</v>
      </c>
      <c r="C13" t="s">
        <v>128</v>
      </c>
      <c r="D13" t="s">
        <v>331</v>
      </c>
      <c r="E13" t="str">
        <f>IF(C13="Ready for Release in Prod","Blocked in Prod",IF(C13="RELEASED IN PROD","Released",IF(LEFT(D13,3)="Yes","Blocked - Build/QA",IF(C13="NOT STARTED","Not Started",C13))))</f>
        <v>Blocked in Prod</v>
      </c>
    </row>
    <row r="14" spans="1:5">
      <c r="A14" t="s">
        <v>159</v>
      </c>
      <c r="B14" t="s">
        <v>130</v>
      </c>
      <c r="C14" t="s">
        <v>128</v>
      </c>
      <c r="D14" t="s">
        <v>331</v>
      </c>
      <c r="E14" t="str">
        <f>IF(C14="Ready for Release in Prod","Blocked in Prod",IF(C14="RELEASED IN PROD","Released",IF(LEFT(D14,3)="Yes","Blocked - Build/QA",IF(C14="NOT STARTED","Not Started",C14))))</f>
        <v>Blocked in Prod</v>
      </c>
    </row>
    <row r="15" spans="1:5">
      <c r="A15" t="s">
        <v>161</v>
      </c>
      <c r="B15" t="s">
        <v>130</v>
      </c>
      <c r="C15" t="s">
        <v>128</v>
      </c>
      <c r="D15" t="s">
        <v>331</v>
      </c>
      <c r="E15" t="str">
        <f>IF(C15="Ready for Release in Prod","Blocked in Prod",IF(C15="RELEASED IN PROD","Released",IF(LEFT(D15,3)="Yes","Blocked - Build/QA",IF(C15="NOT STARTED","Not Started",C15))))</f>
        <v>Blocked in Prod</v>
      </c>
    </row>
    <row r="16" spans="1:5">
      <c r="A16" t="s">
        <v>164</v>
      </c>
      <c r="B16" t="s">
        <v>166</v>
      </c>
      <c r="C16" t="s">
        <v>203</v>
      </c>
      <c r="D16" t="s">
        <v>461</v>
      </c>
      <c r="E16" t="str">
        <f>IF(C16="Ready for Release in Prod","Blocked in Prod",IF(C16="RELEASED IN PROD","Released",IF(LEFT(D16,3)="Yes","Blocked - Build/QA",IF(C16="NOT STARTED","Not Started",C16))))</f>
        <v>Blocked - Build/QA</v>
      </c>
    </row>
    <row r="17" spans="1:5">
      <c r="A17" t="s">
        <v>169</v>
      </c>
      <c r="B17" t="s">
        <v>166</v>
      </c>
      <c r="C17" t="s">
        <v>128</v>
      </c>
      <c r="D17" t="s">
        <v>331</v>
      </c>
      <c r="E17" t="str">
        <f>IF(C17="Ready for Release in Prod","Blocked in Prod",IF(C17="RELEASED IN PROD","Released",IF(LEFT(D17,3)="Yes","Blocked - Build/QA",IF(C17="NOT STARTED","Not Started",C17))))</f>
        <v>Blocked in Prod</v>
      </c>
    </row>
    <row r="18" spans="1:5">
      <c r="A18" t="s">
        <v>172</v>
      </c>
      <c r="B18" t="s">
        <v>166</v>
      </c>
      <c r="C18" t="s">
        <v>128</v>
      </c>
      <c r="D18" t="s">
        <v>331</v>
      </c>
      <c r="E18" t="str">
        <f>IF(C18="Ready for Release in Prod","Blocked in Prod",IF(C18="RELEASED IN PROD","Released",IF(LEFT(D18,3)="Yes","Blocked - Build/QA",IF(C18="NOT STARTED","Not Started",C18))))</f>
        <v>Blocked in Prod</v>
      </c>
    </row>
    <row r="19" spans="1:5">
      <c r="A19" t="s">
        <v>174</v>
      </c>
      <c r="B19" t="s">
        <v>166</v>
      </c>
      <c r="C19" t="s">
        <v>128</v>
      </c>
      <c r="D19" t="s">
        <v>331</v>
      </c>
      <c r="E19" t="str">
        <f>IF(C19="Ready for Release in Prod","Blocked in Prod",IF(C19="RELEASED IN PROD","Released",IF(LEFT(D19,3)="Yes","Blocked - Build/QA",IF(C19="NOT STARTED","Not Started",C19))))</f>
        <v>Blocked in Prod</v>
      </c>
    </row>
    <row r="20" spans="1:5">
      <c r="A20" t="s">
        <v>176</v>
      </c>
      <c r="B20" t="s">
        <v>166</v>
      </c>
      <c r="C20" t="s">
        <v>128</v>
      </c>
      <c r="D20" t="s">
        <v>331</v>
      </c>
      <c r="E20" t="str">
        <f>IF(C20="Ready for Release in Prod","Blocked in Prod",IF(C20="RELEASED IN PROD","Released",IF(LEFT(D20,3)="Yes","Blocked - Build/QA",IF(C20="NOT STARTED","Not Started",C20))))</f>
        <v>Blocked in Prod</v>
      </c>
    </row>
    <row r="21" spans="1:5">
      <c r="A21" t="s">
        <v>178</v>
      </c>
      <c r="B21" t="s">
        <v>166</v>
      </c>
      <c r="C21" t="s">
        <v>128</v>
      </c>
      <c r="D21" t="s">
        <v>331</v>
      </c>
      <c r="E21" t="str">
        <f>IF(C21="Ready for Release in Prod","Blocked in Prod",IF(C21="RELEASED IN PROD","Released",IF(LEFT(D21,3)="Yes","Blocked - Build/QA",IF(C21="NOT STARTED","Not Started",C21))))</f>
        <v>Blocked in Prod</v>
      </c>
    </row>
    <row r="22" spans="1:5">
      <c r="A22" t="s">
        <v>180</v>
      </c>
      <c r="B22" t="s">
        <v>166</v>
      </c>
      <c r="C22" t="s">
        <v>181</v>
      </c>
      <c r="D22" t="s">
        <v>53</v>
      </c>
      <c r="E22" t="str">
        <f>IF(C22="Ready for Release in Prod","Blocked in Prod",IF(C22="RELEASED IN PROD","Released",IF(LEFT(D22,3)="Yes","Blocked - Build/QA",IF(C22="NOT STARTED","Not Started",C22))))</f>
        <v>DPO Approval</v>
      </c>
    </row>
    <row r="23" spans="1:5">
      <c r="A23" t="s">
        <v>182</v>
      </c>
      <c r="B23" t="s">
        <v>166</v>
      </c>
      <c r="C23" t="s">
        <v>128</v>
      </c>
      <c r="D23" t="s">
        <v>331</v>
      </c>
      <c r="E23" t="str">
        <f>IF(C23="Ready for Release in Prod","Blocked in Prod",IF(C23="RELEASED IN PROD","Released",IF(LEFT(D23,3)="Yes","Blocked - Build/QA",IF(C23="NOT STARTED","Not Started",C23))))</f>
        <v>Blocked in Prod</v>
      </c>
    </row>
    <row r="24" spans="1:5">
      <c r="A24" t="s">
        <v>183</v>
      </c>
      <c r="B24" t="s">
        <v>166</v>
      </c>
      <c r="C24" t="s">
        <v>128</v>
      </c>
      <c r="D24" t="s">
        <v>331</v>
      </c>
      <c r="E24" t="str">
        <f>IF(C24="Ready for Release in Prod","Blocked in Prod",IF(C24="RELEASED IN PROD","Released",IF(LEFT(D24,3)="Yes","Blocked - Build/QA",IF(C24="NOT STARTED","Not Started",C24))))</f>
        <v>Blocked in Prod</v>
      </c>
    </row>
    <row r="25" spans="1:5">
      <c r="A25" t="s">
        <v>185</v>
      </c>
      <c r="B25" t="s">
        <v>166</v>
      </c>
      <c r="C25" t="s">
        <v>181</v>
      </c>
      <c r="D25" t="s">
        <v>53</v>
      </c>
      <c r="E25" t="str">
        <f>IF(C25="Ready for Release in Prod","Blocked in Prod",IF(C25="RELEASED IN PROD","Released",IF(LEFT(D25,3)="Yes","Blocked - Build/QA",IF(C25="NOT STARTED","Not Started",C25))))</f>
        <v>DPO Approval</v>
      </c>
    </row>
    <row r="26" spans="1:5">
      <c r="A26" t="s">
        <v>188</v>
      </c>
      <c r="B26" t="s">
        <v>166</v>
      </c>
      <c r="C26" t="s">
        <v>128</v>
      </c>
      <c r="D26" t="s">
        <v>331</v>
      </c>
      <c r="E26" t="str">
        <f>IF(C26="Ready for Release in Prod","Blocked in Prod",IF(C26="RELEASED IN PROD","Released",IF(LEFT(D26,3)="Yes","Blocked - Build/QA",IF(C26="NOT STARTED","Not Started",C26))))</f>
        <v>Blocked in Prod</v>
      </c>
    </row>
    <row r="27" spans="1:5">
      <c r="A27" t="s">
        <v>189</v>
      </c>
      <c r="B27" t="s">
        <v>166</v>
      </c>
      <c r="C27" t="s">
        <v>128</v>
      </c>
      <c r="D27" t="s">
        <v>331</v>
      </c>
      <c r="E27" t="str">
        <f>IF(C27="Ready for Release in Prod","Blocked in Prod",IF(C27="RELEASED IN PROD","Released",IF(LEFT(D27,3)="Yes","Blocked - Build/QA",IF(C27="NOT STARTED","Not Started",C27))))</f>
        <v>Blocked in Prod</v>
      </c>
    </row>
    <row r="28" spans="1:5">
      <c r="A28" t="s">
        <v>191</v>
      </c>
      <c r="B28" t="s">
        <v>192</v>
      </c>
      <c r="C28" t="s">
        <v>181</v>
      </c>
      <c r="D28" t="s">
        <v>53</v>
      </c>
      <c r="E28" t="str">
        <f>IF(C28="Ready for Release in Prod","Blocked in Prod",IF(C28="RELEASED IN PROD","Released",IF(LEFT(D28,3)="Yes","Blocked - Build/QA",IF(C28="NOT STARTED","Not Started",C28))))</f>
        <v>DPO Approval</v>
      </c>
    </row>
    <row r="29" spans="1:5">
      <c r="A29" t="s">
        <v>197</v>
      </c>
      <c r="B29" t="s">
        <v>192</v>
      </c>
      <c r="C29" t="s">
        <v>181</v>
      </c>
      <c r="D29" t="s">
        <v>53</v>
      </c>
      <c r="E29" t="str">
        <f>IF(C29="Ready for Release in Prod","Blocked in Prod",IF(C29="RELEASED IN PROD","Released",IF(LEFT(D29,3)="Yes","Blocked - Build/QA",IF(C29="NOT STARTED","Not Started",C29))))</f>
        <v>DPO Approval</v>
      </c>
    </row>
    <row r="30" spans="1:5">
      <c r="A30" t="s">
        <v>201</v>
      </c>
      <c r="B30" t="s">
        <v>192</v>
      </c>
      <c r="C30" t="s">
        <v>128</v>
      </c>
      <c r="D30" t="s">
        <v>331</v>
      </c>
      <c r="E30" t="str">
        <f>IF(C30="Ready for Release in Prod","Blocked in Prod",IF(C30="RELEASED IN PROD","Released",IF(LEFT(D30,3)="Yes","Blocked - Build/QA",IF(C30="NOT STARTED","Not Started",C30))))</f>
        <v>Blocked in Prod</v>
      </c>
    </row>
    <row r="31" spans="1:5">
      <c r="A31" t="s">
        <v>202</v>
      </c>
      <c r="B31" t="s">
        <v>192</v>
      </c>
      <c r="C31" t="s">
        <v>203</v>
      </c>
      <c r="D31" t="s">
        <v>204</v>
      </c>
      <c r="E31" t="str">
        <f>IF(C31="Ready for Release in Prod","Blocked in Prod",IF(C31="RELEASED IN PROD","Released",IF(LEFT(D31,3)="Yes","Blocked - Build/QA",IF(C31="NOT STARTED","Not Started",C31))))</f>
        <v>Blocked - Build/QA</v>
      </c>
    </row>
    <row r="32" spans="1:5">
      <c r="A32" t="s">
        <v>206</v>
      </c>
      <c r="B32" t="s">
        <v>192</v>
      </c>
      <c r="C32" t="s">
        <v>181</v>
      </c>
      <c r="D32" t="s">
        <v>53</v>
      </c>
      <c r="E32" t="str">
        <f>IF(C32="Ready for Release in Prod","Blocked in Prod",IF(C32="RELEASED IN PROD","Released",IF(LEFT(D32,3)="Yes","Blocked - Build/QA",IF(C32="NOT STARTED","Not Started",C32))))</f>
        <v>DPO Approval</v>
      </c>
    </row>
    <row r="33" spans="1:5">
      <c r="A33" t="s">
        <v>208</v>
      </c>
      <c r="B33" t="s">
        <v>192</v>
      </c>
      <c r="C33" t="s">
        <v>128</v>
      </c>
      <c r="D33" t="s">
        <v>331</v>
      </c>
      <c r="E33" t="str">
        <f>IF(C33="Ready for Release in Prod","Blocked in Prod",IF(C33="RELEASED IN PROD","Released",IF(LEFT(D33,3)="Yes","Blocked - Build/QA",IF(C33="NOT STARTED","Not Started",C33))))</f>
        <v>Blocked in Prod</v>
      </c>
    </row>
    <row r="34" spans="1:5">
      <c r="A34" t="s">
        <v>210</v>
      </c>
      <c r="B34" t="s">
        <v>192</v>
      </c>
      <c r="C34" t="s">
        <v>181</v>
      </c>
      <c r="D34" t="s">
        <v>249</v>
      </c>
      <c r="E34" t="str">
        <f>IF(C34="Ready for Release in Prod","Blocked in Prod",IF(C34="RELEASED IN PROD","Released",IF(LEFT(D34,3)="Yes","Blocked - Build/QA",IF(C34="NOT STARTED","Not Started",C34))))</f>
        <v>Blocked - Build/QA</v>
      </c>
    </row>
    <row r="35" spans="1:5">
      <c r="A35" t="s">
        <v>213</v>
      </c>
      <c r="B35" t="s">
        <v>192</v>
      </c>
      <c r="C35" t="s">
        <v>181</v>
      </c>
      <c r="D35" t="s">
        <v>53</v>
      </c>
      <c r="E35" t="str">
        <f>IF(C35="Ready for Release in Prod","Blocked in Prod",IF(C35="RELEASED IN PROD","Released",IF(LEFT(D35,3)="Yes","Blocked - Build/QA",IF(C35="NOT STARTED","Not Started",C35))))</f>
        <v>DPO Approval</v>
      </c>
    </row>
    <row r="36" spans="1:5">
      <c r="A36" t="s">
        <v>215</v>
      </c>
      <c r="B36" t="s">
        <v>192</v>
      </c>
      <c r="C36" t="s">
        <v>216</v>
      </c>
      <c r="D36" t="s">
        <v>53</v>
      </c>
      <c r="E36" t="str">
        <f>IF(C36="Ready for Release in Prod","Blocked in Prod",IF(C36="RELEASED IN PROD","Released",IF(LEFT(D36,3)="Yes","Blocked - Build/QA",IF(C36="NOT STARTED","Not Started",C36))))</f>
        <v>QA</v>
      </c>
    </row>
    <row r="37" spans="1:5">
      <c r="A37" t="s">
        <v>218</v>
      </c>
      <c r="B37" t="s">
        <v>192</v>
      </c>
      <c r="C37" t="s">
        <v>216</v>
      </c>
      <c r="D37" t="s">
        <v>53</v>
      </c>
      <c r="E37" t="str">
        <f>IF(C37="Ready for Release in Prod","Blocked in Prod",IF(C37="RELEASED IN PROD","Released",IF(LEFT(D37,3)="Yes","Blocked - Build/QA",IF(C37="NOT STARTED","Not Started",C37))))</f>
        <v>QA</v>
      </c>
    </row>
    <row r="38" spans="1:5">
      <c r="A38" t="s">
        <v>220</v>
      </c>
      <c r="B38" t="s">
        <v>192</v>
      </c>
      <c r="C38" t="s">
        <v>181</v>
      </c>
      <c r="D38" t="s">
        <v>53</v>
      </c>
      <c r="E38" t="str">
        <f>IF(C38="Ready for Release in Prod","Blocked in Prod",IF(C38="RELEASED IN PROD","Released",IF(LEFT(D38,3)="Yes","Blocked - Build/QA",IF(C38="NOT STARTED","Not Started",C38))))</f>
        <v>DPO Approval</v>
      </c>
    </row>
    <row r="39" spans="1:5">
      <c r="A39" t="s">
        <v>221</v>
      </c>
      <c r="B39" t="s">
        <v>192</v>
      </c>
      <c r="C39" t="s">
        <v>203</v>
      </c>
      <c r="D39" t="s">
        <v>53</v>
      </c>
      <c r="E39" t="str">
        <f>IF(C39="Ready for Release in Prod","Blocked in Prod",IF(C39="RELEASED IN PROD","Released",IF(LEFT(D39,3)="Yes","Blocked - Build/QA",IF(C39="NOT STARTED","Not Started",C39))))</f>
        <v>PBI Dev</v>
      </c>
    </row>
    <row r="40" spans="1:5">
      <c r="A40" t="s">
        <v>222</v>
      </c>
      <c r="B40" t="s">
        <v>192</v>
      </c>
      <c r="C40" t="s">
        <v>156</v>
      </c>
      <c r="D40" t="s">
        <v>53</v>
      </c>
      <c r="E40" t="str">
        <f>IF(C40="Ready for Release in Prod","Blocked in Prod",IF(C40="RELEASED IN PROD","Released",IF(LEFT(D40,3)="Yes","Blocked - Build/QA",IF(C40="NOT STARTED","Not Started",C40))))</f>
        <v>DB Dev</v>
      </c>
    </row>
    <row r="41" spans="1:5">
      <c r="A41" t="s">
        <v>224</v>
      </c>
      <c r="B41" t="s">
        <v>192</v>
      </c>
      <c r="C41" t="s">
        <v>203</v>
      </c>
      <c r="D41" t="s">
        <v>53</v>
      </c>
      <c r="E41" t="str">
        <f>IF(C41="Ready for Release in Prod","Blocked in Prod",IF(C41="RELEASED IN PROD","Released",IF(LEFT(D41,3)="Yes","Blocked - Build/QA",IF(C41="NOT STARTED","Not Started",C41))))</f>
        <v>PBI Dev</v>
      </c>
    </row>
    <row r="42" spans="1:5">
      <c r="A42" t="s">
        <v>229</v>
      </c>
      <c r="B42" t="s">
        <v>192</v>
      </c>
      <c r="C42" t="s">
        <v>230</v>
      </c>
      <c r="D42" t="s">
        <v>53</v>
      </c>
      <c r="E42" t="str">
        <f>IF(C42="Ready for Release in Prod","Blocked in Prod",IF(C42="RELEASED IN PROD","Released",IF(LEFT(D42,3)="Yes","Blocked - Build/QA",IF(C42="NOT STARTED","Not Started",C42))))</f>
        <v>Not Started</v>
      </c>
    </row>
    <row r="43" spans="1:5">
      <c r="A43" t="s">
        <v>233</v>
      </c>
      <c r="B43" t="s">
        <v>192</v>
      </c>
      <c r="C43" t="s">
        <v>203</v>
      </c>
      <c r="D43" t="s">
        <v>204</v>
      </c>
      <c r="E43" t="str">
        <f>IF(C43="Ready for Release in Prod","Blocked in Prod",IF(C43="RELEASED IN PROD","Released",IF(LEFT(D43,3)="Yes","Blocked - Build/QA",IF(C43="NOT STARTED","Not Started",C43))))</f>
        <v>Blocked - Build/QA</v>
      </c>
    </row>
    <row r="44" spans="1:5">
      <c r="A44" t="s">
        <v>234</v>
      </c>
      <c r="B44" t="s">
        <v>192</v>
      </c>
      <c r="C44" t="s">
        <v>181</v>
      </c>
      <c r="D44" t="s">
        <v>53</v>
      </c>
      <c r="E44" t="str">
        <f>IF(C44="Ready for Release in Prod","Blocked in Prod",IF(C44="RELEASED IN PROD","Released",IF(LEFT(D44,3)="Yes","Blocked - Build/QA",IF(C44="NOT STARTED","Not Started",C44))))</f>
        <v>DPO Approval</v>
      </c>
    </row>
    <row r="45" spans="1:5">
      <c r="A45" t="s">
        <v>237</v>
      </c>
      <c r="B45" t="s">
        <v>192</v>
      </c>
      <c r="C45" t="s">
        <v>203</v>
      </c>
      <c r="D45" t="s">
        <v>53</v>
      </c>
      <c r="E45" t="str">
        <f>IF(C45="Ready for Release in Prod","Blocked in Prod",IF(C45="RELEASED IN PROD","Released",IF(LEFT(D45,3)="Yes","Blocked - Build/QA",IF(C45="NOT STARTED","Not Started",C45))))</f>
        <v>PBI Dev</v>
      </c>
    </row>
    <row r="46" spans="1:5">
      <c r="A46" t="s">
        <v>238</v>
      </c>
      <c r="B46" t="s">
        <v>239</v>
      </c>
      <c r="C46" t="s">
        <v>216</v>
      </c>
      <c r="E46" t="str">
        <f>IF(C46="Ready for Release in Prod","Blocked in Prod",IF(C46="RELEASED IN PROD","Released",IF(LEFT(D46,3)="Yes","Blocked - Build/QA",IF(C46="NOT STARTED","Not Started",C46))))</f>
        <v>QA</v>
      </c>
    </row>
    <row r="47" spans="1:5">
      <c r="A47" t="s">
        <v>242</v>
      </c>
      <c r="B47" t="s">
        <v>239</v>
      </c>
      <c r="C47" t="s">
        <v>203</v>
      </c>
      <c r="E47" t="str">
        <f>IF(C47="Ready for Release in Prod","Blocked in Prod",IF(C47="RELEASED IN PROD","Released",IF(LEFT(D47,3)="Yes","Blocked - Build/QA",IF(C47="NOT STARTED","Not Started",C47))))</f>
        <v>PBI Dev</v>
      </c>
    </row>
    <row r="48" spans="1:5">
      <c r="A48" t="s">
        <v>243</v>
      </c>
      <c r="B48" t="s">
        <v>239</v>
      </c>
      <c r="C48" t="s">
        <v>230</v>
      </c>
      <c r="E48" t="str">
        <f>IF(C48="Ready for Release in Prod","Blocked in Prod",IF(C48="RELEASED IN PROD","Released",IF(LEFT(D48,3)="Yes","Blocked - Build/QA",IF(C48="NOT STARTED","Not Started",C48))))</f>
        <v>Not Started</v>
      </c>
    </row>
    <row r="49" spans="1:5">
      <c r="A49" t="s">
        <v>245</v>
      </c>
      <c r="B49" t="s">
        <v>239</v>
      </c>
      <c r="C49" t="s">
        <v>230</v>
      </c>
      <c r="E49" t="str">
        <f>IF(C49="Ready for Release in Prod","Blocked in Prod",IF(C49="RELEASED IN PROD","Released",IF(LEFT(D49,3)="Yes","Blocked - Build/QA",IF(C49="NOT STARTED","Not Started",C49))))</f>
        <v>Not Started</v>
      </c>
    </row>
    <row r="50" spans="1:5">
      <c r="A50" t="s">
        <v>246</v>
      </c>
      <c r="B50" t="s">
        <v>239</v>
      </c>
      <c r="C50" t="s">
        <v>230</v>
      </c>
      <c r="E50" t="str">
        <f>IF(C50="Ready for Release in Prod","Blocked in Prod",IF(C50="RELEASED IN PROD","Released",IF(LEFT(D50,3)="Yes","Blocked - Build/QA",IF(C50="NOT STARTED","Not Started",C50))))</f>
        <v>Not Started</v>
      </c>
    </row>
    <row r="51" spans="1:5">
      <c r="A51" t="s">
        <v>247</v>
      </c>
      <c r="B51" t="s">
        <v>239</v>
      </c>
      <c r="C51" t="s">
        <v>203</v>
      </c>
      <c r="D51" t="s">
        <v>249</v>
      </c>
      <c r="E51" t="str">
        <f>IF(C51="Ready for Release in Prod","Blocked in Prod",IF(C51="RELEASED IN PROD","Released",IF(LEFT(D51,3)="Yes","Blocked - Build/QA",IF(C51="NOT STARTED","Not Started",C51))))</f>
        <v>Blocked - Build/QA</v>
      </c>
    </row>
    <row r="52" spans="1:5">
      <c r="A52" t="s">
        <v>251</v>
      </c>
      <c r="B52" t="s">
        <v>239</v>
      </c>
      <c r="C52" t="s">
        <v>203</v>
      </c>
      <c r="E52" t="str">
        <f>IF(C52="Ready for Release in Prod","Blocked in Prod",IF(C52="RELEASED IN PROD","Released",IF(LEFT(D52,3)="Yes","Blocked - Build/QA",IF(C52="NOT STARTED","Not Started",C52))))</f>
        <v>PBI Dev</v>
      </c>
    </row>
    <row r="53" spans="1:5">
      <c r="A53" t="s">
        <v>255</v>
      </c>
      <c r="B53" t="s">
        <v>239</v>
      </c>
      <c r="C53" t="s">
        <v>230</v>
      </c>
      <c r="E53" t="str">
        <f>IF(C53="Ready for Release in Prod","Blocked in Prod",IF(C53="RELEASED IN PROD","Released",IF(LEFT(D53,3)="Yes","Blocked - Build/QA",IF(C53="NOT STARTED","Not Started",C53))))</f>
        <v>Not Started</v>
      </c>
    </row>
    <row r="54" spans="1:5">
      <c r="A54" t="s">
        <v>256</v>
      </c>
      <c r="B54" t="s">
        <v>239</v>
      </c>
      <c r="C54" t="s">
        <v>230</v>
      </c>
      <c r="E54" t="str">
        <f>IF(C54="Ready for Release in Prod","Blocked in Prod",IF(C54="RELEASED IN PROD","Released",IF(LEFT(D54,3)="Yes","Blocked - Build/QA",IF(C54="NOT STARTED","Not Started",C54))))</f>
        <v>Not Started</v>
      </c>
    </row>
    <row r="55" spans="1:5">
      <c r="A55" t="s">
        <v>257</v>
      </c>
      <c r="B55" t="s">
        <v>239</v>
      </c>
      <c r="C55" t="s">
        <v>156</v>
      </c>
      <c r="E55" t="str">
        <f>IF(C55="Ready for Release in Prod","Blocked in Prod",IF(C55="RELEASED IN PROD","Released",IF(LEFT(D55,3)="Yes","Blocked - Build/QA",IF(C55="NOT STARTED","Not Started",C55))))</f>
        <v>DB Dev</v>
      </c>
    </row>
    <row r="56" spans="1:5">
      <c r="A56" t="s">
        <v>260</v>
      </c>
      <c r="B56" t="s">
        <v>239</v>
      </c>
      <c r="C56" t="s">
        <v>203</v>
      </c>
      <c r="E56" t="str">
        <f>IF(C56="Ready for Release in Prod","Blocked in Prod",IF(C56="RELEASED IN PROD","Released",IF(LEFT(D56,3)="Yes","Blocked - Build/QA",IF(C56="NOT STARTED","Not Started",C56))))</f>
        <v>PBI Dev</v>
      </c>
    </row>
    <row r="57" spans="1:5">
      <c r="A57" t="s">
        <v>262</v>
      </c>
      <c r="B57" t="s">
        <v>239</v>
      </c>
      <c r="C57" t="s">
        <v>203</v>
      </c>
      <c r="E57" t="str">
        <f>IF(C57="Ready for Release in Prod","Blocked in Prod",IF(C57="RELEASED IN PROD","Released",IF(LEFT(D57,3)="Yes","Blocked - Build/QA",IF(C57="NOT STARTED","Not Started",C57))))</f>
        <v>PBI Dev</v>
      </c>
    </row>
    <row r="58" spans="1:5">
      <c r="A58" t="s">
        <v>263</v>
      </c>
      <c r="B58" t="s">
        <v>239</v>
      </c>
      <c r="C58" t="s">
        <v>230</v>
      </c>
      <c r="E58" t="str">
        <f>IF(C58="Ready for Release in Prod","Blocked in Prod",IF(C58="RELEASED IN PROD","Released",IF(LEFT(D58,3)="Yes","Blocked - Build/QA",IF(C58="NOT STARTED","Not Started",C58))))</f>
        <v>Not Started</v>
      </c>
    </row>
    <row r="59" spans="1:5">
      <c r="A59" t="s">
        <v>265</v>
      </c>
      <c r="B59" t="s">
        <v>266</v>
      </c>
      <c r="C59" t="s">
        <v>230</v>
      </c>
      <c r="E59" t="str">
        <f>IF(C59="Ready for Release in Prod","Blocked in Prod",IF(C59="RELEASED IN PROD","Released",IF(LEFT(D59,3)="Yes","Blocked - Build/QA",IF(C59="NOT STARTED","Not Started",C59))))</f>
        <v>Not Started</v>
      </c>
    </row>
    <row r="60" spans="1:5">
      <c r="A60" t="s">
        <v>269</v>
      </c>
      <c r="B60" t="s">
        <v>266</v>
      </c>
      <c r="C60" t="s">
        <v>230</v>
      </c>
      <c r="E60" t="str">
        <f>IF(C60="Ready for Release in Prod","Blocked in Prod",IF(C60="RELEASED IN PROD","Released",IF(LEFT(D60,3)="Yes","Blocked - Build/QA",IF(C60="NOT STARTED","Not Started",C60))))</f>
        <v>Not Started</v>
      </c>
    </row>
    <row r="61" spans="1:5">
      <c r="A61" t="s">
        <v>270</v>
      </c>
      <c r="B61" t="s">
        <v>266</v>
      </c>
      <c r="C61" t="s">
        <v>230</v>
      </c>
      <c r="E61" t="str">
        <f>IF(C61="Ready for Release in Prod","Blocked in Prod",IF(C61="RELEASED IN PROD","Released",IF(LEFT(D61,3)="Yes","Blocked - Build/QA",IF(C61="NOT STARTED","Not Started",C61))))</f>
        <v>Not Started</v>
      </c>
    </row>
    <row r="62" spans="1:5">
      <c r="A62" t="s">
        <v>272</v>
      </c>
      <c r="B62" t="s">
        <v>266</v>
      </c>
      <c r="C62" t="s">
        <v>230</v>
      </c>
      <c r="E62" t="str">
        <f>IF(C62="Ready for Release in Prod","Blocked in Prod",IF(C62="RELEASED IN PROD","Released",IF(LEFT(D62,3)="Yes","Blocked - Build/QA",IF(C62="NOT STARTED","Not Started",C62))))</f>
        <v>Not Started</v>
      </c>
    </row>
    <row r="63" spans="1:5">
      <c r="A63" t="s">
        <v>273</v>
      </c>
      <c r="B63" t="s">
        <v>266</v>
      </c>
      <c r="C63" t="s">
        <v>230</v>
      </c>
      <c r="E63" t="str">
        <f>IF(C63="Ready for Release in Prod","Blocked in Prod",IF(C63="RELEASED IN PROD","Released",IF(LEFT(D63,3)="Yes","Blocked - Build/QA",IF(C63="NOT STARTED","Not Started",C63))))</f>
        <v>Not Started</v>
      </c>
    </row>
    <row r="64" spans="1:5">
      <c r="A64" t="s">
        <v>275</v>
      </c>
      <c r="B64" t="s">
        <v>266</v>
      </c>
      <c r="C64" t="s">
        <v>230</v>
      </c>
      <c r="E64" t="str">
        <f>IF(C64="Ready for Release in Prod","Blocked in Prod",IF(C64="RELEASED IN PROD","Released",IF(LEFT(D64,3)="Yes","Blocked - Build/QA",IF(C64="NOT STARTED","Not Started",C64))))</f>
        <v>Not Started</v>
      </c>
    </row>
    <row r="65" spans="1:5">
      <c r="A65" t="s">
        <v>278</v>
      </c>
      <c r="B65" t="s">
        <v>266</v>
      </c>
      <c r="C65" t="s">
        <v>230</v>
      </c>
      <c r="E65" t="str">
        <f>IF(C65="Ready for Release in Prod","Blocked in Prod",IF(C65="RELEASED IN PROD","Released",IF(LEFT(D65,3)="Yes","Blocked - Build/QA",IF(C65="NOT STARTED","Not Started",C65))))</f>
        <v>Not Started</v>
      </c>
    </row>
    <row r="66" spans="1:5">
      <c r="A66" t="s">
        <v>280</v>
      </c>
      <c r="B66" t="s">
        <v>266</v>
      </c>
      <c r="C66" t="s">
        <v>230</v>
      </c>
      <c r="E66" t="str">
        <f>IF(C66="Ready for Release in Prod","Blocked in Prod",IF(C66="RELEASED IN PROD","Released",IF(LEFT(D66,3)="Yes","Blocked - Build/QA",IF(C66="NOT STARTED","Not Started",C66))))</f>
        <v>Not Started</v>
      </c>
    </row>
    <row r="67" spans="1:5">
      <c r="A67" t="s">
        <v>282</v>
      </c>
      <c r="B67" t="s">
        <v>266</v>
      </c>
      <c r="C67" t="s">
        <v>230</v>
      </c>
      <c r="E67" t="str">
        <f>IF(C67="Ready for Release in Prod","Blocked in Prod",IF(C67="RELEASED IN PROD","Released",IF(LEFT(D67,3)="Yes","Blocked - Build/QA",IF(C67="NOT STARTED","Not Started",C67))))</f>
        <v>Not Started</v>
      </c>
    </row>
    <row r="68" spans="1:5">
      <c r="A68" t="s">
        <v>283</v>
      </c>
      <c r="B68" t="s">
        <v>266</v>
      </c>
      <c r="C68" t="s">
        <v>230</v>
      </c>
      <c r="E68" t="str">
        <f>IF(C68="Ready for Release in Prod","Blocked in Prod",IF(C68="RELEASED IN PROD","Released",IF(LEFT(D68,3)="Yes","Blocked - Build/QA",IF(C68="NOT STARTED","Not Started",C68))))</f>
        <v>Not Started</v>
      </c>
    </row>
    <row r="69" spans="1:5">
      <c r="A69" t="s">
        <v>286</v>
      </c>
      <c r="B69" t="s">
        <v>266</v>
      </c>
      <c r="C69" t="s">
        <v>230</v>
      </c>
      <c r="E69" t="str">
        <f>IF(C69="Ready for Release in Prod","Blocked in Prod",IF(C69="RELEASED IN PROD","Released",IF(LEFT(D69,3)="Yes","Blocked - Build/QA",IF(C69="NOT STARTED","Not Started",C69))))</f>
        <v>Not Started</v>
      </c>
    </row>
    <row r="70" spans="1:5">
      <c r="A70" t="s">
        <v>288</v>
      </c>
      <c r="B70" t="s">
        <v>266</v>
      </c>
      <c r="C70" t="s">
        <v>230</v>
      </c>
      <c r="E70" t="str">
        <f>IF(C70="Ready for Release in Prod","Blocked in Prod",IF(C70="RELEASED IN PROD","Released",IF(LEFT(D70,3)="Yes","Blocked - Build/QA",IF(C70="NOT STARTED","Not Started",C70))))</f>
        <v>Not Started</v>
      </c>
    </row>
    <row r="71" spans="1:5">
      <c r="A71" t="s">
        <v>291</v>
      </c>
      <c r="B71" t="s">
        <v>266</v>
      </c>
      <c r="C71" t="s">
        <v>230</v>
      </c>
      <c r="E71" t="str">
        <f>IF(C71="Ready for Release in Prod","Blocked in Prod",IF(C71="RELEASED IN PROD","Released",IF(LEFT(D71,3)="Yes","Blocked - Build/QA",IF(C71="NOT STARTED","Not Started",C71))))</f>
        <v>Not Started</v>
      </c>
    </row>
    <row r="72" spans="1:5">
      <c r="A72" t="s">
        <v>292</v>
      </c>
      <c r="B72" t="s">
        <v>266</v>
      </c>
      <c r="C72" t="s">
        <v>230</v>
      </c>
      <c r="E72" t="str">
        <f>IF(C72="Ready for Release in Prod","Blocked in Prod",IF(C72="RELEASED IN PROD","Released",IF(LEFT(D72,3)="Yes","Blocked - Build/QA",IF(C72="NOT STARTED","Not Started",C72))))</f>
        <v>Not Started</v>
      </c>
    </row>
    <row r="73" spans="1:5">
      <c r="A73" t="s">
        <v>295</v>
      </c>
      <c r="B73" t="s">
        <v>266</v>
      </c>
      <c r="C73" t="s">
        <v>230</v>
      </c>
      <c r="E73" t="str">
        <f>IF(C73="Ready for Release in Prod","Blocked in Prod",IF(C73="RELEASED IN PROD","Released",IF(LEFT(D73,3)="Yes","Blocked - Build/QA",IF(C73="NOT STARTED","Not Started",C73))))</f>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516</v>
      </c>
      <c r="B1" t="s">
        <v>517</v>
      </c>
      <c r="C1" t="s">
        <v>518</v>
      </c>
    </row>
    <row r="2" spans="1:3">
      <c r="A2" t="s">
        <v>502</v>
      </c>
      <c r="B2" t="s">
        <v>502</v>
      </c>
      <c r="C2" t="s">
        <v>502</v>
      </c>
    </row>
    <row r="3" spans="1:3">
      <c r="A3" t="str" cm="1">
        <f t="array" ref="A3:A7">_xlfn.LET(_xlpm.u,_xlfn.UNIQUE(_xlfn._xlws.FILTER(cmsMonth,(cmsDom="CMS")*(cmsMonth&lt;&gt;""))),_xlfn.SORTBY(_xlpm.u,MONTH(DATEVALUE("1 "&amp;_xlpm.u&amp;" 2026"))))</f>
        <v>July</v>
      </c>
      <c r="B3" t="s">
        <v>489</v>
      </c>
      <c r="C3" t="str" cm="1">
        <f t="array" ref="C3:C18">_xlfn.LET(_xlpm.v,_xlfn.VSTACK(cmsDBDev,cmsPBIDev,cmsQA),_xlpm.d,_xlfn.VSTACK(cmsDom,cmsDom,cmsDom),_xlfn._xlws.SORT(_xlfn.UNIQUE(_xlfn._xlws.FILTER(_xlpm.v,(_xlpm.d="CMS")*(_xlpm.v&lt;&gt;"")))))</f>
        <v>Bardia</v>
      </c>
    </row>
    <row r="4" spans="1:3">
      <c r="A4" t="str">
        <v>August</v>
      </c>
      <c r="B4" t="s">
        <v>490</v>
      </c>
      <c r="C4" t="str">
        <v>Fetwi</v>
      </c>
    </row>
    <row r="5" spans="1:3">
      <c r="A5" t="str">
        <v>September</v>
      </c>
      <c r="B5" t="s">
        <v>181</v>
      </c>
      <c r="C5" t="str">
        <v>Geetha</v>
      </c>
    </row>
    <row r="6" spans="1:3">
      <c r="A6" t="str">
        <v>October</v>
      </c>
      <c r="B6" t="s">
        <v>216</v>
      </c>
      <c r="C6" t="str">
        <v>Greeta</v>
      </c>
    </row>
    <row r="7" spans="1:3">
      <c r="A7" t="str">
        <v>November</v>
      </c>
      <c r="B7" t="s">
        <v>203</v>
      </c>
      <c r="C7" t="str">
        <v>Kushal</v>
      </c>
    </row>
    <row r="8" spans="1:3">
      <c r="B8" t="s">
        <v>156</v>
      </c>
      <c r="C8" t="str">
        <v>Michael</v>
      </c>
    </row>
    <row r="9" spans="1:3">
      <c r="B9" t="s">
        <v>484</v>
      </c>
      <c r="C9" t="str">
        <v>Navya</v>
      </c>
    </row>
    <row r="10" spans="1:3">
      <c r="B10" t="s">
        <v>491</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AD54C7CB-11A4-40CF-B95E-1D5833A38355}"/>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24BA0970-9A29-4941-880B-66A35426966B}"/>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2026-10-02T17:22:17Z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