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36" documentId="13_ncr:1_{52745E9B-3AA1-4770-AAD3-E6166BFC13AE}" xr6:coauthVersionLast="47" xr6:coauthVersionMax="47" xr10:uidLastSave="{40DD31B7-5846-438F-9720-260309FBB50D}"/>
  <bookViews>
    <workbookView xWindow="-110" yWindow="-110" windowWidth="19420" windowHeight="1030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<sst xmlns="http://schemas.openxmlformats.org/spreadsheetml/2006/main" count="2167" uniqueCount="260">
  <si>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</si>
  <si>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</si>
  <si>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</si>
  <si>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</si>
  <si>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</si>
  <si>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</si>
  <si>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</si>
  <si>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</si>
  <si>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</si>
  <si>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</si>
  <si>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</si>
  <si>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</si>
  <si>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</si>
  <si>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</si>
  <si>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</si>
  <si>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</si>
  <si>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</si>
  <si>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</si>
  <si>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</si>
  <si>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</si>
  <si>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</si>
  <si>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</si>
  <si>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</si>
  <si>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</si>
  <si>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</si>
  <si>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</si>
  <si>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</si>
  <si>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</si>
  <si>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</si>
  <si>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</si>
  <si>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</si>
  <si>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</si>
  <si>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</si>
  <si>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</si>
  <si>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</si>
  <si>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</si>
  <si>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</si>
  <si>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</si>
  <si>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</si>
  <si>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</si>
  <si>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</si>
  <si>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</si>
  <si>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</si>
  <si>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</si>
  <si>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</si>
  <si>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</si>
  <si>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</si>
  <si>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</si>
  <si>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</si>
  <si>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</si>
  <si>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</si>
  <si>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</si>
  <si>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</si>
  <si>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</si>
  <si>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</si>
  <si>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</si>
  <si>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</si>
  <si>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</si>
  <si>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</si>
  <si>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</si>
  <si>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</si>
  <si>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</si>
  <si>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</si>
  <si>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</si>
  <si>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</si>
  <si>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</si>
  <si>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</si>
  <si>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</si>
  <si>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</si>
  <si>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</si>
  <si>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</si>
  <si>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</si>
  <si>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</si>
  <si>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</si>
  <si>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</si>
  <si>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</si>
  <si>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</si>
  <si>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</si>
  <si>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</si>
  <si>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</si>
  <si>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</si>
  <si>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</si>
  <si>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</si>
  <si>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</si>
  <si>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</si>
  <si>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</si>
  <si>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</si>
  <si>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</si>
  <si>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</si>
  <si>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</si>
  <si>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</si>
  <si>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</si>
  <si>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</si>
  <si>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</si>
  <si>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</si>
  <si>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</si>
  <si>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</si>
  <si>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</si>
  <si>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</si>
  <si>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</si>
  <si>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</si>
  <si>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</si>
  <si>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</si>
  <si>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</si>
  <si>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</si>
  <si>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</si>
  <si>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</si>
  <si>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</si>
  <si>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</si>
  <si>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</si>
  <si>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</si>
  <si>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</si>
  <si>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</si>
  <si>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</si>
  <si>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</si>
  <si>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</si>
  <si>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</si>
  <si>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</si>
  <si>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</si>
  <si>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</si>
  <si>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</si>
  <si>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</si>
  <si>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</si>
  <si>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</si>
  <si>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</si>
  <si>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</si>
  <si>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</si>
  <si>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</si>
  <si>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</si>
  <si>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</si>
  <si>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</si>
  <si>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</si>
  <si>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</si>
  <si>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</si>
  <si>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</si>
  <si>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</si>
  <si>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</si>
  <si>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</si>
  <si>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</si>
  <si>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</si>
  <si>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</si>
  <si>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</si>
  <si>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</si>
  <si>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</si>
  <si>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</si>
  <si>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</si>
  <si>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</si>
  <si>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</si>
  <si>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</si>
  <si>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</si>
  <si>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</si>
  <si>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</si>
  <si>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</si>
  <si>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</si>
  <si>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</si>
  <si>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</si>
  <si>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</si>
  <si>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</si>
  <si>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</si>
  <si>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</si>
  <si>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</si>
  <si>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</si>
  <si>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</si>
  <si>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</si>
  <si>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</si>
  <si>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</si>
  <si>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</si>
  <si>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</si>
  <si>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</si>
  <si>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</si>
  <si>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</si>
  <si>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</si>
  <si>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</si>
  <si>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</si>
  <si>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</si>
  <si>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</si>
  <si>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</si>
  <si>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</si>
  <si>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</si>
  <si>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</si>
  <si>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</si>
  <si>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</si>
  <si>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</si>
  <si>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</si>
  <si>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</si>
  <si>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</si>
  <si>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</si>
  <si>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</si>
  <si>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</si>
  <si>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</si>
  <si>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</si>
  <si>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</si>
  <si>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</si>
  <si>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</si>
  <si>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</si>
  <si>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</si>
  <si>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</si>
  <si>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</si>
  <si>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</si>
  <si>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</si>
  <si>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</si>
  <si>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</si>
  <si>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</si>
  <si>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</si>
  <si>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</si>
  <si>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</si>
  <si>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</si>
  <si>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</si>
  <si>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</si>
  <si>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</si>
  <si>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</si>
  <si>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</si>
  <si>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</si>
  <si>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</si>
  <si>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</si>
  <si>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</si>
  <si>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</si>
  <si>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</si>
  <si>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</si>
  <si>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</si>
  <si>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</si>
  <si>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yes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</si>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</sst>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60" zoomScaleNormal="60" workbookViewId="0">
      <pane xSplit="2" ySplit="1" topLeftCell="F29" activePane="bottomRight" state="frozen"/>
      <selection pane="bottomRight" activeCell="K40" sqref="K40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46224</v>
      </c>
      <c r="O30" s="35">
        <v>46224</v>
      </c>
      <c r="P30" s="36" t="s">
        <v>120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46224</v>
      </c>
      <c r="O31" s="35">
        <v>46224</v>
      </c>
      <c r="P31" s="36" t="s">
        <v>120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>
      <c r="A32" s="33" t="s">
        <v>112</v>
      </c>
      <c r="B32" s="33" t="s">
        <v>125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46217</v>
      </c>
      <c r="O32" s="37">
        <v>46217</v>
      </c>
      <c r="P32" s="37" t="s">
        <v>126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127</v>
      </c>
    </row>
    <row r="33" spans="1:34">
      <c r="A33" s="33" t="s">
        <v>112</v>
      </c>
      <c r="B33" s="33" t="s">
        <v>128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46215</v>
      </c>
      <c r="O33" s="37">
        <v>46215</v>
      </c>
      <c r="P33" s="37" t="s">
        <v>117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132</v>
      </c>
      <c r="G34" s="33" t="s">
        <v>76</v>
      </c>
      <c r="H34" s="33" t="s">
        <v>52</v>
      </c>
      <c r="I34" s="33" t="s">
        <v>132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120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134</v>
      </c>
    </row>
    <row r="35" spans="1:34">
      <c r="A35" s="33" t="s">
        <v>112</v>
      </c>
      <c r="B35" s="33" t="s">
        <v>135</v>
      </c>
      <c r="C35" s="33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33">
        <v>7</v>
      </c>
      <c r="F35" s="34" t="s">
        <v>132</v>
      </c>
      <c r="G35" s="33" t="s">
        <v>105</v>
      </c>
      <c r="H35" s="33" t="s">
        <v>38</v>
      </c>
      <c r="I35" s="33" t="s">
        <v>132</v>
      </c>
      <c r="J35" s="33"/>
      <c r="K35" s="50">
        <v>46234</v>
      </c>
      <c r="L35" s="3" t="s">
        <v>116</v>
      </c>
      <c r="M35" s="60">
        <v>46213</v>
      </c>
      <c r="N35" s="36">
        <v>46227</v>
      </c>
      <c r="O35" s="35">
        <v>46227</v>
      </c>
      <c r="P35" s="36" t="s">
        <v>120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46225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133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136</v>
      </c>
    </row>
    <row r="36" spans="1:34">
      <c r="A36" s="33" t="s">
        <v>112</v>
      </c>
      <c r="B36" s="33" t="s">
        <v>137</v>
      </c>
      <c r="C36" s="33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 t="s">
        <v>105</v>
      </c>
      <c r="H36" s="33" t="s">
        <v>68</v>
      </c>
      <c r="I36" s="33" t="s">
        <v>132</v>
      </c>
      <c r="J36" s="33"/>
      <c r="K36" s="50">
        <v>46234</v>
      </c>
      <c r="L36" s="3" t="s">
        <v>116</v>
      </c>
      <c r="M36" s="60">
        <v>46213</v>
      </c>
      <c r="N36" s="36">
        <v>46231</v>
      </c>
      <c r="O36" s="36">
        <v>46231</v>
      </c>
      <c r="P36" s="36" t="s">
        <v>117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139</v>
      </c>
    </row>
    <row r="37" spans="1:34">
      <c r="A37" s="33" t="s">
        <v>112</v>
      </c>
      <c r="B37" s="33" t="s">
        <v>140</v>
      </c>
      <c r="C37" s="33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 t="s">
        <v>76</v>
      </c>
      <c r="H37" s="33" t="s">
        <v>52</v>
      </c>
      <c r="I37" s="33" t="s">
        <v>132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126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141</v>
      </c>
    </row>
    <row r="38" spans="1:34">
      <c r="A38" s="33" t="s">
        <v>112</v>
      </c>
      <c r="B38" s="33" t="s">
        <v>142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3" t="s">
        <v>143</v>
      </c>
      <c r="F38" s="34" t="s">
        <v>132</v>
      </c>
      <c r="G38" s="33" t="s">
        <v>144</v>
      </c>
      <c r="H38" s="33" t="s">
        <v>52</v>
      </c>
      <c r="I38" s="33" t="s">
        <v>132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145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1"/>
    </row>
    <row r="39" spans="1:34">
      <c r="A39" s="33" t="s">
        <v>112</v>
      </c>
      <c r="B39" s="33" t="s">
        <v>146</v>
      </c>
      <c r="C39" s="33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 t="s">
        <v>144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147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148</v>
      </c>
    </row>
    <row r="40" spans="1:34">
      <c r="A40" s="33" t="s">
        <v>112</v>
      </c>
      <c r="B40" s="33" t="s">
        <v>149</v>
      </c>
      <c r="C40" s="33" t="s">
        <v>123</v>
      </c>
      <c r="D40" s="3" t="s">
        <v>150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147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151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152</v>
      </c>
      <c r="C41" s="33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145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153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46239</v>
      </c>
      <c r="O42" s="36"/>
      <c r="P42" s="36" t="s">
        <v>154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>
      <c r="A43" s="33" t="s">
        <v>112</v>
      </c>
      <c r="B43" s="33" t="s">
        <v>155</v>
      </c>
      <c r="C43" s="33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156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157</v>
      </c>
      <c r="M43" s="60">
        <v>46234</v>
      </c>
      <c r="N43" s="36">
        <v>46246</v>
      </c>
      <c r="O43" s="36"/>
      <c r="P43" s="36" t="s">
        <v>147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>
      <c r="A44" s="33" t="s">
        <v>112</v>
      </c>
      <c r="B44" s="33" t="s">
        <v>158</v>
      </c>
      <c r="C44" s="33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157</v>
      </c>
      <c r="M44" s="60">
        <v>46234</v>
      </c>
      <c r="N44" s="36"/>
      <c r="O44" s="36"/>
      <c r="P44" s="36" t="s">
        <v>147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>
      <c r="A45" s="33" t="s">
        <v>112</v>
      </c>
      <c r="B45" s="33" t="s">
        <v>160</v>
      </c>
      <c r="C45" s="33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157</v>
      </c>
      <c r="M45" s="60">
        <v>46234</v>
      </c>
      <c r="N45" s="36"/>
      <c r="O45" s="36"/>
      <c r="P45" s="36" t="s">
        <v>147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>
      <c r="A46" s="33" t="s">
        <v>112</v>
      </c>
      <c r="B46" s="33" t="s">
        <v>161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157</v>
      </c>
      <c r="M46" s="60">
        <v>46234</v>
      </c>
      <c r="N46" s="36">
        <v>46213</v>
      </c>
      <c r="O46" s="36">
        <v>46213</v>
      </c>
      <c r="P46" s="36" t="s">
        <v>147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162</v>
      </c>
      <c r="C47" s="33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144</v>
      </c>
      <c r="H47" s="33"/>
      <c r="I47" s="33"/>
      <c r="J47" s="33"/>
      <c r="K47" s="50">
        <v>46265</v>
      </c>
      <c r="L47" s="3" t="s">
        <v>157</v>
      </c>
      <c r="M47" s="60">
        <v>46234</v>
      </c>
      <c r="N47" s="36">
        <v>46239</v>
      </c>
      <c r="O47" s="36"/>
      <c r="P47" s="36" t="s">
        <v>163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>
      <c r="A48" s="33" t="s">
        <v>112</v>
      </c>
      <c r="B48" s="33" t="s">
        <v>164</v>
      </c>
      <c r="C48" s="33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157</v>
      </c>
      <c r="M48" s="60">
        <v>46234</v>
      </c>
      <c r="N48" s="36"/>
      <c r="O48" s="36"/>
      <c r="P48" s="36" t="s">
        <v>163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>
      <c r="A49" s="33" t="s">
        <v>112</v>
      </c>
      <c r="B49" s="33" t="s">
        <v>165</v>
      </c>
      <c r="C49" s="33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144</v>
      </c>
      <c r="H49" s="33"/>
      <c r="I49" s="33"/>
      <c r="J49" s="33"/>
      <c r="K49" s="50">
        <v>46265</v>
      </c>
      <c r="L49" s="3" t="s">
        <v>157</v>
      </c>
      <c r="M49" s="60">
        <v>46234</v>
      </c>
      <c r="N49" s="36">
        <v>46253</v>
      </c>
      <c r="O49" s="36"/>
      <c r="P49" s="36" t="s">
        <v>166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>
      <c r="A50" s="33" t="s">
        <v>112</v>
      </c>
      <c r="B50" s="33" t="s">
        <v>167</v>
      </c>
      <c r="C50" s="33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157</v>
      </c>
      <c r="M50" s="60">
        <v>46234</v>
      </c>
      <c r="N50" s="36"/>
      <c r="O50" s="36"/>
      <c r="P50" s="36" t="s">
        <v>163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168</v>
      </c>
      <c r="C51" s="33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157</v>
      </c>
      <c r="M51" s="60">
        <v>46234</v>
      </c>
      <c r="N51" s="36">
        <v>46255</v>
      </c>
      <c r="O51" s="36">
        <v>46255</v>
      </c>
      <c r="P51" s="36" t="s">
        <v>163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>
      <c r="A52" s="33" t="s">
        <v>112</v>
      </c>
      <c r="B52" s="33" t="s">
        <v>169</v>
      </c>
      <c r="C52" s="33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157</v>
      </c>
      <c r="M52" s="60">
        <v>46234</v>
      </c>
      <c r="N52" s="36">
        <v>46253</v>
      </c>
      <c r="O52" s="36"/>
      <c r="P52" s="36" t="s">
        <v>163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>
      <c r="A53" s="33" t="s">
        <v>112</v>
      </c>
      <c r="B53" s="33" t="s">
        <v>170</v>
      </c>
      <c r="C53" s="33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157</v>
      </c>
      <c r="M53" s="60">
        <v>46234</v>
      </c>
      <c r="N53" s="36"/>
      <c r="O53" s="36"/>
      <c r="P53" s="36" t="s">
        <v>166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>
      <c r="A54" s="33" t="s">
        <v>112</v>
      </c>
      <c r="B54" s="33" t="s">
        <v>171</v>
      </c>
      <c r="C54" s="33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157</v>
      </c>
      <c r="M54" s="60">
        <v>46234</v>
      </c>
      <c r="N54" s="36"/>
      <c r="O54" s="36"/>
      <c r="P54" s="36" t="s">
        <v>166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>
      <c r="A55" s="33" t="s">
        <v>112</v>
      </c>
      <c r="B55" s="33" t="s">
        <v>172</v>
      </c>
      <c r="C55" s="33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173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>
      <c r="A56" s="33" t="s">
        <v>112</v>
      </c>
      <c r="B56" s="33" t="s">
        <v>174</v>
      </c>
      <c r="C56" s="33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173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>
      <c r="A57" s="33" t="s">
        <v>112</v>
      </c>
      <c r="B57" s="33" t="s">
        <v>175</v>
      </c>
      <c r="C57" s="33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173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>
      <c r="A58" s="33" t="s">
        <v>112</v>
      </c>
      <c r="B58" s="33" t="s">
        <v>176</v>
      </c>
      <c r="C58" s="33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173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>
      <c r="A59" s="33" t="s">
        <v>112</v>
      </c>
      <c r="B59" s="33" t="s">
        <v>177</v>
      </c>
      <c r="C59" s="33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173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>
      <c r="A60" s="33" t="s">
        <v>112</v>
      </c>
      <c r="B60" s="33" t="s">
        <v>178</v>
      </c>
      <c r="C60" s="33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173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>
      <c r="A61" s="33" t="s">
        <v>112</v>
      </c>
      <c r="B61" s="33" t="s">
        <v>179</v>
      </c>
      <c r="C61" s="33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173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>
      <c r="A62" s="33" t="s">
        <v>112</v>
      </c>
      <c r="B62" s="33" t="s">
        <v>180</v>
      </c>
      <c r="C62" s="33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173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>
      <c r="A63" s="33" t="s">
        <v>112</v>
      </c>
      <c r="B63" s="33" t="s">
        <v>181</v>
      </c>
      <c r="C63" s="33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173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>
      <c r="A64" s="33" t="s">
        <v>112</v>
      </c>
      <c r="B64" s="33" t="s">
        <v>182</v>
      </c>
      <c r="C64" s="33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173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>
      <c r="A65" s="33" t="s">
        <v>112</v>
      </c>
      <c r="B65" s="33" t="s">
        <v>183</v>
      </c>
      <c r="C65" s="33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173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>
      <c r="A66" s="33" t="s">
        <v>112</v>
      </c>
      <c r="B66" s="33" t="s">
        <v>184</v>
      </c>
      <c r="C66" s="33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173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>
      <c r="A67" s="33" t="s">
        <v>112</v>
      </c>
      <c r="B67" s="33" t="s">
        <v>185</v>
      </c>
      <c r="C67" s="33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173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>
      <c r="A68" s="33" t="s">
        <v>112</v>
      </c>
      <c r="B68" s="33" t="s">
        <v>186</v>
      </c>
      <c r="C68" s="33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173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>
      <c r="A69" s="33" t="s">
        <v>112</v>
      </c>
      <c r="B69" s="33" t="s">
        <v>187</v>
      </c>
      <c r="C69" s="33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173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>
      <c r="A70" s="33" t="s">
        <v>112</v>
      </c>
      <c r="B70" s="33" t="s">
        <v>188</v>
      </c>
      <c r="C70" s="33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173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>
      <c r="A71" s="33" t="s">
        <v>112</v>
      </c>
      <c r="B71" s="33" t="s">
        <v>189</v>
      </c>
      <c r="C71" s="33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173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>
      <c r="A72" s="33" t="s">
        <v>112</v>
      </c>
      <c r="B72" s="33" t="s">
        <v>190</v>
      </c>
      <c r="C72" s="33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173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19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2" t="s">
        <v>194</v>
      </c>
      <c r="B14" s="63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2" t="s">
        <v>195</v>
      </c>
      <c r="B15" s="63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2" t="s">
        <v>196</v>
      </c>
      <c r="B16" s="63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2" t="s">
        <v>197</v>
      </c>
      <c r="B17" s="63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2" t="s">
        <v>198</v>
      </c>
      <c r="B18" s="63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2" t="s">
        <v>199</v>
      </c>
      <c r="B19" s="63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2" t="s">
        <v>200</v>
      </c>
      <c r="B20" s="63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2" t="s">
        <v>201</v>
      </c>
      <c r="B26" s="64" t="str">
        <f>IF($B$4="","",IFERROR(INDEX('Rework Log'!$Q:$Q,MATCH($B$4,'Rework Log'!$P:$P,0)),""))</f>
        <v/>
      </c>
      <c r="C26" s="67"/>
      <c r="D26" s="67"/>
      <c r="E26" s="68"/>
    </row>
    <row r="27" spans="1:5">
      <c r="A27" s="42" t="s">
        <v>202</v>
      </c>
      <c r="B27" s="64" t="str">
        <f>IF($B$4="","",IFERROR(INDEX('Rework Log'!$R:$R,MATCH($B$4,'Rework Log'!$P:$P,0)),""))</f>
        <v/>
      </c>
      <c r="C27" s="67"/>
      <c r="D27" s="67"/>
      <c r="E27" s="68"/>
    </row>
    <row r="28" spans="1:5">
      <c r="A28" s="42" t="s">
        <v>203</v>
      </c>
      <c r="B28" s="64" t="str">
        <f>IF($B$4="","",IFERROR(INDEX('Rework Log'!$S:$S,MATCH($B$4,'Rework Log'!$P:$P,0)),""))</f>
        <v/>
      </c>
      <c r="C28" s="67"/>
      <c r="D28" s="67"/>
      <c r="E28" s="68"/>
    </row>
    <row r="29" spans="1:5">
      <c r="A29" s="42" t="s">
        <v>204</v>
      </c>
      <c r="B29" s="64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2"/>
      <c r="B30" s="64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G3" sqref="G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2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 ht="15">
      <c r="A3" s="33" t="s">
        <v>130</v>
      </c>
      <c r="B3" s="36">
        <v>46230</v>
      </c>
      <c r="C3" s="33" t="s">
        <v>138</v>
      </c>
      <c r="D3" s="33" t="s">
        <v>131</v>
      </c>
      <c r="E3" s="33" t="s">
        <v>132</v>
      </c>
      <c r="F3" s="33" t="s">
        <v>220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8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138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1 d</v>
      </c>
      <c r="N4" t="s">
        <v>221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138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138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138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138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138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138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138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138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138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138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138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138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138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138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138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138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138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138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138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138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138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138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138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138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138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138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138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138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138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138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138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138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138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138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138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138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138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138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138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138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138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138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138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138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138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138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138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138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138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138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138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138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138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138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138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138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138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138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138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138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138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138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138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138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138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138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138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138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138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138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138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138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138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138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138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138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138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138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138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138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138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138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138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138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138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138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138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138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138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138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138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138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138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138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138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138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138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138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138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138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138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138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138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138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138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138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138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138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138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138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138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138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138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138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138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138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138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138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138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138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138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138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138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138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138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138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138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138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138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138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138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138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138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138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138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138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138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138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138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138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138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138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138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138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138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138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138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138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138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138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138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138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138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138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138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138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138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138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138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138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138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138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138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138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138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138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138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138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138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138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138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138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138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138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138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138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138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138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138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138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138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138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138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138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138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138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138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138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138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138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138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138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138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138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138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138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500 A3:H3 K3:M3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222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9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229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229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229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229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230</v>
      </c>
      <c r="B1" s="66"/>
      <c r="C1" s="66"/>
    </row>
    <row r="2" spans="1:3" ht="14.25" customHeight="1">
      <c r="A2" s="8" t="s">
        <v>0</v>
      </c>
      <c r="B2" s="8" t="s">
        <v>231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8</v>
      </c>
      <c r="I1" t="s">
        <v>31</v>
      </c>
      <c r="J1" s="5" t="s">
        <v>237</v>
      </c>
      <c r="K1" s="5" t="s">
        <v>114</v>
      </c>
      <c r="L1" s="5" t="s">
        <v>212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132</v>
      </c>
      <c r="N2" s="45" t="s">
        <v>252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254</v>
      </c>
      <c r="J5" t="s">
        <v>138</v>
      </c>
      <c r="L5" t="s">
        <v>255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114</v>
      </c>
      <c r="G7" t="s">
        <v>105</v>
      </c>
      <c r="I7" t="s">
        <v>256</v>
      </c>
      <c r="M7" t="s">
        <v>115</v>
      </c>
      <c r="N7" s="45" t="s">
        <v>253</v>
      </c>
    </row>
    <row r="8" spans="1:14" ht="15" customHeight="1">
      <c r="B8" t="s">
        <v>67</v>
      </c>
      <c r="F8" t="s">
        <v>36</v>
      </c>
      <c r="G8" t="s">
        <v>67</v>
      </c>
      <c r="I8" t="s">
        <v>257</v>
      </c>
      <c r="M8" t="s">
        <v>52</v>
      </c>
      <c r="N8" s="45" t="s">
        <v>253</v>
      </c>
    </row>
    <row r="9" spans="1:14" ht="15" customHeight="1">
      <c r="B9" t="s">
        <v>93</v>
      </c>
      <c r="G9" t="s">
        <v>93</v>
      </c>
      <c r="I9" t="s">
        <v>258</v>
      </c>
      <c r="M9" t="s">
        <v>144</v>
      </c>
      <c r="N9" s="45" t="s">
        <v>253</v>
      </c>
    </row>
    <row r="10" spans="1:14" ht="15" customHeight="1">
      <c r="B10" t="s">
        <v>144</v>
      </c>
      <c r="G10" t="s">
        <v>144</v>
      </c>
      <c r="M10" t="s">
        <v>39</v>
      </c>
      <c r="N10" s="45" t="s">
        <v>253</v>
      </c>
    </row>
    <row r="11" spans="1:14">
      <c r="G11" t="s">
        <v>52</v>
      </c>
      <c r="M11" t="s">
        <v>67</v>
      </c>
      <c r="N11" s="45" t="s">
        <v>253</v>
      </c>
    </row>
    <row r="12" spans="1:14">
      <c r="G12" t="s">
        <v>38</v>
      </c>
      <c r="M12" t="s">
        <v>38</v>
      </c>
      <c r="N12" s="45" t="s">
        <v>253</v>
      </c>
    </row>
    <row r="13" spans="1:14">
      <c r="G13" t="s">
        <v>68</v>
      </c>
      <c r="M13" t="s">
        <v>68</v>
      </c>
      <c r="N13" s="45" t="s">
        <v>253</v>
      </c>
    </row>
    <row r="14" spans="1:14">
      <c r="M14" t="s">
        <v>76</v>
      </c>
      <c r="N14" s="45" t="s">
        <v>259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2026-08-04T17:54:22Z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