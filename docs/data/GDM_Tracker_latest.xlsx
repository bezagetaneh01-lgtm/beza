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nationalgridplc-my.sharepoint.com/personal/bezawit_getaneh1_nationalgrid_com/Documents/GDM/"/>
    </mc:Choice>
  </mc:AlternateContent>
  <xr:revisionPtr revIDLastSave="7" documentId="8_{9034C57A-3533-420D-A09C-E795A4832138}" xr6:coauthVersionLast="47" xr6:coauthVersionMax="47" xr10:uidLastSave="{469AF9AF-1E8D-4C5E-AC86-F31088788DEE}"/>
  <bookViews>
    <workbookView xWindow="-120" yWindow="-120" windowWidth="23280" windowHeight="14880" tabRatio="500" firstSheet="1" activeTab="1" xr2:uid="{00000000-000D-0000-FFFF-FFFF00000000}"/>
  </bookViews>
  <sheets>
    <sheet name="READ ME FIRST" sheetId="1" state="hidden" r:id="rId1"/>
    <sheet name="Combined Delivery Data" sheetId="2" r:id="rId2"/>
    <sheet name="Find a Report" sheetId="3" state="hidden" r:id="rId3"/>
    <sheet name="Rework Log" sheetId="4" r:id="rId4"/>
    <sheet name="Fact Table" sheetId="5" state="hidden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0" i="4" l="1"/>
  <c r="M500" i="4"/>
  <c r="O499" i="4"/>
  <c r="M499" i="4"/>
  <c r="O498" i="4"/>
  <c r="M498" i="4"/>
  <c r="O497" i="4"/>
  <c r="M497" i="4"/>
  <c r="O496" i="4"/>
  <c r="M496" i="4"/>
  <c r="O495" i="4"/>
  <c r="M495" i="4"/>
  <c r="O494" i="4"/>
  <c r="M494" i="4"/>
  <c r="O493" i="4"/>
  <c r="M493" i="4"/>
  <c r="O492" i="4"/>
  <c r="M492" i="4"/>
  <c r="O491" i="4"/>
  <c r="M491" i="4"/>
  <c r="O490" i="4"/>
  <c r="M490" i="4"/>
  <c r="O489" i="4"/>
  <c r="M489" i="4"/>
  <c r="O488" i="4"/>
  <c r="M488" i="4"/>
  <c r="O487" i="4"/>
  <c r="M487" i="4"/>
  <c r="O486" i="4"/>
  <c r="M486" i="4"/>
  <c r="O485" i="4"/>
  <c r="M485" i="4"/>
  <c r="O484" i="4"/>
  <c r="M484" i="4"/>
  <c r="O483" i="4"/>
  <c r="M483" i="4"/>
  <c r="O482" i="4"/>
  <c r="M482" i="4"/>
  <c r="O481" i="4"/>
  <c r="M481" i="4"/>
  <c r="O480" i="4"/>
  <c r="M480" i="4"/>
  <c r="O479" i="4"/>
  <c r="M479" i="4"/>
  <c r="O478" i="4"/>
  <c r="M478" i="4"/>
  <c r="O477" i="4"/>
  <c r="M477" i="4"/>
  <c r="O476" i="4"/>
  <c r="M476" i="4"/>
  <c r="O475" i="4"/>
  <c r="M475" i="4"/>
  <c r="O474" i="4"/>
  <c r="M474" i="4"/>
  <c r="O473" i="4"/>
  <c r="M473" i="4"/>
  <c r="O472" i="4"/>
  <c r="M472" i="4"/>
  <c r="O471" i="4"/>
  <c r="M471" i="4"/>
  <c r="O470" i="4"/>
  <c r="M470" i="4"/>
  <c r="O469" i="4"/>
  <c r="M469" i="4"/>
  <c r="O468" i="4"/>
  <c r="M468" i="4"/>
  <c r="O467" i="4"/>
  <c r="M467" i="4"/>
  <c r="O466" i="4"/>
  <c r="M466" i="4"/>
  <c r="O465" i="4"/>
  <c r="M465" i="4"/>
  <c r="O464" i="4"/>
  <c r="M464" i="4"/>
  <c r="O463" i="4"/>
  <c r="M463" i="4"/>
  <c r="O462" i="4"/>
  <c r="M462" i="4"/>
  <c r="O461" i="4"/>
  <c r="M461" i="4"/>
  <c r="O460" i="4"/>
  <c r="M460" i="4"/>
  <c r="O459" i="4"/>
  <c r="M459" i="4"/>
  <c r="O458" i="4"/>
  <c r="M458" i="4"/>
  <c r="O457" i="4"/>
  <c r="M457" i="4"/>
  <c r="O456" i="4"/>
  <c r="M456" i="4"/>
  <c r="O455" i="4"/>
  <c r="M455" i="4"/>
  <c r="O454" i="4"/>
  <c r="M454" i="4"/>
  <c r="O453" i="4"/>
  <c r="M453" i="4"/>
  <c r="O452" i="4"/>
  <c r="M452" i="4"/>
  <c r="O451" i="4"/>
  <c r="M451" i="4"/>
  <c r="O450" i="4"/>
  <c r="M450" i="4"/>
  <c r="O449" i="4"/>
  <c r="M449" i="4"/>
  <c r="O448" i="4"/>
  <c r="M448" i="4"/>
  <c r="O447" i="4"/>
  <c r="M447" i="4"/>
  <c r="O446" i="4"/>
  <c r="M446" i="4"/>
  <c r="O445" i="4"/>
  <c r="M445" i="4"/>
  <c r="O444" i="4"/>
  <c r="M444" i="4"/>
  <c r="O443" i="4"/>
  <c r="M443" i="4"/>
  <c r="O442" i="4"/>
  <c r="M442" i="4"/>
  <c r="O441" i="4"/>
  <c r="M441" i="4"/>
  <c r="O440" i="4"/>
  <c r="M440" i="4"/>
  <c r="O439" i="4"/>
  <c r="M439" i="4"/>
  <c r="O438" i="4"/>
  <c r="M438" i="4"/>
  <c r="O437" i="4"/>
  <c r="M437" i="4"/>
  <c r="O436" i="4"/>
  <c r="M436" i="4"/>
  <c r="O435" i="4"/>
  <c r="M435" i="4"/>
  <c r="O434" i="4"/>
  <c r="M434" i="4"/>
  <c r="O433" i="4"/>
  <c r="M433" i="4"/>
  <c r="O432" i="4"/>
  <c r="M432" i="4"/>
  <c r="O431" i="4"/>
  <c r="M431" i="4"/>
  <c r="O430" i="4"/>
  <c r="M430" i="4"/>
  <c r="O429" i="4"/>
  <c r="M429" i="4"/>
  <c r="O428" i="4"/>
  <c r="M428" i="4"/>
  <c r="O427" i="4"/>
  <c r="M427" i="4"/>
  <c r="O426" i="4"/>
  <c r="M426" i="4"/>
  <c r="O425" i="4"/>
  <c r="M425" i="4"/>
  <c r="O424" i="4"/>
  <c r="M424" i="4"/>
  <c r="O423" i="4"/>
  <c r="M423" i="4"/>
  <c r="O422" i="4"/>
  <c r="M422" i="4"/>
  <c r="O421" i="4"/>
  <c r="M421" i="4"/>
  <c r="O420" i="4"/>
  <c r="M420" i="4"/>
  <c r="O419" i="4"/>
  <c r="M419" i="4"/>
  <c r="O418" i="4"/>
  <c r="M418" i="4"/>
  <c r="O417" i="4"/>
  <c r="M417" i="4"/>
  <c r="O416" i="4"/>
  <c r="M416" i="4"/>
  <c r="O415" i="4"/>
  <c r="M415" i="4"/>
  <c r="Q414" i="4"/>
  <c r="O414" i="4"/>
  <c r="M414" i="4"/>
  <c r="S413" i="4"/>
  <c r="R413" i="4"/>
  <c r="Q413" i="4"/>
  <c r="P413" i="4"/>
  <c r="O413" i="4"/>
  <c r="M413" i="4"/>
  <c r="O412" i="4"/>
  <c r="M412" i="4"/>
  <c r="O411" i="4"/>
  <c r="M411" i="4"/>
  <c r="O410" i="4"/>
  <c r="M410" i="4"/>
  <c r="O409" i="4"/>
  <c r="M409" i="4"/>
  <c r="O408" i="4"/>
  <c r="M408" i="4"/>
  <c r="O407" i="4"/>
  <c r="M407" i="4"/>
  <c r="O406" i="4"/>
  <c r="M406" i="4"/>
  <c r="O405" i="4"/>
  <c r="M405" i="4"/>
  <c r="O404" i="4"/>
  <c r="M404" i="4"/>
  <c r="O403" i="4"/>
  <c r="M403" i="4"/>
  <c r="O402" i="4"/>
  <c r="M402" i="4"/>
  <c r="O401" i="4"/>
  <c r="M401" i="4"/>
  <c r="O400" i="4"/>
  <c r="M400" i="4"/>
  <c r="O399" i="4"/>
  <c r="M399" i="4"/>
  <c r="O398" i="4"/>
  <c r="M398" i="4"/>
  <c r="O397" i="4"/>
  <c r="M397" i="4"/>
  <c r="O396" i="4"/>
  <c r="M396" i="4"/>
  <c r="O395" i="4"/>
  <c r="M395" i="4"/>
  <c r="O394" i="4"/>
  <c r="M394" i="4"/>
  <c r="O393" i="4"/>
  <c r="M393" i="4"/>
  <c r="O392" i="4"/>
  <c r="M392" i="4"/>
  <c r="O391" i="4"/>
  <c r="M391" i="4"/>
  <c r="O390" i="4"/>
  <c r="M390" i="4"/>
  <c r="O389" i="4"/>
  <c r="M389" i="4"/>
  <c r="O388" i="4"/>
  <c r="M388" i="4"/>
  <c r="O387" i="4"/>
  <c r="M387" i="4"/>
  <c r="O386" i="4"/>
  <c r="M386" i="4"/>
  <c r="O385" i="4"/>
  <c r="M385" i="4"/>
  <c r="O384" i="4"/>
  <c r="M384" i="4"/>
  <c r="O383" i="4"/>
  <c r="M383" i="4"/>
  <c r="O382" i="4"/>
  <c r="M382" i="4"/>
  <c r="O381" i="4"/>
  <c r="M381" i="4"/>
  <c r="O380" i="4"/>
  <c r="M380" i="4"/>
  <c r="O379" i="4"/>
  <c r="M379" i="4"/>
  <c r="O378" i="4"/>
  <c r="M378" i="4"/>
  <c r="O377" i="4"/>
  <c r="M377" i="4"/>
  <c r="O376" i="4"/>
  <c r="M376" i="4"/>
  <c r="O375" i="4"/>
  <c r="M375" i="4"/>
  <c r="O374" i="4"/>
  <c r="M374" i="4"/>
  <c r="O373" i="4"/>
  <c r="M373" i="4"/>
  <c r="O372" i="4"/>
  <c r="M372" i="4"/>
  <c r="O371" i="4"/>
  <c r="M371" i="4"/>
  <c r="O370" i="4"/>
  <c r="M370" i="4"/>
  <c r="S369" i="4"/>
  <c r="R369" i="4"/>
  <c r="Q369" i="4"/>
  <c r="O369" i="4"/>
  <c r="P369" i="4" s="1"/>
  <c r="M369" i="4"/>
  <c r="O368" i="4"/>
  <c r="M368" i="4"/>
  <c r="O367" i="4"/>
  <c r="M367" i="4"/>
  <c r="O366" i="4"/>
  <c r="M366" i="4"/>
  <c r="O365" i="4"/>
  <c r="M365" i="4"/>
  <c r="O364" i="4"/>
  <c r="M364" i="4"/>
  <c r="O363" i="4"/>
  <c r="M363" i="4"/>
  <c r="O362" i="4"/>
  <c r="M362" i="4"/>
  <c r="O361" i="4"/>
  <c r="M361" i="4"/>
  <c r="O360" i="4"/>
  <c r="M360" i="4"/>
  <c r="O359" i="4"/>
  <c r="M359" i="4"/>
  <c r="O358" i="4"/>
  <c r="M358" i="4"/>
  <c r="O357" i="4"/>
  <c r="M357" i="4"/>
  <c r="O356" i="4"/>
  <c r="M356" i="4"/>
  <c r="O355" i="4"/>
  <c r="M355" i="4"/>
  <c r="O354" i="4"/>
  <c r="M354" i="4"/>
  <c r="O353" i="4"/>
  <c r="M353" i="4"/>
  <c r="O352" i="4"/>
  <c r="M352" i="4"/>
  <c r="O351" i="4"/>
  <c r="M351" i="4"/>
  <c r="O350" i="4"/>
  <c r="M350" i="4"/>
  <c r="O349" i="4"/>
  <c r="M349" i="4"/>
  <c r="O348" i="4"/>
  <c r="M348" i="4"/>
  <c r="O347" i="4"/>
  <c r="M347" i="4"/>
  <c r="O346" i="4"/>
  <c r="M346" i="4"/>
  <c r="O345" i="4"/>
  <c r="M345" i="4"/>
  <c r="O344" i="4"/>
  <c r="M344" i="4"/>
  <c r="O343" i="4"/>
  <c r="M343" i="4"/>
  <c r="O342" i="4"/>
  <c r="M342" i="4"/>
  <c r="O341" i="4"/>
  <c r="M341" i="4"/>
  <c r="O340" i="4"/>
  <c r="M340" i="4"/>
  <c r="O339" i="4"/>
  <c r="M339" i="4"/>
  <c r="O338" i="4"/>
  <c r="M338" i="4"/>
  <c r="O337" i="4"/>
  <c r="M337" i="4"/>
  <c r="O336" i="4"/>
  <c r="M336" i="4"/>
  <c r="O335" i="4"/>
  <c r="M335" i="4"/>
  <c r="O334" i="4"/>
  <c r="M334" i="4"/>
  <c r="O333" i="4"/>
  <c r="M333" i="4"/>
  <c r="O332" i="4"/>
  <c r="M332" i="4"/>
  <c r="O331" i="4"/>
  <c r="M331" i="4"/>
  <c r="O330" i="4"/>
  <c r="M330" i="4"/>
  <c r="O329" i="4"/>
  <c r="M329" i="4"/>
  <c r="O328" i="4"/>
  <c r="M328" i="4"/>
  <c r="O327" i="4"/>
  <c r="M327" i="4"/>
  <c r="O326" i="4"/>
  <c r="M326" i="4"/>
  <c r="S325" i="4"/>
  <c r="R325" i="4"/>
  <c r="O325" i="4"/>
  <c r="M325" i="4"/>
  <c r="O324" i="4"/>
  <c r="M324" i="4"/>
  <c r="O323" i="4"/>
  <c r="M323" i="4"/>
  <c r="O322" i="4"/>
  <c r="M322" i="4"/>
  <c r="O321" i="4"/>
  <c r="M321" i="4"/>
  <c r="O320" i="4"/>
  <c r="M320" i="4"/>
  <c r="O319" i="4"/>
  <c r="M319" i="4"/>
  <c r="O318" i="4"/>
  <c r="M318" i="4"/>
  <c r="O317" i="4"/>
  <c r="M317" i="4"/>
  <c r="O316" i="4"/>
  <c r="M316" i="4"/>
  <c r="O315" i="4"/>
  <c r="M315" i="4"/>
  <c r="O314" i="4"/>
  <c r="M314" i="4"/>
  <c r="O313" i="4"/>
  <c r="M313" i="4"/>
  <c r="O312" i="4"/>
  <c r="M312" i="4"/>
  <c r="O311" i="4"/>
  <c r="M311" i="4"/>
  <c r="O310" i="4"/>
  <c r="M310" i="4"/>
  <c r="O309" i="4"/>
  <c r="M309" i="4"/>
  <c r="O308" i="4"/>
  <c r="M308" i="4"/>
  <c r="O307" i="4"/>
  <c r="M307" i="4"/>
  <c r="O306" i="4"/>
  <c r="M306" i="4"/>
  <c r="O305" i="4"/>
  <c r="M305" i="4"/>
  <c r="O304" i="4"/>
  <c r="M304" i="4"/>
  <c r="O303" i="4"/>
  <c r="M303" i="4"/>
  <c r="O302" i="4"/>
  <c r="M302" i="4"/>
  <c r="O301" i="4"/>
  <c r="M301" i="4"/>
  <c r="O300" i="4"/>
  <c r="M300" i="4"/>
  <c r="O299" i="4"/>
  <c r="M299" i="4"/>
  <c r="O298" i="4"/>
  <c r="M298" i="4"/>
  <c r="O297" i="4"/>
  <c r="M297" i="4"/>
  <c r="O296" i="4"/>
  <c r="M296" i="4"/>
  <c r="O295" i="4"/>
  <c r="M295" i="4"/>
  <c r="O294" i="4"/>
  <c r="M294" i="4"/>
  <c r="O293" i="4"/>
  <c r="M293" i="4"/>
  <c r="O292" i="4"/>
  <c r="M292" i="4"/>
  <c r="O291" i="4"/>
  <c r="M291" i="4"/>
  <c r="O290" i="4"/>
  <c r="M290" i="4"/>
  <c r="O289" i="4"/>
  <c r="M289" i="4"/>
  <c r="O288" i="4"/>
  <c r="M288" i="4"/>
  <c r="O287" i="4"/>
  <c r="M287" i="4"/>
  <c r="O286" i="4"/>
  <c r="M286" i="4"/>
  <c r="O285" i="4"/>
  <c r="M285" i="4"/>
  <c r="O284" i="4"/>
  <c r="M284" i="4"/>
  <c r="O283" i="4"/>
  <c r="M283" i="4"/>
  <c r="O282" i="4"/>
  <c r="M282" i="4"/>
  <c r="O281" i="4"/>
  <c r="M281" i="4"/>
  <c r="O280" i="4"/>
  <c r="M280" i="4"/>
  <c r="O279" i="4"/>
  <c r="M279" i="4"/>
  <c r="O278" i="4"/>
  <c r="M278" i="4"/>
  <c r="O277" i="4"/>
  <c r="M277" i="4"/>
  <c r="O276" i="4"/>
  <c r="M276" i="4"/>
  <c r="O275" i="4"/>
  <c r="M275" i="4"/>
  <c r="O274" i="4"/>
  <c r="M274" i="4"/>
  <c r="O273" i="4"/>
  <c r="M273" i="4"/>
  <c r="O272" i="4"/>
  <c r="M272" i="4"/>
  <c r="O271" i="4"/>
  <c r="M271" i="4"/>
  <c r="O270" i="4"/>
  <c r="M270" i="4"/>
  <c r="O269" i="4"/>
  <c r="M269" i="4"/>
  <c r="O268" i="4"/>
  <c r="M268" i="4"/>
  <c r="O267" i="4"/>
  <c r="M267" i="4"/>
  <c r="O266" i="4"/>
  <c r="M266" i="4"/>
  <c r="O265" i="4"/>
  <c r="M265" i="4"/>
  <c r="O264" i="4"/>
  <c r="M264" i="4"/>
  <c r="O263" i="4"/>
  <c r="M263" i="4"/>
  <c r="O262" i="4"/>
  <c r="M262" i="4"/>
  <c r="O261" i="4"/>
  <c r="M261" i="4"/>
  <c r="O260" i="4"/>
  <c r="M260" i="4"/>
  <c r="O259" i="4"/>
  <c r="M259" i="4"/>
  <c r="O258" i="4"/>
  <c r="M258" i="4"/>
  <c r="O257" i="4"/>
  <c r="M257" i="4"/>
  <c r="O256" i="4"/>
  <c r="M256" i="4"/>
  <c r="O255" i="4"/>
  <c r="M255" i="4"/>
  <c r="O254" i="4"/>
  <c r="M254" i="4"/>
  <c r="O253" i="4"/>
  <c r="M253" i="4"/>
  <c r="O252" i="4"/>
  <c r="M252" i="4"/>
  <c r="O251" i="4"/>
  <c r="M251" i="4"/>
  <c r="O250" i="4"/>
  <c r="M250" i="4"/>
  <c r="O249" i="4"/>
  <c r="M249" i="4"/>
  <c r="O248" i="4"/>
  <c r="M248" i="4"/>
  <c r="O247" i="4"/>
  <c r="M247" i="4"/>
  <c r="O246" i="4"/>
  <c r="M246" i="4"/>
  <c r="O245" i="4"/>
  <c r="M245" i="4"/>
  <c r="O244" i="4"/>
  <c r="M244" i="4"/>
  <c r="O243" i="4"/>
  <c r="M243" i="4"/>
  <c r="O242" i="4"/>
  <c r="M242" i="4"/>
  <c r="O241" i="4"/>
  <c r="M241" i="4"/>
  <c r="O240" i="4"/>
  <c r="M240" i="4"/>
  <c r="O239" i="4"/>
  <c r="M239" i="4"/>
  <c r="O238" i="4"/>
  <c r="M238" i="4"/>
  <c r="O237" i="4"/>
  <c r="M237" i="4"/>
  <c r="O236" i="4"/>
  <c r="M236" i="4"/>
  <c r="O235" i="4"/>
  <c r="M235" i="4"/>
  <c r="O234" i="4"/>
  <c r="M234" i="4"/>
  <c r="O233" i="4"/>
  <c r="M233" i="4"/>
  <c r="O232" i="4"/>
  <c r="M232" i="4"/>
  <c r="O231" i="4"/>
  <c r="M231" i="4"/>
  <c r="O230" i="4"/>
  <c r="M230" i="4"/>
  <c r="O229" i="4"/>
  <c r="M229" i="4"/>
  <c r="O228" i="4"/>
  <c r="M228" i="4"/>
  <c r="O227" i="4"/>
  <c r="M227" i="4"/>
  <c r="O226" i="4"/>
  <c r="M226" i="4"/>
  <c r="O225" i="4"/>
  <c r="M225" i="4"/>
  <c r="O224" i="4"/>
  <c r="M224" i="4"/>
  <c r="O223" i="4"/>
  <c r="M223" i="4"/>
  <c r="O222" i="4"/>
  <c r="M222" i="4"/>
  <c r="O221" i="4"/>
  <c r="M221" i="4"/>
  <c r="O220" i="4"/>
  <c r="M220" i="4"/>
  <c r="O219" i="4"/>
  <c r="M219" i="4"/>
  <c r="O218" i="4"/>
  <c r="M218" i="4"/>
  <c r="O217" i="4"/>
  <c r="M217" i="4"/>
  <c r="O216" i="4"/>
  <c r="M216" i="4"/>
  <c r="O215" i="4"/>
  <c r="M215" i="4"/>
  <c r="O214" i="4"/>
  <c r="M214" i="4"/>
  <c r="O213" i="4"/>
  <c r="M213" i="4"/>
  <c r="O212" i="4"/>
  <c r="M212" i="4"/>
  <c r="O211" i="4"/>
  <c r="M211" i="4"/>
  <c r="O210" i="4"/>
  <c r="M210" i="4"/>
  <c r="O209" i="4"/>
  <c r="M209" i="4"/>
  <c r="O208" i="4"/>
  <c r="M208" i="4"/>
  <c r="O207" i="4"/>
  <c r="M207" i="4"/>
  <c r="O206" i="4"/>
  <c r="M206" i="4"/>
  <c r="O205" i="4"/>
  <c r="M205" i="4"/>
  <c r="O204" i="4"/>
  <c r="M204" i="4"/>
  <c r="O203" i="4"/>
  <c r="M203" i="4"/>
  <c r="O202" i="4"/>
  <c r="M202" i="4"/>
  <c r="O201" i="4"/>
  <c r="M201" i="4"/>
  <c r="O200" i="4"/>
  <c r="M200" i="4"/>
  <c r="O199" i="4"/>
  <c r="M199" i="4"/>
  <c r="O198" i="4"/>
  <c r="M198" i="4"/>
  <c r="O197" i="4"/>
  <c r="M197" i="4"/>
  <c r="O196" i="4"/>
  <c r="M196" i="4"/>
  <c r="O195" i="4"/>
  <c r="M195" i="4"/>
  <c r="O194" i="4"/>
  <c r="M194" i="4"/>
  <c r="O193" i="4"/>
  <c r="M193" i="4"/>
  <c r="O192" i="4"/>
  <c r="M192" i="4"/>
  <c r="O191" i="4"/>
  <c r="M191" i="4"/>
  <c r="O190" i="4"/>
  <c r="M190" i="4"/>
  <c r="O189" i="4"/>
  <c r="M189" i="4"/>
  <c r="O188" i="4"/>
  <c r="M188" i="4"/>
  <c r="O187" i="4"/>
  <c r="M187" i="4"/>
  <c r="O186" i="4"/>
  <c r="M186" i="4"/>
  <c r="O185" i="4"/>
  <c r="M185" i="4"/>
  <c r="O184" i="4"/>
  <c r="M184" i="4"/>
  <c r="O183" i="4"/>
  <c r="M183" i="4"/>
  <c r="O182" i="4"/>
  <c r="M182" i="4"/>
  <c r="O181" i="4"/>
  <c r="M181" i="4"/>
  <c r="O180" i="4"/>
  <c r="M180" i="4"/>
  <c r="O179" i="4"/>
  <c r="M179" i="4"/>
  <c r="O178" i="4"/>
  <c r="M178" i="4"/>
  <c r="O177" i="4"/>
  <c r="M177" i="4"/>
  <c r="O176" i="4"/>
  <c r="M176" i="4"/>
  <c r="O175" i="4"/>
  <c r="M175" i="4"/>
  <c r="O174" i="4"/>
  <c r="M174" i="4"/>
  <c r="O173" i="4"/>
  <c r="M173" i="4"/>
  <c r="O172" i="4"/>
  <c r="M172" i="4"/>
  <c r="O171" i="4"/>
  <c r="M171" i="4"/>
  <c r="O170" i="4"/>
  <c r="M170" i="4"/>
  <c r="O169" i="4"/>
  <c r="M169" i="4"/>
  <c r="O168" i="4"/>
  <c r="M168" i="4"/>
  <c r="O167" i="4"/>
  <c r="M167" i="4"/>
  <c r="O166" i="4"/>
  <c r="M166" i="4"/>
  <c r="O165" i="4"/>
  <c r="M165" i="4"/>
  <c r="O164" i="4"/>
  <c r="M164" i="4"/>
  <c r="O163" i="4"/>
  <c r="M163" i="4"/>
  <c r="O162" i="4"/>
  <c r="M162" i="4"/>
  <c r="O161" i="4"/>
  <c r="M161" i="4"/>
  <c r="O160" i="4"/>
  <c r="M160" i="4"/>
  <c r="O159" i="4"/>
  <c r="M159" i="4"/>
  <c r="O158" i="4"/>
  <c r="M158" i="4"/>
  <c r="O157" i="4"/>
  <c r="M157" i="4"/>
  <c r="O156" i="4"/>
  <c r="M156" i="4"/>
  <c r="O155" i="4"/>
  <c r="M155" i="4"/>
  <c r="O154" i="4"/>
  <c r="M154" i="4"/>
  <c r="O153" i="4"/>
  <c r="M153" i="4"/>
  <c r="O152" i="4"/>
  <c r="M152" i="4"/>
  <c r="O151" i="4"/>
  <c r="M151" i="4"/>
  <c r="S150" i="4"/>
  <c r="R150" i="4"/>
  <c r="Q150" i="4"/>
  <c r="P150" i="4"/>
  <c r="O150" i="4"/>
  <c r="M150" i="4"/>
  <c r="O149" i="4"/>
  <c r="M149" i="4"/>
  <c r="O148" i="4"/>
  <c r="M148" i="4"/>
  <c r="O147" i="4"/>
  <c r="M147" i="4"/>
  <c r="O146" i="4"/>
  <c r="M146" i="4"/>
  <c r="O145" i="4"/>
  <c r="M145" i="4"/>
  <c r="O144" i="4"/>
  <c r="M144" i="4"/>
  <c r="O143" i="4"/>
  <c r="M143" i="4"/>
  <c r="O142" i="4"/>
  <c r="M142" i="4"/>
  <c r="O141" i="4"/>
  <c r="M141" i="4"/>
  <c r="O140" i="4"/>
  <c r="M140" i="4"/>
  <c r="O139" i="4"/>
  <c r="M139" i="4"/>
  <c r="O138" i="4"/>
  <c r="M138" i="4"/>
  <c r="O137" i="4"/>
  <c r="M137" i="4"/>
  <c r="O136" i="4"/>
  <c r="M136" i="4"/>
  <c r="O135" i="4"/>
  <c r="M135" i="4"/>
  <c r="O134" i="4"/>
  <c r="M134" i="4"/>
  <c r="O133" i="4"/>
  <c r="M133" i="4"/>
  <c r="O132" i="4"/>
  <c r="M132" i="4"/>
  <c r="O131" i="4"/>
  <c r="M131" i="4"/>
  <c r="O130" i="4"/>
  <c r="M130" i="4"/>
  <c r="O129" i="4"/>
  <c r="M129" i="4"/>
  <c r="O128" i="4"/>
  <c r="M128" i="4"/>
  <c r="O127" i="4"/>
  <c r="M127" i="4"/>
  <c r="O126" i="4"/>
  <c r="M126" i="4"/>
  <c r="O125" i="4"/>
  <c r="M125" i="4"/>
  <c r="O124" i="4"/>
  <c r="M124" i="4"/>
  <c r="O123" i="4"/>
  <c r="M123" i="4"/>
  <c r="O122" i="4"/>
  <c r="M122" i="4"/>
  <c r="O121" i="4"/>
  <c r="M121" i="4"/>
  <c r="O120" i="4"/>
  <c r="M120" i="4"/>
  <c r="O119" i="4"/>
  <c r="M119" i="4"/>
  <c r="O118" i="4"/>
  <c r="M118" i="4"/>
  <c r="O117" i="4"/>
  <c r="M117" i="4"/>
  <c r="O116" i="4"/>
  <c r="M116" i="4"/>
  <c r="O115" i="4"/>
  <c r="M115" i="4"/>
  <c r="O114" i="4"/>
  <c r="M114" i="4"/>
  <c r="O113" i="4"/>
  <c r="M113" i="4"/>
  <c r="O112" i="4"/>
  <c r="M112" i="4"/>
  <c r="O111" i="4"/>
  <c r="M111" i="4"/>
  <c r="O110" i="4"/>
  <c r="M110" i="4"/>
  <c r="O109" i="4"/>
  <c r="M109" i="4"/>
  <c r="O108" i="4"/>
  <c r="M108" i="4"/>
  <c r="O107" i="4"/>
  <c r="M107" i="4"/>
  <c r="S106" i="4"/>
  <c r="R106" i="4"/>
  <c r="Q106" i="4"/>
  <c r="O106" i="4"/>
  <c r="P106" i="4" s="1"/>
  <c r="M106" i="4"/>
  <c r="O105" i="4"/>
  <c r="M105" i="4"/>
  <c r="O104" i="4"/>
  <c r="M104" i="4"/>
  <c r="O103" i="4"/>
  <c r="M103" i="4"/>
  <c r="O102" i="4"/>
  <c r="M102" i="4"/>
  <c r="O101" i="4"/>
  <c r="M101" i="4"/>
  <c r="O100" i="4"/>
  <c r="M100" i="4"/>
  <c r="O99" i="4"/>
  <c r="M99" i="4"/>
  <c r="O98" i="4"/>
  <c r="M98" i="4"/>
  <c r="O97" i="4"/>
  <c r="M97" i="4"/>
  <c r="O96" i="4"/>
  <c r="M96" i="4"/>
  <c r="O95" i="4"/>
  <c r="M95" i="4"/>
  <c r="O94" i="4"/>
  <c r="M94" i="4"/>
  <c r="O93" i="4"/>
  <c r="M93" i="4"/>
  <c r="O92" i="4"/>
  <c r="M92" i="4"/>
  <c r="O91" i="4"/>
  <c r="M91" i="4"/>
  <c r="O90" i="4"/>
  <c r="M90" i="4"/>
  <c r="O89" i="4"/>
  <c r="M89" i="4"/>
  <c r="O88" i="4"/>
  <c r="M88" i="4"/>
  <c r="O87" i="4"/>
  <c r="M87" i="4"/>
  <c r="O86" i="4"/>
  <c r="M86" i="4"/>
  <c r="O85" i="4"/>
  <c r="M85" i="4"/>
  <c r="O84" i="4"/>
  <c r="M84" i="4"/>
  <c r="O83" i="4"/>
  <c r="M83" i="4"/>
  <c r="O82" i="4"/>
  <c r="M82" i="4"/>
  <c r="O81" i="4"/>
  <c r="M81" i="4"/>
  <c r="O80" i="4"/>
  <c r="M80" i="4"/>
  <c r="O79" i="4"/>
  <c r="M79" i="4"/>
  <c r="O78" i="4"/>
  <c r="M78" i="4"/>
  <c r="O77" i="4"/>
  <c r="M77" i="4"/>
  <c r="O76" i="4"/>
  <c r="M76" i="4"/>
  <c r="O75" i="4"/>
  <c r="M75" i="4"/>
  <c r="O74" i="4"/>
  <c r="M74" i="4"/>
  <c r="O73" i="4"/>
  <c r="M73" i="4"/>
  <c r="O72" i="4"/>
  <c r="M72" i="4"/>
  <c r="O71" i="4"/>
  <c r="M71" i="4"/>
  <c r="O70" i="4"/>
  <c r="M70" i="4"/>
  <c r="O69" i="4"/>
  <c r="M69" i="4"/>
  <c r="O68" i="4"/>
  <c r="M68" i="4"/>
  <c r="O67" i="4"/>
  <c r="M67" i="4"/>
  <c r="O66" i="4"/>
  <c r="M66" i="4"/>
  <c r="O65" i="4"/>
  <c r="M65" i="4"/>
  <c r="O64" i="4"/>
  <c r="M64" i="4"/>
  <c r="O63" i="4"/>
  <c r="M63" i="4"/>
  <c r="S62" i="4"/>
  <c r="R62" i="4"/>
  <c r="O62" i="4"/>
  <c r="M62" i="4"/>
  <c r="O61" i="4"/>
  <c r="M61" i="4"/>
  <c r="O60" i="4"/>
  <c r="M60" i="4"/>
  <c r="O59" i="4"/>
  <c r="M59" i="4"/>
  <c r="O58" i="4"/>
  <c r="M58" i="4"/>
  <c r="O57" i="4"/>
  <c r="M57" i="4"/>
  <c r="O56" i="4"/>
  <c r="M56" i="4"/>
  <c r="O55" i="4"/>
  <c r="M55" i="4"/>
  <c r="O54" i="4"/>
  <c r="M54" i="4"/>
  <c r="O53" i="4"/>
  <c r="M53" i="4"/>
  <c r="O52" i="4"/>
  <c r="M52" i="4"/>
  <c r="O51" i="4"/>
  <c r="M51" i="4"/>
  <c r="O50" i="4"/>
  <c r="M50" i="4"/>
  <c r="O49" i="4"/>
  <c r="M49" i="4"/>
  <c r="O48" i="4"/>
  <c r="M48" i="4"/>
  <c r="O47" i="4"/>
  <c r="M47" i="4"/>
  <c r="O46" i="4"/>
  <c r="M46" i="4"/>
  <c r="O45" i="4"/>
  <c r="M45" i="4"/>
  <c r="O44" i="4"/>
  <c r="M44" i="4"/>
  <c r="O43" i="4"/>
  <c r="M43" i="4"/>
  <c r="O42" i="4"/>
  <c r="M42" i="4"/>
  <c r="O41" i="4"/>
  <c r="M41" i="4"/>
  <c r="O40" i="4"/>
  <c r="M40" i="4"/>
  <c r="O39" i="4"/>
  <c r="M39" i="4"/>
  <c r="O38" i="4"/>
  <c r="M38" i="4"/>
  <c r="O37" i="4"/>
  <c r="M37" i="4"/>
  <c r="O36" i="4"/>
  <c r="M36" i="4"/>
  <c r="O35" i="4"/>
  <c r="M35" i="4"/>
  <c r="O34" i="4"/>
  <c r="M34" i="4"/>
  <c r="O33" i="4"/>
  <c r="M33" i="4"/>
  <c r="O32" i="4"/>
  <c r="M32" i="4"/>
  <c r="O31" i="4"/>
  <c r="M31" i="4"/>
  <c r="O30" i="4"/>
  <c r="M30" i="4"/>
  <c r="O29" i="4"/>
  <c r="M29" i="4"/>
  <c r="O28" i="4"/>
  <c r="M28" i="4"/>
  <c r="O27" i="4"/>
  <c r="M27" i="4"/>
  <c r="O26" i="4"/>
  <c r="M26" i="4"/>
  <c r="O25" i="4"/>
  <c r="M25" i="4"/>
  <c r="O24" i="4"/>
  <c r="M24" i="4"/>
  <c r="O23" i="4"/>
  <c r="M23" i="4"/>
  <c r="O22" i="4"/>
  <c r="M22" i="4"/>
  <c r="O21" i="4"/>
  <c r="M21" i="4"/>
  <c r="O20" i="4"/>
  <c r="M20" i="4"/>
  <c r="O19" i="4"/>
  <c r="M19" i="4"/>
  <c r="S18" i="4"/>
  <c r="O18" i="4"/>
  <c r="M18" i="4"/>
  <c r="O17" i="4"/>
  <c r="M17" i="4"/>
  <c r="O16" i="4"/>
  <c r="M16" i="4"/>
  <c r="O15" i="4"/>
  <c r="M15" i="4"/>
  <c r="O14" i="4"/>
  <c r="M14" i="4"/>
  <c r="O13" i="4"/>
  <c r="M13" i="4"/>
  <c r="O12" i="4"/>
  <c r="M12" i="4"/>
  <c r="O11" i="4"/>
  <c r="M11" i="4"/>
  <c r="O10" i="4"/>
  <c r="M10" i="4"/>
  <c r="O9" i="4"/>
  <c r="M9" i="4"/>
  <c r="O8" i="4"/>
  <c r="M8" i="4"/>
  <c r="O7" i="4"/>
  <c r="M7" i="4"/>
  <c r="O6" i="4"/>
  <c r="M6" i="4"/>
  <c r="O5" i="4"/>
  <c r="M5" i="4"/>
  <c r="O4" i="4"/>
  <c r="M4" i="4"/>
  <c r="O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73" i="2"/>
  <c r="D73" i="2"/>
  <c r="AD72" i="2"/>
  <c r="D72" i="2"/>
  <c r="AD71" i="2"/>
  <c r="D71" i="2"/>
  <c r="AD70" i="2"/>
  <c r="D70" i="2"/>
  <c r="AD69" i="2"/>
  <c r="D69" i="2"/>
  <c r="AD68" i="2"/>
  <c r="D68" i="2"/>
  <c r="AD67" i="2"/>
  <c r="D67" i="2"/>
  <c r="AD66" i="2"/>
  <c r="D66" i="2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S500" i="4" l="1"/>
  <c r="R500" i="4"/>
  <c r="Q500" i="4"/>
  <c r="P500" i="4"/>
  <c r="S499" i="4"/>
  <c r="R499" i="4"/>
  <c r="Q499" i="4"/>
  <c r="P499" i="4"/>
  <c r="S498" i="4"/>
  <c r="R498" i="4"/>
  <c r="Q498" i="4"/>
  <c r="P498" i="4"/>
  <c r="S497" i="4"/>
  <c r="R497" i="4"/>
  <c r="Q497" i="4"/>
  <c r="P497" i="4"/>
  <c r="S496" i="4"/>
  <c r="R496" i="4"/>
  <c r="Q496" i="4"/>
  <c r="P496" i="4"/>
  <c r="S495" i="4"/>
  <c r="R495" i="4"/>
  <c r="Q495" i="4"/>
  <c r="P495" i="4"/>
  <c r="S494" i="4"/>
  <c r="R494" i="4"/>
  <c r="Q494" i="4"/>
  <c r="P494" i="4"/>
  <c r="S493" i="4"/>
  <c r="R493" i="4"/>
  <c r="Q493" i="4"/>
  <c r="P493" i="4"/>
  <c r="S492" i="4"/>
  <c r="R492" i="4"/>
  <c r="Q492" i="4"/>
  <c r="P492" i="4"/>
  <c r="S491" i="4"/>
  <c r="R491" i="4"/>
  <c r="Q491" i="4"/>
  <c r="P491" i="4"/>
  <c r="S490" i="4"/>
  <c r="R490" i="4"/>
  <c r="Q490" i="4"/>
  <c r="P490" i="4"/>
  <c r="S489" i="4"/>
  <c r="R489" i="4"/>
  <c r="Q489" i="4"/>
  <c r="P489" i="4"/>
  <c r="S488" i="4"/>
  <c r="R488" i="4"/>
  <c r="Q488" i="4"/>
  <c r="P488" i="4"/>
  <c r="S487" i="4"/>
  <c r="R487" i="4"/>
  <c r="Q487" i="4"/>
  <c r="P487" i="4"/>
  <c r="S486" i="4"/>
  <c r="R486" i="4"/>
  <c r="Q486" i="4"/>
  <c r="P486" i="4"/>
  <c r="S485" i="4"/>
  <c r="R485" i="4"/>
  <c r="Q485" i="4"/>
  <c r="P485" i="4"/>
  <c r="S484" i="4"/>
  <c r="R484" i="4"/>
  <c r="Q484" i="4"/>
  <c r="P484" i="4"/>
  <c r="S483" i="4"/>
  <c r="R483" i="4"/>
  <c r="Q483" i="4"/>
  <c r="P483" i="4"/>
  <c r="S482" i="4"/>
  <c r="R482" i="4"/>
  <c r="Q482" i="4"/>
  <c r="P482" i="4"/>
  <c r="S481" i="4"/>
  <c r="R481" i="4"/>
  <c r="Q481" i="4"/>
  <c r="P481" i="4"/>
  <c r="S480" i="4"/>
  <c r="R480" i="4"/>
  <c r="Q480" i="4"/>
  <c r="P480" i="4"/>
  <c r="S479" i="4"/>
  <c r="R479" i="4"/>
  <c r="Q479" i="4"/>
  <c r="P479" i="4"/>
  <c r="S478" i="4"/>
  <c r="R478" i="4"/>
  <c r="Q478" i="4"/>
  <c r="P478" i="4"/>
  <c r="S477" i="4"/>
  <c r="R477" i="4"/>
  <c r="Q477" i="4"/>
  <c r="P477" i="4"/>
  <c r="S476" i="4"/>
  <c r="R476" i="4"/>
  <c r="Q476" i="4"/>
  <c r="P476" i="4"/>
  <c r="S475" i="4"/>
  <c r="R475" i="4"/>
  <c r="Q475" i="4"/>
  <c r="P475" i="4"/>
  <c r="S474" i="4"/>
  <c r="R474" i="4"/>
  <c r="Q474" i="4"/>
  <c r="P474" i="4"/>
  <c r="S473" i="4"/>
  <c r="R473" i="4"/>
  <c r="Q473" i="4"/>
  <c r="P473" i="4"/>
  <c r="S472" i="4"/>
  <c r="R472" i="4"/>
  <c r="Q472" i="4"/>
  <c r="P472" i="4"/>
  <c r="S471" i="4"/>
  <c r="R471" i="4"/>
  <c r="Q471" i="4"/>
  <c r="P471" i="4"/>
  <c r="S470" i="4"/>
  <c r="R470" i="4"/>
  <c r="Q470" i="4"/>
  <c r="P470" i="4"/>
  <c r="S469" i="4"/>
  <c r="R469" i="4"/>
  <c r="Q469" i="4"/>
  <c r="P469" i="4"/>
  <c r="S468" i="4"/>
  <c r="R468" i="4"/>
  <c r="Q468" i="4"/>
  <c r="P468" i="4"/>
  <c r="S467" i="4"/>
  <c r="R467" i="4"/>
  <c r="Q467" i="4"/>
  <c r="P467" i="4"/>
  <c r="S466" i="4"/>
  <c r="R466" i="4"/>
  <c r="Q466" i="4"/>
  <c r="P466" i="4"/>
  <c r="S465" i="4"/>
  <c r="R465" i="4"/>
  <c r="Q465" i="4"/>
  <c r="P465" i="4"/>
  <c r="S464" i="4"/>
  <c r="R464" i="4"/>
  <c r="Q464" i="4"/>
  <c r="P464" i="4"/>
  <c r="S463" i="4"/>
  <c r="R463" i="4"/>
  <c r="Q463" i="4"/>
  <c r="P463" i="4"/>
  <c r="S462" i="4"/>
  <c r="R462" i="4"/>
  <c r="Q462" i="4"/>
  <c r="P462" i="4"/>
  <c r="S461" i="4"/>
  <c r="R461" i="4"/>
  <c r="Q461" i="4"/>
  <c r="P461" i="4"/>
  <c r="S460" i="4"/>
  <c r="R460" i="4"/>
  <c r="Q460" i="4"/>
  <c r="P460" i="4"/>
  <c r="S459" i="4"/>
  <c r="R459" i="4"/>
  <c r="Q459" i="4"/>
  <c r="P459" i="4"/>
  <c r="S458" i="4"/>
  <c r="R458" i="4"/>
  <c r="Q458" i="4"/>
  <c r="P458" i="4"/>
  <c r="S457" i="4"/>
  <c r="R457" i="4"/>
  <c r="Q457" i="4"/>
  <c r="P457" i="4"/>
  <c r="S456" i="4"/>
  <c r="R456" i="4"/>
  <c r="Q456" i="4"/>
  <c r="P456" i="4"/>
  <c r="S455" i="4"/>
  <c r="R455" i="4"/>
  <c r="Q455" i="4"/>
  <c r="P455" i="4"/>
  <c r="S454" i="4"/>
  <c r="R454" i="4"/>
  <c r="Q454" i="4"/>
  <c r="P454" i="4"/>
  <c r="S453" i="4"/>
  <c r="R453" i="4"/>
  <c r="Q453" i="4"/>
  <c r="P453" i="4"/>
  <c r="S452" i="4"/>
  <c r="R452" i="4"/>
  <c r="Q452" i="4"/>
  <c r="P452" i="4"/>
  <c r="S451" i="4"/>
  <c r="R451" i="4"/>
  <c r="Q451" i="4"/>
  <c r="P451" i="4"/>
  <c r="P450" i="4"/>
  <c r="S450" i="4"/>
  <c r="R450" i="4"/>
  <c r="Q450" i="4"/>
  <c r="P449" i="4"/>
  <c r="S449" i="4"/>
  <c r="R449" i="4"/>
  <c r="Q449" i="4"/>
  <c r="S448" i="4"/>
  <c r="R448" i="4"/>
  <c r="Q448" i="4"/>
  <c r="P448" i="4"/>
  <c r="P447" i="4"/>
  <c r="S447" i="4"/>
  <c r="R447" i="4"/>
  <c r="Q447" i="4"/>
  <c r="S446" i="4"/>
  <c r="R446" i="4"/>
  <c r="Q446" i="4"/>
  <c r="P446" i="4"/>
  <c r="P445" i="4"/>
  <c r="S445" i="4"/>
  <c r="R445" i="4"/>
  <c r="Q445" i="4"/>
  <c r="S444" i="4"/>
  <c r="R444" i="4"/>
  <c r="Q444" i="4"/>
  <c r="P444" i="4"/>
  <c r="S443" i="4"/>
  <c r="R443" i="4"/>
  <c r="Q443" i="4"/>
  <c r="P443" i="4"/>
  <c r="P442" i="4"/>
  <c r="S442" i="4"/>
  <c r="R442" i="4"/>
  <c r="Q442" i="4"/>
  <c r="P441" i="4"/>
  <c r="S441" i="4"/>
  <c r="R441" i="4"/>
  <c r="Q441" i="4"/>
  <c r="S440" i="4"/>
  <c r="R440" i="4"/>
  <c r="Q440" i="4"/>
  <c r="P440" i="4"/>
  <c r="S439" i="4"/>
  <c r="R439" i="4"/>
  <c r="Q439" i="4"/>
  <c r="P439" i="4"/>
  <c r="S438" i="4"/>
  <c r="R438" i="4"/>
  <c r="Q438" i="4"/>
  <c r="P438" i="4"/>
  <c r="S437" i="4"/>
  <c r="R437" i="4"/>
  <c r="Q437" i="4"/>
  <c r="P437" i="4"/>
  <c r="S436" i="4"/>
  <c r="R436" i="4"/>
  <c r="Q436" i="4"/>
  <c r="P436" i="4"/>
  <c r="S435" i="4"/>
  <c r="R435" i="4"/>
  <c r="Q435" i="4"/>
  <c r="P435" i="4"/>
  <c r="S434" i="4"/>
  <c r="R434" i="4"/>
  <c r="Q434" i="4"/>
  <c r="P434" i="4"/>
  <c r="P433" i="4"/>
  <c r="S433" i="4"/>
  <c r="R433" i="4"/>
  <c r="Q433" i="4"/>
  <c r="P432" i="4"/>
  <c r="S432" i="4"/>
  <c r="R432" i="4"/>
  <c r="Q432" i="4"/>
  <c r="S431" i="4"/>
  <c r="R431" i="4"/>
  <c r="Q431" i="4"/>
  <c r="P431" i="4"/>
  <c r="P430" i="4"/>
  <c r="S430" i="4"/>
  <c r="R430" i="4"/>
  <c r="Q430" i="4"/>
  <c r="S429" i="4"/>
  <c r="R429" i="4"/>
  <c r="Q429" i="4"/>
  <c r="P429" i="4"/>
  <c r="P428" i="4"/>
  <c r="S428" i="4"/>
  <c r="R428" i="4"/>
  <c r="Q428" i="4"/>
  <c r="S427" i="4"/>
  <c r="R427" i="4"/>
  <c r="Q427" i="4"/>
  <c r="P427" i="4"/>
  <c r="S426" i="4"/>
  <c r="R426" i="4"/>
  <c r="Q426" i="4"/>
  <c r="P426" i="4"/>
  <c r="S425" i="4"/>
  <c r="R425" i="4"/>
  <c r="Q425" i="4"/>
  <c r="P425" i="4"/>
  <c r="P424" i="4"/>
  <c r="S424" i="4"/>
  <c r="R424" i="4"/>
  <c r="Q424" i="4"/>
  <c r="R423" i="4"/>
  <c r="S423" i="4"/>
  <c r="Q423" i="4"/>
  <c r="P423" i="4"/>
  <c r="S422" i="4"/>
  <c r="R422" i="4"/>
  <c r="Q422" i="4"/>
  <c r="P422" i="4"/>
  <c r="S421" i="4"/>
  <c r="R421" i="4"/>
  <c r="Q421" i="4"/>
  <c r="P421" i="4"/>
  <c r="S420" i="4"/>
  <c r="R420" i="4"/>
  <c r="Q420" i="4"/>
  <c r="P420" i="4"/>
  <c r="S419" i="4"/>
  <c r="R419" i="4"/>
  <c r="Q419" i="4"/>
  <c r="P419" i="4"/>
  <c r="S418" i="4"/>
  <c r="R418" i="4"/>
  <c r="Q418" i="4"/>
  <c r="P418" i="4"/>
  <c r="S417" i="4"/>
  <c r="R417" i="4"/>
  <c r="Q417" i="4"/>
  <c r="P417" i="4"/>
  <c r="P416" i="4"/>
  <c r="S416" i="4"/>
  <c r="R416" i="4"/>
  <c r="Q416" i="4"/>
  <c r="P415" i="4"/>
  <c r="S415" i="4"/>
  <c r="R415" i="4"/>
  <c r="Q415" i="4"/>
  <c r="P414" i="4"/>
  <c r="S414" i="4"/>
  <c r="R414" i="4"/>
  <c r="S412" i="4"/>
  <c r="R412" i="4"/>
  <c r="Q412" i="4"/>
  <c r="P412" i="4"/>
  <c r="S411" i="4"/>
  <c r="R411" i="4"/>
  <c r="Q411" i="4"/>
  <c r="P411" i="4"/>
  <c r="S410" i="4"/>
  <c r="R410" i="4"/>
  <c r="Q410" i="4"/>
  <c r="P410" i="4"/>
  <c r="S409" i="4"/>
  <c r="R409" i="4"/>
  <c r="Q409" i="4"/>
  <c r="P409" i="4"/>
  <c r="S408" i="4"/>
  <c r="R408" i="4"/>
  <c r="Q408" i="4"/>
  <c r="P408" i="4"/>
  <c r="S407" i="4"/>
  <c r="R407" i="4"/>
  <c r="Q407" i="4"/>
  <c r="P407" i="4"/>
  <c r="S406" i="4"/>
  <c r="R406" i="4"/>
  <c r="Q406" i="4"/>
  <c r="P406" i="4"/>
  <c r="S405" i="4"/>
  <c r="R405" i="4"/>
  <c r="Q405" i="4"/>
  <c r="P405" i="4"/>
  <c r="S404" i="4"/>
  <c r="R404" i="4"/>
  <c r="Q404" i="4"/>
  <c r="P404" i="4"/>
  <c r="S403" i="4"/>
  <c r="R403" i="4"/>
  <c r="Q403" i="4"/>
  <c r="P403" i="4"/>
  <c r="S402" i="4"/>
  <c r="R402" i="4"/>
  <c r="Q402" i="4"/>
  <c r="P402" i="4"/>
  <c r="S401" i="4"/>
  <c r="R401" i="4"/>
  <c r="Q401" i="4"/>
  <c r="P401" i="4"/>
  <c r="S400" i="4"/>
  <c r="R400" i="4"/>
  <c r="Q400" i="4"/>
  <c r="P400" i="4"/>
  <c r="S399" i="4"/>
  <c r="R399" i="4"/>
  <c r="Q399" i="4"/>
  <c r="P399" i="4"/>
  <c r="S398" i="4"/>
  <c r="R398" i="4"/>
  <c r="Q398" i="4"/>
  <c r="P398" i="4"/>
  <c r="S397" i="4"/>
  <c r="R397" i="4"/>
  <c r="Q397" i="4"/>
  <c r="P397" i="4"/>
  <c r="S396" i="4"/>
  <c r="R396" i="4"/>
  <c r="Q396" i="4"/>
  <c r="P396" i="4"/>
  <c r="S395" i="4"/>
  <c r="R395" i="4"/>
  <c r="Q395" i="4"/>
  <c r="P395" i="4"/>
  <c r="S394" i="4"/>
  <c r="R394" i="4"/>
  <c r="Q394" i="4"/>
  <c r="P394" i="4"/>
  <c r="S393" i="4"/>
  <c r="R393" i="4"/>
  <c r="Q393" i="4"/>
  <c r="P393" i="4"/>
  <c r="S392" i="4"/>
  <c r="R392" i="4"/>
  <c r="Q392" i="4"/>
  <c r="P392" i="4"/>
  <c r="S391" i="4"/>
  <c r="R391" i="4"/>
  <c r="Q391" i="4"/>
  <c r="P391" i="4"/>
  <c r="S390" i="4"/>
  <c r="R390" i="4"/>
  <c r="Q390" i="4"/>
  <c r="P390" i="4"/>
  <c r="S389" i="4"/>
  <c r="R389" i="4"/>
  <c r="Q389" i="4"/>
  <c r="P389" i="4"/>
  <c r="S388" i="4"/>
  <c r="R388" i="4"/>
  <c r="Q388" i="4"/>
  <c r="P388" i="4"/>
  <c r="S387" i="4"/>
  <c r="R387" i="4"/>
  <c r="Q387" i="4"/>
  <c r="P387" i="4"/>
  <c r="S386" i="4"/>
  <c r="R386" i="4"/>
  <c r="Q386" i="4"/>
  <c r="P386" i="4"/>
  <c r="S385" i="4"/>
  <c r="R385" i="4"/>
  <c r="Q385" i="4"/>
  <c r="P385" i="4"/>
  <c r="S384" i="4"/>
  <c r="R384" i="4"/>
  <c r="Q384" i="4"/>
  <c r="P384" i="4"/>
  <c r="S383" i="4"/>
  <c r="R383" i="4"/>
  <c r="Q383" i="4"/>
  <c r="P383" i="4"/>
  <c r="S382" i="4"/>
  <c r="R382" i="4"/>
  <c r="Q382" i="4"/>
  <c r="P382" i="4"/>
  <c r="S381" i="4"/>
  <c r="R381" i="4"/>
  <c r="Q381" i="4"/>
  <c r="P381" i="4"/>
  <c r="S380" i="4"/>
  <c r="R380" i="4"/>
  <c r="Q380" i="4"/>
  <c r="P380" i="4"/>
  <c r="S379" i="4"/>
  <c r="R379" i="4"/>
  <c r="Q379" i="4"/>
  <c r="P379" i="4"/>
  <c r="S378" i="4"/>
  <c r="R378" i="4"/>
  <c r="Q378" i="4"/>
  <c r="P378" i="4"/>
  <c r="S377" i="4"/>
  <c r="R377" i="4"/>
  <c r="Q377" i="4"/>
  <c r="P377" i="4"/>
  <c r="S376" i="4"/>
  <c r="R376" i="4"/>
  <c r="Q376" i="4"/>
  <c r="P376" i="4"/>
  <c r="S375" i="4"/>
  <c r="R375" i="4"/>
  <c r="Q375" i="4"/>
  <c r="P375" i="4"/>
  <c r="S374" i="4"/>
  <c r="R374" i="4"/>
  <c r="Q374" i="4"/>
  <c r="P374" i="4"/>
  <c r="S373" i="4"/>
  <c r="R373" i="4"/>
  <c r="Q373" i="4"/>
  <c r="P373" i="4"/>
  <c r="S372" i="4"/>
  <c r="R372" i="4"/>
  <c r="Q372" i="4"/>
  <c r="P372" i="4"/>
  <c r="S371" i="4"/>
  <c r="R371" i="4"/>
  <c r="Q371" i="4"/>
  <c r="P371" i="4"/>
  <c r="S370" i="4"/>
  <c r="R370" i="4"/>
  <c r="Q370" i="4"/>
  <c r="P370" i="4"/>
  <c r="S368" i="4"/>
  <c r="R368" i="4"/>
  <c r="Q368" i="4"/>
  <c r="P368" i="4"/>
  <c r="S367" i="4"/>
  <c r="R367" i="4"/>
  <c r="Q367" i="4"/>
  <c r="P367" i="4"/>
  <c r="S366" i="4"/>
  <c r="R366" i="4"/>
  <c r="Q366" i="4"/>
  <c r="P366" i="4"/>
  <c r="S365" i="4"/>
  <c r="R365" i="4"/>
  <c r="Q365" i="4"/>
  <c r="P365" i="4"/>
  <c r="S364" i="4"/>
  <c r="R364" i="4"/>
  <c r="Q364" i="4"/>
  <c r="P364" i="4"/>
  <c r="S363" i="4"/>
  <c r="R363" i="4"/>
  <c r="Q363" i="4"/>
  <c r="P363" i="4"/>
  <c r="S362" i="4"/>
  <c r="R362" i="4"/>
  <c r="Q362" i="4"/>
  <c r="P362" i="4"/>
  <c r="S361" i="4"/>
  <c r="R361" i="4"/>
  <c r="Q361" i="4"/>
  <c r="P361" i="4"/>
  <c r="S360" i="4"/>
  <c r="R360" i="4"/>
  <c r="Q360" i="4"/>
  <c r="P360" i="4"/>
  <c r="S359" i="4"/>
  <c r="R359" i="4"/>
  <c r="Q359" i="4"/>
  <c r="P359" i="4"/>
  <c r="S358" i="4"/>
  <c r="R358" i="4"/>
  <c r="Q358" i="4"/>
  <c r="P358" i="4"/>
  <c r="S357" i="4"/>
  <c r="R357" i="4"/>
  <c r="Q357" i="4"/>
  <c r="P357" i="4"/>
  <c r="S356" i="4"/>
  <c r="R356" i="4"/>
  <c r="Q356" i="4"/>
  <c r="P356" i="4"/>
  <c r="S355" i="4"/>
  <c r="R355" i="4"/>
  <c r="Q355" i="4"/>
  <c r="P355" i="4"/>
  <c r="S354" i="4"/>
  <c r="R354" i="4"/>
  <c r="Q354" i="4"/>
  <c r="P354" i="4"/>
  <c r="S353" i="4"/>
  <c r="R353" i="4"/>
  <c r="Q353" i="4"/>
  <c r="P353" i="4"/>
  <c r="S352" i="4"/>
  <c r="R352" i="4"/>
  <c r="Q352" i="4"/>
  <c r="P352" i="4"/>
  <c r="S351" i="4"/>
  <c r="R351" i="4"/>
  <c r="Q351" i="4"/>
  <c r="P351" i="4"/>
  <c r="S350" i="4"/>
  <c r="R350" i="4"/>
  <c r="Q350" i="4"/>
  <c r="P350" i="4"/>
  <c r="S349" i="4"/>
  <c r="R349" i="4"/>
  <c r="Q349" i="4"/>
  <c r="P349" i="4"/>
  <c r="S348" i="4"/>
  <c r="R348" i="4"/>
  <c r="Q348" i="4"/>
  <c r="P348" i="4"/>
  <c r="S347" i="4"/>
  <c r="R347" i="4"/>
  <c r="Q347" i="4"/>
  <c r="P347" i="4"/>
  <c r="S346" i="4"/>
  <c r="R346" i="4"/>
  <c r="Q346" i="4"/>
  <c r="P346" i="4"/>
  <c r="S345" i="4"/>
  <c r="R345" i="4"/>
  <c r="Q345" i="4"/>
  <c r="P345" i="4"/>
  <c r="S344" i="4"/>
  <c r="R344" i="4"/>
  <c r="Q344" i="4"/>
  <c r="P344" i="4"/>
  <c r="S343" i="4"/>
  <c r="R343" i="4"/>
  <c r="Q343" i="4"/>
  <c r="P343" i="4"/>
  <c r="S342" i="4"/>
  <c r="R342" i="4"/>
  <c r="Q342" i="4"/>
  <c r="P342" i="4"/>
  <c r="S341" i="4"/>
  <c r="R341" i="4"/>
  <c r="Q341" i="4"/>
  <c r="P341" i="4"/>
  <c r="S340" i="4"/>
  <c r="R340" i="4"/>
  <c r="Q340" i="4"/>
  <c r="P340" i="4"/>
  <c r="S339" i="4"/>
  <c r="R339" i="4"/>
  <c r="Q339" i="4"/>
  <c r="P339" i="4"/>
  <c r="S338" i="4"/>
  <c r="R338" i="4"/>
  <c r="Q338" i="4"/>
  <c r="P338" i="4"/>
  <c r="S337" i="4"/>
  <c r="R337" i="4"/>
  <c r="Q337" i="4"/>
  <c r="P337" i="4"/>
  <c r="S336" i="4"/>
  <c r="R336" i="4"/>
  <c r="Q336" i="4"/>
  <c r="P336" i="4"/>
  <c r="S335" i="4"/>
  <c r="R335" i="4"/>
  <c r="Q335" i="4"/>
  <c r="P335" i="4"/>
  <c r="S334" i="4"/>
  <c r="R334" i="4"/>
  <c r="Q334" i="4"/>
  <c r="P334" i="4"/>
  <c r="S333" i="4"/>
  <c r="R333" i="4"/>
  <c r="Q333" i="4"/>
  <c r="P333" i="4"/>
  <c r="S332" i="4"/>
  <c r="R332" i="4"/>
  <c r="Q332" i="4"/>
  <c r="P332" i="4"/>
  <c r="S331" i="4"/>
  <c r="R331" i="4"/>
  <c r="Q331" i="4"/>
  <c r="P331" i="4"/>
  <c r="S330" i="4"/>
  <c r="R330" i="4"/>
  <c r="Q330" i="4"/>
  <c r="P330" i="4"/>
  <c r="S329" i="4"/>
  <c r="R329" i="4"/>
  <c r="Q329" i="4"/>
  <c r="P329" i="4"/>
  <c r="S328" i="4"/>
  <c r="R328" i="4"/>
  <c r="Q328" i="4"/>
  <c r="P328" i="4"/>
  <c r="S327" i="4"/>
  <c r="R327" i="4"/>
  <c r="Q327" i="4"/>
  <c r="P327" i="4"/>
  <c r="S326" i="4"/>
  <c r="R326" i="4"/>
  <c r="Q326" i="4"/>
  <c r="P326" i="4"/>
  <c r="Q325" i="4"/>
  <c r="P325" i="4"/>
  <c r="S324" i="4"/>
  <c r="R324" i="4"/>
  <c r="Q324" i="4"/>
  <c r="P324" i="4"/>
  <c r="S323" i="4"/>
  <c r="R323" i="4"/>
  <c r="Q323" i="4"/>
  <c r="P323" i="4"/>
  <c r="S322" i="4"/>
  <c r="R322" i="4"/>
  <c r="Q322" i="4"/>
  <c r="P322" i="4"/>
  <c r="S321" i="4"/>
  <c r="R321" i="4"/>
  <c r="Q321" i="4"/>
  <c r="P321" i="4"/>
  <c r="S320" i="4"/>
  <c r="R320" i="4"/>
  <c r="Q320" i="4"/>
  <c r="P320" i="4"/>
  <c r="S319" i="4"/>
  <c r="R319" i="4"/>
  <c r="Q319" i="4"/>
  <c r="P319" i="4"/>
  <c r="S318" i="4"/>
  <c r="R318" i="4"/>
  <c r="Q318" i="4"/>
  <c r="P318" i="4"/>
  <c r="S317" i="4"/>
  <c r="R317" i="4"/>
  <c r="Q317" i="4"/>
  <c r="P317" i="4"/>
  <c r="S316" i="4"/>
  <c r="R316" i="4"/>
  <c r="Q316" i="4"/>
  <c r="P316" i="4"/>
  <c r="S315" i="4"/>
  <c r="R315" i="4"/>
  <c r="Q315" i="4"/>
  <c r="P315" i="4"/>
  <c r="S314" i="4"/>
  <c r="R314" i="4"/>
  <c r="Q314" i="4"/>
  <c r="P314" i="4"/>
  <c r="S313" i="4"/>
  <c r="R313" i="4"/>
  <c r="Q313" i="4"/>
  <c r="P313" i="4"/>
  <c r="S312" i="4"/>
  <c r="R312" i="4"/>
  <c r="Q312" i="4"/>
  <c r="P312" i="4"/>
  <c r="S311" i="4"/>
  <c r="R311" i="4"/>
  <c r="Q311" i="4"/>
  <c r="P311" i="4"/>
  <c r="S310" i="4"/>
  <c r="R310" i="4"/>
  <c r="Q310" i="4"/>
  <c r="P310" i="4"/>
  <c r="S309" i="4"/>
  <c r="R309" i="4"/>
  <c r="Q309" i="4"/>
  <c r="P309" i="4"/>
  <c r="S308" i="4"/>
  <c r="R308" i="4"/>
  <c r="Q308" i="4"/>
  <c r="P308" i="4"/>
  <c r="S307" i="4"/>
  <c r="R307" i="4"/>
  <c r="Q307" i="4"/>
  <c r="P307" i="4"/>
  <c r="S306" i="4"/>
  <c r="R306" i="4"/>
  <c r="Q306" i="4"/>
  <c r="P306" i="4"/>
  <c r="S305" i="4"/>
  <c r="R305" i="4"/>
  <c r="Q305" i="4"/>
  <c r="P305" i="4"/>
  <c r="S304" i="4"/>
  <c r="R304" i="4"/>
  <c r="Q304" i="4"/>
  <c r="P304" i="4"/>
  <c r="S303" i="4"/>
  <c r="R303" i="4"/>
  <c r="Q303" i="4"/>
  <c r="P303" i="4"/>
  <c r="S302" i="4"/>
  <c r="R302" i="4"/>
  <c r="Q302" i="4"/>
  <c r="P302" i="4"/>
  <c r="S301" i="4"/>
  <c r="R301" i="4"/>
  <c r="Q301" i="4"/>
  <c r="P301" i="4"/>
  <c r="S300" i="4"/>
  <c r="R300" i="4"/>
  <c r="Q300" i="4"/>
  <c r="P300" i="4"/>
  <c r="S299" i="4"/>
  <c r="R299" i="4"/>
  <c r="Q299" i="4"/>
  <c r="P299" i="4"/>
  <c r="S298" i="4"/>
  <c r="R298" i="4"/>
  <c r="Q298" i="4"/>
  <c r="P298" i="4"/>
  <c r="S297" i="4"/>
  <c r="R297" i="4"/>
  <c r="Q297" i="4"/>
  <c r="P297" i="4"/>
  <c r="S296" i="4"/>
  <c r="R296" i="4"/>
  <c r="Q296" i="4"/>
  <c r="P296" i="4"/>
  <c r="S295" i="4"/>
  <c r="R295" i="4"/>
  <c r="Q295" i="4"/>
  <c r="P295" i="4"/>
  <c r="S294" i="4"/>
  <c r="R294" i="4"/>
  <c r="Q294" i="4"/>
  <c r="P294" i="4"/>
  <c r="S293" i="4"/>
  <c r="R293" i="4"/>
  <c r="Q293" i="4"/>
  <c r="P293" i="4"/>
  <c r="S292" i="4"/>
  <c r="R292" i="4"/>
  <c r="Q292" i="4"/>
  <c r="P292" i="4"/>
  <c r="S291" i="4"/>
  <c r="R291" i="4"/>
  <c r="Q291" i="4"/>
  <c r="P291" i="4"/>
  <c r="S290" i="4"/>
  <c r="R290" i="4"/>
  <c r="Q290" i="4"/>
  <c r="P290" i="4"/>
  <c r="S289" i="4"/>
  <c r="R289" i="4"/>
  <c r="Q289" i="4"/>
  <c r="P289" i="4"/>
  <c r="S288" i="4"/>
  <c r="R288" i="4"/>
  <c r="Q288" i="4"/>
  <c r="P288" i="4"/>
  <c r="S287" i="4"/>
  <c r="R287" i="4"/>
  <c r="Q287" i="4"/>
  <c r="P287" i="4"/>
  <c r="S286" i="4"/>
  <c r="R286" i="4"/>
  <c r="Q286" i="4"/>
  <c r="P286" i="4"/>
  <c r="S285" i="4"/>
  <c r="R285" i="4"/>
  <c r="Q285" i="4"/>
  <c r="P285" i="4"/>
  <c r="S284" i="4"/>
  <c r="R284" i="4"/>
  <c r="Q284" i="4"/>
  <c r="P284" i="4"/>
  <c r="S283" i="4"/>
  <c r="R283" i="4"/>
  <c r="Q283" i="4"/>
  <c r="P283" i="4"/>
  <c r="S282" i="4"/>
  <c r="R282" i="4"/>
  <c r="Q282" i="4"/>
  <c r="P282" i="4"/>
  <c r="S281" i="4"/>
  <c r="R281" i="4"/>
  <c r="P281" i="4"/>
  <c r="Q281" i="4"/>
  <c r="P280" i="4"/>
  <c r="S280" i="4"/>
  <c r="R280" i="4"/>
  <c r="Q280" i="4"/>
  <c r="P279" i="4"/>
  <c r="S279" i="4"/>
  <c r="R279" i="4"/>
  <c r="Q279" i="4"/>
  <c r="S278" i="4"/>
  <c r="R278" i="4"/>
  <c r="Q278" i="4"/>
  <c r="P278" i="4"/>
  <c r="S277" i="4"/>
  <c r="R277" i="4"/>
  <c r="Q277" i="4"/>
  <c r="P277" i="4"/>
  <c r="S276" i="4"/>
  <c r="R276" i="4"/>
  <c r="P276" i="4"/>
  <c r="Q276" i="4"/>
  <c r="S275" i="4"/>
  <c r="R275" i="4"/>
  <c r="Q275" i="4"/>
  <c r="P275" i="4"/>
  <c r="S274" i="4"/>
  <c r="R274" i="4"/>
  <c r="P274" i="4"/>
  <c r="Q274" i="4"/>
  <c r="S273" i="4"/>
  <c r="R273" i="4"/>
  <c r="Q273" i="4"/>
  <c r="P273" i="4"/>
  <c r="P272" i="4"/>
  <c r="S272" i="4"/>
  <c r="R272" i="4"/>
  <c r="Q272" i="4"/>
  <c r="P271" i="4"/>
  <c r="S271" i="4"/>
  <c r="Q271" i="4"/>
  <c r="R271" i="4"/>
  <c r="Q270" i="4"/>
  <c r="S270" i="4"/>
  <c r="R270" i="4"/>
  <c r="P270" i="4"/>
  <c r="S269" i="4"/>
  <c r="R269" i="4"/>
  <c r="P269" i="4"/>
  <c r="Q269" i="4"/>
  <c r="S268" i="4"/>
  <c r="Q268" i="4"/>
  <c r="P268" i="4"/>
  <c r="R268" i="4"/>
  <c r="R267" i="4"/>
  <c r="P267" i="4"/>
  <c r="S267" i="4"/>
  <c r="Q267" i="4"/>
  <c r="Q266" i="4"/>
  <c r="R266" i="4"/>
  <c r="P266" i="4"/>
  <c r="S266" i="4"/>
  <c r="S265" i="4"/>
  <c r="R265" i="4"/>
  <c r="P265" i="4"/>
  <c r="Q265" i="4"/>
  <c r="Q264" i="4"/>
  <c r="S264" i="4"/>
  <c r="R264" i="4"/>
  <c r="P264" i="4"/>
  <c r="S263" i="4"/>
  <c r="Q263" i="4"/>
  <c r="R263" i="4"/>
  <c r="P263" i="4"/>
  <c r="P262" i="4"/>
  <c r="R262" i="4"/>
  <c r="Q262" i="4"/>
  <c r="S262" i="4"/>
  <c r="Q261" i="4"/>
  <c r="P261" i="4"/>
  <c r="R261" i="4"/>
  <c r="S261" i="4"/>
  <c r="Q260" i="4"/>
  <c r="S260" i="4"/>
  <c r="P260" i="4"/>
  <c r="R260" i="4"/>
  <c r="P259" i="4"/>
  <c r="R259" i="4"/>
  <c r="S259" i="4"/>
  <c r="Q259" i="4"/>
  <c r="Q258" i="4"/>
  <c r="S258" i="4"/>
  <c r="R258" i="4"/>
  <c r="P258" i="4"/>
  <c r="Q257" i="4"/>
  <c r="S257" i="4"/>
  <c r="P257" i="4"/>
  <c r="R257" i="4"/>
  <c r="R256" i="4"/>
  <c r="P256" i="4"/>
  <c r="S256" i="4"/>
  <c r="Q256" i="4"/>
  <c r="S255" i="4"/>
  <c r="Q255" i="4"/>
  <c r="P255" i="4"/>
  <c r="R255" i="4"/>
  <c r="P254" i="4"/>
  <c r="Q254" i="4"/>
  <c r="R254" i="4"/>
  <c r="S254" i="4"/>
  <c r="Q253" i="4"/>
  <c r="S253" i="4"/>
  <c r="R253" i="4"/>
  <c r="P253" i="4"/>
  <c r="S252" i="4"/>
  <c r="R252" i="4"/>
  <c r="P252" i="4"/>
  <c r="Q252" i="4"/>
  <c r="Q251" i="4"/>
  <c r="R251" i="4"/>
  <c r="P251" i="4"/>
  <c r="S251" i="4"/>
  <c r="S250" i="4"/>
  <c r="R250" i="4"/>
  <c r="Q250" i="4"/>
  <c r="P250" i="4"/>
  <c r="S249" i="4"/>
  <c r="P249" i="4"/>
  <c r="Q249" i="4"/>
  <c r="R249" i="4"/>
  <c r="R248" i="4"/>
  <c r="P248" i="4"/>
  <c r="S248" i="4"/>
  <c r="Q248" i="4"/>
  <c r="R247" i="4"/>
  <c r="Q247" i="4"/>
  <c r="S247" i="4"/>
  <c r="P247" i="4"/>
  <c r="S246" i="4"/>
  <c r="Q246" i="4"/>
  <c r="R246" i="4"/>
  <c r="P246" i="4"/>
  <c r="Q245" i="4"/>
  <c r="R245" i="4"/>
  <c r="P245" i="4"/>
  <c r="S245" i="4"/>
  <c r="P244" i="4"/>
  <c r="R244" i="4"/>
  <c r="Q244" i="4"/>
  <c r="S244" i="4"/>
  <c r="Q243" i="4"/>
  <c r="S243" i="4"/>
  <c r="R243" i="4"/>
  <c r="P243" i="4"/>
  <c r="P242" i="4"/>
  <c r="R242" i="4"/>
  <c r="S242" i="4"/>
  <c r="Q242" i="4"/>
  <c r="P241" i="4"/>
  <c r="S241" i="4"/>
  <c r="R241" i="4"/>
  <c r="Q241" i="4"/>
  <c r="S240" i="4"/>
  <c r="Q240" i="4"/>
  <c r="R240" i="4"/>
  <c r="P240" i="4"/>
  <c r="R239" i="4"/>
  <c r="Q239" i="4"/>
  <c r="S239" i="4"/>
  <c r="P239" i="4"/>
  <c r="Q238" i="4"/>
  <c r="S238" i="4"/>
  <c r="R238" i="4"/>
  <c r="P238" i="4"/>
  <c r="Q237" i="4"/>
  <c r="P237" i="4"/>
  <c r="S237" i="4"/>
  <c r="R237" i="4"/>
  <c r="P236" i="4"/>
  <c r="Q236" i="4"/>
  <c r="R236" i="4"/>
  <c r="S236" i="4"/>
  <c r="P235" i="4"/>
  <c r="Q235" i="4"/>
  <c r="R235" i="4"/>
  <c r="S235" i="4"/>
  <c r="S234" i="4"/>
  <c r="R234" i="4"/>
  <c r="Q234" i="4"/>
  <c r="P234" i="4"/>
  <c r="Q233" i="4"/>
  <c r="P233" i="4"/>
  <c r="S233" i="4"/>
  <c r="R233" i="4"/>
  <c r="P232" i="4"/>
  <c r="Q232" i="4"/>
  <c r="R232" i="4"/>
  <c r="S232" i="4"/>
  <c r="S231" i="4"/>
  <c r="P231" i="4"/>
  <c r="Q231" i="4"/>
  <c r="R231" i="4"/>
  <c r="P230" i="4"/>
  <c r="Q230" i="4"/>
  <c r="R230" i="4"/>
  <c r="S230" i="4"/>
  <c r="P229" i="4"/>
  <c r="S229" i="4"/>
  <c r="R229" i="4"/>
  <c r="Q229" i="4"/>
  <c r="Q228" i="4"/>
  <c r="P228" i="4"/>
  <c r="S228" i="4"/>
  <c r="R228" i="4"/>
  <c r="R227" i="4"/>
  <c r="Q227" i="4"/>
  <c r="P227" i="4"/>
  <c r="S227" i="4"/>
  <c r="Q226" i="4"/>
  <c r="S226" i="4"/>
  <c r="R226" i="4"/>
  <c r="P226" i="4"/>
  <c r="R225" i="4"/>
  <c r="P225" i="4"/>
  <c r="S225" i="4"/>
  <c r="Q225" i="4"/>
  <c r="R224" i="4"/>
  <c r="P224" i="4"/>
  <c r="Q224" i="4"/>
  <c r="S224" i="4"/>
  <c r="R223" i="4"/>
  <c r="P223" i="4"/>
  <c r="S223" i="4"/>
  <c r="Q223" i="4"/>
  <c r="P222" i="4"/>
  <c r="Q222" i="4"/>
  <c r="S222" i="4"/>
  <c r="R222" i="4"/>
  <c r="Q221" i="4"/>
  <c r="P221" i="4"/>
  <c r="S221" i="4"/>
  <c r="R221" i="4"/>
  <c r="R220" i="4"/>
  <c r="S220" i="4"/>
  <c r="Q220" i="4"/>
  <c r="P220" i="4"/>
  <c r="P219" i="4"/>
  <c r="S219" i="4"/>
  <c r="Q219" i="4"/>
  <c r="R219" i="4"/>
  <c r="P218" i="4"/>
  <c r="Q218" i="4"/>
  <c r="S218" i="4"/>
  <c r="R218" i="4"/>
  <c r="P217" i="4"/>
  <c r="Q217" i="4"/>
  <c r="S217" i="4"/>
  <c r="R217" i="4"/>
  <c r="P216" i="4"/>
  <c r="S216" i="4"/>
  <c r="R216" i="4"/>
  <c r="Q216" i="4"/>
  <c r="Q215" i="4"/>
  <c r="S215" i="4"/>
  <c r="P215" i="4"/>
  <c r="R215" i="4"/>
  <c r="S214" i="4"/>
  <c r="R214" i="4"/>
  <c r="Q214" i="4"/>
  <c r="P214" i="4"/>
  <c r="R213" i="4"/>
  <c r="S213" i="4"/>
  <c r="P213" i="4"/>
  <c r="Q213" i="4"/>
  <c r="Q212" i="4"/>
  <c r="R212" i="4"/>
  <c r="P212" i="4"/>
  <c r="S212" i="4"/>
  <c r="S211" i="4"/>
  <c r="R211" i="4"/>
  <c r="Q211" i="4"/>
  <c r="P211" i="4"/>
  <c r="Q210" i="4"/>
  <c r="R210" i="4"/>
  <c r="P210" i="4"/>
  <c r="S210" i="4"/>
  <c r="R209" i="4"/>
  <c r="Q209" i="4"/>
  <c r="P209" i="4"/>
  <c r="S209" i="4"/>
  <c r="S208" i="4"/>
  <c r="R208" i="4"/>
  <c r="Q208" i="4"/>
  <c r="P208" i="4"/>
  <c r="Q207" i="4"/>
  <c r="R207" i="4"/>
  <c r="S207" i="4"/>
  <c r="P207" i="4"/>
  <c r="S206" i="4"/>
  <c r="Q206" i="4"/>
  <c r="R206" i="4"/>
  <c r="P206" i="4"/>
  <c r="S205" i="4"/>
  <c r="Q205" i="4"/>
  <c r="R205" i="4"/>
  <c r="P205" i="4"/>
  <c r="Q204" i="4"/>
  <c r="R204" i="4"/>
  <c r="P204" i="4"/>
  <c r="S204" i="4"/>
  <c r="R203" i="4"/>
  <c r="P203" i="4"/>
  <c r="Q203" i="4"/>
  <c r="S203" i="4"/>
  <c r="R202" i="4"/>
  <c r="P202" i="4"/>
  <c r="Q202" i="4"/>
  <c r="S202" i="4"/>
  <c r="Q201" i="4"/>
  <c r="S201" i="4"/>
  <c r="R201" i="4"/>
  <c r="P201" i="4"/>
  <c r="P200" i="4"/>
  <c r="Q200" i="4"/>
  <c r="S200" i="4"/>
  <c r="R200" i="4"/>
  <c r="P199" i="4"/>
  <c r="Q199" i="4"/>
  <c r="S199" i="4"/>
  <c r="R199" i="4"/>
  <c r="R198" i="4"/>
  <c r="S198" i="4"/>
  <c r="Q198" i="4"/>
  <c r="P198" i="4"/>
  <c r="S197" i="4"/>
  <c r="Q197" i="4"/>
  <c r="R197" i="4"/>
  <c r="P197" i="4"/>
  <c r="R196" i="4"/>
  <c r="P196" i="4"/>
  <c r="S196" i="4"/>
  <c r="Q196" i="4"/>
  <c r="Q195" i="4"/>
  <c r="R195" i="4"/>
  <c r="P195" i="4"/>
  <c r="S195" i="4"/>
  <c r="S194" i="4"/>
  <c r="R194" i="4"/>
  <c r="Q194" i="4"/>
  <c r="P194" i="4"/>
  <c r="S193" i="4"/>
  <c r="R193" i="4"/>
  <c r="Q193" i="4"/>
  <c r="P193" i="4"/>
  <c r="S192" i="4"/>
  <c r="R192" i="4"/>
  <c r="Q192" i="4"/>
  <c r="P192" i="4"/>
  <c r="S191" i="4"/>
  <c r="R191" i="4"/>
  <c r="Q191" i="4"/>
  <c r="P191" i="4"/>
  <c r="S190" i="4"/>
  <c r="R190" i="4"/>
  <c r="Q190" i="4"/>
  <c r="P190" i="4"/>
  <c r="S189" i="4"/>
  <c r="R189" i="4"/>
  <c r="Q189" i="4"/>
  <c r="P189" i="4"/>
  <c r="S188" i="4"/>
  <c r="R188" i="4"/>
  <c r="Q188" i="4"/>
  <c r="P188" i="4"/>
  <c r="S187" i="4"/>
  <c r="R187" i="4"/>
  <c r="Q187" i="4"/>
  <c r="P187" i="4"/>
  <c r="S186" i="4"/>
  <c r="R186" i="4"/>
  <c r="Q186" i="4"/>
  <c r="P186" i="4"/>
  <c r="S185" i="4"/>
  <c r="R185" i="4"/>
  <c r="Q185" i="4"/>
  <c r="P185" i="4"/>
  <c r="S184" i="4"/>
  <c r="R184" i="4"/>
  <c r="Q184" i="4"/>
  <c r="P184" i="4"/>
  <c r="S183" i="4"/>
  <c r="R183" i="4"/>
  <c r="Q183" i="4"/>
  <c r="P183" i="4"/>
  <c r="S182" i="4"/>
  <c r="R182" i="4"/>
  <c r="Q182" i="4"/>
  <c r="P182" i="4"/>
  <c r="S181" i="4"/>
  <c r="R181" i="4"/>
  <c r="Q181" i="4"/>
  <c r="P181" i="4"/>
  <c r="S180" i="4"/>
  <c r="R180" i="4"/>
  <c r="Q180" i="4"/>
  <c r="P180" i="4"/>
  <c r="S179" i="4"/>
  <c r="R179" i="4"/>
  <c r="Q179" i="4"/>
  <c r="P179" i="4"/>
  <c r="S178" i="4"/>
  <c r="R178" i="4"/>
  <c r="Q178" i="4"/>
  <c r="P178" i="4"/>
  <c r="S177" i="4"/>
  <c r="R177" i="4"/>
  <c r="Q177" i="4"/>
  <c r="P177" i="4"/>
  <c r="S176" i="4"/>
  <c r="R176" i="4"/>
  <c r="Q176" i="4"/>
  <c r="P176" i="4"/>
  <c r="S175" i="4"/>
  <c r="R175" i="4"/>
  <c r="Q175" i="4"/>
  <c r="P175" i="4"/>
  <c r="S174" i="4"/>
  <c r="R174" i="4"/>
  <c r="Q174" i="4"/>
  <c r="P174" i="4"/>
  <c r="S173" i="4"/>
  <c r="R173" i="4"/>
  <c r="Q173" i="4"/>
  <c r="P173" i="4"/>
  <c r="S172" i="4"/>
  <c r="R172" i="4"/>
  <c r="Q172" i="4"/>
  <c r="P172" i="4"/>
  <c r="S171" i="4"/>
  <c r="R171" i="4"/>
  <c r="Q171" i="4"/>
  <c r="P171" i="4"/>
  <c r="S170" i="4"/>
  <c r="R170" i="4"/>
  <c r="Q170" i="4"/>
  <c r="P170" i="4"/>
  <c r="S169" i="4"/>
  <c r="R169" i="4"/>
  <c r="Q169" i="4"/>
  <c r="P169" i="4"/>
  <c r="S168" i="4"/>
  <c r="R168" i="4"/>
  <c r="Q168" i="4"/>
  <c r="P168" i="4"/>
  <c r="S167" i="4"/>
  <c r="R167" i="4"/>
  <c r="Q167" i="4"/>
  <c r="P167" i="4"/>
  <c r="S166" i="4"/>
  <c r="R166" i="4"/>
  <c r="Q166" i="4"/>
  <c r="P166" i="4"/>
  <c r="S165" i="4"/>
  <c r="R165" i="4"/>
  <c r="Q165" i="4"/>
  <c r="P165" i="4"/>
  <c r="S164" i="4"/>
  <c r="R164" i="4"/>
  <c r="Q164" i="4"/>
  <c r="P164" i="4"/>
  <c r="S163" i="4"/>
  <c r="R163" i="4"/>
  <c r="Q163" i="4"/>
  <c r="P163" i="4"/>
  <c r="S162" i="4"/>
  <c r="R162" i="4"/>
  <c r="Q162" i="4"/>
  <c r="P162" i="4"/>
  <c r="S161" i="4"/>
  <c r="R161" i="4"/>
  <c r="Q161" i="4"/>
  <c r="P161" i="4"/>
  <c r="S160" i="4"/>
  <c r="R160" i="4"/>
  <c r="Q160" i="4"/>
  <c r="P160" i="4"/>
  <c r="S159" i="4"/>
  <c r="R159" i="4"/>
  <c r="Q159" i="4"/>
  <c r="P159" i="4"/>
  <c r="S158" i="4"/>
  <c r="R158" i="4"/>
  <c r="Q158" i="4"/>
  <c r="P158" i="4"/>
  <c r="S157" i="4"/>
  <c r="R157" i="4"/>
  <c r="Q157" i="4"/>
  <c r="P157" i="4"/>
  <c r="S156" i="4"/>
  <c r="R156" i="4"/>
  <c r="Q156" i="4"/>
  <c r="P156" i="4"/>
  <c r="S155" i="4"/>
  <c r="R155" i="4"/>
  <c r="Q155" i="4"/>
  <c r="P155" i="4"/>
  <c r="S154" i="4"/>
  <c r="R154" i="4"/>
  <c r="Q154" i="4"/>
  <c r="P154" i="4"/>
  <c r="S153" i="4"/>
  <c r="R153" i="4"/>
  <c r="Q153" i="4"/>
  <c r="P153" i="4"/>
  <c r="S152" i="4"/>
  <c r="R152" i="4"/>
  <c r="Q152" i="4"/>
  <c r="P152" i="4"/>
  <c r="S151" i="4"/>
  <c r="R151" i="4"/>
  <c r="Q151" i="4"/>
  <c r="P151" i="4"/>
  <c r="S149" i="4"/>
  <c r="R149" i="4"/>
  <c r="Q149" i="4"/>
  <c r="P149" i="4"/>
  <c r="S148" i="4"/>
  <c r="R148" i="4"/>
  <c r="Q148" i="4"/>
  <c r="P148" i="4"/>
  <c r="S147" i="4"/>
  <c r="R147" i="4"/>
  <c r="Q147" i="4"/>
  <c r="P147" i="4"/>
  <c r="S146" i="4"/>
  <c r="R146" i="4"/>
  <c r="Q146" i="4"/>
  <c r="P146" i="4"/>
  <c r="S145" i="4"/>
  <c r="R145" i="4"/>
  <c r="Q145" i="4"/>
  <c r="P145" i="4"/>
  <c r="S144" i="4"/>
  <c r="R144" i="4"/>
  <c r="Q144" i="4"/>
  <c r="P144" i="4"/>
  <c r="S143" i="4"/>
  <c r="R143" i="4"/>
  <c r="Q143" i="4"/>
  <c r="P143" i="4"/>
  <c r="S142" i="4"/>
  <c r="R142" i="4"/>
  <c r="Q142" i="4"/>
  <c r="P142" i="4"/>
  <c r="S141" i="4"/>
  <c r="R141" i="4"/>
  <c r="Q141" i="4"/>
  <c r="P141" i="4"/>
  <c r="S140" i="4"/>
  <c r="R140" i="4"/>
  <c r="Q140" i="4"/>
  <c r="P140" i="4"/>
  <c r="S139" i="4"/>
  <c r="R139" i="4"/>
  <c r="Q139" i="4"/>
  <c r="P139" i="4"/>
  <c r="S138" i="4"/>
  <c r="R138" i="4"/>
  <c r="Q138" i="4"/>
  <c r="P138" i="4"/>
  <c r="S137" i="4"/>
  <c r="R137" i="4"/>
  <c r="Q137" i="4"/>
  <c r="P137" i="4"/>
  <c r="S136" i="4"/>
  <c r="R136" i="4"/>
  <c r="Q136" i="4"/>
  <c r="P136" i="4"/>
  <c r="S135" i="4"/>
  <c r="R135" i="4"/>
  <c r="Q135" i="4"/>
  <c r="P135" i="4"/>
  <c r="S134" i="4"/>
  <c r="R134" i="4"/>
  <c r="Q134" i="4"/>
  <c r="P134" i="4"/>
  <c r="S133" i="4"/>
  <c r="R133" i="4"/>
  <c r="Q133" i="4"/>
  <c r="P133" i="4"/>
  <c r="S132" i="4"/>
  <c r="R132" i="4"/>
  <c r="Q132" i="4"/>
  <c r="P132" i="4"/>
  <c r="S131" i="4"/>
  <c r="R131" i="4"/>
  <c r="Q131" i="4"/>
  <c r="P131" i="4"/>
  <c r="S130" i="4"/>
  <c r="R130" i="4"/>
  <c r="Q130" i="4"/>
  <c r="P130" i="4"/>
  <c r="S129" i="4"/>
  <c r="R129" i="4"/>
  <c r="Q129" i="4"/>
  <c r="P129" i="4"/>
  <c r="S128" i="4"/>
  <c r="R128" i="4"/>
  <c r="Q128" i="4"/>
  <c r="P128" i="4"/>
  <c r="S127" i="4"/>
  <c r="R127" i="4"/>
  <c r="Q127" i="4"/>
  <c r="P127" i="4"/>
  <c r="S126" i="4"/>
  <c r="R126" i="4"/>
  <c r="Q126" i="4"/>
  <c r="P126" i="4"/>
  <c r="S125" i="4"/>
  <c r="R125" i="4"/>
  <c r="Q125" i="4"/>
  <c r="P125" i="4"/>
  <c r="S124" i="4"/>
  <c r="R124" i="4"/>
  <c r="Q124" i="4"/>
  <c r="P124" i="4"/>
  <c r="S123" i="4"/>
  <c r="R123" i="4"/>
  <c r="Q123" i="4"/>
  <c r="P123" i="4"/>
  <c r="S122" i="4"/>
  <c r="R122" i="4"/>
  <c r="Q122" i="4"/>
  <c r="P122" i="4"/>
  <c r="S121" i="4"/>
  <c r="R121" i="4"/>
  <c r="Q121" i="4"/>
  <c r="P121" i="4"/>
  <c r="S120" i="4"/>
  <c r="R120" i="4"/>
  <c r="Q120" i="4"/>
  <c r="P120" i="4"/>
  <c r="S119" i="4"/>
  <c r="R119" i="4"/>
  <c r="Q119" i="4"/>
  <c r="P119" i="4"/>
  <c r="S118" i="4"/>
  <c r="R118" i="4"/>
  <c r="Q118" i="4"/>
  <c r="P118" i="4"/>
  <c r="S117" i="4"/>
  <c r="R117" i="4"/>
  <c r="Q117" i="4"/>
  <c r="P117" i="4"/>
  <c r="S116" i="4"/>
  <c r="R116" i="4"/>
  <c r="Q116" i="4"/>
  <c r="P116" i="4"/>
  <c r="S115" i="4"/>
  <c r="R115" i="4"/>
  <c r="Q115" i="4"/>
  <c r="P115" i="4"/>
  <c r="S114" i="4"/>
  <c r="R114" i="4"/>
  <c r="Q114" i="4"/>
  <c r="P114" i="4"/>
  <c r="S113" i="4"/>
  <c r="R113" i="4"/>
  <c r="Q113" i="4"/>
  <c r="P113" i="4"/>
  <c r="S112" i="4"/>
  <c r="R112" i="4"/>
  <c r="Q112" i="4"/>
  <c r="P112" i="4"/>
  <c r="S111" i="4"/>
  <c r="R111" i="4"/>
  <c r="Q111" i="4"/>
  <c r="P111" i="4"/>
  <c r="S110" i="4"/>
  <c r="R110" i="4"/>
  <c r="Q110" i="4"/>
  <c r="P110" i="4"/>
  <c r="S109" i="4"/>
  <c r="R109" i="4"/>
  <c r="Q109" i="4"/>
  <c r="P109" i="4"/>
  <c r="S108" i="4"/>
  <c r="R108" i="4"/>
  <c r="Q108" i="4"/>
  <c r="P108" i="4"/>
  <c r="S107" i="4"/>
  <c r="R107" i="4"/>
  <c r="Q107" i="4"/>
  <c r="P107" i="4"/>
  <c r="S105" i="4"/>
  <c r="R105" i="4"/>
  <c r="Q105" i="4"/>
  <c r="P105" i="4"/>
  <c r="S104" i="4"/>
  <c r="R104" i="4"/>
  <c r="Q104" i="4"/>
  <c r="P104" i="4"/>
  <c r="S103" i="4"/>
  <c r="R103" i="4"/>
  <c r="Q103" i="4"/>
  <c r="P103" i="4"/>
  <c r="S102" i="4"/>
  <c r="R102" i="4"/>
  <c r="Q102" i="4"/>
  <c r="P102" i="4"/>
  <c r="S101" i="4"/>
  <c r="R101" i="4"/>
  <c r="Q101" i="4"/>
  <c r="P101" i="4"/>
  <c r="S100" i="4"/>
  <c r="R100" i="4"/>
  <c r="Q100" i="4"/>
  <c r="P100" i="4"/>
  <c r="S99" i="4"/>
  <c r="R99" i="4"/>
  <c r="Q99" i="4"/>
  <c r="P99" i="4"/>
  <c r="S98" i="4"/>
  <c r="R98" i="4"/>
  <c r="Q98" i="4"/>
  <c r="P98" i="4"/>
  <c r="S97" i="4"/>
  <c r="R97" i="4"/>
  <c r="Q97" i="4"/>
  <c r="P97" i="4"/>
  <c r="S96" i="4"/>
  <c r="R96" i="4"/>
  <c r="Q96" i="4"/>
  <c r="P96" i="4"/>
  <c r="S95" i="4"/>
  <c r="R95" i="4"/>
  <c r="Q95" i="4"/>
  <c r="P95" i="4"/>
  <c r="S94" i="4"/>
  <c r="R94" i="4"/>
  <c r="Q94" i="4"/>
  <c r="P94" i="4"/>
  <c r="S93" i="4"/>
  <c r="R93" i="4"/>
  <c r="Q93" i="4"/>
  <c r="P93" i="4"/>
  <c r="S92" i="4"/>
  <c r="R92" i="4"/>
  <c r="Q92" i="4"/>
  <c r="P92" i="4"/>
  <c r="S91" i="4"/>
  <c r="R91" i="4"/>
  <c r="Q91" i="4"/>
  <c r="P91" i="4"/>
  <c r="S90" i="4"/>
  <c r="R90" i="4"/>
  <c r="Q90" i="4"/>
  <c r="P90" i="4"/>
  <c r="S89" i="4"/>
  <c r="R89" i="4"/>
  <c r="Q89" i="4"/>
  <c r="P89" i="4"/>
  <c r="S88" i="4"/>
  <c r="R88" i="4"/>
  <c r="Q88" i="4"/>
  <c r="P88" i="4"/>
  <c r="S87" i="4"/>
  <c r="R87" i="4"/>
  <c r="Q87" i="4"/>
  <c r="P87" i="4"/>
  <c r="S86" i="4"/>
  <c r="R86" i="4"/>
  <c r="Q86" i="4"/>
  <c r="P86" i="4"/>
  <c r="S85" i="4"/>
  <c r="R85" i="4"/>
  <c r="Q85" i="4"/>
  <c r="P85" i="4"/>
  <c r="S84" i="4"/>
  <c r="R84" i="4"/>
  <c r="Q84" i="4"/>
  <c r="P84" i="4"/>
  <c r="S83" i="4"/>
  <c r="R83" i="4"/>
  <c r="Q83" i="4"/>
  <c r="P83" i="4"/>
  <c r="S82" i="4"/>
  <c r="R82" i="4"/>
  <c r="Q82" i="4"/>
  <c r="P82" i="4"/>
  <c r="S81" i="4"/>
  <c r="R81" i="4"/>
  <c r="Q81" i="4"/>
  <c r="P81" i="4"/>
  <c r="S80" i="4"/>
  <c r="R80" i="4"/>
  <c r="Q80" i="4"/>
  <c r="P80" i="4"/>
  <c r="S79" i="4"/>
  <c r="R79" i="4"/>
  <c r="Q79" i="4"/>
  <c r="P79" i="4"/>
  <c r="S78" i="4"/>
  <c r="R78" i="4"/>
  <c r="Q78" i="4"/>
  <c r="P78" i="4"/>
  <c r="S77" i="4"/>
  <c r="R77" i="4"/>
  <c r="Q77" i="4"/>
  <c r="P77" i="4"/>
  <c r="S76" i="4"/>
  <c r="R76" i="4"/>
  <c r="Q76" i="4"/>
  <c r="P76" i="4"/>
  <c r="S75" i="4"/>
  <c r="R75" i="4"/>
  <c r="Q75" i="4"/>
  <c r="P75" i="4"/>
  <c r="S74" i="4"/>
  <c r="R74" i="4"/>
  <c r="Q74" i="4"/>
  <c r="P74" i="4"/>
  <c r="S73" i="4"/>
  <c r="R73" i="4"/>
  <c r="Q73" i="4"/>
  <c r="P73" i="4"/>
  <c r="S72" i="4"/>
  <c r="R72" i="4"/>
  <c r="Q72" i="4"/>
  <c r="P72" i="4"/>
  <c r="S71" i="4"/>
  <c r="R71" i="4"/>
  <c r="Q71" i="4"/>
  <c r="P71" i="4"/>
  <c r="S70" i="4"/>
  <c r="R70" i="4"/>
  <c r="Q70" i="4"/>
  <c r="P70" i="4"/>
  <c r="S69" i="4"/>
  <c r="R69" i="4"/>
  <c r="Q69" i="4"/>
  <c r="P69" i="4"/>
  <c r="S68" i="4"/>
  <c r="R68" i="4"/>
  <c r="Q68" i="4"/>
  <c r="P68" i="4"/>
  <c r="S67" i="4"/>
  <c r="R67" i="4"/>
  <c r="Q67" i="4"/>
  <c r="P67" i="4"/>
  <c r="S66" i="4"/>
  <c r="R66" i="4"/>
  <c r="Q66" i="4"/>
  <c r="P66" i="4"/>
  <c r="S65" i="4"/>
  <c r="R65" i="4"/>
  <c r="Q65" i="4"/>
  <c r="P65" i="4"/>
  <c r="S64" i="4"/>
  <c r="R64" i="4"/>
  <c r="Q64" i="4"/>
  <c r="P64" i="4"/>
  <c r="S63" i="4"/>
  <c r="R63" i="4"/>
  <c r="Q63" i="4"/>
  <c r="P63" i="4"/>
  <c r="Q62" i="4"/>
  <c r="P62" i="4"/>
  <c r="S61" i="4"/>
  <c r="R61" i="4"/>
  <c r="Q61" i="4"/>
  <c r="P61" i="4"/>
  <c r="S60" i="4"/>
  <c r="R60" i="4"/>
  <c r="Q60" i="4"/>
  <c r="P60" i="4"/>
  <c r="S59" i="4"/>
  <c r="R59" i="4"/>
  <c r="Q59" i="4"/>
  <c r="P59" i="4"/>
  <c r="S58" i="4"/>
  <c r="R58" i="4"/>
  <c r="Q58" i="4"/>
  <c r="P58" i="4"/>
  <c r="S57" i="4"/>
  <c r="R57" i="4"/>
  <c r="Q57" i="4"/>
  <c r="P57" i="4"/>
  <c r="S56" i="4"/>
  <c r="R56" i="4"/>
  <c r="Q56" i="4"/>
  <c r="P56" i="4"/>
  <c r="S55" i="4"/>
  <c r="R55" i="4"/>
  <c r="Q55" i="4"/>
  <c r="P55" i="4"/>
  <c r="S54" i="4"/>
  <c r="R54" i="4"/>
  <c r="Q54" i="4"/>
  <c r="P54" i="4"/>
  <c r="S53" i="4"/>
  <c r="R53" i="4"/>
  <c r="Q53" i="4"/>
  <c r="P53" i="4"/>
  <c r="S52" i="4"/>
  <c r="R52" i="4"/>
  <c r="Q52" i="4"/>
  <c r="P52" i="4"/>
  <c r="S51" i="4"/>
  <c r="R51" i="4"/>
  <c r="Q51" i="4"/>
  <c r="P51" i="4"/>
  <c r="S50" i="4"/>
  <c r="R50" i="4"/>
  <c r="Q50" i="4"/>
  <c r="P50" i="4"/>
  <c r="S49" i="4"/>
  <c r="R49" i="4"/>
  <c r="Q49" i="4"/>
  <c r="P49" i="4"/>
  <c r="S48" i="4"/>
  <c r="R48" i="4"/>
  <c r="Q48" i="4"/>
  <c r="P48" i="4"/>
  <c r="S47" i="4"/>
  <c r="R47" i="4"/>
  <c r="Q47" i="4"/>
  <c r="P47" i="4"/>
  <c r="S46" i="4"/>
  <c r="R46" i="4"/>
  <c r="Q46" i="4"/>
  <c r="P46" i="4"/>
  <c r="S45" i="4"/>
  <c r="R45" i="4"/>
  <c r="Q45" i="4"/>
  <c r="P45" i="4"/>
  <c r="S44" i="4"/>
  <c r="R44" i="4"/>
  <c r="Q44" i="4"/>
  <c r="P44" i="4"/>
  <c r="S43" i="4"/>
  <c r="R43" i="4"/>
  <c r="Q43" i="4"/>
  <c r="P43" i="4"/>
  <c r="S42" i="4"/>
  <c r="R42" i="4"/>
  <c r="Q42" i="4"/>
  <c r="P42" i="4"/>
  <c r="S41" i="4"/>
  <c r="R41" i="4"/>
  <c r="Q41" i="4"/>
  <c r="P41" i="4"/>
  <c r="S40" i="4"/>
  <c r="R40" i="4"/>
  <c r="Q40" i="4"/>
  <c r="P40" i="4"/>
  <c r="S39" i="4"/>
  <c r="R39" i="4"/>
  <c r="Q39" i="4"/>
  <c r="P39" i="4"/>
  <c r="S38" i="4"/>
  <c r="R38" i="4"/>
  <c r="Q38" i="4"/>
  <c r="P38" i="4"/>
  <c r="S37" i="4"/>
  <c r="R37" i="4"/>
  <c r="Q37" i="4"/>
  <c r="P37" i="4"/>
  <c r="S36" i="4"/>
  <c r="R36" i="4"/>
  <c r="Q36" i="4"/>
  <c r="P36" i="4"/>
  <c r="S35" i="4"/>
  <c r="R35" i="4"/>
  <c r="Q35" i="4"/>
  <c r="P35" i="4"/>
  <c r="S34" i="4"/>
  <c r="R34" i="4"/>
  <c r="Q34" i="4"/>
  <c r="P34" i="4"/>
  <c r="S33" i="4"/>
  <c r="R33" i="4"/>
  <c r="Q33" i="4"/>
  <c r="P33" i="4"/>
  <c r="S32" i="4"/>
  <c r="R32" i="4"/>
  <c r="Q32" i="4"/>
  <c r="P32" i="4"/>
  <c r="S31" i="4"/>
  <c r="R31" i="4"/>
  <c r="Q31" i="4"/>
  <c r="P31" i="4"/>
  <c r="S30" i="4"/>
  <c r="R30" i="4"/>
  <c r="Q30" i="4"/>
  <c r="P30" i="4"/>
  <c r="S29" i="4"/>
  <c r="R29" i="4"/>
  <c r="Q29" i="4"/>
  <c r="P29" i="4"/>
  <c r="S28" i="4"/>
  <c r="R28" i="4"/>
  <c r="Q28" i="4"/>
  <c r="P28" i="4"/>
  <c r="S27" i="4"/>
  <c r="R27" i="4"/>
  <c r="Q27" i="4"/>
  <c r="P27" i="4"/>
  <c r="S26" i="4"/>
  <c r="R26" i="4"/>
  <c r="Q26" i="4"/>
  <c r="P26" i="4"/>
  <c r="S25" i="4"/>
  <c r="R25" i="4"/>
  <c r="Q25" i="4"/>
  <c r="P25" i="4"/>
  <c r="S24" i="4"/>
  <c r="R24" i="4"/>
  <c r="Q24" i="4"/>
  <c r="P24" i="4"/>
  <c r="S23" i="4"/>
  <c r="R23" i="4"/>
  <c r="Q23" i="4"/>
  <c r="P23" i="4"/>
  <c r="S22" i="4"/>
  <c r="R22" i="4"/>
  <c r="Q22" i="4"/>
  <c r="P22" i="4"/>
  <c r="S21" i="4"/>
  <c r="R21" i="4"/>
  <c r="Q21" i="4"/>
  <c r="P21" i="4"/>
  <c r="S20" i="4"/>
  <c r="R20" i="4"/>
  <c r="Q20" i="4"/>
  <c r="P20" i="4"/>
  <c r="S19" i="4"/>
  <c r="R19" i="4"/>
  <c r="Q19" i="4"/>
  <c r="P19" i="4"/>
  <c r="R18" i="4"/>
  <c r="Q18" i="4"/>
  <c r="P18" i="4"/>
  <c r="S17" i="4"/>
  <c r="R17" i="4"/>
  <c r="Q17" i="4"/>
  <c r="P17" i="4"/>
  <c r="S16" i="4"/>
  <c r="R16" i="4"/>
  <c r="Q16" i="4"/>
  <c r="P16" i="4"/>
  <c r="S15" i="4"/>
  <c r="R15" i="4"/>
  <c r="Q15" i="4"/>
  <c r="P15" i="4"/>
  <c r="S14" i="4"/>
  <c r="R14" i="4"/>
  <c r="Q14" i="4"/>
  <c r="P14" i="4"/>
  <c r="S13" i="4"/>
  <c r="R13" i="4"/>
  <c r="Q13" i="4"/>
  <c r="P13" i="4"/>
  <c r="S12" i="4"/>
  <c r="R12" i="4"/>
  <c r="Q12" i="4"/>
  <c r="P12" i="4"/>
  <c r="S11" i="4"/>
  <c r="R11" i="4"/>
  <c r="Q11" i="4"/>
  <c r="P11" i="4"/>
  <c r="S10" i="4"/>
  <c r="R10" i="4"/>
  <c r="Q10" i="4"/>
  <c r="P10" i="4"/>
  <c r="S9" i="4"/>
  <c r="R9" i="4"/>
  <c r="Q9" i="4"/>
  <c r="P9" i="4"/>
  <c r="S8" i="4"/>
  <c r="R8" i="4"/>
  <c r="Q8" i="4"/>
  <c r="P8" i="4"/>
  <c r="S7" i="4"/>
  <c r="R7" i="4"/>
  <c r="Q7" i="4"/>
  <c r="P7" i="4"/>
  <c r="S6" i="4"/>
  <c r="R6" i="4"/>
  <c r="Q6" i="4"/>
  <c r="P6" i="4"/>
  <c r="S5" i="4"/>
  <c r="R5" i="4"/>
  <c r="Q5" i="4"/>
  <c r="P5" i="4"/>
  <c r="S4" i="4"/>
  <c r="R4" i="4"/>
  <c r="Q4" i="4"/>
  <c r="P4" i="4"/>
  <c r="S3" i="4"/>
  <c r="R3" i="4"/>
  <c r="Q3" i="4"/>
  <c r="P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<sst xmlns="http://schemas.openxmlformats.org/spreadsheetml/2006/main" count="2166" uniqueCount="276">
  <si>
    <t>GDM REPORT DELIVERY TRACKER</t>
  </si>
  <si>
    <t>THE TWO TABS</t>
  </si>
  <si>
    <t>Combined Delivery Data = what is true RIGHT NOW. One row per report, latest dates only - built for a 10-second executive read.
Rework Log = everything that ever went wrong. One row per bounce-back, kept forever. AMBER columns belong to the sender, BLUE to the fixer, PURPLE is automatic.</t>
  </si>
  <si>
    <t>COLORS</t>
  </si>
  <si>
    <t>RED = needs action now (blocked, overdue, late, unclaimed, or a red instruction in Data Check).
AMBER = open or waiting.   GREEN = good.   If nothing is red on your rows, you owe nothing.</t>
  </si>
  <si>
    <t>NORMAL DAY - A STAGE FINISHES</t>
  </si>
  <si>
    <t>Two cells on Combined Delivery Data: your stage's Actual Completion Date, and Current Status to the next stage. Done.</t>
  </si>
  <si>
    <t>SOMETHING IS WRONG - SENDER (usually QA), about 30 seconds</t>
  </si>
  <si>
    <t>1. Main tab: Blocked? -&gt; "Yes - needs [stage] to fix", and Current Status -&gt; back to that stage
2. Rework Log, the AMBER columns of one new row: report (dropdown), Ctrl+; for today, From/To stage, your name, what was wrong
You never touch completion dates. The row now shows UNCLAIMED in red until the fixer commits.</t>
  </si>
  <si>
    <t>THE FIXER - AT PICKUP (two cells, both yours)</t>
  </si>
  <si>
    <t>1. Expected Fix Date: your promise. The main tab instantly shows everyone "Blocked - needs DB Dev to fix - promised 8/5", and your row starts counting "N d LATE" if you miss it
2. CUT your old completion date from the main tab, PASTE it into "First Completed On" - one motion. History saved forever; the main tab correctly shows no completion date while you redo the work. A red note in Data Check reminds you until it's done.</t>
  </si>
  <si>
    <t>THE FIXER - WHEN DONE</t>
  </si>
  <si>
    <t>1. Same row: Date Fixed (Ctrl+;), your name, what was fixed, Resolved? = Yes - the row turns green
2. Main tab: type the NEW completion date into the empty cell, set Blocked? -&gt; No. Everything red clears itself.</t>
  </si>
  <si>
    <t>WHAT NEVER GETS LOST</t>
  </si>
  <si>
    <t>Original target dates: never overwritten, always on the main tab.  First-time completion dates: "First Completed On" on the Rework Log, forever.  Every redo completion: Date Fixed.  Start dates: each stage starts when the previous one completes - and completions are moved (never deleted), so nothing disappears.  The main tab always shows only the LATEST truth.</t>
  </si>
  <si>
    <t>SPECIAL CASES - ONE LINE EACH</t>
  </si>
  <si>
    <t>Bounces again -&gt; repeat the moments; a NEW row each time.
Several small defects, one bounce -&gt; ONE row, list them in What Was Wrong. Separate rows only when fixes go to different stages (then point Blocked? at the earliest).
Bug found AFTER release -&gt; same moments; Confirmed Deployed stays Yes, update its date after redeploy.
Fixer needs more time -&gt; overwrite your Expected Fix Date.
"Not a bug" -&gt; close the row: What Was Fixed = "No change needed - working as designed".
Logged by mistake -&gt; delete the row, set Blocked? back to No. The sheet self-corrects.
Cancelled mid-fix -&gt; close the row with "Cancelled - descoped".
Told verbally, nothing entered -&gt; it did not happen. The Blocked? flip IS the send-back.</t>
  </si>
  <si>
    <t>THE SHEET POLICES ITSELF</t>
  </si>
  <si>
    <t>Blocked but not logged -&gt; red "Blocked - log it on Rework Log".   Picked up but old completion date still on main tab -&gt; red "Move old [stage] completion date...".   Row open but not marked blocked -&gt; red instruction.   Missing sent-back date -&gt; red in Aging.   Duplicates and impossible date orders -&gt; flagged. Hover any dropdown for guidance.</t>
  </si>
  <si>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</si>
  <si>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</si>
  <si>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</si>
  <si>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</si>
  <si>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</si>
  <si>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</si>
  <si>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</si>
  <si>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</si>
  <si>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</si>
  <si>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</si>
  <si>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</si>
  <si>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</si>
  <si>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Expected Completion Date</t>
  </si>
  <si>
    <t>DB Dev Estimated Completion Date</t>
  </si>
  <si>
    <t>DB Dev Actual Completion Date</t>
  </si>
  <si>
    <t>PBI Dev Expected Completion Date</t>
  </si>
  <si>
    <t>PBI Dev Estimted Completion Date</t>
  </si>
  <si>
    <t>PBI Dev Actual Completion Date</t>
  </si>
  <si>
    <t>QA Expected Completion Date</t>
  </si>
  <si>
    <t>QA Estimated Completion Date</t>
  </si>
  <si>
    <t>QA Actual Completion Date</t>
  </si>
  <si>
    <t>DPO Approval Expected Completion Date</t>
  </si>
  <si>
    <t>DPO Approval Estimated complition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</si>
  <si>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</si>
  <si>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</si>
  <si>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</si>
  <si>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</si>
  <si>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</si>
  <si>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</si>
  <si>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</si>
  <si>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</si>
  <si>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</si>
  <si>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</si>
  <si>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</si>
  <si>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</si>
  <si>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</si>
  <si>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</si>
  <si>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</si>
  <si>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</si>
  <si>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</si>
  <si>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</si>
  <si>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</si>
  <si>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</si>
  <si>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</si>
  <si>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</si>
  <si>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</si>
  <si>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</si>
  <si>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</si>
  <si>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</si>
  <si>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</si>
  <si>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</si>
  <si>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</si>
  <si>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</si>
  <si>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</si>
  <si>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</si>
  <si>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</si>
  <si>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</si>
  <si>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</si>
  <si>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</si>
  <si>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</si>
  <si>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</si>
  <si>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</si>
  <si>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</si>
  <si>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</si>
  <si>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</si>
  <si>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</si>
  <si>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</si>
  <si>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</si>
  <si>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</si>
  <si>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</si>
  <si>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</si>
  <si>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</si>
  <si>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</si>
  <si>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</si>
  <si>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</si>
  <si>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</si>
  <si>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</si>
  <si>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</si>
  <si>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</si>
  <si>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</si>
  <si>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</si>
  <si>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</si>
  <si>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</si>
  <si>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</si>
  <si>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</si>
  <si>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</si>
  <si>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</si>
  <si>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</si>
  <si>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</si>
  <si>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</si>
  <si>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</si>
  <si>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</si>
  <si>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</si>
  <si>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</si>
  <si>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</si>
  <si>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</si>
  <si>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</si>
  <si>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</si>
  <si>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</si>
  <si>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</si>
  <si>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</si>
  <si>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</si>
  <si>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</si>
  <si>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</si>
  <si>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</si>
  <si>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</si>
  <si>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</si>
  <si>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</si>
  <si>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</si>
  <si>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</si>
  <si>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</si>
  <si>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</si>
  <si>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</si>
  <si>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</si>
  <si>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</si>
  <si>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</si>
  <si>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</si>
  <si>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</si>
  <si>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</si>
  <si>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</si>
  <si>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</si>
  <si>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</si>
  <si>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</si>
  <si>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</si>
  <si>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</si>
  <si>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</si>
  <si>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</si>
  <si>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</si>
  <si>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</si>
  <si>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</si>
  <si>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</si>
  <si>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</si>
  <si>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Yes – needs PBI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</si>
  <si>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</si>
  <si>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</si>
  <si>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</si>
  <si>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</si>
  <si>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</si>
  <si>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</si>
  <si>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</si>
  <si>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</si>
  <si>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</si>
  <si>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</si>
  <si>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</si>
  <si>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</si>
  <si>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DB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</si>
  <si>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</si>
  <si>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</si>
  <si>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</si>
  <si>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</si>
  <si>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</si>
  <si>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</si>
  <si>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</si>
  <si>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</si>
  <si>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</si>
  <si>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</si>
  <si>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</si>
  <si>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</si>
  <si>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</si>
  <si>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</si>
  <si>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</si>
  <si>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</si>
  <si>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</si>
  <si>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</si>
  <si>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</si>
  <si>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</si>
  <si>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</si>
  <si>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</si>
  <si>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</si>
  <si>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</si>
  <si>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</si>
  <si>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</si>
  <si>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</si>
  <si>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</si>
  <si>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</si>
  <si>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</si>
  <si>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</si>
  <si>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</si>
  <si>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</si>
  <si>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</si>
  <si>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</si>
  <si>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</si>
  <si>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</si>
  <si>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</si>
  <si>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</si>
  <si>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</si>
  <si>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</si>
  <si>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</si>
  <si>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</si>
  <si>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</si>
  <si>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</si>
  <si>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</si>
  <si>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</si>
  <si>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</si>
  <si>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</si>
  <si>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</si>
  <si>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</si>
  <si>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</si>
  <si>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</si>
  <si>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</si>
  <si>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</si>
  <si>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</si>
  <si>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</si>
  <si>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</si>
  <si>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</si>
  <si>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</si>
  <si>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</si>
  <si>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</si>
  <si>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</si>
  <si>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</si>
  <si>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</si>
  <si>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</si>
  <si>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</si>
  <si>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</si>
  <si>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</si>
  <si>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</si>
  <si>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</si>
  <si>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</si>
  <si>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</si>
  <si>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</si>
  <si>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</si>
  <si>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</si>
  <si>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</si>
  <si>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</si>
  <si>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</si>
  <si>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</si>
  <si>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</si>
  <si>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</si>
  <si>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</si>
  <si>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</si>
  <si>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</si>
  <si>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PBI Dev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</si>
  <si>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</si>
  <si>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</si>
  <si>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</si>
  <si>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</si>
  <si>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</si>
  <si>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</si>
  <si>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</si>
  <si>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</si>
  <si>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</si>
  <si>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</si>
  <si>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</si>
  <si>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</si>
  <si>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</si>
  <si>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</si>
  <si>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</si>
  <si>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</si>
  <si>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</si>
  <si>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</si>
  <si>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</si>
  <si>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</si>
  <si>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</si>
  <si>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Yes – other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</si>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</sst>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</font>
    <font>
      <sz val="11"/>
      <name val="Calibri"/>
    </font>
    <font>
      <b/>
      <sz val="11"/>
      <name val="Calibri"/>
    </font>
    <font>
      <i/>
      <sz val="9"/>
      <name val="Calibri"/>
    </font>
    <font>
      <i/>
      <sz val="10"/>
      <color rgb="FF7B241C"/>
      <name val="Calibri"/>
    </font>
    <font>
      <i/>
      <sz val="10"/>
      <color rgb="FF1F4E78"/>
      <name val="Calibri"/>
    </font>
    <font>
      <sz val="12"/>
      <name val="Calibri"/>
    </font>
    <font>
      <b/>
      <sz val="16"/>
      <color rgb="FFFFFFFF"/>
      <name val="Calibri"/>
    </font>
    <font>
      <b/>
      <sz val="12"/>
      <color rgb="FFFFFFFF"/>
      <name val="Calibri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2" fillId="0" borderId="0" xfId="0" applyFont="1"/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0" fontId="12" fillId="0" borderId="13" xfId="0" applyFont="1" applyBorder="1"/>
    <xf numFmtId="0" fontId="13" fillId="0" borderId="1" xfId="0" applyFont="1" applyBorder="1"/>
    <xf numFmtId="0" fontId="13" fillId="0" borderId="0" xfId="0" applyFont="1"/>
    <xf numFmtId="14" fontId="0" fillId="0" borderId="0" xfId="0" applyNumberFormat="1"/>
    <xf numFmtId="0" fontId="14" fillId="0" borderId="0" xfId="0" applyFont="1"/>
    <xf numFmtId="0" fontId="18" fillId="4" borderId="0" xfId="0" applyFont="1" applyFill="1"/>
    <xf numFmtId="0" fontId="19" fillId="4" borderId="0" xfId="0" applyFont="1" applyFill="1"/>
    <xf numFmtId="0" fontId="12" fillId="0" borderId="0" xfId="0" applyFont="1" applyAlignment="1">
      <alignment vertical="top" wrapText="1"/>
    </xf>
    <xf numFmtId="0" fontId="19" fillId="11" borderId="0" xfId="0" applyFont="1" applyFill="1"/>
    <xf numFmtId="0" fontId="19" fillId="13" borderId="0" xfId="0" applyFont="1" applyFill="1"/>
    <xf numFmtId="0" fontId="19" fillId="9" borderId="0" xfId="0" applyFont="1" applyFill="1"/>
    <xf numFmtId="0" fontId="0" fillId="4" borderId="0" xfId="0" applyFill="1"/>
    <xf numFmtId="0" fontId="0" fillId="11" borderId="0" xfId="0" applyFill="1"/>
    <xf numFmtId="0" fontId="0" fillId="9" borderId="0" xfId="0" applyFill="1"/>
    <xf numFmtId="0" fontId="0" fillId="16" borderId="0" xfId="0" applyFill="1"/>
    <xf numFmtId="0" fontId="19" fillId="16" borderId="0" xfId="0" applyFont="1" applyFill="1"/>
    <xf numFmtId="0" fontId="0" fillId="13" borderId="0" xfId="0" applyFill="1"/>
    <xf numFmtId="0" fontId="11" fillId="16" borderId="0" xfId="0" applyFont="1" applyFill="1" applyAlignment="1">
      <alignment vertical="center" wrapText="1"/>
    </xf>
    <xf numFmtId="0" fontId="12" fillId="0" borderId="0" xfId="0" applyFont="1" applyProtection="1">
      <protection locked="0"/>
    </xf>
    <xf numFmtId="0" fontId="12" fillId="0" borderId="4" xfId="0" applyFont="1" applyBorder="1" applyProtection="1">
      <protection locked="0"/>
    </xf>
    <xf numFmtId="14" fontId="12" fillId="0" borderId="5" xfId="0" applyNumberFormat="1" applyFont="1" applyBorder="1" applyProtection="1">
      <protection locked="0"/>
    </xf>
    <xf numFmtId="14" fontId="12" fillId="0" borderId="6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4" fontId="12" fillId="0" borderId="7" xfId="0" applyNumberFormat="1" applyFont="1" applyBorder="1" applyProtection="1">
      <protection locked="0"/>
    </xf>
    <xf numFmtId="14" fontId="12" fillId="0" borderId="8" xfId="0" applyNumberFormat="1" applyFont="1" applyBorder="1" applyProtection="1">
      <protection locked="0"/>
    </xf>
    <xf numFmtId="14" fontId="12" fillId="0" borderId="9" xfId="0" applyNumberFormat="1" applyFont="1" applyBorder="1" applyProtection="1">
      <protection locked="0"/>
    </xf>
    <xf numFmtId="0" fontId="12" fillId="0" borderId="10" xfId="0" applyFont="1" applyBorder="1" applyProtection="1">
      <protection locked="0"/>
    </xf>
    <xf numFmtId="0" fontId="12" fillId="0" borderId="11" xfId="0" applyFont="1" applyBorder="1" applyProtection="1">
      <protection locked="0"/>
    </xf>
    <xf numFmtId="0" fontId="12" fillId="0" borderId="12" xfId="0" applyFont="1" applyBorder="1" applyProtection="1">
      <protection locked="0"/>
    </xf>
    <xf numFmtId="0" fontId="12" fillId="0" borderId="14" xfId="0" applyFont="1" applyBorder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20" fillId="0" borderId="0" xfId="0" applyNumberFormat="1" applyFont="1" applyProtection="1">
      <protection locked="0"/>
    </xf>
    <xf numFmtId="14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7" fillId="0" borderId="0" xfId="0" applyFont="1" applyAlignment="1"/>
    <xf numFmtId="0" fontId="16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1">
    <cellStyle name="Normal" xfId="0" builtinId="0"/>
  </cellStyles>
  <dxfs count="4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73">
  <autoFilter ref="A1:AE73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Expected Completion Date"/>
    <tableColumn id="30" xr3:uid="{00000000-0010-0000-0000-00001E000000}" name="DB Dev Estimated Completion Date" dataDxfId="15"/>
    <tableColumn id="14" xr3:uid="{00000000-0010-0000-0000-00000E000000}" name="DB Dev Actual Completion Date"/>
    <tableColumn id="15" xr3:uid="{00000000-0010-0000-0000-00000F000000}" name="PBI Dev Expected Completion Date"/>
    <tableColumn id="31" xr3:uid="{00000000-0010-0000-0000-00001F000000}" name="PBI Dev Estimted Completion Date" dataDxfId="14"/>
    <tableColumn id="16" xr3:uid="{00000000-0010-0000-0000-000010000000}" name="PBI Dev Actual Completion Date"/>
    <tableColumn id="17" xr3:uid="{00000000-0010-0000-0000-000011000000}" name="QA Expected Completion Date"/>
    <tableColumn id="32" xr3:uid="{00000000-0010-0000-0000-000020000000}" name="QA Estimated Completion Date" dataDxfId="13"/>
    <tableColumn id="18" xr3:uid="{00000000-0010-0000-0000-000012000000}" name="QA Actual Completion Date"/>
    <tableColumn id="19" xr3:uid="{00000000-0010-0000-0000-000013000000}" name="DPO Approval Expected Completion Date"/>
    <tableColumn id="33" xr3:uid="{00000000-0010-0000-0000-000021000000}" name="DPO Approval Estimated compli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28"/>
  <sheetViews>
    <sheetView showGridLines="0" topLeftCell="A13" workbookViewId="0"/>
  </sheetViews>
  <sheetFormatPr defaultRowHeight="15"/>
  <cols>
    <col min="1" max="1" width="3" customWidth="1"/>
    <col min="2" max="2" width="116" customWidth="1"/>
  </cols>
  <sheetData>
    <row r="1" spans="1:2" ht="27.95" customHeight="1">
      <c r="A1" s="46"/>
      <c r="B1" s="40" t="s">
        <v>0</v>
      </c>
    </row>
    <row r="2" spans="1:2" ht="8.1" customHeight="1"/>
    <row r="3" spans="1:2" ht="20.100000000000001" customHeight="1">
      <c r="A3" s="46"/>
      <c r="B3" s="41" t="s">
        <v>1</v>
      </c>
    </row>
    <row r="4" spans="1:2" ht="48" customHeight="1">
      <c r="A4" s="46"/>
      <c r="B4" s="42" t="s">
        <v>2</v>
      </c>
    </row>
    <row r="5" spans="1:2" ht="8.1" customHeight="1"/>
    <row r="6" spans="1:2" ht="20.100000000000001" customHeight="1">
      <c r="A6" s="46"/>
      <c r="B6" s="41" t="s">
        <v>3</v>
      </c>
    </row>
    <row r="7" spans="1:2" ht="33.950000000000003" customHeight="1">
      <c r="A7" s="46"/>
      <c r="B7" s="42" t="s">
        <v>4</v>
      </c>
    </row>
    <row r="8" spans="1:2" ht="8.1" customHeight="1"/>
    <row r="9" spans="1:2" ht="20.100000000000001" customHeight="1">
      <c r="A9" s="47"/>
      <c r="B9" s="43" t="s">
        <v>5</v>
      </c>
    </row>
    <row r="10" spans="1:2" ht="20.100000000000001" customHeight="1">
      <c r="A10" s="47"/>
      <c r="B10" s="42" t="s">
        <v>6</v>
      </c>
    </row>
    <row r="11" spans="1:2" ht="8.1" customHeight="1"/>
    <row r="12" spans="1:2" ht="20.100000000000001" customHeight="1">
      <c r="A12" s="48"/>
      <c r="B12" s="45" t="s">
        <v>7</v>
      </c>
    </row>
    <row r="13" spans="1:2" ht="63.95" customHeight="1">
      <c r="A13" s="48"/>
      <c r="B13" s="42" t="s">
        <v>8</v>
      </c>
    </row>
    <row r="14" spans="1:2" ht="8.1" customHeight="1"/>
    <row r="15" spans="1:2" ht="20.100000000000001" customHeight="1">
      <c r="A15" s="49"/>
      <c r="B15" s="50" t="s">
        <v>9</v>
      </c>
    </row>
    <row r="16" spans="1:2" ht="80.099999999999994" customHeight="1">
      <c r="A16" s="49"/>
      <c r="B16" s="42" t="s">
        <v>10</v>
      </c>
    </row>
    <row r="17" spans="1:2" ht="8.1" customHeight="1"/>
    <row r="18" spans="1:2" ht="20.100000000000001" customHeight="1">
      <c r="A18" s="49"/>
      <c r="B18" s="50" t="s">
        <v>11</v>
      </c>
    </row>
    <row r="19" spans="1:2" ht="39.950000000000003" customHeight="1">
      <c r="A19" s="49"/>
      <c r="B19" s="42" t="s">
        <v>12</v>
      </c>
    </row>
    <row r="20" spans="1:2" ht="8.1" customHeight="1"/>
    <row r="21" spans="1:2" ht="20.100000000000001" customHeight="1">
      <c r="A21" s="46"/>
      <c r="B21" s="41" t="s">
        <v>13</v>
      </c>
    </row>
    <row r="22" spans="1:2" ht="62.1" customHeight="1">
      <c r="A22" s="46"/>
      <c r="B22" s="42" t="s">
        <v>14</v>
      </c>
    </row>
    <row r="23" spans="1:2" ht="8.1" customHeight="1"/>
    <row r="24" spans="1:2" ht="20.100000000000001" customHeight="1">
      <c r="A24" s="51"/>
      <c r="B24" s="44" t="s">
        <v>15</v>
      </c>
    </row>
    <row r="25" spans="1:2" ht="126" customHeight="1">
      <c r="A25" s="51"/>
      <c r="B25" s="42" t="s">
        <v>16</v>
      </c>
    </row>
    <row r="26" spans="1:2" ht="8.1" customHeight="1"/>
    <row r="27" spans="1:2" ht="20.100000000000001" customHeight="1">
      <c r="A27" s="46"/>
      <c r="B27" s="41" t="s">
        <v>17</v>
      </c>
    </row>
    <row r="28" spans="1:2" ht="48" customHeight="1">
      <c r="A28" s="46"/>
      <c r="B28" s="4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500"/>
  <sheetViews>
    <sheetView tabSelected="1" workbookViewId="0">
      <pane xSplit="2" ySplit="1" topLeftCell="H2" activePane="bottomRight" state="frozen"/>
      <selection pane="bottomRight" activeCell="B15" sqref="B15"/>
      <selection pane="bottomLeft"/>
      <selection pane="topRight"/>
    </sheetView>
  </sheetViews>
  <sheetFormatPr defaultRowHeight="1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>
      <c r="A1" s="13" t="s">
        <v>19</v>
      </c>
      <c r="B1" s="13" t="s">
        <v>20</v>
      </c>
      <c r="C1" s="13" t="s">
        <v>21</v>
      </c>
      <c r="D1" s="13" t="s">
        <v>22</v>
      </c>
      <c r="E1" s="13" t="s">
        <v>23</v>
      </c>
      <c r="F1" s="24" t="s">
        <v>24</v>
      </c>
      <c r="G1" s="14" t="s">
        <v>25</v>
      </c>
      <c r="H1" s="14" t="s">
        <v>26</v>
      </c>
      <c r="I1" s="14" t="s">
        <v>27</v>
      </c>
      <c r="J1" s="14" t="s">
        <v>28</v>
      </c>
      <c r="K1" s="25" t="s">
        <v>29</v>
      </c>
      <c r="L1" s="15" t="s">
        <v>30</v>
      </c>
      <c r="M1" s="26" t="s">
        <v>31</v>
      </c>
      <c r="N1" s="16" t="s">
        <v>32</v>
      </c>
      <c r="O1" s="16" t="s">
        <v>33</v>
      </c>
      <c r="P1" s="27" t="s">
        <v>34</v>
      </c>
      <c r="Q1" s="17" t="s">
        <v>35</v>
      </c>
      <c r="R1" s="17" t="s">
        <v>36</v>
      </c>
      <c r="S1" s="28" t="s">
        <v>37</v>
      </c>
      <c r="T1" s="18" t="s">
        <v>38</v>
      </c>
      <c r="U1" s="18" t="s">
        <v>39</v>
      </c>
      <c r="V1" s="29" t="s">
        <v>40</v>
      </c>
      <c r="W1" s="19" t="s">
        <v>41</v>
      </c>
      <c r="X1" s="19" t="s">
        <v>42</v>
      </c>
      <c r="Y1" s="30" t="s">
        <v>43</v>
      </c>
      <c r="Z1" s="20" t="s">
        <v>44</v>
      </c>
      <c r="AA1" s="31" t="s">
        <v>45</v>
      </c>
      <c r="AB1" s="21" t="s">
        <v>46</v>
      </c>
      <c r="AC1" s="32" t="s">
        <v>47</v>
      </c>
      <c r="AD1" s="33" t="s">
        <v>48</v>
      </c>
      <c r="AE1" s="34" t="s">
        <v>49</v>
      </c>
    </row>
    <row r="2" spans="1:31">
      <c r="A2" s="53" t="s">
        <v>50</v>
      </c>
      <c r="B2" s="53" t="s">
        <v>51</v>
      </c>
      <c r="C2" s="53" t="s">
        <v>52</v>
      </c>
      <c r="D2" s="2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53">
        <v>1</v>
      </c>
      <c r="F2" s="54"/>
      <c r="G2" s="53" t="s">
        <v>53</v>
      </c>
      <c r="H2" s="53" t="s">
        <v>54</v>
      </c>
      <c r="I2" s="53" t="s">
        <v>55</v>
      </c>
      <c r="J2" s="53"/>
      <c r="K2" s="55">
        <v>46142</v>
      </c>
      <c r="L2" s="53" t="s">
        <v>56</v>
      </c>
      <c r="M2" s="56">
        <v>46115</v>
      </c>
      <c r="N2" s="57"/>
      <c r="O2" s="57">
        <v>46115</v>
      </c>
      <c r="P2" s="58">
        <v>46114</v>
      </c>
      <c r="Q2" s="57"/>
      <c r="R2" s="57">
        <v>46114</v>
      </c>
      <c r="S2" s="59">
        <v>46122</v>
      </c>
      <c r="T2" s="57"/>
      <c r="U2" s="57">
        <v>46122</v>
      </c>
      <c r="V2" s="60"/>
      <c r="W2" s="57"/>
      <c r="X2" s="53" t="s">
        <v>57</v>
      </c>
      <c r="Y2" s="61" t="s">
        <v>58</v>
      </c>
      <c r="Z2" s="57">
        <v>46122</v>
      </c>
      <c r="AA2" s="62" t="s">
        <v>59</v>
      </c>
      <c r="AB2" s="53" t="s">
        <v>60</v>
      </c>
      <c r="AC2" s="63" t="s">
        <v>61</v>
      </c>
      <c r="AD2" s="35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H)",IF(COUNTIF($B$2:$B$500,$B2)&gt;1,"Duplicate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64" t="s">
        <v>62</v>
      </c>
    </row>
    <row r="3" spans="1:31">
      <c r="A3" s="53" t="s">
        <v>50</v>
      </c>
      <c r="B3" s="53" t="s">
        <v>63</v>
      </c>
      <c r="C3" s="53" t="s">
        <v>52</v>
      </c>
      <c r="D3" s="2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53">
        <v>2</v>
      </c>
      <c r="F3" s="54"/>
      <c r="G3" s="53" t="s">
        <v>53</v>
      </c>
      <c r="H3" s="53" t="s">
        <v>54</v>
      </c>
      <c r="I3" s="53" t="s">
        <v>55</v>
      </c>
      <c r="J3" s="53"/>
      <c r="K3" s="55">
        <v>46142</v>
      </c>
      <c r="L3" s="53" t="s">
        <v>56</v>
      </c>
      <c r="M3" s="56">
        <v>46115</v>
      </c>
      <c r="N3" s="57"/>
      <c r="O3" s="57">
        <v>46115</v>
      </c>
      <c r="P3" s="58">
        <v>46114</v>
      </c>
      <c r="Q3" s="57"/>
      <c r="R3" s="57">
        <v>46114</v>
      </c>
      <c r="S3" s="59">
        <v>46122</v>
      </c>
      <c r="T3" s="57"/>
      <c r="U3" s="57">
        <v>46122</v>
      </c>
      <c r="V3" s="60"/>
      <c r="W3" s="57"/>
      <c r="X3" s="53" t="s">
        <v>57</v>
      </c>
      <c r="Y3" s="61" t="s">
        <v>58</v>
      </c>
      <c r="Z3" s="57">
        <v>46122</v>
      </c>
      <c r="AA3" s="62" t="s">
        <v>64</v>
      </c>
      <c r="AB3" s="53" t="s">
        <v>65</v>
      </c>
      <c r="AC3" s="63" t="s">
        <v>61</v>
      </c>
      <c r="AD3" s="35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H)",IF(COUNTIF($B$2:$B$500,$B3)&gt;1,"Duplicate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64" t="s">
        <v>62</v>
      </c>
    </row>
    <row r="4" spans="1:31">
      <c r="A4" s="53" t="s">
        <v>50</v>
      </c>
      <c r="B4" s="53" t="s">
        <v>66</v>
      </c>
      <c r="C4" s="53" t="s">
        <v>52</v>
      </c>
      <c r="D4" s="2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53">
        <v>4</v>
      </c>
      <c r="F4" s="54"/>
      <c r="G4" s="53" t="s">
        <v>67</v>
      </c>
      <c r="H4" s="53" t="s">
        <v>54</v>
      </c>
      <c r="I4" s="53" t="s">
        <v>55</v>
      </c>
      <c r="J4" s="53"/>
      <c r="K4" s="55">
        <v>46142</v>
      </c>
      <c r="L4" s="53" t="s">
        <v>56</v>
      </c>
      <c r="M4" s="56">
        <v>46115</v>
      </c>
      <c r="N4" s="57"/>
      <c r="O4" s="57">
        <v>46115</v>
      </c>
      <c r="P4" s="58">
        <v>46120</v>
      </c>
      <c r="Q4" s="57"/>
      <c r="R4" s="57">
        <v>46120</v>
      </c>
      <c r="S4" s="59">
        <v>46122</v>
      </c>
      <c r="T4" s="57"/>
      <c r="U4" s="57">
        <v>46122</v>
      </c>
      <c r="V4" s="60"/>
      <c r="W4" s="57"/>
      <c r="X4" s="53" t="s">
        <v>57</v>
      </c>
      <c r="Y4" s="61" t="s">
        <v>58</v>
      </c>
      <c r="Z4" s="57">
        <v>46122</v>
      </c>
      <c r="AA4" s="62"/>
      <c r="AB4" s="53"/>
      <c r="AC4" s="63" t="s">
        <v>61</v>
      </c>
      <c r="AD4" s="35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H)",IF(COUNTIF($B$2:$B$500,$B4)&gt;1,"Duplicate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64"/>
    </row>
    <row r="5" spans="1:31">
      <c r="A5" s="53" t="s">
        <v>50</v>
      </c>
      <c r="B5" s="53" t="s">
        <v>68</v>
      </c>
      <c r="C5" s="53" t="s">
        <v>52</v>
      </c>
      <c r="D5" s="2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53">
        <v>5</v>
      </c>
      <c r="F5" s="54"/>
      <c r="G5" s="53" t="s">
        <v>69</v>
      </c>
      <c r="H5" s="53" t="s">
        <v>70</v>
      </c>
      <c r="I5" s="53" t="s">
        <v>55</v>
      </c>
      <c r="J5" s="53"/>
      <c r="K5" s="55">
        <v>46142</v>
      </c>
      <c r="L5" s="53" t="s">
        <v>56</v>
      </c>
      <c r="M5" s="56">
        <v>46115</v>
      </c>
      <c r="N5" s="57"/>
      <c r="O5" s="57">
        <v>46115</v>
      </c>
      <c r="P5" s="58">
        <v>46126</v>
      </c>
      <c r="Q5" s="57"/>
      <c r="R5" s="57">
        <v>46126</v>
      </c>
      <c r="S5" s="59">
        <v>46122</v>
      </c>
      <c r="T5" s="57"/>
      <c r="U5" s="57">
        <v>46122</v>
      </c>
      <c r="V5" s="60"/>
      <c r="W5" s="57"/>
      <c r="X5" s="53" t="s">
        <v>57</v>
      </c>
      <c r="Y5" s="61" t="s">
        <v>58</v>
      </c>
      <c r="Z5" s="57">
        <v>46122</v>
      </c>
      <c r="AA5" s="62" t="s">
        <v>71</v>
      </c>
      <c r="AB5" s="53" t="s">
        <v>72</v>
      </c>
      <c r="AC5" s="63" t="s">
        <v>61</v>
      </c>
      <c r="AD5" s="35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H)",IF(COUNTIF($B$2:$B$500,$B5)&gt;1,"Duplicate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64" t="s">
        <v>73</v>
      </c>
    </row>
    <row r="6" spans="1:31">
      <c r="A6" s="53" t="s">
        <v>50</v>
      </c>
      <c r="B6" s="53" t="s">
        <v>74</v>
      </c>
      <c r="C6" s="53" t="s">
        <v>52</v>
      </c>
      <c r="D6" s="2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53">
        <v>3</v>
      </c>
      <c r="F6" s="54"/>
      <c r="G6" s="53" t="s">
        <v>67</v>
      </c>
      <c r="H6" s="53" t="s">
        <v>54</v>
      </c>
      <c r="I6" s="53" t="s">
        <v>55</v>
      </c>
      <c r="J6" s="53"/>
      <c r="K6" s="55">
        <v>46142</v>
      </c>
      <c r="L6" s="53" t="s">
        <v>56</v>
      </c>
      <c r="M6" s="56">
        <v>46115</v>
      </c>
      <c r="N6" s="57"/>
      <c r="O6" s="57">
        <v>46115</v>
      </c>
      <c r="P6" s="58">
        <v>46120</v>
      </c>
      <c r="Q6" s="57"/>
      <c r="R6" s="57">
        <v>46120</v>
      </c>
      <c r="S6" s="59">
        <v>46122</v>
      </c>
      <c r="T6" s="57"/>
      <c r="U6" s="57">
        <v>46122</v>
      </c>
      <c r="V6" s="60"/>
      <c r="W6" s="57"/>
      <c r="X6" s="53" t="s">
        <v>57</v>
      </c>
      <c r="Y6" s="61" t="s">
        <v>58</v>
      </c>
      <c r="Z6" s="57">
        <v>46122</v>
      </c>
      <c r="AA6" s="62" t="s">
        <v>75</v>
      </c>
      <c r="AB6" s="53" t="s">
        <v>76</v>
      </c>
      <c r="AC6" s="63" t="s">
        <v>61</v>
      </c>
      <c r="AD6" s="35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H)",IF(COUNTIF($B$2:$B$500,$B6)&gt;1,"Duplicate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64" t="s">
        <v>77</v>
      </c>
    </row>
    <row r="7" spans="1:31">
      <c r="A7" s="53" t="s">
        <v>50</v>
      </c>
      <c r="B7" s="53" t="s">
        <v>78</v>
      </c>
      <c r="C7" s="53" t="s">
        <v>52</v>
      </c>
      <c r="D7" s="2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53">
        <v>6</v>
      </c>
      <c r="F7" s="54"/>
      <c r="G7" s="53" t="s">
        <v>79</v>
      </c>
      <c r="H7" s="53" t="s">
        <v>70</v>
      </c>
      <c r="I7" s="53" t="s">
        <v>55</v>
      </c>
      <c r="J7" s="53"/>
      <c r="K7" s="55">
        <v>46142</v>
      </c>
      <c r="L7" s="53" t="s">
        <v>56</v>
      </c>
      <c r="M7" s="56">
        <v>46115</v>
      </c>
      <c r="N7" s="57"/>
      <c r="O7" s="57">
        <v>46115</v>
      </c>
      <c r="P7" s="58">
        <v>46126</v>
      </c>
      <c r="Q7" s="57"/>
      <c r="R7" s="57">
        <v>46126</v>
      </c>
      <c r="S7" s="59">
        <v>46122</v>
      </c>
      <c r="T7" s="57"/>
      <c r="U7" s="57">
        <v>46122</v>
      </c>
      <c r="V7" s="60"/>
      <c r="W7" s="57"/>
      <c r="X7" s="53" t="s">
        <v>57</v>
      </c>
      <c r="Y7" s="61" t="s">
        <v>58</v>
      </c>
      <c r="Z7" s="57">
        <v>46122</v>
      </c>
      <c r="AA7" s="62" t="s">
        <v>80</v>
      </c>
      <c r="AB7" s="53" t="s">
        <v>81</v>
      </c>
      <c r="AC7" s="63" t="s">
        <v>61</v>
      </c>
      <c r="AD7" s="35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H)",IF(COUNTIF($B$2:$B$500,$B7)&gt;1,"Duplicate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>QA target is before PBI Dev target</v>
      </c>
      <c r="AE7" s="64" t="s">
        <v>82</v>
      </c>
    </row>
    <row r="8" spans="1:31">
      <c r="A8" s="53" t="s">
        <v>50</v>
      </c>
      <c r="B8" s="53" t="s">
        <v>83</v>
      </c>
      <c r="C8" s="53" t="s">
        <v>52</v>
      </c>
      <c r="D8" s="2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53">
        <v>7</v>
      </c>
      <c r="F8" s="54"/>
      <c r="G8" s="53" t="s">
        <v>67</v>
      </c>
      <c r="H8" s="53" t="s">
        <v>70</v>
      </c>
      <c r="I8" s="53" t="s">
        <v>55</v>
      </c>
      <c r="J8" s="53"/>
      <c r="K8" s="55">
        <v>46142</v>
      </c>
      <c r="L8" s="53" t="s">
        <v>56</v>
      </c>
      <c r="M8" s="56">
        <v>46122</v>
      </c>
      <c r="N8" s="57"/>
      <c r="O8" s="57">
        <v>46122</v>
      </c>
      <c r="P8" s="58">
        <v>46126</v>
      </c>
      <c r="Q8" s="57"/>
      <c r="R8" s="57">
        <v>46126</v>
      </c>
      <c r="S8" s="59">
        <v>46122</v>
      </c>
      <c r="T8" s="57"/>
      <c r="U8" s="57">
        <v>46122</v>
      </c>
      <c r="V8" s="60"/>
      <c r="W8" s="57"/>
      <c r="X8" s="53" t="s">
        <v>57</v>
      </c>
      <c r="Y8" s="61" t="s">
        <v>58</v>
      </c>
      <c r="Z8" s="57">
        <v>46122</v>
      </c>
      <c r="AA8" s="62" t="s">
        <v>84</v>
      </c>
      <c r="AB8" s="53" t="s">
        <v>85</v>
      </c>
      <c r="AC8" s="63" t="s">
        <v>61</v>
      </c>
      <c r="AD8" s="35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H)",IF(COUNTIF($B$2:$B$500,$B8)&gt;1,"Duplicate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>QA target is before PBI Dev target</v>
      </c>
      <c r="AE8" s="64"/>
    </row>
    <row r="9" spans="1:31">
      <c r="A9" s="53" t="s">
        <v>50</v>
      </c>
      <c r="B9" s="53" t="s">
        <v>86</v>
      </c>
      <c r="C9" s="53" t="s">
        <v>52</v>
      </c>
      <c r="D9" s="2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53">
        <v>9</v>
      </c>
      <c r="F9" s="54"/>
      <c r="G9" s="53" t="s">
        <v>87</v>
      </c>
      <c r="H9" s="53" t="s">
        <v>70</v>
      </c>
      <c r="I9" s="53" t="s">
        <v>55</v>
      </c>
      <c r="J9" s="53"/>
      <c r="K9" s="55">
        <v>46142</v>
      </c>
      <c r="L9" s="53" t="s">
        <v>56</v>
      </c>
      <c r="M9" s="56">
        <v>46122</v>
      </c>
      <c r="N9" s="57"/>
      <c r="O9" s="57">
        <v>46122</v>
      </c>
      <c r="P9" s="58">
        <v>46126</v>
      </c>
      <c r="Q9" s="57"/>
      <c r="R9" s="57">
        <v>46126</v>
      </c>
      <c r="S9" s="59">
        <v>46122</v>
      </c>
      <c r="T9" s="57"/>
      <c r="U9" s="57">
        <v>46122</v>
      </c>
      <c r="V9" s="60"/>
      <c r="W9" s="57"/>
      <c r="X9" s="53" t="s">
        <v>57</v>
      </c>
      <c r="Y9" s="61" t="s">
        <v>58</v>
      </c>
      <c r="Z9" s="57">
        <v>46122</v>
      </c>
      <c r="AA9" s="62" t="s">
        <v>88</v>
      </c>
      <c r="AB9" s="53" t="s">
        <v>89</v>
      </c>
      <c r="AC9" s="63" t="s">
        <v>61</v>
      </c>
      <c r="AD9" s="35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H)",IF(COUNTIF($B$2:$B$500,$B9)&gt;1,"Duplicate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>QA target is before PBI Dev target</v>
      </c>
      <c r="AE9" s="64"/>
    </row>
    <row r="10" spans="1:31">
      <c r="A10" s="53" t="s">
        <v>50</v>
      </c>
      <c r="B10" s="53" t="s">
        <v>90</v>
      </c>
      <c r="C10" s="53" t="s">
        <v>52</v>
      </c>
      <c r="D10" s="2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53">
        <v>8</v>
      </c>
      <c r="F10" s="54"/>
      <c r="G10" s="53" t="s">
        <v>69</v>
      </c>
      <c r="H10" s="53" t="s">
        <v>70</v>
      </c>
      <c r="I10" s="53" t="s">
        <v>55</v>
      </c>
      <c r="J10" s="53"/>
      <c r="K10" s="55">
        <v>46142</v>
      </c>
      <c r="L10" s="53" t="s">
        <v>56</v>
      </c>
      <c r="M10" s="56">
        <v>46127</v>
      </c>
      <c r="N10" s="57"/>
      <c r="O10" s="57">
        <v>46127</v>
      </c>
      <c r="P10" s="58">
        <v>46126</v>
      </c>
      <c r="Q10" s="57"/>
      <c r="R10" s="57">
        <v>46126</v>
      </c>
      <c r="S10" s="59">
        <v>46122</v>
      </c>
      <c r="T10" s="57"/>
      <c r="U10" s="57">
        <v>46122</v>
      </c>
      <c r="V10" s="60"/>
      <c r="W10" s="57"/>
      <c r="X10" s="53" t="s">
        <v>57</v>
      </c>
      <c r="Y10" s="61" t="s">
        <v>58</v>
      </c>
      <c r="Z10" s="57">
        <v>46122</v>
      </c>
      <c r="AA10" s="62" t="s">
        <v>91</v>
      </c>
      <c r="AB10" s="53" t="s">
        <v>92</v>
      </c>
      <c r="AC10" s="63" t="s">
        <v>61</v>
      </c>
      <c r="AD10" s="35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H)",IF(COUNTIF($B$2:$B$500,$B10)&gt;1,"Duplicate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>QA target is before DB Dev target</v>
      </c>
      <c r="AE10" s="64" t="s">
        <v>93</v>
      </c>
    </row>
    <row r="11" spans="1:31">
      <c r="A11" s="53" t="s">
        <v>50</v>
      </c>
      <c r="B11" s="53" t="s">
        <v>94</v>
      </c>
      <c r="C11" s="53" t="s">
        <v>52</v>
      </c>
      <c r="D11" s="2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53">
        <v>10</v>
      </c>
      <c r="F11" s="54"/>
      <c r="G11" s="53" t="s">
        <v>67</v>
      </c>
      <c r="H11" s="53" t="s">
        <v>70</v>
      </c>
      <c r="I11" s="53" t="s">
        <v>95</v>
      </c>
      <c r="J11" s="53"/>
      <c r="K11" s="55">
        <v>46173</v>
      </c>
      <c r="L11" s="53" t="s">
        <v>96</v>
      </c>
      <c r="M11" s="56"/>
      <c r="N11" s="57"/>
      <c r="O11" s="57"/>
      <c r="P11" s="58">
        <v>46139</v>
      </c>
      <c r="Q11" s="57"/>
      <c r="R11" s="57">
        <v>46139</v>
      </c>
      <c r="S11" s="59">
        <v>46139</v>
      </c>
      <c r="T11" s="57"/>
      <c r="U11" s="57">
        <v>46139</v>
      </c>
      <c r="V11" s="60"/>
      <c r="W11" s="57"/>
      <c r="X11" s="53" t="s">
        <v>57</v>
      </c>
      <c r="Y11" s="61" t="s">
        <v>58</v>
      </c>
      <c r="Z11" s="57">
        <v>46139</v>
      </c>
      <c r="AA11" s="62" t="s">
        <v>97</v>
      </c>
      <c r="AB11" s="53" t="s">
        <v>98</v>
      </c>
      <c r="AC11" s="63" t="s">
        <v>61</v>
      </c>
      <c r="AD11" s="35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H)",IF(COUNTIF($B$2:$B$500,$B11)&gt;1,"Duplicate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64"/>
    </row>
    <row r="12" spans="1:31">
      <c r="A12" s="53" t="s">
        <v>50</v>
      </c>
      <c r="B12" s="53" t="s">
        <v>99</v>
      </c>
      <c r="C12" s="53" t="s">
        <v>52</v>
      </c>
      <c r="D12" s="2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53">
        <v>11</v>
      </c>
      <c r="F12" s="54"/>
      <c r="G12" s="53" t="s">
        <v>67</v>
      </c>
      <c r="H12" s="53" t="s">
        <v>70</v>
      </c>
      <c r="I12" s="53" t="s">
        <v>55</v>
      </c>
      <c r="J12" s="53"/>
      <c r="K12" s="55">
        <v>46173</v>
      </c>
      <c r="L12" s="53" t="s">
        <v>96</v>
      </c>
      <c r="M12" s="56"/>
      <c r="N12" s="57"/>
      <c r="O12" s="57"/>
      <c r="P12" s="58">
        <v>46141</v>
      </c>
      <c r="Q12" s="57"/>
      <c r="R12" s="57">
        <v>46141</v>
      </c>
      <c r="S12" s="59">
        <v>46141</v>
      </c>
      <c r="T12" s="57"/>
      <c r="U12" s="57">
        <v>46141</v>
      </c>
      <c r="V12" s="60"/>
      <c r="W12" s="57"/>
      <c r="X12" s="53" t="s">
        <v>57</v>
      </c>
      <c r="Y12" s="61" t="s">
        <v>58</v>
      </c>
      <c r="Z12" s="57">
        <v>46141</v>
      </c>
      <c r="AA12" s="62" t="s">
        <v>100</v>
      </c>
      <c r="AB12" s="53" t="s">
        <v>101</v>
      </c>
      <c r="AC12" s="63" t="s">
        <v>61</v>
      </c>
      <c r="AD12" s="35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H)",IF(COUNTIF($B$2:$B$500,$B12)&gt;1,"Duplicate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/>
      </c>
      <c r="AE12" s="64" t="s">
        <v>102</v>
      </c>
    </row>
    <row r="13" spans="1:31">
      <c r="A13" s="53" t="s">
        <v>50</v>
      </c>
      <c r="B13" s="53" t="s">
        <v>103</v>
      </c>
      <c r="C13" s="53" t="s">
        <v>52</v>
      </c>
      <c r="D13" s="2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53">
        <v>12</v>
      </c>
      <c r="F13" s="54"/>
      <c r="G13" s="53" t="s">
        <v>67</v>
      </c>
      <c r="H13" s="53" t="s">
        <v>54</v>
      </c>
      <c r="I13" s="53" t="s">
        <v>55</v>
      </c>
      <c r="J13" s="53"/>
      <c r="K13" s="55">
        <v>46173</v>
      </c>
      <c r="L13" s="53" t="s">
        <v>96</v>
      </c>
      <c r="M13" s="56"/>
      <c r="N13" s="57"/>
      <c r="O13" s="57"/>
      <c r="P13" s="58">
        <v>46161</v>
      </c>
      <c r="Q13" s="57"/>
      <c r="R13" s="57">
        <v>46161</v>
      </c>
      <c r="S13" s="59">
        <v>46161</v>
      </c>
      <c r="T13" s="57"/>
      <c r="U13" s="57">
        <v>46161</v>
      </c>
      <c r="V13" s="60"/>
      <c r="W13" s="57"/>
      <c r="X13" s="53" t="s">
        <v>57</v>
      </c>
      <c r="Y13" s="61" t="s">
        <v>58</v>
      </c>
      <c r="Z13" s="57">
        <v>46161</v>
      </c>
      <c r="AA13" s="62" t="s">
        <v>104</v>
      </c>
      <c r="AB13" s="53" t="s">
        <v>105</v>
      </c>
      <c r="AC13" s="63" t="s">
        <v>61</v>
      </c>
      <c r="AD13" s="35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H)",IF(COUNTIF($B$2:$B$500,$B13)&gt;1,"Duplicate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64"/>
    </row>
    <row r="14" spans="1:31">
      <c r="A14" s="53" t="s">
        <v>50</v>
      </c>
      <c r="B14" s="53" t="s">
        <v>106</v>
      </c>
      <c r="C14" s="53" t="s">
        <v>52</v>
      </c>
      <c r="D14" s="2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53">
        <v>13</v>
      </c>
      <c r="F14" s="54"/>
      <c r="G14" s="53" t="s">
        <v>107</v>
      </c>
      <c r="H14" s="53" t="s">
        <v>54</v>
      </c>
      <c r="I14" s="53" t="s">
        <v>95</v>
      </c>
      <c r="J14" s="53"/>
      <c r="K14" s="55">
        <v>46173</v>
      </c>
      <c r="L14" s="53" t="s">
        <v>96</v>
      </c>
      <c r="M14" s="56"/>
      <c r="N14" s="57"/>
      <c r="O14" s="57"/>
      <c r="P14" s="58">
        <v>46175</v>
      </c>
      <c r="Q14" s="57"/>
      <c r="R14" s="57">
        <v>46175</v>
      </c>
      <c r="S14" s="59">
        <v>46175</v>
      </c>
      <c r="T14" s="57"/>
      <c r="U14" s="57">
        <v>46175</v>
      </c>
      <c r="V14" s="60">
        <v>46184</v>
      </c>
      <c r="W14" s="57"/>
      <c r="X14" s="53" t="s">
        <v>57</v>
      </c>
      <c r="Y14" s="61" t="s">
        <v>58</v>
      </c>
      <c r="Z14" s="57">
        <v>46184</v>
      </c>
      <c r="AA14" s="62"/>
      <c r="AB14" s="53" t="s">
        <v>108</v>
      </c>
      <c r="AC14" s="63" t="s">
        <v>61</v>
      </c>
      <c r="AD14" s="35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H)",IF(COUNTIF($B$2:$B$500,$B14)&gt;1,"Duplicate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64"/>
    </row>
    <row r="15" spans="1:31">
      <c r="A15" s="53" t="s">
        <v>50</v>
      </c>
      <c r="B15" s="53" t="s">
        <v>109</v>
      </c>
      <c r="C15" s="53" t="s">
        <v>52</v>
      </c>
      <c r="D15" s="2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53">
        <v>14</v>
      </c>
      <c r="F15" s="54"/>
      <c r="G15" s="53" t="s">
        <v>79</v>
      </c>
      <c r="H15" s="53" t="s">
        <v>110</v>
      </c>
      <c r="I15" s="53" t="s">
        <v>55</v>
      </c>
      <c r="J15" s="53"/>
      <c r="K15" s="55">
        <v>46173</v>
      </c>
      <c r="L15" s="53" t="s">
        <v>96</v>
      </c>
      <c r="M15" s="56"/>
      <c r="N15" s="57"/>
      <c r="O15" s="57"/>
      <c r="P15" s="58">
        <v>46134</v>
      </c>
      <c r="Q15" s="57"/>
      <c r="R15" s="57">
        <v>46134</v>
      </c>
      <c r="S15" s="59">
        <v>46134</v>
      </c>
      <c r="T15" s="57"/>
      <c r="U15" s="57">
        <v>46134</v>
      </c>
      <c r="V15" s="60"/>
      <c r="W15" s="57"/>
      <c r="X15" s="53" t="s">
        <v>57</v>
      </c>
      <c r="Y15" s="61" t="s">
        <v>58</v>
      </c>
      <c r="Z15" s="57">
        <v>46134</v>
      </c>
      <c r="AA15" s="62" t="s">
        <v>111</v>
      </c>
      <c r="AB15" s="53" t="s">
        <v>112</v>
      </c>
      <c r="AC15" s="63" t="s">
        <v>61</v>
      </c>
      <c r="AD15" s="35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H)",IF(COUNTIF($B$2:$B$500,$B15)&gt;1,"Duplicate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64"/>
    </row>
    <row r="16" spans="1:31">
      <c r="A16" s="53" t="s">
        <v>50</v>
      </c>
      <c r="B16" s="53" t="s">
        <v>113</v>
      </c>
      <c r="C16" s="53" t="s">
        <v>52</v>
      </c>
      <c r="D16" s="2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53">
        <v>15</v>
      </c>
      <c r="F16" s="54"/>
      <c r="G16" s="53" t="s">
        <v>69</v>
      </c>
      <c r="H16" s="53" t="s">
        <v>110</v>
      </c>
      <c r="I16" s="53" t="s">
        <v>55</v>
      </c>
      <c r="J16" s="53"/>
      <c r="K16" s="55">
        <v>46173</v>
      </c>
      <c r="L16" s="53" t="s">
        <v>96</v>
      </c>
      <c r="M16" s="56"/>
      <c r="N16" s="57"/>
      <c r="O16" s="57"/>
      <c r="P16" s="58">
        <v>46139</v>
      </c>
      <c r="Q16" s="57"/>
      <c r="R16" s="57">
        <v>46139</v>
      </c>
      <c r="S16" s="59">
        <v>46139</v>
      </c>
      <c r="T16" s="57"/>
      <c r="U16" s="57">
        <v>46139</v>
      </c>
      <c r="V16" s="60"/>
      <c r="W16" s="57"/>
      <c r="X16" s="53" t="s">
        <v>57</v>
      </c>
      <c r="Y16" s="61" t="s">
        <v>58</v>
      </c>
      <c r="Z16" s="57">
        <v>46139</v>
      </c>
      <c r="AA16" s="62" t="s">
        <v>114</v>
      </c>
      <c r="AB16" s="53" t="s">
        <v>115</v>
      </c>
      <c r="AC16" s="63" t="s">
        <v>61</v>
      </c>
      <c r="AD16" s="35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H)",IF(COUNTIF($B$2:$B$500,$B16)&gt;1,"Duplicate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/>
      </c>
      <c r="AE16" s="64"/>
    </row>
    <row r="17" spans="1:31">
      <c r="A17" s="53" t="s">
        <v>50</v>
      </c>
      <c r="B17" s="53" t="s">
        <v>116</v>
      </c>
      <c r="C17" s="53" t="s">
        <v>52</v>
      </c>
      <c r="D17" s="2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53">
        <v>16</v>
      </c>
      <c r="F17" s="54"/>
      <c r="G17" s="53" t="s">
        <v>87</v>
      </c>
      <c r="H17" s="53" t="s">
        <v>70</v>
      </c>
      <c r="I17" s="53" t="s">
        <v>55</v>
      </c>
      <c r="J17" s="53"/>
      <c r="K17" s="55">
        <v>46173</v>
      </c>
      <c r="L17" s="53" t="s">
        <v>96</v>
      </c>
      <c r="M17" s="56"/>
      <c r="N17" s="57"/>
      <c r="O17" s="57"/>
      <c r="P17" s="58">
        <v>46147</v>
      </c>
      <c r="Q17" s="57"/>
      <c r="R17" s="57">
        <v>46147</v>
      </c>
      <c r="S17" s="59">
        <v>46147</v>
      </c>
      <c r="T17" s="57"/>
      <c r="U17" s="57">
        <v>46147</v>
      </c>
      <c r="V17" s="60"/>
      <c r="W17" s="57"/>
      <c r="X17" s="53" t="s">
        <v>57</v>
      </c>
      <c r="Y17" s="61" t="s">
        <v>58</v>
      </c>
      <c r="Z17" s="57">
        <v>46147</v>
      </c>
      <c r="AA17" s="62" t="s">
        <v>117</v>
      </c>
      <c r="AB17" s="53" t="s">
        <v>118</v>
      </c>
      <c r="AC17" s="63" t="s">
        <v>61</v>
      </c>
      <c r="AD17" s="35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H)",IF(COUNTIF($B$2:$B$500,$B17)&gt;1,"Duplicate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64"/>
    </row>
    <row r="18" spans="1:31">
      <c r="A18" s="53" t="s">
        <v>50</v>
      </c>
      <c r="B18" s="53" t="s">
        <v>119</v>
      </c>
      <c r="C18" s="53" t="s">
        <v>52</v>
      </c>
      <c r="D18" s="2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53">
        <v>17</v>
      </c>
      <c r="F18" s="54"/>
      <c r="G18" s="53" t="s">
        <v>87</v>
      </c>
      <c r="H18" s="53" t="s">
        <v>54</v>
      </c>
      <c r="I18" s="53" t="s">
        <v>95</v>
      </c>
      <c r="J18" s="53"/>
      <c r="K18" s="55">
        <v>46173</v>
      </c>
      <c r="L18" s="53" t="s">
        <v>96</v>
      </c>
      <c r="M18" s="56"/>
      <c r="N18" s="57"/>
      <c r="O18" s="57"/>
      <c r="P18" s="58">
        <v>46175</v>
      </c>
      <c r="Q18" s="57"/>
      <c r="R18" s="57">
        <v>46175</v>
      </c>
      <c r="S18" s="59">
        <v>46179</v>
      </c>
      <c r="T18" s="57"/>
      <c r="U18" s="57">
        <v>46179</v>
      </c>
      <c r="V18" s="60"/>
      <c r="W18" s="57"/>
      <c r="X18" s="53" t="s">
        <v>57</v>
      </c>
      <c r="Y18" s="61" t="s">
        <v>58</v>
      </c>
      <c r="Z18" s="57">
        <v>46179</v>
      </c>
      <c r="AA18" s="62" t="s">
        <v>120</v>
      </c>
      <c r="AB18" s="53"/>
      <c r="AC18" s="63" t="s">
        <v>61</v>
      </c>
      <c r="AD18" s="35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H)",IF(COUNTIF($B$2:$B$500,$B18)&gt;1,"Duplicate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64"/>
    </row>
    <row r="19" spans="1:31">
      <c r="A19" s="53" t="s">
        <v>50</v>
      </c>
      <c r="B19" s="53" t="s">
        <v>121</v>
      </c>
      <c r="C19" s="53" t="s">
        <v>52</v>
      </c>
      <c r="D19" s="2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53">
        <v>18</v>
      </c>
      <c r="F19" s="54"/>
      <c r="G19" s="53" t="s">
        <v>53</v>
      </c>
      <c r="H19" s="53" t="s">
        <v>70</v>
      </c>
      <c r="I19" s="53" t="s">
        <v>95</v>
      </c>
      <c r="J19" s="53"/>
      <c r="K19" s="55">
        <v>46173</v>
      </c>
      <c r="L19" s="53" t="s">
        <v>96</v>
      </c>
      <c r="M19" s="56"/>
      <c r="N19" s="57"/>
      <c r="O19" s="57"/>
      <c r="P19" s="58">
        <v>46143</v>
      </c>
      <c r="Q19" s="57"/>
      <c r="R19" s="57">
        <v>46143</v>
      </c>
      <c r="S19" s="59">
        <v>46175</v>
      </c>
      <c r="T19" s="57"/>
      <c r="U19" s="57">
        <v>46175</v>
      </c>
      <c r="V19" s="60">
        <v>46184</v>
      </c>
      <c r="W19" s="57"/>
      <c r="X19" s="53" t="s">
        <v>57</v>
      </c>
      <c r="Y19" s="61" t="s">
        <v>58</v>
      </c>
      <c r="Z19" s="57">
        <v>46184</v>
      </c>
      <c r="AA19" s="62" t="s">
        <v>122</v>
      </c>
      <c r="AB19" s="53" t="s">
        <v>123</v>
      </c>
      <c r="AC19" s="63" t="s">
        <v>61</v>
      </c>
      <c r="AD19" s="35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H)",IF(COUNTIF($B$2:$B$500,$B19)&gt;1,"Duplicate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64"/>
    </row>
    <row r="20" spans="1:31">
      <c r="A20" s="53" t="s">
        <v>50</v>
      </c>
      <c r="B20" s="53" t="s">
        <v>124</v>
      </c>
      <c r="C20" s="53" t="s">
        <v>52</v>
      </c>
      <c r="D20" s="2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53">
        <v>19</v>
      </c>
      <c r="F20" s="54"/>
      <c r="G20" s="53" t="s">
        <v>53</v>
      </c>
      <c r="H20" s="53" t="s">
        <v>110</v>
      </c>
      <c r="I20" s="53" t="s">
        <v>55</v>
      </c>
      <c r="J20" s="53"/>
      <c r="K20" s="55">
        <v>46173</v>
      </c>
      <c r="L20" s="53" t="s">
        <v>96</v>
      </c>
      <c r="M20" s="56">
        <v>46175</v>
      </c>
      <c r="N20" s="57"/>
      <c r="O20" s="57">
        <v>46175</v>
      </c>
      <c r="P20" s="58">
        <v>46178</v>
      </c>
      <c r="Q20" s="57"/>
      <c r="R20" s="57">
        <v>46178</v>
      </c>
      <c r="S20" s="59">
        <v>46175</v>
      </c>
      <c r="T20" s="57"/>
      <c r="U20" s="57">
        <v>46175</v>
      </c>
      <c r="V20" s="60">
        <v>46192</v>
      </c>
      <c r="W20" s="57"/>
      <c r="X20" s="53" t="s">
        <v>57</v>
      </c>
      <c r="Y20" s="61" t="s">
        <v>58</v>
      </c>
      <c r="Z20" s="57">
        <v>46192</v>
      </c>
      <c r="AA20" s="62" t="s">
        <v>125</v>
      </c>
      <c r="AB20" s="53"/>
      <c r="AC20" s="63" t="s">
        <v>61</v>
      </c>
      <c r="AD20" s="35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H)",IF(COUNTIF($B$2:$B$500,$B20)&gt;1,"Duplicate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>QA target is before PBI Dev target</v>
      </c>
      <c r="AE20" s="64" t="s">
        <v>126</v>
      </c>
    </row>
    <row r="21" spans="1:31">
      <c r="A21" s="53" t="s">
        <v>50</v>
      </c>
      <c r="B21" s="53" t="s">
        <v>127</v>
      </c>
      <c r="C21" s="53" t="s">
        <v>52</v>
      </c>
      <c r="D21" s="2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53">
        <v>20</v>
      </c>
      <c r="F21" s="54"/>
      <c r="G21" s="53" t="s">
        <v>107</v>
      </c>
      <c r="H21" s="53" t="s">
        <v>70</v>
      </c>
      <c r="I21" s="53" t="s">
        <v>55</v>
      </c>
      <c r="J21" s="53"/>
      <c r="K21" s="55">
        <v>46203</v>
      </c>
      <c r="L21" s="53" t="s">
        <v>128</v>
      </c>
      <c r="M21" s="56">
        <v>46148</v>
      </c>
      <c r="N21" s="57"/>
      <c r="O21" s="57">
        <v>46148</v>
      </c>
      <c r="P21" s="58">
        <v>46183</v>
      </c>
      <c r="Q21" s="57"/>
      <c r="R21" s="57">
        <v>46183</v>
      </c>
      <c r="S21" s="59">
        <v>46195</v>
      </c>
      <c r="T21" s="57"/>
      <c r="U21" s="57">
        <v>46195</v>
      </c>
      <c r="V21" s="60"/>
      <c r="W21" s="57"/>
      <c r="X21" s="53"/>
      <c r="Y21" s="61" t="s">
        <v>58</v>
      </c>
      <c r="Z21" s="57">
        <v>46195</v>
      </c>
      <c r="AA21" s="62"/>
      <c r="AB21" s="53"/>
      <c r="AC21" s="63" t="s">
        <v>61</v>
      </c>
      <c r="AD21" s="35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H)",IF(COUNTIF($B$2:$B$500,$B21)&gt;1,"Duplicate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64"/>
    </row>
    <row r="22" spans="1:31">
      <c r="A22" s="53" t="s">
        <v>50</v>
      </c>
      <c r="B22" s="53" t="s">
        <v>129</v>
      </c>
      <c r="C22" s="53" t="s">
        <v>52</v>
      </c>
      <c r="D22" s="2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Delivered</v>
      </c>
      <c r="E22" s="53">
        <v>21</v>
      </c>
      <c r="F22" s="54"/>
      <c r="G22" s="53" t="s">
        <v>107</v>
      </c>
      <c r="H22" s="53" t="s">
        <v>110</v>
      </c>
      <c r="I22" s="53" t="s">
        <v>55</v>
      </c>
      <c r="J22" s="53"/>
      <c r="K22" s="55">
        <v>46203</v>
      </c>
      <c r="L22" s="53" t="s">
        <v>128</v>
      </c>
      <c r="M22" s="56">
        <v>46162</v>
      </c>
      <c r="N22" s="57"/>
      <c r="O22" s="57">
        <v>46162</v>
      </c>
      <c r="P22" s="58">
        <v>46182</v>
      </c>
      <c r="Q22" s="57"/>
      <c r="R22" s="57">
        <v>46182</v>
      </c>
      <c r="S22" s="59">
        <v>46198</v>
      </c>
      <c r="T22" s="57"/>
      <c r="U22" s="57">
        <v>46198</v>
      </c>
      <c r="V22" s="60"/>
      <c r="W22" s="57"/>
      <c r="X22" s="53"/>
      <c r="Y22" s="61" t="s">
        <v>58</v>
      </c>
      <c r="Z22" s="57">
        <v>46198</v>
      </c>
      <c r="AA22" s="62"/>
      <c r="AB22" s="53"/>
      <c r="AC22" s="63" t="s">
        <v>61</v>
      </c>
      <c r="AD22" s="35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H)",IF(COUNTIF($B$2:$B$500,$B22)&gt;1,"Duplicate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64" t="s">
        <v>130</v>
      </c>
    </row>
    <row r="23" spans="1:31">
      <c r="A23" s="53" t="s">
        <v>50</v>
      </c>
      <c r="B23" s="53" t="s">
        <v>131</v>
      </c>
      <c r="C23" s="53" t="s">
        <v>52</v>
      </c>
      <c r="D23" s="2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Delivered</v>
      </c>
      <c r="E23" s="53">
        <v>22</v>
      </c>
      <c r="F23" s="54"/>
      <c r="G23" s="53" t="s">
        <v>53</v>
      </c>
      <c r="H23" s="53" t="s">
        <v>70</v>
      </c>
      <c r="I23" s="53" t="s">
        <v>55</v>
      </c>
      <c r="J23" s="53"/>
      <c r="K23" s="55">
        <v>46203</v>
      </c>
      <c r="L23" s="53" t="s">
        <v>128</v>
      </c>
      <c r="M23" s="56">
        <v>46168</v>
      </c>
      <c r="N23" s="57"/>
      <c r="O23" s="57">
        <v>46168</v>
      </c>
      <c r="P23" s="58">
        <v>46183</v>
      </c>
      <c r="Q23" s="57"/>
      <c r="R23" s="57">
        <v>46183</v>
      </c>
      <c r="S23" s="59">
        <v>46198</v>
      </c>
      <c r="T23" s="57"/>
      <c r="U23" s="57">
        <v>46198</v>
      </c>
      <c r="V23" s="60"/>
      <c r="W23" s="57"/>
      <c r="X23" s="53"/>
      <c r="Y23" s="61" t="s">
        <v>58</v>
      </c>
      <c r="Z23" s="57">
        <v>46198</v>
      </c>
      <c r="AA23" s="62"/>
      <c r="AB23" s="53"/>
      <c r="AC23" s="63" t="s">
        <v>61</v>
      </c>
      <c r="AD23" s="35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H)",IF(COUNTIF($B$2:$B$500,$B23)&gt;1,"Duplicate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64"/>
    </row>
    <row r="24" spans="1:31">
      <c r="A24" s="53" t="s">
        <v>50</v>
      </c>
      <c r="B24" s="53" t="s">
        <v>132</v>
      </c>
      <c r="C24" s="53" t="s">
        <v>52</v>
      </c>
      <c r="D24" s="2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Delivered</v>
      </c>
      <c r="E24" s="53">
        <v>23</v>
      </c>
      <c r="F24" s="54"/>
      <c r="G24" s="53" t="s">
        <v>53</v>
      </c>
      <c r="H24" s="53" t="s">
        <v>70</v>
      </c>
      <c r="I24" s="53" t="s">
        <v>55</v>
      </c>
      <c r="J24" s="53"/>
      <c r="K24" s="55">
        <v>46203</v>
      </c>
      <c r="L24" s="53" t="s">
        <v>128</v>
      </c>
      <c r="M24" s="56">
        <v>46165</v>
      </c>
      <c r="N24" s="57"/>
      <c r="O24" s="57">
        <v>46165</v>
      </c>
      <c r="P24" s="58">
        <v>46153</v>
      </c>
      <c r="Q24" s="57"/>
      <c r="R24" s="57">
        <v>46153</v>
      </c>
      <c r="S24" s="59">
        <v>46154</v>
      </c>
      <c r="T24" s="57"/>
      <c r="U24" s="57">
        <v>46154</v>
      </c>
      <c r="V24" s="60">
        <v>46184</v>
      </c>
      <c r="W24" s="57"/>
      <c r="X24" s="53"/>
      <c r="Y24" s="61" t="s">
        <v>58</v>
      </c>
      <c r="Z24" s="57">
        <v>46184</v>
      </c>
      <c r="AA24" s="62" t="s">
        <v>133</v>
      </c>
      <c r="AB24" s="53" t="s">
        <v>134</v>
      </c>
      <c r="AC24" s="63" t="s">
        <v>61</v>
      </c>
      <c r="AD24" s="35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H)",IF(COUNTIF($B$2:$B$500,$B24)&gt;1,"Duplicate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>QA target is before DB Dev target</v>
      </c>
      <c r="AE24" s="64"/>
    </row>
    <row r="25" spans="1:31">
      <c r="A25" s="53" t="s">
        <v>50</v>
      </c>
      <c r="B25" s="53" t="s">
        <v>135</v>
      </c>
      <c r="C25" s="53" t="s">
        <v>52</v>
      </c>
      <c r="D25" s="2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Delivered</v>
      </c>
      <c r="E25" s="53">
        <v>24</v>
      </c>
      <c r="F25" s="54"/>
      <c r="G25" s="53" t="s">
        <v>69</v>
      </c>
      <c r="H25" s="53" t="s">
        <v>54</v>
      </c>
      <c r="I25" s="53" t="s">
        <v>95</v>
      </c>
      <c r="J25" s="53"/>
      <c r="K25" s="55">
        <v>46203</v>
      </c>
      <c r="L25" s="53" t="s">
        <v>128</v>
      </c>
      <c r="M25" s="56">
        <v>46162</v>
      </c>
      <c r="N25" s="57"/>
      <c r="O25" s="57">
        <v>46162</v>
      </c>
      <c r="P25" s="58">
        <v>46186</v>
      </c>
      <c r="Q25" s="57"/>
      <c r="R25" s="57">
        <v>46186</v>
      </c>
      <c r="S25" s="59">
        <v>46227</v>
      </c>
      <c r="T25" s="57"/>
      <c r="U25" s="57"/>
      <c r="V25" s="60"/>
      <c r="W25" s="57"/>
      <c r="X25" s="53"/>
      <c r="Y25" s="61" t="s">
        <v>58</v>
      </c>
      <c r="Z25" s="57">
        <v>46227</v>
      </c>
      <c r="AA25" s="62"/>
      <c r="AB25" s="53"/>
      <c r="AC25" s="63" t="s">
        <v>61</v>
      </c>
      <c r="AD25" s="35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H)",IF(COUNTIF($B$2:$B$500,$B25)&gt;1,"Duplicate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64" t="s">
        <v>136</v>
      </c>
    </row>
    <row r="26" spans="1:31">
      <c r="A26" s="53" t="s">
        <v>50</v>
      </c>
      <c r="B26" s="53" t="s">
        <v>137</v>
      </c>
      <c r="C26" s="53" t="s">
        <v>52</v>
      </c>
      <c r="D26" s="2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Delivered</v>
      </c>
      <c r="E26" s="53">
        <v>25</v>
      </c>
      <c r="F26" s="54"/>
      <c r="G26" s="53" t="s">
        <v>69</v>
      </c>
      <c r="H26" s="53" t="s">
        <v>110</v>
      </c>
      <c r="I26" s="53" t="s">
        <v>55</v>
      </c>
      <c r="J26" s="53"/>
      <c r="K26" s="55">
        <v>46203</v>
      </c>
      <c r="L26" s="53" t="s">
        <v>128</v>
      </c>
      <c r="M26" s="56">
        <v>46162</v>
      </c>
      <c r="N26" s="57"/>
      <c r="O26" s="57">
        <v>46162</v>
      </c>
      <c r="P26" s="58">
        <v>46164</v>
      </c>
      <c r="Q26" s="57"/>
      <c r="R26" s="57">
        <v>46164</v>
      </c>
      <c r="S26" s="59">
        <v>46204</v>
      </c>
      <c r="T26" s="57"/>
      <c r="U26" s="57">
        <v>46204</v>
      </c>
      <c r="V26" s="60"/>
      <c r="W26" s="57"/>
      <c r="X26" s="53"/>
      <c r="Y26" s="61" t="s">
        <v>58</v>
      </c>
      <c r="Z26" s="57">
        <v>46204</v>
      </c>
      <c r="AA26" s="62"/>
      <c r="AB26" s="53"/>
      <c r="AC26" s="63" t="s">
        <v>61</v>
      </c>
      <c r="AD26" s="35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H)",IF(COUNTIF($B$2:$B$500,$B26)&gt;1,"Duplicate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64" t="s">
        <v>136</v>
      </c>
    </row>
    <row r="27" spans="1:31">
      <c r="A27" s="53" t="s">
        <v>50</v>
      </c>
      <c r="B27" s="53" t="s">
        <v>138</v>
      </c>
      <c r="C27" s="53" t="s">
        <v>52</v>
      </c>
      <c r="D27" s="2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Delivered</v>
      </c>
      <c r="E27" s="53">
        <v>26</v>
      </c>
      <c r="F27" s="54"/>
      <c r="G27" s="53" t="s">
        <v>139</v>
      </c>
      <c r="H27" s="53" t="s">
        <v>70</v>
      </c>
      <c r="I27" s="53" t="s">
        <v>95</v>
      </c>
      <c r="J27" s="53"/>
      <c r="K27" s="55">
        <v>46203</v>
      </c>
      <c r="L27" s="53" t="s">
        <v>128</v>
      </c>
      <c r="M27" s="56">
        <v>46169</v>
      </c>
      <c r="N27" s="57"/>
      <c r="O27" s="57">
        <v>46169</v>
      </c>
      <c r="P27" s="58">
        <v>46191</v>
      </c>
      <c r="Q27" s="57"/>
      <c r="R27" s="57">
        <v>46191</v>
      </c>
      <c r="S27" s="59">
        <v>46196</v>
      </c>
      <c r="T27" s="57"/>
      <c r="U27" s="57">
        <v>46196</v>
      </c>
      <c r="V27" s="60"/>
      <c r="W27" s="57"/>
      <c r="X27" s="53"/>
      <c r="Y27" s="61" t="s">
        <v>58</v>
      </c>
      <c r="Z27" s="57">
        <v>46196</v>
      </c>
      <c r="AA27" s="62" t="s">
        <v>140</v>
      </c>
      <c r="AB27" s="53" t="s">
        <v>141</v>
      </c>
      <c r="AC27" s="63" t="s">
        <v>61</v>
      </c>
      <c r="AD27" s="35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H)",IF(COUNTIF($B$2:$B$500,$B27)&gt;1,"Duplicate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64"/>
    </row>
    <row r="28" spans="1:31">
      <c r="A28" s="53" t="s">
        <v>50</v>
      </c>
      <c r="B28" s="53" t="s">
        <v>142</v>
      </c>
      <c r="C28" s="53" t="s">
        <v>52</v>
      </c>
      <c r="D28" s="2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Delivered</v>
      </c>
      <c r="E28" s="53">
        <v>27</v>
      </c>
      <c r="F28" s="54"/>
      <c r="G28" s="53" t="s">
        <v>107</v>
      </c>
      <c r="H28" s="53" t="s">
        <v>110</v>
      </c>
      <c r="I28" s="53" t="s">
        <v>95</v>
      </c>
      <c r="J28" s="53"/>
      <c r="K28" s="55">
        <v>46203</v>
      </c>
      <c r="L28" s="53" t="s">
        <v>128</v>
      </c>
      <c r="M28" s="56">
        <v>46168</v>
      </c>
      <c r="N28" s="57"/>
      <c r="O28" s="57">
        <v>46168</v>
      </c>
      <c r="P28" s="58">
        <v>46189</v>
      </c>
      <c r="Q28" s="57"/>
      <c r="R28" s="57">
        <v>46189</v>
      </c>
      <c r="S28" s="59">
        <v>46189</v>
      </c>
      <c r="T28" s="57"/>
      <c r="U28" s="57">
        <v>46189</v>
      </c>
      <c r="V28" s="60">
        <v>46192</v>
      </c>
      <c r="W28" s="57"/>
      <c r="X28" s="53"/>
      <c r="Y28" s="61" t="s">
        <v>58</v>
      </c>
      <c r="Z28" s="57">
        <v>46192</v>
      </c>
      <c r="AA28" s="62" t="s">
        <v>143</v>
      </c>
      <c r="AB28" s="53"/>
      <c r="AC28" s="63" t="s">
        <v>61</v>
      </c>
      <c r="AD28" s="35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H)",IF(COUNTIF($B$2:$B$500,$B28)&gt;1,"Duplicate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/>
      </c>
      <c r="AE28" s="64"/>
    </row>
    <row r="29" spans="1:31">
      <c r="A29" s="53" t="s">
        <v>50</v>
      </c>
      <c r="B29" s="53" t="s">
        <v>144</v>
      </c>
      <c r="C29" s="53" t="s">
        <v>52</v>
      </c>
      <c r="D29" s="2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Delivered</v>
      </c>
      <c r="E29" s="53"/>
      <c r="F29" s="54"/>
      <c r="G29" s="53" t="s">
        <v>87</v>
      </c>
      <c r="H29" s="53" t="s">
        <v>110</v>
      </c>
      <c r="I29" s="53"/>
      <c r="J29" s="53"/>
      <c r="K29" s="55">
        <v>46203</v>
      </c>
      <c r="L29" s="53" t="s">
        <v>128</v>
      </c>
      <c r="M29" s="56">
        <v>46169</v>
      </c>
      <c r="N29" s="57"/>
      <c r="O29" s="57">
        <v>46169</v>
      </c>
      <c r="P29" s="58">
        <v>46195</v>
      </c>
      <c r="Q29" s="57"/>
      <c r="R29" s="57">
        <v>46195</v>
      </c>
      <c r="S29" s="59">
        <v>46197</v>
      </c>
      <c r="T29" s="57"/>
      <c r="U29" s="57">
        <v>46197</v>
      </c>
      <c r="V29" s="60"/>
      <c r="W29" s="57"/>
      <c r="X29" s="53"/>
      <c r="Y29" s="61" t="s">
        <v>58</v>
      </c>
      <c r="Z29" s="57">
        <v>46197</v>
      </c>
      <c r="AA29" s="62"/>
      <c r="AB29" s="53"/>
      <c r="AC29" s="63" t="s">
        <v>61</v>
      </c>
      <c r="AD29" s="35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H)",IF(COUNTIF($B$2:$B$500,$B29)&gt;1,"Duplicate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64" t="s">
        <v>145</v>
      </c>
    </row>
    <row r="30" spans="1:31">
      <c r="A30" s="53" t="s">
        <v>146</v>
      </c>
      <c r="B30" s="53" t="s">
        <v>147</v>
      </c>
      <c r="C30" s="53" t="s">
        <v>148</v>
      </c>
      <c r="D30" s="2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Blocked - needs PBI Dev to fix</v>
      </c>
      <c r="E30" s="53">
        <v>1</v>
      </c>
      <c r="F30" s="54" t="s">
        <v>149</v>
      </c>
      <c r="G30" s="53" t="s">
        <v>79</v>
      </c>
      <c r="H30" s="53" t="s">
        <v>70</v>
      </c>
      <c r="I30" s="53" t="s">
        <v>149</v>
      </c>
      <c r="J30" s="53"/>
      <c r="K30" s="55">
        <v>46234</v>
      </c>
      <c r="L30" s="53" t="s">
        <v>150</v>
      </c>
      <c r="M30" s="56"/>
      <c r="N30" s="57"/>
      <c r="O30" s="57"/>
      <c r="P30" s="58">
        <v>46223</v>
      </c>
      <c r="Q30" s="57"/>
      <c r="R30" s="57">
        <v>46223</v>
      </c>
      <c r="S30" s="59">
        <v>46227</v>
      </c>
      <c r="T30" s="57"/>
      <c r="U30" s="57">
        <v>46227</v>
      </c>
      <c r="V30" s="60"/>
      <c r="W30" s="57"/>
      <c r="X30" s="53"/>
      <c r="Y30" s="61"/>
      <c r="Z30" s="57"/>
      <c r="AA30" s="62"/>
      <c r="AB30" s="53"/>
      <c r="AC30" s="63" t="s">
        <v>151</v>
      </c>
      <c r="AD30" s="35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H)",IF(COUNTIF($B$2:$B$500,$B30)&gt;1,"Duplicate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>Blocked - log it on Rework Log</v>
      </c>
      <c r="AE30" s="64" t="s">
        <v>152</v>
      </c>
    </row>
    <row r="31" spans="1:31">
      <c r="A31" s="53" t="s">
        <v>146</v>
      </c>
      <c r="B31" s="53" t="s">
        <v>153</v>
      </c>
      <c r="C31" s="53" t="s">
        <v>148</v>
      </c>
      <c r="D31" s="2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53">
        <v>2</v>
      </c>
      <c r="F31" s="54" t="s">
        <v>149</v>
      </c>
      <c r="G31" s="53" t="s">
        <v>139</v>
      </c>
      <c r="H31" s="53" t="s">
        <v>110</v>
      </c>
      <c r="I31" s="53" t="s">
        <v>149</v>
      </c>
      <c r="J31" s="53"/>
      <c r="K31" s="55">
        <v>46234</v>
      </c>
      <c r="L31" s="53" t="s">
        <v>150</v>
      </c>
      <c r="M31" s="56"/>
      <c r="N31" s="57"/>
      <c r="O31" s="57"/>
      <c r="P31" s="58">
        <v>46224</v>
      </c>
      <c r="Q31" s="57"/>
      <c r="R31" s="57">
        <v>46224</v>
      </c>
      <c r="S31" s="59">
        <v>46227</v>
      </c>
      <c r="T31" s="57"/>
      <c r="U31" s="57">
        <v>46227</v>
      </c>
      <c r="V31" s="60"/>
      <c r="W31" s="57"/>
      <c r="X31" s="53"/>
      <c r="Y31" s="61"/>
      <c r="Z31" s="57"/>
      <c r="AA31" s="62"/>
      <c r="AB31" s="53"/>
      <c r="AC31" s="63" t="s">
        <v>61</v>
      </c>
      <c r="AD31" s="35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H)",IF(COUNTIF($B$2:$B$500,$B31)&gt;1,"Duplicate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64" t="s">
        <v>154</v>
      </c>
    </row>
    <row r="32" spans="1:31">
      <c r="A32" s="53" t="s">
        <v>146</v>
      </c>
      <c r="B32" s="53" t="s">
        <v>155</v>
      </c>
      <c r="C32" s="53" t="s">
        <v>148</v>
      </c>
      <c r="D32" s="2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No target set</v>
      </c>
      <c r="E32" s="53">
        <v>3</v>
      </c>
      <c r="F32" s="54" t="s">
        <v>149</v>
      </c>
      <c r="G32" s="53" t="s">
        <v>139</v>
      </c>
      <c r="H32" s="53" t="s">
        <v>110</v>
      </c>
      <c r="I32" s="53" t="s">
        <v>149</v>
      </c>
      <c r="J32" s="53"/>
      <c r="K32" s="55">
        <v>46234</v>
      </c>
      <c r="L32" s="53" t="s">
        <v>150</v>
      </c>
      <c r="M32" s="56"/>
      <c r="N32" s="57"/>
      <c r="O32" s="57"/>
      <c r="P32" s="58">
        <v>46230</v>
      </c>
      <c r="Q32" s="57"/>
      <c r="R32" s="57"/>
      <c r="S32" s="59"/>
      <c r="T32" s="57"/>
      <c r="U32" s="57"/>
      <c r="V32" s="60"/>
      <c r="W32" s="57"/>
      <c r="X32" s="53"/>
      <c r="Y32" s="61"/>
      <c r="Z32" s="57"/>
      <c r="AA32" s="62"/>
      <c r="AB32" s="53"/>
      <c r="AC32" s="63" t="s">
        <v>61</v>
      </c>
      <c r="AD32" s="35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H)",IF(COUNTIF($B$2:$B$500,$B32)&gt;1,"Duplicate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64" t="s">
        <v>156</v>
      </c>
    </row>
    <row r="33" spans="1:31">
      <c r="A33" s="53" t="s">
        <v>146</v>
      </c>
      <c r="B33" s="53" t="s">
        <v>157</v>
      </c>
      <c r="C33" s="53" t="s">
        <v>148</v>
      </c>
      <c r="D33" s="2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No target set</v>
      </c>
      <c r="E33" s="53">
        <v>4</v>
      </c>
      <c r="F33" s="54" t="s">
        <v>149</v>
      </c>
      <c r="G33" s="53" t="s">
        <v>69</v>
      </c>
      <c r="H33" s="53" t="s">
        <v>54</v>
      </c>
      <c r="I33" s="53" t="s">
        <v>149</v>
      </c>
      <c r="J33" s="53"/>
      <c r="K33" s="55">
        <v>46234</v>
      </c>
      <c r="L33" s="53" t="s">
        <v>150</v>
      </c>
      <c r="M33" s="56"/>
      <c r="N33" s="57"/>
      <c r="O33" s="57"/>
      <c r="P33" s="58">
        <v>46230</v>
      </c>
      <c r="Q33" s="57"/>
      <c r="R33" s="57"/>
      <c r="S33" s="59"/>
      <c r="T33" s="57"/>
      <c r="U33" s="57"/>
      <c r="V33" s="60"/>
      <c r="W33" s="57"/>
      <c r="X33" s="53"/>
      <c r="Y33" s="61"/>
      <c r="Z33" s="57"/>
      <c r="AA33" s="62"/>
      <c r="AB33" s="53"/>
      <c r="AC33" s="63" t="s">
        <v>61</v>
      </c>
      <c r="AD33" s="35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H)",IF(COUNTIF($B$2:$B$500,$B33)&gt;1,"Duplicate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64" t="s">
        <v>158</v>
      </c>
    </row>
    <row r="34" spans="1:31">
      <c r="A34" s="53" t="s">
        <v>146</v>
      </c>
      <c r="B34" s="53" t="s">
        <v>159</v>
      </c>
      <c r="C34" s="53" t="s">
        <v>148</v>
      </c>
      <c r="D34" s="2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On track</v>
      </c>
      <c r="E34" s="53">
        <v>5</v>
      </c>
      <c r="F34" s="54" t="s">
        <v>149</v>
      </c>
      <c r="G34" s="53" t="s">
        <v>107</v>
      </c>
      <c r="H34" s="53" t="s">
        <v>110</v>
      </c>
      <c r="I34" s="53" t="s">
        <v>55</v>
      </c>
      <c r="J34" s="53"/>
      <c r="K34" s="55">
        <v>46234</v>
      </c>
      <c r="L34" s="53" t="s">
        <v>150</v>
      </c>
      <c r="M34" s="56"/>
      <c r="N34" s="57"/>
      <c r="O34" s="57"/>
      <c r="P34" s="58">
        <v>46218</v>
      </c>
      <c r="Q34" s="57"/>
      <c r="R34" s="57">
        <v>46226</v>
      </c>
      <c r="S34" s="59">
        <v>46225</v>
      </c>
      <c r="T34" s="57"/>
      <c r="U34" s="57">
        <v>46225</v>
      </c>
      <c r="V34" s="60"/>
      <c r="W34" s="57"/>
      <c r="X34" s="53"/>
      <c r="Y34" s="61"/>
      <c r="Z34" s="57"/>
      <c r="AA34" s="62"/>
      <c r="AB34" s="53"/>
      <c r="AC34" s="63" t="s">
        <v>61</v>
      </c>
      <c r="AD34" s="35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H)",IF(COUNTIF($B$2:$B$500,$B34)&gt;1,"Duplicate name - check row",IF(COUNTIF('Rework Log'!$A$3:$A$500,$B34)&gt;0,"",IF(AND(S34&lt;&gt;"",M34&lt;&gt;"",S34&lt;M34),"QA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64" t="s">
        <v>160</v>
      </c>
    </row>
    <row r="35" spans="1:31">
      <c r="A35" s="53" t="s">
        <v>146</v>
      </c>
      <c r="B35" s="53" t="s">
        <v>161</v>
      </c>
      <c r="C35" s="53" t="s">
        <v>162</v>
      </c>
      <c r="D35" s="2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Blocked - needs DB Dev to fix - unclaimed</v>
      </c>
      <c r="E35" s="53">
        <v>6</v>
      </c>
      <c r="F35" s="54" t="s">
        <v>163</v>
      </c>
      <c r="G35" s="53" t="s">
        <v>87</v>
      </c>
      <c r="H35" s="53" t="s">
        <v>70</v>
      </c>
      <c r="I35" s="53" t="s">
        <v>163</v>
      </c>
      <c r="J35" s="53"/>
      <c r="K35" s="55">
        <v>46234</v>
      </c>
      <c r="L35" s="53" t="s">
        <v>150</v>
      </c>
      <c r="M35" s="56"/>
      <c r="N35" s="57"/>
      <c r="O35" s="57"/>
      <c r="P35" s="58">
        <v>46220</v>
      </c>
      <c r="Q35" s="57"/>
      <c r="R35" s="57">
        <v>46220</v>
      </c>
      <c r="S35" s="59">
        <v>46225</v>
      </c>
      <c r="T35" s="57"/>
      <c r="U35" s="57">
        <v>46225</v>
      </c>
      <c r="V35" s="60"/>
      <c r="W35" s="57"/>
      <c r="X35" s="53"/>
      <c r="Y35" s="61"/>
      <c r="Z35" s="57"/>
      <c r="AA35" s="62"/>
      <c r="AB35" s="53"/>
      <c r="AC35" s="63" t="s">
        <v>164</v>
      </c>
      <c r="AD35" s="35" t="str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H)",IF(COUNTIF($B$2:$B$500,$B35)&gt;1,"Duplicate name - check row",IF(COUNTIF('Rework Log'!$A$3:$A$500,$B35)&gt;0,"",IF(AND(S35&lt;&gt;"",M35&lt;&gt;"",S35&lt;M35),"QA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/>
      </c>
      <c r="AE35" s="64" t="s">
        <v>165</v>
      </c>
    </row>
    <row r="36" spans="1:31">
      <c r="A36" s="53" t="s">
        <v>146</v>
      </c>
      <c r="B36" s="53" t="s">
        <v>166</v>
      </c>
      <c r="C36" s="53" t="s">
        <v>162</v>
      </c>
      <c r="D36" s="2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53">
        <v>7</v>
      </c>
      <c r="F36" s="54" t="s">
        <v>163</v>
      </c>
      <c r="G36" s="53" t="s">
        <v>139</v>
      </c>
      <c r="H36" s="53" t="s">
        <v>54</v>
      </c>
      <c r="I36" s="53" t="s">
        <v>163</v>
      </c>
      <c r="J36" s="53"/>
      <c r="K36" s="55">
        <v>46234</v>
      </c>
      <c r="L36" s="53" t="s">
        <v>150</v>
      </c>
      <c r="M36" s="56"/>
      <c r="N36" s="57"/>
      <c r="O36" s="57"/>
      <c r="P36" s="58">
        <v>46223</v>
      </c>
      <c r="Q36" s="57"/>
      <c r="R36" s="57">
        <v>46223</v>
      </c>
      <c r="S36" s="59">
        <v>46225</v>
      </c>
      <c r="T36" s="57"/>
      <c r="U36" s="57">
        <v>46225</v>
      </c>
      <c r="V36" s="60"/>
      <c r="W36" s="57"/>
      <c r="X36" s="53"/>
      <c r="Y36" s="61"/>
      <c r="Z36" s="57"/>
      <c r="AA36" s="62"/>
      <c r="AB36" s="53"/>
      <c r="AC36" s="63" t="s">
        <v>61</v>
      </c>
      <c r="AD36" s="35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H)",IF(COUNTIF($B$2:$B$500,$B36)&gt;1,"Duplicate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64" t="s">
        <v>167</v>
      </c>
    </row>
    <row r="37" spans="1:31">
      <c r="A37" s="53" t="s">
        <v>146</v>
      </c>
      <c r="B37" s="53" t="s">
        <v>168</v>
      </c>
      <c r="C37" s="53" t="s">
        <v>148</v>
      </c>
      <c r="D37" s="2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No target set</v>
      </c>
      <c r="E37" s="53">
        <v>8</v>
      </c>
      <c r="F37" s="54" t="s">
        <v>163</v>
      </c>
      <c r="G37" s="53" t="s">
        <v>139</v>
      </c>
      <c r="H37" s="53" t="s">
        <v>54</v>
      </c>
      <c r="I37" s="53" t="s">
        <v>163</v>
      </c>
      <c r="J37" s="53"/>
      <c r="K37" s="55">
        <v>46234</v>
      </c>
      <c r="L37" s="53" t="s">
        <v>150</v>
      </c>
      <c r="M37" s="56"/>
      <c r="N37" s="57"/>
      <c r="O37" s="57"/>
      <c r="P37" s="58">
        <v>46224</v>
      </c>
      <c r="Q37" s="57"/>
      <c r="R37" s="57"/>
      <c r="S37" s="59"/>
      <c r="T37" s="57"/>
      <c r="U37" s="57"/>
      <c r="V37" s="60"/>
      <c r="W37" s="57"/>
      <c r="X37" s="53"/>
      <c r="Y37" s="61"/>
      <c r="Z37" s="57"/>
      <c r="AA37" s="62"/>
      <c r="AB37" s="53"/>
      <c r="AC37" s="63" t="s">
        <v>61</v>
      </c>
      <c r="AD37" s="35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H)",IF(COUNTIF($B$2:$B$500,$B37)&gt;1,"Duplicate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64" t="s">
        <v>169</v>
      </c>
    </row>
    <row r="38" spans="1:31">
      <c r="A38" s="53" t="s">
        <v>146</v>
      </c>
      <c r="B38" s="53" t="s">
        <v>170</v>
      </c>
      <c r="C38" s="53" t="s">
        <v>148</v>
      </c>
      <c r="D38" s="2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No target set</v>
      </c>
      <c r="E38" s="53">
        <v>9</v>
      </c>
      <c r="F38" s="54" t="s">
        <v>163</v>
      </c>
      <c r="G38" s="53" t="s">
        <v>87</v>
      </c>
      <c r="H38" s="53" t="s">
        <v>70</v>
      </c>
      <c r="I38" s="53" t="s">
        <v>163</v>
      </c>
      <c r="J38" s="53"/>
      <c r="K38" s="55">
        <v>46234</v>
      </c>
      <c r="L38" s="53" t="s">
        <v>150</v>
      </c>
      <c r="M38" s="56"/>
      <c r="N38" s="57"/>
      <c r="O38" s="57"/>
      <c r="P38" s="58">
        <v>46230</v>
      </c>
      <c r="Q38" s="57"/>
      <c r="R38" s="57"/>
      <c r="S38" s="59"/>
      <c r="T38" s="57"/>
      <c r="U38" s="57"/>
      <c r="V38" s="60"/>
      <c r="W38" s="57"/>
      <c r="X38" s="53"/>
      <c r="Y38" s="61"/>
      <c r="Z38" s="57"/>
      <c r="AA38" s="62"/>
      <c r="AB38" s="53"/>
      <c r="AC38" s="63" t="s">
        <v>61</v>
      </c>
      <c r="AD38" s="35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H)",IF(COUNTIF($B$2:$B$500,$B38)&gt;1,"Duplicate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64" t="s">
        <v>171</v>
      </c>
    </row>
    <row r="39" spans="1:31">
      <c r="A39" s="53" t="s">
        <v>146</v>
      </c>
      <c r="B39" s="53" t="s">
        <v>172</v>
      </c>
      <c r="C39" s="53" t="s">
        <v>148</v>
      </c>
      <c r="D39" s="2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No target set</v>
      </c>
      <c r="E39" s="53" t="s">
        <v>173</v>
      </c>
      <c r="F39" s="54" t="s">
        <v>163</v>
      </c>
      <c r="G39" s="53" t="s">
        <v>174</v>
      </c>
      <c r="H39" s="53" t="s">
        <v>70</v>
      </c>
      <c r="I39" s="53" t="s">
        <v>163</v>
      </c>
      <c r="J39" s="53"/>
      <c r="K39" s="55">
        <v>46234</v>
      </c>
      <c r="L39" s="53" t="s">
        <v>150</v>
      </c>
      <c r="M39" s="56"/>
      <c r="N39" s="57"/>
      <c r="O39" s="57"/>
      <c r="P39" s="58">
        <v>46230</v>
      </c>
      <c r="Q39" s="57"/>
      <c r="R39" s="57"/>
      <c r="S39" s="59"/>
      <c r="T39" s="57"/>
      <c r="U39" s="57"/>
      <c r="V39" s="60"/>
      <c r="W39" s="57"/>
      <c r="X39" s="53"/>
      <c r="Y39" s="61"/>
      <c r="Z39" s="57"/>
      <c r="AA39" s="62"/>
      <c r="AB39" s="53"/>
      <c r="AC39" s="63" t="s">
        <v>61</v>
      </c>
      <c r="AD39" s="35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H)",IF(COUNTIF($B$2:$B$500,$B39)&gt;1,"Duplicate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64"/>
    </row>
    <row r="40" spans="1:31">
      <c r="A40" s="53" t="s">
        <v>146</v>
      </c>
      <c r="B40" s="53" t="s">
        <v>175</v>
      </c>
      <c r="C40" s="53" t="s">
        <v>148</v>
      </c>
      <c r="D40" s="2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No target set</v>
      </c>
      <c r="E40" s="53">
        <v>11</v>
      </c>
      <c r="F40" s="54" t="s">
        <v>163</v>
      </c>
      <c r="G40" s="53" t="s">
        <v>174</v>
      </c>
      <c r="H40" s="53" t="s">
        <v>110</v>
      </c>
      <c r="I40" s="53" t="s">
        <v>55</v>
      </c>
      <c r="J40" s="53"/>
      <c r="K40" s="55">
        <v>46234</v>
      </c>
      <c r="L40" s="53" t="s">
        <v>150</v>
      </c>
      <c r="M40" s="56">
        <v>46223</v>
      </c>
      <c r="N40" s="57"/>
      <c r="O40" s="57">
        <v>46223</v>
      </c>
      <c r="P40" s="58">
        <v>46230</v>
      </c>
      <c r="Q40" s="57"/>
      <c r="R40" s="57">
        <v>46226</v>
      </c>
      <c r="S40" s="59"/>
      <c r="T40" s="57"/>
      <c r="U40" s="57"/>
      <c r="V40" s="60"/>
      <c r="W40" s="57"/>
      <c r="X40" s="53"/>
      <c r="Y40" s="61"/>
      <c r="Z40" s="57"/>
      <c r="AA40" s="62"/>
      <c r="AB40" s="53"/>
      <c r="AC40" s="63" t="s">
        <v>61</v>
      </c>
      <c r="AD40" s="35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H)",IF(COUNTIF($B$2:$B$500,$B40)&gt;1,"Duplicate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64" t="s">
        <v>176</v>
      </c>
    </row>
    <row r="41" spans="1:31">
      <c r="A41" s="53" t="s">
        <v>146</v>
      </c>
      <c r="B41" s="53" t="s">
        <v>177</v>
      </c>
      <c r="C41" s="53" t="s">
        <v>148</v>
      </c>
      <c r="D41" s="2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No target set</v>
      </c>
      <c r="E41" s="53">
        <v>13</v>
      </c>
      <c r="F41" s="54" t="s">
        <v>149</v>
      </c>
      <c r="G41" s="53" t="s">
        <v>79</v>
      </c>
      <c r="H41" s="53" t="s">
        <v>54</v>
      </c>
      <c r="I41" s="53" t="s">
        <v>55</v>
      </c>
      <c r="J41" s="53"/>
      <c r="K41" s="55">
        <v>46234</v>
      </c>
      <c r="L41" s="53" t="s">
        <v>150</v>
      </c>
      <c r="M41" s="56"/>
      <c r="N41" s="57"/>
      <c r="O41" s="57"/>
      <c r="P41" s="58">
        <v>46230</v>
      </c>
      <c r="Q41" s="57"/>
      <c r="R41" s="57"/>
      <c r="S41" s="59"/>
      <c r="T41" s="57"/>
      <c r="U41" s="57"/>
      <c r="V41" s="60"/>
      <c r="W41" s="57"/>
      <c r="X41" s="53"/>
      <c r="Y41" s="61"/>
      <c r="Z41" s="57"/>
      <c r="AA41" s="62"/>
      <c r="AB41" s="53"/>
      <c r="AC41" s="63" t="s">
        <v>61</v>
      </c>
      <c r="AD41" s="35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H)",IF(COUNTIF($B$2:$B$500,$B41)&gt;1,"Duplicate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64"/>
    </row>
    <row r="42" spans="1:31">
      <c r="A42" s="53" t="s">
        <v>146</v>
      </c>
      <c r="B42" s="53" t="s">
        <v>178</v>
      </c>
      <c r="C42" s="53" t="s">
        <v>148</v>
      </c>
      <c r="D42" s="2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No target set</v>
      </c>
      <c r="E42" s="53">
        <v>14</v>
      </c>
      <c r="F42" s="54" t="s">
        <v>149</v>
      </c>
      <c r="G42" s="53" t="s">
        <v>69</v>
      </c>
      <c r="H42" s="53" t="s">
        <v>70</v>
      </c>
      <c r="I42" s="53" t="s">
        <v>55</v>
      </c>
      <c r="J42" s="53"/>
      <c r="K42" s="55">
        <v>46234</v>
      </c>
      <c r="L42" s="53" t="s">
        <v>150</v>
      </c>
      <c r="M42" s="56"/>
      <c r="N42" s="57"/>
      <c r="O42" s="57"/>
      <c r="P42" s="58">
        <v>46230</v>
      </c>
      <c r="Q42" s="57"/>
      <c r="R42" s="57"/>
      <c r="S42" s="59"/>
      <c r="T42" s="57"/>
      <c r="U42" s="57"/>
      <c r="V42" s="60"/>
      <c r="W42" s="57"/>
      <c r="X42" s="53"/>
      <c r="Y42" s="61"/>
      <c r="Z42" s="57"/>
      <c r="AA42" s="62"/>
      <c r="AB42" s="53"/>
      <c r="AC42" s="63" t="s">
        <v>61</v>
      </c>
      <c r="AD42" s="35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H)",IF(COUNTIF($B$2:$B$500,$B42)&gt;1,"Duplicate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64"/>
    </row>
    <row r="43" spans="1:31">
      <c r="A43" s="53" t="s">
        <v>146</v>
      </c>
      <c r="B43" s="53" t="s">
        <v>179</v>
      </c>
      <c r="C43" s="53" t="s">
        <v>148</v>
      </c>
      <c r="D43" s="2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No target set</v>
      </c>
      <c r="E43" s="53">
        <v>15</v>
      </c>
      <c r="F43" s="54" t="s">
        <v>163</v>
      </c>
      <c r="G43" s="53" t="s">
        <v>79</v>
      </c>
      <c r="H43" s="53" t="s">
        <v>110</v>
      </c>
      <c r="I43" s="53" t="s">
        <v>55</v>
      </c>
      <c r="J43" s="53"/>
      <c r="K43" s="55">
        <v>46234</v>
      </c>
      <c r="L43" s="53" t="s">
        <v>150</v>
      </c>
      <c r="M43" s="56"/>
      <c r="N43" s="57"/>
      <c r="O43" s="57"/>
      <c r="P43" s="58">
        <v>46230</v>
      </c>
      <c r="Q43" s="57"/>
      <c r="R43" s="57"/>
      <c r="S43" s="59"/>
      <c r="T43" s="57"/>
      <c r="U43" s="57"/>
      <c r="V43" s="60"/>
      <c r="W43" s="57"/>
      <c r="X43" s="53"/>
      <c r="Y43" s="61"/>
      <c r="Z43" s="57"/>
      <c r="AA43" s="62"/>
      <c r="AB43" s="53"/>
      <c r="AC43" s="63" t="s">
        <v>61</v>
      </c>
      <c r="AD43" s="35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H)",IF(COUNTIF($B$2:$B$500,$B43)&gt;1,"Duplicate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64"/>
    </row>
    <row r="44" spans="1:31">
      <c r="A44" s="53" t="s">
        <v>146</v>
      </c>
      <c r="B44" s="53" t="s">
        <v>180</v>
      </c>
      <c r="C44" s="53" t="s">
        <v>148</v>
      </c>
      <c r="D44" s="2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No target set</v>
      </c>
      <c r="E44" s="53" t="s">
        <v>181</v>
      </c>
      <c r="F44" s="54"/>
      <c r="G44" s="53" t="s">
        <v>107</v>
      </c>
      <c r="H44" s="53"/>
      <c r="I44" s="53"/>
      <c r="J44" s="53"/>
      <c r="K44" s="55">
        <v>46265</v>
      </c>
      <c r="L44" s="53" t="s">
        <v>182</v>
      </c>
      <c r="M44" s="56"/>
      <c r="N44" s="57"/>
      <c r="O44" s="57"/>
      <c r="P44" s="58"/>
      <c r="Q44" s="57"/>
      <c r="R44" s="57"/>
      <c r="S44" s="59"/>
      <c r="T44" s="57"/>
      <c r="U44" s="57"/>
      <c r="V44" s="60"/>
      <c r="W44" s="57"/>
      <c r="X44" s="53"/>
      <c r="Y44" s="61"/>
      <c r="Z44" s="57"/>
      <c r="AA44" s="62"/>
      <c r="AB44" s="53"/>
      <c r="AC44" s="63" t="s">
        <v>61</v>
      </c>
      <c r="AD44" s="35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H)",IF(COUNTIF($B$2:$B$500,$B44)&gt;1,"Duplicate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64"/>
    </row>
    <row r="45" spans="1:31">
      <c r="A45" s="53" t="s">
        <v>146</v>
      </c>
      <c r="B45" s="53" t="s">
        <v>183</v>
      </c>
      <c r="C45" s="53" t="s">
        <v>184</v>
      </c>
      <c r="D45" s="2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53">
        <v>18</v>
      </c>
      <c r="F45" s="54"/>
      <c r="G45" s="53" t="s">
        <v>69</v>
      </c>
      <c r="H45" s="53"/>
      <c r="I45" s="53"/>
      <c r="J45" s="53"/>
      <c r="K45" s="55">
        <v>46265</v>
      </c>
      <c r="L45" s="53" t="s">
        <v>182</v>
      </c>
      <c r="M45" s="56"/>
      <c r="N45" s="57"/>
      <c r="O45" s="57"/>
      <c r="P45" s="58"/>
      <c r="Q45" s="57"/>
      <c r="R45" s="57"/>
      <c r="S45" s="59"/>
      <c r="T45" s="57"/>
      <c r="U45" s="57"/>
      <c r="V45" s="60"/>
      <c r="W45" s="57"/>
      <c r="X45" s="53"/>
      <c r="Y45" s="61"/>
      <c r="Z45" s="57"/>
      <c r="AA45" s="62"/>
      <c r="AB45" s="53"/>
      <c r="AC45" s="63" t="s">
        <v>61</v>
      </c>
      <c r="AD45" s="35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H)",IF(COUNTIF($B$2:$B$500,$B45)&gt;1,"Duplicate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64"/>
    </row>
    <row r="46" spans="1:31">
      <c r="A46" s="53" t="s">
        <v>146</v>
      </c>
      <c r="B46" s="53" t="s">
        <v>185</v>
      </c>
      <c r="C46" s="53" t="s">
        <v>184</v>
      </c>
      <c r="D46" s="2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53">
        <v>19</v>
      </c>
      <c r="F46" s="54"/>
      <c r="G46" s="53" t="s">
        <v>53</v>
      </c>
      <c r="H46" s="53"/>
      <c r="I46" s="53"/>
      <c r="J46" s="53"/>
      <c r="K46" s="55">
        <v>46265</v>
      </c>
      <c r="L46" s="53" t="s">
        <v>182</v>
      </c>
      <c r="M46" s="56"/>
      <c r="N46" s="57"/>
      <c r="O46" s="57"/>
      <c r="P46" s="58"/>
      <c r="Q46" s="57"/>
      <c r="R46" s="57"/>
      <c r="S46" s="59"/>
      <c r="T46" s="57"/>
      <c r="U46" s="57"/>
      <c r="V46" s="60"/>
      <c r="W46" s="57"/>
      <c r="X46" s="53"/>
      <c r="Y46" s="61"/>
      <c r="Z46" s="57"/>
      <c r="AA46" s="62"/>
      <c r="AB46" s="53"/>
      <c r="AC46" s="63" t="s">
        <v>61</v>
      </c>
      <c r="AD46" s="35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H)",IF(COUNTIF($B$2:$B$500,$B46)&gt;1,"Duplicate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64"/>
    </row>
    <row r="47" spans="1:31">
      <c r="A47" s="53" t="s">
        <v>146</v>
      </c>
      <c r="B47" s="53" t="s">
        <v>186</v>
      </c>
      <c r="C47" s="53" t="s">
        <v>148</v>
      </c>
      <c r="D47" s="2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No target set</v>
      </c>
      <c r="E47" s="53">
        <v>20</v>
      </c>
      <c r="F47" s="54"/>
      <c r="G47" s="53" t="s">
        <v>87</v>
      </c>
      <c r="H47" s="53"/>
      <c r="I47" s="53"/>
      <c r="J47" s="53"/>
      <c r="K47" s="55">
        <v>46265</v>
      </c>
      <c r="L47" s="53" t="s">
        <v>182</v>
      </c>
      <c r="M47" s="56"/>
      <c r="N47" s="57"/>
      <c r="O47" s="57"/>
      <c r="P47" s="58"/>
      <c r="Q47" s="57"/>
      <c r="R47" s="57"/>
      <c r="S47" s="59"/>
      <c r="T47" s="57"/>
      <c r="U47" s="57"/>
      <c r="V47" s="60"/>
      <c r="W47" s="57"/>
      <c r="X47" s="53"/>
      <c r="Y47" s="61"/>
      <c r="Z47" s="57"/>
      <c r="AA47" s="62"/>
      <c r="AB47" s="53"/>
      <c r="AC47" s="63" t="s">
        <v>61</v>
      </c>
      <c r="AD47" s="35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H)",IF(COUNTIF($B$2:$B$500,$B47)&gt;1,"Duplicate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64"/>
    </row>
    <row r="48" spans="1:31">
      <c r="A48" s="53" t="s">
        <v>146</v>
      </c>
      <c r="B48" s="53" t="s">
        <v>187</v>
      </c>
      <c r="C48" s="53" t="s">
        <v>184</v>
      </c>
      <c r="D48" s="2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53">
        <v>21</v>
      </c>
      <c r="F48" s="54"/>
      <c r="G48" s="53" t="s">
        <v>174</v>
      </c>
      <c r="H48" s="53"/>
      <c r="I48" s="53"/>
      <c r="J48" s="53"/>
      <c r="K48" s="55">
        <v>46265</v>
      </c>
      <c r="L48" s="53" t="s">
        <v>182</v>
      </c>
      <c r="M48" s="56"/>
      <c r="N48" s="57"/>
      <c r="O48" s="57"/>
      <c r="P48" s="58"/>
      <c r="Q48" s="57"/>
      <c r="R48" s="57"/>
      <c r="S48" s="59"/>
      <c r="T48" s="57"/>
      <c r="U48" s="57"/>
      <c r="V48" s="60"/>
      <c r="W48" s="57"/>
      <c r="X48" s="53"/>
      <c r="Y48" s="61"/>
      <c r="Z48" s="57"/>
      <c r="AA48" s="62"/>
      <c r="AB48" s="53"/>
      <c r="AC48" s="63" t="s">
        <v>61</v>
      </c>
      <c r="AD48" s="35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H)",IF(COUNTIF($B$2:$B$500,$B48)&gt;1,"Duplicate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64"/>
    </row>
    <row r="49" spans="1:31">
      <c r="A49" s="53" t="s">
        <v>146</v>
      </c>
      <c r="B49" s="53" t="s">
        <v>188</v>
      </c>
      <c r="C49" s="53" t="s">
        <v>184</v>
      </c>
      <c r="D49" s="2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53">
        <v>22</v>
      </c>
      <c r="F49" s="54"/>
      <c r="G49" s="53" t="s">
        <v>69</v>
      </c>
      <c r="H49" s="53"/>
      <c r="I49" s="53"/>
      <c r="J49" s="53"/>
      <c r="K49" s="55">
        <v>46265</v>
      </c>
      <c r="L49" s="53" t="s">
        <v>182</v>
      </c>
      <c r="M49" s="56"/>
      <c r="N49" s="57"/>
      <c r="O49" s="57"/>
      <c r="P49" s="58"/>
      <c r="Q49" s="57"/>
      <c r="R49" s="57"/>
      <c r="S49" s="59"/>
      <c r="T49" s="57"/>
      <c r="U49" s="57"/>
      <c r="V49" s="60"/>
      <c r="W49" s="57"/>
      <c r="X49" s="53"/>
      <c r="Y49" s="61"/>
      <c r="Z49" s="57"/>
      <c r="AA49" s="62"/>
      <c r="AB49" s="53"/>
      <c r="AC49" s="63" t="s">
        <v>61</v>
      </c>
      <c r="AD49" s="35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H)",IF(COUNTIF($B$2:$B$500,$B49)&gt;1,"Duplicate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64"/>
    </row>
    <row r="50" spans="1:31">
      <c r="A50" s="53" t="s">
        <v>146</v>
      </c>
      <c r="B50" s="53" t="s">
        <v>189</v>
      </c>
      <c r="C50" s="53" t="s">
        <v>184</v>
      </c>
      <c r="D50" s="2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53">
        <v>23</v>
      </c>
      <c r="F50" s="54"/>
      <c r="G50" s="53" t="s">
        <v>174</v>
      </c>
      <c r="H50" s="53"/>
      <c r="I50" s="53"/>
      <c r="J50" s="53"/>
      <c r="K50" s="55">
        <v>46265</v>
      </c>
      <c r="L50" s="53" t="s">
        <v>182</v>
      </c>
      <c r="M50" s="56"/>
      <c r="N50" s="57"/>
      <c r="O50" s="57"/>
      <c r="P50" s="58"/>
      <c r="Q50" s="57"/>
      <c r="R50" s="57"/>
      <c r="S50" s="59"/>
      <c r="T50" s="57"/>
      <c r="U50" s="57"/>
      <c r="V50" s="60"/>
      <c r="W50" s="57"/>
      <c r="X50" s="53"/>
      <c r="Y50" s="61"/>
      <c r="Z50" s="57"/>
      <c r="AA50" s="62"/>
      <c r="AB50" s="53"/>
      <c r="AC50" s="63" t="s">
        <v>61</v>
      </c>
      <c r="AD50" s="35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H)",IF(COUNTIF($B$2:$B$500,$B50)&gt;1,"Duplicate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64"/>
    </row>
    <row r="51" spans="1:31">
      <c r="A51" s="53" t="s">
        <v>146</v>
      </c>
      <c r="B51" s="53" t="s">
        <v>190</v>
      </c>
      <c r="C51" s="53" t="s">
        <v>184</v>
      </c>
      <c r="D51" s="2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53">
        <v>25</v>
      </c>
      <c r="F51" s="54"/>
      <c r="G51" s="53" t="s">
        <v>53</v>
      </c>
      <c r="H51" s="53"/>
      <c r="I51" s="53"/>
      <c r="J51" s="53"/>
      <c r="K51" s="55">
        <v>46265</v>
      </c>
      <c r="L51" s="53" t="s">
        <v>182</v>
      </c>
      <c r="M51" s="56"/>
      <c r="N51" s="57"/>
      <c r="O51" s="57"/>
      <c r="P51" s="58"/>
      <c r="Q51" s="57"/>
      <c r="R51" s="57"/>
      <c r="S51" s="59"/>
      <c r="T51" s="57"/>
      <c r="U51" s="57"/>
      <c r="V51" s="60"/>
      <c r="W51" s="57"/>
      <c r="X51" s="53"/>
      <c r="Y51" s="61"/>
      <c r="Z51" s="57"/>
      <c r="AA51" s="62"/>
      <c r="AB51" s="53"/>
      <c r="AC51" s="63" t="s">
        <v>61</v>
      </c>
      <c r="AD51" s="35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H)",IF(COUNTIF($B$2:$B$500,$B51)&gt;1,"Duplicate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64"/>
    </row>
    <row r="52" spans="1:31">
      <c r="A52" s="53" t="s">
        <v>146</v>
      </c>
      <c r="B52" s="53" t="s">
        <v>191</v>
      </c>
      <c r="C52" s="53" t="s">
        <v>184</v>
      </c>
      <c r="D52" s="2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53">
        <v>26</v>
      </c>
      <c r="F52" s="54"/>
      <c r="G52" s="53" t="s">
        <v>87</v>
      </c>
      <c r="H52" s="53"/>
      <c r="I52" s="53"/>
      <c r="J52" s="53"/>
      <c r="K52" s="55">
        <v>46265</v>
      </c>
      <c r="L52" s="53" t="s">
        <v>182</v>
      </c>
      <c r="M52" s="56"/>
      <c r="N52" s="57"/>
      <c r="O52" s="57"/>
      <c r="P52" s="58"/>
      <c r="Q52" s="57"/>
      <c r="R52" s="57"/>
      <c r="S52" s="59"/>
      <c r="T52" s="57"/>
      <c r="U52" s="57"/>
      <c r="V52" s="60"/>
      <c r="W52" s="57"/>
      <c r="X52" s="53"/>
      <c r="Y52" s="61"/>
      <c r="Z52" s="57"/>
      <c r="AA52" s="62"/>
      <c r="AB52" s="53"/>
      <c r="AC52" s="63" t="s">
        <v>61</v>
      </c>
      <c r="AD52" s="35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H)",IF(COUNTIF($B$2:$B$500,$B52)&gt;1,"Duplicate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64"/>
    </row>
    <row r="53" spans="1:31">
      <c r="A53" s="53" t="s">
        <v>146</v>
      </c>
      <c r="B53" s="53" t="s">
        <v>192</v>
      </c>
      <c r="C53" s="53" t="s">
        <v>184</v>
      </c>
      <c r="D53" s="2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53">
        <v>27</v>
      </c>
      <c r="F53" s="54"/>
      <c r="G53" s="53" t="s">
        <v>139</v>
      </c>
      <c r="H53" s="53"/>
      <c r="I53" s="53"/>
      <c r="J53" s="53"/>
      <c r="K53" s="55">
        <v>46265</v>
      </c>
      <c r="L53" s="53" t="s">
        <v>182</v>
      </c>
      <c r="M53" s="56"/>
      <c r="N53" s="57"/>
      <c r="O53" s="57"/>
      <c r="P53" s="58"/>
      <c r="Q53" s="57"/>
      <c r="R53" s="57"/>
      <c r="S53" s="59"/>
      <c r="T53" s="57"/>
      <c r="U53" s="57"/>
      <c r="V53" s="60"/>
      <c r="W53" s="57"/>
      <c r="X53" s="53"/>
      <c r="Y53" s="61"/>
      <c r="Z53" s="57"/>
      <c r="AA53" s="62"/>
      <c r="AB53" s="53"/>
      <c r="AC53" s="63" t="s">
        <v>61</v>
      </c>
      <c r="AD53" s="35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H)",IF(COUNTIF($B$2:$B$500,$B53)&gt;1,"Duplicate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64"/>
    </row>
    <row r="54" spans="1:31">
      <c r="A54" s="53" t="s">
        <v>146</v>
      </c>
      <c r="B54" s="53" t="s">
        <v>193</v>
      </c>
      <c r="C54" s="53" t="s">
        <v>184</v>
      </c>
      <c r="D54" s="2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53">
        <v>29</v>
      </c>
      <c r="F54" s="54"/>
      <c r="G54" s="53" t="s">
        <v>79</v>
      </c>
      <c r="H54" s="53"/>
      <c r="I54" s="53"/>
      <c r="J54" s="53"/>
      <c r="K54" s="55">
        <v>46265</v>
      </c>
      <c r="L54" s="53" t="s">
        <v>182</v>
      </c>
      <c r="M54" s="56"/>
      <c r="N54" s="57"/>
      <c r="O54" s="57"/>
      <c r="P54" s="58"/>
      <c r="Q54" s="57"/>
      <c r="R54" s="57"/>
      <c r="S54" s="59"/>
      <c r="T54" s="57"/>
      <c r="U54" s="57"/>
      <c r="V54" s="60"/>
      <c r="W54" s="57"/>
      <c r="X54" s="53"/>
      <c r="Y54" s="61"/>
      <c r="Z54" s="57"/>
      <c r="AA54" s="62"/>
      <c r="AB54" s="53"/>
      <c r="AC54" s="63" t="s">
        <v>61</v>
      </c>
      <c r="AD54" s="35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H)",IF(COUNTIF($B$2:$B$500,$B54)&gt;1,"Duplicate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64"/>
    </row>
    <row r="55" spans="1:31">
      <c r="A55" s="53" t="s">
        <v>146</v>
      </c>
      <c r="B55" s="53" t="s">
        <v>194</v>
      </c>
      <c r="C55" s="53" t="s">
        <v>184</v>
      </c>
      <c r="D55" s="2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53">
        <v>30</v>
      </c>
      <c r="F55" s="54"/>
      <c r="G55" s="53"/>
      <c r="H55" s="53"/>
      <c r="I55" s="53"/>
      <c r="J55" s="53"/>
      <c r="K55" s="55">
        <v>46265</v>
      </c>
      <c r="L55" s="53" t="s">
        <v>182</v>
      </c>
      <c r="M55" s="56"/>
      <c r="N55" s="57"/>
      <c r="O55" s="57"/>
      <c r="P55" s="58"/>
      <c r="Q55" s="57"/>
      <c r="R55" s="57"/>
      <c r="S55" s="59"/>
      <c r="T55" s="57"/>
      <c r="U55" s="57"/>
      <c r="V55" s="60"/>
      <c r="W55" s="57"/>
      <c r="X55" s="53"/>
      <c r="Y55" s="61"/>
      <c r="Z55" s="57"/>
      <c r="AA55" s="62"/>
      <c r="AB55" s="53"/>
      <c r="AC55" s="63" t="s">
        <v>61</v>
      </c>
      <c r="AD55" s="35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H)",IF(COUNTIF($B$2:$B$500,$B55)&gt;1,"Duplicate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64"/>
    </row>
    <row r="56" spans="1:31">
      <c r="A56" s="53" t="s">
        <v>146</v>
      </c>
      <c r="B56" s="53" t="s">
        <v>195</v>
      </c>
      <c r="C56" s="53" t="s">
        <v>184</v>
      </c>
      <c r="D56" s="2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53">
        <v>31</v>
      </c>
      <c r="F56" s="54"/>
      <c r="G56" s="53"/>
      <c r="H56" s="53"/>
      <c r="I56" s="53"/>
      <c r="J56" s="53"/>
      <c r="K56" s="55">
        <v>46295</v>
      </c>
      <c r="L56" s="53" t="s">
        <v>196</v>
      </c>
      <c r="M56" s="56"/>
      <c r="N56" s="57"/>
      <c r="O56" s="57"/>
      <c r="P56" s="58"/>
      <c r="Q56" s="57"/>
      <c r="R56" s="57"/>
      <c r="S56" s="59"/>
      <c r="T56" s="57"/>
      <c r="U56" s="57"/>
      <c r="V56" s="60"/>
      <c r="W56" s="57"/>
      <c r="X56" s="53"/>
      <c r="Y56" s="61"/>
      <c r="Z56" s="57"/>
      <c r="AA56" s="62"/>
      <c r="AB56" s="53"/>
      <c r="AC56" s="63" t="s">
        <v>61</v>
      </c>
      <c r="AD56" s="35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H)",IF(COUNTIF($B$2:$B$500,$B56)&gt;1,"Duplicate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64"/>
    </row>
    <row r="57" spans="1:31">
      <c r="A57" s="53" t="s">
        <v>146</v>
      </c>
      <c r="B57" s="53" t="s">
        <v>197</v>
      </c>
      <c r="C57" s="53" t="s">
        <v>184</v>
      </c>
      <c r="D57" s="2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53">
        <v>32</v>
      </c>
      <c r="F57" s="54"/>
      <c r="G57" s="53"/>
      <c r="H57" s="53"/>
      <c r="I57" s="53"/>
      <c r="J57" s="53"/>
      <c r="K57" s="55">
        <v>46295</v>
      </c>
      <c r="L57" s="53" t="s">
        <v>196</v>
      </c>
      <c r="M57" s="56"/>
      <c r="N57" s="57"/>
      <c r="O57" s="57"/>
      <c r="P57" s="58"/>
      <c r="Q57" s="57"/>
      <c r="R57" s="57"/>
      <c r="S57" s="59"/>
      <c r="T57" s="57"/>
      <c r="U57" s="57"/>
      <c r="V57" s="60"/>
      <c r="W57" s="57"/>
      <c r="X57" s="53"/>
      <c r="Y57" s="61"/>
      <c r="Z57" s="57"/>
      <c r="AA57" s="62"/>
      <c r="AB57" s="53"/>
      <c r="AC57" s="63" t="s">
        <v>61</v>
      </c>
      <c r="AD57" s="35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H)",IF(COUNTIF($B$2:$B$500,$B57)&gt;1,"Duplicate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64"/>
    </row>
    <row r="58" spans="1:31">
      <c r="A58" s="53" t="s">
        <v>146</v>
      </c>
      <c r="B58" s="53" t="s">
        <v>198</v>
      </c>
      <c r="C58" s="53" t="s">
        <v>184</v>
      </c>
      <c r="D58" s="2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53">
        <v>33</v>
      </c>
      <c r="F58" s="54"/>
      <c r="G58" s="53"/>
      <c r="H58" s="53"/>
      <c r="I58" s="53"/>
      <c r="J58" s="53"/>
      <c r="K58" s="55">
        <v>46295</v>
      </c>
      <c r="L58" s="53" t="s">
        <v>196</v>
      </c>
      <c r="M58" s="56"/>
      <c r="N58" s="57"/>
      <c r="O58" s="57"/>
      <c r="P58" s="58"/>
      <c r="Q58" s="57"/>
      <c r="R58" s="57"/>
      <c r="S58" s="59"/>
      <c r="T58" s="57"/>
      <c r="U58" s="57"/>
      <c r="V58" s="60"/>
      <c r="W58" s="57"/>
      <c r="X58" s="53"/>
      <c r="Y58" s="61"/>
      <c r="Z58" s="57"/>
      <c r="AA58" s="62"/>
      <c r="AB58" s="53"/>
      <c r="AC58" s="63" t="s">
        <v>61</v>
      </c>
      <c r="AD58" s="35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H)",IF(COUNTIF($B$2:$B$500,$B58)&gt;1,"Duplicate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64"/>
    </row>
    <row r="59" spans="1:31">
      <c r="A59" s="53" t="s">
        <v>146</v>
      </c>
      <c r="B59" s="53" t="s">
        <v>199</v>
      </c>
      <c r="C59" s="53" t="s">
        <v>184</v>
      </c>
      <c r="D59" s="2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53">
        <v>34</v>
      </c>
      <c r="F59" s="54"/>
      <c r="G59" s="53"/>
      <c r="H59" s="53"/>
      <c r="I59" s="53"/>
      <c r="J59" s="53"/>
      <c r="K59" s="55">
        <v>46295</v>
      </c>
      <c r="L59" s="53" t="s">
        <v>196</v>
      </c>
      <c r="M59" s="56"/>
      <c r="N59" s="57"/>
      <c r="O59" s="57"/>
      <c r="P59" s="58"/>
      <c r="Q59" s="57"/>
      <c r="R59" s="57"/>
      <c r="S59" s="59"/>
      <c r="T59" s="57"/>
      <c r="U59" s="57"/>
      <c r="V59" s="60"/>
      <c r="W59" s="57"/>
      <c r="X59" s="53"/>
      <c r="Y59" s="61"/>
      <c r="Z59" s="57"/>
      <c r="AA59" s="62"/>
      <c r="AB59" s="53"/>
      <c r="AC59" s="63" t="s">
        <v>61</v>
      </c>
      <c r="AD59" s="35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H)",IF(COUNTIF($B$2:$B$500,$B59)&gt;1,"Duplicate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64"/>
    </row>
    <row r="60" spans="1:31">
      <c r="A60" s="53" t="s">
        <v>146</v>
      </c>
      <c r="B60" s="53" t="s">
        <v>200</v>
      </c>
      <c r="C60" s="53" t="s">
        <v>184</v>
      </c>
      <c r="D60" s="2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53">
        <v>35</v>
      </c>
      <c r="F60" s="54"/>
      <c r="G60" s="53"/>
      <c r="H60" s="53"/>
      <c r="I60" s="53"/>
      <c r="J60" s="53"/>
      <c r="K60" s="55">
        <v>46295</v>
      </c>
      <c r="L60" s="53" t="s">
        <v>196</v>
      </c>
      <c r="M60" s="56"/>
      <c r="N60" s="57"/>
      <c r="O60" s="57"/>
      <c r="P60" s="58"/>
      <c r="Q60" s="57"/>
      <c r="R60" s="57"/>
      <c r="S60" s="59"/>
      <c r="T60" s="57"/>
      <c r="U60" s="57"/>
      <c r="V60" s="60"/>
      <c r="W60" s="57"/>
      <c r="X60" s="53"/>
      <c r="Y60" s="61"/>
      <c r="Z60" s="57"/>
      <c r="AA60" s="62"/>
      <c r="AB60" s="53"/>
      <c r="AC60" s="63" t="s">
        <v>61</v>
      </c>
      <c r="AD60" s="35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H)",IF(COUNTIF($B$2:$B$500,$B60)&gt;1,"Duplicate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64"/>
    </row>
    <row r="61" spans="1:31">
      <c r="A61" s="53" t="s">
        <v>146</v>
      </c>
      <c r="B61" s="53" t="s">
        <v>201</v>
      </c>
      <c r="C61" s="53" t="s">
        <v>184</v>
      </c>
      <c r="D61" s="2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53">
        <v>36</v>
      </c>
      <c r="F61" s="54"/>
      <c r="G61" s="53"/>
      <c r="H61" s="53"/>
      <c r="I61" s="53"/>
      <c r="J61" s="53"/>
      <c r="K61" s="55">
        <v>46295</v>
      </c>
      <c r="L61" s="53" t="s">
        <v>196</v>
      </c>
      <c r="M61" s="56"/>
      <c r="N61" s="57"/>
      <c r="O61" s="57"/>
      <c r="P61" s="58"/>
      <c r="Q61" s="57"/>
      <c r="R61" s="57"/>
      <c r="S61" s="59"/>
      <c r="T61" s="57"/>
      <c r="U61" s="57"/>
      <c r="V61" s="60"/>
      <c r="W61" s="57"/>
      <c r="X61" s="53"/>
      <c r="Y61" s="61"/>
      <c r="Z61" s="57"/>
      <c r="AA61" s="62"/>
      <c r="AB61" s="53"/>
      <c r="AC61" s="63" t="s">
        <v>61</v>
      </c>
      <c r="AD61" s="35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H)",IF(COUNTIF($B$2:$B$500,$B61)&gt;1,"Duplicate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64"/>
    </row>
    <row r="62" spans="1:31">
      <c r="A62" s="53" t="s">
        <v>146</v>
      </c>
      <c r="B62" s="53" t="s">
        <v>202</v>
      </c>
      <c r="C62" s="53" t="s">
        <v>184</v>
      </c>
      <c r="D62" s="2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53">
        <v>37</v>
      </c>
      <c r="F62" s="54"/>
      <c r="G62" s="53"/>
      <c r="H62" s="53"/>
      <c r="I62" s="53"/>
      <c r="J62" s="53"/>
      <c r="K62" s="55">
        <v>46295</v>
      </c>
      <c r="L62" s="53" t="s">
        <v>196</v>
      </c>
      <c r="M62" s="56"/>
      <c r="N62" s="57"/>
      <c r="O62" s="57"/>
      <c r="P62" s="58"/>
      <c r="Q62" s="57"/>
      <c r="R62" s="57"/>
      <c r="S62" s="59"/>
      <c r="T62" s="57"/>
      <c r="U62" s="57"/>
      <c r="V62" s="60"/>
      <c r="W62" s="57"/>
      <c r="X62" s="53"/>
      <c r="Y62" s="61"/>
      <c r="Z62" s="57"/>
      <c r="AA62" s="62"/>
      <c r="AB62" s="53"/>
      <c r="AC62" s="63" t="s">
        <v>61</v>
      </c>
      <c r="AD62" s="35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H)",IF(COUNTIF($B$2:$B$500,$B62)&gt;1,"Duplicate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64"/>
    </row>
    <row r="63" spans="1:31">
      <c r="A63" s="53" t="s">
        <v>146</v>
      </c>
      <c r="B63" s="53" t="s">
        <v>203</v>
      </c>
      <c r="C63" s="53" t="s">
        <v>184</v>
      </c>
      <c r="D63" s="2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53">
        <v>38</v>
      </c>
      <c r="F63" s="54"/>
      <c r="G63" s="53"/>
      <c r="H63" s="53"/>
      <c r="I63" s="53"/>
      <c r="J63" s="53"/>
      <c r="K63" s="55">
        <v>46295</v>
      </c>
      <c r="L63" s="53" t="s">
        <v>196</v>
      </c>
      <c r="M63" s="56"/>
      <c r="N63" s="57"/>
      <c r="O63" s="57"/>
      <c r="P63" s="58"/>
      <c r="Q63" s="57"/>
      <c r="R63" s="57"/>
      <c r="S63" s="59"/>
      <c r="T63" s="57"/>
      <c r="U63" s="57"/>
      <c r="V63" s="60"/>
      <c r="W63" s="57"/>
      <c r="X63" s="53"/>
      <c r="Y63" s="61"/>
      <c r="Z63" s="57"/>
      <c r="AA63" s="62"/>
      <c r="AB63" s="53"/>
      <c r="AC63" s="63" t="s">
        <v>61</v>
      </c>
      <c r="AD63" s="35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H)",IF(COUNTIF($B$2:$B$500,$B63)&gt;1,"Duplicate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64"/>
    </row>
    <row r="64" spans="1:31">
      <c r="A64" s="53" t="s">
        <v>146</v>
      </c>
      <c r="B64" s="53" t="s">
        <v>204</v>
      </c>
      <c r="C64" s="53" t="s">
        <v>184</v>
      </c>
      <c r="D64" s="2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53">
        <v>39</v>
      </c>
      <c r="F64" s="54"/>
      <c r="G64" s="53"/>
      <c r="H64" s="53"/>
      <c r="I64" s="53"/>
      <c r="J64" s="53"/>
      <c r="K64" s="55">
        <v>46295</v>
      </c>
      <c r="L64" s="53" t="s">
        <v>196</v>
      </c>
      <c r="M64" s="56"/>
      <c r="N64" s="57"/>
      <c r="O64" s="57"/>
      <c r="P64" s="58"/>
      <c r="Q64" s="57"/>
      <c r="R64" s="57"/>
      <c r="S64" s="59"/>
      <c r="T64" s="57"/>
      <c r="U64" s="57"/>
      <c r="V64" s="60"/>
      <c r="W64" s="57"/>
      <c r="X64" s="53"/>
      <c r="Y64" s="61"/>
      <c r="Z64" s="57"/>
      <c r="AA64" s="62"/>
      <c r="AB64" s="53"/>
      <c r="AC64" s="63" t="s">
        <v>61</v>
      </c>
      <c r="AD64" s="35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H)",IF(COUNTIF($B$2:$B$500,$B64)&gt;1,"Duplicate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64"/>
    </row>
    <row r="65" spans="1:31">
      <c r="A65" s="53" t="s">
        <v>146</v>
      </c>
      <c r="B65" s="53" t="s">
        <v>205</v>
      </c>
      <c r="C65" s="53" t="s">
        <v>184</v>
      </c>
      <c r="D65" s="2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53">
        <v>40</v>
      </c>
      <c r="F65" s="54"/>
      <c r="G65" s="53"/>
      <c r="H65" s="53"/>
      <c r="I65" s="53"/>
      <c r="J65" s="53"/>
      <c r="K65" s="55">
        <v>46295</v>
      </c>
      <c r="L65" s="53" t="s">
        <v>196</v>
      </c>
      <c r="M65" s="56"/>
      <c r="N65" s="57"/>
      <c r="O65" s="57"/>
      <c r="P65" s="58"/>
      <c r="Q65" s="57"/>
      <c r="R65" s="57"/>
      <c r="S65" s="59"/>
      <c r="T65" s="57"/>
      <c r="U65" s="57"/>
      <c r="V65" s="60"/>
      <c r="W65" s="57"/>
      <c r="X65" s="53"/>
      <c r="Y65" s="61"/>
      <c r="Z65" s="57"/>
      <c r="AA65" s="62"/>
      <c r="AB65" s="53"/>
      <c r="AC65" s="63" t="s">
        <v>61</v>
      </c>
      <c r="AD65" s="35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H)",IF(COUNTIF($B$2:$B$500,$B65)&gt;1,"Duplicate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64"/>
    </row>
    <row r="66" spans="1:31">
      <c r="A66" s="53" t="s">
        <v>146</v>
      </c>
      <c r="B66" s="53" t="s">
        <v>206</v>
      </c>
      <c r="C66" s="53" t="s">
        <v>184</v>
      </c>
      <c r="D66" s="23" t="str">
        <f ca="1">IF($B66="","",IF(LEFT($AC66,3)="Yes","Blocked - "&amp;MID($AC66,7,100)&amp;IF(SUMPRODUCT(('Rework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Dev",IF(P66="","No target set",IF(AND(P66&lt;TODAY(),R66=""),"Overdue","On track")),IF(C66="QA",IF(S66="","No target set",IF(AND(S66&lt;TODAY(),U66=""),"Overdue","On track")),IF(C66="DPO Approval",IF(V66="","No target set",IF(V66&lt;TODAY(),"Overdue","On track")),IF(C66="RELEASED IN PROD","Delivered",""))))))))</f>
        <v>On track</v>
      </c>
      <c r="E66" s="53">
        <v>41</v>
      </c>
      <c r="F66" s="54"/>
      <c r="G66" s="53"/>
      <c r="H66" s="53"/>
      <c r="I66" s="53"/>
      <c r="J66" s="53"/>
      <c r="K66" s="55">
        <v>46295</v>
      </c>
      <c r="L66" s="53" t="s">
        <v>196</v>
      </c>
      <c r="M66" s="56"/>
      <c r="N66" s="57"/>
      <c r="O66" s="57"/>
      <c r="P66" s="58"/>
      <c r="Q66" s="57"/>
      <c r="R66" s="57"/>
      <c r="S66" s="59"/>
      <c r="T66" s="57"/>
      <c r="U66" s="57"/>
      <c r="V66" s="60"/>
      <c r="W66" s="57"/>
      <c r="X66" s="53"/>
      <c r="Y66" s="61"/>
      <c r="Z66" s="57"/>
      <c r="AA66" s="62"/>
      <c r="AB66" s="53"/>
      <c r="AC66" s="63" t="s">
        <v>61</v>
      </c>
      <c r="AD66" s="35" t="str">
        <f>IF($B66="","",IF(AND(LEFT($AC66,3)="Yes",SUMPRODUCT(('Rework Log'!$A$3:$A$500=$B66)*('Rework Log'!$G$3:$G$500&lt;&gt;"Yes")*('Rework Log'!$G$3:$G$500&lt;&gt;"Did not pass re-test"))=0),"Blocked - log it on Rework Log",IF(AND(LEFT($AC66,3)&lt;&gt;"Yes",SUMPRODUCT(('Rework Log'!$A$3:$A$500=$B66)*('Rework Log'!$G$3:$G$500&lt;&gt;"Yes")*('Rework Log'!$G$3:$G$500&lt;&gt;"Did not pass re-test"))&gt;0),"Open rework row - mark Blocked? or close it",IF(AND($AC66="Yes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H)",IF(AND($AC66="Yes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H)",IF(AND($AC66="Yes – needs QA to fix",U66&lt;&gt;"",SUMPRODUCT(MAX((('Rework Log'!$A$3:$A$500=$B66)*('Rework Log'!$G$3:$G$500&lt;&gt;"Yes")*('Rework Log'!$G$3:$G$500&lt;&gt;"Did not pass re-test"))*'Rework Log'!$I$3:$I$500))&gt;0),"Move old QA completion date to Rework Log (col H)",IF(COUNTIF($B$2:$B$500,$B66)&gt;1,"Duplicate name - check row",IF(COUNTIF('Rework Log'!$A$3:$A$500,$B66)&gt;0,"",IF(AND(S66&lt;&gt;"",M66&lt;&gt;"",S66&lt;M66),"QA target is before DB Dev target",IF(AND(S66&lt;&gt;"",P66&lt;&gt;"",S66&lt;P66),"QA target is before PBI Dev target",IF(AND(V66&lt;&gt;"",S66&lt;&gt;"",V66&lt;S66),"DPO Approval target is before QA target",IF(AND(Z66&lt;&gt;"",V66&lt;&gt;"",Z66&lt;V66),"Confirmed Deployed date is before DPO Approval target",""))))))))))))</f>
        <v/>
      </c>
      <c r="AE66" s="64"/>
    </row>
    <row r="67" spans="1:31">
      <c r="A67" s="53" t="s">
        <v>146</v>
      </c>
      <c r="B67" s="53" t="s">
        <v>207</v>
      </c>
      <c r="C67" s="53" t="s">
        <v>184</v>
      </c>
      <c r="D67" s="23" t="str">
        <f ca="1">IF($B67="","",IF(LEFT($AC67,3)="Yes","Blocked - "&amp;MID($AC67,7,100)&amp;IF(SUMPRODUCT(('Rework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Dev",IF(P67="","No target set",IF(AND(P67&lt;TODAY(),R67=""),"Overdue","On track")),IF(C67="QA",IF(S67="","No target set",IF(AND(S67&lt;TODAY(),U67=""),"Overdue","On track")),IF(C67="DPO Approval",IF(V67="","No target set",IF(V67&lt;TODAY(),"Overdue","On track")),IF(C67="RELEASED IN PROD","Delivered",""))))))))</f>
        <v>On track</v>
      </c>
      <c r="E67" s="53">
        <v>42</v>
      </c>
      <c r="F67" s="54"/>
      <c r="G67" s="53"/>
      <c r="H67" s="53"/>
      <c r="I67" s="53"/>
      <c r="J67" s="53"/>
      <c r="K67" s="55">
        <v>46295</v>
      </c>
      <c r="L67" s="53" t="s">
        <v>196</v>
      </c>
      <c r="M67" s="56"/>
      <c r="N67" s="57"/>
      <c r="O67" s="57"/>
      <c r="P67" s="58"/>
      <c r="Q67" s="57"/>
      <c r="R67" s="57"/>
      <c r="S67" s="59"/>
      <c r="T67" s="57"/>
      <c r="U67" s="57"/>
      <c r="V67" s="60"/>
      <c r="W67" s="57"/>
      <c r="X67" s="53"/>
      <c r="Y67" s="61"/>
      <c r="Z67" s="57"/>
      <c r="AA67" s="62"/>
      <c r="AB67" s="53"/>
      <c r="AC67" s="63" t="s">
        <v>61</v>
      </c>
      <c r="AD67" s="35" t="str">
        <f>IF($B67="","",IF(AND(LEFT($AC67,3)="Yes",SUMPRODUCT(('Rework Log'!$A$3:$A$500=$B67)*('Rework Log'!$G$3:$G$500&lt;&gt;"Yes")*('Rework Log'!$G$3:$G$500&lt;&gt;"Did not pass re-test"))=0),"Blocked - log it on Rework Log",IF(AND(LEFT($AC67,3)&lt;&gt;"Yes",SUMPRODUCT(('Rework Log'!$A$3:$A$500=$B67)*('Rework Log'!$G$3:$G$500&lt;&gt;"Yes")*('Rework Log'!$G$3:$G$500&lt;&gt;"Did not pass re-test"))&gt;0),"Open rework row - mark Blocked? or close it",IF(AND($AC67="Yes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H)",IF(AND($AC67="Yes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H)",IF(AND($AC67="Yes – needs QA to fix",U67&lt;&gt;"",SUMPRODUCT(MAX((('Rework Log'!$A$3:$A$500=$B67)*('Rework Log'!$G$3:$G$500&lt;&gt;"Yes")*('Rework Log'!$G$3:$G$500&lt;&gt;"Did not pass re-test"))*'Rework Log'!$I$3:$I$500))&gt;0),"Move old QA completion date to Rework Log (col H)",IF(COUNTIF($B$2:$B$500,$B67)&gt;1,"Duplicate name - check row",IF(COUNTIF('Rework Log'!$A$3:$A$500,$B67)&gt;0,"",IF(AND(S67&lt;&gt;"",M67&lt;&gt;"",S67&lt;M67),"QA target is before DB Dev target",IF(AND(S67&lt;&gt;"",P67&lt;&gt;"",S67&lt;P67),"QA target is before PBI Dev target",IF(AND(V67&lt;&gt;"",S67&lt;&gt;"",V67&lt;S67),"DPO Approval target is before QA target",IF(AND(Z67&lt;&gt;"",V67&lt;&gt;"",Z67&lt;V67),"Confirmed Deployed date is before DPO Approval target",""))))))))))))</f>
        <v/>
      </c>
      <c r="AE67" s="64"/>
    </row>
    <row r="68" spans="1:31">
      <c r="A68" s="53" t="s">
        <v>146</v>
      </c>
      <c r="B68" s="53" t="s">
        <v>208</v>
      </c>
      <c r="C68" s="53" t="s">
        <v>184</v>
      </c>
      <c r="D68" s="23" t="str">
        <f ca="1">IF($B68="","",IF(LEFT($AC68,3)="Yes","Blocked - "&amp;MID($AC68,7,100)&amp;IF(SUMPRODUCT(('Rework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Dev",IF(P68="","No target set",IF(AND(P68&lt;TODAY(),R68=""),"Overdue","On track")),IF(C68="QA",IF(S68="","No target set",IF(AND(S68&lt;TODAY(),U68=""),"Overdue","On track")),IF(C68="DPO Approval",IF(V68="","No target set",IF(V68&lt;TODAY(),"Overdue","On track")),IF(C68="RELEASED IN PROD","Delivered",""))))))))</f>
        <v>On track</v>
      </c>
      <c r="E68" s="53">
        <v>43</v>
      </c>
      <c r="F68" s="54"/>
      <c r="G68" s="53"/>
      <c r="H68" s="53"/>
      <c r="I68" s="53"/>
      <c r="J68" s="53"/>
      <c r="K68" s="55">
        <v>46295</v>
      </c>
      <c r="L68" s="53" t="s">
        <v>196</v>
      </c>
      <c r="M68" s="56"/>
      <c r="N68" s="57"/>
      <c r="O68" s="57"/>
      <c r="P68" s="58"/>
      <c r="Q68" s="57"/>
      <c r="R68" s="57"/>
      <c r="S68" s="59"/>
      <c r="T68" s="57"/>
      <c r="U68" s="57"/>
      <c r="V68" s="60"/>
      <c r="W68" s="57"/>
      <c r="X68" s="53"/>
      <c r="Y68" s="61"/>
      <c r="Z68" s="57"/>
      <c r="AA68" s="62"/>
      <c r="AB68" s="53"/>
      <c r="AC68" s="63" t="s">
        <v>61</v>
      </c>
      <c r="AD68" s="35" t="str">
        <f>IF($B68="","",IF(AND(LEFT($AC68,3)="Yes",SUMPRODUCT(('Rework Log'!$A$3:$A$500=$B68)*('Rework Log'!$G$3:$G$500&lt;&gt;"Yes")*('Rework Log'!$G$3:$G$500&lt;&gt;"Did not pass re-test"))=0),"Blocked - log it on Rework Log",IF(AND(LEFT($AC68,3)&lt;&gt;"Yes",SUMPRODUCT(('Rework Log'!$A$3:$A$500=$B68)*('Rework Log'!$G$3:$G$500&lt;&gt;"Yes")*('Rework Log'!$G$3:$G$500&lt;&gt;"Did not pass re-test"))&gt;0),"Open rework row - mark Blocked? or close it",IF(AND($AC68="Yes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H)",IF(AND($AC68="Yes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H)",IF(AND($AC68="Yes – needs QA to fix",U68&lt;&gt;"",SUMPRODUCT(MAX((('Rework Log'!$A$3:$A$500=$B68)*('Rework Log'!$G$3:$G$500&lt;&gt;"Yes")*('Rework Log'!$G$3:$G$500&lt;&gt;"Did not pass re-test"))*'Rework Log'!$I$3:$I$500))&gt;0),"Move old QA completion date to Rework Log (col H)",IF(COUNTIF($B$2:$B$500,$B68)&gt;1,"Duplicate name - check row",IF(COUNTIF('Rework Log'!$A$3:$A$500,$B68)&gt;0,"",IF(AND(S68&lt;&gt;"",M68&lt;&gt;"",S68&lt;M68),"QA target is before DB Dev target",IF(AND(S68&lt;&gt;"",P68&lt;&gt;"",S68&lt;P68),"QA target is before PBI Dev target",IF(AND(V68&lt;&gt;"",S68&lt;&gt;"",V68&lt;S68),"DPO Approval target is before QA target",IF(AND(Z68&lt;&gt;"",V68&lt;&gt;"",Z68&lt;V68),"Confirmed Deployed date is before DPO Approval target",""))))))))))))</f>
        <v/>
      </c>
      <c r="AE68" s="64"/>
    </row>
    <row r="69" spans="1:31">
      <c r="A69" s="53" t="s">
        <v>146</v>
      </c>
      <c r="B69" s="53" t="s">
        <v>209</v>
      </c>
      <c r="C69" s="53" t="s">
        <v>184</v>
      </c>
      <c r="D69" s="23" t="str">
        <f ca="1">IF($B69="","",IF(LEFT($AC69,3)="Yes","Blocked - "&amp;MID($AC69,7,100)&amp;IF(SUMPRODUCT(('Rework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Dev",IF(P69="","No target set",IF(AND(P69&lt;TODAY(),R69=""),"Overdue","On track")),IF(C69="QA",IF(S69="","No target set",IF(AND(S69&lt;TODAY(),U69=""),"Overdue","On track")),IF(C69="DPO Approval",IF(V69="","No target set",IF(V69&lt;TODAY(),"Overdue","On track")),IF(C69="RELEASED IN PROD","Delivered",""))))))))</f>
        <v>On track</v>
      </c>
      <c r="E69" s="53">
        <v>44</v>
      </c>
      <c r="F69" s="54"/>
      <c r="G69" s="53"/>
      <c r="H69" s="53"/>
      <c r="I69" s="53"/>
      <c r="J69" s="53"/>
      <c r="K69" s="55">
        <v>46295</v>
      </c>
      <c r="L69" s="53" t="s">
        <v>196</v>
      </c>
      <c r="M69" s="56"/>
      <c r="N69" s="57"/>
      <c r="O69" s="57"/>
      <c r="P69" s="58"/>
      <c r="Q69" s="57"/>
      <c r="R69" s="57"/>
      <c r="S69" s="59"/>
      <c r="T69" s="57"/>
      <c r="U69" s="57"/>
      <c r="V69" s="60"/>
      <c r="W69" s="57"/>
      <c r="X69" s="53"/>
      <c r="Y69" s="61"/>
      <c r="Z69" s="57"/>
      <c r="AA69" s="62"/>
      <c r="AB69" s="53"/>
      <c r="AC69" s="63" t="s">
        <v>61</v>
      </c>
      <c r="AD69" s="35" t="str">
        <f>IF($B69="","",IF(AND(LEFT($AC69,3)="Yes",SUMPRODUCT(('Rework Log'!$A$3:$A$500=$B69)*('Rework Log'!$G$3:$G$500&lt;&gt;"Yes")*('Rework Log'!$G$3:$G$500&lt;&gt;"Did not pass re-test"))=0),"Blocked - log it on Rework Log",IF(AND(LEFT($AC69,3)&lt;&gt;"Yes",SUMPRODUCT(('Rework Log'!$A$3:$A$500=$B69)*('Rework Log'!$G$3:$G$500&lt;&gt;"Yes")*('Rework Log'!$G$3:$G$500&lt;&gt;"Did not pass re-test"))&gt;0),"Open rework row - mark Blocked? or close it",IF(AND($AC69="Yes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H)",IF(AND($AC69="Yes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H)",IF(AND($AC69="Yes – needs QA to fix",U69&lt;&gt;"",SUMPRODUCT(MAX((('Rework Log'!$A$3:$A$500=$B69)*('Rework Log'!$G$3:$G$500&lt;&gt;"Yes")*('Rework Log'!$G$3:$G$500&lt;&gt;"Did not pass re-test"))*'Rework Log'!$I$3:$I$500))&gt;0),"Move old QA completion date to Rework Log (col H)",IF(COUNTIF($B$2:$B$500,$B69)&gt;1,"Duplicate name - check row",IF(COUNTIF('Rework Log'!$A$3:$A$500,$B69)&gt;0,"",IF(AND(S69&lt;&gt;"",M69&lt;&gt;"",S69&lt;M69),"QA target is before DB Dev target",IF(AND(S69&lt;&gt;"",P69&lt;&gt;"",S69&lt;P69),"QA target is before PBI Dev target",IF(AND(V69&lt;&gt;"",S69&lt;&gt;"",V69&lt;S69),"DPO Approval target is before QA target",IF(AND(Z69&lt;&gt;"",V69&lt;&gt;"",Z69&lt;V69),"Confirmed Deployed date is before DPO Approval target",""))))))))))))</f>
        <v/>
      </c>
      <c r="AE69" s="64"/>
    </row>
    <row r="70" spans="1:31">
      <c r="A70" s="53" t="s">
        <v>146</v>
      </c>
      <c r="B70" s="53" t="s">
        <v>210</v>
      </c>
      <c r="C70" s="53" t="s">
        <v>184</v>
      </c>
      <c r="D70" s="23" t="str">
        <f ca="1">IF($B70="","",IF(LEFT($AC70,3)="Yes","Blocked - "&amp;MID($AC70,7,100)&amp;IF(SUMPRODUCT(('Rework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Dev",IF(P70="","No target set",IF(AND(P70&lt;TODAY(),R70=""),"Overdue","On track")),IF(C70="QA",IF(S70="","No target set",IF(AND(S70&lt;TODAY(),U70=""),"Overdue","On track")),IF(C70="DPO Approval",IF(V70="","No target set",IF(V70&lt;TODAY(),"Overdue","On track")),IF(C70="RELEASED IN PROD","Delivered",""))))))))</f>
        <v>On track</v>
      </c>
      <c r="E70" s="53">
        <v>45</v>
      </c>
      <c r="F70" s="54"/>
      <c r="G70" s="53"/>
      <c r="H70" s="53"/>
      <c r="I70" s="53"/>
      <c r="J70" s="53"/>
      <c r="K70" s="55">
        <v>46295</v>
      </c>
      <c r="L70" s="53" t="s">
        <v>196</v>
      </c>
      <c r="M70" s="56"/>
      <c r="N70" s="57"/>
      <c r="O70" s="57"/>
      <c r="P70" s="58"/>
      <c r="Q70" s="57"/>
      <c r="R70" s="57"/>
      <c r="S70" s="59"/>
      <c r="T70" s="57"/>
      <c r="U70" s="57"/>
      <c r="V70" s="60"/>
      <c r="W70" s="57"/>
      <c r="X70" s="53"/>
      <c r="Y70" s="61"/>
      <c r="Z70" s="57"/>
      <c r="AA70" s="62"/>
      <c r="AB70" s="53"/>
      <c r="AC70" s="63" t="s">
        <v>61</v>
      </c>
      <c r="AD70" s="35" t="str">
        <f>IF($B70="","",IF(AND(LEFT($AC70,3)="Yes",SUMPRODUCT(('Rework Log'!$A$3:$A$500=$B70)*('Rework Log'!$G$3:$G$500&lt;&gt;"Yes")*('Rework Log'!$G$3:$G$500&lt;&gt;"Did not pass re-test"))=0),"Blocked - log it on Rework Log",IF(AND(LEFT($AC70,3)&lt;&gt;"Yes",SUMPRODUCT(('Rework Log'!$A$3:$A$500=$B70)*('Rework Log'!$G$3:$G$500&lt;&gt;"Yes")*('Rework Log'!$G$3:$G$500&lt;&gt;"Did not pass re-test"))&gt;0),"Open rework row - mark Blocked? or close it",IF(AND($AC70="Yes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H)",IF(AND($AC70="Yes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H)",IF(AND($AC70="Yes – needs QA to fix",U70&lt;&gt;"",SUMPRODUCT(MAX((('Rework Log'!$A$3:$A$500=$B70)*('Rework Log'!$G$3:$G$500&lt;&gt;"Yes")*('Rework Log'!$G$3:$G$500&lt;&gt;"Did not pass re-test"))*'Rework Log'!$I$3:$I$500))&gt;0),"Move old QA completion date to Rework Log (col H)",IF(COUNTIF($B$2:$B$500,$B70)&gt;1,"Duplicate name - check row",IF(COUNTIF('Rework Log'!$A$3:$A$500,$B70)&gt;0,"",IF(AND(S70&lt;&gt;"",M70&lt;&gt;"",S70&lt;M70),"QA target is before DB Dev target",IF(AND(S70&lt;&gt;"",P70&lt;&gt;"",S70&lt;P70),"QA target is before PBI Dev target",IF(AND(V70&lt;&gt;"",S70&lt;&gt;"",V70&lt;S70),"DPO Approval target is before QA target",IF(AND(Z70&lt;&gt;"",V70&lt;&gt;"",Z70&lt;V70),"Confirmed Deployed date is before DPO Approval target",""))))))))))))</f>
        <v/>
      </c>
      <c r="AE70" s="64"/>
    </row>
    <row r="71" spans="1:31">
      <c r="A71" s="53" t="s">
        <v>146</v>
      </c>
      <c r="B71" s="53" t="s">
        <v>211</v>
      </c>
      <c r="C71" s="53" t="s">
        <v>184</v>
      </c>
      <c r="D71" s="23" t="str">
        <f ca="1">IF($B71="","",IF(LEFT($AC71,3)="Yes","Blocked - "&amp;MID($AC71,7,100)&amp;IF(SUMPRODUCT(('Rework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Dev",IF(P71="","No target set",IF(AND(P71&lt;TODAY(),R71=""),"Overdue","On track")),IF(C71="QA",IF(S71="","No target set",IF(AND(S71&lt;TODAY(),U71=""),"Overdue","On track")),IF(C71="DPO Approval",IF(V71="","No target set",IF(V71&lt;TODAY(),"Overdue","On track")),IF(C71="RELEASED IN PROD","Delivered",""))))))))</f>
        <v>On track</v>
      </c>
      <c r="E71" s="53">
        <v>46</v>
      </c>
      <c r="F71" s="54"/>
      <c r="G71" s="53"/>
      <c r="H71" s="53"/>
      <c r="I71" s="53"/>
      <c r="J71" s="53"/>
      <c r="K71" s="55">
        <v>46295</v>
      </c>
      <c r="L71" s="53" t="s">
        <v>196</v>
      </c>
      <c r="M71" s="56"/>
      <c r="N71" s="57"/>
      <c r="O71" s="57"/>
      <c r="P71" s="58"/>
      <c r="Q71" s="57"/>
      <c r="R71" s="57"/>
      <c r="S71" s="59"/>
      <c r="T71" s="57"/>
      <c r="U71" s="57"/>
      <c r="V71" s="60"/>
      <c r="W71" s="57"/>
      <c r="X71" s="53"/>
      <c r="Y71" s="61"/>
      <c r="Z71" s="57"/>
      <c r="AA71" s="62"/>
      <c r="AB71" s="53"/>
      <c r="AC71" s="63" t="s">
        <v>61</v>
      </c>
      <c r="AD71" s="35" t="str">
        <f>IF($B71="","",IF(AND(LEFT($AC71,3)="Yes",SUMPRODUCT(('Rework Log'!$A$3:$A$500=$B71)*('Rework Log'!$G$3:$G$500&lt;&gt;"Yes")*('Rework Log'!$G$3:$G$500&lt;&gt;"Did not pass re-test"))=0),"Blocked - log it on Rework Log",IF(AND(LEFT($AC71,3)&lt;&gt;"Yes",SUMPRODUCT(('Rework Log'!$A$3:$A$500=$B71)*('Rework Log'!$G$3:$G$500&lt;&gt;"Yes")*('Rework Log'!$G$3:$G$500&lt;&gt;"Did not pass re-test"))&gt;0),"Open rework row - mark Blocked? or close it",IF(AND($AC71="Yes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H)",IF(AND($AC71="Yes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H)",IF(AND($AC71="Yes – needs QA to fix",U71&lt;&gt;"",SUMPRODUCT(MAX((('Rework Log'!$A$3:$A$500=$B71)*('Rework Log'!$G$3:$G$500&lt;&gt;"Yes")*('Rework Log'!$G$3:$G$500&lt;&gt;"Did not pass re-test"))*'Rework Log'!$I$3:$I$500))&gt;0),"Move old QA completion date to Rework Log (col H)",IF(COUNTIF($B$2:$B$500,$B71)&gt;1,"Duplicate name - check row",IF(COUNTIF('Rework Log'!$A$3:$A$500,$B71)&gt;0,"",IF(AND(S71&lt;&gt;"",M71&lt;&gt;"",S71&lt;M71),"QA target is before DB Dev target",IF(AND(S71&lt;&gt;"",P71&lt;&gt;"",S71&lt;P71),"QA target is before PBI Dev target",IF(AND(V71&lt;&gt;"",S71&lt;&gt;"",V71&lt;S71),"DPO Approval target is before QA target",IF(AND(Z71&lt;&gt;"",V71&lt;&gt;"",Z71&lt;V71),"Confirmed Deployed date is before DPO Approval target",""))))))))))))</f>
        <v/>
      </c>
      <c r="AE71" s="64"/>
    </row>
    <row r="72" spans="1:31">
      <c r="A72" s="53" t="s">
        <v>146</v>
      </c>
      <c r="B72" s="53" t="s">
        <v>212</v>
      </c>
      <c r="C72" s="53" t="s">
        <v>184</v>
      </c>
      <c r="D72" s="23" t="str">
        <f ca="1">IF($B72="","",IF(LEFT($AC72,3)="Yes","Blocked - "&amp;MID($AC72,7,100)&amp;IF(SUMPRODUCT(('Rework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Dev",IF(P72="","No target set",IF(AND(P72&lt;TODAY(),R72=""),"Overdue","On track")),IF(C72="QA",IF(S72="","No target set",IF(AND(S72&lt;TODAY(),U72=""),"Overdue","On track")),IF(C72="DPO Approval",IF(V72="","No target set",IF(V72&lt;TODAY(),"Overdue","On track")),IF(C72="RELEASED IN PROD","Delivered",""))))))))</f>
        <v>On track</v>
      </c>
      <c r="E72" s="53">
        <v>47</v>
      </c>
      <c r="F72" s="54"/>
      <c r="G72" s="53"/>
      <c r="H72" s="53"/>
      <c r="I72" s="53"/>
      <c r="J72" s="53"/>
      <c r="K72" s="55">
        <v>46295</v>
      </c>
      <c r="L72" s="53" t="s">
        <v>196</v>
      </c>
      <c r="M72" s="56"/>
      <c r="N72" s="57"/>
      <c r="O72" s="57"/>
      <c r="P72" s="58"/>
      <c r="Q72" s="57"/>
      <c r="R72" s="57"/>
      <c r="S72" s="59"/>
      <c r="T72" s="57"/>
      <c r="U72" s="57"/>
      <c r="V72" s="60"/>
      <c r="W72" s="57"/>
      <c r="X72" s="53"/>
      <c r="Y72" s="61"/>
      <c r="Z72" s="57"/>
      <c r="AA72" s="62"/>
      <c r="AB72" s="53"/>
      <c r="AC72" s="63" t="s">
        <v>61</v>
      </c>
      <c r="AD72" s="35" t="str">
        <f>IF($B72="","",IF(AND(LEFT($AC72,3)="Yes",SUMPRODUCT(('Rework Log'!$A$3:$A$500=$B72)*('Rework Log'!$G$3:$G$500&lt;&gt;"Yes")*('Rework Log'!$G$3:$G$500&lt;&gt;"Did not pass re-test"))=0),"Blocked - log it on Rework Log",IF(AND(LEFT($AC72,3)&lt;&gt;"Yes",SUMPRODUCT(('Rework Log'!$A$3:$A$500=$B72)*('Rework Log'!$G$3:$G$500&lt;&gt;"Yes")*('Rework Log'!$G$3:$G$500&lt;&gt;"Did not pass re-test"))&gt;0),"Open rework row - mark Blocked? or close it",IF(AND($AC72="Yes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H)",IF(AND($AC72="Yes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H)",IF(AND($AC72="Yes – needs QA to fix",U72&lt;&gt;"",SUMPRODUCT(MAX((('Rework Log'!$A$3:$A$500=$B72)*('Rework Log'!$G$3:$G$500&lt;&gt;"Yes")*('Rework Log'!$G$3:$G$500&lt;&gt;"Did not pass re-test"))*'Rework Log'!$I$3:$I$500))&gt;0),"Move old QA completion date to Rework Log (col H)",IF(COUNTIF($B$2:$B$500,$B72)&gt;1,"Duplicate name - check row",IF(COUNTIF('Rework Log'!$A$3:$A$500,$B72)&gt;0,"",IF(AND(S72&lt;&gt;"",M72&lt;&gt;"",S72&lt;M72),"QA target is before DB Dev target",IF(AND(S72&lt;&gt;"",P72&lt;&gt;"",S72&lt;P72),"QA target is before PBI Dev target",IF(AND(V72&lt;&gt;"",S72&lt;&gt;"",V72&lt;S72),"DPO Approval target is before QA target",IF(AND(Z72&lt;&gt;"",V72&lt;&gt;"",Z72&lt;V72),"Confirmed Deployed date is before DPO Approval target",""))))))))))))</f>
        <v/>
      </c>
      <c r="AE72" s="64"/>
    </row>
    <row r="73" spans="1:31">
      <c r="A73" s="53" t="s">
        <v>50</v>
      </c>
      <c r="B73" s="53" t="s">
        <v>213</v>
      </c>
      <c r="C73" s="53" t="s">
        <v>184</v>
      </c>
      <c r="D73" s="23" t="str">
        <f ca="1">IF($B73="","",IF(LEFT($AC73,3)="Yes","Blocked - "&amp;MID($AC73,7,100)&amp;IF(SUMPRODUCT(('Rework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STARTED",IF(K73="","No plan date set",IF(K73&lt;TODAY(),"Review - planned start passed","On track")),IF(C73="DB Dev",IF(M73="","No target set",IF(AND(M73&lt;TODAY(),O73=""),"Overdue","On track")),IF(C73="PBI Dev",IF(P73="","No target set",IF(AND(P73&lt;TODAY(),R73=""),"Overdue","On track")),IF(C73="QA",IF(S73="","No target set",IF(AND(S73&lt;TODAY(),U73=""),"Overdue","On track")),IF(C73="DPO Approval",IF(V73="","No target set",IF(V73&lt;TODAY(),"Overdue","On track")),IF(C73="RELEASED IN PROD","Delivered",""))))))))</f>
        <v>On track</v>
      </c>
      <c r="E73" s="53">
        <v>48</v>
      </c>
      <c r="F73" s="54"/>
      <c r="G73" s="53"/>
      <c r="H73" s="53"/>
      <c r="I73" s="53"/>
      <c r="J73" s="53"/>
      <c r="K73" s="55">
        <v>46295</v>
      </c>
      <c r="L73" s="53" t="s">
        <v>196</v>
      </c>
      <c r="M73" s="56"/>
      <c r="N73" s="57"/>
      <c r="O73" s="57"/>
      <c r="P73" s="58"/>
      <c r="Q73" s="57"/>
      <c r="R73" s="57"/>
      <c r="S73" s="59"/>
      <c r="T73" s="57"/>
      <c r="U73" s="57"/>
      <c r="V73" s="60"/>
      <c r="W73" s="57"/>
      <c r="X73" s="53"/>
      <c r="Y73" s="61"/>
      <c r="Z73" s="57"/>
      <c r="AA73" s="62"/>
      <c r="AB73" s="53"/>
      <c r="AC73" s="63" t="s">
        <v>61</v>
      </c>
      <c r="AD73" s="35" t="str">
        <f>IF($B73="","",IF(AND(LEFT($AC73,3)="Yes",SUMPRODUCT(('Rework Log'!$A$3:$A$500=$B73)*('Rework Log'!$G$3:$G$500&lt;&gt;"Yes")*('Rework Log'!$G$3:$G$500&lt;&gt;"Did not pass re-test"))=0),"Blocked - log it on Rework Log",IF(AND(LEFT($AC73,3)&lt;&gt;"Yes",SUMPRODUCT(('Rework Log'!$A$3:$A$500=$B73)*('Rework Log'!$G$3:$G$500&lt;&gt;"Yes")*('Rework Log'!$G$3:$G$500&lt;&gt;"Did not pass re-test"))&gt;0),"Open rework row - mark Blocked? or close it",IF(AND($AC73="Yes – needs DB Dev to fix",O73&lt;&gt;"",SUMPRODUCT(MAX((('Rework Log'!$A$3:$A$500=$B73)*('Rework Log'!$G$3:$G$500&lt;&gt;"Yes")*('Rework Log'!$G$3:$G$500&lt;&gt;"Did not pass re-test"))*'Rework Log'!$I$3:$I$500))&gt;0),"Move old DB Dev completion date to Rework Log (col H)",IF(AND($AC73="Yes – needs PBI Dev to fix",R73&lt;&gt;"",SUMPRODUCT(MAX((('Rework Log'!$A$3:$A$500=$B73)*('Rework Log'!$G$3:$G$500&lt;&gt;"Yes")*('Rework Log'!$G$3:$G$500&lt;&gt;"Did not pass re-test"))*'Rework Log'!$I$3:$I$500))&gt;0),"Move old PBI Dev completion date to Rework Log (col H)",IF(AND($AC73="Yes – needs QA to fix",U73&lt;&gt;"",SUMPRODUCT(MAX((('Rework Log'!$A$3:$A$500=$B73)*('Rework Log'!$G$3:$G$500&lt;&gt;"Yes")*('Rework Log'!$G$3:$G$500&lt;&gt;"Did not pass re-test"))*'Rework Log'!$I$3:$I$500))&gt;0),"Move old QA completion date to Rework Log (col H)",IF(COUNTIF($B$2:$B$500,$B73)&gt;1,"Duplicate name - check row",IF(COUNTIF('Rework Log'!$A$3:$A$500,$B73)&gt;0,"",IF(AND(S73&lt;&gt;"",M73&lt;&gt;"",S73&lt;M73),"QA target is before DB Dev target",IF(AND(S73&lt;&gt;"",P73&lt;&gt;"",S73&lt;P73),"QA target is before PBI Dev target",IF(AND(V73&lt;&gt;"",S73&lt;&gt;"",V73&lt;S73),"DPO Approval target is before QA target",IF(AND(Z73&lt;&gt;"",V73&lt;&gt;"",Z73&lt;V73),"Confirmed Deployed date is before DPO Approval target",""))))))))))))</f>
        <v/>
      </c>
      <c r="AE73" s="64"/>
    </row>
    <row r="74" spans="1:31">
      <c r="A74" s="65"/>
      <c r="B74" s="65"/>
      <c r="C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E74" s="65"/>
    </row>
    <row r="75" spans="1:31">
      <c r="A75" s="65"/>
      <c r="B75" s="65"/>
      <c r="C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E75" s="65"/>
    </row>
    <row r="76" spans="1:31">
      <c r="A76" s="65"/>
      <c r="B76" s="65"/>
      <c r="C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E76" s="65"/>
    </row>
    <row r="77" spans="1:31">
      <c r="A77" s="65"/>
      <c r="B77" s="65"/>
      <c r="C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E77" s="65"/>
    </row>
    <row r="78" spans="1:31">
      <c r="A78" s="65"/>
      <c r="B78" s="65"/>
      <c r="C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E78" s="65"/>
    </row>
    <row r="79" spans="1:31">
      <c r="A79" s="65"/>
      <c r="B79" s="65"/>
      <c r="C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E79" s="65"/>
    </row>
    <row r="80" spans="1:31">
      <c r="A80" s="65"/>
      <c r="B80" s="65"/>
      <c r="C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E80" s="65"/>
    </row>
    <row r="81" spans="1:31">
      <c r="A81" s="65"/>
      <c r="B81" s="65"/>
      <c r="C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E81" s="65"/>
    </row>
    <row r="82" spans="1:31">
      <c r="A82" s="65"/>
      <c r="B82" s="65"/>
      <c r="C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E82" s="65"/>
    </row>
    <row r="83" spans="1:31">
      <c r="A83" s="65"/>
      <c r="B83" s="65"/>
      <c r="C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E83" s="65"/>
    </row>
    <row r="84" spans="1:31">
      <c r="A84" s="65"/>
      <c r="B84" s="65"/>
      <c r="C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E84" s="65"/>
    </row>
    <row r="85" spans="1:31">
      <c r="A85" s="65"/>
      <c r="B85" s="65"/>
      <c r="C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E85" s="65"/>
    </row>
    <row r="86" spans="1:31">
      <c r="A86" s="65"/>
      <c r="B86" s="65"/>
      <c r="C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E86" s="65"/>
    </row>
    <row r="87" spans="1:31">
      <c r="A87" s="65"/>
      <c r="B87" s="65"/>
      <c r="C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E87" s="65"/>
    </row>
    <row r="88" spans="1:31">
      <c r="A88" s="65"/>
      <c r="B88" s="65"/>
      <c r="C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E88" s="65"/>
    </row>
    <row r="89" spans="1:31">
      <c r="A89" s="65"/>
      <c r="B89" s="65"/>
      <c r="C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E89" s="65"/>
    </row>
    <row r="90" spans="1:31">
      <c r="A90" s="65"/>
      <c r="B90" s="65"/>
      <c r="C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E90" s="65"/>
    </row>
    <row r="91" spans="1:31">
      <c r="A91" s="65"/>
      <c r="B91" s="65"/>
      <c r="C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E91" s="65"/>
    </row>
    <row r="92" spans="1:31">
      <c r="A92" s="65"/>
      <c r="B92" s="65"/>
      <c r="C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E92" s="65"/>
    </row>
    <row r="93" spans="1:31">
      <c r="A93" s="65"/>
      <c r="B93" s="65"/>
      <c r="C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E93" s="65"/>
    </row>
    <row r="94" spans="1:31">
      <c r="A94" s="65"/>
      <c r="B94" s="65"/>
      <c r="C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E94" s="65"/>
    </row>
    <row r="95" spans="1:31">
      <c r="A95" s="65"/>
      <c r="B95" s="65"/>
      <c r="C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E95" s="65"/>
    </row>
    <row r="96" spans="1:31">
      <c r="A96" s="65"/>
      <c r="B96" s="65"/>
      <c r="C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E96" s="65"/>
    </row>
    <row r="97" spans="1:31">
      <c r="A97" s="65"/>
      <c r="B97" s="65"/>
      <c r="C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E97" s="65"/>
    </row>
    <row r="98" spans="1:31">
      <c r="A98" s="65"/>
      <c r="B98" s="65"/>
      <c r="C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E98" s="65"/>
    </row>
    <row r="99" spans="1:31">
      <c r="A99" s="65"/>
      <c r="B99" s="65"/>
      <c r="C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E99" s="65"/>
    </row>
    <row r="100" spans="1:31">
      <c r="A100" s="65"/>
      <c r="B100" s="65"/>
      <c r="C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E100" s="65"/>
    </row>
    <row r="101" spans="1:31">
      <c r="A101" s="65"/>
      <c r="B101" s="65"/>
      <c r="C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E101" s="65"/>
    </row>
    <row r="102" spans="1:31">
      <c r="A102" s="65"/>
      <c r="B102" s="65"/>
      <c r="C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E102" s="65"/>
    </row>
    <row r="103" spans="1:31">
      <c r="A103" s="65"/>
      <c r="B103" s="65"/>
      <c r="C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E103" s="65"/>
    </row>
    <row r="104" spans="1:31">
      <c r="A104" s="65"/>
      <c r="B104" s="65"/>
      <c r="C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E104" s="65"/>
    </row>
    <row r="105" spans="1:31">
      <c r="A105" s="65"/>
      <c r="B105" s="65"/>
      <c r="C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E105" s="65"/>
    </row>
    <row r="106" spans="1:31">
      <c r="A106" s="65"/>
      <c r="B106" s="65"/>
      <c r="C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E106" s="65"/>
    </row>
    <row r="107" spans="1:31">
      <c r="A107" s="65"/>
      <c r="B107" s="65"/>
      <c r="C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E107" s="65"/>
    </row>
    <row r="108" spans="1:31">
      <c r="A108" s="65"/>
      <c r="B108" s="65"/>
      <c r="C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E108" s="65"/>
    </row>
    <row r="109" spans="1:31">
      <c r="A109" s="65"/>
      <c r="B109" s="65"/>
      <c r="C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E109" s="65"/>
    </row>
    <row r="110" spans="1:31">
      <c r="A110" s="65"/>
      <c r="B110" s="65"/>
      <c r="C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E110" s="65"/>
    </row>
    <row r="111" spans="1:31">
      <c r="A111" s="65"/>
      <c r="B111" s="65"/>
      <c r="C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E111" s="65"/>
    </row>
    <row r="112" spans="1:31">
      <c r="A112" s="65"/>
      <c r="B112" s="65"/>
      <c r="C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E112" s="65"/>
    </row>
    <row r="113" spans="1:31">
      <c r="A113" s="65"/>
      <c r="B113" s="65"/>
      <c r="C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E113" s="65"/>
    </row>
    <row r="114" spans="1:31">
      <c r="A114" s="65"/>
      <c r="B114" s="65"/>
      <c r="C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E114" s="65"/>
    </row>
    <row r="115" spans="1:31">
      <c r="A115" s="65"/>
      <c r="B115" s="65"/>
      <c r="C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E115" s="65"/>
    </row>
    <row r="116" spans="1:31">
      <c r="A116" s="65"/>
      <c r="B116" s="65"/>
      <c r="C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E116" s="65"/>
    </row>
    <row r="117" spans="1:31">
      <c r="A117" s="65"/>
      <c r="B117" s="65"/>
      <c r="C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E117" s="65"/>
    </row>
    <row r="118" spans="1:31">
      <c r="A118" s="65"/>
      <c r="B118" s="65"/>
      <c r="C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E118" s="65"/>
    </row>
    <row r="119" spans="1:31">
      <c r="A119" s="65"/>
      <c r="B119" s="65"/>
      <c r="C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E119" s="65"/>
    </row>
    <row r="120" spans="1:31">
      <c r="A120" s="65"/>
      <c r="B120" s="65"/>
      <c r="C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E120" s="65"/>
    </row>
    <row r="121" spans="1:31">
      <c r="A121" s="65"/>
      <c r="B121" s="65"/>
      <c r="C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E121" s="65"/>
    </row>
    <row r="122" spans="1:31">
      <c r="A122" s="65"/>
      <c r="B122" s="65"/>
      <c r="C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E122" s="65"/>
    </row>
    <row r="123" spans="1:31">
      <c r="A123" s="65"/>
      <c r="B123" s="65"/>
      <c r="C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E123" s="65"/>
    </row>
    <row r="124" spans="1:31">
      <c r="A124" s="65"/>
      <c r="B124" s="65"/>
      <c r="C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E124" s="65"/>
    </row>
    <row r="125" spans="1:31">
      <c r="A125" s="65"/>
      <c r="B125" s="65"/>
      <c r="C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E125" s="65"/>
    </row>
    <row r="126" spans="1:31">
      <c r="A126" s="65"/>
      <c r="B126" s="65"/>
      <c r="C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E126" s="65"/>
    </row>
    <row r="127" spans="1:31">
      <c r="A127" s="65"/>
      <c r="B127" s="65"/>
      <c r="C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E127" s="65"/>
    </row>
    <row r="128" spans="1:31">
      <c r="A128" s="65"/>
      <c r="B128" s="65"/>
      <c r="C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E128" s="65"/>
    </row>
    <row r="129" spans="1:31">
      <c r="A129" s="65"/>
      <c r="B129" s="65"/>
      <c r="C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E129" s="65"/>
    </row>
    <row r="130" spans="1:31">
      <c r="A130" s="65"/>
      <c r="B130" s="65"/>
      <c r="C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E130" s="65"/>
    </row>
    <row r="131" spans="1:31">
      <c r="A131" s="65"/>
      <c r="B131" s="65"/>
      <c r="C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E131" s="65"/>
    </row>
    <row r="132" spans="1:31">
      <c r="A132" s="65"/>
      <c r="B132" s="65"/>
      <c r="C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E132" s="65"/>
    </row>
    <row r="133" spans="1:31">
      <c r="A133" s="65"/>
      <c r="B133" s="65"/>
      <c r="C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E133" s="65"/>
    </row>
    <row r="134" spans="1:31">
      <c r="A134" s="65"/>
      <c r="B134" s="65"/>
      <c r="C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E134" s="65"/>
    </row>
    <row r="135" spans="1:31">
      <c r="A135" s="65"/>
      <c r="B135" s="65"/>
      <c r="C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E135" s="65"/>
    </row>
    <row r="136" spans="1:31">
      <c r="A136" s="65"/>
      <c r="B136" s="65"/>
      <c r="C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E136" s="65"/>
    </row>
    <row r="137" spans="1:31">
      <c r="A137" s="65"/>
      <c r="B137" s="65"/>
      <c r="C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E137" s="65"/>
    </row>
    <row r="138" spans="1:31">
      <c r="A138" s="65"/>
      <c r="B138" s="65"/>
      <c r="C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E138" s="65"/>
    </row>
    <row r="139" spans="1:31">
      <c r="A139" s="65"/>
      <c r="B139" s="65"/>
      <c r="C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E139" s="65"/>
    </row>
    <row r="140" spans="1:31">
      <c r="A140" s="65"/>
      <c r="B140" s="65"/>
      <c r="C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E140" s="65"/>
    </row>
    <row r="141" spans="1:31">
      <c r="A141" s="65"/>
      <c r="B141" s="65"/>
      <c r="C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E141" s="65"/>
    </row>
    <row r="142" spans="1:31">
      <c r="A142" s="65"/>
      <c r="B142" s="65"/>
      <c r="C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E142" s="65"/>
    </row>
    <row r="143" spans="1:31">
      <c r="A143" s="65"/>
      <c r="B143" s="65"/>
      <c r="C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E143" s="65"/>
    </row>
    <row r="144" spans="1:31">
      <c r="A144" s="65"/>
      <c r="B144" s="65"/>
      <c r="C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E144" s="65"/>
    </row>
    <row r="145" spans="1:31">
      <c r="A145" s="65"/>
      <c r="B145" s="65"/>
      <c r="C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E145" s="65"/>
    </row>
    <row r="146" spans="1:31">
      <c r="A146" s="65"/>
      <c r="B146" s="65"/>
      <c r="C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E146" s="65"/>
    </row>
    <row r="147" spans="1:31">
      <c r="A147" s="65"/>
      <c r="B147" s="65"/>
      <c r="C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E147" s="65"/>
    </row>
    <row r="148" spans="1:31">
      <c r="A148" s="65"/>
      <c r="B148" s="65"/>
      <c r="C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E148" s="65"/>
    </row>
    <row r="149" spans="1:31">
      <c r="A149" s="65"/>
      <c r="B149" s="65"/>
      <c r="C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E149" s="65"/>
    </row>
    <row r="150" spans="1:31">
      <c r="A150" s="65"/>
      <c r="B150" s="65"/>
      <c r="C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E150" s="65"/>
    </row>
    <row r="151" spans="1:31">
      <c r="A151" s="65"/>
      <c r="B151" s="65"/>
      <c r="C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E151" s="65"/>
    </row>
    <row r="152" spans="1:31">
      <c r="A152" s="65"/>
      <c r="B152" s="65"/>
      <c r="C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E152" s="65"/>
    </row>
    <row r="153" spans="1:31">
      <c r="A153" s="65"/>
      <c r="B153" s="65"/>
      <c r="C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E153" s="65"/>
    </row>
    <row r="154" spans="1:31">
      <c r="A154" s="65"/>
      <c r="B154" s="65"/>
      <c r="C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E154" s="65"/>
    </row>
    <row r="155" spans="1:31">
      <c r="A155" s="65"/>
      <c r="B155" s="65"/>
      <c r="C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E155" s="65"/>
    </row>
    <row r="156" spans="1:31">
      <c r="A156" s="65"/>
      <c r="B156" s="65"/>
      <c r="C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E156" s="65"/>
    </row>
    <row r="157" spans="1:31">
      <c r="A157" s="65"/>
      <c r="B157" s="65"/>
      <c r="C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E157" s="65"/>
    </row>
    <row r="158" spans="1:31">
      <c r="A158" s="65"/>
      <c r="B158" s="65"/>
      <c r="C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E158" s="65"/>
    </row>
    <row r="159" spans="1:31">
      <c r="A159" s="65"/>
      <c r="B159" s="65"/>
      <c r="C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E159" s="65"/>
    </row>
    <row r="160" spans="1:31">
      <c r="A160" s="65"/>
      <c r="B160" s="65"/>
      <c r="C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E160" s="65"/>
    </row>
    <row r="161" spans="1:31">
      <c r="A161" s="65"/>
      <c r="B161" s="65"/>
      <c r="C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E161" s="65"/>
    </row>
    <row r="162" spans="1:31">
      <c r="A162" s="65"/>
      <c r="B162" s="65"/>
      <c r="C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E162" s="65"/>
    </row>
    <row r="163" spans="1:31">
      <c r="A163" s="65"/>
      <c r="B163" s="65"/>
      <c r="C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E163" s="65"/>
    </row>
    <row r="164" spans="1:31">
      <c r="A164" s="65"/>
      <c r="B164" s="65"/>
      <c r="C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E164" s="65"/>
    </row>
    <row r="165" spans="1:31">
      <c r="A165" s="65"/>
      <c r="B165" s="65"/>
      <c r="C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E165" s="65"/>
    </row>
    <row r="166" spans="1:31">
      <c r="A166" s="65"/>
      <c r="B166" s="65"/>
      <c r="C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E166" s="65"/>
    </row>
    <row r="167" spans="1:31">
      <c r="A167" s="65"/>
      <c r="B167" s="65"/>
      <c r="C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E167" s="65"/>
    </row>
    <row r="168" spans="1:31">
      <c r="A168" s="65"/>
      <c r="B168" s="65"/>
      <c r="C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E168" s="65"/>
    </row>
    <row r="169" spans="1:31">
      <c r="A169" s="65"/>
      <c r="B169" s="65"/>
      <c r="C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E169" s="65"/>
    </row>
    <row r="170" spans="1:31">
      <c r="A170" s="65"/>
      <c r="B170" s="65"/>
      <c r="C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E170" s="65"/>
    </row>
    <row r="171" spans="1:31">
      <c r="A171" s="65"/>
      <c r="B171" s="65"/>
      <c r="C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E171" s="65"/>
    </row>
    <row r="172" spans="1:31">
      <c r="A172" s="65"/>
      <c r="B172" s="65"/>
      <c r="C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E172" s="65"/>
    </row>
    <row r="173" spans="1:31">
      <c r="A173" s="65"/>
      <c r="B173" s="65"/>
      <c r="C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E173" s="65"/>
    </row>
    <row r="174" spans="1:31">
      <c r="A174" s="65"/>
      <c r="B174" s="65"/>
      <c r="C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E174" s="65"/>
    </row>
    <row r="175" spans="1:31">
      <c r="A175" s="65"/>
      <c r="B175" s="65"/>
      <c r="C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E175" s="65"/>
    </row>
    <row r="176" spans="1:31">
      <c r="A176" s="65"/>
      <c r="B176" s="65"/>
      <c r="C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E176" s="65"/>
    </row>
    <row r="177" spans="1:31">
      <c r="A177" s="65"/>
      <c r="B177" s="65"/>
      <c r="C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E177" s="65"/>
    </row>
    <row r="178" spans="1:31">
      <c r="A178" s="65"/>
      <c r="B178" s="65"/>
      <c r="C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E178" s="65"/>
    </row>
    <row r="179" spans="1:31">
      <c r="A179" s="65"/>
      <c r="B179" s="65"/>
      <c r="C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E179" s="65"/>
    </row>
    <row r="180" spans="1:31">
      <c r="A180" s="65"/>
      <c r="B180" s="65"/>
      <c r="C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E180" s="65"/>
    </row>
    <row r="181" spans="1:31">
      <c r="A181" s="65"/>
      <c r="B181" s="65"/>
      <c r="C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E181" s="65"/>
    </row>
    <row r="182" spans="1:31">
      <c r="A182" s="65"/>
      <c r="B182" s="65"/>
      <c r="C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E182" s="65"/>
    </row>
    <row r="183" spans="1:31">
      <c r="A183" s="65"/>
      <c r="B183" s="65"/>
      <c r="C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E183" s="65"/>
    </row>
    <row r="184" spans="1:31">
      <c r="A184" s="65"/>
      <c r="B184" s="65"/>
      <c r="C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E184" s="65"/>
    </row>
    <row r="185" spans="1:31">
      <c r="A185" s="65"/>
      <c r="B185" s="65"/>
      <c r="C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E185" s="65"/>
    </row>
    <row r="186" spans="1:31">
      <c r="A186" s="65"/>
      <c r="B186" s="65"/>
      <c r="C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E186" s="65"/>
    </row>
    <row r="187" spans="1:31">
      <c r="A187" s="65"/>
      <c r="B187" s="65"/>
      <c r="C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E187" s="65"/>
    </row>
    <row r="188" spans="1:31">
      <c r="A188" s="65"/>
      <c r="B188" s="65"/>
      <c r="C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E188" s="65"/>
    </row>
    <row r="189" spans="1:31">
      <c r="A189" s="65"/>
      <c r="B189" s="65"/>
      <c r="C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E189" s="65"/>
    </row>
    <row r="190" spans="1:31">
      <c r="A190" s="65"/>
      <c r="B190" s="65"/>
      <c r="C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E190" s="65"/>
    </row>
    <row r="191" spans="1:31">
      <c r="A191" s="65"/>
      <c r="B191" s="65"/>
      <c r="C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E191" s="65"/>
    </row>
    <row r="192" spans="1:31">
      <c r="A192" s="65"/>
      <c r="B192" s="65"/>
      <c r="C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E192" s="65"/>
    </row>
    <row r="193" spans="1:31">
      <c r="A193" s="65"/>
      <c r="B193" s="65"/>
      <c r="C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E193" s="65"/>
    </row>
    <row r="194" spans="1:31">
      <c r="A194" s="65"/>
      <c r="B194" s="65"/>
      <c r="C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E194" s="65"/>
    </row>
    <row r="195" spans="1:31">
      <c r="A195" s="65"/>
      <c r="B195" s="65"/>
      <c r="C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E195" s="65"/>
    </row>
    <row r="196" spans="1:31">
      <c r="A196" s="65"/>
      <c r="B196" s="65"/>
      <c r="C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E196" s="65"/>
    </row>
    <row r="197" spans="1:31">
      <c r="A197" s="65"/>
      <c r="B197" s="65"/>
      <c r="C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E197" s="65"/>
    </row>
    <row r="198" spans="1:31">
      <c r="A198" s="65"/>
      <c r="B198" s="65"/>
      <c r="C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E198" s="65"/>
    </row>
    <row r="199" spans="1:31">
      <c r="A199" s="65"/>
      <c r="B199" s="65"/>
      <c r="C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  <c r="AA199" s="65"/>
      <c r="AB199" s="65"/>
      <c r="AC199" s="65"/>
      <c r="AE199" s="65"/>
    </row>
    <row r="200" spans="1:31">
      <c r="A200" s="65"/>
      <c r="B200" s="65"/>
      <c r="C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E200" s="65"/>
    </row>
    <row r="201" spans="1:31">
      <c r="A201" s="65"/>
      <c r="B201" s="65"/>
      <c r="C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  <c r="AA201" s="65"/>
      <c r="AB201" s="65"/>
      <c r="AC201" s="65"/>
      <c r="AE201" s="65"/>
    </row>
    <row r="202" spans="1:31">
      <c r="A202" s="65"/>
      <c r="B202" s="65"/>
      <c r="C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E202" s="65"/>
    </row>
    <row r="203" spans="1:31">
      <c r="A203" s="65"/>
      <c r="B203" s="65"/>
      <c r="C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  <c r="AA203" s="65"/>
      <c r="AB203" s="65"/>
      <c r="AC203" s="65"/>
      <c r="AE203" s="65"/>
    </row>
    <row r="204" spans="1:31">
      <c r="A204" s="65"/>
      <c r="B204" s="65"/>
      <c r="C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E204" s="65"/>
    </row>
    <row r="205" spans="1:31">
      <c r="A205" s="65"/>
      <c r="B205" s="65"/>
      <c r="C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  <c r="AA205" s="65"/>
      <c r="AB205" s="65"/>
      <c r="AC205" s="65"/>
      <c r="AE205" s="65"/>
    </row>
    <row r="206" spans="1:31">
      <c r="A206" s="65"/>
      <c r="B206" s="65"/>
      <c r="C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E206" s="65"/>
    </row>
    <row r="207" spans="1:31">
      <c r="A207" s="65"/>
      <c r="B207" s="65"/>
      <c r="C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  <c r="AA207" s="65"/>
      <c r="AB207" s="65"/>
      <c r="AC207" s="65"/>
      <c r="AE207" s="65"/>
    </row>
    <row r="208" spans="1:31">
      <c r="A208" s="65"/>
      <c r="B208" s="65"/>
      <c r="C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E208" s="65"/>
    </row>
    <row r="209" spans="1:31">
      <c r="A209" s="65"/>
      <c r="B209" s="65"/>
      <c r="C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  <c r="AA209" s="65"/>
      <c r="AB209" s="65"/>
      <c r="AC209" s="65"/>
      <c r="AE209" s="65"/>
    </row>
    <row r="210" spans="1:31">
      <c r="A210" s="65"/>
      <c r="B210" s="65"/>
      <c r="C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E210" s="65"/>
    </row>
    <row r="211" spans="1:31">
      <c r="A211" s="65"/>
      <c r="B211" s="65"/>
      <c r="C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  <c r="AA211" s="65"/>
      <c r="AB211" s="65"/>
      <c r="AC211" s="65"/>
      <c r="AE211" s="65"/>
    </row>
    <row r="212" spans="1:31">
      <c r="A212" s="65"/>
      <c r="B212" s="65"/>
      <c r="C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E212" s="65"/>
    </row>
    <row r="213" spans="1:31">
      <c r="A213" s="65"/>
      <c r="B213" s="65"/>
      <c r="C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  <c r="AA213" s="65"/>
      <c r="AB213" s="65"/>
      <c r="AC213" s="65"/>
      <c r="AE213" s="65"/>
    </row>
    <row r="214" spans="1:31">
      <c r="A214" s="65"/>
      <c r="B214" s="65"/>
      <c r="C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E214" s="65"/>
    </row>
    <row r="215" spans="1:31">
      <c r="A215" s="65"/>
      <c r="B215" s="65"/>
      <c r="C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  <c r="AA215" s="65"/>
      <c r="AB215" s="65"/>
      <c r="AC215" s="65"/>
      <c r="AE215" s="65"/>
    </row>
    <row r="216" spans="1:31">
      <c r="A216" s="65"/>
      <c r="B216" s="65"/>
      <c r="C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E216" s="65"/>
    </row>
    <row r="217" spans="1:31">
      <c r="A217" s="65"/>
      <c r="B217" s="65"/>
      <c r="C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  <c r="AA217" s="65"/>
      <c r="AB217" s="65"/>
      <c r="AC217" s="65"/>
      <c r="AE217" s="65"/>
    </row>
    <row r="218" spans="1:31">
      <c r="A218" s="65"/>
      <c r="B218" s="65"/>
      <c r="C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E218" s="65"/>
    </row>
    <row r="219" spans="1:31">
      <c r="A219" s="65"/>
      <c r="B219" s="65"/>
      <c r="C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  <c r="AA219" s="65"/>
      <c r="AB219" s="65"/>
      <c r="AC219" s="65"/>
      <c r="AE219" s="65"/>
    </row>
    <row r="220" spans="1:31">
      <c r="A220" s="65"/>
      <c r="B220" s="65"/>
      <c r="C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E220" s="65"/>
    </row>
    <row r="221" spans="1:31">
      <c r="A221" s="65"/>
      <c r="B221" s="65"/>
      <c r="C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  <c r="AA221" s="65"/>
      <c r="AB221" s="65"/>
      <c r="AC221" s="65"/>
      <c r="AE221" s="65"/>
    </row>
    <row r="222" spans="1:31">
      <c r="A222" s="65"/>
      <c r="B222" s="65"/>
      <c r="C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E222" s="65"/>
    </row>
    <row r="223" spans="1:31">
      <c r="A223" s="65"/>
      <c r="B223" s="65"/>
      <c r="C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  <c r="AA223" s="65"/>
      <c r="AB223" s="65"/>
      <c r="AC223" s="65"/>
      <c r="AE223" s="65"/>
    </row>
    <row r="224" spans="1:31">
      <c r="A224" s="65"/>
      <c r="B224" s="65"/>
      <c r="C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E224" s="65"/>
    </row>
    <row r="225" spans="1:31">
      <c r="A225" s="65"/>
      <c r="B225" s="65"/>
      <c r="C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E225" s="65"/>
    </row>
    <row r="226" spans="1:31">
      <c r="A226" s="65"/>
      <c r="B226" s="65"/>
      <c r="C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E226" s="65"/>
    </row>
    <row r="227" spans="1:31">
      <c r="A227" s="65"/>
      <c r="B227" s="65"/>
      <c r="C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E227" s="65"/>
    </row>
    <row r="228" spans="1:31">
      <c r="A228" s="65"/>
      <c r="B228" s="65"/>
      <c r="C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E228" s="65"/>
    </row>
    <row r="229" spans="1:31">
      <c r="A229" s="65"/>
      <c r="B229" s="65"/>
      <c r="C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E229" s="65"/>
    </row>
    <row r="230" spans="1:31">
      <c r="A230" s="65"/>
      <c r="B230" s="65"/>
      <c r="C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E230" s="65"/>
    </row>
    <row r="231" spans="1:31">
      <c r="A231" s="65"/>
      <c r="B231" s="65"/>
      <c r="C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E231" s="65"/>
    </row>
    <row r="232" spans="1:31">
      <c r="A232" s="65"/>
      <c r="B232" s="65"/>
      <c r="C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E232" s="65"/>
    </row>
    <row r="233" spans="1:31">
      <c r="A233" s="65"/>
      <c r="B233" s="65"/>
      <c r="C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E233" s="65"/>
    </row>
    <row r="234" spans="1:31">
      <c r="A234" s="65"/>
      <c r="B234" s="65"/>
      <c r="C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E234" s="65"/>
    </row>
    <row r="235" spans="1:31">
      <c r="A235" s="65"/>
      <c r="B235" s="65"/>
      <c r="C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E235" s="65"/>
    </row>
    <row r="236" spans="1:31">
      <c r="A236" s="65"/>
      <c r="B236" s="65"/>
      <c r="C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E236" s="65"/>
    </row>
    <row r="237" spans="1:31">
      <c r="A237" s="65"/>
      <c r="B237" s="65"/>
      <c r="C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E237" s="65"/>
    </row>
    <row r="238" spans="1:31">
      <c r="A238" s="65"/>
      <c r="B238" s="65"/>
      <c r="C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E238" s="65"/>
    </row>
    <row r="239" spans="1:31">
      <c r="A239" s="65"/>
      <c r="B239" s="65"/>
      <c r="C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E239" s="65"/>
    </row>
    <row r="240" spans="1:31">
      <c r="A240" s="65"/>
      <c r="B240" s="65"/>
      <c r="C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E240" s="65"/>
    </row>
    <row r="241" spans="1:31">
      <c r="A241" s="65"/>
      <c r="B241" s="65"/>
      <c r="C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E241" s="65"/>
    </row>
    <row r="242" spans="1:31">
      <c r="A242" s="65"/>
      <c r="B242" s="65"/>
      <c r="C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E242" s="65"/>
    </row>
    <row r="243" spans="1:31">
      <c r="A243" s="65"/>
      <c r="B243" s="65"/>
      <c r="C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E243" s="65"/>
    </row>
    <row r="244" spans="1:31">
      <c r="A244" s="65"/>
      <c r="B244" s="65"/>
      <c r="C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E244" s="65"/>
    </row>
    <row r="245" spans="1:31">
      <c r="A245" s="65"/>
      <c r="B245" s="65"/>
      <c r="C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E245" s="65"/>
    </row>
    <row r="246" spans="1:31">
      <c r="A246" s="65"/>
      <c r="B246" s="65"/>
      <c r="C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E246" s="65"/>
    </row>
    <row r="247" spans="1:31">
      <c r="A247" s="65"/>
      <c r="B247" s="65"/>
      <c r="C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E247" s="65"/>
    </row>
    <row r="248" spans="1:31">
      <c r="A248" s="65"/>
      <c r="B248" s="65"/>
      <c r="C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E248" s="65"/>
    </row>
    <row r="249" spans="1:31">
      <c r="A249" s="65"/>
      <c r="B249" s="65"/>
      <c r="C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E249" s="65"/>
    </row>
    <row r="250" spans="1:31">
      <c r="A250" s="65"/>
      <c r="B250" s="65"/>
      <c r="C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E250" s="65"/>
    </row>
    <row r="251" spans="1:31">
      <c r="A251" s="65"/>
      <c r="B251" s="65"/>
      <c r="C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E251" s="65"/>
    </row>
    <row r="252" spans="1:31">
      <c r="A252" s="65"/>
      <c r="B252" s="65"/>
      <c r="C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E252" s="65"/>
    </row>
    <row r="253" spans="1:31">
      <c r="A253" s="65"/>
      <c r="B253" s="65"/>
      <c r="C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E253" s="65"/>
    </row>
    <row r="254" spans="1:31">
      <c r="A254" s="65"/>
      <c r="B254" s="65"/>
      <c r="C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E254" s="65"/>
    </row>
    <row r="255" spans="1:31">
      <c r="A255" s="65"/>
      <c r="B255" s="65"/>
      <c r="C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E255" s="65"/>
    </row>
    <row r="256" spans="1:31">
      <c r="A256" s="65"/>
      <c r="B256" s="65"/>
      <c r="C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E256" s="65"/>
    </row>
    <row r="257" spans="1:31">
      <c r="A257" s="65"/>
      <c r="B257" s="65"/>
      <c r="C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E257" s="65"/>
    </row>
    <row r="258" spans="1:31">
      <c r="A258" s="65"/>
      <c r="B258" s="65"/>
      <c r="C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E258" s="65"/>
    </row>
    <row r="259" spans="1:31">
      <c r="A259" s="65"/>
      <c r="B259" s="65"/>
      <c r="C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E259" s="65"/>
    </row>
    <row r="260" spans="1:31">
      <c r="A260" s="65"/>
      <c r="B260" s="65"/>
      <c r="C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E260" s="65"/>
    </row>
    <row r="261" spans="1:31">
      <c r="A261" s="65"/>
      <c r="B261" s="65"/>
      <c r="C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E261" s="65"/>
    </row>
    <row r="262" spans="1:31">
      <c r="A262" s="65"/>
      <c r="B262" s="65"/>
      <c r="C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E262" s="65"/>
    </row>
    <row r="263" spans="1:31">
      <c r="A263" s="65"/>
      <c r="B263" s="65"/>
      <c r="C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E263" s="65"/>
    </row>
    <row r="264" spans="1:31">
      <c r="A264" s="65"/>
      <c r="B264" s="65"/>
      <c r="C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E264" s="65"/>
    </row>
    <row r="265" spans="1:31">
      <c r="A265" s="65"/>
      <c r="B265" s="65"/>
      <c r="C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E265" s="65"/>
    </row>
    <row r="266" spans="1:31">
      <c r="A266" s="65"/>
      <c r="B266" s="65"/>
      <c r="C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E266" s="65"/>
    </row>
    <row r="267" spans="1:31">
      <c r="A267" s="65"/>
      <c r="B267" s="65"/>
      <c r="C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E267" s="65"/>
    </row>
    <row r="268" spans="1:31">
      <c r="A268" s="65"/>
      <c r="B268" s="65"/>
      <c r="C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E268" s="65"/>
    </row>
    <row r="269" spans="1:31">
      <c r="A269" s="65"/>
      <c r="B269" s="65"/>
      <c r="C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E269" s="65"/>
    </row>
    <row r="270" spans="1:31">
      <c r="A270" s="65"/>
      <c r="B270" s="65"/>
      <c r="C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E270" s="65"/>
    </row>
    <row r="271" spans="1:31">
      <c r="A271" s="65"/>
      <c r="B271" s="65"/>
      <c r="C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E271" s="65"/>
    </row>
    <row r="272" spans="1:31">
      <c r="A272" s="65"/>
      <c r="B272" s="65"/>
      <c r="C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E272" s="65"/>
    </row>
    <row r="273" spans="1:31">
      <c r="A273" s="65"/>
      <c r="B273" s="65"/>
      <c r="C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E273" s="65"/>
    </row>
    <row r="274" spans="1:31">
      <c r="A274" s="65"/>
      <c r="B274" s="65"/>
      <c r="C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E274" s="65"/>
    </row>
    <row r="275" spans="1:31">
      <c r="A275" s="65"/>
      <c r="B275" s="65"/>
      <c r="C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E275" s="65"/>
    </row>
    <row r="276" spans="1:31">
      <c r="A276" s="65"/>
      <c r="B276" s="65"/>
      <c r="C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E276" s="65"/>
    </row>
    <row r="277" spans="1:31">
      <c r="A277" s="65"/>
      <c r="B277" s="65"/>
      <c r="C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E277" s="65"/>
    </row>
    <row r="278" spans="1:31">
      <c r="A278" s="65"/>
      <c r="B278" s="65"/>
      <c r="C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E278" s="65"/>
    </row>
    <row r="279" spans="1:31">
      <c r="A279" s="65"/>
      <c r="B279" s="65"/>
      <c r="C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E279" s="65"/>
    </row>
    <row r="280" spans="1:31">
      <c r="A280" s="65"/>
      <c r="B280" s="65"/>
      <c r="C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E280" s="65"/>
    </row>
    <row r="281" spans="1:31">
      <c r="A281" s="65"/>
      <c r="B281" s="65"/>
      <c r="C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E281" s="65"/>
    </row>
    <row r="282" spans="1:31">
      <c r="A282" s="65"/>
      <c r="B282" s="65"/>
      <c r="C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E282" s="65"/>
    </row>
    <row r="283" spans="1:31">
      <c r="A283" s="65"/>
      <c r="B283" s="65"/>
      <c r="C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E283" s="65"/>
    </row>
    <row r="284" spans="1:31">
      <c r="A284" s="65"/>
      <c r="B284" s="65"/>
      <c r="C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E284" s="65"/>
    </row>
    <row r="285" spans="1:31">
      <c r="A285" s="65"/>
      <c r="B285" s="65"/>
      <c r="C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E285" s="65"/>
    </row>
    <row r="286" spans="1:31">
      <c r="A286" s="65"/>
      <c r="B286" s="65"/>
      <c r="C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E286" s="65"/>
    </row>
    <row r="287" spans="1:31">
      <c r="A287" s="65"/>
      <c r="B287" s="65"/>
      <c r="C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E287" s="65"/>
    </row>
    <row r="288" spans="1:31">
      <c r="A288" s="65"/>
      <c r="B288" s="65"/>
      <c r="C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E288" s="65"/>
    </row>
    <row r="289" spans="1:31">
      <c r="A289" s="65"/>
      <c r="B289" s="65"/>
      <c r="C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E289" s="65"/>
    </row>
    <row r="290" spans="1:31">
      <c r="A290" s="65"/>
      <c r="B290" s="65"/>
      <c r="C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E290" s="65"/>
    </row>
    <row r="291" spans="1:31">
      <c r="A291" s="65"/>
      <c r="B291" s="65"/>
      <c r="C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E291" s="65"/>
    </row>
    <row r="292" spans="1:31">
      <c r="A292" s="65"/>
      <c r="B292" s="65"/>
      <c r="C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E292" s="65"/>
    </row>
    <row r="293" spans="1:31">
      <c r="A293" s="65"/>
      <c r="B293" s="65"/>
      <c r="C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E293" s="65"/>
    </row>
    <row r="294" spans="1:31">
      <c r="A294" s="65"/>
      <c r="B294" s="65"/>
      <c r="C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E294" s="65"/>
    </row>
    <row r="295" spans="1:31">
      <c r="A295" s="65"/>
      <c r="B295" s="65"/>
      <c r="C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E295" s="65"/>
    </row>
    <row r="296" spans="1:31">
      <c r="A296" s="65"/>
      <c r="B296" s="65"/>
      <c r="C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E296" s="65"/>
    </row>
    <row r="297" spans="1:31">
      <c r="A297" s="65"/>
      <c r="B297" s="65"/>
      <c r="C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E297" s="65"/>
    </row>
    <row r="298" spans="1:31">
      <c r="A298" s="65"/>
      <c r="B298" s="65"/>
      <c r="C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E298" s="65"/>
    </row>
    <row r="299" spans="1:31">
      <c r="A299" s="65"/>
      <c r="B299" s="65"/>
      <c r="C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E299" s="65"/>
    </row>
    <row r="300" spans="1:31">
      <c r="A300" s="65"/>
      <c r="B300" s="65"/>
      <c r="C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E300" s="65"/>
    </row>
    <row r="301" spans="1:31">
      <c r="A301" s="65"/>
      <c r="B301" s="65"/>
      <c r="C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E301" s="65"/>
    </row>
    <row r="302" spans="1:31">
      <c r="A302" s="65"/>
      <c r="B302" s="65"/>
      <c r="C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E302" s="65"/>
    </row>
    <row r="303" spans="1:31">
      <c r="A303" s="65"/>
      <c r="B303" s="65"/>
      <c r="C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E303" s="65"/>
    </row>
    <row r="304" spans="1:31">
      <c r="A304" s="65"/>
      <c r="B304" s="65"/>
      <c r="C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E304" s="65"/>
    </row>
    <row r="305" spans="1:31">
      <c r="A305" s="65"/>
      <c r="B305" s="65"/>
      <c r="C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E305" s="65"/>
    </row>
    <row r="306" spans="1:31">
      <c r="A306" s="65"/>
      <c r="B306" s="65"/>
      <c r="C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E306" s="65"/>
    </row>
    <row r="307" spans="1:31">
      <c r="A307" s="65"/>
      <c r="B307" s="65"/>
      <c r="C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E307" s="65"/>
    </row>
    <row r="308" spans="1:31">
      <c r="A308" s="65"/>
      <c r="B308" s="65"/>
      <c r="C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E308" s="65"/>
    </row>
    <row r="309" spans="1:31">
      <c r="A309" s="65"/>
      <c r="B309" s="65"/>
      <c r="C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E309" s="65"/>
    </row>
    <row r="310" spans="1:31">
      <c r="A310" s="65"/>
      <c r="B310" s="65"/>
      <c r="C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E310" s="65"/>
    </row>
    <row r="311" spans="1:31">
      <c r="A311" s="65"/>
      <c r="B311" s="65"/>
      <c r="C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E311" s="65"/>
    </row>
    <row r="312" spans="1:31">
      <c r="A312" s="65"/>
      <c r="B312" s="65"/>
      <c r="C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E312" s="65"/>
    </row>
    <row r="313" spans="1:31">
      <c r="A313" s="65"/>
      <c r="B313" s="65"/>
      <c r="C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E313" s="65"/>
    </row>
    <row r="314" spans="1:31">
      <c r="A314" s="65"/>
      <c r="B314" s="65"/>
      <c r="C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E314" s="65"/>
    </row>
    <row r="315" spans="1:31">
      <c r="A315" s="65"/>
      <c r="B315" s="65"/>
      <c r="C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E315" s="65"/>
    </row>
    <row r="316" spans="1:31">
      <c r="A316" s="65"/>
      <c r="B316" s="65"/>
      <c r="C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E316" s="65"/>
    </row>
    <row r="317" spans="1:31">
      <c r="A317" s="65"/>
      <c r="B317" s="65"/>
      <c r="C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E317" s="65"/>
    </row>
    <row r="318" spans="1:31">
      <c r="A318" s="65"/>
      <c r="B318" s="65"/>
      <c r="C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E318" s="65"/>
    </row>
    <row r="319" spans="1:31">
      <c r="A319" s="65"/>
      <c r="B319" s="65"/>
      <c r="C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E319" s="65"/>
    </row>
    <row r="320" spans="1:31">
      <c r="A320" s="65"/>
      <c r="B320" s="65"/>
      <c r="C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E320" s="65"/>
    </row>
    <row r="321" spans="1:31">
      <c r="A321" s="65"/>
      <c r="B321" s="65"/>
      <c r="C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E321" s="65"/>
    </row>
    <row r="322" spans="1:31">
      <c r="A322" s="65"/>
      <c r="B322" s="65"/>
      <c r="C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E322" s="65"/>
    </row>
    <row r="323" spans="1:31">
      <c r="A323" s="65"/>
      <c r="B323" s="65"/>
      <c r="C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E323" s="65"/>
    </row>
    <row r="324" spans="1:31">
      <c r="A324" s="65"/>
      <c r="B324" s="65"/>
      <c r="C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E324" s="65"/>
    </row>
    <row r="325" spans="1:31">
      <c r="A325" s="65"/>
      <c r="B325" s="65"/>
      <c r="C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E325" s="65"/>
    </row>
    <row r="326" spans="1:31">
      <c r="A326" s="65"/>
      <c r="B326" s="65"/>
      <c r="C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E326" s="65"/>
    </row>
    <row r="327" spans="1:31">
      <c r="A327" s="65"/>
      <c r="B327" s="65"/>
      <c r="C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E327" s="65"/>
    </row>
    <row r="328" spans="1:31">
      <c r="A328" s="65"/>
      <c r="B328" s="65"/>
      <c r="C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E328" s="65"/>
    </row>
    <row r="329" spans="1:31">
      <c r="A329" s="65"/>
      <c r="B329" s="65"/>
      <c r="C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E329" s="65"/>
    </row>
    <row r="330" spans="1:31">
      <c r="A330" s="65"/>
      <c r="B330" s="65"/>
      <c r="C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E330" s="65"/>
    </row>
    <row r="331" spans="1:31">
      <c r="A331" s="65"/>
      <c r="B331" s="65"/>
      <c r="C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E331" s="65"/>
    </row>
    <row r="332" spans="1:31">
      <c r="A332" s="65"/>
      <c r="B332" s="65"/>
      <c r="C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E332" s="65"/>
    </row>
    <row r="333" spans="1:31">
      <c r="A333" s="65"/>
      <c r="B333" s="65"/>
      <c r="C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E333" s="65"/>
    </row>
    <row r="334" spans="1:31">
      <c r="A334" s="65"/>
      <c r="B334" s="65"/>
      <c r="C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E334" s="65"/>
    </row>
    <row r="335" spans="1:31">
      <c r="A335" s="65"/>
      <c r="B335" s="65"/>
      <c r="C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E335" s="65"/>
    </row>
    <row r="336" spans="1:31">
      <c r="A336" s="65"/>
      <c r="B336" s="65"/>
      <c r="C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E336" s="65"/>
    </row>
    <row r="337" spans="1:31">
      <c r="A337" s="65"/>
      <c r="B337" s="65"/>
      <c r="C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E337" s="65"/>
    </row>
    <row r="338" spans="1:31">
      <c r="A338" s="65"/>
      <c r="B338" s="65"/>
      <c r="C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E338" s="65"/>
    </row>
    <row r="339" spans="1:31">
      <c r="A339" s="65"/>
      <c r="B339" s="65"/>
      <c r="C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E339" s="65"/>
    </row>
    <row r="340" spans="1:31">
      <c r="A340" s="65"/>
      <c r="B340" s="65"/>
      <c r="C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E340" s="65"/>
    </row>
    <row r="341" spans="1:31">
      <c r="A341" s="65"/>
      <c r="B341" s="65"/>
      <c r="C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E341" s="65"/>
    </row>
    <row r="342" spans="1:31">
      <c r="A342" s="65"/>
      <c r="B342" s="65"/>
      <c r="C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E342" s="65"/>
    </row>
    <row r="343" spans="1:31">
      <c r="A343" s="65"/>
      <c r="B343" s="65"/>
      <c r="C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E343" s="65"/>
    </row>
    <row r="344" spans="1:31">
      <c r="A344" s="65"/>
      <c r="B344" s="65"/>
      <c r="C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E344" s="65"/>
    </row>
    <row r="345" spans="1:31">
      <c r="A345" s="65"/>
      <c r="B345" s="65"/>
      <c r="C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E345" s="65"/>
    </row>
    <row r="346" spans="1:31">
      <c r="A346" s="65"/>
      <c r="B346" s="65"/>
      <c r="C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E346" s="65"/>
    </row>
    <row r="347" spans="1:31">
      <c r="A347" s="65"/>
      <c r="B347" s="65"/>
      <c r="C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E347" s="65"/>
    </row>
    <row r="348" spans="1:31">
      <c r="A348" s="65"/>
      <c r="B348" s="65"/>
      <c r="C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E348" s="65"/>
    </row>
    <row r="349" spans="1:31">
      <c r="A349" s="65"/>
      <c r="B349" s="65"/>
      <c r="C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E349" s="65"/>
    </row>
    <row r="350" spans="1:31">
      <c r="A350" s="65"/>
      <c r="B350" s="65"/>
      <c r="C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E350" s="65"/>
    </row>
    <row r="351" spans="1:31">
      <c r="A351" s="65"/>
      <c r="B351" s="65"/>
      <c r="C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E351" s="65"/>
    </row>
    <row r="352" spans="1:31">
      <c r="A352" s="65"/>
      <c r="B352" s="65"/>
      <c r="C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E352" s="65"/>
    </row>
    <row r="353" spans="1:31">
      <c r="A353" s="65"/>
      <c r="B353" s="65"/>
      <c r="C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E353" s="65"/>
    </row>
    <row r="354" spans="1:31">
      <c r="A354" s="65"/>
      <c r="B354" s="65"/>
      <c r="C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E354" s="65"/>
    </row>
    <row r="355" spans="1:31">
      <c r="A355" s="65"/>
      <c r="B355" s="65"/>
      <c r="C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E355" s="65"/>
    </row>
    <row r="356" spans="1:31">
      <c r="A356" s="65"/>
      <c r="B356" s="65"/>
      <c r="C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E356" s="65"/>
    </row>
    <row r="357" spans="1:31">
      <c r="A357" s="65"/>
      <c r="B357" s="65"/>
      <c r="C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E357" s="65"/>
    </row>
    <row r="358" spans="1:31">
      <c r="A358" s="65"/>
      <c r="B358" s="65"/>
      <c r="C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E358" s="65"/>
    </row>
    <row r="359" spans="1:31">
      <c r="A359" s="65"/>
      <c r="B359" s="65"/>
      <c r="C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E359" s="65"/>
    </row>
    <row r="360" spans="1:31">
      <c r="A360" s="65"/>
      <c r="B360" s="65"/>
      <c r="C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E360" s="65"/>
    </row>
    <row r="361" spans="1:31">
      <c r="A361" s="65"/>
      <c r="B361" s="65"/>
      <c r="C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E361" s="65"/>
    </row>
    <row r="362" spans="1:31">
      <c r="A362" s="65"/>
      <c r="B362" s="65"/>
      <c r="C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E362" s="65"/>
    </row>
    <row r="363" spans="1:31">
      <c r="A363" s="65"/>
      <c r="B363" s="65"/>
      <c r="C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E363" s="65"/>
    </row>
    <row r="364" spans="1:31">
      <c r="A364" s="65"/>
      <c r="B364" s="65"/>
      <c r="C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E364" s="65"/>
    </row>
    <row r="365" spans="1:31">
      <c r="A365" s="65"/>
      <c r="B365" s="65"/>
      <c r="C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E365" s="65"/>
    </row>
    <row r="366" spans="1:31">
      <c r="A366" s="65"/>
      <c r="B366" s="65"/>
      <c r="C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E366" s="65"/>
    </row>
    <row r="367" spans="1:31">
      <c r="A367" s="65"/>
      <c r="B367" s="65"/>
      <c r="C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E367" s="65"/>
    </row>
    <row r="368" spans="1:31">
      <c r="A368" s="65"/>
      <c r="B368" s="65"/>
      <c r="C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E368" s="65"/>
    </row>
    <row r="369" spans="1:31">
      <c r="A369" s="65"/>
      <c r="B369" s="65"/>
      <c r="C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E369" s="65"/>
    </row>
    <row r="370" spans="1:31">
      <c r="A370" s="65"/>
      <c r="B370" s="65"/>
      <c r="C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E370" s="65"/>
    </row>
    <row r="371" spans="1:31">
      <c r="A371" s="65"/>
      <c r="B371" s="65"/>
      <c r="C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E371" s="65"/>
    </row>
    <row r="372" spans="1:31">
      <c r="A372" s="65"/>
      <c r="B372" s="65"/>
      <c r="C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E372" s="65"/>
    </row>
    <row r="373" spans="1:31">
      <c r="A373" s="65"/>
      <c r="B373" s="65"/>
      <c r="C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E373" s="65"/>
    </row>
    <row r="374" spans="1:31">
      <c r="A374" s="65"/>
      <c r="B374" s="65"/>
      <c r="C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E374" s="65"/>
    </row>
    <row r="375" spans="1:31">
      <c r="A375" s="65"/>
      <c r="B375" s="65"/>
      <c r="C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E375" s="65"/>
    </row>
    <row r="376" spans="1:31">
      <c r="A376" s="65"/>
      <c r="B376" s="65"/>
      <c r="C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E376" s="65"/>
    </row>
    <row r="377" spans="1:31">
      <c r="A377" s="65"/>
      <c r="B377" s="65"/>
      <c r="C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E377" s="65"/>
    </row>
    <row r="378" spans="1:31">
      <c r="A378" s="65"/>
      <c r="B378" s="65"/>
      <c r="C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E378" s="65"/>
    </row>
    <row r="379" spans="1:31">
      <c r="A379" s="65"/>
      <c r="B379" s="65"/>
      <c r="C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E379" s="65"/>
    </row>
    <row r="380" spans="1:31">
      <c r="A380" s="65"/>
      <c r="B380" s="65"/>
      <c r="C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E380" s="65"/>
    </row>
    <row r="381" spans="1:31">
      <c r="A381" s="65"/>
      <c r="B381" s="65"/>
      <c r="C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E381" s="65"/>
    </row>
    <row r="382" spans="1:31">
      <c r="A382" s="65"/>
      <c r="B382" s="65"/>
      <c r="C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E382" s="65"/>
    </row>
    <row r="383" spans="1:31">
      <c r="A383" s="65"/>
      <c r="B383" s="65"/>
      <c r="C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E383" s="65"/>
    </row>
    <row r="384" spans="1:31">
      <c r="A384" s="65"/>
      <c r="B384" s="65"/>
      <c r="C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E384" s="65"/>
    </row>
    <row r="385" spans="1:31">
      <c r="A385" s="65"/>
      <c r="B385" s="65"/>
      <c r="C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E385" s="65"/>
    </row>
    <row r="386" spans="1:31">
      <c r="A386" s="65"/>
      <c r="B386" s="65"/>
      <c r="C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E386" s="65"/>
    </row>
    <row r="387" spans="1:31">
      <c r="A387" s="65"/>
      <c r="B387" s="65"/>
      <c r="C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E387" s="65"/>
    </row>
    <row r="388" spans="1:31">
      <c r="A388" s="65"/>
      <c r="B388" s="65"/>
      <c r="C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E388" s="65"/>
    </row>
    <row r="389" spans="1:31">
      <c r="A389" s="65"/>
      <c r="B389" s="65"/>
      <c r="C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E389" s="65"/>
    </row>
    <row r="390" spans="1:31">
      <c r="A390" s="65"/>
      <c r="B390" s="65"/>
      <c r="C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E390" s="65"/>
    </row>
    <row r="391" spans="1:31">
      <c r="A391" s="65"/>
      <c r="B391" s="65"/>
      <c r="C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E391" s="65"/>
    </row>
    <row r="392" spans="1:31">
      <c r="A392" s="65"/>
      <c r="B392" s="65"/>
      <c r="C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E392" s="65"/>
    </row>
    <row r="393" spans="1:31">
      <c r="A393" s="65"/>
      <c r="B393" s="65"/>
      <c r="C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E393" s="65"/>
    </row>
    <row r="394" spans="1:31">
      <c r="A394" s="65"/>
      <c r="B394" s="65"/>
      <c r="C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E394" s="65"/>
    </row>
    <row r="395" spans="1:31">
      <c r="A395" s="65"/>
      <c r="B395" s="65"/>
      <c r="C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E395" s="65"/>
    </row>
    <row r="396" spans="1:31">
      <c r="A396" s="65"/>
      <c r="B396" s="65"/>
      <c r="C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E396" s="65"/>
    </row>
    <row r="397" spans="1:31">
      <c r="A397" s="65"/>
      <c r="B397" s="65"/>
      <c r="C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E397" s="65"/>
    </row>
    <row r="398" spans="1:31">
      <c r="A398" s="65"/>
      <c r="B398" s="65"/>
      <c r="C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E398" s="65"/>
    </row>
    <row r="399" spans="1:31">
      <c r="A399" s="65"/>
      <c r="B399" s="65"/>
      <c r="C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E399" s="65"/>
    </row>
    <row r="400" spans="1:31">
      <c r="A400" s="65"/>
      <c r="B400" s="65"/>
      <c r="C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E400" s="65"/>
    </row>
    <row r="401" spans="1:31">
      <c r="A401" s="65"/>
      <c r="B401" s="65"/>
      <c r="C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E401" s="65"/>
    </row>
    <row r="402" spans="1:31">
      <c r="A402" s="65"/>
      <c r="B402" s="65"/>
      <c r="C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E402" s="65"/>
    </row>
    <row r="403" spans="1:31">
      <c r="A403" s="65"/>
      <c r="B403" s="65"/>
      <c r="C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E403" s="65"/>
    </row>
    <row r="404" spans="1:31">
      <c r="A404" s="65"/>
      <c r="B404" s="65"/>
      <c r="C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E404" s="65"/>
    </row>
    <row r="405" spans="1:31">
      <c r="A405" s="65"/>
      <c r="B405" s="65"/>
      <c r="C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E405" s="65"/>
    </row>
    <row r="406" spans="1:31">
      <c r="A406" s="65"/>
      <c r="B406" s="65"/>
      <c r="C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E406" s="65"/>
    </row>
    <row r="407" spans="1:31">
      <c r="A407" s="65"/>
      <c r="B407" s="65"/>
      <c r="C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E407" s="65"/>
    </row>
    <row r="408" spans="1:31">
      <c r="A408" s="65"/>
      <c r="B408" s="65"/>
      <c r="C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E408" s="65"/>
    </row>
    <row r="409" spans="1:31">
      <c r="A409" s="65"/>
      <c r="B409" s="65"/>
      <c r="C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E409" s="65"/>
    </row>
    <row r="410" spans="1:31">
      <c r="A410" s="65"/>
      <c r="B410" s="65"/>
      <c r="C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E410" s="65"/>
    </row>
    <row r="411" spans="1:31">
      <c r="A411" s="65"/>
      <c r="B411" s="65"/>
      <c r="C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E411" s="65"/>
    </row>
    <row r="412" spans="1:31">
      <c r="A412" s="65"/>
      <c r="B412" s="65"/>
      <c r="C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E412" s="65"/>
    </row>
    <row r="413" spans="1:31">
      <c r="A413" s="65"/>
      <c r="B413" s="65"/>
      <c r="C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E413" s="65"/>
    </row>
    <row r="414" spans="1:31">
      <c r="A414" s="65"/>
      <c r="B414" s="65"/>
      <c r="C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E414" s="65"/>
    </row>
    <row r="415" spans="1:31">
      <c r="A415" s="65"/>
      <c r="B415" s="65"/>
      <c r="C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E415" s="65"/>
    </row>
    <row r="416" spans="1:31">
      <c r="A416" s="65"/>
      <c r="B416" s="65"/>
      <c r="C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E416" s="65"/>
    </row>
    <row r="417" spans="1:31">
      <c r="A417" s="65"/>
      <c r="B417" s="65"/>
      <c r="C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E417" s="65"/>
    </row>
    <row r="418" spans="1:31">
      <c r="A418" s="65"/>
      <c r="B418" s="65"/>
      <c r="C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E418" s="65"/>
    </row>
    <row r="419" spans="1:31">
      <c r="A419" s="65"/>
      <c r="B419" s="65"/>
      <c r="C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E419" s="65"/>
    </row>
    <row r="420" spans="1:31">
      <c r="A420" s="65"/>
      <c r="B420" s="65"/>
      <c r="C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E420" s="65"/>
    </row>
    <row r="421" spans="1:31">
      <c r="A421" s="65"/>
      <c r="B421" s="65"/>
      <c r="C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E421" s="65"/>
    </row>
    <row r="422" spans="1:31">
      <c r="A422" s="65"/>
      <c r="B422" s="65"/>
      <c r="C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E422" s="65"/>
    </row>
    <row r="423" spans="1:31">
      <c r="A423" s="65"/>
      <c r="B423" s="65"/>
      <c r="C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E423" s="65"/>
    </row>
    <row r="424" spans="1:31">
      <c r="A424" s="65"/>
      <c r="B424" s="65"/>
      <c r="C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E424" s="65"/>
    </row>
    <row r="425" spans="1:31">
      <c r="A425" s="65"/>
      <c r="B425" s="65"/>
      <c r="C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E425" s="65"/>
    </row>
    <row r="426" spans="1:31">
      <c r="A426" s="65"/>
      <c r="B426" s="65"/>
      <c r="C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E426" s="65"/>
    </row>
    <row r="427" spans="1:31">
      <c r="A427" s="65"/>
      <c r="B427" s="65"/>
      <c r="C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E427" s="65"/>
    </row>
    <row r="428" spans="1:31">
      <c r="A428" s="65"/>
      <c r="B428" s="65"/>
      <c r="C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E428" s="65"/>
    </row>
    <row r="429" spans="1:31">
      <c r="A429" s="65"/>
      <c r="B429" s="65"/>
      <c r="C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E429" s="65"/>
    </row>
    <row r="430" spans="1:31">
      <c r="A430" s="65"/>
      <c r="B430" s="65"/>
      <c r="C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E430" s="65"/>
    </row>
    <row r="431" spans="1:31">
      <c r="A431" s="65"/>
      <c r="B431" s="65"/>
      <c r="C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E431" s="65"/>
    </row>
    <row r="432" spans="1:31">
      <c r="A432" s="65"/>
      <c r="B432" s="65"/>
      <c r="C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E432" s="65"/>
    </row>
    <row r="433" spans="1:31">
      <c r="A433" s="65"/>
      <c r="B433" s="65"/>
      <c r="C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E433" s="65"/>
    </row>
    <row r="434" spans="1:31">
      <c r="A434" s="65"/>
      <c r="B434" s="65"/>
      <c r="C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E434" s="65"/>
    </row>
    <row r="435" spans="1:31">
      <c r="A435" s="65"/>
      <c r="B435" s="65"/>
      <c r="C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E435" s="65"/>
    </row>
    <row r="436" spans="1:31">
      <c r="A436" s="65"/>
      <c r="B436" s="65"/>
      <c r="C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E436" s="65"/>
    </row>
    <row r="437" spans="1:31">
      <c r="A437" s="65"/>
      <c r="B437" s="65"/>
      <c r="C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E437" s="65"/>
    </row>
    <row r="438" spans="1:31">
      <c r="A438" s="65"/>
      <c r="B438" s="65"/>
      <c r="C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E438" s="65"/>
    </row>
    <row r="439" spans="1:31">
      <c r="A439" s="65"/>
      <c r="B439" s="65"/>
      <c r="C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E439" s="65"/>
    </row>
    <row r="440" spans="1:31">
      <c r="A440" s="65"/>
      <c r="B440" s="65"/>
      <c r="C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E440" s="65"/>
    </row>
    <row r="441" spans="1:31">
      <c r="A441" s="65"/>
      <c r="B441" s="65"/>
      <c r="C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E441" s="65"/>
    </row>
    <row r="442" spans="1:31">
      <c r="A442" s="65"/>
      <c r="B442" s="65"/>
      <c r="C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E442" s="65"/>
    </row>
    <row r="443" spans="1:31">
      <c r="A443" s="65"/>
      <c r="B443" s="65"/>
      <c r="C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E443" s="65"/>
    </row>
    <row r="444" spans="1:31">
      <c r="A444" s="65"/>
      <c r="B444" s="65"/>
      <c r="C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E444" s="65"/>
    </row>
    <row r="445" spans="1:31">
      <c r="A445" s="65"/>
      <c r="B445" s="65"/>
      <c r="C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E445" s="65"/>
    </row>
    <row r="446" spans="1:31">
      <c r="A446" s="65"/>
      <c r="B446" s="65"/>
      <c r="C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E446" s="65"/>
    </row>
    <row r="447" spans="1:31">
      <c r="A447" s="65"/>
      <c r="B447" s="65"/>
      <c r="C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E447" s="65"/>
    </row>
    <row r="448" spans="1:31">
      <c r="A448" s="65"/>
      <c r="B448" s="65"/>
      <c r="C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E448" s="65"/>
    </row>
    <row r="449" spans="1:31">
      <c r="A449" s="65"/>
      <c r="B449" s="65"/>
      <c r="C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E449" s="65"/>
    </row>
    <row r="450" spans="1:31">
      <c r="A450" s="65"/>
      <c r="B450" s="65"/>
      <c r="C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E450" s="65"/>
    </row>
    <row r="451" spans="1:31">
      <c r="A451" s="65"/>
      <c r="B451" s="65"/>
      <c r="C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E451" s="65"/>
    </row>
    <row r="452" spans="1:31">
      <c r="A452" s="65"/>
      <c r="B452" s="65"/>
      <c r="C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E452" s="65"/>
    </row>
    <row r="453" spans="1:31">
      <c r="A453" s="65"/>
      <c r="B453" s="65"/>
      <c r="C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E453" s="65"/>
    </row>
    <row r="454" spans="1:31">
      <c r="A454" s="65"/>
      <c r="B454" s="65"/>
      <c r="C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E454" s="65"/>
    </row>
    <row r="455" spans="1:31">
      <c r="A455" s="65"/>
      <c r="B455" s="65"/>
      <c r="C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E455" s="65"/>
    </row>
    <row r="456" spans="1:31">
      <c r="A456" s="65"/>
      <c r="B456" s="65"/>
      <c r="C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E456" s="65"/>
    </row>
    <row r="457" spans="1:31">
      <c r="A457" s="65"/>
      <c r="B457" s="65"/>
      <c r="C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E457" s="65"/>
    </row>
    <row r="458" spans="1:31">
      <c r="A458" s="65"/>
      <c r="B458" s="65"/>
      <c r="C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E458" s="65"/>
    </row>
    <row r="459" spans="1:31">
      <c r="A459" s="65"/>
      <c r="B459" s="65"/>
      <c r="C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E459" s="65"/>
    </row>
    <row r="460" spans="1:31">
      <c r="A460" s="65"/>
      <c r="B460" s="65"/>
      <c r="C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E460" s="65"/>
    </row>
    <row r="461" spans="1:31">
      <c r="A461" s="65"/>
      <c r="B461" s="65"/>
      <c r="C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E461" s="65"/>
    </row>
    <row r="462" spans="1:31">
      <c r="A462" s="65"/>
      <c r="B462" s="65"/>
      <c r="C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E462" s="65"/>
    </row>
    <row r="463" spans="1:31">
      <c r="A463" s="65"/>
      <c r="B463" s="65"/>
      <c r="C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E463" s="65"/>
    </row>
    <row r="464" spans="1:31">
      <c r="A464" s="65"/>
      <c r="B464" s="65"/>
      <c r="C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E464" s="65"/>
    </row>
    <row r="465" spans="1:31">
      <c r="A465" s="65"/>
      <c r="B465" s="65"/>
      <c r="C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E465" s="65"/>
    </row>
    <row r="466" spans="1:31">
      <c r="A466" s="65"/>
      <c r="B466" s="65"/>
      <c r="C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E466" s="65"/>
    </row>
    <row r="467" spans="1:31">
      <c r="A467" s="65"/>
      <c r="B467" s="65"/>
      <c r="C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E467" s="65"/>
    </row>
    <row r="468" spans="1:31">
      <c r="A468" s="65"/>
      <c r="B468" s="65"/>
      <c r="C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E468" s="65"/>
    </row>
    <row r="469" spans="1:31">
      <c r="A469" s="65"/>
      <c r="B469" s="65"/>
      <c r="C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E469" s="65"/>
    </row>
    <row r="470" spans="1:31">
      <c r="A470" s="65"/>
      <c r="B470" s="65"/>
      <c r="C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E470" s="65"/>
    </row>
    <row r="471" spans="1:31">
      <c r="A471" s="65"/>
      <c r="B471" s="65"/>
      <c r="C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E471" s="65"/>
    </row>
    <row r="472" spans="1:31">
      <c r="A472" s="65"/>
      <c r="B472" s="65"/>
      <c r="C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E472" s="65"/>
    </row>
    <row r="473" spans="1:31">
      <c r="A473" s="65"/>
      <c r="B473" s="65"/>
      <c r="C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E473" s="65"/>
    </row>
    <row r="474" spans="1:31">
      <c r="A474" s="65"/>
      <c r="B474" s="65"/>
      <c r="C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E474" s="65"/>
    </row>
    <row r="475" spans="1:31">
      <c r="A475" s="65"/>
      <c r="B475" s="65"/>
      <c r="C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E475" s="65"/>
    </row>
    <row r="476" spans="1:31">
      <c r="A476" s="65"/>
      <c r="B476" s="65"/>
      <c r="C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E476" s="65"/>
    </row>
    <row r="477" spans="1:31">
      <c r="A477" s="65"/>
      <c r="B477" s="65"/>
      <c r="C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E477" s="65"/>
    </row>
    <row r="478" spans="1:31">
      <c r="A478" s="65"/>
      <c r="B478" s="65"/>
      <c r="C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E478" s="65"/>
    </row>
    <row r="479" spans="1:31">
      <c r="A479" s="65"/>
      <c r="B479" s="65"/>
      <c r="C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E479" s="65"/>
    </row>
    <row r="480" spans="1:31">
      <c r="A480" s="65"/>
      <c r="B480" s="65"/>
      <c r="C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E480" s="65"/>
    </row>
    <row r="481" spans="1:31">
      <c r="A481" s="65"/>
      <c r="B481" s="65"/>
      <c r="C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E481" s="65"/>
    </row>
    <row r="482" spans="1:31">
      <c r="A482" s="65"/>
      <c r="B482" s="65"/>
      <c r="C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E482" s="65"/>
    </row>
    <row r="483" spans="1:31">
      <c r="A483" s="65"/>
      <c r="B483" s="65"/>
      <c r="C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E483" s="65"/>
    </row>
    <row r="484" spans="1:31">
      <c r="A484" s="65"/>
      <c r="B484" s="65"/>
      <c r="C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E484" s="65"/>
    </row>
    <row r="485" spans="1:31">
      <c r="A485" s="65"/>
      <c r="B485" s="65"/>
      <c r="C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E485" s="65"/>
    </row>
    <row r="486" spans="1:31">
      <c r="A486" s="65"/>
      <c r="B486" s="65"/>
      <c r="C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E486" s="65"/>
    </row>
    <row r="487" spans="1:31">
      <c r="A487" s="65"/>
      <c r="B487" s="65"/>
      <c r="C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E487" s="65"/>
    </row>
    <row r="488" spans="1:31">
      <c r="A488" s="65"/>
      <c r="B488" s="65"/>
      <c r="C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E488" s="65"/>
    </row>
    <row r="489" spans="1:31">
      <c r="A489" s="65"/>
      <c r="B489" s="65"/>
      <c r="C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E489" s="65"/>
    </row>
    <row r="490" spans="1:31">
      <c r="A490" s="65"/>
      <c r="B490" s="65"/>
      <c r="C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E490" s="65"/>
    </row>
    <row r="491" spans="1:31">
      <c r="A491" s="65"/>
      <c r="B491" s="65"/>
      <c r="C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E491" s="65"/>
    </row>
    <row r="492" spans="1:31">
      <c r="A492" s="65"/>
      <c r="B492" s="65"/>
      <c r="C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E492" s="65"/>
    </row>
    <row r="493" spans="1:31">
      <c r="A493" s="65"/>
      <c r="B493" s="65"/>
      <c r="C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E493" s="65"/>
    </row>
    <row r="494" spans="1:31">
      <c r="A494" s="65"/>
      <c r="B494" s="65"/>
      <c r="C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E494" s="65"/>
    </row>
    <row r="495" spans="1:31">
      <c r="A495" s="65"/>
      <c r="B495" s="65"/>
      <c r="C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E495" s="65"/>
    </row>
    <row r="496" spans="1:31">
      <c r="A496" s="65"/>
      <c r="B496" s="65"/>
      <c r="C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E496" s="65"/>
    </row>
    <row r="497" spans="1:31">
      <c r="A497" s="65"/>
      <c r="B497" s="65"/>
      <c r="C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E497" s="65"/>
    </row>
    <row r="498" spans="1:31">
      <c r="A498" s="65"/>
      <c r="B498" s="65"/>
      <c r="C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E498" s="65"/>
    </row>
    <row r="499" spans="1:31">
      <c r="A499" s="65"/>
      <c r="B499" s="65"/>
      <c r="C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E499" s="65"/>
    </row>
    <row r="500" spans="1:31">
      <c r="A500" s="65"/>
      <c r="B500" s="65"/>
      <c r="C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E500" s="65"/>
    </row>
  </sheetData>
  <sheetProtection sheet="1" formatColumns="0" formatRows="0" sort="0" autoFilter="0"/>
  <conditionalFormatting sqref="A74:AA500 A2:AE73">
    <cfRule type="expression" dxfId="43" priority="17">
      <formula>AND($B2&lt;&gt;"",MOD(ROW(),2)=0)</formula>
    </cfRule>
  </conditionalFormatting>
  <conditionalFormatting sqref="D2:D500">
    <cfRule type="expression" dxfId="42" priority="1">
      <formula>ISNUMBER(SEARCH("Blocked",$D2))</formula>
    </cfRule>
    <cfRule type="expression" dxfId="41" priority="2">
      <formula>ISNUMBER(SEARCH("overdue",$D2))</formula>
    </cfRule>
    <cfRule type="expression" dxfId="40" priority="3">
      <formula>ISNUMBER(SEARCH("no target",$D2))</formula>
    </cfRule>
    <cfRule type="expression" dxfId="39" priority="4">
      <formula>ISNUMBER(SEARCH("Review",$D2))</formula>
    </cfRule>
    <cfRule type="expression" dxfId="38" priority="5">
      <formula>OR($D2="On track",$D2="Delivered")</formula>
    </cfRule>
  </conditionalFormatting>
  <conditionalFormatting sqref="M74:N500">
    <cfRule type="expression" dxfId="37" priority="10">
      <formula>$Y74="Yes – needs DB Dev to fix"</formula>
    </cfRule>
  </conditionalFormatting>
  <conditionalFormatting sqref="M2:O73">
    <cfRule type="expression" dxfId="36" priority="49">
      <formula>$AC2="Yes – needs DB Dev to fix"</formula>
    </cfRule>
  </conditionalFormatting>
  <conditionalFormatting sqref="O74:P500">
    <cfRule type="expression" dxfId="35" priority="11">
      <formula>$Y74="Yes – needs PBI Dev to fix"</formula>
    </cfRule>
  </conditionalFormatting>
  <conditionalFormatting sqref="P2:R73">
    <cfRule type="expression" dxfId="34" priority="52">
      <formula>$AC2="Yes – needs PBI Dev to fix"</formula>
    </cfRule>
  </conditionalFormatting>
  <conditionalFormatting sqref="Q74:R500">
    <cfRule type="expression" dxfId="33" priority="12">
      <formula>$Y74="Yes – needs QA to fix"</formula>
    </cfRule>
  </conditionalFormatting>
  <conditionalFormatting sqref="S74:T500">
    <cfRule type="expression" dxfId="32" priority="13">
      <formula>$Y74="Yes – needs DPO Approval to fix"</formula>
    </cfRule>
  </conditionalFormatting>
  <conditionalFormatting sqref="S2:U73">
    <cfRule type="expression" dxfId="31" priority="55">
      <formula>$AC2="Yes – needs QA to fix"</formula>
    </cfRule>
  </conditionalFormatting>
  <conditionalFormatting sqref="U74:U500">
    <cfRule type="expression" dxfId="30" priority="9">
      <formula>$U74="Yes"</formula>
    </cfRule>
  </conditionalFormatting>
  <conditionalFormatting sqref="V2:X73">
    <cfRule type="expression" dxfId="29" priority="58">
      <formula>$AC2="Yes – needs DPO Approval to fix"</formula>
    </cfRule>
  </conditionalFormatting>
  <conditionalFormatting sqref="Y2:Y73">
    <cfRule type="expression" dxfId="28" priority="30">
      <formula>$Y2="Yes"</formula>
    </cfRule>
  </conditionalFormatting>
  <conditionalFormatting sqref="Y74:Y500">
    <cfRule type="expression" dxfId="27" priority="6">
      <formula>LEFT($Y74,3)="Yes"</formula>
    </cfRule>
  </conditionalFormatting>
  <conditionalFormatting sqref="Z74:Z500">
    <cfRule type="expression" dxfId="26" priority="14">
      <formula>ISNUMBER(SEARCH("log it",$Z74))</formula>
    </cfRule>
    <cfRule type="expression" dxfId="25" priority="14">
      <formula>ISNUMBER(SEARCH("Open rework",$Z74))</formula>
    </cfRule>
    <cfRule type="expression" dxfId="24" priority="14">
      <formula>ISNUMBER(SEARCH("Move old",$Z74))</formula>
    </cfRule>
    <cfRule type="expression" dxfId="23" priority="15">
      <formula>ISNUMBER(SEARCH("Duplicate",$Z74))</formula>
    </cfRule>
    <cfRule type="expression" dxfId="22" priority="16">
      <formula>$Z74&lt;&gt;""</formula>
    </cfRule>
  </conditionalFormatting>
  <conditionalFormatting sqref="AC2:AC73">
    <cfRule type="expression" dxfId="21" priority="32">
      <formula>LEFT($AC2,3)="Yes"</formula>
    </cfRule>
  </conditionalFormatting>
  <conditionalFormatting sqref="AD2:AD73">
    <cfRule type="expression" dxfId="20" priority="38">
      <formula>ISNUMBER(SEARCH("log it",$AD2))</formula>
    </cfRule>
    <cfRule type="expression" dxfId="19" priority="39">
      <formula>ISNUMBER(SEARCH("Open rework",$AD2))</formula>
    </cfRule>
    <cfRule type="expression" dxfId="18" priority="40">
      <formula>ISNUMBER(SEARCH("Move old",$AD2))</formula>
    </cfRule>
    <cfRule type="expression" dxfId="17" priority="41">
      <formula>ISNUMBER(SEARCH("Duplicate",$AD2))</formula>
    </cfRule>
    <cfRule type="expression" dxfId="16" priority="42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500 M2:W73 M74:S500 V74:V500 Z2:Z73" xr:uid="{00000000-0002-0000-0100-000000000000}">
      <formula1>DATE(2020,1,1)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A2:A500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H2:H500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U74:U500 Y2:Y73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Y74:Y500 AC2:AC73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214</v>
      </c>
    </row>
    <row r="2" spans="1:5">
      <c r="A2" s="6" t="s">
        <v>215</v>
      </c>
    </row>
    <row r="4" spans="1:5" ht="21.95" customHeight="1">
      <c r="A4" s="5" t="s">
        <v>216</v>
      </c>
      <c r="B4" s="71"/>
      <c r="C4" s="72"/>
      <c r="D4" s="72"/>
      <c r="E4" s="72"/>
    </row>
    <row r="6" spans="1:5">
      <c r="A6" s="36" t="s">
        <v>19</v>
      </c>
      <c r="B6" s="69" t="str">
        <f>IF($B$4="","",IFERROR(INDEX('Combined Delivery Data'!$A:$A,MATCH($B$4,'Combined Delivery Data'!$B:$B,0)),""))</f>
        <v/>
      </c>
      <c r="C6" s="73"/>
      <c r="D6" s="73"/>
      <c r="E6" s="74"/>
    </row>
    <row r="7" spans="1:5">
      <c r="A7" s="36" t="s">
        <v>21</v>
      </c>
      <c r="B7" s="69" t="str">
        <f>IF($B$4="","",IFERROR(INDEX('Combined Delivery Data'!$C:$C,MATCH($B$4,'Combined Delivery Data'!$B:$B,0)),""))</f>
        <v/>
      </c>
      <c r="C7" s="73"/>
      <c r="D7" s="73"/>
      <c r="E7" s="74"/>
    </row>
    <row r="8" spans="1:5">
      <c r="A8" s="36" t="s">
        <v>22</v>
      </c>
      <c r="B8" s="69" t="str">
        <f>IF($B$4="","",IFERROR(INDEX('Combined Delivery Data'!$D:$D,MATCH($B$4,'Combined Delivery Data'!$B:$B,0)),""))</f>
        <v/>
      </c>
      <c r="C8" s="73"/>
      <c r="D8" s="73"/>
      <c r="E8" s="74"/>
    </row>
    <row r="9" spans="1:5">
      <c r="A9" s="36" t="s">
        <v>23</v>
      </c>
      <c r="B9" s="69" t="str">
        <f>IF($B$4="","",IFERROR(INDEX('Combined Delivery Data'!$E:$E,MATCH($B$4,'Combined Delivery Data'!$B:$B,0)),""))</f>
        <v/>
      </c>
      <c r="C9" s="73"/>
      <c r="D9" s="73"/>
      <c r="E9" s="74"/>
    </row>
    <row r="10" spans="1:5">
      <c r="A10" s="36" t="s">
        <v>24</v>
      </c>
      <c r="B10" s="69" t="str">
        <f>IF($B$4="","",IFERROR(INDEX('Combined Delivery Data'!$F:$F,MATCH($B$4,'Combined Delivery Data'!$B:$B,0)),""))</f>
        <v/>
      </c>
      <c r="C10" s="73"/>
      <c r="D10" s="73"/>
      <c r="E10" s="74"/>
    </row>
    <row r="11" spans="1:5">
      <c r="A11" s="36" t="s">
        <v>25</v>
      </c>
      <c r="B11" s="69" t="str">
        <f>IF($B$4="","",IFERROR(INDEX('Combined Delivery Data'!$G:$G,MATCH($B$4,'Combined Delivery Data'!$B:$B,0)),""))</f>
        <v/>
      </c>
      <c r="C11" s="73"/>
      <c r="D11" s="73"/>
      <c r="E11" s="74"/>
    </row>
    <row r="12" spans="1:5">
      <c r="A12" s="36" t="s">
        <v>26</v>
      </c>
      <c r="B12" s="69" t="str">
        <f>IF($B$4="","",IFERROR(INDEX('Combined Delivery Data'!$H:$H,MATCH($B$4,'Combined Delivery Data'!$B:$B,0)),""))</f>
        <v/>
      </c>
      <c r="C12" s="73"/>
      <c r="D12" s="73"/>
      <c r="E12" s="74"/>
    </row>
    <row r="13" spans="1:5">
      <c r="A13" s="36" t="s">
        <v>27</v>
      </c>
      <c r="B13" s="69" t="str">
        <f>IF($B$4="","",IFERROR(INDEX('Combined Delivery Data'!$I:$I,MATCH($B$4,'Combined Delivery Data'!$B:$B,0)),""))</f>
        <v/>
      </c>
      <c r="C13" s="73"/>
      <c r="D13" s="73"/>
      <c r="E13" s="74"/>
    </row>
    <row r="14" spans="1:5">
      <c r="A14" s="36" t="s">
        <v>217</v>
      </c>
      <c r="B14" s="68" t="str">
        <f>IF($B$4="","",IFERROR(INDEX('Combined Delivery Data'!$M:$M,MATCH($B$4,'Combined Delivery Data'!$B:$B,0)),""))</f>
        <v/>
      </c>
      <c r="C14" s="73"/>
      <c r="D14" s="73"/>
      <c r="E14" s="74"/>
    </row>
    <row r="15" spans="1:5">
      <c r="A15" s="36" t="s">
        <v>218</v>
      </c>
      <c r="B15" s="68" t="str">
        <f>IF($B$4="","",IFERROR(INDEX('Combined Delivery Data'!$N:$N,MATCH($B$4,'Combined Delivery Data'!$B:$B,0)),""))</f>
        <v/>
      </c>
      <c r="C15" s="73"/>
      <c r="D15" s="73"/>
      <c r="E15" s="74"/>
    </row>
    <row r="16" spans="1:5">
      <c r="A16" s="36" t="s">
        <v>219</v>
      </c>
      <c r="B16" s="68" t="str">
        <f>IF($B$4="","",IFERROR(INDEX('Combined Delivery Data'!$O:$O,MATCH($B$4,'Combined Delivery Data'!$B:$B,0)),""))</f>
        <v/>
      </c>
      <c r="C16" s="73"/>
      <c r="D16" s="73"/>
      <c r="E16" s="74"/>
    </row>
    <row r="17" spans="1:5">
      <c r="A17" s="36" t="s">
        <v>220</v>
      </c>
      <c r="B17" s="68" t="str">
        <f>IF($B$4="","",IFERROR(INDEX('Combined Delivery Data'!$P:$P,MATCH($B$4,'Combined Delivery Data'!$B:$B,0)),""))</f>
        <v/>
      </c>
      <c r="C17" s="73"/>
      <c r="D17" s="73"/>
      <c r="E17" s="74"/>
    </row>
    <row r="18" spans="1:5">
      <c r="A18" s="36" t="s">
        <v>221</v>
      </c>
      <c r="B18" s="68" t="str">
        <f>IF($B$4="","",IFERROR(INDEX('Combined Delivery Data'!$Q:$Q,MATCH($B$4,'Combined Delivery Data'!$B:$B,0)),""))</f>
        <v/>
      </c>
      <c r="C18" s="73"/>
      <c r="D18" s="73"/>
      <c r="E18" s="74"/>
    </row>
    <row r="19" spans="1:5">
      <c r="A19" s="36" t="s">
        <v>222</v>
      </c>
      <c r="B19" s="68" t="str">
        <f>IF($B$4="","",IFERROR(INDEX('Combined Delivery Data'!$R:$R,MATCH($B$4,'Combined Delivery Data'!$B:$B,0)),""))</f>
        <v/>
      </c>
      <c r="C19" s="73"/>
      <c r="D19" s="73"/>
      <c r="E19" s="74"/>
    </row>
    <row r="20" spans="1:5">
      <c r="A20" s="36" t="s">
        <v>223</v>
      </c>
      <c r="B20" s="68" t="str">
        <f>IF($B$4="","",IFERROR(INDEX('Combined Delivery Data'!$S:$S,MATCH($B$4,'Combined Delivery Data'!$B:$B,0)),""))</f>
        <v/>
      </c>
      <c r="C20" s="73"/>
      <c r="D20" s="73"/>
      <c r="E20" s="74"/>
    </row>
    <row r="21" spans="1:5">
      <c r="A21" s="36" t="s">
        <v>42</v>
      </c>
      <c r="B21" s="69" t="str">
        <f>IF($B$4="","",IFERROR(INDEX('Combined Delivery Data'!$T:$T,MATCH($B$4,'Combined Delivery Data'!$B:$B,0)),""))</f>
        <v/>
      </c>
      <c r="C21" s="73"/>
      <c r="D21" s="73"/>
      <c r="E21" s="74"/>
    </row>
    <row r="22" spans="1:5">
      <c r="A22" s="36" t="s">
        <v>43</v>
      </c>
      <c r="B22" s="69" t="str">
        <f>IF($B$4="","",IFERROR(INDEX('Combined Delivery Data'!$U:$U,MATCH($B$4,'Combined Delivery Data'!$B:$B,0)),""))</f>
        <v/>
      </c>
      <c r="C22" s="73"/>
      <c r="D22" s="73"/>
      <c r="E22" s="74"/>
    </row>
    <row r="23" spans="1:5">
      <c r="A23" s="36" t="s">
        <v>44</v>
      </c>
      <c r="B23" s="68" t="str">
        <f>IF($B$4="","",IFERROR(INDEX('Combined Delivery Data'!$V:$V,MATCH($B$4,'Combined Delivery Data'!$B:$B,0)),""))</f>
        <v/>
      </c>
      <c r="C23" s="73"/>
      <c r="D23" s="73"/>
      <c r="E23" s="74"/>
    </row>
    <row r="24" spans="1:5">
      <c r="A24" s="36" t="s">
        <v>47</v>
      </c>
      <c r="B24" s="69" t="str">
        <f>IF($B$4="","",IFERROR(INDEX('Combined Delivery Data'!$Y:$Y,MATCH($B$4,'Combined Delivery Data'!$B:$B,0)),""))</f>
        <v/>
      </c>
      <c r="C24" s="73"/>
      <c r="D24" s="73"/>
      <c r="E24" s="74"/>
    </row>
    <row r="25" spans="1:5">
      <c r="A25" s="36" t="s">
        <v>48</v>
      </c>
      <c r="B25" s="69" t="str">
        <f>IF($B$4="","",IFERROR(INDEX('Combined Delivery Data'!$Z:$Z,MATCH($B$4,'Combined Delivery Data'!$B:$B,0)),""))</f>
        <v/>
      </c>
      <c r="C25" s="73"/>
      <c r="D25" s="73"/>
      <c r="E25" s="74"/>
    </row>
    <row r="26" spans="1:5">
      <c r="A26" s="36" t="s">
        <v>224</v>
      </c>
      <c r="B26" s="69" t="str">
        <f>IF($B$4="","",IFERROR(INDEX('Rework Log'!$P:$P,MATCH($B$4,'Rework Log'!$O:$O,0)),""))</f>
        <v/>
      </c>
      <c r="C26" s="73"/>
      <c r="D26" s="73"/>
      <c r="E26" s="74"/>
    </row>
    <row r="27" spans="1:5">
      <c r="A27" s="36" t="s">
        <v>225</v>
      </c>
      <c r="B27" s="69" t="str">
        <f>IF($B$4="","",IFERROR(INDEX('Rework Log'!$Q:$Q,MATCH($B$4,'Rework Log'!$O:$O,0)),""))</f>
        <v/>
      </c>
      <c r="C27" s="73"/>
      <c r="D27" s="73"/>
      <c r="E27" s="74"/>
    </row>
    <row r="28" spans="1:5">
      <c r="A28" s="36" t="s">
        <v>226</v>
      </c>
      <c r="B28" s="69" t="str">
        <f>IF($B$4="","",IFERROR(INDEX('Rework Log'!$R:$R,MATCH($B$4,'Rework Log'!$O:$O,0)),""))</f>
        <v/>
      </c>
      <c r="C28" s="73"/>
      <c r="D28" s="73"/>
      <c r="E28" s="74"/>
    </row>
    <row r="29" spans="1:5">
      <c r="A29" s="36" t="s">
        <v>227</v>
      </c>
      <c r="B29" s="69" t="str">
        <f>IF($B$4="","",IFERROR(INDEX('Rework Log'!$S:$S,MATCH($B$4,'Rework Log'!$O:$O,0)),""))</f>
        <v/>
      </c>
      <c r="C29" s="73"/>
      <c r="D29" s="73"/>
      <c r="E29" s="74"/>
    </row>
    <row r="30" spans="1:5" ht="15.6" customHeight="1">
      <c r="A30" s="36"/>
      <c r="B30" s="69"/>
      <c r="C30" s="73"/>
      <c r="D30" s="73"/>
      <c r="E30" s="74"/>
    </row>
    <row r="31" spans="1:5" ht="15.6" customHeight="1">
      <c r="A31" s="37" t="s">
        <v>49</v>
      </c>
      <c r="B31" s="75" t="str">
        <f>IF($B$4="","",IFERROR(INDEX('Combined Delivery Data'!$AA:$AA,MATCH($B$4,'Combined Delivery Data'!$B:$B,0)),""))</f>
        <v/>
      </c>
      <c r="C31" s="72"/>
      <c r="D31" s="72"/>
      <c r="E31" s="7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S500"/>
  <sheetViews>
    <sheetView workbookViewId="0">
      <pane ySplit="2" topLeftCell="A3" activePane="bottomLeft" state="frozen"/>
      <selection pane="bottomLeft" activeCell="G9" sqref="G9"/>
    </sheetView>
  </sheetViews>
  <sheetFormatPr defaultRowHeight="1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16" customWidth="1"/>
    <col min="8" max="8" width="17" customWidth="1"/>
    <col min="9" max="9" width="14" customWidth="1"/>
    <col min="10" max="11" width="12" customWidth="1"/>
    <col min="12" max="12" width="36" customWidth="1"/>
    <col min="13" max="13" width="18" customWidth="1"/>
    <col min="15" max="15" width="34" customWidth="1"/>
    <col min="16" max="17" width="12" customWidth="1"/>
    <col min="18" max="18" width="14" customWidth="1"/>
    <col min="19" max="19" width="16" customWidth="1"/>
  </cols>
  <sheetData>
    <row r="1" spans="1:19" ht="75.95" customHeight="1">
      <c r="A1" s="70" t="s">
        <v>228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O1" s="76" t="s">
        <v>229</v>
      </c>
      <c r="P1" s="72"/>
      <c r="Q1" s="72"/>
      <c r="R1" s="72"/>
      <c r="S1" s="72"/>
    </row>
    <row r="2" spans="1:19" ht="30" customHeight="1">
      <c r="A2" s="18" t="s">
        <v>20</v>
      </c>
      <c r="B2" s="18" t="s">
        <v>230</v>
      </c>
      <c r="C2" s="18" t="s">
        <v>231</v>
      </c>
      <c r="D2" s="18" t="s">
        <v>232</v>
      </c>
      <c r="E2" s="18" t="s">
        <v>233</v>
      </c>
      <c r="F2" s="18" t="s">
        <v>234</v>
      </c>
      <c r="G2" s="18" t="s">
        <v>235</v>
      </c>
      <c r="H2" s="52" t="s">
        <v>236</v>
      </c>
      <c r="I2" s="52" t="s">
        <v>237</v>
      </c>
      <c r="J2" s="52" t="s">
        <v>238</v>
      </c>
      <c r="K2" s="52" t="s">
        <v>239</v>
      </c>
      <c r="L2" s="52" t="s">
        <v>240</v>
      </c>
      <c r="M2" s="22" t="s">
        <v>241</v>
      </c>
      <c r="O2" s="13" t="s">
        <v>20</v>
      </c>
      <c r="P2" s="13" t="s">
        <v>224</v>
      </c>
      <c r="Q2" s="13" t="s">
        <v>225</v>
      </c>
      <c r="R2" s="13" t="s">
        <v>226</v>
      </c>
      <c r="S2" s="13" t="s">
        <v>227</v>
      </c>
    </row>
    <row r="3" spans="1:19">
      <c r="A3" s="53" t="s">
        <v>161</v>
      </c>
      <c r="B3" s="57">
        <v>46230</v>
      </c>
      <c r="C3" s="53" t="s">
        <v>148</v>
      </c>
      <c r="D3" s="53" t="s">
        <v>162</v>
      </c>
      <c r="E3" s="53" t="s">
        <v>163</v>
      </c>
      <c r="F3" s="53" t="s">
        <v>242</v>
      </c>
      <c r="G3" s="53" t="s">
        <v>61</v>
      </c>
      <c r="H3" s="57"/>
      <c r="I3" s="67"/>
      <c r="J3" s="57"/>
      <c r="K3" s="53"/>
      <c r="L3" s="53"/>
      <c r="M3" s="2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2 d</v>
      </c>
      <c r="O3" t="str">
        <f>'Combined Delivery Data'!B2</f>
        <v>RPT_04_Active Leaks</v>
      </c>
      <c r="P3">
        <f t="shared" ref="P3:P66" si="1">IF($O3="","",COUNTIF($A$3:$A$500,$O3))</f>
        <v>0</v>
      </c>
      <c r="Q3">
        <f t="shared" ref="Q3:Q66" si="2">IF($O3="","",SUMPRODUCT(($A$3:$A$500=$O3)*($G$3:$G$500&lt;&gt;"Yes")*($G$3:$G$500&lt;&gt;"Did not pass re-test")))</f>
        <v>0</v>
      </c>
      <c r="R3" s="38" t="str">
        <f t="shared" ref="R3:R66" si="3">IF($O3="","",IF(SUMPRODUCT(MAX(($A$3:$A$500=$O3)*ROW($A$3:$A$500)))=0,"",INDEX($B:$B,SUMPRODUCT(MAX(($A$3:$A$500=$O3)*ROW($A$3:$A$500))))))</f>
        <v/>
      </c>
      <c r="S3" t="str">
        <f t="shared" ref="S3:S66" si="4">IF($O3="","",IF(SUMPRODUCT(MAX(($A$3:$A$500=$O3)*ROW($A$3:$A$500)))=0,"",INDEX($C:$C,SUMPRODUCT(MAX(($A$3:$A$500=$O3)*ROW($A$3:$A$500))))&amp;" -&gt; "&amp;INDEX($D:$D,SUMPRODUCT(MAX(($A$3:$A$500=$O3)*ROW($A$3:$A$500))))))</f>
        <v/>
      </c>
    </row>
    <row r="4" spans="1:19">
      <c r="A4" s="65"/>
      <c r="B4" s="66"/>
      <c r="C4" s="65" t="s">
        <v>148</v>
      </c>
      <c r="D4" s="65"/>
      <c r="E4" s="65"/>
      <c r="F4" s="65"/>
      <c r="G4" s="65" t="s">
        <v>61</v>
      </c>
      <c r="H4" s="66"/>
      <c r="I4" s="66"/>
      <c r="J4" s="66"/>
      <c r="K4" s="65"/>
      <c r="L4" s="65"/>
      <c r="M4" s="23" t="str">
        <f t="shared" ca="1" si="0"/>
        <v/>
      </c>
      <c r="O4" t="str">
        <f>'Combined Delivery Data'!B3</f>
        <v>RPT_04_Count of Active Leaks On Hand</v>
      </c>
      <c r="P4">
        <f t="shared" si="1"/>
        <v>0</v>
      </c>
      <c r="Q4">
        <f t="shared" si="2"/>
        <v>0</v>
      </c>
      <c r="R4" s="38" t="str">
        <f t="shared" si="3"/>
        <v/>
      </c>
      <c r="S4" t="str">
        <f t="shared" si="4"/>
        <v/>
      </c>
    </row>
    <row r="5" spans="1:19">
      <c r="A5" s="65"/>
      <c r="B5" s="66"/>
      <c r="C5" s="65" t="s">
        <v>148</v>
      </c>
      <c r="D5" s="65"/>
      <c r="E5" s="65"/>
      <c r="F5" s="65"/>
      <c r="G5" s="65" t="s">
        <v>61</v>
      </c>
      <c r="H5" s="66"/>
      <c r="I5" s="66"/>
      <c r="J5" s="66"/>
      <c r="K5" s="65"/>
      <c r="L5" s="65"/>
      <c r="M5" s="23" t="str">
        <f t="shared" ca="1" si="0"/>
        <v/>
      </c>
      <c r="O5" t="str">
        <f>'Combined Delivery Data'!B4</f>
        <v>RPT_04_Leak Scheduling</v>
      </c>
      <c r="P5">
        <f t="shared" si="1"/>
        <v>0</v>
      </c>
      <c r="Q5">
        <f t="shared" si="2"/>
        <v>0</v>
      </c>
      <c r="R5" s="38" t="str">
        <f t="shared" si="3"/>
        <v/>
      </c>
      <c r="S5" t="str">
        <f t="shared" si="4"/>
        <v/>
      </c>
    </row>
    <row r="6" spans="1:19">
      <c r="A6" s="65"/>
      <c r="B6" s="66"/>
      <c r="C6" s="65" t="s">
        <v>148</v>
      </c>
      <c r="D6" s="65"/>
      <c r="E6" s="65"/>
      <c r="F6" s="65"/>
      <c r="G6" s="65" t="s">
        <v>61</v>
      </c>
      <c r="H6" s="66"/>
      <c r="I6" s="66"/>
      <c r="J6" s="66"/>
      <c r="K6" s="65"/>
      <c r="L6" s="65"/>
      <c r="M6" s="23" t="str">
        <f t="shared" ca="1" si="0"/>
        <v/>
      </c>
      <c r="O6" t="str">
        <f>'Combined Delivery Data'!B5</f>
        <v>RPT_04_Leak Days Remaining</v>
      </c>
      <c r="P6">
        <f t="shared" si="1"/>
        <v>0</v>
      </c>
      <c r="Q6">
        <f t="shared" si="2"/>
        <v>0</v>
      </c>
      <c r="R6" s="38" t="str">
        <f t="shared" si="3"/>
        <v/>
      </c>
      <c r="S6" t="str">
        <f t="shared" si="4"/>
        <v/>
      </c>
    </row>
    <row r="7" spans="1:19">
      <c r="A7" s="65"/>
      <c r="B7" s="66"/>
      <c r="C7" s="65" t="s">
        <v>148</v>
      </c>
      <c r="D7" s="65"/>
      <c r="E7" s="65"/>
      <c r="F7" s="65"/>
      <c r="G7" s="65" t="s">
        <v>61</v>
      </c>
      <c r="H7" s="66"/>
      <c r="I7" s="66"/>
      <c r="J7" s="66"/>
      <c r="K7" s="65"/>
      <c r="L7" s="65"/>
      <c r="M7" s="23" t="str">
        <f t="shared" ca="1" si="0"/>
        <v/>
      </c>
      <c r="O7" t="str">
        <f>'Combined Delivery Data'!B6</f>
        <v>RPT_04_Cleared Leaks</v>
      </c>
      <c r="P7">
        <f t="shared" si="1"/>
        <v>0</v>
      </c>
      <c r="Q7">
        <f t="shared" si="2"/>
        <v>0</v>
      </c>
      <c r="R7" s="38" t="str">
        <f t="shared" si="3"/>
        <v/>
      </c>
      <c r="S7" t="str">
        <f t="shared" si="4"/>
        <v/>
      </c>
    </row>
    <row r="8" spans="1:19">
      <c r="A8" s="65"/>
      <c r="B8" s="66"/>
      <c r="C8" s="65" t="s">
        <v>148</v>
      </c>
      <c r="D8" s="65"/>
      <c r="E8" s="65"/>
      <c r="F8" s="65"/>
      <c r="G8" s="65" t="s">
        <v>61</v>
      </c>
      <c r="H8" s="66"/>
      <c r="I8" s="66"/>
      <c r="J8" s="66"/>
      <c r="K8" s="65"/>
      <c r="L8" s="65"/>
      <c r="M8" s="23" t="str">
        <f t="shared" ca="1" si="0"/>
        <v/>
      </c>
      <c r="O8" t="str">
        <f>'Combined Delivery Data'!B7</f>
        <v>RPT_04_Leaks Repaired Detail</v>
      </c>
      <c r="P8">
        <f t="shared" si="1"/>
        <v>0</v>
      </c>
      <c r="Q8">
        <f t="shared" si="2"/>
        <v>0</v>
      </c>
      <c r="R8" s="38" t="str">
        <f t="shared" si="3"/>
        <v/>
      </c>
      <c r="S8" t="str">
        <f t="shared" si="4"/>
        <v/>
      </c>
    </row>
    <row r="9" spans="1:19">
      <c r="A9" s="65"/>
      <c r="B9" s="66"/>
      <c r="C9" s="65" t="s">
        <v>148</v>
      </c>
      <c r="D9" s="65"/>
      <c r="E9" s="65"/>
      <c r="F9" s="65"/>
      <c r="G9" s="65" t="s">
        <v>61</v>
      </c>
      <c r="H9" s="66"/>
      <c r="I9" s="66"/>
      <c r="J9" s="66"/>
      <c r="K9" s="65"/>
      <c r="L9" s="65"/>
      <c r="M9" s="23" t="str">
        <f t="shared" ca="1" si="0"/>
        <v/>
      </c>
      <c r="O9" t="str">
        <f>'Combined Delivery Data'!B8</f>
        <v>RPT_04_Leaks Aging</v>
      </c>
      <c r="P9">
        <f t="shared" si="1"/>
        <v>0</v>
      </c>
      <c r="Q9">
        <f t="shared" si="2"/>
        <v>0</v>
      </c>
      <c r="R9" s="38" t="str">
        <f t="shared" si="3"/>
        <v/>
      </c>
      <c r="S9" t="str">
        <f t="shared" si="4"/>
        <v/>
      </c>
    </row>
    <row r="10" spans="1:19">
      <c r="A10" s="65"/>
      <c r="B10" s="66"/>
      <c r="C10" s="65" t="s">
        <v>148</v>
      </c>
      <c r="D10" s="65"/>
      <c r="E10" s="65"/>
      <c r="F10" s="65"/>
      <c r="G10" s="65" t="s">
        <v>61</v>
      </c>
      <c r="H10" s="66"/>
      <c r="I10" s="66"/>
      <c r="J10" s="66"/>
      <c r="K10" s="65"/>
      <c r="L10" s="65"/>
      <c r="M10" s="23" t="str">
        <f t="shared" ca="1" si="0"/>
        <v/>
      </c>
      <c r="O10" t="str">
        <f>'Combined Delivery Data'!B9</f>
        <v>RPT_04_Prior Leak Readings</v>
      </c>
      <c r="P10">
        <f t="shared" si="1"/>
        <v>0</v>
      </c>
      <c r="Q10">
        <f t="shared" si="2"/>
        <v>0</v>
      </c>
      <c r="R10" s="38" t="str">
        <f t="shared" si="3"/>
        <v/>
      </c>
      <c r="S10" t="str">
        <f t="shared" si="4"/>
        <v/>
      </c>
    </row>
    <row r="11" spans="1:19">
      <c r="A11" s="65"/>
      <c r="B11" s="66"/>
      <c r="C11" s="65" t="s">
        <v>148</v>
      </c>
      <c r="D11" s="65"/>
      <c r="E11" s="65"/>
      <c r="F11" s="65"/>
      <c r="G11" s="65" t="s">
        <v>61</v>
      </c>
      <c r="H11" s="66"/>
      <c r="I11" s="66"/>
      <c r="J11" s="66"/>
      <c r="K11" s="65"/>
      <c r="L11" s="65"/>
      <c r="M11" s="23" t="str">
        <f t="shared" ca="1" si="0"/>
        <v/>
      </c>
      <c r="O11" t="str">
        <f>'Combined Delivery Data'!B10</f>
        <v>RSS_04_Leak Grade Change History</v>
      </c>
      <c r="P11">
        <f t="shared" si="1"/>
        <v>0</v>
      </c>
      <c r="Q11">
        <f t="shared" si="2"/>
        <v>0</v>
      </c>
      <c r="R11" s="38" t="str">
        <f t="shared" si="3"/>
        <v/>
      </c>
      <c r="S11" t="str">
        <f t="shared" si="4"/>
        <v/>
      </c>
    </row>
    <row r="12" spans="1:19">
      <c r="A12" s="65"/>
      <c r="B12" s="66"/>
      <c r="C12" s="65" t="s">
        <v>148</v>
      </c>
      <c r="D12" s="65"/>
      <c r="E12" s="65"/>
      <c r="F12" s="65"/>
      <c r="G12" s="65" t="s">
        <v>61</v>
      </c>
      <c r="H12" s="66"/>
      <c r="I12" s="66"/>
      <c r="J12" s="66"/>
      <c r="K12" s="65"/>
      <c r="L12" s="65"/>
      <c r="M12" s="23" t="str">
        <f t="shared" ca="1" si="0"/>
        <v/>
      </c>
      <c r="O12" t="str">
        <f>'Combined Delivery Data'!B11</f>
        <v>RPT_04_Surveillances With Zero Readings</v>
      </c>
      <c r="P12">
        <f t="shared" si="1"/>
        <v>0</v>
      </c>
      <c r="Q12">
        <f t="shared" si="2"/>
        <v>0</v>
      </c>
      <c r="R12" s="38" t="str">
        <f t="shared" si="3"/>
        <v/>
      </c>
      <c r="S12" t="str">
        <f t="shared" si="4"/>
        <v/>
      </c>
    </row>
    <row r="13" spans="1:19">
      <c r="A13" s="65"/>
      <c r="B13" s="66"/>
      <c r="C13" s="65" t="s">
        <v>148</v>
      </c>
      <c r="D13" s="65"/>
      <c r="E13" s="65"/>
      <c r="F13" s="65"/>
      <c r="G13" s="65" t="s">
        <v>61</v>
      </c>
      <c r="H13" s="66"/>
      <c r="I13" s="66"/>
      <c r="J13" s="66"/>
      <c r="K13" s="65"/>
      <c r="L13" s="65"/>
      <c r="M13" s="23" t="str">
        <f t="shared" ca="1" si="0"/>
        <v/>
      </c>
      <c r="O13" t="str">
        <f>'Combined Delivery Data'!B12</f>
        <v>RPT_04 High Emitter leaks</v>
      </c>
      <c r="P13">
        <f t="shared" si="1"/>
        <v>0</v>
      </c>
      <c r="Q13">
        <f t="shared" si="2"/>
        <v>0</v>
      </c>
      <c r="R13" s="38" t="str">
        <f t="shared" si="3"/>
        <v/>
      </c>
      <c r="S13" t="str">
        <f t="shared" si="4"/>
        <v/>
      </c>
    </row>
    <row r="14" spans="1:19">
      <c r="A14" s="65"/>
      <c r="B14" s="66"/>
      <c r="C14" s="65" t="s">
        <v>148</v>
      </c>
      <c r="D14" s="65"/>
      <c r="E14" s="65"/>
      <c r="F14" s="65"/>
      <c r="G14" s="65" t="s">
        <v>61</v>
      </c>
      <c r="H14" s="66"/>
      <c r="I14" s="66"/>
      <c r="J14" s="66"/>
      <c r="K14" s="65"/>
      <c r="L14" s="65"/>
      <c r="M14" s="23" t="str">
        <f t="shared" ca="1" si="0"/>
        <v/>
      </c>
      <c r="O14" t="str">
        <f>'Combined Delivery Data'!B13</f>
        <v>RPT_04_School Zone Leaks Without Repair</v>
      </c>
      <c r="P14">
        <f t="shared" si="1"/>
        <v>0</v>
      </c>
      <c r="Q14">
        <f t="shared" si="2"/>
        <v>0</v>
      </c>
      <c r="R14" s="38" t="str">
        <f t="shared" si="3"/>
        <v/>
      </c>
      <c r="S14" t="str">
        <f t="shared" si="4"/>
        <v/>
      </c>
    </row>
    <row r="15" spans="1:19">
      <c r="A15" s="65"/>
      <c r="B15" s="66"/>
      <c r="C15" s="65" t="s">
        <v>148</v>
      </c>
      <c r="D15" s="65"/>
      <c r="E15" s="65"/>
      <c r="F15" s="65"/>
      <c r="G15" s="65" t="s">
        <v>61</v>
      </c>
      <c r="H15" s="66"/>
      <c r="I15" s="66"/>
      <c r="J15" s="66"/>
      <c r="K15" s="65"/>
      <c r="L15" s="65"/>
      <c r="M15" s="23" t="str">
        <f t="shared" ca="1" si="0"/>
        <v/>
      </c>
      <c r="O15" t="str">
        <f>'Combined Delivery Data'!B14</f>
        <v>RPT_04_PSC Quarterly Leak</v>
      </c>
      <c r="P15">
        <f t="shared" si="1"/>
        <v>0</v>
      </c>
      <c r="Q15">
        <f t="shared" si="2"/>
        <v>0</v>
      </c>
      <c r="R15" s="38" t="str">
        <f t="shared" si="3"/>
        <v/>
      </c>
      <c r="S15" t="str">
        <f t="shared" si="4"/>
        <v/>
      </c>
    </row>
    <row r="16" spans="1:19">
      <c r="A16" s="65"/>
      <c r="B16" s="66"/>
      <c r="C16" s="65" t="s">
        <v>148</v>
      </c>
      <c r="D16" s="65"/>
      <c r="E16" s="65"/>
      <c r="F16" s="65"/>
      <c r="G16" s="65" t="s">
        <v>61</v>
      </c>
      <c r="H16" s="66"/>
      <c r="I16" s="66"/>
      <c r="J16" s="66"/>
      <c r="K16" s="65"/>
      <c r="L16" s="65"/>
      <c r="M16" s="23" t="str">
        <f t="shared" ca="1" si="0"/>
        <v/>
      </c>
      <c r="O16" t="str">
        <f>'Combined Delivery Data'!B15</f>
        <v>RPT_04_Rechecks Completed less than 14 days</v>
      </c>
      <c r="P16">
        <f t="shared" si="1"/>
        <v>0</v>
      </c>
      <c r="Q16">
        <f t="shared" si="2"/>
        <v>0</v>
      </c>
      <c r="R16" s="38" t="str">
        <f t="shared" si="3"/>
        <v/>
      </c>
      <c r="S16" t="str">
        <f t="shared" si="4"/>
        <v/>
      </c>
    </row>
    <row r="17" spans="1:19">
      <c r="A17" s="65"/>
      <c r="B17" s="66"/>
      <c r="C17" s="65" t="s">
        <v>148</v>
      </c>
      <c r="D17" s="65"/>
      <c r="E17" s="65"/>
      <c r="F17" s="65"/>
      <c r="G17" s="65" t="s">
        <v>61</v>
      </c>
      <c r="H17" s="66"/>
      <c r="I17" s="66"/>
      <c r="J17" s="66"/>
      <c r="K17" s="65"/>
      <c r="L17" s="65"/>
      <c r="M17" s="23" t="str">
        <f t="shared" ca="1" si="0"/>
        <v/>
      </c>
      <c r="O17" t="str">
        <f>'Combined Delivery Data'!B16</f>
        <v>RPT_04_SEI Leak Activity</v>
      </c>
      <c r="P17">
        <f t="shared" si="1"/>
        <v>0</v>
      </c>
      <c r="Q17">
        <f t="shared" si="2"/>
        <v>0</v>
      </c>
      <c r="R17" s="38" t="str">
        <f t="shared" si="3"/>
        <v/>
      </c>
      <c r="S17" t="str">
        <f t="shared" si="4"/>
        <v/>
      </c>
    </row>
    <row r="18" spans="1:19">
      <c r="A18" s="65"/>
      <c r="B18" s="66"/>
      <c r="C18" s="65" t="s">
        <v>148</v>
      </c>
      <c r="D18" s="65"/>
      <c r="E18" s="65"/>
      <c r="F18" s="65"/>
      <c r="G18" s="65" t="s">
        <v>61</v>
      </c>
      <c r="H18" s="66"/>
      <c r="I18" s="66"/>
      <c r="J18" s="66"/>
      <c r="K18" s="65"/>
      <c r="L18" s="65"/>
      <c r="M18" s="23" t="str">
        <f t="shared" ca="1" si="0"/>
        <v/>
      </c>
      <c r="O18" t="str">
        <f>'Combined Delivery Data'!B17</f>
        <v>RPT_04_CMS Leak Productivity</v>
      </c>
      <c r="P18">
        <f t="shared" si="1"/>
        <v>0</v>
      </c>
      <c r="Q18">
        <f t="shared" si="2"/>
        <v>0</v>
      </c>
      <c r="R18" s="38" t="str">
        <f t="shared" si="3"/>
        <v/>
      </c>
      <c r="S18" t="str">
        <f t="shared" si="4"/>
        <v/>
      </c>
    </row>
    <row r="19" spans="1:19">
      <c r="A19" s="65"/>
      <c r="B19" s="66"/>
      <c r="C19" s="65" t="s">
        <v>148</v>
      </c>
      <c r="D19" s="65"/>
      <c r="E19" s="65"/>
      <c r="F19" s="65"/>
      <c r="G19" s="65" t="s">
        <v>61</v>
      </c>
      <c r="H19" s="66"/>
      <c r="I19" s="66"/>
      <c r="J19" s="66"/>
      <c r="K19" s="65"/>
      <c r="L19" s="65"/>
      <c r="M19" s="23" t="str">
        <f t="shared" ca="1" si="0"/>
        <v/>
      </c>
      <c r="O19" t="str">
        <f>'Combined Delivery Data'!B18</f>
        <v>RPT_04_Main Break Corrosion and Leak Cluster</v>
      </c>
      <c r="P19">
        <f t="shared" si="1"/>
        <v>0</v>
      </c>
      <c r="Q19">
        <f t="shared" si="2"/>
        <v>0</v>
      </c>
      <c r="R19" s="38" t="str">
        <f t="shared" si="3"/>
        <v/>
      </c>
      <c r="S19" t="str">
        <f t="shared" si="4"/>
        <v/>
      </c>
    </row>
    <row r="20" spans="1:19">
      <c r="A20" s="65"/>
      <c r="B20" s="66"/>
      <c r="C20" s="65" t="s">
        <v>148</v>
      </c>
      <c r="D20" s="65"/>
      <c r="E20" s="65"/>
      <c r="F20" s="65"/>
      <c r="G20" s="65" t="s">
        <v>61</v>
      </c>
      <c r="H20" s="66"/>
      <c r="I20" s="66"/>
      <c r="J20" s="66"/>
      <c r="K20" s="65"/>
      <c r="L20" s="65"/>
      <c r="M20" s="23" t="str">
        <f t="shared" ca="1" si="0"/>
        <v/>
      </c>
      <c r="O20" t="str">
        <f>'Combined Delivery Data'!B19</f>
        <v>RPT_04_Leak Summary Status</v>
      </c>
      <c r="P20">
        <f t="shared" si="1"/>
        <v>0</v>
      </c>
      <c r="Q20">
        <f t="shared" si="2"/>
        <v>0</v>
      </c>
      <c r="R20" s="38" t="str">
        <f t="shared" si="3"/>
        <v/>
      </c>
      <c r="S20" t="str">
        <f t="shared" si="4"/>
        <v/>
      </c>
    </row>
    <row r="21" spans="1:19">
      <c r="A21" s="65"/>
      <c r="B21" s="66"/>
      <c r="C21" s="65" t="s">
        <v>148</v>
      </c>
      <c r="D21" s="65"/>
      <c r="E21" s="65"/>
      <c r="F21" s="65"/>
      <c r="G21" s="65" t="s">
        <v>61</v>
      </c>
      <c r="H21" s="66"/>
      <c r="I21" s="66"/>
      <c r="J21" s="66"/>
      <c r="K21" s="65"/>
      <c r="L21" s="65"/>
      <c r="M21" s="23" t="str">
        <f t="shared" ca="1" si="0"/>
        <v/>
      </c>
      <c r="O21" t="str">
        <f>'Combined Delivery Data'!B20</f>
        <v>RPT_04_PSC Leak Printout</v>
      </c>
      <c r="P21">
        <f t="shared" si="1"/>
        <v>0</v>
      </c>
      <c r="Q21">
        <f t="shared" si="2"/>
        <v>0</v>
      </c>
      <c r="R21" s="38" t="str">
        <f t="shared" si="3"/>
        <v/>
      </c>
      <c r="S21" t="str">
        <f t="shared" si="4"/>
        <v/>
      </c>
    </row>
    <row r="22" spans="1:19">
      <c r="A22" s="65"/>
      <c r="B22" s="66"/>
      <c r="C22" s="65" t="s">
        <v>148</v>
      </c>
      <c r="D22" s="65"/>
      <c r="E22" s="65"/>
      <c r="F22" s="65"/>
      <c r="G22" s="65" t="s">
        <v>61</v>
      </c>
      <c r="H22" s="66"/>
      <c r="I22" s="66"/>
      <c r="J22" s="66"/>
      <c r="K22" s="65"/>
      <c r="L22" s="65"/>
      <c r="M22" s="23" t="str">
        <f t="shared" ca="1" si="0"/>
        <v/>
      </c>
      <c r="O22" t="str">
        <f>'Combined Delivery Data'!B21</f>
        <v>RPT_04_Leak Control Report</v>
      </c>
      <c r="P22">
        <f t="shared" si="1"/>
        <v>0</v>
      </c>
      <c r="Q22">
        <f t="shared" si="2"/>
        <v>0</v>
      </c>
      <c r="R22" s="38" t="str">
        <f t="shared" si="3"/>
        <v/>
      </c>
      <c r="S22" t="str">
        <f t="shared" si="4"/>
        <v/>
      </c>
    </row>
    <row r="23" spans="1:19">
      <c r="A23" s="65"/>
      <c r="B23" s="66"/>
      <c r="C23" s="65" t="s">
        <v>148</v>
      </c>
      <c r="D23" s="65"/>
      <c r="E23" s="65"/>
      <c r="F23" s="65"/>
      <c r="G23" s="65" t="s">
        <v>61</v>
      </c>
      <c r="H23" s="66"/>
      <c r="I23" s="66"/>
      <c r="J23" s="66"/>
      <c r="K23" s="65"/>
      <c r="L23" s="65"/>
      <c r="M23" s="23" t="str">
        <f t="shared" ca="1" si="0"/>
        <v/>
      </c>
      <c r="O23" t="str">
        <f>'Combined Delivery Data'!B22</f>
        <v>RPT_04_Leak Life Cycle</v>
      </c>
      <c r="P23">
        <f t="shared" si="1"/>
        <v>0</v>
      </c>
      <c r="Q23">
        <f t="shared" si="2"/>
        <v>0</v>
      </c>
      <c r="R23" s="38" t="str">
        <f t="shared" si="3"/>
        <v/>
      </c>
      <c r="S23" t="str">
        <f t="shared" si="4"/>
        <v/>
      </c>
    </row>
    <row r="24" spans="1:19">
      <c r="A24" s="65"/>
      <c r="B24" s="66"/>
      <c r="C24" s="65" t="s">
        <v>148</v>
      </c>
      <c r="D24" s="65"/>
      <c r="E24" s="65"/>
      <c r="F24" s="65"/>
      <c r="G24" s="65" t="s">
        <v>61</v>
      </c>
      <c r="H24" s="66"/>
      <c r="I24" s="66"/>
      <c r="J24" s="66"/>
      <c r="K24" s="65"/>
      <c r="L24" s="65"/>
      <c r="M24" s="23" t="str">
        <f t="shared" ca="1" si="0"/>
        <v/>
      </c>
      <c r="O24" t="str">
        <f>'Combined Delivery Data'!B23</f>
        <v>RPT_04_Leak Life Cycle Legacy LMS LI</v>
      </c>
      <c r="P24">
        <f t="shared" si="1"/>
        <v>0</v>
      </c>
      <c r="Q24">
        <f t="shared" si="2"/>
        <v>0</v>
      </c>
      <c r="R24" s="38" t="str">
        <f t="shared" si="3"/>
        <v/>
      </c>
      <c r="S24" t="str">
        <f t="shared" si="4"/>
        <v/>
      </c>
    </row>
    <row r="25" spans="1:19">
      <c r="A25" s="65"/>
      <c r="B25" s="66"/>
      <c r="C25" s="65" t="s">
        <v>148</v>
      </c>
      <c r="D25" s="65"/>
      <c r="E25" s="65"/>
      <c r="F25" s="65"/>
      <c r="G25" s="65" t="s">
        <v>61</v>
      </c>
      <c r="H25" s="66"/>
      <c r="I25" s="66"/>
      <c r="J25" s="66"/>
      <c r="K25" s="65"/>
      <c r="L25" s="65"/>
      <c r="M25" s="23" t="str">
        <f t="shared" ca="1" si="0"/>
        <v/>
      </c>
      <c r="O25" t="str">
        <f>'Combined Delivery Data'!B24</f>
        <v>RPT_04_Leak Increase Reads</v>
      </c>
      <c r="P25">
        <f t="shared" si="1"/>
        <v>0</v>
      </c>
      <c r="Q25">
        <f t="shared" si="2"/>
        <v>0</v>
      </c>
      <c r="R25" s="38" t="str">
        <f t="shared" si="3"/>
        <v/>
      </c>
      <c r="S25" t="str">
        <f t="shared" si="4"/>
        <v/>
      </c>
    </row>
    <row r="26" spans="1:19">
      <c r="A26" s="65"/>
      <c r="B26" s="66"/>
      <c r="C26" s="65" t="s">
        <v>148</v>
      </c>
      <c r="D26" s="65"/>
      <c r="E26" s="65"/>
      <c r="F26" s="65"/>
      <c r="G26" s="65" t="s">
        <v>61</v>
      </c>
      <c r="H26" s="66"/>
      <c r="I26" s="66"/>
      <c r="J26" s="66"/>
      <c r="K26" s="65"/>
      <c r="L26" s="65"/>
      <c r="M26" s="23" t="str">
        <f t="shared" ca="1" si="0"/>
        <v/>
      </c>
      <c r="O26" t="str">
        <f>'Combined Delivery Data'!B25</f>
        <v>Leak 360 Dashboard</v>
      </c>
      <c r="P26">
        <f t="shared" si="1"/>
        <v>0</v>
      </c>
      <c r="Q26">
        <f t="shared" si="2"/>
        <v>0</v>
      </c>
      <c r="R26" s="38" t="str">
        <f t="shared" si="3"/>
        <v/>
      </c>
      <c r="S26" t="str">
        <f t="shared" si="4"/>
        <v/>
      </c>
    </row>
    <row r="27" spans="1:19">
      <c r="A27" s="65"/>
      <c r="B27" s="66"/>
      <c r="C27" s="65" t="s">
        <v>148</v>
      </c>
      <c r="D27" s="65"/>
      <c r="E27" s="65"/>
      <c r="F27" s="65"/>
      <c r="G27" s="65" t="s">
        <v>61</v>
      </c>
      <c r="H27" s="66"/>
      <c r="I27" s="66"/>
      <c r="J27" s="66"/>
      <c r="K27" s="65"/>
      <c r="L27" s="65"/>
      <c r="M27" s="23" t="str">
        <f t="shared" ca="1" si="0"/>
        <v/>
      </c>
      <c r="O27" t="str">
        <f>'Combined Delivery Data'!B26</f>
        <v>RPT_04_Leak Recheck Control</v>
      </c>
      <c r="P27">
        <f t="shared" si="1"/>
        <v>0</v>
      </c>
      <c r="Q27">
        <f t="shared" si="2"/>
        <v>0</v>
      </c>
      <c r="R27" s="38" t="str">
        <f t="shared" si="3"/>
        <v/>
      </c>
      <c r="S27" t="str">
        <f t="shared" si="4"/>
        <v/>
      </c>
    </row>
    <row r="28" spans="1:19">
      <c r="A28" s="65"/>
      <c r="B28" s="66"/>
      <c r="C28" s="65" t="s">
        <v>148</v>
      </c>
      <c r="D28" s="65"/>
      <c r="E28" s="65"/>
      <c r="F28" s="65"/>
      <c r="G28" s="65" t="s">
        <v>61</v>
      </c>
      <c r="H28" s="66"/>
      <c r="I28" s="66"/>
      <c r="J28" s="66"/>
      <c r="K28" s="65"/>
      <c r="L28" s="65"/>
      <c r="M28" s="23" t="str">
        <f t="shared" ca="1" si="0"/>
        <v/>
      </c>
      <c r="O28" t="str">
        <f>'Combined Delivery Data'!B27</f>
        <v>RPT_04_Main_Replacement Report</v>
      </c>
      <c r="P28">
        <f t="shared" si="1"/>
        <v>0</v>
      </c>
      <c r="Q28">
        <f t="shared" si="2"/>
        <v>0</v>
      </c>
      <c r="R28" s="38" t="str">
        <f t="shared" si="3"/>
        <v/>
      </c>
      <c r="S28" t="str">
        <f t="shared" si="4"/>
        <v/>
      </c>
    </row>
    <row r="29" spans="1:19">
      <c r="A29" s="65"/>
      <c r="B29" s="66"/>
      <c r="C29" s="65" t="s">
        <v>148</v>
      </c>
      <c r="D29" s="65"/>
      <c r="E29" s="65"/>
      <c r="F29" s="65"/>
      <c r="G29" s="65" t="s">
        <v>61</v>
      </c>
      <c r="H29" s="66"/>
      <c r="I29" s="66"/>
      <c r="J29" s="66"/>
      <c r="K29" s="65"/>
      <c r="L29" s="65"/>
      <c r="M29" s="23" t="str">
        <f t="shared" ca="1" si="0"/>
        <v/>
      </c>
      <c r="O29" t="str">
        <f>'Combined Delivery Data'!B28</f>
        <v>New Report: Leak Repair Exception</v>
      </c>
      <c r="P29">
        <f t="shared" si="1"/>
        <v>0</v>
      </c>
      <c r="Q29">
        <f t="shared" si="2"/>
        <v>0</v>
      </c>
      <c r="R29" s="38" t="str">
        <f t="shared" si="3"/>
        <v/>
      </c>
      <c r="S29" t="str">
        <f t="shared" si="4"/>
        <v/>
      </c>
    </row>
    <row r="30" spans="1:19">
      <c r="A30" s="65"/>
      <c r="B30" s="66"/>
      <c r="C30" s="65" t="s">
        <v>148</v>
      </c>
      <c r="D30" s="65"/>
      <c r="E30" s="65"/>
      <c r="F30" s="65"/>
      <c r="G30" s="65" t="s">
        <v>61</v>
      </c>
      <c r="H30" s="66"/>
      <c r="I30" s="66"/>
      <c r="J30" s="66"/>
      <c r="K30" s="65"/>
      <c r="L30" s="65"/>
      <c r="M30" s="23" t="str">
        <f t="shared" ca="1" si="0"/>
        <v/>
      </c>
      <c r="O30" t="str">
        <f>'Combined Delivery Data'!B29</f>
        <v>New Report: (Leak reading sample point mismatch ) Creating a new report that...</v>
      </c>
      <c r="P30">
        <f t="shared" si="1"/>
        <v>0</v>
      </c>
      <c r="Q30">
        <f t="shared" si="2"/>
        <v>0</v>
      </c>
      <c r="R30" s="38" t="str">
        <f t="shared" si="3"/>
        <v/>
      </c>
      <c r="S30" t="str">
        <f t="shared" si="4"/>
        <v/>
      </c>
    </row>
    <row r="31" spans="1:19">
      <c r="A31" s="65"/>
      <c r="B31" s="66"/>
      <c r="C31" s="65" t="s">
        <v>148</v>
      </c>
      <c r="D31" s="65"/>
      <c r="E31" s="65"/>
      <c r="F31" s="65"/>
      <c r="G31" s="65" t="s">
        <v>61</v>
      </c>
      <c r="H31" s="66"/>
      <c r="I31" s="66"/>
      <c r="J31" s="66"/>
      <c r="K31" s="65"/>
      <c r="L31" s="65"/>
      <c r="M31" s="23" t="str">
        <f t="shared" ca="1" si="0"/>
        <v/>
      </c>
      <c r="O31" t="str">
        <f>'Combined Delivery Data'!B30</f>
        <v>RPT_02_CO Flue Warning Tag Control</v>
      </c>
      <c r="P31">
        <f t="shared" si="1"/>
        <v>0</v>
      </c>
      <c r="Q31">
        <f t="shared" si="2"/>
        <v>0</v>
      </c>
      <c r="R31" s="38" t="str">
        <f t="shared" si="3"/>
        <v/>
      </c>
      <c r="S31" t="str">
        <f t="shared" si="4"/>
        <v/>
      </c>
    </row>
    <row r="32" spans="1:19">
      <c r="A32" s="65"/>
      <c r="B32" s="66"/>
      <c r="C32" s="65" t="s">
        <v>148</v>
      </c>
      <c r="D32" s="65"/>
      <c r="E32" s="65"/>
      <c r="F32" s="65"/>
      <c r="G32" s="65" t="s">
        <v>61</v>
      </c>
      <c r="H32" s="66"/>
      <c r="I32" s="66"/>
      <c r="J32" s="66"/>
      <c r="K32" s="65"/>
      <c r="L32" s="65"/>
      <c r="M32" s="23" t="str">
        <f t="shared" ca="1" si="0"/>
        <v/>
      </c>
      <c r="O32" t="str">
        <f>'Combined Delivery Data'!B31</f>
        <v>RPT_02_Warning Tag HEFPA</v>
      </c>
      <c r="P32">
        <f t="shared" si="1"/>
        <v>0</v>
      </c>
      <c r="Q32">
        <f t="shared" si="2"/>
        <v>0</v>
      </c>
      <c r="R32" s="38" t="str">
        <f t="shared" si="3"/>
        <v/>
      </c>
      <c r="S32" t="str">
        <f t="shared" si="4"/>
        <v/>
      </c>
    </row>
    <row r="33" spans="1:19">
      <c r="A33" s="65"/>
      <c r="B33" s="66"/>
      <c r="C33" s="65" t="s">
        <v>148</v>
      </c>
      <c r="D33" s="65"/>
      <c r="E33" s="65"/>
      <c r="F33" s="65"/>
      <c r="G33" s="65" t="s">
        <v>61</v>
      </c>
      <c r="H33" s="66"/>
      <c r="I33" s="66"/>
      <c r="J33" s="66"/>
      <c r="K33" s="65"/>
      <c r="L33" s="65"/>
      <c r="M33" s="23" t="str">
        <f t="shared" ca="1" si="0"/>
        <v/>
      </c>
      <c r="O33" t="str">
        <f>'Combined Delivery Data'!B32</f>
        <v>RPT_02_Warning tag Printout</v>
      </c>
      <c r="P33">
        <f t="shared" si="1"/>
        <v>0</v>
      </c>
      <c r="Q33">
        <f t="shared" si="2"/>
        <v>0</v>
      </c>
      <c r="R33" s="38" t="str">
        <f t="shared" si="3"/>
        <v/>
      </c>
      <c r="S33" t="str">
        <f t="shared" si="4"/>
        <v/>
      </c>
    </row>
    <row r="34" spans="1:19">
      <c r="A34" s="65"/>
      <c r="B34" s="66"/>
      <c r="C34" s="65" t="s">
        <v>148</v>
      </c>
      <c r="D34" s="65"/>
      <c r="E34" s="65"/>
      <c r="F34" s="65"/>
      <c r="G34" s="65" t="s">
        <v>61</v>
      </c>
      <c r="H34" s="66"/>
      <c r="I34" s="66"/>
      <c r="J34" s="66"/>
      <c r="K34" s="65"/>
      <c r="L34" s="65"/>
      <c r="M34" s="23" t="str">
        <f t="shared" ca="1" si="0"/>
        <v/>
      </c>
      <c r="O34" t="str">
        <f>'Combined Delivery Data'!B33</f>
        <v>RPT_02_Corrosion</v>
      </c>
      <c r="P34">
        <f t="shared" si="1"/>
        <v>0</v>
      </c>
      <c r="Q34">
        <f t="shared" si="2"/>
        <v>0</v>
      </c>
      <c r="R34" s="38" t="str">
        <f t="shared" si="3"/>
        <v/>
      </c>
      <c r="S34" t="str">
        <f t="shared" si="4"/>
        <v/>
      </c>
    </row>
    <row r="35" spans="1:19">
      <c r="A35" s="65"/>
      <c r="B35" s="66"/>
      <c r="C35" s="65" t="s">
        <v>148</v>
      </c>
      <c r="D35" s="65"/>
      <c r="E35" s="65"/>
      <c r="F35" s="65"/>
      <c r="G35" s="65" t="s">
        <v>61</v>
      </c>
      <c r="H35" s="66"/>
      <c r="I35" s="66"/>
      <c r="J35" s="66"/>
      <c r="K35" s="65"/>
      <c r="L35" s="65"/>
      <c r="M35" s="23" t="str">
        <f t="shared" ca="1" si="0"/>
        <v/>
      </c>
      <c r="O35" t="str">
        <f>'Combined Delivery Data'!B34</f>
        <v>RPT_02_House Pipe Test Comment Control</v>
      </c>
      <c r="P35">
        <f t="shared" si="1"/>
        <v>0</v>
      </c>
      <c r="Q35">
        <f t="shared" si="2"/>
        <v>0</v>
      </c>
      <c r="R35" s="38" t="str">
        <f t="shared" si="3"/>
        <v/>
      </c>
      <c r="S35" t="str">
        <f t="shared" si="4"/>
        <v/>
      </c>
    </row>
    <row r="36" spans="1:19">
      <c r="A36" s="65"/>
      <c r="B36" s="66"/>
      <c r="C36" s="65" t="s">
        <v>148</v>
      </c>
      <c r="D36" s="65"/>
      <c r="E36" s="65"/>
      <c r="F36" s="65"/>
      <c r="G36" s="65" t="s">
        <v>61</v>
      </c>
      <c r="H36" s="66"/>
      <c r="I36" s="66"/>
      <c r="J36" s="66"/>
      <c r="K36" s="65"/>
      <c r="L36" s="65"/>
      <c r="M36" s="23" t="str">
        <f t="shared" ca="1" si="0"/>
        <v/>
      </c>
      <c r="O36" t="str">
        <f>'Combined Delivery Data'!B35</f>
        <v>RPT_02_Required Regulator Inspection Performed Control</v>
      </c>
      <c r="P36">
        <f t="shared" si="1"/>
        <v>1</v>
      </c>
      <c r="Q36">
        <f t="shared" si="2"/>
        <v>1</v>
      </c>
      <c r="R36" s="38">
        <f t="shared" si="3"/>
        <v>46230</v>
      </c>
      <c r="S36" t="str">
        <f t="shared" si="4"/>
        <v>QA -&gt; DB Dev</v>
      </c>
    </row>
    <row r="37" spans="1:19">
      <c r="A37" s="65"/>
      <c r="B37" s="66"/>
      <c r="C37" s="65" t="s">
        <v>148</v>
      </c>
      <c r="D37" s="65"/>
      <c r="E37" s="65"/>
      <c r="F37" s="65"/>
      <c r="G37" s="65" t="s">
        <v>61</v>
      </c>
      <c r="H37" s="66"/>
      <c r="I37" s="66"/>
      <c r="J37" s="66"/>
      <c r="K37" s="65"/>
      <c r="L37" s="65"/>
      <c r="M37" s="23" t="str">
        <f t="shared" ca="1" si="0"/>
        <v/>
      </c>
      <c r="O37" t="str">
        <f>'Combined Delivery Data'!B36</f>
        <v>RPT_02_Service Regulator Inspections</v>
      </c>
      <c r="P37">
        <f t="shared" si="1"/>
        <v>0</v>
      </c>
      <c r="Q37">
        <f t="shared" si="2"/>
        <v>0</v>
      </c>
      <c r="R37" s="38" t="str">
        <f t="shared" si="3"/>
        <v/>
      </c>
      <c r="S37" t="str">
        <f t="shared" si="4"/>
        <v/>
      </c>
    </row>
    <row r="38" spans="1:19">
      <c r="A38" s="65"/>
      <c r="B38" s="66"/>
      <c r="C38" s="65" t="s">
        <v>148</v>
      </c>
      <c r="D38" s="65"/>
      <c r="E38" s="65"/>
      <c r="F38" s="65"/>
      <c r="G38" s="65" t="s">
        <v>61</v>
      </c>
      <c r="H38" s="66"/>
      <c r="I38" s="66"/>
      <c r="J38" s="66"/>
      <c r="K38" s="65"/>
      <c r="L38" s="65"/>
      <c r="M38" s="23" t="str">
        <f t="shared" ca="1" si="0"/>
        <v/>
      </c>
      <c r="O38" t="str">
        <f>'Combined Delivery Data'!B37</f>
        <v>RPT_02_Service Regulator Inspection Printout</v>
      </c>
      <c r="P38">
        <f t="shared" si="1"/>
        <v>0</v>
      </c>
      <c r="Q38">
        <f t="shared" si="2"/>
        <v>0</v>
      </c>
      <c r="R38" s="38" t="str">
        <f t="shared" si="3"/>
        <v/>
      </c>
      <c r="S38" t="str">
        <f t="shared" si="4"/>
        <v/>
      </c>
    </row>
    <row r="39" spans="1:19">
      <c r="A39" s="65"/>
      <c r="B39" s="66"/>
      <c r="C39" s="65" t="s">
        <v>148</v>
      </c>
      <c r="D39" s="65"/>
      <c r="E39" s="65"/>
      <c r="F39" s="65"/>
      <c r="G39" s="65" t="s">
        <v>61</v>
      </c>
      <c r="H39" s="66"/>
      <c r="I39" s="66"/>
      <c r="J39" s="66"/>
      <c r="K39" s="65"/>
      <c r="L39" s="65"/>
      <c r="M39" s="23" t="str">
        <f t="shared" ca="1" si="0"/>
        <v/>
      </c>
      <c r="O39" t="str">
        <f>'Combined Delivery Data'!B38</f>
        <v>RPT_02_20 Year Regulator Inspection</v>
      </c>
      <c r="P39">
        <f t="shared" si="1"/>
        <v>0</v>
      </c>
      <c r="Q39">
        <f t="shared" si="2"/>
        <v>0</v>
      </c>
      <c r="R39" s="38" t="str">
        <f t="shared" si="3"/>
        <v/>
      </c>
      <c r="S39" t="str">
        <f t="shared" si="4"/>
        <v/>
      </c>
    </row>
    <row r="40" spans="1:19">
      <c r="A40" s="65"/>
      <c r="B40" s="66"/>
      <c r="C40" s="65" t="s">
        <v>148</v>
      </c>
      <c r="D40" s="65"/>
      <c r="E40" s="65"/>
      <c r="F40" s="65"/>
      <c r="G40" s="65" t="s">
        <v>61</v>
      </c>
      <c r="H40" s="66"/>
      <c r="I40" s="66"/>
      <c r="J40" s="66"/>
      <c r="K40" s="65"/>
      <c r="L40" s="65"/>
      <c r="M40" s="23" t="str">
        <f t="shared" ca="1" si="0"/>
        <v/>
      </c>
      <c r="O40" t="str">
        <f>'Combined Delivery Data'!B39</f>
        <v>RPT_02_Fixed Factor</v>
      </c>
      <c r="P40">
        <f t="shared" si="1"/>
        <v>0</v>
      </c>
      <c r="Q40">
        <f t="shared" si="2"/>
        <v>0</v>
      </c>
      <c r="R40" s="38" t="str">
        <f t="shared" si="3"/>
        <v/>
      </c>
      <c r="S40" t="str">
        <f t="shared" si="4"/>
        <v/>
      </c>
    </row>
    <row r="41" spans="1:19">
      <c r="A41" s="65"/>
      <c r="B41" s="66"/>
      <c r="C41" s="65" t="s">
        <v>148</v>
      </c>
      <c r="D41" s="65"/>
      <c r="E41" s="65"/>
      <c r="F41" s="65"/>
      <c r="G41" s="65" t="s">
        <v>61</v>
      </c>
      <c r="H41" s="66"/>
      <c r="I41" s="66"/>
      <c r="J41" s="66"/>
      <c r="K41" s="65"/>
      <c r="L41" s="65"/>
      <c r="M41" s="23" t="str">
        <f t="shared" ca="1" si="0"/>
        <v/>
      </c>
      <c r="O41" t="str">
        <f>'Combined Delivery Data'!B40</f>
        <v>RPT_02_Fixed Factor Printout</v>
      </c>
      <c r="P41">
        <f t="shared" si="1"/>
        <v>0</v>
      </c>
      <c r="Q41">
        <f t="shared" si="2"/>
        <v>0</v>
      </c>
      <c r="R41" s="38" t="str">
        <f t="shared" si="3"/>
        <v/>
      </c>
      <c r="S41" t="str">
        <f t="shared" si="4"/>
        <v/>
      </c>
    </row>
    <row r="42" spans="1:19">
      <c r="A42" s="65"/>
      <c r="B42" s="66"/>
      <c r="C42" s="65" t="s">
        <v>148</v>
      </c>
      <c r="D42" s="65"/>
      <c r="E42" s="65"/>
      <c r="F42" s="65"/>
      <c r="G42" s="65" t="s">
        <v>61</v>
      </c>
      <c r="H42" s="66"/>
      <c r="I42" s="66"/>
      <c r="J42" s="66"/>
      <c r="K42" s="65"/>
      <c r="L42" s="65"/>
      <c r="M42" s="23" t="str">
        <f t="shared" ca="1" si="0"/>
        <v/>
      </c>
      <c r="O42" t="str">
        <f>'Combined Delivery Data'!B41</f>
        <v>RPT_02_Work Order Completion Printout</v>
      </c>
      <c r="P42">
        <f t="shared" si="1"/>
        <v>0</v>
      </c>
      <c r="Q42">
        <f t="shared" si="2"/>
        <v>0</v>
      </c>
      <c r="R42" s="38" t="str">
        <f t="shared" si="3"/>
        <v/>
      </c>
      <c r="S42" t="str">
        <f t="shared" si="4"/>
        <v/>
      </c>
    </row>
    <row r="43" spans="1:19">
      <c r="A43" s="65"/>
      <c r="B43" s="66"/>
      <c r="C43" s="65" t="s">
        <v>148</v>
      </c>
      <c r="D43" s="65"/>
      <c r="E43" s="65"/>
      <c r="F43" s="65"/>
      <c r="G43" s="65" t="s">
        <v>61</v>
      </c>
      <c r="H43" s="66"/>
      <c r="I43" s="66"/>
      <c r="J43" s="66"/>
      <c r="K43" s="65"/>
      <c r="L43" s="65"/>
      <c r="M43" s="23" t="str">
        <f t="shared" ca="1" si="0"/>
        <v/>
      </c>
      <c r="O43" t="str">
        <f>'Combined Delivery Data'!B42</f>
        <v>RPT_02_GRO Control</v>
      </c>
      <c r="P43">
        <f t="shared" si="1"/>
        <v>0</v>
      </c>
      <c r="Q43">
        <f t="shared" si="2"/>
        <v>0</v>
      </c>
      <c r="R43" s="38" t="str">
        <f t="shared" si="3"/>
        <v/>
      </c>
      <c r="S43" t="str">
        <f t="shared" si="4"/>
        <v/>
      </c>
    </row>
    <row r="44" spans="1:19">
      <c r="A44" s="65"/>
      <c r="B44" s="66"/>
      <c r="C44" s="65" t="s">
        <v>148</v>
      </c>
      <c r="D44" s="65"/>
      <c r="E44" s="65"/>
      <c r="F44" s="65"/>
      <c r="G44" s="65" t="s">
        <v>61</v>
      </c>
      <c r="H44" s="66"/>
      <c r="I44" s="66"/>
      <c r="J44" s="66"/>
      <c r="K44" s="65"/>
      <c r="L44" s="65"/>
      <c r="M44" s="23" t="str">
        <f t="shared" ca="1" si="0"/>
        <v/>
      </c>
      <c r="O44" t="str">
        <f>'Combined Delivery Data'!B43</f>
        <v>RPT_02_GRO Monitor</v>
      </c>
      <c r="P44">
        <f t="shared" si="1"/>
        <v>0</v>
      </c>
      <c r="Q44">
        <f t="shared" si="2"/>
        <v>0</v>
      </c>
      <c r="R44" s="38" t="str">
        <f t="shared" si="3"/>
        <v/>
      </c>
      <c r="S44" t="str">
        <f t="shared" si="4"/>
        <v/>
      </c>
    </row>
    <row r="45" spans="1:19">
      <c r="A45" s="65"/>
      <c r="B45" s="66"/>
      <c r="C45" s="65" t="s">
        <v>148</v>
      </c>
      <c r="D45" s="65"/>
      <c r="E45" s="65"/>
      <c r="F45" s="65"/>
      <c r="G45" s="65" t="s">
        <v>61</v>
      </c>
      <c r="H45" s="66"/>
      <c r="I45" s="66"/>
      <c r="J45" s="66"/>
      <c r="K45" s="65"/>
      <c r="L45" s="65"/>
      <c r="M45" s="23" t="str">
        <f t="shared" ca="1" si="0"/>
        <v/>
      </c>
      <c r="O45" t="str">
        <f>'Combined Delivery Data'!B44</f>
        <v>RPT_02_Public Buildings Inspection</v>
      </c>
      <c r="P45">
        <f t="shared" si="1"/>
        <v>0</v>
      </c>
      <c r="Q45">
        <f t="shared" si="2"/>
        <v>0</v>
      </c>
      <c r="R45" s="38" t="str">
        <f t="shared" si="3"/>
        <v/>
      </c>
      <c r="S45" t="str">
        <f t="shared" si="4"/>
        <v/>
      </c>
    </row>
    <row r="46" spans="1:19">
      <c r="A46" s="65"/>
      <c r="B46" s="66"/>
      <c r="C46" s="65" t="s">
        <v>148</v>
      </c>
      <c r="D46" s="65"/>
      <c r="E46" s="65"/>
      <c r="F46" s="65"/>
      <c r="G46" s="65" t="s">
        <v>61</v>
      </c>
      <c r="H46" s="66"/>
      <c r="I46" s="66"/>
      <c r="J46" s="66"/>
      <c r="K46" s="65"/>
      <c r="L46" s="65"/>
      <c r="M46" s="23" t="str">
        <f t="shared" ca="1" si="0"/>
        <v/>
      </c>
      <c r="O46" t="str">
        <f>'Combined Delivery Data'!B45</f>
        <v>RPT_02_Investigate Wall Check and Service Check</v>
      </c>
      <c r="P46">
        <f t="shared" si="1"/>
        <v>0</v>
      </c>
      <c r="Q46">
        <f t="shared" si="2"/>
        <v>0</v>
      </c>
      <c r="R46" s="38" t="str">
        <f t="shared" si="3"/>
        <v/>
      </c>
      <c r="S46" t="str">
        <f t="shared" si="4"/>
        <v/>
      </c>
    </row>
    <row r="47" spans="1:19">
      <c r="A47" s="65"/>
      <c r="B47" s="66"/>
      <c r="C47" s="65" t="s">
        <v>148</v>
      </c>
      <c r="D47" s="65"/>
      <c r="E47" s="65"/>
      <c r="F47" s="65"/>
      <c r="G47" s="65" t="s">
        <v>61</v>
      </c>
      <c r="H47" s="66"/>
      <c r="I47" s="66"/>
      <c r="J47" s="66"/>
      <c r="K47" s="65"/>
      <c r="L47" s="65"/>
      <c r="M47" s="23" t="str">
        <f t="shared" ca="1" si="0"/>
        <v/>
      </c>
      <c r="O47" t="str">
        <f>'Combined Delivery Data'!B46</f>
        <v>RPT_02_Cut Out Orders</v>
      </c>
      <c r="P47">
        <f t="shared" si="1"/>
        <v>0</v>
      </c>
      <c r="Q47">
        <f t="shared" si="2"/>
        <v>0</v>
      </c>
      <c r="R47" s="38" t="str">
        <f t="shared" si="3"/>
        <v/>
      </c>
      <c r="S47" t="str">
        <f t="shared" si="4"/>
        <v/>
      </c>
    </row>
    <row r="48" spans="1:19">
      <c r="A48" s="65"/>
      <c r="B48" s="66"/>
      <c r="C48" s="65" t="s">
        <v>148</v>
      </c>
      <c r="D48" s="65"/>
      <c r="E48" s="65"/>
      <c r="F48" s="65"/>
      <c r="G48" s="65" t="s">
        <v>61</v>
      </c>
      <c r="H48" s="66"/>
      <c r="I48" s="66"/>
      <c r="J48" s="66"/>
      <c r="K48" s="65"/>
      <c r="L48" s="65"/>
      <c r="M48" s="23" t="str">
        <f t="shared" ca="1" si="0"/>
        <v/>
      </c>
      <c r="O48" t="str">
        <f>'Combined Delivery Data'!B47</f>
        <v>RPT_02_Gas Trouble</v>
      </c>
      <c r="P48">
        <f t="shared" si="1"/>
        <v>0</v>
      </c>
      <c r="Q48">
        <f t="shared" si="2"/>
        <v>0</v>
      </c>
      <c r="R48" s="38" t="str">
        <f t="shared" si="3"/>
        <v/>
      </c>
      <c r="S48" t="str">
        <f t="shared" si="4"/>
        <v/>
      </c>
    </row>
    <row r="49" spans="1:19">
      <c r="A49" s="65"/>
      <c r="B49" s="66"/>
      <c r="C49" s="65" t="s">
        <v>148</v>
      </c>
      <c r="D49" s="65"/>
      <c r="E49" s="65"/>
      <c r="F49" s="65"/>
      <c r="G49" s="65" t="s">
        <v>61</v>
      </c>
      <c r="H49" s="66"/>
      <c r="I49" s="66"/>
      <c r="J49" s="66"/>
      <c r="K49" s="65"/>
      <c r="L49" s="65"/>
      <c r="M49" s="23" t="str">
        <f t="shared" ca="1" si="0"/>
        <v/>
      </c>
      <c r="O49" t="str">
        <f>'Combined Delivery Data'!B48</f>
        <v>RPT_02_Wall Check Control</v>
      </c>
      <c r="P49">
        <f t="shared" si="1"/>
        <v>0</v>
      </c>
      <c r="Q49">
        <f t="shared" si="2"/>
        <v>0</v>
      </c>
      <c r="R49" s="38" t="str">
        <f t="shared" si="3"/>
        <v/>
      </c>
      <c r="S49" t="str">
        <f t="shared" si="4"/>
        <v/>
      </c>
    </row>
    <row r="50" spans="1:19">
      <c r="A50" s="65"/>
      <c r="B50" s="66"/>
      <c r="C50" s="65" t="s">
        <v>148</v>
      </c>
      <c r="D50" s="65"/>
      <c r="E50" s="65"/>
      <c r="F50" s="65"/>
      <c r="G50" s="65" t="s">
        <v>61</v>
      </c>
      <c r="H50" s="66"/>
      <c r="I50" s="66"/>
      <c r="J50" s="66"/>
      <c r="K50" s="65"/>
      <c r="L50" s="65"/>
      <c r="M50" s="23" t="str">
        <f t="shared" ca="1" si="0"/>
        <v/>
      </c>
      <c r="O50" t="str">
        <f>'Combined Delivery Data'!B49</f>
        <v>RPT_02_High Pressure Steel Inside Inspection</v>
      </c>
      <c r="P50">
        <f t="shared" si="1"/>
        <v>0</v>
      </c>
      <c r="Q50">
        <f t="shared" si="2"/>
        <v>0</v>
      </c>
      <c r="R50" s="38" t="str">
        <f t="shared" si="3"/>
        <v/>
      </c>
      <c r="S50" t="str">
        <f t="shared" si="4"/>
        <v/>
      </c>
    </row>
    <row r="51" spans="1:19">
      <c r="A51" s="65"/>
      <c r="B51" s="66"/>
      <c r="C51" s="65" t="s">
        <v>148</v>
      </c>
      <c r="D51" s="65"/>
      <c r="E51" s="65"/>
      <c r="F51" s="65"/>
      <c r="G51" s="65" t="s">
        <v>61</v>
      </c>
      <c r="H51" s="66"/>
      <c r="I51" s="66"/>
      <c r="J51" s="66"/>
      <c r="K51" s="65"/>
      <c r="L51" s="65"/>
      <c r="M51" s="23" t="str">
        <f t="shared" ca="1" si="0"/>
        <v/>
      </c>
      <c r="O51" t="str">
        <f>'Combined Delivery Data'!B50</f>
        <v>RPT_02_Large Gas Outage</v>
      </c>
      <c r="P51">
        <f t="shared" si="1"/>
        <v>0</v>
      </c>
      <c r="Q51">
        <f t="shared" si="2"/>
        <v>0</v>
      </c>
      <c r="R51" s="38" t="str">
        <f t="shared" si="3"/>
        <v/>
      </c>
      <c r="S51" t="str">
        <f t="shared" si="4"/>
        <v/>
      </c>
    </row>
    <row r="52" spans="1:19">
      <c r="A52" s="65"/>
      <c r="B52" s="66"/>
      <c r="C52" s="65" t="s">
        <v>148</v>
      </c>
      <c r="D52" s="65"/>
      <c r="E52" s="65"/>
      <c r="F52" s="65"/>
      <c r="G52" s="65" t="s">
        <v>61</v>
      </c>
      <c r="H52" s="66"/>
      <c r="I52" s="66"/>
      <c r="J52" s="66"/>
      <c r="K52" s="65"/>
      <c r="L52" s="65"/>
      <c r="M52" s="23" t="str">
        <f t="shared" ca="1" si="0"/>
        <v/>
      </c>
      <c r="O52" t="str">
        <f>'Combined Delivery Data'!B51</f>
        <v>RPT_02_Fitting Work</v>
      </c>
      <c r="P52">
        <f t="shared" si="1"/>
        <v>0</v>
      </c>
      <c r="Q52">
        <f t="shared" si="2"/>
        <v>0</v>
      </c>
      <c r="R52" s="38" t="str">
        <f t="shared" si="3"/>
        <v/>
      </c>
      <c r="S52" t="str">
        <f t="shared" si="4"/>
        <v/>
      </c>
    </row>
    <row r="53" spans="1:19">
      <c r="A53" s="65"/>
      <c r="B53" s="66"/>
      <c r="C53" s="65" t="s">
        <v>148</v>
      </c>
      <c r="D53" s="65"/>
      <c r="E53" s="65"/>
      <c r="F53" s="65"/>
      <c r="G53" s="65" t="s">
        <v>61</v>
      </c>
      <c r="H53" s="66"/>
      <c r="I53" s="66"/>
      <c r="J53" s="66"/>
      <c r="K53" s="65"/>
      <c r="L53" s="65"/>
      <c r="M53" s="23" t="str">
        <f t="shared" ca="1" si="0"/>
        <v/>
      </c>
      <c r="O53" t="str">
        <f>'Combined Delivery Data'!B52</f>
        <v>RPT_02_Field Collector Report</v>
      </c>
      <c r="P53">
        <f t="shared" si="1"/>
        <v>0</v>
      </c>
      <c r="Q53">
        <f t="shared" si="2"/>
        <v>0</v>
      </c>
      <c r="R53" s="38" t="str">
        <f t="shared" si="3"/>
        <v/>
      </c>
      <c r="S53" t="str">
        <f t="shared" si="4"/>
        <v/>
      </c>
    </row>
    <row r="54" spans="1:19">
      <c r="A54" s="65"/>
      <c r="B54" s="66"/>
      <c r="C54" s="65" t="s">
        <v>148</v>
      </c>
      <c r="D54" s="65"/>
      <c r="E54" s="65"/>
      <c r="F54" s="65"/>
      <c r="G54" s="65" t="s">
        <v>61</v>
      </c>
      <c r="H54" s="66"/>
      <c r="I54" s="66"/>
      <c r="J54" s="66"/>
      <c r="K54" s="65"/>
      <c r="L54" s="65"/>
      <c r="M54" s="23" t="str">
        <f t="shared" ca="1" si="0"/>
        <v/>
      </c>
      <c r="O54" t="str">
        <f>'Combined Delivery Data'!B53</f>
        <v>RPT_02_Turn On for Non-Payment</v>
      </c>
      <c r="P54">
        <f t="shared" si="1"/>
        <v>0</v>
      </c>
      <c r="Q54">
        <f t="shared" si="2"/>
        <v>0</v>
      </c>
      <c r="R54" s="38" t="str">
        <f t="shared" si="3"/>
        <v/>
      </c>
      <c r="S54" t="str">
        <f t="shared" si="4"/>
        <v/>
      </c>
    </row>
    <row r="55" spans="1:19">
      <c r="A55" s="65"/>
      <c r="B55" s="66"/>
      <c r="C55" s="65" t="s">
        <v>148</v>
      </c>
      <c r="D55" s="65"/>
      <c r="E55" s="65"/>
      <c r="F55" s="65"/>
      <c r="G55" s="65" t="s">
        <v>61</v>
      </c>
      <c r="H55" s="66"/>
      <c r="I55" s="66"/>
      <c r="J55" s="66"/>
      <c r="K55" s="65"/>
      <c r="L55" s="65"/>
      <c r="M55" s="23" t="str">
        <f t="shared" ca="1" si="0"/>
        <v/>
      </c>
      <c r="O55" t="str">
        <f>'Combined Delivery Data'!B54</f>
        <v>RPT_02_Collector Payment Recap</v>
      </c>
      <c r="P55">
        <f t="shared" si="1"/>
        <v>0</v>
      </c>
      <c r="Q55">
        <f t="shared" si="2"/>
        <v>0</v>
      </c>
      <c r="R55" s="38" t="str">
        <f t="shared" si="3"/>
        <v/>
      </c>
      <c r="S55" t="str">
        <f t="shared" si="4"/>
        <v/>
      </c>
    </row>
    <row r="56" spans="1:19">
      <c r="A56" s="65"/>
      <c r="B56" s="66"/>
      <c r="C56" s="65" t="s">
        <v>148</v>
      </c>
      <c r="D56" s="65"/>
      <c r="E56" s="65"/>
      <c r="F56" s="65"/>
      <c r="G56" s="65" t="s">
        <v>61</v>
      </c>
      <c r="H56" s="66"/>
      <c r="I56" s="66"/>
      <c r="J56" s="66"/>
      <c r="K56" s="65"/>
      <c r="L56" s="65"/>
      <c r="M56" s="23" t="str">
        <f t="shared" ca="1" si="0"/>
        <v/>
      </c>
      <c r="O56" t="str">
        <f>'Combined Delivery Data'!B55</f>
        <v>RPT_02_Incentive Management</v>
      </c>
      <c r="P56">
        <f t="shared" si="1"/>
        <v>0</v>
      </c>
      <c r="Q56">
        <f t="shared" si="2"/>
        <v>0</v>
      </c>
      <c r="R56" s="38" t="str">
        <f t="shared" si="3"/>
        <v/>
      </c>
      <c r="S56" t="str">
        <f t="shared" si="4"/>
        <v/>
      </c>
    </row>
    <row r="57" spans="1:19">
      <c r="A57" s="65"/>
      <c r="B57" s="66"/>
      <c r="C57" s="65" t="s">
        <v>148</v>
      </c>
      <c r="D57" s="65"/>
      <c r="E57" s="65"/>
      <c r="F57" s="65"/>
      <c r="G57" s="65" t="s">
        <v>61</v>
      </c>
      <c r="H57" s="66"/>
      <c r="I57" s="66"/>
      <c r="J57" s="66"/>
      <c r="K57" s="65"/>
      <c r="L57" s="65"/>
      <c r="M57" s="23" t="str">
        <f t="shared" ca="1" si="0"/>
        <v/>
      </c>
      <c r="O57" t="str">
        <f>'Combined Delivery Data'!B56</f>
        <v>RPT_02_UTC Report</v>
      </c>
      <c r="P57">
        <f t="shared" si="1"/>
        <v>0</v>
      </c>
      <c r="Q57">
        <f t="shared" si="2"/>
        <v>0</v>
      </c>
      <c r="R57" s="38" t="str">
        <f t="shared" si="3"/>
        <v/>
      </c>
      <c r="S57" t="str">
        <f t="shared" si="4"/>
        <v/>
      </c>
    </row>
    <row r="58" spans="1:19">
      <c r="A58" s="65"/>
      <c r="B58" s="66"/>
      <c r="C58" s="65" t="s">
        <v>148</v>
      </c>
      <c r="D58" s="65"/>
      <c r="E58" s="65"/>
      <c r="F58" s="65"/>
      <c r="G58" s="65" t="s">
        <v>61</v>
      </c>
      <c r="H58" s="66"/>
      <c r="I58" s="66"/>
      <c r="J58" s="66"/>
      <c r="K58" s="65"/>
      <c r="L58" s="65"/>
      <c r="M58" s="23" t="str">
        <f t="shared" ca="1" si="0"/>
        <v/>
      </c>
      <c r="O58" t="str">
        <f>'Combined Delivery Data'!B57</f>
        <v>RPT_02_Adjacent Property Checks</v>
      </c>
      <c r="P58">
        <f t="shared" si="1"/>
        <v>0</v>
      </c>
      <c r="Q58">
        <f t="shared" si="2"/>
        <v>0</v>
      </c>
      <c r="R58" s="38" t="str">
        <f t="shared" si="3"/>
        <v/>
      </c>
      <c r="S58" t="str">
        <f t="shared" si="4"/>
        <v/>
      </c>
    </row>
    <row r="59" spans="1:19">
      <c r="A59" s="65"/>
      <c r="B59" s="66"/>
      <c r="C59" s="65" t="s">
        <v>148</v>
      </c>
      <c r="D59" s="65"/>
      <c r="E59" s="65"/>
      <c r="F59" s="65"/>
      <c r="G59" s="65" t="s">
        <v>61</v>
      </c>
      <c r="H59" s="66"/>
      <c r="I59" s="66"/>
      <c r="J59" s="66"/>
      <c r="K59" s="65"/>
      <c r="L59" s="65"/>
      <c r="M59" s="23" t="str">
        <f t="shared" ca="1" si="0"/>
        <v/>
      </c>
      <c r="O59" t="str">
        <f>'Combined Delivery Data'!B58</f>
        <v>RPT_02_High Bill Investigations</v>
      </c>
      <c r="P59">
        <f t="shared" si="1"/>
        <v>0</v>
      </c>
      <c r="Q59">
        <f t="shared" si="2"/>
        <v>0</v>
      </c>
      <c r="R59" s="38" t="str">
        <f t="shared" si="3"/>
        <v/>
      </c>
      <c r="S59" t="str">
        <f t="shared" si="4"/>
        <v/>
      </c>
    </row>
    <row r="60" spans="1:19">
      <c r="A60" s="65"/>
      <c r="B60" s="66"/>
      <c r="C60" s="65" t="s">
        <v>148</v>
      </c>
      <c r="D60" s="65"/>
      <c r="E60" s="65"/>
      <c r="F60" s="65"/>
      <c r="G60" s="65" t="s">
        <v>61</v>
      </c>
      <c r="H60" s="66"/>
      <c r="I60" s="66"/>
      <c r="J60" s="66"/>
      <c r="K60" s="65"/>
      <c r="L60" s="65"/>
      <c r="M60" s="23" t="str">
        <f t="shared" ca="1" si="0"/>
        <v/>
      </c>
      <c r="O60" t="str">
        <f>'Combined Delivery Data'!B59</f>
        <v>RPT_02_Emergency Order Type</v>
      </c>
      <c r="P60">
        <f t="shared" si="1"/>
        <v>0</v>
      </c>
      <c r="Q60">
        <f t="shared" si="2"/>
        <v>0</v>
      </c>
      <c r="R60" s="38" t="str">
        <f t="shared" si="3"/>
        <v/>
      </c>
      <c r="S60" t="str">
        <f t="shared" si="4"/>
        <v/>
      </c>
    </row>
    <row r="61" spans="1:19">
      <c r="A61" s="65"/>
      <c r="B61" s="66"/>
      <c r="C61" s="65" t="s">
        <v>148</v>
      </c>
      <c r="D61" s="65"/>
      <c r="E61" s="65"/>
      <c r="F61" s="65"/>
      <c r="G61" s="65" t="s">
        <v>61</v>
      </c>
      <c r="H61" s="66"/>
      <c r="I61" s="66"/>
      <c r="J61" s="66"/>
      <c r="K61" s="65"/>
      <c r="L61" s="65"/>
      <c r="M61" s="23" t="str">
        <f t="shared" ca="1" si="0"/>
        <v/>
      </c>
      <c r="O61" t="str">
        <f>'Combined Delivery Data'!B60</f>
        <v>RPT_02_Cut Out Curb Box</v>
      </c>
      <c r="P61">
        <f t="shared" si="1"/>
        <v>0</v>
      </c>
      <c r="Q61">
        <f t="shared" si="2"/>
        <v>0</v>
      </c>
      <c r="R61" s="38" t="str">
        <f t="shared" si="3"/>
        <v/>
      </c>
      <c r="S61" t="str">
        <f t="shared" si="4"/>
        <v/>
      </c>
    </row>
    <row r="62" spans="1:19">
      <c r="A62" s="65"/>
      <c r="B62" s="66"/>
      <c r="C62" s="65" t="s">
        <v>148</v>
      </c>
      <c r="D62" s="65"/>
      <c r="E62" s="65"/>
      <c r="F62" s="65"/>
      <c r="G62" s="65" t="s">
        <v>61</v>
      </c>
      <c r="H62" s="66"/>
      <c r="I62" s="66"/>
      <c r="J62" s="66"/>
      <c r="K62" s="65"/>
      <c r="L62" s="65"/>
      <c r="M62" s="23" t="str">
        <f t="shared" ca="1" si="0"/>
        <v/>
      </c>
      <c r="O62" t="str">
        <f>'Combined Delivery Data'!B61</f>
        <v>RPT_02_New York Incident</v>
      </c>
      <c r="P62">
        <f t="shared" si="1"/>
        <v>0</v>
      </c>
      <c r="Q62">
        <f t="shared" si="2"/>
        <v>0</v>
      </c>
      <c r="R62" s="38" t="str">
        <f t="shared" si="3"/>
        <v/>
      </c>
      <c r="S62" t="str">
        <f t="shared" si="4"/>
        <v/>
      </c>
    </row>
    <row r="63" spans="1:19">
      <c r="A63" s="65"/>
      <c r="B63" s="66"/>
      <c r="C63" s="65" t="s">
        <v>148</v>
      </c>
      <c r="D63" s="65"/>
      <c r="E63" s="65"/>
      <c r="F63" s="65"/>
      <c r="G63" s="65" t="s">
        <v>61</v>
      </c>
      <c r="H63" s="66"/>
      <c r="I63" s="66"/>
      <c r="J63" s="66"/>
      <c r="K63" s="65"/>
      <c r="L63" s="65"/>
      <c r="M63" s="23" t="str">
        <f t="shared" ca="1" si="0"/>
        <v/>
      </c>
      <c r="O63" t="str">
        <f>'Combined Delivery Data'!B62</f>
        <v>RPT_02_Outside Repeat Leaks</v>
      </c>
      <c r="P63">
        <f t="shared" si="1"/>
        <v>0</v>
      </c>
      <c r="Q63">
        <f t="shared" si="2"/>
        <v>0</v>
      </c>
      <c r="R63" s="38" t="str">
        <f t="shared" si="3"/>
        <v/>
      </c>
      <c r="S63" t="str">
        <f t="shared" si="4"/>
        <v/>
      </c>
    </row>
    <row r="64" spans="1:19">
      <c r="A64" s="65"/>
      <c r="B64" s="66"/>
      <c r="C64" s="65" t="s">
        <v>148</v>
      </c>
      <c r="D64" s="65"/>
      <c r="E64" s="65"/>
      <c r="F64" s="65"/>
      <c r="G64" s="65" t="s">
        <v>61</v>
      </c>
      <c r="H64" s="66"/>
      <c r="I64" s="66"/>
      <c r="J64" s="66"/>
      <c r="K64" s="65"/>
      <c r="L64" s="65"/>
      <c r="M64" s="23" t="str">
        <f t="shared" ca="1" si="0"/>
        <v/>
      </c>
      <c r="O64" t="str">
        <f>'Combined Delivery Data'!B63</f>
        <v>RPT_02_Meter Change</v>
      </c>
      <c r="P64">
        <f t="shared" si="1"/>
        <v>0</v>
      </c>
      <c r="Q64">
        <f t="shared" si="2"/>
        <v>0</v>
      </c>
      <c r="R64" s="38" t="str">
        <f t="shared" si="3"/>
        <v/>
      </c>
      <c r="S64" t="str">
        <f t="shared" si="4"/>
        <v/>
      </c>
    </row>
    <row r="65" spans="1:19">
      <c r="A65" s="65"/>
      <c r="B65" s="66"/>
      <c r="C65" s="65" t="s">
        <v>148</v>
      </c>
      <c r="D65" s="65"/>
      <c r="E65" s="65"/>
      <c r="F65" s="65"/>
      <c r="G65" s="65" t="s">
        <v>61</v>
      </c>
      <c r="H65" s="66"/>
      <c r="I65" s="66"/>
      <c r="J65" s="66"/>
      <c r="K65" s="65"/>
      <c r="L65" s="65"/>
      <c r="M65" s="23" t="str">
        <f t="shared" ca="1" si="0"/>
        <v/>
      </c>
      <c r="O65" t="str">
        <f>'Combined Delivery Data'!B64</f>
        <v>RPT_02_Field Order Value</v>
      </c>
      <c r="P65">
        <f t="shared" si="1"/>
        <v>0</v>
      </c>
      <c r="Q65">
        <f t="shared" si="2"/>
        <v>0</v>
      </c>
      <c r="R65" s="38" t="str">
        <f t="shared" si="3"/>
        <v/>
      </c>
      <c r="S65" t="str">
        <f t="shared" si="4"/>
        <v/>
      </c>
    </row>
    <row r="66" spans="1:19">
      <c r="A66" s="65"/>
      <c r="B66" s="66"/>
      <c r="C66" s="65" t="s">
        <v>148</v>
      </c>
      <c r="D66" s="65"/>
      <c r="E66" s="65"/>
      <c r="F66" s="65"/>
      <c r="G66" s="65" t="s">
        <v>61</v>
      </c>
      <c r="H66" s="66"/>
      <c r="I66" s="66"/>
      <c r="J66" s="66"/>
      <c r="K66" s="65"/>
      <c r="L66" s="65"/>
      <c r="M66" s="23" t="str">
        <f t="shared" ca="1" si="0"/>
        <v/>
      </c>
      <c r="O66" t="str">
        <f>'Combined Delivery Data'!B65</f>
        <v>RPT_02_Same Day Reconnect</v>
      </c>
      <c r="P66">
        <f t="shared" si="1"/>
        <v>0</v>
      </c>
      <c r="Q66">
        <f t="shared" si="2"/>
        <v>0</v>
      </c>
      <c r="R66" s="38" t="str">
        <f t="shared" si="3"/>
        <v/>
      </c>
      <c r="S66" t="str">
        <f t="shared" si="4"/>
        <v/>
      </c>
    </row>
    <row r="67" spans="1:19">
      <c r="A67" s="65"/>
      <c r="B67" s="66"/>
      <c r="C67" s="65" t="s">
        <v>148</v>
      </c>
      <c r="D67" s="65"/>
      <c r="E67" s="65"/>
      <c r="F67" s="65"/>
      <c r="G67" s="65" t="s">
        <v>61</v>
      </c>
      <c r="H67" s="66"/>
      <c r="I67" s="66"/>
      <c r="J67" s="66"/>
      <c r="K67" s="65"/>
      <c r="L67" s="65"/>
      <c r="M67" s="2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O67" t="str">
        <f>'Combined Delivery Data'!B66</f>
        <v>RPT_02_Site Specific Analysis</v>
      </c>
      <c r="P67">
        <f t="shared" ref="P67:P130" si="6">IF($O67="","",COUNTIF($A$3:$A$500,$O67))</f>
        <v>0</v>
      </c>
      <c r="Q67">
        <f t="shared" ref="Q67:Q130" si="7">IF($O67="","",SUMPRODUCT(($A$3:$A$500=$O67)*($G$3:$G$500&lt;&gt;"Yes")*($G$3:$G$500&lt;&gt;"Did not pass re-test")))</f>
        <v>0</v>
      </c>
      <c r="R67" s="38" t="str">
        <f t="shared" ref="R67:R130" si="8">IF($O67="","",IF(SUMPRODUCT(MAX(($A$3:$A$500=$O67)*ROW($A$3:$A$500)))=0,"",INDEX($B:$B,SUMPRODUCT(MAX(($A$3:$A$500=$O67)*ROW($A$3:$A$500))))))</f>
        <v/>
      </c>
      <c r="S67" t="str">
        <f t="shared" ref="S67:S130" si="9">IF($O67="","",IF(SUMPRODUCT(MAX(($A$3:$A$500=$O67)*ROW($A$3:$A$500)))=0,"",INDEX($C:$C,SUMPRODUCT(MAX(($A$3:$A$500=$O67)*ROW($A$3:$A$500))))&amp;" -&gt; "&amp;INDEX($D:$D,SUMPRODUCT(MAX(($A$3:$A$500=$O67)*ROW($A$3:$A$500))))))</f>
        <v/>
      </c>
    </row>
    <row r="68" spans="1:19">
      <c r="A68" s="65"/>
      <c r="B68" s="66"/>
      <c r="C68" s="65" t="s">
        <v>148</v>
      </c>
      <c r="D68" s="65"/>
      <c r="E68" s="65"/>
      <c r="F68" s="65"/>
      <c r="G68" s="65" t="s">
        <v>61</v>
      </c>
      <c r="H68" s="66"/>
      <c r="I68" s="66"/>
      <c r="J68" s="66"/>
      <c r="K68" s="65"/>
      <c r="L68" s="65"/>
      <c r="M68" s="23" t="str">
        <f t="shared" ca="1" si="5"/>
        <v/>
      </c>
      <c r="O68" t="str">
        <f>'Combined Delivery Data'!B67</f>
        <v>RPT_02_PSC Wire Down Response Time</v>
      </c>
      <c r="P68">
        <f t="shared" si="6"/>
        <v>0</v>
      </c>
      <c r="Q68">
        <f t="shared" si="7"/>
        <v>0</v>
      </c>
      <c r="R68" s="38" t="str">
        <f t="shared" si="8"/>
        <v/>
      </c>
      <c r="S68" t="str">
        <f t="shared" si="9"/>
        <v/>
      </c>
    </row>
    <row r="69" spans="1:19">
      <c r="A69" s="65"/>
      <c r="B69" s="66"/>
      <c r="C69" s="65" t="s">
        <v>148</v>
      </c>
      <c r="D69" s="65"/>
      <c r="E69" s="65"/>
      <c r="F69" s="65"/>
      <c r="G69" s="65" t="s">
        <v>61</v>
      </c>
      <c r="H69" s="66"/>
      <c r="I69" s="66"/>
      <c r="J69" s="66"/>
      <c r="K69" s="65"/>
      <c r="L69" s="65"/>
      <c r="M69" s="23" t="str">
        <f t="shared" ca="1" si="5"/>
        <v/>
      </c>
      <c r="O69" t="str">
        <f>'Combined Delivery Data'!B68</f>
        <v>RPT_02_Hazardous Above Ground Leak</v>
      </c>
      <c r="P69">
        <f t="shared" si="6"/>
        <v>0</v>
      </c>
      <c r="Q69">
        <f t="shared" si="7"/>
        <v>0</v>
      </c>
      <c r="R69" s="38" t="str">
        <f t="shared" si="8"/>
        <v/>
      </c>
      <c r="S69" t="str">
        <f t="shared" si="9"/>
        <v/>
      </c>
    </row>
    <row r="70" spans="1:19">
      <c r="A70" s="65"/>
      <c r="B70" s="66"/>
      <c r="C70" s="65" t="s">
        <v>148</v>
      </c>
      <c r="D70" s="65"/>
      <c r="E70" s="65"/>
      <c r="F70" s="65"/>
      <c r="G70" s="65" t="s">
        <v>61</v>
      </c>
      <c r="H70" s="66"/>
      <c r="I70" s="66"/>
      <c r="J70" s="66"/>
      <c r="K70" s="65"/>
      <c r="L70" s="65"/>
      <c r="M70" s="23" t="str">
        <f t="shared" ca="1" si="5"/>
        <v/>
      </c>
      <c r="O70" t="str">
        <f>'Combined Delivery Data'!B69</f>
        <v>RPT_02_AMI Contractor Completion Report</v>
      </c>
      <c r="P70">
        <f t="shared" si="6"/>
        <v>0</v>
      </c>
      <c r="Q70">
        <f t="shared" si="7"/>
        <v>0</v>
      </c>
      <c r="R70" s="38" t="str">
        <f t="shared" si="8"/>
        <v/>
      </c>
      <c r="S70" t="str">
        <f t="shared" si="9"/>
        <v/>
      </c>
    </row>
    <row r="71" spans="1:19">
      <c r="A71" s="65"/>
      <c r="B71" s="66"/>
      <c r="C71" s="65" t="s">
        <v>148</v>
      </c>
      <c r="D71" s="65"/>
      <c r="E71" s="65"/>
      <c r="F71" s="65"/>
      <c r="G71" s="65" t="s">
        <v>61</v>
      </c>
      <c r="H71" s="66"/>
      <c r="I71" s="66"/>
      <c r="J71" s="66"/>
      <c r="K71" s="65"/>
      <c r="L71" s="65"/>
      <c r="M71" s="23" t="str">
        <f t="shared" ca="1" si="5"/>
        <v/>
      </c>
      <c r="O71" t="str">
        <f>'Combined Delivery Data'!B70</f>
        <v>RPT_02_Collection Statistic</v>
      </c>
      <c r="P71">
        <f t="shared" si="6"/>
        <v>0</v>
      </c>
      <c r="Q71">
        <f t="shared" si="7"/>
        <v>0</v>
      </c>
      <c r="R71" s="38" t="str">
        <f t="shared" si="8"/>
        <v/>
      </c>
      <c r="S71" t="str">
        <f t="shared" si="9"/>
        <v/>
      </c>
    </row>
    <row r="72" spans="1:19">
      <c r="A72" s="65"/>
      <c r="B72" s="66"/>
      <c r="C72" s="65" t="s">
        <v>148</v>
      </c>
      <c r="D72" s="65"/>
      <c r="E72" s="65"/>
      <c r="F72" s="65"/>
      <c r="G72" s="65" t="s">
        <v>61</v>
      </c>
      <c r="H72" s="66"/>
      <c r="I72" s="66"/>
      <c r="J72" s="66"/>
      <c r="K72" s="65"/>
      <c r="L72" s="65"/>
      <c r="M72" s="23" t="str">
        <f t="shared" ca="1" si="5"/>
        <v/>
      </c>
      <c r="O72" t="str">
        <f>'Combined Delivery Data'!B71</f>
        <v>RPT_02_First and Last Job</v>
      </c>
      <c r="P72">
        <f t="shared" si="6"/>
        <v>0</v>
      </c>
      <c r="Q72">
        <f t="shared" si="7"/>
        <v>0</v>
      </c>
      <c r="R72" s="38" t="str">
        <f t="shared" si="8"/>
        <v/>
      </c>
      <c r="S72" t="str">
        <f t="shared" si="9"/>
        <v/>
      </c>
    </row>
    <row r="73" spans="1:19">
      <c r="A73" s="65"/>
      <c r="B73" s="66"/>
      <c r="C73" s="65" t="s">
        <v>148</v>
      </c>
      <c r="D73" s="65"/>
      <c r="E73" s="65"/>
      <c r="F73" s="65"/>
      <c r="G73" s="65" t="s">
        <v>61</v>
      </c>
      <c r="H73" s="66"/>
      <c r="I73" s="66"/>
      <c r="J73" s="66"/>
      <c r="K73" s="65"/>
      <c r="L73" s="65"/>
      <c r="M73" s="23" t="str">
        <f t="shared" ca="1" si="5"/>
        <v/>
      </c>
      <c r="O73" t="str">
        <f>'Combined Delivery Data'!B72</f>
        <v>RPT_02_Rate Class</v>
      </c>
      <c r="P73">
        <f t="shared" si="6"/>
        <v>0</v>
      </c>
      <c r="Q73">
        <f t="shared" si="7"/>
        <v>0</v>
      </c>
      <c r="R73" s="38" t="str">
        <f t="shared" si="8"/>
        <v/>
      </c>
      <c r="S73" t="str">
        <f t="shared" si="9"/>
        <v/>
      </c>
    </row>
    <row r="74" spans="1:19">
      <c r="A74" s="65"/>
      <c r="B74" s="66"/>
      <c r="C74" s="65" t="s">
        <v>148</v>
      </c>
      <c r="D74" s="65"/>
      <c r="E74" s="65"/>
      <c r="F74" s="65"/>
      <c r="G74" s="65" t="s">
        <v>61</v>
      </c>
      <c r="H74" s="66"/>
      <c r="I74" s="66"/>
      <c r="J74" s="66"/>
      <c r="K74" s="65"/>
      <c r="L74" s="65"/>
      <c r="M74" s="23" t="str">
        <f t="shared" ca="1" si="5"/>
        <v/>
      </c>
      <c r="O74" t="str">
        <f>'Combined Delivery Data'!B73</f>
        <v>RPT_04_Leak Recheck Times</v>
      </c>
      <c r="P74">
        <f t="shared" si="6"/>
        <v>0</v>
      </c>
      <c r="Q74">
        <f t="shared" si="7"/>
        <v>0</v>
      </c>
      <c r="R74" s="38" t="str">
        <f t="shared" si="8"/>
        <v/>
      </c>
      <c r="S74" t="str">
        <f t="shared" si="9"/>
        <v/>
      </c>
    </row>
    <row r="75" spans="1:19">
      <c r="A75" s="65"/>
      <c r="B75" s="66"/>
      <c r="C75" s="65" t="s">
        <v>148</v>
      </c>
      <c r="D75" s="65"/>
      <c r="E75" s="65"/>
      <c r="F75" s="65"/>
      <c r="G75" s="65" t="s">
        <v>61</v>
      </c>
      <c r="H75" s="66"/>
      <c r="I75" s="66"/>
      <c r="J75" s="66"/>
      <c r="K75" s="65"/>
      <c r="L75" s="65"/>
      <c r="M75" s="23" t="str">
        <f t="shared" ca="1" si="5"/>
        <v/>
      </c>
      <c r="O75">
        <f>'Combined Delivery Data'!B74</f>
        <v>0</v>
      </c>
      <c r="P75">
        <f t="shared" si="6"/>
        <v>0</v>
      </c>
      <c r="Q75">
        <f t="shared" si="7"/>
        <v>497</v>
      </c>
      <c r="R75" s="38">
        <f t="shared" si="8"/>
        <v>0</v>
      </c>
      <c r="S75" t="str">
        <f t="shared" si="9"/>
        <v xml:space="preserve"> -&gt; </v>
      </c>
    </row>
    <row r="76" spans="1:19">
      <c r="A76" s="65"/>
      <c r="B76" s="66"/>
      <c r="C76" s="65" t="s">
        <v>148</v>
      </c>
      <c r="D76" s="65"/>
      <c r="E76" s="65"/>
      <c r="F76" s="65"/>
      <c r="G76" s="65" t="s">
        <v>61</v>
      </c>
      <c r="H76" s="66"/>
      <c r="I76" s="66"/>
      <c r="J76" s="66"/>
      <c r="K76" s="65"/>
      <c r="L76" s="65"/>
      <c r="M76" s="23" t="str">
        <f t="shared" ca="1" si="5"/>
        <v/>
      </c>
      <c r="O76">
        <f>'Combined Delivery Data'!B75</f>
        <v>0</v>
      </c>
      <c r="P76">
        <f t="shared" si="6"/>
        <v>0</v>
      </c>
      <c r="Q76">
        <f t="shared" si="7"/>
        <v>497</v>
      </c>
      <c r="R76" s="38">
        <f t="shared" si="8"/>
        <v>0</v>
      </c>
      <c r="S76" t="str">
        <f t="shared" si="9"/>
        <v xml:space="preserve"> -&gt; </v>
      </c>
    </row>
    <row r="77" spans="1:19">
      <c r="A77" s="65"/>
      <c r="B77" s="66"/>
      <c r="C77" s="65" t="s">
        <v>148</v>
      </c>
      <c r="D77" s="65"/>
      <c r="E77" s="65"/>
      <c r="F77" s="65"/>
      <c r="G77" s="65" t="s">
        <v>61</v>
      </c>
      <c r="H77" s="66"/>
      <c r="I77" s="66"/>
      <c r="J77" s="66"/>
      <c r="K77" s="65"/>
      <c r="L77" s="65"/>
      <c r="M77" s="23" t="str">
        <f t="shared" ca="1" si="5"/>
        <v/>
      </c>
      <c r="O77">
        <f>'Combined Delivery Data'!B76</f>
        <v>0</v>
      </c>
      <c r="P77">
        <f t="shared" si="6"/>
        <v>0</v>
      </c>
      <c r="Q77">
        <f t="shared" si="7"/>
        <v>497</v>
      </c>
      <c r="R77" s="38">
        <f t="shared" si="8"/>
        <v>0</v>
      </c>
      <c r="S77" t="str">
        <f t="shared" si="9"/>
        <v xml:space="preserve"> -&gt; </v>
      </c>
    </row>
    <row r="78" spans="1:19">
      <c r="A78" s="65"/>
      <c r="B78" s="66"/>
      <c r="C78" s="65" t="s">
        <v>148</v>
      </c>
      <c r="D78" s="65"/>
      <c r="E78" s="65"/>
      <c r="F78" s="65"/>
      <c r="G78" s="65" t="s">
        <v>61</v>
      </c>
      <c r="H78" s="66"/>
      <c r="I78" s="66"/>
      <c r="J78" s="66"/>
      <c r="K78" s="65"/>
      <c r="L78" s="65"/>
      <c r="M78" s="23" t="str">
        <f t="shared" ca="1" si="5"/>
        <v/>
      </c>
      <c r="O78">
        <f>'Combined Delivery Data'!B77</f>
        <v>0</v>
      </c>
      <c r="P78">
        <f t="shared" si="6"/>
        <v>0</v>
      </c>
      <c r="Q78">
        <f t="shared" si="7"/>
        <v>497</v>
      </c>
      <c r="R78" s="38">
        <f t="shared" si="8"/>
        <v>0</v>
      </c>
      <c r="S78" t="str">
        <f t="shared" si="9"/>
        <v xml:space="preserve"> -&gt; </v>
      </c>
    </row>
    <row r="79" spans="1:19">
      <c r="A79" s="65"/>
      <c r="B79" s="66"/>
      <c r="C79" s="65" t="s">
        <v>148</v>
      </c>
      <c r="D79" s="65"/>
      <c r="E79" s="65"/>
      <c r="F79" s="65"/>
      <c r="G79" s="65" t="s">
        <v>61</v>
      </c>
      <c r="H79" s="66"/>
      <c r="I79" s="66"/>
      <c r="J79" s="66"/>
      <c r="K79" s="65"/>
      <c r="L79" s="65"/>
      <c r="M79" s="23" t="str">
        <f t="shared" ca="1" si="5"/>
        <v/>
      </c>
      <c r="O79">
        <f>'Combined Delivery Data'!B78</f>
        <v>0</v>
      </c>
      <c r="P79">
        <f t="shared" si="6"/>
        <v>0</v>
      </c>
      <c r="Q79">
        <f t="shared" si="7"/>
        <v>497</v>
      </c>
      <c r="R79" s="38">
        <f t="shared" si="8"/>
        <v>0</v>
      </c>
      <c r="S79" t="str">
        <f t="shared" si="9"/>
        <v xml:space="preserve"> -&gt; </v>
      </c>
    </row>
    <row r="80" spans="1:19">
      <c r="A80" s="65"/>
      <c r="B80" s="66"/>
      <c r="C80" s="65" t="s">
        <v>148</v>
      </c>
      <c r="D80" s="65"/>
      <c r="E80" s="65"/>
      <c r="F80" s="65"/>
      <c r="G80" s="65" t="s">
        <v>61</v>
      </c>
      <c r="H80" s="66"/>
      <c r="I80" s="66"/>
      <c r="J80" s="66"/>
      <c r="K80" s="65"/>
      <c r="L80" s="65"/>
      <c r="M80" s="23" t="str">
        <f t="shared" ca="1" si="5"/>
        <v/>
      </c>
      <c r="O80">
        <f>'Combined Delivery Data'!B79</f>
        <v>0</v>
      </c>
      <c r="P80">
        <f t="shared" si="6"/>
        <v>0</v>
      </c>
      <c r="Q80">
        <f t="shared" si="7"/>
        <v>497</v>
      </c>
      <c r="R80" s="38">
        <f t="shared" si="8"/>
        <v>0</v>
      </c>
      <c r="S80" t="str">
        <f t="shared" si="9"/>
        <v xml:space="preserve"> -&gt; </v>
      </c>
    </row>
    <row r="81" spans="1:19">
      <c r="A81" s="65"/>
      <c r="B81" s="66"/>
      <c r="C81" s="65" t="s">
        <v>148</v>
      </c>
      <c r="D81" s="65"/>
      <c r="E81" s="65"/>
      <c r="F81" s="65"/>
      <c r="G81" s="65" t="s">
        <v>61</v>
      </c>
      <c r="H81" s="66"/>
      <c r="I81" s="66"/>
      <c r="J81" s="66"/>
      <c r="K81" s="65"/>
      <c r="L81" s="65"/>
      <c r="M81" s="23" t="str">
        <f t="shared" ca="1" si="5"/>
        <v/>
      </c>
      <c r="O81">
        <f>'Combined Delivery Data'!B80</f>
        <v>0</v>
      </c>
      <c r="P81">
        <f t="shared" si="6"/>
        <v>0</v>
      </c>
      <c r="Q81">
        <f t="shared" si="7"/>
        <v>497</v>
      </c>
      <c r="R81" s="38">
        <f t="shared" si="8"/>
        <v>0</v>
      </c>
      <c r="S81" t="str">
        <f t="shared" si="9"/>
        <v xml:space="preserve"> -&gt; </v>
      </c>
    </row>
    <row r="82" spans="1:19">
      <c r="A82" s="65"/>
      <c r="B82" s="66"/>
      <c r="C82" s="65" t="s">
        <v>148</v>
      </c>
      <c r="D82" s="65"/>
      <c r="E82" s="65"/>
      <c r="F82" s="65"/>
      <c r="G82" s="65" t="s">
        <v>61</v>
      </c>
      <c r="H82" s="66"/>
      <c r="I82" s="66"/>
      <c r="J82" s="66"/>
      <c r="K82" s="65"/>
      <c r="L82" s="65"/>
      <c r="M82" s="23" t="str">
        <f t="shared" ca="1" si="5"/>
        <v/>
      </c>
      <c r="O82">
        <f>'Combined Delivery Data'!B81</f>
        <v>0</v>
      </c>
      <c r="P82">
        <f t="shared" si="6"/>
        <v>0</v>
      </c>
      <c r="Q82">
        <f t="shared" si="7"/>
        <v>497</v>
      </c>
      <c r="R82" s="38">
        <f t="shared" si="8"/>
        <v>0</v>
      </c>
      <c r="S82" t="str">
        <f t="shared" si="9"/>
        <v xml:space="preserve"> -&gt; </v>
      </c>
    </row>
    <row r="83" spans="1:19">
      <c r="A83" s="65"/>
      <c r="B83" s="66"/>
      <c r="C83" s="65" t="s">
        <v>148</v>
      </c>
      <c r="D83" s="65"/>
      <c r="E83" s="65"/>
      <c r="F83" s="65"/>
      <c r="G83" s="65" t="s">
        <v>61</v>
      </c>
      <c r="H83" s="66"/>
      <c r="I83" s="66"/>
      <c r="J83" s="66"/>
      <c r="K83" s="65"/>
      <c r="L83" s="65"/>
      <c r="M83" s="23" t="str">
        <f t="shared" ca="1" si="5"/>
        <v/>
      </c>
      <c r="O83">
        <f>'Combined Delivery Data'!B82</f>
        <v>0</v>
      </c>
      <c r="P83">
        <f t="shared" si="6"/>
        <v>0</v>
      </c>
      <c r="Q83">
        <f t="shared" si="7"/>
        <v>497</v>
      </c>
      <c r="R83" s="38">
        <f t="shared" si="8"/>
        <v>0</v>
      </c>
      <c r="S83" t="str">
        <f t="shared" si="9"/>
        <v xml:space="preserve"> -&gt; </v>
      </c>
    </row>
    <row r="84" spans="1:19">
      <c r="A84" s="65"/>
      <c r="B84" s="66"/>
      <c r="C84" s="65" t="s">
        <v>148</v>
      </c>
      <c r="D84" s="65"/>
      <c r="E84" s="65"/>
      <c r="F84" s="65"/>
      <c r="G84" s="65" t="s">
        <v>61</v>
      </c>
      <c r="H84" s="66"/>
      <c r="I84" s="66"/>
      <c r="J84" s="66"/>
      <c r="K84" s="65"/>
      <c r="L84" s="65"/>
      <c r="M84" s="23" t="str">
        <f t="shared" ca="1" si="5"/>
        <v/>
      </c>
      <c r="O84">
        <f>'Combined Delivery Data'!B83</f>
        <v>0</v>
      </c>
      <c r="P84">
        <f t="shared" si="6"/>
        <v>0</v>
      </c>
      <c r="Q84">
        <f t="shared" si="7"/>
        <v>497</v>
      </c>
      <c r="R84" s="38">
        <f t="shared" si="8"/>
        <v>0</v>
      </c>
      <c r="S84" t="str">
        <f t="shared" si="9"/>
        <v xml:space="preserve"> -&gt; </v>
      </c>
    </row>
    <row r="85" spans="1:19">
      <c r="A85" s="65"/>
      <c r="B85" s="66"/>
      <c r="C85" s="65" t="s">
        <v>148</v>
      </c>
      <c r="D85" s="65"/>
      <c r="E85" s="65"/>
      <c r="F85" s="65"/>
      <c r="G85" s="65" t="s">
        <v>61</v>
      </c>
      <c r="H85" s="66"/>
      <c r="I85" s="66"/>
      <c r="J85" s="66"/>
      <c r="K85" s="65"/>
      <c r="L85" s="65"/>
      <c r="M85" s="23" t="str">
        <f t="shared" ca="1" si="5"/>
        <v/>
      </c>
      <c r="O85">
        <f>'Combined Delivery Data'!B84</f>
        <v>0</v>
      </c>
      <c r="P85">
        <f t="shared" si="6"/>
        <v>0</v>
      </c>
      <c r="Q85">
        <f t="shared" si="7"/>
        <v>497</v>
      </c>
      <c r="R85" s="38">
        <f t="shared" si="8"/>
        <v>0</v>
      </c>
      <c r="S85" t="str">
        <f t="shared" si="9"/>
        <v xml:space="preserve"> -&gt; </v>
      </c>
    </row>
    <row r="86" spans="1:19">
      <c r="A86" s="65"/>
      <c r="B86" s="66"/>
      <c r="C86" s="65" t="s">
        <v>148</v>
      </c>
      <c r="D86" s="65"/>
      <c r="E86" s="65"/>
      <c r="F86" s="65"/>
      <c r="G86" s="65" t="s">
        <v>61</v>
      </c>
      <c r="H86" s="66"/>
      <c r="I86" s="66"/>
      <c r="J86" s="66"/>
      <c r="K86" s="65"/>
      <c r="L86" s="65"/>
      <c r="M86" s="23" t="str">
        <f t="shared" ca="1" si="5"/>
        <v/>
      </c>
      <c r="O86">
        <f>'Combined Delivery Data'!B85</f>
        <v>0</v>
      </c>
      <c r="P86">
        <f t="shared" si="6"/>
        <v>0</v>
      </c>
      <c r="Q86">
        <f t="shared" si="7"/>
        <v>497</v>
      </c>
      <c r="R86" s="38">
        <f t="shared" si="8"/>
        <v>0</v>
      </c>
      <c r="S86" t="str">
        <f t="shared" si="9"/>
        <v xml:space="preserve"> -&gt; </v>
      </c>
    </row>
    <row r="87" spans="1:19">
      <c r="A87" s="65"/>
      <c r="B87" s="66"/>
      <c r="C87" s="65" t="s">
        <v>148</v>
      </c>
      <c r="D87" s="65"/>
      <c r="E87" s="65"/>
      <c r="F87" s="65"/>
      <c r="G87" s="65" t="s">
        <v>61</v>
      </c>
      <c r="H87" s="66"/>
      <c r="I87" s="66"/>
      <c r="J87" s="66"/>
      <c r="K87" s="65"/>
      <c r="L87" s="65"/>
      <c r="M87" s="23" t="str">
        <f t="shared" ca="1" si="5"/>
        <v/>
      </c>
      <c r="O87">
        <f>'Combined Delivery Data'!B86</f>
        <v>0</v>
      </c>
      <c r="P87">
        <f t="shared" si="6"/>
        <v>0</v>
      </c>
      <c r="Q87">
        <f t="shared" si="7"/>
        <v>497</v>
      </c>
      <c r="R87" s="38">
        <f t="shared" si="8"/>
        <v>0</v>
      </c>
      <c r="S87" t="str">
        <f t="shared" si="9"/>
        <v xml:space="preserve"> -&gt; </v>
      </c>
    </row>
    <row r="88" spans="1:19">
      <c r="A88" s="65"/>
      <c r="B88" s="66"/>
      <c r="C88" s="65" t="s">
        <v>148</v>
      </c>
      <c r="D88" s="65"/>
      <c r="E88" s="65"/>
      <c r="F88" s="65"/>
      <c r="G88" s="65" t="s">
        <v>61</v>
      </c>
      <c r="H88" s="66"/>
      <c r="I88" s="66"/>
      <c r="J88" s="66"/>
      <c r="K88" s="65"/>
      <c r="L88" s="65"/>
      <c r="M88" s="23" t="str">
        <f t="shared" ca="1" si="5"/>
        <v/>
      </c>
      <c r="O88">
        <f>'Combined Delivery Data'!B87</f>
        <v>0</v>
      </c>
      <c r="P88">
        <f t="shared" si="6"/>
        <v>0</v>
      </c>
      <c r="Q88">
        <f t="shared" si="7"/>
        <v>497</v>
      </c>
      <c r="R88" s="38">
        <f t="shared" si="8"/>
        <v>0</v>
      </c>
      <c r="S88" t="str">
        <f t="shared" si="9"/>
        <v xml:space="preserve"> -&gt; </v>
      </c>
    </row>
    <row r="89" spans="1:19">
      <c r="A89" s="65"/>
      <c r="B89" s="66"/>
      <c r="C89" s="65" t="s">
        <v>148</v>
      </c>
      <c r="D89" s="65"/>
      <c r="E89" s="65"/>
      <c r="F89" s="65"/>
      <c r="G89" s="65" t="s">
        <v>61</v>
      </c>
      <c r="H89" s="66"/>
      <c r="I89" s="66"/>
      <c r="J89" s="66"/>
      <c r="K89" s="65"/>
      <c r="L89" s="65"/>
      <c r="M89" s="23" t="str">
        <f t="shared" ca="1" si="5"/>
        <v/>
      </c>
      <c r="O89">
        <f>'Combined Delivery Data'!B88</f>
        <v>0</v>
      </c>
      <c r="P89">
        <f t="shared" si="6"/>
        <v>0</v>
      </c>
      <c r="Q89">
        <f t="shared" si="7"/>
        <v>497</v>
      </c>
      <c r="R89" s="38">
        <f t="shared" si="8"/>
        <v>0</v>
      </c>
      <c r="S89" t="str">
        <f t="shared" si="9"/>
        <v xml:space="preserve"> -&gt; </v>
      </c>
    </row>
    <row r="90" spans="1:19">
      <c r="A90" s="65"/>
      <c r="B90" s="66"/>
      <c r="C90" s="65" t="s">
        <v>148</v>
      </c>
      <c r="D90" s="65"/>
      <c r="E90" s="65"/>
      <c r="F90" s="65"/>
      <c r="G90" s="65" t="s">
        <v>61</v>
      </c>
      <c r="H90" s="66"/>
      <c r="I90" s="66"/>
      <c r="J90" s="66"/>
      <c r="K90" s="65"/>
      <c r="L90" s="65"/>
      <c r="M90" s="23" t="str">
        <f t="shared" ca="1" si="5"/>
        <v/>
      </c>
      <c r="O90">
        <f>'Combined Delivery Data'!B89</f>
        <v>0</v>
      </c>
      <c r="P90">
        <f t="shared" si="6"/>
        <v>0</v>
      </c>
      <c r="Q90">
        <f t="shared" si="7"/>
        <v>497</v>
      </c>
      <c r="R90" s="38">
        <f t="shared" si="8"/>
        <v>0</v>
      </c>
      <c r="S90" t="str">
        <f t="shared" si="9"/>
        <v xml:space="preserve"> -&gt; </v>
      </c>
    </row>
    <row r="91" spans="1:19">
      <c r="A91" s="65"/>
      <c r="B91" s="66"/>
      <c r="C91" s="65" t="s">
        <v>148</v>
      </c>
      <c r="D91" s="65"/>
      <c r="E91" s="65"/>
      <c r="F91" s="65"/>
      <c r="G91" s="65" t="s">
        <v>61</v>
      </c>
      <c r="H91" s="66"/>
      <c r="I91" s="66"/>
      <c r="J91" s="66"/>
      <c r="K91" s="65"/>
      <c r="L91" s="65"/>
      <c r="M91" s="23" t="str">
        <f t="shared" ca="1" si="5"/>
        <v/>
      </c>
      <c r="O91">
        <f>'Combined Delivery Data'!B90</f>
        <v>0</v>
      </c>
      <c r="P91">
        <f t="shared" si="6"/>
        <v>0</v>
      </c>
      <c r="Q91">
        <f t="shared" si="7"/>
        <v>497</v>
      </c>
      <c r="R91" s="38">
        <f t="shared" si="8"/>
        <v>0</v>
      </c>
      <c r="S91" t="str">
        <f t="shared" si="9"/>
        <v xml:space="preserve"> -&gt; </v>
      </c>
    </row>
    <row r="92" spans="1:19">
      <c r="A92" s="65"/>
      <c r="B92" s="66"/>
      <c r="C92" s="65" t="s">
        <v>148</v>
      </c>
      <c r="D92" s="65"/>
      <c r="E92" s="65"/>
      <c r="F92" s="65"/>
      <c r="G92" s="65" t="s">
        <v>61</v>
      </c>
      <c r="H92" s="66"/>
      <c r="I92" s="66"/>
      <c r="J92" s="66"/>
      <c r="K92" s="65"/>
      <c r="L92" s="65"/>
      <c r="M92" s="23" t="str">
        <f t="shared" ca="1" si="5"/>
        <v/>
      </c>
      <c r="O92">
        <f>'Combined Delivery Data'!B91</f>
        <v>0</v>
      </c>
      <c r="P92">
        <f t="shared" si="6"/>
        <v>0</v>
      </c>
      <c r="Q92">
        <f t="shared" si="7"/>
        <v>497</v>
      </c>
      <c r="R92" s="38">
        <f t="shared" si="8"/>
        <v>0</v>
      </c>
      <c r="S92" t="str">
        <f t="shared" si="9"/>
        <v xml:space="preserve"> -&gt; </v>
      </c>
    </row>
    <row r="93" spans="1:19">
      <c r="A93" s="65"/>
      <c r="B93" s="66"/>
      <c r="C93" s="65" t="s">
        <v>148</v>
      </c>
      <c r="D93" s="65"/>
      <c r="E93" s="65"/>
      <c r="F93" s="65"/>
      <c r="G93" s="65" t="s">
        <v>61</v>
      </c>
      <c r="H93" s="66"/>
      <c r="I93" s="66"/>
      <c r="J93" s="66"/>
      <c r="K93" s="65"/>
      <c r="L93" s="65"/>
      <c r="M93" s="23" t="str">
        <f t="shared" ca="1" si="5"/>
        <v/>
      </c>
      <c r="O93">
        <f>'Combined Delivery Data'!B92</f>
        <v>0</v>
      </c>
      <c r="P93">
        <f t="shared" si="6"/>
        <v>0</v>
      </c>
      <c r="Q93">
        <f t="shared" si="7"/>
        <v>497</v>
      </c>
      <c r="R93" s="38">
        <f t="shared" si="8"/>
        <v>0</v>
      </c>
      <c r="S93" t="str">
        <f t="shared" si="9"/>
        <v xml:space="preserve"> -&gt; </v>
      </c>
    </row>
    <row r="94" spans="1:19">
      <c r="A94" s="65"/>
      <c r="B94" s="66"/>
      <c r="C94" s="65" t="s">
        <v>148</v>
      </c>
      <c r="D94" s="65"/>
      <c r="E94" s="65"/>
      <c r="F94" s="65"/>
      <c r="G94" s="65" t="s">
        <v>61</v>
      </c>
      <c r="H94" s="66"/>
      <c r="I94" s="66"/>
      <c r="J94" s="66"/>
      <c r="K94" s="65"/>
      <c r="L94" s="65"/>
      <c r="M94" s="23" t="str">
        <f t="shared" ca="1" si="5"/>
        <v/>
      </c>
      <c r="O94">
        <f>'Combined Delivery Data'!B93</f>
        <v>0</v>
      </c>
      <c r="P94">
        <f t="shared" si="6"/>
        <v>0</v>
      </c>
      <c r="Q94">
        <f t="shared" si="7"/>
        <v>497</v>
      </c>
      <c r="R94" s="38">
        <f t="shared" si="8"/>
        <v>0</v>
      </c>
      <c r="S94" t="str">
        <f t="shared" si="9"/>
        <v xml:space="preserve"> -&gt; </v>
      </c>
    </row>
    <row r="95" spans="1:19">
      <c r="A95" s="65"/>
      <c r="B95" s="66"/>
      <c r="C95" s="65" t="s">
        <v>148</v>
      </c>
      <c r="D95" s="65"/>
      <c r="E95" s="65"/>
      <c r="F95" s="65"/>
      <c r="G95" s="65" t="s">
        <v>61</v>
      </c>
      <c r="H95" s="66"/>
      <c r="I95" s="66"/>
      <c r="J95" s="66"/>
      <c r="K95" s="65"/>
      <c r="L95" s="65"/>
      <c r="M95" s="23" t="str">
        <f t="shared" ca="1" si="5"/>
        <v/>
      </c>
      <c r="O95">
        <f>'Combined Delivery Data'!B94</f>
        <v>0</v>
      </c>
      <c r="P95">
        <f t="shared" si="6"/>
        <v>0</v>
      </c>
      <c r="Q95">
        <f t="shared" si="7"/>
        <v>497</v>
      </c>
      <c r="R95" s="38">
        <f t="shared" si="8"/>
        <v>0</v>
      </c>
      <c r="S95" t="str">
        <f t="shared" si="9"/>
        <v xml:space="preserve"> -&gt; </v>
      </c>
    </row>
    <row r="96" spans="1:19">
      <c r="A96" s="65"/>
      <c r="B96" s="66"/>
      <c r="C96" s="65" t="s">
        <v>148</v>
      </c>
      <c r="D96" s="65"/>
      <c r="E96" s="65"/>
      <c r="F96" s="65"/>
      <c r="G96" s="65" t="s">
        <v>61</v>
      </c>
      <c r="H96" s="66"/>
      <c r="I96" s="66"/>
      <c r="J96" s="66"/>
      <c r="K96" s="65"/>
      <c r="L96" s="65"/>
      <c r="M96" s="23" t="str">
        <f t="shared" ca="1" si="5"/>
        <v/>
      </c>
      <c r="O96">
        <f>'Combined Delivery Data'!B95</f>
        <v>0</v>
      </c>
      <c r="P96">
        <f t="shared" si="6"/>
        <v>0</v>
      </c>
      <c r="Q96">
        <f t="shared" si="7"/>
        <v>497</v>
      </c>
      <c r="R96" s="38">
        <f t="shared" si="8"/>
        <v>0</v>
      </c>
      <c r="S96" t="str">
        <f t="shared" si="9"/>
        <v xml:space="preserve"> -&gt; </v>
      </c>
    </row>
    <row r="97" spans="1:19">
      <c r="A97" s="65"/>
      <c r="B97" s="66"/>
      <c r="C97" s="65" t="s">
        <v>148</v>
      </c>
      <c r="D97" s="65"/>
      <c r="E97" s="65"/>
      <c r="F97" s="65"/>
      <c r="G97" s="65" t="s">
        <v>61</v>
      </c>
      <c r="H97" s="66"/>
      <c r="I97" s="66"/>
      <c r="J97" s="66"/>
      <c r="K97" s="65"/>
      <c r="L97" s="65"/>
      <c r="M97" s="23" t="str">
        <f t="shared" ca="1" si="5"/>
        <v/>
      </c>
      <c r="O97">
        <f>'Combined Delivery Data'!B96</f>
        <v>0</v>
      </c>
      <c r="P97">
        <f t="shared" si="6"/>
        <v>0</v>
      </c>
      <c r="Q97">
        <f t="shared" si="7"/>
        <v>497</v>
      </c>
      <c r="R97" s="38">
        <f t="shared" si="8"/>
        <v>0</v>
      </c>
      <c r="S97" t="str">
        <f t="shared" si="9"/>
        <v xml:space="preserve"> -&gt; </v>
      </c>
    </row>
    <row r="98" spans="1:19">
      <c r="A98" s="65"/>
      <c r="B98" s="66"/>
      <c r="C98" s="65" t="s">
        <v>148</v>
      </c>
      <c r="D98" s="65"/>
      <c r="E98" s="65"/>
      <c r="F98" s="65"/>
      <c r="G98" s="65" t="s">
        <v>61</v>
      </c>
      <c r="H98" s="66"/>
      <c r="I98" s="66"/>
      <c r="J98" s="66"/>
      <c r="K98" s="65"/>
      <c r="L98" s="65"/>
      <c r="M98" s="23" t="str">
        <f t="shared" ca="1" si="5"/>
        <v/>
      </c>
      <c r="O98">
        <f>'Combined Delivery Data'!B97</f>
        <v>0</v>
      </c>
      <c r="P98">
        <f t="shared" si="6"/>
        <v>0</v>
      </c>
      <c r="Q98">
        <f t="shared" si="7"/>
        <v>497</v>
      </c>
      <c r="R98" s="38">
        <f t="shared" si="8"/>
        <v>0</v>
      </c>
      <c r="S98" t="str">
        <f t="shared" si="9"/>
        <v xml:space="preserve"> -&gt; </v>
      </c>
    </row>
    <row r="99" spans="1:19">
      <c r="A99" s="65"/>
      <c r="B99" s="66"/>
      <c r="C99" s="65" t="s">
        <v>148</v>
      </c>
      <c r="D99" s="65"/>
      <c r="E99" s="65"/>
      <c r="F99" s="65"/>
      <c r="G99" s="65" t="s">
        <v>61</v>
      </c>
      <c r="H99" s="66"/>
      <c r="I99" s="66"/>
      <c r="J99" s="66"/>
      <c r="K99" s="65"/>
      <c r="L99" s="65"/>
      <c r="M99" s="23" t="str">
        <f t="shared" ca="1" si="5"/>
        <v/>
      </c>
      <c r="O99">
        <f>'Combined Delivery Data'!B98</f>
        <v>0</v>
      </c>
      <c r="P99">
        <f t="shared" si="6"/>
        <v>0</v>
      </c>
      <c r="Q99">
        <f t="shared" si="7"/>
        <v>497</v>
      </c>
      <c r="R99" s="38">
        <f t="shared" si="8"/>
        <v>0</v>
      </c>
      <c r="S99" t="str">
        <f t="shared" si="9"/>
        <v xml:space="preserve"> -&gt; </v>
      </c>
    </row>
    <row r="100" spans="1:19">
      <c r="A100" s="65"/>
      <c r="B100" s="66"/>
      <c r="C100" s="65" t="s">
        <v>148</v>
      </c>
      <c r="D100" s="65"/>
      <c r="E100" s="65"/>
      <c r="F100" s="65"/>
      <c r="G100" s="65" t="s">
        <v>61</v>
      </c>
      <c r="H100" s="66"/>
      <c r="I100" s="66"/>
      <c r="J100" s="66"/>
      <c r="K100" s="65"/>
      <c r="L100" s="65"/>
      <c r="M100" s="23" t="str">
        <f t="shared" ca="1" si="5"/>
        <v/>
      </c>
      <c r="O100">
        <f>'Combined Delivery Data'!B99</f>
        <v>0</v>
      </c>
      <c r="P100">
        <f t="shared" si="6"/>
        <v>0</v>
      </c>
      <c r="Q100">
        <f t="shared" si="7"/>
        <v>497</v>
      </c>
      <c r="R100" s="38">
        <f t="shared" si="8"/>
        <v>0</v>
      </c>
      <c r="S100" t="str">
        <f t="shared" si="9"/>
        <v xml:space="preserve"> -&gt; </v>
      </c>
    </row>
    <row r="101" spans="1:19">
      <c r="A101" s="65"/>
      <c r="B101" s="66"/>
      <c r="C101" s="65" t="s">
        <v>148</v>
      </c>
      <c r="D101" s="65"/>
      <c r="E101" s="65"/>
      <c r="F101" s="65"/>
      <c r="G101" s="65" t="s">
        <v>61</v>
      </c>
      <c r="H101" s="66"/>
      <c r="I101" s="66"/>
      <c r="J101" s="66"/>
      <c r="K101" s="65"/>
      <c r="L101" s="65"/>
      <c r="M101" s="23" t="str">
        <f t="shared" ca="1" si="5"/>
        <v/>
      </c>
      <c r="O101">
        <f>'Combined Delivery Data'!B100</f>
        <v>0</v>
      </c>
      <c r="P101">
        <f t="shared" si="6"/>
        <v>0</v>
      </c>
      <c r="Q101">
        <f t="shared" si="7"/>
        <v>497</v>
      </c>
      <c r="R101" s="38">
        <f t="shared" si="8"/>
        <v>0</v>
      </c>
      <c r="S101" t="str">
        <f t="shared" si="9"/>
        <v xml:space="preserve"> -&gt; </v>
      </c>
    </row>
    <row r="102" spans="1:19">
      <c r="A102" s="65"/>
      <c r="B102" s="66"/>
      <c r="C102" s="65" t="s">
        <v>148</v>
      </c>
      <c r="D102" s="65"/>
      <c r="E102" s="65"/>
      <c r="F102" s="65"/>
      <c r="G102" s="65" t="s">
        <v>61</v>
      </c>
      <c r="H102" s="66"/>
      <c r="I102" s="66"/>
      <c r="J102" s="66"/>
      <c r="K102" s="65"/>
      <c r="L102" s="65"/>
      <c r="M102" s="23" t="str">
        <f t="shared" ca="1" si="5"/>
        <v/>
      </c>
      <c r="O102">
        <f>'Combined Delivery Data'!B101</f>
        <v>0</v>
      </c>
      <c r="P102">
        <f t="shared" si="6"/>
        <v>0</v>
      </c>
      <c r="Q102">
        <f t="shared" si="7"/>
        <v>497</v>
      </c>
      <c r="R102" s="38">
        <f t="shared" si="8"/>
        <v>0</v>
      </c>
      <c r="S102" t="str">
        <f t="shared" si="9"/>
        <v xml:space="preserve"> -&gt; </v>
      </c>
    </row>
    <row r="103" spans="1:19">
      <c r="A103" s="65"/>
      <c r="B103" s="66"/>
      <c r="C103" s="65" t="s">
        <v>148</v>
      </c>
      <c r="D103" s="65"/>
      <c r="E103" s="65"/>
      <c r="F103" s="65"/>
      <c r="G103" s="65" t="s">
        <v>61</v>
      </c>
      <c r="H103" s="66"/>
      <c r="I103" s="66"/>
      <c r="J103" s="66"/>
      <c r="K103" s="65"/>
      <c r="L103" s="65"/>
      <c r="M103" s="23" t="str">
        <f t="shared" ca="1" si="5"/>
        <v/>
      </c>
      <c r="O103">
        <f>'Combined Delivery Data'!B102</f>
        <v>0</v>
      </c>
      <c r="P103">
        <f t="shared" si="6"/>
        <v>0</v>
      </c>
      <c r="Q103">
        <f t="shared" si="7"/>
        <v>497</v>
      </c>
      <c r="R103" s="38">
        <f t="shared" si="8"/>
        <v>0</v>
      </c>
      <c r="S103" t="str">
        <f t="shared" si="9"/>
        <v xml:space="preserve"> -&gt; </v>
      </c>
    </row>
    <row r="104" spans="1:19">
      <c r="A104" s="65"/>
      <c r="B104" s="66"/>
      <c r="C104" s="65" t="s">
        <v>148</v>
      </c>
      <c r="D104" s="65"/>
      <c r="E104" s="65"/>
      <c r="F104" s="65"/>
      <c r="G104" s="65" t="s">
        <v>61</v>
      </c>
      <c r="H104" s="66"/>
      <c r="I104" s="66"/>
      <c r="J104" s="66"/>
      <c r="K104" s="65"/>
      <c r="L104" s="65"/>
      <c r="M104" s="23" t="str">
        <f t="shared" ca="1" si="5"/>
        <v/>
      </c>
      <c r="O104">
        <f>'Combined Delivery Data'!B103</f>
        <v>0</v>
      </c>
      <c r="P104">
        <f t="shared" si="6"/>
        <v>0</v>
      </c>
      <c r="Q104">
        <f t="shared" si="7"/>
        <v>497</v>
      </c>
      <c r="R104" s="38">
        <f t="shared" si="8"/>
        <v>0</v>
      </c>
      <c r="S104" t="str">
        <f t="shared" si="9"/>
        <v xml:space="preserve"> -&gt; </v>
      </c>
    </row>
    <row r="105" spans="1:19">
      <c r="A105" s="65"/>
      <c r="B105" s="66"/>
      <c r="C105" s="65" t="s">
        <v>148</v>
      </c>
      <c r="D105" s="65"/>
      <c r="E105" s="65"/>
      <c r="F105" s="65"/>
      <c r="G105" s="65" t="s">
        <v>61</v>
      </c>
      <c r="H105" s="66"/>
      <c r="I105" s="66"/>
      <c r="J105" s="66"/>
      <c r="K105" s="65"/>
      <c r="L105" s="65"/>
      <c r="M105" s="23" t="str">
        <f t="shared" ca="1" si="5"/>
        <v/>
      </c>
      <c r="O105">
        <f>'Combined Delivery Data'!B104</f>
        <v>0</v>
      </c>
      <c r="P105">
        <f t="shared" si="6"/>
        <v>0</v>
      </c>
      <c r="Q105">
        <f t="shared" si="7"/>
        <v>497</v>
      </c>
      <c r="R105" s="38">
        <f t="shared" si="8"/>
        <v>0</v>
      </c>
      <c r="S105" t="str">
        <f t="shared" si="9"/>
        <v xml:space="preserve"> -&gt; </v>
      </c>
    </row>
    <row r="106" spans="1:19">
      <c r="A106" s="65"/>
      <c r="B106" s="66"/>
      <c r="C106" s="65" t="s">
        <v>148</v>
      </c>
      <c r="D106" s="65"/>
      <c r="E106" s="65"/>
      <c r="F106" s="65"/>
      <c r="G106" s="65" t="s">
        <v>61</v>
      </c>
      <c r="H106" s="66"/>
      <c r="I106" s="66"/>
      <c r="J106" s="66"/>
      <c r="K106" s="65"/>
      <c r="L106" s="65"/>
      <c r="M106" s="23" t="str">
        <f t="shared" ca="1" si="5"/>
        <v/>
      </c>
      <c r="O106">
        <f>'Combined Delivery Data'!B105</f>
        <v>0</v>
      </c>
      <c r="P106">
        <f t="shared" si="6"/>
        <v>0</v>
      </c>
      <c r="Q106">
        <f t="shared" si="7"/>
        <v>497</v>
      </c>
      <c r="R106" s="38">
        <f t="shared" si="8"/>
        <v>0</v>
      </c>
      <c r="S106" t="str">
        <f t="shared" si="9"/>
        <v xml:space="preserve"> -&gt; </v>
      </c>
    </row>
    <row r="107" spans="1:19">
      <c r="A107" s="65"/>
      <c r="B107" s="66"/>
      <c r="C107" s="65" t="s">
        <v>148</v>
      </c>
      <c r="D107" s="65"/>
      <c r="E107" s="65"/>
      <c r="F107" s="65"/>
      <c r="G107" s="65" t="s">
        <v>61</v>
      </c>
      <c r="H107" s="66"/>
      <c r="I107" s="66"/>
      <c r="J107" s="66"/>
      <c r="K107" s="65"/>
      <c r="L107" s="65"/>
      <c r="M107" s="23" t="str">
        <f t="shared" ca="1" si="5"/>
        <v/>
      </c>
      <c r="O107">
        <f>'Combined Delivery Data'!B106</f>
        <v>0</v>
      </c>
      <c r="P107">
        <f t="shared" si="6"/>
        <v>0</v>
      </c>
      <c r="Q107">
        <f t="shared" si="7"/>
        <v>497</v>
      </c>
      <c r="R107" s="38">
        <f t="shared" si="8"/>
        <v>0</v>
      </c>
      <c r="S107" t="str">
        <f t="shared" si="9"/>
        <v xml:space="preserve"> -&gt; </v>
      </c>
    </row>
    <row r="108" spans="1:19">
      <c r="A108" s="65"/>
      <c r="B108" s="66"/>
      <c r="C108" s="65" t="s">
        <v>148</v>
      </c>
      <c r="D108" s="65"/>
      <c r="E108" s="65"/>
      <c r="F108" s="65"/>
      <c r="G108" s="65" t="s">
        <v>61</v>
      </c>
      <c r="H108" s="66"/>
      <c r="I108" s="66"/>
      <c r="J108" s="66"/>
      <c r="K108" s="65"/>
      <c r="L108" s="65"/>
      <c r="M108" s="23" t="str">
        <f t="shared" ca="1" si="5"/>
        <v/>
      </c>
      <c r="O108">
        <f>'Combined Delivery Data'!B107</f>
        <v>0</v>
      </c>
      <c r="P108">
        <f t="shared" si="6"/>
        <v>0</v>
      </c>
      <c r="Q108">
        <f t="shared" si="7"/>
        <v>497</v>
      </c>
      <c r="R108" s="38">
        <f t="shared" si="8"/>
        <v>0</v>
      </c>
      <c r="S108" t="str">
        <f t="shared" si="9"/>
        <v xml:space="preserve"> -&gt; </v>
      </c>
    </row>
    <row r="109" spans="1:19">
      <c r="A109" s="65"/>
      <c r="B109" s="66"/>
      <c r="C109" s="65" t="s">
        <v>148</v>
      </c>
      <c r="D109" s="65"/>
      <c r="E109" s="65"/>
      <c r="F109" s="65"/>
      <c r="G109" s="65" t="s">
        <v>61</v>
      </c>
      <c r="H109" s="66"/>
      <c r="I109" s="66"/>
      <c r="J109" s="66"/>
      <c r="K109" s="65"/>
      <c r="L109" s="65"/>
      <c r="M109" s="23" t="str">
        <f t="shared" ca="1" si="5"/>
        <v/>
      </c>
      <c r="O109">
        <f>'Combined Delivery Data'!B108</f>
        <v>0</v>
      </c>
      <c r="P109">
        <f t="shared" si="6"/>
        <v>0</v>
      </c>
      <c r="Q109">
        <f t="shared" si="7"/>
        <v>497</v>
      </c>
      <c r="R109" s="38">
        <f t="shared" si="8"/>
        <v>0</v>
      </c>
      <c r="S109" t="str">
        <f t="shared" si="9"/>
        <v xml:space="preserve"> -&gt; </v>
      </c>
    </row>
    <row r="110" spans="1:19">
      <c r="A110" s="65"/>
      <c r="B110" s="66"/>
      <c r="C110" s="65" t="s">
        <v>148</v>
      </c>
      <c r="D110" s="65"/>
      <c r="E110" s="65"/>
      <c r="F110" s="65"/>
      <c r="G110" s="65" t="s">
        <v>61</v>
      </c>
      <c r="H110" s="66"/>
      <c r="I110" s="66"/>
      <c r="J110" s="66"/>
      <c r="K110" s="65"/>
      <c r="L110" s="65"/>
      <c r="M110" s="23" t="str">
        <f t="shared" ca="1" si="5"/>
        <v/>
      </c>
      <c r="O110">
        <f>'Combined Delivery Data'!B109</f>
        <v>0</v>
      </c>
      <c r="P110">
        <f t="shared" si="6"/>
        <v>0</v>
      </c>
      <c r="Q110">
        <f t="shared" si="7"/>
        <v>497</v>
      </c>
      <c r="R110" s="38">
        <f t="shared" si="8"/>
        <v>0</v>
      </c>
      <c r="S110" t="str">
        <f t="shared" si="9"/>
        <v xml:space="preserve"> -&gt; </v>
      </c>
    </row>
    <row r="111" spans="1:19">
      <c r="A111" s="65"/>
      <c r="B111" s="66"/>
      <c r="C111" s="65" t="s">
        <v>148</v>
      </c>
      <c r="D111" s="65"/>
      <c r="E111" s="65"/>
      <c r="F111" s="65"/>
      <c r="G111" s="65" t="s">
        <v>61</v>
      </c>
      <c r="H111" s="66"/>
      <c r="I111" s="66"/>
      <c r="J111" s="66"/>
      <c r="K111" s="65"/>
      <c r="L111" s="65"/>
      <c r="M111" s="23" t="str">
        <f t="shared" ca="1" si="5"/>
        <v/>
      </c>
      <c r="O111">
        <f>'Combined Delivery Data'!B110</f>
        <v>0</v>
      </c>
      <c r="P111">
        <f t="shared" si="6"/>
        <v>0</v>
      </c>
      <c r="Q111">
        <f t="shared" si="7"/>
        <v>497</v>
      </c>
      <c r="R111" s="38">
        <f t="shared" si="8"/>
        <v>0</v>
      </c>
      <c r="S111" t="str">
        <f t="shared" si="9"/>
        <v xml:space="preserve"> -&gt; </v>
      </c>
    </row>
    <row r="112" spans="1:19">
      <c r="A112" s="65"/>
      <c r="B112" s="66"/>
      <c r="C112" s="65" t="s">
        <v>148</v>
      </c>
      <c r="D112" s="65"/>
      <c r="E112" s="65"/>
      <c r="F112" s="65"/>
      <c r="G112" s="65" t="s">
        <v>61</v>
      </c>
      <c r="H112" s="66"/>
      <c r="I112" s="66"/>
      <c r="J112" s="66"/>
      <c r="K112" s="65"/>
      <c r="L112" s="65"/>
      <c r="M112" s="23" t="str">
        <f t="shared" ca="1" si="5"/>
        <v/>
      </c>
      <c r="O112">
        <f>'Combined Delivery Data'!B111</f>
        <v>0</v>
      </c>
      <c r="P112">
        <f t="shared" si="6"/>
        <v>0</v>
      </c>
      <c r="Q112">
        <f t="shared" si="7"/>
        <v>497</v>
      </c>
      <c r="R112" s="38">
        <f t="shared" si="8"/>
        <v>0</v>
      </c>
      <c r="S112" t="str">
        <f t="shared" si="9"/>
        <v xml:space="preserve"> -&gt; </v>
      </c>
    </row>
    <row r="113" spans="1:19">
      <c r="A113" s="65"/>
      <c r="B113" s="66"/>
      <c r="C113" s="65" t="s">
        <v>148</v>
      </c>
      <c r="D113" s="65"/>
      <c r="E113" s="65"/>
      <c r="F113" s="65"/>
      <c r="G113" s="65" t="s">
        <v>61</v>
      </c>
      <c r="H113" s="66"/>
      <c r="I113" s="66"/>
      <c r="J113" s="66"/>
      <c r="K113" s="65"/>
      <c r="L113" s="65"/>
      <c r="M113" s="23" t="str">
        <f t="shared" ca="1" si="5"/>
        <v/>
      </c>
      <c r="O113">
        <f>'Combined Delivery Data'!B112</f>
        <v>0</v>
      </c>
      <c r="P113">
        <f t="shared" si="6"/>
        <v>0</v>
      </c>
      <c r="Q113">
        <f t="shared" si="7"/>
        <v>497</v>
      </c>
      <c r="R113" s="38">
        <f t="shared" si="8"/>
        <v>0</v>
      </c>
      <c r="S113" t="str">
        <f t="shared" si="9"/>
        <v xml:space="preserve"> -&gt; </v>
      </c>
    </row>
    <row r="114" spans="1:19">
      <c r="A114" s="65"/>
      <c r="B114" s="66"/>
      <c r="C114" s="65" t="s">
        <v>148</v>
      </c>
      <c r="D114" s="65"/>
      <c r="E114" s="65"/>
      <c r="F114" s="65"/>
      <c r="G114" s="65" t="s">
        <v>61</v>
      </c>
      <c r="H114" s="66"/>
      <c r="I114" s="66"/>
      <c r="J114" s="66"/>
      <c r="K114" s="65"/>
      <c r="L114" s="65"/>
      <c r="M114" s="23" t="str">
        <f t="shared" ca="1" si="5"/>
        <v/>
      </c>
      <c r="O114">
        <f>'Combined Delivery Data'!B113</f>
        <v>0</v>
      </c>
      <c r="P114">
        <f t="shared" si="6"/>
        <v>0</v>
      </c>
      <c r="Q114">
        <f t="shared" si="7"/>
        <v>497</v>
      </c>
      <c r="R114" s="38">
        <f t="shared" si="8"/>
        <v>0</v>
      </c>
      <c r="S114" t="str">
        <f t="shared" si="9"/>
        <v xml:space="preserve"> -&gt; </v>
      </c>
    </row>
    <row r="115" spans="1:19">
      <c r="A115" s="65"/>
      <c r="B115" s="66"/>
      <c r="C115" s="65" t="s">
        <v>148</v>
      </c>
      <c r="D115" s="65"/>
      <c r="E115" s="65"/>
      <c r="F115" s="65"/>
      <c r="G115" s="65" t="s">
        <v>61</v>
      </c>
      <c r="H115" s="66"/>
      <c r="I115" s="66"/>
      <c r="J115" s="66"/>
      <c r="K115" s="65"/>
      <c r="L115" s="65"/>
      <c r="M115" s="23" t="str">
        <f t="shared" ca="1" si="5"/>
        <v/>
      </c>
      <c r="O115">
        <f>'Combined Delivery Data'!B114</f>
        <v>0</v>
      </c>
      <c r="P115">
        <f t="shared" si="6"/>
        <v>0</v>
      </c>
      <c r="Q115">
        <f t="shared" si="7"/>
        <v>497</v>
      </c>
      <c r="R115" s="38">
        <f t="shared" si="8"/>
        <v>0</v>
      </c>
      <c r="S115" t="str">
        <f t="shared" si="9"/>
        <v xml:space="preserve"> -&gt; </v>
      </c>
    </row>
    <row r="116" spans="1:19">
      <c r="A116" s="65"/>
      <c r="B116" s="66"/>
      <c r="C116" s="65" t="s">
        <v>148</v>
      </c>
      <c r="D116" s="65"/>
      <c r="E116" s="65"/>
      <c r="F116" s="65"/>
      <c r="G116" s="65" t="s">
        <v>61</v>
      </c>
      <c r="H116" s="66"/>
      <c r="I116" s="66"/>
      <c r="J116" s="66"/>
      <c r="K116" s="65"/>
      <c r="L116" s="65"/>
      <c r="M116" s="23" t="str">
        <f t="shared" ca="1" si="5"/>
        <v/>
      </c>
      <c r="O116">
        <f>'Combined Delivery Data'!B115</f>
        <v>0</v>
      </c>
      <c r="P116">
        <f t="shared" si="6"/>
        <v>0</v>
      </c>
      <c r="Q116">
        <f t="shared" si="7"/>
        <v>497</v>
      </c>
      <c r="R116" s="38">
        <f t="shared" si="8"/>
        <v>0</v>
      </c>
      <c r="S116" t="str">
        <f t="shared" si="9"/>
        <v xml:space="preserve"> -&gt; </v>
      </c>
    </row>
    <row r="117" spans="1:19">
      <c r="A117" s="65"/>
      <c r="B117" s="66"/>
      <c r="C117" s="65" t="s">
        <v>148</v>
      </c>
      <c r="D117" s="65"/>
      <c r="E117" s="65"/>
      <c r="F117" s="65"/>
      <c r="G117" s="65" t="s">
        <v>61</v>
      </c>
      <c r="H117" s="66"/>
      <c r="I117" s="66"/>
      <c r="J117" s="66"/>
      <c r="K117" s="65"/>
      <c r="L117" s="65"/>
      <c r="M117" s="23" t="str">
        <f t="shared" ca="1" si="5"/>
        <v/>
      </c>
      <c r="O117">
        <f>'Combined Delivery Data'!B116</f>
        <v>0</v>
      </c>
      <c r="P117">
        <f t="shared" si="6"/>
        <v>0</v>
      </c>
      <c r="Q117">
        <f t="shared" si="7"/>
        <v>497</v>
      </c>
      <c r="R117" s="38">
        <f t="shared" si="8"/>
        <v>0</v>
      </c>
      <c r="S117" t="str">
        <f t="shared" si="9"/>
        <v xml:space="preserve"> -&gt; </v>
      </c>
    </row>
    <row r="118" spans="1:19">
      <c r="A118" s="65"/>
      <c r="B118" s="66"/>
      <c r="C118" s="65" t="s">
        <v>148</v>
      </c>
      <c r="D118" s="65"/>
      <c r="E118" s="65"/>
      <c r="F118" s="65"/>
      <c r="G118" s="65" t="s">
        <v>61</v>
      </c>
      <c r="H118" s="66"/>
      <c r="I118" s="66"/>
      <c r="J118" s="66"/>
      <c r="K118" s="65"/>
      <c r="L118" s="65"/>
      <c r="M118" s="23" t="str">
        <f t="shared" ca="1" si="5"/>
        <v/>
      </c>
      <c r="O118">
        <f>'Combined Delivery Data'!B117</f>
        <v>0</v>
      </c>
      <c r="P118">
        <f t="shared" si="6"/>
        <v>0</v>
      </c>
      <c r="Q118">
        <f t="shared" si="7"/>
        <v>497</v>
      </c>
      <c r="R118" s="38">
        <f t="shared" si="8"/>
        <v>0</v>
      </c>
      <c r="S118" t="str">
        <f t="shared" si="9"/>
        <v xml:space="preserve"> -&gt; </v>
      </c>
    </row>
    <row r="119" spans="1:19">
      <c r="A119" s="65"/>
      <c r="B119" s="66"/>
      <c r="C119" s="65" t="s">
        <v>148</v>
      </c>
      <c r="D119" s="65"/>
      <c r="E119" s="65"/>
      <c r="F119" s="65"/>
      <c r="G119" s="65" t="s">
        <v>61</v>
      </c>
      <c r="H119" s="66"/>
      <c r="I119" s="66"/>
      <c r="J119" s="66"/>
      <c r="K119" s="65"/>
      <c r="L119" s="65"/>
      <c r="M119" s="23" t="str">
        <f t="shared" ca="1" si="5"/>
        <v/>
      </c>
      <c r="O119">
        <f>'Combined Delivery Data'!B118</f>
        <v>0</v>
      </c>
      <c r="P119">
        <f t="shared" si="6"/>
        <v>0</v>
      </c>
      <c r="Q119">
        <f t="shared" si="7"/>
        <v>497</v>
      </c>
      <c r="R119" s="38">
        <f t="shared" si="8"/>
        <v>0</v>
      </c>
      <c r="S119" t="str">
        <f t="shared" si="9"/>
        <v xml:space="preserve"> -&gt; </v>
      </c>
    </row>
    <row r="120" spans="1:19">
      <c r="A120" s="65"/>
      <c r="B120" s="66"/>
      <c r="C120" s="65" t="s">
        <v>148</v>
      </c>
      <c r="D120" s="65"/>
      <c r="E120" s="65"/>
      <c r="F120" s="65"/>
      <c r="G120" s="65" t="s">
        <v>61</v>
      </c>
      <c r="H120" s="66"/>
      <c r="I120" s="66"/>
      <c r="J120" s="66"/>
      <c r="K120" s="65"/>
      <c r="L120" s="65"/>
      <c r="M120" s="23" t="str">
        <f t="shared" ca="1" si="5"/>
        <v/>
      </c>
      <c r="O120">
        <f>'Combined Delivery Data'!B119</f>
        <v>0</v>
      </c>
      <c r="P120">
        <f t="shared" si="6"/>
        <v>0</v>
      </c>
      <c r="Q120">
        <f t="shared" si="7"/>
        <v>497</v>
      </c>
      <c r="R120" s="38">
        <f t="shared" si="8"/>
        <v>0</v>
      </c>
      <c r="S120" t="str">
        <f t="shared" si="9"/>
        <v xml:space="preserve"> -&gt; </v>
      </c>
    </row>
    <row r="121" spans="1:19">
      <c r="A121" s="65"/>
      <c r="B121" s="66"/>
      <c r="C121" s="65" t="s">
        <v>148</v>
      </c>
      <c r="D121" s="65"/>
      <c r="E121" s="65"/>
      <c r="F121" s="65"/>
      <c r="G121" s="65" t="s">
        <v>61</v>
      </c>
      <c r="H121" s="66"/>
      <c r="I121" s="66"/>
      <c r="J121" s="66"/>
      <c r="K121" s="65"/>
      <c r="L121" s="65"/>
      <c r="M121" s="23" t="str">
        <f t="shared" ca="1" si="5"/>
        <v/>
      </c>
      <c r="O121">
        <f>'Combined Delivery Data'!B120</f>
        <v>0</v>
      </c>
      <c r="P121">
        <f t="shared" si="6"/>
        <v>0</v>
      </c>
      <c r="Q121">
        <f t="shared" si="7"/>
        <v>497</v>
      </c>
      <c r="R121" s="38">
        <f t="shared" si="8"/>
        <v>0</v>
      </c>
      <c r="S121" t="str">
        <f t="shared" si="9"/>
        <v xml:space="preserve"> -&gt; </v>
      </c>
    </row>
    <row r="122" spans="1:19">
      <c r="A122" s="65"/>
      <c r="B122" s="66"/>
      <c r="C122" s="65" t="s">
        <v>148</v>
      </c>
      <c r="D122" s="65"/>
      <c r="E122" s="65"/>
      <c r="F122" s="65"/>
      <c r="G122" s="65" t="s">
        <v>61</v>
      </c>
      <c r="H122" s="66"/>
      <c r="I122" s="66"/>
      <c r="J122" s="66"/>
      <c r="K122" s="65"/>
      <c r="L122" s="65"/>
      <c r="M122" s="23" t="str">
        <f t="shared" ca="1" si="5"/>
        <v/>
      </c>
      <c r="O122">
        <f>'Combined Delivery Data'!B121</f>
        <v>0</v>
      </c>
      <c r="P122">
        <f t="shared" si="6"/>
        <v>0</v>
      </c>
      <c r="Q122">
        <f t="shared" si="7"/>
        <v>497</v>
      </c>
      <c r="R122" s="38">
        <f t="shared" si="8"/>
        <v>0</v>
      </c>
      <c r="S122" t="str">
        <f t="shared" si="9"/>
        <v xml:space="preserve"> -&gt; </v>
      </c>
    </row>
    <row r="123" spans="1:19">
      <c r="A123" s="65"/>
      <c r="B123" s="66"/>
      <c r="C123" s="65" t="s">
        <v>148</v>
      </c>
      <c r="D123" s="65"/>
      <c r="E123" s="65"/>
      <c r="F123" s="65"/>
      <c r="G123" s="65" t="s">
        <v>61</v>
      </c>
      <c r="H123" s="66"/>
      <c r="I123" s="66"/>
      <c r="J123" s="66"/>
      <c r="K123" s="65"/>
      <c r="L123" s="65"/>
      <c r="M123" s="23" t="str">
        <f t="shared" ca="1" si="5"/>
        <v/>
      </c>
      <c r="O123">
        <f>'Combined Delivery Data'!B122</f>
        <v>0</v>
      </c>
      <c r="P123">
        <f t="shared" si="6"/>
        <v>0</v>
      </c>
      <c r="Q123">
        <f t="shared" si="7"/>
        <v>497</v>
      </c>
      <c r="R123" s="38">
        <f t="shared" si="8"/>
        <v>0</v>
      </c>
      <c r="S123" t="str">
        <f t="shared" si="9"/>
        <v xml:space="preserve"> -&gt; </v>
      </c>
    </row>
    <row r="124" spans="1:19">
      <c r="A124" s="65"/>
      <c r="B124" s="66"/>
      <c r="C124" s="65" t="s">
        <v>148</v>
      </c>
      <c r="D124" s="65"/>
      <c r="E124" s="65"/>
      <c r="F124" s="65"/>
      <c r="G124" s="65" t="s">
        <v>61</v>
      </c>
      <c r="H124" s="66"/>
      <c r="I124" s="66"/>
      <c r="J124" s="66"/>
      <c r="K124" s="65"/>
      <c r="L124" s="65"/>
      <c r="M124" s="23" t="str">
        <f t="shared" ca="1" si="5"/>
        <v/>
      </c>
      <c r="O124">
        <f>'Combined Delivery Data'!B123</f>
        <v>0</v>
      </c>
      <c r="P124">
        <f t="shared" si="6"/>
        <v>0</v>
      </c>
      <c r="Q124">
        <f t="shared" si="7"/>
        <v>497</v>
      </c>
      <c r="R124" s="38">
        <f t="shared" si="8"/>
        <v>0</v>
      </c>
      <c r="S124" t="str">
        <f t="shared" si="9"/>
        <v xml:space="preserve"> -&gt; </v>
      </c>
    </row>
    <row r="125" spans="1:19">
      <c r="A125" s="65"/>
      <c r="B125" s="66"/>
      <c r="C125" s="65" t="s">
        <v>148</v>
      </c>
      <c r="D125" s="65"/>
      <c r="E125" s="65"/>
      <c r="F125" s="65"/>
      <c r="G125" s="65" t="s">
        <v>61</v>
      </c>
      <c r="H125" s="66"/>
      <c r="I125" s="66"/>
      <c r="J125" s="66"/>
      <c r="K125" s="65"/>
      <c r="L125" s="65"/>
      <c r="M125" s="23" t="str">
        <f t="shared" ca="1" si="5"/>
        <v/>
      </c>
      <c r="O125">
        <f>'Combined Delivery Data'!B124</f>
        <v>0</v>
      </c>
      <c r="P125">
        <f t="shared" si="6"/>
        <v>0</v>
      </c>
      <c r="Q125">
        <f t="shared" si="7"/>
        <v>497</v>
      </c>
      <c r="R125" s="38">
        <f t="shared" si="8"/>
        <v>0</v>
      </c>
      <c r="S125" t="str">
        <f t="shared" si="9"/>
        <v xml:space="preserve"> -&gt; </v>
      </c>
    </row>
    <row r="126" spans="1:19">
      <c r="A126" s="65"/>
      <c r="B126" s="66"/>
      <c r="C126" s="65" t="s">
        <v>148</v>
      </c>
      <c r="D126" s="65"/>
      <c r="E126" s="65"/>
      <c r="F126" s="65"/>
      <c r="G126" s="65" t="s">
        <v>61</v>
      </c>
      <c r="H126" s="66"/>
      <c r="I126" s="66"/>
      <c r="J126" s="66"/>
      <c r="K126" s="65"/>
      <c r="L126" s="65"/>
      <c r="M126" s="23" t="str">
        <f t="shared" ca="1" si="5"/>
        <v/>
      </c>
      <c r="O126">
        <f>'Combined Delivery Data'!B125</f>
        <v>0</v>
      </c>
      <c r="P126">
        <f t="shared" si="6"/>
        <v>0</v>
      </c>
      <c r="Q126">
        <f t="shared" si="7"/>
        <v>497</v>
      </c>
      <c r="R126" s="38">
        <f t="shared" si="8"/>
        <v>0</v>
      </c>
      <c r="S126" t="str">
        <f t="shared" si="9"/>
        <v xml:space="preserve"> -&gt; </v>
      </c>
    </row>
    <row r="127" spans="1:19">
      <c r="A127" s="65"/>
      <c r="B127" s="66"/>
      <c r="C127" s="65" t="s">
        <v>148</v>
      </c>
      <c r="D127" s="65"/>
      <c r="E127" s="65"/>
      <c r="F127" s="65"/>
      <c r="G127" s="65" t="s">
        <v>61</v>
      </c>
      <c r="H127" s="66"/>
      <c r="I127" s="66"/>
      <c r="J127" s="66"/>
      <c r="K127" s="65"/>
      <c r="L127" s="65"/>
      <c r="M127" s="23" t="str">
        <f t="shared" ca="1" si="5"/>
        <v/>
      </c>
      <c r="O127">
        <f>'Combined Delivery Data'!B126</f>
        <v>0</v>
      </c>
      <c r="P127">
        <f t="shared" si="6"/>
        <v>0</v>
      </c>
      <c r="Q127">
        <f t="shared" si="7"/>
        <v>497</v>
      </c>
      <c r="R127" s="38">
        <f t="shared" si="8"/>
        <v>0</v>
      </c>
      <c r="S127" t="str">
        <f t="shared" si="9"/>
        <v xml:space="preserve"> -&gt; </v>
      </c>
    </row>
    <row r="128" spans="1:19">
      <c r="A128" s="65"/>
      <c r="B128" s="66"/>
      <c r="C128" s="65" t="s">
        <v>148</v>
      </c>
      <c r="D128" s="65"/>
      <c r="E128" s="65"/>
      <c r="F128" s="65"/>
      <c r="G128" s="65" t="s">
        <v>61</v>
      </c>
      <c r="H128" s="66"/>
      <c r="I128" s="66"/>
      <c r="J128" s="66"/>
      <c r="K128" s="65"/>
      <c r="L128" s="65"/>
      <c r="M128" s="23" t="str">
        <f t="shared" ca="1" si="5"/>
        <v/>
      </c>
      <c r="O128">
        <f>'Combined Delivery Data'!B127</f>
        <v>0</v>
      </c>
      <c r="P128">
        <f t="shared" si="6"/>
        <v>0</v>
      </c>
      <c r="Q128">
        <f t="shared" si="7"/>
        <v>497</v>
      </c>
      <c r="R128" s="38">
        <f t="shared" si="8"/>
        <v>0</v>
      </c>
      <c r="S128" t="str">
        <f t="shared" si="9"/>
        <v xml:space="preserve"> -&gt; </v>
      </c>
    </row>
    <row r="129" spans="1:19">
      <c r="A129" s="65"/>
      <c r="B129" s="66"/>
      <c r="C129" s="65" t="s">
        <v>148</v>
      </c>
      <c r="D129" s="65"/>
      <c r="E129" s="65"/>
      <c r="F129" s="65"/>
      <c r="G129" s="65" t="s">
        <v>61</v>
      </c>
      <c r="H129" s="66"/>
      <c r="I129" s="66"/>
      <c r="J129" s="66"/>
      <c r="K129" s="65"/>
      <c r="L129" s="65"/>
      <c r="M129" s="23" t="str">
        <f t="shared" ca="1" si="5"/>
        <v/>
      </c>
      <c r="O129">
        <f>'Combined Delivery Data'!B128</f>
        <v>0</v>
      </c>
      <c r="P129">
        <f t="shared" si="6"/>
        <v>0</v>
      </c>
      <c r="Q129">
        <f t="shared" si="7"/>
        <v>497</v>
      </c>
      <c r="R129" s="38">
        <f t="shared" si="8"/>
        <v>0</v>
      </c>
      <c r="S129" t="str">
        <f t="shared" si="9"/>
        <v xml:space="preserve"> -&gt; </v>
      </c>
    </row>
    <row r="130" spans="1:19">
      <c r="A130" s="65"/>
      <c r="B130" s="66"/>
      <c r="C130" s="65" t="s">
        <v>148</v>
      </c>
      <c r="D130" s="65"/>
      <c r="E130" s="65"/>
      <c r="F130" s="65"/>
      <c r="G130" s="65" t="s">
        <v>61</v>
      </c>
      <c r="H130" s="66"/>
      <c r="I130" s="66"/>
      <c r="J130" s="66"/>
      <c r="K130" s="65"/>
      <c r="L130" s="65"/>
      <c r="M130" s="23" t="str">
        <f t="shared" ca="1" si="5"/>
        <v/>
      </c>
      <c r="O130">
        <f>'Combined Delivery Data'!B129</f>
        <v>0</v>
      </c>
      <c r="P130">
        <f t="shared" si="6"/>
        <v>0</v>
      </c>
      <c r="Q130">
        <f t="shared" si="7"/>
        <v>497</v>
      </c>
      <c r="R130" s="38">
        <f t="shared" si="8"/>
        <v>0</v>
      </c>
      <c r="S130" t="str">
        <f t="shared" si="9"/>
        <v xml:space="preserve"> -&gt; </v>
      </c>
    </row>
    <row r="131" spans="1:19">
      <c r="A131" s="65"/>
      <c r="B131" s="66"/>
      <c r="C131" s="65" t="s">
        <v>148</v>
      </c>
      <c r="D131" s="65"/>
      <c r="E131" s="65"/>
      <c r="F131" s="65"/>
      <c r="G131" s="65" t="s">
        <v>61</v>
      </c>
      <c r="H131" s="66"/>
      <c r="I131" s="66"/>
      <c r="J131" s="66"/>
      <c r="K131" s="65"/>
      <c r="L131" s="65"/>
      <c r="M131" s="2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O131">
        <f>'Combined Delivery Data'!B130</f>
        <v>0</v>
      </c>
      <c r="P131">
        <f t="shared" ref="P131:P194" si="11">IF($O131="","",COUNTIF($A$3:$A$500,$O131))</f>
        <v>0</v>
      </c>
      <c r="Q131">
        <f t="shared" ref="Q131:Q194" si="12">IF($O131="","",SUMPRODUCT(($A$3:$A$500=$O131)*($G$3:$G$500&lt;&gt;"Yes")*($G$3:$G$500&lt;&gt;"Did not pass re-test")))</f>
        <v>497</v>
      </c>
      <c r="R131" s="38">
        <f t="shared" ref="R131:R194" si="13">IF($O131="","",IF(SUMPRODUCT(MAX(($A$3:$A$500=$O131)*ROW($A$3:$A$500)))=0,"",INDEX($B:$B,SUMPRODUCT(MAX(($A$3:$A$500=$O131)*ROW($A$3:$A$500))))))</f>
        <v>0</v>
      </c>
      <c r="S131" t="str">
        <f t="shared" ref="S131:S194" si="14">IF($O131="","",IF(SUMPRODUCT(MAX(($A$3:$A$500=$O131)*ROW($A$3:$A$500)))=0,"",INDEX($C:$C,SUMPRODUCT(MAX(($A$3:$A$500=$O131)*ROW($A$3:$A$500))))&amp;" -&gt; "&amp;INDEX($D:$D,SUMPRODUCT(MAX(($A$3:$A$500=$O131)*ROW($A$3:$A$500))))))</f>
        <v xml:space="preserve"> -&gt; </v>
      </c>
    </row>
    <row r="132" spans="1:19">
      <c r="A132" s="65"/>
      <c r="B132" s="66"/>
      <c r="C132" s="65" t="s">
        <v>148</v>
      </c>
      <c r="D132" s="65"/>
      <c r="E132" s="65"/>
      <c r="F132" s="65"/>
      <c r="G132" s="65" t="s">
        <v>61</v>
      </c>
      <c r="H132" s="66"/>
      <c r="I132" s="66"/>
      <c r="J132" s="66"/>
      <c r="K132" s="65"/>
      <c r="L132" s="65"/>
      <c r="M132" s="23" t="str">
        <f t="shared" ca="1" si="10"/>
        <v/>
      </c>
      <c r="O132">
        <f>'Combined Delivery Data'!B131</f>
        <v>0</v>
      </c>
      <c r="P132">
        <f t="shared" si="11"/>
        <v>0</v>
      </c>
      <c r="Q132">
        <f t="shared" si="12"/>
        <v>497</v>
      </c>
      <c r="R132" s="38">
        <f t="shared" si="13"/>
        <v>0</v>
      </c>
      <c r="S132" t="str">
        <f t="shared" si="14"/>
        <v xml:space="preserve"> -&gt; </v>
      </c>
    </row>
    <row r="133" spans="1:19">
      <c r="A133" s="65"/>
      <c r="B133" s="66"/>
      <c r="C133" s="65" t="s">
        <v>148</v>
      </c>
      <c r="D133" s="65"/>
      <c r="E133" s="65"/>
      <c r="F133" s="65"/>
      <c r="G133" s="65" t="s">
        <v>61</v>
      </c>
      <c r="H133" s="66"/>
      <c r="I133" s="66"/>
      <c r="J133" s="66"/>
      <c r="K133" s="65"/>
      <c r="L133" s="65"/>
      <c r="M133" s="23" t="str">
        <f t="shared" ca="1" si="10"/>
        <v/>
      </c>
      <c r="O133">
        <f>'Combined Delivery Data'!B132</f>
        <v>0</v>
      </c>
      <c r="P133">
        <f t="shared" si="11"/>
        <v>0</v>
      </c>
      <c r="Q133">
        <f t="shared" si="12"/>
        <v>497</v>
      </c>
      <c r="R133" s="38">
        <f t="shared" si="13"/>
        <v>0</v>
      </c>
      <c r="S133" t="str">
        <f t="shared" si="14"/>
        <v xml:space="preserve"> -&gt; </v>
      </c>
    </row>
    <row r="134" spans="1:19">
      <c r="A134" s="65"/>
      <c r="B134" s="66"/>
      <c r="C134" s="65" t="s">
        <v>148</v>
      </c>
      <c r="D134" s="65"/>
      <c r="E134" s="65"/>
      <c r="F134" s="65"/>
      <c r="G134" s="65" t="s">
        <v>61</v>
      </c>
      <c r="H134" s="66"/>
      <c r="I134" s="66"/>
      <c r="J134" s="66"/>
      <c r="K134" s="65"/>
      <c r="L134" s="65"/>
      <c r="M134" s="23" t="str">
        <f t="shared" ca="1" si="10"/>
        <v/>
      </c>
      <c r="O134">
        <f>'Combined Delivery Data'!B133</f>
        <v>0</v>
      </c>
      <c r="P134">
        <f t="shared" si="11"/>
        <v>0</v>
      </c>
      <c r="Q134">
        <f t="shared" si="12"/>
        <v>497</v>
      </c>
      <c r="R134" s="38">
        <f t="shared" si="13"/>
        <v>0</v>
      </c>
      <c r="S134" t="str">
        <f t="shared" si="14"/>
        <v xml:space="preserve"> -&gt; </v>
      </c>
    </row>
    <row r="135" spans="1:19">
      <c r="A135" s="65"/>
      <c r="B135" s="66"/>
      <c r="C135" s="65" t="s">
        <v>148</v>
      </c>
      <c r="D135" s="65"/>
      <c r="E135" s="65"/>
      <c r="F135" s="65"/>
      <c r="G135" s="65" t="s">
        <v>61</v>
      </c>
      <c r="H135" s="66"/>
      <c r="I135" s="66"/>
      <c r="J135" s="66"/>
      <c r="K135" s="65"/>
      <c r="L135" s="65"/>
      <c r="M135" s="23" t="str">
        <f t="shared" ca="1" si="10"/>
        <v/>
      </c>
      <c r="O135">
        <f>'Combined Delivery Data'!B134</f>
        <v>0</v>
      </c>
      <c r="P135">
        <f t="shared" si="11"/>
        <v>0</v>
      </c>
      <c r="Q135">
        <f t="shared" si="12"/>
        <v>497</v>
      </c>
      <c r="R135" s="38">
        <f t="shared" si="13"/>
        <v>0</v>
      </c>
      <c r="S135" t="str">
        <f t="shared" si="14"/>
        <v xml:space="preserve"> -&gt; </v>
      </c>
    </row>
    <row r="136" spans="1:19">
      <c r="A136" s="65"/>
      <c r="B136" s="66"/>
      <c r="C136" s="65" t="s">
        <v>148</v>
      </c>
      <c r="D136" s="65"/>
      <c r="E136" s="65"/>
      <c r="F136" s="65"/>
      <c r="G136" s="65" t="s">
        <v>61</v>
      </c>
      <c r="H136" s="66"/>
      <c r="I136" s="66"/>
      <c r="J136" s="66"/>
      <c r="K136" s="65"/>
      <c r="L136" s="65"/>
      <c r="M136" s="23" t="str">
        <f t="shared" ca="1" si="10"/>
        <v/>
      </c>
      <c r="O136">
        <f>'Combined Delivery Data'!B135</f>
        <v>0</v>
      </c>
      <c r="P136">
        <f t="shared" si="11"/>
        <v>0</v>
      </c>
      <c r="Q136">
        <f t="shared" si="12"/>
        <v>497</v>
      </c>
      <c r="R136" s="38">
        <f t="shared" si="13"/>
        <v>0</v>
      </c>
      <c r="S136" t="str">
        <f t="shared" si="14"/>
        <v xml:space="preserve"> -&gt; </v>
      </c>
    </row>
    <row r="137" spans="1:19">
      <c r="A137" s="65"/>
      <c r="B137" s="66"/>
      <c r="C137" s="65" t="s">
        <v>148</v>
      </c>
      <c r="D137" s="65"/>
      <c r="E137" s="65"/>
      <c r="F137" s="65"/>
      <c r="G137" s="65" t="s">
        <v>61</v>
      </c>
      <c r="H137" s="66"/>
      <c r="I137" s="66"/>
      <c r="J137" s="66"/>
      <c r="K137" s="65"/>
      <c r="L137" s="65"/>
      <c r="M137" s="23" t="str">
        <f t="shared" ca="1" si="10"/>
        <v/>
      </c>
      <c r="O137">
        <f>'Combined Delivery Data'!B136</f>
        <v>0</v>
      </c>
      <c r="P137">
        <f t="shared" si="11"/>
        <v>0</v>
      </c>
      <c r="Q137">
        <f t="shared" si="12"/>
        <v>497</v>
      </c>
      <c r="R137" s="38">
        <f t="shared" si="13"/>
        <v>0</v>
      </c>
      <c r="S137" t="str">
        <f t="shared" si="14"/>
        <v xml:space="preserve"> -&gt; </v>
      </c>
    </row>
    <row r="138" spans="1:19">
      <c r="A138" s="65"/>
      <c r="B138" s="66"/>
      <c r="C138" s="65" t="s">
        <v>148</v>
      </c>
      <c r="D138" s="65"/>
      <c r="E138" s="65"/>
      <c r="F138" s="65"/>
      <c r="G138" s="65" t="s">
        <v>61</v>
      </c>
      <c r="H138" s="66"/>
      <c r="I138" s="66"/>
      <c r="J138" s="66"/>
      <c r="K138" s="65"/>
      <c r="L138" s="65"/>
      <c r="M138" s="23" t="str">
        <f t="shared" ca="1" si="10"/>
        <v/>
      </c>
      <c r="O138">
        <f>'Combined Delivery Data'!B137</f>
        <v>0</v>
      </c>
      <c r="P138">
        <f t="shared" si="11"/>
        <v>0</v>
      </c>
      <c r="Q138">
        <f t="shared" si="12"/>
        <v>497</v>
      </c>
      <c r="R138" s="38">
        <f t="shared" si="13"/>
        <v>0</v>
      </c>
      <c r="S138" t="str">
        <f t="shared" si="14"/>
        <v xml:space="preserve"> -&gt; </v>
      </c>
    </row>
    <row r="139" spans="1:19">
      <c r="A139" s="65"/>
      <c r="B139" s="66"/>
      <c r="C139" s="65" t="s">
        <v>148</v>
      </c>
      <c r="D139" s="65"/>
      <c r="E139" s="65"/>
      <c r="F139" s="65"/>
      <c r="G139" s="65" t="s">
        <v>61</v>
      </c>
      <c r="H139" s="66"/>
      <c r="I139" s="66"/>
      <c r="J139" s="66"/>
      <c r="K139" s="65"/>
      <c r="L139" s="65"/>
      <c r="M139" s="23" t="str">
        <f t="shared" ca="1" si="10"/>
        <v/>
      </c>
      <c r="O139">
        <f>'Combined Delivery Data'!B138</f>
        <v>0</v>
      </c>
      <c r="P139">
        <f t="shared" si="11"/>
        <v>0</v>
      </c>
      <c r="Q139">
        <f t="shared" si="12"/>
        <v>497</v>
      </c>
      <c r="R139" s="38">
        <f t="shared" si="13"/>
        <v>0</v>
      </c>
      <c r="S139" t="str">
        <f t="shared" si="14"/>
        <v xml:space="preserve"> -&gt; </v>
      </c>
    </row>
    <row r="140" spans="1:19">
      <c r="A140" s="65"/>
      <c r="B140" s="66"/>
      <c r="C140" s="65" t="s">
        <v>148</v>
      </c>
      <c r="D140" s="65"/>
      <c r="E140" s="65"/>
      <c r="F140" s="65"/>
      <c r="G140" s="65" t="s">
        <v>61</v>
      </c>
      <c r="H140" s="66"/>
      <c r="I140" s="66"/>
      <c r="J140" s="66"/>
      <c r="K140" s="65"/>
      <c r="L140" s="65"/>
      <c r="M140" s="23" t="str">
        <f t="shared" ca="1" si="10"/>
        <v/>
      </c>
      <c r="O140">
        <f>'Combined Delivery Data'!B139</f>
        <v>0</v>
      </c>
      <c r="P140">
        <f t="shared" si="11"/>
        <v>0</v>
      </c>
      <c r="Q140">
        <f t="shared" si="12"/>
        <v>497</v>
      </c>
      <c r="R140" s="38">
        <f t="shared" si="13"/>
        <v>0</v>
      </c>
      <c r="S140" t="str">
        <f t="shared" si="14"/>
        <v xml:space="preserve"> -&gt; </v>
      </c>
    </row>
    <row r="141" spans="1:19">
      <c r="A141" s="65"/>
      <c r="B141" s="66"/>
      <c r="C141" s="65" t="s">
        <v>148</v>
      </c>
      <c r="D141" s="65"/>
      <c r="E141" s="65"/>
      <c r="F141" s="65"/>
      <c r="G141" s="65" t="s">
        <v>61</v>
      </c>
      <c r="H141" s="66"/>
      <c r="I141" s="66"/>
      <c r="J141" s="66"/>
      <c r="K141" s="65"/>
      <c r="L141" s="65"/>
      <c r="M141" s="23" t="str">
        <f t="shared" ca="1" si="10"/>
        <v/>
      </c>
      <c r="O141">
        <f>'Combined Delivery Data'!B140</f>
        <v>0</v>
      </c>
      <c r="P141">
        <f t="shared" si="11"/>
        <v>0</v>
      </c>
      <c r="Q141">
        <f t="shared" si="12"/>
        <v>497</v>
      </c>
      <c r="R141" s="38">
        <f t="shared" si="13"/>
        <v>0</v>
      </c>
      <c r="S141" t="str">
        <f t="shared" si="14"/>
        <v xml:space="preserve"> -&gt; </v>
      </c>
    </row>
    <row r="142" spans="1:19">
      <c r="A142" s="65"/>
      <c r="B142" s="66"/>
      <c r="C142" s="65" t="s">
        <v>148</v>
      </c>
      <c r="D142" s="65"/>
      <c r="E142" s="65"/>
      <c r="F142" s="65"/>
      <c r="G142" s="65" t="s">
        <v>61</v>
      </c>
      <c r="H142" s="66"/>
      <c r="I142" s="66"/>
      <c r="J142" s="66"/>
      <c r="K142" s="65"/>
      <c r="L142" s="65"/>
      <c r="M142" s="23" t="str">
        <f t="shared" ca="1" si="10"/>
        <v/>
      </c>
      <c r="O142">
        <f>'Combined Delivery Data'!B141</f>
        <v>0</v>
      </c>
      <c r="P142">
        <f t="shared" si="11"/>
        <v>0</v>
      </c>
      <c r="Q142">
        <f t="shared" si="12"/>
        <v>497</v>
      </c>
      <c r="R142" s="38">
        <f t="shared" si="13"/>
        <v>0</v>
      </c>
      <c r="S142" t="str">
        <f t="shared" si="14"/>
        <v xml:space="preserve"> -&gt; </v>
      </c>
    </row>
    <row r="143" spans="1:19">
      <c r="A143" s="65"/>
      <c r="B143" s="66"/>
      <c r="C143" s="65" t="s">
        <v>148</v>
      </c>
      <c r="D143" s="65"/>
      <c r="E143" s="65"/>
      <c r="F143" s="65"/>
      <c r="G143" s="65" t="s">
        <v>61</v>
      </c>
      <c r="H143" s="66"/>
      <c r="I143" s="66"/>
      <c r="J143" s="66"/>
      <c r="K143" s="65"/>
      <c r="L143" s="65"/>
      <c r="M143" s="23" t="str">
        <f t="shared" ca="1" si="10"/>
        <v/>
      </c>
      <c r="O143">
        <f>'Combined Delivery Data'!B142</f>
        <v>0</v>
      </c>
      <c r="P143">
        <f t="shared" si="11"/>
        <v>0</v>
      </c>
      <c r="Q143">
        <f t="shared" si="12"/>
        <v>497</v>
      </c>
      <c r="R143" s="38">
        <f t="shared" si="13"/>
        <v>0</v>
      </c>
      <c r="S143" t="str">
        <f t="shared" si="14"/>
        <v xml:space="preserve"> -&gt; </v>
      </c>
    </row>
    <row r="144" spans="1:19">
      <c r="A144" s="65"/>
      <c r="B144" s="66"/>
      <c r="C144" s="65" t="s">
        <v>148</v>
      </c>
      <c r="D144" s="65"/>
      <c r="E144" s="65"/>
      <c r="F144" s="65"/>
      <c r="G144" s="65" t="s">
        <v>61</v>
      </c>
      <c r="H144" s="66"/>
      <c r="I144" s="66"/>
      <c r="J144" s="66"/>
      <c r="K144" s="65"/>
      <c r="L144" s="65"/>
      <c r="M144" s="23" t="str">
        <f t="shared" ca="1" si="10"/>
        <v/>
      </c>
      <c r="O144">
        <f>'Combined Delivery Data'!B143</f>
        <v>0</v>
      </c>
      <c r="P144">
        <f t="shared" si="11"/>
        <v>0</v>
      </c>
      <c r="Q144">
        <f t="shared" si="12"/>
        <v>497</v>
      </c>
      <c r="R144" s="38">
        <f t="shared" si="13"/>
        <v>0</v>
      </c>
      <c r="S144" t="str">
        <f t="shared" si="14"/>
        <v xml:space="preserve"> -&gt; </v>
      </c>
    </row>
    <row r="145" spans="1:19">
      <c r="A145" s="65"/>
      <c r="B145" s="66"/>
      <c r="C145" s="65" t="s">
        <v>148</v>
      </c>
      <c r="D145" s="65"/>
      <c r="E145" s="65"/>
      <c r="F145" s="65"/>
      <c r="G145" s="65" t="s">
        <v>61</v>
      </c>
      <c r="H145" s="66"/>
      <c r="I145" s="66"/>
      <c r="J145" s="66"/>
      <c r="K145" s="65"/>
      <c r="L145" s="65"/>
      <c r="M145" s="23" t="str">
        <f t="shared" ca="1" si="10"/>
        <v/>
      </c>
      <c r="O145">
        <f>'Combined Delivery Data'!B144</f>
        <v>0</v>
      </c>
      <c r="P145">
        <f t="shared" si="11"/>
        <v>0</v>
      </c>
      <c r="Q145">
        <f t="shared" si="12"/>
        <v>497</v>
      </c>
      <c r="R145" s="38">
        <f t="shared" si="13"/>
        <v>0</v>
      </c>
      <c r="S145" t="str">
        <f t="shared" si="14"/>
        <v xml:space="preserve"> -&gt; </v>
      </c>
    </row>
    <row r="146" spans="1:19">
      <c r="A146" s="65"/>
      <c r="B146" s="66"/>
      <c r="C146" s="65" t="s">
        <v>148</v>
      </c>
      <c r="D146" s="65"/>
      <c r="E146" s="65"/>
      <c r="F146" s="65"/>
      <c r="G146" s="65" t="s">
        <v>61</v>
      </c>
      <c r="H146" s="66"/>
      <c r="I146" s="66"/>
      <c r="J146" s="66"/>
      <c r="K146" s="65"/>
      <c r="L146" s="65"/>
      <c r="M146" s="23" t="str">
        <f t="shared" ca="1" si="10"/>
        <v/>
      </c>
      <c r="O146">
        <f>'Combined Delivery Data'!B145</f>
        <v>0</v>
      </c>
      <c r="P146">
        <f t="shared" si="11"/>
        <v>0</v>
      </c>
      <c r="Q146">
        <f t="shared" si="12"/>
        <v>497</v>
      </c>
      <c r="R146" s="38">
        <f t="shared" si="13"/>
        <v>0</v>
      </c>
      <c r="S146" t="str">
        <f t="shared" si="14"/>
        <v xml:space="preserve"> -&gt; </v>
      </c>
    </row>
    <row r="147" spans="1:19">
      <c r="A147" s="65"/>
      <c r="B147" s="66"/>
      <c r="C147" s="65" t="s">
        <v>148</v>
      </c>
      <c r="D147" s="65"/>
      <c r="E147" s="65"/>
      <c r="F147" s="65"/>
      <c r="G147" s="65" t="s">
        <v>61</v>
      </c>
      <c r="H147" s="66"/>
      <c r="I147" s="66"/>
      <c r="J147" s="66"/>
      <c r="K147" s="65"/>
      <c r="L147" s="65"/>
      <c r="M147" s="23" t="str">
        <f t="shared" ca="1" si="10"/>
        <v/>
      </c>
      <c r="O147">
        <f>'Combined Delivery Data'!B146</f>
        <v>0</v>
      </c>
      <c r="P147">
        <f t="shared" si="11"/>
        <v>0</v>
      </c>
      <c r="Q147">
        <f t="shared" si="12"/>
        <v>497</v>
      </c>
      <c r="R147" s="38">
        <f t="shared" si="13"/>
        <v>0</v>
      </c>
      <c r="S147" t="str">
        <f t="shared" si="14"/>
        <v xml:space="preserve"> -&gt; </v>
      </c>
    </row>
    <row r="148" spans="1:19">
      <c r="A148" s="65"/>
      <c r="B148" s="66"/>
      <c r="C148" s="65" t="s">
        <v>148</v>
      </c>
      <c r="D148" s="65"/>
      <c r="E148" s="65"/>
      <c r="F148" s="65"/>
      <c r="G148" s="65" t="s">
        <v>61</v>
      </c>
      <c r="H148" s="66"/>
      <c r="I148" s="66"/>
      <c r="J148" s="66"/>
      <c r="K148" s="65"/>
      <c r="L148" s="65"/>
      <c r="M148" s="23" t="str">
        <f t="shared" ca="1" si="10"/>
        <v/>
      </c>
      <c r="O148">
        <f>'Combined Delivery Data'!B147</f>
        <v>0</v>
      </c>
      <c r="P148">
        <f t="shared" si="11"/>
        <v>0</v>
      </c>
      <c r="Q148">
        <f t="shared" si="12"/>
        <v>497</v>
      </c>
      <c r="R148" s="38">
        <f t="shared" si="13"/>
        <v>0</v>
      </c>
      <c r="S148" t="str">
        <f t="shared" si="14"/>
        <v xml:space="preserve"> -&gt; </v>
      </c>
    </row>
    <row r="149" spans="1:19">
      <c r="A149" s="65"/>
      <c r="B149" s="66"/>
      <c r="C149" s="65" t="s">
        <v>148</v>
      </c>
      <c r="D149" s="65"/>
      <c r="E149" s="65"/>
      <c r="F149" s="65"/>
      <c r="G149" s="65" t="s">
        <v>61</v>
      </c>
      <c r="H149" s="66"/>
      <c r="I149" s="66"/>
      <c r="J149" s="66"/>
      <c r="K149" s="65"/>
      <c r="L149" s="65"/>
      <c r="M149" s="23" t="str">
        <f t="shared" ca="1" si="10"/>
        <v/>
      </c>
      <c r="O149">
        <f>'Combined Delivery Data'!B148</f>
        <v>0</v>
      </c>
      <c r="P149">
        <f t="shared" si="11"/>
        <v>0</v>
      </c>
      <c r="Q149">
        <f t="shared" si="12"/>
        <v>497</v>
      </c>
      <c r="R149" s="38">
        <f t="shared" si="13"/>
        <v>0</v>
      </c>
      <c r="S149" t="str">
        <f t="shared" si="14"/>
        <v xml:space="preserve"> -&gt; </v>
      </c>
    </row>
    <row r="150" spans="1:19">
      <c r="A150" s="65"/>
      <c r="B150" s="66"/>
      <c r="C150" s="65" t="s">
        <v>148</v>
      </c>
      <c r="D150" s="65"/>
      <c r="E150" s="65"/>
      <c r="F150" s="65"/>
      <c r="G150" s="65" t="s">
        <v>61</v>
      </c>
      <c r="H150" s="66"/>
      <c r="I150" s="66"/>
      <c r="J150" s="66"/>
      <c r="K150" s="65"/>
      <c r="L150" s="65"/>
      <c r="M150" s="23" t="str">
        <f t="shared" ca="1" si="10"/>
        <v/>
      </c>
      <c r="O150">
        <f>'Combined Delivery Data'!B149</f>
        <v>0</v>
      </c>
      <c r="P150">
        <f t="shared" si="11"/>
        <v>0</v>
      </c>
      <c r="Q150">
        <f t="shared" si="12"/>
        <v>497</v>
      </c>
      <c r="R150" s="38">
        <f t="shared" si="13"/>
        <v>0</v>
      </c>
      <c r="S150" t="str">
        <f t="shared" si="14"/>
        <v xml:space="preserve"> -&gt; </v>
      </c>
    </row>
    <row r="151" spans="1:19">
      <c r="A151" s="65"/>
      <c r="B151" s="66"/>
      <c r="C151" s="65" t="s">
        <v>148</v>
      </c>
      <c r="D151" s="65"/>
      <c r="E151" s="65"/>
      <c r="F151" s="65"/>
      <c r="G151" s="65" t="s">
        <v>61</v>
      </c>
      <c r="H151" s="66"/>
      <c r="I151" s="66"/>
      <c r="J151" s="66"/>
      <c r="K151" s="65"/>
      <c r="L151" s="65"/>
      <c r="M151" s="23" t="str">
        <f t="shared" ca="1" si="10"/>
        <v/>
      </c>
      <c r="O151">
        <f>'Combined Delivery Data'!B150</f>
        <v>0</v>
      </c>
      <c r="P151">
        <f t="shared" si="11"/>
        <v>0</v>
      </c>
      <c r="Q151">
        <f t="shared" si="12"/>
        <v>497</v>
      </c>
      <c r="R151" s="38">
        <f t="shared" si="13"/>
        <v>0</v>
      </c>
      <c r="S151" t="str">
        <f t="shared" si="14"/>
        <v xml:space="preserve"> -&gt; </v>
      </c>
    </row>
    <row r="152" spans="1:19">
      <c r="A152" s="65"/>
      <c r="B152" s="66"/>
      <c r="C152" s="65" t="s">
        <v>148</v>
      </c>
      <c r="D152" s="65"/>
      <c r="E152" s="65"/>
      <c r="F152" s="65"/>
      <c r="G152" s="65" t="s">
        <v>61</v>
      </c>
      <c r="H152" s="66"/>
      <c r="I152" s="66"/>
      <c r="J152" s="66"/>
      <c r="K152" s="65"/>
      <c r="L152" s="65"/>
      <c r="M152" s="23" t="str">
        <f t="shared" ca="1" si="10"/>
        <v/>
      </c>
      <c r="O152">
        <f>'Combined Delivery Data'!B151</f>
        <v>0</v>
      </c>
      <c r="P152">
        <f t="shared" si="11"/>
        <v>0</v>
      </c>
      <c r="Q152">
        <f t="shared" si="12"/>
        <v>497</v>
      </c>
      <c r="R152" s="38">
        <f t="shared" si="13"/>
        <v>0</v>
      </c>
      <c r="S152" t="str">
        <f t="shared" si="14"/>
        <v xml:space="preserve"> -&gt; </v>
      </c>
    </row>
    <row r="153" spans="1:19">
      <c r="A153" s="65"/>
      <c r="B153" s="66"/>
      <c r="C153" s="65" t="s">
        <v>148</v>
      </c>
      <c r="D153" s="65"/>
      <c r="E153" s="65"/>
      <c r="F153" s="65"/>
      <c r="G153" s="65" t="s">
        <v>61</v>
      </c>
      <c r="H153" s="66"/>
      <c r="I153" s="66"/>
      <c r="J153" s="66"/>
      <c r="K153" s="65"/>
      <c r="L153" s="65"/>
      <c r="M153" s="23" t="str">
        <f t="shared" ca="1" si="10"/>
        <v/>
      </c>
      <c r="O153">
        <f>'Combined Delivery Data'!B152</f>
        <v>0</v>
      </c>
      <c r="P153">
        <f t="shared" si="11"/>
        <v>0</v>
      </c>
      <c r="Q153">
        <f t="shared" si="12"/>
        <v>497</v>
      </c>
      <c r="R153" s="38">
        <f t="shared" si="13"/>
        <v>0</v>
      </c>
      <c r="S153" t="str">
        <f t="shared" si="14"/>
        <v xml:space="preserve"> -&gt; </v>
      </c>
    </row>
    <row r="154" spans="1:19">
      <c r="A154" s="65"/>
      <c r="B154" s="66"/>
      <c r="C154" s="65" t="s">
        <v>148</v>
      </c>
      <c r="D154" s="65"/>
      <c r="E154" s="65"/>
      <c r="F154" s="65"/>
      <c r="G154" s="65" t="s">
        <v>61</v>
      </c>
      <c r="H154" s="66"/>
      <c r="I154" s="66"/>
      <c r="J154" s="66"/>
      <c r="K154" s="65"/>
      <c r="L154" s="65"/>
      <c r="M154" s="23" t="str">
        <f t="shared" ca="1" si="10"/>
        <v/>
      </c>
      <c r="O154">
        <f>'Combined Delivery Data'!B153</f>
        <v>0</v>
      </c>
      <c r="P154">
        <f t="shared" si="11"/>
        <v>0</v>
      </c>
      <c r="Q154">
        <f t="shared" si="12"/>
        <v>497</v>
      </c>
      <c r="R154" s="38">
        <f t="shared" si="13"/>
        <v>0</v>
      </c>
      <c r="S154" t="str">
        <f t="shared" si="14"/>
        <v xml:space="preserve"> -&gt; </v>
      </c>
    </row>
    <row r="155" spans="1:19">
      <c r="A155" s="65"/>
      <c r="B155" s="66"/>
      <c r="C155" s="65" t="s">
        <v>148</v>
      </c>
      <c r="D155" s="65"/>
      <c r="E155" s="65"/>
      <c r="F155" s="65"/>
      <c r="G155" s="65" t="s">
        <v>61</v>
      </c>
      <c r="H155" s="66"/>
      <c r="I155" s="66"/>
      <c r="J155" s="66"/>
      <c r="K155" s="65"/>
      <c r="L155" s="65"/>
      <c r="M155" s="23" t="str">
        <f t="shared" ca="1" si="10"/>
        <v/>
      </c>
      <c r="O155">
        <f>'Combined Delivery Data'!B154</f>
        <v>0</v>
      </c>
      <c r="P155">
        <f t="shared" si="11"/>
        <v>0</v>
      </c>
      <c r="Q155">
        <f t="shared" si="12"/>
        <v>497</v>
      </c>
      <c r="R155" s="38">
        <f t="shared" si="13"/>
        <v>0</v>
      </c>
      <c r="S155" t="str">
        <f t="shared" si="14"/>
        <v xml:space="preserve"> -&gt; </v>
      </c>
    </row>
    <row r="156" spans="1:19">
      <c r="A156" s="65"/>
      <c r="B156" s="66"/>
      <c r="C156" s="65" t="s">
        <v>148</v>
      </c>
      <c r="D156" s="65"/>
      <c r="E156" s="65"/>
      <c r="F156" s="65"/>
      <c r="G156" s="65" t="s">
        <v>61</v>
      </c>
      <c r="H156" s="66"/>
      <c r="I156" s="66"/>
      <c r="J156" s="66"/>
      <c r="K156" s="65"/>
      <c r="L156" s="65"/>
      <c r="M156" s="23" t="str">
        <f t="shared" ca="1" si="10"/>
        <v/>
      </c>
      <c r="O156">
        <f>'Combined Delivery Data'!B155</f>
        <v>0</v>
      </c>
      <c r="P156">
        <f t="shared" si="11"/>
        <v>0</v>
      </c>
      <c r="Q156">
        <f t="shared" si="12"/>
        <v>497</v>
      </c>
      <c r="R156" s="38">
        <f t="shared" si="13"/>
        <v>0</v>
      </c>
      <c r="S156" t="str">
        <f t="shared" si="14"/>
        <v xml:space="preserve"> -&gt; </v>
      </c>
    </row>
    <row r="157" spans="1:19">
      <c r="A157" s="65"/>
      <c r="B157" s="66"/>
      <c r="C157" s="65" t="s">
        <v>148</v>
      </c>
      <c r="D157" s="65"/>
      <c r="E157" s="65"/>
      <c r="F157" s="65"/>
      <c r="G157" s="65" t="s">
        <v>61</v>
      </c>
      <c r="H157" s="66"/>
      <c r="I157" s="66"/>
      <c r="J157" s="66"/>
      <c r="K157" s="65"/>
      <c r="L157" s="65"/>
      <c r="M157" s="23" t="str">
        <f t="shared" ca="1" si="10"/>
        <v/>
      </c>
      <c r="O157">
        <f>'Combined Delivery Data'!B156</f>
        <v>0</v>
      </c>
      <c r="P157">
        <f t="shared" si="11"/>
        <v>0</v>
      </c>
      <c r="Q157">
        <f t="shared" si="12"/>
        <v>497</v>
      </c>
      <c r="R157" s="38">
        <f t="shared" si="13"/>
        <v>0</v>
      </c>
      <c r="S157" t="str">
        <f t="shared" si="14"/>
        <v xml:space="preserve"> -&gt; </v>
      </c>
    </row>
    <row r="158" spans="1:19">
      <c r="A158" s="65"/>
      <c r="B158" s="66"/>
      <c r="C158" s="65" t="s">
        <v>148</v>
      </c>
      <c r="D158" s="65"/>
      <c r="E158" s="65"/>
      <c r="F158" s="65"/>
      <c r="G158" s="65" t="s">
        <v>61</v>
      </c>
      <c r="H158" s="66"/>
      <c r="I158" s="66"/>
      <c r="J158" s="66"/>
      <c r="K158" s="65"/>
      <c r="L158" s="65"/>
      <c r="M158" s="23" t="str">
        <f t="shared" ca="1" si="10"/>
        <v/>
      </c>
      <c r="O158">
        <f>'Combined Delivery Data'!B157</f>
        <v>0</v>
      </c>
      <c r="P158">
        <f t="shared" si="11"/>
        <v>0</v>
      </c>
      <c r="Q158">
        <f t="shared" si="12"/>
        <v>497</v>
      </c>
      <c r="R158" s="38">
        <f t="shared" si="13"/>
        <v>0</v>
      </c>
      <c r="S158" t="str">
        <f t="shared" si="14"/>
        <v xml:space="preserve"> -&gt; </v>
      </c>
    </row>
    <row r="159" spans="1:19">
      <c r="A159" s="65"/>
      <c r="B159" s="66"/>
      <c r="C159" s="65" t="s">
        <v>148</v>
      </c>
      <c r="D159" s="65"/>
      <c r="E159" s="65"/>
      <c r="F159" s="65"/>
      <c r="G159" s="65" t="s">
        <v>61</v>
      </c>
      <c r="H159" s="66"/>
      <c r="I159" s="66"/>
      <c r="J159" s="66"/>
      <c r="K159" s="65"/>
      <c r="L159" s="65"/>
      <c r="M159" s="23" t="str">
        <f t="shared" ca="1" si="10"/>
        <v/>
      </c>
      <c r="O159">
        <f>'Combined Delivery Data'!B158</f>
        <v>0</v>
      </c>
      <c r="P159">
        <f t="shared" si="11"/>
        <v>0</v>
      </c>
      <c r="Q159">
        <f t="shared" si="12"/>
        <v>497</v>
      </c>
      <c r="R159" s="38">
        <f t="shared" si="13"/>
        <v>0</v>
      </c>
      <c r="S159" t="str">
        <f t="shared" si="14"/>
        <v xml:space="preserve"> -&gt; </v>
      </c>
    </row>
    <row r="160" spans="1:19">
      <c r="A160" s="65"/>
      <c r="B160" s="66"/>
      <c r="C160" s="65" t="s">
        <v>148</v>
      </c>
      <c r="D160" s="65"/>
      <c r="E160" s="65"/>
      <c r="F160" s="65"/>
      <c r="G160" s="65" t="s">
        <v>61</v>
      </c>
      <c r="H160" s="66"/>
      <c r="I160" s="66"/>
      <c r="J160" s="66"/>
      <c r="K160" s="65"/>
      <c r="L160" s="65"/>
      <c r="M160" s="23" t="str">
        <f t="shared" ca="1" si="10"/>
        <v/>
      </c>
      <c r="O160">
        <f>'Combined Delivery Data'!B159</f>
        <v>0</v>
      </c>
      <c r="P160">
        <f t="shared" si="11"/>
        <v>0</v>
      </c>
      <c r="Q160">
        <f t="shared" si="12"/>
        <v>497</v>
      </c>
      <c r="R160" s="38">
        <f t="shared" si="13"/>
        <v>0</v>
      </c>
      <c r="S160" t="str">
        <f t="shared" si="14"/>
        <v xml:space="preserve"> -&gt; </v>
      </c>
    </row>
    <row r="161" spans="1:19">
      <c r="A161" s="65"/>
      <c r="B161" s="66"/>
      <c r="C161" s="65" t="s">
        <v>148</v>
      </c>
      <c r="D161" s="65"/>
      <c r="E161" s="65"/>
      <c r="F161" s="65"/>
      <c r="G161" s="65" t="s">
        <v>61</v>
      </c>
      <c r="H161" s="66"/>
      <c r="I161" s="66"/>
      <c r="J161" s="66"/>
      <c r="K161" s="65"/>
      <c r="L161" s="65"/>
      <c r="M161" s="23" t="str">
        <f t="shared" ca="1" si="10"/>
        <v/>
      </c>
      <c r="O161">
        <f>'Combined Delivery Data'!B160</f>
        <v>0</v>
      </c>
      <c r="P161">
        <f t="shared" si="11"/>
        <v>0</v>
      </c>
      <c r="Q161">
        <f t="shared" si="12"/>
        <v>497</v>
      </c>
      <c r="R161" s="38">
        <f t="shared" si="13"/>
        <v>0</v>
      </c>
      <c r="S161" t="str">
        <f t="shared" si="14"/>
        <v xml:space="preserve"> -&gt; </v>
      </c>
    </row>
    <row r="162" spans="1:19">
      <c r="A162" s="65"/>
      <c r="B162" s="66"/>
      <c r="C162" s="65" t="s">
        <v>148</v>
      </c>
      <c r="D162" s="65"/>
      <c r="E162" s="65"/>
      <c r="F162" s="65"/>
      <c r="G162" s="65" t="s">
        <v>61</v>
      </c>
      <c r="H162" s="66"/>
      <c r="I162" s="66"/>
      <c r="J162" s="66"/>
      <c r="K162" s="65"/>
      <c r="L162" s="65"/>
      <c r="M162" s="23" t="str">
        <f t="shared" ca="1" si="10"/>
        <v/>
      </c>
      <c r="O162">
        <f>'Combined Delivery Data'!B161</f>
        <v>0</v>
      </c>
      <c r="P162">
        <f t="shared" si="11"/>
        <v>0</v>
      </c>
      <c r="Q162">
        <f t="shared" si="12"/>
        <v>497</v>
      </c>
      <c r="R162" s="38">
        <f t="shared" si="13"/>
        <v>0</v>
      </c>
      <c r="S162" t="str">
        <f t="shared" si="14"/>
        <v xml:space="preserve"> -&gt; </v>
      </c>
    </row>
    <row r="163" spans="1:19">
      <c r="A163" s="65"/>
      <c r="B163" s="66"/>
      <c r="C163" s="65" t="s">
        <v>148</v>
      </c>
      <c r="D163" s="65"/>
      <c r="E163" s="65"/>
      <c r="F163" s="65"/>
      <c r="G163" s="65" t="s">
        <v>61</v>
      </c>
      <c r="H163" s="66"/>
      <c r="I163" s="66"/>
      <c r="J163" s="66"/>
      <c r="K163" s="65"/>
      <c r="L163" s="65"/>
      <c r="M163" s="23" t="str">
        <f t="shared" ca="1" si="10"/>
        <v/>
      </c>
      <c r="O163">
        <f>'Combined Delivery Data'!B162</f>
        <v>0</v>
      </c>
      <c r="P163">
        <f t="shared" si="11"/>
        <v>0</v>
      </c>
      <c r="Q163">
        <f t="shared" si="12"/>
        <v>497</v>
      </c>
      <c r="R163" s="38">
        <f t="shared" si="13"/>
        <v>0</v>
      </c>
      <c r="S163" t="str">
        <f t="shared" si="14"/>
        <v xml:space="preserve"> -&gt; </v>
      </c>
    </row>
    <row r="164" spans="1:19">
      <c r="A164" s="65"/>
      <c r="B164" s="66"/>
      <c r="C164" s="65" t="s">
        <v>148</v>
      </c>
      <c r="D164" s="65"/>
      <c r="E164" s="65"/>
      <c r="F164" s="65"/>
      <c r="G164" s="65" t="s">
        <v>61</v>
      </c>
      <c r="H164" s="66"/>
      <c r="I164" s="66"/>
      <c r="J164" s="66"/>
      <c r="K164" s="65"/>
      <c r="L164" s="65"/>
      <c r="M164" s="23" t="str">
        <f t="shared" ca="1" si="10"/>
        <v/>
      </c>
      <c r="O164">
        <f>'Combined Delivery Data'!B163</f>
        <v>0</v>
      </c>
      <c r="P164">
        <f t="shared" si="11"/>
        <v>0</v>
      </c>
      <c r="Q164">
        <f t="shared" si="12"/>
        <v>497</v>
      </c>
      <c r="R164" s="38">
        <f t="shared" si="13"/>
        <v>0</v>
      </c>
      <c r="S164" t="str">
        <f t="shared" si="14"/>
        <v xml:space="preserve"> -&gt; </v>
      </c>
    </row>
    <row r="165" spans="1:19">
      <c r="A165" s="65"/>
      <c r="B165" s="66"/>
      <c r="C165" s="65" t="s">
        <v>148</v>
      </c>
      <c r="D165" s="65"/>
      <c r="E165" s="65"/>
      <c r="F165" s="65"/>
      <c r="G165" s="65" t="s">
        <v>61</v>
      </c>
      <c r="H165" s="66"/>
      <c r="I165" s="66"/>
      <c r="J165" s="66"/>
      <c r="K165" s="65"/>
      <c r="L165" s="65"/>
      <c r="M165" s="23" t="str">
        <f t="shared" ca="1" si="10"/>
        <v/>
      </c>
      <c r="O165">
        <f>'Combined Delivery Data'!B164</f>
        <v>0</v>
      </c>
      <c r="P165">
        <f t="shared" si="11"/>
        <v>0</v>
      </c>
      <c r="Q165">
        <f t="shared" si="12"/>
        <v>497</v>
      </c>
      <c r="R165" s="38">
        <f t="shared" si="13"/>
        <v>0</v>
      </c>
      <c r="S165" t="str">
        <f t="shared" si="14"/>
        <v xml:space="preserve"> -&gt; </v>
      </c>
    </row>
    <row r="166" spans="1:19">
      <c r="A166" s="65"/>
      <c r="B166" s="66"/>
      <c r="C166" s="65" t="s">
        <v>148</v>
      </c>
      <c r="D166" s="65"/>
      <c r="E166" s="65"/>
      <c r="F166" s="65"/>
      <c r="G166" s="65" t="s">
        <v>61</v>
      </c>
      <c r="H166" s="66"/>
      <c r="I166" s="66"/>
      <c r="J166" s="66"/>
      <c r="K166" s="65"/>
      <c r="L166" s="65"/>
      <c r="M166" s="23" t="str">
        <f t="shared" ca="1" si="10"/>
        <v/>
      </c>
      <c r="O166">
        <f>'Combined Delivery Data'!B165</f>
        <v>0</v>
      </c>
      <c r="P166">
        <f t="shared" si="11"/>
        <v>0</v>
      </c>
      <c r="Q166">
        <f t="shared" si="12"/>
        <v>497</v>
      </c>
      <c r="R166" s="38">
        <f t="shared" si="13"/>
        <v>0</v>
      </c>
      <c r="S166" t="str">
        <f t="shared" si="14"/>
        <v xml:space="preserve"> -&gt; </v>
      </c>
    </row>
    <row r="167" spans="1:19">
      <c r="A167" s="65"/>
      <c r="B167" s="66"/>
      <c r="C167" s="65" t="s">
        <v>148</v>
      </c>
      <c r="D167" s="65"/>
      <c r="E167" s="65"/>
      <c r="F167" s="65"/>
      <c r="G167" s="65" t="s">
        <v>61</v>
      </c>
      <c r="H167" s="66"/>
      <c r="I167" s="66"/>
      <c r="J167" s="66"/>
      <c r="K167" s="65"/>
      <c r="L167" s="65"/>
      <c r="M167" s="23" t="str">
        <f t="shared" ca="1" si="10"/>
        <v/>
      </c>
      <c r="O167">
        <f>'Combined Delivery Data'!B166</f>
        <v>0</v>
      </c>
      <c r="P167">
        <f t="shared" si="11"/>
        <v>0</v>
      </c>
      <c r="Q167">
        <f t="shared" si="12"/>
        <v>497</v>
      </c>
      <c r="R167" s="38">
        <f t="shared" si="13"/>
        <v>0</v>
      </c>
      <c r="S167" t="str">
        <f t="shared" si="14"/>
        <v xml:space="preserve"> -&gt; </v>
      </c>
    </row>
    <row r="168" spans="1:19">
      <c r="A168" s="65"/>
      <c r="B168" s="66"/>
      <c r="C168" s="65" t="s">
        <v>148</v>
      </c>
      <c r="D168" s="65"/>
      <c r="E168" s="65"/>
      <c r="F168" s="65"/>
      <c r="G168" s="65" t="s">
        <v>61</v>
      </c>
      <c r="H168" s="66"/>
      <c r="I168" s="66"/>
      <c r="J168" s="66"/>
      <c r="K168" s="65"/>
      <c r="L168" s="65"/>
      <c r="M168" s="23" t="str">
        <f t="shared" ca="1" si="10"/>
        <v/>
      </c>
      <c r="O168">
        <f>'Combined Delivery Data'!B167</f>
        <v>0</v>
      </c>
      <c r="P168">
        <f t="shared" si="11"/>
        <v>0</v>
      </c>
      <c r="Q168">
        <f t="shared" si="12"/>
        <v>497</v>
      </c>
      <c r="R168" s="38">
        <f t="shared" si="13"/>
        <v>0</v>
      </c>
      <c r="S168" t="str">
        <f t="shared" si="14"/>
        <v xml:space="preserve"> -&gt; </v>
      </c>
    </row>
    <row r="169" spans="1:19">
      <c r="A169" s="65"/>
      <c r="B169" s="66"/>
      <c r="C169" s="65" t="s">
        <v>148</v>
      </c>
      <c r="D169" s="65"/>
      <c r="E169" s="65"/>
      <c r="F169" s="65"/>
      <c r="G169" s="65" t="s">
        <v>61</v>
      </c>
      <c r="H169" s="66"/>
      <c r="I169" s="66"/>
      <c r="J169" s="66"/>
      <c r="K169" s="65"/>
      <c r="L169" s="65"/>
      <c r="M169" s="23" t="str">
        <f t="shared" ca="1" si="10"/>
        <v/>
      </c>
      <c r="O169">
        <f>'Combined Delivery Data'!B168</f>
        <v>0</v>
      </c>
      <c r="P169">
        <f t="shared" si="11"/>
        <v>0</v>
      </c>
      <c r="Q169">
        <f t="shared" si="12"/>
        <v>497</v>
      </c>
      <c r="R169" s="38">
        <f t="shared" si="13"/>
        <v>0</v>
      </c>
      <c r="S169" t="str">
        <f t="shared" si="14"/>
        <v xml:space="preserve"> -&gt; </v>
      </c>
    </row>
    <row r="170" spans="1:19">
      <c r="A170" s="65"/>
      <c r="B170" s="66"/>
      <c r="C170" s="65" t="s">
        <v>148</v>
      </c>
      <c r="D170" s="65"/>
      <c r="E170" s="65"/>
      <c r="F170" s="65"/>
      <c r="G170" s="65" t="s">
        <v>61</v>
      </c>
      <c r="H170" s="66"/>
      <c r="I170" s="66"/>
      <c r="J170" s="66"/>
      <c r="K170" s="65"/>
      <c r="L170" s="65"/>
      <c r="M170" s="23" t="str">
        <f t="shared" ca="1" si="10"/>
        <v/>
      </c>
      <c r="O170">
        <f>'Combined Delivery Data'!B169</f>
        <v>0</v>
      </c>
      <c r="P170">
        <f t="shared" si="11"/>
        <v>0</v>
      </c>
      <c r="Q170">
        <f t="shared" si="12"/>
        <v>497</v>
      </c>
      <c r="R170" s="38">
        <f t="shared" si="13"/>
        <v>0</v>
      </c>
      <c r="S170" t="str">
        <f t="shared" si="14"/>
        <v xml:space="preserve"> -&gt; </v>
      </c>
    </row>
    <row r="171" spans="1:19">
      <c r="A171" s="65"/>
      <c r="B171" s="66"/>
      <c r="C171" s="65" t="s">
        <v>148</v>
      </c>
      <c r="D171" s="65"/>
      <c r="E171" s="65"/>
      <c r="F171" s="65"/>
      <c r="G171" s="65" t="s">
        <v>61</v>
      </c>
      <c r="H171" s="66"/>
      <c r="I171" s="66"/>
      <c r="J171" s="66"/>
      <c r="K171" s="65"/>
      <c r="L171" s="65"/>
      <c r="M171" s="23" t="str">
        <f t="shared" ca="1" si="10"/>
        <v/>
      </c>
      <c r="O171">
        <f>'Combined Delivery Data'!B170</f>
        <v>0</v>
      </c>
      <c r="P171">
        <f t="shared" si="11"/>
        <v>0</v>
      </c>
      <c r="Q171">
        <f t="shared" si="12"/>
        <v>497</v>
      </c>
      <c r="R171" s="38">
        <f t="shared" si="13"/>
        <v>0</v>
      </c>
      <c r="S171" t="str">
        <f t="shared" si="14"/>
        <v xml:space="preserve"> -&gt; </v>
      </c>
    </row>
    <row r="172" spans="1:19">
      <c r="A172" s="65"/>
      <c r="B172" s="66"/>
      <c r="C172" s="65" t="s">
        <v>148</v>
      </c>
      <c r="D172" s="65"/>
      <c r="E172" s="65"/>
      <c r="F172" s="65"/>
      <c r="G172" s="65" t="s">
        <v>61</v>
      </c>
      <c r="H172" s="66"/>
      <c r="I172" s="66"/>
      <c r="J172" s="66"/>
      <c r="K172" s="65"/>
      <c r="L172" s="65"/>
      <c r="M172" s="23" t="str">
        <f t="shared" ca="1" si="10"/>
        <v/>
      </c>
      <c r="O172">
        <f>'Combined Delivery Data'!B171</f>
        <v>0</v>
      </c>
      <c r="P172">
        <f t="shared" si="11"/>
        <v>0</v>
      </c>
      <c r="Q172">
        <f t="shared" si="12"/>
        <v>497</v>
      </c>
      <c r="R172" s="38">
        <f t="shared" si="13"/>
        <v>0</v>
      </c>
      <c r="S172" t="str">
        <f t="shared" si="14"/>
        <v xml:space="preserve"> -&gt; </v>
      </c>
    </row>
    <row r="173" spans="1:19">
      <c r="A173" s="65"/>
      <c r="B173" s="66"/>
      <c r="C173" s="65" t="s">
        <v>148</v>
      </c>
      <c r="D173" s="65"/>
      <c r="E173" s="65"/>
      <c r="F173" s="65"/>
      <c r="G173" s="65" t="s">
        <v>61</v>
      </c>
      <c r="H173" s="66"/>
      <c r="I173" s="66"/>
      <c r="J173" s="66"/>
      <c r="K173" s="65"/>
      <c r="L173" s="65"/>
      <c r="M173" s="23" t="str">
        <f t="shared" ca="1" si="10"/>
        <v/>
      </c>
      <c r="O173">
        <f>'Combined Delivery Data'!B172</f>
        <v>0</v>
      </c>
      <c r="P173">
        <f t="shared" si="11"/>
        <v>0</v>
      </c>
      <c r="Q173">
        <f t="shared" si="12"/>
        <v>497</v>
      </c>
      <c r="R173" s="38">
        <f t="shared" si="13"/>
        <v>0</v>
      </c>
      <c r="S173" t="str">
        <f t="shared" si="14"/>
        <v xml:space="preserve"> -&gt; </v>
      </c>
    </row>
    <row r="174" spans="1:19">
      <c r="A174" s="65"/>
      <c r="B174" s="66"/>
      <c r="C174" s="65" t="s">
        <v>148</v>
      </c>
      <c r="D174" s="65"/>
      <c r="E174" s="65"/>
      <c r="F174" s="65"/>
      <c r="G174" s="65" t="s">
        <v>61</v>
      </c>
      <c r="H174" s="66"/>
      <c r="I174" s="66"/>
      <c r="J174" s="66"/>
      <c r="K174" s="65"/>
      <c r="L174" s="65"/>
      <c r="M174" s="23" t="str">
        <f t="shared" ca="1" si="10"/>
        <v/>
      </c>
      <c r="O174">
        <f>'Combined Delivery Data'!B173</f>
        <v>0</v>
      </c>
      <c r="P174">
        <f t="shared" si="11"/>
        <v>0</v>
      </c>
      <c r="Q174">
        <f t="shared" si="12"/>
        <v>497</v>
      </c>
      <c r="R174" s="38">
        <f t="shared" si="13"/>
        <v>0</v>
      </c>
      <c r="S174" t="str">
        <f t="shared" si="14"/>
        <v xml:space="preserve"> -&gt; </v>
      </c>
    </row>
    <row r="175" spans="1:19">
      <c r="A175" s="65"/>
      <c r="B175" s="66"/>
      <c r="C175" s="65" t="s">
        <v>148</v>
      </c>
      <c r="D175" s="65"/>
      <c r="E175" s="65"/>
      <c r="F175" s="65"/>
      <c r="G175" s="65" t="s">
        <v>61</v>
      </c>
      <c r="H175" s="66"/>
      <c r="I175" s="66"/>
      <c r="J175" s="66"/>
      <c r="K175" s="65"/>
      <c r="L175" s="65"/>
      <c r="M175" s="23" t="str">
        <f t="shared" ca="1" si="10"/>
        <v/>
      </c>
      <c r="O175">
        <f>'Combined Delivery Data'!B174</f>
        <v>0</v>
      </c>
      <c r="P175">
        <f t="shared" si="11"/>
        <v>0</v>
      </c>
      <c r="Q175">
        <f t="shared" si="12"/>
        <v>497</v>
      </c>
      <c r="R175" s="38">
        <f t="shared" si="13"/>
        <v>0</v>
      </c>
      <c r="S175" t="str">
        <f t="shared" si="14"/>
        <v xml:space="preserve"> -&gt; </v>
      </c>
    </row>
    <row r="176" spans="1:19">
      <c r="A176" s="65"/>
      <c r="B176" s="66"/>
      <c r="C176" s="65" t="s">
        <v>148</v>
      </c>
      <c r="D176" s="65"/>
      <c r="E176" s="65"/>
      <c r="F176" s="65"/>
      <c r="G176" s="65" t="s">
        <v>61</v>
      </c>
      <c r="H176" s="66"/>
      <c r="I176" s="66"/>
      <c r="J176" s="66"/>
      <c r="K176" s="65"/>
      <c r="L176" s="65"/>
      <c r="M176" s="23" t="str">
        <f t="shared" ca="1" si="10"/>
        <v/>
      </c>
      <c r="O176">
        <f>'Combined Delivery Data'!B175</f>
        <v>0</v>
      </c>
      <c r="P176">
        <f t="shared" si="11"/>
        <v>0</v>
      </c>
      <c r="Q176">
        <f t="shared" si="12"/>
        <v>497</v>
      </c>
      <c r="R176" s="38">
        <f t="shared" si="13"/>
        <v>0</v>
      </c>
      <c r="S176" t="str">
        <f t="shared" si="14"/>
        <v xml:space="preserve"> -&gt; </v>
      </c>
    </row>
    <row r="177" spans="1:19">
      <c r="A177" s="65"/>
      <c r="B177" s="66"/>
      <c r="C177" s="65" t="s">
        <v>148</v>
      </c>
      <c r="D177" s="65"/>
      <c r="E177" s="65"/>
      <c r="F177" s="65"/>
      <c r="G177" s="65" t="s">
        <v>61</v>
      </c>
      <c r="H177" s="66"/>
      <c r="I177" s="66"/>
      <c r="J177" s="66"/>
      <c r="K177" s="65"/>
      <c r="L177" s="65"/>
      <c r="M177" s="23" t="str">
        <f t="shared" ca="1" si="10"/>
        <v/>
      </c>
      <c r="O177">
        <f>'Combined Delivery Data'!B176</f>
        <v>0</v>
      </c>
      <c r="P177">
        <f t="shared" si="11"/>
        <v>0</v>
      </c>
      <c r="Q177">
        <f t="shared" si="12"/>
        <v>497</v>
      </c>
      <c r="R177" s="38">
        <f t="shared" si="13"/>
        <v>0</v>
      </c>
      <c r="S177" t="str">
        <f t="shared" si="14"/>
        <v xml:space="preserve"> -&gt; </v>
      </c>
    </row>
    <row r="178" spans="1:19">
      <c r="A178" s="65"/>
      <c r="B178" s="66"/>
      <c r="C178" s="65" t="s">
        <v>148</v>
      </c>
      <c r="D178" s="65"/>
      <c r="E178" s="65"/>
      <c r="F178" s="65"/>
      <c r="G178" s="65" t="s">
        <v>61</v>
      </c>
      <c r="H178" s="66"/>
      <c r="I178" s="66"/>
      <c r="J178" s="66"/>
      <c r="K178" s="65"/>
      <c r="L178" s="65"/>
      <c r="M178" s="23" t="str">
        <f t="shared" ca="1" si="10"/>
        <v/>
      </c>
      <c r="O178">
        <f>'Combined Delivery Data'!B177</f>
        <v>0</v>
      </c>
      <c r="P178">
        <f t="shared" si="11"/>
        <v>0</v>
      </c>
      <c r="Q178">
        <f t="shared" si="12"/>
        <v>497</v>
      </c>
      <c r="R178" s="38">
        <f t="shared" si="13"/>
        <v>0</v>
      </c>
      <c r="S178" t="str">
        <f t="shared" si="14"/>
        <v xml:space="preserve"> -&gt; </v>
      </c>
    </row>
    <row r="179" spans="1:19">
      <c r="A179" s="65"/>
      <c r="B179" s="66"/>
      <c r="C179" s="65" t="s">
        <v>148</v>
      </c>
      <c r="D179" s="65"/>
      <c r="E179" s="65"/>
      <c r="F179" s="65"/>
      <c r="G179" s="65" t="s">
        <v>61</v>
      </c>
      <c r="H179" s="66"/>
      <c r="I179" s="66"/>
      <c r="J179" s="66"/>
      <c r="K179" s="65"/>
      <c r="L179" s="65"/>
      <c r="M179" s="23" t="str">
        <f t="shared" ca="1" si="10"/>
        <v/>
      </c>
      <c r="O179">
        <f>'Combined Delivery Data'!B178</f>
        <v>0</v>
      </c>
      <c r="P179">
        <f t="shared" si="11"/>
        <v>0</v>
      </c>
      <c r="Q179">
        <f t="shared" si="12"/>
        <v>497</v>
      </c>
      <c r="R179" s="38">
        <f t="shared" si="13"/>
        <v>0</v>
      </c>
      <c r="S179" t="str">
        <f t="shared" si="14"/>
        <v xml:space="preserve"> -&gt; </v>
      </c>
    </row>
    <row r="180" spans="1:19">
      <c r="A180" s="65"/>
      <c r="B180" s="66"/>
      <c r="C180" s="65" t="s">
        <v>148</v>
      </c>
      <c r="D180" s="65"/>
      <c r="E180" s="65"/>
      <c r="F180" s="65"/>
      <c r="G180" s="65" t="s">
        <v>61</v>
      </c>
      <c r="H180" s="66"/>
      <c r="I180" s="66"/>
      <c r="J180" s="66"/>
      <c r="K180" s="65"/>
      <c r="L180" s="65"/>
      <c r="M180" s="23" t="str">
        <f t="shared" ca="1" si="10"/>
        <v/>
      </c>
      <c r="O180">
        <f>'Combined Delivery Data'!B179</f>
        <v>0</v>
      </c>
      <c r="P180">
        <f t="shared" si="11"/>
        <v>0</v>
      </c>
      <c r="Q180">
        <f t="shared" si="12"/>
        <v>497</v>
      </c>
      <c r="R180" s="38">
        <f t="shared" si="13"/>
        <v>0</v>
      </c>
      <c r="S180" t="str">
        <f t="shared" si="14"/>
        <v xml:space="preserve"> -&gt; </v>
      </c>
    </row>
    <row r="181" spans="1:19">
      <c r="A181" s="65"/>
      <c r="B181" s="66"/>
      <c r="C181" s="65" t="s">
        <v>148</v>
      </c>
      <c r="D181" s="65"/>
      <c r="E181" s="65"/>
      <c r="F181" s="65"/>
      <c r="G181" s="65" t="s">
        <v>61</v>
      </c>
      <c r="H181" s="66"/>
      <c r="I181" s="66"/>
      <c r="J181" s="66"/>
      <c r="K181" s="65"/>
      <c r="L181" s="65"/>
      <c r="M181" s="23" t="str">
        <f t="shared" ca="1" si="10"/>
        <v/>
      </c>
      <c r="O181">
        <f>'Combined Delivery Data'!B180</f>
        <v>0</v>
      </c>
      <c r="P181">
        <f t="shared" si="11"/>
        <v>0</v>
      </c>
      <c r="Q181">
        <f t="shared" si="12"/>
        <v>497</v>
      </c>
      <c r="R181" s="38">
        <f t="shared" si="13"/>
        <v>0</v>
      </c>
      <c r="S181" t="str">
        <f t="shared" si="14"/>
        <v xml:space="preserve"> -&gt; </v>
      </c>
    </row>
    <row r="182" spans="1:19">
      <c r="A182" s="65"/>
      <c r="B182" s="66"/>
      <c r="C182" s="65" t="s">
        <v>148</v>
      </c>
      <c r="D182" s="65"/>
      <c r="E182" s="65"/>
      <c r="F182" s="65"/>
      <c r="G182" s="65" t="s">
        <v>61</v>
      </c>
      <c r="H182" s="66"/>
      <c r="I182" s="66"/>
      <c r="J182" s="66"/>
      <c r="K182" s="65"/>
      <c r="L182" s="65"/>
      <c r="M182" s="23" t="str">
        <f t="shared" ca="1" si="10"/>
        <v/>
      </c>
      <c r="O182">
        <f>'Combined Delivery Data'!B181</f>
        <v>0</v>
      </c>
      <c r="P182">
        <f t="shared" si="11"/>
        <v>0</v>
      </c>
      <c r="Q182">
        <f t="shared" si="12"/>
        <v>497</v>
      </c>
      <c r="R182" s="38">
        <f t="shared" si="13"/>
        <v>0</v>
      </c>
      <c r="S182" t="str">
        <f t="shared" si="14"/>
        <v xml:space="preserve"> -&gt; </v>
      </c>
    </row>
    <row r="183" spans="1:19">
      <c r="A183" s="65"/>
      <c r="B183" s="66"/>
      <c r="C183" s="65" t="s">
        <v>148</v>
      </c>
      <c r="D183" s="65"/>
      <c r="E183" s="65"/>
      <c r="F183" s="65"/>
      <c r="G183" s="65" t="s">
        <v>61</v>
      </c>
      <c r="H183" s="66"/>
      <c r="I183" s="66"/>
      <c r="J183" s="66"/>
      <c r="K183" s="65"/>
      <c r="L183" s="65"/>
      <c r="M183" s="23" t="str">
        <f t="shared" ca="1" si="10"/>
        <v/>
      </c>
      <c r="O183">
        <f>'Combined Delivery Data'!B182</f>
        <v>0</v>
      </c>
      <c r="P183">
        <f t="shared" si="11"/>
        <v>0</v>
      </c>
      <c r="Q183">
        <f t="shared" si="12"/>
        <v>497</v>
      </c>
      <c r="R183" s="38">
        <f t="shared" si="13"/>
        <v>0</v>
      </c>
      <c r="S183" t="str">
        <f t="shared" si="14"/>
        <v xml:space="preserve"> -&gt; </v>
      </c>
    </row>
    <row r="184" spans="1:19">
      <c r="A184" s="65"/>
      <c r="B184" s="66"/>
      <c r="C184" s="65" t="s">
        <v>148</v>
      </c>
      <c r="D184" s="65"/>
      <c r="E184" s="65"/>
      <c r="F184" s="65"/>
      <c r="G184" s="65" t="s">
        <v>61</v>
      </c>
      <c r="H184" s="66"/>
      <c r="I184" s="66"/>
      <c r="J184" s="66"/>
      <c r="K184" s="65"/>
      <c r="L184" s="65"/>
      <c r="M184" s="23" t="str">
        <f t="shared" ca="1" si="10"/>
        <v/>
      </c>
      <c r="O184">
        <f>'Combined Delivery Data'!B183</f>
        <v>0</v>
      </c>
      <c r="P184">
        <f t="shared" si="11"/>
        <v>0</v>
      </c>
      <c r="Q184">
        <f t="shared" si="12"/>
        <v>497</v>
      </c>
      <c r="R184" s="38">
        <f t="shared" si="13"/>
        <v>0</v>
      </c>
      <c r="S184" t="str">
        <f t="shared" si="14"/>
        <v xml:space="preserve"> -&gt; </v>
      </c>
    </row>
    <row r="185" spans="1:19">
      <c r="A185" s="65"/>
      <c r="B185" s="66"/>
      <c r="C185" s="65" t="s">
        <v>148</v>
      </c>
      <c r="D185" s="65"/>
      <c r="E185" s="65"/>
      <c r="F185" s="65"/>
      <c r="G185" s="65" t="s">
        <v>61</v>
      </c>
      <c r="H185" s="66"/>
      <c r="I185" s="66"/>
      <c r="J185" s="66"/>
      <c r="K185" s="65"/>
      <c r="L185" s="65"/>
      <c r="M185" s="23" t="str">
        <f t="shared" ca="1" si="10"/>
        <v/>
      </c>
      <c r="O185">
        <f>'Combined Delivery Data'!B184</f>
        <v>0</v>
      </c>
      <c r="P185">
        <f t="shared" si="11"/>
        <v>0</v>
      </c>
      <c r="Q185">
        <f t="shared" si="12"/>
        <v>497</v>
      </c>
      <c r="R185" s="38">
        <f t="shared" si="13"/>
        <v>0</v>
      </c>
      <c r="S185" t="str">
        <f t="shared" si="14"/>
        <v xml:space="preserve"> -&gt; </v>
      </c>
    </row>
    <row r="186" spans="1:19">
      <c r="A186" s="65"/>
      <c r="B186" s="66"/>
      <c r="C186" s="65" t="s">
        <v>148</v>
      </c>
      <c r="D186" s="65"/>
      <c r="E186" s="65"/>
      <c r="F186" s="65"/>
      <c r="G186" s="65" t="s">
        <v>61</v>
      </c>
      <c r="H186" s="66"/>
      <c r="I186" s="66"/>
      <c r="J186" s="66"/>
      <c r="K186" s="65"/>
      <c r="L186" s="65"/>
      <c r="M186" s="23" t="str">
        <f t="shared" ca="1" si="10"/>
        <v/>
      </c>
      <c r="O186">
        <f>'Combined Delivery Data'!B185</f>
        <v>0</v>
      </c>
      <c r="P186">
        <f t="shared" si="11"/>
        <v>0</v>
      </c>
      <c r="Q186">
        <f t="shared" si="12"/>
        <v>497</v>
      </c>
      <c r="R186" s="38">
        <f t="shared" si="13"/>
        <v>0</v>
      </c>
      <c r="S186" t="str">
        <f t="shared" si="14"/>
        <v xml:space="preserve"> -&gt; </v>
      </c>
    </row>
    <row r="187" spans="1:19">
      <c r="A187" s="65"/>
      <c r="B187" s="66"/>
      <c r="C187" s="65" t="s">
        <v>148</v>
      </c>
      <c r="D187" s="65"/>
      <c r="E187" s="65"/>
      <c r="F187" s="65"/>
      <c r="G187" s="65" t="s">
        <v>61</v>
      </c>
      <c r="H187" s="66"/>
      <c r="I187" s="66"/>
      <c r="J187" s="66"/>
      <c r="K187" s="65"/>
      <c r="L187" s="65"/>
      <c r="M187" s="23" t="str">
        <f t="shared" ca="1" si="10"/>
        <v/>
      </c>
      <c r="O187">
        <f>'Combined Delivery Data'!B186</f>
        <v>0</v>
      </c>
      <c r="P187">
        <f t="shared" si="11"/>
        <v>0</v>
      </c>
      <c r="Q187">
        <f t="shared" si="12"/>
        <v>497</v>
      </c>
      <c r="R187" s="38">
        <f t="shared" si="13"/>
        <v>0</v>
      </c>
      <c r="S187" t="str">
        <f t="shared" si="14"/>
        <v xml:space="preserve"> -&gt; </v>
      </c>
    </row>
    <row r="188" spans="1:19">
      <c r="A188" s="65"/>
      <c r="B188" s="66"/>
      <c r="C188" s="65" t="s">
        <v>148</v>
      </c>
      <c r="D188" s="65"/>
      <c r="E188" s="65"/>
      <c r="F188" s="65"/>
      <c r="G188" s="65" t="s">
        <v>61</v>
      </c>
      <c r="H188" s="66"/>
      <c r="I188" s="66"/>
      <c r="J188" s="66"/>
      <c r="K188" s="65"/>
      <c r="L188" s="65"/>
      <c r="M188" s="23" t="str">
        <f t="shared" ca="1" si="10"/>
        <v/>
      </c>
      <c r="O188">
        <f>'Combined Delivery Data'!B187</f>
        <v>0</v>
      </c>
      <c r="P188">
        <f t="shared" si="11"/>
        <v>0</v>
      </c>
      <c r="Q188">
        <f t="shared" si="12"/>
        <v>497</v>
      </c>
      <c r="R188" s="38">
        <f t="shared" si="13"/>
        <v>0</v>
      </c>
      <c r="S188" t="str">
        <f t="shared" si="14"/>
        <v xml:space="preserve"> -&gt; </v>
      </c>
    </row>
    <row r="189" spans="1:19">
      <c r="A189" s="65"/>
      <c r="B189" s="66"/>
      <c r="C189" s="65" t="s">
        <v>148</v>
      </c>
      <c r="D189" s="65"/>
      <c r="E189" s="65"/>
      <c r="F189" s="65"/>
      <c r="G189" s="65" t="s">
        <v>61</v>
      </c>
      <c r="H189" s="66"/>
      <c r="I189" s="66"/>
      <c r="J189" s="66"/>
      <c r="K189" s="65"/>
      <c r="L189" s="65"/>
      <c r="M189" s="23" t="str">
        <f t="shared" ca="1" si="10"/>
        <v/>
      </c>
      <c r="O189">
        <f>'Combined Delivery Data'!B188</f>
        <v>0</v>
      </c>
      <c r="P189">
        <f t="shared" si="11"/>
        <v>0</v>
      </c>
      <c r="Q189">
        <f t="shared" si="12"/>
        <v>497</v>
      </c>
      <c r="R189" s="38">
        <f t="shared" si="13"/>
        <v>0</v>
      </c>
      <c r="S189" t="str">
        <f t="shared" si="14"/>
        <v xml:space="preserve"> -&gt; </v>
      </c>
    </row>
    <row r="190" spans="1:19">
      <c r="A190" s="65"/>
      <c r="B190" s="66"/>
      <c r="C190" s="65" t="s">
        <v>148</v>
      </c>
      <c r="D190" s="65"/>
      <c r="E190" s="65"/>
      <c r="F190" s="65"/>
      <c r="G190" s="65" t="s">
        <v>61</v>
      </c>
      <c r="H190" s="66"/>
      <c r="I190" s="66"/>
      <c r="J190" s="66"/>
      <c r="K190" s="65"/>
      <c r="L190" s="65"/>
      <c r="M190" s="23" t="str">
        <f t="shared" ca="1" si="10"/>
        <v/>
      </c>
      <c r="O190">
        <f>'Combined Delivery Data'!B189</f>
        <v>0</v>
      </c>
      <c r="P190">
        <f t="shared" si="11"/>
        <v>0</v>
      </c>
      <c r="Q190">
        <f t="shared" si="12"/>
        <v>497</v>
      </c>
      <c r="R190" s="38">
        <f t="shared" si="13"/>
        <v>0</v>
      </c>
      <c r="S190" t="str">
        <f t="shared" si="14"/>
        <v xml:space="preserve"> -&gt; </v>
      </c>
    </row>
    <row r="191" spans="1:19">
      <c r="A191" s="65"/>
      <c r="B191" s="66"/>
      <c r="C191" s="65" t="s">
        <v>148</v>
      </c>
      <c r="D191" s="65"/>
      <c r="E191" s="65"/>
      <c r="F191" s="65"/>
      <c r="G191" s="65" t="s">
        <v>61</v>
      </c>
      <c r="H191" s="66"/>
      <c r="I191" s="66"/>
      <c r="J191" s="66"/>
      <c r="K191" s="65"/>
      <c r="L191" s="65"/>
      <c r="M191" s="23" t="str">
        <f t="shared" ca="1" si="10"/>
        <v/>
      </c>
      <c r="O191">
        <f>'Combined Delivery Data'!B190</f>
        <v>0</v>
      </c>
      <c r="P191">
        <f t="shared" si="11"/>
        <v>0</v>
      </c>
      <c r="Q191">
        <f t="shared" si="12"/>
        <v>497</v>
      </c>
      <c r="R191" s="38">
        <f t="shared" si="13"/>
        <v>0</v>
      </c>
      <c r="S191" t="str">
        <f t="shared" si="14"/>
        <v xml:space="preserve"> -&gt; </v>
      </c>
    </row>
    <row r="192" spans="1:19">
      <c r="A192" s="65"/>
      <c r="B192" s="66"/>
      <c r="C192" s="65" t="s">
        <v>148</v>
      </c>
      <c r="D192" s="65"/>
      <c r="E192" s="65"/>
      <c r="F192" s="65"/>
      <c r="G192" s="65" t="s">
        <v>61</v>
      </c>
      <c r="H192" s="66"/>
      <c r="I192" s="66"/>
      <c r="J192" s="66"/>
      <c r="K192" s="65"/>
      <c r="L192" s="65"/>
      <c r="M192" s="23" t="str">
        <f t="shared" ca="1" si="10"/>
        <v/>
      </c>
      <c r="O192">
        <f>'Combined Delivery Data'!B191</f>
        <v>0</v>
      </c>
      <c r="P192">
        <f t="shared" si="11"/>
        <v>0</v>
      </c>
      <c r="Q192">
        <f t="shared" si="12"/>
        <v>497</v>
      </c>
      <c r="R192" s="38">
        <f t="shared" si="13"/>
        <v>0</v>
      </c>
      <c r="S192" t="str">
        <f t="shared" si="14"/>
        <v xml:space="preserve"> -&gt; </v>
      </c>
    </row>
    <row r="193" spans="1:19">
      <c r="A193" s="65"/>
      <c r="B193" s="66"/>
      <c r="C193" s="65" t="s">
        <v>148</v>
      </c>
      <c r="D193" s="65"/>
      <c r="E193" s="65"/>
      <c r="F193" s="65"/>
      <c r="G193" s="65" t="s">
        <v>61</v>
      </c>
      <c r="H193" s="66"/>
      <c r="I193" s="66"/>
      <c r="J193" s="66"/>
      <c r="K193" s="65"/>
      <c r="L193" s="65"/>
      <c r="M193" s="23" t="str">
        <f t="shared" ca="1" si="10"/>
        <v/>
      </c>
      <c r="O193">
        <f>'Combined Delivery Data'!B192</f>
        <v>0</v>
      </c>
      <c r="P193">
        <f t="shared" si="11"/>
        <v>0</v>
      </c>
      <c r="Q193">
        <f t="shared" si="12"/>
        <v>497</v>
      </c>
      <c r="R193" s="38">
        <f t="shared" si="13"/>
        <v>0</v>
      </c>
      <c r="S193" t="str">
        <f t="shared" si="14"/>
        <v xml:space="preserve"> -&gt; </v>
      </c>
    </row>
    <row r="194" spans="1:19">
      <c r="A194" s="65"/>
      <c r="B194" s="66"/>
      <c r="C194" s="65" t="s">
        <v>148</v>
      </c>
      <c r="D194" s="65"/>
      <c r="E194" s="65"/>
      <c r="F194" s="65"/>
      <c r="G194" s="65" t="s">
        <v>61</v>
      </c>
      <c r="H194" s="66"/>
      <c r="I194" s="66"/>
      <c r="J194" s="66"/>
      <c r="K194" s="65"/>
      <c r="L194" s="65"/>
      <c r="M194" s="23" t="str">
        <f t="shared" ca="1" si="10"/>
        <v/>
      </c>
      <c r="O194">
        <f>'Combined Delivery Data'!B193</f>
        <v>0</v>
      </c>
      <c r="P194">
        <f t="shared" si="11"/>
        <v>0</v>
      </c>
      <c r="Q194">
        <f t="shared" si="12"/>
        <v>497</v>
      </c>
      <c r="R194" s="38">
        <f t="shared" si="13"/>
        <v>0</v>
      </c>
      <c r="S194" t="str">
        <f t="shared" si="14"/>
        <v xml:space="preserve"> -&gt; </v>
      </c>
    </row>
    <row r="195" spans="1:19">
      <c r="A195" s="65"/>
      <c r="B195" s="66"/>
      <c r="C195" s="65" t="s">
        <v>148</v>
      </c>
      <c r="D195" s="65"/>
      <c r="E195" s="65"/>
      <c r="F195" s="65"/>
      <c r="G195" s="65" t="s">
        <v>61</v>
      </c>
      <c r="H195" s="66"/>
      <c r="I195" s="66"/>
      <c r="J195" s="66"/>
      <c r="K195" s="65"/>
      <c r="L195" s="65"/>
      <c r="M195" s="2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O195">
        <f>'Combined Delivery Data'!B194</f>
        <v>0</v>
      </c>
      <c r="P195">
        <f t="shared" ref="P195:P258" si="16">IF($O195="","",COUNTIF($A$3:$A$500,$O195))</f>
        <v>0</v>
      </c>
      <c r="Q195">
        <f t="shared" ref="Q195:Q258" si="17">IF($O195="","",SUMPRODUCT(($A$3:$A$500=$O195)*($G$3:$G$500&lt;&gt;"Yes")*($G$3:$G$500&lt;&gt;"Did not pass re-test")))</f>
        <v>497</v>
      </c>
      <c r="R195" s="38">
        <f t="shared" ref="R195:R258" si="18">IF($O195="","",IF(SUMPRODUCT(MAX(($A$3:$A$500=$O195)*ROW($A$3:$A$500)))=0,"",INDEX($B:$B,SUMPRODUCT(MAX(($A$3:$A$500=$O195)*ROW($A$3:$A$500))))))</f>
        <v>0</v>
      </c>
      <c r="S195" t="str">
        <f t="shared" ref="S195:S258" si="19">IF($O195="","",IF(SUMPRODUCT(MAX(($A$3:$A$500=$O195)*ROW($A$3:$A$500)))=0,"",INDEX($C:$C,SUMPRODUCT(MAX(($A$3:$A$500=$O195)*ROW($A$3:$A$500))))&amp;" -&gt; "&amp;INDEX($D:$D,SUMPRODUCT(MAX(($A$3:$A$500=$O195)*ROW($A$3:$A$500))))))</f>
        <v xml:space="preserve"> -&gt; </v>
      </c>
    </row>
    <row r="196" spans="1:19">
      <c r="A196" s="65"/>
      <c r="B196" s="66"/>
      <c r="C196" s="65" t="s">
        <v>148</v>
      </c>
      <c r="D196" s="65"/>
      <c r="E196" s="65"/>
      <c r="F196" s="65"/>
      <c r="G196" s="65" t="s">
        <v>61</v>
      </c>
      <c r="H196" s="66"/>
      <c r="I196" s="66"/>
      <c r="J196" s="66"/>
      <c r="K196" s="65"/>
      <c r="L196" s="65"/>
      <c r="M196" s="23" t="str">
        <f t="shared" ca="1" si="15"/>
        <v/>
      </c>
      <c r="O196">
        <f>'Combined Delivery Data'!B195</f>
        <v>0</v>
      </c>
      <c r="P196">
        <f t="shared" si="16"/>
        <v>0</v>
      </c>
      <c r="Q196">
        <f t="shared" si="17"/>
        <v>497</v>
      </c>
      <c r="R196" s="38">
        <f t="shared" si="18"/>
        <v>0</v>
      </c>
      <c r="S196" t="str">
        <f t="shared" si="19"/>
        <v xml:space="preserve"> -&gt; </v>
      </c>
    </row>
    <row r="197" spans="1:19">
      <c r="A197" s="65"/>
      <c r="B197" s="66"/>
      <c r="C197" s="65" t="s">
        <v>148</v>
      </c>
      <c r="D197" s="65"/>
      <c r="E197" s="65"/>
      <c r="F197" s="65"/>
      <c r="G197" s="65" t="s">
        <v>61</v>
      </c>
      <c r="H197" s="66"/>
      <c r="I197" s="66"/>
      <c r="J197" s="66"/>
      <c r="K197" s="65"/>
      <c r="L197" s="65"/>
      <c r="M197" s="23" t="str">
        <f t="shared" ca="1" si="15"/>
        <v/>
      </c>
      <c r="O197">
        <f>'Combined Delivery Data'!B196</f>
        <v>0</v>
      </c>
      <c r="P197">
        <f t="shared" si="16"/>
        <v>0</v>
      </c>
      <c r="Q197">
        <f t="shared" si="17"/>
        <v>497</v>
      </c>
      <c r="R197" s="38">
        <f t="shared" si="18"/>
        <v>0</v>
      </c>
      <c r="S197" t="str">
        <f t="shared" si="19"/>
        <v xml:space="preserve"> -&gt; </v>
      </c>
    </row>
    <row r="198" spans="1:19">
      <c r="A198" s="65"/>
      <c r="B198" s="66"/>
      <c r="C198" s="65" t="s">
        <v>148</v>
      </c>
      <c r="D198" s="65"/>
      <c r="E198" s="65"/>
      <c r="F198" s="65"/>
      <c r="G198" s="65" t="s">
        <v>61</v>
      </c>
      <c r="H198" s="66"/>
      <c r="I198" s="66"/>
      <c r="J198" s="66"/>
      <c r="K198" s="65"/>
      <c r="L198" s="65"/>
      <c r="M198" s="23" t="str">
        <f t="shared" ca="1" si="15"/>
        <v/>
      </c>
      <c r="O198">
        <f>'Combined Delivery Data'!B197</f>
        <v>0</v>
      </c>
      <c r="P198">
        <f t="shared" si="16"/>
        <v>0</v>
      </c>
      <c r="Q198">
        <f t="shared" si="17"/>
        <v>497</v>
      </c>
      <c r="R198" s="38">
        <f t="shared" si="18"/>
        <v>0</v>
      </c>
      <c r="S198" t="str">
        <f t="shared" si="19"/>
        <v xml:space="preserve"> -&gt; </v>
      </c>
    </row>
    <row r="199" spans="1:19">
      <c r="A199" s="65"/>
      <c r="B199" s="66"/>
      <c r="C199" s="65" t="s">
        <v>148</v>
      </c>
      <c r="D199" s="65"/>
      <c r="E199" s="65"/>
      <c r="F199" s="65"/>
      <c r="G199" s="65" t="s">
        <v>61</v>
      </c>
      <c r="H199" s="66"/>
      <c r="I199" s="66"/>
      <c r="J199" s="66"/>
      <c r="K199" s="65"/>
      <c r="L199" s="65"/>
      <c r="M199" s="23" t="str">
        <f t="shared" ca="1" si="15"/>
        <v/>
      </c>
      <c r="O199">
        <f>'Combined Delivery Data'!B198</f>
        <v>0</v>
      </c>
      <c r="P199">
        <f t="shared" si="16"/>
        <v>0</v>
      </c>
      <c r="Q199">
        <f t="shared" si="17"/>
        <v>497</v>
      </c>
      <c r="R199" s="38">
        <f t="shared" si="18"/>
        <v>0</v>
      </c>
      <c r="S199" t="str">
        <f t="shared" si="19"/>
        <v xml:space="preserve"> -&gt; </v>
      </c>
    </row>
    <row r="200" spans="1:19">
      <c r="A200" s="65"/>
      <c r="B200" s="66"/>
      <c r="C200" s="65" t="s">
        <v>148</v>
      </c>
      <c r="D200" s="65"/>
      <c r="E200" s="65"/>
      <c r="F200" s="65"/>
      <c r="G200" s="65" t="s">
        <v>61</v>
      </c>
      <c r="H200" s="66"/>
      <c r="I200" s="66"/>
      <c r="J200" s="66"/>
      <c r="K200" s="65"/>
      <c r="L200" s="65"/>
      <c r="M200" s="23" t="str">
        <f t="shared" ca="1" si="15"/>
        <v/>
      </c>
      <c r="O200">
        <f>'Combined Delivery Data'!B199</f>
        <v>0</v>
      </c>
      <c r="P200">
        <f t="shared" si="16"/>
        <v>0</v>
      </c>
      <c r="Q200">
        <f t="shared" si="17"/>
        <v>497</v>
      </c>
      <c r="R200" s="38">
        <f t="shared" si="18"/>
        <v>0</v>
      </c>
      <c r="S200" t="str">
        <f t="shared" si="19"/>
        <v xml:space="preserve"> -&gt; </v>
      </c>
    </row>
    <row r="201" spans="1:19">
      <c r="A201" s="65"/>
      <c r="B201" s="66"/>
      <c r="C201" s="65"/>
      <c r="D201" s="65"/>
      <c r="E201" s="65"/>
      <c r="F201" s="65"/>
      <c r="G201" s="65"/>
      <c r="H201" s="66"/>
      <c r="I201" s="66"/>
      <c r="J201" s="66"/>
      <c r="K201" s="65"/>
      <c r="L201" s="65"/>
      <c r="M201" s="23" t="str">
        <f t="shared" ca="1" si="15"/>
        <v/>
      </c>
      <c r="O201">
        <f>'Combined Delivery Data'!B200</f>
        <v>0</v>
      </c>
      <c r="P201">
        <f t="shared" si="16"/>
        <v>0</v>
      </c>
      <c r="Q201">
        <f t="shared" si="17"/>
        <v>497</v>
      </c>
      <c r="R201" s="38">
        <f t="shared" si="18"/>
        <v>0</v>
      </c>
      <c r="S201" t="str">
        <f t="shared" si="19"/>
        <v xml:space="preserve"> -&gt; </v>
      </c>
    </row>
    <row r="202" spans="1:19">
      <c r="A202" s="65"/>
      <c r="B202" s="66"/>
      <c r="C202" s="65"/>
      <c r="D202" s="65"/>
      <c r="E202" s="65"/>
      <c r="F202" s="65"/>
      <c r="G202" s="65"/>
      <c r="H202" s="66"/>
      <c r="I202" s="66"/>
      <c r="J202" s="66"/>
      <c r="K202" s="65"/>
      <c r="L202" s="65"/>
      <c r="M202" s="23" t="str">
        <f t="shared" ca="1" si="15"/>
        <v/>
      </c>
      <c r="O202">
        <f>'Combined Delivery Data'!B201</f>
        <v>0</v>
      </c>
      <c r="P202">
        <f t="shared" si="16"/>
        <v>0</v>
      </c>
      <c r="Q202">
        <f t="shared" si="17"/>
        <v>497</v>
      </c>
      <c r="R202" s="38">
        <f t="shared" si="18"/>
        <v>0</v>
      </c>
      <c r="S202" t="str">
        <f t="shared" si="19"/>
        <v xml:space="preserve"> -&gt; </v>
      </c>
    </row>
    <row r="203" spans="1:19">
      <c r="A203" s="65"/>
      <c r="B203" s="66"/>
      <c r="C203" s="65"/>
      <c r="D203" s="65"/>
      <c r="E203" s="65"/>
      <c r="F203" s="65"/>
      <c r="G203" s="65"/>
      <c r="H203" s="66"/>
      <c r="I203" s="66"/>
      <c r="J203" s="66"/>
      <c r="K203" s="65"/>
      <c r="L203" s="65"/>
      <c r="M203" s="23" t="str">
        <f t="shared" ca="1" si="15"/>
        <v/>
      </c>
      <c r="O203">
        <f>'Combined Delivery Data'!B202</f>
        <v>0</v>
      </c>
      <c r="P203">
        <f t="shared" si="16"/>
        <v>0</v>
      </c>
      <c r="Q203">
        <f t="shared" si="17"/>
        <v>497</v>
      </c>
      <c r="R203" s="38">
        <f t="shared" si="18"/>
        <v>0</v>
      </c>
      <c r="S203" t="str">
        <f t="shared" si="19"/>
        <v xml:space="preserve"> -&gt; </v>
      </c>
    </row>
    <row r="204" spans="1:19">
      <c r="A204" s="65"/>
      <c r="B204" s="66"/>
      <c r="C204" s="65"/>
      <c r="D204" s="65"/>
      <c r="E204" s="65"/>
      <c r="F204" s="65"/>
      <c r="G204" s="65"/>
      <c r="H204" s="66"/>
      <c r="I204" s="66"/>
      <c r="J204" s="66"/>
      <c r="K204" s="65"/>
      <c r="L204" s="65"/>
      <c r="M204" s="23" t="str">
        <f t="shared" ca="1" si="15"/>
        <v/>
      </c>
      <c r="O204">
        <f>'Combined Delivery Data'!B203</f>
        <v>0</v>
      </c>
      <c r="P204">
        <f t="shared" si="16"/>
        <v>0</v>
      </c>
      <c r="Q204">
        <f t="shared" si="17"/>
        <v>497</v>
      </c>
      <c r="R204" s="38">
        <f t="shared" si="18"/>
        <v>0</v>
      </c>
      <c r="S204" t="str">
        <f t="shared" si="19"/>
        <v xml:space="preserve"> -&gt; </v>
      </c>
    </row>
    <row r="205" spans="1:19">
      <c r="A205" s="65"/>
      <c r="B205" s="66"/>
      <c r="C205" s="65"/>
      <c r="D205" s="65"/>
      <c r="E205" s="65"/>
      <c r="F205" s="65"/>
      <c r="G205" s="65"/>
      <c r="H205" s="66"/>
      <c r="I205" s="66"/>
      <c r="J205" s="66"/>
      <c r="K205" s="65"/>
      <c r="L205" s="65"/>
      <c r="M205" s="23" t="str">
        <f t="shared" ca="1" si="15"/>
        <v/>
      </c>
      <c r="O205">
        <f>'Combined Delivery Data'!B204</f>
        <v>0</v>
      </c>
      <c r="P205">
        <f t="shared" si="16"/>
        <v>0</v>
      </c>
      <c r="Q205">
        <f t="shared" si="17"/>
        <v>497</v>
      </c>
      <c r="R205" s="38">
        <f t="shared" si="18"/>
        <v>0</v>
      </c>
      <c r="S205" t="str">
        <f t="shared" si="19"/>
        <v xml:space="preserve"> -&gt; </v>
      </c>
    </row>
    <row r="206" spans="1:19">
      <c r="A206" s="65"/>
      <c r="B206" s="66"/>
      <c r="C206" s="65"/>
      <c r="D206" s="65"/>
      <c r="E206" s="65"/>
      <c r="F206" s="65"/>
      <c r="G206" s="65"/>
      <c r="H206" s="66"/>
      <c r="I206" s="66"/>
      <c r="J206" s="66"/>
      <c r="K206" s="65"/>
      <c r="L206" s="65"/>
      <c r="M206" s="23" t="str">
        <f t="shared" ca="1" si="15"/>
        <v/>
      </c>
      <c r="O206">
        <f>'Combined Delivery Data'!B205</f>
        <v>0</v>
      </c>
      <c r="P206">
        <f t="shared" si="16"/>
        <v>0</v>
      </c>
      <c r="Q206">
        <f t="shared" si="17"/>
        <v>497</v>
      </c>
      <c r="R206" s="38">
        <f t="shared" si="18"/>
        <v>0</v>
      </c>
      <c r="S206" t="str">
        <f t="shared" si="19"/>
        <v xml:space="preserve"> -&gt; </v>
      </c>
    </row>
    <row r="207" spans="1:19">
      <c r="A207" s="65"/>
      <c r="B207" s="66"/>
      <c r="C207" s="65"/>
      <c r="D207" s="65"/>
      <c r="E207" s="65"/>
      <c r="F207" s="65"/>
      <c r="G207" s="65"/>
      <c r="H207" s="66"/>
      <c r="I207" s="66"/>
      <c r="J207" s="66"/>
      <c r="K207" s="65"/>
      <c r="L207" s="65"/>
      <c r="M207" s="23" t="str">
        <f t="shared" ca="1" si="15"/>
        <v/>
      </c>
      <c r="O207">
        <f>'Combined Delivery Data'!B206</f>
        <v>0</v>
      </c>
      <c r="P207">
        <f t="shared" si="16"/>
        <v>0</v>
      </c>
      <c r="Q207">
        <f t="shared" si="17"/>
        <v>497</v>
      </c>
      <c r="R207" s="38">
        <f t="shared" si="18"/>
        <v>0</v>
      </c>
      <c r="S207" t="str">
        <f t="shared" si="19"/>
        <v xml:space="preserve"> -&gt; </v>
      </c>
    </row>
    <row r="208" spans="1:19">
      <c r="A208" s="65"/>
      <c r="B208" s="66"/>
      <c r="C208" s="65"/>
      <c r="D208" s="65"/>
      <c r="E208" s="65"/>
      <c r="F208" s="65"/>
      <c r="G208" s="65"/>
      <c r="H208" s="66"/>
      <c r="I208" s="66"/>
      <c r="J208" s="66"/>
      <c r="K208" s="65"/>
      <c r="L208" s="65"/>
      <c r="M208" s="23" t="str">
        <f t="shared" ca="1" si="15"/>
        <v/>
      </c>
      <c r="O208">
        <f>'Combined Delivery Data'!B207</f>
        <v>0</v>
      </c>
      <c r="P208">
        <f t="shared" si="16"/>
        <v>0</v>
      </c>
      <c r="Q208">
        <f t="shared" si="17"/>
        <v>497</v>
      </c>
      <c r="R208" s="38">
        <f t="shared" si="18"/>
        <v>0</v>
      </c>
      <c r="S208" t="str">
        <f t="shared" si="19"/>
        <v xml:space="preserve"> -&gt; </v>
      </c>
    </row>
    <row r="209" spans="1:19">
      <c r="A209" s="65"/>
      <c r="B209" s="66"/>
      <c r="C209" s="65"/>
      <c r="D209" s="65"/>
      <c r="E209" s="65"/>
      <c r="F209" s="65"/>
      <c r="G209" s="65"/>
      <c r="H209" s="66"/>
      <c r="I209" s="66"/>
      <c r="J209" s="66"/>
      <c r="K209" s="65"/>
      <c r="L209" s="65"/>
      <c r="M209" s="23" t="str">
        <f t="shared" ca="1" si="15"/>
        <v/>
      </c>
      <c r="O209">
        <f>'Combined Delivery Data'!B208</f>
        <v>0</v>
      </c>
      <c r="P209">
        <f t="shared" si="16"/>
        <v>0</v>
      </c>
      <c r="Q209">
        <f t="shared" si="17"/>
        <v>497</v>
      </c>
      <c r="R209" s="38">
        <f t="shared" si="18"/>
        <v>0</v>
      </c>
      <c r="S209" t="str">
        <f t="shared" si="19"/>
        <v xml:space="preserve"> -&gt; </v>
      </c>
    </row>
    <row r="210" spans="1:19">
      <c r="A210" s="65"/>
      <c r="B210" s="66"/>
      <c r="C210" s="65"/>
      <c r="D210" s="65"/>
      <c r="E210" s="65"/>
      <c r="F210" s="65"/>
      <c r="G210" s="65"/>
      <c r="H210" s="66"/>
      <c r="I210" s="66"/>
      <c r="J210" s="66"/>
      <c r="K210" s="65"/>
      <c r="L210" s="65"/>
      <c r="M210" s="23" t="str">
        <f t="shared" ca="1" si="15"/>
        <v/>
      </c>
      <c r="O210">
        <f>'Combined Delivery Data'!B209</f>
        <v>0</v>
      </c>
      <c r="P210">
        <f t="shared" si="16"/>
        <v>0</v>
      </c>
      <c r="Q210">
        <f t="shared" si="17"/>
        <v>497</v>
      </c>
      <c r="R210" s="38">
        <f t="shared" si="18"/>
        <v>0</v>
      </c>
      <c r="S210" t="str">
        <f t="shared" si="19"/>
        <v xml:space="preserve"> -&gt; </v>
      </c>
    </row>
    <row r="211" spans="1:19">
      <c r="A211" s="65"/>
      <c r="B211" s="66"/>
      <c r="C211" s="65"/>
      <c r="D211" s="65"/>
      <c r="E211" s="65"/>
      <c r="F211" s="65"/>
      <c r="G211" s="65"/>
      <c r="H211" s="66"/>
      <c r="I211" s="66"/>
      <c r="J211" s="66"/>
      <c r="K211" s="65"/>
      <c r="L211" s="65"/>
      <c r="M211" s="23" t="str">
        <f t="shared" ca="1" si="15"/>
        <v/>
      </c>
      <c r="O211">
        <f>'Combined Delivery Data'!B210</f>
        <v>0</v>
      </c>
      <c r="P211">
        <f t="shared" si="16"/>
        <v>0</v>
      </c>
      <c r="Q211">
        <f t="shared" si="17"/>
        <v>497</v>
      </c>
      <c r="R211" s="38">
        <f t="shared" si="18"/>
        <v>0</v>
      </c>
      <c r="S211" t="str">
        <f t="shared" si="19"/>
        <v xml:space="preserve"> -&gt; </v>
      </c>
    </row>
    <row r="212" spans="1:19">
      <c r="A212" s="65"/>
      <c r="B212" s="66"/>
      <c r="C212" s="65"/>
      <c r="D212" s="65"/>
      <c r="E212" s="65"/>
      <c r="F212" s="65"/>
      <c r="G212" s="65"/>
      <c r="H212" s="66"/>
      <c r="I212" s="66"/>
      <c r="J212" s="66"/>
      <c r="K212" s="65"/>
      <c r="L212" s="65"/>
      <c r="M212" s="23" t="str">
        <f t="shared" ca="1" si="15"/>
        <v/>
      </c>
      <c r="O212">
        <f>'Combined Delivery Data'!B211</f>
        <v>0</v>
      </c>
      <c r="P212">
        <f t="shared" si="16"/>
        <v>0</v>
      </c>
      <c r="Q212">
        <f t="shared" si="17"/>
        <v>497</v>
      </c>
      <c r="R212" s="38">
        <f t="shared" si="18"/>
        <v>0</v>
      </c>
      <c r="S212" t="str">
        <f t="shared" si="19"/>
        <v xml:space="preserve"> -&gt; </v>
      </c>
    </row>
    <row r="213" spans="1:19">
      <c r="A213" s="65"/>
      <c r="B213" s="66"/>
      <c r="C213" s="65"/>
      <c r="D213" s="65"/>
      <c r="E213" s="65"/>
      <c r="F213" s="65"/>
      <c r="G213" s="65"/>
      <c r="H213" s="66"/>
      <c r="I213" s="66"/>
      <c r="J213" s="66"/>
      <c r="K213" s="65"/>
      <c r="L213" s="65"/>
      <c r="M213" s="23" t="str">
        <f t="shared" ca="1" si="15"/>
        <v/>
      </c>
      <c r="O213">
        <f>'Combined Delivery Data'!B212</f>
        <v>0</v>
      </c>
      <c r="P213">
        <f t="shared" si="16"/>
        <v>0</v>
      </c>
      <c r="Q213">
        <f t="shared" si="17"/>
        <v>497</v>
      </c>
      <c r="R213" s="38">
        <f t="shared" si="18"/>
        <v>0</v>
      </c>
      <c r="S213" t="str">
        <f t="shared" si="19"/>
        <v xml:space="preserve"> -&gt; </v>
      </c>
    </row>
    <row r="214" spans="1:19">
      <c r="A214" s="65"/>
      <c r="B214" s="66"/>
      <c r="C214" s="65"/>
      <c r="D214" s="65"/>
      <c r="E214" s="65"/>
      <c r="F214" s="65"/>
      <c r="G214" s="65"/>
      <c r="H214" s="66"/>
      <c r="I214" s="66"/>
      <c r="J214" s="66"/>
      <c r="K214" s="65"/>
      <c r="L214" s="65"/>
      <c r="M214" s="23" t="str">
        <f t="shared" ca="1" si="15"/>
        <v/>
      </c>
      <c r="O214">
        <f>'Combined Delivery Data'!B213</f>
        <v>0</v>
      </c>
      <c r="P214">
        <f t="shared" si="16"/>
        <v>0</v>
      </c>
      <c r="Q214">
        <f t="shared" si="17"/>
        <v>497</v>
      </c>
      <c r="R214" s="38">
        <f t="shared" si="18"/>
        <v>0</v>
      </c>
      <c r="S214" t="str">
        <f t="shared" si="19"/>
        <v xml:space="preserve"> -&gt; </v>
      </c>
    </row>
    <row r="215" spans="1:19">
      <c r="A215" s="65"/>
      <c r="B215" s="66"/>
      <c r="C215" s="65"/>
      <c r="D215" s="65"/>
      <c r="E215" s="65"/>
      <c r="F215" s="65"/>
      <c r="G215" s="65"/>
      <c r="H215" s="66"/>
      <c r="I215" s="66"/>
      <c r="J215" s="66"/>
      <c r="K215" s="65"/>
      <c r="L215" s="65"/>
      <c r="M215" s="23" t="str">
        <f t="shared" ca="1" si="15"/>
        <v/>
      </c>
      <c r="O215">
        <f>'Combined Delivery Data'!B214</f>
        <v>0</v>
      </c>
      <c r="P215">
        <f t="shared" si="16"/>
        <v>0</v>
      </c>
      <c r="Q215">
        <f t="shared" si="17"/>
        <v>497</v>
      </c>
      <c r="R215" s="38">
        <f t="shared" si="18"/>
        <v>0</v>
      </c>
      <c r="S215" t="str">
        <f t="shared" si="19"/>
        <v xml:space="preserve"> -&gt; </v>
      </c>
    </row>
    <row r="216" spans="1:19">
      <c r="A216" s="65"/>
      <c r="B216" s="66"/>
      <c r="C216" s="65"/>
      <c r="D216" s="65"/>
      <c r="E216" s="65"/>
      <c r="F216" s="65"/>
      <c r="G216" s="65"/>
      <c r="H216" s="66"/>
      <c r="I216" s="66"/>
      <c r="J216" s="66"/>
      <c r="K216" s="65"/>
      <c r="L216" s="65"/>
      <c r="M216" s="23" t="str">
        <f t="shared" ca="1" si="15"/>
        <v/>
      </c>
      <c r="O216">
        <f>'Combined Delivery Data'!B215</f>
        <v>0</v>
      </c>
      <c r="P216">
        <f t="shared" si="16"/>
        <v>0</v>
      </c>
      <c r="Q216">
        <f t="shared" si="17"/>
        <v>497</v>
      </c>
      <c r="R216" s="38">
        <f t="shared" si="18"/>
        <v>0</v>
      </c>
      <c r="S216" t="str">
        <f t="shared" si="19"/>
        <v xml:space="preserve"> -&gt; </v>
      </c>
    </row>
    <row r="217" spans="1:19">
      <c r="A217" s="65"/>
      <c r="B217" s="66"/>
      <c r="C217" s="65"/>
      <c r="D217" s="65"/>
      <c r="E217" s="65"/>
      <c r="F217" s="65"/>
      <c r="G217" s="65"/>
      <c r="H217" s="66"/>
      <c r="I217" s="66"/>
      <c r="J217" s="66"/>
      <c r="K217" s="65"/>
      <c r="L217" s="65"/>
      <c r="M217" s="23" t="str">
        <f t="shared" ca="1" si="15"/>
        <v/>
      </c>
      <c r="O217">
        <f>'Combined Delivery Data'!B216</f>
        <v>0</v>
      </c>
      <c r="P217">
        <f t="shared" si="16"/>
        <v>0</v>
      </c>
      <c r="Q217">
        <f t="shared" si="17"/>
        <v>497</v>
      </c>
      <c r="R217" s="38">
        <f t="shared" si="18"/>
        <v>0</v>
      </c>
      <c r="S217" t="str">
        <f t="shared" si="19"/>
        <v xml:space="preserve"> -&gt; </v>
      </c>
    </row>
    <row r="218" spans="1:19">
      <c r="A218" s="65"/>
      <c r="B218" s="66"/>
      <c r="C218" s="65"/>
      <c r="D218" s="65"/>
      <c r="E218" s="65"/>
      <c r="F218" s="65"/>
      <c r="G218" s="65"/>
      <c r="H218" s="66"/>
      <c r="I218" s="66"/>
      <c r="J218" s="66"/>
      <c r="K218" s="65"/>
      <c r="L218" s="65"/>
      <c r="M218" s="23" t="str">
        <f t="shared" ca="1" si="15"/>
        <v/>
      </c>
      <c r="O218">
        <f>'Combined Delivery Data'!B217</f>
        <v>0</v>
      </c>
      <c r="P218">
        <f t="shared" si="16"/>
        <v>0</v>
      </c>
      <c r="Q218">
        <f t="shared" si="17"/>
        <v>497</v>
      </c>
      <c r="R218" s="38">
        <f t="shared" si="18"/>
        <v>0</v>
      </c>
      <c r="S218" t="str">
        <f t="shared" si="19"/>
        <v xml:space="preserve"> -&gt; </v>
      </c>
    </row>
    <row r="219" spans="1:19">
      <c r="A219" s="65"/>
      <c r="B219" s="66"/>
      <c r="C219" s="65"/>
      <c r="D219" s="65"/>
      <c r="E219" s="65"/>
      <c r="F219" s="65"/>
      <c r="G219" s="65"/>
      <c r="H219" s="66"/>
      <c r="I219" s="66"/>
      <c r="J219" s="66"/>
      <c r="K219" s="65"/>
      <c r="L219" s="65"/>
      <c r="M219" s="23" t="str">
        <f t="shared" ca="1" si="15"/>
        <v/>
      </c>
      <c r="O219">
        <f>'Combined Delivery Data'!B218</f>
        <v>0</v>
      </c>
      <c r="P219">
        <f t="shared" si="16"/>
        <v>0</v>
      </c>
      <c r="Q219">
        <f t="shared" si="17"/>
        <v>497</v>
      </c>
      <c r="R219" s="38">
        <f t="shared" si="18"/>
        <v>0</v>
      </c>
      <c r="S219" t="str">
        <f t="shared" si="19"/>
        <v xml:space="preserve"> -&gt; </v>
      </c>
    </row>
    <row r="220" spans="1:19">
      <c r="A220" s="65"/>
      <c r="B220" s="66"/>
      <c r="C220" s="65"/>
      <c r="D220" s="65"/>
      <c r="E220" s="65"/>
      <c r="F220" s="65"/>
      <c r="G220" s="65"/>
      <c r="H220" s="66"/>
      <c r="I220" s="66"/>
      <c r="J220" s="66"/>
      <c r="K220" s="65"/>
      <c r="L220" s="65"/>
      <c r="M220" s="23" t="str">
        <f t="shared" ca="1" si="15"/>
        <v/>
      </c>
      <c r="O220">
        <f>'Combined Delivery Data'!B219</f>
        <v>0</v>
      </c>
      <c r="P220">
        <f t="shared" si="16"/>
        <v>0</v>
      </c>
      <c r="Q220">
        <f t="shared" si="17"/>
        <v>497</v>
      </c>
      <c r="R220" s="38">
        <f t="shared" si="18"/>
        <v>0</v>
      </c>
      <c r="S220" t="str">
        <f t="shared" si="19"/>
        <v xml:space="preserve"> -&gt; </v>
      </c>
    </row>
    <row r="221" spans="1:19">
      <c r="A221" s="65"/>
      <c r="B221" s="66"/>
      <c r="C221" s="65"/>
      <c r="D221" s="65"/>
      <c r="E221" s="65"/>
      <c r="F221" s="65"/>
      <c r="G221" s="65"/>
      <c r="H221" s="66"/>
      <c r="I221" s="66"/>
      <c r="J221" s="66"/>
      <c r="K221" s="65"/>
      <c r="L221" s="65"/>
      <c r="M221" s="23" t="str">
        <f t="shared" ca="1" si="15"/>
        <v/>
      </c>
      <c r="O221">
        <f>'Combined Delivery Data'!B220</f>
        <v>0</v>
      </c>
      <c r="P221">
        <f t="shared" si="16"/>
        <v>0</v>
      </c>
      <c r="Q221">
        <f t="shared" si="17"/>
        <v>497</v>
      </c>
      <c r="R221" s="38">
        <f t="shared" si="18"/>
        <v>0</v>
      </c>
      <c r="S221" t="str">
        <f t="shared" si="19"/>
        <v xml:space="preserve"> -&gt; </v>
      </c>
    </row>
    <row r="222" spans="1:19">
      <c r="A222" s="65"/>
      <c r="B222" s="66"/>
      <c r="C222" s="65"/>
      <c r="D222" s="65"/>
      <c r="E222" s="65"/>
      <c r="F222" s="65"/>
      <c r="G222" s="65"/>
      <c r="H222" s="66"/>
      <c r="I222" s="66"/>
      <c r="J222" s="66"/>
      <c r="K222" s="65"/>
      <c r="L222" s="65"/>
      <c r="M222" s="23" t="str">
        <f t="shared" ca="1" si="15"/>
        <v/>
      </c>
      <c r="O222">
        <f>'Combined Delivery Data'!B221</f>
        <v>0</v>
      </c>
      <c r="P222">
        <f t="shared" si="16"/>
        <v>0</v>
      </c>
      <c r="Q222">
        <f t="shared" si="17"/>
        <v>497</v>
      </c>
      <c r="R222" s="38">
        <f t="shared" si="18"/>
        <v>0</v>
      </c>
      <c r="S222" t="str">
        <f t="shared" si="19"/>
        <v xml:space="preserve"> -&gt; </v>
      </c>
    </row>
    <row r="223" spans="1:19">
      <c r="A223" s="65"/>
      <c r="B223" s="66"/>
      <c r="C223" s="65"/>
      <c r="D223" s="65"/>
      <c r="E223" s="65"/>
      <c r="F223" s="65"/>
      <c r="G223" s="65"/>
      <c r="H223" s="66"/>
      <c r="I223" s="66"/>
      <c r="J223" s="66"/>
      <c r="K223" s="65"/>
      <c r="L223" s="65"/>
      <c r="M223" s="23" t="str">
        <f t="shared" ca="1" si="15"/>
        <v/>
      </c>
      <c r="O223">
        <f>'Combined Delivery Data'!B222</f>
        <v>0</v>
      </c>
      <c r="P223">
        <f t="shared" si="16"/>
        <v>0</v>
      </c>
      <c r="Q223">
        <f t="shared" si="17"/>
        <v>497</v>
      </c>
      <c r="R223" s="38">
        <f t="shared" si="18"/>
        <v>0</v>
      </c>
      <c r="S223" t="str">
        <f t="shared" si="19"/>
        <v xml:space="preserve"> -&gt; </v>
      </c>
    </row>
    <row r="224" spans="1:19">
      <c r="A224" s="65"/>
      <c r="B224" s="66"/>
      <c r="C224" s="65"/>
      <c r="D224" s="65"/>
      <c r="E224" s="65"/>
      <c r="F224" s="65"/>
      <c r="G224" s="65"/>
      <c r="H224" s="66"/>
      <c r="I224" s="66"/>
      <c r="J224" s="66"/>
      <c r="K224" s="65"/>
      <c r="L224" s="65"/>
      <c r="M224" s="23" t="str">
        <f t="shared" ca="1" si="15"/>
        <v/>
      </c>
      <c r="O224">
        <f>'Combined Delivery Data'!B223</f>
        <v>0</v>
      </c>
      <c r="P224">
        <f t="shared" si="16"/>
        <v>0</v>
      </c>
      <c r="Q224">
        <f t="shared" si="17"/>
        <v>497</v>
      </c>
      <c r="R224" s="38">
        <f t="shared" si="18"/>
        <v>0</v>
      </c>
      <c r="S224" t="str">
        <f t="shared" si="19"/>
        <v xml:space="preserve"> -&gt; </v>
      </c>
    </row>
    <row r="225" spans="1:19">
      <c r="A225" s="65"/>
      <c r="B225" s="66"/>
      <c r="C225" s="65"/>
      <c r="D225" s="65"/>
      <c r="E225" s="65"/>
      <c r="F225" s="65"/>
      <c r="G225" s="65"/>
      <c r="H225" s="66"/>
      <c r="I225" s="66"/>
      <c r="J225" s="66"/>
      <c r="K225" s="65"/>
      <c r="L225" s="65"/>
      <c r="M225" s="23" t="str">
        <f t="shared" ca="1" si="15"/>
        <v/>
      </c>
      <c r="O225">
        <f>'Combined Delivery Data'!B224</f>
        <v>0</v>
      </c>
      <c r="P225">
        <f t="shared" si="16"/>
        <v>0</v>
      </c>
      <c r="Q225">
        <f t="shared" si="17"/>
        <v>497</v>
      </c>
      <c r="R225" s="38">
        <f t="shared" si="18"/>
        <v>0</v>
      </c>
      <c r="S225" t="str">
        <f t="shared" si="19"/>
        <v xml:space="preserve"> -&gt; </v>
      </c>
    </row>
    <row r="226" spans="1:19">
      <c r="A226" s="65"/>
      <c r="B226" s="66"/>
      <c r="C226" s="65"/>
      <c r="D226" s="65"/>
      <c r="E226" s="65"/>
      <c r="F226" s="65"/>
      <c r="G226" s="65"/>
      <c r="H226" s="66"/>
      <c r="I226" s="66"/>
      <c r="J226" s="66"/>
      <c r="K226" s="65"/>
      <c r="L226" s="65"/>
      <c r="M226" s="23" t="str">
        <f t="shared" ca="1" si="15"/>
        <v/>
      </c>
      <c r="O226">
        <f>'Combined Delivery Data'!B225</f>
        <v>0</v>
      </c>
      <c r="P226">
        <f t="shared" si="16"/>
        <v>0</v>
      </c>
      <c r="Q226">
        <f t="shared" si="17"/>
        <v>497</v>
      </c>
      <c r="R226" s="38">
        <f t="shared" si="18"/>
        <v>0</v>
      </c>
      <c r="S226" t="str">
        <f t="shared" si="19"/>
        <v xml:space="preserve"> -&gt; </v>
      </c>
    </row>
    <row r="227" spans="1:19">
      <c r="A227" s="65"/>
      <c r="B227" s="66"/>
      <c r="C227" s="65"/>
      <c r="D227" s="65"/>
      <c r="E227" s="65"/>
      <c r="F227" s="65"/>
      <c r="G227" s="65"/>
      <c r="H227" s="66"/>
      <c r="I227" s="66"/>
      <c r="J227" s="66"/>
      <c r="K227" s="65"/>
      <c r="L227" s="65"/>
      <c r="M227" s="23" t="str">
        <f t="shared" ca="1" si="15"/>
        <v/>
      </c>
      <c r="O227">
        <f>'Combined Delivery Data'!B226</f>
        <v>0</v>
      </c>
      <c r="P227">
        <f t="shared" si="16"/>
        <v>0</v>
      </c>
      <c r="Q227">
        <f t="shared" si="17"/>
        <v>497</v>
      </c>
      <c r="R227" s="38">
        <f t="shared" si="18"/>
        <v>0</v>
      </c>
      <c r="S227" t="str">
        <f t="shared" si="19"/>
        <v xml:space="preserve"> -&gt; </v>
      </c>
    </row>
    <row r="228" spans="1:19">
      <c r="A228" s="65"/>
      <c r="B228" s="66"/>
      <c r="C228" s="65"/>
      <c r="D228" s="65"/>
      <c r="E228" s="65"/>
      <c r="F228" s="65"/>
      <c r="G228" s="65"/>
      <c r="H228" s="66"/>
      <c r="I228" s="66"/>
      <c r="J228" s="66"/>
      <c r="K228" s="65"/>
      <c r="L228" s="65"/>
      <c r="M228" s="23" t="str">
        <f t="shared" ca="1" si="15"/>
        <v/>
      </c>
      <c r="O228">
        <f>'Combined Delivery Data'!B227</f>
        <v>0</v>
      </c>
      <c r="P228">
        <f t="shared" si="16"/>
        <v>0</v>
      </c>
      <c r="Q228">
        <f t="shared" si="17"/>
        <v>497</v>
      </c>
      <c r="R228" s="38">
        <f t="shared" si="18"/>
        <v>0</v>
      </c>
      <c r="S228" t="str">
        <f t="shared" si="19"/>
        <v xml:space="preserve"> -&gt; </v>
      </c>
    </row>
    <row r="229" spans="1:19">
      <c r="A229" s="65"/>
      <c r="B229" s="66"/>
      <c r="C229" s="65"/>
      <c r="D229" s="65"/>
      <c r="E229" s="65"/>
      <c r="F229" s="65"/>
      <c r="G229" s="65"/>
      <c r="H229" s="66"/>
      <c r="I229" s="66"/>
      <c r="J229" s="66"/>
      <c r="K229" s="65"/>
      <c r="L229" s="65"/>
      <c r="M229" s="23" t="str">
        <f t="shared" ca="1" si="15"/>
        <v/>
      </c>
      <c r="O229">
        <f>'Combined Delivery Data'!B228</f>
        <v>0</v>
      </c>
      <c r="P229">
        <f t="shared" si="16"/>
        <v>0</v>
      </c>
      <c r="Q229">
        <f t="shared" si="17"/>
        <v>497</v>
      </c>
      <c r="R229" s="38">
        <f t="shared" si="18"/>
        <v>0</v>
      </c>
      <c r="S229" t="str">
        <f t="shared" si="19"/>
        <v xml:space="preserve"> -&gt; </v>
      </c>
    </row>
    <row r="230" spans="1:19">
      <c r="A230" s="65"/>
      <c r="B230" s="66"/>
      <c r="C230" s="65"/>
      <c r="D230" s="65"/>
      <c r="E230" s="65"/>
      <c r="F230" s="65"/>
      <c r="G230" s="65"/>
      <c r="H230" s="66"/>
      <c r="I230" s="66"/>
      <c r="J230" s="66"/>
      <c r="K230" s="65"/>
      <c r="L230" s="65"/>
      <c r="M230" s="23" t="str">
        <f t="shared" ca="1" si="15"/>
        <v/>
      </c>
      <c r="O230">
        <f>'Combined Delivery Data'!B229</f>
        <v>0</v>
      </c>
      <c r="P230">
        <f t="shared" si="16"/>
        <v>0</v>
      </c>
      <c r="Q230">
        <f t="shared" si="17"/>
        <v>497</v>
      </c>
      <c r="R230" s="38">
        <f t="shared" si="18"/>
        <v>0</v>
      </c>
      <c r="S230" t="str">
        <f t="shared" si="19"/>
        <v xml:space="preserve"> -&gt; </v>
      </c>
    </row>
    <row r="231" spans="1:19">
      <c r="A231" s="65"/>
      <c r="B231" s="66"/>
      <c r="C231" s="65"/>
      <c r="D231" s="65"/>
      <c r="E231" s="65"/>
      <c r="F231" s="65"/>
      <c r="G231" s="65"/>
      <c r="H231" s="66"/>
      <c r="I231" s="66"/>
      <c r="J231" s="66"/>
      <c r="K231" s="65"/>
      <c r="L231" s="65"/>
      <c r="M231" s="23" t="str">
        <f t="shared" ca="1" si="15"/>
        <v/>
      </c>
      <c r="O231">
        <f>'Combined Delivery Data'!B230</f>
        <v>0</v>
      </c>
      <c r="P231">
        <f t="shared" si="16"/>
        <v>0</v>
      </c>
      <c r="Q231">
        <f t="shared" si="17"/>
        <v>497</v>
      </c>
      <c r="R231" s="38">
        <f t="shared" si="18"/>
        <v>0</v>
      </c>
      <c r="S231" t="str">
        <f t="shared" si="19"/>
        <v xml:space="preserve"> -&gt; </v>
      </c>
    </row>
    <row r="232" spans="1:19">
      <c r="A232" s="65"/>
      <c r="B232" s="66"/>
      <c r="C232" s="65"/>
      <c r="D232" s="65"/>
      <c r="E232" s="65"/>
      <c r="F232" s="65"/>
      <c r="G232" s="65"/>
      <c r="H232" s="66"/>
      <c r="I232" s="66"/>
      <c r="J232" s="66"/>
      <c r="K232" s="65"/>
      <c r="L232" s="65"/>
      <c r="M232" s="23" t="str">
        <f t="shared" ca="1" si="15"/>
        <v/>
      </c>
      <c r="O232">
        <f>'Combined Delivery Data'!B231</f>
        <v>0</v>
      </c>
      <c r="P232">
        <f t="shared" si="16"/>
        <v>0</v>
      </c>
      <c r="Q232">
        <f t="shared" si="17"/>
        <v>497</v>
      </c>
      <c r="R232" s="38">
        <f t="shared" si="18"/>
        <v>0</v>
      </c>
      <c r="S232" t="str">
        <f t="shared" si="19"/>
        <v xml:space="preserve"> -&gt; </v>
      </c>
    </row>
    <row r="233" spans="1:19">
      <c r="A233" s="65"/>
      <c r="B233" s="66"/>
      <c r="C233" s="65"/>
      <c r="D233" s="65"/>
      <c r="E233" s="65"/>
      <c r="F233" s="65"/>
      <c r="G233" s="65"/>
      <c r="H233" s="66"/>
      <c r="I233" s="66"/>
      <c r="J233" s="66"/>
      <c r="K233" s="65"/>
      <c r="L233" s="65"/>
      <c r="M233" s="23" t="str">
        <f t="shared" ca="1" si="15"/>
        <v/>
      </c>
      <c r="O233">
        <f>'Combined Delivery Data'!B232</f>
        <v>0</v>
      </c>
      <c r="P233">
        <f t="shared" si="16"/>
        <v>0</v>
      </c>
      <c r="Q233">
        <f t="shared" si="17"/>
        <v>497</v>
      </c>
      <c r="R233" s="38">
        <f t="shared" si="18"/>
        <v>0</v>
      </c>
      <c r="S233" t="str">
        <f t="shared" si="19"/>
        <v xml:space="preserve"> -&gt; </v>
      </c>
    </row>
    <row r="234" spans="1:19">
      <c r="A234" s="65"/>
      <c r="B234" s="66"/>
      <c r="C234" s="65"/>
      <c r="D234" s="65"/>
      <c r="E234" s="65"/>
      <c r="F234" s="65"/>
      <c r="G234" s="65"/>
      <c r="H234" s="66"/>
      <c r="I234" s="66"/>
      <c r="J234" s="66"/>
      <c r="K234" s="65"/>
      <c r="L234" s="65"/>
      <c r="M234" s="23" t="str">
        <f t="shared" ca="1" si="15"/>
        <v/>
      </c>
      <c r="O234">
        <f>'Combined Delivery Data'!B233</f>
        <v>0</v>
      </c>
      <c r="P234">
        <f t="shared" si="16"/>
        <v>0</v>
      </c>
      <c r="Q234">
        <f t="shared" si="17"/>
        <v>497</v>
      </c>
      <c r="R234" s="38">
        <f t="shared" si="18"/>
        <v>0</v>
      </c>
      <c r="S234" t="str">
        <f t="shared" si="19"/>
        <v xml:space="preserve"> -&gt; </v>
      </c>
    </row>
    <row r="235" spans="1:19">
      <c r="A235" s="65"/>
      <c r="B235" s="66"/>
      <c r="C235" s="65"/>
      <c r="D235" s="65"/>
      <c r="E235" s="65"/>
      <c r="F235" s="65"/>
      <c r="G235" s="65"/>
      <c r="H235" s="66"/>
      <c r="I235" s="66"/>
      <c r="J235" s="66"/>
      <c r="K235" s="65"/>
      <c r="L235" s="65"/>
      <c r="M235" s="23" t="str">
        <f t="shared" ca="1" si="15"/>
        <v/>
      </c>
      <c r="O235">
        <f>'Combined Delivery Data'!B234</f>
        <v>0</v>
      </c>
      <c r="P235">
        <f t="shared" si="16"/>
        <v>0</v>
      </c>
      <c r="Q235">
        <f t="shared" si="17"/>
        <v>497</v>
      </c>
      <c r="R235" s="38">
        <f t="shared" si="18"/>
        <v>0</v>
      </c>
      <c r="S235" t="str">
        <f t="shared" si="19"/>
        <v xml:space="preserve"> -&gt; </v>
      </c>
    </row>
    <row r="236" spans="1:19">
      <c r="A236" s="65"/>
      <c r="B236" s="66"/>
      <c r="C236" s="65"/>
      <c r="D236" s="65"/>
      <c r="E236" s="65"/>
      <c r="F236" s="65"/>
      <c r="G236" s="65"/>
      <c r="H236" s="66"/>
      <c r="I236" s="66"/>
      <c r="J236" s="66"/>
      <c r="K236" s="65"/>
      <c r="L236" s="65"/>
      <c r="M236" s="23" t="str">
        <f t="shared" ca="1" si="15"/>
        <v/>
      </c>
      <c r="O236">
        <f>'Combined Delivery Data'!B235</f>
        <v>0</v>
      </c>
      <c r="P236">
        <f t="shared" si="16"/>
        <v>0</v>
      </c>
      <c r="Q236">
        <f t="shared" si="17"/>
        <v>497</v>
      </c>
      <c r="R236" s="38">
        <f t="shared" si="18"/>
        <v>0</v>
      </c>
      <c r="S236" t="str">
        <f t="shared" si="19"/>
        <v xml:space="preserve"> -&gt; </v>
      </c>
    </row>
    <row r="237" spans="1:19">
      <c r="A237" s="65"/>
      <c r="B237" s="66"/>
      <c r="C237" s="65"/>
      <c r="D237" s="65"/>
      <c r="E237" s="65"/>
      <c r="F237" s="65"/>
      <c r="G237" s="65"/>
      <c r="H237" s="66"/>
      <c r="I237" s="66"/>
      <c r="J237" s="66"/>
      <c r="K237" s="65"/>
      <c r="L237" s="65"/>
      <c r="M237" s="23" t="str">
        <f t="shared" ca="1" si="15"/>
        <v/>
      </c>
      <c r="O237">
        <f>'Combined Delivery Data'!B236</f>
        <v>0</v>
      </c>
      <c r="P237">
        <f t="shared" si="16"/>
        <v>0</v>
      </c>
      <c r="Q237">
        <f t="shared" si="17"/>
        <v>497</v>
      </c>
      <c r="R237" s="38">
        <f t="shared" si="18"/>
        <v>0</v>
      </c>
      <c r="S237" t="str">
        <f t="shared" si="19"/>
        <v xml:space="preserve"> -&gt; </v>
      </c>
    </row>
    <row r="238" spans="1:19">
      <c r="A238" s="65"/>
      <c r="B238" s="66"/>
      <c r="C238" s="65"/>
      <c r="D238" s="65"/>
      <c r="E238" s="65"/>
      <c r="F238" s="65"/>
      <c r="G238" s="65"/>
      <c r="H238" s="66"/>
      <c r="I238" s="66"/>
      <c r="J238" s="66"/>
      <c r="K238" s="65"/>
      <c r="L238" s="65"/>
      <c r="M238" s="23" t="str">
        <f t="shared" ca="1" si="15"/>
        <v/>
      </c>
      <c r="O238">
        <f>'Combined Delivery Data'!B237</f>
        <v>0</v>
      </c>
      <c r="P238">
        <f t="shared" si="16"/>
        <v>0</v>
      </c>
      <c r="Q238">
        <f t="shared" si="17"/>
        <v>497</v>
      </c>
      <c r="R238" s="38">
        <f t="shared" si="18"/>
        <v>0</v>
      </c>
      <c r="S238" t="str">
        <f t="shared" si="19"/>
        <v xml:space="preserve"> -&gt; </v>
      </c>
    </row>
    <row r="239" spans="1:19">
      <c r="A239" s="65"/>
      <c r="B239" s="66"/>
      <c r="C239" s="65"/>
      <c r="D239" s="65"/>
      <c r="E239" s="65"/>
      <c r="F239" s="65"/>
      <c r="G239" s="65"/>
      <c r="H239" s="66"/>
      <c r="I239" s="66"/>
      <c r="J239" s="66"/>
      <c r="K239" s="65"/>
      <c r="L239" s="65"/>
      <c r="M239" s="23" t="str">
        <f t="shared" ca="1" si="15"/>
        <v/>
      </c>
      <c r="O239">
        <f>'Combined Delivery Data'!B238</f>
        <v>0</v>
      </c>
      <c r="P239">
        <f t="shared" si="16"/>
        <v>0</v>
      </c>
      <c r="Q239">
        <f t="shared" si="17"/>
        <v>497</v>
      </c>
      <c r="R239" s="38">
        <f t="shared" si="18"/>
        <v>0</v>
      </c>
      <c r="S239" t="str">
        <f t="shared" si="19"/>
        <v xml:space="preserve"> -&gt; </v>
      </c>
    </row>
    <row r="240" spans="1:19">
      <c r="A240" s="65"/>
      <c r="B240" s="66"/>
      <c r="C240" s="65"/>
      <c r="D240" s="65"/>
      <c r="E240" s="65"/>
      <c r="F240" s="65"/>
      <c r="G240" s="65"/>
      <c r="H240" s="66"/>
      <c r="I240" s="66"/>
      <c r="J240" s="66"/>
      <c r="K240" s="65"/>
      <c r="L240" s="65"/>
      <c r="M240" s="23" t="str">
        <f t="shared" ca="1" si="15"/>
        <v/>
      </c>
      <c r="O240">
        <f>'Combined Delivery Data'!B239</f>
        <v>0</v>
      </c>
      <c r="P240">
        <f t="shared" si="16"/>
        <v>0</v>
      </c>
      <c r="Q240">
        <f t="shared" si="17"/>
        <v>497</v>
      </c>
      <c r="R240" s="38">
        <f t="shared" si="18"/>
        <v>0</v>
      </c>
      <c r="S240" t="str">
        <f t="shared" si="19"/>
        <v xml:space="preserve"> -&gt; </v>
      </c>
    </row>
    <row r="241" spans="1:19">
      <c r="A241" s="65"/>
      <c r="B241" s="66"/>
      <c r="C241" s="65"/>
      <c r="D241" s="65"/>
      <c r="E241" s="65"/>
      <c r="F241" s="65"/>
      <c r="G241" s="65"/>
      <c r="H241" s="66"/>
      <c r="I241" s="66"/>
      <c r="J241" s="66"/>
      <c r="K241" s="65"/>
      <c r="L241" s="65"/>
      <c r="M241" s="23" t="str">
        <f t="shared" ca="1" si="15"/>
        <v/>
      </c>
      <c r="O241">
        <f>'Combined Delivery Data'!B240</f>
        <v>0</v>
      </c>
      <c r="P241">
        <f t="shared" si="16"/>
        <v>0</v>
      </c>
      <c r="Q241">
        <f t="shared" si="17"/>
        <v>497</v>
      </c>
      <c r="R241" s="38">
        <f t="shared" si="18"/>
        <v>0</v>
      </c>
      <c r="S241" t="str">
        <f t="shared" si="19"/>
        <v xml:space="preserve"> -&gt; </v>
      </c>
    </row>
    <row r="242" spans="1:19">
      <c r="A242" s="65"/>
      <c r="B242" s="66"/>
      <c r="C242" s="65"/>
      <c r="D242" s="65"/>
      <c r="E242" s="65"/>
      <c r="F242" s="65"/>
      <c r="G242" s="65"/>
      <c r="H242" s="66"/>
      <c r="I242" s="66"/>
      <c r="J242" s="66"/>
      <c r="K242" s="65"/>
      <c r="L242" s="65"/>
      <c r="M242" s="23" t="str">
        <f t="shared" ca="1" si="15"/>
        <v/>
      </c>
      <c r="O242">
        <f>'Combined Delivery Data'!B241</f>
        <v>0</v>
      </c>
      <c r="P242">
        <f t="shared" si="16"/>
        <v>0</v>
      </c>
      <c r="Q242">
        <f t="shared" si="17"/>
        <v>497</v>
      </c>
      <c r="R242" s="38">
        <f t="shared" si="18"/>
        <v>0</v>
      </c>
      <c r="S242" t="str">
        <f t="shared" si="19"/>
        <v xml:space="preserve"> -&gt; </v>
      </c>
    </row>
    <row r="243" spans="1:19">
      <c r="A243" s="65"/>
      <c r="B243" s="66"/>
      <c r="C243" s="65"/>
      <c r="D243" s="65"/>
      <c r="E243" s="65"/>
      <c r="F243" s="65"/>
      <c r="G243" s="65"/>
      <c r="H243" s="66"/>
      <c r="I243" s="66"/>
      <c r="J243" s="66"/>
      <c r="K243" s="65"/>
      <c r="L243" s="65"/>
      <c r="M243" s="23" t="str">
        <f t="shared" ca="1" si="15"/>
        <v/>
      </c>
      <c r="O243">
        <f>'Combined Delivery Data'!B242</f>
        <v>0</v>
      </c>
      <c r="P243">
        <f t="shared" si="16"/>
        <v>0</v>
      </c>
      <c r="Q243">
        <f t="shared" si="17"/>
        <v>497</v>
      </c>
      <c r="R243" s="38">
        <f t="shared" si="18"/>
        <v>0</v>
      </c>
      <c r="S243" t="str">
        <f t="shared" si="19"/>
        <v xml:space="preserve"> -&gt; </v>
      </c>
    </row>
    <row r="244" spans="1:19">
      <c r="A244" s="65"/>
      <c r="B244" s="66"/>
      <c r="C244" s="65"/>
      <c r="D244" s="65"/>
      <c r="E244" s="65"/>
      <c r="F244" s="65"/>
      <c r="G244" s="65"/>
      <c r="H244" s="66"/>
      <c r="I244" s="66"/>
      <c r="J244" s="66"/>
      <c r="K244" s="65"/>
      <c r="L244" s="65"/>
      <c r="M244" s="23" t="str">
        <f t="shared" ca="1" si="15"/>
        <v/>
      </c>
      <c r="O244">
        <f>'Combined Delivery Data'!B243</f>
        <v>0</v>
      </c>
      <c r="P244">
        <f t="shared" si="16"/>
        <v>0</v>
      </c>
      <c r="Q244">
        <f t="shared" si="17"/>
        <v>497</v>
      </c>
      <c r="R244" s="38">
        <f t="shared" si="18"/>
        <v>0</v>
      </c>
      <c r="S244" t="str">
        <f t="shared" si="19"/>
        <v xml:space="preserve"> -&gt; </v>
      </c>
    </row>
    <row r="245" spans="1:19">
      <c r="A245" s="65"/>
      <c r="B245" s="66"/>
      <c r="C245" s="65"/>
      <c r="D245" s="65"/>
      <c r="E245" s="65"/>
      <c r="F245" s="65"/>
      <c r="G245" s="65"/>
      <c r="H245" s="66"/>
      <c r="I245" s="66"/>
      <c r="J245" s="66"/>
      <c r="K245" s="65"/>
      <c r="L245" s="65"/>
      <c r="M245" s="23" t="str">
        <f t="shared" ca="1" si="15"/>
        <v/>
      </c>
      <c r="O245">
        <f>'Combined Delivery Data'!B244</f>
        <v>0</v>
      </c>
      <c r="P245">
        <f t="shared" si="16"/>
        <v>0</v>
      </c>
      <c r="Q245">
        <f t="shared" si="17"/>
        <v>497</v>
      </c>
      <c r="R245" s="38">
        <f t="shared" si="18"/>
        <v>0</v>
      </c>
      <c r="S245" t="str">
        <f t="shared" si="19"/>
        <v xml:space="preserve"> -&gt; </v>
      </c>
    </row>
    <row r="246" spans="1:19">
      <c r="A246" s="65"/>
      <c r="B246" s="66"/>
      <c r="C246" s="65"/>
      <c r="D246" s="65"/>
      <c r="E246" s="65"/>
      <c r="F246" s="65"/>
      <c r="G246" s="65"/>
      <c r="H246" s="66"/>
      <c r="I246" s="66"/>
      <c r="J246" s="66"/>
      <c r="K246" s="65"/>
      <c r="L246" s="65"/>
      <c r="M246" s="23" t="str">
        <f t="shared" ca="1" si="15"/>
        <v/>
      </c>
      <c r="O246">
        <f>'Combined Delivery Data'!B245</f>
        <v>0</v>
      </c>
      <c r="P246">
        <f t="shared" si="16"/>
        <v>0</v>
      </c>
      <c r="Q246">
        <f t="shared" si="17"/>
        <v>497</v>
      </c>
      <c r="R246" s="38">
        <f t="shared" si="18"/>
        <v>0</v>
      </c>
      <c r="S246" t="str">
        <f t="shared" si="19"/>
        <v xml:space="preserve"> -&gt; </v>
      </c>
    </row>
    <row r="247" spans="1:19">
      <c r="A247" s="65"/>
      <c r="B247" s="66"/>
      <c r="C247" s="65"/>
      <c r="D247" s="65"/>
      <c r="E247" s="65"/>
      <c r="F247" s="65"/>
      <c r="G247" s="65"/>
      <c r="H247" s="66"/>
      <c r="I247" s="66"/>
      <c r="J247" s="66"/>
      <c r="K247" s="65"/>
      <c r="L247" s="65"/>
      <c r="M247" s="23" t="str">
        <f t="shared" ca="1" si="15"/>
        <v/>
      </c>
      <c r="O247">
        <f>'Combined Delivery Data'!B246</f>
        <v>0</v>
      </c>
      <c r="P247">
        <f t="shared" si="16"/>
        <v>0</v>
      </c>
      <c r="Q247">
        <f t="shared" si="17"/>
        <v>497</v>
      </c>
      <c r="R247" s="38">
        <f t="shared" si="18"/>
        <v>0</v>
      </c>
      <c r="S247" t="str">
        <f t="shared" si="19"/>
        <v xml:space="preserve"> -&gt; </v>
      </c>
    </row>
    <row r="248" spans="1:19">
      <c r="A248" s="65"/>
      <c r="B248" s="66"/>
      <c r="C248" s="65"/>
      <c r="D248" s="65"/>
      <c r="E248" s="65"/>
      <c r="F248" s="65"/>
      <c r="G248" s="65"/>
      <c r="H248" s="66"/>
      <c r="I248" s="66"/>
      <c r="J248" s="66"/>
      <c r="K248" s="65"/>
      <c r="L248" s="65"/>
      <c r="M248" s="23" t="str">
        <f t="shared" ca="1" si="15"/>
        <v/>
      </c>
      <c r="O248">
        <f>'Combined Delivery Data'!B247</f>
        <v>0</v>
      </c>
      <c r="P248">
        <f t="shared" si="16"/>
        <v>0</v>
      </c>
      <c r="Q248">
        <f t="shared" si="17"/>
        <v>497</v>
      </c>
      <c r="R248" s="38">
        <f t="shared" si="18"/>
        <v>0</v>
      </c>
      <c r="S248" t="str">
        <f t="shared" si="19"/>
        <v xml:space="preserve"> -&gt; </v>
      </c>
    </row>
    <row r="249" spans="1:19">
      <c r="A249" s="65"/>
      <c r="B249" s="66"/>
      <c r="C249" s="65"/>
      <c r="D249" s="65"/>
      <c r="E249" s="65"/>
      <c r="F249" s="65"/>
      <c r="G249" s="65"/>
      <c r="H249" s="66"/>
      <c r="I249" s="66"/>
      <c r="J249" s="66"/>
      <c r="K249" s="65"/>
      <c r="L249" s="65"/>
      <c r="M249" s="23" t="str">
        <f t="shared" ca="1" si="15"/>
        <v/>
      </c>
      <c r="O249">
        <f>'Combined Delivery Data'!B248</f>
        <v>0</v>
      </c>
      <c r="P249">
        <f t="shared" si="16"/>
        <v>0</v>
      </c>
      <c r="Q249">
        <f t="shared" si="17"/>
        <v>497</v>
      </c>
      <c r="R249" s="38">
        <f t="shared" si="18"/>
        <v>0</v>
      </c>
      <c r="S249" t="str">
        <f t="shared" si="19"/>
        <v xml:space="preserve"> -&gt; </v>
      </c>
    </row>
    <row r="250" spans="1:19">
      <c r="A250" s="65"/>
      <c r="B250" s="66"/>
      <c r="C250" s="65"/>
      <c r="D250" s="65"/>
      <c r="E250" s="65"/>
      <c r="F250" s="65"/>
      <c r="G250" s="65"/>
      <c r="H250" s="66"/>
      <c r="I250" s="66"/>
      <c r="J250" s="66"/>
      <c r="K250" s="65"/>
      <c r="L250" s="65"/>
      <c r="M250" s="23" t="str">
        <f t="shared" ca="1" si="15"/>
        <v/>
      </c>
      <c r="O250">
        <f>'Combined Delivery Data'!B249</f>
        <v>0</v>
      </c>
      <c r="P250">
        <f t="shared" si="16"/>
        <v>0</v>
      </c>
      <c r="Q250">
        <f t="shared" si="17"/>
        <v>497</v>
      </c>
      <c r="R250" s="38">
        <f t="shared" si="18"/>
        <v>0</v>
      </c>
      <c r="S250" t="str">
        <f t="shared" si="19"/>
        <v xml:space="preserve"> -&gt; </v>
      </c>
    </row>
    <row r="251" spans="1:19">
      <c r="A251" s="65"/>
      <c r="B251" s="66"/>
      <c r="C251" s="65"/>
      <c r="D251" s="65"/>
      <c r="E251" s="65"/>
      <c r="F251" s="65"/>
      <c r="G251" s="65"/>
      <c r="H251" s="66"/>
      <c r="I251" s="66"/>
      <c r="J251" s="66"/>
      <c r="K251" s="65"/>
      <c r="L251" s="65"/>
      <c r="M251" s="23" t="str">
        <f t="shared" ca="1" si="15"/>
        <v/>
      </c>
      <c r="O251">
        <f>'Combined Delivery Data'!B250</f>
        <v>0</v>
      </c>
      <c r="P251">
        <f t="shared" si="16"/>
        <v>0</v>
      </c>
      <c r="Q251">
        <f t="shared" si="17"/>
        <v>497</v>
      </c>
      <c r="R251" s="38">
        <f t="shared" si="18"/>
        <v>0</v>
      </c>
      <c r="S251" t="str">
        <f t="shared" si="19"/>
        <v xml:space="preserve"> -&gt; </v>
      </c>
    </row>
    <row r="252" spans="1:19">
      <c r="A252" s="65"/>
      <c r="B252" s="66"/>
      <c r="C252" s="65"/>
      <c r="D252" s="65"/>
      <c r="E252" s="65"/>
      <c r="F252" s="65"/>
      <c r="G252" s="65"/>
      <c r="H252" s="66"/>
      <c r="I252" s="66"/>
      <c r="J252" s="66"/>
      <c r="K252" s="65"/>
      <c r="L252" s="65"/>
      <c r="M252" s="23" t="str">
        <f t="shared" ca="1" si="15"/>
        <v/>
      </c>
      <c r="O252">
        <f>'Combined Delivery Data'!B251</f>
        <v>0</v>
      </c>
      <c r="P252">
        <f t="shared" si="16"/>
        <v>0</v>
      </c>
      <c r="Q252">
        <f t="shared" si="17"/>
        <v>497</v>
      </c>
      <c r="R252" s="38">
        <f t="shared" si="18"/>
        <v>0</v>
      </c>
      <c r="S252" t="str">
        <f t="shared" si="19"/>
        <v xml:space="preserve"> -&gt; </v>
      </c>
    </row>
    <row r="253" spans="1:19">
      <c r="A253" s="65"/>
      <c r="B253" s="66"/>
      <c r="C253" s="65"/>
      <c r="D253" s="65"/>
      <c r="E253" s="65"/>
      <c r="F253" s="65"/>
      <c r="G253" s="65"/>
      <c r="H253" s="66"/>
      <c r="I253" s="66"/>
      <c r="J253" s="66"/>
      <c r="K253" s="65"/>
      <c r="L253" s="65"/>
      <c r="M253" s="23" t="str">
        <f t="shared" ca="1" si="15"/>
        <v/>
      </c>
      <c r="O253">
        <f>'Combined Delivery Data'!B252</f>
        <v>0</v>
      </c>
      <c r="P253">
        <f t="shared" si="16"/>
        <v>0</v>
      </c>
      <c r="Q253">
        <f t="shared" si="17"/>
        <v>497</v>
      </c>
      <c r="R253" s="38">
        <f t="shared" si="18"/>
        <v>0</v>
      </c>
      <c r="S253" t="str">
        <f t="shared" si="19"/>
        <v xml:space="preserve"> -&gt; </v>
      </c>
    </row>
    <row r="254" spans="1:19">
      <c r="A254" s="65"/>
      <c r="B254" s="66"/>
      <c r="C254" s="65"/>
      <c r="D254" s="65"/>
      <c r="E254" s="65"/>
      <c r="F254" s="65"/>
      <c r="G254" s="65"/>
      <c r="H254" s="66"/>
      <c r="I254" s="66"/>
      <c r="J254" s="66"/>
      <c r="K254" s="65"/>
      <c r="L254" s="65"/>
      <c r="M254" s="23" t="str">
        <f t="shared" ca="1" si="15"/>
        <v/>
      </c>
      <c r="O254">
        <f>'Combined Delivery Data'!B253</f>
        <v>0</v>
      </c>
      <c r="P254">
        <f t="shared" si="16"/>
        <v>0</v>
      </c>
      <c r="Q254">
        <f t="shared" si="17"/>
        <v>497</v>
      </c>
      <c r="R254" s="38">
        <f t="shared" si="18"/>
        <v>0</v>
      </c>
      <c r="S254" t="str">
        <f t="shared" si="19"/>
        <v xml:space="preserve"> -&gt; </v>
      </c>
    </row>
    <row r="255" spans="1:19">
      <c r="A255" s="65"/>
      <c r="B255" s="66"/>
      <c r="C255" s="65"/>
      <c r="D255" s="65"/>
      <c r="E255" s="65"/>
      <c r="F255" s="65"/>
      <c r="G255" s="65"/>
      <c r="H255" s="66"/>
      <c r="I255" s="66"/>
      <c r="J255" s="66"/>
      <c r="K255" s="65"/>
      <c r="L255" s="65"/>
      <c r="M255" s="23" t="str">
        <f t="shared" ca="1" si="15"/>
        <v/>
      </c>
      <c r="O255">
        <f>'Combined Delivery Data'!B254</f>
        <v>0</v>
      </c>
      <c r="P255">
        <f t="shared" si="16"/>
        <v>0</v>
      </c>
      <c r="Q255">
        <f t="shared" si="17"/>
        <v>497</v>
      </c>
      <c r="R255" s="38">
        <f t="shared" si="18"/>
        <v>0</v>
      </c>
      <c r="S255" t="str">
        <f t="shared" si="19"/>
        <v xml:space="preserve"> -&gt; </v>
      </c>
    </row>
    <row r="256" spans="1:19">
      <c r="A256" s="65"/>
      <c r="B256" s="66"/>
      <c r="C256" s="65"/>
      <c r="D256" s="65"/>
      <c r="E256" s="65"/>
      <c r="F256" s="65"/>
      <c r="G256" s="65"/>
      <c r="H256" s="66"/>
      <c r="I256" s="66"/>
      <c r="J256" s="66"/>
      <c r="K256" s="65"/>
      <c r="L256" s="65"/>
      <c r="M256" s="23" t="str">
        <f t="shared" ca="1" si="15"/>
        <v/>
      </c>
      <c r="O256">
        <f>'Combined Delivery Data'!B255</f>
        <v>0</v>
      </c>
      <c r="P256">
        <f t="shared" si="16"/>
        <v>0</v>
      </c>
      <c r="Q256">
        <f t="shared" si="17"/>
        <v>497</v>
      </c>
      <c r="R256" s="38">
        <f t="shared" si="18"/>
        <v>0</v>
      </c>
      <c r="S256" t="str">
        <f t="shared" si="19"/>
        <v xml:space="preserve"> -&gt; </v>
      </c>
    </row>
    <row r="257" spans="1:19">
      <c r="A257" s="65"/>
      <c r="B257" s="66"/>
      <c r="C257" s="65"/>
      <c r="D257" s="65"/>
      <c r="E257" s="65"/>
      <c r="F257" s="65"/>
      <c r="G257" s="65"/>
      <c r="H257" s="66"/>
      <c r="I257" s="66"/>
      <c r="J257" s="66"/>
      <c r="K257" s="65"/>
      <c r="L257" s="65"/>
      <c r="M257" s="23" t="str">
        <f t="shared" ca="1" si="15"/>
        <v/>
      </c>
      <c r="O257">
        <f>'Combined Delivery Data'!B256</f>
        <v>0</v>
      </c>
      <c r="P257">
        <f t="shared" si="16"/>
        <v>0</v>
      </c>
      <c r="Q257">
        <f t="shared" si="17"/>
        <v>497</v>
      </c>
      <c r="R257" s="38">
        <f t="shared" si="18"/>
        <v>0</v>
      </c>
      <c r="S257" t="str">
        <f t="shared" si="19"/>
        <v xml:space="preserve"> -&gt; </v>
      </c>
    </row>
    <row r="258" spans="1:19">
      <c r="A258" s="65"/>
      <c r="B258" s="66"/>
      <c r="C258" s="65"/>
      <c r="D258" s="65"/>
      <c r="E258" s="65"/>
      <c r="F258" s="65"/>
      <c r="G258" s="65"/>
      <c r="H258" s="66"/>
      <c r="I258" s="66"/>
      <c r="J258" s="66"/>
      <c r="K258" s="65"/>
      <c r="L258" s="65"/>
      <c r="M258" s="23" t="str">
        <f t="shared" ca="1" si="15"/>
        <v/>
      </c>
      <c r="O258">
        <f>'Combined Delivery Data'!B257</f>
        <v>0</v>
      </c>
      <c r="P258">
        <f t="shared" si="16"/>
        <v>0</v>
      </c>
      <c r="Q258">
        <f t="shared" si="17"/>
        <v>497</v>
      </c>
      <c r="R258" s="38">
        <f t="shared" si="18"/>
        <v>0</v>
      </c>
      <c r="S258" t="str">
        <f t="shared" si="19"/>
        <v xml:space="preserve"> -&gt; </v>
      </c>
    </row>
    <row r="259" spans="1:19">
      <c r="A259" s="65"/>
      <c r="B259" s="66"/>
      <c r="C259" s="65"/>
      <c r="D259" s="65"/>
      <c r="E259" s="65"/>
      <c r="F259" s="65"/>
      <c r="G259" s="65"/>
      <c r="H259" s="66"/>
      <c r="I259" s="66"/>
      <c r="J259" s="66"/>
      <c r="K259" s="65"/>
      <c r="L259" s="65"/>
      <c r="M259" s="2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O259">
        <f>'Combined Delivery Data'!B258</f>
        <v>0</v>
      </c>
      <c r="P259">
        <f t="shared" ref="P259:P322" si="21">IF($O259="","",COUNTIF($A$3:$A$500,$O259))</f>
        <v>0</v>
      </c>
      <c r="Q259">
        <f t="shared" ref="Q259:Q322" si="22">IF($O259="","",SUMPRODUCT(($A$3:$A$500=$O259)*($G$3:$G$500&lt;&gt;"Yes")*($G$3:$G$500&lt;&gt;"Did not pass re-test")))</f>
        <v>497</v>
      </c>
      <c r="R259" s="38">
        <f t="shared" ref="R259:R322" si="23">IF($O259="","",IF(SUMPRODUCT(MAX(($A$3:$A$500=$O259)*ROW($A$3:$A$500)))=0,"",INDEX($B:$B,SUMPRODUCT(MAX(($A$3:$A$500=$O259)*ROW($A$3:$A$500))))))</f>
        <v>0</v>
      </c>
      <c r="S259" t="str">
        <f t="shared" ref="S259:S322" si="24">IF($O259="","",IF(SUMPRODUCT(MAX(($A$3:$A$500=$O259)*ROW($A$3:$A$500)))=0,"",INDEX($C:$C,SUMPRODUCT(MAX(($A$3:$A$500=$O259)*ROW($A$3:$A$500))))&amp;" -&gt; "&amp;INDEX($D:$D,SUMPRODUCT(MAX(($A$3:$A$500=$O259)*ROW($A$3:$A$500))))))</f>
        <v xml:space="preserve"> -&gt; </v>
      </c>
    </row>
    <row r="260" spans="1:19">
      <c r="A260" s="65"/>
      <c r="B260" s="66"/>
      <c r="C260" s="65"/>
      <c r="D260" s="65"/>
      <c r="E260" s="65"/>
      <c r="F260" s="65"/>
      <c r="G260" s="65"/>
      <c r="H260" s="66"/>
      <c r="I260" s="66"/>
      <c r="J260" s="66"/>
      <c r="K260" s="65"/>
      <c r="L260" s="65"/>
      <c r="M260" s="23" t="str">
        <f t="shared" ca="1" si="20"/>
        <v/>
      </c>
      <c r="O260">
        <f>'Combined Delivery Data'!B259</f>
        <v>0</v>
      </c>
      <c r="P260">
        <f t="shared" si="21"/>
        <v>0</v>
      </c>
      <c r="Q260">
        <f t="shared" si="22"/>
        <v>497</v>
      </c>
      <c r="R260" s="38">
        <f t="shared" si="23"/>
        <v>0</v>
      </c>
      <c r="S260" t="str">
        <f t="shared" si="24"/>
        <v xml:space="preserve"> -&gt; </v>
      </c>
    </row>
    <row r="261" spans="1:19">
      <c r="A261" s="65"/>
      <c r="B261" s="66"/>
      <c r="C261" s="65"/>
      <c r="D261" s="65"/>
      <c r="E261" s="65"/>
      <c r="F261" s="65"/>
      <c r="G261" s="65"/>
      <c r="H261" s="66"/>
      <c r="I261" s="66"/>
      <c r="J261" s="66"/>
      <c r="K261" s="65"/>
      <c r="L261" s="65"/>
      <c r="M261" s="23" t="str">
        <f t="shared" ca="1" si="20"/>
        <v/>
      </c>
      <c r="O261">
        <f>'Combined Delivery Data'!B260</f>
        <v>0</v>
      </c>
      <c r="P261">
        <f t="shared" si="21"/>
        <v>0</v>
      </c>
      <c r="Q261">
        <f t="shared" si="22"/>
        <v>497</v>
      </c>
      <c r="R261" s="38">
        <f t="shared" si="23"/>
        <v>0</v>
      </c>
      <c r="S261" t="str">
        <f t="shared" si="24"/>
        <v xml:space="preserve"> -&gt; </v>
      </c>
    </row>
    <row r="262" spans="1:19">
      <c r="A262" s="65"/>
      <c r="B262" s="66"/>
      <c r="C262" s="65"/>
      <c r="D262" s="65"/>
      <c r="E262" s="65"/>
      <c r="F262" s="65"/>
      <c r="G262" s="65"/>
      <c r="H262" s="66"/>
      <c r="I262" s="66"/>
      <c r="J262" s="66"/>
      <c r="K262" s="65"/>
      <c r="L262" s="65"/>
      <c r="M262" s="23" t="str">
        <f t="shared" ca="1" si="20"/>
        <v/>
      </c>
      <c r="O262">
        <f>'Combined Delivery Data'!B261</f>
        <v>0</v>
      </c>
      <c r="P262">
        <f t="shared" si="21"/>
        <v>0</v>
      </c>
      <c r="Q262">
        <f t="shared" si="22"/>
        <v>497</v>
      </c>
      <c r="R262" s="38">
        <f t="shared" si="23"/>
        <v>0</v>
      </c>
      <c r="S262" t="str">
        <f t="shared" si="24"/>
        <v xml:space="preserve"> -&gt; </v>
      </c>
    </row>
    <row r="263" spans="1:19">
      <c r="A263" s="65"/>
      <c r="B263" s="66"/>
      <c r="C263" s="65"/>
      <c r="D263" s="65"/>
      <c r="E263" s="65"/>
      <c r="F263" s="65"/>
      <c r="G263" s="65"/>
      <c r="H263" s="66"/>
      <c r="I263" s="66"/>
      <c r="J263" s="66"/>
      <c r="K263" s="65"/>
      <c r="L263" s="65"/>
      <c r="M263" s="23" t="str">
        <f t="shared" ca="1" si="20"/>
        <v/>
      </c>
      <c r="O263">
        <f>'Combined Delivery Data'!B262</f>
        <v>0</v>
      </c>
      <c r="P263">
        <f t="shared" si="21"/>
        <v>0</v>
      </c>
      <c r="Q263">
        <f t="shared" si="22"/>
        <v>497</v>
      </c>
      <c r="R263" s="38">
        <f t="shared" si="23"/>
        <v>0</v>
      </c>
      <c r="S263" t="str">
        <f t="shared" si="24"/>
        <v xml:space="preserve"> -&gt; </v>
      </c>
    </row>
    <row r="264" spans="1:19">
      <c r="A264" s="65"/>
      <c r="B264" s="66"/>
      <c r="C264" s="65"/>
      <c r="D264" s="65"/>
      <c r="E264" s="65"/>
      <c r="F264" s="65"/>
      <c r="G264" s="65"/>
      <c r="H264" s="66"/>
      <c r="I264" s="66"/>
      <c r="J264" s="66"/>
      <c r="K264" s="65"/>
      <c r="L264" s="65"/>
      <c r="M264" s="23" t="str">
        <f t="shared" ca="1" si="20"/>
        <v/>
      </c>
      <c r="O264">
        <f>'Combined Delivery Data'!B263</f>
        <v>0</v>
      </c>
      <c r="P264">
        <f t="shared" si="21"/>
        <v>0</v>
      </c>
      <c r="Q264">
        <f t="shared" si="22"/>
        <v>497</v>
      </c>
      <c r="R264" s="38">
        <f t="shared" si="23"/>
        <v>0</v>
      </c>
      <c r="S264" t="str">
        <f t="shared" si="24"/>
        <v xml:space="preserve"> -&gt; </v>
      </c>
    </row>
    <row r="265" spans="1:19">
      <c r="A265" s="65"/>
      <c r="B265" s="66"/>
      <c r="C265" s="65"/>
      <c r="D265" s="65"/>
      <c r="E265" s="65"/>
      <c r="F265" s="65"/>
      <c r="G265" s="65"/>
      <c r="H265" s="66"/>
      <c r="I265" s="66"/>
      <c r="J265" s="66"/>
      <c r="K265" s="65"/>
      <c r="L265" s="65"/>
      <c r="M265" s="23" t="str">
        <f t="shared" ca="1" si="20"/>
        <v/>
      </c>
      <c r="O265">
        <f>'Combined Delivery Data'!B264</f>
        <v>0</v>
      </c>
      <c r="P265">
        <f t="shared" si="21"/>
        <v>0</v>
      </c>
      <c r="Q265">
        <f t="shared" si="22"/>
        <v>497</v>
      </c>
      <c r="R265" s="38">
        <f t="shared" si="23"/>
        <v>0</v>
      </c>
      <c r="S265" t="str">
        <f t="shared" si="24"/>
        <v xml:space="preserve"> -&gt; </v>
      </c>
    </row>
    <row r="266" spans="1:19">
      <c r="A266" s="65"/>
      <c r="B266" s="66"/>
      <c r="C266" s="65"/>
      <c r="D266" s="65"/>
      <c r="E266" s="65"/>
      <c r="F266" s="65"/>
      <c r="G266" s="65"/>
      <c r="H266" s="66"/>
      <c r="I266" s="66"/>
      <c r="J266" s="66"/>
      <c r="K266" s="65"/>
      <c r="L266" s="65"/>
      <c r="M266" s="23" t="str">
        <f t="shared" ca="1" si="20"/>
        <v/>
      </c>
      <c r="O266">
        <f>'Combined Delivery Data'!B265</f>
        <v>0</v>
      </c>
      <c r="P266">
        <f t="shared" si="21"/>
        <v>0</v>
      </c>
      <c r="Q266">
        <f t="shared" si="22"/>
        <v>497</v>
      </c>
      <c r="R266" s="38">
        <f t="shared" si="23"/>
        <v>0</v>
      </c>
      <c r="S266" t="str">
        <f t="shared" si="24"/>
        <v xml:space="preserve"> -&gt; </v>
      </c>
    </row>
    <row r="267" spans="1:19">
      <c r="A267" s="65"/>
      <c r="B267" s="66"/>
      <c r="C267" s="65"/>
      <c r="D267" s="65"/>
      <c r="E267" s="65"/>
      <c r="F267" s="65"/>
      <c r="G267" s="65"/>
      <c r="H267" s="66"/>
      <c r="I267" s="66"/>
      <c r="J267" s="66"/>
      <c r="K267" s="65"/>
      <c r="L267" s="65"/>
      <c r="M267" s="23" t="str">
        <f t="shared" ca="1" si="20"/>
        <v/>
      </c>
      <c r="O267">
        <f>'Combined Delivery Data'!B266</f>
        <v>0</v>
      </c>
      <c r="P267">
        <f t="shared" si="21"/>
        <v>0</v>
      </c>
      <c r="Q267">
        <f t="shared" si="22"/>
        <v>497</v>
      </c>
      <c r="R267" s="38">
        <f t="shared" si="23"/>
        <v>0</v>
      </c>
      <c r="S267" t="str">
        <f t="shared" si="24"/>
        <v xml:space="preserve"> -&gt; </v>
      </c>
    </row>
    <row r="268" spans="1:19">
      <c r="A268" s="65"/>
      <c r="B268" s="66"/>
      <c r="C268" s="65"/>
      <c r="D268" s="65"/>
      <c r="E268" s="65"/>
      <c r="F268" s="65"/>
      <c r="G268" s="65"/>
      <c r="H268" s="66"/>
      <c r="I268" s="66"/>
      <c r="J268" s="66"/>
      <c r="K268" s="65"/>
      <c r="L268" s="65"/>
      <c r="M268" s="23" t="str">
        <f t="shared" ca="1" si="20"/>
        <v/>
      </c>
      <c r="O268">
        <f>'Combined Delivery Data'!B267</f>
        <v>0</v>
      </c>
      <c r="P268">
        <f t="shared" si="21"/>
        <v>0</v>
      </c>
      <c r="Q268">
        <f t="shared" si="22"/>
        <v>497</v>
      </c>
      <c r="R268" s="38">
        <f t="shared" si="23"/>
        <v>0</v>
      </c>
      <c r="S268" t="str">
        <f t="shared" si="24"/>
        <v xml:space="preserve"> -&gt; </v>
      </c>
    </row>
    <row r="269" spans="1:19">
      <c r="A269" s="65"/>
      <c r="B269" s="66"/>
      <c r="C269" s="65"/>
      <c r="D269" s="65"/>
      <c r="E269" s="65"/>
      <c r="F269" s="65"/>
      <c r="G269" s="65"/>
      <c r="H269" s="66"/>
      <c r="I269" s="66"/>
      <c r="J269" s="66"/>
      <c r="K269" s="65"/>
      <c r="L269" s="65"/>
      <c r="M269" s="23" t="str">
        <f t="shared" ca="1" si="20"/>
        <v/>
      </c>
      <c r="O269">
        <f>'Combined Delivery Data'!B268</f>
        <v>0</v>
      </c>
      <c r="P269">
        <f t="shared" si="21"/>
        <v>0</v>
      </c>
      <c r="Q269">
        <f t="shared" si="22"/>
        <v>497</v>
      </c>
      <c r="R269" s="38">
        <f t="shared" si="23"/>
        <v>0</v>
      </c>
      <c r="S269" t="str">
        <f t="shared" si="24"/>
        <v xml:space="preserve"> -&gt; </v>
      </c>
    </row>
    <row r="270" spans="1:19">
      <c r="A270" s="65"/>
      <c r="B270" s="66"/>
      <c r="C270" s="65"/>
      <c r="D270" s="65"/>
      <c r="E270" s="65"/>
      <c r="F270" s="65"/>
      <c r="G270" s="65"/>
      <c r="H270" s="66"/>
      <c r="I270" s="66"/>
      <c r="J270" s="66"/>
      <c r="K270" s="65"/>
      <c r="L270" s="65"/>
      <c r="M270" s="23" t="str">
        <f t="shared" ca="1" si="20"/>
        <v/>
      </c>
      <c r="O270">
        <f>'Combined Delivery Data'!B269</f>
        <v>0</v>
      </c>
      <c r="P270">
        <f t="shared" si="21"/>
        <v>0</v>
      </c>
      <c r="Q270">
        <f t="shared" si="22"/>
        <v>497</v>
      </c>
      <c r="R270" s="38">
        <f t="shared" si="23"/>
        <v>0</v>
      </c>
      <c r="S270" t="str">
        <f t="shared" si="24"/>
        <v xml:space="preserve"> -&gt; </v>
      </c>
    </row>
    <row r="271" spans="1:19">
      <c r="A271" s="65"/>
      <c r="B271" s="66"/>
      <c r="C271" s="65"/>
      <c r="D271" s="65"/>
      <c r="E271" s="65"/>
      <c r="F271" s="65"/>
      <c r="G271" s="65"/>
      <c r="H271" s="66"/>
      <c r="I271" s="66"/>
      <c r="J271" s="66"/>
      <c r="K271" s="65"/>
      <c r="L271" s="65"/>
      <c r="M271" s="23" t="str">
        <f t="shared" ca="1" si="20"/>
        <v/>
      </c>
      <c r="O271">
        <f>'Combined Delivery Data'!B270</f>
        <v>0</v>
      </c>
      <c r="P271">
        <f t="shared" si="21"/>
        <v>0</v>
      </c>
      <c r="Q271">
        <f t="shared" si="22"/>
        <v>497</v>
      </c>
      <c r="R271" s="38">
        <f t="shared" si="23"/>
        <v>0</v>
      </c>
      <c r="S271" t="str">
        <f t="shared" si="24"/>
        <v xml:space="preserve"> -&gt; </v>
      </c>
    </row>
    <row r="272" spans="1:19">
      <c r="A272" s="65"/>
      <c r="B272" s="66"/>
      <c r="C272" s="65"/>
      <c r="D272" s="65"/>
      <c r="E272" s="65"/>
      <c r="F272" s="65"/>
      <c r="G272" s="65"/>
      <c r="H272" s="66"/>
      <c r="I272" s="66"/>
      <c r="J272" s="66"/>
      <c r="K272" s="65"/>
      <c r="L272" s="65"/>
      <c r="M272" s="23" t="str">
        <f t="shared" ca="1" si="20"/>
        <v/>
      </c>
      <c r="O272">
        <f>'Combined Delivery Data'!B271</f>
        <v>0</v>
      </c>
      <c r="P272">
        <f t="shared" si="21"/>
        <v>0</v>
      </c>
      <c r="Q272">
        <f t="shared" si="22"/>
        <v>497</v>
      </c>
      <c r="R272" s="38">
        <f t="shared" si="23"/>
        <v>0</v>
      </c>
      <c r="S272" t="str">
        <f t="shared" si="24"/>
        <v xml:space="preserve"> -&gt; </v>
      </c>
    </row>
    <row r="273" spans="1:19">
      <c r="A273" s="65"/>
      <c r="B273" s="66"/>
      <c r="C273" s="65"/>
      <c r="D273" s="65"/>
      <c r="E273" s="65"/>
      <c r="F273" s="65"/>
      <c r="G273" s="65"/>
      <c r="H273" s="66"/>
      <c r="I273" s="66"/>
      <c r="J273" s="66"/>
      <c r="K273" s="65"/>
      <c r="L273" s="65"/>
      <c r="M273" s="23" t="str">
        <f t="shared" ca="1" si="20"/>
        <v/>
      </c>
      <c r="O273">
        <f>'Combined Delivery Data'!B272</f>
        <v>0</v>
      </c>
      <c r="P273">
        <f t="shared" si="21"/>
        <v>0</v>
      </c>
      <c r="Q273">
        <f t="shared" si="22"/>
        <v>497</v>
      </c>
      <c r="R273" s="38">
        <f t="shared" si="23"/>
        <v>0</v>
      </c>
      <c r="S273" t="str">
        <f t="shared" si="24"/>
        <v xml:space="preserve"> -&gt; </v>
      </c>
    </row>
    <row r="274" spans="1:19">
      <c r="A274" s="65"/>
      <c r="B274" s="66"/>
      <c r="C274" s="65"/>
      <c r="D274" s="65"/>
      <c r="E274" s="65"/>
      <c r="F274" s="65"/>
      <c r="G274" s="65"/>
      <c r="H274" s="66"/>
      <c r="I274" s="66"/>
      <c r="J274" s="66"/>
      <c r="K274" s="65"/>
      <c r="L274" s="65"/>
      <c r="M274" s="23" t="str">
        <f t="shared" ca="1" si="20"/>
        <v/>
      </c>
      <c r="O274">
        <f>'Combined Delivery Data'!B273</f>
        <v>0</v>
      </c>
      <c r="P274">
        <f t="shared" si="21"/>
        <v>0</v>
      </c>
      <c r="Q274">
        <f t="shared" si="22"/>
        <v>497</v>
      </c>
      <c r="R274" s="38">
        <f t="shared" si="23"/>
        <v>0</v>
      </c>
      <c r="S274" t="str">
        <f t="shared" si="24"/>
        <v xml:space="preserve"> -&gt; </v>
      </c>
    </row>
    <row r="275" spans="1:19">
      <c r="A275" s="65"/>
      <c r="B275" s="66"/>
      <c r="C275" s="65"/>
      <c r="D275" s="65"/>
      <c r="E275" s="65"/>
      <c r="F275" s="65"/>
      <c r="G275" s="65"/>
      <c r="H275" s="66"/>
      <c r="I275" s="66"/>
      <c r="J275" s="66"/>
      <c r="K275" s="65"/>
      <c r="L275" s="65"/>
      <c r="M275" s="23" t="str">
        <f t="shared" ca="1" si="20"/>
        <v/>
      </c>
      <c r="O275">
        <f>'Combined Delivery Data'!B274</f>
        <v>0</v>
      </c>
      <c r="P275">
        <f t="shared" si="21"/>
        <v>0</v>
      </c>
      <c r="Q275">
        <f t="shared" si="22"/>
        <v>497</v>
      </c>
      <c r="R275" s="38">
        <f t="shared" si="23"/>
        <v>0</v>
      </c>
      <c r="S275" t="str">
        <f t="shared" si="24"/>
        <v xml:space="preserve"> -&gt; </v>
      </c>
    </row>
    <row r="276" spans="1:19">
      <c r="A276" s="65"/>
      <c r="B276" s="66"/>
      <c r="C276" s="65"/>
      <c r="D276" s="65"/>
      <c r="E276" s="65"/>
      <c r="F276" s="65"/>
      <c r="G276" s="65"/>
      <c r="H276" s="66"/>
      <c r="I276" s="66"/>
      <c r="J276" s="66"/>
      <c r="K276" s="65"/>
      <c r="L276" s="65"/>
      <c r="M276" s="23" t="str">
        <f t="shared" ca="1" si="20"/>
        <v/>
      </c>
      <c r="O276">
        <f>'Combined Delivery Data'!B275</f>
        <v>0</v>
      </c>
      <c r="P276">
        <f t="shared" si="21"/>
        <v>0</v>
      </c>
      <c r="Q276">
        <f t="shared" si="22"/>
        <v>497</v>
      </c>
      <c r="R276" s="38">
        <f t="shared" si="23"/>
        <v>0</v>
      </c>
      <c r="S276" t="str">
        <f t="shared" si="24"/>
        <v xml:space="preserve"> -&gt; </v>
      </c>
    </row>
    <row r="277" spans="1:19">
      <c r="A277" s="65"/>
      <c r="B277" s="66"/>
      <c r="C277" s="65"/>
      <c r="D277" s="65"/>
      <c r="E277" s="65"/>
      <c r="F277" s="65"/>
      <c r="G277" s="65"/>
      <c r="H277" s="66"/>
      <c r="I277" s="66"/>
      <c r="J277" s="66"/>
      <c r="K277" s="65"/>
      <c r="L277" s="65"/>
      <c r="M277" s="23" t="str">
        <f t="shared" ca="1" si="20"/>
        <v/>
      </c>
      <c r="O277">
        <f>'Combined Delivery Data'!B276</f>
        <v>0</v>
      </c>
      <c r="P277">
        <f t="shared" si="21"/>
        <v>0</v>
      </c>
      <c r="Q277">
        <f t="shared" si="22"/>
        <v>497</v>
      </c>
      <c r="R277" s="38">
        <f t="shared" si="23"/>
        <v>0</v>
      </c>
      <c r="S277" t="str">
        <f t="shared" si="24"/>
        <v xml:space="preserve"> -&gt; </v>
      </c>
    </row>
    <row r="278" spans="1:19">
      <c r="A278" s="65"/>
      <c r="B278" s="66"/>
      <c r="C278" s="65"/>
      <c r="D278" s="65"/>
      <c r="E278" s="65"/>
      <c r="F278" s="65"/>
      <c r="G278" s="65"/>
      <c r="H278" s="66"/>
      <c r="I278" s="66"/>
      <c r="J278" s="66"/>
      <c r="K278" s="65"/>
      <c r="L278" s="65"/>
      <c r="M278" s="23" t="str">
        <f t="shared" ca="1" si="20"/>
        <v/>
      </c>
      <c r="O278">
        <f>'Combined Delivery Data'!B277</f>
        <v>0</v>
      </c>
      <c r="P278">
        <f t="shared" si="21"/>
        <v>0</v>
      </c>
      <c r="Q278">
        <f t="shared" si="22"/>
        <v>497</v>
      </c>
      <c r="R278" s="38">
        <f t="shared" si="23"/>
        <v>0</v>
      </c>
      <c r="S278" t="str">
        <f t="shared" si="24"/>
        <v xml:space="preserve"> -&gt; </v>
      </c>
    </row>
    <row r="279" spans="1:19">
      <c r="A279" s="65"/>
      <c r="B279" s="66"/>
      <c r="C279" s="65"/>
      <c r="D279" s="65"/>
      <c r="E279" s="65"/>
      <c r="F279" s="65"/>
      <c r="G279" s="65"/>
      <c r="H279" s="66"/>
      <c r="I279" s="66"/>
      <c r="J279" s="66"/>
      <c r="K279" s="65"/>
      <c r="L279" s="65"/>
      <c r="M279" s="23" t="str">
        <f t="shared" ca="1" si="20"/>
        <v/>
      </c>
      <c r="O279">
        <f>'Combined Delivery Data'!B278</f>
        <v>0</v>
      </c>
      <c r="P279">
        <f t="shared" si="21"/>
        <v>0</v>
      </c>
      <c r="Q279">
        <f t="shared" si="22"/>
        <v>497</v>
      </c>
      <c r="R279" s="38">
        <f t="shared" si="23"/>
        <v>0</v>
      </c>
      <c r="S279" t="str">
        <f t="shared" si="24"/>
        <v xml:space="preserve"> -&gt; </v>
      </c>
    </row>
    <row r="280" spans="1:19">
      <c r="A280" s="65"/>
      <c r="B280" s="66"/>
      <c r="C280" s="65"/>
      <c r="D280" s="65"/>
      <c r="E280" s="65"/>
      <c r="F280" s="65"/>
      <c r="G280" s="65"/>
      <c r="H280" s="66"/>
      <c r="I280" s="66"/>
      <c r="J280" s="66"/>
      <c r="K280" s="65"/>
      <c r="L280" s="65"/>
      <c r="M280" s="23" t="str">
        <f t="shared" ca="1" si="20"/>
        <v/>
      </c>
      <c r="O280">
        <f>'Combined Delivery Data'!B279</f>
        <v>0</v>
      </c>
      <c r="P280">
        <f t="shared" si="21"/>
        <v>0</v>
      </c>
      <c r="Q280">
        <f t="shared" si="22"/>
        <v>497</v>
      </c>
      <c r="R280" s="38">
        <f t="shared" si="23"/>
        <v>0</v>
      </c>
      <c r="S280" t="str">
        <f t="shared" si="24"/>
        <v xml:space="preserve"> -&gt; </v>
      </c>
    </row>
    <row r="281" spans="1:19">
      <c r="A281" s="65"/>
      <c r="B281" s="66"/>
      <c r="C281" s="65"/>
      <c r="D281" s="65"/>
      <c r="E281" s="65"/>
      <c r="F281" s="65"/>
      <c r="G281" s="65"/>
      <c r="H281" s="66"/>
      <c r="I281" s="66"/>
      <c r="J281" s="66"/>
      <c r="K281" s="65"/>
      <c r="L281" s="65"/>
      <c r="M281" s="23" t="str">
        <f t="shared" ca="1" si="20"/>
        <v/>
      </c>
      <c r="O281">
        <f>'Combined Delivery Data'!B280</f>
        <v>0</v>
      </c>
      <c r="P281">
        <f t="shared" si="21"/>
        <v>0</v>
      </c>
      <c r="Q281">
        <f t="shared" si="22"/>
        <v>497</v>
      </c>
      <c r="R281" s="38">
        <f t="shared" si="23"/>
        <v>0</v>
      </c>
      <c r="S281" t="str">
        <f t="shared" si="24"/>
        <v xml:space="preserve"> -&gt; </v>
      </c>
    </row>
    <row r="282" spans="1:19">
      <c r="A282" s="65"/>
      <c r="B282" s="66"/>
      <c r="C282" s="65"/>
      <c r="D282" s="65"/>
      <c r="E282" s="65"/>
      <c r="F282" s="65"/>
      <c r="G282" s="65"/>
      <c r="H282" s="66"/>
      <c r="I282" s="66"/>
      <c r="J282" s="66"/>
      <c r="K282" s="65"/>
      <c r="L282" s="65"/>
      <c r="M282" s="23" t="str">
        <f t="shared" ca="1" si="20"/>
        <v/>
      </c>
      <c r="O282">
        <f>'Combined Delivery Data'!B281</f>
        <v>0</v>
      </c>
      <c r="P282">
        <f t="shared" si="21"/>
        <v>0</v>
      </c>
      <c r="Q282">
        <f t="shared" si="22"/>
        <v>497</v>
      </c>
      <c r="R282" s="38">
        <f t="shared" si="23"/>
        <v>0</v>
      </c>
      <c r="S282" t="str">
        <f t="shared" si="24"/>
        <v xml:space="preserve"> -&gt; </v>
      </c>
    </row>
    <row r="283" spans="1:19">
      <c r="A283" s="65"/>
      <c r="B283" s="66"/>
      <c r="C283" s="65"/>
      <c r="D283" s="65"/>
      <c r="E283" s="65"/>
      <c r="F283" s="65"/>
      <c r="G283" s="65"/>
      <c r="H283" s="66"/>
      <c r="I283" s="66"/>
      <c r="J283" s="66"/>
      <c r="K283" s="65"/>
      <c r="L283" s="65"/>
      <c r="M283" s="23" t="str">
        <f t="shared" ca="1" si="20"/>
        <v/>
      </c>
      <c r="O283">
        <f>'Combined Delivery Data'!B282</f>
        <v>0</v>
      </c>
      <c r="P283">
        <f t="shared" si="21"/>
        <v>0</v>
      </c>
      <c r="Q283">
        <f t="shared" si="22"/>
        <v>497</v>
      </c>
      <c r="R283" s="38">
        <f t="shared" si="23"/>
        <v>0</v>
      </c>
      <c r="S283" t="str">
        <f t="shared" si="24"/>
        <v xml:space="preserve"> -&gt; </v>
      </c>
    </row>
    <row r="284" spans="1:19">
      <c r="A284" s="65"/>
      <c r="B284" s="66"/>
      <c r="C284" s="65"/>
      <c r="D284" s="65"/>
      <c r="E284" s="65"/>
      <c r="F284" s="65"/>
      <c r="G284" s="65"/>
      <c r="H284" s="66"/>
      <c r="I284" s="66"/>
      <c r="J284" s="66"/>
      <c r="K284" s="65"/>
      <c r="L284" s="65"/>
      <c r="M284" s="23" t="str">
        <f t="shared" ca="1" si="20"/>
        <v/>
      </c>
      <c r="O284">
        <f>'Combined Delivery Data'!B283</f>
        <v>0</v>
      </c>
      <c r="P284">
        <f t="shared" si="21"/>
        <v>0</v>
      </c>
      <c r="Q284">
        <f t="shared" si="22"/>
        <v>497</v>
      </c>
      <c r="R284" s="38">
        <f t="shared" si="23"/>
        <v>0</v>
      </c>
      <c r="S284" t="str">
        <f t="shared" si="24"/>
        <v xml:space="preserve"> -&gt; </v>
      </c>
    </row>
    <row r="285" spans="1:19">
      <c r="A285" s="65"/>
      <c r="B285" s="66"/>
      <c r="C285" s="65"/>
      <c r="D285" s="65"/>
      <c r="E285" s="65"/>
      <c r="F285" s="65"/>
      <c r="G285" s="65"/>
      <c r="H285" s="66"/>
      <c r="I285" s="66"/>
      <c r="J285" s="66"/>
      <c r="K285" s="65"/>
      <c r="L285" s="65"/>
      <c r="M285" s="23" t="str">
        <f t="shared" ca="1" si="20"/>
        <v/>
      </c>
      <c r="O285">
        <f>'Combined Delivery Data'!B284</f>
        <v>0</v>
      </c>
      <c r="P285">
        <f t="shared" si="21"/>
        <v>0</v>
      </c>
      <c r="Q285">
        <f t="shared" si="22"/>
        <v>497</v>
      </c>
      <c r="R285" s="38">
        <f t="shared" si="23"/>
        <v>0</v>
      </c>
      <c r="S285" t="str">
        <f t="shared" si="24"/>
        <v xml:space="preserve"> -&gt; </v>
      </c>
    </row>
    <row r="286" spans="1:19">
      <c r="A286" s="65"/>
      <c r="B286" s="66"/>
      <c r="C286" s="65"/>
      <c r="D286" s="65"/>
      <c r="E286" s="65"/>
      <c r="F286" s="65"/>
      <c r="G286" s="65"/>
      <c r="H286" s="66"/>
      <c r="I286" s="66"/>
      <c r="J286" s="66"/>
      <c r="K286" s="65"/>
      <c r="L286" s="65"/>
      <c r="M286" s="23" t="str">
        <f t="shared" ca="1" si="20"/>
        <v/>
      </c>
      <c r="O286">
        <f>'Combined Delivery Data'!B285</f>
        <v>0</v>
      </c>
      <c r="P286">
        <f t="shared" si="21"/>
        <v>0</v>
      </c>
      <c r="Q286">
        <f t="shared" si="22"/>
        <v>497</v>
      </c>
      <c r="R286" s="38">
        <f t="shared" si="23"/>
        <v>0</v>
      </c>
      <c r="S286" t="str">
        <f t="shared" si="24"/>
        <v xml:space="preserve"> -&gt; </v>
      </c>
    </row>
    <row r="287" spans="1:19">
      <c r="A287" s="65"/>
      <c r="B287" s="66"/>
      <c r="C287" s="65"/>
      <c r="D287" s="65"/>
      <c r="E287" s="65"/>
      <c r="F287" s="65"/>
      <c r="G287" s="65"/>
      <c r="H287" s="66"/>
      <c r="I287" s="66"/>
      <c r="J287" s="66"/>
      <c r="K287" s="65"/>
      <c r="L287" s="65"/>
      <c r="M287" s="23" t="str">
        <f t="shared" ca="1" si="20"/>
        <v/>
      </c>
      <c r="O287">
        <f>'Combined Delivery Data'!B286</f>
        <v>0</v>
      </c>
      <c r="P287">
        <f t="shared" si="21"/>
        <v>0</v>
      </c>
      <c r="Q287">
        <f t="shared" si="22"/>
        <v>497</v>
      </c>
      <c r="R287" s="38">
        <f t="shared" si="23"/>
        <v>0</v>
      </c>
      <c r="S287" t="str">
        <f t="shared" si="24"/>
        <v xml:space="preserve"> -&gt; </v>
      </c>
    </row>
    <row r="288" spans="1:19">
      <c r="A288" s="65"/>
      <c r="B288" s="66"/>
      <c r="C288" s="65"/>
      <c r="D288" s="65"/>
      <c r="E288" s="65"/>
      <c r="F288" s="65"/>
      <c r="G288" s="65"/>
      <c r="H288" s="66"/>
      <c r="I288" s="66"/>
      <c r="J288" s="66"/>
      <c r="K288" s="65"/>
      <c r="L288" s="65"/>
      <c r="M288" s="23" t="str">
        <f t="shared" ca="1" si="20"/>
        <v/>
      </c>
      <c r="O288">
        <f>'Combined Delivery Data'!B287</f>
        <v>0</v>
      </c>
      <c r="P288">
        <f t="shared" si="21"/>
        <v>0</v>
      </c>
      <c r="Q288">
        <f t="shared" si="22"/>
        <v>497</v>
      </c>
      <c r="R288" s="38">
        <f t="shared" si="23"/>
        <v>0</v>
      </c>
      <c r="S288" t="str">
        <f t="shared" si="24"/>
        <v xml:space="preserve"> -&gt; </v>
      </c>
    </row>
    <row r="289" spans="1:19">
      <c r="A289" s="65"/>
      <c r="B289" s="66"/>
      <c r="C289" s="65"/>
      <c r="D289" s="65"/>
      <c r="E289" s="65"/>
      <c r="F289" s="65"/>
      <c r="G289" s="65"/>
      <c r="H289" s="66"/>
      <c r="I289" s="66"/>
      <c r="J289" s="66"/>
      <c r="K289" s="65"/>
      <c r="L289" s="65"/>
      <c r="M289" s="23" t="str">
        <f t="shared" ca="1" si="20"/>
        <v/>
      </c>
      <c r="O289">
        <f>'Combined Delivery Data'!B288</f>
        <v>0</v>
      </c>
      <c r="P289">
        <f t="shared" si="21"/>
        <v>0</v>
      </c>
      <c r="Q289">
        <f t="shared" si="22"/>
        <v>497</v>
      </c>
      <c r="R289" s="38">
        <f t="shared" si="23"/>
        <v>0</v>
      </c>
      <c r="S289" t="str">
        <f t="shared" si="24"/>
        <v xml:space="preserve"> -&gt; </v>
      </c>
    </row>
    <row r="290" spans="1:19">
      <c r="A290" s="65"/>
      <c r="B290" s="66"/>
      <c r="C290" s="65"/>
      <c r="D290" s="65"/>
      <c r="E290" s="65"/>
      <c r="F290" s="65"/>
      <c r="G290" s="65"/>
      <c r="H290" s="66"/>
      <c r="I290" s="66"/>
      <c r="J290" s="66"/>
      <c r="K290" s="65"/>
      <c r="L290" s="65"/>
      <c r="M290" s="23" t="str">
        <f t="shared" ca="1" si="20"/>
        <v/>
      </c>
      <c r="O290">
        <f>'Combined Delivery Data'!B289</f>
        <v>0</v>
      </c>
      <c r="P290">
        <f t="shared" si="21"/>
        <v>0</v>
      </c>
      <c r="Q290">
        <f t="shared" si="22"/>
        <v>497</v>
      </c>
      <c r="R290" s="38">
        <f t="shared" si="23"/>
        <v>0</v>
      </c>
      <c r="S290" t="str">
        <f t="shared" si="24"/>
        <v xml:space="preserve"> -&gt; </v>
      </c>
    </row>
    <row r="291" spans="1:19">
      <c r="A291" s="65"/>
      <c r="B291" s="66"/>
      <c r="C291" s="65"/>
      <c r="D291" s="65"/>
      <c r="E291" s="65"/>
      <c r="F291" s="65"/>
      <c r="G291" s="65"/>
      <c r="H291" s="66"/>
      <c r="I291" s="66"/>
      <c r="J291" s="66"/>
      <c r="K291" s="65"/>
      <c r="L291" s="65"/>
      <c r="M291" s="23" t="str">
        <f t="shared" ca="1" si="20"/>
        <v/>
      </c>
      <c r="O291">
        <f>'Combined Delivery Data'!B290</f>
        <v>0</v>
      </c>
      <c r="P291">
        <f t="shared" si="21"/>
        <v>0</v>
      </c>
      <c r="Q291">
        <f t="shared" si="22"/>
        <v>497</v>
      </c>
      <c r="R291" s="38">
        <f t="shared" si="23"/>
        <v>0</v>
      </c>
      <c r="S291" t="str">
        <f t="shared" si="24"/>
        <v xml:space="preserve"> -&gt; </v>
      </c>
    </row>
    <row r="292" spans="1:19">
      <c r="A292" s="65"/>
      <c r="B292" s="66"/>
      <c r="C292" s="65"/>
      <c r="D292" s="65"/>
      <c r="E292" s="65"/>
      <c r="F292" s="65"/>
      <c r="G292" s="65"/>
      <c r="H292" s="66"/>
      <c r="I292" s="66"/>
      <c r="J292" s="66"/>
      <c r="K292" s="65"/>
      <c r="L292" s="65"/>
      <c r="M292" s="23" t="str">
        <f t="shared" ca="1" si="20"/>
        <v/>
      </c>
      <c r="O292">
        <f>'Combined Delivery Data'!B291</f>
        <v>0</v>
      </c>
      <c r="P292">
        <f t="shared" si="21"/>
        <v>0</v>
      </c>
      <c r="Q292">
        <f t="shared" si="22"/>
        <v>497</v>
      </c>
      <c r="R292" s="38">
        <f t="shared" si="23"/>
        <v>0</v>
      </c>
      <c r="S292" t="str">
        <f t="shared" si="24"/>
        <v xml:space="preserve"> -&gt; </v>
      </c>
    </row>
    <row r="293" spans="1:19">
      <c r="A293" s="65"/>
      <c r="B293" s="66"/>
      <c r="C293" s="65"/>
      <c r="D293" s="65"/>
      <c r="E293" s="65"/>
      <c r="F293" s="65"/>
      <c r="G293" s="65"/>
      <c r="H293" s="66"/>
      <c r="I293" s="66"/>
      <c r="J293" s="66"/>
      <c r="K293" s="65"/>
      <c r="L293" s="65"/>
      <c r="M293" s="23" t="str">
        <f t="shared" ca="1" si="20"/>
        <v/>
      </c>
      <c r="O293">
        <f>'Combined Delivery Data'!B292</f>
        <v>0</v>
      </c>
      <c r="P293">
        <f t="shared" si="21"/>
        <v>0</v>
      </c>
      <c r="Q293">
        <f t="shared" si="22"/>
        <v>497</v>
      </c>
      <c r="R293" s="38">
        <f t="shared" si="23"/>
        <v>0</v>
      </c>
      <c r="S293" t="str">
        <f t="shared" si="24"/>
        <v xml:space="preserve"> -&gt; </v>
      </c>
    </row>
    <row r="294" spans="1:19">
      <c r="A294" s="65"/>
      <c r="B294" s="66"/>
      <c r="C294" s="65"/>
      <c r="D294" s="65"/>
      <c r="E294" s="65"/>
      <c r="F294" s="65"/>
      <c r="G294" s="65"/>
      <c r="H294" s="66"/>
      <c r="I294" s="66"/>
      <c r="J294" s="66"/>
      <c r="K294" s="65"/>
      <c r="L294" s="65"/>
      <c r="M294" s="23" t="str">
        <f t="shared" ca="1" si="20"/>
        <v/>
      </c>
      <c r="O294">
        <f>'Combined Delivery Data'!B293</f>
        <v>0</v>
      </c>
      <c r="P294">
        <f t="shared" si="21"/>
        <v>0</v>
      </c>
      <c r="Q294">
        <f t="shared" si="22"/>
        <v>497</v>
      </c>
      <c r="R294" s="38">
        <f t="shared" si="23"/>
        <v>0</v>
      </c>
      <c r="S294" t="str">
        <f t="shared" si="24"/>
        <v xml:space="preserve"> -&gt; </v>
      </c>
    </row>
    <row r="295" spans="1:19">
      <c r="A295" s="65"/>
      <c r="B295" s="66"/>
      <c r="C295" s="65"/>
      <c r="D295" s="65"/>
      <c r="E295" s="65"/>
      <c r="F295" s="65"/>
      <c r="G295" s="65"/>
      <c r="H295" s="66"/>
      <c r="I295" s="66"/>
      <c r="J295" s="66"/>
      <c r="K295" s="65"/>
      <c r="L295" s="65"/>
      <c r="M295" s="23" t="str">
        <f t="shared" ca="1" si="20"/>
        <v/>
      </c>
      <c r="O295">
        <f>'Combined Delivery Data'!B294</f>
        <v>0</v>
      </c>
      <c r="P295">
        <f t="shared" si="21"/>
        <v>0</v>
      </c>
      <c r="Q295">
        <f t="shared" si="22"/>
        <v>497</v>
      </c>
      <c r="R295" s="38">
        <f t="shared" si="23"/>
        <v>0</v>
      </c>
      <c r="S295" t="str">
        <f t="shared" si="24"/>
        <v xml:space="preserve"> -&gt; </v>
      </c>
    </row>
    <row r="296" spans="1:19">
      <c r="A296" s="65"/>
      <c r="B296" s="66"/>
      <c r="C296" s="65"/>
      <c r="D296" s="65"/>
      <c r="E296" s="65"/>
      <c r="F296" s="65"/>
      <c r="G296" s="65"/>
      <c r="H296" s="66"/>
      <c r="I296" s="66"/>
      <c r="J296" s="66"/>
      <c r="K296" s="65"/>
      <c r="L296" s="65"/>
      <c r="M296" s="23" t="str">
        <f t="shared" ca="1" si="20"/>
        <v/>
      </c>
      <c r="O296">
        <f>'Combined Delivery Data'!B295</f>
        <v>0</v>
      </c>
      <c r="P296">
        <f t="shared" si="21"/>
        <v>0</v>
      </c>
      <c r="Q296">
        <f t="shared" si="22"/>
        <v>497</v>
      </c>
      <c r="R296" s="38">
        <f t="shared" si="23"/>
        <v>0</v>
      </c>
      <c r="S296" t="str">
        <f t="shared" si="24"/>
        <v xml:space="preserve"> -&gt; </v>
      </c>
    </row>
    <row r="297" spans="1:19">
      <c r="A297" s="65"/>
      <c r="B297" s="66"/>
      <c r="C297" s="65"/>
      <c r="D297" s="65"/>
      <c r="E297" s="65"/>
      <c r="F297" s="65"/>
      <c r="G297" s="65"/>
      <c r="H297" s="66"/>
      <c r="I297" s="66"/>
      <c r="J297" s="66"/>
      <c r="K297" s="65"/>
      <c r="L297" s="65"/>
      <c r="M297" s="23" t="str">
        <f t="shared" ca="1" si="20"/>
        <v/>
      </c>
      <c r="O297">
        <f>'Combined Delivery Data'!B296</f>
        <v>0</v>
      </c>
      <c r="P297">
        <f t="shared" si="21"/>
        <v>0</v>
      </c>
      <c r="Q297">
        <f t="shared" si="22"/>
        <v>497</v>
      </c>
      <c r="R297" s="38">
        <f t="shared" si="23"/>
        <v>0</v>
      </c>
      <c r="S297" t="str">
        <f t="shared" si="24"/>
        <v xml:space="preserve"> -&gt; </v>
      </c>
    </row>
    <row r="298" spans="1:19">
      <c r="A298" s="65"/>
      <c r="B298" s="66"/>
      <c r="C298" s="65"/>
      <c r="D298" s="65"/>
      <c r="E298" s="65"/>
      <c r="F298" s="65"/>
      <c r="G298" s="65"/>
      <c r="H298" s="66"/>
      <c r="I298" s="66"/>
      <c r="J298" s="66"/>
      <c r="K298" s="65"/>
      <c r="L298" s="65"/>
      <c r="M298" s="23" t="str">
        <f t="shared" ca="1" si="20"/>
        <v/>
      </c>
      <c r="O298">
        <f>'Combined Delivery Data'!B297</f>
        <v>0</v>
      </c>
      <c r="P298">
        <f t="shared" si="21"/>
        <v>0</v>
      </c>
      <c r="Q298">
        <f t="shared" si="22"/>
        <v>497</v>
      </c>
      <c r="R298" s="38">
        <f t="shared" si="23"/>
        <v>0</v>
      </c>
      <c r="S298" t="str">
        <f t="shared" si="24"/>
        <v xml:space="preserve"> -&gt; </v>
      </c>
    </row>
    <row r="299" spans="1:19">
      <c r="A299" s="65"/>
      <c r="B299" s="66"/>
      <c r="C299" s="65"/>
      <c r="D299" s="65"/>
      <c r="E299" s="65"/>
      <c r="F299" s="65"/>
      <c r="G299" s="65"/>
      <c r="H299" s="66"/>
      <c r="I299" s="66"/>
      <c r="J299" s="66"/>
      <c r="K299" s="65"/>
      <c r="L299" s="65"/>
      <c r="M299" s="23" t="str">
        <f t="shared" ca="1" si="20"/>
        <v/>
      </c>
      <c r="O299">
        <f>'Combined Delivery Data'!B298</f>
        <v>0</v>
      </c>
      <c r="P299">
        <f t="shared" si="21"/>
        <v>0</v>
      </c>
      <c r="Q299">
        <f t="shared" si="22"/>
        <v>497</v>
      </c>
      <c r="R299" s="38">
        <f t="shared" si="23"/>
        <v>0</v>
      </c>
      <c r="S299" t="str">
        <f t="shared" si="24"/>
        <v xml:space="preserve"> -&gt; </v>
      </c>
    </row>
    <row r="300" spans="1:19">
      <c r="A300" s="65"/>
      <c r="B300" s="66"/>
      <c r="C300" s="65"/>
      <c r="D300" s="65"/>
      <c r="E300" s="65"/>
      <c r="F300" s="65"/>
      <c r="G300" s="65"/>
      <c r="H300" s="66"/>
      <c r="I300" s="66"/>
      <c r="J300" s="66"/>
      <c r="K300" s="65"/>
      <c r="L300" s="65"/>
      <c r="M300" s="23" t="str">
        <f t="shared" ca="1" si="20"/>
        <v/>
      </c>
      <c r="O300">
        <f>'Combined Delivery Data'!B299</f>
        <v>0</v>
      </c>
      <c r="P300">
        <f t="shared" si="21"/>
        <v>0</v>
      </c>
      <c r="Q300">
        <f t="shared" si="22"/>
        <v>497</v>
      </c>
      <c r="R300" s="38">
        <f t="shared" si="23"/>
        <v>0</v>
      </c>
      <c r="S300" t="str">
        <f t="shared" si="24"/>
        <v xml:space="preserve"> -&gt; </v>
      </c>
    </row>
    <row r="301" spans="1:19">
      <c r="A301" s="65"/>
      <c r="B301" s="66"/>
      <c r="C301" s="65"/>
      <c r="D301" s="65"/>
      <c r="E301" s="65"/>
      <c r="F301" s="65"/>
      <c r="G301" s="65"/>
      <c r="H301" s="66"/>
      <c r="I301" s="66"/>
      <c r="J301" s="66"/>
      <c r="K301" s="65"/>
      <c r="L301" s="65"/>
      <c r="M301" s="23" t="str">
        <f t="shared" ca="1" si="20"/>
        <v/>
      </c>
      <c r="O301">
        <f>'Combined Delivery Data'!B300</f>
        <v>0</v>
      </c>
      <c r="P301">
        <f t="shared" si="21"/>
        <v>0</v>
      </c>
      <c r="Q301">
        <f t="shared" si="22"/>
        <v>497</v>
      </c>
      <c r="R301" s="38">
        <f t="shared" si="23"/>
        <v>0</v>
      </c>
      <c r="S301" t="str">
        <f t="shared" si="24"/>
        <v xml:space="preserve"> -&gt; </v>
      </c>
    </row>
    <row r="302" spans="1:19">
      <c r="A302" s="65"/>
      <c r="B302" s="66"/>
      <c r="C302" s="65"/>
      <c r="D302" s="65"/>
      <c r="E302" s="65"/>
      <c r="F302" s="65"/>
      <c r="G302" s="65"/>
      <c r="H302" s="66"/>
      <c r="I302" s="66"/>
      <c r="J302" s="66"/>
      <c r="K302" s="65"/>
      <c r="L302" s="65"/>
      <c r="M302" s="23" t="str">
        <f t="shared" ca="1" si="20"/>
        <v/>
      </c>
      <c r="O302">
        <f>'Combined Delivery Data'!B301</f>
        <v>0</v>
      </c>
      <c r="P302">
        <f t="shared" si="21"/>
        <v>0</v>
      </c>
      <c r="Q302">
        <f t="shared" si="22"/>
        <v>497</v>
      </c>
      <c r="R302" s="38">
        <f t="shared" si="23"/>
        <v>0</v>
      </c>
      <c r="S302" t="str">
        <f t="shared" si="24"/>
        <v xml:space="preserve"> -&gt; </v>
      </c>
    </row>
    <row r="303" spans="1:19">
      <c r="A303" s="65"/>
      <c r="B303" s="66"/>
      <c r="C303" s="65"/>
      <c r="D303" s="65"/>
      <c r="E303" s="65"/>
      <c r="F303" s="65"/>
      <c r="G303" s="65"/>
      <c r="H303" s="66"/>
      <c r="I303" s="66"/>
      <c r="J303" s="66"/>
      <c r="K303" s="65"/>
      <c r="L303" s="65"/>
      <c r="M303" s="23" t="str">
        <f t="shared" ca="1" si="20"/>
        <v/>
      </c>
      <c r="O303">
        <f>'Combined Delivery Data'!B302</f>
        <v>0</v>
      </c>
      <c r="P303">
        <f t="shared" si="21"/>
        <v>0</v>
      </c>
      <c r="Q303">
        <f t="shared" si="22"/>
        <v>497</v>
      </c>
      <c r="R303" s="38">
        <f t="shared" si="23"/>
        <v>0</v>
      </c>
      <c r="S303" t="str">
        <f t="shared" si="24"/>
        <v xml:space="preserve"> -&gt; </v>
      </c>
    </row>
    <row r="304" spans="1:19">
      <c r="A304" s="65"/>
      <c r="B304" s="66"/>
      <c r="C304" s="65"/>
      <c r="D304" s="65"/>
      <c r="E304" s="65"/>
      <c r="F304" s="65"/>
      <c r="G304" s="65"/>
      <c r="H304" s="66"/>
      <c r="I304" s="66"/>
      <c r="J304" s="66"/>
      <c r="K304" s="65"/>
      <c r="L304" s="65"/>
      <c r="M304" s="23" t="str">
        <f t="shared" ca="1" si="20"/>
        <v/>
      </c>
      <c r="O304">
        <f>'Combined Delivery Data'!B303</f>
        <v>0</v>
      </c>
      <c r="P304">
        <f t="shared" si="21"/>
        <v>0</v>
      </c>
      <c r="Q304">
        <f t="shared" si="22"/>
        <v>497</v>
      </c>
      <c r="R304" s="38">
        <f t="shared" si="23"/>
        <v>0</v>
      </c>
      <c r="S304" t="str">
        <f t="shared" si="24"/>
        <v xml:space="preserve"> -&gt; </v>
      </c>
    </row>
    <row r="305" spans="1:19">
      <c r="A305" s="65"/>
      <c r="B305" s="66"/>
      <c r="C305" s="65"/>
      <c r="D305" s="65"/>
      <c r="E305" s="65"/>
      <c r="F305" s="65"/>
      <c r="G305" s="65"/>
      <c r="H305" s="66"/>
      <c r="I305" s="66"/>
      <c r="J305" s="66"/>
      <c r="K305" s="65"/>
      <c r="L305" s="65"/>
      <c r="M305" s="23" t="str">
        <f t="shared" ca="1" si="20"/>
        <v/>
      </c>
      <c r="O305">
        <f>'Combined Delivery Data'!B304</f>
        <v>0</v>
      </c>
      <c r="P305">
        <f t="shared" si="21"/>
        <v>0</v>
      </c>
      <c r="Q305">
        <f t="shared" si="22"/>
        <v>497</v>
      </c>
      <c r="R305" s="38">
        <f t="shared" si="23"/>
        <v>0</v>
      </c>
      <c r="S305" t="str">
        <f t="shared" si="24"/>
        <v xml:space="preserve"> -&gt; </v>
      </c>
    </row>
    <row r="306" spans="1:19">
      <c r="A306" s="65"/>
      <c r="B306" s="66"/>
      <c r="C306" s="65"/>
      <c r="D306" s="65"/>
      <c r="E306" s="65"/>
      <c r="F306" s="65"/>
      <c r="G306" s="65"/>
      <c r="H306" s="66"/>
      <c r="I306" s="66"/>
      <c r="J306" s="66"/>
      <c r="K306" s="65"/>
      <c r="L306" s="65"/>
      <c r="M306" s="23" t="str">
        <f t="shared" ca="1" si="20"/>
        <v/>
      </c>
      <c r="O306">
        <f>'Combined Delivery Data'!B305</f>
        <v>0</v>
      </c>
      <c r="P306">
        <f t="shared" si="21"/>
        <v>0</v>
      </c>
      <c r="Q306">
        <f t="shared" si="22"/>
        <v>497</v>
      </c>
      <c r="R306" s="38">
        <f t="shared" si="23"/>
        <v>0</v>
      </c>
      <c r="S306" t="str">
        <f t="shared" si="24"/>
        <v xml:space="preserve"> -&gt; </v>
      </c>
    </row>
    <row r="307" spans="1:19">
      <c r="A307" s="65"/>
      <c r="B307" s="66"/>
      <c r="C307" s="65"/>
      <c r="D307" s="65"/>
      <c r="E307" s="65"/>
      <c r="F307" s="65"/>
      <c r="G307" s="65"/>
      <c r="H307" s="66"/>
      <c r="I307" s="66"/>
      <c r="J307" s="66"/>
      <c r="K307" s="65"/>
      <c r="L307" s="65"/>
      <c r="M307" s="23" t="str">
        <f t="shared" ca="1" si="20"/>
        <v/>
      </c>
      <c r="O307">
        <f>'Combined Delivery Data'!B306</f>
        <v>0</v>
      </c>
      <c r="P307">
        <f t="shared" si="21"/>
        <v>0</v>
      </c>
      <c r="Q307">
        <f t="shared" si="22"/>
        <v>497</v>
      </c>
      <c r="R307" s="38">
        <f t="shared" si="23"/>
        <v>0</v>
      </c>
      <c r="S307" t="str">
        <f t="shared" si="24"/>
        <v xml:space="preserve"> -&gt; </v>
      </c>
    </row>
    <row r="308" spans="1:19">
      <c r="A308" s="65"/>
      <c r="B308" s="66"/>
      <c r="C308" s="65"/>
      <c r="D308" s="65"/>
      <c r="E308" s="65"/>
      <c r="F308" s="65"/>
      <c r="G308" s="65"/>
      <c r="H308" s="66"/>
      <c r="I308" s="66"/>
      <c r="J308" s="66"/>
      <c r="K308" s="65"/>
      <c r="L308" s="65"/>
      <c r="M308" s="23" t="str">
        <f t="shared" ca="1" si="20"/>
        <v/>
      </c>
      <c r="O308">
        <f>'Combined Delivery Data'!B307</f>
        <v>0</v>
      </c>
      <c r="P308">
        <f t="shared" si="21"/>
        <v>0</v>
      </c>
      <c r="Q308">
        <f t="shared" si="22"/>
        <v>497</v>
      </c>
      <c r="R308" s="38">
        <f t="shared" si="23"/>
        <v>0</v>
      </c>
      <c r="S308" t="str">
        <f t="shared" si="24"/>
        <v xml:space="preserve"> -&gt; </v>
      </c>
    </row>
    <row r="309" spans="1:19">
      <c r="A309" s="65"/>
      <c r="B309" s="66"/>
      <c r="C309" s="65"/>
      <c r="D309" s="65"/>
      <c r="E309" s="65"/>
      <c r="F309" s="65"/>
      <c r="G309" s="65"/>
      <c r="H309" s="66"/>
      <c r="I309" s="66"/>
      <c r="J309" s="66"/>
      <c r="K309" s="65"/>
      <c r="L309" s="65"/>
      <c r="M309" s="23" t="str">
        <f t="shared" ca="1" si="20"/>
        <v/>
      </c>
      <c r="O309">
        <f>'Combined Delivery Data'!B308</f>
        <v>0</v>
      </c>
      <c r="P309">
        <f t="shared" si="21"/>
        <v>0</v>
      </c>
      <c r="Q309">
        <f t="shared" si="22"/>
        <v>497</v>
      </c>
      <c r="R309" s="38">
        <f t="shared" si="23"/>
        <v>0</v>
      </c>
      <c r="S309" t="str">
        <f t="shared" si="24"/>
        <v xml:space="preserve"> -&gt; </v>
      </c>
    </row>
    <row r="310" spans="1:19">
      <c r="A310" s="65"/>
      <c r="B310" s="66"/>
      <c r="C310" s="65"/>
      <c r="D310" s="65"/>
      <c r="E310" s="65"/>
      <c r="F310" s="65"/>
      <c r="G310" s="65"/>
      <c r="H310" s="66"/>
      <c r="I310" s="66"/>
      <c r="J310" s="66"/>
      <c r="K310" s="65"/>
      <c r="L310" s="65"/>
      <c r="M310" s="23" t="str">
        <f t="shared" ca="1" si="20"/>
        <v/>
      </c>
      <c r="O310">
        <f>'Combined Delivery Data'!B309</f>
        <v>0</v>
      </c>
      <c r="P310">
        <f t="shared" si="21"/>
        <v>0</v>
      </c>
      <c r="Q310">
        <f t="shared" si="22"/>
        <v>497</v>
      </c>
      <c r="R310" s="38">
        <f t="shared" si="23"/>
        <v>0</v>
      </c>
      <c r="S310" t="str">
        <f t="shared" si="24"/>
        <v xml:space="preserve"> -&gt; </v>
      </c>
    </row>
    <row r="311" spans="1:19">
      <c r="A311" s="65"/>
      <c r="B311" s="66"/>
      <c r="C311" s="65"/>
      <c r="D311" s="65"/>
      <c r="E311" s="65"/>
      <c r="F311" s="65"/>
      <c r="G311" s="65"/>
      <c r="H311" s="66"/>
      <c r="I311" s="66"/>
      <c r="J311" s="66"/>
      <c r="K311" s="65"/>
      <c r="L311" s="65"/>
      <c r="M311" s="23" t="str">
        <f t="shared" ca="1" si="20"/>
        <v/>
      </c>
      <c r="O311">
        <f>'Combined Delivery Data'!B310</f>
        <v>0</v>
      </c>
      <c r="P311">
        <f t="shared" si="21"/>
        <v>0</v>
      </c>
      <c r="Q311">
        <f t="shared" si="22"/>
        <v>497</v>
      </c>
      <c r="R311" s="38">
        <f t="shared" si="23"/>
        <v>0</v>
      </c>
      <c r="S311" t="str">
        <f t="shared" si="24"/>
        <v xml:space="preserve"> -&gt; </v>
      </c>
    </row>
    <row r="312" spans="1:19">
      <c r="A312" s="65"/>
      <c r="B312" s="66"/>
      <c r="C312" s="65"/>
      <c r="D312" s="65"/>
      <c r="E312" s="65"/>
      <c r="F312" s="65"/>
      <c r="G312" s="65"/>
      <c r="H312" s="66"/>
      <c r="I312" s="66"/>
      <c r="J312" s="66"/>
      <c r="K312" s="65"/>
      <c r="L312" s="65"/>
      <c r="M312" s="23" t="str">
        <f t="shared" ca="1" si="20"/>
        <v/>
      </c>
      <c r="O312">
        <f>'Combined Delivery Data'!B311</f>
        <v>0</v>
      </c>
      <c r="P312">
        <f t="shared" si="21"/>
        <v>0</v>
      </c>
      <c r="Q312">
        <f t="shared" si="22"/>
        <v>497</v>
      </c>
      <c r="R312" s="38">
        <f t="shared" si="23"/>
        <v>0</v>
      </c>
      <c r="S312" t="str">
        <f t="shared" si="24"/>
        <v xml:space="preserve"> -&gt; </v>
      </c>
    </row>
    <row r="313" spans="1:19">
      <c r="A313" s="65"/>
      <c r="B313" s="66"/>
      <c r="C313" s="65"/>
      <c r="D313" s="65"/>
      <c r="E313" s="65"/>
      <c r="F313" s="65"/>
      <c r="G313" s="65"/>
      <c r="H313" s="66"/>
      <c r="I313" s="66"/>
      <c r="J313" s="66"/>
      <c r="K313" s="65"/>
      <c r="L313" s="65"/>
      <c r="M313" s="23" t="str">
        <f t="shared" ca="1" si="20"/>
        <v/>
      </c>
      <c r="O313">
        <f>'Combined Delivery Data'!B312</f>
        <v>0</v>
      </c>
      <c r="P313">
        <f t="shared" si="21"/>
        <v>0</v>
      </c>
      <c r="Q313">
        <f t="shared" si="22"/>
        <v>497</v>
      </c>
      <c r="R313" s="38">
        <f t="shared" si="23"/>
        <v>0</v>
      </c>
      <c r="S313" t="str">
        <f t="shared" si="24"/>
        <v xml:space="preserve"> -&gt; </v>
      </c>
    </row>
    <row r="314" spans="1:19">
      <c r="A314" s="65"/>
      <c r="B314" s="66"/>
      <c r="C314" s="65"/>
      <c r="D314" s="65"/>
      <c r="E314" s="65"/>
      <c r="F314" s="65"/>
      <c r="G314" s="65"/>
      <c r="H314" s="66"/>
      <c r="I314" s="66"/>
      <c r="J314" s="66"/>
      <c r="K314" s="65"/>
      <c r="L314" s="65"/>
      <c r="M314" s="23" t="str">
        <f t="shared" ca="1" si="20"/>
        <v/>
      </c>
      <c r="O314">
        <f>'Combined Delivery Data'!B313</f>
        <v>0</v>
      </c>
      <c r="P314">
        <f t="shared" si="21"/>
        <v>0</v>
      </c>
      <c r="Q314">
        <f t="shared" si="22"/>
        <v>497</v>
      </c>
      <c r="R314" s="38">
        <f t="shared" si="23"/>
        <v>0</v>
      </c>
      <c r="S314" t="str">
        <f t="shared" si="24"/>
        <v xml:space="preserve"> -&gt; </v>
      </c>
    </row>
    <row r="315" spans="1:19">
      <c r="A315" s="65"/>
      <c r="B315" s="66"/>
      <c r="C315" s="65"/>
      <c r="D315" s="65"/>
      <c r="E315" s="65"/>
      <c r="F315" s="65"/>
      <c r="G315" s="65"/>
      <c r="H315" s="66"/>
      <c r="I315" s="66"/>
      <c r="J315" s="66"/>
      <c r="K315" s="65"/>
      <c r="L315" s="65"/>
      <c r="M315" s="23" t="str">
        <f t="shared" ca="1" si="20"/>
        <v/>
      </c>
      <c r="O315">
        <f>'Combined Delivery Data'!B314</f>
        <v>0</v>
      </c>
      <c r="P315">
        <f t="shared" si="21"/>
        <v>0</v>
      </c>
      <c r="Q315">
        <f t="shared" si="22"/>
        <v>497</v>
      </c>
      <c r="R315" s="38">
        <f t="shared" si="23"/>
        <v>0</v>
      </c>
      <c r="S315" t="str">
        <f t="shared" si="24"/>
        <v xml:space="preserve"> -&gt; </v>
      </c>
    </row>
    <row r="316" spans="1:19">
      <c r="A316" s="65"/>
      <c r="B316" s="66"/>
      <c r="C316" s="65"/>
      <c r="D316" s="65"/>
      <c r="E316" s="65"/>
      <c r="F316" s="65"/>
      <c r="G316" s="65"/>
      <c r="H316" s="66"/>
      <c r="I316" s="66"/>
      <c r="J316" s="66"/>
      <c r="K316" s="65"/>
      <c r="L316" s="65"/>
      <c r="M316" s="23" t="str">
        <f t="shared" ca="1" si="20"/>
        <v/>
      </c>
      <c r="O316">
        <f>'Combined Delivery Data'!B315</f>
        <v>0</v>
      </c>
      <c r="P316">
        <f t="shared" si="21"/>
        <v>0</v>
      </c>
      <c r="Q316">
        <f t="shared" si="22"/>
        <v>497</v>
      </c>
      <c r="R316" s="38">
        <f t="shared" si="23"/>
        <v>0</v>
      </c>
      <c r="S316" t="str">
        <f t="shared" si="24"/>
        <v xml:space="preserve"> -&gt; </v>
      </c>
    </row>
    <row r="317" spans="1:19">
      <c r="A317" s="65"/>
      <c r="B317" s="66"/>
      <c r="C317" s="65"/>
      <c r="D317" s="65"/>
      <c r="E317" s="65"/>
      <c r="F317" s="65"/>
      <c r="G317" s="65"/>
      <c r="H317" s="66"/>
      <c r="I317" s="66"/>
      <c r="J317" s="66"/>
      <c r="K317" s="65"/>
      <c r="L317" s="65"/>
      <c r="M317" s="23" t="str">
        <f t="shared" ca="1" si="20"/>
        <v/>
      </c>
      <c r="O317">
        <f>'Combined Delivery Data'!B316</f>
        <v>0</v>
      </c>
      <c r="P317">
        <f t="shared" si="21"/>
        <v>0</v>
      </c>
      <c r="Q317">
        <f t="shared" si="22"/>
        <v>497</v>
      </c>
      <c r="R317" s="38">
        <f t="shared" si="23"/>
        <v>0</v>
      </c>
      <c r="S317" t="str">
        <f t="shared" si="24"/>
        <v xml:space="preserve"> -&gt; </v>
      </c>
    </row>
    <row r="318" spans="1:19">
      <c r="A318" s="65"/>
      <c r="B318" s="66"/>
      <c r="C318" s="65"/>
      <c r="D318" s="65"/>
      <c r="E318" s="65"/>
      <c r="F318" s="65"/>
      <c r="G318" s="65"/>
      <c r="H318" s="66"/>
      <c r="I318" s="66"/>
      <c r="J318" s="66"/>
      <c r="K318" s="65"/>
      <c r="L318" s="65"/>
      <c r="M318" s="23" t="str">
        <f t="shared" ca="1" si="20"/>
        <v/>
      </c>
      <c r="O318">
        <f>'Combined Delivery Data'!B317</f>
        <v>0</v>
      </c>
      <c r="P318">
        <f t="shared" si="21"/>
        <v>0</v>
      </c>
      <c r="Q318">
        <f t="shared" si="22"/>
        <v>497</v>
      </c>
      <c r="R318" s="38">
        <f t="shared" si="23"/>
        <v>0</v>
      </c>
      <c r="S318" t="str">
        <f t="shared" si="24"/>
        <v xml:space="preserve"> -&gt; </v>
      </c>
    </row>
    <row r="319" spans="1:19">
      <c r="A319" s="65"/>
      <c r="B319" s="66"/>
      <c r="C319" s="65"/>
      <c r="D319" s="65"/>
      <c r="E319" s="65"/>
      <c r="F319" s="65"/>
      <c r="G319" s="65"/>
      <c r="H319" s="66"/>
      <c r="I319" s="66"/>
      <c r="J319" s="66"/>
      <c r="K319" s="65"/>
      <c r="L319" s="65"/>
      <c r="M319" s="23" t="str">
        <f t="shared" ca="1" si="20"/>
        <v/>
      </c>
      <c r="O319">
        <f>'Combined Delivery Data'!B318</f>
        <v>0</v>
      </c>
      <c r="P319">
        <f t="shared" si="21"/>
        <v>0</v>
      </c>
      <c r="Q319">
        <f t="shared" si="22"/>
        <v>497</v>
      </c>
      <c r="R319" s="38">
        <f t="shared" si="23"/>
        <v>0</v>
      </c>
      <c r="S319" t="str">
        <f t="shared" si="24"/>
        <v xml:space="preserve"> -&gt; </v>
      </c>
    </row>
    <row r="320" spans="1:19">
      <c r="A320" s="65"/>
      <c r="B320" s="66"/>
      <c r="C320" s="65"/>
      <c r="D320" s="65"/>
      <c r="E320" s="65"/>
      <c r="F320" s="65"/>
      <c r="G320" s="65"/>
      <c r="H320" s="66"/>
      <c r="I320" s="66"/>
      <c r="J320" s="66"/>
      <c r="K320" s="65"/>
      <c r="L320" s="65"/>
      <c r="M320" s="23" t="str">
        <f t="shared" ca="1" si="20"/>
        <v/>
      </c>
      <c r="O320">
        <f>'Combined Delivery Data'!B319</f>
        <v>0</v>
      </c>
      <c r="P320">
        <f t="shared" si="21"/>
        <v>0</v>
      </c>
      <c r="Q320">
        <f t="shared" si="22"/>
        <v>497</v>
      </c>
      <c r="R320" s="38">
        <f t="shared" si="23"/>
        <v>0</v>
      </c>
      <c r="S320" t="str">
        <f t="shared" si="24"/>
        <v xml:space="preserve"> -&gt; </v>
      </c>
    </row>
    <row r="321" spans="1:19">
      <c r="A321" s="65"/>
      <c r="B321" s="66"/>
      <c r="C321" s="65"/>
      <c r="D321" s="65"/>
      <c r="E321" s="65"/>
      <c r="F321" s="65"/>
      <c r="G321" s="65"/>
      <c r="H321" s="66"/>
      <c r="I321" s="66"/>
      <c r="J321" s="66"/>
      <c r="K321" s="65"/>
      <c r="L321" s="65"/>
      <c r="M321" s="23" t="str">
        <f t="shared" ca="1" si="20"/>
        <v/>
      </c>
      <c r="O321">
        <f>'Combined Delivery Data'!B320</f>
        <v>0</v>
      </c>
      <c r="P321">
        <f t="shared" si="21"/>
        <v>0</v>
      </c>
      <c r="Q321">
        <f t="shared" si="22"/>
        <v>497</v>
      </c>
      <c r="R321" s="38">
        <f t="shared" si="23"/>
        <v>0</v>
      </c>
      <c r="S321" t="str">
        <f t="shared" si="24"/>
        <v xml:space="preserve"> -&gt; </v>
      </c>
    </row>
    <row r="322" spans="1:19">
      <c r="A322" s="65"/>
      <c r="B322" s="66"/>
      <c r="C322" s="65"/>
      <c r="D322" s="65"/>
      <c r="E322" s="65"/>
      <c r="F322" s="65"/>
      <c r="G322" s="65"/>
      <c r="H322" s="66"/>
      <c r="I322" s="66"/>
      <c r="J322" s="66"/>
      <c r="K322" s="65"/>
      <c r="L322" s="65"/>
      <c r="M322" s="23" t="str">
        <f t="shared" ca="1" si="20"/>
        <v/>
      </c>
      <c r="O322">
        <f>'Combined Delivery Data'!B321</f>
        <v>0</v>
      </c>
      <c r="P322">
        <f t="shared" si="21"/>
        <v>0</v>
      </c>
      <c r="Q322">
        <f t="shared" si="22"/>
        <v>497</v>
      </c>
      <c r="R322" s="38">
        <f t="shared" si="23"/>
        <v>0</v>
      </c>
      <c r="S322" t="str">
        <f t="shared" si="24"/>
        <v xml:space="preserve"> -&gt; </v>
      </c>
    </row>
    <row r="323" spans="1:19">
      <c r="A323" s="65"/>
      <c r="B323" s="66"/>
      <c r="C323" s="65"/>
      <c r="D323" s="65"/>
      <c r="E323" s="65"/>
      <c r="F323" s="65"/>
      <c r="G323" s="65"/>
      <c r="H323" s="66"/>
      <c r="I323" s="66"/>
      <c r="J323" s="66"/>
      <c r="K323" s="65"/>
      <c r="L323" s="65"/>
      <c r="M323" s="2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O323">
        <f>'Combined Delivery Data'!B322</f>
        <v>0</v>
      </c>
      <c r="P323">
        <f t="shared" ref="P323:P386" si="26">IF($O323="","",COUNTIF($A$3:$A$500,$O323))</f>
        <v>0</v>
      </c>
      <c r="Q323">
        <f t="shared" ref="Q323:Q386" si="27">IF($O323="","",SUMPRODUCT(($A$3:$A$500=$O323)*($G$3:$G$500&lt;&gt;"Yes")*($G$3:$G$500&lt;&gt;"Did not pass re-test")))</f>
        <v>497</v>
      </c>
      <c r="R323" s="38">
        <f t="shared" ref="R323:R386" si="28">IF($O323="","",IF(SUMPRODUCT(MAX(($A$3:$A$500=$O323)*ROW($A$3:$A$500)))=0,"",INDEX($B:$B,SUMPRODUCT(MAX(($A$3:$A$500=$O323)*ROW($A$3:$A$500))))))</f>
        <v>0</v>
      </c>
      <c r="S323" t="str">
        <f t="shared" ref="S323:S386" si="29">IF($O323="","",IF(SUMPRODUCT(MAX(($A$3:$A$500=$O323)*ROW($A$3:$A$500)))=0,"",INDEX($C:$C,SUMPRODUCT(MAX(($A$3:$A$500=$O323)*ROW($A$3:$A$500))))&amp;" -&gt; "&amp;INDEX($D:$D,SUMPRODUCT(MAX(($A$3:$A$500=$O323)*ROW($A$3:$A$500))))))</f>
        <v xml:space="preserve"> -&gt; </v>
      </c>
    </row>
    <row r="324" spans="1:19">
      <c r="A324" s="65"/>
      <c r="B324" s="66"/>
      <c r="C324" s="65"/>
      <c r="D324" s="65"/>
      <c r="E324" s="65"/>
      <c r="F324" s="65"/>
      <c r="G324" s="65"/>
      <c r="H324" s="66"/>
      <c r="I324" s="66"/>
      <c r="J324" s="66"/>
      <c r="K324" s="65"/>
      <c r="L324" s="65"/>
      <c r="M324" s="23" t="str">
        <f t="shared" ca="1" si="25"/>
        <v/>
      </c>
      <c r="O324">
        <f>'Combined Delivery Data'!B323</f>
        <v>0</v>
      </c>
      <c r="P324">
        <f t="shared" si="26"/>
        <v>0</v>
      </c>
      <c r="Q324">
        <f t="shared" si="27"/>
        <v>497</v>
      </c>
      <c r="R324" s="38">
        <f t="shared" si="28"/>
        <v>0</v>
      </c>
      <c r="S324" t="str">
        <f t="shared" si="29"/>
        <v xml:space="preserve"> -&gt; </v>
      </c>
    </row>
    <row r="325" spans="1:19">
      <c r="A325" s="65"/>
      <c r="B325" s="66"/>
      <c r="C325" s="65"/>
      <c r="D325" s="65"/>
      <c r="E325" s="65"/>
      <c r="F325" s="65"/>
      <c r="G325" s="65"/>
      <c r="H325" s="66"/>
      <c r="I325" s="66"/>
      <c r="J325" s="66"/>
      <c r="K325" s="65"/>
      <c r="L325" s="65"/>
      <c r="M325" s="23" t="str">
        <f t="shared" ca="1" si="25"/>
        <v/>
      </c>
      <c r="O325">
        <f>'Combined Delivery Data'!B324</f>
        <v>0</v>
      </c>
      <c r="P325">
        <f t="shared" si="26"/>
        <v>0</v>
      </c>
      <c r="Q325">
        <f t="shared" si="27"/>
        <v>497</v>
      </c>
      <c r="R325" s="38">
        <f t="shared" si="28"/>
        <v>0</v>
      </c>
      <c r="S325" t="str">
        <f t="shared" si="29"/>
        <v xml:space="preserve"> -&gt; </v>
      </c>
    </row>
    <row r="326" spans="1:19">
      <c r="A326" s="65"/>
      <c r="B326" s="66"/>
      <c r="C326" s="65"/>
      <c r="D326" s="65"/>
      <c r="E326" s="65"/>
      <c r="F326" s="65"/>
      <c r="G326" s="65"/>
      <c r="H326" s="66"/>
      <c r="I326" s="66"/>
      <c r="J326" s="66"/>
      <c r="K326" s="65"/>
      <c r="L326" s="65"/>
      <c r="M326" s="23" t="str">
        <f t="shared" ca="1" si="25"/>
        <v/>
      </c>
      <c r="O326">
        <f>'Combined Delivery Data'!B325</f>
        <v>0</v>
      </c>
      <c r="P326">
        <f t="shared" si="26"/>
        <v>0</v>
      </c>
      <c r="Q326">
        <f t="shared" si="27"/>
        <v>497</v>
      </c>
      <c r="R326" s="38">
        <f t="shared" si="28"/>
        <v>0</v>
      </c>
      <c r="S326" t="str">
        <f t="shared" si="29"/>
        <v xml:space="preserve"> -&gt; </v>
      </c>
    </row>
    <row r="327" spans="1:19">
      <c r="A327" s="65"/>
      <c r="B327" s="66"/>
      <c r="C327" s="65"/>
      <c r="D327" s="65"/>
      <c r="E327" s="65"/>
      <c r="F327" s="65"/>
      <c r="G327" s="65"/>
      <c r="H327" s="66"/>
      <c r="I327" s="66"/>
      <c r="J327" s="66"/>
      <c r="K327" s="65"/>
      <c r="L327" s="65"/>
      <c r="M327" s="23" t="str">
        <f t="shared" ca="1" si="25"/>
        <v/>
      </c>
      <c r="O327">
        <f>'Combined Delivery Data'!B326</f>
        <v>0</v>
      </c>
      <c r="P327">
        <f t="shared" si="26"/>
        <v>0</v>
      </c>
      <c r="Q327">
        <f t="shared" si="27"/>
        <v>497</v>
      </c>
      <c r="R327" s="38">
        <f t="shared" si="28"/>
        <v>0</v>
      </c>
      <c r="S327" t="str">
        <f t="shared" si="29"/>
        <v xml:space="preserve"> -&gt; </v>
      </c>
    </row>
    <row r="328" spans="1:19">
      <c r="A328" s="65"/>
      <c r="B328" s="66"/>
      <c r="C328" s="65"/>
      <c r="D328" s="65"/>
      <c r="E328" s="65"/>
      <c r="F328" s="65"/>
      <c r="G328" s="65"/>
      <c r="H328" s="66"/>
      <c r="I328" s="66"/>
      <c r="J328" s="66"/>
      <c r="K328" s="65"/>
      <c r="L328" s="65"/>
      <c r="M328" s="23" t="str">
        <f t="shared" ca="1" si="25"/>
        <v/>
      </c>
      <c r="O328">
        <f>'Combined Delivery Data'!B327</f>
        <v>0</v>
      </c>
      <c r="P328">
        <f t="shared" si="26"/>
        <v>0</v>
      </c>
      <c r="Q328">
        <f t="shared" si="27"/>
        <v>497</v>
      </c>
      <c r="R328" s="38">
        <f t="shared" si="28"/>
        <v>0</v>
      </c>
      <c r="S328" t="str">
        <f t="shared" si="29"/>
        <v xml:space="preserve"> -&gt; </v>
      </c>
    </row>
    <row r="329" spans="1:19">
      <c r="A329" s="65"/>
      <c r="B329" s="66"/>
      <c r="C329" s="65"/>
      <c r="D329" s="65"/>
      <c r="E329" s="65"/>
      <c r="F329" s="65"/>
      <c r="G329" s="65"/>
      <c r="H329" s="66"/>
      <c r="I329" s="66"/>
      <c r="J329" s="66"/>
      <c r="K329" s="65"/>
      <c r="L329" s="65"/>
      <c r="M329" s="23" t="str">
        <f t="shared" ca="1" si="25"/>
        <v/>
      </c>
      <c r="O329">
        <f>'Combined Delivery Data'!B328</f>
        <v>0</v>
      </c>
      <c r="P329">
        <f t="shared" si="26"/>
        <v>0</v>
      </c>
      <c r="Q329">
        <f t="shared" si="27"/>
        <v>497</v>
      </c>
      <c r="R329" s="38">
        <f t="shared" si="28"/>
        <v>0</v>
      </c>
      <c r="S329" t="str">
        <f t="shared" si="29"/>
        <v xml:space="preserve"> -&gt; </v>
      </c>
    </row>
    <row r="330" spans="1:19">
      <c r="A330" s="65"/>
      <c r="B330" s="66"/>
      <c r="C330" s="65"/>
      <c r="D330" s="65"/>
      <c r="E330" s="65"/>
      <c r="F330" s="65"/>
      <c r="G330" s="65"/>
      <c r="H330" s="66"/>
      <c r="I330" s="66"/>
      <c r="J330" s="66"/>
      <c r="K330" s="65"/>
      <c r="L330" s="65"/>
      <c r="M330" s="23" t="str">
        <f t="shared" ca="1" si="25"/>
        <v/>
      </c>
      <c r="O330">
        <f>'Combined Delivery Data'!B329</f>
        <v>0</v>
      </c>
      <c r="P330">
        <f t="shared" si="26"/>
        <v>0</v>
      </c>
      <c r="Q330">
        <f t="shared" si="27"/>
        <v>497</v>
      </c>
      <c r="R330" s="38">
        <f t="shared" si="28"/>
        <v>0</v>
      </c>
      <c r="S330" t="str">
        <f t="shared" si="29"/>
        <v xml:space="preserve"> -&gt; </v>
      </c>
    </row>
    <row r="331" spans="1:19">
      <c r="A331" s="65"/>
      <c r="B331" s="66"/>
      <c r="C331" s="65"/>
      <c r="D331" s="65"/>
      <c r="E331" s="65"/>
      <c r="F331" s="65"/>
      <c r="G331" s="65"/>
      <c r="H331" s="66"/>
      <c r="I331" s="66"/>
      <c r="J331" s="66"/>
      <c r="K331" s="65"/>
      <c r="L331" s="65"/>
      <c r="M331" s="23" t="str">
        <f t="shared" ca="1" si="25"/>
        <v/>
      </c>
      <c r="O331">
        <f>'Combined Delivery Data'!B330</f>
        <v>0</v>
      </c>
      <c r="P331">
        <f t="shared" si="26"/>
        <v>0</v>
      </c>
      <c r="Q331">
        <f t="shared" si="27"/>
        <v>497</v>
      </c>
      <c r="R331" s="38">
        <f t="shared" si="28"/>
        <v>0</v>
      </c>
      <c r="S331" t="str">
        <f t="shared" si="29"/>
        <v xml:space="preserve"> -&gt; </v>
      </c>
    </row>
    <row r="332" spans="1:19">
      <c r="A332" s="65"/>
      <c r="B332" s="66"/>
      <c r="C332" s="65"/>
      <c r="D332" s="65"/>
      <c r="E332" s="65"/>
      <c r="F332" s="65"/>
      <c r="G332" s="65"/>
      <c r="H332" s="66"/>
      <c r="I332" s="66"/>
      <c r="J332" s="66"/>
      <c r="K332" s="65"/>
      <c r="L332" s="65"/>
      <c r="M332" s="23" t="str">
        <f t="shared" ca="1" si="25"/>
        <v/>
      </c>
      <c r="O332">
        <f>'Combined Delivery Data'!B331</f>
        <v>0</v>
      </c>
      <c r="P332">
        <f t="shared" si="26"/>
        <v>0</v>
      </c>
      <c r="Q332">
        <f t="shared" si="27"/>
        <v>497</v>
      </c>
      <c r="R332" s="38">
        <f t="shared" si="28"/>
        <v>0</v>
      </c>
      <c r="S332" t="str">
        <f t="shared" si="29"/>
        <v xml:space="preserve"> -&gt; </v>
      </c>
    </row>
    <row r="333" spans="1:19">
      <c r="A333" s="65"/>
      <c r="B333" s="66"/>
      <c r="C333" s="65"/>
      <c r="D333" s="65"/>
      <c r="E333" s="65"/>
      <c r="F333" s="65"/>
      <c r="G333" s="65"/>
      <c r="H333" s="66"/>
      <c r="I333" s="66"/>
      <c r="J333" s="66"/>
      <c r="K333" s="65"/>
      <c r="L333" s="65"/>
      <c r="M333" s="23" t="str">
        <f t="shared" ca="1" si="25"/>
        <v/>
      </c>
      <c r="O333">
        <f>'Combined Delivery Data'!B332</f>
        <v>0</v>
      </c>
      <c r="P333">
        <f t="shared" si="26"/>
        <v>0</v>
      </c>
      <c r="Q333">
        <f t="shared" si="27"/>
        <v>497</v>
      </c>
      <c r="R333" s="38">
        <f t="shared" si="28"/>
        <v>0</v>
      </c>
      <c r="S333" t="str">
        <f t="shared" si="29"/>
        <v xml:space="preserve"> -&gt; </v>
      </c>
    </row>
    <row r="334" spans="1:19">
      <c r="A334" s="65"/>
      <c r="B334" s="66"/>
      <c r="C334" s="65"/>
      <c r="D334" s="65"/>
      <c r="E334" s="65"/>
      <c r="F334" s="65"/>
      <c r="G334" s="65"/>
      <c r="H334" s="66"/>
      <c r="I334" s="66"/>
      <c r="J334" s="66"/>
      <c r="K334" s="65"/>
      <c r="L334" s="65"/>
      <c r="M334" s="23" t="str">
        <f t="shared" ca="1" si="25"/>
        <v/>
      </c>
      <c r="O334">
        <f>'Combined Delivery Data'!B333</f>
        <v>0</v>
      </c>
      <c r="P334">
        <f t="shared" si="26"/>
        <v>0</v>
      </c>
      <c r="Q334">
        <f t="shared" si="27"/>
        <v>497</v>
      </c>
      <c r="R334" s="38">
        <f t="shared" si="28"/>
        <v>0</v>
      </c>
      <c r="S334" t="str">
        <f t="shared" si="29"/>
        <v xml:space="preserve"> -&gt; </v>
      </c>
    </row>
    <row r="335" spans="1:19">
      <c r="A335" s="65"/>
      <c r="B335" s="66"/>
      <c r="C335" s="65"/>
      <c r="D335" s="65"/>
      <c r="E335" s="65"/>
      <c r="F335" s="65"/>
      <c r="G335" s="65"/>
      <c r="H335" s="66"/>
      <c r="I335" s="66"/>
      <c r="J335" s="66"/>
      <c r="K335" s="65"/>
      <c r="L335" s="65"/>
      <c r="M335" s="23" t="str">
        <f t="shared" ca="1" si="25"/>
        <v/>
      </c>
      <c r="O335">
        <f>'Combined Delivery Data'!B334</f>
        <v>0</v>
      </c>
      <c r="P335">
        <f t="shared" si="26"/>
        <v>0</v>
      </c>
      <c r="Q335">
        <f t="shared" si="27"/>
        <v>497</v>
      </c>
      <c r="R335" s="38">
        <f t="shared" si="28"/>
        <v>0</v>
      </c>
      <c r="S335" t="str">
        <f t="shared" si="29"/>
        <v xml:space="preserve"> -&gt; </v>
      </c>
    </row>
    <row r="336" spans="1:19">
      <c r="A336" s="65"/>
      <c r="B336" s="66"/>
      <c r="C336" s="65"/>
      <c r="D336" s="65"/>
      <c r="E336" s="65"/>
      <c r="F336" s="65"/>
      <c r="G336" s="65"/>
      <c r="H336" s="66"/>
      <c r="I336" s="66"/>
      <c r="J336" s="66"/>
      <c r="K336" s="65"/>
      <c r="L336" s="65"/>
      <c r="M336" s="23" t="str">
        <f t="shared" ca="1" si="25"/>
        <v/>
      </c>
      <c r="O336">
        <f>'Combined Delivery Data'!B335</f>
        <v>0</v>
      </c>
      <c r="P336">
        <f t="shared" si="26"/>
        <v>0</v>
      </c>
      <c r="Q336">
        <f t="shared" si="27"/>
        <v>497</v>
      </c>
      <c r="R336" s="38">
        <f t="shared" si="28"/>
        <v>0</v>
      </c>
      <c r="S336" t="str">
        <f t="shared" si="29"/>
        <v xml:space="preserve"> -&gt; </v>
      </c>
    </row>
    <row r="337" spans="1:19">
      <c r="A337" s="65"/>
      <c r="B337" s="66"/>
      <c r="C337" s="65"/>
      <c r="D337" s="65"/>
      <c r="E337" s="65"/>
      <c r="F337" s="65"/>
      <c r="G337" s="65"/>
      <c r="H337" s="66"/>
      <c r="I337" s="66"/>
      <c r="J337" s="66"/>
      <c r="K337" s="65"/>
      <c r="L337" s="65"/>
      <c r="M337" s="23" t="str">
        <f t="shared" ca="1" si="25"/>
        <v/>
      </c>
      <c r="O337">
        <f>'Combined Delivery Data'!B336</f>
        <v>0</v>
      </c>
      <c r="P337">
        <f t="shared" si="26"/>
        <v>0</v>
      </c>
      <c r="Q337">
        <f t="shared" si="27"/>
        <v>497</v>
      </c>
      <c r="R337" s="38">
        <f t="shared" si="28"/>
        <v>0</v>
      </c>
      <c r="S337" t="str">
        <f t="shared" si="29"/>
        <v xml:space="preserve"> -&gt; </v>
      </c>
    </row>
    <row r="338" spans="1:19">
      <c r="A338" s="65"/>
      <c r="B338" s="66"/>
      <c r="C338" s="65"/>
      <c r="D338" s="65"/>
      <c r="E338" s="65"/>
      <c r="F338" s="65"/>
      <c r="G338" s="65"/>
      <c r="H338" s="66"/>
      <c r="I338" s="66"/>
      <c r="J338" s="66"/>
      <c r="K338" s="65"/>
      <c r="L338" s="65"/>
      <c r="M338" s="23" t="str">
        <f t="shared" ca="1" si="25"/>
        <v/>
      </c>
      <c r="O338">
        <f>'Combined Delivery Data'!B337</f>
        <v>0</v>
      </c>
      <c r="P338">
        <f t="shared" si="26"/>
        <v>0</v>
      </c>
      <c r="Q338">
        <f t="shared" si="27"/>
        <v>497</v>
      </c>
      <c r="R338" s="38">
        <f t="shared" si="28"/>
        <v>0</v>
      </c>
      <c r="S338" t="str">
        <f t="shared" si="29"/>
        <v xml:space="preserve"> -&gt; </v>
      </c>
    </row>
    <row r="339" spans="1:19">
      <c r="A339" s="65"/>
      <c r="B339" s="66"/>
      <c r="C339" s="65"/>
      <c r="D339" s="65"/>
      <c r="E339" s="65"/>
      <c r="F339" s="65"/>
      <c r="G339" s="65"/>
      <c r="H339" s="66"/>
      <c r="I339" s="66"/>
      <c r="J339" s="66"/>
      <c r="K339" s="65"/>
      <c r="L339" s="65"/>
      <c r="M339" s="23" t="str">
        <f t="shared" ca="1" si="25"/>
        <v/>
      </c>
      <c r="O339">
        <f>'Combined Delivery Data'!B338</f>
        <v>0</v>
      </c>
      <c r="P339">
        <f t="shared" si="26"/>
        <v>0</v>
      </c>
      <c r="Q339">
        <f t="shared" si="27"/>
        <v>497</v>
      </c>
      <c r="R339" s="38">
        <f t="shared" si="28"/>
        <v>0</v>
      </c>
      <c r="S339" t="str">
        <f t="shared" si="29"/>
        <v xml:space="preserve"> -&gt; </v>
      </c>
    </row>
    <row r="340" spans="1:19">
      <c r="A340" s="65"/>
      <c r="B340" s="66"/>
      <c r="C340" s="65"/>
      <c r="D340" s="65"/>
      <c r="E340" s="65"/>
      <c r="F340" s="65"/>
      <c r="G340" s="65"/>
      <c r="H340" s="66"/>
      <c r="I340" s="66"/>
      <c r="J340" s="66"/>
      <c r="K340" s="65"/>
      <c r="L340" s="65"/>
      <c r="M340" s="23" t="str">
        <f t="shared" ca="1" si="25"/>
        <v/>
      </c>
      <c r="O340">
        <f>'Combined Delivery Data'!B339</f>
        <v>0</v>
      </c>
      <c r="P340">
        <f t="shared" si="26"/>
        <v>0</v>
      </c>
      <c r="Q340">
        <f t="shared" si="27"/>
        <v>497</v>
      </c>
      <c r="R340" s="38">
        <f t="shared" si="28"/>
        <v>0</v>
      </c>
      <c r="S340" t="str">
        <f t="shared" si="29"/>
        <v xml:space="preserve"> -&gt; </v>
      </c>
    </row>
    <row r="341" spans="1:19">
      <c r="A341" s="65"/>
      <c r="B341" s="66"/>
      <c r="C341" s="65"/>
      <c r="D341" s="65"/>
      <c r="E341" s="65"/>
      <c r="F341" s="65"/>
      <c r="G341" s="65"/>
      <c r="H341" s="66"/>
      <c r="I341" s="66"/>
      <c r="J341" s="66"/>
      <c r="K341" s="65"/>
      <c r="L341" s="65"/>
      <c r="M341" s="23" t="str">
        <f t="shared" ca="1" si="25"/>
        <v/>
      </c>
      <c r="O341">
        <f>'Combined Delivery Data'!B340</f>
        <v>0</v>
      </c>
      <c r="P341">
        <f t="shared" si="26"/>
        <v>0</v>
      </c>
      <c r="Q341">
        <f t="shared" si="27"/>
        <v>497</v>
      </c>
      <c r="R341" s="38">
        <f t="shared" si="28"/>
        <v>0</v>
      </c>
      <c r="S341" t="str">
        <f t="shared" si="29"/>
        <v xml:space="preserve"> -&gt; </v>
      </c>
    </row>
    <row r="342" spans="1:19">
      <c r="A342" s="65"/>
      <c r="B342" s="66"/>
      <c r="C342" s="65"/>
      <c r="D342" s="65"/>
      <c r="E342" s="65"/>
      <c r="F342" s="65"/>
      <c r="G342" s="65"/>
      <c r="H342" s="66"/>
      <c r="I342" s="66"/>
      <c r="J342" s="66"/>
      <c r="K342" s="65"/>
      <c r="L342" s="65"/>
      <c r="M342" s="23" t="str">
        <f t="shared" ca="1" si="25"/>
        <v/>
      </c>
      <c r="O342">
        <f>'Combined Delivery Data'!B341</f>
        <v>0</v>
      </c>
      <c r="P342">
        <f t="shared" si="26"/>
        <v>0</v>
      </c>
      <c r="Q342">
        <f t="shared" si="27"/>
        <v>497</v>
      </c>
      <c r="R342" s="38">
        <f t="shared" si="28"/>
        <v>0</v>
      </c>
      <c r="S342" t="str">
        <f t="shared" si="29"/>
        <v xml:space="preserve"> -&gt; </v>
      </c>
    </row>
    <row r="343" spans="1:19">
      <c r="A343" s="65"/>
      <c r="B343" s="66"/>
      <c r="C343" s="65"/>
      <c r="D343" s="65"/>
      <c r="E343" s="65"/>
      <c r="F343" s="65"/>
      <c r="G343" s="65"/>
      <c r="H343" s="66"/>
      <c r="I343" s="66"/>
      <c r="J343" s="66"/>
      <c r="K343" s="65"/>
      <c r="L343" s="65"/>
      <c r="M343" s="23" t="str">
        <f t="shared" ca="1" si="25"/>
        <v/>
      </c>
      <c r="O343">
        <f>'Combined Delivery Data'!B342</f>
        <v>0</v>
      </c>
      <c r="P343">
        <f t="shared" si="26"/>
        <v>0</v>
      </c>
      <c r="Q343">
        <f t="shared" si="27"/>
        <v>497</v>
      </c>
      <c r="R343" s="38">
        <f t="shared" si="28"/>
        <v>0</v>
      </c>
      <c r="S343" t="str">
        <f t="shared" si="29"/>
        <v xml:space="preserve"> -&gt; </v>
      </c>
    </row>
    <row r="344" spans="1:19">
      <c r="A344" s="65"/>
      <c r="B344" s="66"/>
      <c r="C344" s="65"/>
      <c r="D344" s="65"/>
      <c r="E344" s="65"/>
      <c r="F344" s="65"/>
      <c r="G344" s="65"/>
      <c r="H344" s="66"/>
      <c r="I344" s="66"/>
      <c r="J344" s="66"/>
      <c r="K344" s="65"/>
      <c r="L344" s="65"/>
      <c r="M344" s="23" t="str">
        <f t="shared" ca="1" si="25"/>
        <v/>
      </c>
      <c r="O344">
        <f>'Combined Delivery Data'!B343</f>
        <v>0</v>
      </c>
      <c r="P344">
        <f t="shared" si="26"/>
        <v>0</v>
      </c>
      <c r="Q344">
        <f t="shared" si="27"/>
        <v>497</v>
      </c>
      <c r="R344" s="38">
        <f t="shared" si="28"/>
        <v>0</v>
      </c>
      <c r="S344" t="str">
        <f t="shared" si="29"/>
        <v xml:space="preserve"> -&gt; </v>
      </c>
    </row>
    <row r="345" spans="1:19">
      <c r="A345" s="65"/>
      <c r="B345" s="66"/>
      <c r="C345" s="65"/>
      <c r="D345" s="65"/>
      <c r="E345" s="65"/>
      <c r="F345" s="65"/>
      <c r="G345" s="65"/>
      <c r="H345" s="66"/>
      <c r="I345" s="66"/>
      <c r="J345" s="66"/>
      <c r="K345" s="65"/>
      <c r="L345" s="65"/>
      <c r="M345" s="23" t="str">
        <f t="shared" ca="1" si="25"/>
        <v/>
      </c>
      <c r="O345">
        <f>'Combined Delivery Data'!B344</f>
        <v>0</v>
      </c>
      <c r="P345">
        <f t="shared" si="26"/>
        <v>0</v>
      </c>
      <c r="Q345">
        <f t="shared" si="27"/>
        <v>497</v>
      </c>
      <c r="R345" s="38">
        <f t="shared" si="28"/>
        <v>0</v>
      </c>
      <c r="S345" t="str">
        <f t="shared" si="29"/>
        <v xml:space="preserve"> -&gt; </v>
      </c>
    </row>
    <row r="346" spans="1:19">
      <c r="A346" s="65"/>
      <c r="B346" s="66"/>
      <c r="C346" s="65"/>
      <c r="D346" s="65"/>
      <c r="E346" s="65"/>
      <c r="F346" s="65"/>
      <c r="G346" s="65"/>
      <c r="H346" s="66"/>
      <c r="I346" s="66"/>
      <c r="J346" s="66"/>
      <c r="K346" s="65"/>
      <c r="L346" s="65"/>
      <c r="M346" s="23" t="str">
        <f t="shared" ca="1" si="25"/>
        <v/>
      </c>
      <c r="O346">
        <f>'Combined Delivery Data'!B345</f>
        <v>0</v>
      </c>
      <c r="P346">
        <f t="shared" si="26"/>
        <v>0</v>
      </c>
      <c r="Q346">
        <f t="shared" si="27"/>
        <v>497</v>
      </c>
      <c r="R346" s="38">
        <f t="shared" si="28"/>
        <v>0</v>
      </c>
      <c r="S346" t="str">
        <f t="shared" si="29"/>
        <v xml:space="preserve"> -&gt; </v>
      </c>
    </row>
    <row r="347" spans="1:19">
      <c r="A347" s="65"/>
      <c r="B347" s="66"/>
      <c r="C347" s="65"/>
      <c r="D347" s="65"/>
      <c r="E347" s="65"/>
      <c r="F347" s="65"/>
      <c r="G347" s="65"/>
      <c r="H347" s="66"/>
      <c r="I347" s="66"/>
      <c r="J347" s="66"/>
      <c r="K347" s="65"/>
      <c r="L347" s="65"/>
      <c r="M347" s="23" t="str">
        <f t="shared" ca="1" si="25"/>
        <v/>
      </c>
      <c r="O347">
        <f>'Combined Delivery Data'!B346</f>
        <v>0</v>
      </c>
      <c r="P347">
        <f t="shared" si="26"/>
        <v>0</v>
      </c>
      <c r="Q347">
        <f t="shared" si="27"/>
        <v>497</v>
      </c>
      <c r="R347" s="38">
        <f t="shared" si="28"/>
        <v>0</v>
      </c>
      <c r="S347" t="str">
        <f t="shared" si="29"/>
        <v xml:space="preserve"> -&gt; </v>
      </c>
    </row>
    <row r="348" spans="1:19">
      <c r="A348" s="65"/>
      <c r="B348" s="66"/>
      <c r="C348" s="65"/>
      <c r="D348" s="65"/>
      <c r="E348" s="65"/>
      <c r="F348" s="65"/>
      <c r="G348" s="65"/>
      <c r="H348" s="66"/>
      <c r="I348" s="66"/>
      <c r="J348" s="66"/>
      <c r="K348" s="65"/>
      <c r="L348" s="65"/>
      <c r="M348" s="23" t="str">
        <f t="shared" ca="1" si="25"/>
        <v/>
      </c>
      <c r="O348">
        <f>'Combined Delivery Data'!B347</f>
        <v>0</v>
      </c>
      <c r="P348">
        <f t="shared" si="26"/>
        <v>0</v>
      </c>
      <c r="Q348">
        <f t="shared" si="27"/>
        <v>497</v>
      </c>
      <c r="R348" s="38">
        <f t="shared" si="28"/>
        <v>0</v>
      </c>
      <c r="S348" t="str">
        <f t="shared" si="29"/>
        <v xml:space="preserve"> -&gt; </v>
      </c>
    </row>
    <row r="349" spans="1:19">
      <c r="A349" s="65"/>
      <c r="B349" s="66"/>
      <c r="C349" s="65"/>
      <c r="D349" s="65"/>
      <c r="E349" s="65"/>
      <c r="F349" s="65"/>
      <c r="G349" s="65"/>
      <c r="H349" s="66"/>
      <c r="I349" s="66"/>
      <c r="J349" s="66"/>
      <c r="K349" s="65"/>
      <c r="L349" s="65"/>
      <c r="M349" s="23" t="str">
        <f t="shared" ca="1" si="25"/>
        <v/>
      </c>
      <c r="O349">
        <f>'Combined Delivery Data'!B348</f>
        <v>0</v>
      </c>
      <c r="P349">
        <f t="shared" si="26"/>
        <v>0</v>
      </c>
      <c r="Q349">
        <f t="shared" si="27"/>
        <v>497</v>
      </c>
      <c r="R349" s="38">
        <f t="shared" si="28"/>
        <v>0</v>
      </c>
      <c r="S349" t="str">
        <f t="shared" si="29"/>
        <v xml:space="preserve"> -&gt; </v>
      </c>
    </row>
    <row r="350" spans="1:19">
      <c r="A350" s="65"/>
      <c r="B350" s="66"/>
      <c r="C350" s="65"/>
      <c r="D350" s="65"/>
      <c r="E350" s="65"/>
      <c r="F350" s="65"/>
      <c r="G350" s="65"/>
      <c r="H350" s="66"/>
      <c r="I350" s="66"/>
      <c r="J350" s="66"/>
      <c r="K350" s="65"/>
      <c r="L350" s="65"/>
      <c r="M350" s="23" t="str">
        <f t="shared" ca="1" si="25"/>
        <v/>
      </c>
      <c r="O350">
        <f>'Combined Delivery Data'!B349</f>
        <v>0</v>
      </c>
      <c r="P350">
        <f t="shared" si="26"/>
        <v>0</v>
      </c>
      <c r="Q350">
        <f t="shared" si="27"/>
        <v>497</v>
      </c>
      <c r="R350" s="38">
        <f t="shared" si="28"/>
        <v>0</v>
      </c>
      <c r="S350" t="str">
        <f t="shared" si="29"/>
        <v xml:space="preserve"> -&gt; </v>
      </c>
    </row>
    <row r="351" spans="1:19">
      <c r="A351" s="65"/>
      <c r="B351" s="66"/>
      <c r="C351" s="65"/>
      <c r="D351" s="65"/>
      <c r="E351" s="65"/>
      <c r="F351" s="65"/>
      <c r="G351" s="65"/>
      <c r="H351" s="66"/>
      <c r="I351" s="66"/>
      <c r="J351" s="66"/>
      <c r="K351" s="65"/>
      <c r="L351" s="65"/>
      <c r="M351" s="23" t="str">
        <f t="shared" ca="1" si="25"/>
        <v/>
      </c>
      <c r="O351">
        <f>'Combined Delivery Data'!B350</f>
        <v>0</v>
      </c>
      <c r="P351">
        <f t="shared" si="26"/>
        <v>0</v>
      </c>
      <c r="Q351">
        <f t="shared" si="27"/>
        <v>497</v>
      </c>
      <c r="R351" s="38">
        <f t="shared" si="28"/>
        <v>0</v>
      </c>
      <c r="S351" t="str">
        <f t="shared" si="29"/>
        <v xml:space="preserve"> -&gt; </v>
      </c>
    </row>
    <row r="352" spans="1:19">
      <c r="A352" s="65"/>
      <c r="B352" s="66"/>
      <c r="C352" s="65"/>
      <c r="D352" s="65"/>
      <c r="E352" s="65"/>
      <c r="F352" s="65"/>
      <c r="G352" s="65"/>
      <c r="H352" s="66"/>
      <c r="I352" s="66"/>
      <c r="J352" s="66"/>
      <c r="K352" s="65"/>
      <c r="L352" s="65"/>
      <c r="M352" s="23" t="str">
        <f t="shared" ca="1" si="25"/>
        <v/>
      </c>
      <c r="O352">
        <f>'Combined Delivery Data'!B351</f>
        <v>0</v>
      </c>
      <c r="P352">
        <f t="shared" si="26"/>
        <v>0</v>
      </c>
      <c r="Q352">
        <f t="shared" si="27"/>
        <v>497</v>
      </c>
      <c r="R352" s="38">
        <f t="shared" si="28"/>
        <v>0</v>
      </c>
      <c r="S352" t="str">
        <f t="shared" si="29"/>
        <v xml:space="preserve"> -&gt; </v>
      </c>
    </row>
    <row r="353" spans="1:19">
      <c r="A353" s="65"/>
      <c r="B353" s="66"/>
      <c r="C353" s="65"/>
      <c r="D353" s="65"/>
      <c r="E353" s="65"/>
      <c r="F353" s="65"/>
      <c r="G353" s="65"/>
      <c r="H353" s="66"/>
      <c r="I353" s="66"/>
      <c r="J353" s="66"/>
      <c r="K353" s="65"/>
      <c r="L353" s="65"/>
      <c r="M353" s="23" t="str">
        <f t="shared" ca="1" si="25"/>
        <v/>
      </c>
      <c r="O353">
        <f>'Combined Delivery Data'!B352</f>
        <v>0</v>
      </c>
      <c r="P353">
        <f t="shared" si="26"/>
        <v>0</v>
      </c>
      <c r="Q353">
        <f t="shared" si="27"/>
        <v>497</v>
      </c>
      <c r="R353" s="38">
        <f t="shared" si="28"/>
        <v>0</v>
      </c>
      <c r="S353" t="str">
        <f t="shared" si="29"/>
        <v xml:space="preserve"> -&gt; </v>
      </c>
    </row>
    <row r="354" spans="1:19">
      <c r="A354" s="65"/>
      <c r="B354" s="66"/>
      <c r="C354" s="65"/>
      <c r="D354" s="65"/>
      <c r="E354" s="65"/>
      <c r="F354" s="65"/>
      <c r="G354" s="65"/>
      <c r="H354" s="66"/>
      <c r="I354" s="66"/>
      <c r="J354" s="66"/>
      <c r="K354" s="65"/>
      <c r="L354" s="65"/>
      <c r="M354" s="23" t="str">
        <f t="shared" ca="1" si="25"/>
        <v/>
      </c>
      <c r="O354">
        <f>'Combined Delivery Data'!B353</f>
        <v>0</v>
      </c>
      <c r="P354">
        <f t="shared" si="26"/>
        <v>0</v>
      </c>
      <c r="Q354">
        <f t="shared" si="27"/>
        <v>497</v>
      </c>
      <c r="R354" s="38">
        <f t="shared" si="28"/>
        <v>0</v>
      </c>
      <c r="S354" t="str">
        <f t="shared" si="29"/>
        <v xml:space="preserve"> -&gt; </v>
      </c>
    </row>
    <row r="355" spans="1:19">
      <c r="A355" s="65"/>
      <c r="B355" s="66"/>
      <c r="C355" s="65"/>
      <c r="D355" s="65"/>
      <c r="E355" s="65"/>
      <c r="F355" s="65"/>
      <c r="G355" s="65"/>
      <c r="H355" s="66"/>
      <c r="I355" s="66"/>
      <c r="J355" s="66"/>
      <c r="K355" s="65"/>
      <c r="L355" s="65"/>
      <c r="M355" s="23" t="str">
        <f t="shared" ca="1" si="25"/>
        <v/>
      </c>
      <c r="O355">
        <f>'Combined Delivery Data'!B354</f>
        <v>0</v>
      </c>
      <c r="P355">
        <f t="shared" si="26"/>
        <v>0</v>
      </c>
      <c r="Q355">
        <f t="shared" si="27"/>
        <v>497</v>
      </c>
      <c r="R355" s="38">
        <f t="shared" si="28"/>
        <v>0</v>
      </c>
      <c r="S355" t="str">
        <f t="shared" si="29"/>
        <v xml:space="preserve"> -&gt; </v>
      </c>
    </row>
    <row r="356" spans="1:19">
      <c r="A356" s="65"/>
      <c r="B356" s="66"/>
      <c r="C356" s="65"/>
      <c r="D356" s="65"/>
      <c r="E356" s="65"/>
      <c r="F356" s="65"/>
      <c r="G356" s="65"/>
      <c r="H356" s="66"/>
      <c r="I356" s="66"/>
      <c r="J356" s="66"/>
      <c r="K356" s="65"/>
      <c r="L356" s="65"/>
      <c r="M356" s="23" t="str">
        <f t="shared" ca="1" si="25"/>
        <v/>
      </c>
      <c r="O356">
        <f>'Combined Delivery Data'!B355</f>
        <v>0</v>
      </c>
      <c r="P356">
        <f t="shared" si="26"/>
        <v>0</v>
      </c>
      <c r="Q356">
        <f t="shared" si="27"/>
        <v>497</v>
      </c>
      <c r="R356" s="38">
        <f t="shared" si="28"/>
        <v>0</v>
      </c>
      <c r="S356" t="str">
        <f t="shared" si="29"/>
        <v xml:space="preserve"> -&gt; </v>
      </c>
    </row>
    <row r="357" spans="1:19">
      <c r="A357" s="65"/>
      <c r="B357" s="66"/>
      <c r="C357" s="65"/>
      <c r="D357" s="65"/>
      <c r="E357" s="65"/>
      <c r="F357" s="65"/>
      <c r="G357" s="65"/>
      <c r="H357" s="66"/>
      <c r="I357" s="66"/>
      <c r="J357" s="66"/>
      <c r="K357" s="65"/>
      <c r="L357" s="65"/>
      <c r="M357" s="23" t="str">
        <f t="shared" ca="1" si="25"/>
        <v/>
      </c>
      <c r="O357">
        <f>'Combined Delivery Data'!B356</f>
        <v>0</v>
      </c>
      <c r="P357">
        <f t="shared" si="26"/>
        <v>0</v>
      </c>
      <c r="Q357">
        <f t="shared" si="27"/>
        <v>497</v>
      </c>
      <c r="R357" s="38">
        <f t="shared" si="28"/>
        <v>0</v>
      </c>
      <c r="S357" t="str">
        <f t="shared" si="29"/>
        <v xml:space="preserve"> -&gt; </v>
      </c>
    </row>
    <row r="358" spans="1:19">
      <c r="A358" s="65"/>
      <c r="B358" s="66"/>
      <c r="C358" s="65"/>
      <c r="D358" s="65"/>
      <c r="E358" s="65"/>
      <c r="F358" s="65"/>
      <c r="G358" s="65"/>
      <c r="H358" s="66"/>
      <c r="I358" s="66"/>
      <c r="J358" s="66"/>
      <c r="K358" s="65"/>
      <c r="L358" s="65"/>
      <c r="M358" s="23" t="str">
        <f t="shared" ca="1" si="25"/>
        <v/>
      </c>
      <c r="O358">
        <f>'Combined Delivery Data'!B357</f>
        <v>0</v>
      </c>
      <c r="P358">
        <f t="shared" si="26"/>
        <v>0</v>
      </c>
      <c r="Q358">
        <f t="shared" si="27"/>
        <v>497</v>
      </c>
      <c r="R358" s="38">
        <f t="shared" si="28"/>
        <v>0</v>
      </c>
      <c r="S358" t="str">
        <f t="shared" si="29"/>
        <v xml:space="preserve"> -&gt; </v>
      </c>
    </row>
    <row r="359" spans="1:19">
      <c r="A359" s="65"/>
      <c r="B359" s="66"/>
      <c r="C359" s="65"/>
      <c r="D359" s="65"/>
      <c r="E359" s="65"/>
      <c r="F359" s="65"/>
      <c r="G359" s="65"/>
      <c r="H359" s="66"/>
      <c r="I359" s="66"/>
      <c r="J359" s="66"/>
      <c r="K359" s="65"/>
      <c r="L359" s="65"/>
      <c r="M359" s="23" t="str">
        <f t="shared" ca="1" si="25"/>
        <v/>
      </c>
      <c r="O359">
        <f>'Combined Delivery Data'!B358</f>
        <v>0</v>
      </c>
      <c r="P359">
        <f t="shared" si="26"/>
        <v>0</v>
      </c>
      <c r="Q359">
        <f t="shared" si="27"/>
        <v>497</v>
      </c>
      <c r="R359" s="38">
        <f t="shared" si="28"/>
        <v>0</v>
      </c>
      <c r="S359" t="str">
        <f t="shared" si="29"/>
        <v xml:space="preserve"> -&gt; </v>
      </c>
    </row>
    <row r="360" spans="1:19">
      <c r="A360" s="65"/>
      <c r="B360" s="66"/>
      <c r="C360" s="65"/>
      <c r="D360" s="65"/>
      <c r="E360" s="65"/>
      <c r="F360" s="65"/>
      <c r="G360" s="65"/>
      <c r="H360" s="66"/>
      <c r="I360" s="66"/>
      <c r="J360" s="66"/>
      <c r="K360" s="65"/>
      <c r="L360" s="65"/>
      <c r="M360" s="23" t="str">
        <f t="shared" ca="1" si="25"/>
        <v/>
      </c>
      <c r="O360">
        <f>'Combined Delivery Data'!B359</f>
        <v>0</v>
      </c>
      <c r="P360">
        <f t="shared" si="26"/>
        <v>0</v>
      </c>
      <c r="Q360">
        <f t="shared" si="27"/>
        <v>497</v>
      </c>
      <c r="R360" s="38">
        <f t="shared" si="28"/>
        <v>0</v>
      </c>
      <c r="S360" t="str">
        <f t="shared" si="29"/>
        <v xml:space="preserve"> -&gt; </v>
      </c>
    </row>
    <row r="361" spans="1:19">
      <c r="A361" s="65"/>
      <c r="B361" s="66"/>
      <c r="C361" s="65"/>
      <c r="D361" s="65"/>
      <c r="E361" s="65"/>
      <c r="F361" s="65"/>
      <c r="G361" s="65"/>
      <c r="H361" s="66"/>
      <c r="I361" s="66"/>
      <c r="J361" s="66"/>
      <c r="K361" s="65"/>
      <c r="L361" s="65"/>
      <c r="M361" s="23" t="str">
        <f t="shared" ca="1" si="25"/>
        <v/>
      </c>
      <c r="O361">
        <f>'Combined Delivery Data'!B360</f>
        <v>0</v>
      </c>
      <c r="P361">
        <f t="shared" si="26"/>
        <v>0</v>
      </c>
      <c r="Q361">
        <f t="shared" si="27"/>
        <v>497</v>
      </c>
      <c r="R361" s="38">
        <f t="shared" si="28"/>
        <v>0</v>
      </c>
      <c r="S361" t="str">
        <f t="shared" si="29"/>
        <v xml:space="preserve"> -&gt; </v>
      </c>
    </row>
    <row r="362" spans="1:19">
      <c r="A362" s="65"/>
      <c r="B362" s="66"/>
      <c r="C362" s="65"/>
      <c r="D362" s="65"/>
      <c r="E362" s="65"/>
      <c r="F362" s="65"/>
      <c r="G362" s="65"/>
      <c r="H362" s="66"/>
      <c r="I362" s="66"/>
      <c r="J362" s="66"/>
      <c r="K362" s="65"/>
      <c r="L362" s="65"/>
      <c r="M362" s="23" t="str">
        <f t="shared" ca="1" si="25"/>
        <v/>
      </c>
      <c r="O362">
        <f>'Combined Delivery Data'!B361</f>
        <v>0</v>
      </c>
      <c r="P362">
        <f t="shared" si="26"/>
        <v>0</v>
      </c>
      <c r="Q362">
        <f t="shared" si="27"/>
        <v>497</v>
      </c>
      <c r="R362" s="38">
        <f t="shared" si="28"/>
        <v>0</v>
      </c>
      <c r="S362" t="str">
        <f t="shared" si="29"/>
        <v xml:space="preserve"> -&gt; </v>
      </c>
    </row>
    <row r="363" spans="1:19">
      <c r="A363" s="65"/>
      <c r="B363" s="66"/>
      <c r="C363" s="65"/>
      <c r="D363" s="65"/>
      <c r="E363" s="65"/>
      <c r="F363" s="65"/>
      <c r="G363" s="65"/>
      <c r="H363" s="66"/>
      <c r="I363" s="66"/>
      <c r="J363" s="66"/>
      <c r="K363" s="65"/>
      <c r="L363" s="65"/>
      <c r="M363" s="23" t="str">
        <f t="shared" ca="1" si="25"/>
        <v/>
      </c>
      <c r="O363">
        <f>'Combined Delivery Data'!B362</f>
        <v>0</v>
      </c>
      <c r="P363">
        <f t="shared" si="26"/>
        <v>0</v>
      </c>
      <c r="Q363">
        <f t="shared" si="27"/>
        <v>497</v>
      </c>
      <c r="R363" s="38">
        <f t="shared" si="28"/>
        <v>0</v>
      </c>
      <c r="S363" t="str">
        <f t="shared" si="29"/>
        <v xml:space="preserve"> -&gt; </v>
      </c>
    </row>
    <row r="364" spans="1:19">
      <c r="A364" s="65"/>
      <c r="B364" s="66"/>
      <c r="C364" s="65"/>
      <c r="D364" s="65"/>
      <c r="E364" s="65"/>
      <c r="F364" s="65"/>
      <c r="G364" s="65"/>
      <c r="H364" s="66"/>
      <c r="I364" s="66"/>
      <c r="J364" s="66"/>
      <c r="K364" s="65"/>
      <c r="L364" s="65"/>
      <c r="M364" s="23" t="str">
        <f t="shared" ca="1" si="25"/>
        <v/>
      </c>
      <c r="O364">
        <f>'Combined Delivery Data'!B363</f>
        <v>0</v>
      </c>
      <c r="P364">
        <f t="shared" si="26"/>
        <v>0</v>
      </c>
      <c r="Q364">
        <f t="shared" si="27"/>
        <v>497</v>
      </c>
      <c r="R364" s="38">
        <f t="shared" si="28"/>
        <v>0</v>
      </c>
      <c r="S364" t="str">
        <f t="shared" si="29"/>
        <v xml:space="preserve"> -&gt; </v>
      </c>
    </row>
    <row r="365" spans="1:19">
      <c r="A365" s="65"/>
      <c r="B365" s="66"/>
      <c r="C365" s="65"/>
      <c r="D365" s="65"/>
      <c r="E365" s="65"/>
      <c r="F365" s="65"/>
      <c r="G365" s="65"/>
      <c r="H365" s="66"/>
      <c r="I365" s="66"/>
      <c r="J365" s="66"/>
      <c r="K365" s="65"/>
      <c r="L365" s="65"/>
      <c r="M365" s="23" t="str">
        <f t="shared" ca="1" si="25"/>
        <v/>
      </c>
      <c r="O365">
        <f>'Combined Delivery Data'!B364</f>
        <v>0</v>
      </c>
      <c r="P365">
        <f t="shared" si="26"/>
        <v>0</v>
      </c>
      <c r="Q365">
        <f t="shared" si="27"/>
        <v>497</v>
      </c>
      <c r="R365" s="38">
        <f t="shared" si="28"/>
        <v>0</v>
      </c>
      <c r="S365" t="str">
        <f t="shared" si="29"/>
        <v xml:space="preserve"> -&gt; </v>
      </c>
    </row>
    <row r="366" spans="1:19">
      <c r="A366" s="65"/>
      <c r="B366" s="66"/>
      <c r="C366" s="65"/>
      <c r="D366" s="65"/>
      <c r="E366" s="65"/>
      <c r="F366" s="65"/>
      <c r="G366" s="65"/>
      <c r="H366" s="66"/>
      <c r="I366" s="66"/>
      <c r="J366" s="66"/>
      <c r="K366" s="65"/>
      <c r="L366" s="65"/>
      <c r="M366" s="23" t="str">
        <f t="shared" ca="1" si="25"/>
        <v/>
      </c>
      <c r="O366">
        <f>'Combined Delivery Data'!B365</f>
        <v>0</v>
      </c>
      <c r="P366">
        <f t="shared" si="26"/>
        <v>0</v>
      </c>
      <c r="Q366">
        <f t="shared" si="27"/>
        <v>497</v>
      </c>
      <c r="R366" s="38">
        <f t="shared" si="28"/>
        <v>0</v>
      </c>
      <c r="S366" t="str">
        <f t="shared" si="29"/>
        <v xml:space="preserve"> -&gt; </v>
      </c>
    </row>
    <row r="367" spans="1:19">
      <c r="A367" s="65"/>
      <c r="B367" s="66"/>
      <c r="C367" s="65"/>
      <c r="D367" s="65"/>
      <c r="E367" s="65"/>
      <c r="F367" s="65"/>
      <c r="G367" s="65"/>
      <c r="H367" s="66"/>
      <c r="I367" s="66"/>
      <c r="J367" s="66"/>
      <c r="K367" s="65"/>
      <c r="L367" s="65"/>
      <c r="M367" s="23" t="str">
        <f t="shared" ca="1" si="25"/>
        <v/>
      </c>
      <c r="O367">
        <f>'Combined Delivery Data'!B366</f>
        <v>0</v>
      </c>
      <c r="P367">
        <f t="shared" si="26"/>
        <v>0</v>
      </c>
      <c r="Q367">
        <f t="shared" si="27"/>
        <v>497</v>
      </c>
      <c r="R367" s="38">
        <f t="shared" si="28"/>
        <v>0</v>
      </c>
      <c r="S367" t="str">
        <f t="shared" si="29"/>
        <v xml:space="preserve"> -&gt; </v>
      </c>
    </row>
    <row r="368" spans="1:19">
      <c r="A368" s="65"/>
      <c r="B368" s="66"/>
      <c r="C368" s="65"/>
      <c r="D368" s="65"/>
      <c r="E368" s="65"/>
      <c r="F368" s="65"/>
      <c r="G368" s="65"/>
      <c r="H368" s="66"/>
      <c r="I368" s="66"/>
      <c r="J368" s="66"/>
      <c r="K368" s="65"/>
      <c r="L368" s="65"/>
      <c r="M368" s="23" t="str">
        <f t="shared" ca="1" si="25"/>
        <v/>
      </c>
      <c r="O368">
        <f>'Combined Delivery Data'!B367</f>
        <v>0</v>
      </c>
      <c r="P368">
        <f t="shared" si="26"/>
        <v>0</v>
      </c>
      <c r="Q368">
        <f t="shared" si="27"/>
        <v>497</v>
      </c>
      <c r="R368" s="38">
        <f t="shared" si="28"/>
        <v>0</v>
      </c>
      <c r="S368" t="str">
        <f t="shared" si="29"/>
        <v xml:space="preserve"> -&gt; </v>
      </c>
    </row>
    <row r="369" spans="1:19">
      <c r="A369" s="65"/>
      <c r="B369" s="66"/>
      <c r="C369" s="65"/>
      <c r="D369" s="65"/>
      <c r="E369" s="65"/>
      <c r="F369" s="65"/>
      <c r="G369" s="65"/>
      <c r="H369" s="66"/>
      <c r="I369" s="66"/>
      <c r="J369" s="66"/>
      <c r="K369" s="65"/>
      <c r="L369" s="65"/>
      <c r="M369" s="23" t="str">
        <f t="shared" ca="1" si="25"/>
        <v/>
      </c>
      <c r="O369">
        <f>'Combined Delivery Data'!B368</f>
        <v>0</v>
      </c>
      <c r="P369">
        <f t="shared" si="26"/>
        <v>0</v>
      </c>
      <c r="Q369">
        <f t="shared" si="27"/>
        <v>497</v>
      </c>
      <c r="R369" s="38">
        <f t="shared" si="28"/>
        <v>0</v>
      </c>
      <c r="S369" t="str">
        <f t="shared" si="29"/>
        <v xml:space="preserve"> -&gt; </v>
      </c>
    </row>
    <row r="370" spans="1:19">
      <c r="A370" s="65"/>
      <c r="B370" s="66"/>
      <c r="C370" s="65"/>
      <c r="D370" s="65"/>
      <c r="E370" s="65"/>
      <c r="F370" s="65"/>
      <c r="G370" s="65"/>
      <c r="H370" s="66"/>
      <c r="I370" s="66"/>
      <c r="J370" s="66"/>
      <c r="K370" s="65"/>
      <c r="L370" s="65"/>
      <c r="M370" s="23" t="str">
        <f t="shared" ca="1" si="25"/>
        <v/>
      </c>
      <c r="O370">
        <f>'Combined Delivery Data'!B369</f>
        <v>0</v>
      </c>
      <c r="P370">
        <f t="shared" si="26"/>
        <v>0</v>
      </c>
      <c r="Q370">
        <f t="shared" si="27"/>
        <v>497</v>
      </c>
      <c r="R370" s="38">
        <f t="shared" si="28"/>
        <v>0</v>
      </c>
      <c r="S370" t="str">
        <f t="shared" si="29"/>
        <v xml:space="preserve"> -&gt; </v>
      </c>
    </row>
    <row r="371" spans="1:19">
      <c r="A371" s="65"/>
      <c r="B371" s="66"/>
      <c r="C371" s="65"/>
      <c r="D371" s="65"/>
      <c r="E371" s="65"/>
      <c r="F371" s="65"/>
      <c r="G371" s="65"/>
      <c r="H371" s="66"/>
      <c r="I371" s="66"/>
      <c r="J371" s="66"/>
      <c r="K371" s="65"/>
      <c r="L371" s="65"/>
      <c r="M371" s="23" t="str">
        <f t="shared" ca="1" si="25"/>
        <v/>
      </c>
      <c r="O371">
        <f>'Combined Delivery Data'!B370</f>
        <v>0</v>
      </c>
      <c r="P371">
        <f t="shared" si="26"/>
        <v>0</v>
      </c>
      <c r="Q371">
        <f t="shared" si="27"/>
        <v>497</v>
      </c>
      <c r="R371" s="38">
        <f t="shared" si="28"/>
        <v>0</v>
      </c>
      <c r="S371" t="str">
        <f t="shared" si="29"/>
        <v xml:space="preserve"> -&gt; </v>
      </c>
    </row>
    <row r="372" spans="1:19">
      <c r="A372" s="65"/>
      <c r="B372" s="66"/>
      <c r="C372" s="65"/>
      <c r="D372" s="65"/>
      <c r="E372" s="65"/>
      <c r="F372" s="65"/>
      <c r="G372" s="65"/>
      <c r="H372" s="66"/>
      <c r="I372" s="66"/>
      <c r="J372" s="66"/>
      <c r="K372" s="65"/>
      <c r="L372" s="65"/>
      <c r="M372" s="23" t="str">
        <f t="shared" ca="1" si="25"/>
        <v/>
      </c>
      <c r="O372">
        <f>'Combined Delivery Data'!B371</f>
        <v>0</v>
      </c>
      <c r="P372">
        <f t="shared" si="26"/>
        <v>0</v>
      </c>
      <c r="Q372">
        <f t="shared" si="27"/>
        <v>497</v>
      </c>
      <c r="R372" s="38">
        <f t="shared" si="28"/>
        <v>0</v>
      </c>
      <c r="S372" t="str">
        <f t="shared" si="29"/>
        <v xml:space="preserve"> -&gt; </v>
      </c>
    </row>
    <row r="373" spans="1:19">
      <c r="A373" s="65"/>
      <c r="B373" s="66"/>
      <c r="C373" s="65"/>
      <c r="D373" s="65"/>
      <c r="E373" s="65"/>
      <c r="F373" s="65"/>
      <c r="G373" s="65"/>
      <c r="H373" s="66"/>
      <c r="I373" s="66"/>
      <c r="J373" s="66"/>
      <c r="K373" s="65"/>
      <c r="L373" s="65"/>
      <c r="M373" s="23" t="str">
        <f t="shared" ca="1" si="25"/>
        <v/>
      </c>
      <c r="O373">
        <f>'Combined Delivery Data'!B372</f>
        <v>0</v>
      </c>
      <c r="P373">
        <f t="shared" si="26"/>
        <v>0</v>
      </c>
      <c r="Q373">
        <f t="shared" si="27"/>
        <v>497</v>
      </c>
      <c r="R373" s="38">
        <f t="shared" si="28"/>
        <v>0</v>
      </c>
      <c r="S373" t="str">
        <f t="shared" si="29"/>
        <v xml:space="preserve"> -&gt; </v>
      </c>
    </row>
    <row r="374" spans="1:19">
      <c r="A374" s="65"/>
      <c r="B374" s="66"/>
      <c r="C374" s="65"/>
      <c r="D374" s="65"/>
      <c r="E374" s="65"/>
      <c r="F374" s="65"/>
      <c r="G374" s="65"/>
      <c r="H374" s="66"/>
      <c r="I374" s="66"/>
      <c r="J374" s="66"/>
      <c r="K374" s="65"/>
      <c r="L374" s="65"/>
      <c r="M374" s="23" t="str">
        <f t="shared" ca="1" si="25"/>
        <v/>
      </c>
      <c r="O374">
        <f>'Combined Delivery Data'!B373</f>
        <v>0</v>
      </c>
      <c r="P374">
        <f t="shared" si="26"/>
        <v>0</v>
      </c>
      <c r="Q374">
        <f t="shared" si="27"/>
        <v>497</v>
      </c>
      <c r="R374" s="38">
        <f t="shared" si="28"/>
        <v>0</v>
      </c>
      <c r="S374" t="str">
        <f t="shared" si="29"/>
        <v xml:space="preserve"> -&gt; </v>
      </c>
    </row>
    <row r="375" spans="1:19">
      <c r="A375" s="65"/>
      <c r="B375" s="66"/>
      <c r="C375" s="65"/>
      <c r="D375" s="65"/>
      <c r="E375" s="65"/>
      <c r="F375" s="65"/>
      <c r="G375" s="65"/>
      <c r="H375" s="66"/>
      <c r="I375" s="66"/>
      <c r="J375" s="66"/>
      <c r="K375" s="65"/>
      <c r="L375" s="65"/>
      <c r="M375" s="23" t="str">
        <f t="shared" ca="1" si="25"/>
        <v/>
      </c>
      <c r="O375">
        <f>'Combined Delivery Data'!B374</f>
        <v>0</v>
      </c>
      <c r="P375">
        <f t="shared" si="26"/>
        <v>0</v>
      </c>
      <c r="Q375">
        <f t="shared" si="27"/>
        <v>497</v>
      </c>
      <c r="R375" s="38">
        <f t="shared" si="28"/>
        <v>0</v>
      </c>
      <c r="S375" t="str">
        <f t="shared" si="29"/>
        <v xml:space="preserve"> -&gt; </v>
      </c>
    </row>
    <row r="376" spans="1:19">
      <c r="A376" s="65"/>
      <c r="B376" s="66"/>
      <c r="C376" s="65"/>
      <c r="D376" s="65"/>
      <c r="E376" s="65"/>
      <c r="F376" s="65"/>
      <c r="G376" s="65"/>
      <c r="H376" s="66"/>
      <c r="I376" s="66"/>
      <c r="J376" s="66"/>
      <c r="K376" s="65"/>
      <c r="L376" s="65"/>
      <c r="M376" s="23" t="str">
        <f t="shared" ca="1" si="25"/>
        <v/>
      </c>
      <c r="O376">
        <f>'Combined Delivery Data'!B375</f>
        <v>0</v>
      </c>
      <c r="P376">
        <f t="shared" si="26"/>
        <v>0</v>
      </c>
      <c r="Q376">
        <f t="shared" si="27"/>
        <v>497</v>
      </c>
      <c r="R376" s="38">
        <f t="shared" si="28"/>
        <v>0</v>
      </c>
      <c r="S376" t="str">
        <f t="shared" si="29"/>
        <v xml:space="preserve"> -&gt; </v>
      </c>
    </row>
    <row r="377" spans="1:19">
      <c r="A377" s="65"/>
      <c r="B377" s="66"/>
      <c r="C377" s="65"/>
      <c r="D377" s="65"/>
      <c r="E377" s="65"/>
      <c r="F377" s="65"/>
      <c r="G377" s="65"/>
      <c r="H377" s="66"/>
      <c r="I377" s="66"/>
      <c r="J377" s="66"/>
      <c r="K377" s="65"/>
      <c r="L377" s="65"/>
      <c r="M377" s="23" t="str">
        <f t="shared" ca="1" si="25"/>
        <v/>
      </c>
      <c r="O377">
        <f>'Combined Delivery Data'!B376</f>
        <v>0</v>
      </c>
      <c r="P377">
        <f t="shared" si="26"/>
        <v>0</v>
      </c>
      <c r="Q377">
        <f t="shared" si="27"/>
        <v>497</v>
      </c>
      <c r="R377" s="38">
        <f t="shared" si="28"/>
        <v>0</v>
      </c>
      <c r="S377" t="str">
        <f t="shared" si="29"/>
        <v xml:space="preserve"> -&gt; </v>
      </c>
    </row>
    <row r="378" spans="1:19">
      <c r="A378" s="65"/>
      <c r="B378" s="66"/>
      <c r="C378" s="65"/>
      <c r="D378" s="65"/>
      <c r="E378" s="65"/>
      <c r="F378" s="65"/>
      <c r="G378" s="65"/>
      <c r="H378" s="66"/>
      <c r="I378" s="66"/>
      <c r="J378" s="66"/>
      <c r="K378" s="65"/>
      <c r="L378" s="65"/>
      <c r="M378" s="23" t="str">
        <f t="shared" ca="1" si="25"/>
        <v/>
      </c>
      <c r="O378">
        <f>'Combined Delivery Data'!B377</f>
        <v>0</v>
      </c>
      <c r="P378">
        <f t="shared" si="26"/>
        <v>0</v>
      </c>
      <c r="Q378">
        <f t="shared" si="27"/>
        <v>497</v>
      </c>
      <c r="R378" s="38">
        <f t="shared" si="28"/>
        <v>0</v>
      </c>
      <c r="S378" t="str">
        <f t="shared" si="29"/>
        <v xml:space="preserve"> -&gt; </v>
      </c>
    </row>
    <row r="379" spans="1:19">
      <c r="A379" s="65"/>
      <c r="B379" s="66"/>
      <c r="C379" s="65"/>
      <c r="D379" s="65"/>
      <c r="E379" s="65"/>
      <c r="F379" s="65"/>
      <c r="G379" s="65"/>
      <c r="H379" s="66"/>
      <c r="I379" s="66"/>
      <c r="J379" s="66"/>
      <c r="K379" s="65"/>
      <c r="L379" s="65"/>
      <c r="M379" s="23" t="str">
        <f t="shared" ca="1" si="25"/>
        <v/>
      </c>
      <c r="O379">
        <f>'Combined Delivery Data'!B378</f>
        <v>0</v>
      </c>
      <c r="P379">
        <f t="shared" si="26"/>
        <v>0</v>
      </c>
      <c r="Q379">
        <f t="shared" si="27"/>
        <v>497</v>
      </c>
      <c r="R379" s="38">
        <f t="shared" si="28"/>
        <v>0</v>
      </c>
      <c r="S379" t="str">
        <f t="shared" si="29"/>
        <v xml:space="preserve"> -&gt; </v>
      </c>
    </row>
    <row r="380" spans="1:19">
      <c r="A380" s="65"/>
      <c r="B380" s="66"/>
      <c r="C380" s="65"/>
      <c r="D380" s="65"/>
      <c r="E380" s="65"/>
      <c r="F380" s="65"/>
      <c r="G380" s="65"/>
      <c r="H380" s="66"/>
      <c r="I380" s="66"/>
      <c r="J380" s="66"/>
      <c r="K380" s="65"/>
      <c r="L380" s="65"/>
      <c r="M380" s="23" t="str">
        <f t="shared" ca="1" si="25"/>
        <v/>
      </c>
      <c r="O380">
        <f>'Combined Delivery Data'!B379</f>
        <v>0</v>
      </c>
      <c r="P380">
        <f t="shared" si="26"/>
        <v>0</v>
      </c>
      <c r="Q380">
        <f t="shared" si="27"/>
        <v>497</v>
      </c>
      <c r="R380" s="38">
        <f t="shared" si="28"/>
        <v>0</v>
      </c>
      <c r="S380" t="str">
        <f t="shared" si="29"/>
        <v xml:space="preserve"> -&gt; </v>
      </c>
    </row>
    <row r="381" spans="1:19">
      <c r="A381" s="65"/>
      <c r="B381" s="66"/>
      <c r="C381" s="65"/>
      <c r="D381" s="65"/>
      <c r="E381" s="65"/>
      <c r="F381" s="65"/>
      <c r="G381" s="65"/>
      <c r="H381" s="66"/>
      <c r="I381" s="66"/>
      <c r="J381" s="66"/>
      <c r="K381" s="65"/>
      <c r="L381" s="65"/>
      <c r="M381" s="23" t="str">
        <f t="shared" ca="1" si="25"/>
        <v/>
      </c>
      <c r="O381">
        <f>'Combined Delivery Data'!B380</f>
        <v>0</v>
      </c>
      <c r="P381">
        <f t="shared" si="26"/>
        <v>0</v>
      </c>
      <c r="Q381">
        <f t="shared" si="27"/>
        <v>497</v>
      </c>
      <c r="R381" s="38">
        <f t="shared" si="28"/>
        <v>0</v>
      </c>
      <c r="S381" t="str">
        <f t="shared" si="29"/>
        <v xml:space="preserve"> -&gt; </v>
      </c>
    </row>
    <row r="382" spans="1:19">
      <c r="A382" s="65"/>
      <c r="B382" s="66"/>
      <c r="C382" s="65"/>
      <c r="D382" s="65"/>
      <c r="E382" s="65"/>
      <c r="F382" s="65"/>
      <c r="G382" s="65"/>
      <c r="H382" s="66"/>
      <c r="I382" s="66"/>
      <c r="J382" s="66"/>
      <c r="K382" s="65"/>
      <c r="L382" s="65"/>
      <c r="M382" s="23" t="str">
        <f t="shared" ca="1" si="25"/>
        <v/>
      </c>
      <c r="O382">
        <f>'Combined Delivery Data'!B381</f>
        <v>0</v>
      </c>
      <c r="P382">
        <f t="shared" si="26"/>
        <v>0</v>
      </c>
      <c r="Q382">
        <f t="shared" si="27"/>
        <v>497</v>
      </c>
      <c r="R382" s="38">
        <f t="shared" si="28"/>
        <v>0</v>
      </c>
      <c r="S382" t="str">
        <f t="shared" si="29"/>
        <v xml:space="preserve"> -&gt; </v>
      </c>
    </row>
    <row r="383" spans="1:19">
      <c r="A383" s="65"/>
      <c r="B383" s="66"/>
      <c r="C383" s="65"/>
      <c r="D383" s="65"/>
      <c r="E383" s="65"/>
      <c r="F383" s="65"/>
      <c r="G383" s="65"/>
      <c r="H383" s="66"/>
      <c r="I383" s="66"/>
      <c r="J383" s="66"/>
      <c r="K383" s="65"/>
      <c r="L383" s="65"/>
      <c r="M383" s="23" t="str">
        <f t="shared" ca="1" si="25"/>
        <v/>
      </c>
      <c r="O383">
        <f>'Combined Delivery Data'!B382</f>
        <v>0</v>
      </c>
      <c r="P383">
        <f t="shared" si="26"/>
        <v>0</v>
      </c>
      <c r="Q383">
        <f t="shared" si="27"/>
        <v>497</v>
      </c>
      <c r="R383" s="38">
        <f t="shared" si="28"/>
        <v>0</v>
      </c>
      <c r="S383" t="str">
        <f t="shared" si="29"/>
        <v xml:space="preserve"> -&gt; </v>
      </c>
    </row>
    <row r="384" spans="1:19">
      <c r="A384" s="65"/>
      <c r="B384" s="66"/>
      <c r="C384" s="65"/>
      <c r="D384" s="65"/>
      <c r="E384" s="65"/>
      <c r="F384" s="65"/>
      <c r="G384" s="65"/>
      <c r="H384" s="66"/>
      <c r="I384" s="66"/>
      <c r="J384" s="66"/>
      <c r="K384" s="65"/>
      <c r="L384" s="65"/>
      <c r="M384" s="23" t="str">
        <f t="shared" ca="1" si="25"/>
        <v/>
      </c>
      <c r="O384">
        <f>'Combined Delivery Data'!B383</f>
        <v>0</v>
      </c>
      <c r="P384">
        <f t="shared" si="26"/>
        <v>0</v>
      </c>
      <c r="Q384">
        <f t="shared" si="27"/>
        <v>497</v>
      </c>
      <c r="R384" s="38">
        <f t="shared" si="28"/>
        <v>0</v>
      </c>
      <c r="S384" t="str">
        <f t="shared" si="29"/>
        <v xml:space="preserve"> -&gt; </v>
      </c>
    </row>
    <row r="385" spans="1:19">
      <c r="A385" s="65"/>
      <c r="B385" s="66"/>
      <c r="C385" s="65"/>
      <c r="D385" s="65"/>
      <c r="E385" s="65"/>
      <c r="F385" s="65"/>
      <c r="G385" s="65"/>
      <c r="H385" s="66"/>
      <c r="I385" s="66"/>
      <c r="J385" s="66"/>
      <c r="K385" s="65"/>
      <c r="L385" s="65"/>
      <c r="M385" s="23" t="str">
        <f t="shared" ca="1" si="25"/>
        <v/>
      </c>
      <c r="O385">
        <f>'Combined Delivery Data'!B384</f>
        <v>0</v>
      </c>
      <c r="P385">
        <f t="shared" si="26"/>
        <v>0</v>
      </c>
      <c r="Q385">
        <f t="shared" si="27"/>
        <v>497</v>
      </c>
      <c r="R385" s="38">
        <f t="shared" si="28"/>
        <v>0</v>
      </c>
      <c r="S385" t="str">
        <f t="shared" si="29"/>
        <v xml:space="preserve"> -&gt; </v>
      </c>
    </row>
    <row r="386" spans="1:19">
      <c r="A386" s="65"/>
      <c r="B386" s="66"/>
      <c r="C386" s="65"/>
      <c r="D386" s="65"/>
      <c r="E386" s="65"/>
      <c r="F386" s="65"/>
      <c r="G386" s="65"/>
      <c r="H386" s="66"/>
      <c r="I386" s="66"/>
      <c r="J386" s="66"/>
      <c r="K386" s="65"/>
      <c r="L386" s="65"/>
      <c r="M386" s="23" t="str">
        <f t="shared" ca="1" si="25"/>
        <v/>
      </c>
      <c r="O386">
        <f>'Combined Delivery Data'!B385</f>
        <v>0</v>
      </c>
      <c r="P386">
        <f t="shared" si="26"/>
        <v>0</v>
      </c>
      <c r="Q386">
        <f t="shared" si="27"/>
        <v>497</v>
      </c>
      <c r="R386" s="38">
        <f t="shared" si="28"/>
        <v>0</v>
      </c>
      <c r="S386" t="str">
        <f t="shared" si="29"/>
        <v xml:space="preserve"> -&gt; </v>
      </c>
    </row>
    <row r="387" spans="1:19">
      <c r="A387" s="65"/>
      <c r="B387" s="66"/>
      <c r="C387" s="65"/>
      <c r="D387" s="65"/>
      <c r="E387" s="65"/>
      <c r="F387" s="65"/>
      <c r="G387" s="65"/>
      <c r="H387" s="66"/>
      <c r="I387" s="66"/>
      <c r="J387" s="66"/>
      <c r="K387" s="65"/>
      <c r="L387" s="65"/>
      <c r="M387" s="2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O387">
        <f>'Combined Delivery Data'!B386</f>
        <v>0</v>
      </c>
      <c r="P387">
        <f t="shared" ref="P387:P450" si="31">IF($O387="","",COUNTIF($A$3:$A$500,$O387))</f>
        <v>0</v>
      </c>
      <c r="Q387">
        <f t="shared" ref="Q387:Q450" si="32">IF($O387="","",SUMPRODUCT(($A$3:$A$500=$O387)*($G$3:$G$500&lt;&gt;"Yes")*($G$3:$G$500&lt;&gt;"Did not pass re-test")))</f>
        <v>497</v>
      </c>
      <c r="R387" s="38">
        <f t="shared" ref="R387:R450" si="33">IF($O387="","",IF(SUMPRODUCT(MAX(($A$3:$A$500=$O387)*ROW($A$3:$A$500)))=0,"",INDEX($B:$B,SUMPRODUCT(MAX(($A$3:$A$500=$O387)*ROW($A$3:$A$500))))))</f>
        <v>0</v>
      </c>
      <c r="S387" t="str">
        <f t="shared" ref="S387:S450" si="34">IF($O387="","",IF(SUMPRODUCT(MAX(($A$3:$A$500=$O387)*ROW($A$3:$A$500)))=0,"",INDEX($C:$C,SUMPRODUCT(MAX(($A$3:$A$500=$O387)*ROW($A$3:$A$500))))&amp;" -&gt; "&amp;INDEX($D:$D,SUMPRODUCT(MAX(($A$3:$A$500=$O387)*ROW($A$3:$A$500))))))</f>
        <v xml:space="preserve"> -&gt; </v>
      </c>
    </row>
    <row r="388" spans="1:19">
      <c r="A388" s="65"/>
      <c r="B388" s="66"/>
      <c r="C388" s="65"/>
      <c r="D388" s="65"/>
      <c r="E388" s="65"/>
      <c r="F388" s="65"/>
      <c r="G388" s="65"/>
      <c r="H388" s="66"/>
      <c r="I388" s="66"/>
      <c r="J388" s="66"/>
      <c r="K388" s="65"/>
      <c r="L388" s="65"/>
      <c r="M388" s="23" t="str">
        <f t="shared" ca="1" si="30"/>
        <v/>
      </c>
      <c r="O388">
        <f>'Combined Delivery Data'!B387</f>
        <v>0</v>
      </c>
      <c r="P388">
        <f t="shared" si="31"/>
        <v>0</v>
      </c>
      <c r="Q388">
        <f t="shared" si="32"/>
        <v>497</v>
      </c>
      <c r="R388" s="38">
        <f t="shared" si="33"/>
        <v>0</v>
      </c>
      <c r="S388" t="str">
        <f t="shared" si="34"/>
        <v xml:space="preserve"> -&gt; </v>
      </c>
    </row>
    <row r="389" spans="1:19">
      <c r="A389" s="65"/>
      <c r="B389" s="66"/>
      <c r="C389" s="65"/>
      <c r="D389" s="65"/>
      <c r="E389" s="65"/>
      <c r="F389" s="65"/>
      <c r="G389" s="65"/>
      <c r="H389" s="66"/>
      <c r="I389" s="66"/>
      <c r="J389" s="66"/>
      <c r="K389" s="65"/>
      <c r="L389" s="65"/>
      <c r="M389" s="23" t="str">
        <f t="shared" ca="1" si="30"/>
        <v/>
      </c>
      <c r="O389">
        <f>'Combined Delivery Data'!B388</f>
        <v>0</v>
      </c>
      <c r="P389">
        <f t="shared" si="31"/>
        <v>0</v>
      </c>
      <c r="Q389">
        <f t="shared" si="32"/>
        <v>497</v>
      </c>
      <c r="R389" s="38">
        <f t="shared" si="33"/>
        <v>0</v>
      </c>
      <c r="S389" t="str">
        <f t="shared" si="34"/>
        <v xml:space="preserve"> -&gt; </v>
      </c>
    </row>
    <row r="390" spans="1:19">
      <c r="A390" s="65"/>
      <c r="B390" s="66"/>
      <c r="C390" s="65"/>
      <c r="D390" s="65"/>
      <c r="E390" s="65"/>
      <c r="F390" s="65"/>
      <c r="G390" s="65"/>
      <c r="H390" s="66"/>
      <c r="I390" s="66"/>
      <c r="J390" s="66"/>
      <c r="K390" s="65"/>
      <c r="L390" s="65"/>
      <c r="M390" s="23" t="str">
        <f t="shared" ca="1" si="30"/>
        <v/>
      </c>
      <c r="O390">
        <f>'Combined Delivery Data'!B389</f>
        <v>0</v>
      </c>
      <c r="P390">
        <f t="shared" si="31"/>
        <v>0</v>
      </c>
      <c r="Q390">
        <f t="shared" si="32"/>
        <v>497</v>
      </c>
      <c r="R390" s="38">
        <f t="shared" si="33"/>
        <v>0</v>
      </c>
      <c r="S390" t="str">
        <f t="shared" si="34"/>
        <v xml:space="preserve"> -&gt; </v>
      </c>
    </row>
    <row r="391" spans="1:19">
      <c r="A391" s="65"/>
      <c r="B391" s="66"/>
      <c r="C391" s="65"/>
      <c r="D391" s="65"/>
      <c r="E391" s="65"/>
      <c r="F391" s="65"/>
      <c r="G391" s="65"/>
      <c r="H391" s="66"/>
      <c r="I391" s="66"/>
      <c r="J391" s="66"/>
      <c r="K391" s="65"/>
      <c r="L391" s="65"/>
      <c r="M391" s="23" t="str">
        <f t="shared" ca="1" si="30"/>
        <v/>
      </c>
      <c r="O391">
        <f>'Combined Delivery Data'!B390</f>
        <v>0</v>
      </c>
      <c r="P391">
        <f t="shared" si="31"/>
        <v>0</v>
      </c>
      <c r="Q391">
        <f t="shared" si="32"/>
        <v>497</v>
      </c>
      <c r="R391" s="38">
        <f t="shared" si="33"/>
        <v>0</v>
      </c>
      <c r="S391" t="str">
        <f t="shared" si="34"/>
        <v xml:space="preserve"> -&gt; </v>
      </c>
    </row>
    <row r="392" spans="1:19">
      <c r="A392" s="65"/>
      <c r="B392" s="66"/>
      <c r="C392" s="65"/>
      <c r="D392" s="65"/>
      <c r="E392" s="65"/>
      <c r="F392" s="65"/>
      <c r="G392" s="65"/>
      <c r="H392" s="66"/>
      <c r="I392" s="66"/>
      <c r="J392" s="66"/>
      <c r="K392" s="65"/>
      <c r="L392" s="65"/>
      <c r="M392" s="23" t="str">
        <f t="shared" ca="1" si="30"/>
        <v/>
      </c>
      <c r="O392">
        <f>'Combined Delivery Data'!B391</f>
        <v>0</v>
      </c>
      <c r="P392">
        <f t="shared" si="31"/>
        <v>0</v>
      </c>
      <c r="Q392">
        <f t="shared" si="32"/>
        <v>497</v>
      </c>
      <c r="R392" s="38">
        <f t="shared" si="33"/>
        <v>0</v>
      </c>
      <c r="S392" t="str">
        <f t="shared" si="34"/>
        <v xml:space="preserve"> -&gt; </v>
      </c>
    </row>
    <row r="393" spans="1:19">
      <c r="A393" s="65"/>
      <c r="B393" s="66"/>
      <c r="C393" s="65"/>
      <c r="D393" s="65"/>
      <c r="E393" s="65"/>
      <c r="F393" s="65"/>
      <c r="G393" s="65"/>
      <c r="H393" s="66"/>
      <c r="I393" s="66"/>
      <c r="J393" s="66"/>
      <c r="K393" s="65"/>
      <c r="L393" s="65"/>
      <c r="M393" s="23" t="str">
        <f t="shared" ca="1" si="30"/>
        <v/>
      </c>
      <c r="O393">
        <f>'Combined Delivery Data'!B392</f>
        <v>0</v>
      </c>
      <c r="P393">
        <f t="shared" si="31"/>
        <v>0</v>
      </c>
      <c r="Q393">
        <f t="shared" si="32"/>
        <v>497</v>
      </c>
      <c r="R393" s="38">
        <f t="shared" si="33"/>
        <v>0</v>
      </c>
      <c r="S393" t="str">
        <f t="shared" si="34"/>
        <v xml:space="preserve"> -&gt; </v>
      </c>
    </row>
    <row r="394" spans="1:19">
      <c r="A394" s="65"/>
      <c r="B394" s="66"/>
      <c r="C394" s="65"/>
      <c r="D394" s="65"/>
      <c r="E394" s="65"/>
      <c r="F394" s="65"/>
      <c r="G394" s="65"/>
      <c r="H394" s="66"/>
      <c r="I394" s="66"/>
      <c r="J394" s="66"/>
      <c r="K394" s="65"/>
      <c r="L394" s="65"/>
      <c r="M394" s="23" t="str">
        <f t="shared" ca="1" si="30"/>
        <v/>
      </c>
      <c r="O394">
        <f>'Combined Delivery Data'!B393</f>
        <v>0</v>
      </c>
      <c r="P394">
        <f t="shared" si="31"/>
        <v>0</v>
      </c>
      <c r="Q394">
        <f t="shared" si="32"/>
        <v>497</v>
      </c>
      <c r="R394" s="38">
        <f t="shared" si="33"/>
        <v>0</v>
      </c>
      <c r="S394" t="str">
        <f t="shared" si="34"/>
        <v xml:space="preserve"> -&gt; </v>
      </c>
    </row>
    <row r="395" spans="1:19">
      <c r="A395" s="65"/>
      <c r="B395" s="66"/>
      <c r="C395" s="65"/>
      <c r="D395" s="65"/>
      <c r="E395" s="65"/>
      <c r="F395" s="65"/>
      <c r="G395" s="65"/>
      <c r="H395" s="66"/>
      <c r="I395" s="66"/>
      <c r="J395" s="66"/>
      <c r="K395" s="65"/>
      <c r="L395" s="65"/>
      <c r="M395" s="23" t="str">
        <f t="shared" ca="1" si="30"/>
        <v/>
      </c>
      <c r="O395">
        <f>'Combined Delivery Data'!B394</f>
        <v>0</v>
      </c>
      <c r="P395">
        <f t="shared" si="31"/>
        <v>0</v>
      </c>
      <c r="Q395">
        <f t="shared" si="32"/>
        <v>497</v>
      </c>
      <c r="R395" s="38">
        <f t="shared" si="33"/>
        <v>0</v>
      </c>
      <c r="S395" t="str">
        <f t="shared" si="34"/>
        <v xml:space="preserve"> -&gt; </v>
      </c>
    </row>
    <row r="396" spans="1:19">
      <c r="A396" s="65"/>
      <c r="B396" s="66"/>
      <c r="C396" s="65"/>
      <c r="D396" s="65"/>
      <c r="E396" s="65"/>
      <c r="F396" s="65"/>
      <c r="G396" s="65"/>
      <c r="H396" s="66"/>
      <c r="I396" s="66"/>
      <c r="J396" s="66"/>
      <c r="K396" s="65"/>
      <c r="L396" s="65"/>
      <c r="M396" s="23" t="str">
        <f t="shared" ca="1" si="30"/>
        <v/>
      </c>
      <c r="O396">
        <f>'Combined Delivery Data'!B395</f>
        <v>0</v>
      </c>
      <c r="P396">
        <f t="shared" si="31"/>
        <v>0</v>
      </c>
      <c r="Q396">
        <f t="shared" si="32"/>
        <v>497</v>
      </c>
      <c r="R396" s="38">
        <f t="shared" si="33"/>
        <v>0</v>
      </c>
      <c r="S396" t="str">
        <f t="shared" si="34"/>
        <v xml:space="preserve"> -&gt; </v>
      </c>
    </row>
    <row r="397" spans="1:19">
      <c r="A397" s="65"/>
      <c r="B397" s="66"/>
      <c r="C397" s="65"/>
      <c r="D397" s="65"/>
      <c r="E397" s="65"/>
      <c r="F397" s="65"/>
      <c r="G397" s="65"/>
      <c r="H397" s="66"/>
      <c r="I397" s="66"/>
      <c r="J397" s="66"/>
      <c r="K397" s="65"/>
      <c r="L397" s="65"/>
      <c r="M397" s="23" t="str">
        <f t="shared" ca="1" si="30"/>
        <v/>
      </c>
      <c r="O397">
        <f>'Combined Delivery Data'!B396</f>
        <v>0</v>
      </c>
      <c r="P397">
        <f t="shared" si="31"/>
        <v>0</v>
      </c>
      <c r="Q397">
        <f t="shared" si="32"/>
        <v>497</v>
      </c>
      <c r="R397" s="38">
        <f t="shared" si="33"/>
        <v>0</v>
      </c>
      <c r="S397" t="str">
        <f t="shared" si="34"/>
        <v xml:space="preserve"> -&gt; </v>
      </c>
    </row>
    <row r="398" spans="1:19">
      <c r="A398" s="65"/>
      <c r="B398" s="66"/>
      <c r="C398" s="65"/>
      <c r="D398" s="65"/>
      <c r="E398" s="65"/>
      <c r="F398" s="65"/>
      <c r="G398" s="65"/>
      <c r="H398" s="66"/>
      <c r="I398" s="66"/>
      <c r="J398" s="66"/>
      <c r="K398" s="65"/>
      <c r="L398" s="65"/>
      <c r="M398" s="23" t="str">
        <f t="shared" ca="1" si="30"/>
        <v/>
      </c>
      <c r="O398">
        <f>'Combined Delivery Data'!B397</f>
        <v>0</v>
      </c>
      <c r="P398">
        <f t="shared" si="31"/>
        <v>0</v>
      </c>
      <c r="Q398">
        <f t="shared" si="32"/>
        <v>497</v>
      </c>
      <c r="R398" s="38">
        <f t="shared" si="33"/>
        <v>0</v>
      </c>
      <c r="S398" t="str">
        <f t="shared" si="34"/>
        <v xml:space="preserve"> -&gt; </v>
      </c>
    </row>
    <row r="399" spans="1:19">
      <c r="A399" s="65"/>
      <c r="B399" s="66"/>
      <c r="C399" s="65"/>
      <c r="D399" s="65"/>
      <c r="E399" s="65"/>
      <c r="F399" s="65"/>
      <c r="G399" s="65"/>
      <c r="H399" s="66"/>
      <c r="I399" s="66"/>
      <c r="J399" s="66"/>
      <c r="K399" s="65"/>
      <c r="L399" s="65"/>
      <c r="M399" s="23" t="str">
        <f t="shared" ca="1" si="30"/>
        <v/>
      </c>
      <c r="O399">
        <f>'Combined Delivery Data'!B398</f>
        <v>0</v>
      </c>
      <c r="P399">
        <f t="shared" si="31"/>
        <v>0</v>
      </c>
      <c r="Q399">
        <f t="shared" si="32"/>
        <v>497</v>
      </c>
      <c r="R399" s="38">
        <f t="shared" si="33"/>
        <v>0</v>
      </c>
      <c r="S399" t="str">
        <f t="shared" si="34"/>
        <v xml:space="preserve"> -&gt; </v>
      </c>
    </row>
    <row r="400" spans="1:19">
      <c r="A400" s="65"/>
      <c r="B400" s="66"/>
      <c r="C400" s="65"/>
      <c r="D400" s="65"/>
      <c r="E400" s="65"/>
      <c r="F400" s="65"/>
      <c r="G400" s="65"/>
      <c r="H400" s="66"/>
      <c r="I400" s="66"/>
      <c r="J400" s="66"/>
      <c r="K400" s="65"/>
      <c r="L400" s="65"/>
      <c r="M400" s="23" t="str">
        <f t="shared" ca="1" si="30"/>
        <v/>
      </c>
      <c r="O400">
        <f>'Combined Delivery Data'!B399</f>
        <v>0</v>
      </c>
      <c r="P400">
        <f t="shared" si="31"/>
        <v>0</v>
      </c>
      <c r="Q400">
        <f t="shared" si="32"/>
        <v>497</v>
      </c>
      <c r="R400" s="38">
        <f t="shared" si="33"/>
        <v>0</v>
      </c>
      <c r="S400" t="str">
        <f t="shared" si="34"/>
        <v xml:space="preserve"> -&gt; </v>
      </c>
    </row>
    <row r="401" spans="1:19">
      <c r="A401" s="65"/>
      <c r="B401" s="66"/>
      <c r="C401" s="65"/>
      <c r="D401" s="65"/>
      <c r="E401" s="65"/>
      <c r="F401" s="65"/>
      <c r="G401" s="65"/>
      <c r="H401" s="66"/>
      <c r="I401" s="66"/>
      <c r="J401" s="66"/>
      <c r="K401" s="65"/>
      <c r="L401" s="65"/>
      <c r="M401" s="23" t="str">
        <f t="shared" ca="1" si="30"/>
        <v/>
      </c>
      <c r="O401">
        <f>'Combined Delivery Data'!B400</f>
        <v>0</v>
      </c>
      <c r="P401">
        <f t="shared" si="31"/>
        <v>0</v>
      </c>
      <c r="Q401">
        <f t="shared" si="32"/>
        <v>497</v>
      </c>
      <c r="R401" s="38">
        <f t="shared" si="33"/>
        <v>0</v>
      </c>
      <c r="S401" t="str">
        <f t="shared" si="34"/>
        <v xml:space="preserve"> -&gt; </v>
      </c>
    </row>
    <row r="402" spans="1:19">
      <c r="A402" s="65"/>
      <c r="B402" s="66"/>
      <c r="C402" s="65"/>
      <c r="D402" s="65"/>
      <c r="E402" s="65"/>
      <c r="F402" s="65"/>
      <c r="G402" s="65"/>
      <c r="H402" s="66"/>
      <c r="I402" s="66"/>
      <c r="J402" s="66"/>
      <c r="K402" s="65"/>
      <c r="L402" s="65"/>
      <c r="M402" s="23" t="str">
        <f t="shared" ca="1" si="30"/>
        <v/>
      </c>
      <c r="O402">
        <f>'Combined Delivery Data'!B401</f>
        <v>0</v>
      </c>
      <c r="P402">
        <f t="shared" si="31"/>
        <v>0</v>
      </c>
      <c r="Q402">
        <f t="shared" si="32"/>
        <v>497</v>
      </c>
      <c r="R402" s="38">
        <f t="shared" si="33"/>
        <v>0</v>
      </c>
      <c r="S402" t="str">
        <f t="shared" si="34"/>
        <v xml:space="preserve"> -&gt; </v>
      </c>
    </row>
    <row r="403" spans="1:19">
      <c r="A403" s="65"/>
      <c r="B403" s="66"/>
      <c r="C403" s="65"/>
      <c r="D403" s="65"/>
      <c r="E403" s="65"/>
      <c r="F403" s="65"/>
      <c r="G403" s="65"/>
      <c r="H403" s="66"/>
      <c r="I403" s="66"/>
      <c r="J403" s="66"/>
      <c r="K403" s="65"/>
      <c r="L403" s="65"/>
      <c r="M403" s="23" t="str">
        <f t="shared" ca="1" si="30"/>
        <v/>
      </c>
      <c r="O403">
        <f>'Combined Delivery Data'!B402</f>
        <v>0</v>
      </c>
      <c r="P403">
        <f t="shared" si="31"/>
        <v>0</v>
      </c>
      <c r="Q403">
        <f t="shared" si="32"/>
        <v>497</v>
      </c>
      <c r="R403" s="38">
        <f t="shared" si="33"/>
        <v>0</v>
      </c>
      <c r="S403" t="str">
        <f t="shared" si="34"/>
        <v xml:space="preserve"> -&gt; </v>
      </c>
    </row>
    <row r="404" spans="1:19">
      <c r="A404" s="65"/>
      <c r="B404" s="66"/>
      <c r="C404" s="65"/>
      <c r="D404" s="65"/>
      <c r="E404" s="65"/>
      <c r="F404" s="65"/>
      <c r="G404" s="65"/>
      <c r="H404" s="66"/>
      <c r="I404" s="66"/>
      <c r="J404" s="66"/>
      <c r="K404" s="65"/>
      <c r="L404" s="65"/>
      <c r="M404" s="23" t="str">
        <f t="shared" ca="1" si="30"/>
        <v/>
      </c>
      <c r="O404">
        <f>'Combined Delivery Data'!B403</f>
        <v>0</v>
      </c>
      <c r="P404">
        <f t="shared" si="31"/>
        <v>0</v>
      </c>
      <c r="Q404">
        <f t="shared" si="32"/>
        <v>497</v>
      </c>
      <c r="R404" s="38">
        <f t="shared" si="33"/>
        <v>0</v>
      </c>
      <c r="S404" t="str">
        <f t="shared" si="34"/>
        <v xml:space="preserve"> -&gt; </v>
      </c>
    </row>
    <row r="405" spans="1:19">
      <c r="A405" s="65"/>
      <c r="B405" s="66"/>
      <c r="C405" s="65"/>
      <c r="D405" s="65"/>
      <c r="E405" s="65"/>
      <c r="F405" s="65"/>
      <c r="G405" s="65"/>
      <c r="H405" s="66"/>
      <c r="I405" s="66"/>
      <c r="J405" s="66"/>
      <c r="K405" s="65"/>
      <c r="L405" s="65"/>
      <c r="M405" s="23" t="str">
        <f t="shared" ca="1" si="30"/>
        <v/>
      </c>
      <c r="O405">
        <f>'Combined Delivery Data'!B404</f>
        <v>0</v>
      </c>
      <c r="P405">
        <f t="shared" si="31"/>
        <v>0</v>
      </c>
      <c r="Q405">
        <f t="shared" si="32"/>
        <v>497</v>
      </c>
      <c r="R405" s="38">
        <f t="shared" si="33"/>
        <v>0</v>
      </c>
      <c r="S405" t="str">
        <f t="shared" si="34"/>
        <v xml:space="preserve"> -&gt; </v>
      </c>
    </row>
    <row r="406" spans="1:19">
      <c r="A406" s="65"/>
      <c r="B406" s="66"/>
      <c r="C406" s="65"/>
      <c r="D406" s="65"/>
      <c r="E406" s="65"/>
      <c r="F406" s="65"/>
      <c r="G406" s="65"/>
      <c r="H406" s="66"/>
      <c r="I406" s="66"/>
      <c r="J406" s="66"/>
      <c r="K406" s="65"/>
      <c r="L406" s="65"/>
      <c r="M406" s="23" t="str">
        <f t="shared" ca="1" si="30"/>
        <v/>
      </c>
      <c r="O406">
        <f>'Combined Delivery Data'!B405</f>
        <v>0</v>
      </c>
      <c r="P406">
        <f t="shared" si="31"/>
        <v>0</v>
      </c>
      <c r="Q406">
        <f t="shared" si="32"/>
        <v>497</v>
      </c>
      <c r="R406" s="38">
        <f t="shared" si="33"/>
        <v>0</v>
      </c>
      <c r="S406" t="str">
        <f t="shared" si="34"/>
        <v xml:space="preserve"> -&gt; </v>
      </c>
    </row>
    <row r="407" spans="1:19">
      <c r="A407" s="65"/>
      <c r="B407" s="66"/>
      <c r="C407" s="65"/>
      <c r="D407" s="65"/>
      <c r="E407" s="65"/>
      <c r="F407" s="65"/>
      <c r="G407" s="65"/>
      <c r="H407" s="66"/>
      <c r="I407" s="66"/>
      <c r="J407" s="66"/>
      <c r="K407" s="65"/>
      <c r="L407" s="65"/>
      <c r="M407" s="23" t="str">
        <f t="shared" ca="1" si="30"/>
        <v/>
      </c>
      <c r="O407">
        <f>'Combined Delivery Data'!B406</f>
        <v>0</v>
      </c>
      <c r="P407">
        <f t="shared" si="31"/>
        <v>0</v>
      </c>
      <c r="Q407">
        <f t="shared" si="32"/>
        <v>497</v>
      </c>
      <c r="R407" s="38">
        <f t="shared" si="33"/>
        <v>0</v>
      </c>
      <c r="S407" t="str">
        <f t="shared" si="34"/>
        <v xml:space="preserve"> -&gt; </v>
      </c>
    </row>
    <row r="408" spans="1:19">
      <c r="A408" s="65"/>
      <c r="B408" s="66"/>
      <c r="C408" s="65"/>
      <c r="D408" s="65"/>
      <c r="E408" s="65"/>
      <c r="F408" s="65"/>
      <c r="G408" s="65"/>
      <c r="H408" s="66"/>
      <c r="I408" s="66"/>
      <c r="J408" s="66"/>
      <c r="K408" s="65"/>
      <c r="L408" s="65"/>
      <c r="M408" s="23" t="str">
        <f t="shared" ca="1" si="30"/>
        <v/>
      </c>
      <c r="O408">
        <f>'Combined Delivery Data'!B407</f>
        <v>0</v>
      </c>
      <c r="P408">
        <f t="shared" si="31"/>
        <v>0</v>
      </c>
      <c r="Q408">
        <f t="shared" si="32"/>
        <v>497</v>
      </c>
      <c r="R408" s="38">
        <f t="shared" si="33"/>
        <v>0</v>
      </c>
      <c r="S408" t="str">
        <f t="shared" si="34"/>
        <v xml:space="preserve"> -&gt; </v>
      </c>
    </row>
    <row r="409" spans="1:19">
      <c r="A409" s="65"/>
      <c r="B409" s="66"/>
      <c r="C409" s="65"/>
      <c r="D409" s="65"/>
      <c r="E409" s="65"/>
      <c r="F409" s="65"/>
      <c r="G409" s="65"/>
      <c r="H409" s="66"/>
      <c r="I409" s="66"/>
      <c r="J409" s="66"/>
      <c r="K409" s="65"/>
      <c r="L409" s="65"/>
      <c r="M409" s="23" t="str">
        <f t="shared" ca="1" si="30"/>
        <v/>
      </c>
      <c r="O409">
        <f>'Combined Delivery Data'!B408</f>
        <v>0</v>
      </c>
      <c r="P409">
        <f t="shared" si="31"/>
        <v>0</v>
      </c>
      <c r="Q409">
        <f t="shared" si="32"/>
        <v>497</v>
      </c>
      <c r="R409" s="38">
        <f t="shared" si="33"/>
        <v>0</v>
      </c>
      <c r="S409" t="str">
        <f t="shared" si="34"/>
        <v xml:space="preserve"> -&gt; </v>
      </c>
    </row>
    <row r="410" spans="1:19">
      <c r="A410" s="65"/>
      <c r="B410" s="66"/>
      <c r="C410" s="65"/>
      <c r="D410" s="65"/>
      <c r="E410" s="65"/>
      <c r="F410" s="65"/>
      <c r="G410" s="65"/>
      <c r="H410" s="66"/>
      <c r="I410" s="66"/>
      <c r="J410" s="66"/>
      <c r="K410" s="65"/>
      <c r="L410" s="65"/>
      <c r="M410" s="23" t="str">
        <f t="shared" ca="1" si="30"/>
        <v/>
      </c>
      <c r="O410">
        <f>'Combined Delivery Data'!B409</f>
        <v>0</v>
      </c>
      <c r="P410">
        <f t="shared" si="31"/>
        <v>0</v>
      </c>
      <c r="Q410">
        <f t="shared" si="32"/>
        <v>497</v>
      </c>
      <c r="R410" s="38">
        <f t="shared" si="33"/>
        <v>0</v>
      </c>
      <c r="S410" t="str">
        <f t="shared" si="34"/>
        <v xml:space="preserve"> -&gt; </v>
      </c>
    </row>
    <row r="411" spans="1:19">
      <c r="A411" s="65"/>
      <c r="B411" s="66"/>
      <c r="C411" s="65"/>
      <c r="D411" s="65"/>
      <c r="E411" s="65"/>
      <c r="F411" s="65"/>
      <c r="G411" s="65"/>
      <c r="H411" s="66"/>
      <c r="I411" s="66"/>
      <c r="J411" s="66"/>
      <c r="K411" s="65"/>
      <c r="L411" s="65"/>
      <c r="M411" s="23" t="str">
        <f t="shared" ca="1" si="30"/>
        <v/>
      </c>
      <c r="O411">
        <f>'Combined Delivery Data'!B410</f>
        <v>0</v>
      </c>
      <c r="P411">
        <f t="shared" si="31"/>
        <v>0</v>
      </c>
      <c r="Q411">
        <f t="shared" si="32"/>
        <v>497</v>
      </c>
      <c r="R411" s="38">
        <f t="shared" si="33"/>
        <v>0</v>
      </c>
      <c r="S411" t="str">
        <f t="shared" si="34"/>
        <v xml:space="preserve"> -&gt; </v>
      </c>
    </row>
    <row r="412" spans="1:19">
      <c r="A412" s="65"/>
      <c r="B412" s="66"/>
      <c r="C412" s="65"/>
      <c r="D412" s="65"/>
      <c r="E412" s="65"/>
      <c r="F412" s="65"/>
      <c r="G412" s="65"/>
      <c r="H412" s="66"/>
      <c r="I412" s="66"/>
      <c r="J412" s="66"/>
      <c r="K412" s="65"/>
      <c r="L412" s="65"/>
      <c r="M412" s="23" t="str">
        <f t="shared" ca="1" si="30"/>
        <v/>
      </c>
      <c r="O412">
        <f>'Combined Delivery Data'!B411</f>
        <v>0</v>
      </c>
      <c r="P412">
        <f t="shared" si="31"/>
        <v>0</v>
      </c>
      <c r="Q412">
        <f t="shared" si="32"/>
        <v>497</v>
      </c>
      <c r="R412" s="38">
        <f t="shared" si="33"/>
        <v>0</v>
      </c>
      <c r="S412" t="str">
        <f t="shared" si="34"/>
        <v xml:space="preserve"> -&gt; </v>
      </c>
    </row>
    <row r="413" spans="1:19">
      <c r="A413" s="65"/>
      <c r="B413" s="66"/>
      <c r="C413" s="65"/>
      <c r="D413" s="65"/>
      <c r="E413" s="65"/>
      <c r="F413" s="65"/>
      <c r="G413" s="65"/>
      <c r="H413" s="66"/>
      <c r="I413" s="66"/>
      <c r="J413" s="66"/>
      <c r="K413" s="65"/>
      <c r="L413" s="65"/>
      <c r="M413" s="23" t="str">
        <f t="shared" ca="1" si="30"/>
        <v/>
      </c>
      <c r="O413">
        <f>'Combined Delivery Data'!B412</f>
        <v>0</v>
      </c>
      <c r="P413">
        <f t="shared" si="31"/>
        <v>0</v>
      </c>
      <c r="Q413">
        <f t="shared" si="32"/>
        <v>497</v>
      </c>
      <c r="R413" s="38">
        <f t="shared" si="33"/>
        <v>0</v>
      </c>
      <c r="S413" t="str">
        <f t="shared" si="34"/>
        <v xml:space="preserve"> -&gt; </v>
      </c>
    </row>
    <row r="414" spans="1:19">
      <c r="A414" s="65"/>
      <c r="B414" s="66"/>
      <c r="C414" s="65"/>
      <c r="D414" s="65"/>
      <c r="E414" s="65"/>
      <c r="F414" s="65"/>
      <c r="G414" s="65"/>
      <c r="H414" s="66"/>
      <c r="I414" s="66"/>
      <c r="J414" s="66"/>
      <c r="K414" s="65"/>
      <c r="L414" s="65"/>
      <c r="M414" s="23" t="str">
        <f t="shared" ca="1" si="30"/>
        <v/>
      </c>
      <c r="O414">
        <f>'Combined Delivery Data'!B413</f>
        <v>0</v>
      </c>
      <c r="P414">
        <f t="shared" si="31"/>
        <v>0</v>
      </c>
      <c r="Q414">
        <f t="shared" si="32"/>
        <v>497</v>
      </c>
      <c r="R414" s="38">
        <f t="shared" si="33"/>
        <v>0</v>
      </c>
      <c r="S414" t="str">
        <f t="shared" si="34"/>
        <v xml:space="preserve"> -&gt; </v>
      </c>
    </row>
    <row r="415" spans="1:19">
      <c r="A415" s="65"/>
      <c r="B415" s="66"/>
      <c r="C415" s="65"/>
      <c r="D415" s="65"/>
      <c r="E415" s="65"/>
      <c r="F415" s="65"/>
      <c r="G415" s="65"/>
      <c r="H415" s="66"/>
      <c r="I415" s="66"/>
      <c r="J415" s="66"/>
      <c r="K415" s="65"/>
      <c r="L415" s="65"/>
      <c r="M415" s="23" t="str">
        <f t="shared" ca="1" si="30"/>
        <v/>
      </c>
      <c r="O415">
        <f>'Combined Delivery Data'!B414</f>
        <v>0</v>
      </c>
      <c r="P415">
        <f t="shared" si="31"/>
        <v>0</v>
      </c>
      <c r="Q415">
        <f t="shared" si="32"/>
        <v>497</v>
      </c>
      <c r="R415" s="38">
        <f t="shared" si="33"/>
        <v>0</v>
      </c>
      <c r="S415" t="str">
        <f t="shared" si="34"/>
        <v xml:space="preserve"> -&gt; </v>
      </c>
    </row>
    <row r="416" spans="1:19">
      <c r="A416" s="65"/>
      <c r="B416" s="66"/>
      <c r="C416" s="65"/>
      <c r="D416" s="65"/>
      <c r="E416" s="65"/>
      <c r="F416" s="65"/>
      <c r="G416" s="65"/>
      <c r="H416" s="66"/>
      <c r="I416" s="66"/>
      <c r="J416" s="66"/>
      <c r="K416" s="65"/>
      <c r="L416" s="65"/>
      <c r="M416" s="23" t="str">
        <f t="shared" ca="1" si="30"/>
        <v/>
      </c>
      <c r="O416">
        <f>'Combined Delivery Data'!B415</f>
        <v>0</v>
      </c>
      <c r="P416">
        <f t="shared" si="31"/>
        <v>0</v>
      </c>
      <c r="Q416">
        <f t="shared" si="32"/>
        <v>497</v>
      </c>
      <c r="R416" s="38">
        <f t="shared" si="33"/>
        <v>0</v>
      </c>
      <c r="S416" t="str">
        <f t="shared" si="34"/>
        <v xml:space="preserve"> -&gt; </v>
      </c>
    </row>
    <row r="417" spans="1:19">
      <c r="A417" s="65"/>
      <c r="B417" s="66"/>
      <c r="C417" s="65"/>
      <c r="D417" s="65"/>
      <c r="E417" s="65"/>
      <c r="F417" s="65"/>
      <c r="G417" s="65"/>
      <c r="H417" s="66"/>
      <c r="I417" s="66"/>
      <c r="J417" s="66"/>
      <c r="K417" s="65"/>
      <c r="L417" s="65"/>
      <c r="M417" s="23" t="str">
        <f t="shared" ca="1" si="30"/>
        <v/>
      </c>
      <c r="O417">
        <f>'Combined Delivery Data'!B416</f>
        <v>0</v>
      </c>
      <c r="P417">
        <f t="shared" si="31"/>
        <v>0</v>
      </c>
      <c r="Q417">
        <f t="shared" si="32"/>
        <v>497</v>
      </c>
      <c r="R417" s="38">
        <f t="shared" si="33"/>
        <v>0</v>
      </c>
      <c r="S417" t="str">
        <f t="shared" si="34"/>
        <v xml:space="preserve"> -&gt; </v>
      </c>
    </row>
    <row r="418" spans="1:19">
      <c r="A418" s="65"/>
      <c r="B418" s="66"/>
      <c r="C418" s="65"/>
      <c r="D418" s="65"/>
      <c r="E418" s="65"/>
      <c r="F418" s="65"/>
      <c r="G418" s="65"/>
      <c r="H418" s="66"/>
      <c r="I418" s="66"/>
      <c r="J418" s="66"/>
      <c r="K418" s="65"/>
      <c r="L418" s="65"/>
      <c r="M418" s="23" t="str">
        <f t="shared" ca="1" si="30"/>
        <v/>
      </c>
      <c r="O418">
        <f>'Combined Delivery Data'!B417</f>
        <v>0</v>
      </c>
      <c r="P418">
        <f t="shared" si="31"/>
        <v>0</v>
      </c>
      <c r="Q418">
        <f t="shared" si="32"/>
        <v>497</v>
      </c>
      <c r="R418" s="38">
        <f t="shared" si="33"/>
        <v>0</v>
      </c>
      <c r="S418" t="str">
        <f t="shared" si="34"/>
        <v xml:space="preserve"> -&gt; </v>
      </c>
    </row>
    <row r="419" spans="1:19">
      <c r="A419" s="65"/>
      <c r="B419" s="66"/>
      <c r="C419" s="65"/>
      <c r="D419" s="65"/>
      <c r="E419" s="65"/>
      <c r="F419" s="65"/>
      <c r="G419" s="65"/>
      <c r="H419" s="66"/>
      <c r="I419" s="66"/>
      <c r="J419" s="66"/>
      <c r="K419" s="65"/>
      <c r="L419" s="65"/>
      <c r="M419" s="23" t="str">
        <f t="shared" ca="1" si="30"/>
        <v/>
      </c>
      <c r="O419">
        <f>'Combined Delivery Data'!B418</f>
        <v>0</v>
      </c>
      <c r="P419">
        <f t="shared" si="31"/>
        <v>0</v>
      </c>
      <c r="Q419">
        <f t="shared" si="32"/>
        <v>497</v>
      </c>
      <c r="R419" s="38">
        <f t="shared" si="33"/>
        <v>0</v>
      </c>
      <c r="S419" t="str">
        <f t="shared" si="34"/>
        <v xml:space="preserve"> -&gt; </v>
      </c>
    </row>
    <row r="420" spans="1:19">
      <c r="A420" s="65"/>
      <c r="B420" s="66"/>
      <c r="C420" s="65"/>
      <c r="D420" s="65"/>
      <c r="E420" s="65"/>
      <c r="F420" s="65"/>
      <c r="G420" s="65"/>
      <c r="H420" s="66"/>
      <c r="I420" s="66"/>
      <c r="J420" s="66"/>
      <c r="K420" s="65"/>
      <c r="L420" s="65"/>
      <c r="M420" s="23" t="str">
        <f t="shared" ca="1" si="30"/>
        <v/>
      </c>
      <c r="O420">
        <f>'Combined Delivery Data'!B419</f>
        <v>0</v>
      </c>
      <c r="P420">
        <f t="shared" si="31"/>
        <v>0</v>
      </c>
      <c r="Q420">
        <f t="shared" si="32"/>
        <v>497</v>
      </c>
      <c r="R420" s="38">
        <f t="shared" si="33"/>
        <v>0</v>
      </c>
      <c r="S420" t="str">
        <f t="shared" si="34"/>
        <v xml:space="preserve"> -&gt; </v>
      </c>
    </row>
    <row r="421" spans="1:19">
      <c r="A421" s="65"/>
      <c r="B421" s="66"/>
      <c r="C421" s="65"/>
      <c r="D421" s="65"/>
      <c r="E421" s="65"/>
      <c r="F421" s="65"/>
      <c r="G421" s="65"/>
      <c r="H421" s="66"/>
      <c r="I421" s="66"/>
      <c r="J421" s="66"/>
      <c r="K421" s="65"/>
      <c r="L421" s="65"/>
      <c r="M421" s="23" t="str">
        <f t="shared" ca="1" si="30"/>
        <v/>
      </c>
      <c r="O421">
        <f>'Combined Delivery Data'!B420</f>
        <v>0</v>
      </c>
      <c r="P421">
        <f t="shared" si="31"/>
        <v>0</v>
      </c>
      <c r="Q421">
        <f t="shared" si="32"/>
        <v>497</v>
      </c>
      <c r="R421" s="38">
        <f t="shared" si="33"/>
        <v>0</v>
      </c>
      <c r="S421" t="str">
        <f t="shared" si="34"/>
        <v xml:space="preserve"> -&gt; </v>
      </c>
    </row>
    <row r="422" spans="1:19">
      <c r="A422" s="65"/>
      <c r="B422" s="66"/>
      <c r="C422" s="65"/>
      <c r="D422" s="65"/>
      <c r="E422" s="65"/>
      <c r="F422" s="65"/>
      <c r="G422" s="65"/>
      <c r="H422" s="66"/>
      <c r="I422" s="66"/>
      <c r="J422" s="66"/>
      <c r="K422" s="65"/>
      <c r="L422" s="65"/>
      <c r="M422" s="23" t="str">
        <f t="shared" ca="1" si="30"/>
        <v/>
      </c>
      <c r="O422">
        <f>'Combined Delivery Data'!B421</f>
        <v>0</v>
      </c>
      <c r="P422">
        <f t="shared" si="31"/>
        <v>0</v>
      </c>
      <c r="Q422">
        <f t="shared" si="32"/>
        <v>497</v>
      </c>
      <c r="R422" s="38">
        <f t="shared" si="33"/>
        <v>0</v>
      </c>
      <c r="S422" t="str">
        <f t="shared" si="34"/>
        <v xml:space="preserve"> -&gt; </v>
      </c>
    </row>
    <row r="423" spans="1:19">
      <c r="A423" s="65"/>
      <c r="B423" s="66"/>
      <c r="C423" s="65"/>
      <c r="D423" s="65"/>
      <c r="E423" s="65"/>
      <c r="F423" s="65"/>
      <c r="G423" s="65"/>
      <c r="H423" s="66"/>
      <c r="I423" s="66"/>
      <c r="J423" s="66"/>
      <c r="K423" s="65"/>
      <c r="L423" s="65"/>
      <c r="M423" s="23" t="str">
        <f t="shared" ca="1" si="30"/>
        <v/>
      </c>
      <c r="O423">
        <f>'Combined Delivery Data'!B422</f>
        <v>0</v>
      </c>
      <c r="P423">
        <f t="shared" si="31"/>
        <v>0</v>
      </c>
      <c r="Q423">
        <f t="shared" si="32"/>
        <v>497</v>
      </c>
      <c r="R423" s="38">
        <f t="shared" si="33"/>
        <v>0</v>
      </c>
      <c r="S423" t="str">
        <f t="shared" si="34"/>
        <v xml:space="preserve"> -&gt; </v>
      </c>
    </row>
    <row r="424" spans="1:19">
      <c r="A424" s="65"/>
      <c r="B424" s="66"/>
      <c r="C424" s="65"/>
      <c r="D424" s="65"/>
      <c r="E424" s="65"/>
      <c r="F424" s="65"/>
      <c r="G424" s="65"/>
      <c r="H424" s="66"/>
      <c r="I424" s="66"/>
      <c r="J424" s="66"/>
      <c r="K424" s="65"/>
      <c r="L424" s="65"/>
      <c r="M424" s="23" t="str">
        <f t="shared" ca="1" si="30"/>
        <v/>
      </c>
      <c r="O424">
        <f>'Combined Delivery Data'!B423</f>
        <v>0</v>
      </c>
      <c r="P424">
        <f t="shared" si="31"/>
        <v>0</v>
      </c>
      <c r="Q424">
        <f t="shared" si="32"/>
        <v>497</v>
      </c>
      <c r="R424" s="38">
        <f t="shared" si="33"/>
        <v>0</v>
      </c>
      <c r="S424" t="str">
        <f t="shared" si="34"/>
        <v xml:space="preserve"> -&gt; </v>
      </c>
    </row>
    <row r="425" spans="1:19">
      <c r="A425" s="65"/>
      <c r="B425" s="66"/>
      <c r="C425" s="65"/>
      <c r="D425" s="65"/>
      <c r="E425" s="65"/>
      <c r="F425" s="65"/>
      <c r="G425" s="65"/>
      <c r="H425" s="66"/>
      <c r="I425" s="66"/>
      <c r="J425" s="66"/>
      <c r="K425" s="65"/>
      <c r="L425" s="65"/>
      <c r="M425" s="23" t="str">
        <f t="shared" ca="1" si="30"/>
        <v/>
      </c>
      <c r="O425">
        <f>'Combined Delivery Data'!B424</f>
        <v>0</v>
      </c>
      <c r="P425">
        <f t="shared" si="31"/>
        <v>0</v>
      </c>
      <c r="Q425">
        <f t="shared" si="32"/>
        <v>497</v>
      </c>
      <c r="R425" s="38">
        <f t="shared" si="33"/>
        <v>0</v>
      </c>
      <c r="S425" t="str">
        <f t="shared" si="34"/>
        <v xml:space="preserve"> -&gt; </v>
      </c>
    </row>
    <row r="426" spans="1:19">
      <c r="A426" s="65"/>
      <c r="B426" s="66"/>
      <c r="C426" s="65"/>
      <c r="D426" s="65"/>
      <c r="E426" s="65"/>
      <c r="F426" s="65"/>
      <c r="G426" s="65"/>
      <c r="H426" s="66"/>
      <c r="I426" s="66"/>
      <c r="J426" s="66"/>
      <c r="K426" s="65"/>
      <c r="L426" s="65"/>
      <c r="M426" s="23" t="str">
        <f t="shared" ca="1" si="30"/>
        <v/>
      </c>
      <c r="O426">
        <f>'Combined Delivery Data'!B425</f>
        <v>0</v>
      </c>
      <c r="P426">
        <f t="shared" si="31"/>
        <v>0</v>
      </c>
      <c r="Q426">
        <f t="shared" si="32"/>
        <v>497</v>
      </c>
      <c r="R426" s="38">
        <f t="shared" si="33"/>
        <v>0</v>
      </c>
      <c r="S426" t="str">
        <f t="shared" si="34"/>
        <v xml:space="preserve"> -&gt; </v>
      </c>
    </row>
    <row r="427" spans="1:19">
      <c r="A427" s="65"/>
      <c r="B427" s="66"/>
      <c r="C427" s="65"/>
      <c r="D427" s="65"/>
      <c r="E427" s="65"/>
      <c r="F427" s="65"/>
      <c r="G427" s="65"/>
      <c r="H427" s="66"/>
      <c r="I427" s="66"/>
      <c r="J427" s="66"/>
      <c r="K427" s="65"/>
      <c r="L427" s="65"/>
      <c r="M427" s="23" t="str">
        <f t="shared" ca="1" si="30"/>
        <v/>
      </c>
      <c r="O427">
        <f>'Combined Delivery Data'!B426</f>
        <v>0</v>
      </c>
      <c r="P427">
        <f t="shared" si="31"/>
        <v>0</v>
      </c>
      <c r="Q427">
        <f t="shared" si="32"/>
        <v>497</v>
      </c>
      <c r="R427" s="38">
        <f t="shared" si="33"/>
        <v>0</v>
      </c>
      <c r="S427" t="str">
        <f t="shared" si="34"/>
        <v xml:space="preserve"> -&gt; </v>
      </c>
    </row>
    <row r="428" spans="1:19">
      <c r="A428" s="65"/>
      <c r="B428" s="66"/>
      <c r="C428" s="65"/>
      <c r="D428" s="65"/>
      <c r="E428" s="65"/>
      <c r="F428" s="65"/>
      <c r="G428" s="65"/>
      <c r="H428" s="66"/>
      <c r="I428" s="66"/>
      <c r="J428" s="66"/>
      <c r="K428" s="65"/>
      <c r="L428" s="65"/>
      <c r="M428" s="23" t="str">
        <f t="shared" ca="1" si="30"/>
        <v/>
      </c>
      <c r="O428">
        <f>'Combined Delivery Data'!B427</f>
        <v>0</v>
      </c>
      <c r="P428">
        <f t="shared" si="31"/>
        <v>0</v>
      </c>
      <c r="Q428">
        <f t="shared" si="32"/>
        <v>497</v>
      </c>
      <c r="R428" s="38">
        <f t="shared" si="33"/>
        <v>0</v>
      </c>
      <c r="S428" t="str">
        <f t="shared" si="34"/>
        <v xml:space="preserve"> -&gt; </v>
      </c>
    </row>
    <row r="429" spans="1:19">
      <c r="A429" s="65"/>
      <c r="B429" s="66"/>
      <c r="C429" s="65"/>
      <c r="D429" s="65"/>
      <c r="E429" s="65"/>
      <c r="F429" s="65"/>
      <c r="G429" s="65"/>
      <c r="H429" s="66"/>
      <c r="I429" s="66"/>
      <c r="J429" s="66"/>
      <c r="K429" s="65"/>
      <c r="L429" s="65"/>
      <c r="M429" s="23" t="str">
        <f t="shared" ca="1" si="30"/>
        <v/>
      </c>
      <c r="O429">
        <f>'Combined Delivery Data'!B428</f>
        <v>0</v>
      </c>
      <c r="P429">
        <f t="shared" si="31"/>
        <v>0</v>
      </c>
      <c r="Q429">
        <f t="shared" si="32"/>
        <v>497</v>
      </c>
      <c r="R429" s="38">
        <f t="shared" si="33"/>
        <v>0</v>
      </c>
      <c r="S429" t="str">
        <f t="shared" si="34"/>
        <v xml:space="preserve"> -&gt; </v>
      </c>
    </row>
    <row r="430" spans="1:19">
      <c r="A430" s="65"/>
      <c r="B430" s="66"/>
      <c r="C430" s="65"/>
      <c r="D430" s="65"/>
      <c r="E430" s="65"/>
      <c r="F430" s="65"/>
      <c r="G430" s="65"/>
      <c r="H430" s="66"/>
      <c r="I430" s="66"/>
      <c r="J430" s="66"/>
      <c r="K430" s="65"/>
      <c r="L430" s="65"/>
      <c r="M430" s="23" t="str">
        <f t="shared" ca="1" si="30"/>
        <v/>
      </c>
      <c r="O430">
        <f>'Combined Delivery Data'!B429</f>
        <v>0</v>
      </c>
      <c r="P430">
        <f t="shared" si="31"/>
        <v>0</v>
      </c>
      <c r="Q430">
        <f t="shared" si="32"/>
        <v>497</v>
      </c>
      <c r="R430" s="38">
        <f t="shared" si="33"/>
        <v>0</v>
      </c>
      <c r="S430" t="str">
        <f t="shared" si="34"/>
        <v xml:space="preserve"> -&gt; </v>
      </c>
    </row>
    <row r="431" spans="1:19">
      <c r="A431" s="65"/>
      <c r="B431" s="66"/>
      <c r="C431" s="65"/>
      <c r="D431" s="65"/>
      <c r="E431" s="65"/>
      <c r="F431" s="65"/>
      <c r="G431" s="65"/>
      <c r="H431" s="66"/>
      <c r="I431" s="66"/>
      <c r="J431" s="66"/>
      <c r="K431" s="65"/>
      <c r="L431" s="65"/>
      <c r="M431" s="23" t="str">
        <f t="shared" ca="1" si="30"/>
        <v/>
      </c>
      <c r="O431">
        <f>'Combined Delivery Data'!B430</f>
        <v>0</v>
      </c>
      <c r="P431">
        <f t="shared" si="31"/>
        <v>0</v>
      </c>
      <c r="Q431">
        <f t="shared" si="32"/>
        <v>497</v>
      </c>
      <c r="R431" s="38">
        <f t="shared" si="33"/>
        <v>0</v>
      </c>
      <c r="S431" t="str">
        <f t="shared" si="34"/>
        <v xml:space="preserve"> -&gt; </v>
      </c>
    </row>
    <row r="432" spans="1:19">
      <c r="A432" s="65"/>
      <c r="B432" s="66"/>
      <c r="C432" s="65"/>
      <c r="D432" s="65"/>
      <c r="E432" s="65"/>
      <c r="F432" s="65"/>
      <c r="G432" s="65"/>
      <c r="H432" s="66"/>
      <c r="I432" s="66"/>
      <c r="J432" s="66"/>
      <c r="K432" s="65"/>
      <c r="L432" s="65"/>
      <c r="M432" s="23" t="str">
        <f t="shared" ca="1" si="30"/>
        <v/>
      </c>
      <c r="O432">
        <f>'Combined Delivery Data'!B431</f>
        <v>0</v>
      </c>
      <c r="P432">
        <f t="shared" si="31"/>
        <v>0</v>
      </c>
      <c r="Q432">
        <f t="shared" si="32"/>
        <v>497</v>
      </c>
      <c r="R432" s="38">
        <f t="shared" si="33"/>
        <v>0</v>
      </c>
      <c r="S432" t="str">
        <f t="shared" si="34"/>
        <v xml:space="preserve"> -&gt; </v>
      </c>
    </row>
    <row r="433" spans="1:19">
      <c r="A433" s="65"/>
      <c r="B433" s="66"/>
      <c r="C433" s="65"/>
      <c r="D433" s="65"/>
      <c r="E433" s="65"/>
      <c r="F433" s="65"/>
      <c r="G433" s="65"/>
      <c r="H433" s="66"/>
      <c r="I433" s="66"/>
      <c r="J433" s="66"/>
      <c r="K433" s="65"/>
      <c r="L433" s="65"/>
      <c r="M433" s="23" t="str">
        <f t="shared" ca="1" si="30"/>
        <v/>
      </c>
      <c r="O433">
        <f>'Combined Delivery Data'!B432</f>
        <v>0</v>
      </c>
      <c r="P433">
        <f t="shared" si="31"/>
        <v>0</v>
      </c>
      <c r="Q433">
        <f t="shared" si="32"/>
        <v>497</v>
      </c>
      <c r="R433" s="38">
        <f t="shared" si="33"/>
        <v>0</v>
      </c>
      <c r="S433" t="str">
        <f t="shared" si="34"/>
        <v xml:space="preserve"> -&gt; </v>
      </c>
    </row>
    <row r="434" spans="1:19">
      <c r="A434" s="65"/>
      <c r="B434" s="66"/>
      <c r="C434" s="65"/>
      <c r="D434" s="65"/>
      <c r="E434" s="65"/>
      <c r="F434" s="65"/>
      <c r="G434" s="65"/>
      <c r="H434" s="66"/>
      <c r="I434" s="66"/>
      <c r="J434" s="66"/>
      <c r="K434" s="65"/>
      <c r="L434" s="65"/>
      <c r="M434" s="23" t="str">
        <f t="shared" ca="1" si="30"/>
        <v/>
      </c>
      <c r="O434">
        <f>'Combined Delivery Data'!B433</f>
        <v>0</v>
      </c>
      <c r="P434">
        <f t="shared" si="31"/>
        <v>0</v>
      </c>
      <c r="Q434">
        <f t="shared" si="32"/>
        <v>497</v>
      </c>
      <c r="R434" s="38">
        <f t="shared" si="33"/>
        <v>0</v>
      </c>
      <c r="S434" t="str">
        <f t="shared" si="34"/>
        <v xml:space="preserve"> -&gt; </v>
      </c>
    </row>
    <row r="435" spans="1:19">
      <c r="A435" s="65"/>
      <c r="B435" s="66"/>
      <c r="C435" s="65"/>
      <c r="D435" s="65"/>
      <c r="E435" s="65"/>
      <c r="F435" s="65"/>
      <c r="G435" s="65"/>
      <c r="H435" s="66"/>
      <c r="I435" s="66"/>
      <c r="J435" s="66"/>
      <c r="K435" s="65"/>
      <c r="L435" s="65"/>
      <c r="M435" s="23" t="str">
        <f t="shared" ca="1" si="30"/>
        <v/>
      </c>
      <c r="O435">
        <f>'Combined Delivery Data'!B434</f>
        <v>0</v>
      </c>
      <c r="P435">
        <f t="shared" si="31"/>
        <v>0</v>
      </c>
      <c r="Q435">
        <f t="shared" si="32"/>
        <v>497</v>
      </c>
      <c r="R435" s="38">
        <f t="shared" si="33"/>
        <v>0</v>
      </c>
      <c r="S435" t="str">
        <f t="shared" si="34"/>
        <v xml:space="preserve"> -&gt; </v>
      </c>
    </row>
    <row r="436" spans="1:19">
      <c r="A436" s="65"/>
      <c r="B436" s="66"/>
      <c r="C436" s="65"/>
      <c r="D436" s="65"/>
      <c r="E436" s="65"/>
      <c r="F436" s="65"/>
      <c r="G436" s="65"/>
      <c r="H436" s="66"/>
      <c r="I436" s="66"/>
      <c r="J436" s="66"/>
      <c r="K436" s="65"/>
      <c r="L436" s="65"/>
      <c r="M436" s="23" t="str">
        <f t="shared" ca="1" si="30"/>
        <v/>
      </c>
      <c r="O436">
        <f>'Combined Delivery Data'!B435</f>
        <v>0</v>
      </c>
      <c r="P436">
        <f t="shared" si="31"/>
        <v>0</v>
      </c>
      <c r="Q436">
        <f t="shared" si="32"/>
        <v>497</v>
      </c>
      <c r="R436" s="38">
        <f t="shared" si="33"/>
        <v>0</v>
      </c>
      <c r="S436" t="str">
        <f t="shared" si="34"/>
        <v xml:space="preserve"> -&gt; </v>
      </c>
    </row>
    <row r="437" spans="1:19">
      <c r="A437" s="65"/>
      <c r="B437" s="66"/>
      <c r="C437" s="65"/>
      <c r="D437" s="65"/>
      <c r="E437" s="65"/>
      <c r="F437" s="65"/>
      <c r="G437" s="65"/>
      <c r="H437" s="66"/>
      <c r="I437" s="66"/>
      <c r="J437" s="66"/>
      <c r="K437" s="65"/>
      <c r="L437" s="65"/>
      <c r="M437" s="23" t="str">
        <f t="shared" ca="1" si="30"/>
        <v/>
      </c>
      <c r="O437">
        <f>'Combined Delivery Data'!B436</f>
        <v>0</v>
      </c>
      <c r="P437">
        <f t="shared" si="31"/>
        <v>0</v>
      </c>
      <c r="Q437">
        <f t="shared" si="32"/>
        <v>497</v>
      </c>
      <c r="R437" s="38">
        <f t="shared" si="33"/>
        <v>0</v>
      </c>
      <c r="S437" t="str">
        <f t="shared" si="34"/>
        <v xml:space="preserve"> -&gt; </v>
      </c>
    </row>
    <row r="438" spans="1:19">
      <c r="A438" s="65"/>
      <c r="B438" s="66"/>
      <c r="C438" s="65"/>
      <c r="D438" s="65"/>
      <c r="E438" s="65"/>
      <c r="F438" s="65"/>
      <c r="G438" s="65"/>
      <c r="H438" s="66"/>
      <c r="I438" s="66"/>
      <c r="J438" s="66"/>
      <c r="K438" s="65"/>
      <c r="L438" s="65"/>
      <c r="M438" s="23" t="str">
        <f t="shared" ca="1" si="30"/>
        <v/>
      </c>
      <c r="O438">
        <f>'Combined Delivery Data'!B437</f>
        <v>0</v>
      </c>
      <c r="P438">
        <f t="shared" si="31"/>
        <v>0</v>
      </c>
      <c r="Q438">
        <f t="shared" si="32"/>
        <v>497</v>
      </c>
      <c r="R438" s="38">
        <f t="shared" si="33"/>
        <v>0</v>
      </c>
      <c r="S438" t="str">
        <f t="shared" si="34"/>
        <v xml:space="preserve"> -&gt; </v>
      </c>
    </row>
    <row r="439" spans="1:19">
      <c r="A439" s="65"/>
      <c r="B439" s="66"/>
      <c r="C439" s="65"/>
      <c r="D439" s="65"/>
      <c r="E439" s="65"/>
      <c r="F439" s="65"/>
      <c r="G439" s="65"/>
      <c r="H439" s="66"/>
      <c r="I439" s="66"/>
      <c r="J439" s="66"/>
      <c r="K439" s="65"/>
      <c r="L439" s="65"/>
      <c r="M439" s="23" t="str">
        <f t="shared" ca="1" si="30"/>
        <v/>
      </c>
      <c r="O439">
        <f>'Combined Delivery Data'!B438</f>
        <v>0</v>
      </c>
      <c r="P439">
        <f t="shared" si="31"/>
        <v>0</v>
      </c>
      <c r="Q439">
        <f t="shared" si="32"/>
        <v>497</v>
      </c>
      <c r="R439" s="38">
        <f t="shared" si="33"/>
        <v>0</v>
      </c>
      <c r="S439" t="str">
        <f t="shared" si="34"/>
        <v xml:space="preserve"> -&gt; </v>
      </c>
    </row>
    <row r="440" spans="1:19">
      <c r="A440" s="65"/>
      <c r="B440" s="66"/>
      <c r="C440" s="65"/>
      <c r="D440" s="65"/>
      <c r="E440" s="65"/>
      <c r="F440" s="65"/>
      <c r="G440" s="65"/>
      <c r="H440" s="66"/>
      <c r="I440" s="66"/>
      <c r="J440" s="66"/>
      <c r="K440" s="65"/>
      <c r="L440" s="65"/>
      <c r="M440" s="23" t="str">
        <f t="shared" ca="1" si="30"/>
        <v/>
      </c>
      <c r="O440">
        <f>'Combined Delivery Data'!B439</f>
        <v>0</v>
      </c>
      <c r="P440">
        <f t="shared" si="31"/>
        <v>0</v>
      </c>
      <c r="Q440">
        <f t="shared" si="32"/>
        <v>497</v>
      </c>
      <c r="R440" s="38">
        <f t="shared" si="33"/>
        <v>0</v>
      </c>
      <c r="S440" t="str">
        <f t="shared" si="34"/>
        <v xml:space="preserve"> -&gt; </v>
      </c>
    </row>
    <row r="441" spans="1:19">
      <c r="A441" s="65"/>
      <c r="B441" s="66"/>
      <c r="C441" s="65"/>
      <c r="D441" s="65"/>
      <c r="E441" s="65"/>
      <c r="F441" s="65"/>
      <c r="G441" s="65"/>
      <c r="H441" s="66"/>
      <c r="I441" s="66"/>
      <c r="J441" s="66"/>
      <c r="K441" s="65"/>
      <c r="L441" s="65"/>
      <c r="M441" s="23" t="str">
        <f t="shared" ca="1" si="30"/>
        <v/>
      </c>
      <c r="O441">
        <f>'Combined Delivery Data'!B440</f>
        <v>0</v>
      </c>
      <c r="P441">
        <f t="shared" si="31"/>
        <v>0</v>
      </c>
      <c r="Q441">
        <f t="shared" si="32"/>
        <v>497</v>
      </c>
      <c r="R441" s="38">
        <f t="shared" si="33"/>
        <v>0</v>
      </c>
      <c r="S441" t="str">
        <f t="shared" si="34"/>
        <v xml:space="preserve"> -&gt; </v>
      </c>
    </row>
    <row r="442" spans="1:19">
      <c r="A442" s="65"/>
      <c r="B442" s="66"/>
      <c r="C442" s="65"/>
      <c r="D442" s="65"/>
      <c r="E442" s="65"/>
      <c r="F442" s="65"/>
      <c r="G442" s="65"/>
      <c r="H442" s="66"/>
      <c r="I442" s="66"/>
      <c r="J442" s="66"/>
      <c r="K442" s="65"/>
      <c r="L442" s="65"/>
      <c r="M442" s="23" t="str">
        <f t="shared" ca="1" si="30"/>
        <v/>
      </c>
      <c r="O442">
        <f>'Combined Delivery Data'!B441</f>
        <v>0</v>
      </c>
      <c r="P442">
        <f t="shared" si="31"/>
        <v>0</v>
      </c>
      <c r="Q442">
        <f t="shared" si="32"/>
        <v>497</v>
      </c>
      <c r="R442" s="38">
        <f t="shared" si="33"/>
        <v>0</v>
      </c>
      <c r="S442" t="str">
        <f t="shared" si="34"/>
        <v xml:space="preserve"> -&gt; </v>
      </c>
    </row>
    <row r="443" spans="1:19">
      <c r="A443" s="65"/>
      <c r="B443" s="66"/>
      <c r="C443" s="65"/>
      <c r="D443" s="65"/>
      <c r="E443" s="65"/>
      <c r="F443" s="65"/>
      <c r="G443" s="65"/>
      <c r="H443" s="66"/>
      <c r="I443" s="66"/>
      <c r="J443" s="66"/>
      <c r="K443" s="65"/>
      <c r="L443" s="65"/>
      <c r="M443" s="23" t="str">
        <f t="shared" ca="1" si="30"/>
        <v/>
      </c>
      <c r="O443">
        <f>'Combined Delivery Data'!B442</f>
        <v>0</v>
      </c>
      <c r="P443">
        <f t="shared" si="31"/>
        <v>0</v>
      </c>
      <c r="Q443">
        <f t="shared" si="32"/>
        <v>497</v>
      </c>
      <c r="R443" s="38">
        <f t="shared" si="33"/>
        <v>0</v>
      </c>
      <c r="S443" t="str">
        <f t="shared" si="34"/>
        <v xml:space="preserve"> -&gt; </v>
      </c>
    </row>
    <row r="444" spans="1:19">
      <c r="A444" s="65"/>
      <c r="B444" s="66"/>
      <c r="C444" s="65"/>
      <c r="D444" s="65"/>
      <c r="E444" s="65"/>
      <c r="F444" s="65"/>
      <c r="G444" s="65"/>
      <c r="H444" s="66"/>
      <c r="I444" s="66"/>
      <c r="J444" s="66"/>
      <c r="K444" s="65"/>
      <c r="L444" s="65"/>
      <c r="M444" s="23" t="str">
        <f t="shared" ca="1" si="30"/>
        <v/>
      </c>
      <c r="O444">
        <f>'Combined Delivery Data'!B443</f>
        <v>0</v>
      </c>
      <c r="P444">
        <f t="shared" si="31"/>
        <v>0</v>
      </c>
      <c r="Q444">
        <f t="shared" si="32"/>
        <v>497</v>
      </c>
      <c r="R444" s="38">
        <f t="shared" si="33"/>
        <v>0</v>
      </c>
      <c r="S444" t="str">
        <f t="shared" si="34"/>
        <v xml:space="preserve"> -&gt; </v>
      </c>
    </row>
    <row r="445" spans="1:19">
      <c r="A445" s="65"/>
      <c r="B445" s="66"/>
      <c r="C445" s="65"/>
      <c r="D445" s="65"/>
      <c r="E445" s="65"/>
      <c r="F445" s="65"/>
      <c r="G445" s="65"/>
      <c r="H445" s="66"/>
      <c r="I445" s="66"/>
      <c r="J445" s="66"/>
      <c r="K445" s="65"/>
      <c r="L445" s="65"/>
      <c r="M445" s="23" t="str">
        <f t="shared" ca="1" si="30"/>
        <v/>
      </c>
      <c r="O445">
        <f>'Combined Delivery Data'!B444</f>
        <v>0</v>
      </c>
      <c r="P445">
        <f t="shared" si="31"/>
        <v>0</v>
      </c>
      <c r="Q445">
        <f t="shared" si="32"/>
        <v>497</v>
      </c>
      <c r="R445" s="38">
        <f t="shared" si="33"/>
        <v>0</v>
      </c>
      <c r="S445" t="str">
        <f t="shared" si="34"/>
        <v xml:space="preserve"> -&gt; </v>
      </c>
    </row>
    <row r="446" spans="1:19">
      <c r="A446" s="65"/>
      <c r="B446" s="66"/>
      <c r="C446" s="65"/>
      <c r="D446" s="65"/>
      <c r="E446" s="65"/>
      <c r="F446" s="65"/>
      <c r="G446" s="65"/>
      <c r="H446" s="66"/>
      <c r="I446" s="66"/>
      <c r="J446" s="66"/>
      <c r="K446" s="65"/>
      <c r="L446" s="65"/>
      <c r="M446" s="23" t="str">
        <f t="shared" ca="1" si="30"/>
        <v/>
      </c>
      <c r="O446">
        <f>'Combined Delivery Data'!B445</f>
        <v>0</v>
      </c>
      <c r="P446">
        <f t="shared" si="31"/>
        <v>0</v>
      </c>
      <c r="Q446">
        <f t="shared" si="32"/>
        <v>497</v>
      </c>
      <c r="R446" s="38">
        <f t="shared" si="33"/>
        <v>0</v>
      </c>
      <c r="S446" t="str">
        <f t="shared" si="34"/>
        <v xml:space="preserve"> -&gt; </v>
      </c>
    </row>
    <row r="447" spans="1:19">
      <c r="A447" s="65"/>
      <c r="B447" s="66"/>
      <c r="C447" s="65"/>
      <c r="D447" s="65"/>
      <c r="E447" s="65"/>
      <c r="F447" s="65"/>
      <c r="G447" s="65"/>
      <c r="H447" s="66"/>
      <c r="I447" s="66"/>
      <c r="J447" s="66"/>
      <c r="K447" s="65"/>
      <c r="L447" s="65"/>
      <c r="M447" s="23" t="str">
        <f t="shared" ca="1" si="30"/>
        <v/>
      </c>
      <c r="O447">
        <f>'Combined Delivery Data'!B446</f>
        <v>0</v>
      </c>
      <c r="P447">
        <f t="shared" si="31"/>
        <v>0</v>
      </c>
      <c r="Q447">
        <f t="shared" si="32"/>
        <v>497</v>
      </c>
      <c r="R447" s="38">
        <f t="shared" si="33"/>
        <v>0</v>
      </c>
      <c r="S447" t="str">
        <f t="shared" si="34"/>
        <v xml:space="preserve"> -&gt; </v>
      </c>
    </row>
    <row r="448" spans="1:19">
      <c r="A448" s="65"/>
      <c r="B448" s="66"/>
      <c r="C448" s="65"/>
      <c r="D448" s="65"/>
      <c r="E448" s="65"/>
      <c r="F448" s="65"/>
      <c r="G448" s="65"/>
      <c r="H448" s="66"/>
      <c r="I448" s="66"/>
      <c r="J448" s="66"/>
      <c r="K448" s="65"/>
      <c r="L448" s="65"/>
      <c r="M448" s="23" t="str">
        <f t="shared" ca="1" si="30"/>
        <v/>
      </c>
      <c r="O448">
        <f>'Combined Delivery Data'!B447</f>
        <v>0</v>
      </c>
      <c r="P448">
        <f t="shared" si="31"/>
        <v>0</v>
      </c>
      <c r="Q448">
        <f t="shared" si="32"/>
        <v>497</v>
      </c>
      <c r="R448" s="38">
        <f t="shared" si="33"/>
        <v>0</v>
      </c>
      <c r="S448" t="str">
        <f t="shared" si="34"/>
        <v xml:space="preserve"> -&gt; </v>
      </c>
    </row>
    <row r="449" spans="1:19">
      <c r="A449" s="65"/>
      <c r="B449" s="66"/>
      <c r="C449" s="65"/>
      <c r="D449" s="65"/>
      <c r="E449" s="65"/>
      <c r="F449" s="65"/>
      <c r="G449" s="65"/>
      <c r="H449" s="66"/>
      <c r="I449" s="66"/>
      <c r="J449" s="66"/>
      <c r="K449" s="65"/>
      <c r="L449" s="65"/>
      <c r="M449" s="23" t="str">
        <f t="shared" ca="1" si="30"/>
        <v/>
      </c>
      <c r="O449">
        <f>'Combined Delivery Data'!B448</f>
        <v>0</v>
      </c>
      <c r="P449">
        <f t="shared" si="31"/>
        <v>0</v>
      </c>
      <c r="Q449">
        <f t="shared" si="32"/>
        <v>497</v>
      </c>
      <c r="R449" s="38">
        <f t="shared" si="33"/>
        <v>0</v>
      </c>
      <c r="S449" t="str">
        <f t="shared" si="34"/>
        <v xml:space="preserve"> -&gt; </v>
      </c>
    </row>
    <row r="450" spans="1:19">
      <c r="A450" s="65"/>
      <c r="B450" s="66"/>
      <c r="C450" s="65"/>
      <c r="D450" s="65"/>
      <c r="E450" s="65"/>
      <c r="F450" s="65"/>
      <c r="G450" s="65"/>
      <c r="H450" s="66"/>
      <c r="I450" s="66"/>
      <c r="J450" s="66"/>
      <c r="K450" s="65"/>
      <c r="L450" s="65"/>
      <c r="M450" s="23" t="str">
        <f t="shared" ca="1" si="30"/>
        <v/>
      </c>
      <c r="O450">
        <f>'Combined Delivery Data'!B449</f>
        <v>0</v>
      </c>
      <c r="P450">
        <f t="shared" si="31"/>
        <v>0</v>
      </c>
      <c r="Q450">
        <f t="shared" si="32"/>
        <v>497</v>
      </c>
      <c r="R450" s="38">
        <f t="shared" si="33"/>
        <v>0</v>
      </c>
      <c r="S450" t="str">
        <f t="shared" si="34"/>
        <v xml:space="preserve"> -&gt; </v>
      </c>
    </row>
    <row r="451" spans="1:19">
      <c r="A451" s="65"/>
      <c r="B451" s="66"/>
      <c r="C451" s="65"/>
      <c r="D451" s="65"/>
      <c r="E451" s="65"/>
      <c r="F451" s="65"/>
      <c r="G451" s="65"/>
      <c r="H451" s="66"/>
      <c r="I451" s="66"/>
      <c r="J451" s="66"/>
      <c r="K451" s="65"/>
      <c r="L451" s="65"/>
      <c r="M451" s="2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O451">
        <f>'Combined Delivery Data'!B450</f>
        <v>0</v>
      </c>
      <c r="P451">
        <f t="shared" ref="P451:P500" si="36">IF($O451="","",COUNTIF($A$3:$A$500,$O451))</f>
        <v>0</v>
      </c>
      <c r="Q451">
        <f t="shared" ref="Q451:Q500" si="37">IF($O451="","",SUMPRODUCT(($A$3:$A$500=$O451)*($G$3:$G$500&lt;&gt;"Yes")*($G$3:$G$500&lt;&gt;"Did not pass re-test")))</f>
        <v>497</v>
      </c>
      <c r="R451" s="38">
        <f t="shared" ref="R451:R500" si="38">IF($O451="","",IF(SUMPRODUCT(MAX(($A$3:$A$500=$O451)*ROW($A$3:$A$500)))=0,"",INDEX($B:$B,SUMPRODUCT(MAX(($A$3:$A$500=$O451)*ROW($A$3:$A$500))))))</f>
        <v>0</v>
      </c>
      <c r="S451" t="str">
        <f t="shared" ref="S451:S500" si="39">IF($O451="","",IF(SUMPRODUCT(MAX(($A$3:$A$500=$O451)*ROW($A$3:$A$500)))=0,"",INDEX($C:$C,SUMPRODUCT(MAX(($A$3:$A$500=$O451)*ROW($A$3:$A$500))))&amp;" -&gt; "&amp;INDEX($D:$D,SUMPRODUCT(MAX(($A$3:$A$500=$O451)*ROW($A$3:$A$500))))))</f>
        <v xml:space="preserve"> -&gt; </v>
      </c>
    </row>
    <row r="452" spans="1:19">
      <c r="A452" s="65"/>
      <c r="B452" s="66"/>
      <c r="C452" s="65"/>
      <c r="D452" s="65"/>
      <c r="E452" s="65"/>
      <c r="F452" s="65"/>
      <c r="G452" s="65"/>
      <c r="H452" s="66"/>
      <c r="I452" s="66"/>
      <c r="J452" s="66"/>
      <c r="K452" s="65"/>
      <c r="L452" s="65"/>
      <c r="M452" s="23" t="str">
        <f t="shared" ca="1" si="35"/>
        <v/>
      </c>
      <c r="O452">
        <f>'Combined Delivery Data'!B451</f>
        <v>0</v>
      </c>
      <c r="P452">
        <f t="shared" si="36"/>
        <v>0</v>
      </c>
      <c r="Q452">
        <f t="shared" si="37"/>
        <v>497</v>
      </c>
      <c r="R452" s="38">
        <f t="shared" si="38"/>
        <v>0</v>
      </c>
      <c r="S452" t="str">
        <f t="shared" si="39"/>
        <v xml:space="preserve"> -&gt; </v>
      </c>
    </row>
    <row r="453" spans="1:19">
      <c r="A453" s="65"/>
      <c r="B453" s="66"/>
      <c r="C453" s="65"/>
      <c r="D453" s="65"/>
      <c r="E453" s="65"/>
      <c r="F453" s="65"/>
      <c r="G453" s="65"/>
      <c r="H453" s="66"/>
      <c r="I453" s="66"/>
      <c r="J453" s="66"/>
      <c r="K453" s="65"/>
      <c r="L453" s="65"/>
      <c r="M453" s="23" t="str">
        <f t="shared" ca="1" si="35"/>
        <v/>
      </c>
      <c r="O453">
        <f>'Combined Delivery Data'!B452</f>
        <v>0</v>
      </c>
      <c r="P453">
        <f t="shared" si="36"/>
        <v>0</v>
      </c>
      <c r="Q453">
        <f t="shared" si="37"/>
        <v>497</v>
      </c>
      <c r="R453" s="38">
        <f t="shared" si="38"/>
        <v>0</v>
      </c>
      <c r="S453" t="str">
        <f t="shared" si="39"/>
        <v xml:space="preserve"> -&gt; </v>
      </c>
    </row>
    <row r="454" spans="1:19">
      <c r="A454" s="65"/>
      <c r="B454" s="66"/>
      <c r="C454" s="65"/>
      <c r="D454" s="65"/>
      <c r="E454" s="65"/>
      <c r="F454" s="65"/>
      <c r="G454" s="65"/>
      <c r="H454" s="66"/>
      <c r="I454" s="66"/>
      <c r="J454" s="66"/>
      <c r="K454" s="65"/>
      <c r="L454" s="65"/>
      <c r="M454" s="23" t="str">
        <f t="shared" ca="1" si="35"/>
        <v/>
      </c>
      <c r="O454">
        <f>'Combined Delivery Data'!B453</f>
        <v>0</v>
      </c>
      <c r="P454">
        <f t="shared" si="36"/>
        <v>0</v>
      </c>
      <c r="Q454">
        <f t="shared" si="37"/>
        <v>497</v>
      </c>
      <c r="R454" s="38">
        <f t="shared" si="38"/>
        <v>0</v>
      </c>
      <c r="S454" t="str">
        <f t="shared" si="39"/>
        <v xml:space="preserve"> -&gt; </v>
      </c>
    </row>
    <row r="455" spans="1:19">
      <c r="A455" s="65"/>
      <c r="B455" s="66"/>
      <c r="C455" s="65"/>
      <c r="D455" s="65"/>
      <c r="E455" s="65"/>
      <c r="F455" s="65"/>
      <c r="G455" s="65"/>
      <c r="H455" s="66"/>
      <c r="I455" s="66"/>
      <c r="J455" s="66"/>
      <c r="K455" s="65"/>
      <c r="L455" s="65"/>
      <c r="M455" s="23" t="str">
        <f t="shared" ca="1" si="35"/>
        <v/>
      </c>
      <c r="O455">
        <f>'Combined Delivery Data'!B454</f>
        <v>0</v>
      </c>
      <c r="P455">
        <f t="shared" si="36"/>
        <v>0</v>
      </c>
      <c r="Q455">
        <f t="shared" si="37"/>
        <v>497</v>
      </c>
      <c r="R455" s="38">
        <f t="shared" si="38"/>
        <v>0</v>
      </c>
      <c r="S455" t="str">
        <f t="shared" si="39"/>
        <v xml:space="preserve"> -&gt; </v>
      </c>
    </row>
    <row r="456" spans="1:19">
      <c r="A456" s="65"/>
      <c r="B456" s="66"/>
      <c r="C456" s="65"/>
      <c r="D456" s="65"/>
      <c r="E456" s="65"/>
      <c r="F456" s="65"/>
      <c r="G456" s="65"/>
      <c r="H456" s="66"/>
      <c r="I456" s="66"/>
      <c r="J456" s="66"/>
      <c r="K456" s="65"/>
      <c r="L456" s="65"/>
      <c r="M456" s="23" t="str">
        <f t="shared" ca="1" si="35"/>
        <v/>
      </c>
      <c r="O456">
        <f>'Combined Delivery Data'!B455</f>
        <v>0</v>
      </c>
      <c r="P456">
        <f t="shared" si="36"/>
        <v>0</v>
      </c>
      <c r="Q456">
        <f t="shared" si="37"/>
        <v>497</v>
      </c>
      <c r="R456" s="38">
        <f t="shared" si="38"/>
        <v>0</v>
      </c>
      <c r="S456" t="str">
        <f t="shared" si="39"/>
        <v xml:space="preserve"> -&gt; </v>
      </c>
    </row>
    <row r="457" spans="1:19">
      <c r="A457" s="65"/>
      <c r="B457" s="66"/>
      <c r="C457" s="65"/>
      <c r="D457" s="65"/>
      <c r="E457" s="65"/>
      <c r="F457" s="65"/>
      <c r="G457" s="65"/>
      <c r="H457" s="66"/>
      <c r="I457" s="66"/>
      <c r="J457" s="66"/>
      <c r="K457" s="65"/>
      <c r="L457" s="65"/>
      <c r="M457" s="23" t="str">
        <f t="shared" ca="1" si="35"/>
        <v/>
      </c>
      <c r="O457">
        <f>'Combined Delivery Data'!B456</f>
        <v>0</v>
      </c>
      <c r="P457">
        <f t="shared" si="36"/>
        <v>0</v>
      </c>
      <c r="Q457">
        <f t="shared" si="37"/>
        <v>497</v>
      </c>
      <c r="R457" s="38">
        <f t="shared" si="38"/>
        <v>0</v>
      </c>
      <c r="S457" t="str">
        <f t="shared" si="39"/>
        <v xml:space="preserve"> -&gt; </v>
      </c>
    </row>
    <row r="458" spans="1:19">
      <c r="A458" s="65"/>
      <c r="B458" s="66"/>
      <c r="C458" s="65"/>
      <c r="D458" s="65"/>
      <c r="E458" s="65"/>
      <c r="F458" s="65"/>
      <c r="G458" s="65"/>
      <c r="H458" s="66"/>
      <c r="I458" s="66"/>
      <c r="J458" s="66"/>
      <c r="K458" s="65"/>
      <c r="L458" s="65"/>
      <c r="M458" s="23" t="str">
        <f t="shared" ca="1" si="35"/>
        <v/>
      </c>
      <c r="O458">
        <f>'Combined Delivery Data'!B457</f>
        <v>0</v>
      </c>
      <c r="P458">
        <f t="shared" si="36"/>
        <v>0</v>
      </c>
      <c r="Q458">
        <f t="shared" si="37"/>
        <v>497</v>
      </c>
      <c r="R458" s="38">
        <f t="shared" si="38"/>
        <v>0</v>
      </c>
      <c r="S458" t="str">
        <f t="shared" si="39"/>
        <v xml:space="preserve"> -&gt; </v>
      </c>
    </row>
    <row r="459" spans="1:19">
      <c r="A459" s="65"/>
      <c r="B459" s="66"/>
      <c r="C459" s="65"/>
      <c r="D459" s="65"/>
      <c r="E459" s="65"/>
      <c r="F459" s="65"/>
      <c r="G459" s="65"/>
      <c r="H459" s="66"/>
      <c r="I459" s="66"/>
      <c r="J459" s="66"/>
      <c r="K459" s="65"/>
      <c r="L459" s="65"/>
      <c r="M459" s="23" t="str">
        <f t="shared" ca="1" si="35"/>
        <v/>
      </c>
      <c r="O459">
        <f>'Combined Delivery Data'!B458</f>
        <v>0</v>
      </c>
      <c r="P459">
        <f t="shared" si="36"/>
        <v>0</v>
      </c>
      <c r="Q459">
        <f t="shared" si="37"/>
        <v>497</v>
      </c>
      <c r="R459" s="38">
        <f t="shared" si="38"/>
        <v>0</v>
      </c>
      <c r="S459" t="str">
        <f t="shared" si="39"/>
        <v xml:space="preserve"> -&gt; </v>
      </c>
    </row>
    <row r="460" spans="1:19">
      <c r="A460" s="65"/>
      <c r="B460" s="66"/>
      <c r="C460" s="65"/>
      <c r="D460" s="65"/>
      <c r="E460" s="65"/>
      <c r="F460" s="65"/>
      <c r="G460" s="65"/>
      <c r="H460" s="66"/>
      <c r="I460" s="66"/>
      <c r="J460" s="66"/>
      <c r="K460" s="65"/>
      <c r="L460" s="65"/>
      <c r="M460" s="23" t="str">
        <f t="shared" ca="1" si="35"/>
        <v/>
      </c>
      <c r="O460">
        <f>'Combined Delivery Data'!B459</f>
        <v>0</v>
      </c>
      <c r="P460">
        <f t="shared" si="36"/>
        <v>0</v>
      </c>
      <c r="Q460">
        <f t="shared" si="37"/>
        <v>497</v>
      </c>
      <c r="R460" s="38">
        <f t="shared" si="38"/>
        <v>0</v>
      </c>
      <c r="S460" t="str">
        <f t="shared" si="39"/>
        <v xml:space="preserve"> -&gt; </v>
      </c>
    </row>
    <row r="461" spans="1:19">
      <c r="A461" s="65"/>
      <c r="B461" s="66"/>
      <c r="C461" s="65"/>
      <c r="D461" s="65"/>
      <c r="E461" s="65"/>
      <c r="F461" s="65"/>
      <c r="G461" s="65"/>
      <c r="H461" s="66"/>
      <c r="I461" s="66"/>
      <c r="J461" s="66"/>
      <c r="K461" s="65"/>
      <c r="L461" s="65"/>
      <c r="M461" s="23" t="str">
        <f t="shared" ca="1" si="35"/>
        <v/>
      </c>
      <c r="O461">
        <f>'Combined Delivery Data'!B460</f>
        <v>0</v>
      </c>
      <c r="P461">
        <f t="shared" si="36"/>
        <v>0</v>
      </c>
      <c r="Q461">
        <f t="shared" si="37"/>
        <v>497</v>
      </c>
      <c r="R461" s="38">
        <f t="shared" si="38"/>
        <v>0</v>
      </c>
      <c r="S461" t="str">
        <f t="shared" si="39"/>
        <v xml:space="preserve"> -&gt; </v>
      </c>
    </row>
    <row r="462" spans="1:19">
      <c r="A462" s="65"/>
      <c r="B462" s="66"/>
      <c r="C462" s="65"/>
      <c r="D462" s="65"/>
      <c r="E462" s="65"/>
      <c r="F462" s="65"/>
      <c r="G462" s="65"/>
      <c r="H462" s="66"/>
      <c r="I462" s="66"/>
      <c r="J462" s="66"/>
      <c r="K462" s="65"/>
      <c r="L462" s="65"/>
      <c r="M462" s="23" t="str">
        <f t="shared" ca="1" si="35"/>
        <v/>
      </c>
      <c r="O462">
        <f>'Combined Delivery Data'!B461</f>
        <v>0</v>
      </c>
      <c r="P462">
        <f t="shared" si="36"/>
        <v>0</v>
      </c>
      <c r="Q462">
        <f t="shared" si="37"/>
        <v>497</v>
      </c>
      <c r="R462" s="38">
        <f t="shared" si="38"/>
        <v>0</v>
      </c>
      <c r="S462" t="str">
        <f t="shared" si="39"/>
        <v xml:space="preserve"> -&gt; </v>
      </c>
    </row>
    <row r="463" spans="1:19">
      <c r="A463" s="65"/>
      <c r="B463" s="66"/>
      <c r="C463" s="65"/>
      <c r="D463" s="65"/>
      <c r="E463" s="65"/>
      <c r="F463" s="65"/>
      <c r="G463" s="65"/>
      <c r="H463" s="66"/>
      <c r="I463" s="66"/>
      <c r="J463" s="66"/>
      <c r="K463" s="65"/>
      <c r="L463" s="65"/>
      <c r="M463" s="23" t="str">
        <f t="shared" ca="1" si="35"/>
        <v/>
      </c>
      <c r="O463">
        <f>'Combined Delivery Data'!B462</f>
        <v>0</v>
      </c>
      <c r="P463">
        <f t="shared" si="36"/>
        <v>0</v>
      </c>
      <c r="Q463">
        <f t="shared" si="37"/>
        <v>497</v>
      </c>
      <c r="R463" s="38">
        <f t="shared" si="38"/>
        <v>0</v>
      </c>
      <c r="S463" t="str">
        <f t="shared" si="39"/>
        <v xml:space="preserve"> -&gt; </v>
      </c>
    </row>
    <row r="464" spans="1:19">
      <c r="A464" s="65"/>
      <c r="B464" s="66"/>
      <c r="C464" s="65"/>
      <c r="D464" s="65"/>
      <c r="E464" s="65"/>
      <c r="F464" s="65"/>
      <c r="G464" s="65"/>
      <c r="H464" s="66"/>
      <c r="I464" s="66"/>
      <c r="J464" s="66"/>
      <c r="K464" s="65"/>
      <c r="L464" s="65"/>
      <c r="M464" s="23" t="str">
        <f t="shared" ca="1" si="35"/>
        <v/>
      </c>
      <c r="O464">
        <f>'Combined Delivery Data'!B463</f>
        <v>0</v>
      </c>
      <c r="P464">
        <f t="shared" si="36"/>
        <v>0</v>
      </c>
      <c r="Q464">
        <f t="shared" si="37"/>
        <v>497</v>
      </c>
      <c r="R464" s="38">
        <f t="shared" si="38"/>
        <v>0</v>
      </c>
      <c r="S464" t="str">
        <f t="shared" si="39"/>
        <v xml:space="preserve"> -&gt; </v>
      </c>
    </row>
    <row r="465" spans="1:19">
      <c r="A465" s="65"/>
      <c r="B465" s="66"/>
      <c r="C465" s="65"/>
      <c r="D465" s="65"/>
      <c r="E465" s="65"/>
      <c r="F465" s="65"/>
      <c r="G465" s="65"/>
      <c r="H465" s="66"/>
      <c r="I465" s="66"/>
      <c r="J465" s="66"/>
      <c r="K465" s="65"/>
      <c r="L465" s="65"/>
      <c r="M465" s="23" t="str">
        <f t="shared" ca="1" si="35"/>
        <v/>
      </c>
      <c r="O465">
        <f>'Combined Delivery Data'!B464</f>
        <v>0</v>
      </c>
      <c r="P465">
        <f t="shared" si="36"/>
        <v>0</v>
      </c>
      <c r="Q465">
        <f t="shared" si="37"/>
        <v>497</v>
      </c>
      <c r="R465" s="38">
        <f t="shared" si="38"/>
        <v>0</v>
      </c>
      <c r="S465" t="str">
        <f t="shared" si="39"/>
        <v xml:space="preserve"> -&gt; </v>
      </c>
    </row>
    <row r="466" spans="1:19">
      <c r="A466" s="65"/>
      <c r="B466" s="66"/>
      <c r="C466" s="65"/>
      <c r="D466" s="65"/>
      <c r="E466" s="65"/>
      <c r="F466" s="65"/>
      <c r="G466" s="65"/>
      <c r="H466" s="66"/>
      <c r="I466" s="66"/>
      <c r="J466" s="66"/>
      <c r="K466" s="65"/>
      <c r="L466" s="65"/>
      <c r="M466" s="23" t="str">
        <f t="shared" ca="1" si="35"/>
        <v/>
      </c>
      <c r="O466">
        <f>'Combined Delivery Data'!B465</f>
        <v>0</v>
      </c>
      <c r="P466">
        <f t="shared" si="36"/>
        <v>0</v>
      </c>
      <c r="Q466">
        <f t="shared" si="37"/>
        <v>497</v>
      </c>
      <c r="R466" s="38">
        <f t="shared" si="38"/>
        <v>0</v>
      </c>
      <c r="S466" t="str">
        <f t="shared" si="39"/>
        <v xml:space="preserve"> -&gt; </v>
      </c>
    </row>
    <row r="467" spans="1:19">
      <c r="A467" s="65"/>
      <c r="B467" s="66"/>
      <c r="C467" s="65"/>
      <c r="D467" s="65"/>
      <c r="E467" s="65"/>
      <c r="F467" s="65"/>
      <c r="G467" s="65"/>
      <c r="H467" s="66"/>
      <c r="I467" s="66"/>
      <c r="J467" s="66"/>
      <c r="K467" s="65"/>
      <c r="L467" s="65"/>
      <c r="M467" s="23" t="str">
        <f t="shared" ca="1" si="35"/>
        <v/>
      </c>
      <c r="O467">
        <f>'Combined Delivery Data'!B466</f>
        <v>0</v>
      </c>
      <c r="P467">
        <f t="shared" si="36"/>
        <v>0</v>
      </c>
      <c r="Q467">
        <f t="shared" si="37"/>
        <v>497</v>
      </c>
      <c r="R467" s="38">
        <f t="shared" si="38"/>
        <v>0</v>
      </c>
      <c r="S467" t="str">
        <f t="shared" si="39"/>
        <v xml:space="preserve"> -&gt; </v>
      </c>
    </row>
    <row r="468" spans="1:19">
      <c r="A468" s="65"/>
      <c r="B468" s="66"/>
      <c r="C468" s="65"/>
      <c r="D468" s="65"/>
      <c r="E468" s="65"/>
      <c r="F468" s="65"/>
      <c r="G468" s="65"/>
      <c r="H468" s="66"/>
      <c r="I468" s="66"/>
      <c r="J468" s="66"/>
      <c r="K468" s="65"/>
      <c r="L468" s="65"/>
      <c r="M468" s="23" t="str">
        <f t="shared" ca="1" si="35"/>
        <v/>
      </c>
      <c r="O468">
        <f>'Combined Delivery Data'!B467</f>
        <v>0</v>
      </c>
      <c r="P468">
        <f t="shared" si="36"/>
        <v>0</v>
      </c>
      <c r="Q468">
        <f t="shared" si="37"/>
        <v>497</v>
      </c>
      <c r="R468" s="38">
        <f t="shared" si="38"/>
        <v>0</v>
      </c>
      <c r="S468" t="str">
        <f t="shared" si="39"/>
        <v xml:space="preserve"> -&gt; </v>
      </c>
    </row>
    <row r="469" spans="1:19">
      <c r="A469" s="65"/>
      <c r="B469" s="66"/>
      <c r="C469" s="65"/>
      <c r="D469" s="65"/>
      <c r="E469" s="65"/>
      <c r="F469" s="65"/>
      <c r="G469" s="65"/>
      <c r="H469" s="66"/>
      <c r="I469" s="66"/>
      <c r="J469" s="66"/>
      <c r="K469" s="65"/>
      <c r="L469" s="65"/>
      <c r="M469" s="23" t="str">
        <f t="shared" ca="1" si="35"/>
        <v/>
      </c>
      <c r="O469">
        <f>'Combined Delivery Data'!B468</f>
        <v>0</v>
      </c>
      <c r="P469">
        <f t="shared" si="36"/>
        <v>0</v>
      </c>
      <c r="Q469">
        <f t="shared" si="37"/>
        <v>497</v>
      </c>
      <c r="R469" s="38">
        <f t="shared" si="38"/>
        <v>0</v>
      </c>
      <c r="S469" t="str">
        <f t="shared" si="39"/>
        <v xml:space="preserve"> -&gt; </v>
      </c>
    </row>
    <row r="470" spans="1:19">
      <c r="A470" s="65"/>
      <c r="B470" s="66"/>
      <c r="C470" s="65"/>
      <c r="D470" s="65"/>
      <c r="E470" s="65"/>
      <c r="F470" s="65"/>
      <c r="G470" s="65"/>
      <c r="H470" s="66"/>
      <c r="I470" s="66"/>
      <c r="J470" s="66"/>
      <c r="K470" s="65"/>
      <c r="L470" s="65"/>
      <c r="M470" s="23" t="str">
        <f t="shared" ca="1" si="35"/>
        <v/>
      </c>
      <c r="O470">
        <f>'Combined Delivery Data'!B469</f>
        <v>0</v>
      </c>
      <c r="P470">
        <f t="shared" si="36"/>
        <v>0</v>
      </c>
      <c r="Q470">
        <f t="shared" si="37"/>
        <v>497</v>
      </c>
      <c r="R470" s="38">
        <f t="shared" si="38"/>
        <v>0</v>
      </c>
      <c r="S470" t="str">
        <f t="shared" si="39"/>
        <v xml:space="preserve"> -&gt; </v>
      </c>
    </row>
    <row r="471" spans="1:19">
      <c r="A471" s="65"/>
      <c r="B471" s="66"/>
      <c r="C471" s="65"/>
      <c r="D471" s="65"/>
      <c r="E471" s="65"/>
      <c r="F471" s="65"/>
      <c r="G471" s="65"/>
      <c r="H471" s="66"/>
      <c r="I471" s="66"/>
      <c r="J471" s="66"/>
      <c r="K471" s="65"/>
      <c r="L471" s="65"/>
      <c r="M471" s="23" t="str">
        <f t="shared" ca="1" si="35"/>
        <v/>
      </c>
      <c r="O471">
        <f>'Combined Delivery Data'!B470</f>
        <v>0</v>
      </c>
      <c r="P471">
        <f t="shared" si="36"/>
        <v>0</v>
      </c>
      <c r="Q471">
        <f t="shared" si="37"/>
        <v>497</v>
      </c>
      <c r="R471" s="38">
        <f t="shared" si="38"/>
        <v>0</v>
      </c>
      <c r="S471" t="str">
        <f t="shared" si="39"/>
        <v xml:space="preserve"> -&gt; </v>
      </c>
    </row>
    <row r="472" spans="1:19">
      <c r="A472" s="65"/>
      <c r="B472" s="66"/>
      <c r="C472" s="65"/>
      <c r="D472" s="65"/>
      <c r="E472" s="65"/>
      <c r="F472" s="65"/>
      <c r="G472" s="65"/>
      <c r="H472" s="66"/>
      <c r="I472" s="66"/>
      <c r="J472" s="66"/>
      <c r="K472" s="65"/>
      <c r="L472" s="65"/>
      <c r="M472" s="23" t="str">
        <f t="shared" ca="1" si="35"/>
        <v/>
      </c>
      <c r="O472">
        <f>'Combined Delivery Data'!B471</f>
        <v>0</v>
      </c>
      <c r="P472">
        <f t="shared" si="36"/>
        <v>0</v>
      </c>
      <c r="Q472">
        <f t="shared" si="37"/>
        <v>497</v>
      </c>
      <c r="R472" s="38">
        <f t="shared" si="38"/>
        <v>0</v>
      </c>
      <c r="S472" t="str">
        <f t="shared" si="39"/>
        <v xml:space="preserve"> -&gt; </v>
      </c>
    </row>
    <row r="473" spans="1:19">
      <c r="A473" s="65"/>
      <c r="B473" s="66"/>
      <c r="C473" s="65"/>
      <c r="D473" s="65"/>
      <c r="E473" s="65"/>
      <c r="F473" s="65"/>
      <c r="G473" s="65"/>
      <c r="H473" s="66"/>
      <c r="I473" s="66"/>
      <c r="J473" s="66"/>
      <c r="K473" s="65"/>
      <c r="L473" s="65"/>
      <c r="M473" s="23" t="str">
        <f t="shared" ca="1" si="35"/>
        <v/>
      </c>
      <c r="O473">
        <f>'Combined Delivery Data'!B472</f>
        <v>0</v>
      </c>
      <c r="P473">
        <f t="shared" si="36"/>
        <v>0</v>
      </c>
      <c r="Q473">
        <f t="shared" si="37"/>
        <v>497</v>
      </c>
      <c r="R473" s="38">
        <f t="shared" si="38"/>
        <v>0</v>
      </c>
      <c r="S473" t="str">
        <f t="shared" si="39"/>
        <v xml:space="preserve"> -&gt; </v>
      </c>
    </row>
    <row r="474" spans="1:19">
      <c r="A474" s="65"/>
      <c r="B474" s="66"/>
      <c r="C474" s="65"/>
      <c r="D474" s="65"/>
      <c r="E474" s="65"/>
      <c r="F474" s="65"/>
      <c r="G474" s="65"/>
      <c r="H474" s="66"/>
      <c r="I474" s="66"/>
      <c r="J474" s="66"/>
      <c r="K474" s="65"/>
      <c r="L474" s="65"/>
      <c r="M474" s="23" t="str">
        <f t="shared" ca="1" si="35"/>
        <v/>
      </c>
      <c r="O474">
        <f>'Combined Delivery Data'!B473</f>
        <v>0</v>
      </c>
      <c r="P474">
        <f t="shared" si="36"/>
        <v>0</v>
      </c>
      <c r="Q474">
        <f t="shared" si="37"/>
        <v>497</v>
      </c>
      <c r="R474" s="38">
        <f t="shared" si="38"/>
        <v>0</v>
      </c>
      <c r="S474" t="str">
        <f t="shared" si="39"/>
        <v xml:space="preserve"> -&gt; </v>
      </c>
    </row>
    <row r="475" spans="1:19">
      <c r="A475" s="65"/>
      <c r="B475" s="66"/>
      <c r="C475" s="65"/>
      <c r="D475" s="65"/>
      <c r="E475" s="65"/>
      <c r="F475" s="65"/>
      <c r="G475" s="65"/>
      <c r="H475" s="66"/>
      <c r="I475" s="66"/>
      <c r="J475" s="66"/>
      <c r="K475" s="65"/>
      <c r="L475" s="65"/>
      <c r="M475" s="23" t="str">
        <f t="shared" ca="1" si="35"/>
        <v/>
      </c>
      <c r="O475">
        <f>'Combined Delivery Data'!B474</f>
        <v>0</v>
      </c>
      <c r="P475">
        <f t="shared" si="36"/>
        <v>0</v>
      </c>
      <c r="Q475">
        <f t="shared" si="37"/>
        <v>497</v>
      </c>
      <c r="R475" s="38">
        <f t="shared" si="38"/>
        <v>0</v>
      </c>
      <c r="S475" t="str">
        <f t="shared" si="39"/>
        <v xml:space="preserve"> -&gt; </v>
      </c>
    </row>
    <row r="476" spans="1:19">
      <c r="A476" s="65"/>
      <c r="B476" s="66"/>
      <c r="C476" s="65"/>
      <c r="D476" s="65"/>
      <c r="E476" s="65"/>
      <c r="F476" s="65"/>
      <c r="G476" s="65"/>
      <c r="H476" s="66"/>
      <c r="I476" s="66"/>
      <c r="J476" s="66"/>
      <c r="K476" s="65"/>
      <c r="L476" s="65"/>
      <c r="M476" s="23" t="str">
        <f t="shared" ca="1" si="35"/>
        <v/>
      </c>
      <c r="O476">
        <f>'Combined Delivery Data'!B475</f>
        <v>0</v>
      </c>
      <c r="P476">
        <f t="shared" si="36"/>
        <v>0</v>
      </c>
      <c r="Q476">
        <f t="shared" si="37"/>
        <v>497</v>
      </c>
      <c r="R476" s="38">
        <f t="shared" si="38"/>
        <v>0</v>
      </c>
      <c r="S476" t="str">
        <f t="shared" si="39"/>
        <v xml:space="preserve"> -&gt; </v>
      </c>
    </row>
    <row r="477" spans="1:19">
      <c r="A477" s="65"/>
      <c r="B477" s="66"/>
      <c r="C477" s="65"/>
      <c r="D477" s="65"/>
      <c r="E477" s="65"/>
      <c r="F477" s="65"/>
      <c r="G477" s="65"/>
      <c r="H477" s="66"/>
      <c r="I477" s="66"/>
      <c r="J477" s="66"/>
      <c r="K477" s="65"/>
      <c r="L477" s="65"/>
      <c r="M477" s="23" t="str">
        <f t="shared" ca="1" si="35"/>
        <v/>
      </c>
      <c r="O477">
        <f>'Combined Delivery Data'!B476</f>
        <v>0</v>
      </c>
      <c r="P477">
        <f t="shared" si="36"/>
        <v>0</v>
      </c>
      <c r="Q477">
        <f t="shared" si="37"/>
        <v>497</v>
      </c>
      <c r="R477" s="38">
        <f t="shared" si="38"/>
        <v>0</v>
      </c>
      <c r="S477" t="str">
        <f t="shared" si="39"/>
        <v xml:space="preserve"> -&gt; </v>
      </c>
    </row>
    <row r="478" spans="1:19">
      <c r="A478" s="65"/>
      <c r="B478" s="66"/>
      <c r="C478" s="65"/>
      <c r="D478" s="65"/>
      <c r="E478" s="65"/>
      <c r="F478" s="65"/>
      <c r="G478" s="65"/>
      <c r="H478" s="66"/>
      <c r="I478" s="66"/>
      <c r="J478" s="66"/>
      <c r="K478" s="65"/>
      <c r="L478" s="65"/>
      <c r="M478" s="23" t="str">
        <f t="shared" ca="1" si="35"/>
        <v/>
      </c>
      <c r="O478">
        <f>'Combined Delivery Data'!B477</f>
        <v>0</v>
      </c>
      <c r="P478">
        <f t="shared" si="36"/>
        <v>0</v>
      </c>
      <c r="Q478">
        <f t="shared" si="37"/>
        <v>497</v>
      </c>
      <c r="R478" s="38">
        <f t="shared" si="38"/>
        <v>0</v>
      </c>
      <c r="S478" t="str">
        <f t="shared" si="39"/>
        <v xml:space="preserve"> -&gt; </v>
      </c>
    </row>
    <row r="479" spans="1:19">
      <c r="A479" s="65"/>
      <c r="B479" s="66"/>
      <c r="C479" s="65"/>
      <c r="D479" s="65"/>
      <c r="E479" s="65"/>
      <c r="F479" s="65"/>
      <c r="G479" s="65"/>
      <c r="H479" s="66"/>
      <c r="I479" s="66"/>
      <c r="J479" s="66"/>
      <c r="K479" s="65"/>
      <c r="L479" s="65"/>
      <c r="M479" s="23" t="str">
        <f t="shared" ca="1" si="35"/>
        <v/>
      </c>
      <c r="O479">
        <f>'Combined Delivery Data'!B478</f>
        <v>0</v>
      </c>
      <c r="P479">
        <f t="shared" si="36"/>
        <v>0</v>
      </c>
      <c r="Q479">
        <f t="shared" si="37"/>
        <v>497</v>
      </c>
      <c r="R479" s="38">
        <f t="shared" si="38"/>
        <v>0</v>
      </c>
      <c r="S479" t="str">
        <f t="shared" si="39"/>
        <v xml:space="preserve"> -&gt; </v>
      </c>
    </row>
    <row r="480" spans="1:19">
      <c r="A480" s="65"/>
      <c r="B480" s="66"/>
      <c r="C480" s="65"/>
      <c r="D480" s="65"/>
      <c r="E480" s="65"/>
      <c r="F480" s="65"/>
      <c r="G480" s="65"/>
      <c r="H480" s="66"/>
      <c r="I480" s="66"/>
      <c r="J480" s="66"/>
      <c r="K480" s="65"/>
      <c r="L480" s="65"/>
      <c r="M480" s="23" t="str">
        <f t="shared" ca="1" si="35"/>
        <v/>
      </c>
      <c r="O480">
        <f>'Combined Delivery Data'!B479</f>
        <v>0</v>
      </c>
      <c r="P480">
        <f t="shared" si="36"/>
        <v>0</v>
      </c>
      <c r="Q480">
        <f t="shared" si="37"/>
        <v>497</v>
      </c>
      <c r="R480" s="38">
        <f t="shared" si="38"/>
        <v>0</v>
      </c>
      <c r="S480" t="str">
        <f t="shared" si="39"/>
        <v xml:space="preserve"> -&gt; </v>
      </c>
    </row>
    <row r="481" spans="1:19">
      <c r="A481" s="65"/>
      <c r="B481" s="66"/>
      <c r="C481" s="65"/>
      <c r="D481" s="65"/>
      <c r="E481" s="65"/>
      <c r="F481" s="65"/>
      <c r="G481" s="65"/>
      <c r="H481" s="66"/>
      <c r="I481" s="66"/>
      <c r="J481" s="66"/>
      <c r="K481" s="65"/>
      <c r="L481" s="65"/>
      <c r="M481" s="23" t="str">
        <f t="shared" ca="1" si="35"/>
        <v/>
      </c>
      <c r="O481">
        <f>'Combined Delivery Data'!B480</f>
        <v>0</v>
      </c>
      <c r="P481">
        <f t="shared" si="36"/>
        <v>0</v>
      </c>
      <c r="Q481">
        <f t="shared" si="37"/>
        <v>497</v>
      </c>
      <c r="R481" s="38">
        <f t="shared" si="38"/>
        <v>0</v>
      </c>
      <c r="S481" t="str">
        <f t="shared" si="39"/>
        <v xml:space="preserve"> -&gt; </v>
      </c>
    </row>
    <row r="482" spans="1:19">
      <c r="A482" s="65"/>
      <c r="B482" s="66"/>
      <c r="C482" s="65"/>
      <c r="D482" s="65"/>
      <c r="E482" s="65"/>
      <c r="F482" s="65"/>
      <c r="G482" s="65"/>
      <c r="H482" s="66"/>
      <c r="I482" s="66"/>
      <c r="J482" s="66"/>
      <c r="K482" s="65"/>
      <c r="L482" s="65"/>
      <c r="M482" s="23" t="str">
        <f t="shared" ca="1" si="35"/>
        <v/>
      </c>
      <c r="O482">
        <f>'Combined Delivery Data'!B481</f>
        <v>0</v>
      </c>
      <c r="P482">
        <f t="shared" si="36"/>
        <v>0</v>
      </c>
      <c r="Q482">
        <f t="shared" si="37"/>
        <v>497</v>
      </c>
      <c r="R482" s="38">
        <f t="shared" si="38"/>
        <v>0</v>
      </c>
      <c r="S482" t="str">
        <f t="shared" si="39"/>
        <v xml:space="preserve"> -&gt; </v>
      </c>
    </row>
    <row r="483" spans="1:19">
      <c r="A483" s="65"/>
      <c r="B483" s="66"/>
      <c r="C483" s="65"/>
      <c r="D483" s="65"/>
      <c r="E483" s="65"/>
      <c r="F483" s="65"/>
      <c r="G483" s="65"/>
      <c r="H483" s="66"/>
      <c r="I483" s="66"/>
      <c r="J483" s="66"/>
      <c r="K483" s="65"/>
      <c r="L483" s="65"/>
      <c r="M483" s="23" t="str">
        <f t="shared" ca="1" si="35"/>
        <v/>
      </c>
      <c r="O483">
        <f>'Combined Delivery Data'!B482</f>
        <v>0</v>
      </c>
      <c r="P483">
        <f t="shared" si="36"/>
        <v>0</v>
      </c>
      <c r="Q483">
        <f t="shared" si="37"/>
        <v>497</v>
      </c>
      <c r="R483" s="38">
        <f t="shared" si="38"/>
        <v>0</v>
      </c>
      <c r="S483" t="str">
        <f t="shared" si="39"/>
        <v xml:space="preserve"> -&gt; </v>
      </c>
    </row>
    <row r="484" spans="1:19">
      <c r="A484" s="65"/>
      <c r="B484" s="66"/>
      <c r="C484" s="65"/>
      <c r="D484" s="65"/>
      <c r="E484" s="65"/>
      <c r="F484" s="65"/>
      <c r="G484" s="65"/>
      <c r="H484" s="66"/>
      <c r="I484" s="66"/>
      <c r="J484" s="66"/>
      <c r="K484" s="65"/>
      <c r="L484" s="65"/>
      <c r="M484" s="23" t="str">
        <f t="shared" ca="1" si="35"/>
        <v/>
      </c>
      <c r="O484">
        <f>'Combined Delivery Data'!B483</f>
        <v>0</v>
      </c>
      <c r="P484">
        <f t="shared" si="36"/>
        <v>0</v>
      </c>
      <c r="Q484">
        <f t="shared" si="37"/>
        <v>497</v>
      </c>
      <c r="R484" s="38">
        <f t="shared" si="38"/>
        <v>0</v>
      </c>
      <c r="S484" t="str">
        <f t="shared" si="39"/>
        <v xml:space="preserve"> -&gt; </v>
      </c>
    </row>
    <row r="485" spans="1:19">
      <c r="A485" s="65"/>
      <c r="B485" s="66"/>
      <c r="C485" s="65"/>
      <c r="D485" s="65"/>
      <c r="E485" s="65"/>
      <c r="F485" s="65"/>
      <c r="G485" s="65"/>
      <c r="H485" s="66"/>
      <c r="I485" s="66"/>
      <c r="J485" s="66"/>
      <c r="K485" s="65"/>
      <c r="L485" s="65"/>
      <c r="M485" s="23" t="str">
        <f t="shared" ca="1" si="35"/>
        <v/>
      </c>
      <c r="O485">
        <f>'Combined Delivery Data'!B484</f>
        <v>0</v>
      </c>
      <c r="P485">
        <f t="shared" si="36"/>
        <v>0</v>
      </c>
      <c r="Q485">
        <f t="shared" si="37"/>
        <v>497</v>
      </c>
      <c r="R485" s="38">
        <f t="shared" si="38"/>
        <v>0</v>
      </c>
      <c r="S485" t="str">
        <f t="shared" si="39"/>
        <v xml:space="preserve"> -&gt; </v>
      </c>
    </row>
    <row r="486" spans="1:19">
      <c r="A486" s="65"/>
      <c r="B486" s="66"/>
      <c r="C486" s="65"/>
      <c r="D486" s="65"/>
      <c r="E486" s="65"/>
      <c r="F486" s="65"/>
      <c r="G486" s="65"/>
      <c r="H486" s="66"/>
      <c r="I486" s="66"/>
      <c r="J486" s="66"/>
      <c r="K486" s="65"/>
      <c r="L486" s="65"/>
      <c r="M486" s="23" t="str">
        <f t="shared" ca="1" si="35"/>
        <v/>
      </c>
      <c r="O486">
        <f>'Combined Delivery Data'!B485</f>
        <v>0</v>
      </c>
      <c r="P486">
        <f t="shared" si="36"/>
        <v>0</v>
      </c>
      <c r="Q486">
        <f t="shared" si="37"/>
        <v>497</v>
      </c>
      <c r="R486" s="38">
        <f t="shared" si="38"/>
        <v>0</v>
      </c>
      <c r="S486" t="str">
        <f t="shared" si="39"/>
        <v xml:space="preserve"> -&gt; </v>
      </c>
    </row>
    <row r="487" spans="1:19">
      <c r="A487" s="65"/>
      <c r="B487" s="66"/>
      <c r="C487" s="65"/>
      <c r="D487" s="65"/>
      <c r="E487" s="65"/>
      <c r="F487" s="65"/>
      <c r="G487" s="65"/>
      <c r="H487" s="66"/>
      <c r="I487" s="66"/>
      <c r="J487" s="66"/>
      <c r="K487" s="65"/>
      <c r="L487" s="65"/>
      <c r="M487" s="23" t="str">
        <f t="shared" ca="1" si="35"/>
        <v/>
      </c>
      <c r="O487">
        <f>'Combined Delivery Data'!B486</f>
        <v>0</v>
      </c>
      <c r="P487">
        <f t="shared" si="36"/>
        <v>0</v>
      </c>
      <c r="Q487">
        <f t="shared" si="37"/>
        <v>497</v>
      </c>
      <c r="R487" s="38">
        <f t="shared" si="38"/>
        <v>0</v>
      </c>
      <c r="S487" t="str">
        <f t="shared" si="39"/>
        <v xml:space="preserve"> -&gt; </v>
      </c>
    </row>
    <row r="488" spans="1:19">
      <c r="A488" s="65"/>
      <c r="B488" s="66"/>
      <c r="C488" s="65"/>
      <c r="D488" s="65"/>
      <c r="E488" s="65"/>
      <c r="F488" s="65"/>
      <c r="G488" s="65"/>
      <c r="H488" s="66"/>
      <c r="I488" s="66"/>
      <c r="J488" s="66"/>
      <c r="K488" s="65"/>
      <c r="L488" s="65"/>
      <c r="M488" s="23" t="str">
        <f t="shared" ca="1" si="35"/>
        <v/>
      </c>
      <c r="O488">
        <f>'Combined Delivery Data'!B487</f>
        <v>0</v>
      </c>
      <c r="P488">
        <f t="shared" si="36"/>
        <v>0</v>
      </c>
      <c r="Q488">
        <f t="shared" si="37"/>
        <v>497</v>
      </c>
      <c r="R488" s="38">
        <f t="shared" si="38"/>
        <v>0</v>
      </c>
      <c r="S488" t="str">
        <f t="shared" si="39"/>
        <v xml:space="preserve"> -&gt; </v>
      </c>
    </row>
    <row r="489" spans="1:19">
      <c r="A489" s="65"/>
      <c r="B489" s="66"/>
      <c r="C489" s="65"/>
      <c r="D489" s="65"/>
      <c r="E489" s="65"/>
      <c r="F489" s="65"/>
      <c r="G489" s="65"/>
      <c r="H489" s="66"/>
      <c r="I489" s="66"/>
      <c r="J489" s="66"/>
      <c r="K489" s="65"/>
      <c r="L489" s="65"/>
      <c r="M489" s="23" t="str">
        <f t="shared" ca="1" si="35"/>
        <v/>
      </c>
      <c r="O489">
        <f>'Combined Delivery Data'!B488</f>
        <v>0</v>
      </c>
      <c r="P489">
        <f t="shared" si="36"/>
        <v>0</v>
      </c>
      <c r="Q489">
        <f t="shared" si="37"/>
        <v>497</v>
      </c>
      <c r="R489" s="38">
        <f t="shared" si="38"/>
        <v>0</v>
      </c>
      <c r="S489" t="str">
        <f t="shared" si="39"/>
        <v xml:space="preserve"> -&gt; </v>
      </c>
    </row>
    <row r="490" spans="1:19">
      <c r="A490" s="65"/>
      <c r="B490" s="66"/>
      <c r="C490" s="65"/>
      <c r="D490" s="65"/>
      <c r="E490" s="65"/>
      <c r="F490" s="65"/>
      <c r="G490" s="65"/>
      <c r="H490" s="66"/>
      <c r="I490" s="66"/>
      <c r="J490" s="66"/>
      <c r="K490" s="65"/>
      <c r="L490" s="65"/>
      <c r="M490" s="23" t="str">
        <f t="shared" ca="1" si="35"/>
        <v/>
      </c>
      <c r="O490">
        <f>'Combined Delivery Data'!B489</f>
        <v>0</v>
      </c>
      <c r="P490">
        <f t="shared" si="36"/>
        <v>0</v>
      </c>
      <c r="Q490">
        <f t="shared" si="37"/>
        <v>497</v>
      </c>
      <c r="R490" s="38">
        <f t="shared" si="38"/>
        <v>0</v>
      </c>
      <c r="S490" t="str">
        <f t="shared" si="39"/>
        <v xml:space="preserve"> -&gt; </v>
      </c>
    </row>
    <row r="491" spans="1:19">
      <c r="A491" s="65"/>
      <c r="B491" s="66"/>
      <c r="C491" s="65"/>
      <c r="D491" s="65"/>
      <c r="E491" s="65"/>
      <c r="F491" s="65"/>
      <c r="G491" s="65"/>
      <c r="H491" s="66"/>
      <c r="I491" s="66"/>
      <c r="J491" s="66"/>
      <c r="K491" s="65"/>
      <c r="L491" s="65"/>
      <c r="M491" s="23" t="str">
        <f t="shared" ca="1" si="35"/>
        <v/>
      </c>
      <c r="O491">
        <f>'Combined Delivery Data'!B490</f>
        <v>0</v>
      </c>
      <c r="P491">
        <f t="shared" si="36"/>
        <v>0</v>
      </c>
      <c r="Q491">
        <f t="shared" si="37"/>
        <v>497</v>
      </c>
      <c r="R491" s="38">
        <f t="shared" si="38"/>
        <v>0</v>
      </c>
      <c r="S491" t="str">
        <f t="shared" si="39"/>
        <v xml:space="preserve"> -&gt; </v>
      </c>
    </row>
    <row r="492" spans="1:19">
      <c r="A492" s="65"/>
      <c r="B492" s="66"/>
      <c r="C492" s="65"/>
      <c r="D492" s="65"/>
      <c r="E492" s="65"/>
      <c r="F492" s="65"/>
      <c r="G492" s="65"/>
      <c r="H492" s="66"/>
      <c r="I492" s="66"/>
      <c r="J492" s="66"/>
      <c r="K492" s="65"/>
      <c r="L492" s="65"/>
      <c r="M492" s="23" t="str">
        <f t="shared" ca="1" si="35"/>
        <v/>
      </c>
      <c r="O492">
        <f>'Combined Delivery Data'!B491</f>
        <v>0</v>
      </c>
      <c r="P492">
        <f t="shared" si="36"/>
        <v>0</v>
      </c>
      <c r="Q492">
        <f t="shared" si="37"/>
        <v>497</v>
      </c>
      <c r="R492" s="38">
        <f t="shared" si="38"/>
        <v>0</v>
      </c>
      <c r="S492" t="str">
        <f t="shared" si="39"/>
        <v xml:space="preserve"> -&gt; </v>
      </c>
    </row>
    <row r="493" spans="1:19">
      <c r="A493" s="65"/>
      <c r="B493" s="66"/>
      <c r="C493" s="65"/>
      <c r="D493" s="65"/>
      <c r="E493" s="65"/>
      <c r="F493" s="65"/>
      <c r="G493" s="65"/>
      <c r="H493" s="66"/>
      <c r="I493" s="66"/>
      <c r="J493" s="66"/>
      <c r="K493" s="65"/>
      <c r="L493" s="65"/>
      <c r="M493" s="23" t="str">
        <f t="shared" ca="1" si="35"/>
        <v/>
      </c>
      <c r="O493">
        <f>'Combined Delivery Data'!B492</f>
        <v>0</v>
      </c>
      <c r="P493">
        <f t="shared" si="36"/>
        <v>0</v>
      </c>
      <c r="Q493">
        <f t="shared" si="37"/>
        <v>497</v>
      </c>
      <c r="R493" s="38">
        <f t="shared" si="38"/>
        <v>0</v>
      </c>
      <c r="S493" t="str">
        <f t="shared" si="39"/>
        <v xml:space="preserve"> -&gt; </v>
      </c>
    </row>
    <row r="494" spans="1:19">
      <c r="A494" s="65"/>
      <c r="B494" s="66"/>
      <c r="C494" s="65"/>
      <c r="D494" s="65"/>
      <c r="E494" s="65"/>
      <c r="F494" s="65"/>
      <c r="G494" s="65"/>
      <c r="H494" s="66"/>
      <c r="I494" s="66"/>
      <c r="J494" s="66"/>
      <c r="K494" s="65"/>
      <c r="L494" s="65"/>
      <c r="M494" s="23" t="str">
        <f t="shared" ca="1" si="35"/>
        <v/>
      </c>
      <c r="O494">
        <f>'Combined Delivery Data'!B493</f>
        <v>0</v>
      </c>
      <c r="P494">
        <f t="shared" si="36"/>
        <v>0</v>
      </c>
      <c r="Q494">
        <f t="shared" si="37"/>
        <v>497</v>
      </c>
      <c r="R494" s="38">
        <f t="shared" si="38"/>
        <v>0</v>
      </c>
      <c r="S494" t="str">
        <f t="shared" si="39"/>
        <v xml:space="preserve"> -&gt; </v>
      </c>
    </row>
    <row r="495" spans="1:19">
      <c r="A495" s="65"/>
      <c r="B495" s="66"/>
      <c r="C495" s="65"/>
      <c r="D495" s="65"/>
      <c r="E495" s="65"/>
      <c r="F495" s="65"/>
      <c r="G495" s="65"/>
      <c r="H495" s="66"/>
      <c r="I495" s="66"/>
      <c r="J495" s="66"/>
      <c r="K495" s="65"/>
      <c r="L495" s="65"/>
      <c r="M495" s="23" t="str">
        <f t="shared" ca="1" si="35"/>
        <v/>
      </c>
      <c r="O495">
        <f>'Combined Delivery Data'!B494</f>
        <v>0</v>
      </c>
      <c r="P495">
        <f t="shared" si="36"/>
        <v>0</v>
      </c>
      <c r="Q495">
        <f t="shared" si="37"/>
        <v>497</v>
      </c>
      <c r="R495" s="38">
        <f t="shared" si="38"/>
        <v>0</v>
      </c>
      <c r="S495" t="str">
        <f t="shared" si="39"/>
        <v xml:space="preserve"> -&gt; </v>
      </c>
    </row>
    <row r="496" spans="1:19">
      <c r="A496" s="65"/>
      <c r="B496" s="66"/>
      <c r="C496" s="65"/>
      <c r="D496" s="65"/>
      <c r="E496" s="65"/>
      <c r="F496" s="65"/>
      <c r="G496" s="65"/>
      <c r="H496" s="66"/>
      <c r="I496" s="66"/>
      <c r="J496" s="66"/>
      <c r="K496" s="65"/>
      <c r="L496" s="65"/>
      <c r="M496" s="23" t="str">
        <f t="shared" ca="1" si="35"/>
        <v/>
      </c>
      <c r="O496">
        <f>'Combined Delivery Data'!B495</f>
        <v>0</v>
      </c>
      <c r="P496">
        <f t="shared" si="36"/>
        <v>0</v>
      </c>
      <c r="Q496">
        <f t="shared" si="37"/>
        <v>497</v>
      </c>
      <c r="R496" s="38">
        <f t="shared" si="38"/>
        <v>0</v>
      </c>
      <c r="S496" t="str">
        <f t="shared" si="39"/>
        <v xml:space="preserve"> -&gt; </v>
      </c>
    </row>
    <row r="497" spans="1:19">
      <c r="A497" s="65"/>
      <c r="B497" s="66"/>
      <c r="C497" s="65"/>
      <c r="D497" s="65"/>
      <c r="E497" s="65"/>
      <c r="F497" s="65"/>
      <c r="G497" s="65"/>
      <c r="H497" s="66"/>
      <c r="I497" s="66"/>
      <c r="J497" s="66"/>
      <c r="K497" s="65"/>
      <c r="L497" s="65"/>
      <c r="M497" s="23" t="str">
        <f t="shared" ca="1" si="35"/>
        <v/>
      </c>
      <c r="O497">
        <f>'Combined Delivery Data'!B496</f>
        <v>0</v>
      </c>
      <c r="P497">
        <f t="shared" si="36"/>
        <v>0</v>
      </c>
      <c r="Q497">
        <f t="shared" si="37"/>
        <v>497</v>
      </c>
      <c r="R497" s="38">
        <f t="shared" si="38"/>
        <v>0</v>
      </c>
      <c r="S497" t="str">
        <f t="shared" si="39"/>
        <v xml:space="preserve"> -&gt; </v>
      </c>
    </row>
    <row r="498" spans="1:19">
      <c r="A498" s="65"/>
      <c r="B498" s="66"/>
      <c r="C498" s="65"/>
      <c r="D498" s="65"/>
      <c r="E498" s="65"/>
      <c r="F498" s="65"/>
      <c r="G498" s="65"/>
      <c r="H498" s="66"/>
      <c r="I498" s="66"/>
      <c r="J498" s="66"/>
      <c r="K498" s="65"/>
      <c r="L498" s="65"/>
      <c r="M498" s="23" t="str">
        <f t="shared" ca="1" si="35"/>
        <v/>
      </c>
      <c r="O498">
        <f>'Combined Delivery Data'!B497</f>
        <v>0</v>
      </c>
      <c r="P498">
        <f t="shared" si="36"/>
        <v>0</v>
      </c>
      <c r="Q498">
        <f t="shared" si="37"/>
        <v>497</v>
      </c>
      <c r="R498" s="38">
        <f t="shared" si="38"/>
        <v>0</v>
      </c>
      <c r="S498" t="str">
        <f t="shared" si="39"/>
        <v xml:space="preserve"> -&gt; </v>
      </c>
    </row>
    <row r="499" spans="1:19">
      <c r="A499" s="65"/>
      <c r="B499" s="66"/>
      <c r="C499" s="65"/>
      <c r="D499" s="65"/>
      <c r="E499" s="65"/>
      <c r="F499" s="65"/>
      <c r="G499" s="65"/>
      <c r="H499" s="66"/>
      <c r="I499" s="66"/>
      <c r="J499" s="66"/>
      <c r="K499" s="65"/>
      <c r="L499" s="65"/>
      <c r="M499" s="23" t="str">
        <f t="shared" ca="1" si="35"/>
        <v/>
      </c>
      <c r="O499">
        <f>'Combined Delivery Data'!B498</f>
        <v>0</v>
      </c>
      <c r="P499">
        <f t="shared" si="36"/>
        <v>0</v>
      </c>
      <c r="Q499">
        <f t="shared" si="37"/>
        <v>497</v>
      </c>
      <c r="R499" s="38">
        <f t="shared" si="38"/>
        <v>0</v>
      </c>
      <c r="S499" t="str">
        <f t="shared" si="39"/>
        <v xml:space="preserve"> -&gt; </v>
      </c>
    </row>
    <row r="500" spans="1:19">
      <c r="A500" s="65"/>
      <c r="B500" s="66"/>
      <c r="C500" s="65"/>
      <c r="D500" s="65"/>
      <c r="E500" s="65"/>
      <c r="F500" s="65"/>
      <c r="G500" s="65"/>
      <c r="H500" s="66"/>
      <c r="I500" s="66"/>
      <c r="J500" s="66"/>
      <c r="K500" s="65"/>
      <c r="L500" s="65"/>
      <c r="M500" s="23" t="str">
        <f t="shared" ca="1" si="35"/>
        <v/>
      </c>
      <c r="O500">
        <f>'Combined Delivery Data'!B499</f>
        <v>0</v>
      </c>
      <c r="P500">
        <f t="shared" si="36"/>
        <v>0</v>
      </c>
      <c r="Q500">
        <f t="shared" si="37"/>
        <v>497</v>
      </c>
      <c r="R500" s="38">
        <f t="shared" si="38"/>
        <v>0</v>
      </c>
      <c r="S500" t="str">
        <f t="shared" si="39"/>
        <v xml:space="preserve"> -&gt; </v>
      </c>
    </row>
  </sheetData>
  <sheetProtection sheet="1" formatColumns="0" formatRows="0" sort="0" autoFilter="0"/>
  <mergeCells count="2">
    <mergeCell ref="A1:M1"/>
    <mergeCell ref="O1:S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Data'!$B$2:$B$500</xm:f>
          </x14:formula1>
          <xm:sqref>A3:A500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7" t="s">
        <v>243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27" customHeight="1">
      <c r="A2" s="8" t="s">
        <v>19</v>
      </c>
      <c r="B2" s="8" t="s">
        <v>244</v>
      </c>
      <c r="C2" s="8" t="s">
        <v>20</v>
      </c>
      <c r="D2" s="8" t="s">
        <v>245</v>
      </c>
      <c r="E2" s="8" t="s">
        <v>246</v>
      </c>
      <c r="F2" s="8" t="s">
        <v>28</v>
      </c>
      <c r="G2" s="8" t="s">
        <v>24</v>
      </c>
      <c r="H2" s="8" t="s">
        <v>247</v>
      </c>
      <c r="I2" s="8" t="s">
        <v>248</v>
      </c>
      <c r="J2" s="8" t="s">
        <v>249</v>
      </c>
    </row>
    <row r="3" spans="1:10" ht="14.25" customHeight="1">
      <c r="A3" s="9" t="s">
        <v>50</v>
      </c>
      <c r="B3" s="9" t="s">
        <v>162</v>
      </c>
      <c r="C3" s="9" t="s">
        <v>51</v>
      </c>
      <c r="D3" s="9" t="s">
        <v>53</v>
      </c>
      <c r="E3" s="9" t="s">
        <v>54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50</v>
      </c>
      <c r="B4" s="9" t="s">
        <v>250</v>
      </c>
      <c r="C4" s="9" t="s">
        <v>51</v>
      </c>
      <c r="D4" s="9" t="s">
        <v>53</v>
      </c>
      <c r="E4" s="9" t="s">
        <v>54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50</v>
      </c>
      <c r="B5" s="9" t="s">
        <v>148</v>
      </c>
      <c r="C5" s="9" t="s">
        <v>51</v>
      </c>
      <c r="D5" s="9" t="s">
        <v>53</v>
      </c>
      <c r="E5" s="9" t="s">
        <v>54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50</v>
      </c>
      <c r="B6" s="9" t="s">
        <v>251</v>
      </c>
      <c r="C6" s="9" t="s">
        <v>51</v>
      </c>
      <c r="D6" s="9" t="s">
        <v>53</v>
      </c>
      <c r="E6" s="9" t="s">
        <v>54</v>
      </c>
      <c r="F6" s="9"/>
      <c r="G6" s="9"/>
      <c r="H6" s="10">
        <v>46122</v>
      </c>
      <c r="I6" s="10"/>
      <c r="J6" s="10"/>
    </row>
    <row r="7" spans="1:10" ht="14.25" customHeight="1">
      <c r="A7" s="9" t="s">
        <v>50</v>
      </c>
      <c r="B7" s="9" t="s">
        <v>52</v>
      </c>
      <c r="C7" s="9" t="s">
        <v>51</v>
      </c>
      <c r="D7" s="9" t="s">
        <v>53</v>
      </c>
      <c r="E7" s="9" t="s">
        <v>54</v>
      </c>
      <c r="F7" s="9"/>
      <c r="G7" s="9"/>
      <c r="H7" s="9"/>
      <c r="I7" s="10"/>
      <c r="J7" s="10"/>
    </row>
    <row r="8" spans="1:10" ht="14.25" customHeight="1">
      <c r="A8" s="9" t="s">
        <v>50</v>
      </c>
      <c r="B8" s="9" t="s">
        <v>162</v>
      </c>
      <c r="C8" s="9" t="s">
        <v>63</v>
      </c>
      <c r="D8" s="9" t="s">
        <v>53</v>
      </c>
      <c r="E8" s="9" t="s">
        <v>54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50</v>
      </c>
      <c r="B9" s="9" t="s">
        <v>250</v>
      </c>
      <c r="C9" s="9" t="s">
        <v>63</v>
      </c>
      <c r="D9" s="9" t="s">
        <v>53</v>
      </c>
      <c r="E9" s="9" t="s">
        <v>54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50</v>
      </c>
      <c r="B10" s="9" t="s">
        <v>148</v>
      </c>
      <c r="C10" s="9" t="s">
        <v>63</v>
      </c>
      <c r="D10" s="9" t="s">
        <v>53</v>
      </c>
      <c r="E10" s="9" t="s">
        <v>54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50</v>
      </c>
      <c r="B11" s="9" t="s">
        <v>251</v>
      </c>
      <c r="C11" s="9" t="s">
        <v>63</v>
      </c>
      <c r="D11" s="9" t="s">
        <v>53</v>
      </c>
      <c r="E11" s="9" t="s">
        <v>54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50</v>
      </c>
      <c r="B12" s="9" t="s">
        <v>52</v>
      </c>
      <c r="C12" s="9" t="s">
        <v>63</v>
      </c>
      <c r="D12" s="9" t="s">
        <v>53</v>
      </c>
      <c r="E12" s="9" t="s">
        <v>54</v>
      </c>
      <c r="F12" s="9"/>
      <c r="G12" s="9"/>
      <c r="H12" s="10"/>
      <c r="I12" s="10"/>
      <c r="J12" s="10"/>
    </row>
    <row r="13" spans="1:10" ht="14.25" customHeight="1">
      <c r="A13" s="9" t="s">
        <v>50</v>
      </c>
      <c r="B13" s="9" t="s">
        <v>162</v>
      </c>
      <c r="C13" s="9" t="s">
        <v>66</v>
      </c>
      <c r="D13" s="9" t="s">
        <v>67</v>
      </c>
      <c r="E13" s="9" t="s">
        <v>54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50</v>
      </c>
      <c r="B14" s="9" t="s">
        <v>250</v>
      </c>
      <c r="C14" s="9" t="s">
        <v>66</v>
      </c>
      <c r="D14" s="9" t="s">
        <v>67</v>
      </c>
      <c r="E14" s="9" t="s">
        <v>54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50</v>
      </c>
      <c r="B15" s="9" t="s">
        <v>148</v>
      </c>
      <c r="C15" s="9" t="s">
        <v>66</v>
      </c>
      <c r="D15" s="9" t="s">
        <v>67</v>
      </c>
      <c r="E15" s="9" t="s">
        <v>54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50</v>
      </c>
      <c r="B16" s="9" t="s">
        <v>251</v>
      </c>
      <c r="C16" s="9" t="s">
        <v>66</v>
      </c>
      <c r="D16" s="9" t="s">
        <v>67</v>
      </c>
      <c r="E16" s="9" t="s">
        <v>54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50</v>
      </c>
      <c r="B17" s="9" t="s">
        <v>52</v>
      </c>
      <c r="C17" s="9" t="s">
        <v>66</v>
      </c>
      <c r="D17" s="9" t="s">
        <v>67</v>
      </c>
      <c r="E17" s="9" t="s">
        <v>54</v>
      </c>
      <c r="F17" s="9"/>
      <c r="G17" s="9"/>
      <c r="H17" s="10"/>
      <c r="I17" s="10"/>
      <c r="J17" s="10"/>
    </row>
    <row r="18" spans="1:10" ht="14.25" customHeight="1">
      <c r="A18" s="9" t="s">
        <v>50</v>
      </c>
      <c r="B18" s="9" t="s">
        <v>162</v>
      </c>
      <c r="C18" s="9" t="s">
        <v>68</v>
      </c>
      <c r="D18" s="9" t="s">
        <v>69</v>
      </c>
      <c r="E18" s="9" t="s">
        <v>70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50</v>
      </c>
      <c r="B19" s="9" t="s">
        <v>250</v>
      </c>
      <c r="C19" s="9" t="s">
        <v>68</v>
      </c>
      <c r="D19" s="9" t="s">
        <v>69</v>
      </c>
      <c r="E19" s="9" t="s">
        <v>70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50</v>
      </c>
      <c r="B20" s="9" t="s">
        <v>148</v>
      </c>
      <c r="C20" s="9" t="s">
        <v>68</v>
      </c>
      <c r="D20" s="9" t="s">
        <v>69</v>
      </c>
      <c r="E20" s="9" t="s">
        <v>70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50</v>
      </c>
      <c r="B21" s="9" t="s">
        <v>251</v>
      </c>
      <c r="C21" s="9" t="s">
        <v>68</v>
      </c>
      <c r="D21" s="9" t="s">
        <v>69</v>
      </c>
      <c r="E21" s="9" t="s">
        <v>70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50</v>
      </c>
      <c r="B22" s="9" t="s">
        <v>52</v>
      </c>
      <c r="C22" s="9" t="s">
        <v>68</v>
      </c>
      <c r="D22" s="9" t="s">
        <v>69</v>
      </c>
      <c r="E22" s="9" t="s">
        <v>70</v>
      </c>
      <c r="F22" s="9"/>
      <c r="G22" s="9"/>
      <c r="H22" s="9"/>
      <c r="I22" s="10"/>
      <c r="J22" s="10"/>
    </row>
    <row r="23" spans="1:10" ht="14.25" customHeight="1">
      <c r="A23" s="9" t="s">
        <v>50</v>
      </c>
      <c r="B23" s="9" t="s">
        <v>162</v>
      </c>
      <c r="C23" s="9" t="s">
        <v>74</v>
      </c>
      <c r="D23" s="9" t="s">
        <v>67</v>
      </c>
      <c r="E23" s="9" t="s">
        <v>54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50</v>
      </c>
      <c r="B24" s="9" t="s">
        <v>250</v>
      </c>
      <c r="C24" s="9" t="s">
        <v>74</v>
      </c>
      <c r="D24" s="9" t="s">
        <v>67</v>
      </c>
      <c r="E24" s="9" t="s">
        <v>54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50</v>
      </c>
      <c r="B25" s="9" t="s">
        <v>148</v>
      </c>
      <c r="C25" s="9" t="s">
        <v>74</v>
      </c>
      <c r="D25" s="9" t="s">
        <v>67</v>
      </c>
      <c r="E25" s="9" t="s">
        <v>54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50</v>
      </c>
      <c r="B26" s="9" t="s">
        <v>251</v>
      </c>
      <c r="C26" s="9" t="s">
        <v>74</v>
      </c>
      <c r="D26" s="9" t="s">
        <v>67</v>
      </c>
      <c r="E26" s="9" t="s">
        <v>54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50</v>
      </c>
      <c r="B27" s="9" t="s">
        <v>52</v>
      </c>
      <c r="C27" s="9" t="s">
        <v>74</v>
      </c>
      <c r="D27" s="9" t="s">
        <v>67</v>
      </c>
      <c r="E27" s="9" t="s">
        <v>54</v>
      </c>
      <c r="F27" s="9"/>
      <c r="G27" s="9"/>
      <c r="H27" s="10"/>
      <c r="I27" s="10"/>
      <c r="J27" s="10"/>
    </row>
    <row r="28" spans="1:10" ht="14.25" customHeight="1">
      <c r="A28" s="9" t="s">
        <v>50</v>
      </c>
      <c r="B28" s="9" t="s">
        <v>162</v>
      </c>
      <c r="C28" s="9" t="s">
        <v>78</v>
      </c>
      <c r="D28" s="9" t="s">
        <v>79</v>
      </c>
      <c r="E28" s="9" t="s">
        <v>70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50</v>
      </c>
      <c r="B29" s="9" t="s">
        <v>250</v>
      </c>
      <c r="C29" s="9" t="s">
        <v>78</v>
      </c>
      <c r="D29" s="9" t="s">
        <v>79</v>
      </c>
      <c r="E29" s="9" t="s">
        <v>70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50</v>
      </c>
      <c r="B30" s="9" t="s">
        <v>148</v>
      </c>
      <c r="C30" s="9" t="s">
        <v>78</v>
      </c>
      <c r="D30" s="9" t="s">
        <v>79</v>
      </c>
      <c r="E30" s="9" t="s">
        <v>70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50</v>
      </c>
      <c r="B31" s="9" t="s">
        <v>251</v>
      </c>
      <c r="C31" s="9" t="s">
        <v>78</v>
      </c>
      <c r="D31" s="9" t="s">
        <v>79</v>
      </c>
      <c r="E31" s="9" t="s">
        <v>70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50</v>
      </c>
      <c r="B32" s="9" t="s">
        <v>52</v>
      </c>
      <c r="C32" s="9" t="s">
        <v>78</v>
      </c>
      <c r="D32" s="9" t="s">
        <v>79</v>
      </c>
      <c r="E32" s="9" t="s">
        <v>70</v>
      </c>
      <c r="F32" s="9"/>
      <c r="G32" s="9"/>
      <c r="H32" s="10"/>
      <c r="I32" s="10"/>
      <c r="J32" s="10"/>
    </row>
    <row r="33" spans="1:10" ht="14.25" customHeight="1">
      <c r="A33" s="9" t="s">
        <v>50</v>
      </c>
      <c r="B33" s="9" t="s">
        <v>162</v>
      </c>
      <c r="C33" s="9" t="s">
        <v>83</v>
      </c>
      <c r="D33" s="9" t="s">
        <v>67</v>
      </c>
      <c r="E33" s="9" t="s">
        <v>70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50</v>
      </c>
      <c r="B34" s="9" t="s">
        <v>250</v>
      </c>
      <c r="C34" s="9" t="s">
        <v>83</v>
      </c>
      <c r="D34" s="9" t="s">
        <v>67</v>
      </c>
      <c r="E34" s="9" t="s">
        <v>70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50</v>
      </c>
      <c r="B35" s="9" t="s">
        <v>148</v>
      </c>
      <c r="C35" s="9" t="s">
        <v>83</v>
      </c>
      <c r="D35" s="9" t="s">
        <v>67</v>
      </c>
      <c r="E35" s="9" t="s">
        <v>70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50</v>
      </c>
      <c r="B36" s="9" t="s">
        <v>251</v>
      </c>
      <c r="C36" s="9" t="s">
        <v>83</v>
      </c>
      <c r="D36" s="9" t="s">
        <v>67</v>
      </c>
      <c r="E36" s="9" t="s">
        <v>70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50</v>
      </c>
      <c r="B37" s="9" t="s">
        <v>52</v>
      </c>
      <c r="C37" s="9" t="s">
        <v>83</v>
      </c>
      <c r="D37" s="9" t="s">
        <v>67</v>
      </c>
      <c r="E37" s="9" t="s">
        <v>70</v>
      </c>
      <c r="F37" s="9"/>
      <c r="G37" s="9"/>
      <c r="H37" s="10"/>
      <c r="I37" s="10"/>
      <c r="J37" s="10"/>
    </row>
    <row r="38" spans="1:10" ht="14.25" customHeight="1">
      <c r="A38" s="9" t="s">
        <v>50</v>
      </c>
      <c r="B38" s="9" t="s">
        <v>162</v>
      </c>
      <c r="C38" s="9" t="s">
        <v>86</v>
      </c>
      <c r="D38" s="9" t="s">
        <v>87</v>
      </c>
      <c r="E38" s="9" t="s">
        <v>70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50</v>
      </c>
      <c r="B39" s="9" t="s">
        <v>250</v>
      </c>
      <c r="C39" s="9" t="s">
        <v>86</v>
      </c>
      <c r="D39" s="9" t="s">
        <v>87</v>
      </c>
      <c r="E39" s="9" t="s">
        <v>70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50</v>
      </c>
      <c r="B40" s="9" t="s">
        <v>148</v>
      </c>
      <c r="C40" s="9" t="s">
        <v>86</v>
      </c>
      <c r="D40" s="9" t="s">
        <v>87</v>
      </c>
      <c r="E40" s="9" t="s">
        <v>70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50</v>
      </c>
      <c r="B41" s="9" t="s">
        <v>251</v>
      </c>
      <c r="C41" s="9" t="s">
        <v>86</v>
      </c>
      <c r="D41" s="9" t="s">
        <v>87</v>
      </c>
      <c r="E41" s="9" t="s">
        <v>70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50</v>
      </c>
      <c r="B42" s="9" t="s">
        <v>52</v>
      </c>
      <c r="C42" s="9" t="s">
        <v>86</v>
      </c>
      <c r="D42" s="9" t="s">
        <v>87</v>
      </c>
      <c r="E42" s="9" t="s">
        <v>70</v>
      </c>
      <c r="F42" s="9"/>
      <c r="G42" s="9"/>
      <c r="H42" s="9"/>
      <c r="I42" s="10"/>
      <c r="J42" s="10"/>
    </row>
    <row r="43" spans="1:10" ht="14.25" customHeight="1">
      <c r="A43" s="9" t="s">
        <v>50</v>
      </c>
      <c r="B43" s="9" t="s">
        <v>162</v>
      </c>
      <c r="C43" s="9" t="s">
        <v>90</v>
      </c>
      <c r="D43" s="9" t="s">
        <v>69</v>
      </c>
      <c r="E43" s="9" t="s">
        <v>70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50</v>
      </c>
      <c r="B44" s="9" t="s">
        <v>250</v>
      </c>
      <c r="C44" s="9" t="s">
        <v>90</v>
      </c>
      <c r="D44" s="9" t="s">
        <v>69</v>
      </c>
      <c r="E44" s="9" t="s">
        <v>70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50</v>
      </c>
      <c r="B45" s="9" t="s">
        <v>148</v>
      </c>
      <c r="C45" s="9" t="s">
        <v>90</v>
      </c>
      <c r="D45" s="9" t="s">
        <v>69</v>
      </c>
      <c r="E45" s="9" t="s">
        <v>70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50</v>
      </c>
      <c r="B46" s="9" t="s">
        <v>251</v>
      </c>
      <c r="C46" s="9" t="s">
        <v>90</v>
      </c>
      <c r="D46" s="9" t="s">
        <v>69</v>
      </c>
      <c r="E46" s="9" t="s">
        <v>70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50</v>
      </c>
      <c r="B47" s="9" t="s">
        <v>52</v>
      </c>
      <c r="C47" s="9" t="s">
        <v>90</v>
      </c>
      <c r="D47" s="9" t="s">
        <v>69</v>
      </c>
      <c r="E47" s="9" t="s">
        <v>70</v>
      </c>
      <c r="F47" s="9"/>
      <c r="G47" s="9"/>
      <c r="H47" s="10"/>
      <c r="I47" s="10"/>
      <c r="J47" s="10"/>
    </row>
    <row r="48" spans="1:10" ht="14.25" customHeight="1">
      <c r="A48" s="9" t="s">
        <v>50</v>
      </c>
      <c r="B48" s="9" t="s">
        <v>162</v>
      </c>
      <c r="C48" s="9" t="s">
        <v>94</v>
      </c>
      <c r="D48" s="9" t="s">
        <v>67</v>
      </c>
      <c r="E48" s="9" t="s">
        <v>70</v>
      </c>
      <c r="F48" s="9"/>
      <c r="G48" s="9"/>
      <c r="H48" s="10"/>
      <c r="I48" s="10"/>
      <c r="J48" s="10"/>
    </row>
    <row r="49" spans="1:10" ht="14.25" customHeight="1">
      <c r="A49" s="9" t="s">
        <v>50</v>
      </c>
      <c r="B49" s="9" t="s">
        <v>250</v>
      </c>
      <c r="C49" s="9" t="s">
        <v>94</v>
      </c>
      <c r="D49" s="9" t="s">
        <v>67</v>
      </c>
      <c r="E49" s="9" t="s">
        <v>70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50</v>
      </c>
      <c r="B50" s="9" t="s">
        <v>148</v>
      </c>
      <c r="C50" s="9" t="s">
        <v>94</v>
      </c>
      <c r="D50" s="9" t="s">
        <v>67</v>
      </c>
      <c r="E50" s="9" t="s">
        <v>70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50</v>
      </c>
      <c r="B51" s="9" t="s">
        <v>251</v>
      </c>
      <c r="C51" s="9" t="s">
        <v>94</v>
      </c>
      <c r="D51" s="9" t="s">
        <v>67</v>
      </c>
      <c r="E51" s="9" t="s">
        <v>70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50</v>
      </c>
      <c r="B52" s="9" t="s">
        <v>52</v>
      </c>
      <c r="C52" s="9" t="s">
        <v>94</v>
      </c>
      <c r="D52" s="9" t="s">
        <v>67</v>
      </c>
      <c r="E52" s="9" t="s">
        <v>70</v>
      </c>
      <c r="F52" s="9"/>
      <c r="G52" s="9"/>
      <c r="H52" s="10"/>
      <c r="I52" s="10"/>
      <c r="J52" s="10"/>
    </row>
    <row r="53" spans="1:10" ht="14.25" customHeight="1">
      <c r="A53" s="9" t="s">
        <v>50</v>
      </c>
      <c r="B53" s="9" t="s">
        <v>162</v>
      </c>
      <c r="C53" s="9" t="s">
        <v>99</v>
      </c>
      <c r="D53" s="9" t="s">
        <v>67</v>
      </c>
      <c r="E53" s="9" t="s">
        <v>70</v>
      </c>
      <c r="F53" s="9"/>
      <c r="G53" s="9"/>
      <c r="H53" s="10"/>
      <c r="I53" s="10"/>
      <c r="J53" s="10"/>
    </row>
    <row r="54" spans="1:10" ht="14.25" customHeight="1">
      <c r="A54" s="9" t="s">
        <v>50</v>
      </c>
      <c r="B54" s="9" t="s">
        <v>250</v>
      </c>
      <c r="C54" s="9" t="s">
        <v>99</v>
      </c>
      <c r="D54" s="9" t="s">
        <v>67</v>
      </c>
      <c r="E54" s="9" t="s">
        <v>70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50</v>
      </c>
      <c r="B55" s="9" t="s">
        <v>148</v>
      </c>
      <c r="C55" s="9" t="s">
        <v>99</v>
      </c>
      <c r="D55" s="9" t="s">
        <v>67</v>
      </c>
      <c r="E55" s="9" t="s">
        <v>70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50</v>
      </c>
      <c r="B56" s="9" t="s">
        <v>251</v>
      </c>
      <c r="C56" s="9" t="s">
        <v>99</v>
      </c>
      <c r="D56" s="9" t="s">
        <v>67</v>
      </c>
      <c r="E56" s="9" t="s">
        <v>70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50</v>
      </c>
      <c r="B57" s="9" t="s">
        <v>52</v>
      </c>
      <c r="C57" s="9" t="s">
        <v>99</v>
      </c>
      <c r="D57" s="9" t="s">
        <v>67</v>
      </c>
      <c r="E57" s="9" t="s">
        <v>70</v>
      </c>
      <c r="F57" s="9"/>
      <c r="G57" s="9"/>
      <c r="H57" s="10"/>
      <c r="I57" s="10"/>
      <c r="J57" s="10"/>
    </row>
    <row r="58" spans="1:10" ht="14.25" customHeight="1">
      <c r="A58" s="9" t="s">
        <v>50</v>
      </c>
      <c r="B58" s="9" t="s">
        <v>162</v>
      </c>
      <c r="C58" s="9" t="s">
        <v>103</v>
      </c>
      <c r="D58" s="9" t="s">
        <v>67</v>
      </c>
      <c r="E58" s="9" t="s">
        <v>54</v>
      </c>
      <c r="F58" s="9"/>
      <c r="G58" s="9"/>
      <c r="H58" s="9"/>
      <c r="I58" s="10"/>
      <c r="J58" s="10"/>
    </row>
    <row r="59" spans="1:10" ht="14.25" customHeight="1">
      <c r="A59" s="9" t="s">
        <v>50</v>
      </c>
      <c r="B59" s="9" t="s">
        <v>250</v>
      </c>
      <c r="C59" s="9" t="s">
        <v>103</v>
      </c>
      <c r="D59" s="9" t="s">
        <v>67</v>
      </c>
      <c r="E59" s="9" t="s">
        <v>54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50</v>
      </c>
      <c r="B60" s="9" t="s">
        <v>148</v>
      </c>
      <c r="C60" s="9" t="s">
        <v>103</v>
      </c>
      <c r="D60" s="9" t="s">
        <v>67</v>
      </c>
      <c r="E60" s="9" t="s">
        <v>54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50</v>
      </c>
      <c r="B61" s="9" t="s">
        <v>251</v>
      </c>
      <c r="C61" s="9" t="s">
        <v>103</v>
      </c>
      <c r="D61" s="9" t="s">
        <v>67</v>
      </c>
      <c r="E61" s="9" t="s">
        <v>54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50</v>
      </c>
      <c r="B62" s="9" t="s">
        <v>52</v>
      </c>
      <c r="C62" s="9" t="s">
        <v>103</v>
      </c>
      <c r="D62" s="9" t="s">
        <v>67</v>
      </c>
      <c r="E62" s="9" t="s">
        <v>54</v>
      </c>
      <c r="F62" s="9"/>
      <c r="G62" s="9"/>
      <c r="H62" s="9"/>
      <c r="I62" s="10"/>
      <c r="J62" s="10"/>
    </row>
    <row r="63" spans="1:10" ht="14.25" customHeight="1">
      <c r="A63" s="9" t="s">
        <v>50</v>
      </c>
      <c r="B63" s="9" t="s">
        <v>162</v>
      </c>
      <c r="C63" s="9" t="s">
        <v>106</v>
      </c>
      <c r="D63" s="9" t="s">
        <v>107</v>
      </c>
      <c r="E63" s="9" t="s">
        <v>54</v>
      </c>
      <c r="F63" s="9"/>
      <c r="G63" s="9"/>
      <c r="H63" s="10"/>
      <c r="I63" s="10"/>
      <c r="J63" s="10"/>
    </row>
    <row r="64" spans="1:10" ht="14.25" customHeight="1">
      <c r="A64" s="9" t="s">
        <v>50</v>
      </c>
      <c r="B64" s="9" t="s">
        <v>250</v>
      </c>
      <c r="C64" s="9" t="s">
        <v>106</v>
      </c>
      <c r="D64" s="9" t="s">
        <v>107</v>
      </c>
      <c r="E64" s="9" t="s">
        <v>54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50</v>
      </c>
      <c r="B65" s="9" t="s">
        <v>148</v>
      </c>
      <c r="C65" s="9" t="s">
        <v>106</v>
      </c>
      <c r="D65" s="9" t="s">
        <v>107</v>
      </c>
      <c r="E65" s="9" t="s">
        <v>54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50</v>
      </c>
      <c r="B66" s="9" t="s">
        <v>251</v>
      </c>
      <c r="C66" s="9" t="s">
        <v>106</v>
      </c>
      <c r="D66" s="9" t="s">
        <v>107</v>
      </c>
      <c r="E66" s="9" t="s">
        <v>54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50</v>
      </c>
      <c r="B67" s="9" t="s">
        <v>52</v>
      </c>
      <c r="C67" s="9" t="s">
        <v>106</v>
      </c>
      <c r="D67" s="9" t="s">
        <v>107</v>
      </c>
      <c r="E67" s="9" t="s">
        <v>54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50</v>
      </c>
      <c r="B68" s="9" t="s">
        <v>162</v>
      </c>
      <c r="C68" s="9" t="s">
        <v>109</v>
      </c>
      <c r="D68" s="9" t="s">
        <v>79</v>
      </c>
      <c r="E68" s="9" t="s">
        <v>110</v>
      </c>
      <c r="F68" s="9"/>
      <c r="G68" s="9"/>
      <c r="H68" s="10"/>
      <c r="I68" s="10"/>
      <c r="J68" s="9"/>
    </row>
    <row r="69" spans="1:10" ht="14.25" customHeight="1">
      <c r="A69" s="9" t="s">
        <v>50</v>
      </c>
      <c r="B69" s="9" t="s">
        <v>250</v>
      </c>
      <c r="C69" s="9" t="s">
        <v>109</v>
      </c>
      <c r="D69" s="9" t="s">
        <v>79</v>
      </c>
      <c r="E69" s="9" t="s">
        <v>110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50</v>
      </c>
      <c r="B70" s="9" t="s">
        <v>148</v>
      </c>
      <c r="C70" s="9" t="s">
        <v>109</v>
      </c>
      <c r="D70" s="9" t="s">
        <v>79</v>
      </c>
      <c r="E70" s="9" t="s">
        <v>110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50</v>
      </c>
      <c r="B71" s="9" t="s">
        <v>251</v>
      </c>
      <c r="C71" s="9" t="s">
        <v>109</v>
      </c>
      <c r="D71" s="9" t="s">
        <v>79</v>
      </c>
      <c r="E71" s="9" t="s">
        <v>110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50</v>
      </c>
      <c r="B72" s="9" t="s">
        <v>52</v>
      </c>
      <c r="C72" s="9" t="s">
        <v>109</v>
      </c>
      <c r="D72" s="9" t="s">
        <v>79</v>
      </c>
      <c r="E72" s="9" t="s">
        <v>110</v>
      </c>
      <c r="F72" s="9"/>
      <c r="G72" s="9"/>
      <c r="H72" s="10"/>
      <c r="I72" s="10"/>
      <c r="J72" s="10"/>
    </row>
    <row r="73" spans="1:10" ht="14.25" customHeight="1">
      <c r="A73" s="9" t="s">
        <v>50</v>
      </c>
      <c r="B73" s="9" t="s">
        <v>162</v>
      </c>
      <c r="C73" s="9" t="s">
        <v>113</v>
      </c>
      <c r="D73" s="9" t="s">
        <v>69</v>
      </c>
      <c r="E73" s="9" t="s">
        <v>110</v>
      </c>
      <c r="F73" s="9"/>
      <c r="G73" s="9"/>
      <c r="H73" s="9"/>
      <c r="I73" s="10"/>
      <c r="J73" s="10"/>
    </row>
    <row r="74" spans="1:10" ht="14.25" customHeight="1">
      <c r="A74" s="9" t="s">
        <v>50</v>
      </c>
      <c r="B74" s="9" t="s">
        <v>250</v>
      </c>
      <c r="C74" s="9" t="s">
        <v>113</v>
      </c>
      <c r="D74" s="9" t="s">
        <v>69</v>
      </c>
      <c r="E74" s="9" t="s">
        <v>110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50</v>
      </c>
      <c r="B75" s="9" t="s">
        <v>148</v>
      </c>
      <c r="C75" s="9" t="s">
        <v>113</v>
      </c>
      <c r="D75" s="9" t="s">
        <v>69</v>
      </c>
      <c r="E75" s="9" t="s">
        <v>110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50</v>
      </c>
      <c r="B76" s="9" t="s">
        <v>251</v>
      </c>
      <c r="C76" s="9" t="s">
        <v>113</v>
      </c>
      <c r="D76" s="9" t="s">
        <v>69</v>
      </c>
      <c r="E76" s="9" t="s">
        <v>110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50</v>
      </c>
      <c r="B77" s="9" t="s">
        <v>52</v>
      </c>
      <c r="C77" s="9" t="s">
        <v>113</v>
      </c>
      <c r="D77" s="9" t="s">
        <v>69</v>
      </c>
      <c r="E77" s="9" t="s">
        <v>110</v>
      </c>
      <c r="F77" s="9"/>
      <c r="G77" s="9"/>
      <c r="H77" s="9"/>
      <c r="I77" s="10"/>
      <c r="J77" s="10"/>
    </row>
    <row r="78" spans="1:10" ht="14.25" customHeight="1">
      <c r="A78" s="9" t="s">
        <v>50</v>
      </c>
      <c r="B78" s="9" t="s">
        <v>162</v>
      </c>
      <c r="C78" s="9" t="s">
        <v>116</v>
      </c>
      <c r="D78" s="9" t="s">
        <v>87</v>
      </c>
      <c r="E78" s="9" t="s">
        <v>70</v>
      </c>
      <c r="F78" s="9"/>
      <c r="G78" s="9"/>
      <c r="H78" s="10"/>
      <c r="I78" s="10"/>
      <c r="J78" s="9"/>
    </row>
    <row r="79" spans="1:10" ht="14.25" customHeight="1">
      <c r="A79" s="9" t="s">
        <v>50</v>
      </c>
      <c r="B79" s="9" t="s">
        <v>250</v>
      </c>
      <c r="C79" s="9" t="s">
        <v>116</v>
      </c>
      <c r="D79" s="9" t="s">
        <v>87</v>
      </c>
      <c r="E79" s="9" t="s">
        <v>70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50</v>
      </c>
      <c r="B80" s="9" t="s">
        <v>148</v>
      </c>
      <c r="C80" s="9" t="s">
        <v>116</v>
      </c>
      <c r="D80" s="9" t="s">
        <v>87</v>
      </c>
      <c r="E80" s="9" t="s">
        <v>70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50</v>
      </c>
      <c r="B81" s="9" t="s">
        <v>251</v>
      </c>
      <c r="C81" s="9" t="s">
        <v>116</v>
      </c>
      <c r="D81" s="9" t="s">
        <v>87</v>
      </c>
      <c r="E81" s="9" t="s">
        <v>70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50</v>
      </c>
      <c r="B82" s="9" t="s">
        <v>52</v>
      </c>
      <c r="C82" s="9" t="s">
        <v>116</v>
      </c>
      <c r="D82" s="9" t="s">
        <v>87</v>
      </c>
      <c r="E82" s="9" t="s">
        <v>70</v>
      </c>
      <c r="F82" s="9"/>
      <c r="G82" s="9"/>
      <c r="H82" s="10"/>
      <c r="I82" s="10"/>
      <c r="J82" s="9"/>
    </row>
    <row r="83" spans="1:10" ht="14.25" customHeight="1">
      <c r="A83" s="9" t="s">
        <v>50</v>
      </c>
      <c r="B83" s="9" t="s">
        <v>162</v>
      </c>
      <c r="C83" s="9" t="s">
        <v>119</v>
      </c>
      <c r="D83" s="9" t="s">
        <v>87</v>
      </c>
      <c r="E83" s="9" t="s">
        <v>54</v>
      </c>
      <c r="F83" s="9"/>
      <c r="G83" s="9"/>
      <c r="H83" s="9"/>
      <c r="I83" s="10"/>
      <c r="J83" s="10"/>
    </row>
    <row r="84" spans="1:10" ht="14.25" customHeight="1">
      <c r="A84" s="9" t="s">
        <v>50</v>
      </c>
      <c r="B84" s="9" t="s">
        <v>250</v>
      </c>
      <c r="C84" s="9" t="s">
        <v>119</v>
      </c>
      <c r="D84" s="9" t="s">
        <v>87</v>
      </c>
      <c r="E84" s="9" t="s">
        <v>54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50</v>
      </c>
      <c r="B85" s="9" t="s">
        <v>148</v>
      </c>
      <c r="C85" s="9" t="s">
        <v>119</v>
      </c>
      <c r="D85" s="9" t="s">
        <v>87</v>
      </c>
      <c r="E85" s="9" t="s">
        <v>54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50</v>
      </c>
      <c r="B86" s="9" t="s">
        <v>251</v>
      </c>
      <c r="C86" s="9" t="s">
        <v>119</v>
      </c>
      <c r="D86" s="9" t="s">
        <v>87</v>
      </c>
      <c r="E86" s="9" t="s">
        <v>54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50</v>
      </c>
      <c r="B87" s="9" t="s">
        <v>52</v>
      </c>
      <c r="C87" s="9" t="s">
        <v>119</v>
      </c>
      <c r="D87" s="9" t="s">
        <v>87</v>
      </c>
      <c r="E87" s="9" t="s">
        <v>54</v>
      </c>
      <c r="F87" s="9"/>
      <c r="G87" s="9"/>
      <c r="H87" s="9"/>
      <c r="I87" s="10"/>
      <c r="J87" s="10"/>
    </row>
    <row r="88" spans="1:10" ht="14.25" customHeight="1">
      <c r="A88" s="9" t="s">
        <v>50</v>
      </c>
      <c r="B88" s="9" t="s">
        <v>162</v>
      </c>
      <c r="C88" s="9" t="s">
        <v>121</v>
      </c>
      <c r="D88" s="9" t="s">
        <v>53</v>
      </c>
      <c r="E88" s="9" t="s">
        <v>70</v>
      </c>
      <c r="F88" s="9"/>
      <c r="G88" s="9"/>
      <c r="H88" s="10"/>
      <c r="I88" s="10"/>
      <c r="J88" s="9"/>
    </row>
    <row r="89" spans="1:10" ht="14.25" customHeight="1">
      <c r="A89" s="9" t="s">
        <v>50</v>
      </c>
      <c r="B89" s="9" t="s">
        <v>250</v>
      </c>
      <c r="C89" s="9" t="s">
        <v>121</v>
      </c>
      <c r="D89" s="9" t="s">
        <v>53</v>
      </c>
      <c r="E89" s="9" t="s">
        <v>70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50</v>
      </c>
      <c r="B90" s="9" t="s">
        <v>148</v>
      </c>
      <c r="C90" s="9" t="s">
        <v>121</v>
      </c>
      <c r="D90" s="9" t="s">
        <v>53</v>
      </c>
      <c r="E90" s="9" t="s">
        <v>70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50</v>
      </c>
      <c r="B91" s="9" t="s">
        <v>251</v>
      </c>
      <c r="C91" s="9" t="s">
        <v>121</v>
      </c>
      <c r="D91" s="9" t="s">
        <v>53</v>
      </c>
      <c r="E91" s="9" t="s">
        <v>70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50</v>
      </c>
      <c r="B92" s="9" t="s">
        <v>52</v>
      </c>
      <c r="C92" s="9" t="s">
        <v>121</v>
      </c>
      <c r="D92" s="9" t="s">
        <v>53</v>
      </c>
      <c r="E92" s="9" t="s">
        <v>70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50</v>
      </c>
      <c r="B93" s="9" t="s">
        <v>162</v>
      </c>
      <c r="C93" s="9" t="s">
        <v>124</v>
      </c>
      <c r="D93" s="9" t="s">
        <v>53</v>
      </c>
      <c r="E93" s="9" t="s">
        <v>110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50</v>
      </c>
      <c r="B94" s="9" t="s">
        <v>250</v>
      </c>
      <c r="C94" s="9" t="s">
        <v>124</v>
      </c>
      <c r="D94" s="9" t="s">
        <v>53</v>
      </c>
      <c r="E94" s="9" t="s">
        <v>110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50</v>
      </c>
      <c r="B95" s="9" t="s">
        <v>148</v>
      </c>
      <c r="C95" s="9" t="s">
        <v>124</v>
      </c>
      <c r="D95" s="9" t="s">
        <v>53</v>
      </c>
      <c r="E95" s="9" t="s">
        <v>110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50</v>
      </c>
      <c r="B96" s="9" t="s">
        <v>251</v>
      </c>
      <c r="C96" s="9" t="s">
        <v>124</v>
      </c>
      <c r="D96" s="9" t="s">
        <v>53</v>
      </c>
      <c r="E96" s="9" t="s">
        <v>110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50</v>
      </c>
      <c r="B97" s="9" t="s">
        <v>52</v>
      </c>
      <c r="C97" s="9" t="s">
        <v>124</v>
      </c>
      <c r="D97" s="9" t="s">
        <v>53</v>
      </c>
      <c r="E97" s="9" t="s">
        <v>110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50</v>
      </c>
      <c r="B98" s="9" t="s">
        <v>162</v>
      </c>
      <c r="C98" s="9" t="s">
        <v>127</v>
      </c>
      <c r="D98" s="9" t="s">
        <v>107</v>
      </c>
      <c r="E98" s="9" t="s">
        <v>70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50</v>
      </c>
      <c r="B99" s="9" t="s">
        <v>250</v>
      </c>
      <c r="C99" s="9" t="s">
        <v>127</v>
      </c>
      <c r="D99" s="9" t="s">
        <v>107</v>
      </c>
      <c r="E99" s="9" t="s">
        <v>70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50</v>
      </c>
      <c r="B100" s="9" t="s">
        <v>148</v>
      </c>
      <c r="C100" s="9" t="s">
        <v>127</v>
      </c>
      <c r="D100" s="9" t="s">
        <v>107</v>
      </c>
      <c r="E100" s="9" t="s">
        <v>70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50</v>
      </c>
      <c r="B101" s="9" t="s">
        <v>251</v>
      </c>
      <c r="C101" s="9" t="s">
        <v>127</v>
      </c>
      <c r="D101" s="9" t="s">
        <v>107</v>
      </c>
      <c r="E101" s="9" t="s">
        <v>70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50</v>
      </c>
      <c r="B102" s="9" t="s">
        <v>52</v>
      </c>
      <c r="C102" s="9" t="s">
        <v>127</v>
      </c>
      <c r="D102" s="9" t="s">
        <v>107</v>
      </c>
      <c r="E102" s="9" t="s">
        <v>70</v>
      </c>
      <c r="F102" s="9"/>
      <c r="G102" s="9"/>
      <c r="H102" s="10"/>
      <c r="I102" s="10"/>
      <c r="J102" s="9"/>
    </row>
    <row r="103" spans="1:10" ht="14.25" customHeight="1">
      <c r="A103" s="9" t="s">
        <v>50</v>
      </c>
      <c r="B103" s="9" t="s">
        <v>162</v>
      </c>
      <c r="C103" s="9" t="s">
        <v>129</v>
      </c>
      <c r="D103" s="9" t="s">
        <v>107</v>
      </c>
      <c r="E103" s="9" t="s">
        <v>110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50</v>
      </c>
      <c r="B104" s="9" t="s">
        <v>250</v>
      </c>
      <c r="C104" s="9" t="s">
        <v>129</v>
      </c>
      <c r="D104" s="9" t="s">
        <v>107</v>
      </c>
      <c r="E104" s="9" t="s">
        <v>110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50</v>
      </c>
      <c r="B105" s="9" t="s">
        <v>148</v>
      </c>
      <c r="C105" s="9" t="s">
        <v>129</v>
      </c>
      <c r="D105" s="9" t="s">
        <v>107</v>
      </c>
      <c r="E105" s="9" t="s">
        <v>110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50</v>
      </c>
      <c r="B106" s="9" t="s">
        <v>251</v>
      </c>
      <c r="C106" s="9" t="s">
        <v>129</v>
      </c>
      <c r="D106" s="9" t="s">
        <v>107</v>
      </c>
      <c r="E106" s="9" t="s">
        <v>110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50</v>
      </c>
      <c r="B107" s="9" t="s">
        <v>52</v>
      </c>
      <c r="C107" s="9" t="s">
        <v>129</v>
      </c>
      <c r="D107" s="9" t="s">
        <v>107</v>
      </c>
      <c r="E107" s="9" t="s">
        <v>110</v>
      </c>
      <c r="F107" s="9"/>
      <c r="G107" s="9"/>
      <c r="H107" s="9"/>
      <c r="I107" s="10"/>
      <c r="J107" s="10"/>
    </row>
    <row r="108" spans="1:10" ht="14.25" customHeight="1">
      <c r="A108" s="9" t="s">
        <v>50</v>
      </c>
      <c r="B108" s="9" t="s">
        <v>162</v>
      </c>
      <c r="C108" s="9" t="s">
        <v>131</v>
      </c>
      <c r="D108" s="9" t="s">
        <v>53</v>
      </c>
      <c r="E108" s="9" t="s">
        <v>70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50</v>
      </c>
      <c r="B109" s="9" t="s">
        <v>250</v>
      </c>
      <c r="C109" s="9" t="s">
        <v>131</v>
      </c>
      <c r="D109" s="9" t="s">
        <v>53</v>
      </c>
      <c r="E109" s="9" t="s">
        <v>70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50</v>
      </c>
      <c r="B110" s="9" t="s">
        <v>148</v>
      </c>
      <c r="C110" s="9" t="s">
        <v>131</v>
      </c>
      <c r="D110" s="9" t="s">
        <v>53</v>
      </c>
      <c r="E110" s="9" t="s">
        <v>70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50</v>
      </c>
      <c r="B111" s="9" t="s">
        <v>251</v>
      </c>
      <c r="C111" s="9" t="s">
        <v>131</v>
      </c>
      <c r="D111" s="9" t="s">
        <v>53</v>
      </c>
      <c r="E111" s="9" t="s">
        <v>70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50</v>
      </c>
      <c r="B112" s="9" t="s">
        <v>52</v>
      </c>
      <c r="C112" s="9" t="s">
        <v>131</v>
      </c>
      <c r="D112" s="9" t="s">
        <v>53</v>
      </c>
      <c r="E112" s="9" t="s">
        <v>70</v>
      </c>
      <c r="F112" s="9"/>
      <c r="G112" s="9"/>
      <c r="H112" s="10"/>
      <c r="I112" s="10"/>
      <c r="J112" s="9"/>
    </row>
    <row r="113" spans="1:10" ht="14.25" customHeight="1">
      <c r="A113" s="9" t="s">
        <v>50</v>
      </c>
      <c r="B113" s="9" t="s">
        <v>162</v>
      </c>
      <c r="C113" s="9" t="s">
        <v>132</v>
      </c>
      <c r="D113" s="9" t="s">
        <v>53</v>
      </c>
      <c r="E113" s="9" t="s">
        <v>70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50</v>
      </c>
      <c r="B114" s="9" t="s">
        <v>250</v>
      </c>
      <c r="C114" s="9" t="s">
        <v>132</v>
      </c>
      <c r="D114" s="9" t="s">
        <v>53</v>
      </c>
      <c r="E114" s="9" t="s">
        <v>70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50</v>
      </c>
      <c r="B115" s="9" t="s">
        <v>148</v>
      </c>
      <c r="C115" s="9" t="s">
        <v>132</v>
      </c>
      <c r="D115" s="9" t="s">
        <v>53</v>
      </c>
      <c r="E115" s="9" t="s">
        <v>70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50</v>
      </c>
      <c r="B116" s="9" t="s">
        <v>251</v>
      </c>
      <c r="C116" s="9" t="s">
        <v>132</v>
      </c>
      <c r="D116" s="9" t="s">
        <v>53</v>
      </c>
      <c r="E116" s="9" t="s">
        <v>70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50</v>
      </c>
      <c r="B117" s="9" t="s">
        <v>52</v>
      </c>
      <c r="C117" s="9" t="s">
        <v>132</v>
      </c>
      <c r="D117" s="9" t="s">
        <v>53</v>
      </c>
      <c r="E117" s="9" t="s">
        <v>70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50</v>
      </c>
      <c r="B118" s="9" t="s">
        <v>162</v>
      </c>
      <c r="C118" s="9" t="s">
        <v>135</v>
      </c>
      <c r="D118" s="9" t="s">
        <v>69</v>
      </c>
      <c r="E118" s="9" t="s">
        <v>54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50</v>
      </c>
      <c r="B119" s="9" t="s">
        <v>250</v>
      </c>
      <c r="C119" s="9" t="s">
        <v>135</v>
      </c>
      <c r="D119" s="9" t="s">
        <v>69</v>
      </c>
      <c r="E119" s="9" t="s">
        <v>54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50</v>
      </c>
      <c r="B120" s="9" t="s">
        <v>148</v>
      </c>
      <c r="C120" s="9" t="s">
        <v>135</v>
      </c>
      <c r="D120" s="9" t="s">
        <v>69</v>
      </c>
      <c r="E120" s="9" t="s">
        <v>54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50</v>
      </c>
      <c r="B121" s="9" t="s">
        <v>162</v>
      </c>
      <c r="C121" s="9" t="s">
        <v>137</v>
      </c>
      <c r="D121" s="9" t="s">
        <v>69</v>
      </c>
      <c r="E121" s="9" t="s">
        <v>110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50</v>
      </c>
      <c r="B122" s="9" t="s">
        <v>250</v>
      </c>
      <c r="C122" s="9" t="s">
        <v>137</v>
      </c>
      <c r="D122" s="9" t="s">
        <v>69</v>
      </c>
      <c r="E122" s="9" t="s">
        <v>110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50</v>
      </c>
      <c r="B123" s="9" t="s">
        <v>148</v>
      </c>
      <c r="C123" s="9" t="s">
        <v>137</v>
      </c>
      <c r="D123" s="9" t="s">
        <v>69</v>
      </c>
      <c r="E123" s="9" t="s">
        <v>110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50</v>
      </c>
      <c r="B124" s="9" t="s">
        <v>251</v>
      </c>
      <c r="C124" s="9" t="s">
        <v>137</v>
      </c>
      <c r="D124" s="9" t="s">
        <v>69</v>
      </c>
      <c r="E124" s="9" t="s">
        <v>110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50</v>
      </c>
      <c r="B125" s="9" t="s">
        <v>52</v>
      </c>
      <c r="C125" s="9" t="s">
        <v>137</v>
      </c>
      <c r="D125" s="9" t="s">
        <v>69</v>
      </c>
      <c r="E125" s="9" t="s">
        <v>110</v>
      </c>
      <c r="F125" s="9"/>
      <c r="G125" s="9"/>
      <c r="H125" s="9"/>
      <c r="I125" s="10"/>
      <c r="J125" s="10"/>
    </row>
    <row r="126" spans="1:10" ht="14.25" customHeight="1">
      <c r="A126" s="9" t="s">
        <v>50</v>
      </c>
      <c r="B126" s="9" t="s">
        <v>162</v>
      </c>
      <c r="C126" s="9" t="s">
        <v>138</v>
      </c>
      <c r="D126" s="9" t="s">
        <v>139</v>
      </c>
      <c r="E126" s="9" t="s">
        <v>70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50</v>
      </c>
      <c r="B127" s="9" t="s">
        <v>250</v>
      </c>
      <c r="C127" s="9" t="s">
        <v>138</v>
      </c>
      <c r="D127" s="9" t="s">
        <v>139</v>
      </c>
      <c r="E127" s="9" t="s">
        <v>70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50</v>
      </c>
      <c r="B128" s="9" t="s">
        <v>148</v>
      </c>
      <c r="C128" s="9" t="s">
        <v>138</v>
      </c>
      <c r="D128" s="9" t="s">
        <v>139</v>
      </c>
      <c r="E128" s="9" t="s">
        <v>70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50</v>
      </c>
      <c r="B129" s="9" t="s">
        <v>251</v>
      </c>
      <c r="C129" s="9" t="s">
        <v>138</v>
      </c>
      <c r="D129" s="9" t="s">
        <v>139</v>
      </c>
      <c r="E129" s="9" t="s">
        <v>70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50</v>
      </c>
      <c r="B130" s="9" t="s">
        <v>52</v>
      </c>
      <c r="C130" s="9" t="s">
        <v>138</v>
      </c>
      <c r="D130" s="9" t="s">
        <v>139</v>
      </c>
      <c r="E130" s="9" t="s">
        <v>70</v>
      </c>
      <c r="F130" s="9"/>
      <c r="G130" s="9"/>
      <c r="H130" s="9"/>
      <c r="I130" s="10"/>
      <c r="J130" s="9"/>
    </row>
    <row r="131" spans="1:10" ht="14.25" customHeight="1">
      <c r="A131" s="9" t="s">
        <v>50</v>
      </c>
      <c r="B131" s="9" t="s">
        <v>162</v>
      </c>
      <c r="C131" s="9" t="s">
        <v>142</v>
      </c>
      <c r="D131" s="9" t="s">
        <v>107</v>
      </c>
      <c r="E131" s="9" t="s">
        <v>110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50</v>
      </c>
      <c r="B132" s="9" t="s">
        <v>250</v>
      </c>
      <c r="C132" s="9" t="s">
        <v>142</v>
      </c>
      <c r="D132" s="9" t="s">
        <v>107</v>
      </c>
      <c r="E132" s="9" t="s">
        <v>110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50</v>
      </c>
      <c r="B133" s="9" t="s">
        <v>148</v>
      </c>
      <c r="C133" s="9" t="s">
        <v>142</v>
      </c>
      <c r="D133" s="9" t="s">
        <v>107</v>
      </c>
      <c r="E133" s="9" t="s">
        <v>110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50</v>
      </c>
      <c r="B134" s="9" t="s">
        <v>251</v>
      </c>
      <c r="C134" s="9" t="s">
        <v>142</v>
      </c>
      <c r="D134" s="9" t="s">
        <v>107</v>
      </c>
      <c r="E134" s="9" t="s">
        <v>110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50</v>
      </c>
      <c r="B135" s="9" t="s">
        <v>52</v>
      </c>
      <c r="C135" s="9" t="s">
        <v>142</v>
      </c>
      <c r="D135" s="9" t="s">
        <v>107</v>
      </c>
      <c r="E135" s="9" t="s">
        <v>110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50</v>
      </c>
      <c r="B136" s="9" t="s">
        <v>162</v>
      </c>
      <c r="C136" s="9" t="s">
        <v>144</v>
      </c>
      <c r="D136" s="9" t="s">
        <v>87</v>
      </c>
      <c r="E136" s="9" t="s">
        <v>110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50</v>
      </c>
      <c r="B137" s="9" t="s">
        <v>250</v>
      </c>
      <c r="C137" s="9" t="s">
        <v>144</v>
      </c>
      <c r="D137" s="9" t="s">
        <v>87</v>
      </c>
      <c r="E137" s="9" t="s">
        <v>110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50</v>
      </c>
      <c r="B138" s="9" t="s">
        <v>148</v>
      </c>
      <c r="C138" s="9" t="s">
        <v>144</v>
      </c>
      <c r="D138" s="9" t="s">
        <v>87</v>
      </c>
      <c r="E138" s="9" t="s">
        <v>110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50</v>
      </c>
      <c r="B139" s="9" t="s">
        <v>251</v>
      </c>
      <c r="C139" s="9" t="s">
        <v>144</v>
      </c>
      <c r="D139" s="9" t="s">
        <v>87</v>
      </c>
      <c r="E139" s="9" t="s">
        <v>110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50</v>
      </c>
      <c r="B140" s="9" t="s">
        <v>52</v>
      </c>
      <c r="C140" s="9" t="s">
        <v>144</v>
      </c>
      <c r="D140" s="9" t="s">
        <v>87</v>
      </c>
      <c r="E140" s="9" t="s">
        <v>110</v>
      </c>
      <c r="F140" s="9"/>
      <c r="G140" s="9"/>
      <c r="H140" s="9"/>
      <c r="I140" s="9"/>
      <c r="J140" s="9"/>
    </row>
    <row r="141" spans="1:10" ht="14.25" customHeight="1">
      <c r="A141" s="9" t="s">
        <v>146</v>
      </c>
      <c r="B141" s="9" t="s">
        <v>162</v>
      </c>
      <c r="C141" s="9" t="s">
        <v>147</v>
      </c>
      <c r="D141" s="9" t="s">
        <v>79</v>
      </c>
      <c r="E141" s="9" t="s">
        <v>70</v>
      </c>
      <c r="F141" s="9"/>
      <c r="G141" s="9" t="s">
        <v>149</v>
      </c>
      <c r="H141" s="9"/>
      <c r="I141" s="9"/>
      <c r="J141" s="9"/>
    </row>
    <row r="142" spans="1:10" ht="14.25" customHeight="1">
      <c r="A142" s="9" t="s">
        <v>146</v>
      </c>
      <c r="B142" s="9" t="s">
        <v>250</v>
      </c>
      <c r="C142" s="9" t="s">
        <v>147</v>
      </c>
      <c r="D142" s="9" t="s">
        <v>79</v>
      </c>
      <c r="E142" s="9" t="s">
        <v>70</v>
      </c>
      <c r="F142" s="9"/>
      <c r="G142" s="9" t="s">
        <v>149</v>
      </c>
      <c r="H142" s="9"/>
      <c r="I142" s="10">
        <v>46213</v>
      </c>
      <c r="J142" s="10">
        <v>46213</v>
      </c>
    </row>
    <row r="143" spans="1:10" ht="14.25" customHeight="1">
      <c r="A143" s="9" t="s">
        <v>146</v>
      </c>
      <c r="B143" s="9" t="s">
        <v>148</v>
      </c>
      <c r="C143" s="9" t="s">
        <v>147</v>
      </c>
      <c r="D143" s="9" t="s">
        <v>79</v>
      </c>
      <c r="E143" s="9" t="s">
        <v>70</v>
      </c>
      <c r="F143" s="9"/>
      <c r="G143" s="9" t="s">
        <v>149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146</v>
      </c>
      <c r="B144" s="9" t="s">
        <v>162</v>
      </c>
      <c r="C144" s="9" t="s">
        <v>153</v>
      </c>
      <c r="D144" s="9" t="s">
        <v>139</v>
      </c>
      <c r="E144" s="9" t="s">
        <v>110</v>
      </c>
      <c r="F144" s="9"/>
      <c r="G144" s="9" t="s">
        <v>149</v>
      </c>
      <c r="H144" s="9"/>
      <c r="I144" s="9"/>
      <c r="J144" s="9"/>
    </row>
    <row r="145" spans="1:10" ht="14.25" customHeight="1">
      <c r="A145" s="9" t="s">
        <v>146</v>
      </c>
      <c r="B145" s="9" t="s">
        <v>250</v>
      </c>
      <c r="C145" s="9" t="s">
        <v>153</v>
      </c>
      <c r="D145" s="9" t="s">
        <v>139</v>
      </c>
      <c r="E145" s="9" t="s">
        <v>110</v>
      </c>
      <c r="F145" s="9"/>
      <c r="G145" s="9" t="s">
        <v>149</v>
      </c>
      <c r="H145" s="9"/>
      <c r="I145" s="10">
        <v>46218</v>
      </c>
      <c r="J145" s="10">
        <v>46218</v>
      </c>
    </row>
    <row r="146" spans="1:10" ht="14.25" customHeight="1">
      <c r="A146" s="9" t="s">
        <v>146</v>
      </c>
      <c r="B146" s="9" t="s">
        <v>148</v>
      </c>
      <c r="C146" s="9" t="s">
        <v>153</v>
      </c>
      <c r="D146" s="9" t="s">
        <v>139</v>
      </c>
      <c r="E146" s="9" t="s">
        <v>110</v>
      </c>
      <c r="F146" s="9"/>
      <c r="G146" s="9" t="s">
        <v>149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146</v>
      </c>
      <c r="B147" s="9" t="s">
        <v>162</v>
      </c>
      <c r="C147" s="9" t="s">
        <v>155</v>
      </c>
      <c r="D147" s="9" t="s">
        <v>139</v>
      </c>
      <c r="E147" s="9" t="s">
        <v>110</v>
      </c>
      <c r="F147" s="9"/>
      <c r="G147" s="9" t="s">
        <v>149</v>
      </c>
      <c r="H147" s="9"/>
      <c r="I147" s="9"/>
      <c r="J147" s="9"/>
    </row>
    <row r="148" spans="1:10" ht="14.25" customHeight="1">
      <c r="A148" s="9" t="s">
        <v>146</v>
      </c>
      <c r="B148" s="9" t="s">
        <v>250</v>
      </c>
      <c r="C148" s="9" t="s">
        <v>155</v>
      </c>
      <c r="D148" s="9" t="s">
        <v>139</v>
      </c>
      <c r="E148" s="9" t="s">
        <v>110</v>
      </c>
      <c r="F148" s="9"/>
      <c r="G148" s="9" t="s">
        <v>149</v>
      </c>
      <c r="H148" s="9"/>
      <c r="I148" s="10">
        <v>46225</v>
      </c>
      <c r="J148" s="10">
        <v>46225</v>
      </c>
    </row>
    <row r="149" spans="1:10" ht="14.25" customHeight="1">
      <c r="A149" s="9" t="s">
        <v>146</v>
      </c>
      <c r="B149" s="9" t="s">
        <v>148</v>
      </c>
      <c r="C149" s="9" t="s">
        <v>155</v>
      </c>
      <c r="D149" s="9" t="s">
        <v>139</v>
      </c>
      <c r="E149" s="9" t="s">
        <v>110</v>
      </c>
      <c r="F149" s="9"/>
      <c r="G149" s="9" t="s">
        <v>149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146</v>
      </c>
      <c r="B150" s="9" t="s">
        <v>162</v>
      </c>
      <c r="C150" s="9" t="s">
        <v>157</v>
      </c>
      <c r="D150" s="9" t="s">
        <v>69</v>
      </c>
      <c r="E150" s="9" t="s">
        <v>54</v>
      </c>
      <c r="F150" s="9"/>
      <c r="G150" s="9" t="s">
        <v>149</v>
      </c>
      <c r="H150" s="9"/>
      <c r="I150" s="9"/>
      <c r="J150" s="9"/>
    </row>
    <row r="151" spans="1:10" ht="14.25" customHeight="1">
      <c r="A151" s="9" t="s">
        <v>146</v>
      </c>
      <c r="B151" s="9" t="s">
        <v>250</v>
      </c>
      <c r="C151" s="9" t="s">
        <v>157</v>
      </c>
      <c r="D151" s="9" t="s">
        <v>69</v>
      </c>
      <c r="E151" s="9" t="s">
        <v>54</v>
      </c>
      <c r="F151" s="9"/>
      <c r="G151" s="9" t="s">
        <v>149</v>
      </c>
      <c r="H151" s="9"/>
      <c r="I151" s="10">
        <v>46227</v>
      </c>
      <c r="J151" s="10">
        <v>46227</v>
      </c>
    </row>
    <row r="152" spans="1:10" ht="14.25" customHeight="1">
      <c r="A152" s="9" t="s">
        <v>146</v>
      </c>
      <c r="B152" s="9" t="s">
        <v>148</v>
      </c>
      <c r="C152" s="9" t="s">
        <v>157</v>
      </c>
      <c r="D152" s="9" t="s">
        <v>69</v>
      </c>
      <c r="E152" s="9" t="s">
        <v>54</v>
      </c>
      <c r="F152" s="9"/>
      <c r="G152" s="9" t="s">
        <v>149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146</v>
      </c>
      <c r="B153" s="9" t="s">
        <v>162</v>
      </c>
      <c r="C153" s="9" t="s">
        <v>159</v>
      </c>
      <c r="D153" s="9" t="s">
        <v>107</v>
      </c>
      <c r="E153" s="9" t="s">
        <v>110</v>
      </c>
      <c r="F153" s="9"/>
      <c r="G153" s="9" t="s">
        <v>149</v>
      </c>
      <c r="H153" s="9"/>
      <c r="I153" s="9"/>
      <c r="J153" s="9"/>
    </row>
    <row r="154" spans="1:10" ht="14.25" customHeight="1">
      <c r="A154" s="9" t="s">
        <v>146</v>
      </c>
      <c r="B154" s="9" t="s">
        <v>250</v>
      </c>
      <c r="C154" s="9" t="s">
        <v>159</v>
      </c>
      <c r="D154" s="9" t="s">
        <v>107</v>
      </c>
      <c r="E154" s="9" t="s">
        <v>110</v>
      </c>
      <c r="F154" s="9"/>
      <c r="G154" s="9" t="s">
        <v>149</v>
      </c>
      <c r="H154" s="9"/>
      <c r="I154" s="10">
        <v>46216</v>
      </c>
      <c r="J154" s="10">
        <v>46216</v>
      </c>
    </row>
    <row r="155" spans="1:10" ht="14.25" customHeight="1">
      <c r="A155" s="9" t="s">
        <v>146</v>
      </c>
      <c r="B155" s="9" t="s">
        <v>148</v>
      </c>
      <c r="C155" s="9" t="s">
        <v>159</v>
      </c>
      <c r="D155" s="9" t="s">
        <v>107</v>
      </c>
      <c r="E155" s="9" t="s">
        <v>110</v>
      </c>
      <c r="F155" s="9"/>
      <c r="G155" s="9" t="s">
        <v>149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146</v>
      </c>
      <c r="B156" s="9" t="s">
        <v>162</v>
      </c>
      <c r="C156" s="9" t="s">
        <v>161</v>
      </c>
      <c r="D156" s="9" t="s">
        <v>87</v>
      </c>
      <c r="E156" s="9" t="s">
        <v>70</v>
      </c>
      <c r="F156" s="9"/>
      <c r="G156" s="9" t="s">
        <v>163</v>
      </c>
      <c r="H156" s="9"/>
      <c r="I156" s="9"/>
      <c r="J156" s="9"/>
    </row>
    <row r="157" spans="1:10">
      <c r="A157" s="3" t="s">
        <v>146</v>
      </c>
      <c r="B157" s="3" t="s">
        <v>162</v>
      </c>
      <c r="C157" s="3" t="s">
        <v>166</v>
      </c>
      <c r="D157" s="3" t="s">
        <v>139</v>
      </c>
      <c r="E157" s="3" t="s">
        <v>54</v>
      </c>
      <c r="F157" s="3"/>
      <c r="G157" s="3" t="s">
        <v>163</v>
      </c>
      <c r="H157" s="3"/>
      <c r="I157" s="3"/>
      <c r="J157" s="3"/>
    </row>
    <row r="158" spans="1:10">
      <c r="A158" s="3" t="s">
        <v>146</v>
      </c>
      <c r="B158" s="3" t="s">
        <v>162</v>
      </c>
      <c r="C158" s="3" t="s">
        <v>168</v>
      </c>
      <c r="D158" s="3" t="s">
        <v>139</v>
      </c>
      <c r="E158" s="3" t="s">
        <v>54</v>
      </c>
      <c r="F158" s="3"/>
      <c r="G158" s="3" t="s">
        <v>163</v>
      </c>
      <c r="H158" s="3"/>
      <c r="I158" s="3"/>
      <c r="J158" s="3"/>
    </row>
    <row r="159" spans="1:10">
      <c r="A159" s="3" t="s">
        <v>146</v>
      </c>
      <c r="B159" s="3" t="s">
        <v>250</v>
      </c>
      <c r="C159" s="3" t="s">
        <v>168</v>
      </c>
      <c r="D159" s="3" t="s">
        <v>139</v>
      </c>
      <c r="E159" s="3" t="s">
        <v>54</v>
      </c>
      <c r="F159" s="3"/>
      <c r="G159" s="3" t="s">
        <v>163</v>
      </c>
      <c r="H159" s="3"/>
      <c r="I159" s="4">
        <v>46221</v>
      </c>
      <c r="J159" s="4">
        <v>46221</v>
      </c>
    </row>
    <row r="160" spans="1:10">
      <c r="A160" s="3" t="s">
        <v>146</v>
      </c>
      <c r="B160" s="3" t="s">
        <v>148</v>
      </c>
      <c r="C160" s="3" t="s">
        <v>168</v>
      </c>
      <c r="D160" s="3" t="s">
        <v>139</v>
      </c>
      <c r="E160" s="3" t="s">
        <v>54</v>
      </c>
      <c r="F160" s="3"/>
      <c r="G160" s="3" t="s">
        <v>163</v>
      </c>
      <c r="H160" s="4">
        <v>46221</v>
      </c>
      <c r="I160" s="4">
        <v>46223</v>
      </c>
      <c r="J160" s="4">
        <v>46223</v>
      </c>
    </row>
    <row r="161" spans="1:10">
      <c r="A161" s="3" t="s">
        <v>146</v>
      </c>
      <c r="B161" s="3" t="s">
        <v>162</v>
      </c>
      <c r="C161" s="3" t="s">
        <v>170</v>
      </c>
      <c r="D161" s="3" t="s">
        <v>87</v>
      </c>
      <c r="E161" s="3" t="s">
        <v>70</v>
      </c>
      <c r="F161" s="3"/>
      <c r="G161" s="3" t="s">
        <v>163</v>
      </c>
      <c r="H161" s="3"/>
      <c r="I161" s="3"/>
      <c r="J161" s="3"/>
    </row>
    <row r="162" spans="1:10">
      <c r="A162" s="3" t="s">
        <v>146</v>
      </c>
      <c r="B162" s="3" t="s">
        <v>250</v>
      </c>
      <c r="C162" s="3" t="s">
        <v>170</v>
      </c>
      <c r="D162" s="3" t="s">
        <v>87</v>
      </c>
      <c r="E162" s="3" t="s">
        <v>70</v>
      </c>
      <c r="F162" s="3"/>
      <c r="G162" s="3" t="s">
        <v>163</v>
      </c>
      <c r="H162" s="3"/>
      <c r="I162" s="4">
        <v>46220</v>
      </c>
      <c r="J162" s="4">
        <v>46220</v>
      </c>
    </row>
    <row r="163" spans="1:10">
      <c r="A163" s="3" t="s">
        <v>146</v>
      </c>
      <c r="B163" s="3" t="s">
        <v>148</v>
      </c>
      <c r="C163" s="3" t="s">
        <v>170</v>
      </c>
      <c r="D163" s="3" t="s">
        <v>87</v>
      </c>
      <c r="E163" s="3" t="s">
        <v>70</v>
      </c>
      <c r="F163" s="3"/>
      <c r="G163" s="3" t="s">
        <v>163</v>
      </c>
      <c r="H163" s="4">
        <v>46220</v>
      </c>
      <c r="I163" s="4">
        <v>46223</v>
      </c>
      <c r="J163" s="4">
        <v>46223</v>
      </c>
    </row>
    <row r="164" spans="1:10">
      <c r="A164" s="3" t="s">
        <v>146</v>
      </c>
      <c r="B164" s="3" t="s">
        <v>162</v>
      </c>
      <c r="C164" s="3" t="s">
        <v>172</v>
      </c>
      <c r="D164" s="3" t="s">
        <v>174</v>
      </c>
      <c r="E164" s="3" t="s">
        <v>70</v>
      </c>
      <c r="F164" s="3"/>
      <c r="G164" s="3" t="s">
        <v>163</v>
      </c>
      <c r="H164" s="3"/>
      <c r="I164" s="3"/>
      <c r="J164" s="3"/>
    </row>
    <row r="165" spans="1:10">
      <c r="A165" s="3" t="s">
        <v>146</v>
      </c>
      <c r="B165" s="3" t="s">
        <v>250</v>
      </c>
      <c r="C165" s="3" t="s">
        <v>172</v>
      </c>
      <c r="D165" s="3" t="s">
        <v>174</v>
      </c>
      <c r="E165" s="3" t="s">
        <v>70</v>
      </c>
      <c r="F165" s="3"/>
      <c r="G165" s="3" t="s">
        <v>163</v>
      </c>
      <c r="H165" s="3"/>
      <c r="I165" s="4">
        <v>46224</v>
      </c>
      <c r="J165" s="4">
        <v>46224</v>
      </c>
    </row>
    <row r="166" spans="1:10">
      <c r="A166" s="3" t="s">
        <v>146</v>
      </c>
      <c r="B166" s="3" t="s">
        <v>148</v>
      </c>
      <c r="C166" s="3" t="s">
        <v>172</v>
      </c>
      <c r="D166" s="3" t="s">
        <v>174</v>
      </c>
      <c r="E166" s="3" t="s">
        <v>70</v>
      </c>
      <c r="F166" s="3"/>
      <c r="G166" s="3" t="s">
        <v>163</v>
      </c>
      <c r="H166" s="4">
        <v>46224</v>
      </c>
      <c r="I166" s="4">
        <v>46223</v>
      </c>
      <c r="J166" s="4">
        <v>46223</v>
      </c>
    </row>
    <row r="167" spans="1:10">
      <c r="A167" s="3" t="s">
        <v>146</v>
      </c>
      <c r="B167" s="3" t="s">
        <v>162</v>
      </c>
      <c r="C167" s="3" t="s">
        <v>175</v>
      </c>
      <c r="D167" s="3" t="s">
        <v>174</v>
      </c>
      <c r="E167" s="3" t="s">
        <v>110</v>
      </c>
      <c r="F167" s="3"/>
      <c r="G167" s="3" t="s">
        <v>163</v>
      </c>
      <c r="H167" s="3"/>
      <c r="I167" s="3"/>
      <c r="J167" s="3"/>
    </row>
    <row r="168" spans="1:10">
      <c r="A168" s="3" t="s">
        <v>146</v>
      </c>
      <c r="B168" s="3" t="s">
        <v>250</v>
      </c>
      <c r="C168" s="3" t="s">
        <v>175</v>
      </c>
      <c r="D168" s="3" t="s">
        <v>174</v>
      </c>
      <c r="E168" s="3" t="s">
        <v>110</v>
      </c>
      <c r="F168" s="3"/>
      <c r="G168" s="3" t="s">
        <v>163</v>
      </c>
      <c r="H168" s="3"/>
      <c r="I168" s="4">
        <v>46225</v>
      </c>
      <c r="J168" s="4">
        <v>46225</v>
      </c>
    </row>
    <row r="169" spans="1:10">
      <c r="A169" s="3" t="s">
        <v>146</v>
      </c>
      <c r="B169" s="3" t="s">
        <v>148</v>
      </c>
      <c r="C169" s="3" t="s">
        <v>175</v>
      </c>
      <c r="D169" s="3" t="s">
        <v>174</v>
      </c>
      <c r="E169" s="3" t="s">
        <v>110</v>
      </c>
      <c r="F169" s="3"/>
      <c r="G169" s="3" t="s">
        <v>163</v>
      </c>
      <c r="H169" s="4">
        <v>46225</v>
      </c>
      <c r="I169" s="4">
        <v>46223</v>
      </c>
      <c r="J169" s="4">
        <v>46223</v>
      </c>
    </row>
    <row r="170" spans="1:10">
      <c r="A170" s="3" t="s">
        <v>146</v>
      </c>
      <c r="B170" s="3" t="s">
        <v>162</v>
      </c>
      <c r="C170" s="3" t="s">
        <v>177</v>
      </c>
      <c r="D170" s="3" t="s">
        <v>79</v>
      </c>
      <c r="E170" s="3" t="s">
        <v>54</v>
      </c>
      <c r="F170" s="3"/>
      <c r="G170" s="3" t="s">
        <v>149</v>
      </c>
      <c r="H170" s="3"/>
      <c r="I170" s="3"/>
      <c r="J170" s="3"/>
    </row>
    <row r="171" spans="1:10">
      <c r="A171" s="3" t="s">
        <v>146</v>
      </c>
      <c r="B171" s="3" t="s">
        <v>250</v>
      </c>
      <c r="C171" s="3" t="s">
        <v>177</v>
      </c>
      <c r="D171" s="3" t="s">
        <v>79</v>
      </c>
      <c r="E171" s="3" t="s">
        <v>54</v>
      </c>
      <c r="F171" s="3"/>
      <c r="G171" s="3" t="s">
        <v>149</v>
      </c>
      <c r="H171" s="3"/>
      <c r="I171" s="4">
        <v>46226</v>
      </c>
      <c r="J171" s="4">
        <v>46226</v>
      </c>
    </row>
    <row r="172" spans="1:10">
      <c r="A172" s="3" t="s">
        <v>146</v>
      </c>
      <c r="B172" s="3" t="s">
        <v>148</v>
      </c>
      <c r="C172" s="3" t="s">
        <v>177</v>
      </c>
      <c r="D172" s="3" t="s">
        <v>79</v>
      </c>
      <c r="E172" s="3" t="s">
        <v>54</v>
      </c>
      <c r="F172" s="3"/>
      <c r="G172" s="3" t="s">
        <v>149</v>
      </c>
      <c r="H172" s="4">
        <v>46226</v>
      </c>
      <c r="I172" s="4">
        <v>46223</v>
      </c>
      <c r="J172" s="4">
        <v>46223</v>
      </c>
    </row>
    <row r="173" spans="1:10">
      <c r="A173" s="3" t="s">
        <v>146</v>
      </c>
      <c r="B173" s="3" t="s">
        <v>162</v>
      </c>
      <c r="C173" s="3" t="s">
        <v>178</v>
      </c>
      <c r="D173" s="3" t="s">
        <v>69</v>
      </c>
      <c r="E173" s="3" t="s">
        <v>70</v>
      </c>
      <c r="F173" s="3"/>
      <c r="G173" s="3" t="s">
        <v>149</v>
      </c>
      <c r="H173" s="3"/>
      <c r="I173" s="3"/>
      <c r="J173" s="3"/>
    </row>
    <row r="174" spans="1:10">
      <c r="A174" s="3" t="s">
        <v>146</v>
      </c>
      <c r="B174" s="3" t="s">
        <v>250</v>
      </c>
      <c r="C174" s="3" t="s">
        <v>178</v>
      </c>
      <c r="D174" s="3" t="s">
        <v>69</v>
      </c>
      <c r="E174" s="3" t="s">
        <v>70</v>
      </c>
      <c r="F174" s="3"/>
      <c r="G174" s="3" t="s">
        <v>149</v>
      </c>
      <c r="H174" s="3"/>
      <c r="I174" s="4">
        <v>46225</v>
      </c>
      <c r="J174" s="4">
        <v>46225</v>
      </c>
    </row>
    <row r="175" spans="1:10">
      <c r="A175" s="3" t="s">
        <v>146</v>
      </c>
      <c r="B175" s="3" t="s">
        <v>148</v>
      </c>
      <c r="C175" s="3" t="s">
        <v>178</v>
      </c>
      <c r="D175" s="3" t="s">
        <v>69</v>
      </c>
      <c r="E175" s="3" t="s">
        <v>70</v>
      </c>
      <c r="F175" s="3"/>
      <c r="G175" s="3" t="s">
        <v>149</v>
      </c>
      <c r="H175" s="4">
        <v>46225</v>
      </c>
      <c r="I175" s="4">
        <v>46223</v>
      </c>
      <c r="J175" s="4">
        <v>46223</v>
      </c>
    </row>
    <row r="176" spans="1:10">
      <c r="A176" s="3" t="s">
        <v>146</v>
      </c>
      <c r="B176" s="3" t="s">
        <v>162</v>
      </c>
      <c r="C176" s="3" t="s">
        <v>179</v>
      </c>
      <c r="D176" s="3" t="s">
        <v>79</v>
      </c>
      <c r="E176" s="3" t="s">
        <v>110</v>
      </c>
      <c r="F176" s="3"/>
      <c r="G176" s="3" t="s">
        <v>163</v>
      </c>
      <c r="H176" s="3"/>
      <c r="I176" s="3"/>
      <c r="J176" s="3"/>
    </row>
    <row r="177" spans="1:10">
      <c r="A177" s="3" t="s">
        <v>146</v>
      </c>
      <c r="B177" s="3" t="s">
        <v>250</v>
      </c>
      <c r="C177" s="3" t="s">
        <v>179</v>
      </c>
      <c r="D177" s="3" t="s">
        <v>79</v>
      </c>
      <c r="E177" s="3" t="s">
        <v>110</v>
      </c>
      <c r="F177" s="3"/>
      <c r="G177" s="3" t="s">
        <v>163</v>
      </c>
      <c r="H177" s="3"/>
      <c r="I177" s="4">
        <v>46225</v>
      </c>
      <c r="J177" s="4">
        <v>46225</v>
      </c>
    </row>
    <row r="178" spans="1:10">
      <c r="A178" s="3" t="s">
        <v>146</v>
      </c>
      <c r="B178" s="3" t="s">
        <v>148</v>
      </c>
      <c r="C178" s="3" t="s">
        <v>179</v>
      </c>
      <c r="D178" s="3" t="s">
        <v>79</v>
      </c>
      <c r="E178" s="3" t="s">
        <v>110</v>
      </c>
      <c r="F178" s="3"/>
      <c r="G178" s="3" t="s">
        <v>163</v>
      </c>
      <c r="H178" s="4">
        <v>46225</v>
      </c>
      <c r="I178" s="4">
        <v>46230</v>
      </c>
      <c r="J178" s="4">
        <v>46230</v>
      </c>
    </row>
    <row r="179" spans="1:10">
      <c r="A179" s="3" t="s">
        <v>146</v>
      </c>
      <c r="B179" s="3" t="s">
        <v>162</v>
      </c>
      <c r="C179" s="3" t="s">
        <v>180</v>
      </c>
      <c r="D179" s="3" t="s">
        <v>107</v>
      </c>
      <c r="E179" s="3"/>
      <c r="F179" s="3"/>
      <c r="G179" s="3"/>
      <c r="H179" s="3"/>
      <c r="I179" s="3"/>
      <c r="J179" s="3"/>
    </row>
    <row r="180" spans="1:10">
      <c r="A180" s="3" t="s">
        <v>146</v>
      </c>
      <c r="B180" s="3" t="s">
        <v>250</v>
      </c>
      <c r="C180" s="3" t="s">
        <v>180</v>
      </c>
      <c r="D180" s="3" t="s">
        <v>107</v>
      </c>
      <c r="E180" s="3"/>
      <c r="F180" s="3"/>
      <c r="G180" s="3"/>
      <c r="H180" s="3"/>
      <c r="I180" s="3"/>
      <c r="J180" s="3"/>
    </row>
    <row r="181" spans="1:10">
      <c r="A181" s="3" t="s">
        <v>146</v>
      </c>
      <c r="B181" s="3" t="s">
        <v>148</v>
      </c>
      <c r="C181" s="3" t="s">
        <v>180</v>
      </c>
      <c r="D181" s="3" t="s">
        <v>107</v>
      </c>
      <c r="E181" s="3"/>
      <c r="F181" s="3"/>
      <c r="G181" s="3"/>
      <c r="H181" s="3"/>
      <c r="I181" s="3"/>
      <c r="J181" s="3"/>
    </row>
    <row r="182" spans="1:10">
      <c r="A182" s="3" t="s">
        <v>146</v>
      </c>
      <c r="B182" s="3" t="s">
        <v>162</v>
      </c>
      <c r="C182" s="3" t="s">
        <v>186</v>
      </c>
      <c r="D182" s="3" t="s">
        <v>87</v>
      </c>
      <c r="E182" s="3"/>
      <c r="F182" s="3"/>
      <c r="G182" s="3"/>
      <c r="H182" s="3"/>
      <c r="I182" s="3"/>
      <c r="J182" s="3"/>
    </row>
    <row r="183" spans="1:10">
      <c r="A183" s="3" t="s">
        <v>146</v>
      </c>
      <c r="B183" s="3" t="s">
        <v>250</v>
      </c>
      <c r="C183" s="3" t="s">
        <v>186</v>
      </c>
      <c r="D183" s="3" t="s">
        <v>87</v>
      </c>
      <c r="E183" s="3"/>
      <c r="F183" s="3"/>
      <c r="G183" s="3"/>
      <c r="H183" s="3"/>
      <c r="I183" s="3"/>
      <c r="J183" s="3"/>
    </row>
    <row r="184" spans="1:10">
      <c r="A184" s="3" t="s">
        <v>146</v>
      </c>
      <c r="B184" s="3" t="s">
        <v>148</v>
      </c>
      <c r="C184" s="3" t="s">
        <v>186</v>
      </c>
      <c r="D184" s="3" t="s">
        <v>87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F11" sqref="F11"/>
    </sheetView>
  </sheetViews>
  <sheetFormatPr defaultColWidth="8.7109375" defaultRowHeight="15"/>
  <cols>
    <col min="1" max="3" width="22" customWidth="1"/>
  </cols>
  <sheetData>
    <row r="1" spans="1:3" ht="14.25" customHeight="1">
      <c r="A1" s="78" t="s">
        <v>252</v>
      </c>
      <c r="B1" s="72"/>
      <c r="C1" s="72"/>
    </row>
    <row r="2" spans="1:3" ht="14.25" customHeight="1">
      <c r="A2" s="8" t="s">
        <v>19</v>
      </c>
      <c r="B2" s="8" t="s">
        <v>253</v>
      </c>
      <c r="C2" s="8" t="s">
        <v>248</v>
      </c>
    </row>
    <row r="3" spans="1:3" ht="14.25" customHeight="1">
      <c r="A3" s="11" t="s">
        <v>50</v>
      </c>
      <c r="B3" s="11">
        <v>8</v>
      </c>
      <c r="C3" s="12">
        <v>46142</v>
      </c>
    </row>
    <row r="4" spans="1:3" ht="14.25" customHeight="1">
      <c r="A4" s="11" t="s">
        <v>50</v>
      </c>
      <c r="B4" s="11">
        <v>10</v>
      </c>
      <c r="C4" s="12">
        <v>46172</v>
      </c>
    </row>
    <row r="5" spans="1:3" ht="14.25" customHeight="1">
      <c r="A5" s="11" t="s">
        <v>50</v>
      </c>
      <c r="B5" s="11">
        <v>9</v>
      </c>
      <c r="C5" s="12">
        <v>46203</v>
      </c>
    </row>
    <row r="6" spans="1:3" ht="14.25" customHeight="1">
      <c r="A6" s="11" t="s">
        <v>146</v>
      </c>
      <c r="B6" s="11">
        <v>15</v>
      </c>
      <c r="C6" s="12">
        <v>46233</v>
      </c>
    </row>
    <row r="7" spans="1:3" ht="14.25" customHeight="1">
      <c r="A7" s="11" t="s">
        <v>146</v>
      </c>
      <c r="B7" s="11">
        <v>15</v>
      </c>
      <c r="C7" s="12">
        <v>46264</v>
      </c>
    </row>
    <row r="8" spans="1:3" ht="14.25" customHeight="1">
      <c r="A8" s="11" t="s">
        <v>146</v>
      </c>
      <c r="B8" s="11">
        <v>17</v>
      </c>
      <c r="C8" s="12">
        <v>46295</v>
      </c>
    </row>
    <row r="9" spans="1:3" ht="14.25" customHeight="1">
      <c r="A9" s="11" t="s">
        <v>146</v>
      </c>
      <c r="B9" s="11">
        <v>20</v>
      </c>
      <c r="C9" s="12">
        <v>46325</v>
      </c>
    </row>
    <row r="10" spans="1:3" ht="14.25" customHeight="1">
      <c r="A10" s="11" t="s">
        <v>146</v>
      </c>
      <c r="B10" s="11">
        <v>20</v>
      </c>
      <c r="C10" s="12">
        <v>46356</v>
      </c>
    </row>
    <row r="11" spans="1:3" ht="14.25" customHeight="1">
      <c r="A11" s="11" t="s">
        <v>254</v>
      </c>
      <c r="B11" s="11">
        <v>18</v>
      </c>
      <c r="C11" s="12">
        <v>46386</v>
      </c>
    </row>
    <row r="12" spans="1:3" ht="14.25" customHeight="1">
      <c r="A12" s="11" t="s">
        <v>254</v>
      </c>
      <c r="B12" s="11">
        <v>18</v>
      </c>
      <c r="C12" s="12">
        <v>46417</v>
      </c>
    </row>
    <row r="13" spans="1:3" ht="14.25" customHeight="1">
      <c r="A13" s="11" t="s">
        <v>254</v>
      </c>
      <c r="B13" s="11">
        <v>19</v>
      </c>
      <c r="C13" s="12">
        <v>46446</v>
      </c>
    </row>
    <row r="14" spans="1:3" ht="14.25" customHeight="1">
      <c r="A14" s="11" t="s">
        <v>255</v>
      </c>
      <c r="B14" s="11">
        <v>9</v>
      </c>
      <c r="C14" s="12">
        <v>46476</v>
      </c>
    </row>
    <row r="15" spans="1:3" ht="14.25" customHeight="1">
      <c r="A15" s="11" t="s">
        <v>256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L13"/>
  <sheetViews>
    <sheetView zoomScaleNormal="100" workbookViewId="0">
      <selection activeCell="D19" sqref="D19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2" ht="15" customHeight="1">
      <c r="A1" s="1" t="s">
        <v>19</v>
      </c>
      <c r="B1" s="1" t="s">
        <v>25</v>
      </c>
      <c r="C1" s="1" t="s">
        <v>26</v>
      </c>
      <c r="D1" s="1" t="s">
        <v>24</v>
      </c>
      <c r="E1" s="1" t="s">
        <v>257</v>
      </c>
      <c r="F1" s="1" t="s">
        <v>21</v>
      </c>
      <c r="G1" s="5" t="s">
        <v>258</v>
      </c>
      <c r="H1" s="5" t="s">
        <v>27</v>
      </c>
      <c r="I1" t="s">
        <v>47</v>
      </c>
      <c r="J1" s="37" t="s">
        <v>259</v>
      </c>
      <c r="K1" s="37" t="s">
        <v>251</v>
      </c>
      <c r="L1" s="37" t="s">
        <v>235</v>
      </c>
    </row>
    <row r="2" spans="1:12" ht="13.5" customHeight="1">
      <c r="A2" s="2" t="s">
        <v>260</v>
      </c>
      <c r="B2" s="2" t="s">
        <v>261</v>
      </c>
      <c r="C2" s="2" t="s">
        <v>262</v>
      </c>
      <c r="D2" s="2" t="s">
        <v>263</v>
      </c>
      <c r="E2" s="2" t="s">
        <v>264</v>
      </c>
      <c r="F2" s="2" t="s">
        <v>265</v>
      </c>
      <c r="G2" t="s">
        <v>266</v>
      </c>
      <c r="H2" t="s">
        <v>267</v>
      </c>
      <c r="I2" t="s">
        <v>268</v>
      </c>
      <c r="J2" s="39" t="s">
        <v>269</v>
      </c>
      <c r="K2" s="39" t="s">
        <v>270</v>
      </c>
      <c r="L2" s="39" t="s">
        <v>271</v>
      </c>
    </row>
    <row r="3" spans="1:12" ht="15" customHeight="1">
      <c r="A3" t="s">
        <v>50</v>
      </c>
      <c r="B3" t="s">
        <v>53</v>
      </c>
      <c r="C3" t="s">
        <v>70</v>
      </c>
      <c r="D3" t="s">
        <v>149</v>
      </c>
      <c r="E3" t="s">
        <v>58</v>
      </c>
      <c r="F3" t="s">
        <v>184</v>
      </c>
      <c r="G3" t="s">
        <v>53</v>
      </c>
      <c r="H3" t="s">
        <v>55</v>
      </c>
      <c r="I3" t="s">
        <v>61</v>
      </c>
      <c r="J3" t="s">
        <v>162</v>
      </c>
      <c r="K3" t="s">
        <v>57</v>
      </c>
      <c r="L3" t="s">
        <v>61</v>
      </c>
    </row>
    <row r="4" spans="1:12" ht="15" customHeight="1">
      <c r="A4" t="s">
        <v>146</v>
      </c>
      <c r="B4" t="s">
        <v>69</v>
      </c>
      <c r="C4" t="s">
        <v>54</v>
      </c>
      <c r="D4" t="s">
        <v>163</v>
      </c>
      <c r="E4" t="s">
        <v>61</v>
      </c>
      <c r="F4" t="s">
        <v>162</v>
      </c>
      <c r="G4" t="s">
        <v>69</v>
      </c>
      <c r="H4" t="s">
        <v>95</v>
      </c>
      <c r="I4" t="s">
        <v>272</v>
      </c>
      <c r="J4" t="s">
        <v>250</v>
      </c>
      <c r="L4" t="s">
        <v>58</v>
      </c>
    </row>
    <row r="5" spans="1:12" ht="15" customHeight="1">
      <c r="A5" t="s">
        <v>254</v>
      </c>
      <c r="B5" t="s">
        <v>67</v>
      </c>
      <c r="C5" t="s">
        <v>110</v>
      </c>
      <c r="F5" t="s">
        <v>250</v>
      </c>
      <c r="G5" t="s">
        <v>67</v>
      </c>
      <c r="H5" t="s">
        <v>149</v>
      </c>
      <c r="I5" t="s">
        <v>164</v>
      </c>
      <c r="J5" t="s">
        <v>148</v>
      </c>
      <c r="L5" t="s">
        <v>273</v>
      </c>
    </row>
    <row r="6" spans="1:12" ht="15" customHeight="1">
      <c r="A6" t="s">
        <v>255</v>
      </c>
      <c r="B6" t="s">
        <v>87</v>
      </c>
      <c r="F6" t="s">
        <v>148</v>
      </c>
      <c r="G6" t="s">
        <v>87</v>
      </c>
      <c r="H6" t="s">
        <v>163</v>
      </c>
      <c r="I6" t="s">
        <v>151</v>
      </c>
      <c r="J6" t="s">
        <v>251</v>
      </c>
    </row>
    <row r="7" spans="1:12" ht="15" customHeight="1">
      <c r="A7" t="s">
        <v>256</v>
      </c>
      <c r="B7" t="s">
        <v>139</v>
      </c>
      <c r="F7" t="s">
        <v>251</v>
      </c>
      <c r="G7" t="s">
        <v>139</v>
      </c>
      <c r="I7" t="s">
        <v>274</v>
      </c>
    </row>
    <row r="8" spans="1:12" ht="15" customHeight="1">
      <c r="B8" t="s">
        <v>79</v>
      </c>
      <c r="F8" t="s">
        <v>52</v>
      </c>
      <c r="G8" t="s">
        <v>79</v>
      </c>
      <c r="I8" t="s">
        <v>275</v>
      </c>
    </row>
    <row r="9" spans="1:12" ht="15" customHeight="1">
      <c r="B9" t="s">
        <v>107</v>
      </c>
      <c r="G9" t="s">
        <v>107</v>
      </c>
    </row>
    <row r="10" spans="1:12" ht="15" customHeight="1">
      <c r="B10" t="s">
        <v>174</v>
      </c>
      <c r="G10" t="s">
        <v>174</v>
      </c>
    </row>
    <row r="11" spans="1:12">
      <c r="G11" t="s">
        <v>70</v>
      </c>
    </row>
    <row r="12" spans="1:12">
      <c r="G12" t="s">
        <v>54</v>
      </c>
    </row>
    <row r="13" spans="1:12">
      <c r="G13" t="s">
        <v>110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55b47df-8f8c-4db9-8351-4eeff34c899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4A9A80021CA64FA26BF7E6361FF67B" ma:contentTypeVersion="10" ma:contentTypeDescription="Create a new document." ma:contentTypeScope="" ma:versionID="fc3bebc7da97300976451ef85ecb6a93">
  <xsd:schema xmlns:xsd="http://www.w3.org/2001/XMLSchema" xmlns:xs="http://www.w3.org/2001/XMLSchema" xmlns:p="http://schemas.microsoft.com/office/2006/metadata/properties" xmlns:ns3="e55b47df-8f8c-4db9-8351-4eeff34c899b" targetNamespace="http://schemas.microsoft.com/office/2006/metadata/properties" ma:root="true" ma:fieldsID="5af8b34700e1b3441b25185e60a9135d" ns3:_="">
    <xsd:import namespace="e55b47df-8f8c-4db9-8351-4eeff34c899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5b47df-8f8c-4db9-8351-4eeff34c899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F628F234-54E8-4B49-B1DC-DD9C99020AC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2026-07-29T21:30:05Z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0x010100EC4A9A80021CA64FA26BF7E6361FF67B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</Properties>
</file>