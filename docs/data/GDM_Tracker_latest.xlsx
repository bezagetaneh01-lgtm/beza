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237" documentId="13_ncr:1_{52745E9B-3AA1-4770-AAD3-E6166BFC13AE}" xr6:coauthVersionLast="47" xr6:coauthVersionMax="47" xr10:uidLastSave="{D781D1E2-B4ED-4317-8DB6-2A57BAAA0AF9}"/>
  <bookViews>
    <workbookView xWindow="28680" yWindow="-120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D54" i="2" s="1" a="1"/>
  <c r="D54" i="2" s="1"/>
  <c r="AL53" i="2" a="1"/>
  <c r="AL53" i="2" s="1"/>
  <c r="D53" i="2" s="1" a="1"/>
  <c r="D53" i="2" s="1"/>
  <c r="AL52" i="2" a="1"/>
  <c r="AL52" i="2" s="1"/>
  <c r="D52" i="2" s="1" a="1"/>
  <c r="D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D46" i="2" s="1" a="1"/>
  <c r="D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<sst xmlns="http://schemas.openxmlformats.org/spreadsheetml/2006/main" count="2954" uniqueCount="418">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</sst>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>
    <filterColumn colId="5">
      <filters>
        <filter val="Bardia"/>
        <filter val="Kushal"/>
      </filters>
    </filterColumn>
    <filterColumn colId="8">
      <filters>
        <filter val="August"/>
        <filter val="July"/>
      </filters>
    </filterColumn>
  </autoFilter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AB1" activePane="topRight" state="frozen"/>
      <selection pane="topRight" activeCell="AC29" sqref="AC29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t="14.45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Log'!$B$3:$B$499,'Rework Log'!$A$3:$A$499,$B2,'Rework Log'!$C$3:$C$499,"QA"),_xlpm.act,IF(AND(X2&lt;&gt;"",X2&gt;_xlpm.sent),X2,""),IF(_xlpm.tgt="","No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Log'!$B$3:$B$499,'Rework Log'!$A$3:$A$499,$B2,'Rework Log'!$C$3:$C$499,"DPO*"),_xlpm.act,IF(AND(AB2&lt;&gt;"",AB2&gt;_xlpm.sent),AB2,""),IF(_xlpm.tgt="","No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Log'!$A$3:$A$499=$B2)*('Rework Log'!$G$3:$G$499&lt;&gt;"Yes")*('Rework Log'!$G$3:$G$499&lt;&gt;"Did not pass re-test"))=0),"Blocked - log it on Rework Log",IF(AND(LEFT($AI2,3)&lt;&gt;"Yes",SUMPRODUCT(('Rework Log'!$A$3:$A$499=$B2)*('Rework Log'!$G$3:$G$499&lt;&gt;"Yes")*('Rework Log'!$G$3:$G$499&lt;&gt;"Did not pass re-test"))&gt;0),"Open rework row - mark Blocked? or close it",IF(AND($AI2="Yes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H)",IF(AND($AI2="Yes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H)",IF(AND($AI2="Yes – needs QA to fix",X2&lt;&gt;"",SUMPRODUCT(MAX((('Rework Log'!$A$3:$A$499=$B2)*('Rework Log'!$G$3:$G$499&lt;&gt;"Yes")*('Rework Log'!$G$3:$G$499&lt;&gt;"Did not pass re-test"))*'Rework Log'!$I$3:$I$499))&gt;0),"Move old QA completion date to Rework Log (col H)",IF(COUNTIF($B$2:$B$526,$B2)&gt;1,"Duplicate name - check row",IF(COUNTIF('Rework Log'!$A$3:$A$499,$B2)&gt;0,"",IF(AND(V2&lt;&gt;"",K2&lt;&gt;"",V2&lt;K2),"QA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39" ht="14.45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Log'!$B$3:$B$499,'Rework Log'!$A$3:$A$499,$B3,'Rework Log'!$C$3:$C$499,"QA"),_xlpm.act,IF(AND(X3&lt;&gt;"",X3&gt;_xlpm.sent),X3,""),IF(_xlpm.tgt="","No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Log'!$B$3:$B$499,'Rework Log'!$A$3:$A$499,$B3,'Rework Log'!$C$3:$C$499,"DPO*"),_xlpm.act,IF(AND(AB3&lt;&gt;"",AB3&gt;_xlpm.sent),AB3,""),IF(_xlpm.tgt="","No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Log'!$A$3:$A$499=$B3)*('Rework Log'!$G$3:$G$499&lt;&gt;"Yes")*('Rework Log'!$G$3:$G$499&lt;&gt;"Did not pass re-test"))=0),"Blocked - log it on Rework Log",IF(AND(LEFT($AI3,3)&lt;&gt;"Yes",SUMPRODUCT(('Rework Log'!$A$3:$A$499=$B3)*('Rework Log'!$G$3:$G$499&lt;&gt;"Yes")*('Rework Log'!$G$3:$G$499&lt;&gt;"Did not pass re-test"))&gt;0),"Open rework row - mark Blocked? or close it",IF(AND($AI3="Yes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H)",IF(AND($AI3="Yes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H)",IF(AND($AI3="Yes – needs QA to fix",X3&lt;&gt;"",SUMPRODUCT(MAX((('Rework Log'!$A$3:$A$499=$B3)*('Rework Log'!$G$3:$G$499&lt;&gt;"Yes")*('Rework Log'!$G$3:$G$499&lt;&gt;"Did not pass re-test"))*'Rework Log'!$I$3:$I$499))&gt;0),"Move old QA completion date to Rework Log (col H)",IF(COUNTIF($B$2:$B$526,$B3)&gt;1,"Duplicate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39" ht="14.45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Log'!$B$3:$B$499,'Rework Log'!$A$3:$A$499,$B4,'Rework Log'!$C$3:$C$499,"QA"),_xlpm.act,IF(AND(X4&lt;&gt;"",X4&gt;_xlpm.sent),X4,""),IF(_xlpm.tgt="","No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Log'!$B$3:$B$499,'Rework Log'!$A$3:$A$499,$B4,'Rework Log'!$C$3:$C$499,"DPO*"),_xlpm.act,IF(AND(AB4&lt;&gt;"",AB4&gt;_xlpm.sent),AB4,""),IF(_xlpm.tgt="","No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Log'!$A$3:$A$499=$B4)*('Rework Log'!$G$3:$G$499&lt;&gt;"Yes")*('Rework Log'!$G$3:$G$499&lt;&gt;"Did not pass re-test"))=0),"Blocked - log it on Rework Log",IF(AND(LEFT($AI4,3)&lt;&gt;"Yes",SUMPRODUCT(('Rework Log'!$A$3:$A$499=$B4)*('Rework Log'!$G$3:$G$499&lt;&gt;"Yes")*('Rework Log'!$G$3:$G$499&lt;&gt;"Did not pass re-test"))&gt;0),"Open rework row - mark Blocked? or close it",IF(AND($AI4="Yes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H)",IF(AND($AI4="Yes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H)",IF(AND($AI4="Yes – needs QA to fix",X4&lt;&gt;"",SUMPRODUCT(MAX((('Rework Log'!$A$3:$A$499=$B4)*('Rework Log'!$G$3:$G$499&lt;&gt;"Yes")*('Rework Log'!$G$3:$G$499&lt;&gt;"Did not pass re-test"))*'Rework Log'!$I$3:$I$499))&gt;0),"Move old QA completion date to Rework Log (col H)",IF(COUNTIF($B$2:$B$526,$B4)&gt;1,"Duplicate name - check row",IF(COUNTIF('Rework Log'!$A$3:$A$499,$B4)&gt;0,"",IF(AND(V4&lt;&gt;"",K4&lt;&gt;"",V4&lt;K4),"QA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39" ht="14.45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Log'!$B$3:$B$499,'Rework Log'!$A$3:$A$499,$B5,'Rework Log'!$C$3:$C$499,"QA"),_xlpm.act,IF(AND(X5&lt;&gt;"",X5&gt;_xlpm.sent),X5,""),IF(_xlpm.tgt="","No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Log'!$B$3:$B$499,'Rework Log'!$A$3:$A$499,$B5,'Rework Log'!$C$3:$C$499,"DPO*"),_xlpm.act,IF(AND(AB5&lt;&gt;"",AB5&gt;_xlpm.sent),AB5,""),IF(_xlpm.tgt="","No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Log'!$A$3:$A$499=$B5)*('Rework Log'!$G$3:$G$499&lt;&gt;"Yes")*('Rework Log'!$G$3:$G$499&lt;&gt;"Did not pass re-test"))=0),"Blocked - log it on Rework Log",IF(AND(LEFT($AI5,3)&lt;&gt;"Yes",SUMPRODUCT(('Rework Log'!$A$3:$A$499=$B5)*('Rework Log'!$G$3:$G$499&lt;&gt;"Yes")*('Rework Log'!$G$3:$G$499&lt;&gt;"Did not pass re-test"))&gt;0),"Open rework row - mark Blocked? or close it",IF(AND($AI5="Yes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H)",IF(AND($AI5="Yes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H)",IF(AND($AI5="Yes – needs QA to fix",X5&lt;&gt;"",SUMPRODUCT(MAX((('Rework Log'!$A$3:$A$499=$B5)*('Rework Log'!$G$3:$G$499&lt;&gt;"Yes")*('Rework Log'!$G$3:$G$499&lt;&gt;"Did not pass re-test"))*'Rework Log'!$I$3:$I$499))&gt;0),"Move old QA completion date to Rework Log (col H)",IF(COUNTIF($B$2:$B$526,$B5)&gt;1,"Duplicate name - check row",IF(COUNTIF('Rework Log'!$A$3:$A$499,$B5)&gt;0,"",IF(AND(V5&lt;&gt;"",K5&lt;&gt;"",V5&lt;K5),"QA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39" ht="14.45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Log'!$B$3:$B$499,'Rework Log'!$A$3:$A$499,$B6,'Rework Log'!$C$3:$C$499,"QA"),_xlpm.act,IF(AND(X6&lt;&gt;"",X6&gt;_xlpm.sent),X6,""),IF(_xlpm.tgt="","No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Log'!$B$3:$B$499,'Rework Log'!$A$3:$A$499,$B6,'Rework Log'!$C$3:$C$499,"DPO*"),_xlpm.act,IF(AND(AB6&lt;&gt;"",AB6&gt;_xlpm.sent),AB6,""),IF(_xlpm.tgt="","No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39" ht="14.45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Log'!$B$3:$B$499,'Rework Log'!$A$3:$A$499,$B7,'Rework Log'!$C$3:$C$499,"QA"),_xlpm.act,IF(AND(X7&lt;&gt;"",X7&gt;_xlpm.sent),X7,""),IF(_xlpm.tgt="","No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Log'!$B$3:$B$499,'Rework Log'!$A$3:$A$499,$B7,'Rework Log'!$C$3:$C$499,"DPO*"),_xlpm.act,IF(AND(AB7&lt;&gt;"",AB7&gt;_xlpm.sent),AB7,""),IF(_xlpm.tgt="","No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39" ht="14.45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Log'!$B$3:$B$499,'Rework Log'!$A$3:$A$499,$B8,'Rework Log'!$C$3:$C$499,"QA"),_xlpm.act,IF(AND(X8&lt;&gt;"",X8&gt;_xlpm.sent),X8,""),IF(_xlpm.tgt="","No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Log'!$B$3:$B$499,'Rework Log'!$A$3:$A$499,$B8,'Rework Log'!$C$3:$C$499,"DPO*"),_xlpm.act,IF(AND(AB8&lt;&gt;"",AB8&gt;_xlpm.sent),AB8,""),IF(_xlpm.tgt="","No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39" ht="14.45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Log'!$B$3:$B$499,'Rework Log'!$A$3:$A$499,$B9,'Rework Log'!$C$3:$C$499,"QA"),_xlpm.act,IF(AND(X9&lt;&gt;"",X9&gt;_xlpm.sent),X9,""),IF(_xlpm.tgt="","No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Log'!$B$3:$B$499,'Rework Log'!$A$3:$A$499,$B9,'Rework Log'!$C$3:$C$499,"DPO*"),_xlpm.act,IF(AND(AB9&lt;&gt;"",AB9&gt;_xlpm.sent),AB9,""),IF(_xlpm.tgt="","No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39" ht="14.45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Log'!$B$3:$B$499,'Rework Log'!$A$3:$A$499,$B10,'Rework Log'!$C$3:$C$499,"QA"),_xlpm.act,IF(AND(X10&lt;&gt;"",X10&gt;_xlpm.sent),X10,""),IF(_xlpm.tgt="","No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Log'!$B$3:$B$499,'Rework Log'!$A$3:$A$499,$B10,'Rework Log'!$C$3:$C$499,"DPO*"),_xlpm.act,IF(AND(AB10&lt;&gt;"",AB10&gt;_xlpm.sent),AB10,""),IF(_xlpm.tgt="","No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Log'!$A$3:$A$499=$B10)*('Rework Log'!$G$3:$G$499&lt;&gt;"Yes")*('Rework Log'!$G$3:$G$499&lt;&gt;"Did not pass re-test"))=0),"Blocked - log it on Rework Log",IF(AND(LEFT($AI10,3)&lt;&gt;"Yes",SUMPRODUCT(('Rework Log'!$A$3:$A$499=$B10)*('Rework Log'!$G$3:$G$499&lt;&gt;"Yes")*('Rework Log'!$G$3:$G$499&lt;&gt;"Did not pass re-test"))&gt;0),"Open rework row - mark Blocked? or close it",IF(AND($AI10="Yes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H)",IF(AND($AI10="Yes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H)",IF(AND($AI10="Yes – needs QA to fix",X10&lt;&gt;"",SUMPRODUCT(MAX((('Rework Log'!$A$3:$A$499=$B10)*('Rework Log'!$G$3:$G$499&lt;&gt;"Yes")*('Rework Log'!$G$3:$G$499&lt;&gt;"Did not pass re-test"))*'Rework Log'!$I$3:$I$499))&gt;0),"Move old QA completion date to Rework Log (col H)",IF(COUNTIF($B$2:$B$526,$B10)&gt;1,"Duplicate name - check row",IF(COUNTIF('Rework Log'!$A$3:$A$499,$B10)&gt;0,"",IF(AND(V10&lt;&gt;"",K10&lt;&gt;"",V10&lt;K10),"QA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39" ht="14.45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Log'!$B$3:$B$499,'Rework Log'!$A$3:$A$499,$B11,'Rework Log'!$C$3:$C$499,"QA"),_xlpm.act,IF(AND(X11&lt;&gt;"",X11&gt;_xlpm.sent),X11,""),IF(_xlpm.tgt="","No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Log'!$B$3:$B$499,'Rework Log'!$A$3:$A$499,$B11,'Rework Log'!$C$3:$C$499,"DPO*"),_xlpm.act,IF(AND(AB11&lt;&gt;"",AB11&gt;_xlpm.sent),AB11,""),IF(_xlpm.tgt="","No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Log'!$A$3:$A$499=$B11)*('Rework Log'!$G$3:$G$499&lt;&gt;"Yes")*('Rework Log'!$G$3:$G$499&lt;&gt;"Did not pass re-test"))=0),"Blocked - log it on Rework Log",IF(AND(LEFT($AI11,3)&lt;&gt;"Yes",SUMPRODUCT(('Rework Log'!$A$3:$A$499=$B11)*('Rework Log'!$G$3:$G$499&lt;&gt;"Yes")*('Rework Log'!$G$3:$G$499&lt;&gt;"Did not pass re-test"))&gt;0),"Open rework row - mark Blocked? or close it",IF(AND($AI11="Yes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H)",IF(AND($AI11="Yes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H)",IF(AND($AI11="Yes – needs QA to fix",X11&lt;&gt;"",SUMPRODUCT(MAX((('Rework Log'!$A$3:$A$499=$B11)*('Rework Log'!$G$3:$G$499&lt;&gt;"Yes")*('Rework Log'!$G$3:$G$499&lt;&gt;"Did not pass re-test"))*'Rework Log'!$I$3:$I$499))&gt;0),"Move old QA completion date to Rework Log (col H)",IF(COUNTIF($B$2:$B$526,$B11)&gt;1,"Duplicate name - check row",IF(COUNTIF('Rework Log'!$A$3:$A$499,$B11)&gt;0,"",IF(AND(V11&lt;&gt;"",K11&lt;&gt;"",V11&lt;K11),"QA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39" ht="14.45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Log'!$B$3:$B$499,'Rework Log'!$A$3:$A$499,$B12,'Rework Log'!$C$3:$C$499,"QA"),_xlpm.act,IF(AND(X12&lt;&gt;"",X12&gt;_xlpm.sent),X12,""),IF(_xlpm.tgt="","No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Log'!$B$3:$B$499,'Rework Log'!$A$3:$A$499,$B12,'Rework Log'!$C$3:$C$499,"DPO*"),_xlpm.act,IF(AND(AB12&lt;&gt;"",AB12&gt;_xlpm.sent),AB12,""),IF(_xlpm.tgt="","No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Log'!$A$3:$A$499=$B12)*('Rework Log'!$G$3:$G$499&lt;&gt;"Yes")*('Rework Log'!$G$3:$G$499&lt;&gt;"Did not pass re-test"))=0),"Blocked - log it on Rework Log",IF(AND(LEFT($AI12,3)&lt;&gt;"Yes",SUMPRODUCT(('Rework Log'!$A$3:$A$499=$B12)*('Rework Log'!$G$3:$G$499&lt;&gt;"Yes")*('Rework Log'!$G$3:$G$499&lt;&gt;"Did not pass re-test"))&gt;0),"Open rework row - mark Blocked? or close it",IF(AND($AI12="Yes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H)",IF(AND($AI12="Yes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H)",IF(AND($AI12="Yes – needs QA to fix",X12&lt;&gt;"",SUMPRODUCT(MAX((('Rework Log'!$A$3:$A$499=$B12)*('Rework Log'!$G$3:$G$499&lt;&gt;"Yes")*('Rework Log'!$G$3:$G$499&lt;&gt;"Did not pass re-test"))*'Rework Log'!$I$3:$I$499))&gt;0),"Move old QA completion date to Rework Log (col H)",IF(COUNTIF($B$2:$B$526,$B12)&gt;1,"Duplicate name - check row",IF(COUNTIF('Rework Log'!$A$3:$A$499,$B12)&gt;0,"",IF(AND(V12&lt;&gt;"",K12&lt;&gt;"",V12&lt;K12),"QA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39" ht="14.45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Log'!$B$3:$B$499,'Rework Log'!$A$3:$A$499,$B13,'Rework Log'!$C$3:$C$499,"QA"),_xlpm.act,IF(AND(X13&lt;&gt;"",X13&gt;_xlpm.sent),X13,""),IF(_xlpm.tgt="","No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Log'!$B$3:$B$499,'Rework Log'!$A$3:$A$499,$B13,'Rework Log'!$C$3:$C$499,"DPO*"),_xlpm.act,IF(AND(AB13&lt;&gt;"",AB13&gt;_xlpm.sent),AB13,""),IF(_xlpm.tgt="","No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Log'!$A$3:$A$499=$B13)*('Rework Log'!$G$3:$G$499&lt;&gt;"Yes")*('Rework Log'!$G$3:$G$499&lt;&gt;"Did not pass re-test"))=0),"Blocked - log it on Rework Log",IF(AND(LEFT($AI13,3)&lt;&gt;"Yes",SUMPRODUCT(('Rework Log'!$A$3:$A$499=$B13)*('Rework Log'!$G$3:$G$499&lt;&gt;"Yes")*('Rework Log'!$G$3:$G$499&lt;&gt;"Did not pass re-test"))&gt;0),"Open rework row - mark Blocked? or close it",IF(AND($AI13="Yes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H)",IF(AND($AI13="Yes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H)",IF(AND($AI13="Yes – needs QA to fix",X13&lt;&gt;"",SUMPRODUCT(MAX((('Rework Log'!$A$3:$A$499=$B13)*('Rework Log'!$G$3:$G$499&lt;&gt;"Yes")*('Rework Log'!$G$3:$G$499&lt;&gt;"Did not pass re-test"))*'Rework Log'!$I$3:$I$499))&gt;0),"Move old QA completion date to Rework Log (col H)",IF(COUNTIF($B$2:$B$526,$B13)&gt;1,"Duplicate name - check row",IF(COUNTIF('Rework Log'!$A$3:$A$499,$B13)&gt;0,"",IF(AND(V13&lt;&gt;"",K13&lt;&gt;"",V13&lt;K13),"QA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39" ht="14.45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Log'!$B$3:$B$499,'Rework Log'!$A$3:$A$499,$B14,'Rework Log'!$C$3:$C$499,"QA"),_xlpm.act,IF(AND(X14&lt;&gt;"",X14&gt;_xlpm.sent),X14,""),IF(_xlpm.tgt="","No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Log'!$B$3:$B$499,'Rework Log'!$A$3:$A$499,$B14,'Rework Log'!$C$3:$C$499,"DPO*"),_xlpm.act,IF(AND(AB14&lt;&gt;"",AB14&gt;_xlpm.sent),AB14,""),IF(_xlpm.tgt="","No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Log'!$A$3:$A$499=$B14)*('Rework Log'!$G$3:$G$499&lt;&gt;"Yes")*('Rework Log'!$G$3:$G$499&lt;&gt;"Did not pass re-test"))=0),"Blocked - log it on Rework Log",IF(AND(LEFT($AI14,3)&lt;&gt;"Yes",SUMPRODUCT(('Rework Log'!$A$3:$A$499=$B14)*('Rework Log'!$G$3:$G$499&lt;&gt;"Yes")*('Rework Log'!$G$3:$G$499&lt;&gt;"Did not pass re-test"))&gt;0),"Open rework row - mark Blocked? or close it",IF(AND($AI14="Yes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H)",IF(AND($AI14="Yes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H)",IF(AND($AI14="Yes – needs QA to fix",X14&lt;&gt;"",SUMPRODUCT(MAX((('Rework Log'!$A$3:$A$499=$B14)*('Rework Log'!$G$3:$G$499&lt;&gt;"Yes")*('Rework Log'!$G$3:$G$499&lt;&gt;"Did not pass re-test"))*'Rework Log'!$I$3:$I$499))&gt;0),"Move old QA completion date to Rework Log (col H)",IF(COUNTIF($B$2:$B$526,$B14)&gt;1,"Duplicate name - check row",IF(COUNTIF('Rework Log'!$A$3:$A$499,$B14)&gt;0,"",IF(AND(V14&lt;&gt;"",K14&lt;&gt;"",V14&lt;K14),"QA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39" ht="14.45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Log'!$B$3:$B$499,'Rework Log'!$A$3:$A$499,$B15,'Rework Log'!$C$3:$C$499,"QA"),_xlpm.act,IF(AND(X15&lt;&gt;"",X15&gt;_xlpm.sent),X15,""),IF(_xlpm.tgt="","No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Log'!$B$3:$B$499,'Rework Log'!$A$3:$A$499,$B15,'Rework Log'!$C$3:$C$499,"DPO*"),_xlpm.act,IF(AND(AB15&lt;&gt;"",AB15&gt;_xlpm.sent),AB15,""),IF(_xlpm.tgt="","No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Log'!$A$3:$A$499=$B15)*('Rework Log'!$G$3:$G$499&lt;&gt;"Yes")*('Rework Log'!$G$3:$G$499&lt;&gt;"Did not pass re-test"))=0),"Blocked - log it on Rework Log",IF(AND(LEFT($AI15,3)&lt;&gt;"Yes",SUMPRODUCT(('Rework Log'!$A$3:$A$499=$B15)*('Rework Log'!$G$3:$G$499&lt;&gt;"Yes")*('Rework Log'!$G$3:$G$499&lt;&gt;"Did not pass re-test"))&gt;0),"Open rework row - mark Blocked? or close it",IF(AND($AI15="Yes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H)",IF(AND($AI15="Yes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H)",IF(AND($AI15="Yes – needs QA to fix",X15&lt;&gt;"",SUMPRODUCT(MAX((('Rework Log'!$A$3:$A$499=$B15)*('Rework Log'!$G$3:$G$499&lt;&gt;"Yes")*('Rework Log'!$G$3:$G$499&lt;&gt;"Did not pass re-test"))*'Rework Log'!$I$3:$I$499))&gt;0),"Move old QA completion date to Rework Log (col H)",IF(COUNTIF($B$2:$B$526,$B15)&gt;1,"Duplicate name - check row",IF(COUNTIF('Rework Log'!$A$3:$A$499,$B15)&gt;0,"",IF(AND(V15&lt;&gt;"",K15&lt;&gt;"",V15&lt;K15),"QA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39" ht="14.45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Log'!$B$3:$B$499,'Rework Log'!$A$3:$A$499,$B16,'Rework Log'!$C$3:$C$499,"QA"),_xlpm.act,IF(AND(X16&lt;&gt;"",X16&gt;_xlpm.sent),X16,""),IF(_xlpm.tgt="","No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Log'!$B$3:$B$499,'Rework Log'!$A$3:$A$499,$B16,'Rework Log'!$C$3:$C$499,"DPO*"),_xlpm.act,IF(AND(AB16&lt;&gt;"",AB16&gt;_xlpm.sent),AB16,""),IF(_xlpm.tgt="","No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39" ht="14.45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Log'!$B$3:$B$499,'Rework Log'!$A$3:$A$499,$B17,'Rework Log'!$C$3:$C$499,"QA"),_xlpm.act,IF(AND(X17&lt;&gt;"",X17&gt;_xlpm.sent),X17,""),IF(_xlpm.tgt="","No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Log'!$B$3:$B$499,'Rework Log'!$A$3:$A$499,$B17,'Rework Log'!$C$3:$C$499,"DPO*"),_xlpm.act,IF(AND(AB17&lt;&gt;"",AB17&gt;_xlpm.sent),AB17,""),IF(_xlpm.tgt="","No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39" ht="14.45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Log'!$B$3:$B$499,'Rework Log'!$A$3:$A$499,$B18,'Rework Log'!$C$3:$C$499,"QA"),_xlpm.act,IF(AND(X18&lt;&gt;"",X18&gt;_xlpm.sent),X18,""),IF(_xlpm.tgt="","No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Log'!$B$3:$B$499,'Rework Log'!$A$3:$A$499,$B18,'Rework Log'!$C$3:$C$499,"DPO*"),_xlpm.act,IF(AND(AB18&lt;&gt;"",AB18&gt;_xlpm.sent),AB18,""),IF(_xlpm.tgt="","No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39" ht="14.45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Log'!$B$3:$B$499,'Rework Log'!$A$3:$A$499,$B19,'Rework Log'!$C$3:$C$499,"QA"),_xlpm.act,IF(AND(X19&lt;&gt;"",X19&gt;_xlpm.sent),X19,""),IF(_xlpm.tgt="","No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Log'!$B$3:$B$499,'Rework Log'!$A$3:$A$499,$B19,'Rework Log'!$C$3:$C$499,"DPO*"),_xlpm.act,IF(AND(AB19&lt;&gt;"",AB19&gt;_xlpm.sent),AB19,""),IF(_xlpm.tgt="","No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39" ht="14.45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Log'!$B$3:$B$499,'Rework Log'!$A$3:$A$499,$B20,'Rework Log'!$C$3:$C$499,"QA"),_xlpm.act,IF(AND(X20&lt;&gt;"",X20&gt;_xlpm.sent),X20,""),IF(_xlpm.tgt="","No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Log'!$B$3:$B$499,'Rework Log'!$A$3:$A$499,$B20,'Rework Log'!$C$3:$C$499,"DPO*"),_xlpm.act,IF(AND(AB20&lt;&gt;"",AB20&gt;_xlpm.sent),AB20,""),IF(_xlpm.tgt="","No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Log'!$A$3:$A$499=$B20)*('Rework Log'!$G$3:$G$499&lt;&gt;"Yes")*('Rework Log'!$G$3:$G$499&lt;&gt;"Did not pass re-test"))=0),"Blocked - log it on Rework Log",IF(AND(LEFT($AI20,3)&lt;&gt;"Yes",SUMPRODUCT(('Rework Log'!$A$3:$A$499=$B20)*('Rework Log'!$G$3:$G$499&lt;&gt;"Yes")*('Rework Log'!$G$3:$G$499&lt;&gt;"Did not pass re-test"))&gt;0),"Open rework row - mark Blocked? or close it",IF(AND($AI20="Yes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H)",IF(AND($AI20="Yes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H)",IF(AND($AI20="Yes – needs QA to fix",X20&lt;&gt;"",SUMPRODUCT(MAX((('Rework Log'!$A$3:$A$499=$B20)*('Rework Log'!$G$3:$G$499&lt;&gt;"Yes")*('Rework Log'!$G$3:$G$499&lt;&gt;"Did not pass re-test"))*'Rework Log'!$I$3:$I$499))&gt;0),"Move old QA completion date to Rework Log (col H)",IF(COUNTIF($B$2:$B$526,$B20)&gt;1,"Duplicate name - check row",IF(COUNTIF('Rework Log'!$A$3:$A$499,$B20)&gt;0,"",IF(AND(V20&lt;&gt;"",K20&lt;&gt;"",V20&lt;K20),"QA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39" ht="14.45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Log'!$B$3:$B$499,'Rework Log'!$A$3:$A$499,$B21,'Rework Log'!$C$3:$C$499,"QA"),_xlpm.act,IF(AND(X21&lt;&gt;"",X21&gt;_xlpm.sent),X21,""),IF(_xlpm.tgt="","No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Log'!$B$3:$B$499,'Rework Log'!$A$3:$A$499,$B21,'Rework Log'!$C$3:$C$499,"DPO*"),_xlpm.act,IF(AND(AB21&lt;&gt;"",AB21&gt;_xlpm.sent),AB21,""),IF(_xlpm.tgt="","No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Log'!$A$3:$A$499=$B21)*('Rework Log'!$G$3:$G$499&lt;&gt;"Yes")*('Rework Log'!$G$3:$G$499&lt;&gt;"Did not pass re-test"))=0),"Blocked - log it on Rework Log",IF(AND(LEFT($AI21,3)&lt;&gt;"Yes",SUMPRODUCT(('Rework Log'!$A$3:$A$499=$B21)*('Rework Log'!$G$3:$G$499&lt;&gt;"Yes")*('Rework Log'!$G$3:$G$499&lt;&gt;"Did not pass re-test"))&gt;0),"Open rework row - mark Blocked? or close it",IF(AND($AI21="Yes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H)",IF(AND($AI21="Yes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H)",IF(AND($AI21="Yes – needs QA to fix",X21&lt;&gt;"",SUMPRODUCT(MAX((('Rework Log'!$A$3:$A$499=$B21)*('Rework Log'!$G$3:$G$499&lt;&gt;"Yes")*('Rework Log'!$G$3:$G$499&lt;&gt;"Did not pass re-test"))*'Rework Log'!$I$3:$I$499))&gt;0),"Move old QA completion date to Rework Log (col H)",IF(COUNTIF($B$2:$B$526,$B21)&gt;1,"Duplicate name - check row",IF(COUNTIF('Rework Log'!$A$3:$A$499,$B21)&gt;0,"",IF(AND(V21&lt;&gt;"",K21&lt;&gt;"",V21&lt;K21),"QA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39" ht="14.45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Log'!$B$3:$B$499,'Rework Log'!$A$3:$A$499,$B22,'Rework Log'!$C$3:$C$499,"QA"),_xlpm.act,IF(AND(X22&lt;&gt;"",X22&gt;_xlpm.sent),X22,""),IF(_xlpm.tgt="","No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Log'!$B$3:$B$499,'Rework Log'!$A$3:$A$499,$B22,'Rework Log'!$C$3:$C$499,"DPO*"),_xlpm.act,IF(AND(AB22&lt;&gt;"",AB22&gt;_xlpm.sent),AB22,""),IF(_xlpm.tgt="","No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Log'!$A$3:$A$499=$B22)*('Rework Log'!$G$3:$G$499&lt;&gt;"Yes")*('Rework Log'!$G$3:$G$499&lt;&gt;"Did not pass re-test"))=0),"Blocked - log it on Rework Log",IF(AND(LEFT($AI22,3)&lt;&gt;"Yes",SUMPRODUCT(('Rework Log'!$A$3:$A$499=$B22)*('Rework Log'!$G$3:$G$499&lt;&gt;"Yes")*('Rework Log'!$G$3:$G$499&lt;&gt;"Did not pass re-test"))&gt;0),"Open rework row - mark Blocked? or close it",IF(AND($AI22="Yes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H)",IF(AND($AI22="Yes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H)",IF(AND($AI22="Yes – needs QA to fix",X22&lt;&gt;"",SUMPRODUCT(MAX((('Rework Log'!$A$3:$A$499=$B22)*('Rework Log'!$G$3:$G$499&lt;&gt;"Yes")*('Rework Log'!$G$3:$G$499&lt;&gt;"Did not pass re-test"))*'Rework Log'!$I$3:$I$499))&gt;0),"Move old QA completion date to Rework Log (col H)",IF(COUNTIF($B$2:$B$526,$B22)&gt;1,"Duplicate name - check row",IF(COUNTIF('Rework Log'!$A$3:$A$499,$B22)&gt;0,"",IF(AND(V22&lt;&gt;"",K22&lt;&gt;"",V22&lt;K22),"QA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39" ht="14.45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Log'!$B$3:$B$499,'Rework Log'!$A$3:$A$499,$B23,'Rework Log'!$C$3:$C$499,"QA"),_xlpm.act,IF(AND(X23&lt;&gt;"",X23&gt;_xlpm.sent),X23,""),IF(_xlpm.tgt="","No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Log'!$B$3:$B$499,'Rework Log'!$A$3:$A$499,$B23,'Rework Log'!$C$3:$C$499,"DPO*"),_xlpm.act,IF(AND(AB23&lt;&gt;"",AB23&gt;_xlpm.sent),AB23,""),IF(_xlpm.tgt="","No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Log'!$A$3:$A$499=$B23)*('Rework Log'!$G$3:$G$499&lt;&gt;"Yes")*('Rework Log'!$G$3:$G$499&lt;&gt;"Did not pass re-test"))=0),"Blocked - log it on Rework Log",IF(AND(LEFT($AI23,3)&lt;&gt;"Yes",SUMPRODUCT(('Rework Log'!$A$3:$A$499=$B23)*('Rework Log'!$G$3:$G$499&lt;&gt;"Yes")*('Rework Log'!$G$3:$G$499&lt;&gt;"Did not pass re-test"))&gt;0),"Open rework row - mark Blocked? or close it",IF(AND($AI23="Yes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H)",IF(AND($AI23="Yes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H)",IF(AND($AI23="Yes – needs QA to fix",X23&lt;&gt;"",SUMPRODUCT(MAX((('Rework Log'!$A$3:$A$499=$B23)*('Rework Log'!$G$3:$G$499&lt;&gt;"Yes")*('Rework Log'!$G$3:$G$499&lt;&gt;"Did not pass re-test"))*'Rework Log'!$I$3:$I$499))&gt;0),"Move old QA completion date to Rework Log (col H)",IF(COUNTIF($B$2:$B$526,$B23)&gt;1,"Duplicate name - check row",IF(COUNTIF('Rework Log'!$A$3:$A$499,$B23)&gt;0,"",IF(AND(V23&lt;&gt;"",K23&lt;&gt;"",V23&lt;K23),"QA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39" ht="14.45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Log'!$B$3:$B$499,'Rework Log'!$A$3:$A$499,$B24,'Rework Log'!$C$3:$C$499,"QA"),_xlpm.act,IF(AND(X24&lt;&gt;"",X24&gt;_xlpm.sent),X24,""),IF(_xlpm.tgt="","No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Log'!$B$3:$B$499,'Rework Log'!$A$3:$A$499,$B24,'Rework Log'!$C$3:$C$499,"DPO*"),_xlpm.act,IF(AND(AB24&lt;&gt;"",AB24&gt;_xlpm.sent),AB24,""),IF(_xlpm.tgt="","No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Log'!$A$3:$A$499=$B24)*('Rework Log'!$G$3:$G$499&lt;&gt;"Yes")*('Rework Log'!$G$3:$G$499&lt;&gt;"Did not pass re-test"))=0),"Blocked - log it on Rework Log",IF(AND(LEFT($AI24,3)&lt;&gt;"Yes",SUMPRODUCT(('Rework Log'!$A$3:$A$499=$B24)*('Rework Log'!$G$3:$G$499&lt;&gt;"Yes")*('Rework Log'!$G$3:$G$499&lt;&gt;"Did not pass re-test"))&gt;0),"Open rework row - mark Blocked? or close it",IF(AND($AI24="Yes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H)",IF(AND($AI24="Yes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H)",IF(AND($AI24="Yes – needs QA to fix",X24&lt;&gt;"",SUMPRODUCT(MAX((('Rework Log'!$A$3:$A$499=$B24)*('Rework Log'!$G$3:$G$499&lt;&gt;"Yes")*('Rework Log'!$G$3:$G$499&lt;&gt;"Did not pass re-test"))*'Rework Log'!$I$3:$I$499))&gt;0),"Move old QA completion date to Rework Log (col H)",IF(COUNTIF($B$2:$B$526,$B24)&gt;1,"Duplicate name - check row",IF(COUNTIF('Rework Log'!$A$3:$A$499,$B24)&gt;0,"",IF(AND(V24&lt;&gt;"",K24&lt;&gt;"",V24&lt;K24),"QA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39" ht="14.45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Log'!$B$3:$B$499,'Rework Log'!$A$3:$A$499,$B25,'Rework Log'!$C$3:$C$499,"QA"),_xlpm.act,IF(AND(X25&lt;&gt;"",X25&gt;_xlpm.sent),X25,""),IF(_xlpm.tgt="","No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Log'!$B$3:$B$499,'Rework Log'!$A$3:$A$499,$B25,'Rework Log'!$C$3:$C$499,"DPO*"),_xlpm.act,IF(AND(AB25&lt;&gt;"",AB25&gt;_xlpm.sent),AB25,""),IF(_xlpm.tgt="","No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Log'!$A$3:$A$499=$B25)*('Rework Log'!$G$3:$G$499&lt;&gt;"Yes")*('Rework Log'!$G$3:$G$499&lt;&gt;"Did not pass re-test"))=0),"Blocked - log it on Rework Log",IF(AND(LEFT($AI25,3)&lt;&gt;"Yes",SUMPRODUCT(('Rework Log'!$A$3:$A$499=$B25)*('Rework Log'!$G$3:$G$499&lt;&gt;"Yes")*('Rework Log'!$G$3:$G$499&lt;&gt;"Did not pass re-test"))&gt;0),"Open rework row - mark Blocked? or close it",IF(AND($AI25="Yes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H)",IF(AND($AI25="Yes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H)",IF(AND($AI25="Yes – needs QA to fix",X25&lt;&gt;"",SUMPRODUCT(MAX((('Rework Log'!$A$3:$A$499=$B25)*('Rework Log'!$G$3:$G$499&lt;&gt;"Yes")*('Rework Log'!$G$3:$G$499&lt;&gt;"Did not pass re-test"))*'Rework Log'!$I$3:$I$499))&gt;0),"Move old QA completion date to Rework Log (col H)",IF(COUNTIF($B$2:$B$526,$B25)&gt;1,"Duplicate name - check row",IF(COUNTIF('Rework Log'!$A$3:$A$499,$B25)&gt;0,"",IF(AND(V25&lt;&gt;"",K25&lt;&gt;"",V25&lt;K25),"QA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39" ht="14.45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Log'!$B$3:$B$499,'Rework Log'!$A$3:$A$499,$B26,'Rework Log'!$C$3:$C$499,"QA"),_xlpm.act,IF(AND(X26&lt;&gt;"",X26&gt;_xlpm.sent),X26,""),IF(_xlpm.tgt="","No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Log'!$B$3:$B$499,'Rework Log'!$A$3:$A$499,$B26,'Rework Log'!$C$3:$C$499,"DPO*"),_xlpm.act,IF(AND(AB26&lt;&gt;"",AB26&gt;_xlpm.sent),AB26,""),IF(_xlpm.tgt="","No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Log'!$A$3:$A$499=$B26)*('Rework Log'!$G$3:$G$499&lt;&gt;"Yes")*('Rework Log'!$G$3:$G$499&lt;&gt;"Did not pass re-test"))=0),"Blocked - log it on Rework Log",IF(AND(LEFT($AI26,3)&lt;&gt;"Yes",SUMPRODUCT(('Rework Log'!$A$3:$A$499=$B26)*('Rework Log'!$G$3:$G$499&lt;&gt;"Yes")*('Rework Log'!$G$3:$G$499&lt;&gt;"Did not pass re-test"))&gt;0),"Open rework row - mark Blocked? or close it",IF(AND($AI26="Yes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H)",IF(AND($AI26="Yes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H)",IF(AND($AI26="Yes – needs QA to fix",X26&lt;&gt;"",SUMPRODUCT(MAX((('Rework Log'!$A$3:$A$499=$B26)*('Rework Log'!$G$3:$G$499&lt;&gt;"Yes")*('Rework Log'!$G$3:$G$499&lt;&gt;"Did not pass re-test"))*'Rework Log'!$I$3:$I$499))&gt;0),"Move old QA completion date to Rework Log (col H)",IF(COUNTIF($B$2:$B$526,$B26)&gt;1,"Duplicate name - check row",IF(COUNTIF('Rework Log'!$A$3:$A$499,$B26)&gt;0,"",IF(AND(V26&lt;&gt;"",K26&lt;&gt;"",V26&lt;K26),"QA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39" ht="14.45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Log'!$B$3:$B$499,'Rework Log'!$A$3:$A$499,$B27,'Rework Log'!$C$3:$C$499,"QA"),_xlpm.act,IF(AND(X27&lt;&gt;"",X27&gt;_xlpm.sent),X27,""),IF(_xlpm.tgt="","No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Log'!$B$3:$B$499,'Rework Log'!$A$3:$A$499,$B27,'Rework Log'!$C$3:$C$499,"DPO*"),_xlpm.act,IF(AND(AB27&lt;&gt;"",AB27&gt;_xlpm.sent),AB27,""),IF(_xlpm.tgt="","No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Log'!$A$3:$A$499=$B27)*('Rework Log'!$G$3:$G$499&lt;&gt;"Yes")*('Rework Log'!$G$3:$G$499&lt;&gt;"Did not pass re-test"))=0),"Blocked - log it on Rework Log",IF(AND(LEFT($AI27,3)&lt;&gt;"Yes",SUMPRODUCT(('Rework Log'!$A$3:$A$499=$B27)*('Rework Log'!$G$3:$G$499&lt;&gt;"Yes")*('Rework Log'!$G$3:$G$499&lt;&gt;"Did not pass re-test"))&gt;0),"Open rework row - mark Blocked? or close it",IF(AND($AI27="Yes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H)",IF(AND($AI27="Yes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H)",IF(AND($AI27="Yes – needs QA to fix",X27&lt;&gt;"",SUMPRODUCT(MAX((('Rework Log'!$A$3:$A$499=$B27)*('Rework Log'!$G$3:$G$499&lt;&gt;"Yes")*('Rework Log'!$G$3:$G$499&lt;&gt;"Did not pass re-test"))*'Rework Log'!$I$3:$I$499))&gt;0),"Move old QA completion date to Rework Log (col H)",IF(COUNTIF($B$2:$B$526,$B27)&gt;1,"Duplicate name - check row",IF(COUNTIF('Rework Log'!$A$3:$A$499,$B27)&gt;0,"",IF(AND(V27&lt;&gt;"",K27&lt;&gt;"",V27&lt;K27),"QA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39" ht="14.45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Log'!$B$3:$B$499,'Rework Log'!$A$3:$A$499,$B28,'Rework Log'!$C$3:$C$499,"QA"),_xlpm.act,IF(AND(X28&lt;&gt;"",X28&gt;_xlpm.sent),X28,""),IF(_xlpm.tgt="","No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Log'!$B$3:$B$499,'Rework Log'!$A$3:$A$499,$B28,'Rework Log'!$C$3:$C$499,"DPO*"),_xlpm.act,IF(AND(AB28&lt;&gt;"",AB28&gt;_xlpm.sent),AB28,""),IF(_xlpm.tgt="","No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Log'!$A$3:$A$499=$B28)*('Rework Log'!$G$3:$G$499&lt;&gt;"Yes")*('Rework Log'!$G$3:$G$499&lt;&gt;"Did not pass re-test"))=0),"Blocked - log it on Rework Log",IF(AND(LEFT($AI28,3)&lt;&gt;"Yes",SUMPRODUCT(('Rework Log'!$A$3:$A$499=$B28)*('Rework Log'!$G$3:$G$499&lt;&gt;"Yes")*('Rework Log'!$G$3:$G$499&lt;&gt;"Did not pass re-test"))&gt;0),"Open rework row - mark Blocked? or close it",IF(AND($AI28="Yes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H)",IF(AND($AI28="Yes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H)",IF(AND($AI28="Yes – needs QA to fix",X28&lt;&gt;"",SUMPRODUCT(MAX((('Rework Log'!$A$3:$A$499=$B28)*('Rework Log'!$G$3:$G$499&lt;&gt;"Yes")*('Rework Log'!$G$3:$G$499&lt;&gt;"Did not pass re-test"))*'Rework Log'!$I$3:$I$499))&gt;0),"Move old QA completion date to Rework Log (col H)",IF(COUNTIF($B$2:$B$526,$B28)&gt;1,"Duplicate name - check row",IF(COUNTIF('Rework Log'!$A$3:$A$499,$B28)&gt;0,"",IF(AND(V28&lt;&gt;"",K28&lt;&gt;"",V28&lt;K28),"QA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Log'!$B$3:$B$499,'Rework Log'!$A$3:$A$499,$B29,'Rework Log'!$C$3:$C$499,"QA"),_xlpm.act,IF(AND(X29&lt;&gt;"",X29&gt;=_xlpm.sent),X29,""),IF(_xlpm.tgt="","No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Log'!$B$3:$B$499,'Rework Log'!$A$3:$A$499,$B29,'Rework Log'!$C$3:$C$499,"DPO*"),_xlpm.act,IF(AND(AB29&lt;&gt;"",AB29&gt;=_xlpm.sent),AB29,""),IF(_xlpm.tgt="","No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46267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Log'!$A$3:$A$499=$B29)*('Rework Log'!$G$3:$G$499&lt;&gt;"Yes")*('Rework Log'!$G$3:$G$499&lt;&gt;"Did not pass re-test"))=0),"Blocked - log it on Rework Log",IF(AND(LEFT($AI29,3)&lt;&gt;"Yes",SUMPRODUCT(('Rework Log'!$A$3:$A$499=$B29)*('Rework Log'!$G$3:$G$499&lt;&gt;"Yes")*('Rework Log'!$G$3:$G$499&lt;&gt;"Did not pass re-test"))&gt;0),"Open rework row - mark Blocked? or close it",IF(AND($AI29="Yes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H)",IF(AND($AI29="Yes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H)",IF(AND($AI29="Yes – needs QA to fix",X29&lt;&gt;"",SUMPRODUCT(MAX((('Rework Log'!$A$3:$A$499=$B29)*('Rework Log'!$G$3:$G$499&lt;&gt;"Yes")*('Rework Log'!$G$3:$G$499&lt;&gt;"Did not pass re-test"))*'Rework Log'!$I$3:$I$499))&gt;0),"Move old QA completion date to Rework Log (col H)",IF(COUNTIF($B$2:$B$526,$B29)&gt;1,"Duplicate name - check row",IF(COUNTIF('Rework Log'!$A$3:$A$499,$B29)&gt;0,"",IF(AND(V29&lt;&gt;"",K29&lt;&gt;"",V29&lt;K29),"QA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Log'!$B$3:$B$499,'Rework Log'!$A$3:$A$499,$B30,'Rework Log'!$C$3:$C$499,"QA"),_xlpm.act,IF(AND(X30&lt;&gt;"",X30&gt;_xlpm.sent),X30,""),IF(_xlpm.tgt="","No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Log'!$B$3:$B$499,'Rework Log'!$A$3:$A$499,$B30,'Rework Log'!$C$3:$C$499,"DPO*"),_xlpm.act,IF(AND(AB30&lt;&gt;"",AB30&gt;_xlpm.sent),AB30,""),IF(_xlpm.tgt="","No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46267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Log'!$A$3:$A$499=$B30)*('Rework Log'!$G$3:$G$499&lt;&gt;"Yes")*('Rework Log'!$G$3:$G$499&lt;&gt;"Did not pass re-test"))=0),"Blocked - log it on Rework Log",IF(AND(LEFT($AI30,3)&lt;&gt;"Yes",SUMPRODUCT(('Rework Log'!$A$3:$A$499=$B30)*('Rework Log'!$G$3:$G$499&lt;&gt;"Yes")*('Rework Log'!$G$3:$G$499&lt;&gt;"Did not pass re-test"))&gt;0),"Open rework row - mark Blocked? or close it",IF(AND($AI30="Yes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H)",IF(AND($AI30="Yes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H)",IF(AND($AI30="Yes – needs QA to fix",X30&lt;&gt;"",SUMPRODUCT(MAX((('Rework Log'!$A$3:$A$499=$B30)*('Rework Log'!$G$3:$G$499&lt;&gt;"Yes")*('Rework Log'!$G$3:$G$499&lt;&gt;"Did not pass re-test"))*'Rework Log'!$I$3:$I$499))&gt;0),"Move old QA completion date to Rework Log (col H)",IF(COUNTIF($B$2:$B$526,$B30)&gt;1,"Duplicate name - check row",IF(COUNTIF('Rework Log'!$A$3:$A$499,$B30)&gt;0,"",IF(AND(V30&lt;&gt;"",K30&lt;&gt;"",V30&lt;K30),"QA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Log'!$B$3:$B$499,'Rework Log'!$A$3:$A$499,$B31,'Rework Log'!$C$3:$C$499,"QA"),_xlpm.act,IF(AND(X31&lt;&gt;"",X31&gt;_xlpm.sent),X31,""),IF(_xlpm.tgt="","No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Log'!$B$3:$B$499,'Rework Log'!$A$3:$A$499,$B31,'Rework Log'!$C$3:$C$499,"DPO*"),_xlpm.act,IF(AND(AB31&lt;&gt;"",AB31&gt;_xlpm.sent),AB31,""),IF(_xlpm.tgt="","No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46267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Log'!$A$3:$A$499=$B31)*('Rework Log'!$G$3:$G$499&lt;&gt;"Yes")*('Rework Log'!$G$3:$G$499&lt;&gt;"Did not pass re-test"))=0),"Blocked - log it on Rework Log",IF(AND(LEFT($AI31,3)&lt;&gt;"Yes",SUMPRODUCT(('Rework Log'!$A$3:$A$499=$B31)*('Rework Log'!$G$3:$G$499&lt;&gt;"Yes")*('Rework Log'!$G$3:$G$499&lt;&gt;"Did not pass re-test"))&gt;0),"Open rework row - mark Blocked? or close it",IF(AND($AI31="Yes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H)",IF(AND($AI31="Yes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H)",IF(AND($AI31="Yes – needs QA to fix",X31&lt;&gt;"",SUMPRODUCT(MAX((('Rework Log'!$A$3:$A$499=$B31)*('Rework Log'!$G$3:$G$499&lt;&gt;"Yes")*('Rework Log'!$G$3:$G$499&lt;&gt;"Did not pass re-test"))*'Rework Log'!$I$3:$I$499))&gt;0),"Move old QA completion date to Rework Log (col H)",IF(COUNTIF($B$2:$B$526,$B31)&gt;1,"Duplicate name - check row",IF(COUNTIF('Rework Log'!$A$3:$A$499,$B31)&gt;0,"",IF(AND(V31&lt;&gt;"",K31&lt;&gt;"",V31&lt;K31),"QA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Log'!$B$3:$B$499,'Rework Log'!$A$3:$A$499,$B32,'Rework Log'!$C$3:$C$499,"QA"),_xlpm.act,IF(AND(X32&lt;&gt;"",X32&gt;_xlpm.sent),X32,""),IF(_xlpm.tgt="","No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Log'!$B$3:$B$499,'Rework Log'!$A$3:$A$499,$B32,'Rework Log'!$C$3:$C$499,"DPO*"),_xlpm.act,IF(AND(AB32&lt;&gt;"",AB32&gt;_xlpm.sent),AB32,""),IF(_xlpm.tgt="","No target set",IF(AND(_xlpm.tgt&lt;TODAY(),_xlpm.act=""),"Overdue","On track"))),IF(C32="RELEASED IN PROD","Delivered",""))))))))</f>
        <v>Blocked - needs DB Dev to fix - unclaimed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46269</v>
      </c>
      <c r="X32" s="36"/>
      <c r="Y32" s="36"/>
      <c r="Z32" s="53">
        <v>46232</v>
      </c>
      <c r="AA32" s="36">
        <v>46267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142</v>
      </c>
      <c r="AJ32" s="74" t="str">
        <f>IF($B32="","",IF(AND(LEFT($AI32,3)="Yes",SUMPRODUCT(('Rework Log'!$A$3:$A$499=$B32)*('Rework Log'!$G$3:$G$499&lt;&gt;"Yes")*('Rework Log'!$G$3:$G$499&lt;&gt;"Did not pass re-test"))=0),"Blocked - log it on Rework Log",IF(AND(LEFT($AI32,3)&lt;&gt;"Yes",SUMPRODUCT(('Rework Log'!$A$3:$A$499=$B32)*('Rework Log'!$G$3:$G$499&lt;&gt;"Yes")*('Rework Log'!$G$3:$G$499&lt;&gt;"Did not pass re-test"))&gt;0),"Open rework row - mark Blocked? or close it",IF(AND($AI32="Yes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H)",IF(AND($AI32="Yes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H)",IF(AND($AI32="Yes – needs QA to fix",X32&lt;&gt;"",SUMPRODUCT(MAX((('Rework Log'!$A$3:$A$499=$B32)*('Rework Log'!$G$3:$G$499&lt;&gt;"Yes")*('Rework Log'!$G$3:$G$499&lt;&gt;"Did not pass re-test"))*'Rework Log'!$I$3:$I$499))&gt;0),"Move old QA completion date to Rework Log (col H)",IF(COUNTIF($B$2:$B$526,$B32)&gt;1,"Duplicate name - check row",IF(COUNTIF('Rework Log'!$A$3:$A$499,$B32)&gt;0,"",IF(AND(V32&lt;&gt;"",K32&lt;&gt;"",V32&lt;K32),"QA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/>
      </c>
      <c r="AK32" s="41" t="s">
        <v>143</v>
      </c>
      <c r="AL32" s="32" cm="1">
        <f t="array" ref="AL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2" s="32" t="str" cm="1">
        <f t="array" ref="AM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144</v>
      </c>
      <c r="C33" s="33" t="s">
        <v>128</v>
      </c>
      <c r="D33" t="str" cm="1">
        <f t="array" aca="1" ref="D33" ca="1">IF($B33="","",IF(LEFT($AI33,3)="Yes","Blocked - "&amp;MID($AI33,7,100)&amp;IF(SUMPRODUCT(('Rework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Log'!$B$3:$B$499,'Rework Log'!$A$3:$A$499,$B33,'Rework Log'!$C$3:$C$499,"QA"),_xlpm.act,IF(AND(X33&lt;&gt;"",X33&gt;_xlpm.sent),X33,""),IF(_xlpm.tgt="","No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Log'!$B$3:$B$499,'Rework Log'!$A$3:$A$499,$B33,'Rework Log'!$C$3:$C$499,"DPO*"),_xlpm.act,IF(AND(AB33&lt;&gt;"",AB33&gt;_xlpm.sent),AB33,""),IF(_xlpm.tgt="","No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46267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145</v>
      </c>
      <c r="AL33" s="32" cm="1">
        <f t="array" ref="AL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146</v>
      </c>
      <c r="C34" s="33" t="s">
        <v>128</v>
      </c>
      <c r="D34" t="str" cm="1">
        <f t="array" aca="1" ref="D34" ca="1">IF($B34="","",IF(LEFT($AI34,3)="Yes","Blocked - "&amp;MID($AI34,7,100)&amp;IF(SUMPRODUCT(('Rework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Log'!$B$3:$B$499,'Rework Log'!$A$3:$A$499,$B34,'Rework Log'!$C$3:$C$499,"QA"),_xlpm.act,IF(AND(X34&lt;&gt;"",X34&gt;_xlpm.sent),X34,""),IF(_xlpm.tgt="","No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Log'!$B$3:$B$499,'Rework Log'!$A$3:$A$499,$B34,'Rework Log'!$C$3:$C$499,"DPO*"),_xlpm.act,IF(AND(AB34&lt;&gt;"",AB34&gt;_xlpm.sent),AB34,""),IF(_xlpm.tgt="","No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147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46267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Log'!$A$3:$A$499=$B34)*('Rework Log'!$G$3:$G$499&lt;&gt;"Yes")*('Rework Log'!$G$3:$G$499&lt;&gt;"Did not pass re-test"))=0),"Blocked - log it on Rework Log",IF(AND(LEFT($AI34,3)&lt;&gt;"Yes",SUMPRODUCT(('Rework Log'!$A$3:$A$499=$B34)*('Rework Log'!$G$3:$G$499&lt;&gt;"Yes")*('Rework Log'!$G$3:$G$499&lt;&gt;"Did not pass re-test"))&gt;0),"Open rework row - mark Blocked? or close it",IF(AND($AI34="Yes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H)",IF(AND($AI34="Yes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H)",IF(AND($AI34="Yes – needs QA to fix",X34&lt;&gt;"",SUMPRODUCT(MAX((('Rework Log'!$A$3:$A$499=$B34)*('Rework Log'!$G$3:$G$499&lt;&gt;"Yes")*('Rework Log'!$G$3:$G$499&lt;&gt;"Did not pass re-test"))*'Rework Log'!$I$3:$I$499))&gt;0),"Move old QA completion date to Rework Log (col H)",IF(COUNTIF($B$2:$B$526,$B34)&gt;1,"Duplicate name - check row",IF(COUNTIF('Rework Log'!$A$3:$A$499,$B34)&gt;0,"",IF(AND(V34&lt;&gt;"",K34&lt;&gt;"",V34&lt;K34),"QA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148</v>
      </c>
      <c r="AL34" s="32" cm="1">
        <f t="array" ref="AL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149</v>
      </c>
      <c r="C35" s="33" t="s">
        <v>150</v>
      </c>
      <c r="D35" t="str" cm="1">
        <f t="array" aca="1" ref="D35" ca="1">IF($B35="","",IF(LEFT($AI35,3)="Yes","Blocked - "&amp;MID($AI35,7,100)&amp;IF(SUMPRODUCT(('Rework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Log'!$B$3:$B$499,'Rework Log'!$A$3:$A$499,$B35,'Rework Log'!$C$3:$C$499,"QA"),_xlpm.act,IF(AND(X35&lt;&gt;"",X35&gt;_xlpm.sent),X35,""),IF(_xlpm.tgt="","No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Log'!$B$3:$B$499,'Rework Log'!$A$3:$A$499,$B35,'Rework Log'!$C$3:$C$499,"DPO*"),_xlpm.act,IF(AND(AB35&lt;&gt;"",AB35&gt;_xlpm.sent),AB35,""),IF(_xlpm.tgt="","No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147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147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151</v>
      </c>
      <c r="AD35" s="33" t="s">
        <v>48</v>
      </c>
      <c r="AE35" s="38"/>
      <c r="AF35" s="36"/>
      <c r="AG35" s="39"/>
      <c r="AH35" s="33"/>
      <c r="AI35" s="40" t="s">
        <v>152</v>
      </c>
      <c r="AJ35" s="74" t="str">
        <f>IF($B35="","",IF(AND(LEFT($AI35,3)="Yes",SUMPRODUCT(('Rework Log'!$A$3:$A$499=$B35)*('Rework Log'!$G$3:$G$499&lt;&gt;"Yes")*('Rework Log'!$G$3:$G$499&lt;&gt;"Did not pass re-test"))=0),"Blocked - log it on Rework Log",IF(AND(LEFT($AI35,3)&lt;&gt;"Yes",SUMPRODUCT(('Rework Log'!$A$3:$A$499=$B35)*('Rework Log'!$G$3:$G$499&lt;&gt;"Yes")*('Rework Log'!$G$3:$G$499&lt;&gt;"Did not pass re-test"))&gt;0),"Open rework row - mark Blocked? or close it",IF(AND($AI35="Yes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H)",IF(AND($AI35="Yes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H)",IF(AND($AI35="Yes – needs QA to fix",X35&lt;&gt;"",SUMPRODUCT(MAX((('Rework Log'!$A$3:$A$499=$B35)*('Rework Log'!$G$3:$G$499&lt;&gt;"Yes")*('Rework Log'!$G$3:$G$499&lt;&gt;"Did not pass re-test"))*'Rework Log'!$I$3:$I$499))&gt;0),"Move old QA completion date to Rework Log (col H)",IF(COUNTIF($B$2:$B$526,$B35)&gt;1,"Duplicate name - check row",IF(COUNTIF('Rework Log'!$A$3:$A$499,$B35)&gt;0,"",IF(AND(V35&lt;&gt;"",K35&lt;&gt;"",V35&lt;K35),"QA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153</v>
      </c>
      <c r="AL35" s="32" cm="1">
        <f t="array" ref="AL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5" s="32" t="str" cm="1">
        <f t="array" ref="AM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154</v>
      </c>
      <c r="C36" s="33" t="s">
        <v>155</v>
      </c>
      <c r="D36" t="str" cm="1">
        <f t="array" aca="1" ref="D36" ca="1">IF($B36="","",IF(LEFT($AI36,3)="Yes","Blocked - "&amp;MID($AI36,7,100)&amp;IF(SUMPRODUCT(('Rework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Log'!$B$3:$B$499,'Rework Log'!$A$3:$A$499,$B36,'Rework Log'!$C$3:$C$499,"QA"),_xlpm.act,IF(AND(X36&lt;&gt;"",X36&gt;_xlpm.sent),X36,""),IF(_xlpm.tgt="","No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Log'!$B$3:$B$499,'Rework Log'!$A$3:$A$499,$B36,'Rework Log'!$C$3:$C$499,"DPO*"),_xlpm.act,IF(AND(AB36&lt;&gt;"",AB36&gt;_xlpm.sent),AB36,""),IF(_xlpm.tgt="","No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147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147</v>
      </c>
      <c r="V36" s="60">
        <v>46227</v>
      </c>
      <c r="W36" s="36"/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142</v>
      </c>
      <c r="AJ36" s="74" t="str">
        <f>IF($B36="","",IF(AND(LEFT($AI36,3)="Yes",SUMPRODUCT(('Rework Log'!$A$3:$A$499=$B36)*('Rework Log'!$G$3:$G$499&lt;&gt;"Yes")*('Rework Log'!$G$3:$G$499&lt;&gt;"Did not pass re-test"))=0),"Blocked - log it on Rework Log",IF(AND(LEFT($AI36,3)&lt;&gt;"Yes",SUMPRODUCT(('Rework Log'!$A$3:$A$499=$B36)*('Rework Log'!$G$3:$G$499&lt;&gt;"Yes")*('Rework Log'!$G$3:$G$499&lt;&gt;"Did not pass re-test"))&gt;0),"Open rework row - mark Blocked? or close it",IF(AND($AI36="Yes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H)",IF(AND($AI36="Yes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H)",IF(AND($AI36="Yes – needs QA to fix",X36&lt;&gt;"",SUMPRODUCT(MAX((('Rework Log'!$A$3:$A$499=$B36)*('Rework Log'!$G$3:$G$499&lt;&gt;"Yes")*('Rework Log'!$G$3:$G$499&lt;&gt;"Did not pass re-test"))*'Rework Log'!$I$3:$I$499))&gt;0),"Move old QA completion date to Rework Log (col H)",IF(COUNTIF($B$2:$B$526,$B36)&gt;1,"Duplicate name - check row",IF(COUNTIF('Rework Log'!$A$3:$A$499,$B36)&gt;0,"",IF(AND(V36&lt;&gt;"",K36&lt;&gt;"",V36&lt;K36),"QA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Blocked - log it on Rework Log</v>
      </c>
      <c r="AK36" s="41" t="s">
        <v>153</v>
      </c>
      <c r="AL36" s="32" cm="1">
        <f t="array" ref="AL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156</v>
      </c>
      <c r="C37" s="33" t="s">
        <v>128</v>
      </c>
      <c r="D37" t="str" cm="1">
        <f t="array" aca="1" ref="D37" ca="1">IF($B37="","",IF(LEFT($AI37,3)="Yes","Blocked - "&amp;MID($AI37,7,100)&amp;IF(SUMPRODUCT(('Rework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Log'!$B$3:$B$499,'Rework Log'!$A$3:$A$499,$B37,'Rework Log'!$C$3:$C$499,"QA"),_xlpm.act,IF(AND(X37&lt;&gt;"",X37&gt;_xlpm.sent),X37,""),IF(_xlpm.tgt="","No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Log'!$B$3:$B$499,'Rework Log'!$A$3:$A$499,$B37,'Rework Log'!$C$3:$C$499,"DPO*"),_xlpm.act,IF(AND(AB37&lt;&gt;"",AB37&gt;_xlpm.sent),AB37,""),IF(_xlpm.tgt="","No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147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46267</v>
      </c>
      <c r="AB37" s="36"/>
      <c r="AC37" s="33" t="s">
        <v>157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Log'!$A$3:$A$499=$B37)*('Rework Log'!$G$3:$G$499&lt;&gt;"Yes")*('Rework Log'!$G$3:$G$499&lt;&gt;"Did not pass re-test"))=0),"Blocked - log it on Rework Log",IF(AND(LEFT($AI37,3)&lt;&gt;"Yes",SUMPRODUCT(('Rework Log'!$A$3:$A$499=$B37)*('Rework Log'!$G$3:$G$499&lt;&gt;"Yes")*('Rework Log'!$G$3:$G$499&lt;&gt;"Did not pass re-test"))&gt;0),"Open rework row - mark Blocked? or close it",IF(AND($AI37="Yes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H)",IF(AND($AI37="Yes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H)",IF(AND($AI37="Yes – needs QA to fix",X37&lt;&gt;"",SUMPRODUCT(MAX((('Rework Log'!$A$3:$A$499=$B37)*('Rework Log'!$G$3:$G$499&lt;&gt;"Yes")*('Rework Log'!$G$3:$G$499&lt;&gt;"Did not pass re-test"))*'Rework Log'!$I$3:$I$499))&gt;0),"Move old QA completion date to Rework Log (col H)",IF(COUNTIF($B$2:$B$526,$B37)&gt;1,"Duplicate name - check row",IF(COUNTIF('Rework Log'!$A$3:$A$499,$B37)&gt;0,"",IF(AND(V37&lt;&gt;"",K37&lt;&gt;"",V37&lt;K37),"QA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158</v>
      </c>
      <c r="AL37" s="32" cm="1">
        <f t="array" ref="AL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159</v>
      </c>
      <c r="C38" s="33" t="s">
        <v>128</v>
      </c>
      <c r="D38" t="str" cm="1">
        <f t="array" aca="1" ref="D38" ca="1">IF($B38="","",IF(LEFT($AI38,3)="Yes","Blocked - "&amp;MID($AI38,7,100)&amp;IF(SUMPRODUCT(('Rework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Log'!$B$3:$B$499,'Rework Log'!$A$3:$A$499,$B38,'Rework Log'!$C$3:$C$499,"QA"),_xlpm.act,IF(AND(X38&lt;&gt;"",X38&gt;_xlpm.sent),X38,""),IF(_xlpm.tgt="","No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Log'!$B$3:$B$499,'Rework Log'!$A$3:$A$499,$B38,'Rework Log'!$C$3:$C$499,"DPO*"),_xlpm.act,IF(AND(AB38&lt;&gt;"",AB38&gt;_xlpm.sent),AB38,""),IF(_xlpm.tgt="","No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160</v>
      </c>
      <c r="F38" s="34" t="s">
        <v>147</v>
      </c>
      <c r="G38" s="33"/>
      <c r="H38" s="50">
        <v>46234</v>
      </c>
      <c r="I38" s="62" t="s">
        <v>130</v>
      </c>
      <c r="J38" s="33" t="s">
        <v>161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147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46267</v>
      </c>
      <c r="AB38" s="36"/>
      <c r="AC38" s="33" t="s">
        <v>157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Log'!$A$3:$A$499=$B38)*('Rework Log'!$G$3:$G$499&lt;&gt;"Yes")*('Rework Log'!$G$3:$G$499&lt;&gt;"Did not pass re-test"))=0),"Blocked - log it on Rework Log",IF(AND(LEFT($AI38,3)&lt;&gt;"Yes",SUMPRODUCT(('Rework Log'!$A$3:$A$499=$B38)*('Rework Log'!$G$3:$G$499&lt;&gt;"Yes")*('Rework Log'!$G$3:$G$499&lt;&gt;"Did not pass re-test"))&gt;0),"Open rework row - mark Blocked? or close it",IF(AND($AI38="Yes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H)",IF(AND($AI38="Yes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H)",IF(AND($AI38="Yes – needs QA to fix",X38&lt;&gt;"",SUMPRODUCT(MAX((('Rework Log'!$A$3:$A$499=$B38)*('Rework Log'!$G$3:$G$499&lt;&gt;"Yes")*('Rework Log'!$G$3:$G$499&lt;&gt;"Did not pass re-test"))*'Rework Log'!$I$3:$I$499))&gt;0),"Move old QA completion date to Rework Log (col H)",IF(COUNTIF($B$2:$B$526,$B38)&gt;1,"Duplicate name - check row",IF(COUNTIF('Rework Log'!$A$3:$A$499,$B38)&gt;0,"",IF(AND(V38&lt;&gt;"",K38&lt;&gt;"",V38&lt;K38),"QA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162</v>
      </c>
      <c r="C39" s="33" t="s">
        <v>128</v>
      </c>
      <c r="D39" t="str" cm="1">
        <f t="array" aca="1" ref="D39" ca="1">IF($B39="","",IF(LEFT($AI39,3)="Yes","Blocked - "&amp;MID($AI39,7,100)&amp;IF(SUMPRODUCT(('Rework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Log'!$B$3:$B$499,'Rework Log'!$A$3:$A$499,$B39,'Rework Log'!$C$3:$C$499,"QA"),_xlpm.act,IF(AND(X39&lt;&gt;"",X39&gt;_xlpm.sent),X39,""),IF(_xlpm.tgt="","No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Log'!$B$3:$B$499,'Rework Log'!$A$3:$A$499,$B39,'Rework Log'!$C$3:$C$499,"DPO*"),_xlpm.act,IF(AND(AB39&lt;&gt;"",AB39&gt;_xlpm.sent),AB39,""),IF(_xlpm.tgt="","No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2" t="s">
        <v>130</v>
      </c>
      <c r="J39" s="33" t="s">
        <v>161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157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Log'!$A$3:$A$499=$B39)*('Rework Log'!$G$3:$G$499&lt;&gt;"Yes")*('Rework Log'!$G$3:$G$499&lt;&gt;"Did not pass re-test"))=0),"Blocked - log it on Rework Log",IF(AND(LEFT($AI39,3)&lt;&gt;"Yes",SUMPRODUCT(('Rework Log'!$A$3:$A$499=$B39)*('Rework Log'!$G$3:$G$499&lt;&gt;"Yes")*('Rework Log'!$G$3:$G$499&lt;&gt;"Did not pass re-test"))&gt;0),"Open rework row - mark Blocked? or close it",IF(AND($AI39="Yes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H)",IF(AND($AI39="Yes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H)",IF(AND($AI39="Yes – needs QA to fix",X39&lt;&gt;"",SUMPRODUCT(MAX((('Rework Log'!$A$3:$A$499=$B39)*('Rework Log'!$G$3:$G$499&lt;&gt;"Yes")*('Rework Log'!$G$3:$G$499&lt;&gt;"Did not pass re-test"))*'Rework Log'!$I$3:$I$499))&gt;0),"Move old QA completion date to Rework Log (col H)",IF(COUNTIF($B$2:$B$526,$B39)&gt;1,"Duplicate name - check row",IF(COUNTIF('Rework Log'!$A$3:$A$499,$B39)&gt;0,"",IF(AND(V39&lt;&gt;"",K39&lt;&gt;"",V39&lt;K39),"QA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153</v>
      </c>
      <c r="AL39" s="32" cm="1">
        <f t="array" ref="AL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163</v>
      </c>
      <c r="C40" s="33" t="s">
        <v>128</v>
      </c>
      <c r="D40" t="str" cm="1">
        <f t="array" aca="1" ref="D40" ca="1">IF($B40="","",IF(LEFT($AI40,3)="Yes","Blocked - "&amp;MID($AI40,7,100)&amp;IF(SUMPRODUCT(('Rework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Log'!$B$3:$B$499,'Rework Log'!$A$3:$A$499,$B40,'Rework Log'!$C$3:$C$499,"QA"),_xlpm.act,IF(AND(X40&lt;&gt;"",X40&gt;_xlpm.sent),X40,""),IF(_xlpm.tgt="","No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Log'!$B$3:$B$499,'Rework Log'!$A$3:$A$499,$B40,'Rework Log'!$C$3:$C$499,"DPO*"),_xlpm.act,IF(AND(AB40&lt;&gt;"",AB40&gt;_xlpm.sent),AB40,""),IF(_xlpm.tgt="","No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46267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Log'!$A$3:$A$499=$B40)*('Rework Log'!$G$3:$G$499&lt;&gt;"Yes")*('Rework Log'!$G$3:$G$499&lt;&gt;"Did not pass re-test"))=0),"Blocked - log it on Rework Log",IF(AND(LEFT($AI40,3)&lt;&gt;"Yes",SUMPRODUCT(('Rework Log'!$A$3:$A$499=$B40)*('Rework Log'!$G$3:$G$499&lt;&gt;"Yes")*('Rework Log'!$G$3:$G$499&lt;&gt;"Did not pass re-test"))&gt;0),"Open rework row - mark Blocked? or close it",IF(AND($AI40="Yes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H)",IF(AND($AI40="Yes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H)",IF(AND($AI40="Yes – needs QA to fix",X40&lt;&gt;"",SUMPRODUCT(MAX((('Rework Log'!$A$3:$A$499=$B40)*('Rework Log'!$G$3:$G$499&lt;&gt;"Yes")*('Rework Log'!$G$3:$G$499&lt;&gt;"Did not pass re-test"))*'Rework Log'!$I$3:$I$499))&gt;0),"Move old QA completion date to Rework Log (col H)",IF(COUNTIF($B$2:$B$526,$B40)&gt;1,"Duplicate name - check row",IF(COUNTIF('Rework Log'!$A$3:$A$499,$B40)&gt;0,"",IF(AND(V40&lt;&gt;"",K40&lt;&gt;"",V40&lt;K40),"QA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164</v>
      </c>
      <c r="AL40" s="32" t="str" cm="1">
        <f t="array" ref="AL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165</v>
      </c>
      <c r="C41" s="33" t="s">
        <v>128</v>
      </c>
      <c r="D41" t="str" cm="1">
        <f t="array" aca="1" ref="D41" ca="1">IF($B41="","",IF(LEFT($AI41,3)="Yes","Blocked - "&amp;MID($AI41,7,100)&amp;IF(SUMPRODUCT(('Rework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Log'!$B$3:$B$499,'Rework Log'!$A$3:$A$499,$B41,'Rework Log'!$C$3:$C$499,"QA"),_xlpm.act,IF(AND(X41&lt;&gt;"",X41&gt;_xlpm.sent),X41,""),IF(_xlpm.tgt="","No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Log'!$B$3:$B$499,'Rework Log'!$A$3:$A$499,$B41,'Rework Log'!$C$3:$C$499,"DPO*"),_xlpm.act,IF(AND(AB41&lt;&gt;"",AB41&gt;_xlpm.sent),AB41,""),IF(_xlpm.tgt="","No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46267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Log'!$A$3:$A$499=$B41)*('Rework Log'!$G$3:$G$499&lt;&gt;"Yes")*('Rework Log'!$G$3:$G$499&lt;&gt;"Did not pass re-test"))=0),"Blocked - log it on Rework Log",IF(AND(LEFT($AI41,3)&lt;&gt;"Yes",SUMPRODUCT(('Rework Log'!$A$3:$A$499=$B41)*('Rework Log'!$G$3:$G$499&lt;&gt;"Yes")*('Rework Log'!$G$3:$G$499&lt;&gt;"Did not pass re-test"))&gt;0),"Open rework row - mark Blocked? or close it",IF(AND($AI41="Yes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H)",IF(AND($AI41="Yes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H)",IF(AND($AI41="Yes – needs QA to fix",X41&lt;&gt;"",SUMPRODUCT(MAX((('Rework Log'!$A$3:$A$499=$B41)*('Rework Log'!$G$3:$G$499&lt;&gt;"Yes")*('Rework Log'!$G$3:$G$499&lt;&gt;"Did not pass re-test"))*'Rework Log'!$I$3:$I$499))&gt;0),"Move old QA completion date to Rework Log (col H)",IF(COUNTIF($B$2:$B$526,$B41)&gt;1,"Duplicate name - check row",IF(COUNTIF('Rework Log'!$A$3:$A$499,$B41)&gt;0,"",IF(AND(V41&lt;&gt;"",K42&lt;&gt;"",V41&lt;K42),"QA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166</v>
      </c>
      <c r="AL41" s="32" t="str" cm="1">
        <f t="array" ref="AL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167</v>
      </c>
      <c r="C42" s="33" t="s">
        <v>128</v>
      </c>
      <c r="D42" t="str" cm="1">
        <f t="array" aca="1" ref="D42" ca="1">IF($B42="","",IF(LEFT($AI42,3)="Yes","Blocked - "&amp;MID($AI42,7,100)&amp;IF(SUMPRODUCT(('Rework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Log'!$B$3:$B$499,'Rework Log'!$A$3:$A$499,$B42,'Rework Log'!$C$3:$C$499,"QA"),_xlpm.act,IF(AND(X42&lt;&gt;"",X42&gt;_xlpm.sent),X42,""),IF(_xlpm.tgt="","No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Log'!$B$3:$B$499,'Rework Log'!$A$3:$A$499,$B42,'Rework Log'!$C$3:$C$499,"DPO*"),_xlpm.act,IF(AND(AB42&lt;&gt;"",AB42&gt;_xlpm.sent),AB42,""),IF(_xlpm.tgt="","No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168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157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169</v>
      </c>
      <c r="AL42" s="32" t="str" cm="1">
        <f t="array" ref="AL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170</v>
      </c>
      <c r="C43" s="33" t="s">
        <v>140</v>
      </c>
      <c r="D43" t="str" cm="1">
        <f t="array" aca="1" ref="D43" ca="1">IF($B43="","",IF(LEFT($AI43,3)="Yes","Blocked - "&amp;MID($AI43,7,100)&amp;IF(SUMPRODUCT(('Rework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Log'!$B$3:$B$499,'Rework Log'!$A$3:$A$499,$B43,'Rework Log'!$C$3:$C$499,"QA"),_xlpm.act,IF(AND(X43&lt;&gt;"",X43&gt;_xlpm.sent),X43,""),IF(_xlpm.tgt="","No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Log'!$B$3:$B$499,'Rework Log'!$A$3:$A$499,$B43,'Rework Log'!$C$3:$C$499,"DPO*"),_xlpm.act,IF(AND(AB43&lt;&gt;"",AB43&gt;_xlpm.sent),AB43,""),IF(_xlpm.tgt="","No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171</v>
      </c>
      <c r="F43" s="34" t="s">
        <v>147</v>
      </c>
      <c r="G43" s="33"/>
      <c r="H43" s="50">
        <v>46265</v>
      </c>
      <c r="I43" s="62" t="s">
        <v>172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173</v>
      </c>
      <c r="O43" s="36" t="s">
        <v>174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Log'!$A$3:$A$499=$B43)*('Rework Log'!$G$3:$G$499&lt;&gt;"Yes")*('Rework Log'!$G$3:$G$499&lt;&gt;"Did not pass re-test"))=0),"Blocked - log it on Rework Log",IF(AND(LEFT($AI43,3)&lt;&gt;"Yes",SUMPRODUCT(('Rework Log'!$A$3:$A$499=$B43)*('Rework Log'!$G$3:$G$499&lt;&gt;"Yes")*('Rework Log'!$G$3:$G$499&lt;&gt;"Did not pass re-test"))&gt;0),"Open rework row - mark Blocked? or close it",IF(AND($AI43="Yes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H)",IF(AND($AI43="Yes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H)",IF(AND($AI43="Yes – needs QA to fix",X43&lt;&gt;"",SUMPRODUCT(MAX((('Rework Log'!$A$3:$A$499=$B43)*('Rework Log'!$G$3:$G$499&lt;&gt;"Yes")*('Rework Log'!$G$3:$G$499&lt;&gt;"Did not pass re-test"))*'Rework Log'!$I$3:$I$499))&gt;0),"Move old QA completion date to Rework Log (col H)",IF(COUNTIF($B$2:$B$526,$B43)&gt;1,"Duplicate name - check row",IF(COUNTIF('Rework Log'!$A$3:$A$499,$B43)&gt;0,"",IF(AND(V43&lt;&gt;"",K43&lt;&gt;"",V43&lt;K43),"QA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175</v>
      </c>
      <c r="AL43" s="32" t="str" cm="1">
        <f t="array" ref="AL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176</v>
      </c>
      <c r="C44" s="33" t="s">
        <v>155</v>
      </c>
      <c r="D44" t="str" cm="1">
        <f t="array" aca="1" ref="D44" ca="1">IF($B44="","",IF(LEFT($AI44,3)="Yes","Blocked - "&amp;MID($AI44,7,100)&amp;IF(SUMPRODUCT(('Rework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Log'!$B$3:$B$499,'Rework Log'!$A$3:$A$499,$B44,'Rework Log'!$C$3:$C$499,"QA"),_xlpm.act,IF(AND(X44&lt;&gt;"",X44&gt;_xlpm.sent),X44,""),IF(_xlpm.tgt="","No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Log'!$B$3:$B$499,'Rework Log'!$A$3:$A$499,$B44,'Rework Log'!$C$3:$C$499,"DPO*"),_xlpm.act,IF(AND(AB44&lt;&gt;"",AB44&gt;_xlpm.sent),AB44,""),IF(_xlpm.tgt="","No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147</v>
      </c>
      <c r="G44" s="33"/>
      <c r="H44" s="50">
        <v>46265</v>
      </c>
      <c r="I44" s="62" t="s">
        <v>172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174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177</v>
      </c>
      <c r="AD44" s="33" t="s">
        <v>48</v>
      </c>
      <c r="AE44" s="38"/>
      <c r="AF44" s="36"/>
      <c r="AG44" s="39"/>
      <c r="AH44" s="33"/>
      <c r="AI44" s="40" t="s">
        <v>142</v>
      </c>
      <c r="AJ44" s="74" t="str">
        <f>IF($B44="","",IF(AND(LEFT($AI44,3)="Yes",SUMPRODUCT(('Rework Log'!$A$3:$A$499=$B44)*('Rework Log'!$G$3:$G$499&lt;&gt;"Yes")*('Rework Log'!$G$3:$G$499&lt;&gt;"Did not pass re-test"))=0),"Blocked - log it on Rework Log",IF(AND(LEFT($AI44,3)&lt;&gt;"Yes",SUMPRODUCT(('Rework Log'!$A$3:$A$499=$B44)*('Rework Log'!$G$3:$G$499&lt;&gt;"Yes")*('Rework Log'!$G$3:$G$499&lt;&gt;"Did not pass re-test"))&gt;0),"Open rework row - mark Blocked? or close it",IF(AND($AI44="Yes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H)",IF(AND($AI44="Yes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H)",IF(AND($AI44="Yes – needs QA to fix",X44&lt;&gt;"",SUMPRODUCT(MAX((('Rework Log'!$A$3:$A$499=$B44)*('Rework Log'!$G$3:$G$499&lt;&gt;"Yes")*('Rework Log'!$G$3:$G$499&lt;&gt;"Did not pass re-test"))*'Rework Log'!$I$3:$I$499))&gt;0),"Move old QA completion date to Rework Log (col H)",IF(COUNTIF($B$2:$B$526,$B44)&gt;1,"Duplicate name - check row",IF(COUNTIF('Rework Log'!$A$3:$A$499,$B44)&gt;0,"",IF(AND(V44&lt;&gt;"",K44&lt;&gt;"",V44&lt;K44),"QA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178</v>
      </c>
      <c r="AL44" s="32" t="str" cm="1">
        <f t="array" ref="AL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179</v>
      </c>
      <c r="C45" s="33" t="s">
        <v>128</v>
      </c>
      <c r="D45" t="str" cm="1">
        <f t="array" aca="1" ref="D45" ca="1">IF($B45="","",IF(LEFT($AI45,3)="Yes","Blocked - "&amp;MID($AI45,7,100)&amp;IF(SUMPRODUCT(('Rework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Log'!$B$3:$B$499,'Rework Log'!$A$3:$A$499,$B45,'Rework Log'!$C$3:$C$499,"QA"),_xlpm.act,IF(AND(X45&lt;&gt;"",X45&gt;_xlpm.sent),X45,""),IF(_xlpm.tgt="","No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Log'!$B$3:$B$499,'Rework Log'!$A$3:$A$499,$B45,'Rework Log'!$C$3:$C$499,"DPO*"),_xlpm.act,IF(AND(AB45&lt;&gt;"",AB45&gt;_xlpm.sent),AB45,""),IF(_xlpm.tgt="","No target set",IF(AND(_xlpm.tgt&lt;TODAY(),_xlpm.act=""),"Overdue","On track"))),IF(C45="RELEASED IN PROD","Delivered",""))))))))</f>
        <v>On track</v>
      </c>
      <c r="E45" s="33">
        <v>19</v>
      </c>
      <c r="F45" s="34" t="s">
        <v>129</v>
      </c>
      <c r="G45" s="33"/>
      <c r="H45" s="50">
        <v>46265</v>
      </c>
      <c r="I45" s="62" t="s">
        <v>172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174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46268</v>
      </c>
      <c r="X45" s="36">
        <v>46265</v>
      </c>
      <c r="Y45" s="36"/>
      <c r="Z45" s="53">
        <v>46260</v>
      </c>
      <c r="AA45" s="36">
        <v>46275</v>
      </c>
      <c r="AB45" s="36"/>
      <c r="AC45" s="33" t="s">
        <v>177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Log'!$A$3:$A$499=$B45)*('Rework Log'!$G$3:$G$499&lt;&gt;"Yes")*('Rework Log'!$G$3:$G$499&lt;&gt;"Did not pass re-test"))=0),"Blocked - log it on Rework Log",IF(AND(LEFT($AI45,3)&lt;&gt;"Yes",SUMPRODUCT(('Rework Log'!$A$3:$A$499=$B45)*('Rework Log'!$G$3:$G$499&lt;&gt;"Yes")*('Rework Log'!$G$3:$G$499&lt;&gt;"Did not pass re-test"))&gt;0),"Open rework row - mark Blocked? or close it",IF(AND($AI45="Yes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H)",IF(AND($AI45="Yes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H)",IF(AND($AI45="Yes – needs QA to fix",X45&lt;&gt;"",SUMPRODUCT(MAX((('Rework Log'!$A$3:$A$499=$B45)*('Rework Log'!$G$3:$G$499&lt;&gt;"Yes")*('Rework Log'!$G$3:$G$499&lt;&gt;"Did not pass re-test"))*'Rework Log'!$I$3:$I$499))&gt;0),"Move old QA completion date to Rework Log (col H)",IF(COUNTIF($B$2:$B$526,$B45)&gt;1,"Duplicate name - check row",IF(COUNTIF('Rework Log'!$A$3:$A$499,$B45)&gt;0,"",IF(AND(V45&lt;&gt;"",K45&lt;&gt;"",V45&lt;K45),"QA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180</v>
      </c>
      <c r="AL45" s="32" t="str" cm="1">
        <f t="array" ref="AL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181</v>
      </c>
      <c r="C46" s="33" t="s">
        <v>140</v>
      </c>
      <c r="D46" t="str" cm="1">
        <f t="array" aca="1" ref="D46" ca="1">IF($B46="","",IF(LEFT($AI46,3)="Yes","Blocked - "&amp;MID($AI46,7,100)&amp;IF(SUMPRODUCT(('Rework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Log'!$B$3:$B$499,'Rework Log'!$A$3:$A$499,$B46,'Rework Log'!$C$3:$C$499,"QA"),_xlpm.act,IF(AND(X46&lt;&gt;"",X46&gt;_xlpm.sent),X46,""),IF(_xlpm.tgt="","No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Log'!$B$3:$B$499,'Rework Log'!$A$3:$A$499,$B46,'Rework Log'!$C$3:$C$499,"DPO*"),_xlpm.act,IF(AND(AB46&lt;&gt;"",AB46&gt;_xlpm.sent),AB46,""),IF(_xlpm.tgt="","No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172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>
        <v>46266</v>
      </c>
      <c r="X46" s="36">
        <v>46266</v>
      </c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Log'!$A$3:$A$499=$B46)*('Rework Log'!$G$3:$G$499&lt;&gt;"Yes")*('Rework Log'!$G$3:$G$499&lt;&gt;"Did not pass re-test"))=0),"Blocked - log it on Rework Log",IF(AND(LEFT($AI46,3)&lt;&gt;"Yes",SUMPRODUCT(('Rework Log'!$A$3:$A$499=$B46)*('Rework Log'!$G$3:$G$499&lt;&gt;"Yes")*('Rework Log'!$G$3:$G$499&lt;&gt;"Did not pass re-test"))&gt;0),"Open rework row - mark Blocked? or close it",IF(AND($AI46="Yes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H)",IF(AND($AI46="Yes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H)",IF(AND($AI46="Yes – needs QA to fix",X46&lt;&gt;"",SUMPRODUCT(MAX((('Rework Log'!$A$3:$A$499=$B46)*('Rework Log'!$G$3:$G$499&lt;&gt;"Yes")*('Rework Log'!$G$3:$G$499&lt;&gt;"Did not pass re-test"))*'Rework Log'!$I$3:$I$499))&gt;0),"Move old QA completion date to Rework Log (col H)",IF(COUNTIF($B$2:$B$526,$B46)&gt;1,"Duplicate name - check row",IF(COUNTIF('Rework Log'!$A$3:$A$499,$B46)&gt;0,"",IF(AND(V46&lt;&gt;"",K46&lt;&gt;"",V46&lt;K46),"QA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 t="s">
        <v>180</v>
      </c>
      <c r="AL46" s="32" t="str" cm="1">
        <f t="array" ref="AL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183</v>
      </c>
      <c r="C47" s="33" t="s">
        <v>128</v>
      </c>
      <c r="D47" t="str" cm="1">
        <f t="array" aca="1" ref="D47" ca="1">IF($B47="","",IF(LEFT($AI47,3)="Yes","Blocked - "&amp;MID($AI47,7,100)&amp;IF(SUMPRODUCT(('Rework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Log'!$B$3:$B$499,'Rework Log'!$A$3:$A$499,$B47,'Rework Log'!$C$3:$C$499,"QA"),_xlpm.act,IF(AND(X47&lt;&gt;"",X47&gt;_xlpm.sent),X47,""),IF(_xlpm.tgt="","No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Log'!$B$3:$B$499,'Rework Log'!$A$3:$A$499,$B47,'Rework Log'!$C$3:$C$499,"DPO*"),_xlpm.act,IF(AND(AB47&lt;&gt;"",AB47&gt;_xlpm.sent),AB47,""),IF(_xlpm.tgt="","No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172</v>
      </c>
      <c r="J47" s="33" t="s">
        <v>161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Log'!$A$3:$A$499=$B47)*('Rework Log'!$G$3:$G$499&lt;&gt;"Yes")*('Rework Log'!$G$3:$G$499&lt;&gt;"Did not pass re-test"))=0),"Blocked - log it on Rework Log",IF(AND(LEFT($AI47,3)&lt;&gt;"Yes",SUMPRODUCT(('Rework Log'!$A$3:$A$499=$B47)*('Rework Log'!$G$3:$G$499&lt;&gt;"Yes")*('Rework Log'!$G$3:$G$499&lt;&gt;"Did not pass re-test"))&gt;0),"Open rework row - mark Blocked? or close it",IF(AND($AI47="Yes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H)",IF(AND($AI47="Yes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H)",IF(AND($AI47="Yes – needs QA to fix",X47&lt;&gt;"",SUMPRODUCT(MAX((('Rework Log'!$A$3:$A$499=$B47)*('Rework Log'!$G$3:$G$499&lt;&gt;"Yes")*('Rework Log'!$G$3:$G$499&lt;&gt;"Did not pass re-test"))*'Rework Log'!$I$3:$I$499))&gt;0),"Move old QA completion date to Rework Log (col H)",IF(COUNTIF($B$2:$B$526,$B47)&gt;1,"Duplicate name - check row",IF(COUNTIF('Rework Log'!$A$3:$A$499,$B47)&gt;0,"",IF(AND(V47&lt;&gt;"",K47&lt;&gt;"",V47&lt;K47),"QA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180</v>
      </c>
      <c r="AL47" s="32" t="str" cm="1">
        <f t="array" ref="AL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185</v>
      </c>
      <c r="C48" s="33" t="s">
        <v>140</v>
      </c>
      <c r="D48" t="str" cm="1">
        <f t="array" aca="1" ref="D48" ca="1">IF($B48="","",IF(LEFT($AI48,3)="Yes","Blocked - "&amp;MID($AI48,7,100)&amp;IF(SUMPRODUCT(('Rework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Log'!$B$3:$B$499,'Rework Log'!$A$3:$A$499,$B48,'Rework Log'!$C$3:$C$499,"QA"),_xlpm.act,IF(AND(X48&lt;&gt;"",X48&gt;_xlpm.sent),X48,""),IF(_xlpm.tgt="","No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Log'!$B$3:$B$499,'Rework Log'!$A$3:$A$499,$B48,'Rework Log'!$C$3:$C$499,"DPO*"),_xlpm.act,IF(AND(AB48&lt;&gt;"",AB48&gt;_xlpm.sent),AB48,""),IF(_xlpm.tgt="","No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2" t="s">
        <v>172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147</v>
      </c>
      <c r="V48" s="60">
        <v>46255</v>
      </c>
      <c r="W48" s="36">
        <v>46269</v>
      </c>
      <c r="X48" s="36"/>
      <c r="Y48" s="36"/>
      <c r="Z48" s="53">
        <v>46260</v>
      </c>
      <c r="AA48" s="36">
        <v>46268</v>
      </c>
      <c r="AB48" s="36"/>
      <c r="AC48" s="33" t="s">
        <v>177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Log'!$A$3:$A$499=$B48)*('Rework Log'!$G$3:$G$499&lt;&gt;"Yes")*('Rework Log'!$G$3:$G$499&lt;&gt;"Did not pass re-test"))=0),"Blocked - log it on Rework Log",IF(AND(LEFT($AI48,3)&lt;&gt;"Yes",SUMPRODUCT(('Rework Log'!$A$3:$A$499=$B48)*('Rework Log'!$G$3:$G$499&lt;&gt;"Yes")*('Rework Log'!$G$3:$G$499&lt;&gt;"Did not pass re-test"))&gt;0),"Open rework row - mark Blocked? or close it",IF(AND($AI48="Yes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H)",IF(AND($AI48="Yes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H)",IF(AND($AI48="Yes – needs QA to fix",X48&lt;&gt;"",SUMPRODUCT(MAX((('Rework Log'!$A$3:$A$499=$B48)*('Rework Log'!$G$3:$G$499&lt;&gt;"Yes")*('Rework Log'!$G$3:$G$499&lt;&gt;"Did not pass re-test"))*'Rework Log'!$I$3:$I$499))&gt;0),"Move old QA completion date to Rework Log (col H)",IF(COUNTIF($B$2:$B$526,$B48)&gt;1,"Duplicate name - check row",IF(COUNTIF('Rework Log'!$A$3:$A$499,$B48)&gt;0,"",IF(AND(V48&lt;&gt;"",K48&lt;&gt;"",V48&lt;K48),"QA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186</v>
      </c>
      <c r="AL48" s="32" t="str" cm="1">
        <f t="array" ref="AL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187</v>
      </c>
      <c r="C49" s="33" t="s">
        <v>140</v>
      </c>
      <c r="D49" t="str" cm="1">
        <f t="array" aca="1" ref="D49" ca="1">IF($B49="","",IF(LEFT($AI49,3)="Yes","Blocked - "&amp;MID($AI49,7,100)&amp;IF(SUMPRODUCT(('Rework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Log'!$B$3:$B$499,'Rework Log'!$A$3:$A$499,$B49,'Rework Log'!$C$3:$C$499,"QA"),_xlpm.act,IF(AND(X49&lt;&gt;"",X49&gt;_xlpm.sent),X49,""),IF(_xlpm.tgt="","No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Log'!$B$3:$B$499,'Rework Log'!$A$3:$A$499,$B49,'Rework Log'!$C$3:$C$499,"DPO*"),_xlpm.act,IF(AND(AB49&lt;&gt;"",AB49&gt;_xlpm.sent),AB49,""),IF(_xlpm.tgt="","No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172</v>
      </c>
      <c r="J49" s="33" t="s">
        <v>161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46266</v>
      </c>
      <c r="T49" s="70"/>
      <c r="U49" s="55" t="s">
        <v>129</v>
      </c>
      <c r="V49" s="60">
        <v>46255</v>
      </c>
      <c r="W49" s="36">
        <v>46269</v>
      </c>
      <c r="X49" s="36"/>
      <c r="Y49" s="36"/>
      <c r="Z49" s="53">
        <v>46260</v>
      </c>
      <c r="AA49" s="36">
        <v>46274</v>
      </c>
      <c r="AB49" s="36"/>
      <c r="AC49" s="33" t="s">
        <v>157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Log'!$A$3:$A$499=$B49)*('Rework Log'!$G$3:$G$499&lt;&gt;"Yes")*('Rework Log'!$G$3:$G$499&lt;&gt;"Did not pass re-test"))=0),"Blocked - log it on Rework Log",IF(AND(LEFT($AI49,3)&lt;&gt;"Yes",SUMPRODUCT(('Rework Log'!$A$3:$A$499=$B49)*('Rework Log'!$G$3:$G$499&lt;&gt;"Yes")*('Rework Log'!$G$3:$G$499&lt;&gt;"Did not pass re-test"))&gt;0),"Open rework row - mark Blocked? or close it",IF(AND($AI49="Yes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H)",IF(AND($AI49="Yes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H)",IF(AND($AI49="Yes – needs QA to fix",X49&lt;&gt;"",SUMPRODUCT(MAX((('Rework Log'!$A$3:$A$499=$B49)*('Rework Log'!$G$3:$G$499&lt;&gt;"Yes")*('Rework Log'!$G$3:$G$499&lt;&gt;"Did not pass re-test"))*'Rework Log'!$I$3:$I$499))&gt;0),"Move old QA completion date to Rework Log (col H)",IF(COUNTIF($B$2:$B$526,$B49)&gt;1,"Duplicate name - check row",IF(COUNTIF('Rework Log'!$A$3:$A$499,$B49)&gt;0,"",IF(AND(V49&lt;&gt;"",K49&lt;&gt;"",V49&lt;K49),"QA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cm="1">
        <f t="array" ref="AL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46268</v>
      </c>
      <c r="AM49" s="32" t="str" cm="1">
        <f t="array" ref="AM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188</v>
      </c>
      <c r="C50" s="33" t="s">
        <v>140</v>
      </c>
      <c r="D50" t="str" cm="1">
        <f t="array" aca="1" ref="D50" ca="1">IF($B50="","",IF(LEFT($AI50,3)="Yes","Blocked - "&amp;MID($AI50,7,100)&amp;IF(SUMPRODUCT(('Rework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Log'!$B$3:$B$499,'Rework Log'!$A$3:$A$499,$B50,'Rework Log'!$C$3:$C$499,"QA"),_xlpm.act,IF(AND(X50&lt;&gt;"",X50&gt;_xlpm.sent),X50,""),IF(_xlpm.tgt="","No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Log'!$B$3:$B$499,'Rework Log'!$A$3:$A$499,$B50,'Rework Log'!$C$3:$C$499,"DPO*"),_xlpm.act,IF(AND(AB50&lt;&gt;"",AB50&gt;_xlpm.sent),AB50,""),IF(_xlpm.tgt="","No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147</v>
      </c>
      <c r="G50" s="33"/>
      <c r="H50" s="50">
        <v>46265</v>
      </c>
      <c r="I50" s="62" t="s">
        <v>172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184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147</v>
      </c>
      <c r="V50" s="60">
        <v>46255</v>
      </c>
      <c r="W50" s="36">
        <v>46269</v>
      </c>
      <c r="X50" s="36"/>
      <c r="Y50" s="36"/>
      <c r="Z50" s="53">
        <v>46260</v>
      </c>
      <c r="AA50" s="36">
        <v>46266</v>
      </c>
      <c r="AB50" s="36"/>
      <c r="AC50" s="33" t="s">
        <v>177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Log'!$A$3:$A$499=$B50)*('Rework Log'!$G$3:$G$499&lt;&gt;"Yes")*('Rework Log'!$G$3:$G$499&lt;&gt;"Did not pass re-test"))=0),"Blocked - log it on Rework Log",IF(AND(LEFT($AI50,3)&lt;&gt;"Yes",SUMPRODUCT(('Rework Log'!$A$3:$A$499=$B50)*('Rework Log'!$G$3:$G$499&lt;&gt;"Yes")*('Rework Log'!$G$3:$G$499&lt;&gt;"Did not pass re-test"))&gt;0),"Open rework row - mark Blocked? or close it",IF(AND($AI50="Yes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H)",IF(AND($AI50="Yes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H)",IF(AND($AI50="Yes – needs QA to fix",X50&lt;&gt;"",SUMPRODUCT(MAX((('Rework Log'!$A$3:$A$499=$B50)*('Rework Log'!$G$3:$G$499&lt;&gt;"Yes")*('Rework Log'!$G$3:$G$499&lt;&gt;"Did not pass re-test"))*'Rework Log'!$I$3:$I$499))&gt;0),"Move old QA completion date to Rework Log (col H)",IF(COUNTIF($B$2:$B$526,$B50)&gt;1,"Duplicate name - check row",IF(COUNTIF('Rework Log'!$A$3:$A$499,$B50)&gt;0,"",IF(AND(V50&lt;&gt;"",K50&lt;&gt;"",V50&lt;K50),"QA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189</v>
      </c>
      <c r="C51" s="33" t="s">
        <v>140</v>
      </c>
      <c r="D51" t="str" cm="1">
        <f t="array" aca="1" ref="D51" ca="1">IF($B51="","",IF(LEFT($AI51,3)="Yes","Blocked - "&amp;MID($AI51,7,100)&amp;IF(SUMPRODUCT(('Rework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Log'!$B$3:$B$499,'Rework Log'!$A$3:$A$499,$B51,'Rework Log'!$C$3:$C$499,"QA"),_xlpm.act,IF(AND(X51&lt;&gt;"",X51&gt;_xlpm.sent),X51,""),IF(_xlpm.tgt="","No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Log'!$B$3:$B$499,'Rework Log'!$A$3:$A$499,$B51,'Rework Log'!$C$3:$C$499,"DPO*"),_xlpm.act,IF(AND(AB51&lt;&gt;"",AB51&gt;_xlpm.sent),AB51,""),IF(_xlpm.tgt="","No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2" t="s">
        <v>172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184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147</v>
      </c>
      <c r="V51" s="60">
        <v>46255</v>
      </c>
      <c r="W51" s="36">
        <v>46269</v>
      </c>
      <c r="X51" s="36"/>
      <c r="Y51" s="36"/>
      <c r="Z51" s="53">
        <v>46260</v>
      </c>
      <c r="AA51" s="36">
        <v>46269</v>
      </c>
      <c r="AB51" s="36"/>
      <c r="AC51" s="33" t="s">
        <v>190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Log'!$A$3:$A$499=$B51)*('Rework Log'!$G$3:$G$499&lt;&gt;"Yes")*('Rework Log'!$G$3:$G$499&lt;&gt;"Did not pass re-test"))=0),"Blocked - log it on Rework Log",IF(AND(LEFT($AI51,3)&lt;&gt;"Yes",SUMPRODUCT(('Rework Log'!$A$3:$A$499=$B51)*('Rework Log'!$G$3:$G$499&lt;&gt;"Yes")*('Rework Log'!$G$3:$G$499&lt;&gt;"Did not pass re-test"))&gt;0),"Open rework row - mark Blocked? or close it",IF(AND($AI51="Yes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H)",IF(AND($AI51="Yes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H)",IF(AND($AI51="Yes – needs QA to fix",X51&lt;&gt;"",SUMPRODUCT(MAX((('Rework Log'!$A$3:$A$499=$B51)*('Rework Log'!$G$3:$G$499&lt;&gt;"Yes")*('Rework Log'!$G$3:$G$499&lt;&gt;"Did not pass re-test"))*'Rework Log'!$I$3:$I$499))&gt;0),"Move old QA completion date to Rework Log (col H)",IF(COUNTIF($B$2:$B$526,$B51)&gt;1,"Duplicate name - check row",IF(COUNTIF('Rework Log'!$A$3:$A$499,$B51)&gt;0,"",IF(AND(V51&lt;&gt;"",K51&lt;&gt;"",V51&lt;K51),"QA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186</v>
      </c>
      <c r="AL51" s="32" t="str" cm="1">
        <f t="array" ref="AL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39" ht="45.75">
      <c r="A52" s="33" t="s">
        <v>126</v>
      </c>
      <c r="B52" s="33" t="s">
        <v>191</v>
      </c>
      <c r="C52" s="33" t="s">
        <v>140</v>
      </c>
      <c r="D52" t="str" cm="1">
        <f t="array" aca="1" ref="D52" ca="1">IF($B52="","",IF(LEFT($AI52,3)="Yes","Blocked - "&amp;MID($AI52,7,100)&amp;IF(SUMPRODUCT(('Rework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Log'!$B$3:$B$499,'Rework Log'!$A$3:$A$499,$B52,'Rework Log'!$C$3:$C$499,"QA"),_xlpm.act,IF(AND(X52&lt;&gt;"",X52&gt;_xlpm.sent),X52,""),IF(_xlpm.tgt="","No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Log'!$B$3:$B$499,'Rework Log'!$A$3:$A$499,$B52,'Rework Log'!$C$3:$C$499,"DPO*"),_xlpm.act,IF(AND(AB52&lt;&gt;"",AB52&gt;_xlpm.sent),AB52,""),IF(_xlpm.tgt="","No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172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6" t="s">
        <v>45</v>
      </c>
      <c r="Q52" s="4">
        <v>46241</v>
      </c>
      <c r="R52" s="36">
        <v>46266</v>
      </c>
      <c r="S52" s="36">
        <v>46266</v>
      </c>
      <c r="T52" s="70"/>
      <c r="U52" s="55" t="s">
        <v>46</v>
      </c>
      <c r="V52" s="60">
        <v>46255</v>
      </c>
      <c r="W52" s="36">
        <v>46269</v>
      </c>
      <c r="X52" s="36"/>
      <c r="Y52" s="36"/>
      <c r="Z52" s="53">
        <v>46260</v>
      </c>
      <c r="AA52" s="36"/>
      <c r="AB52" s="36"/>
      <c r="AC52" s="33" t="s">
        <v>192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Log'!$A$3:$A$499=$B52)*('Rework Log'!$G$3:$G$499&lt;&gt;"Yes")*('Rework Log'!$G$3:$G$499&lt;&gt;"Did not pass re-test"))=0),"Blocked - log it on Rework Log",IF(AND(LEFT($AI52,3)&lt;&gt;"Yes",SUMPRODUCT(('Rework Log'!$A$3:$A$499=$B52)*('Rework Log'!$G$3:$G$499&lt;&gt;"Yes")*('Rework Log'!$G$3:$G$499&lt;&gt;"Did not pass re-test"))&gt;0),"Open rework row - mark Blocked? or close it",IF(AND($AI52="Yes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H)",IF(AND($AI52="Yes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H)",IF(AND($AI52="Yes – needs QA to fix",X52&lt;&gt;"",SUMPRODUCT(MAX((('Rework Log'!$A$3:$A$499=$B52)*('Rework Log'!$G$3:$G$499&lt;&gt;"Yes")*('Rework Log'!$G$3:$G$499&lt;&gt;"Did not pass re-test"))*'Rework Log'!$I$3:$I$499))&gt;0),"Move old QA completion date to Rework Log (col H)",IF(COUNTIF($B$2:$B$526,$B52)&gt;1,"Duplicate name - check row",IF(COUNTIF('Rework Log'!$A$3:$A$499,$B52)&gt;0,"",IF(AND(V52&lt;&gt;"",K52&lt;&gt;"",V52&lt;K52),"QA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99" t="s">
        <v>193</v>
      </c>
      <c r="AL52" s="32" t="str" cm="1">
        <f t="array" ref="AL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194</v>
      </c>
      <c r="C53" s="33" t="s">
        <v>140</v>
      </c>
      <c r="D53" t="str" cm="1">
        <f t="array" aca="1" ref="D53" ca="1">IF($B53="","",IF(LEFT($AI53,3)="Yes","Blocked - "&amp;MID($AI53,7,100)&amp;IF(SUMPRODUCT(('Rework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Log'!$B$3:$B$499,'Rework Log'!$A$3:$A$499,$B53,'Rework Log'!$C$3:$C$499,"QA"),_xlpm.act,IF(AND(X53&lt;&gt;"",X53&gt;_xlpm.sent),X53,""),IF(_xlpm.tgt="","No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Log'!$B$3:$B$499,'Rework Log'!$A$3:$A$499,$B53,'Rework Log'!$C$3:$C$499,"DPO*"),_xlpm.act,IF(AND(AB53&lt;&gt;"",AB53&gt;_xlpm.sent),AB53,""),IF(_xlpm.tgt="","No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2" t="s">
        <v>172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147</v>
      </c>
      <c r="V53" s="60">
        <v>46255</v>
      </c>
      <c r="W53" s="36">
        <v>46269</v>
      </c>
      <c r="X53" s="36"/>
      <c r="Y53" s="36"/>
      <c r="Z53" s="53">
        <v>46260</v>
      </c>
      <c r="AA53" s="36">
        <v>46280</v>
      </c>
      <c r="AB53" s="36"/>
      <c r="AC53" s="33" t="s">
        <v>195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Log'!$A$3:$A$499=$B53)*('Rework Log'!$G$3:$G$499&lt;&gt;"Yes")*('Rework Log'!$G$3:$G$499&lt;&gt;"Did not pass re-test"))=0),"Blocked - log it on Rework Log",IF(AND(LEFT($AI53,3)&lt;&gt;"Yes",SUMPRODUCT(('Rework Log'!$A$3:$A$499=$B53)*('Rework Log'!$G$3:$G$499&lt;&gt;"Yes")*('Rework Log'!$G$3:$G$499&lt;&gt;"Did not pass re-test"))&gt;0),"Open rework row - mark Blocked? or close it",IF(AND($AI53="Yes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H)",IF(AND($AI53="Yes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H)",IF(AND($AI53="Yes – needs QA to fix",X53&lt;&gt;"",SUMPRODUCT(MAX((('Rework Log'!$A$3:$A$499=$B53)*('Rework Log'!$G$3:$G$499&lt;&gt;"Yes")*('Rework Log'!$G$3:$G$499&lt;&gt;"Did not pass re-test"))*'Rework Log'!$I$3:$I$499))&gt;0),"Move old QA completion date to Rework Log (col H)",IF(COUNTIF($B$2:$B$526,$B53)&gt;1,"Duplicate name - check row",IF(COUNTIF('Rework Log'!$A$3:$A$499,$B53)&gt;0,"",IF(AND(V53&lt;&gt;"",K53&lt;&gt;"",V53&lt;K53),"QA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196</v>
      </c>
      <c r="C54" s="33" t="s">
        <v>140</v>
      </c>
      <c r="D54" t="str" cm="1">
        <f t="array" aca="1" ref="D54" ca="1">IF($B54="","",IF(LEFT($AI54,3)="Yes","Blocked - "&amp;MID($AI54,7,100)&amp;IF(SUMPRODUCT(('Rework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Log'!$B$3:$B$499,'Rework Log'!$A$3:$A$499,$B54,'Rework Log'!$C$3:$C$499,"QA"),_xlpm.act,IF(AND(X54&lt;&gt;"",X54&gt;_xlpm.sent),X54,""),IF(_xlpm.tgt="","No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Log'!$B$3:$B$499,'Rework Log'!$A$3:$A$499,$B54,'Rework Log'!$C$3:$C$499,"DPO*"),_xlpm.act,IF(AND(AB54&lt;&gt;"",AB54&gt;_xlpm.sent),AB54,""),IF(_xlpm.tgt="","No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172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>
        <v>46267</v>
      </c>
      <c r="X54" s="36"/>
      <c r="Y54" s="36"/>
      <c r="Z54" s="53">
        <v>46260</v>
      </c>
      <c r="AA54" s="36"/>
      <c r="AB54" s="36"/>
      <c r="AC54" s="33" t="s">
        <v>197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Log'!$A$3:$A$499=$B54)*('Rework Log'!$G$3:$G$499&lt;&gt;"Yes")*('Rework Log'!$G$3:$G$499&lt;&gt;"Did not pass re-test"))=0),"Blocked - log it on Rework Log",IF(AND(LEFT($AI54,3)&lt;&gt;"Yes",SUMPRODUCT(('Rework Log'!$A$3:$A$499=$B54)*('Rework Log'!$G$3:$G$499&lt;&gt;"Yes")*('Rework Log'!$G$3:$G$499&lt;&gt;"Did not pass re-test"))&gt;0),"Open rework row - mark Blocked? or close it",IF(AND($AI54="Yes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H)",IF(AND($AI54="Yes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H)",IF(AND($AI54="Yes – needs QA to fix",X54&lt;&gt;"",SUMPRODUCT(MAX((('Rework Log'!$A$3:$A$499=$B54)*('Rework Log'!$G$3:$G$499&lt;&gt;"Yes")*('Rework Log'!$G$3:$G$499&lt;&gt;"Did not pass re-test"))*'Rework Log'!$I$3:$I$499))&gt;0),"Move old QA completion date to Rework Log (col H)",IF(COUNTIF($B$2:$B$526,$B54)&gt;1,"Duplicate name - check row",IF(COUNTIF('Rework Log'!$A$3:$A$499,$B54)&gt;0,"",IF(AND(V54&lt;&gt;"",K54&lt;&gt;"",V54&lt;K54),"QA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39" ht="14.45" hidden="1">
      <c r="A55" s="33" t="s">
        <v>126</v>
      </c>
      <c r="B55" s="33" t="s">
        <v>198</v>
      </c>
      <c r="C55" s="33" t="s">
        <v>150</v>
      </c>
      <c r="D55" t="str" cm="1">
        <f t="array" aca="1" ref="D55" ca="1">IF($B55="","",IF(LEFT($AI55,3)="Yes","Blocked - "&amp;MID($AI55,7,100)&amp;IF(SUMPRODUCT(('Rework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Log'!$B$3:$B$499,'Rework Log'!$A$3:$A$499,$B55,'Rework Log'!$C$3:$C$499,"QA"),_xlpm.act,IF(AND(X55&lt;&gt;"",X55&gt;_xlpm.sent),X55,""),IF(_xlpm.tgt="","No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Log'!$B$3:$B$499,'Rework Log'!$A$3:$A$499,$B55,'Rework Log'!$C$3:$C$499,"DPO*"),_xlpm.act,IF(AND(AB55&lt;&gt;"",AB55&gt;_xlpm.sent),AB55,""),IF(_xlpm.tgt="","No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6" t="s">
        <v>199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4" t="s">
        <v>76</v>
      </c>
      <c r="Q55" s="4">
        <v>46269</v>
      </c>
      <c r="R55" s="36">
        <v>46267</v>
      </c>
      <c r="S55" s="36"/>
      <c r="T55" s="70" t="s">
        <v>201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202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Log'!$A$3:$A$499=$B55)*('Rework Log'!$G$3:$G$499&lt;&gt;"Yes")*('Rework Log'!$G$3:$G$499&lt;&gt;"Did not pass re-test"))=0),"Blocked - log it on Rework Log",IF(AND(LEFT($AI55,3)&lt;&gt;"Yes",SUMPRODUCT(('Rework Log'!$A$3:$A$499=$B55)*('Rework Log'!$G$3:$G$499&lt;&gt;"Yes")*('Rework Log'!$G$3:$G$499&lt;&gt;"Did not pass re-test"))&gt;0),"Open rework row - mark Blocked? or close it",IF(AND($AI55="Yes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H)",IF(AND($AI55="Yes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H)",IF(AND($AI55="Yes – needs QA to fix",X55&lt;&gt;"",SUMPRODUCT(MAX((('Rework Log'!$A$3:$A$499=$B55)*('Rework Log'!$G$3:$G$499&lt;&gt;"Yes")*('Rework Log'!$G$3:$G$499&lt;&gt;"Did not pass re-test"))*'Rework Log'!$I$3:$I$499))&gt;0),"Move old QA completion date to Rework Log (col H)",IF(COUNTIF($B$2:$B$526,$B55)&gt;1,"Duplicate name - check row",IF(COUNTIF('Rework Log'!$A$3:$A$499,$B55)&gt;0,"",IF(AND(V55&lt;&gt;"",K55&lt;&gt;"",V55&lt;K55),"QA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39" ht="14.45" hidden="1">
      <c r="A56" s="33" t="s">
        <v>126</v>
      </c>
      <c r="B56" s="33" t="s">
        <v>203</v>
      </c>
      <c r="C56" s="33" t="s">
        <v>150</v>
      </c>
      <c r="D56" t="str" cm="1">
        <f t="array" aca="1" ref="D56" ca="1">IF($B56="","",IF(LEFT($AI56,3)="Yes","Blocked - "&amp;MID($AI56,7,100)&amp;IF(SUMPRODUCT(('Rework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Log'!$B$3:$B$499,'Rework Log'!$A$3:$A$499,$B56,'Rework Log'!$C$3:$C$499,"QA"),_xlpm.act,IF(AND(X56&lt;&gt;"",X56&gt;_xlpm.sent),X56,""),IF(_xlpm.tgt="","No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Log'!$B$3:$B$499,'Rework Log'!$A$3:$A$499,$B56,'Rework Log'!$C$3:$C$499,"DPO*"),_xlpm.act,IF(AND(AB56&lt;&gt;"",AB56&gt;_xlpm.sent),AB56,""),IF(_xlpm.tgt="","No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199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173</v>
      </c>
      <c r="O56" s="36" t="s">
        <v>200</v>
      </c>
      <c r="P56" s="64" t="s">
        <v>59</v>
      </c>
      <c r="Q56" s="4">
        <v>46269</v>
      </c>
      <c r="R56" s="36"/>
      <c r="S56" s="36"/>
      <c r="T56" s="70" t="s">
        <v>201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204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Log'!$A$3:$A$499=$B56)*('Rework Log'!$G$3:$G$499&lt;&gt;"Yes")*('Rework Log'!$G$3:$G$499&lt;&gt;"Did not pass re-test"))=0),"Blocked - log it on Rework Log",IF(AND(LEFT($AI56,3)&lt;&gt;"Yes",SUMPRODUCT(('Rework Log'!$A$3:$A$499=$B56)*('Rework Log'!$G$3:$G$499&lt;&gt;"Yes")*('Rework Log'!$G$3:$G$499&lt;&gt;"Did not pass re-test"))&gt;0),"Open rework row - mark Blocked? or close it",IF(AND($AI56="Yes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H)",IF(AND($AI56="Yes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H)",IF(AND($AI56="Yes – needs QA to fix",X56&lt;&gt;"",SUMPRODUCT(MAX((('Rework Log'!$A$3:$A$499=$B56)*('Rework Log'!$G$3:$G$499&lt;&gt;"Yes")*('Rework Log'!$G$3:$G$499&lt;&gt;"Did not pass re-test"))*'Rework Log'!$I$3:$I$499))&gt;0),"Move old QA completion date to Rework Log (col H)",IF(COUNTIF($B$2:$B$526,$B56)&gt;1,"Duplicate name - check row",IF(COUNTIF('Rework Log'!$A$3:$A$499,$B56)&gt;0,"",IF(AND(V56&lt;&gt;"",K56&lt;&gt;"",V56&lt;K56),"QA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205</v>
      </c>
      <c r="AL56" s="32" t="str" cm="1">
        <f t="array" ref="AL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39" ht="14.45" hidden="1">
      <c r="A57" s="33" t="s">
        <v>126</v>
      </c>
      <c r="B57" s="33" t="s">
        <v>206</v>
      </c>
      <c r="C57" s="33" t="s">
        <v>207</v>
      </c>
      <c r="D57" t="str" cm="1">
        <f t="array" aca="1" ref="D57" ca="1">IF($B57="","",IF(LEFT($AI57,3)="Yes","Blocked - "&amp;MID($AI57,7,100)&amp;IF(SUMPRODUCT(('Rework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Log'!$B$3:$B$499,'Rework Log'!$A$3:$A$499,$B57,'Rework Log'!$C$3:$C$499,"QA"),_xlpm.act,IF(AND(X57&lt;&gt;"",X57&gt;_xlpm.sent),X57,""),IF(_xlpm.tgt="","No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Log'!$B$3:$B$499,'Rework Log'!$A$3:$A$499,$B57,'Rework Log'!$C$3:$C$499,"DPO*"),_xlpm.act,IF(AND(AB57&lt;&gt;"",AB57&gt;_xlpm.sent),AB57,""),IF(_xlpm.tgt="","No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6" t="s">
        <v>199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200</v>
      </c>
      <c r="P57" s="64" t="s">
        <v>45</v>
      </c>
      <c r="Q57" s="4">
        <v>46269</v>
      </c>
      <c r="R57" s="36">
        <v>46268</v>
      </c>
      <c r="S57" s="36"/>
      <c r="T57" s="70" t="s">
        <v>201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195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Log'!$A$3:$A$499=$B57)*('Rework Log'!$G$3:$G$499&lt;&gt;"Yes")*('Rework Log'!$G$3:$G$499&lt;&gt;"Did not pass re-test"))=0),"Blocked - log it on Rework Log",IF(AND(LEFT($AI57,3)&lt;&gt;"Yes",SUMPRODUCT(('Rework Log'!$A$3:$A$499=$B57)*('Rework Log'!$G$3:$G$499&lt;&gt;"Yes")*('Rework Log'!$G$3:$G$499&lt;&gt;"Did not pass re-test"))&gt;0),"Open rework row - mark Blocked? or close it",IF(AND($AI57="Yes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H)",IF(AND($AI57="Yes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H)",IF(AND($AI57="Yes – needs QA to fix",X57&lt;&gt;"",SUMPRODUCT(MAX((('Rework Log'!$A$3:$A$499=$B57)*('Rework Log'!$G$3:$G$499&lt;&gt;"Yes")*('Rework Log'!$G$3:$G$499&lt;&gt;"Did not pass re-test"))*'Rework Log'!$I$3:$I$499))&gt;0),"Move old QA completion date to Rework Log (col H)",IF(COUNTIF($B$2:$B$526,$B57)&gt;1,"Duplicate name - check row",IF(COUNTIF('Rework Log'!$A$3:$A$499,$B57)&gt;0,"",IF(AND(V57&lt;&gt;"",K57&lt;&gt;"",V57&lt;K57),"QA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205</v>
      </c>
      <c r="AL57" s="32" t="str" cm="1">
        <f t="array" ref="AL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39" ht="14.45" hidden="1">
      <c r="A58" s="33" t="s">
        <v>126</v>
      </c>
      <c r="B58" s="33" t="s">
        <v>208</v>
      </c>
      <c r="C58" s="33" t="s">
        <v>207</v>
      </c>
      <c r="D58" t="str" cm="1">
        <f t="array" aca="1" ref="D58" ca="1">IF($B58="","",IF(LEFT($AI58,3)="Yes","Blocked - "&amp;MID($AI58,7,100)&amp;IF(SUMPRODUCT(('Rework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Log'!$B$3:$B$499,'Rework Log'!$A$3:$A$499,$B58,'Rework Log'!$C$3:$C$499,"QA"),_xlpm.act,IF(AND(X58&lt;&gt;"",X58&gt;_xlpm.sent),X58,""),IF(_xlpm.tgt="","No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Log'!$B$3:$B$499,'Rework Log'!$A$3:$A$499,$B58,'Rework Log'!$C$3:$C$499,"DPO*"),_xlpm.act,IF(AND(AB58&lt;&gt;"",AB58&gt;_xlpm.sent),AB58,""),IF(_xlpm.tgt="","No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199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200</v>
      </c>
      <c r="P58" s="64" t="s">
        <v>76</v>
      </c>
      <c r="Q58" s="4">
        <v>46269</v>
      </c>
      <c r="R58" s="36"/>
      <c r="S58" s="36"/>
      <c r="T58" s="70" t="s">
        <v>201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Log'!$A$3:$A$499=$B58)*('Rework Log'!$G$3:$G$499&lt;&gt;"Yes")*('Rework Log'!$G$3:$G$499&lt;&gt;"Did not pass re-test"))=0),"Blocked - log it on Rework Log",IF(AND(LEFT($AI58,3)&lt;&gt;"Yes",SUMPRODUCT(('Rework Log'!$A$3:$A$499=$B58)*('Rework Log'!$G$3:$G$499&lt;&gt;"Yes")*('Rework Log'!$G$3:$G$499&lt;&gt;"Did not pass re-test"))&gt;0),"Open rework row - mark Blocked? or close it",IF(AND($AI58="Yes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H)",IF(AND($AI58="Yes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H)",IF(AND($AI58="Yes – needs QA to fix",X58&lt;&gt;"",SUMPRODUCT(MAX((('Rework Log'!$A$3:$A$499=$B58)*('Rework Log'!$G$3:$G$499&lt;&gt;"Yes")*('Rework Log'!$G$3:$G$499&lt;&gt;"Did not pass re-test"))*'Rework Log'!$I$3:$I$499))&gt;0),"Move old QA completion date to Rework Log (col H)",IF(COUNTIF($B$2:$B$526,$B58)&gt;1,"Duplicate name - check row",IF(COUNTIF('Rework Log'!$A$3:$A$499,$B58)&gt;0,"",IF(AND(V58&lt;&gt;"",K58&lt;&gt;"",V58&lt;K58),"QA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39" ht="14.45" hidden="1">
      <c r="A59" s="33" t="s">
        <v>126</v>
      </c>
      <c r="B59" s="33" t="s">
        <v>209</v>
      </c>
      <c r="C59" s="33" t="s">
        <v>150</v>
      </c>
      <c r="D59" t="str" cm="1">
        <f t="array" aca="1" ref="D59" ca="1">IF($B59="","",IF(LEFT($AI59,3)="Yes","Blocked - "&amp;MID($AI59,7,100)&amp;IF(SUMPRODUCT(('Rework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Log'!$B$3:$B$499,'Rework Log'!$A$3:$A$499,$B59,'Rework Log'!$C$3:$C$499,"QA"),_xlpm.act,IF(AND(X59&lt;&gt;"",X59&gt;_xlpm.sent),X59,""),IF(_xlpm.tgt="","No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Log'!$B$3:$B$499,'Rework Log'!$A$3:$A$499,$B59,'Rework Log'!$C$3:$C$499,"DPO*"),_xlpm.act,IF(AND(AB59&lt;&gt;"",AB59&gt;_xlpm.sent),AB59,""),IF(_xlpm.tgt="","No target set",IF(AND(_xlpm.tgt&lt;TODAY(),_xlpm.act=""),"Overdue","On track"))),IF(C59="RELEASED IN PROD","Delivered",""))))))))</f>
        <v>Overdue</v>
      </c>
      <c r="E59" s="33">
        <v>35</v>
      </c>
      <c r="F59" s="34" t="s">
        <v>147</v>
      </c>
      <c r="G59" s="33"/>
      <c r="H59" s="50">
        <v>46295</v>
      </c>
      <c r="I59" s="56" t="s">
        <v>199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4" t="s">
        <v>59</v>
      </c>
      <c r="Q59" s="4">
        <v>46269</v>
      </c>
      <c r="R59" s="36">
        <v>46265</v>
      </c>
      <c r="S59" s="36"/>
      <c r="T59" s="70" t="s">
        <v>201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195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Log'!$A$3:$A$499=$B59)*('Rework Log'!$G$3:$G$499&lt;&gt;"Yes")*('Rework Log'!$G$3:$G$499&lt;&gt;"Did not pass re-test"))=0),"Blocked - log it on Rework Log",IF(AND(LEFT($AI59,3)&lt;&gt;"Yes",SUMPRODUCT(('Rework Log'!$A$3:$A$499=$B59)*('Rework Log'!$G$3:$G$499&lt;&gt;"Yes")*('Rework Log'!$G$3:$G$499&lt;&gt;"Did not pass re-test"))&gt;0),"Open rework row - mark Blocked? or close it",IF(AND($AI59="Yes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H)",IF(AND($AI59="Yes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H)",IF(AND($AI59="Yes – needs QA to fix",X59&lt;&gt;"",SUMPRODUCT(MAX((('Rework Log'!$A$3:$A$499=$B59)*('Rework Log'!$G$3:$G$499&lt;&gt;"Yes")*('Rework Log'!$G$3:$G$499&lt;&gt;"Did not pass re-test"))*'Rework Log'!$I$3:$I$499))&gt;0),"Move old QA completion date to Rework Log (col H)",IF(COUNTIF($B$2:$B$526,$B59)&gt;1,"Duplicate name - check row",IF(COUNTIF('Rework Log'!$A$3:$A$499,$B59)&gt;0,"",IF(AND(V59&lt;&gt;"",K59&lt;&gt;"",V59&lt;K59),"QA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39" ht="14.45" hidden="1">
      <c r="A60" s="33" t="s">
        <v>126</v>
      </c>
      <c r="B60" s="33" t="s">
        <v>210</v>
      </c>
      <c r="C60" s="33" t="s">
        <v>150</v>
      </c>
      <c r="D60" t="str" cm="1">
        <f t="array" aca="1" ref="D60" ca="1">IF($B60="","",IF(LEFT($AI60,3)="Yes","Blocked - "&amp;MID($AI60,7,100)&amp;IF(SUMPRODUCT(('Rework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Log'!$B$3:$B$499,'Rework Log'!$A$3:$A$499,$B60,'Rework Log'!$C$3:$C$499,"QA"),_xlpm.act,IF(AND(X60&lt;&gt;"",X60&gt;_xlpm.sent),X60,""),IF(_xlpm.tgt="","No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Log'!$B$3:$B$499,'Rework Log'!$A$3:$A$499,$B60,'Rework Log'!$C$3:$C$499,"DPO*"),_xlpm.act,IF(AND(AB60&lt;&gt;"",AB60&gt;_xlpm.sent),AB60,""),IF(_xlpm.tgt="","No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6" t="s">
        <v>199</v>
      </c>
      <c r="J60" s="33" t="s">
        <v>161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4" t="s">
        <v>45</v>
      </c>
      <c r="Q60" s="4">
        <v>46269</v>
      </c>
      <c r="R60" s="36"/>
      <c r="S60" s="36"/>
      <c r="T60" s="70" t="s">
        <v>201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211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Log'!$A$3:$A$499=$B60)*('Rework Log'!$G$3:$G$499&lt;&gt;"Yes")*('Rework Log'!$G$3:$G$499&lt;&gt;"Did not pass re-test"))=0),"Blocked - log it on Rework Log",IF(AND(LEFT($AI60,3)&lt;&gt;"Yes",SUMPRODUCT(('Rework Log'!$A$3:$A$499=$B60)*('Rework Log'!$G$3:$G$499&lt;&gt;"Yes")*('Rework Log'!$G$3:$G$499&lt;&gt;"Did not pass re-test"))&gt;0),"Open rework row - mark Blocked? or close it",IF(AND($AI60="Yes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H)",IF(AND($AI60="Yes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H)",IF(AND($AI60="Yes – needs QA to fix",X60&lt;&gt;"",SUMPRODUCT(MAX((('Rework Log'!$A$3:$A$499=$B60)*('Rework Log'!$G$3:$G$499&lt;&gt;"Yes")*('Rework Log'!$G$3:$G$499&lt;&gt;"Did not pass re-test"))*'Rework Log'!$I$3:$I$499))&gt;0),"Move old QA completion date to Rework Log (col H)",IF(COUNTIF($B$2:$B$526,$B60)&gt;1,"Duplicate name - check row",IF(COUNTIF('Rework Log'!$A$3:$A$499,$B60)&gt;0,"",IF(AND(V60&lt;&gt;"",K60&lt;&gt;"",V60&lt;K60),"QA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39" ht="14.45" hidden="1">
      <c r="A61" s="33" t="s">
        <v>126</v>
      </c>
      <c r="B61" s="33" t="s">
        <v>212</v>
      </c>
      <c r="C61" s="33" t="s">
        <v>207</v>
      </c>
      <c r="D61" t="str" cm="1">
        <f t="array" aca="1" ref="D61" ca="1">IF($B61="","",IF(LEFT($AI61,3)="Yes","Blocked - "&amp;MID($AI61,7,100)&amp;IF(SUMPRODUCT(('Rework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Log'!$B$3:$B$499,'Rework Log'!$A$3:$A$499,$B61,'Rework Log'!$C$3:$C$499,"QA"),_xlpm.act,IF(AND(X61&lt;&gt;"",X61&gt;_xlpm.sent),X61,""),IF(_xlpm.tgt="","No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Log'!$B$3:$B$499,'Rework Log'!$A$3:$A$499,$B61,'Rework Log'!$C$3:$C$499,"DPO*"),_xlpm.act,IF(AND(AB61&lt;&gt;"",AB61&gt;_xlpm.sent),AB61,""),IF(_xlpm.tgt="","No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199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200</v>
      </c>
      <c r="P61" s="64" t="s">
        <v>59</v>
      </c>
      <c r="Q61" s="4">
        <v>46269</v>
      </c>
      <c r="R61" s="36"/>
      <c r="S61" s="36"/>
      <c r="T61" s="70" t="s">
        <v>201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213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Log'!$A$3:$A$499=$B61)*('Rework Log'!$G$3:$G$499&lt;&gt;"Yes")*('Rework Log'!$G$3:$G$499&lt;&gt;"Did not pass re-test"))=0),"Blocked - log it on Rework Log",IF(AND(LEFT($AI61,3)&lt;&gt;"Yes",SUMPRODUCT(('Rework Log'!$A$3:$A$499=$B61)*('Rework Log'!$G$3:$G$499&lt;&gt;"Yes")*('Rework Log'!$G$3:$G$499&lt;&gt;"Did not pass re-test"))&gt;0),"Open rework row - mark Blocked? or close it",IF(AND($AI61="Yes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H)",IF(AND($AI61="Yes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H)",IF(AND($AI61="Yes – needs QA to fix",X61&lt;&gt;"",SUMPRODUCT(MAX((('Rework Log'!$A$3:$A$499=$B61)*('Rework Log'!$G$3:$G$499&lt;&gt;"Yes")*('Rework Log'!$G$3:$G$499&lt;&gt;"Did not pass re-test"))*'Rework Log'!$I$3:$I$499))&gt;0),"Move old QA completion date to Rework Log (col H)",IF(COUNTIF($B$2:$B$526,$B61)&gt;1,"Duplicate name - check row",IF(COUNTIF('Rework Log'!$A$3:$A$499,$B61)&gt;0,"",IF(AND(V61&lt;&gt;"",K61&lt;&gt;"",V61&lt;K61),"QA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39" ht="14.45" hidden="1">
      <c r="A62" s="33" t="s">
        <v>126</v>
      </c>
      <c r="B62" s="33" t="s">
        <v>214</v>
      </c>
      <c r="C62" s="33" t="s">
        <v>207</v>
      </c>
      <c r="D62" t="str" cm="1">
        <f t="array" aca="1" ref="D62" ca="1">IF($B62="","",IF(LEFT($AI62,3)="Yes","Blocked - "&amp;MID($AI62,7,100)&amp;IF(SUMPRODUCT(('Rework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Log'!$B$3:$B$499,'Rework Log'!$A$3:$A$499,$B62,'Rework Log'!$C$3:$C$499,"QA"),_xlpm.act,IF(AND(X62&lt;&gt;"",X62&gt;_xlpm.sent),X62,""),IF(_xlpm.tgt="","No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Log'!$B$3:$B$499,'Rework Log'!$A$3:$A$499,$B62,'Rework Log'!$C$3:$C$499,"DPO*"),_xlpm.act,IF(AND(AB62&lt;&gt;"",AB62&gt;_xlpm.sent),AB62,""),IF(_xlpm.tgt="","No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6" t="s">
        <v>199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4" t="s">
        <v>76</v>
      </c>
      <c r="Q62" s="4">
        <v>46269</v>
      </c>
      <c r="R62" s="36"/>
      <c r="S62" s="36"/>
      <c r="T62" s="70" t="s">
        <v>201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215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Log'!$A$3:$A$499=$B62)*('Rework Log'!$G$3:$G$499&lt;&gt;"Yes")*('Rework Log'!$G$3:$G$499&lt;&gt;"Did not pass re-test"))=0),"Blocked - log it on Rework Log",IF(AND(LEFT($AI62,3)&lt;&gt;"Yes",SUMPRODUCT(('Rework Log'!$A$3:$A$499=$B62)*('Rework Log'!$G$3:$G$499&lt;&gt;"Yes")*('Rework Log'!$G$3:$G$499&lt;&gt;"Did not pass re-test"))&gt;0),"Open rework row - mark Blocked? or close it",IF(AND($AI62="Yes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H)",IF(AND($AI62="Yes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H)",IF(AND($AI62="Yes – needs QA to fix",X62&lt;&gt;"",SUMPRODUCT(MAX((('Rework Log'!$A$3:$A$499=$B62)*('Rework Log'!$G$3:$G$499&lt;&gt;"Yes")*('Rework Log'!$G$3:$G$499&lt;&gt;"Did not pass re-test"))*'Rework Log'!$I$3:$I$499))&gt;0),"Move old QA completion date to Rework Log (col H)",IF(COUNTIF($B$2:$B$526,$B62)&gt;1,"Duplicate name - check row",IF(COUNTIF('Rework Log'!$A$3:$A$499,$B62)&gt;0,"",IF(AND(V62&lt;&gt;"",K62&lt;&gt;"",V62&lt;K62),"QA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39" ht="14.45" hidden="1">
      <c r="A63" s="33" t="s">
        <v>126</v>
      </c>
      <c r="B63" s="33" t="s">
        <v>216</v>
      </c>
      <c r="C63" s="33" t="s">
        <v>207</v>
      </c>
      <c r="D63" t="str" cm="1">
        <f t="array" aca="1" ref="D63" ca="1">IF($B63="","",IF(LEFT($AI63,3)="Yes","Blocked - "&amp;MID($AI63,7,100)&amp;IF(SUMPRODUCT(('Rework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Log'!$B$3:$B$499,'Rework Log'!$A$3:$A$499,$B63,'Rework Log'!$C$3:$C$499,"QA"),_xlpm.act,IF(AND(X63&lt;&gt;"",X63&gt;_xlpm.sent),X63,""),IF(_xlpm.tgt="","No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Log'!$B$3:$B$499,'Rework Log'!$A$3:$A$499,$B63,'Rework Log'!$C$3:$C$499,"DPO*"),_xlpm.act,IF(AND(AB63&lt;&gt;"",AB63&gt;_xlpm.sent),AB63,""),IF(_xlpm.tgt="","No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6" t="s">
        <v>199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4" t="s">
        <v>45</v>
      </c>
      <c r="Q63" s="4">
        <v>46286</v>
      </c>
      <c r="R63" s="36"/>
      <c r="S63" s="36"/>
      <c r="T63" s="70" t="s">
        <v>201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217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Log'!$A$3:$A$499=$B63)*('Rework Log'!$G$3:$G$499&lt;&gt;"Yes")*('Rework Log'!$G$3:$G$499&lt;&gt;"Did not pass re-test"))=0),"Blocked - log it on Rework Log",IF(AND(LEFT($AI63,3)&lt;&gt;"Yes",SUMPRODUCT(('Rework Log'!$A$3:$A$499=$B63)*('Rework Log'!$G$3:$G$499&lt;&gt;"Yes")*('Rework Log'!$G$3:$G$499&lt;&gt;"Did not pass re-test"))&gt;0),"Open rework row - mark Blocked? or close it",IF(AND($AI63="Yes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H)",IF(AND($AI63="Yes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H)",IF(AND($AI63="Yes – needs QA to fix",X63&lt;&gt;"",SUMPRODUCT(MAX((('Rework Log'!$A$3:$A$499=$B63)*('Rework Log'!$G$3:$G$499&lt;&gt;"Yes")*('Rework Log'!$G$3:$G$499&lt;&gt;"Did not pass re-test"))*'Rework Log'!$I$3:$I$499))&gt;0),"Move old QA completion date to Rework Log (col H)",IF(COUNTIF($B$2:$B$526,$B63)&gt;1,"Duplicate name - check row",IF(COUNTIF('Rework Log'!$A$3:$A$499,$B63)&gt;0,"",IF(AND(V63&lt;&gt;"",K63&lt;&gt;"",V63&lt;K63),"QA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39" ht="14.45" hidden="1">
      <c r="A64" s="33" t="s">
        <v>126</v>
      </c>
      <c r="B64" s="33" t="s">
        <v>218</v>
      </c>
      <c r="C64" s="33" t="s">
        <v>207</v>
      </c>
      <c r="D64" t="str" cm="1">
        <f t="array" aca="1" ref="D64" ca="1">IF($B64="","",IF(LEFT($AI64,3)="Yes","Blocked - "&amp;MID($AI64,7,100)&amp;IF(SUMPRODUCT(('Rework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Log'!$B$3:$B$499,'Rework Log'!$A$3:$A$499,$B64,'Rework Log'!$C$3:$C$499,"QA"),_xlpm.act,IF(AND(X64&lt;&gt;"",X64&gt;_xlpm.sent),X64,""),IF(_xlpm.tgt="","No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Log'!$B$3:$B$499,'Rework Log'!$A$3:$A$499,$B64,'Rework Log'!$C$3:$C$499,"DPO*"),_xlpm.act,IF(AND(AB64&lt;&gt;"",AB64&gt;_xlpm.sent),AB64,""),IF(_xlpm.tgt="","No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199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4" t="s">
        <v>59</v>
      </c>
      <c r="Q64" s="4">
        <v>46286</v>
      </c>
      <c r="R64" s="36"/>
      <c r="S64" s="36"/>
      <c r="T64" s="70" t="s">
        <v>201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219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Log'!$A$3:$A$499=$B64)*('Rework Log'!$G$3:$G$499&lt;&gt;"Yes")*('Rework Log'!$G$3:$G$499&lt;&gt;"Did not pass re-test"))=0),"Blocked - log it on Rework Log",IF(AND(LEFT($AI64,3)&lt;&gt;"Yes",SUMPRODUCT(('Rework Log'!$A$3:$A$499=$B64)*('Rework Log'!$G$3:$G$499&lt;&gt;"Yes")*('Rework Log'!$G$3:$G$499&lt;&gt;"Did not pass re-test"))&gt;0),"Open rework row - mark Blocked? or close it",IF(AND($AI64="Yes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H)",IF(AND($AI64="Yes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H)",IF(AND($AI64="Yes – needs QA to fix",X64&lt;&gt;"",SUMPRODUCT(MAX((('Rework Log'!$A$3:$A$499=$B64)*('Rework Log'!$G$3:$G$499&lt;&gt;"Yes")*('Rework Log'!$G$3:$G$499&lt;&gt;"Did not pass re-test"))*'Rework Log'!$I$3:$I$499))&gt;0),"Move old QA completion date to Rework Log (col H)",IF(COUNTIF($B$2:$B$526,$B64)&gt;1,"Duplicate name - check row",IF(COUNTIF('Rework Log'!$A$3:$A$499,$B64)&gt;0,"",IF(AND(V64&lt;&gt;"",K64&lt;&gt;"",V64&lt;K64),"QA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39" ht="14.45" hidden="1">
      <c r="A65" s="33" t="s">
        <v>126</v>
      </c>
      <c r="B65" s="33" t="s">
        <v>220</v>
      </c>
      <c r="C65" s="33" t="s">
        <v>155</v>
      </c>
      <c r="D65" t="str" cm="1">
        <f t="array" aca="1" ref="D65" ca="1">IF($B65="","",IF(LEFT($AI65,3)="Yes","Blocked - "&amp;MID($AI65,7,100)&amp;IF(SUMPRODUCT(('Rework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Log'!$B$3:$B$499,'Rework Log'!$A$3:$A$499,$B65,'Rework Log'!$C$3:$C$499,"QA"),_xlpm.act,IF(AND(X65&lt;&gt;"",X65&gt;_xlpm.sent),X65,""),IF(_xlpm.tgt="","No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Log'!$B$3:$B$499,'Rework Log'!$A$3:$A$499,$B65,'Rework Log'!$C$3:$C$499,"DPO*"),_xlpm.act,IF(AND(AB65&lt;&gt;"",AB65&gt;_xlpm.sent),AB65,""),IF(_xlpm.tgt="","No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199</v>
      </c>
      <c r="J65" s="33" t="s">
        <v>161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4" t="s">
        <v>76</v>
      </c>
      <c r="Q65" s="4">
        <v>46286</v>
      </c>
      <c r="R65" s="36"/>
      <c r="S65" s="36"/>
      <c r="T65" s="70" t="s">
        <v>201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Log'!$A$3:$A$499=$B65)*('Rework Log'!$G$3:$G$499&lt;&gt;"Yes")*('Rework Log'!$G$3:$G$499&lt;&gt;"Did not pass re-test"))=0),"Blocked - log it on Rework Log",IF(AND(LEFT($AI65,3)&lt;&gt;"Yes",SUMPRODUCT(('Rework Log'!$A$3:$A$499=$B65)*('Rework Log'!$G$3:$G$499&lt;&gt;"Yes")*('Rework Log'!$G$3:$G$499&lt;&gt;"Did not pass re-test"))&gt;0),"Open rework row - mark Blocked? or close it",IF(AND($AI65="Yes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H)",IF(AND($AI65="Yes – needs PBI Dev to fix",S65&lt;&gt;"",SUMPRODUCT(MAX((('Rework Log'!$A$3:$A$499=$B65)*('Rework Log'!$G$3:$G$499&lt;&gt;"Yes")*('Rework Log'!$G$3:$G$499&lt;&gt;"Did not pass re-test"))*'Rework Log'!$I$3:$I$499))&gt;0),"Move old PBI Dev completion date to Rework Log (col H)",IF(AND($AI65="Yes – needs QA to fix",X65&lt;&gt;"",SUMPRODUCT(MAX((('Rework Log'!$A$3:$A$499=$B65)*('Rework Log'!$G$3:$G$499&lt;&gt;"Yes")*('Rework Log'!$G$3:$G$499&lt;&gt;"Did not pass re-test"))*'Rework Log'!$I$3:$I$499))&gt;0),"Move old QA completion date to Rework Log (col H)",IF(COUNTIF($B$2:$B$526,$B65)&gt;1,"Duplicate name - check row",IF(COUNTIF('Rework Log'!$A$3:$A$499,$B65)&gt;0,"",IF(AND(V65&lt;&gt;"",K65&lt;&gt;"",V65&lt;K65),"QA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39" ht="14.45" hidden="1">
      <c r="A66" s="33" t="s">
        <v>126</v>
      </c>
      <c r="B66" s="33" t="s">
        <v>221</v>
      </c>
      <c r="C66" s="33" t="s">
        <v>207</v>
      </c>
      <c r="D66" t="str" cm="1">
        <f t="array" aca="1" ref="D66" ca="1">IF($B66="","",IF(LEFT($AI66,3)="Yes","Blocked - "&amp;MID($AI66,7,100)&amp;IF(SUMPRODUCT(('Rework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Log'!$B$3:$B$499,'Rework Log'!$A$3:$A$499,$B66,'Rework Log'!$C$3:$C$499,"QA"),_xlpm.act,IF(AND(X66&lt;&gt;"",X66&gt;_xlpm.sent),X66,""),IF(_xlpm.tgt="","No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Log'!$B$3:$B$499,'Rework Log'!$A$3:$A$499,$B66,'Rework Log'!$C$3:$C$499,"DPO*"),_xlpm.act,IF(AND(AB66&lt;&gt;"",AB66&gt;_xlpm.sent),AB66,""),IF(_xlpm.tgt="","No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199</v>
      </c>
      <c r="J66" s="33" t="s">
        <v>43</v>
      </c>
      <c r="K66" s="4">
        <v>46276</v>
      </c>
      <c r="L66" s="36"/>
      <c r="M66" s="36"/>
      <c r="N66" s="36"/>
      <c r="O66" s="36" t="s">
        <v>200</v>
      </c>
      <c r="P66" s="64" t="s">
        <v>45</v>
      </c>
      <c r="Q66" s="4">
        <v>46286</v>
      </c>
      <c r="R66" s="36"/>
      <c r="S66" s="36"/>
      <c r="T66" s="70" t="s">
        <v>201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219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Log'!$A$3:$A$499=$B66)*('Rework Log'!$G$3:$G$499&lt;&gt;"Yes")*('Rework Log'!$G$3:$G$499&lt;&gt;"Did not pass re-test"))=0),"Blocked - log it on Rework Log",IF(AND(LEFT($AI66,3)&lt;&gt;"Yes",SUMPRODUCT(('Rework Log'!$A$3:$A$499=$B66)*('Rework Log'!$G$3:$G$499&lt;&gt;"Yes")*('Rework Log'!$G$3:$G$499&lt;&gt;"Did not pass re-test"))&gt;0),"Open rework row - mark Blocked? or close it",IF(AND($AI66="Yes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H)",IF(AND($AI66="Yes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H)",IF(AND($AI66="Yes – needs QA to fix",X66&lt;&gt;"",SUMPRODUCT(MAX((('Rework Log'!$A$3:$A$499=$B66)*('Rework Log'!$G$3:$G$499&lt;&gt;"Yes")*('Rework Log'!$G$3:$G$499&lt;&gt;"Did not pass re-test"))*'Rework Log'!$I$3:$I$499))&gt;0),"Move old QA completion date to Rework Log (col H)",IF(COUNTIF($B$2:$B$526,$B66)&gt;1,"Duplicate name - check row",IF(COUNTIF('Rework Log'!$A$3:$A$499,$B66)&gt;0,"",IF(AND(V66&lt;&gt;"",K66&lt;&gt;"",V66&lt;K66),"QA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39" ht="14.45" hidden="1">
      <c r="A67" s="33" t="s">
        <v>126</v>
      </c>
      <c r="B67" s="33" t="s">
        <v>222</v>
      </c>
      <c r="C67" s="33" t="s">
        <v>207</v>
      </c>
      <c r="D67" t="str" cm="1">
        <f t="array" aca="1" ref="D67" ca="1">IF($B67="","",IF(LEFT($AI67,3)="Yes","Blocked - "&amp;MID($AI67,7,100)&amp;IF(SUMPRODUCT(('Rework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Log'!$B$3:$B$499,'Rework Log'!$A$3:$A$499,$B67,'Rework Log'!$C$3:$C$499,"QA"),_xlpm.act,IF(AND(X67&lt;&gt;"",X67&gt;_xlpm.sent),X67,""),IF(_xlpm.tgt="","No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Log'!$B$3:$B$499,'Rework Log'!$A$3:$A$499,$B67,'Rework Log'!$C$3:$C$499,"DPO*"),_xlpm.act,IF(AND(AB67&lt;&gt;"",AB67&gt;_xlpm.sent),AB67,""),IF(_xlpm.tgt="","No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199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201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223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Log'!$A$3:$A$499=$B67)*('Rework Log'!$G$3:$G$499&lt;&gt;"Yes")*('Rework Log'!$G$3:$G$499&lt;&gt;"Did not pass re-test"))=0),"Blocked - log it on Rework Log",IF(AND(LEFT($AI67,3)&lt;&gt;"Yes",SUMPRODUCT(('Rework Log'!$A$3:$A$499=$B67)*('Rework Log'!$G$3:$G$499&lt;&gt;"Yes")*('Rework Log'!$G$3:$G$499&lt;&gt;"Did not pass re-test"))&gt;0),"Open rework row - mark Blocked? or close it",IF(AND($AI67="Yes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H)",IF(AND($AI67="Yes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H)",IF(AND($AI67="Yes – needs QA to fix",X67&lt;&gt;"",SUMPRODUCT(MAX((('Rework Log'!$A$3:$A$499=$B67)*('Rework Log'!$G$3:$G$499&lt;&gt;"Yes")*('Rework Log'!$G$3:$G$499&lt;&gt;"Did not pass re-test"))*'Rework Log'!$I$3:$I$499))&gt;0),"Move old QA completion date to Rework Log (col H)",IF(COUNTIF($B$2:$B$526,$B67)&gt;1,"Duplicate name - check row",IF(COUNTIF('Rework Log'!$A$3:$A$499,$B67)&gt;0,"",IF(AND(V67&lt;&gt;"",K67&lt;&gt;"",V67&lt;K67),"QA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39" s="83" customFormat="1" ht="14.45" hidden="1">
      <c r="A68" s="82" t="s">
        <v>126</v>
      </c>
      <c r="B68" s="80" t="s">
        <v>224</v>
      </c>
      <c r="C68" s="82" t="s">
        <v>150</v>
      </c>
      <c r="D68" s="83" t="str" cm="1">
        <f t="array" aca="1" ref="D68" ca="1">IF($B68="","",IF(LEFT($AI68,3)="Yes","Blocked - "&amp;MID($AI68,7,100)&amp;IF(SUMPRODUCT(('Rework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Log'!$B$3:$B$499,'Rework Log'!$A$3:$A$499,$B68,'Rework Log'!$C$3:$C$499,"QA"),_xlpm.act,IF(AND(X68&lt;&gt;"",X68&gt;_xlpm.sent),X68,""),IF(_xlpm.tgt="","No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Log'!$B$3:$B$499,'Rework Log'!$A$3:$A$499,$B68,'Rework Log'!$C$3:$C$499,"DPO*"),_xlpm.act,IF(AND(AB68&lt;&gt;"",AB68&gt;_xlpm.sent),AB68,""),IF(_xlpm.tgt="","No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199</v>
      </c>
      <c r="J68" s="82" t="s">
        <v>225</v>
      </c>
      <c r="K68" s="87">
        <v>46276</v>
      </c>
      <c r="L68" s="88">
        <v>46258</v>
      </c>
      <c r="M68" s="88">
        <v>46258</v>
      </c>
      <c r="N68" s="88"/>
      <c r="O68" s="88" t="s">
        <v>200</v>
      </c>
      <c r="P68" s="89" t="s">
        <v>76</v>
      </c>
      <c r="Q68" s="87">
        <v>46286</v>
      </c>
      <c r="R68" s="88"/>
      <c r="S68" s="88"/>
      <c r="T68" s="90" t="s">
        <v>226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227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Log'!$A$3:$A$499=$B68)*('Rework Log'!$G$3:$G$499&lt;&gt;"Yes")*('Rework Log'!$G$3:$G$499&lt;&gt;"Did not pass re-test"))=0),"Blocked - log it on Rework Log",IF(AND(LEFT($AI68,3)&lt;&gt;"Yes",SUMPRODUCT(('Rework Log'!$A$3:$A$499=$B68)*('Rework Log'!$G$3:$G$499&lt;&gt;"Yes")*('Rework Log'!$G$3:$G$499&lt;&gt;"Did not pass re-test"))&gt;0),"Open rework row - mark Blocked? or close it",IF(AND($AI68="Yes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H)",IF(AND($AI68="Yes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H)",IF(AND($AI68="Yes – needs QA to fix",X68&lt;&gt;"",SUMPRODUCT(MAX((('Rework Log'!$A$3:$A$499=$B68)*('Rework Log'!$G$3:$G$499&lt;&gt;"Yes")*('Rework Log'!$G$3:$G$499&lt;&gt;"Did not pass re-test"))*'Rework Log'!$I$3:$I$499))&gt;0),"Move old QA completion date to Rework Log (col H)",IF(COUNTIF($B$2:$B$526,$B68)&gt;1,"Duplicate name - check row",IF(COUNTIF('Rework Log'!$A$3:$A$499,$B68)&gt;0,"",IF(AND(V68&lt;&gt;"",K68&lt;&gt;"",V68&lt;K68),"QA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228</v>
      </c>
      <c r="AL68" s="98" t="str" cm="1">
        <f t="array" ref="AL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39" ht="14.45" hidden="1">
      <c r="A69" s="33" t="s">
        <v>126</v>
      </c>
      <c r="B69" s="81" t="s">
        <v>229</v>
      </c>
      <c r="C69" s="33" t="s">
        <v>207</v>
      </c>
      <c r="D69" t="str" cm="1">
        <f t="array" aca="1" ref="D69" ca="1">IF($B69="","",IF(LEFT($AI69,3)="Yes","Blocked - "&amp;MID($AI69,7,100)&amp;IF(SUMPRODUCT(('Rework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Log'!$B$3:$B$499,'Rework Log'!$A$3:$A$499,$B69,'Rework Log'!$C$3:$C$499,"QA"),_xlpm.act,IF(AND(X69&lt;&gt;"",X69&gt;_xlpm.sent),X69,""),IF(_xlpm.tgt="","No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Log'!$B$3:$B$499,'Rework Log'!$A$3:$A$499,$B69,'Rework Log'!$C$3:$C$499,"DPO*"),_xlpm.act,IF(AND(AB69&lt;&gt;"",AB69&gt;_xlpm.sent),AB69,""),IF(_xlpm.tgt="","No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147</v>
      </c>
      <c r="G69" s="33"/>
      <c r="H69" s="50">
        <v>46295</v>
      </c>
      <c r="I69" s="56" t="s">
        <v>199</v>
      </c>
      <c r="J69" s="33" t="s">
        <v>58</v>
      </c>
      <c r="K69" s="4">
        <v>46276</v>
      </c>
      <c r="L69" s="36"/>
      <c r="M69" s="36"/>
      <c r="N69" s="36"/>
      <c r="O69" s="36" t="s">
        <v>200</v>
      </c>
      <c r="P69" s="64" t="s">
        <v>45</v>
      </c>
      <c r="Q69" s="4">
        <v>46286</v>
      </c>
      <c r="R69" s="36"/>
      <c r="S69" s="36"/>
      <c r="T69" s="70" t="s">
        <v>226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230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Log'!$A$3:$A$499=$B69)*('Rework Log'!$G$3:$G$499&lt;&gt;"Yes")*('Rework Log'!$G$3:$G$499&lt;&gt;"Did not pass re-test"))=0),"Blocked - log it on Rework Log",IF(AND(LEFT($AI69,3)&lt;&gt;"Yes",SUMPRODUCT(('Rework Log'!$A$3:$A$499=$B69)*('Rework Log'!$G$3:$G$499&lt;&gt;"Yes")*('Rework Log'!$G$3:$G$499&lt;&gt;"Did not pass re-test"))&gt;0),"Open rework row - mark Blocked? or close it",IF(AND($AI69="Yes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H)",IF(AND($AI69="Yes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H)",IF(AND($AI69="Yes – needs QA to fix",X69&lt;&gt;"",SUMPRODUCT(MAX((('Rework Log'!$A$3:$A$499=$B69)*('Rework Log'!$G$3:$G$499&lt;&gt;"Yes")*('Rework Log'!$G$3:$G$499&lt;&gt;"Did not pass re-test"))*'Rework Log'!$I$3:$I$499))&gt;0),"Move old QA completion date to Rework Log (col H)",IF(COUNTIF($B$2:$B$526,$B69)&gt;1,"Duplicate name - check row",IF(COUNTIF('Rework Log'!$A$3:$A$499,$B69)&gt;0,"",IF(AND(V69&lt;&gt;"",K69&lt;&gt;"",V69&lt;K69),"QA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231</v>
      </c>
      <c r="AL69" s="32" t="str" cm="1">
        <f t="array" ref="AL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39" ht="14.45" hidden="1">
      <c r="A70" s="33" t="s">
        <v>126</v>
      </c>
      <c r="B70" s="33" t="s">
        <v>232</v>
      </c>
      <c r="C70" s="33" t="s">
        <v>207</v>
      </c>
      <c r="D70" t="str" cm="1">
        <f t="array" aca="1" ref="D70" ca="1">IF($B70="","",IF(LEFT($AI70,3)="Yes","Blocked - "&amp;MID($AI70,7,100)&amp;IF(SUMPRODUCT(('Rework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Log'!$B$3:$B$499,'Rework Log'!$A$3:$A$499,$B70,'Rework Log'!$C$3:$C$499,"QA"),_xlpm.act,IF(AND(X70&lt;&gt;"",X70&gt;_xlpm.sent),X70,""),IF(_xlpm.tgt="","No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Log'!$B$3:$B$499,'Rework Log'!$A$3:$A$499,$B70,'Rework Log'!$C$3:$C$499,"DPO*"),_xlpm.act,IF(AND(AB70&lt;&gt;"",AB70&gt;_xlpm.sent),AB70,""),IF(_xlpm.tgt="","No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6" t="s">
        <v>199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200</v>
      </c>
      <c r="P70" s="64" t="s">
        <v>45</v>
      </c>
      <c r="Q70" s="4">
        <v>46286</v>
      </c>
      <c r="R70" s="36"/>
      <c r="S70" s="36"/>
      <c r="T70" s="70" t="s">
        <v>226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195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Log'!$A$3:$A$499=$B70)*('Rework Log'!$G$3:$G$499&lt;&gt;"Yes")*('Rework Log'!$G$3:$G$499&lt;&gt;"Did not pass re-test"))=0),"Blocked - log it on Rework Log",IF(AND(LEFT($AI70,3)&lt;&gt;"Yes",SUMPRODUCT(('Rework Log'!$A$3:$A$499=$B70)*('Rework Log'!$G$3:$G$499&lt;&gt;"Yes")*('Rework Log'!$G$3:$G$499&lt;&gt;"Did not pass re-test"))&gt;0),"Open rework row - mark Blocked? or close it",IF(AND($AI70="Yes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H)",IF(AND($AI70="Yes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H)",IF(AND($AI70="Yes – needs QA to fix",X70&lt;&gt;"",SUMPRODUCT(MAX((('Rework Log'!$A$3:$A$499=$B70)*('Rework Log'!$G$3:$G$499&lt;&gt;"Yes")*('Rework Log'!$G$3:$G$499&lt;&gt;"Did not pass re-test"))*'Rework Log'!$I$3:$I$499))&gt;0),"Move old QA completion date to Rework Log (col H)",IF(COUNTIF($B$2:$B$526,$B70)&gt;1,"Duplicate name - check row",IF(COUNTIF('Rework Log'!$A$3:$A$499,$B70)&gt;0,"",IF(AND(V70&lt;&gt;"",K70&lt;&gt;"",V70&lt;K70),"QA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39" ht="14.45" hidden="1">
      <c r="A71" s="33" t="s">
        <v>126</v>
      </c>
      <c r="B71" s="33" t="s">
        <v>233</v>
      </c>
      <c r="C71" s="33" t="s">
        <v>207</v>
      </c>
      <c r="D71" t="str" cm="1">
        <f t="array" aca="1" ref="D71" ca="1">IF($B71="","",IF(LEFT($AI71,3)="Yes","Blocked - "&amp;MID($AI71,7,100)&amp;IF(SUMPRODUCT(('Rework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Log'!$B$3:$B$499,'Rework Log'!$A$3:$A$499,$B71,'Rework Log'!$C$3:$C$499,"QA"),_xlpm.act,IF(AND(X71&lt;&gt;"",X71&gt;_xlpm.sent),X71,""),IF(_xlpm.tgt="","No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Log'!$B$3:$B$499,'Rework Log'!$A$3:$A$499,$B71,'Rework Log'!$C$3:$C$499,"DPO*"),_xlpm.act,IF(AND(AB71&lt;&gt;"",AB71&gt;_xlpm.sent),AB71,""),IF(_xlpm.tgt="","No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6" t="s">
        <v>199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4" t="s">
        <v>59</v>
      </c>
      <c r="Q71" s="4">
        <v>46286</v>
      </c>
      <c r="R71" s="36"/>
      <c r="S71" s="36"/>
      <c r="T71" s="70" t="s">
        <v>226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234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Log'!$A$3:$A$499=$B71)*('Rework Log'!$G$3:$G$499&lt;&gt;"Yes")*('Rework Log'!$G$3:$G$499&lt;&gt;"Did not pass re-test"))=0),"Blocked - log it on Rework Log",IF(AND(LEFT($AI71,3)&lt;&gt;"Yes",SUMPRODUCT(('Rework Log'!$A$3:$A$499=$B71)*('Rework Log'!$G$3:$G$499&lt;&gt;"Yes")*('Rework Log'!$G$3:$G$499&lt;&gt;"Did not pass re-test"))&gt;0),"Open rework row - mark Blocked? or close it",IF(AND($AI71="Yes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H)",IF(AND($AI71="Yes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H)",IF(AND($AI71="Yes – needs QA to fix",X71&lt;&gt;"",SUMPRODUCT(MAX((('Rework Log'!$A$3:$A$499=$B71)*('Rework Log'!$G$3:$G$499&lt;&gt;"Yes")*('Rework Log'!$G$3:$G$499&lt;&gt;"Did not pass re-test"))*'Rework Log'!$I$3:$I$499))&gt;0),"Move old QA completion date to Rework Log (col H)",IF(COUNTIF($B$2:$B$526,$B71)&gt;1,"Duplicate name - check row",IF(COUNTIF('Rework Log'!$A$3:$A$499,$B71)&gt;0,"",IF(AND(V71&lt;&gt;"",K71&lt;&gt;"",V71&lt;K71),"QA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39" ht="14.45" hidden="1">
      <c r="A72" s="33" t="s">
        <v>126</v>
      </c>
      <c r="B72" s="33" t="s">
        <v>235</v>
      </c>
      <c r="C72" s="33" t="s">
        <v>150</v>
      </c>
      <c r="D72" t="str" cm="1">
        <f t="array" aca="1" ref="D72" ca="1">IF($B72="","",IF(LEFT($AI72,3)="Yes","Blocked - "&amp;MID($AI72,7,100)&amp;IF(SUMPRODUCT(('Rework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Log'!$B$3:$B$499,'Rework Log'!$A$3:$A$499,$B72,'Rework Log'!$C$3:$C$499,"QA"),_xlpm.act,IF(AND(X72&lt;&gt;"",X72&gt;_xlpm.sent),X72,""),IF(_xlpm.tgt="","No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Log'!$B$3:$B$499,'Rework Log'!$A$3:$A$499,$B72,'Rework Log'!$C$3:$C$499,"DPO*"),_xlpm.act,IF(AND(AB72&lt;&gt;"",AB72&gt;_xlpm.sent),AB72,""),IF(_xlpm.tgt="","No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199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200</v>
      </c>
      <c r="P72" s="64" t="s">
        <v>76</v>
      </c>
      <c r="Q72" s="4">
        <v>46286</v>
      </c>
      <c r="R72" s="36"/>
      <c r="S72" s="36"/>
      <c r="T72" s="70" t="s">
        <v>226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177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Log'!$A$3:$A$499=$B72)*('Rework Log'!$G$3:$G$499&lt;&gt;"Yes")*('Rework Log'!$G$3:$G$499&lt;&gt;"Did not pass re-test"))=0),"Blocked - log it on Rework Log",IF(AND(LEFT($AI72,3)&lt;&gt;"Yes",SUMPRODUCT(('Rework Log'!$A$3:$A$499=$B72)*('Rework Log'!$G$3:$G$499&lt;&gt;"Yes")*('Rework Log'!$G$3:$G$499&lt;&gt;"Did not pass re-test"))&gt;0),"Open rework row - mark Blocked? or close it",IF(AND($AI72="Yes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H)",IF(AND($AI72="Yes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H)",IF(AND($AI72="Yes – needs QA to fix",X72&lt;&gt;"",SUMPRODUCT(MAX((('Rework Log'!$A$3:$A$499=$B72)*('Rework Log'!$G$3:$G$499&lt;&gt;"Yes")*('Rework Log'!$G$3:$G$499&lt;&gt;"Did not pass re-test"))*'Rework Log'!$I$3:$I$499))&gt;0),"Move old QA completion date to Rework Log (col H)",IF(COUNTIF($B$2:$B$526,$B72)&gt;1,"Duplicate name - check row",IF(COUNTIF('Rework Log'!$A$3:$A$499,$B72)&gt;0,"",IF(AND(V72&lt;&gt;"",K72&lt;&gt;"",V72&lt;K72),"QA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39" ht="14.45" hidden="1">
      <c r="A73" s="79" t="s">
        <v>126</v>
      </c>
      <c r="B73" s="31" t="s">
        <v>236</v>
      </c>
      <c r="C73" s="31" t="s">
        <v>150</v>
      </c>
      <c r="D73" t="str" cm="1">
        <f t="array" aca="1" ref="D73" ca="1">IF($B73="","",IF(LEFT($AI73,3)="Yes","Blocked - "&amp;MID($AI73,7,100)&amp;IF(SUMPRODUCT(('Rework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Log'!$B$3:$B$499,'Rework Log'!$A$3:$A$499,$B73,'Rework Log'!$C$3:$C$499,"QA"),_xlpm.act,IF(AND(X73&lt;&gt;"",X73&gt;_xlpm.sent),X73,""),IF(_xlpm.tgt="","No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Log'!$B$3:$B$499,'Rework Log'!$A$3:$A$499,$B73,'Rework Log'!$C$3:$C$499,"DPO*"),_xlpm.act,IF(AND(AB73&lt;&gt;"",AB73&gt;_xlpm.sent),AB73,""),IF(_xlpm.tgt="","No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237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200</v>
      </c>
      <c r="P73" s="67"/>
      <c r="Q73" s="51"/>
      <c r="R73" s="43"/>
      <c r="S73" s="44"/>
      <c r="T73" s="71" t="s">
        <v>238</v>
      </c>
      <c r="U73" s="31"/>
      <c r="W73" s="43"/>
      <c r="X73" s="31"/>
      <c r="Y73" s="31"/>
      <c r="AA73" s="43"/>
      <c r="AB73" s="43"/>
      <c r="AC73" s="31" t="s">
        <v>202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39" ht="14.45" hidden="1">
      <c r="A74" s="31" t="s">
        <v>126</v>
      </c>
      <c r="B74" s="31" t="s">
        <v>239</v>
      </c>
      <c r="C74" s="31" t="s">
        <v>207</v>
      </c>
      <c r="D74" t="str" cm="1">
        <f t="array" aca="1" ref="D74" ca="1">IF($B74="","",IF(LEFT($AI74,3)="Yes","Blocked - "&amp;MID($AI74,7,100)&amp;IF(SUMPRODUCT(('Rework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Log'!$B$3:$B$499,'Rework Log'!$A$3:$A$499,$B74,'Rework Log'!$C$3:$C$499,"QA"),_xlpm.act,IF(AND(X74&lt;&gt;"",X74&gt;_xlpm.sent),X74,""),IF(_xlpm.tgt="","No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Log'!$B$3:$B$499,'Rework Log'!$A$3:$A$499,$B74,'Rework Log'!$C$3:$C$499,"DPO*"),_xlpm.act,IF(AND(AB74&lt;&gt;"",AB74&gt;_xlpm.sent),AB74,""),IF(_xlpm.tgt="","No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237</v>
      </c>
      <c r="J74" s="55" t="s">
        <v>225</v>
      </c>
      <c r="K74" s="51"/>
      <c r="L74" s="43"/>
      <c r="M74" s="44"/>
      <c r="N74" s="44"/>
      <c r="O74" s="44" t="s">
        <v>200</v>
      </c>
      <c r="P74" s="76"/>
      <c r="Q74" s="51"/>
      <c r="R74" s="43"/>
      <c r="S74" s="44"/>
      <c r="T74" s="71" t="s">
        <v>238</v>
      </c>
      <c r="U74" s="47"/>
      <c r="W74" s="43"/>
      <c r="X74" s="31"/>
      <c r="Y74" s="36"/>
      <c r="AA74" s="43"/>
      <c r="AB74" s="43"/>
      <c r="AC74" s="31" t="s">
        <v>177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39" ht="14.45" hidden="1">
      <c r="A75" s="31" t="s">
        <v>126</v>
      </c>
      <c r="B75" s="31" t="s">
        <v>240</v>
      </c>
      <c r="C75" s="31" t="s">
        <v>207</v>
      </c>
      <c r="D75" t="str" cm="1">
        <f t="array" aca="1" ref="D75" ca="1">IF($B75="","",IF(LEFT($AI75,3)="Yes","Blocked - "&amp;MID($AI75,7,100)&amp;IF(SUMPRODUCT(('Rework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Log'!$B$3:$B$499,'Rework Log'!$A$3:$A$499,$B75,'Rework Log'!$C$3:$C$499,"QA"),_xlpm.act,IF(AND(X75&lt;&gt;"",X75&gt;_xlpm.sent),X75,""),IF(_xlpm.tgt="","No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Log'!$B$3:$B$499,'Rework Log'!$A$3:$A$499,$B75,'Rework Log'!$C$3:$C$499,"DPO*"),_xlpm.act,IF(AND(AB75&lt;&gt;"",AB75&gt;_xlpm.sent),AB75,""),IF(_xlpm.tgt="","No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237</v>
      </c>
      <c r="J75" s="55" t="s">
        <v>58</v>
      </c>
      <c r="K75" s="51"/>
      <c r="L75" s="43"/>
      <c r="M75" s="44"/>
      <c r="N75" s="44"/>
      <c r="O75" s="44" t="s">
        <v>200</v>
      </c>
      <c r="P75" s="76"/>
      <c r="Q75" s="51"/>
      <c r="R75" s="43"/>
      <c r="S75" s="44"/>
      <c r="T75" s="71" t="s">
        <v>238</v>
      </c>
      <c r="U75" s="47"/>
      <c r="W75" s="43"/>
      <c r="X75" s="31"/>
      <c r="Y75" s="36"/>
      <c r="AA75" s="43"/>
      <c r="AB75" s="43"/>
      <c r="AC75" s="31" t="s">
        <v>241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39" ht="14.45" hidden="1">
      <c r="A76" s="31" t="s">
        <v>126</v>
      </c>
      <c r="B76" s="31" t="s">
        <v>242</v>
      </c>
      <c r="C76" s="31" t="s">
        <v>207</v>
      </c>
      <c r="D76" t="str" cm="1">
        <f t="array" aca="1" ref="D76" ca="1">IF($B76="","",IF(LEFT($AI76,3)="Yes","Blocked - "&amp;MID($AI76,7,100)&amp;IF(SUMPRODUCT(('Rework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Log'!$B$3:$B$499,'Rework Log'!$A$3:$A$499,$B76,'Rework Log'!$C$3:$C$499,"QA"),_xlpm.act,IF(AND(X76&lt;&gt;"",X76&gt;_xlpm.sent),X76,""),IF(_xlpm.tgt="","No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Log'!$B$3:$B$499,'Rework Log'!$A$3:$A$499,$B76,'Rework Log'!$C$3:$C$499,"DPO*"),_xlpm.act,IF(AND(AB76&lt;&gt;"",AB76&gt;_xlpm.sent),AB76,""),IF(_xlpm.tgt="","No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237</v>
      </c>
      <c r="J76" s="55" t="s">
        <v>58</v>
      </c>
      <c r="K76" s="51"/>
      <c r="L76" s="43"/>
      <c r="M76" s="44"/>
      <c r="N76" s="44"/>
      <c r="O76" s="44" t="s">
        <v>200</v>
      </c>
      <c r="P76" s="76"/>
      <c r="Q76" s="51"/>
      <c r="R76" s="43"/>
      <c r="S76" s="44"/>
      <c r="T76" s="71" t="s">
        <v>238</v>
      </c>
      <c r="U76" s="47"/>
      <c r="W76" s="43"/>
      <c r="X76" s="31"/>
      <c r="Y76" s="36"/>
      <c r="AA76" s="43"/>
      <c r="AB76" s="43"/>
      <c r="AC76" s="31" t="s">
        <v>241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39" ht="14.45" hidden="1">
      <c r="A77" s="31" t="s">
        <v>126</v>
      </c>
      <c r="B77" s="31" t="s">
        <v>243</v>
      </c>
      <c r="C77" s="31" t="s">
        <v>207</v>
      </c>
      <c r="D77" t="str" cm="1">
        <f t="array" aca="1" ref="D77" ca="1">IF($B77="","",IF(LEFT($AI77,3)="Yes","Blocked - "&amp;MID($AI77,7,100)&amp;IF(SUMPRODUCT(('Rework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Log'!$B$3:$B$499,'Rework Log'!$A$3:$A$499,$B77,'Rework Log'!$C$3:$C$499,"QA"),_xlpm.act,IF(AND(X77&lt;&gt;"",X77&gt;_xlpm.sent),X77,""),IF(_xlpm.tgt="","No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Log'!$B$3:$B$499,'Rework Log'!$A$3:$A$499,$B77,'Rework Log'!$C$3:$C$499,"DPO*"),_xlpm.act,IF(AND(AB77&lt;&gt;"",AB77&gt;_xlpm.sent),AB77,""),IF(_xlpm.tgt="","No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237</v>
      </c>
      <c r="J77" s="55" t="s">
        <v>161</v>
      </c>
      <c r="K77" s="51"/>
      <c r="L77" s="43"/>
      <c r="M77" s="44"/>
      <c r="N77" s="44"/>
      <c r="O77" s="44" t="s">
        <v>200</v>
      </c>
      <c r="P77" s="76"/>
      <c r="Q77" s="51"/>
      <c r="R77" s="43"/>
      <c r="S77" s="44"/>
      <c r="T77" s="71" t="s">
        <v>238</v>
      </c>
      <c r="U77" s="47"/>
      <c r="W77" s="43"/>
      <c r="X77" s="31"/>
      <c r="Y77" s="36"/>
      <c r="AA77" s="43"/>
      <c r="AB77" s="43"/>
      <c r="AC77" s="31" t="s">
        <v>241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39" ht="14.45" hidden="1">
      <c r="A78" s="31" t="s">
        <v>126</v>
      </c>
      <c r="B78" s="31" t="s">
        <v>244</v>
      </c>
      <c r="C78" s="31" t="s">
        <v>207</v>
      </c>
      <c r="D78" t="str" cm="1">
        <f t="array" aca="1" ref="D78" ca="1">IF($B78="","",IF(LEFT($AI78,3)="Yes","Blocked - "&amp;MID($AI78,7,100)&amp;IF(SUMPRODUCT(('Rework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Log'!$B$3:$B$499,'Rework Log'!$A$3:$A$499,$B78,'Rework Log'!$C$3:$C$499,"QA"),_xlpm.act,IF(AND(X78&lt;&gt;"",X78&gt;_xlpm.sent),X78,""),IF(_xlpm.tgt="","No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Log'!$B$3:$B$499,'Rework Log'!$A$3:$A$499,$B78,'Rework Log'!$C$3:$C$499,"DPO*"),_xlpm.act,IF(AND(AB78&lt;&gt;"",AB78&gt;_xlpm.sent),AB78,""),IF(_xlpm.tgt="","No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237</v>
      </c>
      <c r="J78" s="55" t="s">
        <v>43</v>
      </c>
      <c r="K78" s="51"/>
      <c r="L78" s="43"/>
      <c r="M78" s="44"/>
      <c r="N78" s="44"/>
      <c r="O78" s="44" t="s">
        <v>245</v>
      </c>
      <c r="P78" s="76"/>
      <c r="Q78" s="51"/>
      <c r="R78" s="43"/>
      <c r="S78" s="44"/>
      <c r="T78" s="71" t="s">
        <v>238</v>
      </c>
      <c r="U78" s="47"/>
      <c r="W78" s="43"/>
      <c r="X78" s="31"/>
      <c r="Y78" s="36"/>
      <c r="AA78" s="43"/>
      <c r="AB78" s="43"/>
      <c r="AC78" s="31" t="s">
        <v>192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39" ht="14.45" hidden="1">
      <c r="A79" s="31" t="s">
        <v>126</v>
      </c>
      <c r="B79" s="31" t="s">
        <v>246</v>
      </c>
      <c r="C79" s="31" t="s">
        <v>207</v>
      </c>
      <c r="D79" t="str" cm="1">
        <f t="array" aca="1" ref="D79" ca="1">IF($B79="","",IF(LEFT($AI79,3)="Yes","Blocked - "&amp;MID($AI79,7,100)&amp;IF(SUMPRODUCT(('Rework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Log'!$B$3:$B$499,'Rework Log'!$A$3:$A$499,$B79,'Rework Log'!$C$3:$C$499,"QA"),_xlpm.act,IF(AND(X79&lt;&gt;"",X79&gt;_xlpm.sent),X79,""),IF(_xlpm.tgt="","No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Log'!$B$3:$B$499,'Rework Log'!$A$3:$A$499,$B79,'Rework Log'!$C$3:$C$499,"DPO*"),_xlpm.act,IF(AND(AB79&lt;&gt;"",AB79&gt;_xlpm.sent),AB79,""),IF(_xlpm.tgt="","No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237</v>
      </c>
      <c r="J79" s="55" t="s">
        <v>75</v>
      </c>
      <c r="K79" s="51"/>
      <c r="L79" s="43"/>
      <c r="M79" s="44"/>
      <c r="N79" s="44"/>
      <c r="O79" s="44" t="s">
        <v>200</v>
      </c>
      <c r="P79" s="76"/>
      <c r="Q79" s="51"/>
      <c r="R79" s="43"/>
      <c r="S79" s="44"/>
      <c r="T79" s="71" t="s">
        <v>238</v>
      </c>
      <c r="U79" s="47"/>
      <c r="W79" s="43"/>
      <c r="X79" s="31"/>
      <c r="Y79" s="36"/>
      <c r="AA79" s="43"/>
      <c r="AB79" s="43"/>
      <c r="AC79" s="31" t="s">
        <v>247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39" ht="14.45" hidden="1">
      <c r="A80" s="31" t="s">
        <v>126</v>
      </c>
      <c r="B80" s="31" t="s">
        <v>248</v>
      </c>
      <c r="C80" s="31" t="s">
        <v>207</v>
      </c>
      <c r="D80" t="str" cm="1">
        <f t="array" aca="1" ref="D80" ca="1">IF($B80="","",IF(LEFT($AI80,3)="Yes","Blocked - "&amp;MID($AI80,7,100)&amp;IF(SUMPRODUCT(('Rework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Log'!$B$3:$B$499,'Rework Log'!$A$3:$A$499,$B80,'Rework Log'!$C$3:$C$499,"QA"),_xlpm.act,IF(AND(X80&lt;&gt;"",X80&gt;_xlpm.sent),X80,""),IF(_xlpm.tgt="","No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Log'!$B$3:$B$499,'Rework Log'!$A$3:$A$499,$B80,'Rework Log'!$C$3:$C$499,"DPO*"),_xlpm.act,IF(AND(AB80&lt;&gt;"",AB80&gt;_xlpm.sent),AB80,""),IF(_xlpm.tgt="","No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237</v>
      </c>
      <c r="J80" s="55" t="s">
        <v>249</v>
      </c>
      <c r="K80" s="51"/>
      <c r="L80" s="43"/>
      <c r="M80" s="44"/>
      <c r="N80" s="44"/>
      <c r="O80" s="44" t="s">
        <v>245</v>
      </c>
      <c r="P80" s="76"/>
      <c r="Q80" s="51"/>
      <c r="R80" s="43"/>
      <c r="S80" s="44"/>
      <c r="T80" s="71" t="s">
        <v>238</v>
      </c>
      <c r="U80" s="47"/>
      <c r="W80" s="43"/>
      <c r="X80" s="31"/>
      <c r="Y80" s="36"/>
      <c r="AA80" s="43"/>
      <c r="AB80" s="43"/>
      <c r="AC80" s="31" t="s">
        <v>211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39" ht="14.45" hidden="1">
      <c r="A81" s="31" t="s">
        <v>126</v>
      </c>
      <c r="B81" s="31" t="s">
        <v>250</v>
      </c>
      <c r="C81" s="31" t="s">
        <v>207</v>
      </c>
      <c r="D81" t="str" cm="1">
        <f t="array" aca="1" ref="D81" ca="1">IF($B81="","",IF(LEFT($AI81,3)="Yes","Blocked - "&amp;MID($AI81,7,100)&amp;IF(SUMPRODUCT(('Rework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Log'!$B$3:$B$499,'Rework Log'!$A$3:$A$499,$B81,'Rework Log'!$C$3:$C$499,"QA"),_xlpm.act,IF(AND(X81&lt;&gt;"",X81&gt;_xlpm.sent),X81,""),IF(_xlpm.tgt="","No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Log'!$B$3:$B$499,'Rework Log'!$A$3:$A$499,$B81,'Rework Log'!$C$3:$C$499,"DPO*"),_xlpm.act,IF(AND(AB81&lt;&gt;"",AB81&gt;_xlpm.sent),AB81,""),IF(_xlpm.tgt="","No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237</v>
      </c>
      <c r="J81" s="55" t="s">
        <v>249</v>
      </c>
      <c r="K81" s="51"/>
      <c r="L81" s="43"/>
      <c r="M81" s="44"/>
      <c r="N81" s="44"/>
      <c r="O81" s="44" t="s">
        <v>245</v>
      </c>
      <c r="P81" s="76"/>
      <c r="Q81" s="51"/>
      <c r="R81" s="43"/>
      <c r="S81" s="44"/>
      <c r="T81" s="70" t="s">
        <v>251</v>
      </c>
      <c r="U81" s="47"/>
      <c r="W81" s="43"/>
      <c r="X81" s="31"/>
      <c r="Y81" s="36"/>
      <c r="AA81" s="43"/>
      <c r="AB81" s="43"/>
      <c r="AC81" s="31" t="s">
        <v>219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39" ht="14.45" hidden="1">
      <c r="A82" s="31" t="s">
        <v>126</v>
      </c>
      <c r="B82" s="31" t="s">
        <v>252</v>
      </c>
      <c r="C82" s="31" t="s">
        <v>207</v>
      </c>
      <c r="D82" t="str" cm="1">
        <f t="array" aca="1" ref="D82" ca="1">IF($B82="","",IF(LEFT($AI82,3)="Yes","Blocked - "&amp;MID($AI82,7,100)&amp;IF(SUMPRODUCT(('Rework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Log'!$B$3:$B$499,'Rework Log'!$A$3:$A$499,$B82,'Rework Log'!$C$3:$C$499,"QA"),_xlpm.act,IF(AND(X82&lt;&gt;"",X82&gt;_xlpm.sent),X82,""),IF(_xlpm.tgt="","No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Log'!$B$3:$B$499,'Rework Log'!$A$3:$A$499,$B82,'Rework Log'!$C$3:$C$499,"DPO*"),_xlpm.act,IF(AND(AB82&lt;&gt;"",AB82&gt;_xlpm.sent),AB82,""),IF(_xlpm.tgt="","No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237</v>
      </c>
      <c r="J82" s="55"/>
      <c r="K82" s="51"/>
      <c r="L82" s="43"/>
      <c r="M82" s="44"/>
      <c r="N82" s="44"/>
      <c r="O82" s="36" t="s">
        <v>253</v>
      </c>
      <c r="P82" s="76"/>
      <c r="Q82" s="51"/>
      <c r="R82" s="43"/>
      <c r="S82" s="44"/>
      <c r="T82" s="70" t="s">
        <v>251</v>
      </c>
      <c r="U82" s="47"/>
      <c r="W82" s="43"/>
      <c r="X82" s="31"/>
      <c r="Y82" s="36"/>
      <c r="AA82" s="43"/>
      <c r="AB82" s="43"/>
      <c r="AC82" s="31" t="s">
        <v>254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39" ht="14.45" hidden="1">
      <c r="A83" s="31" t="s">
        <v>126</v>
      </c>
      <c r="B83" s="31" t="s">
        <v>255</v>
      </c>
      <c r="C83" s="31" t="s">
        <v>207</v>
      </c>
      <c r="D83" t="str" cm="1">
        <f t="array" aca="1" ref="D83" ca="1">IF($B83="","",IF(LEFT($AI83,3)="Yes","Blocked - "&amp;MID($AI83,7,100)&amp;IF(SUMPRODUCT(('Rework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Log'!$B$3:$B$499,'Rework Log'!$A$3:$A$499,$B83,'Rework Log'!$C$3:$C$499,"QA"),_xlpm.act,IF(AND(X83&lt;&gt;"",X83&gt;_xlpm.sent),X83,""),IF(_xlpm.tgt="","No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Log'!$B$3:$B$499,'Rework Log'!$A$3:$A$499,$B83,'Rework Log'!$C$3:$C$499,"DPO*"),_xlpm.act,IF(AND(AB83&lt;&gt;"",AB83&gt;_xlpm.sent),AB83,""),IF(_xlpm.tgt="","No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237</v>
      </c>
      <c r="J83" s="55"/>
      <c r="K83" s="51"/>
      <c r="L83" s="43"/>
      <c r="M83" s="44"/>
      <c r="N83" s="44"/>
      <c r="O83" s="36" t="s">
        <v>253</v>
      </c>
      <c r="P83" s="76"/>
      <c r="Q83" s="51"/>
      <c r="R83" s="43"/>
      <c r="S83" s="44"/>
      <c r="T83" s="70" t="s">
        <v>251</v>
      </c>
      <c r="U83" s="47"/>
      <c r="W83" s="43"/>
      <c r="X83" s="31"/>
      <c r="Y83" s="36"/>
      <c r="AA83" s="43"/>
      <c r="AB83" s="43"/>
      <c r="AC83" s="31" t="s">
        <v>256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39" ht="14.45" hidden="1">
      <c r="A84" s="31" t="s">
        <v>126</v>
      </c>
      <c r="B84" s="31" t="s">
        <v>257</v>
      </c>
      <c r="C84" s="31" t="s">
        <v>207</v>
      </c>
      <c r="D84" t="str" cm="1">
        <f t="array" aca="1" ref="D84" ca="1">IF($B84="","",IF(LEFT($AI84,3)="Yes","Blocked - "&amp;MID($AI84,7,100)&amp;IF(SUMPRODUCT(('Rework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Log'!$B$3:$B$499,'Rework Log'!$A$3:$A$499,$B84,'Rework Log'!$C$3:$C$499,"QA"),_xlpm.act,IF(AND(X84&lt;&gt;"",X84&gt;_xlpm.sent),X84,""),IF(_xlpm.tgt="","No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Log'!$B$3:$B$499,'Rework Log'!$A$3:$A$499,$B84,'Rework Log'!$C$3:$C$499,"DPO*"),_xlpm.act,IF(AND(AB84&lt;&gt;"",AB84&gt;_xlpm.sent),AB84,""),IF(_xlpm.tgt="","No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237</v>
      </c>
      <c r="J84" s="55"/>
      <c r="K84" s="51"/>
      <c r="L84" s="43"/>
      <c r="M84" s="44"/>
      <c r="N84" s="44"/>
      <c r="O84" s="36" t="s">
        <v>253</v>
      </c>
      <c r="P84" s="76"/>
      <c r="Q84" s="51"/>
      <c r="R84" s="43"/>
      <c r="S84" s="44"/>
      <c r="T84" s="70" t="s">
        <v>251</v>
      </c>
      <c r="U84" s="47"/>
      <c r="W84" s="43"/>
      <c r="X84" s="31"/>
      <c r="Y84" s="36"/>
      <c r="AA84" s="43"/>
      <c r="AB84" s="43"/>
      <c r="AC84" s="31" t="s">
        <v>195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39" ht="14.45" hidden="1">
      <c r="A85" s="31" t="s">
        <v>126</v>
      </c>
      <c r="B85" s="31" t="s">
        <v>258</v>
      </c>
      <c r="C85" s="31" t="s">
        <v>207</v>
      </c>
      <c r="D85" t="str" cm="1">
        <f t="array" aca="1" ref="D85" ca="1">IF($B85="","",IF(LEFT($AI85,3)="Yes","Blocked - "&amp;MID($AI85,7,100)&amp;IF(SUMPRODUCT(('Rework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Log'!$B$3:$B$499,'Rework Log'!$A$3:$A$499,$B85,'Rework Log'!$C$3:$C$499,"QA"),_xlpm.act,IF(AND(X85&lt;&gt;"",X85&gt;_xlpm.sent),X85,""),IF(_xlpm.tgt="","No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Log'!$B$3:$B$499,'Rework Log'!$A$3:$A$499,$B85,'Rework Log'!$C$3:$C$499,"DPO*"),_xlpm.act,IF(AND(AB85&lt;&gt;"",AB85&gt;_xlpm.sent),AB85,""),IF(_xlpm.tgt="","No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7" t="s">
        <v>237</v>
      </c>
      <c r="J85" s="55"/>
      <c r="K85" s="51"/>
      <c r="L85" s="43"/>
      <c r="M85" s="44"/>
      <c r="N85" s="44"/>
      <c r="O85" s="36" t="s">
        <v>260</v>
      </c>
      <c r="P85" s="76"/>
      <c r="Q85" s="51"/>
      <c r="R85" s="43"/>
      <c r="S85" s="44"/>
      <c r="T85" s="70" t="s">
        <v>251</v>
      </c>
      <c r="U85" s="47"/>
      <c r="W85" s="43"/>
      <c r="X85" s="31"/>
      <c r="Y85" s="36"/>
      <c r="AA85" s="43"/>
      <c r="AB85" s="43"/>
      <c r="AC85" s="31" t="s">
        <v>192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39" ht="14.45" hidden="1">
      <c r="A86" s="31" t="s">
        <v>126</v>
      </c>
      <c r="B86" s="31" t="s">
        <v>261</v>
      </c>
      <c r="C86" s="31" t="s">
        <v>207</v>
      </c>
      <c r="D86" t="str" cm="1">
        <f t="array" aca="1" ref="D86" ca="1">IF($B86="","",IF(LEFT($AI86,3)="Yes","Blocked - "&amp;MID($AI86,7,100)&amp;IF(SUMPRODUCT(('Rework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Log'!$B$3:$B$499,'Rework Log'!$A$3:$A$499,$B86,'Rework Log'!$C$3:$C$499,"QA"),_xlpm.act,IF(AND(X86&lt;&gt;"",X86&gt;_xlpm.sent),X86,""),IF(_xlpm.tgt="","No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Log'!$B$3:$B$499,'Rework Log'!$A$3:$A$499,$B86,'Rework Log'!$C$3:$C$499,"DPO*"),_xlpm.act,IF(AND(AB86&lt;&gt;"",AB86&gt;_xlpm.sent),AB86,""),IF(_xlpm.tgt="","No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262</v>
      </c>
      <c r="J86" s="55"/>
      <c r="K86" s="51"/>
      <c r="L86" s="43"/>
      <c r="M86" s="44"/>
      <c r="N86" s="44"/>
      <c r="O86" s="36" t="s">
        <v>260</v>
      </c>
      <c r="P86" s="76"/>
      <c r="Q86" s="51"/>
      <c r="R86" s="43"/>
      <c r="S86" s="44"/>
      <c r="T86" s="70" t="s">
        <v>251</v>
      </c>
      <c r="U86" s="47"/>
      <c r="W86" s="43"/>
      <c r="X86" s="31"/>
      <c r="Y86" s="36"/>
      <c r="AA86" s="43"/>
      <c r="AB86" s="43"/>
      <c r="AC86" s="31" t="s">
        <v>263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39" ht="14.45" hidden="1">
      <c r="A87" s="31" t="s">
        <v>126</v>
      </c>
      <c r="B87" s="31" t="s">
        <v>264</v>
      </c>
      <c r="C87" s="31" t="s">
        <v>207</v>
      </c>
      <c r="D87" t="str" cm="1">
        <f t="array" aca="1" ref="D87" ca="1">IF($B87="","",IF(LEFT($AI87,3)="Yes","Blocked - "&amp;MID($AI87,7,100)&amp;IF(SUMPRODUCT(('Rework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Log'!$B$3:$B$499,'Rework Log'!$A$3:$A$499,$B87,'Rework Log'!$C$3:$C$499,"QA"),_xlpm.act,IF(AND(X87&lt;&gt;"",X87&gt;_xlpm.sent),X87,""),IF(_xlpm.tgt="","No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Log'!$B$3:$B$499,'Rework Log'!$A$3:$A$499,$B87,'Rework Log'!$C$3:$C$499,"DPO*"),_xlpm.act,IF(AND(AB87&lt;&gt;"",AB87&gt;_xlpm.sent),AB87,""),IF(_xlpm.tgt="","No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262</v>
      </c>
      <c r="J87" s="55"/>
      <c r="K87" s="51"/>
      <c r="L87" s="43"/>
      <c r="M87" s="44"/>
      <c r="N87" s="44"/>
      <c r="O87" s="36" t="s">
        <v>260</v>
      </c>
      <c r="P87" s="76"/>
      <c r="Q87" s="51"/>
      <c r="R87" s="43"/>
      <c r="S87" s="44"/>
      <c r="T87" s="70" t="s">
        <v>251</v>
      </c>
      <c r="U87" s="47"/>
      <c r="W87" s="43"/>
      <c r="X87" s="31"/>
      <c r="Y87" s="36"/>
      <c r="AA87" s="43"/>
      <c r="AB87" s="43"/>
      <c r="AC87" s="31" t="s">
        <v>177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39" ht="14.45" hidden="1">
      <c r="A88" s="31" t="s">
        <v>126</v>
      </c>
      <c r="B88" s="31" t="s">
        <v>265</v>
      </c>
      <c r="C88" s="31" t="s">
        <v>207</v>
      </c>
      <c r="D88" t="str" cm="1">
        <f t="array" aca="1" ref="D88" ca="1">IF($B88="","",IF(LEFT($AI88,3)="Yes","Blocked - "&amp;MID($AI88,7,100)&amp;IF(SUMPRODUCT(('Rework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Log'!$B$3:$B$499,'Rework Log'!$A$3:$A$499,$B88,'Rework Log'!$C$3:$C$499,"QA"),_xlpm.act,IF(AND(X88&lt;&gt;"",X88&gt;_xlpm.sent),X88,""),IF(_xlpm.tgt="","No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Log'!$B$3:$B$499,'Rework Log'!$A$3:$A$499,$B88,'Rework Log'!$C$3:$C$499,"DPO*"),_xlpm.act,IF(AND(AB88&lt;&gt;"",AB88&gt;_xlpm.sent),AB88,""),IF(_xlpm.tgt="","No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262</v>
      </c>
      <c r="J88" s="55"/>
      <c r="K88" s="51"/>
      <c r="L88" s="43"/>
      <c r="M88" s="44"/>
      <c r="N88" s="44"/>
      <c r="O88" s="36" t="s">
        <v>260</v>
      </c>
      <c r="P88" s="76"/>
      <c r="Q88" s="51"/>
      <c r="R88" s="43"/>
      <c r="S88" s="44"/>
      <c r="T88" s="70" t="s">
        <v>266</v>
      </c>
      <c r="U88" s="47"/>
      <c r="W88" s="43"/>
      <c r="X88" s="31"/>
      <c r="Y88" s="36"/>
      <c r="AA88" s="43"/>
      <c r="AB88" s="43"/>
      <c r="AC88" s="31" t="s">
        <v>177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39" ht="14.45" hidden="1">
      <c r="A89" s="31" t="s">
        <v>126</v>
      </c>
      <c r="B89" s="31" t="s">
        <v>267</v>
      </c>
      <c r="C89" s="31" t="s">
        <v>207</v>
      </c>
      <c r="D89" t="str" cm="1">
        <f t="array" aca="1" ref="D89" ca="1">IF($B89="","",IF(LEFT($AI89,3)="Yes","Blocked - "&amp;MID($AI89,7,100)&amp;IF(SUMPRODUCT(('Rework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Log'!$B$3:$B$499,'Rework Log'!$A$3:$A$499,$B89,'Rework Log'!$C$3:$C$499,"QA"),_xlpm.act,IF(AND(X89&lt;&gt;"",X89&gt;_xlpm.sent),X89,""),IF(_xlpm.tgt="","No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Log'!$B$3:$B$499,'Rework Log'!$A$3:$A$499,$B89,'Rework Log'!$C$3:$C$499,"DPO*"),_xlpm.act,IF(AND(AB89&lt;&gt;"",AB89&gt;_xlpm.sent),AB89,""),IF(_xlpm.tgt="","No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262</v>
      </c>
      <c r="J89" s="55"/>
      <c r="K89" s="51"/>
      <c r="L89" s="43"/>
      <c r="M89" s="44"/>
      <c r="N89" s="44"/>
      <c r="O89" s="36" t="s">
        <v>260</v>
      </c>
      <c r="P89" s="76"/>
      <c r="Q89" s="51"/>
      <c r="R89" s="43"/>
      <c r="S89" s="44"/>
      <c r="T89" s="70" t="s">
        <v>266</v>
      </c>
      <c r="U89" s="47"/>
      <c r="W89" s="43"/>
      <c r="X89" s="31"/>
      <c r="Y89" s="36"/>
      <c r="AA89" s="43"/>
      <c r="AB89" s="43"/>
      <c r="AC89" s="31" t="s">
        <v>177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39" ht="14.45" hidden="1">
      <c r="A90" s="31" t="s">
        <v>126</v>
      </c>
      <c r="B90" s="31" t="s">
        <v>268</v>
      </c>
      <c r="C90" s="31" t="s">
        <v>207</v>
      </c>
      <c r="D90" t="str" cm="1">
        <f t="array" aca="1" ref="D90" ca="1">IF($B90="","",IF(LEFT($AI90,3)="Yes","Blocked - "&amp;MID($AI90,7,100)&amp;IF(SUMPRODUCT(('Rework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Log'!$B$3:$B$499,'Rework Log'!$A$3:$A$499,$B90,'Rework Log'!$C$3:$C$499,"QA"),_xlpm.act,IF(AND(X90&lt;&gt;"",X90&gt;_xlpm.sent),X90,""),IF(_xlpm.tgt="","No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Log'!$B$3:$B$499,'Rework Log'!$A$3:$A$499,$B90,'Rework Log'!$C$3:$C$499,"DPO*"),_xlpm.act,IF(AND(AB90&lt;&gt;"",AB90&gt;_xlpm.sent),AB90,""),IF(_xlpm.tgt="","No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262</v>
      </c>
      <c r="J90" s="55"/>
      <c r="K90" s="51"/>
      <c r="L90" s="43"/>
      <c r="M90" s="44"/>
      <c r="N90" s="44"/>
      <c r="O90" s="36" t="s">
        <v>260</v>
      </c>
      <c r="P90" s="76"/>
      <c r="Q90" s="51"/>
      <c r="R90" s="43"/>
      <c r="S90" s="44"/>
      <c r="T90" s="70" t="s">
        <v>266</v>
      </c>
      <c r="U90" s="47"/>
      <c r="W90" s="43"/>
      <c r="X90" s="31"/>
      <c r="Y90" s="36"/>
      <c r="AA90" s="43"/>
      <c r="AB90" s="43"/>
      <c r="AC90" s="31" t="s">
        <v>177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39" ht="14.45" hidden="1">
      <c r="A91" s="31" t="s">
        <v>126</v>
      </c>
      <c r="B91" s="31" t="s">
        <v>269</v>
      </c>
      <c r="C91" s="31" t="s">
        <v>207</v>
      </c>
      <c r="D91" t="str" cm="1">
        <f t="array" aca="1" ref="D91" ca="1">IF($B91="","",IF(LEFT($AI91,3)="Yes","Blocked - "&amp;MID($AI91,7,100)&amp;IF(SUMPRODUCT(('Rework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Log'!$B$3:$B$499,'Rework Log'!$A$3:$A$499,$B91,'Rework Log'!$C$3:$C$499,"QA"),_xlpm.act,IF(AND(X91&lt;&gt;"",X91&gt;_xlpm.sent),X91,""),IF(_xlpm.tgt="","No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Log'!$B$3:$B$499,'Rework Log'!$A$3:$A$499,$B91,'Rework Log'!$C$3:$C$499,"DPO*"),_xlpm.act,IF(AND(AB91&lt;&gt;"",AB91&gt;_xlpm.sent),AB91,""),IF(_xlpm.tgt="","No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262</v>
      </c>
      <c r="J91" s="55"/>
      <c r="K91" s="51"/>
      <c r="L91" s="43"/>
      <c r="M91" s="44"/>
      <c r="N91" s="44"/>
      <c r="O91" s="36" t="s">
        <v>260</v>
      </c>
      <c r="P91" s="76"/>
      <c r="Q91" s="51"/>
      <c r="R91" s="43"/>
      <c r="S91" s="44"/>
      <c r="T91" s="70" t="s">
        <v>266</v>
      </c>
      <c r="U91" s="47"/>
      <c r="W91" s="43"/>
      <c r="X91" s="31"/>
      <c r="Y91" s="36"/>
      <c r="AA91" s="43"/>
      <c r="AB91" s="43"/>
      <c r="AC91" s="31" t="s">
        <v>270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39" ht="14.45" hidden="1">
      <c r="A92" s="31" t="s">
        <v>126</v>
      </c>
      <c r="B92" s="31" t="s">
        <v>271</v>
      </c>
      <c r="C92" s="31" t="s">
        <v>207</v>
      </c>
      <c r="D92" t="str" cm="1">
        <f t="array" aca="1" ref="D92" ca="1">IF($B92="","",IF(LEFT($AI92,3)="Yes","Blocked - "&amp;MID($AI92,7,100)&amp;IF(SUMPRODUCT(('Rework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Log'!$B$3:$B$499,'Rework Log'!$A$3:$A$499,$B92,'Rework Log'!$C$3:$C$499,"QA"),_xlpm.act,IF(AND(X92&lt;&gt;"",X92&gt;_xlpm.sent),X92,""),IF(_xlpm.tgt="","No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Log'!$B$3:$B$499,'Rework Log'!$A$3:$A$499,$B92,'Rework Log'!$C$3:$C$499,"DPO*"),_xlpm.act,IF(AND(AB92&lt;&gt;"",AB92&gt;_xlpm.sent),AB92,""),IF(_xlpm.tgt="","No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262</v>
      </c>
      <c r="J92" s="55"/>
      <c r="K92" s="51"/>
      <c r="L92" s="43"/>
      <c r="M92" s="44"/>
      <c r="N92" s="44"/>
      <c r="O92" s="36" t="s">
        <v>272</v>
      </c>
      <c r="P92" s="76"/>
      <c r="Q92" s="51"/>
      <c r="R92" s="43"/>
      <c r="S92" s="44"/>
      <c r="T92" s="70" t="s">
        <v>266</v>
      </c>
      <c r="U92" s="47"/>
      <c r="W92" s="43"/>
      <c r="X92" s="31"/>
      <c r="Y92" s="36"/>
      <c r="AA92" s="43"/>
      <c r="AB92" s="43"/>
      <c r="AC92" s="31" t="s">
        <v>177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39" ht="14.45" hidden="1">
      <c r="A93" s="31" t="s">
        <v>126</v>
      </c>
      <c r="B93" s="31" t="s">
        <v>273</v>
      </c>
      <c r="C93" s="31" t="s">
        <v>207</v>
      </c>
      <c r="D93" t="str" cm="1">
        <f t="array" aca="1" ref="D93" ca="1">IF($B93="","",IF(LEFT($AI93,3)="Yes","Blocked - "&amp;MID($AI93,7,100)&amp;IF(SUMPRODUCT(('Rework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Log'!$B$3:$B$499,'Rework Log'!$A$3:$A$499,$B93,'Rework Log'!$C$3:$C$499,"QA"),_xlpm.act,IF(AND(X93&lt;&gt;"",X93&gt;_xlpm.sent),X93,""),IF(_xlpm.tgt="","No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Log'!$B$3:$B$499,'Rework Log'!$A$3:$A$499,$B93,'Rework Log'!$C$3:$C$499,"DPO*"),_xlpm.act,IF(AND(AB93&lt;&gt;"",AB93&gt;_xlpm.sent),AB93,""),IF(_xlpm.tgt="","No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262</v>
      </c>
      <c r="J93" s="55"/>
      <c r="K93" s="51"/>
      <c r="L93" s="43"/>
      <c r="M93" s="44"/>
      <c r="N93" s="44"/>
      <c r="O93" s="36" t="s">
        <v>272</v>
      </c>
      <c r="P93" s="76"/>
      <c r="Q93" s="51"/>
      <c r="R93" s="43"/>
      <c r="S93" s="44"/>
      <c r="T93" s="70" t="s">
        <v>266</v>
      </c>
      <c r="U93" s="47"/>
      <c r="W93" s="43"/>
      <c r="X93" s="31"/>
      <c r="Y93" s="36"/>
      <c r="AA93" s="43"/>
      <c r="AB93" s="43"/>
      <c r="AC93" s="31" t="s">
        <v>197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39" ht="14.45" hidden="1">
      <c r="A94" s="31" t="s">
        <v>126</v>
      </c>
      <c r="B94" s="31" t="s">
        <v>274</v>
      </c>
      <c r="C94" s="31" t="s">
        <v>207</v>
      </c>
      <c r="D94" t="str" cm="1">
        <f t="array" aca="1" ref="D94" ca="1">IF($B94="","",IF(LEFT($AI94,3)="Yes","Blocked - "&amp;MID($AI94,7,100)&amp;IF(SUMPRODUCT(('Rework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Log'!$B$3:$B$499,'Rework Log'!$A$3:$A$499,$B94,'Rework Log'!$C$3:$C$499,"QA"),_xlpm.act,IF(AND(X94&lt;&gt;"",X94&gt;_xlpm.sent),X94,""),IF(_xlpm.tgt="","No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Log'!$B$3:$B$499,'Rework Log'!$A$3:$A$499,$B94,'Rework Log'!$C$3:$C$499,"DPO*"),_xlpm.act,IF(AND(AB94&lt;&gt;"",AB94&gt;_xlpm.sent),AB94,""),IF(_xlpm.tgt="","No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262</v>
      </c>
      <c r="J94" s="55"/>
      <c r="K94" s="51"/>
      <c r="L94" s="43"/>
      <c r="M94" s="44"/>
      <c r="N94" s="44"/>
      <c r="O94" s="36" t="s">
        <v>272</v>
      </c>
      <c r="P94" s="76"/>
      <c r="Q94" s="51"/>
      <c r="R94" s="43"/>
      <c r="S94" s="44"/>
      <c r="T94" s="70" t="s">
        <v>266</v>
      </c>
      <c r="U94" s="47"/>
      <c r="W94" s="43"/>
      <c r="X94" s="31"/>
      <c r="Y94" s="36"/>
      <c r="AA94" s="43"/>
      <c r="AB94" s="43"/>
      <c r="AC94" s="31" t="s">
        <v>275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39" ht="14.45" hidden="1">
      <c r="A95" s="31" t="s">
        <v>126</v>
      </c>
      <c r="B95" s="31" t="s">
        <v>276</v>
      </c>
      <c r="C95" s="31" t="s">
        <v>207</v>
      </c>
      <c r="D95" t="str" cm="1">
        <f t="array" aca="1" ref="D95" ca="1">IF($B95="","",IF(LEFT($AI95,3)="Yes","Blocked - "&amp;MID($AI95,7,100)&amp;IF(SUMPRODUCT(('Rework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Log'!$B$3:$B$499,'Rework Log'!$A$3:$A$499,$B95,'Rework Log'!$C$3:$C$499,"QA"),_xlpm.act,IF(AND(X95&lt;&gt;"",X95&gt;_xlpm.sent),X95,""),IF(_xlpm.tgt="","No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Log'!$B$3:$B$499,'Rework Log'!$A$3:$A$499,$B95,'Rework Log'!$C$3:$C$499,"DPO*"),_xlpm.act,IF(AND(AB95&lt;&gt;"",AB95&gt;_xlpm.sent),AB95,""),IF(_xlpm.tgt="","No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262</v>
      </c>
      <c r="J95" s="55"/>
      <c r="K95" s="51"/>
      <c r="L95" s="43"/>
      <c r="M95" s="44"/>
      <c r="N95" s="44"/>
      <c r="O95" s="36" t="s">
        <v>272</v>
      </c>
      <c r="P95" s="76"/>
      <c r="Q95" s="51"/>
      <c r="R95" s="43"/>
      <c r="S95" s="44"/>
      <c r="T95" s="70" t="s">
        <v>277</v>
      </c>
      <c r="U95" s="47"/>
      <c r="W95" s="43"/>
      <c r="X95" s="31"/>
      <c r="Y95" s="36"/>
      <c r="AA95" s="43"/>
      <c r="AB95" s="43"/>
      <c r="AC95" s="31" t="s">
        <v>278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39" ht="14.45" hidden="1">
      <c r="A96" s="31" t="s">
        <v>126</v>
      </c>
      <c r="B96" s="31" t="s">
        <v>279</v>
      </c>
      <c r="C96" s="31" t="s">
        <v>207</v>
      </c>
      <c r="D96" t="str" cm="1">
        <f t="array" aca="1" ref="D96" ca="1">IF($B96="","",IF(LEFT($AI96,3)="Yes","Blocked - "&amp;MID($AI96,7,100)&amp;IF(SUMPRODUCT(('Rework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Log'!$B$3:$B$499,'Rework Log'!$A$3:$A$499,$B96,'Rework Log'!$C$3:$C$499,"QA"),_xlpm.act,IF(AND(X96&lt;&gt;"",X96&gt;_xlpm.sent),X96,""),IF(_xlpm.tgt="","No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Log'!$B$3:$B$499,'Rework Log'!$A$3:$A$499,$B96,'Rework Log'!$C$3:$C$499,"DPO*"),_xlpm.act,IF(AND(AB96&lt;&gt;"",AB96&gt;_xlpm.sent),AB96,""),IF(_xlpm.tgt="","No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262</v>
      </c>
      <c r="J96" s="55"/>
      <c r="K96" s="51"/>
      <c r="L96" s="43"/>
      <c r="M96" s="44"/>
      <c r="N96" s="44"/>
      <c r="O96" s="36" t="s">
        <v>272</v>
      </c>
      <c r="P96" s="76"/>
      <c r="Q96" s="51"/>
      <c r="R96" s="43"/>
      <c r="S96" s="44"/>
      <c r="T96" s="70" t="s">
        <v>277</v>
      </c>
      <c r="U96" s="47"/>
      <c r="W96" s="43"/>
      <c r="X96" s="31"/>
      <c r="Y96" s="36"/>
      <c r="AA96" s="43"/>
      <c r="AB96" s="43"/>
      <c r="AC96" s="31" t="s">
        <v>280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39" ht="14.45" hidden="1">
      <c r="A97" s="31" t="s">
        <v>126</v>
      </c>
      <c r="B97" s="31" t="s">
        <v>281</v>
      </c>
      <c r="C97" s="31" t="s">
        <v>207</v>
      </c>
      <c r="D97" t="str" cm="1">
        <f t="array" aca="1" ref="D97" ca="1">IF($B97="","",IF(LEFT($AI97,3)="Yes","Blocked - "&amp;MID($AI97,7,100)&amp;IF(SUMPRODUCT(('Rework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Log'!$B$3:$B$499,'Rework Log'!$A$3:$A$499,$B97,'Rework Log'!$C$3:$C$499,"QA"),_xlpm.act,IF(AND(X97&lt;&gt;"",X97&gt;_xlpm.sent),X97,""),IF(_xlpm.tgt="","No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Log'!$B$3:$B$499,'Rework Log'!$A$3:$A$499,$B97,'Rework Log'!$C$3:$C$499,"DPO*"),_xlpm.act,IF(AND(AB97&lt;&gt;"",AB97&gt;_xlpm.sent),AB97,""),IF(_xlpm.tgt="","No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262</v>
      </c>
      <c r="J97" s="55"/>
      <c r="K97" s="51"/>
      <c r="L97" s="43"/>
      <c r="M97" s="44"/>
      <c r="N97" s="44"/>
      <c r="O97" s="36" t="s">
        <v>272</v>
      </c>
      <c r="P97" s="76"/>
      <c r="Q97" s="51"/>
      <c r="R97" s="43"/>
      <c r="S97" s="44"/>
      <c r="T97" s="70" t="s">
        <v>277</v>
      </c>
      <c r="U97" s="47"/>
      <c r="W97" s="43"/>
      <c r="X97" s="31"/>
      <c r="Y97" s="36"/>
      <c r="AA97" s="43"/>
      <c r="AB97" s="43"/>
      <c r="AC97" s="31" t="s">
        <v>282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39" ht="14.45" hidden="1">
      <c r="A98" s="31" t="s">
        <v>126</v>
      </c>
      <c r="B98" s="31" t="s">
        <v>283</v>
      </c>
      <c r="C98" s="31" t="s">
        <v>207</v>
      </c>
      <c r="D98" t="str" cm="1">
        <f t="array" aca="1" ref="D98" ca="1">IF($B98="","",IF(LEFT($AI98,3)="Yes","Blocked - "&amp;MID($AI98,7,100)&amp;IF(SUMPRODUCT(('Rework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Log'!$B$3:$B$499,'Rework Log'!$A$3:$A$499,$B98,'Rework Log'!$C$3:$C$499,"QA"),_xlpm.act,IF(AND(X98&lt;&gt;"",X98&gt;_xlpm.sent),X98,""),IF(_xlpm.tgt="","No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Log'!$B$3:$B$499,'Rework Log'!$A$3:$A$499,$B98,'Rework Log'!$C$3:$C$499,"DPO*"),_xlpm.act,IF(AND(AB98&lt;&gt;"",AB98&gt;_xlpm.sent),AB98,""),IF(_xlpm.tgt="","No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262</v>
      </c>
      <c r="J98" s="55"/>
      <c r="K98" s="51"/>
      <c r="L98" s="43"/>
      <c r="M98" s="44"/>
      <c r="N98" s="44"/>
      <c r="O98" s="36" t="s">
        <v>272</v>
      </c>
      <c r="P98" s="76"/>
      <c r="Q98" s="51"/>
      <c r="R98" s="43"/>
      <c r="S98" s="44"/>
      <c r="T98" s="70" t="s">
        <v>277</v>
      </c>
      <c r="U98" s="47"/>
      <c r="W98" s="43"/>
      <c r="X98" s="31"/>
      <c r="Y98" s="36"/>
      <c r="AA98" s="43"/>
      <c r="AB98" s="43"/>
      <c r="AC98" s="31" t="s">
        <v>177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39" ht="14.45" hidden="1">
      <c r="A99" s="31" t="s">
        <v>126</v>
      </c>
      <c r="B99" s="31" t="s">
        <v>284</v>
      </c>
      <c r="C99" s="31" t="s">
        <v>207</v>
      </c>
      <c r="D99" t="str" cm="1">
        <f t="array" aca="1" ref="D99" ca="1">IF($B99="","",IF(LEFT($AI99,3)="Yes","Blocked - "&amp;MID($AI99,7,100)&amp;IF(SUMPRODUCT(('Rework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Log'!$B$3:$B$499,'Rework Log'!$A$3:$A$499,$B99,'Rework Log'!$C$3:$C$499,"QA"),_xlpm.act,IF(AND(X99&lt;&gt;"",X99&gt;_xlpm.sent),X99,""),IF(_xlpm.tgt="","No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Log'!$B$3:$B$499,'Rework Log'!$A$3:$A$499,$B99,'Rework Log'!$C$3:$C$499,"DPO*"),_xlpm.act,IF(AND(AB99&lt;&gt;"",AB99&gt;_xlpm.sent),AB99,""),IF(_xlpm.tgt="","No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285</v>
      </c>
      <c r="F99" s="31"/>
      <c r="G99" s="31"/>
      <c r="H99" s="50">
        <v>46356</v>
      </c>
      <c r="I99" s="57" t="s">
        <v>262</v>
      </c>
      <c r="J99" s="55"/>
      <c r="K99" s="51"/>
      <c r="L99" s="43"/>
      <c r="M99" s="44"/>
      <c r="N99" s="44"/>
      <c r="O99" s="36" t="s">
        <v>272</v>
      </c>
      <c r="P99" s="76"/>
      <c r="Q99" s="51"/>
      <c r="R99" s="43"/>
      <c r="S99" s="44"/>
      <c r="T99" s="70" t="s">
        <v>277</v>
      </c>
      <c r="U99" s="47"/>
      <c r="W99" s="43"/>
      <c r="X99" s="31"/>
      <c r="Y99" s="36"/>
      <c r="AA99" s="43"/>
      <c r="AB99" s="43"/>
      <c r="AC99" s="31" t="s">
        <v>286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39" ht="14.45" hidden="1">
      <c r="A100" s="31" t="s">
        <v>126</v>
      </c>
      <c r="B100" s="31" t="s">
        <v>287</v>
      </c>
      <c r="C100" s="31" t="s">
        <v>207</v>
      </c>
      <c r="D100" t="str" cm="1">
        <f t="array" aca="1" ref="D100" ca="1">IF($B100="","",IF(LEFT($AI100,3)="Yes","Blocked - "&amp;MID($AI100,7,100)&amp;IF(SUMPRODUCT(('Rework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Log'!$B$3:$B$499,'Rework Log'!$A$3:$A$499,$B100,'Rework Log'!$C$3:$C$499,"QA"),_xlpm.act,IF(AND(X100&lt;&gt;"",X100&gt;_xlpm.sent),X100,""),IF(_xlpm.tgt="","No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Log'!$B$3:$B$499,'Rework Log'!$A$3:$A$499,$B100,'Rework Log'!$C$3:$C$499,"DPO*"),_xlpm.act,IF(AND(AB100&lt;&gt;"",AB100&gt;_xlpm.sent),AB100,""),IF(_xlpm.tgt="","No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262</v>
      </c>
      <c r="J100" s="55"/>
      <c r="K100" s="51"/>
      <c r="L100" s="43"/>
      <c r="M100" s="44"/>
      <c r="N100" s="44"/>
      <c r="O100" s="36" t="s">
        <v>272</v>
      </c>
      <c r="P100" s="76"/>
      <c r="Q100" s="51"/>
      <c r="R100" s="43"/>
      <c r="S100" s="44"/>
      <c r="T100" s="70" t="s">
        <v>277</v>
      </c>
      <c r="U100" s="47"/>
      <c r="W100" s="43"/>
      <c r="X100" s="31"/>
      <c r="Y100" s="36"/>
      <c r="AA100" s="43"/>
      <c r="AB100" s="43"/>
      <c r="AC100" s="31" t="s">
        <v>288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39" ht="14.45" hidden="1">
      <c r="A101" s="31" t="s">
        <v>289</v>
      </c>
      <c r="B101" s="31" t="s">
        <v>290</v>
      </c>
      <c r="C101" s="31" t="s">
        <v>207</v>
      </c>
      <c r="D101" t="str" cm="1">
        <f t="array" aca="1" ref="D101" ca="1">IF($B101="","",IF(LEFT($AI101,3)="Yes","Blocked - "&amp;MID($AI101,7,100)&amp;IF(SUMPRODUCT(('Rework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Log'!$B$3:$B$499,'Rework Log'!$A$3:$A$499,$B101,'Rework Log'!$C$3:$C$499,"QA"),_xlpm.act,IF(AND(X101&lt;&gt;"",X101&gt;_xlpm.sent),X101,""),IF(_xlpm.tgt="","No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Log'!$B$3:$B$499,'Rework Log'!$A$3:$A$499,$B101,'Rework Log'!$C$3:$C$499,"DPO*"),_xlpm.act,IF(AND(AB101&lt;&gt;"",AB101&gt;_xlpm.sent),AB101,""),IF(_xlpm.tgt="","No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291</v>
      </c>
      <c r="J101" s="55"/>
      <c r="L101" s="43"/>
      <c r="M101" s="31"/>
      <c r="N101" s="31"/>
      <c r="O101" s="36" t="s">
        <v>292</v>
      </c>
      <c r="P101" s="76"/>
      <c r="R101" s="43"/>
      <c r="S101" s="31"/>
      <c r="T101" s="70" t="s">
        <v>277</v>
      </c>
      <c r="U101" s="47"/>
      <c r="W101" s="43"/>
      <c r="X101" s="31"/>
      <c r="Y101" s="36"/>
      <c r="AA101" s="43"/>
      <c r="AB101" s="43"/>
      <c r="AC101" s="31" t="s">
        <v>293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39" ht="14.45" hidden="1">
      <c r="A102" s="31" t="s">
        <v>289</v>
      </c>
      <c r="B102" s="31" t="s">
        <v>294</v>
      </c>
      <c r="C102" s="31" t="s">
        <v>207</v>
      </c>
      <c r="D102" t="str" cm="1">
        <f t="array" aca="1" ref="D102" ca="1">IF($B102="","",IF(LEFT($AI102,3)="Yes","Blocked - "&amp;MID($AI102,7,100)&amp;IF(SUMPRODUCT(('Rework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Log'!$B$3:$B$499,'Rework Log'!$A$3:$A$499,$B102,'Rework Log'!$C$3:$C$499,"QA"),_xlpm.act,IF(AND(X102&lt;&gt;"",X102&gt;_xlpm.sent),X102,""),IF(_xlpm.tgt="","No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Log'!$B$3:$B$499,'Rework Log'!$A$3:$A$499,$B102,'Rework Log'!$C$3:$C$499,"DPO*"),_xlpm.act,IF(AND(AB102&lt;&gt;"",AB102&gt;_xlpm.sent),AB102,""),IF(_xlpm.tgt="","No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291</v>
      </c>
      <c r="J102" s="55"/>
      <c r="L102" s="43"/>
      <c r="M102" s="31"/>
      <c r="N102" s="31"/>
      <c r="O102" s="36" t="s">
        <v>292</v>
      </c>
      <c r="P102" s="76"/>
      <c r="R102" s="43"/>
      <c r="S102" s="31"/>
      <c r="T102" s="70" t="s">
        <v>295</v>
      </c>
      <c r="U102" s="47"/>
      <c r="W102" s="43"/>
      <c r="X102" s="31"/>
      <c r="Y102" s="36"/>
      <c r="AA102" s="43"/>
      <c r="AB102" s="43"/>
      <c r="AC102" s="31" t="s">
        <v>296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39" ht="14.45" hidden="1">
      <c r="A103" s="31" t="s">
        <v>289</v>
      </c>
      <c r="B103" s="31" t="s">
        <v>297</v>
      </c>
      <c r="C103" s="31" t="s">
        <v>207</v>
      </c>
      <c r="D103" t="str" cm="1">
        <f t="array" aca="1" ref="D103" ca="1">IF($B103="","",IF(LEFT($AI103,3)="Yes","Blocked - "&amp;MID($AI103,7,100)&amp;IF(SUMPRODUCT(('Rework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Log'!$B$3:$B$499,'Rework Log'!$A$3:$A$499,$B103,'Rework Log'!$C$3:$C$499,"QA"),_xlpm.act,IF(AND(X103&lt;&gt;"",X103&gt;_xlpm.sent),X103,""),IF(_xlpm.tgt="","No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Log'!$B$3:$B$499,'Rework Log'!$A$3:$A$499,$B103,'Rework Log'!$C$3:$C$499,"DPO*"),_xlpm.act,IF(AND(AB103&lt;&gt;"",AB103&gt;_xlpm.sent),AB103,""),IF(_xlpm.tgt="","No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291</v>
      </c>
      <c r="J103" s="55"/>
      <c r="L103" s="43"/>
      <c r="M103" s="31"/>
      <c r="N103" s="31"/>
      <c r="O103" s="36" t="s">
        <v>292</v>
      </c>
      <c r="P103" s="76"/>
      <c r="R103" s="43"/>
      <c r="S103" s="31"/>
      <c r="T103" s="70" t="s">
        <v>295</v>
      </c>
      <c r="U103" s="47"/>
      <c r="W103" s="43"/>
      <c r="X103" s="31"/>
      <c r="Y103" s="36"/>
      <c r="AA103" s="43"/>
      <c r="AB103" s="43"/>
      <c r="AC103" s="31" t="s">
        <v>298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39" ht="14.45" hidden="1">
      <c r="A104" s="31" t="s">
        <v>299</v>
      </c>
      <c r="B104" s="31" t="s">
        <v>300</v>
      </c>
      <c r="C104" s="31" t="s">
        <v>207</v>
      </c>
      <c r="D104" t="str" cm="1">
        <f t="array" aca="1" ref="D104" ca="1">IF($B104="","",IF(LEFT($AI104,3)="Yes","Blocked - "&amp;MID($AI104,7,100)&amp;IF(SUMPRODUCT(('Rework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Log'!$B$3:$B$499,'Rework Log'!$A$3:$A$499,$B104,'Rework Log'!$C$3:$C$499,"QA"),_xlpm.act,IF(AND(X104&lt;&gt;"",X104&gt;_xlpm.sent),X104,""),IF(_xlpm.tgt="","No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Log'!$B$3:$B$499,'Rework Log'!$A$3:$A$499,$B104,'Rework Log'!$C$3:$C$499,"DPO*"),_xlpm.act,IF(AND(AB104&lt;&gt;"",AB104&gt;_xlpm.sent),AB104,""),IF(_xlpm.tgt="","No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7" t="s">
        <v>291</v>
      </c>
      <c r="J104" s="55"/>
      <c r="L104" s="43"/>
      <c r="M104" s="31"/>
      <c r="N104" s="31"/>
      <c r="O104" s="36" t="s">
        <v>292</v>
      </c>
      <c r="P104" s="76"/>
      <c r="R104" s="43"/>
      <c r="S104" s="31"/>
      <c r="T104" s="70" t="s">
        <v>295</v>
      </c>
      <c r="U104" s="47"/>
      <c r="W104" s="43"/>
      <c r="X104" s="31"/>
      <c r="Y104" s="36"/>
      <c r="AA104" s="43"/>
      <c r="AB104" s="43"/>
      <c r="AC104" s="31" t="s">
        <v>301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39" ht="14.45" hidden="1">
      <c r="A105" s="31" t="s">
        <v>289</v>
      </c>
      <c r="B105" s="31" t="s">
        <v>302</v>
      </c>
      <c r="C105" s="31" t="s">
        <v>207</v>
      </c>
      <c r="D105" t="str" cm="1">
        <f t="array" aca="1" ref="D105" ca="1">IF($B105="","",IF(LEFT($AI105,3)="Yes","Blocked - "&amp;MID($AI105,7,100)&amp;IF(SUMPRODUCT(('Rework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Log'!$B$3:$B$499,'Rework Log'!$A$3:$A$499,$B105,'Rework Log'!$C$3:$C$499,"QA"),_xlpm.act,IF(AND(X105&lt;&gt;"",X105&gt;_xlpm.sent),X105,""),IF(_xlpm.tgt="","No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Log'!$B$3:$B$499,'Rework Log'!$A$3:$A$499,$B105,'Rework Log'!$C$3:$C$499,"DPO*"),_xlpm.act,IF(AND(AB105&lt;&gt;"",AB105&gt;_xlpm.sent),AB105,""),IF(_xlpm.tgt="","No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291</v>
      </c>
      <c r="J105" s="55"/>
      <c r="L105" s="43"/>
      <c r="M105" s="31"/>
      <c r="N105" s="31"/>
      <c r="O105" s="36" t="s">
        <v>292</v>
      </c>
      <c r="P105" s="76"/>
      <c r="R105" s="43"/>
      <c r="S105" s="31"/>
      <c r="T105" s="70" t="s">
        <v>295</v>
      </c>
      <c r="U105" s="47"/>
      <c r="W105" s="43"/>
      <c r="X105" s="31"/>
      <c r="Y105" s="36"/>
      <c r="AA105" s="43"/>
      <c r="AB105" s="43"/>
      <c r="AC105" s="31" t="s">
        <v>303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39" ht="14.45" hidden="1">
      <c r="A106" s="31" t="s">
        <v>289</v>
      </c>
      <c r="B106" s="31" t="s">
        <v>304</v>
      </c>
      <c r="C106" s="31" t="s">
        <v>207</v>
      </c>
      <c r="D106" t="str" cm="1">
        <f t="array" aca="1" ref="D106" ca="1">IF($B106="","",IF(LEFT($AI106,3)="Yes","Blocked - "&amp;MID($AI106,7,100)&amp;IF(SUMPRODUCT(('Rework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Log'!$B$3:$B$499,'Rework Log'!$A$3:$A$499,$B106,'Rework Log'!$C$3:$C$499,"QA"),_xlpm.act,IF(AND(X106&lt;&gt;"",X106&gt;_xlpm.sent),X106,""),IF(_xlpm.tgt="","No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Log'!$B$3:$B$499,'Rework Log'!$A$3:$A$499,$B106,'Rework Log'!$C$3:$C$499,"DPO*"),_xlpm.act,IF(AND(AB106&lt;&gt;"",AB106&gt;_xlpm.sent),AB106,""),IF(_xlpm.tgt="","No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291</v>
      </c>
      <c r="J106" s="55"/>
      <c r="L106" s="43"/>
      <c r="M106" s="31"/>
      <c r="N106" s="31"/>
      <c r="O106" s="36" t="s">
        <v>292</v>
      </c>
      <c r="P106" s="76"/>
      <c r="R106" s="43"/>
      <c r="S106" s="31"/>
      <c r="T106" s="70" t="s">
        <v>295</v>
      </c>
      <c r="U106" s="47"/>
      <c r="W106" s="43"/>
      <c r="X106" s="31"/>
      <c r="Y106" s="36"/>
      <c r="AA106" s="43"/>
      <c r="AB106" s="43"/>
      <c r="AC106" s="31" t="s">
        <v>305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39" ht="14.45" hidden="1">
      <c r="A107" s="31" t="s">
        <v>289</v>
      </c>
      <c r="B107" s="31" t="s">
        <v>306</v>
      </c>
      <c r="C107" s="31" t="s">
        <v>207</v>
      </c>
      <c r="D107" t="str" cm="1">
        <f t="array" aca="1" ref="D107" ca="1">IF($B107="","",IF(LEFT($AI107,3)="Yes","Blocked - "&amp;MID($AI107,7,100)&amp;IF(SUMPRODUCT(('Rework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Log'!$B$3:$B$499,'Rework Log'!$A$3:$A$499,$B107,'Rework Log'!$C$3:$C$499,"QA"),_xlpm.act,IF(AND(X107&lt;&gt;"",X107&gt;_xlpm.sent),X107,""),IF(_xlpm.tgt="","No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Log'!$B$3:$B$499,'Rework Log'!$A$3:$A$499,$B107,'Rework Log'!$C$3:$C$499,"DPO*"),_xlpm.act,IF(AND(AB107&lt;&gt;"",AB107&gt;_xlpm.sent),AB107,""),IF(_xlpm.tgt="","No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291</v>
      </c>
      <c r="J107" s="55"/>
      <c r="L107" s="43"/>
      <c r="M107" s="31"/>
      <c r="N107" s="31"/>
      <c r="O107" s="36" t="s">
        <v>292</v>
      </c>
      <c r="P107" s="76"/>
      <c r="R107" s="43"/>
      <c r="S107" s="31"/>
      <c r="T107" s="70" t="s">
        <v>295</v>
      </c>
      <c r="U107" s="47"/>
      <c r="W107" s="43"/>
      <c r="X107" s="31"/>
      <c r="Y107" s="36"/>
      <c r="AA107" s="43"/>
      <c r="AB107" s="43"/>
      <c r="AC107" s="31" t="s">
        <v>307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39" ht="14.45" hidden="1">
      <c r="A108" s="31" t="s">
        <v>289</v>
      </c>
      <c r="B108" s="31" t="s">
        <v>308</v>
      </c>
      <c r="C108" s="31" t="s">
        <v>207</v>
      </c>
      <c r="D108" t="str" cm="1">
        <f t="array" aca="1" ref="D108" ca="1">IF($B108="","",IF(LEFT($AI108,3)="Yes","Blocked - "&amp;MID($AI108,7,100)&amp;IF(SUMPRODUCT(('Rework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Log'!$B$3:$B$499,'Rework Log'!$A$3:$A$499,$B108,'Rework Log'!$C$3:$C$499,"QA"),_xlpm.act,IF(AND(X108&lt;&gt;"",X108&gt;_xlpm.sent),X108,""),IF(_xlpm.tgt="","No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Log'!$B$3:$B$499,'Rework Log'!$A$3:$A$499,$B108,'Rework Log'!$C$3:$C$499,"DPO*"),_xlpm.act,IF(AND(AB108&lt;&gt;"",AB108&gt;_xlpm.sent),AB108,""),IF(_xlpm.tgt="","No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291</v>
      </c>
      <c r="J108" s="55"/>
      <c r="L108" s="43"/>
      <c r="M108" s="31"/>
      <c r="N108" s="31"/>
      <c r="O108" s="36" t="s">
        <v>309</v>
      </c>
      <c r="P108" s="76"/>
      <c r="R108" s="43"/>
      <c r="S108" s="31"/>
      <c r="T108" s="70" t="s">
        <v>295</v>
      </c>
      <c r="U108" s="47"/>
      <c r="W108" s="43"/>
      <c r="X108" s="31"/>
      <c r="Y108" s="36"/>
      <c r="AA108" s="43"/>
      <c r="AB108" s="43"/>
      <c r="AC108" s="31" t="s">
        <v>310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39" ht="14.45" hidden="1">
      <c r="A109" s="31" t="s">
        <v>299</v>
      </c>
      <c r="B109" s="31" t="s">
        <v>311</v>
      </c>
      <c r="C109" s="31" t="s">
        <v>207</v>
      </c>
      <c r="D109" t="str" cm="1">
        <f t="array" aca="1" ref="D109" ca="1">IF($B109="","",IF(LEFT($AI109,3)="Yes","Blocked - "&amp;MID($AI109,7,100)&amp;IF(SUMPRODUCT(('Rework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Log'!$B$3:$B$499,'Rework Log'!$A$3:$A$499,$B109,'Rework Log'!$C$3:$C$499,"QA"),_xlpm.act,IF(AND(X109&lt;&gt;"",X109&gt;_xlpm.sent),X109,""),IF(_xlpm.tgt="","No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Log'!$B$3:$B$499,'Rework Log'!$A$3:$A$499,$B109,'Rework Log'!$C$3:$C$499,"DPO*"),_xlpm.act,IF(AND(AB109&lt;&gt;"",AB109&gt;_xlpm.sent),AB109,""),IF(_xlpm.tgt="","No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7" t="s">
        <v>291</v>
      </c>
      <c r="J109" s="55"/>
      <c r="L109" s="43"/>
      <c r="M109" s="31"/>
      <c r="N109" s="31"/>
      <c r="O109" s="36" t="s">
        <v>309</v>
      </c>
      <c r="P109" s="76"/>
      <c r="R109" s="43"/>
      <c r="S109" s="31"/>
      <c r="T109" s="70" t="s">
        <v>312</v>
      </c>
      <c r="U109" s="47"/>
      <c r="W109" s="43"/>
      <c r="X109" s="31"/>
      <c r="Y109" s="36"/>
      <c r="AA109" s="43"/>
      <c r="AB109" s="43"/>
      <c r="AC109" s="31" t="s">
        <v>313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39" ht="14.45" hidden="1">
      <c r="A110" s="31" t="s">
        <v>289</v>
      </c>
      <c r="B110" s="31" t="s">
        <v>314</v>
      </c>
      <c r="C110" s="31" t="s">
        <v>207</v>
      </c>
      <c r="D110" t="str" cm="1">
        <f t="array" aca="1" ref="D110" ca="1">IF($B110="","",IF(LEFT($AI110,3)="Yes","Blocked - "&amp;MID($AI110,7,100)&amp;IF(SUMPRODUCT(('Rework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Log'!$B$3:$B$499,'Rework Log'!$A$3:$A$499,$B110,'Rework Log'!$C$3:$C$499,"QA"),_xlpm.act,IF(AND(X110&lt;&gt;"",X110&gt;_xlpm.sent),X110,""),IF(_xlpm.tgt="","No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Log'!$B$3:$B$499,'Rework Log'!$A$3:$A$499,$B110,'Rework Log'!$C$3:$C$499,"DPO*"),_xlpm.act,IF(AND(AB110&lt;&gt;"",AB110&gt;_xlpm.sent),AB110,""),IF(_xlpm.tgt="","No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291</v>
      </c>
      <c r="J110" s="55"/>
      <c r="L110" s="43"/>
      <c r="M110" s="31"/>
      <c r="N110" s="31"/>
      <c r="O110" s="36" t="s">
        <v>309</v>
      </c>
      <c r="P110" s="76"/>
      <c r="R110" s="43"/>
      <c r="S110" s="31"/>
      <c r="T110" s="70" t="s">
        <v>312</v>
      </c>
      <c r="U110" s="47"/>
      <c r="W110" s="43"/>
      <c r="X110" s="31"/>
      <c r="Y110" s="36"/>
      <c r="AA110" s="43"/>
      <c r="AB110" s="43"/>
      <c r="AC110" s="31" t="s">
        <v>315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39" ht="14.45" hidden="1">
      <c r="A111" s="31" t="s">
        <v>299</v>
      </c>
      <c r="B111" s="31" t="s">
        <v>316</v>
      </c>
      <c r="C111" s="31" t="s">
        <v>207</v>
      </c>
      <c r="D111" t="str" cm="1">
        <f t="array" aca="1" ref="D111" ca="1">IF($B111="","",IF(LEFT($AI111,3)="Yes","Blocked - "&amp;MID($AI111,7,100)&amp;IF(SUMPRODUCT(('Rework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Log'!$B$3:$B$499,'Rework Log'!$A$3:$A$499,$B111,'Rework Log'!$C$3:$C$499,"QA"),_xlpm.act,IF(AND(X111&lt;&gt;"",X111&gt;_xlpm.sent),X111,""),IF(_xlpm.tgt="","No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Log'!$B$3:$B$499,'Rework Log'!$A$3:$A$499,$B111,'Rework Log'!$C$3:$C$499,"DPO*"),_xlpm.act,IF(AND(AB111&lt;&gt;"",AB111&gt;_xlpm.sent),AB111,""),IF(_xlpm.tgt="","No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7" t="s">
        <v>291</v>
      </c>
      <c r="J111" s="55"/>
      <c r="L111" s="43"/>
      <c r="M111" s="31"/>
      <c r="N111" s="31"/>
      <c r="O111" s="36" t="s">
        <v>309</v>
      </c>
      <c r="P111" s="76"/>
      <c r="R111" s="43"/>
      <c r="S111" s="31"/>
      <c r="T111" s="70" t="s">
        <v>312</v>
      </c>
      <c r="U111" s="47"/>
      <c r="W111" s="43"/>
      <c r="X111" s="31"/>
      <c r="Y111" s="36"/>
      <c r="AA111" s="43"/>
      <c r="AB111" s="43"/>
      <c r="AC111" s="31" t="s">
        <v>317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39" ht="14.45" hidden="1">
      <c r="A112" s="31" t="s">
        <v>299</v>
      </c>
      <c r="B112" s="31" t="s">
        <v>318</v>
      </c>
      <c r="C112" s="31" t="s">
        <v>207</v>
      </c>
      <c r="D112" t="str" cm="1">
        <f t="array" aca="1" ref="D112" ca="1">IF($B112="","",IF(LEFT($AI112,3)="Yes","Blocked - "&amp;MID($AI112,7,100)&amp;IF(SUMPRODUCT(('Rework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Log'!$B$3:$B$499,'Rework Log'!$A$3:$A$499,$B112,'Rework Log'!$C$3:$C$499,"QA"),_xlpm.act,IF(AND(X112&lt;&gt;"",X112&gt;_xlpm.sent),X112,""),IF(_xlpm.tgt="","No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Log'!$B$3:$B$499,'Rework Log'!$A$3:$A$499,$B112,'Rework Log'!$C$3:$C$499,"DPO*"),_xlpm.act,IF(AND(AB112&lt;&gt;"",AB112&gt;_xlpm.sent),AB112,""),IF(_xlpm.tgt="","No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7" t="s">
        <v>291</v>
      </c>
      <c r="J112" s="55"/>
      <c r="L112" s="43"/>
      <c r="M112" s="31"/>
      <c r="N112" s="31"/>
      <c r="O112" s="36" t="s">
        <v>309</v>
      </c>
      <c r="P112" s="76"/>
      <c r="R112" s="43"/>
      <c r="S112" s="31"/>
      <c r="T112" s="70" t="s">
        <v>312</v>
      </c>
      <c r="U112" s="47"/>
      <c r="W112" s="43"/>
      <c r="X112" s="31"/>
      <c r="Y112" s="36"/>
      <c r="AA112" s="43"/>
      <c r="AB112" s="43"/>
      <c r="AC112" s="31" t="s">
        <v>313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39" ht="14.45" hidden="1">
      <c r="A113" s="31" t="s">
        <v>299</v>
      </c>
      <c r="B113" s="31" t="s">
        <v>319</v>
      </c>
      <c r="C113" s="31" t="s">
        <v>207</v>
      </c>
      <c r="D113" t="str" cm="1">
        <f t="array" aca="1" ref="D113" ca="1">IF($B113="","",IF(LEFT($AI113,3)="Yes","Blocked - "&amp;MID($AI113,7,100)&amp;IF(SUMPRODUCT(('Rework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Log'!$B$3:$B$499,'Rework Log'!$A$3:$A$499,$B113,'Rework Log'!$C$3:$C$499,"QA"),_xlpm.act,IF(AND(X113&lt;&gt;"",X113&gt;_xlpm.sent),X113,""),IF(_xlpm.tgt="","No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Log'!$B$3:$B$499,'Rework Log'!$A$3:$A$499,$B113,'Rework Log'!$C$3:$C$499,"DPO*"),_xlpm.act,IF(AND(AB113&lt;&gt;"",AB113&gt;_xlpm.sent),AB113,""),IF(_xlpm.tgt="","No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7" t="s">
        <v>291</v>
      </c>
      <c r="J113" s="55"/>
      <c r="L113" s="43"/>
      <c r="M113" s="31"/>
      <c r="N113" s="31"/>
      <c r="O113" s="36" t="s">
        <v>309</v>
      </c>
      <c r="P113" s="76"/>
      <c r="R113" s="43"/>
      <c r="S113" s="31"/>
      <c r="T113" s="70" t="s">
        <v>312</v>
      </c>
      <c r="U113" s="47"/>
      <c r="W113" s="43"/>
      <c r="X113" s="31"/>
      <c r="Y113" s="36"/>
      <c r="AA113" s="43"/>
      <c r="AB113" s="43"/>
      <c r="AC113" s="31" t="s">
        <v>313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39" ht="14.45" hidden="1">
      <c r="A114" s="31" t="s">
        <v>299</v>
      </c>
      <c r="B114" s="31" t="s">
        <v>320</v>
      </c>
      <c r="C114" s="31" t="s">
        <v>207</v>
      </c>
      <c r="D114" t="str" cm="1">
        <f t="array" aca="1" ref="D114" ca="1">IF($B114="","",IF(LEFT($AI114,3)="Yes","Blocked - "&amp;MID($AI114,7,100)&amp;IF(SUMPRODUCT(('Rework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Log'!$B$3:$B$499,'Rework Log'!$A$3:$A$499,$B114,'Rework Log'!$C$3:$C$499,"QA"),_xlpm.act,IF(AND(X114&lt;&gt;"",X114&gt;_xlpm.sent),X114,""),IF(_xlpm.tgt="","No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Log'!$B$3:$B$499,'Rework Log'!$A$3:$A$499,$B114,'Rework Log'!$C$3:$C$499,"DPO*"),_xlpm.act,IF(AND(AB114&lt;&gt;"",AB114&gt;_xlpm.sent),AB114,""),IF(_xlpm.tgt="","No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7" t="s">
        <v>291</v>
      </c>
      <c r="J114" s="55"/>
      <c r="L114" s="43"/>
      <c r="M114" s="31"/>
      <c r="N114" s="31"/>
      <c r="O114" s="36" t="s">
        <v>321</v>
      </c>
      <c r="P114" s="76"/>
      <c r="R114" s="43"/>
      <c r="S114" s="31"/>
      <c r="T114" s="70" t="s">
        <v>312</v>
      </c>
      <c r="U114" s="47"/>
      <c r="W114" s="43"/>
      <c r="X114" s="31"/>
      <c r="Y114" s="36"/>
      <c r="AA114" s="43"/>
      <c r="AB114" s="43"/>
      <c r="AC114" s="31" t="s">
        <v>317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39" ht="14.45" hidden="1">
      <c r="A115" s="31" t="s">
        <v>299</v>
      </c>
      <c r="B115" s="31" t="s">
        <v>322</v>
      </c>
      <c r="C115" s="31" t="s">
        <v>207</v>
      </c>
      <c r="D115" t="str" cm="1">
        <f t="array" aca="1" ref="D115" ca="1">IF($B115="","",IF(LEFT($AI115,3)="Yes","Blocked - "&amp;MID($AI115,7,100)&amp;IF(SUMPRODUCT(('Rework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Log'!$B$3:$B$499,'Rework Log'!$A$3:$A$499,$B115,'Rework Log'!$C$3:$C$499,"QA"),_xlpm.act,IF(AND(X115&lt;&gt;"",X115&gt;_xlpm.sent),X115,""),IF(_xlpm.tgt="","No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Log'!$B$3:$B$499,'Rework Log'!$A$3:$A$499,$B115,'Rework Log'!$C$3:$C$499,"DPO*"),_xlpm.act,IF(AND(AB115&lt;&gt;"",AB115&gt;_xlpm.sent),AB115,""),IF(_xlpm.tgt="","No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7" t="s">
        <v>291</v>
      </c>
      <c r="J115" s="55"/>
      <c r="L115" s="43"/>
      <c r="M115" s="31"/>
      <c r="N115" s="31"/>
      <c r="O115" s="36" t="s">
        <v>321</v>
      </c>
      <c r="P115" s="76"/>
      <c r="R115" s="43"/>
      <c r="S115" s="31"/>
      <c r="T115" s="70" t="s">
        <v>312</v>
      </c>
      <c r="U115" s="47"/>
      <c r="W115" s="43"/>
      <c r="X115" s="31"/>
      <c r="Y115" s="36"/>
      <c r="AA115" s="43"/>
      <c r="AB115" s="43"/>
      <c r="AC115" s="31" t="s">
        <v>263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A101:AD526 T96:T101 A2:F115 A74:AG100 G2:V40 N3:N44 L41:V42 G41:J42 W2:AK2 W3:Y3 AA3:AK3 W42:AJ42 W43:AK44 W45:AJ47 W73:AG73 G43:V73 W4:AK41 W48:AK72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">
    <cfRule type="expression" dxfId="92" priority="3">
      <formula>$AE73="Yes – needs DB Dev to fix"</formula>
    </cfRule>
  </conditionalFormatting>
  <conditionalFormatting sqref="M73:P100">
    <cfRule type="expression" dxfId="91" priority="281">
      <formula>$AC73="Yes – needs PBI Dev to fix"</formula>
    </cfRule>
  </conditionalFormatting>
  <conditionalFormatting sqref="M101:P526">
    <cfRule type="expression" dxfId="90" priority="283">
      <formula>$Z101="Yes – needs PBI Dev to fix"</formula>
    </cfRule>
  </conditionalFormatting>
  <conditionalFormatting sqref="O101:O113">
    <cfRule type="expression" dxfId="89" priority="2">
      <formula>$AC101="Yes – needs PBI Dev to fix"</formula>
    </cfRule>
  </conditionalFormatting>
  <conditionalFormatting sqref="Q73:Q100">
    <cfRule type="expression" dxfId="88" priority="100">
      <formula>$AE73="Yes – needs PBI Dev to fix"</formula>
    </cfRule>
  </conditionalFormatting>
  <conditionalFormatting sqref="Q101:R526">
    <cfRule type="expression" dxfId="87" priority="32">
      <formula>$Z101="Yes – needs QA to fix"</formula>
    </cfRule>
  </conditionalFormatting>
  <conditionalFormatting sqref="J29 M29:P29 J32:J33 M32:P33 K40:K41 M40:P41 Q2:U115">
    <cfRule type="expression" dxfId="86" priority="11">
      <formula>$AI2="Yes – needs PBI Dev to fix"</formula>
    </cfRule>
  </conditionalFormatting>
  <conditionalFormatting sqref="R73:U100 T96:T101">
    <cfRule type="expression" dxfId="85" priority="102">
      <formula>$AE73="Yes – needs QA to fix"</formula>
    </cfRule>
  </conditionalFormatting>
  <conditionalFormatting sqref="S101:U526">
    <cfRule type="expression" dxfId="84" priority="33">
      <formula>$Z101="Yes – needs DPO Approval to fix"</formula>
    </cfRule>
  </conditionalFormatting>
  <conditionalFormatting sqref="U10:V19">
    <cfRule type="expression" dxfId="83" priority="20">
      <formula>$AI10="Yes – needs PBI Dev to fix"</formula>
    </cfRule>
  </conditionalFormatting>
  <conditionalFormatting sqref="U101:V526">
    <cfRule type="expression" dxfId="82" priority="29">
      <formula>$V101="Yes"</formula>
    </cfRule>
  </conditionalFormatting>
  <conditionalFormatting sqref="U73:W100">
    <cfRule type="expression" dxfId="81" priority="104">
      <formula>$AE73="Yes – needs DPO Approval to fix"</formula>
    </cfRule>
  </conditionalFormatting>
  <conditionalFormatting sqref="U2:Y115">
    <cfRule type="expression" dxfId="80" priority="75">
      <formula>$AI2="Yes – needs QA to fix"</formula>
    </cfRule>
  </conditionalFormatting>
  <conditionalFormatting sqref="X73:Y100">
    <cfRule type="expression" dxfId="79" priority="106">
      <formula>$X73="Yes"</formula>
    </cfRule>
  </conditionalFormatting>
  <conditionalFormatting sqref="Z3">
    <cfRule type="expression" dxfId="78" priority="291">
      <formula>AND($B3&lt;&gt;"",MOD(ROW(),2)=0)</formula>
    </cfRule>
    <cfRule type="expression" dxfId="77" priority="292">
      <formula>$AI3="Yes – needs DPO Approval to fix"</formula>
    </cfRule>
  </conditionalFormatting>
  <conditionalFormatting sqref="Z101:Z526">
    <cfRule type="expression" dxfId="76" priority="26">
      <formula>LEFT($Z101,3)="Yes"</formula>
    </cfRule>
  </conditionalFormatting>
  <conditionalFormatting sqref="Z2:AD2 AA3:AD3 Z4:AD100">
    <cfRule type="expression" dxfId="75" priority="78">
      <formula>$AI2="Yes – needs DPO Approval to fix"</formula>
    </cfRule>
  </conditionalFormatting>
  <conditionalFormatting sqref="AA101:AB526">
    <cfRule type="expression" dxfId="74" priority="34">
      <formula>ISNUMBER(SEARCH("Open rework",$AA101))</formula>
    </cfRule>
    <cfRule type="expression" dxfId="73" priority="34">
      <formula>ISNUMBER(SEARCH("Move old",$AA101))</formula>
    </cfRule>
    <cfRule type="expression" dxfId="72" priority="34">
      <formula>ISNUMBER(SEARCH("log it",$AA101))</formula>
    </cfRule>
    <cfRule type="expression" dxfId="71" priority="35">
      <formula>ISNUMBER(SEARCH("Duplicate",$AA101))</formula>
    </cfRule>
    <cfRule type="expression" dxfId="70" priority="36">
      <formula>$AA101&lt;&gt;""</formula>
    </cfRule>
  </conditionalFormatting>
  <conditionalFormatting sqref="AE2:AE115">
    <cfRule type="expression" dxfId="69" priority="50">
      <formula>$AE2="Yes"</formula>
    </cfRule>
  </conditionalFormatting>
  <conditionalFormatting sqref="AE73:AE100">
    <cfRule type="expression" dxfId="68" priority="108">
      <formula>LEFT($AE73,3)="Yes"</formula>
    </cfRule>
  </conditionalFormatting>
  <conditionalFormatting sqref="AF73:AF100">
    <cfRule type="expression" dxfId="67" priority="114">
      <formula>ISNUMBER(SEARCH("Open rework",$AF73))</formula>
    </cfRule>
    <cfRule type="expression" dxfId="66" priority="115">
      <formula>ISNUMBER(SEARCH("Move old",$AF73))</formula>
    </cfRule>
    <cfRule type="expression" dxfId="65" priority="116">
      <formula>ISNUMBER(SEARCH("log it",$AF73))</formula>
    </cfRule>
    <cfRule type="expression" dxfId="64" priority="117">
      <formula>ISNUMBER(SEARCH("Duplicate",$AF73))</formula>
    </cfRule>
    <cfRule type="expression" dxfId="63" priority="118">
      <formula>$AF73&lt;&gt;""</formula>
    </cfRule>
  </conditionalFormatting>
  <conditionalFormatting sqref="AI2:AI115">
    <cfRule type="expression" dxfId="62" priority="52">
      <formula>LEFT($AI2,3)="Yes"</formula>
    </cfRule>
  </conditionalFormatting>
  <conditionalFormatting sqref="AJ2:AJ115">
    <cfRule type="expression" dxfId="61" priority="58">
      <formula>ISNUMBER(SEARCH("log it",$AJ2))</formula>
    </cfRule>
    <cfRule type="expression" dxfId="60" priority="59">
      <formula>ISNUMBER(SEARCH("Open rework",$AJ2))</formula>
    </cfRule>
    <cfRule type="expression" dxfId="59" priority="60">
      <formula>ISNUMBER(SEARCH("Move old",$AJ2))</formula>
    </cfRule>
    <cfRule type="expression" dxfId="58" priority="61">
      <formula>ISNUMBER(SEARCH("Duplicate",$AJ2))</formula>
    </cfRule>
    <cfRule type="expression" dxfId="57" priority="62">
      <formula>$AJ2&lt;&gt;""</formula>
    </cfRule>
  </conditionalFormatting>
  <conditionalFormatting sqref="AK45:AK46">
    <cfRule type="expression" dxfId="56" priority="1">
      <formula>AND($B49&lt;&gt;"",MOD(ROW(),2)=0)</formula>
    </cfRule>
  </conditionalFormatting>
  <conditionalFormatting sqref="AK47">
    <cfRule type="expression" dxfId="55" priority="294">
      <formula>AND($B51&lt;&gt;"",MOD(ROW(),2)=0)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K2:M526 H2:H526 AB5:AB72 S2:S28 S30:S73 Z2:Z100 AA2:AA72 U2:V100 Q74:S526 Q2:R73 AB2:AB3 W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323</v>
      </c>
    </row>
    <row r="2" spans="1:5">
      <c r="A2" s="6" t="s">
        <v>324</v>
      </c>
    </row>
    <row r="4" spans="1:5" ht="21.95" customHeight="1">
      <c r="A4" s="5" t="s">
        <v>325</v>
      </c>
      <c r="B4" s="103"/>
      <c r="C4" s="104"/>
      <c r="D4" s="104"/>
      <c r="E4" s="104"/>
    </row>
    <row r="6" spans="1:5">
      <c r="A6" s="42" t="s">
        <v>0</v>
      </c>
      <c r="B6" s="101" t="str">
        <f>IF($B$4="","",IFERROR(INDEX('Combined Delivery Data'!$A:$A,MATCH($B$4,'Combined Delivery Data'!$B:$B,0)),""))</f>
        <v/>
      </c>
      <c r="C6" s="105"/>
      <c r="D6" s="105"/>
      <c r="E6" s="106"/>
    </row>
    <row r="7" spans="1:5">
      <c r="A7" s="42" t="s">
        <v>326</v>
      </c>
      <c r="B7" s="101" t="str">
        <f>IF($B$4="","",IFERROR(INDEX('Combined Delivery Data'!$C:$C,MATCH($B$4,'Combined Delivery Data'!$B:$B,0)),""))</f>
        <v/>
      </c>
      <c r="C7" s="105"/>
      <c r="D7" s="105"/>
      <c r="E7" s="106"/>
    </row>
    <row r="8" spans="1:5">
      <c r="A8" s="42" t="s">
        <v>3</v>
      </c>
      <c r="B8" s="101" t="str">
        <f>IF($B$4="","",IFERROR(INDEX('Combined Delivery Data'!$D:$D,MATCH($B$4,'Combined Delivery Data'!$B:$B,0)),""))</f>
        <v/>
      </c>
      <c r="C8" s="105"/>
      <c r="D8" s="105"/>
      <c r="E8" s="106"/>
    </row>
    <row r="9" spans="1:5">
      <c r="A9" s="42" t="s">
        <v>4</v>
      </c>
      <c r="B9" s="101" t="str">
        <f>IF($B$4="","",IFERROR(INDEX('Combined Delivery Data'!$E:$E,MATCH($B$4,'Combined Delivery Data'!$B:$B,0)),""))</f>
        <v/>
      </c>
      <c r="C9" s="105"/>
      <c r="D9" s="105"/>
      <c r="E9" s="106"/>
    </row>
    <row r="10" spans="1:5">
      <c r="A10" s="42" t="s">
        <v>5</v>
      </c>
      <c r="B10" s="101" t="str">
        <f>IF($B$4="","",IFERROR(INDEX('Combined Delivery Data'!$F:$F,MATCH($B$4,'Combined Delivery Data'!$B:$B,0)),""))</f>
        <v/>
      </c>
      <c r="C10" s="105"/>
      <c r="D10" s="105"/>
      <c r="E10" s="106"/>
    </row>
    <row r="11" spans="1:5">
      <c r="A11" s="42" t="s">
        <v>9</v>
      </c>
      <c r="B11" s="101" t="str">
        <f>IF($B$4="","",IFERROR(INDEX('Combined Delivery Data'!$J:$J,MATCH($B$4,'Combined Delivery Data'!$B:$B,0)),""))</f>
        <v/>
      </c>
      <c r="C11" s="105"/>
      <c r="D11" s="105"/>
      <c r="E11" s="106"/>
    </row>
    <row r="12" spans="1:5">
      <c r="A12" s="42" t="s">
        <v>15</v>
      </c>
      <c r="B12" s="101" t="str">
        <f>IF($B$4="","",IFERROR(INDEX('Combined Delivery Data'!$P:$P,MATCH($B$4,'Combined Delivery Data'!$B:$B,0)),""))</f>
        <v/>
      </c>
      <c r="C12" s="105"/>
      <c r="D12" s="105"/>
      <c r="E12" s="106"/>
    </row>
    <row r="13" spans="1:5">
      <c r="A13" s="42" t="s">
        <v>20</v>
      </c>
      <c r="B13" s="101" t="str">
        <f>IF($B$4="","",IFERROR(INDEX('Combined Delivery Data'!$U:$U,MATCH($B$4,'Combined Delivery Data'!$B:$B,0)),""))</f>
        <v/>
      </c>
      <c r="C13" s="105"/>
      <c r="D13" s="105"/>
      <c r="E13" s="106"/>
    </row>
    <row r="14" spans="1:5">
      <c r="A14" s="42" t="s">
        <v>327</v>
      </c>
      <c r="B14" s="100" t="str">
        <f>IF($B$4="","",IFERROR(INDEX('Combined Delivery Data'!$K:$K,MATCH($B$4,'Combined Delivery Data'!$B:$B,0)),""))</f>
        <v/>
      </c>
      <c r="C14" s="105"/>
      <c r="D14" s="105"/>
      <c r="E14" s="106"/>
    </row>
    <row r="15" spans="1:5">
      <c r="A15" s="42" t="s">
        <v>328</v>
      </c>
      <c r="B15" s="100" t="str">
        <f>IF($B$4="","",IFERROR(INDEX('Combined Delivery Data'!$L:$L,MATCH($B$4,'Combined Delivery Data'!$B:$B,0)),""))</f>
        <v/>
      </c>
      <c r="C15" s="105"/>
      <c r="D15" s="105"/>
      <c r="E15" s="106"/>
    </row>
    <row r="16" spans="1:5">
      <c r="A16" s="42" t="s">
        <v>329</v>
      </c>
      <c r="B16" s="100" t="str">
        <f>IF($B$4="","",IFERROR(INDEX('Combined Delivery Data'!$M:$M,MATCH($B$4,'Combined Delivery Data'!$B:$B,0)),""))</f>
        <v/>
      </c>
      <c r="C16" s="105"/>
      <c r="D16" s="105"/>
      <c r="E16" s="106"/>
    </row>
    <row r="17" spans="1:5">
      <c r="A17" s="42" t="s">
        <v>330</v>
      </c>
      <c r="B17" s="100" t="str">
        <f>IF($B$4="","",IFERROR(INDEX('Combined Delivery Data'!$O:$O,MATCH($B$4,'Combined Delivery Data'!$B:$B,0)),""))</f>
        <v/>
      </c>
      <c r="C17" s="105"/>
      <c r="D17" s="105"/>
      <c r="E17" s="106"/>
    </row>
    <row r="18" spans="1:5">
      <c r="A18" s="42" t="s">
        <v>331</v>
      </c>
      <c r="B18" s="100" t="str">
        <f>IF($B$4="","",IFERROR(INDEX('Combined Delivery Data'!$Q:$Q,MATCH($B$4,'Combined Delivery Data'!$B:$B,0)),""))</f>
        <v/>
      </c>
      <c r="C18" s="105"/>
      <c r="D18" s="105"/>
      <c r="E18" s="106"/>
    </row>
    <row r="19" spans="1:5">
      <c r="A19" s="42" t="s">
        <v>332</v>
      </c>
      <c r="B19" s="100" t="str">
        <f>IF($B$4="","",IFERROR(INDEX('Combined Delivery Data'!$R:$R,MATCH($B$4,'Combined Delivery Data'!$B:$B,0)),""))</f>
        <v/>
      </c>
      <c r="C19" s="105"/>
      <c r="D19" s="105"/>
      <c r="E19" s="106"/>
    </row>
    <row r="20" spans="1:5">
      <c r="A20" s="42" t="s">
        <v>333</v>
      </c>
      <c r="B20" s="100" t="str">
        <f>IF($B$4="","",IFERROR(INDEX('Combined Delivery Data'!$S:$S,MATCH($B$4,'Combined Delivery Data'!$B:$B,0)),""))</f>
        <v/>
      </c>
      <c r="C20" s="105"/>
      <c r="D20" s="105"/>
      <c r="E20" s="106"/>
    </row>
    <row r="21" spans="1:5">
      <c r="A21" s="42" t="s">
        <v>28</v>
      </c>
      <c r="B21" s="101" t="str">
        <f>IF($B$4="","",IFERROR(INDEX('Combined Delivery Data'!$T:$T,MATCH($B$4,'Combined Delivery Data'!$B:$B,0)),""))</f>
        <v/>
      </c>
      <c r="C21" s="105"/>
      <c r="D21" s="105"/>
      <c r="E21" s="106"/>
    </row>
    <row r="22" spans="1:5">
      <c r="A22" s="42" t="s">
        <v>30</v>
      </c>
      <c r="B22" s="101" t="str">
        <f>IF($B$4="","",IFERROR(INDEX('Combined Delivery Data'!$V:$V,MATCH($B$4,'Combined Delivery Data'!$B:$B,0)),""))</f>
        <v/>
      </c>
      <c r="C22" s="105"/>
      <c r="D22" s="105"/>
      <c r="E22" s="106"/>
    </row>
    <row r="23" spans="1:5">
      <c r="A23" s="42" t="s">
        <v>31</v>
      </c>
      <c r="B23" s="100" t="str">
        <f>IF($B$4="","",IFERROR(INDEX('Combined Delivery Data'!$W:$W,MATCH($B$4,'Combined Delivery Data'!$B:$B,0)),""))</f>
        <v/>
      </c>
      <c r="C23" s="105"/>
      <c r="D23" s="105"/>
      <c r="E23" s="106"/>
    </row>
    <row r="24" spans="1:5">
      <c r="A24" s="42" t="s">
        <v>34</v>
      </c>
      <c r="B24" s="101" t="str">
        <f>IF($B$4="","",IFERROR(INDEX('Combined Delivery Data'!$Z:$Z,MATCH($B$4,'Combined Delivery Data'!$B:$B,0)),""))</f>
        <v/>
      </c>
      <c r="C24" s="105"/>
      <c r="D24" s="105"/>
      <c r="E24" s="106"/>
    </row>
    <row r="25" spans="1:5">
      <c r="A25" s="42" t="s">
        <v>35</v>
      </c>
      <c r="B25" s="101" t="str">
        <f>IF($B$4="","",IFERROR(INDEX('Combined Delivery Data'!$AA:$AA,MATCH($B$4,'Combined Delivery Data'!$B:$B,0)),""))</f>
        <v/>
      </c>
      <c r="C25" s="105"/>
      <c r="D25" s="105"/>
      <c r="E25" s="106"/>
    </row>
    <row r="26" spans="1:5">
      <c r="A26" s="42" t="s">
        <v>334</v>
      </c>
      <c r="B26" s="101" t="str">
        <f>IF($B$4="","",IFERROR(INDEX('Rework Log'!$Q:$Q,MATCH($B$4,'Rework Log'!$P:$P,0)),""))</f>
        <v/>
      </c>
      <c r="C26" s="105"/>
      <c r="D26" s="105"/>
      <c r="E26" s="106"/>
    </row>
    <row r="27" spans="1:5">
      <c r="A27" s="42" t="s">
        <v>335</v>
      </c>
      <c r="B27" s="101" t="str">
        <f>IF($B$4="","",IFERROR(INDEX('Rework Log'!$R:$R,MATCH($B$4,'Rework Log'!$P:$P,0)),""))</f>
        <v/>
      </c>
      <c r="C27" s="105"/>
      <c r="D27" s="105"/>
      <c r="E27" s="106"/>
    </row>
    <row r="28" spans="1:5">
      <c r="A28" s="42" t="s">
        <v>336</v>
      </c>
      <c r="B28" s="101" t="str">
        <f>IF($B$4="","",IFERROR(INDEX('Rework Log'!$S:$S,MATCH($B$4,'Rework Log'!$P:$P,0)),""))</f>
        <v/>
      </c>
      <c r="C28" s="105"/>
      <c r="D28" s="105"/>
      <c r="E28" s="106"/>
    </row>
    <row r="29" spans="1:5">
      <c r="A29" s="42" t="s">
        <v>337</v>
      </c>
      <c r="B29" s="101" t="str">
        <f>IF($B$4="","",IFERROR(INDEX('Rework Log'!$T:$T,MATCH($B$4,'Rework Log'!$P:$P,0)),""))</f>
        <v/>
      </c>
      <c r="C29" s="105"/>
      <c r="D29" s="105"/>
      <c r="E29" s="106"/>
    </row>
    <row r="30" spans="1:5" ht="15.6" customHeight="1">
      <c r="A30" s="42"/>
      <c r="B30" s="101"/>
      <c r="C30" s="105"/>
      <c r="D30" s="105"/>
      <c r="E30" s="106"/>
    </row>
    <row r="31" spans="1:5" ht="15.6" customHeight="1">
      <c r="A31" s="5" t="s">
        <v>36</v>
      </c>
      <c r="B31" s="107" t="str">
        <f>IF($B$4="","",IFERROR(INDEX('Combined Delivery Data'!$AC:$AC,MATCH($B$4,'Combined Delivery Data'!$B:$B,0)),""))</f>
        <v/>
      </c>
      <c r="C31" s="104"/>
      <c r="D31" s="104"/>
      <c r="E31" s="10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13" activePane="bottomLeft" state="frozen"/>
      <selection pane="bottomLeft" activeCell="A20" sqref="A20"/>
    </sheetView>
  </sheetViews>
  <sheetFormatPr defaultRowHeight="1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02" t="s">
        <v>338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P1" s="108" t="s">
        <v>339</v>
      </c>
      <c r="Q1" s="108"/>
      <c r="R1" s="108"/>
      <c r="S1" s="108"/>
      <c r="T1" s="108"/>
    </row>
    <row r="2" spans="1:20" ht="30" customHeight="1">
      <c r="A2" s="17" t="s">
        <v>1</v>
      </c>
      <c r="B2" s="17" t="s">
        <v>340</v>
      </c>
      <c r="C2" s="17" t="s">
        <v>341</v>
      </c>
      <c r="D2" s="17" t="s">
        <v>342</v>
      </c>
      <c r="E2" s="17" t="s">
        <v>343</v>
      </c>
      <c r="F2" s="17" t="s">
        <v>344</v>
      </c>
      <c r="G2" s="17" t="s">
        <v>345</v>
      </c>
      <c r="H2" s="30" t="s">
        <v>346</v>
      </c>
      <c r="I2" s="30" t="s">
        <v>347</v>
      </c>
      <c r="J2" s="30" t="s">
        <v>348</v>
      </c>
      <c r="K2" s="30" t="s">
        <v>349</v>
      </c>
      <c r="L2" s="30" t="s">
        <v>350</v>
      </c>
      <c r="M2" s="21" t="s">
        <v>351</v>
      </c>
      <c r="N2" s="21" t="s">
        <v>352</v>
      </c>
      <c r="P2" s="13" t="s">
        <v>1</v>
      </c>
      <c r="Q2" s="13" t="s">
        <v>334</v>
      </c>
      <c r="R2" s="13" t="s">
        <v>335</v>
      </c>
      <c r="S2" s="13" t="s">
        <v>336</v>
      </c>
      <c r="T2" s="13" t="s">
        <v>337</v>
      </c>
    </row>
    <row r="3" spans="1:20">
      <c r="A3" s="33" t="s">
        <v>146</v>
      </c>
      <c r="B3" s="36">
        <v>46230</v>
      </c>
      <c r="C3" s="33" t="s">
        <v>140</v>
      </c>
      <c r="D3" s="33" t="s">
        <v>155</v>
      </c>
      <c r="E3" s="33" t="s">
        <v>147</v>
      </c>
      <c r="F3" s="33" t="s">
        <v>353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36 d</v>
      </c>
      <c r="N3" t="s">
        <v>49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159</v>
      </c>
      <c r="B4" s="32">
        <v>46237</v>
      </c>
      <c r="C4" s="31" t="s">
        <v>140</v>
      </c>
      <c r="D4" s="31" t="s">
        <v>155</v>
      </c>
      <c r="E4" s="31" t="s">
        <v>147</v>
      </c>
      <c r="F4" s="31" t="s">
        <v>354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355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155</v>
      </c>
      <c r="E5" s="31" t="s">
        <v>129</v>
      </c>
      <c r="F5" s="31" t="s">
        <v>356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5" t="s">
        <v>144</v>
      </c>
      <c r="B6" s="32">
        <v>46234</v>
      </c>
      <c r="C6" s="31" t="s">
        <v>140</v>
      </c>
      <c r="D6" s="31" t="s">
        <v>155</v>
      </c>
      <c r="E6" s="31" t="s">
        <v>129</v>
      </c>
      <c r="F6" s="31" t="s">
        <v>357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155</v>
      </c>
      <c r="E7" s="31" t="s">
        <v>129</v>
      </c>
      <c r="F7" s="31" t="s">
        <v>358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155</v>
      </c>
      <c r="E8" s="31" t="s">
        <v>129</v>
      </c>
      <c r="F8" s="31" t="s">
        <v>359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360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159</v>
      </c>
      <c r="B9" s="32">
        <v>46251</v>
      </c>
      <c r="C9" s="31" t="s">
        <v>140</v>
      </c>
      <c r="D9" s="31" t="s">
        <v>155</v>
      </c>
      <c r="E9" s="31" t="s">
        <v>147</v>
      </c>
      <c r="F9" s="31" t="s">
        <v>361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360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140</v>
      </c>
      <c r="D10" s="31" t="s">
        <v>155</v>
      </c>
      <c r="E10" s="31" t="s">
        <v>147</v>
      </c>
      <c r="F10" s="31" t="s">
        <v>354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360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155</v>
      </c>
      <c r="E11" s="31" t="s">
        <v>129</v>
      </c>
      <c r="F11" s="31" t="s">
        <v>356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5" t="s">
        <v>156</v>
      </c>
      <c r="B12" s="32">
        <v>46254</v>
      </c>
      <c r="C12" s="31" t="s">
        <v>140</v>
      </c>
      <c r="D12" s="31" t="s">
        <v>155</v>
      </c>
      <c r="E12" s="31" t="s">
        <v>147</v>
      </c>
      <c r="F12" s="31" t="s">
        <v>362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363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155</v>
      </c>
      <c r="E13" s="31" t="s">
        <v>129</v>
      </c>
      <c r="F13" s="31" t="s">
        <v>364</v>
      </c>
      <c r="G13" s="31" t="s">
        <v>49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140</v>
      </c>
      <c r="D14" s="31" t="s">
        <v>150</v>
      </c>
      <c r="E14" s="31" t="s">
        <v>147</v>
      </c>
      <c r="F14" s="31" t="s">
        <v>365</v>
      </c>
      <c r="G14" s="31" t="s">
        <v>49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162</v>
      </c>
      <c r="B15" s="32">
        <v>46258</v>
      </c>
      <c r="C15" s="31" t="s">
        <v>140</v>
      </c>
      <c r="D15" s="31" t="s">
        <v>150</v>
      </c>
      <c r="E15" s="31" t="s">
        <v>147</v>
      </c>
      <c r="F15" s="31" t="s">
        <v>366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363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154</v>
      </c>
      <c r="B16" s="32">
        <v>46258</v>
      </c>
      <c r="C16" s="31" t="s">
        <v>140</v>
      </c>
      <c r="D16" s="31" t="s">
        <v>155</v>
      </c>
      <c r="E16" s="31" t="s">
        <v>147</v>
      </c>
      <c r="F16" s="31" t="s">
        <v>367</v>
      </c>
      <c r="G16" s="31" t="s">
        <v>49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363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140</v>
      </c>
      <c r="D17" s="31" t="s">
        <v>150</v>
      </c>
      <c r="E17" s="31" t="s">
        <v>147</v>
      </c>
      <c r="F17" s="31" t="s">
        <v>368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140</v>
      </c>
      <c r="D18" s="31" t="s">
        <v>155</v>
      </c>
      <c r="E18" s="31" t="s">
        <v>129</v>
      </c>
      <c r="F18" s="31" t="s">
        <v>369</v>
      </c>
      <c r="G18" s="31" t="s">
        <v>52</v>
      </c>
      <c r="H18" s="32"/>
      <c r="I18" s="32"/>
      <c r="J18" s="32">
        <v>46265</v>
      </c>
      <c r="K18" s="31"/>
      <c r="L18" s="31"/>
      <c r="M18" s="3" t="str">
        <f t="shared" ca="1" si="0"/>
        <v>Fixed</v>
      </c>
      <c r="N18" t="s">
        <v>49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140</v>
      </c>
      <c r="D19" s="31" t="s">
        <v>150</v>
      </c>
      <c r="E19" s="31" t="s">
        <v>147</v>
      </c>
      <c r="F19" s="31" t="s">
        <v>370</v>
      </c>
      <c r="G19" s="31" t="s">
        <v>52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360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371</v>
      </c>
      <c r="B20" s="32">
        <v>46265</v>
      </c>
      <c r="C20" s="31" t="s">
        <v>140</v>
      </c>
      <c r="D20" s="31" t="s">
        <v>150</v>
      </c>
      <c r="E20" s="31" t="s">
        <v>46</v>
      </c>
      <c r="F20" s="31" t="s">
        <v>372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373</v>
      </c>
      <c r="M20" s="3" t="str">
        <f t="shared" ca="1" si="0"/>
        <v>Fixed</v>
      </c>
      <c r="N20" t="s">
        <v>363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140</v>
      </c>
      <c r="D21" s="31" t="s">
        <v>155</v>
      </c>
      <c r="E21" s="31" t="s">
        <v>46</v>
      </c>
      <c r="F21" s="31" t="s">
        <v>374</v>
      </c>
      <c r="G21" s="31" t="s">
        <v>49</v>
      </c>
      <c r="H21" s="32"/>
      <c r="I21" s="32"/>
      <c r="J21" s="32"/>
      <c r="K21" s="31"/>
      <c r="L21" s="31"/>
      <c r="M21" s="3" t="str">
        <f t="shared" ca="1" si="0"/>
        <v>UNCLAIMED 1 d</v>
      </c>
      <c r="N21" t="s">
        <v>49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5" t="s">
        <v>139</v>
      </c>
      <c r="B22" s="32">
        <v>46265</v>
      </c>
      <c r="C22" s="31" t="s">
        <v>140</v>
      </c>
      <c r="D22" s="31" t="s">
        <v>155</v>
      </c>
      <c r="E22" s="31" t="s">
        <v>129</v>
      </c>
      <c r="F22" s="31" t="s">
        <v>375</v>
      </c>
      <c r="G22" s="31" t="s">
        <v>52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140</v>
      </c>
      <c r="D23" s="31" t="s">
        <v>155</v>
      </c>
      <c r="E23" s="31" t="s">
        <v>46</v>
      </c>
      <c r="F23" s="31" t="s">
        <v>376</v>
      </c>
      <c r="G23" s="31" t="s">
        <v>52</v>
      </c>
      <c r="H23" s="32"/>
      <c r="I23" s="32"/>
      <c r="J23" s="32"/>
      <c r="K23" s="31"/>
      <c r="L23" s="31"/>
      <c r="M23" s="3" t="str">
        <f t="shared" ca="1" si="0"/>
        <v>UNCLAIMED 0 d</v>
      </c>
      <c r="N23" t="s">
        <v>49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140</v>
      </c>
      <c r="D24" s="31" t="s">
        <v>155</v>
      </c>
      <c r="E24" s="31" t="s">
        <v>46</v>
      </c>
      <c r="F24" s="31" t="s">
        <v>377</v>
      </c>
      <c r="G24" s="31" t="s">
        <v>52</v>
      </c>
      <c r="H24" s="32"/>
      <c r="I24" s="32"/>
      <c r="J24" s="32"/>
      <c r="K24" s="31"/>
      <c r="L24" s="31"/>
      <c r="M24" s="3" t="str">
        <f t="shared" ca="1" si="0"/>
        <v>UNCLAIMED 0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0</v>
      </c>
      <c r="R32">
        <f>IF($P32="","",SUMPRODUCT(($A$3:$A$499=$P32)*($G$3:$G$499&lt;&gt;"Yes")*($G$3:$G$499&lt;&gt;"Did not pass re-test")))</f>
        <v>0</v>
      </c>
      <c r="S32" s="28" t="str">
        <f>IF($P32="","",IF(SUMPRODUCT(MAX(($A$3:$A$499=$P32)*ROW($A$3:$A$499)))=0,"",INDEX($B:$B,SUMPRODUCT(MAX(($A$3:$A$499=$P32)*ROW($A$3:$A$499))))))</f>
        <v/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/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1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1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46258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0</v>
      </c>
      <c r="R41">
        <f>IF($P41="","",SUMPRODUCT(($A$3:$A$499=$P41)*($G$3:$G$499&lt;&gt;"Yes")*($G$3:$G$499&lt;&gt;"Did not pass re-test")))</f>
        <v>0</v>
      </c>
      <c r="S41" s="28" t="str">
        <f>IF($P41="","",IF(SUMPRODUCT(MAX(($A$3:$A$499=$P41)*ROW($A$3:$A$499)))=0,"",INDEX($B:$B,SUMPRODUCT(MAX(($A$3:$A$499=$P41)*ROW($A$3:$A$499))))))</f>
        <v/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/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2</v>
      </c>
      <c r="R45">
        <f>IF($P45="","",SUMPRODUCT(($A$3:$A$499=$P45)*($G$3:$G$499&lt;&gt;"Yes")*($G$3:$G$499&lt;&gt;"Did not pass re-test")))</f>
        <v>2</v>
      </c>
      <c r="S45" s="28">
        <f>IF($P45="","",IF(SUMPRODUCT(MAX(($A$3:$A$499=$P45)*ROW($A$3:$A$499)))=0,"",INDEX($B:$B,SUMPRODUCT(MAX(($A$3:$A$499=$P45)*ROW($A$3:$A$499))))))</f>
        <v>46266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DB Dev</v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1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46261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0</v>
      </c>
      <c r="R53">
        <f>IF($P53="","",SUMPRODUCT(($A$3:$A$499=$P53)*($G$3:$G$499&lt;&gt;"Yes")*($G$3:$G$499&lt;&gt;"Did not pass re-test")))</f>
        <v>0</v>
      </c>
      <c r="S53" s="28" t="str">
        <f>IF($P53="","",IF(SUMPRODUCT(MAX(($A$3:$A$499=$P53)*ROW($A$3:$A$499)))=0,"",INDEX($B:$B,SUMPRODUCT(MAX(($A$3:$A$499=$P53)*ROW($A$3:$A$499))))))</f>
        <v/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475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475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475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475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475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475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475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475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475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475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475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475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475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475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475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475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Data'!B132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475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Data'!B133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475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Data'!B134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475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Data'!B135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475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Data'!B136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475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Data'!B137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475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Data'!B138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475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Data'!B139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475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Data'!B140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475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Data'!B141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475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Data'!B142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475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Data'!B143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475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Data'!B144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475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Data'!B145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475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Data'!B146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475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Data'!B147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475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Data'!B148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475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Data'!B149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475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Data'!B150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475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Data'!B151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475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Data'!B152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475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Data'!B153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475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Data'!B154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475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Data'!B155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475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Data'!B156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475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Data'!B157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475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Data'!B158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475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Data'!B159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475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Data'!B160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475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Data'!B161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475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Data'!B162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475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Data'!B163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475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Data'!B164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475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Data'!B165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475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Data'!B166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475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Data'!B167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475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Data'!B168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475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Data'!B169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475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Data'!B170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475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Data'!B171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475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Data'!B172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475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Data'!B173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475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Data'!B174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475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Data'!B175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475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Data'!B176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475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Data'!B177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475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Data'!B178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475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Data'!B179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475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Data'!B180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475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Data'!B181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475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Data'!B182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475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Data'!B183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475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Data'!B184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475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Data'!B185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475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Data'!B186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475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Data'!B187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475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Data'!B188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475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Data'!B189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475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Data'!B190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475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Data'!B191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475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Data'!B192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475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Data'!B193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475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Data'!B194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475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Data'!B195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475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Data'!B196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475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Data'!B197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475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Data'!B198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475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Data'!B199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475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Data'!B200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475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Data'!B201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475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Data'!B202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475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Data'!B203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475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Data'!B204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475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Data'!B205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475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Data'!B206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475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Data'!B207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475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Data'!B208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475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Data'!B209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475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Data'!B210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475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Data'!B211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475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Data'!B212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475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Data'!B213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475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Data'!B214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475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Data'!B215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475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Data'!B216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475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Data'!B217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475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Data'!B218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475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Data'!B219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475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Data'!B220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475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Data'!B221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475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Data'!B222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475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Data'!B223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475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Data'!B224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475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Data'!B225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475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Data'!B226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475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Data'!B227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475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Data'!B228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475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Data'!B229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475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Data'!B230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475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Data'!B231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475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Data'!B232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475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Data'!B233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475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Data'!B234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475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Data'!B235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475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Data'!B236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475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Data'!B237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475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Data'!B238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475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Data'!B239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475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Data'!B240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475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Data'!B241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475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Data'!B242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475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Data'!B243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475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Data'!B244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475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Data'!B245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475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Data'!B246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475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Data'!B247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475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Data'!B248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475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Data'!B249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475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Data'!B250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475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Data'!B251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475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Data'!B252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475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Data'!B253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475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Data'!B254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475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Data'!B255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475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Data'!B256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475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Data'!B257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475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Data'!B258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475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Data'!B259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475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Data'!B260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475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Data'!B261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475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Data'!B262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475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Data'!B263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475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Data'!B264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475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Data'!B265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475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Data'!B266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475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Data'!B267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475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Data'!B268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475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Data'!B269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475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Data'!B270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475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Data'!B271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475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Data'!B272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475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Data'!B273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475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Data'!B274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475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Data'!B275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475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Data'!B276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475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Data'!B277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475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Data'!B278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475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Data'!B279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475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Data'!B280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475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Data'!B281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475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Data'!B282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475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Data'!B283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475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Data'!B284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475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Data'!B285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475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Data'!B286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475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Data'!B287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475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Data'!B288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475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Data'!B289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475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Data'!B290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475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Data'!B291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475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Data'!B292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475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Data'!B293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475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Data'!B294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475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Data'!B295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475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Data'!B296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475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Data'!B297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475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Data'!B298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475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Data'!B299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475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Data'!B300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475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Data'!B301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475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Data'!B302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475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Data'!B303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475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Data'!B304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475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Data'!B305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475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Data'!B306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475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Data'!B307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475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Data'!B308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475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Data'!B309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475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Data'!B310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475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Data'!B311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475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Data'!B312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475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Data'!B313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475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Data'!B314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475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Data'!B315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475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Data'!B316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475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Data'!B317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475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Data'!B318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475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Data'!B319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475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Data'!B320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475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Data'!B321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475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Data'!B322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475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Data'!B323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475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Data'!B324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475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Data'!B325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475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Data'!B326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475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Data'!B327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475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Data'!B328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475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Data'!B329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475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Data'!B330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475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Data'!B331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475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Data'!B332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475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Data'!B333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475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Data'!B334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475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Data'!B335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475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Data'!B336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475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Data'!B337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475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Data'!B338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475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Data'!B339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475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Data'!B340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475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Data'!B341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475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Data'!B342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475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Data'!B343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475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Data'!B344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475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Data'!B345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475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Data'!B346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475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Data'!B347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475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Data'!B348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475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Data'!B349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475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Data'!B350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475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Data'!B351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475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Data'!B352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475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Data'!B353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475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Data'!B354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475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Data'!B355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475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Data'!B356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475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Data'!B357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475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Data'!B358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475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Data'!B359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475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Data'!B360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475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Data'!B361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475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Data'!B362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475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Data'!B363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475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Data'!B364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475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Data'!B365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475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Data'!B366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475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Data'!B367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475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Data'!B368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475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Data'!B369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475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Data'!B370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475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Data'!B371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475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Data'!B372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475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Data'!B373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475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Data'!B374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475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Data'!B375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475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Data'!B376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475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Data'!B377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475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Data'!B378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475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Data'!B379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475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Data'!B380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475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Data'!B381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475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Data'!B382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475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Data'!B383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475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Data'!B384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475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Data'!B385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475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Data'!B386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475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Data'!B387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475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Data'!B388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475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Data'!B389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475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Data'!B390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475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Data'!B391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475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Data'!B392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475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Data'!B393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475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Data'!B394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475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Data'!B395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475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Data'!B396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475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Data'!B397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475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Data'!B398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475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Data'!B399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475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Data'!B400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475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Data'!B401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475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Data'!B402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475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Data'!B403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475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Data'!B404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475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Data'!B405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475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Data'!B406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475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Data'!B407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475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Data'!B408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475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Data'!B409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475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Data'!B410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475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Data'!B411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475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Data'!B412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475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Data'!B413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475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Data'!B414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475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Data'!B415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475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Data'!B416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475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Data'!B417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475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Data'!B418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475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Data'!B419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475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Data'!B420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475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Data'!B421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475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Data'!B422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475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Data'!B423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475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Data'!B424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475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Data'!B425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475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Data'!B426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475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Data'!B427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475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Data'!B428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475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Data'!B429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475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Data'!B430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475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Data'!B431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475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Data'!B432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475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Data'!B433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475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Data'!B434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475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Data'!B435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475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Data'!B436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475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Data'!B437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475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Data'!B438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475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Data'!B439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475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Data'!B440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475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Data'!B441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475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Data'!B442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475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Data'!B443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475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Data'!B444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475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Data'!B445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475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Data'!B446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475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Data'!B447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475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Data'!B448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475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Data'!B449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475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Data'!B450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475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Data'!B451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475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Data'!B452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475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Data'!B453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475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Data'!B454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475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Data'!B455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475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Data'!B456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475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Data'!B457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475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Data'!B458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475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Data'!B459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475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Data'!B460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475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Data'!B461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475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Data'!B462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475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Data'!B463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475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Data'!B464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475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Data'!B465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475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Data'!B466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475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Data'!B467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475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Data'!B468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475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Data'!B469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475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Data'!B470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475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Data'!B471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475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Data'!B472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475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Data'!B473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475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Data'!B474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475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Data'!B475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475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Data'!B476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475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Data'!B477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475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Data'!B478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475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Data'!B479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475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Data'!B480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475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Data'!B481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475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Data'!B482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475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Data'!B483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475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Data'!B484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475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Data'!B485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475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Data'!B486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475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Data'!B487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475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Data'!B488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475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Data'!B489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475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Data'!B490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475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Data'!B491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475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Data'!B492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475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Data'!B493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475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Data'!B494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475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Data'!B495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475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Data'!B496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475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Data'!B497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475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Data'!B498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475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Data'!B499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475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Data'!B500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475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Data'!B501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475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Data'!B502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475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Data'!B503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475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Data'!B504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475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Data'!B505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475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Data'!B506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475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Data'!B507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475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Data'!B508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475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Data'!B509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475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Data'!B510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475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Data'!B511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475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Data'!B512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475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Data'!B513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475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Data'!B514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475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Data'!B515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475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Data'!B516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475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Data'!B517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475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Data'!B518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475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Data'!B519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475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Data'!B520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475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Data'!B521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475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Data'!B522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475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Data'!B523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475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Data'!B524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475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Data'!B525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475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7">
      <formula>AND($B5&lt;&gt;"",MOD(ROW(),2)=0)</formula>
    </cfRule>
  </conditionalFormatting>
  <conditionalFormatting sqref="A11:A13">
    <cfRule type="expression" dxfId="13" priority="4">
      <formula>AND($B11&lt;&gt;"",MOD(ROW(),2)=0)</formula>
    </cfRule>
  </conditionalFormatting>
  <conditionalFormatting sqref="A3:H3 K3:M3 A4:M4 M4:M11 B5:M8 A9:M10 B11:M13 A14:M17 A19:M21 B18:M18 A23:M499 B22:M22">
    <cfRule type="expression" dxfId="12" priority="17">
      <formula>AND($A3&lt;&gt;"",$G3="Yes")</formula>
    </cfRule>
    <cfRule type="expression" dxfId="11" priority="18">
      <formula>AND($A3&lt;&gt;"",$J3&lt;&gt;"")</formula>
    </cfRule>
    <cfRule type="expression" dxfId="10" priority="19">
      <formula>$A3&lt;&gt;""</formula>
    </cfRule>
  </conditionalFormatting>
  <conditionalFormatting sqref="C3:C199 G3:G199">
    <cfRule type="expression" dxfId="9" priority="20">
      <formula>$A3=""</formula>
    </cfRule>
  </conditionalFormatting>
  <conditionalFormatting sqref="K3:M3 A4:M4 M4:M11 B5:M8 A9:M10 B11:M13 A14:M17 A3:H3 A19:M21 B18:M18 A23:M499 B22:M22">
    <cfRule type="expression" dxfId="8" priority="16">
      <formula>AND($A3&lt;&gt;"",$G3="Did not pass re-test")</formula>
    </cfRule>
  </conditionalFormatting>
  <conditionalFormatting sqref="M3:M499">
    <cfRule type="expression" dxfId="7" priority="10">
      <formula>ISNUMBER(SEARCH("Sent back again",$M3))</formula>
    </cfRule>
    <cfRule type="expression" dxfId="6" priority="11">
      <formula>ISNUMBER(SEARCH("LATE",$M3))</formula>
    </cfRule>
    <cfRule type="expression" dxfId="5" priority="12">
      <formula>ISNUMBER(SEARCH("UNCLAIMED",$M3))</formula>
    </cfRule>
    <cfRule type="expression" dxfId="4" priority="13">
      <formula>ISNUMBER(SEARCH("Missing",$M3))</formula>
    </cfRule>
    <cfRule type="expression" dxfId="3" priority="14">
      <formula>ISNUMBER(SEARCH("Fixed in",$M3))</formula>
    </cfRule>
    <cfRule type="expression" dxfId="2" priority="15">
      <formula>ISNUMBER(SEARCH("Open",$M3))</formula>
    </cfRule>
  </conditionalFormatting>
  <conditionalFormatting sqref="A18">
    <cfRule type="expression" dxfId="1" priority="3">
      <formula>AND($B18&lt;&gt;"",MOD(ROW(),2)=0)</formula>
    </cfRule>
  </conditionalFormatting>
  <conditionalFormatting sqref="A22">
    <cfRule type="expression" dxfId="0" priority="1">
      <formula>AND($B22&lt;&gt;"",MOD(ROW(),2)=0)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A19:A21 A23:A499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9" t="s">
        <v>378</v>
      </c>
      <c r="B1" s="104"/>
      <c r="C1" s="104"/>
      <c r="D1" s="104"/>
      <c r="E1" s="104"/>
      <c r="F1" s="104"/>
      <c r="G1" s="104"/>
      <c r="H1" s="104"/>
      <c r="I1" s="104"/>
      <c r="J1" s="104"/>
    </row>
    <row r="2" spans="1:10" ht="27" customHeight="1">
      <c r="A2" s="8" t="s">
        <v>0</v>
      </c>
      <c r="B2" s="8" t="s">
        <v>379</v>
      </c>
      <c r="C2" s="8" t="s">
        <v>1</v>
      </c>
      <c r="D2" s="8" t="s">
        <v>380</v>
      </c>
      <c r="E2" s="8" t="s">
        <v>381</v>
      </c>
      <c r="F2" s="8" t="s">
        <v>6</v>
      </c>
      <c r="G2" s="8" t="s">
        <v>5</v>
      </c>
      <c r="H2" s="8" t="s">
        <v>382</v>
      </c>
      <c r="I2" s="8" t="s">
        <v>383</v>
      </c>
      <c r="J2" s="8" t="s">
        <v>384</v>
      </c>
    </row>
    <row r="3" spans="1:10" ht="14.25" customHeight="1">
      <c r="A3" s="9" t="s">
        <v>39</v>
      </c>
      <c r="B3" s="9" t="s">
        <v>155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150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155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150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155</v>
      </c>
      <c r="C13" s="9" t="s">
        <v>385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150</v>
      </c>
      <c r="C14" s="9" t="s">
        <v>385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385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385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385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155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150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155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150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155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150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155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150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155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150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155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150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155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150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155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150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155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150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155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150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155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150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155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150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155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150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155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150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155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150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155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150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155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150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155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150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155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150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155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150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155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150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155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150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155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150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155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150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155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150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155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150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155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150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155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150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155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150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155</v>
      </c>
      <c r="C153" s="9" t="s">
        <v>144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150</v>
      </c>
      <c r="C154" s="9" t="s">
        <v>144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144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155</v>
      </c>
      <c r="C156" s="9" t="s">
        <v>146</v>
      </c>
      <c r="D156" s="9" t="s">
        <v>83</v>
      </c>
      <c r="E156" s="9" t="s">
        <v>59</v>
      </c>
      <c r="F156" s="9"/>
      <c r="G156" s="9" t="s">
        <v>147</v>
      </c>
      <c r="H156" s="9"/>
      <c r="I156" s="9"/>
      <c r="J156" s="9"/>
    </row>
    <row r="157" spans="1:10">
      <c r="A157" s="3" t="s">
        <v>126</v>
      </c>
      <c r="B157" s="3" t="s">
        <v>155</v>
      </c>
      <c r="C157" s="3" t="s">
        <v>149</v>
      </c>
      <c r="D157" s="3" t="s">
        <v>117</v>
      </c>
      <c r="E157" s="3" t="s">
        <v>45</v>
      </c>
      <c r="F157" s="3"/>
      <c r="G157" s="3" t="s">
        <v>147</v>
      </c>
      <c r="H157" s="3"/>
      <c r="I157" s="3"/>
      <c r="J157" s="3"/>
    </row>
    <row r="158" spans="1:10">
      <c r="A158" s="3" t="s">
        <v>126</v>
      </c>
      <c r="B158" s="3" t="s">
        <v>155</v>
      </c>
      <c r="C158" s="3" t="s">
        <v>154</v>
      </c>
      <c r="D158" s="3" t="s">
        <v>117</v>
      </c>
      <c r="E158" s="3" t="s">
        <v>45</v>
      </c>
      <c r="F158" s="3"/>
      <c r="G158" s="3" t="s">
        <v>147</v>
      </c>
      <c r="H158" s="3"/>
      <c r="I158" s="3"/>
      <c r="J158" s="3"/>
    </row>
    <row r="159" spans="1:10">
      <c r="A159" s="3" t="s">
        <v>126</v>
      </c>
      <c r="B159" s="3" t="s">
        <v>150</v>
      </c>
      <c r="C159" s="3" t="s">
        <v>154</v>
      </c>
      <c r="D159" s="3" t="s">
        <v>117</v>
      </c>
      <c r="E159" s="3" t="s">
        <v>45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154</v>
      </c>
      <c r="D160" s="3" t="s">
        <v>117</v>
      </c>
      <c r="E160" s="3" t="s">
        <v>45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155</v>
      </c>
      <c r="C161" s="3" t="s">
        <v>156</v>
      </c>
      <c r="D161" s="3" t="s">
        <v>83</v>
      </c>
      <c r="E161" s="3" t="s">
        <v>59</v>
      </c>
      <c r="F161" s="3"/>
      <c r="G161" s="3" t="s">
        <v>147</v>
      </c>
      <c r="H161" s="3"/>
      <c r="I161" s="3"/>
      <c r="J161" s="3"/>
    </row>
    <row r="162" spans="1:10">
      <c r="A162" s="3" t="s">
        <v>126</v>
      </c>
      <c r="B162" s="3" t="s">
        <v>150</v>
      </c>
      <c r="C162" s="3" t="s">
        <v>156</v>
      </c>
      <c r="D162" s="3" t="s">
        <v>83</v>
      </c>
      <c r="E162" s="3" t="s">
        <v>59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156</v>
      </c>
      <c r="D163" s="3" t="s">
        <v>83</v>
      </c>
      <c r="E163" s="3" t="s">
        <v>59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155</v>
      </c>
      <c r="C164" s="3" t="s">
        <v>159</v>
      </c>
      <c r="D164" s="3" t="s">
        <v>161</v>
      </c>
      <c r="E164" s="3" t="s">
        <v>59</v>
      </c>
      <c r="F164" s="3"/>
      <c r="G164" s="3" t="s">
        <v>147</v>
      </c>
      <c r="H164" s="3"/>
      <c r="I164" s="3"/>
      <c r="J164" s="3"/>
    </row>
    <row r="165" spans="1:10">
      <c r="A165" s="3" t="s">
        <v>126</v>
      </c>
      <c r="B165" s="3" t="s">
        <v>150</v>
      </c>
      <c r="C165" s="3" t="s">
        <v>159</v>
      </c>
      <c r="D165" s="3" t="s">
        <v>161</v>
      </c>
      <c r="E165" s="3" t="s">
        <v>59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159</v>
      </c>
      <c r="D166" s="3" t="s">
        <v>161</v>
      </c>
      <c r="E166" s="3" t="s">
        <v>59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155</v>
      </c>
      <c r="C167" s="3" t="s">
        <v>162</v>
      </c>
      <c r="D167" s="3" t="s">
        <v>161</v>
      </c>
      <c r="E167" s="3" t="s">
        <v>76</v>
      </c>
      <c r="F167" s="3"/>
      <c r="G167" s="3" t="s">
        <v>147</v>
      </c>
      <c r="H167" s="3"/>
      <c r="I167" s="3"/>
      <c r="J167" s="3"/>
    </row>
    <row r="168" spans="1:10">
      <c r="A168" s="3" t="s">
        <v>126</v>
      </c>
      <c r="B168" s="3" t="s">
        <v>150</v>
      </c>
      <c r="C168" s="3" t="s">
        <v>162</v>
      </c>
      <c r="D168" s="3" t="s">
        <v>161</v>
      </c>
      <c r="E168" s="3" t="s">
        <v>76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162</v>
      </c>
      <c r="D169" s="3" t="s">
        <v>161</v>
      </c>
      <c r="E169" s="3" t="s">
        <v>76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155</v>
      </c>
      <c r="C170" s="3" t="s">
        <v>163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150</v>
      </c>
      <c r="C171" s="3" t="s">
        <v>163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163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155</v>
      </c>
      <c r="C173" s="3" t="s">
        <v>165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150</v>
      </c>
      <c r="C174" s="3" t="s">
        <v>165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165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155</v>
      </c>
      <c r="C176" s="3" t="s">
        <v>167</v>
      </c>
      <c r="D176" s="3" t="s">
        <v>75</v>
      </c>
      <c r="E176" s="3" t="s">
        <v>76</v>
      </c>
      <c r="F176" s="3"/>
      <c r="G176" s="3" t="s">
        <v>147</v>
      </c>
      <c r="H176" s="3"/>
      <c r="I176" s="3"/>
      <c r="J176" s="3"/>
    </row>
    <row r="177" spans="1:10">
      <c r="A177" s="3" t="s">
        <v>126</v>
      </c>
      <c r="B177" s="3" t="s">
        <v>150</v>
      </c>
      <c r="C177" s="3" t="s">
        <v>167</v>
      </c>
      <c r="D177" s="3" t="s">
        <v>75</v>
      </c>
      <c r="E177" s="3" t="s">
        <v>76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167</v>
      </c>
      <c r="D178" s="3" t="s">
        <v>75</v>
      </c>
      <c r="E178" s="3" t="s">
        <v>76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155</v>
      </c>
      <c r="C179" s="3" t="s">
        <v>170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150</v>
      </c>
      <c r="C180" s="3" t="s">
        <v>170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170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155</v>
      </c>
      <c r="C182" s="3" t="s">
        <v>181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150</v>
      </c>
      <c r="C183" s="3" t="s">
        <v>181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181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110" t="s">
        <v>386</v>
      </c>
      <c r="B1" s="104"/>
      <c r="C1" s="104"/>
    </row>
    <row r="2" spans="1:3" ht="14.25" customHeight="1">
      <c r="A2" s="8" t="s">
        <v>0</v>
      </c>
      <c r="B2" s="8" t="s">
        <v>387</v>
      </c>
      <c r="C2" s="8" t="s">
        <v>383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388</v>
      </c>
      <c r="B11" s="11">
        <v>18</v>
      </c>
      <c r="C11" s="12">
        <v>46386</v>
      </c>
    </row>
    <row r="12" spans="1:3" ht="14.25" customHeight="1">
      <c r="A12" s="11" t="s">
        <v>388</v>
      </c>
      <c r="B12" s="11">
        <v>18</v>
      </c>
      <c r="C12" s="12">
        <v>46417</v>
      </c>
    </row>
    <row r="13" spans="1:3" ht="14.25" customHeight="1">
      <c r="A13" s="11" t="s">
        <v>388</v>
      </c>
      <c r="B13" s="11">
        <v>19</v>
      </c>
      <c r="C13" s="12">
        <v>46446</v>
      </c>
    </row>
    <row r="14" spans="1:3" ht="14.25" customHeight="1">
      <c r="A14" s="11" t="s">
        <v>299</v>
      </c>
      <c r="B14" s="11">
        <v>9</v>
      </c>
      <c r="C14" s="12">
        <v>46476</v>
      </c>
    </row>
    <row r="15" spans="1:3" ht="14.25" customHeight="1">
      <c r="A15" s="11" t="s">
        <v>289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389</v>
      </c>
      <c r="F1" s="1" t="s">
        <v>326</v>
      </c>
      <c r="G1" s="5" t="s">
        <v>390</v>
      </c>
      <c r="H1" s="5" t="s">
        <v>20</v>
      </c>
      <c r="I1" t="s">
        <v>34</v>
      </c>
      <c r="J1" s="5" t="s">
        <v>391</v>
      </c>
      <c r="K1" s="5" t="s">
        <v>128</v>
      </c>
      <c r="L1" s="5" t="s">
        <v>345</v>
      </c>
      <c r="M1" s="1" t="s">
        <v>392</v>
      </c>
      <c r="N1" s="1" t="s">
        <v>393</v>
      </c>
      <c r="R1" t="s">
        <v>13</v>
      </c>
      <c r="T1" t="s">
        <v>394</v>
      </c>
    </row>
    <row r="2" spans="1:20" ht="13.5" customHeight="1">
      <c r="A2" s="2" t="s">
        <v>395</v>
      </c>
      <c r="B2" s="2" t="s">
        <v>396</v>
      </c>
      <c r="C2" s="2" t="s">
        <v>397</v>
      </c>
      <c r="D2" s="2" t="s">
        <v>398</v>
      </c>
      <c r="E2" s="2" t="s">
        <v>399</v>
      </c>
      <c r="F2" s="2" t="s">
        <v>400</v>
      </c>
      <c r="G2" t="s">
        <v>401</v>
      </c>
      <c r="H2" t="s">
        <v>402</v>
      </c>
      <c r="I2" t="s">
        <v>403</v>
      </c>
      <c r="J2" s="29" t="s">
        <v>404</v>
      </c>
      <c r="K2" s="29" t="s">
        <v>405</v>
      </c>
      <c r="L2" s="29" t="s">
        <v>406</v>
      </c>
      <c r="M2" t="s">
        <v>147</v>
      </c>
      <c r="N2" s="45" t="s">
        <v>407</v>
      </c>
      <c r="R2" t="s">
        <v>408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207</v>
      </c>
      <c r="G3" t="s">
        <v>43</v>
      </c>
      <c r="H3" t="s">
        <v>46</v>
      </c>
      <c r="I3" t="s">
        <v>52</v>
      </c>
      <c r="J3" t="s">
        <v>155</v>
      </c>
      <c r="K3" t="s">
        <v>47</v>
      </c>
      <c r="L3" t="s">
        <v>52</v>
      </c>
      <c r="M3" t="s">
        <v>43</v>
      </c>
      <c r="N3" s="45" t="s">
        <v>409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147</v>
      </c>
      <c r="E4" t="s">
        <v>52</v>
      </c>
      <c r="F4" t="s">
        <v>155</v>
      </c>
      <c r="G4" t="s">
        <v>58</v>
      </c>
      <c r="H4" t="s">
        <v>87</v>
      </c>
      <c r="I4" t="s">
        <v>410</v>
      </c>
      <c r="J4" t="s">
        <v>150</v>
      </c>
      <c r="L4" t="s">
        <v>49</v>
      </c>
      <c r="M4" t="s">
        <v>102</v>
      </c>
      <c r="N4" s="45" t="s">
        <v>409</v>
      </c>
      <c r="R4" t="s">
        <v>173</v>
      </c>
      <c r="T4" t="s">
        <v>71</v>
      </c>
    </row>
    <row r="5" spans="1:20" ht="15" customHeight="1">
      <c r="A5" t="s">
        <v>388</v>
      </c>
      <c r="B5" t="s">
        <v>64</v>
      </c>
      <c r="C5" t="s">
        <v>76</v>
      </c>
      <c r="F5" t="s">
        <v>150</v>
      </c>
      <c r="G5" t="s">
        <v>64</v>
      </c>
      <c r="H5" t="s">
        <v>129</v>
      </c>
      <c r="I5" t="s">
        <v>142</v>
      </c>
      <c r="J5" t="s">
        <v>140</v>
      </c>
      <c r="L5" t="s">
        <v>411</v>
      </c>
      <c r="M5" t="s">
        <v>87</v>
      </c>
      <c r="N5" s="45" t="s">
        <v>409</v>
      </c>
    </row>
    <row r="6" spans="1:20" ht="15" customHeight="1">
      <c r="A6" t="s">
        <v>299</v>
      </c>
      <c r="B6" t="s">
        <v>83</v>
      </c>
      <c r="F6" t="s">
        <v>140</v>
      </c>
      <c r="G6" t="s">
        <v>83</v>
      </c>
      <c r="H6" t="s">
        <v>147</v>
      </c>
      <c r="I6" t="s">
        <v>152</v>
      </c>
      <c r="J6" t="s">
        <v>128</v>
      </c>
      <c r="M6" t="s">
        <v>47</v>
      </c>
      <c r="N6" s="45" t="s">
        <v>409</v>
      </c>
    </row>
    <row r="7" spans="1:20" ht="15" customHeight="1">
      <c r="A7" t="s">
        <v>289</v>
      </c>
      <c r="B7" t="s">
        <v>117</v>
      </c>
      <c r="F7" t="s">
        <v>128</v>
      </c>
      <c r="G7" t="s">
        <v>117</v>
      </c>
      <c r="I7" t="s">
        <v>412</v>
      </c>
      <c r="M7" t="s">
        <v>129</v>
      </c>
      <c r="N7" s="45" t="s">
        <v>409</v>
      </c>
    </row>
    <row r="8" spans="1:20" ht="15" customHeight="1">
      <c r="B8" t="s">
        <v>75</v>
      </c>
      <c r="F8" t="s">
        <v>41</v>
      </c>
      <c r="G8" t="s">
        <v>75</v>
      </c>
      <c r="I8" t="s">
        <v>413</v>
      </c>
      <c r="M8" t="s">
        <v>59</v>
      </c>
      <c r="N8" s="45" t="s">
        <v>409</v>
      </c>
    </row>
    <row r="9" spans="1:20" ht="15" customHeight="1">
      <c r="B9" t="s">
        <v>102</v>
      </c>
      <c r="G9" t="s">
        <v>102</v>
      </c>
      <c r="I9" t="s">
        <v>414</v>
      </c>
      <c r="M9" t="s">
        <v>161</v>
      </c>
      <c r="N9" s="45" t="s">
        <v>409</v>
      </c>
    </row>
    <row r="10" spans="1:20" ht="15" customHeight="1">
      <c r="B10" t="s">
        <v>161</v>
      </c>
      <c r="G10" t="s">
        <v>161</v>
      </c>
      <c r="M10" t="s">
        <v>46</v>
      </c>
      <c r="N10" s="45" t="s">
        <v>409</v>
      </c>
    </row>
    <row r="11" spans="1:20">
      <c r="B11" t="s">
        <v>415</v>
      </c>
      <c r="G11" t="s">
        <v>59</v>
      </c>
      <c r="M11" t="s">
        <v>75</v>
      </c>
      <c r="N11" s="45" t="s">
        <v>409</v>
      </c>
    </row>
    <row r="12" spans="1:20">
      <c r="B12" t="s">
        <v>416</v>
      </c>
      <c r="G12" t="s">
        <v>45</v>
      </c>
      <c r="M12" t="s">
        <v>45</v>
      </c>
      <c r="N12" s="45" t="s">
        <v>409</v>
      </c>
    </row>
    <row r="13" spans="1:20">
      <c r="G13" t="s">
        <v>76</v>
      </c>
      <c r="M13" t="s">
        <v>76</v>
      </c>
      <c r="N13" s="45" t="s">
        <v>409</v>
      </c>
    </row>
    <row r="14" spans="1:20">
      <c r="M14" t="s">
        <v>83</v>
      </c>
      <c r="N14" s="45" t="s">
        <v>417</v>
      </c>
    </row>
    <row r="15" spans="1:20">
      <c r="M15" t="s">
        <v>58</v>
      </c>
      <c r="N15" s="45" t="s">
        <v>409</v>
      </c>
    </row>
    <row r="16" spans="1:20">
      <c r="M16" t="s">
        <v>117</v>
      </c>
      <c r="N16" s="45" t="s">
        <v>409</v>
      </c>
    </row>
    <row r="17" spans="13:14">
      <c r="M17" t="s">
        <v>64</v>
      </c>
      <c r="N17" s="45" t="s">
        <v>409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Santosh Malvi</cp:lastModifiedBy>
  <cp:revision>0</cp:revision>
  <dcterms:created xsi:type="dcterms:W3CDTF">2026-07-21T14:32:59Z</dcterms:created>
  <dcterms:modified xsi:type="dcterms:W3CDTF">2026-09-01T18:39:29Z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