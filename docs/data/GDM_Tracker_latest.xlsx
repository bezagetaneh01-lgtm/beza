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12" documentId="13_ncr:1_{52745E9B-3AA1-4770-AAD3-E6166BFC13AE}" xr6:coauthVersionLast="47" xr6:coauthVersionMax="47" xr10:uidLastSave="{74AB8223-0431-4484-AE70-0B085F496D31}"/>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<sst xmlns="http://schemas.openxmlformats.org/spreadsheetml/2006/main" count="3134" uniqueCount="451">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</sst>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4.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B1" activePane="topRight" state="frozen"/>
      <selection pane="topRight" activeCell="AD42" sqref="AD4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132</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132</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143</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50">
        <v>46234</v>
      </c>
      <c r="I35" s="61" t="s">
        <v>130</v>
      </c>
      <c r="J35" s="33" t="s">
        <v>65</v>
      </c>
      <c r="K35" s="4">
        <v>46213</v>
      </c>
      <c r="L35" s="36">
        <v>46244</v>
      </c>
      <c r="M35" s="35">
        <v>46258</v>
      </c>
      <c r="N35" s="47" t="s">
        <v>146</v>
      </c>
      <c r="O35" s="36" t="s">
        <v>131</v>
      </c>
      <c r="P35" s="65" t="s">
        <v>46</v>
      </c>
      <c r="Q35" s="4">
        <v>46220</v>
      </c>
      <c r="R35" s="36">
        <v>46251</v>
      </c>
      <c r="S35" s="36">
        <v>46266</v>
      </c>
      <c r="T35" s="69"/>
      <c r="U35" s="54" t="s">
        <v>143</v>
      </c>
      <c r="V35" s="59">
        <v>46227</v>
      </c>
      <c r="W35" s="36">
        <v>46269</v>
      </c>
      <c r="X35" s="36"/>
      <c r="Y35" s="36">
        <v>46267</v>
      </c>
      <c r="Z35" s="36"/>
      <c r="AA35" s="52">
        <v>46232</v>
      </c>
      <c r="AB35" s="36">
        <v>46275</v>
      </c>
      <c r="AC35" s="36">
        <v>46273</v>
      </c>
      <c r="AD35" s="33" t="s">
        <v>132</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143</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143</v>
      </c>
      <c r="V37" s="59">
        <v>46227</v>
      </c>
      <c r="W37" s="36">
        <v>46260</v>
      </c>
      <c r="X37" s="36"/>
      <c r="Y37" s="36">
        <v>46255</v>
      </c>
      <c r="Z37" s="36"/>
      <c r="AA37" s="52">
        <v>46232</v>
      </c>
      <c r="AB37" s="36">
        <v>46269</v>
      </c>
      <c r="AC37" s="36">
        <v>46269</v>
      </c>
      <c r="AD37" s="33" t="s">
        <v>150</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50">
        <v>46234</v>
      </c>
      <c r="I38" s="61" t="s">
        <v>130</v>
      </c>
      <c r="J38" s="33" t="s">
        <v>154</v>
      </c>
      <c r="K38" s="4">
        <v>46213</v>
      </c>
      <c r="L38" s="36">
        <v>46246</v>
      </c>
      <c r="M38" s="35">
        <v>46254</v>
      </c>
      <c r="N38" s="47" t="s">
        <v>45</v>
      </c>
      <c r="O38" s="36" t="s">
        <v>131</v>
      </c>
      <c r="P38" s="65" t="s">
        <v>60</v>
      </c>
      <c r="Q38" s="4">
        <v>46220</v>
      </c>
      <c r="R38" s="36">
        <v>46254</v>
      </c>
      <c r="S38" s="36">
        <v>46254</v>
      </c>
      <c r="T38" s="69"/>
      <c r="U38" s="54" t="s">
        <v>143</v>
      </c>
      <c r="V38" s="59">
        <v>46227</v>
      </c>
      <c r="W38" s="36">
        <v>46259</v>
      </c>
      <c r="X38" s="36"/>
      <c r="Y38" s="36">
        <v>46254</v>
      </c>
      <c r="Z38" s="36"/>
      <c r="AA38" s="52">
        <v>46232</v>
      </c>
      <c r="AB38" s="36">
        <v>46269</v>
      </c>
      <c r="AC38" s="36">
        <v>46269</v>
      </c>
      <c r="AD38" s="33" t="s">
        <v>150</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50">
        <v>46234</v>
      </c>
      <c r="I39" s="61" t="s">
        <v>130</v>
      </c>
      <c r="J39" s="33" t="s">
        <v>154</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150</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50">
        <v>46234</v>
      </c>
      <c r="I42" s="61" t="s">
        <v>130</v>
      </c>
      <c r="J42" s="33" t="s">
        <v>76</v>
      </c>
      <c r="K42" s="4">
        <v>46213</v>
      </c>
      <c r="L42" s="36">
        <v>46245</v>
      </c>
      <c r="M42" s="36">
        <v>46245</v>
      </c>
      <c r="N42" s="36" t="s">
        <v>45</v>
      </c>
      <c r="O42" s="36" t="s">
        <v>161</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150</v>
      </c>
      <c r="AE42" s="33" t="s">
        <v>49</v>
      </c>
      <c r="AF42" s="38"/>
      <c r="AG42" s="36"/>
      <c r="AH42" s="39"/>
      <c r="AI42" s="33"/>
      <c r="AJ42" s="40" t="s">
        <v>53</v>
      </c>
      <c r="AK42" s="48"/>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50">
        <v>46265</v>
      </c>
      <c r="I43" s="61" t="s">
        <v>166</v>
      </c>
      <c r="J43" s="33" t="s">
        <v>103</v>
      </c>
      <c r="K43" s="4">
        <v>46234</v>
      </c>
      <c r="L43" s="36">
        <v>46251</v>
      </c>
      <c r="M43" s="36">
        <v>46252</v>
      </c>
      <c r="N43" s="47" t="s">
        <v>146</v>
      </c>
      <c r="O43" s="36" t="s">
        <v>167</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50">
        <v>46265</v>
      </c>
      <c r="I44" s="61" t="s">
        <v>166</v>
      </c>
      <c r="J44" s="33" t="s">
        <v>59</v>
      </c>
      <c r="K44" s="4">
        <v>46234</v>
      </c>
      <c r="L44" s="36">
        <v>46255</v>
      </c>
      <c r="M44" s="36">
        <v>46255</v>
      </c>
      <c r="N44" s="36" t="s">
        <v>45</v>
      </c>
      <c r="O44" s="36" t="s">
        <v>167</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170</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166</v>
      </c>
      <c r="J45" s="33" t="s">
        <v>44</v>
      </c>
      <c r="K45" s="4">
        <v>46234</v>
      </c>
      <c r="L45" s="36">
        <v>46249</v>
      </c>
      <c r="M45" s="36">
        <v>46244</v>
      </c>
      <c r="N45" s="36"/>
      <c r="O45" s="36" t="s">
        <v>167</v>
      </c>
      <c r="P45" s="65" t="s">
        <v>77</v>
      </c>
      <c r="Q45" s="4">
        <v>46241</v>
      </c>
      <c r="R45" s="36">
        <v>46252</v>
      </c>
      <c r="S45" s="36">
        <v>46265</v>
      </c>
      <c r="T45" s="69"/>
      <c r="U45" s="54" t="s">
        <v>47</v>
      </c>
      <c r="V45" s="59">
        <v>46255</v>
      </c>
      <c r="W45" s="36">
        <v>46268</v>
      </c>
      <c r="X45" s="36"/>
      <c r="Y45" s="36">
        <v>46265</v>
      </c>
      <c r="Z45" s="36"/>
      <c r="AA45" s="52">
        <v>46260</v>
      </c>
      <c r="AB45" s="36">
        <v>46283</v>
      </c>
      <c r="AC45" s="36"/>
      <c r="AD45" s="33" t="s">
        <v>170</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174</v>
      </c>
      <c r="C46" s="33" t="s">
        <v>164</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166</v>
      </c>
      <c r="J46" s="33" t="s">
        <v>84</v>
      </c>
      <c r="K46" s="4">
        <v>46234</v>
      </c>
      <c r="L46" s="36">
        <v>46213</v>
      </c>
      <c r="M46" s="36">
        <v>46244</v>
      </c>
      <c r="N46" s="36"/>
      <c r="O46" s="36" t="s">
        <v>175</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176</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166</v>
      </c>
      <c r="J47" s="33" t="s">
        <v>154</v>
      </c>
      <c r="K47" s="4">
        <v>46234</v>
      </c>
      <c r="L47" s="36">
        <v>46246</v>
      </c>
      <c r="M47" s="36">
        <v>46246</v>
      </c>
      <c r="N47" s="36" t="s">
        <v>45</v>
      </c>
      <c r="O47" s="36" t="s">
        <v>177</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178</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50">
        <v>46265</v>
      </c>
      <c r="I48" s="61" t="s">
        <v>166</v>
      </c>
      <c r="J48" s="33" t="s">
        <v>103</v>
      </c>
      <c r="K48" s="4">
        <v>46234</v>
      </c>
      <c r="L48" s="36">
        <v>46255</v>
      </c>
      <c r="M48" s="36">
        <v>46253</v>
      </c>
      <c r="N48" s="36" t="s">
        <v>45</v>
      </c>
      <c r="O48" s="36" t="s">
        <v>177</v>
      </c>
      <c r="P48" s="65" t="s">
        <v>46</v>
      </c>
      <c r="Q48" s="4">
        <v>46241</v>
      </c>
      <c r="R48" s="36">
        <v>46255</v>
      </c>
      <c r="S48" s="36">
        <v>46255</v>
      </c>
      <c r="T48" s="69"/>
      <c r="U48" s="54" t="s">
        <v>143</v>
      </c>
      <c r="V48" s="59">
        <v>46255</v>
      </c>
      <c r="W48" s="36">
        <v>46269</v>
      </c>
      <c r="X48" s="36"/>
      <c r="Y48" s="36">
        <v>46269</v>
      </c>
      <c r="Z48" s="36"/>
      <c r="AA48" s="52">
        <v>46260</v>
      </c>
      <c r="AB48" s="47">
        <v>46283</v>
      </c>
      <c r="AC48" s="36"/>
      <c r="AD48" s="33" t="s">
        <v>170</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166</v>
      </c>
      <c r="J49" s="33" t="s">
        <v>154</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150</v>
      </c>
      <c r="AE49" s="33" t="s">
        <v>72</v>
      </c>
      <c r="AF49" s="38"/>
      <c r="AG49" s="36"/>
      <c r="AH49" s="39"/>
      <c r="AI49" s="33"/>
      <c r="AJ49" s="40" t="s">
        <v>182</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50">
        <v>46265</v>
      </c>
      <c r="I50" s="61" t="s">
        <v>166</v>
      </c>
      <c r="J50" s="33" t="s">
        <v>44</v>
      </c>
      <c r="K50" s="117">
        <v>46234</v>
      </c>
      <c r="L50" s="118">
        <v>46249</v>
      </c>
      <c r="M50" s="118">
        <v>46245</v>
      </c>
      <c r="N50" s="118" t="s">
        <v>184</v>
      </c>
      <c r="O50" s="118" t="s">
        <v>177</v>
      </c>
      <c r="P50" s="65" t="s">
        <v>60</v>
      </c>
      <c r="Q50" s="4">
        <v>46241</v>
      </c>
      <c r="R50" s="36">
        <v>46252</v>
      </c>
      <c r="S50" s="36">
        <v>46252</v>
      </c>
      <c r="T50" s="69"/>
      <c r="U50" s="54" t="s">
        <v>143</v>
      </c>
      <c r="V50" s="59">
        <v>46255</v>
      </c>
      <c r="W50" s="36">
        <v>46274</v>
      </c>
      <c r="X50" s="36"/>
      <c r="Y50" s="36">
        <v>46273</v>
      </c>
      <c r="Z50" s="36"/>
      <c r="AA50" s="52">
        <v>46260</v>
      </c>
      <c r="AB50" s="36">
        <v>46283</v>
      </c>
      <c r="AC50" s="36"/>
      <c r="AD50" s="33" t="s">
        <v>170</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50">
        <v>46265</v>
      </c>
      <c r="I51" s="61" t="s">
        <v>166</v>
      </c>
      <c r="J51" s="33" t="s">
        <v>76</v>
      </c>
      <c r="K51" s="4">
        <v>46234</v>
      </c>
      <c r="L51" s="36">
        <v>46248</v>
      </c>
      <c r="M51" s="36">
        <v>46248</v>
      </c>
      <c r="N51" s="36" t="s">
        <v>45</v>
      </c>
      <c r="O51" s="36" t="s">
        <v>177</v>
      </c>
      <c r="P51" s="65" t="s">
        <v>77</v>
      </c>
      <c r="Q51" s="4">
        <v>46241</v>
      </c>
      <c r="R51" s="36">
        <v>46255</v>
      </c>
      <c r="S51" s="36">
        <v>46260</v>
      </c>
      <c r="T51" s="69"/>
      <c r="U51" s="54" t="s">
        <v>143</v>
      </c>
      <c r="V51" s="59">
        <v>46255</v>
      </c>
      <c r="W51" s="36">
        <v>46276</v>
      </c>
      <c r="X51" s="36"/>
      <c r="Y51" s="36">
        <v>46276</v>
      </c>
      <c r="Z51" s="36"/>
      <c r="AA51" s="52">
        <v>46260</v>
      </c>
      <c r="AB51" s="36">
        <v>46283</v>
      </c>
      <c r="AC51" s="36"/>
      <c r="AD51" s="33" t="s">
        <v>186</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166</v>
      </c>
      <c r="J52" s="33" t="s">
        <v>65</v>
      </c>
      <c r="K52" s="4">
        <v>46234</v>
      </c>
      <c r="L52" s="36">
        <v>46253</v>
      </c>
      <c r="M52" s="36">
        <v>46252</v>
      </c>
      <c r="N52" s="47" t="s">
        <v>146</v>
      </c>
      <c r="O52" s="36" t="s">
        <v>177</v>
      </c>
      <c r="P52" s="65" t="s">
        <v>46</v>
      </c>
      <c r="Q52" s="4">
        <v>46241</v>
      </c>
      <c r="R52" s="36">
        <v>46266</v>
      </c>
      <c r="S52" s="36">
        <v>46267</v>
      </c>
      <c r="T52" s="69"/>
      <c r="U52" s="54" t="s">
        <v>47</v>
      </c>
      <c r="V52" s="59">
        <v>46255</v>
      </c>
      <c r="W52" s="36">
        <v>46269</v>
      </c>
      <c r="X52" s="36"/>
      <c r="Y52" s="36"/>
      <c r="Z52" s="36"/>
      <c r="AA52" s="52">
        <v>46260</v>
      </c>
      <c r="AB52" s="36">
        <v>46295</v>
      </c>
      <c r="AC52" s="36"/>
      <c r="AD52" s="33" t="s">
        <v>189</v>
      </c>
      <c r="AE52" s="33" t="s">
        <v>72</v>
      </c>
      <c r="AF52" s="38"/>
      <c r="AG52" s="36"/>
      <c r="AH52" s="39"/>
      <c r="AI52" s="33"/>
      <c r="AJ52" s="40" t="s">
        <v>190</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188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143</v>
      </c>
      <c r="G53" s="33"/>
      <c r="H53" s="50">
        <v>46265</v>
      </c>
      <c r="I53" s="61" t="s">
        <v>166</v>
      </c>
      <c r="J53" s="33" t="s">
        <v>76</v>
      </c>
      <c r="K53" s="4">
        <v>46234</v>
      </c>
      <c r="L53" s="36">
        <v>46251</v>
      </c>
      <c r="M53" s="36">
        <v>46251</v>
      </c>
      <c r="N53" s="36" t="s">
        <v>184</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190</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166</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196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196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197</v>
      </c>
      <c r="J56" s="33" t="s">
        <v>76</v>
      </c>
      <c r="K56" s="4">
        <v>46262</v>
      </c>
      <c r="L56" s="36">
        <v>46253</v>
      </c>
      <c r="M56" s="36">
        <v>46253</v>
      </c>
      <c r="N56" s="36" t="s">
        <v>184</v>
      </c>
      <c r="O56" s="36" t="s">
        <v>198</v>
      </c>
      <c r="P56" s="63" t="s">
        <v>60</v>
      </c>
      <c r="Q56" s="4">
        <v>46269</v>
      </c>
      <c r="R56" s="36">
        <v>46266</v>
      </c>
      <c r="S56" s="36">
        <v>46266</v>
      </c>
      <c r="T56" s="69" t="s">
        <v>199</v>
      </c>
      <c r="U56" s="33" t="s">
        <v>203</v>
      </c>
      <c r="V56" s="59">
        <v>46276</v>
      </c>
      <c r="W56" s="36">
        <v>46285</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50">
        <v>46295</v>
      </c>
      <c r="I57" s="55" t="s">
        <v>197</v>
      </c>
      <c r="J57" s="33" t="s">
        <v>65</v>
      </c>
      <c r="K57" s="4">
        <v>46262</v>
      </c>
      <c r="L57" s="36">
        <v>46254</v>
      </c>
      <c r="M57" s="36"/>
      <c r="N57" s="47" t="s">
        <v>146</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190</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146</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182</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211</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196</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50">
        <v>46295</v>
      </c>
      <c r="I60" s="55" t="s">
        <v>197</v>
      </c>
      <c r="J60" s="33" t="s">
        <v>154</v>
      </c>
      <c r="K60" s="4">
        <v>46262</v>
      </c>
      <c r="L60" s="36">
        <v>46255</v>
      </c>
      <c r="M60" s="36">
        <v>46255</v>
      </c>
      <c r="N60" s="36" t="s">
        <v>184</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196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v>46283</v>
      </c>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143</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221</v>
      </c>
      <c r="C64" s="119" t="s">
        <v>196</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184</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196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154</v>
      </c>
      <c r="K65" s="4">
        <v>46276</v>
      </c>
      <c r="L65" s="4">
        <v>46262</v>
      </c>
      <c r="M65" s="36">
        <v>46265</v>
      </c>
      <c r="N65" s="36" t="s">
        <v>45</v>
      </c>
      <c r="O65" s="36" t="s">
        <v>198</v>
      </c>
      <c r="P65" s="63" t="s">
        <v>77</v>
      </c>
      <c r="Q65" s="4">
        <v>46286</v>
      </c>
      <c r="R65" s="43">
        <v>46273</v>
      </c>
      <c r="S65" s="32">
        <v>46273</v>
      </c>
      <c r="T65" s="69" t="s">
        <v>199</v>
      </c>
      <c r="U65" s="33" t="s">
        <v>203</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219</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227</v>
      </c>
      <c r="C68" s="81" t="s">
        <v>188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228</v>
      </c>
      <c r="K68" s="86">
        <v>46276</v>
      </c>
      <c r="L68" s="87">
        <v>46258</v>
      </c>
      <c r="M68" s="87">
        <v>46258</v>
      </c>
      <c r="N68" s="87"/>
      <c r="O68" s="87" t="s">
        <v>198</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143</v>
      </c>
      <c r="G69" s="98"/>
      <c r="H69" s="101">
        <v>46295</v>
      </c>
      <c r="I69" s="102" t="s">
        <v>197</v>
      </c>
      <c r="J69" s="98" t="s">
        <v>59</v>
      </c>
      <c r="K69" s="103">
        <v>46276</v>
      </c>
      <c r="L69" s="104"/>
      <c r="M69" s="104"/>
      <c r="N69" s="104"/>
      <c r="O69" s="104" t="s">
        <v>198</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219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50">
        <v>46295</v>
      </c>
      <c r="I70" s="55" t="s">
        <v>197</v>
      </c>
      <c r="J70" s="33" t="s">
        <v>65</v>
      </c>
      <c r="K70" s="4">
        <v>46276</v>
      </c>
      <c r="L70" s="36">
        <v>46262</v>
      </c>
      <c r="M70" s="36">
        <v>46276</v>
      </c>
      <c r="N70" s="47" t="s">
        <v>146</v>
      </c>
      <c r="O70" s="36" t="s">
        <v>198</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50">
        <v>46295</v>
      </c>
      <c r="I71" s="55" t="s">
        <v>197</v>
      </c>
      <c r="J71" s="33" t="s">
        <v>44</v>
      </c>
      <c r="K71" s="4">
        <v>46276</v>
      </c>
      <c r="L71" s="36">
        <v>46259</v>
      </c>
      <c r="M71" s="36">
        <v>46259</v>
      </c>
      <c r="N71" s="36"/>
      <c r="O71" s="36" t="s">
        <v>198</v>
      </c>
      <c r="P71" s="63" t="s">
        <v>60</v>
      </c>
      <c r="Q71" s="4">
        <v>46286</v>
      </c>
      <c r="R71" s="36">
        <v>46281</v>
      </c>
      <c r="S71" s="36"/>
      <c r="T71" s="69" t="s">
        <v>229</v>
      </c>
      <c r="U71" s="33" t="s">
        <v>47</v>
      </c>
      <c r="V71" s="59">
        <v>46290</v>
      </c>
      <c r="W71" s="36"/>
      <c r="X71" s="36"/>
      <c r="Y71" s="36"/>
      <c r="Z71" s="36"/>
      <c r="AA71" s="52">
        <v>46295</v>
      </c>
      <c r="AB71" s="36"/>
      <c r="AC71" s="36"/>
      <c r="AD71" s="33" t="s">
        <v>237</v>
      </c>
      <c r="AE71" s="33" t="s">
        <v>94</v>
      </c>
      <c r="AF71" s="38"/>
      <c r="AG71" s="36"/>
      <c r="AH71" s="39"/>
      <c r="AI71" s="33"/>
      <c r="AJ71" s="40" t="s">
        <v>211</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229</v>
      </c>
      <c r="U72" s="33" t="s">
        <v>47</v>
      </c>
      <c r="V72" s="59">
        <v>46290</v>
      </c>
      <c r="W72" s="36">
        <v>46280</v>
      </c>
      <c r="X72" s="36">
        <v>46280</v>
      </c>
      <c r="Y72" s="36">
        <v>46280</v>
      </c>
      <c r="Z72" s="36"/>
      <c r="AA72" s="52">
        <v>46295</v>
      </c>
      <c r="AB72" s="36"/>
      <c r="AC72" s="36"/>
      <c r="AD72" s="33" t="s">
        <v>170</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50">
        <v>46325</v>
      </c>
      <c r="I73" s="56" t="s">
        <v>241</v>
      </c>
      <c r="J73" s="31" t="s">
        <v>76</v>
      </c>
      <c r="K73" s="43">
        <v>46304</v>
      </c>
      <c r="L73" s="43">
        <v>46259</v>
      </c>
      <c r="M73" s="47">
        <v>46259</v>
      </c>
      <c r="N73" s="44" t="s">
        <v>45</v>
      </c>
      <c r="O73" s="44" t="s">
        <v>198</v>
      </c>
      <c r="P73" s="66"/>
      <c r="Q73" s="43">
        <v>46313</v>
      </c>
      <c r="R73" s="43"/>
      <c r="S73" s="44"/>
      <c r="T73" s="70"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50">
        <v>46325</v>
      </c>
      <c r="I74" s="56" t="s">
        <v>241</v>
      </c>
      <c r="J74" s="54" t="s">
        <v>228</v>
      </c>
      <c r="K74" s="43">
        <v>46304</v>
      </c>
      <c r="L74" s="43">
        <v>46269</v>
      </c>
      <c r="M74" s="44">
        <v>46269</v>
      </c>
      <c r="N74" s="44"/>
      <c r="O74" s="44" t="s">
        <v>198</v>
      </c>
      <c r="P74" s="75"/>
      <c r="Q74" s="43">
        <v>46313</v>
      </c>
      <c r="R74" s="43"/>
      <c r="S74" s="44"/>
      <c r="T74" s="70" t="s">
        <v>242</v>
      </c>
      <c r="U74" s="47"/>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244</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198</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246</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198</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247</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154</v>
      </c>
      <c r="K77" s="140">
        <v>46304</v>
      </c>
      <c r="L77" s="140"/>
      <c r="M77" s="141"/>
      <c r="N77" s="141"/>
      <c r="O77" s="141" t="s">
        <v>198</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248</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198</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7">
        <v>46280</v>
      </c>
      <c r="N80" s="44" t="s">
        <v>45</v>
      </c>
      <c r="O80" s="44" t="s">
        <v>249</v>
      </c>
      <c r="P80" s="75"/>
      <c r="Q80" s="43">
        <v>46313</v>
      </c>
      <c r="R80" s="43"/>
      <c r="S80" s="44"/>
      <c r="T80" s="70" t="s">
        <v>242</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254</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154</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50">
        <v>46356</v>
      </c>
      <c r="I89" s="56" t="s">
        <v>264</v>
      </c>
      <c r="J89" s="54" t="s">
        <v>228</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146</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5"/>
      <c r="C4" s="176"/>
      <c r="D4" s="176"/>
      <c r="E4" s="176"/>
    </row>
    <row r="6" spans="1:5" ht="15">
      <c r="A6" s="42" t="s">
        <v>0</v>
      </c>
      <c r="B6" s="173" t="str">
        <f>IF($B$4="","",IFERROR(INDEX('Combined Delivery Data'!$A:$A,MATCH($B$4,'Combined Delivery Data'!$B:$B,0)),""))</f>
        <v/>
      </c>
      <c r="C6" s="177"/>
      <c r="D6" s="177"/>
      <c r="E6" s="178"/>
    </row>
    <row r="7" spans="1:5" ht="15">
      <c r="A7" s="42" t="s">
        <v>331</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332</v>
      </c>
      <c r="B14" s="172" t="str">
        <f>IF($B$4="","",IFERROR(INDEX('Combined Delivery Data'!$K:$K,MATCH($B$4,'Combined Delivery Data'!$B:$B,0)),""))</f>
        <v/>
      </c>
      <c r="C14" s="177"/>
      <c r="D14" s="177"/>
      <c r="E14" s="178"/>
    </row>
    <row r="15" spans="1:5" ht="15">
      <c r="A15" s="42" t="s">
        <v>333</v>
      </c>
      <c r="B15" s="172" t="str">
        <f>IF($B$4="","",IFERROR(INDEX('Combined Delivery Data'!$L:$L,MATCH($B$4,'Combined Delivery Data'!$B:$B,0)),""))</f>
        <v/>
      </c>
      <c r="C15" s="177"/>
      <c r="D15" s="177"/>
      <c r="E15" s="178"/>
    </row>
    <row r="16" spans="1:5" ht="15">
      <c r="A16" s="42" t="s">
        <v>334</v>
      </c>
      <c r="B16" s="172" t="str">
        <f>IF($B$4="","",IFERROR(INDEX('Combined Delivery Data'!$M:$M,MATCH($B$4,'Combined Delivery Data'!$B:$B,0)),""))</f>
        <v/>
      </c>
      <c r="C16" s="177"/>
      <c r="D16" s="177"/>
      <c r="E16" s="178"/>
    </row>
    <row r="17" spans="1:5" ht="15">
      <c r="A17" s="42" t="s">
        <v>335</v>
      </c>
      <c r="B17" s="172" t="str">
        <f>IF($B$4="","",IFERROR(INDEX('Combined Delivery Data'!$O:$O,MATCH($B$4,'Combined Delivery Data'!$B:$B,0)),""))</f>
        <v/>
      </c>
      <c r="C17" s="177"/>
      <c r="D17" s="177"/>
      <c r="E17" s="178"/>
    </row>
    <row r="18" spans="1:5" ht="15">
      <c r="A18" s="42" t="s">
        <v>336</v>
      </c>
      <c r="B18" s="172" t="str">
        <f>IF($B$4="","",IFERROR(INDEX('Combined Delivery Data'!$Q:$Q,MATCH($B$4,'Combined Delivery Data'!$B:$B,0)),""))</f>
        <v/>
      </c>
      <c r="C18" s="177"/>
      <c r="D18" s="177"/>
      <c r="E18" s="178"/>
    </row>
    <row r="19" spans="1:5" ht="15">
      <c r="A19" s="42" t="s">
        <v>337</v>
      </c>
      <c r="B19" s="172" t="str">
        <f>IF($B$4="","",IFERROR(INDEX('Combined Delivery Data'!$R:$R,MATCH($B$4,'Combined Delivery Data'!$B:$B,0)),""))</f>
        <v/>
      </c>
      <c r="C19" s="177"/>
      <c r="D19" s="177"/>
      <c r="E19" s="178"/>
    </row>
    <row r="20" spans="1:5" ht="15">
      <c r="A20" s="42" t="s">
        <v>338</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339</v>
      </c>
      <c r="B26" s="173" t="str">
        <f>IF($B$4="","",IFERROR(INDEX('Rework Log'!$Q:$Q,MATCH($B$4,'Rework Log'!$P:$P,0)),""))</f>
        <v/>
      </c>
      <c r="C26" s="177"/>
      <c r="D26" s="177"/>
      <c r="E26" s="178"/>
    </row>
    <row r="27" spans="1:5">
      <c r="A27" s="42" t="s">
        <v>340</v>
      </c>
      <c r="B27" s="173" t="str">
        <f>IF($B$4="","",IFERROR(INDEX('Rework Log'!$R:$R,MATCH($B$4,'Rework Log'!$P:$P,0)),""))</f>
        <v/>
      </c>
      <c r="C27" s="177"/>
      <c r="D27" s="177"/>
      <c r="E27" s="178"/>
    </row>
    <row r="28" spans="1:5">
      <c r="A28" s="42" t="s">
        <v>341</v>
      </c>
      <c r="B28" s="173" t="str">
        <f>IF($B$4="","",IFERROR(INDEX('Rework Log'!$S:$S,MATCH($B$4,'Rework Log'!$P:$P,0)),""))</f>
        <v/>
      </c>
      <c r="C28" s="177"/>
      <c r="D28" s="177"/>
      <c r="E28" s="178"/>
    </row>
    <row r="29" spans="1:5">
      <c r="A29" s="42" t="s">
        <v>342</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2" activePane="bottomLeft" state="frozen"/>
      <selection pane="bottomLeft" activeCell="F41" sqref="F41"/>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343</v>
      </c>
      <c r="B1" s="174"/>
      <c r="C1" s="174"/>
      <c r="D1" s="174"/>
      <c r="E1" s="174"/>
      <c r="F1" s="174"/>
      <c r="G1" s="174"/>
      <c r="H1" s="174"/>
      <c r="I1" s="174"/>
      <c r="J1" s="174"/>
      <c r="K1" s="174"/>
      <c r="L1" s="174"/>
      <c r="M1" s="174"/>
      <c r="P1" s="180" t="s">
        <v>344</v>
      </c>
      <c r="Q1" s="180"/>
      <c r="R1" s="180"/>
      <c r="S1" s="180"/>
      <c r="T1" s="180"/>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196</v>
      </c>
      <c r="D3" s="33" t="s">
        <v>181</v>
      </c>
      <c r="E3" s="33" t="s">
        <v>143</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196</v>
      </c>
      <c r="D4" s="31" t="s">
        <v>181</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196</v>
      </c>
      <c r="D5" s="31" t="s">
        <v>181</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140</v>
      </c>
      <c r="B6" s="32">
        <v>46234</v>
      </c>
      <c r="C6" s="31" t="s">
        <v>196</v>
      </c>
      <c r="D6" s="31" t="s">
        <v>181</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196</v>
      </c>
      <c r="D7" s="31" t="s">
        <v>181</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196</v>
      </c>
      <c r="D8" s="31" t="s">
        <v>181</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196</v>
      </c>
      <c r="D9" s="31" t="s">
        <v>181</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196</v>
      </c>
      <c r="D10" s="31" t="s">
        <v>181</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196</v>
      </c>
      <c r="D11" s="31" t="s">
        <v>181</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149</v>
      </c>
      <c r="B12" s="32">
        <v>46254</v>
      </c>
      <c r="C12" s="31" t="s">
        <v>196</v>
      </c>
      <c r="D12" s="31" t="s">
        <v>181</v>
      </c>
      <c r="E12" s="31" t="s">
        <v>143</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138</v>
      </c>
      <c r="B13" s="32">
        <v>46258</v>
      </c>
      <c r="C13" s="31" t="s">
        <v>196</v>
      </c>
      <c r="D13" s="31" t="s">
        <v>181</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196</v>
      </c>
      <c r="D14" s="31" t="s">
        <v>188</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155</v>
      </c>
      <c r="B15" s="32">
        <v>46258</v>
      </c>
      <c r="C15" s="31" t="s">
        <v>196</v>
      </c>
      <c r="D15" s="31" t="s">
        <v>188</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196</v>
      </c>
      <c r="D16" s="31" t="s">
        <v>181</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145</v>
      </c>
      <c r="B17" s="32">
        <v>46260</v>
      </c>
      <c r="C17" s="31" t="s">
        <v>196</v>
      </c>
      <c r="D17" s="31" t="s">
        <v>188</v>
      </c>
      <c r="E17" s="31" t="s">
        <v>143</v>
      </c>
      <c r="F17" s="31" t="s">
        <v>373</v>
      </c>
      <c r="G17" s="31" t="s">
        <v>50</v>
      </c>
      <c r="H17" s="32"/>
      <c r="I17" s="32"/>
      <c r="J17" s="32"/>
      <c r="K17" s="31"/>
      <c r="L17" s="31"/>
      <c r="M17" s="3"/>
      <c r="S17" s="28"/>
    </row>
    <row r="18" spans="1:20">
      <c r="A18" s="33" t="s">
        <v>180</v>
      </c>
      <c r="B18" s="32">
        <v>46261</v>
      </c>
      <c r="C18" s="31" t="s">
        <v>196</v>
      </c>
      <c r="D18" s="31" t="s">
        <v>181</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196</v>
      </c>
      <c r="D19" s="31" t="s">
        <v>188</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196</v>
      </c>
      <c r="D20" s="31" t="s">
        <v>188</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174</v>
      </c>
      <c r="B21" s="32">
        <v>46265</v>
      </c>
      <c r="C21" s="31" t="s">
        <v>196</v>
      </c>
      <c r="D21" s="31" t="s">
        <v>181</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138</v>
      </c>
      <c r="B22" s="32">
        <v>46265</v>
      </c>
      <c r="C22" s="31" t="s">
        <v>196</v>
      </c>
      <c r="D22" s="31" t="s">
        <v>181</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196</v>
      </c>
      <c r="D23" s="31" t="s">
        <v>188</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196</v>
      </c>
      <c r="D24" s="31" t="s">
        <v>188</v>
      </c>
      <c r="E24" s="31" t="s">
        <v>47</v>
      </c>
      <c r="F24" s="31" t="s">
        <v>383</v>
      </c>
      <c r="G24" s="31" t="s">
        <v>50</v>
      </c>
      <c r="H24" s="32"/>
      <c r="I24" s="171">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196</v>
      </c>
      <c r="D25" s="31" t="s">
        <v>188</v>
      </c>
      <c r="E25" s="31" t="s">
        <v>47</v>
      </c>
      <c r="F25" s="77" t="s">
        <v>384</v>
      </c>
      <c r="G25" s="31" t="s">
        <v>50</v>
      </c>
      <c r="H25" s="32"/>
      <c r="I25" s="32">
        <v>46267</v>
      </c>
      <c r="J25" s="32">
        <v>46268</v>
      </c>
      <c r="K25" s="31" t="s">
        <v>46</v>
      </c>
      <c r="L25" s="31" t="s">
        <v>380</v>
      </c>
      <c r="M25" s="3" t="str">
        <f t="shared" ca="1" si="0"/>
        <v>Fixed</v>
      </c>
      <c r="N25" s="33" t="s">
        <v>178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187</v>
      </c>
      <c r="B26" s="32">
        <v>46267</v>
      </c>
      <c r="C26" s="31" t="s">
        <v>196</v>
      </c>
      <c r="D26" s="31" t="s">
        <v>188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180</v>
      </c>
      <c r="B27" s="32">
        <v>46267</v>
      </c>
      <c r="C27" s="31" t="s">
        <v>196</v>
      </c>
      <c r="D27" s="31" t="s">
        <v>181</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196</v>
      </c>
      <c r="D28" s="31" t="s">
        <v>188</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196</v>
      </c>
      <c r="D29" s="31" t="s">
        <v>188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196</v>
      </c>
      <c r="D30" s="31" t="s">
        <v>188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180</v>
      </c>
      <c r="B31" s="32">
        <v>46267</v>
      </c>
      <c r="C31" s="31" t="s">
        <v>196</v>
      </c>
      <c r="D31" s="31" t="s">
        <v>181</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196</v>
      </c>
      <c r="D32" s="31" t="s">
        <v>181</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183</v>
      </c>
      <c r="B33" s="32">
        <v>46267</v>
      </c>
      <c r="C33" s="31" t="s">
        <v>196</v>
      </c>
      <c r="D33" s="31" t="s">
        <v>181</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196</v>
      </c>
      <c r="D34" s="31" t="s">
        <v>181</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196</v>
      </c>
      <c r="D35" s="31" t="s">
        <v>188</v>
      </c>
      <c r="E35" s="31" t="s">
        <v>47</v>
      </c>
      <c r="F35" s="77"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180</v>
      </c>
      <c r="B36" s="32">
        <v>46275</v>
      </c>
      <c r="C36" s="31" t="s">
        <v>196</v>
      </c>
      <c r="D36" s="31" t="s">
        <v>181</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187</v>
      </c>
      <c r="B37" s="32">
        <v>46275</v>
      </c>
      <c r="C37" s="31" t="s">
        <v>196</v>
      </c>
      <c r="D37" s="31" t="s">
        <v>181</v>
      </c>
      <c r="E37" s="31" t="s">
        <v>129</v>
      </c>
      <c r="F37" s="31" t="s">
        <v>395</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180</v>
      </c>
      <c r="B38" s="32">
        <v>46279</v>
      </c>
      <c r="C38" s="31" t="s">
        <v>196</v>
      </c>
      <c r="D38" s="31" t="s">
        <v>181</v>
      </c>
      <c r="E38" s="31" t="s">
        <v>129</v>
      </c>
      <c r="F38" s="31" t="s">
        <v>396</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196</v>
      </c>
      <c r="D39" s="31" t="s">
        <v>188</v>
      </c>
      <c r="E39" s="31" t="s">
        <v>143</v>
      </c>
      <c r="F39" s="31" t="s">
        <v>397</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196</v>
      </c>
      <c r="D40" s="31" t="s">
        <v>181</v>
      </c>
      <c r="E40" s="31" t="s">
        <v>47</v>
      </c>
      <c r="F40" s="31" t="s">
        <v>398</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196</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F3" sqref="F3:F11"/>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399</v>
      </c>
      <c r="B1" s="176"/>
      <c r="C1" s="176"/>
    </row>
    <row r="2" spans="1:8" ht="14.25" customHeight="1">
      <c r="A2" s="8" t="s">
        <v>0</v>
      </c>
      <c r="B2" s="8" t="s">
        <v>400</v>
      </c>
      <c r="C2" s="8" t="s">
        <v>401</v>
      </c>
      <c r="E2" t="s">
        <v>402</v>
      </c>
      <c r="F2" t="s">
        <v>403</v>
      </c>
      <c r="G2" t="s">
        <v>404</v>
      </c>
      <c r="H2" t="s">
        <v>405</v>
      </c>
    </row>
    <row r="3" spans="1:8" ht="14.25" customHeight="1">
      <c r="A3" s="11" t="s">
        <v>40</v>
      </c>
      <c r="B3" s="11">
        <v>8</v>
      </c>
      <c r="C3" s="12">
        <v>46142</v>
      </c>
      <c r="E3" t="s">
        <v>406</v>
      </c>
      <c r="F3" s="28">
        <v>46233</v>
      </c>
      <c r="G3" s="28">
        <v>46274</v>
      </c>
    </row>
    <row r="4" spans="1:8" ht="14.25" customHeight="1">
      <c r="A4" s="11" t="s">
        <v>40</v>
      </c>
      <c r="B4" s="11">
        <v>10</v>
      </c>
      <c r="C4" s="12">
        <v>46172</v>
      </c>
      <c r="E4" t="s">
        <v>407</v>
      </c>
      <c r="F4" s="28">
        <v>46264</v>
      </c>
      <c r="G4" s="28">
        <v>46295</v>
      </c>
    </row>
    <row r="5" spans="1:8" ht="14.25" customHeight="1">
      <c r="A5" s="11" t="s">
        <v>40</v>
      </c>
      <c r="B5" s="11">
        <v>9</v>
      </c>
      <c r="C5" s="12">
        <v>46203</v>
      </c>
      <c r="E5" t="s">
        <v>408</v>
      </c>
      <c r="F5" s="28">
        <v>46295</v>
      </c>
      <c r="G5" s="28">
        <v>46325</v>
      </c>
    </row>
    <row r="6" spans="1:8" ht="14.25" customHeight="1">
      <c r="A6" s="11" t="s">
        <v>126</v>
      </c>
      <c r="B6" s="11">
        <v>15</v>
      </c>
      <c r="C6" s="12">
        <v>46233</v>
      </c>
      <c r="E6" t="s">
        <v>409</v>
      </c>
      <c r="F6" s="28">
        <v>46325</v>
      </c>
      <c r="G6" s="28">
        <v>46356</v>
      </c>
    </row>
    <row r="7" spans="1:8" ht="14.25" customHeight="1">
      <c r="A7" s="11" t="s">
        <v>126</v>
      </c>
      <c r="B7" s="11">
        <v>15</v>
      </c>
      <c r="C7" s="12">
        <v>46264</v>
      </c>
      <c r="E7" t="s">
        <v>410</v>
      </c>
      <c r="F7" s="28">
        <v>46356</v>
      </c>
      <c r="G7" s="28">
        <v>46387</v>
      </c>
    </row>
    <row r="8" spans="1:8" ht="14.25" customHeight="1">
      <c r="A8" s="11" t="s">
        <v>126</v>
      </c>
      <c r="B8" s="11">
        <v>17</v>
      </c>
      <c r="C8" s="12">
        <v>46295</v>
      </c>
      <c r="E8" t="s">
        <v>411</v>
      </c>
      <c r="F8" s="28">
        <v>46387</v>
      </c>
      <c r="G8" s="28">
        <v>46417</v>
      </c>
    </row>
    <row r="9" spans="1:8" ht="14.25" customHeight="1">
      <c r="A9" s="11" t="s">
        <v>126</v>
      </c>
      <c r="B9" s="11">
        <v>20</v>
      </c>
      <c r="C9" s="12">
        <v>46325</v>
      </c>
      <c r="E9" t="s">
        <v>412</v>
      </c>
      <c r="F9" s="28">
        <v>46417</v>
      </c>
      <c r="G9" s="28">
        <v>46445</v>
      </c>
    </row>
    <row r="10" spans="1:8" ht="14.25" customHeight="1">
      <c r="A10" s="11" t="s">
        <v>126</v>
      </c>
      <c r="B10" s="11">
        <v>20</v>
      </c>
      <c r="C10" s="12">
        <v>46356</v>
      </c>
      <c r="E10" t="s">
        <v>413</v>
      </c>
      <c r="F10" s="28">
        <v>46446</v>
      </c>
      <c r="G10" s="28">
        <v>46477</v>
      </c>
    </row>
    <row r="11" spans="1:8" ht="14.25" customHeight="1">
      <c r="A11" s="11" t="s">
        <v>414</v>
      </c>
      <c r="B11" s="11">
        <v>18</v>
      </c>
      <c r="C11" s="12">
        <v>46417</v>
      </c>
      <c r="E11" t="s">
        <v>415</v>
      </c>
      <c r="F11" s="28">
        <v>46477</v>
      </c>
      <c r="G11" s="28">
        <v>46480</v>
      </c>
    </row>
    <row r="12" spans="1:8" ht="14.25" customHeight="1">
      <c r="A12" s="11" t="s">
        <v>414</v>
      </c>
      <c r="B12" s="11">
        <v>18</v>
      </c>
      <c r="C12" s="12">
        <v>46446</v>
      </c>
    </row>
    <row r="13" spans="1:8" ht="14.25" customHeight="1">
      <c r="A13" s="11" t="s">
        <v>414</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416</v>
      </c>
      <c r="B1" s="176"/>
      <c r="C1" s="176"/>
      <c r="D1" s="176"/>
      <c r="E1" s="176"/>
      <c r="F1" s="176"/>
      <c r="G1" s="176"/>
      <c r="H1" s="176"/>
      <c r="I1" s="176"/>
      <c r="J1" s="176"/>
    </row>
    <row r="2" spans="1:10" ht="27" customHeight="1">
      <c r="A2" s="8" t="s">
        <v>0</v>
      </c>
      <c r="B2" s="8" t="s">
        <v>417</v>
      </c>
      <c r="C2" s="8" t="s">
        <v>1</v>
      </c>
      <c r="D2" s="8" t="s">
        <v>418</v>
      </c>
      <c r="E2" s="8" t="s">
        <v>419</v>
      </c>
      <c r="F2" s="8" t="s">
        <v>6</v>
      </c>
      <c r="G2" s="8" t="s">
        <v>5</v>
      </c>
      <c r="H2" s="8" t="s">
        <v>420</v>
      </c>
      <c r="I2" s="8" t="s">
        <v>401</v>
      </c>
      <c r="J2" s="8" t="s">
        <v>421</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196</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196</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422</v>
      </c>
      <c r="D13" s="9" t="s">
        <v>423</v>
      </c>
      <c r="E13" s="9" t="s">
        <v>46</v>
      </c>
      <c r="F13" s="9"/>
      <c r="G13" s="9"/>
      <c r="H13" s="10"/>
      <c r="I13" s="10">
        <v>46115</v>
      </c>
      <c r="J13" s="10">
        <v>46115</v>
      </c>
    </row>
    <row r="14" spans="1:10" ht="14.25" customHeight="1">
      <c r="A14" s="9" t="s">
        <v>40</v>
      </c>
      <c r="B14" s="9" t="s">
        <v>188</v>
      </c>
      <c r="C14" s="9" t="s">
        <v>422</v>
      </c>
      <c r="D14" s="9" t="s">
        <v>423</v>
      </c>
      <c r="E14" s="9" t="s">
        <v>46</v>
      </c>
      <c r="F14" s="9"/>
      <c r="G14" s="9"/>
      <c r="H14" s="10">
        <v>46115</v>
      </c>
      <c r="I14" s="10">
        <v>46120</v>
      </c>
      <c r="J14" s="10">
        <v>46120</v>
      </c>
    </row>
    <row r="15" spans="1:10" ht="14.25" customHeight="1">
      <c r="A15" s="9" t="s">
        <v>40</v>
      </c>
      <c r="B15" s="9" t="s">
        <v>196</v>
      </c>
      <c r="C15" s="9" t="s">
        <v>422</v>
      </c>
      <c r="D15" s="9" t="s">
        <v>423</v>
      </c>
      <c r="E15" s="9" t="s">
        <v>46</v>
      </c>
      <c r="F15" s="9"/>
      <c r="G15" s="9"/>
      <c r="H15" s="10">
        <v>46120</v>
      </c>
      <c r="I15" s="10">
        <v>46122</v>
      </c>
      <c r="J15" s="10">
        <v>46122</v>
      </c>
    </row>
    <row r="16" spans="1:10" ht="14.25" customHeight="1">
      <c r="A16" s="9" t="s">
        <v>40</v>
      </c>
      <c r="B16" s="9" t="s">
        <v>164</v>
      </c>
      <c r="C16" s="9" t="s">
        <v>422</v>
      </c>
      <c r="D16" s="9" t="s">
        <v>423</v>
      </c>
      <c r="E16" s="9" t="s">
        <v>46</v>
      </c>
      <c r="F16" s="9"/>
      <c r="G16" s="9"/>
      <c r="H16" s="10">
        <v>46122</v>
      </c>
      <c r="I16" s="10"/>
      <c r="J16" s="10"/>
    </row>
    <row r="17" spans="1:10" ht="14.25" customHeight="1">
      <c r="A17" s="9" t="s">
        <v>40</v>
      </c>
      <c r="B17" s="9" t="s">
        <v>42</v>
      </c>
      <c r="C17" s="9" t="s">
        <v>422</v>
      </c>
      <c r="D17" s="9" t="s">
        <v>423</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196</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423</v>
      </c>
      <c r="E23" s="9" t="s">
        <v>46</v>
      </c>
      <c r="F23" s="9"/>
      <c r="G23" s="9"/>
      <c r="H23" s="10"/>
      <c r="I23" s="10">
        <v>46115</v>
      </c>
      <c r="J23" s="10">
        <v>46115</v>
      </c>
    </row>
    <row r="24" spans="1:10" ht="14.25" customHeight="1">
      <c r="A24" s="9" t="s">
        <v>40</v>
      </c>
      <c r="B24" s="9" t="s">
        <v>188</v>
      </c>
      <c r="C24" s="9" t="s">
        <v>64</v>
      </c>
      <c r="D24" s="9" t="s">
        <v>423</v>
      </c>
      <c r="E24" s="9" t="s">
        <v>46</v>
      </c>
      <c r="F24" s="9"/>
      <c r="G24" s="9"/>
      <c r="H24" s="10">
        <v>46115</v>
      </c>
      <c r="I24" s="10">
        <v>46120</v>
      </c>
      <c r="J24" s="10">
        <v>46120</v>
      </c>
    </row>
    <row r="25" spans="1:10" ht="14.25" customHeight="1">
      <c r="A25" s="9" t="s">
        <v>40</v>
      </c>
      <c r="B25" s="9" t="s">
        <v>196</v>
      </c>
      <c r="C25" s="9" t="s">
        <v>64</v>
      </c>
      <c r="D25" s="9" t="s">
        <v>423</v>
      </c>
      <c r="E25" s="9" t="s">
        <v>46</v>
      </c>
      <c r="F25" s="9"/>
      <c r="G25" s="9"/>
      <c r="H25" s="10">
        <v>46120</v>
      </c>
      <c r="I25" s="10">
        <v>46122</v>
      </c>
      <c r="J25" s="10">
        <v>46122</v>
      </c>
    </row>
    <row r="26" spans="1:10" ht="14.25" customHeight="1">
      <c r="A26" s="9" t="s">
        <v>40</v>
      </c>
      <c r="B26" s="9" t="s">
        <v>164</v>
      </c>
      <c r="C26" s="9" t="s">
        <v>64</v>
      </c>
      <c r="D26" s="9" t="s">
        <v>423</v>
      </c>
      <c r="E26" s="9" t="s">
        <v>46</v>
      </c>
      <c r="F26" s="9"/>
      <c r="G26" s="9"/>
      <c r="H26" s="10">
        <v>46122</v>
      </c>
      <c r="I26" s="10"/>
      <c r="J26" s="10"/>
    </row>
    <row r="27" spans="1:10" ht="14.25" customHeight="1">
      <c r="A27" s="9" t="s">
        <v>40</v>
      </c>
      <c r="B27" s="9" t="s">
        <v>42</v>
      </c>
      <c r="C27" s="9" t="s">
        <v>64</v>
      </c>
      <c r="D27" s="9" t="s">
        <v>423</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196</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423</v>
      </c>
      <c r="E33" s="9" t="s">
        <v>60</v>
      </c>
      <c r="F33" s="9"/>
      <c r="G33" s="9"/>
      <c r="H33" s="10"/>
      <c r="I33" s="10">
        <v>46122</v>
      </c>
      <c r="J33" s="10">
        <v>46122</v>
      </c>
    </row>
    <row r="34" spans="1:10" ht="14.25" customHeight="1">
      <c r="A34" s="9" t="s">
        <v>40</v>
      </c>
      <c r="B34" s="9" t="s">
        <v>188</v>
      </c>
      <c r="C34" s="9" t="s">
        <v>70</v>
      </c>
      <c r="D34" s="9" t="s">
        <v>423</v>
      </c>
      <c r="E34" s="9" t="s">
        <v>60</v>
      </c>
      <c r="F34" s="9"/>
      <c r="G34" s="9"/>
      <c r="H34" s="10">
        <v>46122</v>
      </c>
      <c r="I34" s="10">
        <v>46126</v>
      </c>
      <c r="J34" s="10">
        <v>46126</v>
      </c>
    </row>
    <row r="35" spans="1:10" ht="14.25" customHeight="1">
      <c r="A35" s="9" t="s">
        <v>40</v>
      </c>
      <c r="B35" s="9" t="s">
        <v>196</v>
      </c>
      <c r="C35" s="9" t="s">
        <v>70</v>
      </c>
      <c r="D35" s="9" t="s">
        <v>423</v>
      </c>
      <c r="E35" s="9" t="s">
        <v>60</v>
      </c>
      <c r="F35" s="9"/>
      <c r="G35" s="9"/>
      <c r="H35" s="10">
        <v>46126</v>
      </c>
      <c r="I35" s="10">
        <v>46122</v>
      </c>
      <c r="J35" s="10">
        <v>46122</v>
      </c>
    </row>
    <row r="36" spans="1:10" ht="14.25" customHeight="1">
      <c r="A36" s="9" t="s">
        <v>40</v>
      </c>
      <c r="B36" s="9" t="s">
        <v>164</v>
      </c>
      <c r="C36" s="9" t="s">
        <v>70</v>
      </c>
      <c r="D36" s="9" t="s">
        <v>423</v>
      </c>
      <c r="E36" s="9" t="s">
        <v>60</v>
      </c>
      <c r="F36" s="9"/>
      <c r="G36" s="9"/>
      <c r="H36" s="10">
        <v>46122</v>
      </c>
      <c r="I36" s="10"/>
      <c r="J36" s="10"/>
    </row>
    <row r="37" spans="1:10" ht="14.25" customHeight="1">
      <c r="A37" s="9" t="s">
        <v>40</v>
      </c>
      <c r="B37" s="9" t="s">
        <v>42</v>
      </c>
      <c r="C37" s="9" t="s">
        <v>70</v>
      </c>
      <c r="D37" s="9" t="s">
        <v>423</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196</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196</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423</v>
      </c>
      <c r="E48" s="9" t="s">
        <v>60</v>
      </c>
      <c r="F48" s="9"/>
      <c r="G48" s="9"/>
      <c r="H48" s="10"/>
      <c r="I48" s="10"/>
      <c r="J48" s="10"/>
    </row>
    <row r="49" spans="1:10" ht="14.25" customHeight="1">
      <c r="A49" s="9" t="s">
        <v>40</v>
      </c>
      <c r="B49" s="9" t="s">
        <v>188</v>
      </c>
      <c r="C49" s="9" t="s">
        <v>97</v>
      </c>
      <c r="D49" s="9" t="s">
        <v>423</v>
      </c>
      <c r="E49" s="9" t="s">
        <v>60</v>
      </c>
      <c r="F49" s="9"/>
      <c r="G49" s="9"/>
      <c r="H49" s="10"/>
      <c r="I49" s="10">
        <v>46139</v>
      </c>
      <c r="J49" s="10">
        <v>46139</v>
      </c>
    </row>
    <row r="50" spans="1:10" ht="14.25" customHeight="1">
      <c r="A50" s="9" t="s">
        <v>40</v>
      </c>
      <c r="B50" s="9" t="s">
        <v>196</v>
      </c>
      <c r="C50" s="9" t="s">
        <v>97</v>
      </c>
      <c r="D50" s="9" t="s">
        <v>423</v>
      </c>
      <c r="E50" s="9" t="s">
        <v>60</v>
      </c>
      <c r="F50" s="9"/>
      <c r="G50" s="9"/>
      <c r="H50" s="10">
        <v>46139</v>
      </c>
      <c r="I50" s="10">
        <v>46139</v>
      </c>
      <c r="J50" s="10">
        <v>46139</v>
      </c>
    </row>
    <row r="51" spans="1:10" ht="14.25" customHeight="1">
      <c r="A51" s="9" t="s">
        <v>40</v>
      </c>
      <c r="B51" s="9" t="s">
        <v>164</v>
      </c>
      <c r="C51" s="9" t="s">
        <v>97</v>
      </c>
      <c r="D51" s="9" t="s">
        <v>423</v>
      </c>
      <c r="E51" s="9" t="s">
        <v>60</v>
      </c>
      <c r="F51" s="9"/>
      <c r="G51" s="9"/>
      <c r="H51" s="10">
        <v>46139</v>
      </c>
      <c r="I51" s="10"/>
      <c r="J51" s="10"/>
    </row>
    <row r="52" spans="1:10" ht="14.25" customHeight="1">
      <c r="A52" s="9" t="s">
        <v>40</v>
      </c>
      <c r="B52" s="9" t="s">
        <v>42</v>
      </c>
      <c r="C52" s="9" t="s">
        <v>97</v>
      </c>
      <c r="D52" s="9" t="s">
        <v>423</v>
      </c>
      <c r="E52" s="9" t="s">
        <v>60</v>
      </c>
      <c r="F52" s="9"/>
      <c r="G52" s="9"/>
      <c r="H52" s="10"/>
      <c r="I52" s="10"/>
      <c r="J52" s="10"/>
    </row>
    <row r="53" spans="1:10" ht="14.25" customHeight="1">
      <c r="A53" s="9" t="s">
        <v>40</v>
      </c>
      <c r="B53" s="9" t="s">
        <v>181</v>
      </c>
      <c r="C53" s="9" t="s">
        <v>98</v>
      </c>
      <c r="D53" s="9" t="s">
        <v>423</v>
      </c>
      <c r="E53" s="9" t="s">
        <v>60</v>
      </c>
      <c r="F53" s="9"/>
      <c r="G53" s="9"/>
      <c r="H53" s="10"/>
      <c r="I53" s="10"/>
      <c r="J53" s="10"/>
    </row>
    <row r="54" spans="1:10" ht="14.25" customHeight="1">
      <c r="A54" s="9" t="s">
        <v>40</v>
      </c>
      <c r="B54" s="9" t="s">
        <v>188</v>
      </c>
      <c r="C54" s="9" t="s">
        <v>98</v>
      </c>
      <c r="D54" s="9" t="s">
        <v>423</v>
      </c>
      <c r="E54" s="9" t="s">
        <v>60</v>
      </c>
      <c r="F54" s="9"/>
      <c r="G54" s="9"/>
      <c r="H54" s="9"/>
      <c r="I54" s="10">
        <v>46141</v>
      </c>
      <c r="J54" s="10">
        <v>46141</v>
      </c>
    </row>
    <row r="55" spans="1:10" ht="14.25" customHeight="1">
      <c r="A55" s="9" t="s">
        <v>40</v>
      </c>
      <c r="B55" s="9" t="s">
        <v>196</v>
      </c>
      <c r="C55" s="9" t="s">
        <v>98</v>
      </c>
      <c r="D55" s="9" t="s">
        <v>423</v>
      </c>
      <c r="E55" s="9" t="s">
        <v>60</v>
      </c>
      <c r="F55" s="9"/>
      <c r="G55" s="9"/>
      <c r="H55" s="10">
        <v>46141</v>
      </c>
      <c r="I55" s="10">
        <v>46141</v>
      </c>
      <c r="J55" s="10">
        <v>46141</v>
      </c>
    </row>
    <row r="56" spans="1:10" ht="14.25" customHeight="1">
      <c r="A56" s="9" t="s">
        <v>40</v>
      </c>
      <c r="B56" s="9" t="s">
        <v>164</v>
      </c>
      <c r="C56" s="9" t="s">
        <v>98</v>
      </c>
      <c r="D56" s="9" t="s">
        <v>423</v>
      </c>
      <c r="E56" s="9" t="s">
        <v>60</v>
      </c>
      <c r="F56" s="9"/>
      <c r="G56" s="9"/>
      <c r="H56" s="10">
        <v>46141</v>
      </c>
      <c r="I56" s="10"/>
      <c r="J56" s="10"/>
    </row>
    <row r="57" spans="1:10" ht="14.25" customHeight="1">
      <c r="A57" s="9" t="s">
        <v>40</v>
      </c>
      <c r="B57" s="9" t="s">
        <v>42</v>
      </c>
      <c r="C57" s="9" t="s">
        <v>98</v>
      </c>
      <c r="D57" s="9" t="s">
        <v>423</v>
      </c>
      <c r="E57" s="9" t="s">
        <v>60</v>
      </c>
      <c r="F57" s="9"/>
      <c r="G57" s="9"/>
      <c r="H57" s="10"/>
      <c r="I57" s="10"/>
      <c r="J57" s="10"/>
    </row>
    <row r="58" spans="1:10" ht="14.25" customHeight="1">
      <c r="A58" s="9" t="s">
        <v>40</v>
      </c>
      <c r="B58" s="9" t="s">
        <v>181</v>
      </c>
      <c r="C58" s="9" t="s">
        <v>99</v>
      </c>
      <c r="D58" s="9" t="s">
        <v>423</v>
      </c>
      <c r="E58" s="9" t="s">
        <v>46</v>
      </c>
      <c r="F58" s="9"/>
      <c r="G58" s="9"/>
      <c r="H58" s="9"/>
      <c r="I58" s="10"/>
      <c r="J58" s="10"/>
    </row>
    <row r="59" spans="1:10" ht="14.25" customHeight="1">
      <c r="A59" s="9" t="s">
        <v>40</v>
      </c>
      <c r="B59" s="9" t="s">
        <v>188</v>
      </c>
      <c r="C59" s="9" t="s">
        <v>99</v>
      </c>
      <c r="D59" s="9" t="s">
        <v>423</v>
      </c>
      <c r="E59" s="9" t="s">
        <v>46</v>
      </c>
      <c r="F59" s="9"/>
      <c r="G59" s="9"/>
      <c r="H59" s="10"/>
      <c r="I59" s="10">
        <v>46161</v>
      </c>
      <c r="J59" s="10">
        <v>46161</v>
      </c>
    </row>
    <row r="60" spans="1:10" ht="14.25" customHeight="1">
      <c r="A60" s="9" t="s">
        <v>40</v>
      </c>
      <c r="B60" s="9" t="s">
        <v>196</v>
      </c>
      <c r="C60" s="9" t="s">
        <v>99</v>
      </c>
      <c r="D60" s="9" t="s">
        <v>423</v>
      </c>
      <c r="E60" s="9" t="s">
        <v>46</v>
      </c>
      <c r="F60" s="9"/>
      <c r="G60" s="9"/>
      <c r="H60" s="10">
        <v>46161</v>
      </c>
      <c r="I60" s="10">
        <v>46161</v>
      </c>
      <c r="J60" s="10">
        <v>46161</v>
      </c>
    </row>
    <row r="61" spans="1:10" ht="14.25" customHeight="1">
      <c r="A61" s="9" t="s">
        <v>40</v>
      </c>
      <c r="B61" s="9" t="s">
        <v>164</v>
      </c>
      <c r="C61" s="9" t="s">
        <v>99</v>
      </c>
      <c r="D61" s="9" t="s">
        <v>423</v>
      </c>
      <c r="E61" s="9" t="s">
        <v>46</v>
      </c>
      <c r="F61" s="9"/>
      <c r="G61" s="9"/>
      <c r="H61" s="10">
        <v>46161</v>
      </c>
      <c r="I61" s="10"/>
      <c r="J61" s="10"/>
    </row>
    <row r="62" spans="1:10" ht="14.25" customHeight="1">
      <c r="A62" s="9" t="s">
        <v>40</v>
      </c>
      <c r="B62" s="9" t="s">
        <v>42</v>
      </c>
      <c r="C62" s="9" t="s">
        <v>99</v>
      </c>
      <c r="D62" s="9" t="s">
        <v>423</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196</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196</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196</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196</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196</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196</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196</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196</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196</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196</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196</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196</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196</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196</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196</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196</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196</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196</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196</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196</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196</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196</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196</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196</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196</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196</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196</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196</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196</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196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G1" zoomScaleNormal="100" workbookViewId="0"/>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424</v>
      </c>
      <c r="F1" s="1" t="s">
        <v>331</v>
      </c>
      <c r="G1" s="5" t="s">
        <v>425</v>
      </c>
      <c r="H1" s="5" t="s">
        <v>20</v>
      </c>
      <c r="I1" t="s">
        <v>35</v>
      </c>
      <c r="J1" s="5" t="s">
        <v>426</v>
      </c>
      <c r="K1" s="5" t="s">
        <v>164</v>
      </c>
      <c r="L1" s="5" t="s">
        <v>350</v>
      </c>
      <c r="M1" s="1" t="s">
        <v>427</v>
      </c>
      <c r="N1" s="1" t="s">
        <v>428</v>
      </c>
      <c r="R1" t="s">
        <v>13</v>
      </c>
      <c r="T1" t="s">
        <v>429</v>
      </c>
    </row>
    <row r="2" spans="1:20" ht="13.5" customHeight="1">
      <c r="A2" s="2" t="s">
        <v>430</v>
      </c>
      <c r="B2" s="2" t="s">
        <v>431</v>
      </c>
      <c r="C2" s="2" t="s">
        <v>432</v>
      </c>
      <c r="D2" s="2" t="s">
        <v>433</v>
      </c>
      <c r="E2" s="2" t="s">
        <v>434</v>
      </c>
      <c r="F2" s="2" t="s">
        <v>435</v>
      </c>
      <c r="G2" t="s">
        <v>436</v>
      </c>
      <c r="H2" t="s">
        <v>437</v>
      </c>
      <c r="I2" t="s">
        <v>438</v>
      </c>
      <c r="J2" s="29" t="s">
        <v>439</v>
      </c>
      <c r="K2" s="29" t="s">
        <v>440</v>
      </c>
      <c r="L2" s="29" t="s">
        <v>441</v>
      </c>
      <c r="M2" t="s">
        <v>143</v>
      </c>
      <c r="N2" s="45" t="s">
        <v>442</v>
      </c>
      <c r="R2" t="s">
        <v>251</v>
      </c>
      <c r="T2" t="s">
        <v>49</v>
      </c>
    </row>
    <row r="3" spans="1:20" ht="15" customHeight="1">
      <c r="A3" t="s">
        <v>40</v>
      </c>
      <c r="B3" t="s">
        <v>44</v>
      </c>
      <c r="C3" t="s">
        <v>60</v>
      </c>
      <c r="D3" t="s">
        <v>129</v>
      </c>
      <c r="E3" t="s">
        <v>50</v>
      </c>
      <c r="F3" t="s">
        <v>219</v>
      </c>
      <c r="G3" t="s">
        <v>44</v>
      </c>
      <c r="H3" t="s">
        <v>47</v>
      </c>
      <c r="I3" t="s">
        <v>53</v>
      </c>
      <c r="J3" t="s">
        <v>181</v>
      </c>
      <c r="K3" t="s">
        <v>48</v>
      </c>
      <c r="L3" t="s">
        <v>53</v>
      </c>
      <c r="M3" t="s">
        <v>44</v>
      </c>
      <c r="N3" s="45" t="s">
        <v>443</v>
      </c>
      <c r="R3" t="s">
        <v>45</v>
      </c>
      <c r="T3" t="s">
        <v>94</v>
      </c>
    </row>
    <row r="4" spans="1:20" ht="15" customHeight="1">
      <c r="A4" t="s">
        <v>126</v>
      </c>
      <c r="B4" t="s">
        <v>59</v>
      </c>
      <c r="C4" t="s">
        <v>46</v>
      </c>
      <c r="D4" t="s">
        <v>143</v>
      </c>
      <c r="E4" t="s">
        <v>53</v>
      </c>
      <c r="F4" t="s">
        <v>181</v>
      </c>
      <c r="G4" t="s">
        <v>59</v>
      </c>
      <c r="H4" t="s">
        <v>88</v>
      </c>
      <c r="I4" t="s">
        <v>182</v>
      </c>
      <c r="J4" t="s">
        <v>188</v>
      </c>
      <c r="L4" t="s">
        <v>50</v>
      </c>
      <c r="M4" t="s">
        <v>103</v>
      </c>
      <c r="N4" s="45" t="s">
        <v>443</v>
      </c>
      <c r="R4" t="s">
        <v>184</v>
      </c>
      <c r="T4" t="s">
        <v>72</v>
      </c>
    </row>
    <row r="5" spans="1:20" ht="15" customHeight="1">
      <c r="A5" t="s">
        <v>414</v>
      </c>
      <c r="B5" t="s">
        <v>423</v>
      </c>
      <c r="C5" t="s">
        <v>77</v>
      </c>
      <c r="F5" t="s">
        <v>188</v>
      </c>
      <c r="G5" t="s">
        <v>423</v>
      </c>
      <c r="H5" t="s">
        <v>129</v>
      </c>
      <c r="I5" t="s">
        <v>211</v>
      </c>
      <c r="J5" t="s">
        <v>196</v>
      </c>
      <c r="L5" t="s">
        <v>444</v>
      </c>
      <c r="M5" t="s">
        <v>88</v>
      </c>
      <c r="N5" s="45" t="s">
        <v>443</v>
      </c>
    </row>
    <row r="6" spans="1:20" ht="15" customHeight="1">
      <c r="A6" t="s">
        <v>304</v>
      </c>
      <c r="B6" t="s">
        <v>84</v>
      </c>
      <c r="F6" t="s">
        <v>196</v>
      </c>
      <c r="G6" t="s">
        <v>84</v>
      </c>
      <c r="H6" t="s">
        <v>143</v>
      </c>
      <c r="I6" t="s">
        <v>190</v>
      </c>
      <c r="J6" t="s">
        <v>164</v>
      </c>
      <c r="M6" t="s">
        <v>48</v>
      </c>
      <c r="N6" s="45" t="s">
        <v>443</v>
      </c>
    </row>
    <row r="7" spans="1:20" ht="15" customHeight="1">
      <c r="A7" t="s">
        <v>294</v>
      </c>
      <c r="B7" t="s">
        <v>65</v>
      </c>
      <c r="F7" t="s">
        <v>164</v>
      </c>
      <c r="G7" t="s">
        <v>65</v>
      </c>
      <c r="H7" t="s">
        <v>203</v>
      </c>
      <c r="I7" t="s">
        <v>445</v>
      </c>
      <c r="M7" t="s">
        <v>129</v>
      </c>
      <c r="N7" s="45" t="s">
        <v>443</v>
      </c>
    </row>
    <row r="8" spans="1:20" ht="15" customHeight="1">
      <c r="B8" t="s">
        <v>76</v>
      </c>
      <c r="F8" t="s">
        <v>128</v>
      </c>
      <c r="G8" t="s">
        <v>76</v>
      </c>
      <c r="I8" t="s">
        <v>446</v>
      </c>
      <c r="M8" t="s">
        <v>60</v>
      </c>
      <c r="N8" s="45" t="s">
        <v>443</v>
      </c>
    </row>
    <row r="9" spans="1:20" ht="15" customHeight="1">
      <c r="B9" t="s">
        <v>103</v>
      </c>
      <c r="F9" t="s">
        <v>42</v>
      </c>
      <c r="G9" t="s">
        <v>103</v>
      </c>
      <c r="I9" t="s">
        <v>447</v>
      </c>
      <c r="M9" t="s">
        <v>154</v>
      </c>
      <c r="N9" s="45" t="s">
        <v>443</v>
      </c>
    </row>
    <row r="10" spans="1:20" ht="15" customHeight="1">
      <c r="B10" t="s">
        <v>154</v>
      </c>
      <c r="G10" t="s">
        <v>154</v>
      </c>
      <c r="M10" t="s">
        <v>47</v>
      </c>
      <c r="N10" s="45" t="s">
        <v>443</v>
      </c>
    </row>
    <row r="11" spans="1:20">
      <c r="B11" t="s">
        <v>448</v>
      </c>
      <c r="G11" t="s">
        <v>60</v>
      </c>
      <c r="M11" t="s">
        <v>76</v>
      </c>
      <c r="N11" s="45" t="s">
        <v>443</v>
      </c>
    </row>
    <row r="12" spans="1:20">
      <c r="B12" t="s">
        <v>449</v>
      </c>
      <c r="G12" t="s">
        <v>46</v>
      </c>
      <c r="M12" t="s">
        <v>46</v>
      </c>
      <c r="N12" s="45" t="s">
        <v>443</v>
      </c>
    </row>
    <row r="13" spans="1:20">
      <c r="G13" t="s">
        <v>77</v>
      </c>
      <c r="M13" t="s">
        <v>77</v>
      </c>
      <c r="N13" s="45" t="s">
        <v>443</v>
      </c>
    </row>
    <row r="14" spans="1:20">
      <c r="M14" t="s">
        <v>84</v>
      </c>
      <c r="N14" s="45" t="s">
        <v>450</v>
      </c>
    </row>
    <row r="15" spans="1:20">
      <c r="M15" t="s">
        <v>59</v>
      </c>
      <c r="N15" s="45" t="s">
        <v>443</v>
      </c>
    </row>
    <row r="16" spans="1:20">
      <c r="M16" t="s">
        <v>65</v>
      </c>
      <c r="N16" s="45" t="s">
        <v>443</v>
      </c>
    </row>
    <row r="17" spans="13:14">
      <c r="M17" t="s">
        <v>423</v>
      </c>
      <c r="N17" s="45" t="s">
        <v>443</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2026-09-15T20:25:22Z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