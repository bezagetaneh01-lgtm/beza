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712" documentId="13_ncr:1_{52745E9B-3AA1-4770-AAD3-E6166BFC13AE}" xr6:coauthVersionLast="47" xr6:coauthVersionMax="47" xr10:uidLastSave="{93EF2EC6-740E-4FFF-AE23-CCD229EF97FF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D65" i="2" s="1" a="1"/>
  <c r="D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<sst xmlns="http://schemas.openxmlformats.org/spreadsheetml/2006/main" count="3039" uniqueCount="430">
  <si>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</si>
  <si>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</si>
  <si>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</si>
  <si>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</si>
  <si>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</si>
  <si>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</si>
  <si>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</si>
  <si>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</si>
  <si>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</si>
  <si>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</si>
  <si>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</si>
  <si>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</si>
  <si>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</si>
  <si>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</si>
  <si>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</si>
  <si>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</si>
  <si>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</si>
  <si>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</si>
  <si>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</si>
  <si>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</si>
  <si>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</si>
  <si>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</si>
  <si>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</si>
  <si>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</si>
  <si>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</si>
  <si>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</si>
  <si>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</si>
  <si>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</si>
  <si>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</si>
  <si>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</si>
  <si>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</si>
  <si>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</si>
  <si>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</si>
  <si>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</si>
  <si>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</si>
  <si>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</si>
  <si>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</si>
  <si>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</si>
  <si>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</si>
  <si>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</si>
  <si>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</si>
  <si>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</si>
  <si>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</si>
  <si>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</si>
  <si>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</si>
  <si>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</si>
  <si>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</si>
  <si>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</si>
  <si>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</si>
  <si>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</si>
  <si>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</si>
  <si>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</si>
  <si>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</si>
  <si>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</si>
  <si>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</si>
  <si>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</si>
  <si>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</si>
  <si>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</si>
  <si>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</si>
  <si>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</si>
  <si>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</si>
  <si>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</si>
  <si>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</si>
  <si>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</si>
  <si>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</si>
  <si>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</si>
  <si>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</si>
  <si>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</si>
  <si>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</si>
  <si>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</si>
  <si>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</si>
  <si>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</si>
  <si>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</si>
  <si>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</si>
  <si>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</si>
  <si>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</si>
  <si>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</si>
  <si>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</si>
  <si>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</si>
  <si>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</si>
  <si>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</si>
  <si>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</si>
  <si>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</si>
  <si>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</si>
  <si>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</si>
  <si>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</si>
  <si>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</si>
  <si>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</si>
  <si>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</si>
  <si>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</si>
  <si>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</si>
  <si>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</si>
  <si>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</si>
  <si>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</si>
  <si>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</si>
  <si>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</si>
  <si>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</si>
  <si>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</si>
  <si>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</si>
  <si>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</si>
  <si>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</si>
  <si>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</si>
  <si>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</si>
  <si>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</si>
  <si>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</si>
  <si>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</si>
  <si>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</si>
  <si>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</si>
  <si>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</si>
  <si>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</si>
  <si>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</si>
  <si>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</si>
  <si>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</si>
  <si>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</si>
  <si>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</si>
  <si>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</si>
  <si>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</si>
  <si>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</si>
  <si>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</si>
  <si>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</si>
  <si>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</si>
  <si>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</si>
  <si>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</si>
  <si>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</si>
  <si>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</si>
  <si>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</si>
  <si>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</si>
  <si>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</si>
  <si>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</si>
  <si>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</si>
  <si>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</si>
  <si>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</si>
  <si>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</si>
  <si>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</si>
  <si>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</si>
  <si>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</si>
  <si>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</si>
  <si>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</si>
  <si>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</si>
  <si>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</si>
  <si>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</si>
  <si>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</si>
  <si>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</si>
  <si>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</si>
  <si>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</si>
  <si>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</si>
  <si>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</si>
  <si>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</si>
  <si>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</si>
  <si>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</si>
  <si>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</si>
  <si>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</si>
  <si>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</si>
  <si>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</si>
  <si>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</si>
  <si>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</si>
  <si>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</si>
  <si>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</si>
  <si>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</si>
  <si>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</si>
  <si>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</si>
  <si>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</si>
  <si>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</si>
  <si>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</si>
  <si>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</si>
  <si>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</si>
  <si>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</si>
  <si>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</si>
  <si>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</si>
  <si>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</si>
  <si>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</si>
  <si>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</si>
  <si>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</si>
  <si>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</si>
  <si>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</si>
  <si>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</si>
  <si>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</si>
  <si>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</si>
  <si>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</si>
  <si>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</si>
  <si>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</si>
  <si>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</si>
  <si>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</si>
  <si>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</si>
  <si>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</si>
  <si>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</si>
  <si>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</si>
  <si>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</si>
  <si>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</si>
  <si>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</si>
  <si>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</si>
  <si>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</si>
  <si>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</si>
  <si>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</si>
  <si>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</si>
  <si>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</si>
  <si>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</si>
  <si>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</si>
  <si>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</si>
  <si>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</si>
  <si>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</si>
  <si>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</si>
  <si>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</si>
  <si>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</si>
  <si>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</si>
  <si>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</si>
  <si>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</si>
  <si>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</si>
  <si>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</si>
  <si>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</si>
  <si>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</si>
  <si>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</si>
  <si>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</si>
  <si>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</si>
  <si>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</si>
  <si>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</si>
  <si>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</si>
  <si>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</si>
  <si>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</si>
  <si>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</si>
  <si>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</si>
  <si>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</si>
  <si>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</si>
  <si>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</si>
  <si>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</si>
  <si>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</si>
  <si>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</si>
  <si>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</si>
  <si>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</si>
  <si>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</si>
  <si>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</si>
  <si>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</si>
  <si>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</si>
  <si>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</si>
  <si>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</si>
  <si>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</si>
  <si>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</si>
  <si>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</si>
  <si>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</si>
  <si>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</si>
  <si>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</si>
  <si>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</si>
  <si>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</si>
  <si>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</si>
  <si>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</si>
  <si>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</si>
  <si>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</si>
  <si>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</si>
  <si>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</si>
  <si>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</si>
  <si>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</si>
  <si>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</si>
  <si>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</si>
  <si>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</si>
  <si>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</si>
  <si>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</si>
  <si>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</si>
  <si>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</si>
  <si>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</si>
  <si>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</si>
  <si>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</si>
  <si>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</si>
  <si>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</si>
  <si>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</si>
  <si>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</si>
  <si>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</si>
  <si>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</si>
  <si>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</si>
  <si>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</si>
  <si>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</si>
  <si>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PI3, S1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</si>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</sst>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4" fontId="30" fillId="0" borderId="16" xfId="0" applyNumberFormat="1" applyFont="1" applyBorder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C71" activePane="topRight" state="frozen"/>
      <selection pane="topRight" activeCell="A81" sqref="A81:XFD8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 t="s">
        <v>45</v>
      </c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 t="s">
        <v>45</v>
      </c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 t="s">
        <v>172</v>
      </c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141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 t="s">
        <v>45</v>
      </c>
      <c r="O65" s="36" t="s">
        <v>201</v>
      </c>
      <c r="P65" s="63" t="s">
        <v>77</v>
      </c>
      <c r="Q65" s="4">
        <v>46286</v>
      </c>
      <c r="R65" s="43">
        <v>46273</v>
      </c>
      <c r="S65" s="32">
        <v>46273</v>
      </c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48" customFormat="1">
      <c r="A81" s="147" t="s">
        <v>127</v>
      </c>
      <c r="B81" s="147" t="s">
        <v>253</v>
      </c>
      <c r="C81" s="147" t="s">
        <v>215</v>
      </c>
      <c r="D81" s="148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47">
        <v>57</v>
      </c>
      <c r="F81" s="147"/>
      <c r="G81" s="147"/>
      <c r="H81" s="149">
        <v>46325</v>
      </c>
      <c r="I81" s="150" t="s">
        <v>239</v>
      </c>
      <c r="J81" s="147" t="s">
        <v>252</v>
      </c>
      <c r="K81" s="151">
        <v>46304</v>
      </c>
      <c r="L81" s="151"/>
      <c r="M81" s="152"/>
      <c r="N81" s="152"/>
      <c r="O81" s="152" t="s">
        <v>247</v>
      </c>
      <c r="P81" s="153"/>
      <c r="Q81" s="151">
        <v>46313</v>
      </c>
      <c r="R81" s="151"/>
      <c r="S81" s="152"/>
      <c r="T81" s="173" t="s">
        <v>254</v>
      </c>
      <c r="U81" s="155"/>
      <c r="V81" s="156">
        <v>46316</v>
      </c>
      <c r="W81" s="151"/>
      <c r="X81" s="147"/>
      <c r="Y81" s="147"/>
      <c r="Z81" s="157"/>
      <c r="AA81" s="156">
        <v>46325</v>
      </c>
      <c r="AB81" s="151"/>
      <c r="AC81" s="151"/>
      <c r="AD81" s="147" t="s">
        <v>220</v>
      </c>
      <c r="AE81" s="147" t="s">
        <v>94</v>
      </c>
      <c r="AF81" s="147"/>
      <c r="AG81" s="147"/>
      <c r="AH81" s="147"/>
      <c r="AI81" s="147"/>
      <c r="AJ81" s="147"/>
      <c r="AK81" s="147"/>
      <c r="AL81" s="147"/>
      <c r="AM81" s="155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55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 t="s">
        <v>226</v>
      </c>
      <c r="K89" s="50">
        <v>46332</v>
      </c>
      <c r="L89" s="43"/>
      <c r="M89" s="44"/>
      <c r="N89" s="44"/>
      <c r="O89" s="44" t="s">
        <v>247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1" priority="36">
      <formula>ISNUMBER(SEARCH("Blocked",$D2))</formula>
    </cfRule>
    <cfRule type="expression" dxfId="130" priority="37">
      <formula>ISNUMBER(SEARCH("overdue",$D2))</formula>
    </cfRule>
    <cfRule type="expression" dxfId="129" priority="38">
      <formula>ISNUMBER(SEARCH("no target",$D2))</formula>
    </cfRule>
    <cfRule type="expression" dxfId="128" priority="39">
      <formula>ISNUMBER(SEARCH("Review",$D2))</formula>
    </cfRule>
    <cfRule type="expression" dxfId="127" priority="40">
      <formula>OR($D2="On track",$D2="Delivered")</formula>
    </cfRule>
  </conditionalFormatting>
  <conditionalFormatting sqref="J2:O115">
    <cfRule type="expression" dxfId="126" priority="14">
      <formula>$AJ2="Yes – needs DB Dev to fix"</formula>
    </cfRule>
  </conditionalFormatting>
  <conditionalFormatting sqref="J116:O192">
    <cfRule type="expression" dxfId="125" priority="19">
      <formula>$AH116="Yes – needs DB Dev to fix"</formula>
    </cfRule>
  </conditionalFormatting>
  <conditionalFormatting sqref="K41">
    <cfRule type="expression" dxfId="124" priority="595">
      <formula>AND($B41&lt;&gt;"",MOD(ROW(),2)=0)</formula>
    </cfRule>
    <cfRule type="expression" dxfId="123" priority="596">
      <formula>$AJ41="Yes – needs DB Dev to fix"</formula>
    </cfRule>
  </conditionalFormatting>
  <conditionalFormatting sqref="K42">
    <cfRule type="expression" dxfId="122" priority="597">
      <formula>AND($B41&lt;&gt;"",MOD(ROW(),2)=0)</formula>
    </cfRule>
    <cfRule type="expression" dxfId="121" priority="598">
      <formula>$AJ41="Yes – needs DB Dev to fix"</formula>
    </cfRule>
  </conditionalFormatting>
  <conditionalFormatting sqref="K73:L100">
    <cfRule type="expression" dxfId="120" priority="111">
      <formula>$AF73="Yes – needs DB Dev to fix"</formula>
    </cfRule>
  </conditionalFormatting>
  <conditionalFormatting sqref="K101:L115">
    <cfRule type="expression" dxfId="119" priority="341">
      <formula>$AA101="Yes – needs DB Dev to fix"</formula>
    </cfRule>
  </conditionalFormatting>
  <conditionalFormatting sqref="K116:L527">
    <cfRule type="expression" dxfId="118" priority="568">
      <formula>$X116="Yes – needs DB Dev to fix"</formula>
    </cfRule>
  </conditionalFormatting>
  <conditionalFormatting sqref="M73">
    <cfRule type="expression" dxfId="117" priority="18">
      <formula>$AF73="Yes – needs DB Dev to fix"</formula>
    </cfRule>
  </conditionalFormatting>
  <conditionalFormatting sqref="M79">
    <cfRule type="expression" dxfId="116" priority="5">
      <formula>$AF79="Yes – needs DB Dev to fix"</formula>
    </cfRule>
  </conditionalFormatting>
  <conditionalFormatting sqref="M73:P100">
    <cfRule type="expression" dxfId="115" priority="296">
      <formula>$AD73="Yes – needs PBI Dev to fix"</formula>
    </cfRule>
  </conditionalFormatting>
  <conditionalFormatting sqref="M101:P115">
    <cfRule type="expression" dxfId="114" priority="343">
      <formula>$AA101="Yes – needs PBI Dev to fix"</formula>
    </cfRule>
  </conditionalFormatting>
  <conditionalFormatting sqref="M116:P527">
    <cfRule type="expression" dxfId="113" priority="569">
      <formula>$X116="Yes – needs PBI Dev to fix"</formula>
    </cfRule>
  </conditionalFormatting>
  <conditionalFormatting sqref="O101:O113">
    <cfRule type="expression" dxfId="112" priority="17">
      <formula>$AD101="Yes – needs PBI Dev to fix"</formula>
    </cfRule>
  </conditionalFormatting>
  <conditionalFormatting sqref="Q73:Q100">
    <cfRule type="expression" dxfId="111" priority="12">
      <formula>$AJ73="Yes – needs DB Dev to fix"</formula>
    </cfRule>
    <cfRule type="expression" dxfId="110" priority="13">
      <formula>$AF73="Yes – needs DB Dev to fix"</formula>
    </cfRule>
    <cfRule type="expression" dxfId="109" priority="115">
      <formula>$AF73="Yes – needs PBI Dev to fix"</formula>
    </cfRule>
  </conditionalFormatting>
  <conditionalFormatting sqref="Q101:R115 V101:V115 X101:X115">
    <cfRule type="expression" dxfId="108" priority="11">
      <formula>$AA101="Yes – needs QA to fix"</formula>
    </cfRule>
  </conditionalFormatting>
  <conditionalFormatting sqref="Q116:R527">
    <cfRule type="expression" dxfId="107" priority="570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6" priority="26">
      <formula>$AJ2="Yes – needs PBI Dev to fix"</formula>
    </cfRule>
  </conditionalFormatting>
  <conditionalFormatting sqref="R58">
    <cfRule type="expression" dxfId="105" priority="311">
      <formula>AND($B65&lt;&gt;"",MOD(ROW(),2)=0)</formula>
    </cfRule>
    <cfRule type="expression" dxfId="104" priority="313">
      <formula>$AJ65="Yes – needs PBI Dev to fix"</formula>
    </cfRule>
  </conditionalFormatting>
  <conditionalFormatting sqref="R73:U100 T96:T101">
    <cfRule type="expression" dxfId="103" priority="117">
      <formula>$AF73="Yes – needs QA to fix"</formula>
    </cfRule>
  </conditionalFormatting>
  <conditionalFormatting sqref="S101:U115">
    <cfRule type="expression" dxfId="102" priority="357">
      <formula>$AA101="Yes – needs DPO Approval to fix"</formula>
    </cfRule>
  </conditionalFormatting>
  <conditionalFormatting sqref="S116:U527">
    <cfRule type="expression" dxfId="101" priority="571">
      <formula>$X116="Yes – needs DPO Approval to fix"</formula>
    </cfRule>
  </conditionalFormatting>
  <conditionalFormatting sqref="U101:V527 X101:X527">
    <cfRule type="expression" dxfId="100" priority="44">
      <formula>$V101="Yes"</formula>
    </cfRule>
  </conditionalFormatting>
  <conditionalFormatting sqref="U73:Y100">
    <cfRule type="expression" dxfId="99" priority="119">
      <formula>$AF73="Yes – needs DPO Approval to fix"</formula>
    </cfRule>
  </conditionalFormatting>
  <conditionalFormatting sqref="X116:X527">
    <cfRule type="expression" dxfId="98" priority="572">
      <formula>LEFT($X116,3)="Yes"</formula>
    </cfRule>
  </conditionalFormatting>
  <conditionalFormatting sqref="X73:Z100">
    <cfRule type="expression" dxfId="97" priority="471">
      <formula>$Y73="Yes"</formula>
    </cfRule>
  </conditionalFormatting>
  <conditionalFormatting sqref="Z116:AA527">
    <cfRule type="expression" dxfId="96" priority="49">
      <formula>ISNUMBER(SEARCH("Move old",$Z116))</formula>
    </cfRule>
    <cfRule type="expression" dxfId="95" priority="49">
      <formula>ISNUMBER(SEARCH("log it",$Z116))</formula>
    </cfRule>
    <cfRule type="expression" dxfId="94" priority="49">
      <formula>ISNUMBER(SEARCH("Open rework",$Z116))</formula>
    </cfRule>
    <cfRule type="expression" dxfId="93" priority="50">
      <formula>ISNUMBER(SEARCH("Duplicate",$Z116))</formula>
    </cfRule>
    <cfRule type="expression" dxfId="92" priority="51">
      <formula>$Z116&lt;&gt;""</formula>
    </cfRule>
  </conditionalFormatting>
  <conditionalFormatting sqref="Z116:AC527 W2:Y527 G2:V40 N3:N44 L41:V42 T65:V65 G41:J42 Z2:AL2 Z3 Z4:AL41 Z42:AK42 Z43:AL44 Z45:AK47 Z48:AL72 Z73:AH100 Z101:AE115 AB3:AL3 G66:V73 A2:F87 G43:V64 G65:Q65 A74:V527">
    <cfRule type="expression" dxfId="91" priority="52">
      <formula>AND($B2&lt;&gt;"",MOD(ROW(),2)=0)</formula>
    </cfRule>
  </conditionalFormatting>
  <conditionalFormatting sqref="AA3">
    <cfRule type="expression" dxfId="90" priority="599">
      <formula>AND($B3&lt;&gt;"",MOD(ROW(),2)=0)</formula>
    </cfRule>
    <cfRule type="expression" dxfId="89" priority="600">
      <formula>$AJ3="Yes – needs DPO Approval to fix"</formula>
    </cfRule>
  </conditionalFormatting>
  <conditionalFormatting sqref="AA101:AA115 U2:Z115">
    <cfRule type="expression" dxfId="88" priority="9">
      <formula>$AJ2="Yes – needs QA to fix"</formula>
    </cfRule>
  </conditionalFormatting>
  <conditionalFormatting sqref="AA101:AA115">
    <cfRule type="expression" dxfId="87" priority="6">
      <formula>$AJ101="Yes – needs PBI Dev to fix"</formula>
    </cfRule>
    <cfRule type="expression" dxfId="86" priority="7">
      <formula>$AA101="Yes – needs QA to fix"</formula>
    </cfRule>
    <cfRule type="expression" dxfId="85" priority="8">
      <formula>$V101="Yes"</formula>
    </cfRule>
    <cfRule type="expression" dxfId="84" priority="365">
      <formula>LEFT($AA101,3)="Yes"</formula>
    </cfRule>
  </conditionalFormatting>
  <conditionalFormatting sqref="AA2:AE2 AB3:AE3 AA4:AE100">
    <cfRule type="expression" dxfId="83" priority="93">
      <formula>$AJ2="Yes – needs DPO Approval to fix"</formula>
    </cfRule>
  </conditionalFormatting>
  <conditionalFormatting sqref="AB101:AC115">
    <cfRule type="expression" dxfId="82" priority="373">
      <formula>ISNUMBER(SEARCH("Open rework",$AB101))</formula>
    </cfRule>
    <cfRule type="expression" dxfId="81" priority="374">
      <formula>ISNUMBER(SEARCH("Move old",$AB101))</formula>
    </cfRule>
    <cfRule type="expression" dxfId="80" priority="375">
      <formula>ISNUMBER(SEARCH("log it",$AB101))</formula>
    </cfRule>
    <cfRule type="expression" dxfId="79" priority="376">
      <formula>ISNUMBER(SEARCH("Duplicate",$AB101))</formula>
    </cfRule>
    <cfRule type="expression" dxfId="78" priority="377">
      <formula>$AB101&lt;&gt;""</formula>
    </cfRule>
  </conditionalFormatting>
  <conditionalFormatting sqref="AF2:AF115">
    <cfRule type="expression" dxfId="77" priority="65">
      <formula>$AF2="Yes"</formula>
    </cfRule>
  </conditionalFormatting>
  <conditionalFormatting sqref="AF73:AF100">
    <cfRule type="expression" dxfId="76" priority="123">
      <formula>LEFT($AF73,3)="Yes"</formula>
    </cfRule>
  </conditionalFormatting>
  <conditionalFormatting sqref="AG73:AG100">
    <cfRule type="expression" dxfId="75" priority="129">
      <formula>ISNUMBER(SEARCH("Open rework",$AG73))</formula>
    </cfRule>
    <cfRule type="expression" dxfId="74" priority="130">
      <formula>ISNUMBER(SEARCH("Move old",$AG73))</formula>
    </cfRule>
    <cfRule type="expression" dxfId="73" priority="131">
      <formula>ISNUMBER(SEARCH("log it",$AG73))</formula>
    </cfRule>
    <cfRule type="expression" dxfId="72" priority="132">
      <formula>ISNUMBER(SEARCH("Duplicate",$AG73))</formula>
    </cfRule>
    <cfRule type="expression" dxfId="71" priority="133">
      <formula>$AG73&lt;&gt;""</formula>
    </cfRule>
  </conditionalFormatting>
  <conditionalFormatting sqref="AJ2:AJ115">
    <cfRule type="expression" dxfId="70" priority="67">
      <formula>LEFT($AJ2,3)="Yes"</formula>
    </cfRule>
  </conditionalFormatting>
  <conditionalFormatting sqref="AK2:AK115">
    <cfRule type="expression" dxfId="69" priority="73">
      <formula>ISNUMBER(SEARCH("log it",$AK2))</formula>
    </cfRule>
    <cfRule type="expression" dxfId="68" priority="74">
      <formula>ISNUMBER(SEARCH("Open rework",$AK2))</formula>
    </cfRule>
    <cfRule type="expression" dxfId="67" priority="75">
      <formula>ISNUMBER(SEARCH("Move old",$AK2))</formula>
    </cfRule>
    <cfRule type="expression" dxfId="66" priority="76">
      <formula>ISNUMBER(SEARCH("Duplicate",$AK2))</formula>
    </cfRule>
    <cfRule type="expression" dxfId="65" priority="77">
      <formula>$AK2&lt;&gt;""</formula>
    </cfRule>
  </conditionalFormatting>
  <conditionalFormatting sqref="AL45:AL47">
    <cfRule type="expression" dxfId="64" priority="16">
      <formula>AND($B49&lt;&gt;"",MOD(ROW(),2)=0)</formula>
    </cfRule>
  </conditionalFormatting>
  <conditionalFormatting sqref="D88">
    <cfRule type="expression" dxfId="63" priority="612">
      <formula>AND($B50&lt;&gt;"",MOD(ROW(),2)=0)</formula>
    </cfRule>
  </conditionalFormatting>
  <conditionalFormatting sqref="R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R60:S60">
    <cfRule type="expression" dxfId="60" priority="1">
      <formula>AND($B67&lt;&gt;"",MOD(ROW(),2)=0)</formula>
    </cfRule>
    <cfRule type="expression" dxfId="59" priority="2">
      <formula>$AJ67="Yes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4"/>
      <c r="C4" s="175"/>
      <c r="D4" s="175"/>
      <c r="E4" s="175"/>
    </row>
    <row r="6" spans="1:5" ht="15">
      <c r="A6" s="42" t="s">
        <v>0</v>
      </c>
      <c r="B6" s="171" t="str">
        <f>IF($B$4="","",IFERROR(INDEX('Combined Delivery Data'!$A:$A,MATCH($B$4,'Combined Delivery Data'!$B:$B,0)),""))</f>
        <v/>
      </c>
      <c r="C6" s="176"/>
      <c r="D6" s="176"/>
      <c r="E6" s="177"/>
    </row>
    <row r="7" spans="1:5" ht="15">
      <c r="A7" s="42" t="s">
        <v>329</v>
      </c>
      <c r="B7" s="171" t="str">
        <f>IF($B$4="","",IFERROR(INDEX('Combined Delivery Data'!$C:$C,MATCH($B$4,'Combined Delivery Data'!$B:$B,0)),""))</f>
        <v/>
      </c>
      <c r="C7" s="176"/>
      <c r="D7" s="176"/>
      <c r="E7" s="177"/>
    </row>
    <row r="8" spans="1:5" ht="15">
      <c r="A8" s="42" t="s">
        <v>3</v>
      </c>
      <c r="B8" s="171" t="str">
        <f>IF($B$4="","",IFERROR(INDEX('Combined Delivery Data'!$D:$D,MATCH($B$4,'Combined Delivery Data'!$B:$B,0)),""))</f>
        <v/>
      </c>
      <c r="C8" s="176"/>
      <c r="D8" s="176"/>
      <c r="E8" s="177"/>
    </row>
    <row r="9" spans="1:5" ht="15">
      <c r="A9" s="42" t="s">
        <v>4</v>
      </c>
      <c r="B9" s="171" t="str">
        <f>IF($B$4="","",IFERROR(INDEX('Combined Delivery Data'!$E:$E,MATCH($B$4,'Combined Delivery Data'!$B:$B,0)),""))</f>
        <v/>
      </c>
      <c r="C9" s="176"/>
      <c r="D9" s="176"/>
      <c r="E9" s="177"/>
    </row>
    <row r="10" spans="1:5" ht="15">
      <c r="A10" s="42" t="s">
        <v>5</v>
      </c>
      <c r="B10" s="171" t="str">
        <f>IF($B$4="","",IFERROR(INDEX('Combined Delivery Data'!$F:$F,MATCH($B$4,'Combined Delivery Data'!$B:$B,0)),""))</f>
        <v/>
      </c>
      <c r="C10" s="176"/>
      <c r="D10" s="176"/>
      <c r="E10" s="177"/>
    </row>
    <row r="11" spans="1:5" ht="15">
      <c r="A11" s="42" t="s">
        <v>9</v>
      </c>
      <c r="B11" s="171" t="str">
        <f>IF($B$4="","",IFERROR(INDEX('Combined Delivery Data'!$J:$J,MATCH($B$4,'Combined Delivery Data'!$B:$B,0)),""))</f>
        <v/>
      </c>
      <c r="C11" s="176"/>
      <c r="D11" s="176"/>
      <c r="E11" s="177"/>
    </row>
    <row r="12" spans="1:5" ht="15">
      <c r="A12" s="42" t="s">
        <v>15</v>
      </c>
      <c r="B12" s="171" t="str">
        <f>IF($B$4="","",IFERROR(INDEX('Combined Delivery Data'!$P:$P,MATCH($B$4,'Combined Delivery Data'!$B:$B,0)),""))</f>
        <v/>
      </c>
      <c r="C12" s="176"/>
      <c r="D12" s="176"/>
      <c r="E12" s="177"/>
    </row>
    <row r="13" spans="1:5" ht="15">
      <c r="A13" s="42" t="s">
        <v>20</v>
      </c>
      <c r="B13" s="171" t="str">
        <f>IF($B$4="","",IFERROR(INDEX('Combined Delivery Data'!$U:$U,MATCH($B$4,'Combined Delivery Data'!$B:$B,0)),""))</f>
        <v/>
      </c>
      <c r="C13" s="176"/>
      <c r="D13" s="176"/>
      <c r="E13" s="177"/>
    </row>
    <row r="14" spans="1:5" ht="15">
      <c r="A14" s="42" t="s">
        <v>330</v>
      </c>
      <c r="B14" s="170" t="str">
        <f>IF($B$4="","",IFERROR(INDEX('Combined Delivery Data'!$K:$K,MATCH($B$4,'Combined Delivery Data'!$B:$B,0)),""))</f>
        <v/>
      </c>
      <c r="C14" s="176"/>
      <c r="D14" s="176"/>
      <c r="E14" s="177"/>
    </row>
    <row r="15" spans="1:5" ht="15">
      <c r="A15" s="42" t="s">
        <v>331</v>
      </c>
      <c r="B15" s="170" t="str">
        <f>IF($B$4="","",IFERROR(INDEX('Combined Delivery Data'!$L:$L,MATCH($B$4,'Combined Delivery Data'!$B:$B,0)),""))</f>
        <v/>
      </c>
      <c r="C15" s="176"/>
      <c r="D15" s="176"/>
      <c r="E15" s="177"/>
    </row>
    <row r="16" spans="1:5" ht="15">
      <c r="A16" s="42" t="s">
        <v>332</v>
      </c>
      <c r="B16" s="170" t="str">
        <f>IF($B$4="","",IFERROR(INDEX('Combined Delivery Data'!$M:$M,MATCH($B$4,'Combined Delivery Data'!$B:$B,0)),""))</f>
        <v/>
      </c>
      <c r="C16" s="176"/>
      <c r="D16" s="176"/>
      <c r="E16" s="177"/>
    </row>
    <row r="17" spans="1:5" ht="15">
      <c r="A17" s="42" t="s">
        <v>333</v>
      </c>
      <c r="B17" s="170" t="str">
        <f>IF($B$4="","",IFERROR(INDEX('Combined Delivery Data'!$O:$O,MATCH($B$4,'Combined Delivery Data'!$B:$B,0)),""))</f>
        <v/>
      </c>
      <c r="C17" s="176"/>
      <c r="D17" s="176"/>
      <c r="E17" s="177"/>
    </row>
    <row r="18" spans="1:5" ht="15">
      <c r="A18" s="42" t="s">
        <v>334</v>
      </c>
      <c r="B18" s="170" t="str">
        <f>IF($B$4="","",IFERROR(INDEX('Combined Delivery Data'!$Q:$Q,MATCH($B$4,'Combined Delivery Data'!$B:$B,0)),""))</f>
        <v/>
      </c>
      <c r="C18" s="176"/>
      <c r="D18" s="176"/>
      <c r="E18" s="177"/>
    </row>
    <row r="19" spans="1:5" ht="15">
      <c r="A19" s="42" t="s">
        <v>335</v>
      </c>
      <c r="B19" s="170" t="str">
        <f>IF($B$4="","",IFERROR(INDEX('Combined Delivery Data'!$R:$R,MATCH($B$4,'Combined Delivery Data'!$B:$B,0)),""))</f>
        <v/>
      </c>
      <c r="C19" s="176"/>
      <c r="D19" s="176"/>
      <c r="E19" s="177"/>
    </row>
    <row r="20" spans="1:5" ht="15">
      <c r="A20" s="42" t="s">
        <v>336</v>
      </c>
      <c r="B20" s="170" t="str">
        <f>IF($B$4="","",IFERROR(INDEX('Combined Delivery Data'!$S:$S,MATCH($B$4,'Combined Delivery Data'!$B:$B,0)),""))</f>
        <v/>
      </c>
      <c r="C20" s="176"/>
      <c r="D20" s="176"/>
      <c r="E20" s="177"/>
    </row>
    <row r="21" spans="1:5" ht="15">
      <c r="A21" s="42" t="s">
        <v>29</v>
      </c>
      <c r="B21" s="171" t="str">
        <f>IF($B$4="","",IFERROR(INDEX('Combined Delivery Data'!$T:$T,MATCH($B$4,'Combined Delivery Data'!$B:$B,0)),""))</f>
        <v/>
      </c>
      <c r="C21" s="176"/>
      <c r="D21" s="176"/>
      <c r="E21" s="177"/>
    </row>
    <row r="22" spans="1:5" ht="15">
      <c r="A22" s="42" t="s">
        <v>31</v>
      </c>
      <c r="B22" s="171" t="str">
        <f>IF($B$4="","",IFERROR(INDEX('Combined Delivery Data'!$V:$V,MATCH($B$4,'Combined Delivery Data'!$B:$B,0)),""))</f>
        <v/>
      </c>
      <c r="C22" s="176"/>
      <c r="D22" s="176"/>
      <c r="E22" s="177"/>
    </row>
    <row r="23" spans="1:5" ht="15">
      <c r="A23" s="42" t="s">
        <v>32</v>
      </c>
      <c r="B23" s="170" t="str">
        <f>IF($B$4="","",IFERROR(INDEX('Combined Delivery Data'!$W:$W,MATCH($B$4,'Combined Delivery Data'!$B:$B,0)),""))</f>
        <v/>
      </c>
      <c r="C23" s="176"/>
      <c r="D23" s="176"/>
      <c r="E23" s="177"/>
    </row>
    <row r="24" spans="1:5" ht="15">
      <c r="A24" s="42" t="s">
        <v>35</v>
      </c>
      <c r="B24" s="171" t="str">
        <f>IF($B$4="","",IFERROR(INDEX('Combined Delivery Data'!$X:$X,MATCH($B$4,'Combined Delivery Data'!$B:$B,0)),""))</f>
        <v/>
      </c>
      <c r="C24" s="176"/>
      <c r="D24" s="176"/>
      <c r="E24" s="177"/>
    </row>
    <row r="25" spans="1:5" ht="15">
      <c r="A25" s="42" t="s">
        <v>36</v>
      </c>
      <c r="B25" s="171" t="str">
        <f>IF($B$4="","",IFERROR(INDEX('Combined Delivery Data'!$Z:$Z,MATCH($B$4,'Combined Delivery Data'!$B:$B,0)),""))</f>
        <v/>
      </c>
      <c r="C25" s="176"/>
      <c r="D25" s="176"/>
      <c r="E25" s="177"/>
    </row>
    <row r="26" spans="1:5">
      <c r="A26" s="42" t="s">
        <v>337</v>
      </c>
      <c r="B26" s="171" t="str">
        <f>IF($B$4="","",IFERROR(INDEX('Rework Log'!$Q:$Q,MATCH($B$4,'Rework Log'!$P:$P,0)),""))</f>
        <v/>
      </c>
      <c r="C26" s="176"/>
      <c r="D26" s="176"/>
      <c r="E26" s="177"/>
    </row>
    <row r="27" spans="1:5">
      <c r="A27" s="42" t="s">
        <v>338</v>
      </c>
      <c r="B27" s="171" t="str">
        <f>IF($B$4="","",IFERROR(INDEX('Rework Log'!$R:$R,MATCH($B$4,'Rework Log'!$P:$P,0)),""))</f>
        <v/>
      </c>
      <c r="C27" s="176"/>
      <c r="D27" s="176"/>
      <c r="E27" s="177"/>
    </row>
    <row r="28" spans="1:5">
      <c r="A28" s="42" t="s">
        <v>339</v>
      </c>
      <c r="B28" s="171" t="str">
        <f>IF($B$4="","",IFERROR(INDEX('Rework Log'!$S:$S,MATCH($B$4,'Rework Log'!$P:$P,0)),""))</f>
        <v/>
      </c>
      <c r="C28" s="176"/>
      <c r="D28" s="176"/>
      <c r="E28" s="177"/>
    </row>
    <row r="29" spans="1:5">
      <c r="A29" s="42" t="s">
        <v>340</v>
      </c>
      <c r="B29" s="171" t="str">
        <f>IF($B$4="","",IFERROR(INDEX('Rework Log'!$T:$T,MATCH($B$4,'Rework Log'!$P:$P,0)),""))</f>
        <v/>
      </c>
      <c r="C29" s="176"/>
      <c r="D29" s="176"/>
      <c r="E29" s="177"/>
    </row>
    <row r="30" spans="1:5" ht="15.6" customHeight="1">
      <c r="A30" s="42"/>
      <c r="B30" s="171"/>
      <c r="C30" s="176"/>
      <c r="D30" s="176"/>
      <c r="E30" s="177"/>
    </row>
    <row r="31" spans="1:5" ht="15.6" customHeight="1">
      <c r="A31" s="5" t="s">
        <v>37</v>
      </c>
      <c r="B31" s="178" t="str">
        <f>IF($B$4="","",IFERROR(INDEX('Combined Delivery Data'!$AB:$AB,MATCH($B$4,'Combined Delivery Data'!$B:$B,0)),""))</f>
        <v/>
      </c>
      <c r="C31" s="175"/>
      <c r="D31" s="175"/>
      <c r="E31" s="175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0" activePane="bottomLeft" state="frozen"/>
      <selection pane="bottomLeft" activeCell="J31" sqref="J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9" t="s">
        <v>342</v>
      </c>
      <c r="Q1" s="179"/>
      <c r="R1" s="179"/>
      <c r="S1" s="179"/>
      <c r="T1" s="179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50</v>
      </c>
      <c r="H31" s="32"/>
      <c r="I31" s="32"/>
      <c r="J31" s="32">
        <v>46267</v>
      </c>
      <c r="K31" s="31" t="s">
        <v>160</v>
      </c>
      <c r="L31" s="31"/>
      <c r="M31" s="3" t="str">
        <f t="shared" ca="1" si="0"/>
        <v>Fixed</v>
      </c>
      <c r="N31" t="s">
        <v>366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141</v>
      </c>
      <c r="D34" s="31" t="s">
        <v>154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29:K30 M29:M30 A32:M499 B31:M31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29:K30 M29:M30 A32:M499 B31:M31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80" t="s">
        <v>390</v>
      </c>
      <c r="B1" s="175"/>
      <c r="C1" s="175"/>
      <c r="D1" s="175"/>
      <c r="E1" s="175"/>
      <c r="F1" s="175"/>
      <c r="G1" s="175"/>
      <c r="H1" s="175"/>
      <c r="I1" s="175"/>
      <c r="J1" s="175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397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397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397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397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1" t="s">
        <v>398</v>
      </c>
      <c r="B1" s="175"/>
      <c r="C1" s="175"/>
    </row>
    <row r="2" spans="1:3" ht="14.25" customHeight="1">
      <c r="A2" s="8" t="s">
        <v>0</v>
      </c>
      <c r="B2" s="8" t="s">
        <v>399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329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129</v>
      </c>
      <c r="L1" s="5" t="s">
        <v>348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147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150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423</v>
      </c>
      <c r="J6" t="s">
        <v>129</v>
      </c>
      <c r="M6" t="s">
        <v>48</v>
      </c>
      <c r="N6" s="45" t="s">
        <v>420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424</v>
      </c>
      <c r="M7" t="s">
        <v>130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118</v>
      </c>
      <c r="N16" s="45" t="s">
        <v>420</v>
      </c>
    </row>
    <row r="17" spans="13:14">
      <c r="M17" t="s">
        <v>65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2026-09-08T18:34:52Z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