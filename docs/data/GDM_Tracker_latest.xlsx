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58" documentId="13_ncr:1_{52745E9B-3AA1-4770-AAD3-E6166BFC13AE}" xr6:coauthVersionLast="47" xr6:coauthVersionMax="47" xr10:uidLastSave="{151C52CE-B5F1-4FA3-87E0-BFC5089C16E0}"/>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Data'!$N$120:$N$120</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5" i="2" l="1"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<sst xmlns="http://schemas.openxmlformats.org/spreadsheetml/2006/main" count="3247" uniqueCount="474">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</sst>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5">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Octo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B86" sqref="B86:B100"/>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226</v>
      </c>
      <c r="K68" s="85">
        <v>46276</v>
      </c>
      <c r="L68" s="86">
        <v>46258</v>
      </c>
      <c r="M68" s="86">
        <v>46258</v>
      </c>
      <c r="N68" s="86"/>
      <c r="O68" s="86" t="s">
        <v>194</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227</v>
      </c>
      <c r="U71" s="33" t="s">
        <v>47</v>
      </c>
      <c r="V71" s="58">
        <v>46290</v>
      </c>
      <c r="W71" s="36"/>
      <c r="X71" s="36">
        <v>46293</v>
      </c>
      <c r="Y71" s="36">
        <v>46296</v>
      </c>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227</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194</v>
      </c>
      <c r="P73" s="65" t="s">
        <v>77</v>
      </c>
      <c r="Q73" s="43">
        <v>46313</v>
      </c>
      <c r="R73" s="43">
        <v>46289</v>
      </c>
      <c r="S73" s="43">
        <v>46289</v>
      </c>
      <c r="T73" s="69" t="s">
        <v>241</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242</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194</v>
      </c>
      <c r="P74" s="74" t="s">
        <v>77</v>
      </c>
      <c r="Q74" s="43">
        <v>46313</v>
      </c>
      <c r="R74" s="43">
        <v>46300</v>
      </c>
      <c r="S74" s="44"/>
      <c r="T74" s="69" t="s">
        <v>241</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194</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194</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194</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247</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249</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251</v>
      </c>
      <c r="O79" s="44" t="s">
        <v>194</v>
      </c>
      <c r="P79" s="74" t="s">
        <v>60</v>
      </c>
      <c r="Q79" s="43">
        <v>46313</v>
      </c>
      <c r="R79" s="43"/>
      <c r="S79" s="44"/>
      <c r="T79" s="69" t="s">
        <v>241</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254</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251</v>
      </c>
      <c r="O81" s="149" t="s">
        <v>248</v>
      </c>
      <c r="P81" s="150" t="s">
        <v>60</v>
      </c>
      <c r="Q81" s="148">
        <v>46313</v>
      </c>
      <c r="R81" s="148">
        <v>46295</v>
      </c>
      <c r="S81" s="149">
        <v>46294</v>
      </c>
      <c r="T81" s="167" t="s">
        <v>255</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257</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77</v>
      </c>
      <c r="Q82" s="43">
        <v>46313</v>
      </c>
      <c r="R82" s="43">
        <v>46304</v>
      </c>
      <c r="S82" s="44"/>
      <c r="T82" s="68" t="s">
        <v>255</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251</v>
      </c>
      <c r="O83" s="44" t="s">
        <v>248</v>
      </c>
      <c r="P83" s="74" t="s">
        <v>77</v>
      </c>
      <c r="Q83" s="43">
        <v>46313</v>
      </c>
      <c r="R83" s="43">
        <v>46294</v>
      </c>
      <c r="S83" s="44">
        <v>46294</v>
      </c>
      <c r="T83" s="68" t="s">
        <v>255</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v>46286</v>
      </c>
      <c r="M84" s="46">
        <v>46286</v>
      </c>
      <c r="N84" s="44" t="s">
        <v>251</v>
      </c>
      <c r="O84" s="44" t="s">
        <v>248</v>
      </c>
      <c r="P84" s="74" t="s">
        <v>60</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240</v>
      </c>
      <c r="J85" s="53" t="s">
        <v>44</v>
      </c>
      <c r="K85" s="43">
        <v>46304</v>
      </c>
      <c r="L85" s="43">
        <v>46276</v>
      </c>
      <c r="M85" s="44"/>
      <c r="N85" s="44"/>
      <c r="O85" s="44" t="s">
        <v>248</v>
      </c>
      <c r="P85" s="74" t="s">
        <v>60</v>
      </c>
      <c r="Q85" s="43">
        <v>46313</v>
      </c>
      <c r="R85" s="43"/>
      <c r="S85" s="44"/>
      <c r="T85" s="68" t="s">
        <v>255</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248</v>
      </c>
      <c r="P86" s="74"/>
      <c r="Q86" s="49">
        <v>46339</v>
      </c>
      <c r="R86" s="43"/>
      <c r="S86" s="44"/>
      <c r="T86" s="68" t="s">
        <v>255</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248</v>
      </c>
      <c r="P87" s="74"/>
      <c r="Q87" s="49">
        <v>46339</v>
      </c>
      <c r="R87" s="43"/>
      <c r="S87" s="44"/>
      <c r="T87" s="68" t="s">
        <v>255</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296</v>
      </c>
      <c r="B101" s="31" t="s">
        <v>297</v>
      </c>
      <c r="C101" s="31" t="s">
        <v>257</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296</v>
      </c>
      <c r="B105" s="31" t="s">
        <v>308</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296</v>
      </c>
      <c r="B108" s="31" t="s">
        <v>315</v>
      </c>
      <c r="C108" s="31" t="s">
        <v>257</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4" priority="45">
      <formula>ISNUMBER(SEARCH("Blocked",$D2))</formula>
    </cfRule>
    <cfRule type="expression" dxfId="143" priority="46">
      <formula>ISNUMBER(SEARCH("overdue",$D2))</formula>
    </cfRule>
    <cfRule type="expression" dxfId="142" priority="47">
      <formula>ISNUMBER(SEARCH("no target",$D2))</formula>
    </cfRule>
    <cfRule type="expression" dxfId="141" priority="48">
      <formula>ISNUMBER(SEARCH("Review",$D2))</formula>
    </cfRule>
    <cfRule type="expression" dxfId="140" priority="49">
      <formula>OR($D2="On track",$D2="Delivered")</formula>
    </cfRule>
  </conditionalFormatting>
  <conditionalFormatting sqref="J2:O115">
    <cfRule type="expression" dxfId="139" priority="23">
      <formula>$AJ2="Yes – needs DB Dev to fix"</formula>
    </cfRule>
  </conditionalFormatting>
  <conditionalFormatting sqref="J116:O192">
    <cfRule type="expression" dxfId="138" priority="28">
      <formula>$AH116="Yes – needs DB Dev to fix"</formula>
    </cfRule>
  </conditionalFormatting>
  <conditionalFormatting sqref="K41">
    <cfRule type="expression" dxfId="137" priority="604">
      <formula>AND($B41&lt;&gt;"",MOD(ROW(),2)=0)</formula>
    </cfRule>
    <cfRule type="expression" dxfId="136" priority="605">
      <formula>$AJ41="Yes – needs DB Dev to fix"</formula>
    </cfRule>
  </conditionalFormatting>
  <conditionalFormatting sqref="K42">
    <cfRule type="expression" dxfId="135" priority="606">
      <formula>AND($B41&lt;&gt;"",MOD(ROW(),2)=0)</formula>
    </cfRule>
    <cfRule type="expression" dxfId="134" priority="607">
      <formula>$AJ41="Yes – needs DB Dev to fix"</formula>
    </cfRule>
  </conditionalFormatting>
  <conditionalFormatting sqref="K73:L100">
    <cfRule type="expression" dxfId="133" priority="120">
      <formula>$AF73="Yes – needs DB Dev to fix"</formula>
    </cfRule>
  </conditionalFormatting>
  <conditionalFormatting sqref="K101:L115">
    <cfRule type="expression" dxfId="132" priority="350">
      <formula>$AA101="Yes – needs DB Dev to fix"</formula>
    </cfRule>
  </conditionalFormatting>
  <conditionalFormatting sqref="K116:L527">
    <cfRule type="expression" dxfId="131" priority="577">
      <formula>$X116="Yes – needs DB Dev to fix"</formula>
    </cfRule>
  </conditionalFormatting>
  <conditionalFormatting sqref="M73">
    <cfRule type="expression" dxfId="130" priority="27">
      <formula>$AF73="Yes – needs DB Dev to fix"</formula>
    </cfRule>
  </conditionalFormatting>
  <conditionalFormatting sqref="M79">
    <cfRule type="expression" dxfId="129" priority="14">
      <formula>$AF79="Yes – needs DB Dev to fix"</formula>
    </cfRule>
  </conditionalFormatting>
  <conditionalFormatting sqref="M73:P100">
    <cfRule type="expression" dxfId="128" priority="305">
      <formula>$AD73="Yes – needs PBI Dev to fix"</formula>
    </cfRule>
  </conditionalFormatting>
  <conditionalFormatting sqref="M101:P115">
    <cfRule type="expression" dxfId="127" priority="352">
      <formula>$AA101="Yes – needs PBI Dev to fix"</formula>
    </cfRule>
  </conditionalFormatting>
  <conditionalFormatting sqref="M116:P527">
    <cfRule type="expression" dxfId="126" priority="578">
      <formula>$X116="Yes – needs PBI Dev to fix"</formula>
    </cfRule>
  </conditionalFormatting>
  <conditionalFormatting sqref="O101:O113">
    <cfRule type="expression" dxfId="125" priority="26">
      <formula>$AD101="Yes – needs PBI Dev to fix"</formula>
    </cfRule>
  </conditionalFormatting>
  <conditionalFormatting sqref="Q73:Q100">
    <cfRule type="expression" dxfId="124" priority="21">
      <formula>$AJ73="Yes – needs DB Dev to fix"</formula>
    </cfRule>
    <cfRule type="expression" dxfId="123" priority="22">
      <formula>$AF73="Yes – needs DB Dev to fix"</formula>
    </cfRule>
    <cfRule type="expression" dxfId="122" priority="124">
      <formula>$AF73="Yes – needs PBI Dev to fix"</formula>
    </cfRule>
  </conditionalFormatting>
  <conditionalFormatting sqref="Q101:R115 V101:V115 X101:X115">
    <cfRule type="expression" dxfId="121" priority="20">
      <formula>$AA101="Yes – needs QA to fix"</formula>
    </cfRule>
  </conditionalFormatting>
  <conditionalFormatting sqref="Q116:R527">
    <cfRule type="expression" dxfId="120" priority="579">
      <formula>$X116="Yes – needs QA to fix"</formula>
    </cfRule>
  </conditionalFormatting>
  <conditionalFormatting sqref="U10:V19 X10:X19 J29 M29:P29 J32:J33 M32:P33 K40:K41 M40:P41 Q65 T65:U65 V101:V115 X101:X115 Q2:U64 Q66:U115">
    <cfRule type="expression" dxfId="119" priority="35">
      <formula>$AJ2="Yes – needs PBI Dev to fix"</formula>
    </cfRule>
  </conditionalFormatting>
  <conditionalFormatting sqref="R58">
    <cfRule type="expression" dxfId="118" priority="320">
      <formula>AND($B65&lt;&gt;"",MOD(ROW(),2)=0)</formula>
    </cfRule>
    <cfRule type="expression" dxfId="117" priority="322">
      <formula>$AJ65="Yes – needs PBI Dev to fix"</formula>
    </cfRule>
  </conditionalFormatting>
  <conditionalFormatting sqref="T96:T101 R73:U100">
    <cfRule type="expression" dxfId="116" priority="126">
      <formula>$AF73="Yes – needs QA to fix"</formula>
    </cfRule>
  </conditionalFormatting>
  <conditionalFormatting sqref="S101:U115">
    <cfRule type="expression" dxfId="115" priority="366">
      <formula>$AA101="Yes – needs DPO Approval to fix"</formula>
    </cfRule>
  </conditionalFormatting>
  <conditionalFormatting sqref="S116:U527">
    <cfRule type="expression" dxfId="114" priority="580">
      <formula>$X116="Yes – needs DPO Approval to fix"</formula>
    </cfRule>
  </conditionalFormatting>
  <conditionalFormatting sqref="U101:V527 X101:X527">
    <cfRule type="expression" dxfId="113" priority="53">
      <formula>$V101="Yes"</formula>
    </cfRule>
  </conditionalFormatting>
  <conditionalFormatting sqref="U73:Y100">
    <cfRule type="expression" dxfId="112" priority="128">
      <formula>$AF73="Yes – needs DPO Approval to fix"</formula>
    </cfRule>
  </conditionalFormatting>
  <conditionalFormatting sqref="X116:X527">
    <cfRule type="expression" dxfId="111" priority="581">
      <formula>LEFT($X116,3)="Yes"</formula>
    </cfRule>
  </conditionalFormatting>
  <conditionalFormatting sqref="X73:Z100">
    <cfRule type="expression" dxfId="110" priority="480">
      <formula>$Y73="Yes"</formula>
    </cfRule>
  </conditionalFormatting>
  <conditionalFormatting sqref="Z116:AA527">
    <cfRule type="expression" dxfId="109" priority="58">
      <formula>ISNUMBER(SEARCH("Move old",$Z116))</formula>
    </cfRule>
    <cfRule type="expression" dxfId="108" priority="58">
      <formula>ISNUMBER(SEARCH("log it",$Z116))</formula>
    </cfRule>
    <cfRule type="expression" dxfId="107" priority="58">
      <formula>ISNUMBER(SEARCH("Open rework",$Z116))</formula>
    </cfRule>
    <cfRule type="expression" dxfId="106" priority="59">
      <formula>ISNUMBER(SEARCH("Duplicate",$Z116))</formula>
    </cfRule>
    <cfRule type="expression" dxfId="105" priority="60">
      <formula>$Z116&lt;&gt;""</formula>
    </cfRule>
  </conditionalFormatting>
  <conditionalFormatting sqref="Z116:AC527 G2:V40 N3:N44 L41:V42 T65:V65 G41:J42 Z2:AL2 Z3 Z4:AL41 Z42:AK42 Z43:AL44 Z45:AK47 Z101:AE115 AB3:AL3 G65:Q65 Z48:AL72 Z73:AH100 G43:V64 A2:F87 G66:V73 A74:V527 W2:Y527">
    <cfRule type="expression" dxfId="104" priority="61">
      <formula>AND($B2&lt;&gt;"",MOD(ROW(),2)=0)</formula>
    </cfRule>
  </conditionalFormatting>
  <conditionalFormatting sqref="AA3">
    <cfRule type="expression" dxfId="103" priority="608">
      <formula>AND($B3&lt;&gt;"",MOD(ROW(),2)=0)</formula>
    </cfRule>
    <cfRule type="expression" dxfId="102" priority="609">
      <formula>$AJ3="Yes – needs DPO Approval to fix"</formula>
    </cfRule>
  </conditionalFormatting>
  <conditionalFormatting sqref="AA101:AA115 U2:Z115">
    <cfRule type="expression" dxfId="101" priority="18">
      <formula>$AJ2="Yes – needs QA to fix"</formula>
    </cfRule>
  </conditionalFormatting>
  <conditionalFormatting sqref="AA101:AA115">
    <cfRule type="expression" dxfId="100" priority="15">
      <formula>$AJ101="Yes – needs PBI Dev to fix"</formula>
    </cfRule>
    <cfRule type="expression" dxfId="99" priority="16">
      <formula>$AA101="Yes – needs QA to fix"</formula>
    </cfRule>
    <cfRule type="expression" dxfId="98" priority="17">
      <formula>$V101="Yes"</formula>
    </cfRule>
    <cfRule type="expression" dxfId="97" priority="374">
      <formula>LEFT($AA101,3)="Yes"</formula>
    </cfRule>
  </conditionalFormatting>
  <conditionalFormatting sqref="AA2:AE2 AB3:AE3 AA4:AE100">
    <cfRule type="expression" dxfId="96" priority="102">
      <formula>$AJ2="Yes – needs DPO Approval to fix"</formula>
    </cfRule>
  </conditionalFormatting>
  <conditionalFormatting sqref="AB101:AC115">
    <cfRule type="expression" dxfId="95" priority="382">
      <formula>ISNUMBER(SEARCH("Open rework",$AB101))</formula>
    </cfRule>
    <cfRule type="expression" dxfId="94" priority="383">
      <formula>ISNUMBER(SEARCH("Move old",$AB101))</formula>
    </cfRule>
    <cfRule type="expression" dxfId="93" priority="384">
      <formula>ISNUMBER(SEARCH("log it",$AB101))</formula>
    </cfRule>
    <cfRule type="expression" dxfId="92" priority="385">
      <formula>ISNUMBER(SEARCH("Duplicate",$AB101))</formula>
    </cfRule>
    <cfRule type="expression" dxfId="91" priority="386">
      <formula>$AB101&lt;&gt;""</formula>
    </cfRule>
  </conditionalFormatting>
  <conditionalFormatting sqref="AF2:AF115">
    <cfRule type="expression" dxfId="90" priority="74">
      <formula>$AF2="Yes"</formula>
    </cfRule>
  </conditionalFormatting>
  <conditionalFormatting sqref="AF73:AF100">
    <cfRule type="expression" dxfId="89" priority="132">
      <formula>LEFT($AF73,3)="Yes"</formula>
    </cfRule>
  </conditionalFormatting>
  <conditionalFormatting sqref="AG73:AG100">
    <cfRule type="expression" dxfId="88" priority="138">
      <formula>ISNUMBER(SEARCH("Open rework",$AG73))</formula>
    </cfRule>
    <cfRule type="expression" dxfId="87" priority="139">
      <formula>ISNUMBER(SEARCH("Move old",$AG73))</formula>
    </cfRule>
    <cfRule type="expression" dxfId="86" priority="140">
      <formula>ISNUMBER(SEARCH("log it",$AG73))</formula>
    </cfRule>
    <cfRule type="expression" dxfId="85" priority="141">
      <formula>ISNUMBER(SEARCH("Duplicate",$AG73))</formula>
    </cfRule>
    <cfRule type="expression" dxfId="84" priority="142">
      <formula>$AG73&lt;&gt;""</formula>
    </cfRule>
  </conditionalFormatting>
  <conditionalFormatting sqref="AJ2:AJ115">
    <cfRule type="expression" dxfId="83" priority="76">
      <formula>LEFT($AJ2,3)="Yes"</formula>
    </cfRule>
  </conditionalFormatting>
  <conditionalFormatting sqref="AK2:AK115">
    <cfRule type="expression" dxfId="82" priority="82">
      <formula>ISNUMBER(SEARCH("log it",$AK2))</formula>
    </cfRule>
    <cfRule type="expression" dxfId="81" priority="83">
      <formula>ISNUMBER(SEARCH("Open rework",$AK2))</formula>
    </cfRule>
    <cfRule type="expression" dxfId="80" priority="84">
      <formula>ISNUMBER(SEARCH("Move old",$AK2))</formula>
    </cfRule>
    <cfRule type="expression" dxfId="79" priority="85">
      <formula>ISNUMBER(SEARCH("Duplicate",$AK2))</formula>
    </cfRule>
    <cfRule type="expression" dxfId="78" priority="86">
      <formula>$AK2&lt;&gt;""</formula>
    </cfRule>
  </conditionalFormatting>
  <conditionalFormatting sqref="AL45:AL47">
    <cfRule type="expression" dxfId="77" priority="25">
      <formula>AND($B49&lt;&gt;"",MOD(ROW(),2)=0)</formula>
    </cfRule>
  </conditionalFormatting>
  <conditionalFormatting sqref="D88">
    <cfRule type="expression" dxfId="76" priority="621">
      <formula>AND($B50&lt;&gt;"",MOD(ROW(),2)=0)</formula>
    </cfRule>
  </conditionalFormatting>
  <conditionalFormatting sqref="R60">
    <cfRule type="expression" dxfId="75" priority="12">
      <formula>AND($B67&lt;&gt;"",MOD(ROW(),2)=0)</formula>
    </cfRule>
    <cfRule type="expression" dxfId="74" priority="13">
      <formula>$AJ67="Yes – needs PBI Dev to fix"</formula>
    </cfRule>
  </conditionalFormatting>
  <conditionalFormatting sqref="R60:S60">
    <cfRule type="expression" dxfId="73" priority="10">
      <formula>AND($B67&lt;&gt;"",MOD(ROW(),2)=0)</formula>
    </cfRule>
    <cfRule type="expression" dxfId="72" priority="11">
      <formula>$AJ67="Yes – needs PBI Dev to fix"</formula>
    </cfRule>
  </conditionalFormatting>
  <conditionalFormatting sqref="N70">
    <cfRule type="expression" dxfId="71" priority="9">
      <formula>$AD70="Yes – needs PBI Dev to fix"</formula>
    </cfRule>
  </conditionalFormatting>
  <conditionalFormatting sqref="N58">
    <cfRule type="expression" dxfId="70" priority="8">
      <formula>$AD58="Yes – needs PBI Dev to fix"</formula>
    </cfRule>
  </conditionalFormatting>
  <conditionalFormatting sqref="M91">
    <cfRule type="expression" dxfId="69" priority="7">
      <formula>$AF91="Yes – needs DB Dev to fix"</formula>
    </cfRule>
  </conditionalFormatting>
  <conditionalFormatting sqref="M80">
    <cfRule type="expression" dxfId="68" priority="6">
      <formula>$AF80="Yes – needs DB Dev to fix"</formula>
    </cfRule>
  </conditionalFormatting>
  <conditionalFormatting sqref="N82">
    <cfRule type="expression" dxfId="67" priority="5">
      <formula>$AD82="Yes – needs PBI Dev to fix"</formula>
    </cfRule>
  </conditionalFormatting>
  <conditionalFormatting sqref="M83">
    <cfRule type="expression" dxfId="66" priority="4">
      <formula>$AF83="Yes – needs DB Dev to fix"</formula>
    </cfRule>
  </conditionalFormatting>
  <conditionalFormatting sqref="C2:C115">
    <cfRule type="expression" dxfId="65" priority="622">
      <formula>LEFT($AK2,4)="Move"</formula>
    </cfRule>
  </conditionalFormatting>
  <conditionalFormatting sqref="M84">
    <cfRule type="expression" dxfId="64" priority="3">
      <formula>$AF84="Yes – needs DB Dev to fix"</formula>
    </cfRule>
  </conditionalFormatting>
  <conditionalFormatting sqref="O101:O104">
    <cfRule type="expression" dxfId="63" priority="2">
      <formula>$AD101="Yes – needs PBI Dev to fix"</formula>
    </cfRule>
  </conditionalFormatting>
  <conditionalFormatting sqref="M81">
    <cfRule type="expression" dxfId="62"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c r="A6" s="42" t="s">
        <v>0</v>
      </c>
      <c r="B6" s="173" t="str">
        <f>IF($B$4="","",IFERROR(INDEX('Combined Delivery Data'!$A:$A,MATCH($B$4,'Combined Delivery Data'!$B:$B,0)),""))</f>
        <v/>
      </c>
      <c r="C6" s="177"/>
      <c r="D6" s="177"/>
      <c r="E6" s="178"/>
    </row>
    <row r="7" spans="1:5">
      <c r="A7" s="42" t="s">
        <v>333</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334</v>
      </c>
      <c r="B14" s="172" t="str">
        <f>IF($B$4="","",IFERROR(INDEX('Combined Delivery Data'!$K:$K,MATCH($B$4,'Combined Delivery Data'!$B:$B,0)),""))</f>
        <v/>
      </c>
      <c r="C14" s="177"/>
      <c r="D14" s="177"/>
      <c r="E14" s="178"/>
    </row>
    <row r="15" spans="1:5">
      <c r="A15" s="42" t="s">
        <v>335</v>
      </c>
      <c r="B15" s="172" t="str">
        <f>IF($B$4="","",IFERROR(INDEX('Combined Delivery Data'!$L:$L,MATCH($B$4,'Combined Delivery Data'!$B:$B,0)),""))</f>
        <v/>
      </c>
      <c r="C15" s="177"/>
      <c r="D15" s="177"/>
      <c r="E15" s="178"/>
    </row>
    <row r="16" spans="1:5">
      <c r="A16" s="42" t="s">
        <v>336</v>
      </c>
      <c r="B16" s="172" t="str">
        <f>IF($B$4="","",IFERROR(INDEX('Combined Delivery Data'!$M:$M,MATCH($B$4,'Combined Delivery Data'!$B:$B,0)),""))</f>
        <v/>
      </c>
      <c r="C16" s="177"/>
      <c r="D16" s="177"/>
      <c r="E16" s="178"/>
    </row>
    <row r="17" spans="1:5">
      <c r="A17" s="42" t="s">
        <v>337</v>
      </c>
      <c r="B17" s="172" t="str">
        <f>IF($B$4="","",IFERROR(INDEX('Combined Delivery Data'!$O:$O,MATCH($B$4,'Combined Delivery Data'!$B:$B,0)),""))</f>
        <v/>
      </c>
      <c r="C17" s="177"/>
      <c r="D17" s="177"/>
      <c r="E17" s="178"/>
    </row>
    <row r="18" spans="1:5">
      <c r="A18" s="42" t="s">
        <v>338</v>
      </c>
      <c r="B18" s="172" t="str">
        <f>IF($B$4="","",IFERROR(INDEX('Combined Delivery Data'!$Q:$Q,MATCH($B$4,'Combined Delivery Data'!$B:$B,0)),""))</f>
        <v/>
      </c>
      <c r="C18" s="177"/>
      <c r="D18" s="177"/>
      <c r="E18" s="178"/>
    </row>
    <row r="19" spans="1:5">
      <c r="A19" s="42" t="s">
        <v>339</v>
      </c>
      <c r="B19" s="172" t="str">
        <f>IF($B$4="","",IFERROR(INDEX('Combined Delivery Data'!$R:$R,MATCH($B$4,'Combined Delivery Data'!$B:$B,0)),""))</f>
        <v/>
      </c>
      <c r="C19" s="177"/>
      <c r="D19" s="177"/>
      <c r="E19" s="178"/>
    </row>
    <row r="20" spans="1:5">
      <c r="A20" s="42" t="s">
        <v>340</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B25" activePane="bottomLeft" state="frozen"/>
      <selection pane="bottomLeft" activeCell="H47" sqref="H47"/>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217</v>
      </c>
      <c r="D3" s="33" t="s">
        <v>257</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257</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257</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257</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257</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257</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257</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257</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257</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257</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257</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257</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375</v>
      </c>
      <c r="G17" s="31" t="s">
        <v>50</v>
      </c>
      <c r="H17" s="32" t="s">
        <v>46</v>
      </c>
      <c r="I17" s="32"/>
      <c r="J17" s="32"/>
      <c r="K17" s="31"/>
      <c r="L17" s="31"/>
      <c r="M17" s="3"/>
      <c r="S17" s="28"/>
    </row>
    <row r="18" spans="1:20">
      <c r="A18" s="33" t="s">
        <v>181</v>
      </c>
      <c r="B18" s="32">
        <v>46261</v>
      </c>
      <c r="C18" s="31" t="s">
        <v>217</v>
      </c>
      <c r="D18" s="31" t="s">
        <v>257</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257</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257</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257</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257</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257</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257</v>
      </c>
      <c r="E33" s="31" t="s">
        <v>199</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257</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257</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257</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257</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257</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403</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257</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257</v>
      </c>
      <c r="E43" s="31" t="s">
        <v>129</v>
      </c>
      <c r="F43" s="31" t="s">
        <v>406</v>
      </c>
      <c r="G43" s="31" t="s">
        <v>53</v>
      </c>
      <c r="H43" s="32" t="s">
        <v>44</v>
      </c>
      <c r="I43" s="32"/>
      <c r="J43" s="32"/>
      <c r="K43" s="31"/>
      <c r="L43" s="31"/>
      <c r="M43" s="3" t="str">
        <f t="shared" ca="1" si="4"/>
        <v>UNCLAIMED 8 d</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408</v>
      </c>
      <c r="B1" s="176"/>
      <c r="C1" s="176"/>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425</v>
      </c>
      <c r="B1" s="176"/>
      <c r="C1" s="176"/>
      <c r="D1" s="176"/>
      <c r="E1" s="176"/>
      <c r="F1" s="176"/>
      <c r="G1" s="176"/>
      <c r="H1" s="176"/>
      <c r="I1" s="176"/>
      <c r="J1" s="176"/>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217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217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217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217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257</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217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257</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217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257</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257</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257</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257</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257</v>
      </c>
      <c r="C156" s="9" t="s">
        <v>142</v>
      </c>
      <c r="D156" s="9" t="s">
        <v>84</v>
      </c>
      <c r="E156" s="9" t="s">
        <v>60</v>
      </c>
      <c r="F156" s="9"/>
      <c r="G156" s="9" t="s">
        <v>143</v>
      </c>
      <c r="H156" s="9"/>
      <c r="I156" s="9"/>
      <c r="J156" s="9"/>
    </row>
    <row r="157" spans="1:10">
      <c r="A157" s="3" t="s">
        <v>126</v>
      </c>
      <c r="B157" s="3" t="s">
        <v>257</v>
      </c>
      <c r="C157" s="3" t="s">
        <v>145</v>
      </c>
      <c r="D157" s="3" t="s">
        <v>65</v>
      </c>
      <c r="E157" s="3" t="s">
        <v>46</v>
      </c>
      <c r="F157" s="3"/>
      <c r="G157" s="3" t="s">
        <v>143</v>
      </c>
      <c r="H157" s="3"/>
      <c r="I157" s="3"/>
      <c r="J157" s="3"/>
    </row>
    <row r="158" spans="1:10">
      <c r="A158" s="3" t="s">
        <v>126</v>
      </c>
      <c r="B158" s="3" t="s">
        <v>257</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257</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257</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257</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257</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257</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257</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257</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251</v>
      </c>
      <c r="T2" t="s">
        <v>49</v>
      </c>
    </row>
    <row r="3" spans="1:20" ht="15" customHeight="1">
      <c r="A3" t="s">
        <v>40</v>
      </c>
      <c r="B3" t="s">
        <v>44</v>
      </c>
      <c r="C3" t="s">
        <v>60</v>
      </c>
      <c r="D3" t="s">
        <v>129</v>
      </c>
      <c r="E3" t="s">
        <v>50</v>
      </c>
      <c r="F3" t="s">
        <v>231</v>
      </c>
      <c r="G3" t="s">
        <v>44</v>
      </c>
      <c r="H3" t="s">
        <v>47</v>
      </c>
      <c r="I3" t="s">
        <v>53</v>
      </c>
      <c r="J3" t="s">
        <v>257</v>
      </c>
      <c r="K3" t="s">
        <v>48</v>
      </c>
      <c r="L3" t="s">
        <v>53</v>
      </c>
      <c r="M3" t="s">
        <v>44</v>
      </c>
      <c r="N3" t="s">
        <v>452</v>
      </c>
      <c r="R3" t="s">
        <v>45</v>
      </c>
      <c r="T3" t="s">
        <v>94</v>
      </c>
    </row>
    <row r="4" spans="1:20" ht="15" customHeight="1">
      <c r="A4" t="s">
        <v>126</v>
      </c>
      <c r="B4" t="s">
        <v>59</v>
      </c>
      <c r="C4" t="s">
        <v>46</v>
      </c>
      <c r="D4" t="s">
        <v>143</v>
      </c>
      <c r="E4" t="s">
        <v>53</v>
      </c>
      <c r="F4" t="s">
        <v>257</v>
      </c>
      <c r="G4" t="s">
        <v>59</v>
      </c>
      <c r="H4" t="s">
        <v>88</v>
      </c>
      <c r="I4" t="s">
        <v>205</v>
      </c>
      <c r="J4" t="s">
        <v>164</v>
      </c>
      <c r="L4" t="s">
        <v>50</v>
      </c>
      <c r="M4" t="s">
        <v>103</v>
      </c>
      <c r="N4" t="s">
        <v>453</v>
      </c>
      <c r="R4" t="s">
        <v>454</v>
      </c>
      <c r="T4" t="s">
        <v>72</v>
      </c>
    </row>
    <row r="5" spans="1:20" ht="15" customHeight="1">
      <c r="A5" t="s">
        <v>423</v>
      </c>
      <c r="B5" t="s">
        <v>432</v>
      </c>
      <c r="C5" t="s">
        <v>77</v>
      </c>
      <c r="F5" t="s">
        <v>164</v>
      </c>
      <c r="G5" t="s">
        <v>432</v>
      </c>
      <c r="H5" t="s">
        <v>129</v>
      </c>
      <c r="I5" t="s">
        <v>213</v>
      </c>
      <c r="J5" t="s">
        <v>217</v>
      </c>
      <c r="L5" t="s">
        <v>455</v>
      </c>
      <c r="M5" t="s">
        <v>88</v>
      </c>
      <c r="N5" t="s">
        <v>456</v>
      </c>
    </row>
    <row r="6" spans="1:20" ht="15" customHeight="1">
      <c r="A6" t="s">
        <v>305</v>
      </c>
      <c r="B6" t="s">
        <v>84</v>
      </c>
      <c r="F6" t="s">
        <v>217</v>
      </c>
      <c r="G6" t="s">
        <v>84</v>
      </c>
      <c r="H6" t="s">
        <v>143</v>
      </c>
      <c r="I6" t="s">
        <v>168</v>
      </c>
      <c r="J6" t="s">
        <v>182</v>
      </c>
      <c r="M6" t="s">
        <v>48</v>
      </c>
      <c r="N6" t="s">
        <v>456</v>
      </c>
    </row>
    <row r="7" spans="1:20" ht="15" customHeight="1">
      <c r="A7" t="s">
        <v>296</v>
      </c>
      <c r="B7" t="s">
        <v>65</v>
      </c>
      <c r="F7" t="s">
        <v>182</v>
      </c>
      <c r="G7" t="s">
        <v>65</v>
      </c>
      <c r="H7" t="s">
        <v>199</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226</v>
      </c>
      <c r="N18" t="s">
        <v>472</v>
      </c>
    </row>
    <row r="19" spans="13:14">
      <c r="M19" t="s">
        <v>199</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2026-09-30T16:18:57Z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