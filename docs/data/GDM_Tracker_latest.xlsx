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90" documentId="13_ncr:1_{52745E9B-3AA1-4770-AAD3-E6166BFC13AE}" xr6:coauthVersionLast="47" xr6:coauthVersionMax="47" xr10:uidLastSave="{6E1F14D7-E16E-422C-AFAA-5A8EA25D5490}"/>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<sst xmlns="http://schemas.openxmlformats.org/spreadsheetml/2006/main" count="3550" uniqueCount="498">
  <si>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</si>
  <si>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</si>
  <si>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</si>
  <si>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</si>
  <si>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</si>
  <si>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</si>
  <si>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</si>
  <si>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</si>
  <si>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</si>
  <si>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</si>
  <si>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</si>
  <si>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</si>
  <si>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</si>
  <si>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</si>
  <si>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</si>
  <si>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</si>
  <si>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</si>
  <si>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</si>
  <si>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</si>
  <si>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</si>
  <si>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</si>
  <si>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</si>
  <si>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</si>
  <si>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</si>
  <si>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</si>
  <si>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</si>
  <si>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</si>
  <si>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</si>
  <si>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</si>
  <si>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</si>
  <si>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</si>
  <si>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</si>
  <si>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</si>
  <si>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</si>
  <si>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</si>
  <si>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</si>
  <si>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</si>
  <si>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</si>
  <si>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</si>
  <si>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</si>
  <si>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</si>
  <si>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</si>
  <si>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</si>
  <si>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</si>
  <si>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</si>
  <si>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</si>
  <si>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</si>
  <si>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</si>
  <si>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</si>
  <si>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</si>
  <si>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</si>
  <si>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</si>
  <si>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</si>
  <si>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</si>
  <si>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</si>
  <si>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</si>
  <si>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</si>
  <si>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</si>
  <si>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</si>
  <si>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</si>
  <si>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</si>
  <si>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</si>
  <si>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</si>
  <si>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</si>
  <si>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</si>
  <si>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</si>
  <si>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</si>
  <si>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</si>
  <si>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</si>
  <si>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</si>
  <si>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</si>
  <si>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</si>
  <si>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</si>
  <si>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</si>
  <si>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</si>
  <si>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</si>
  <si>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</si>
  <si>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</si>
  <si>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</si>
  <si>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</si>
  <si>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</si>
  <si>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</si>
  <si>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</si>
  <si>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</si>
  <si>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</si>
  <si>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</si>
  <si>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</si>
  <si>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</si>
  <si>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</si>
  <si>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</si>
  <si>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</si>
  <si>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</si>
  <si>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</si>
  <si>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</si>
  <si>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</si>
  <si>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</si>
  <si>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</si>
  <si>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</si>
  <si>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</si>
  <si>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</si>
  <si>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</si>
  <si>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</si>
  <si>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</si>
  <si>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</si>
  <si>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</si>
  <si>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</si>
  <si>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</si>
  <si>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</si>
  <si>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</si>
  <si>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</si>
  <si>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</si>
  <si>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</si>
  <si>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</si>
  <si>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</si>
  <si>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</si>
  <si>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</si>
  <si>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</si>
  <si>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</si>
  <si>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</si>
  <si>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</si>
  <si>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</si>
  <si>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</si>
  <si>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</si>
  <si>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</si>
  <si>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</si>
  <si>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</si>
  <si>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</si>
  <si>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</si>
  <si>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</si>
  <si>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</si>
  <si>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</si>
  <si>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</si>
  <si>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</si>
  <si>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</si>
  <si>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</si>
  <si>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</si>
  <si>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</si>
  <si>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</si>
  <si>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</si>
  <si>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</si>
  <si>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</si>
  <si>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</si>
  <si>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</si>
  <si>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</si>
  <si>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</si>
  <si>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</si>
  <si>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</si>
  <si>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</si>
  <si>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</si>
  <si>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</si>
  <si>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</si>
  <si>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</si>
  <si>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</si>
  <si>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</si>
  <si>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</si>
  <si>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</si>
  <si>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</si>
  <si>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</si>
  <si>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</si>
  <si>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</si>
  <si>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</si>
  <si>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</si>
  <si>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</si>
  <si>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</si>
  <si>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</si>
  <si>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</si>
  <si>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</si>
  <si>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</si>
  <si>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</si>
  <si>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</si>
  <si>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</si>
  <si>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</si>
  <si>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</si>
  <si>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</si>
  <si>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</si>
  <si>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</si>
  <si>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</si>
  <si>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</si>
  <si>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</si>
  <si>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</si>
  <si>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</si>
  <si>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</si>
  <si>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</si>
  <si>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</si>
  <si>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</si>
  <si>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</si>
  <si>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</si>
  <si>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</si>
  <si>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</si>
  <si>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</si>
  <si>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</si>
  <si>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</si>
  <si>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</si>
  <si>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</si>
  <si>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</si>
  <si>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</si>
  <si>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</si>
  <si>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</si>
  <si>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</si>
  <si>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</si>
  <si>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</si>
  <si>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</si>
  <si>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</si>
  <si>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</si>
  <si>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</si>
  <si>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</si>
  <si>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</si>
  <si>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</si>
  <si>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</si>
  <si>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</si>
  <si>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</si>
  <si>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</si>
  <si>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</si>
  <si>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</si>
  <si>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</si>
  <si>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</si>
  <si>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</si>
  <si>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</si>
  <si>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</si>
  <si>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</si>
  <si>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</si>
  <si>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</si>
  <si>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</si>
  <si>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</si>
  <si>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</si>
  <si>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</si>
  <si>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</si>
  <si>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</si>
  <si>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</si>
  <si>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</si>
  <si>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</si>
  <si>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</si>
  <si>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</si>
  <si>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</si>
  <si>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</si>
  <si>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</si>
  <si>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</si>
  <si>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</si>
  <si>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</si>
  <si>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</si>
  <si>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</si>
  <si>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</si>
  <si>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</si>
  <si>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 xml:space="preserve">Ready for Olu's review </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</si>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</sst>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AJ64" activePane="topRight" state="frozen"/>
      <selection pane="topRight" activeCell="AM73" sqref="AM7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243</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250</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253</v>
      </c>
      <c r="O79" s="44" t="s">
        <v>193</v>
      </c>
      <c r="P79" s="74" t="s">
        <v>60</v>
      </c>
      <c r="Q79" s="43">
        <v>46313</v>
      </c>
      <c r="R79" s="43"/>
      <c r="S79" s="44"/>
      <c r="T79" s="69" t="s">
        <v>242</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250</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201" t="str">
        <f>IF($B$4="","",IFERROR(INDEX('Combined Delivery Data'!$A:$A,MATCH($B$4,'Combined Delivery Data'!$B:$B,0)),""))</f>
        <v/>
      </c>
      <c r="C6" s="219"/>
      <c r="D6" s="219"/>
      <c r="E6" s="220"/>
    </row>
    <row r="7" spans="1:5">
      <c r="A7" s="42" t="s">
        <v>335</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336</v>
      </c>
      <c r="B14" s="200" t="str">
        <f>IF($B$4="","",IFERROR(INDEX('Combined Delivery Data'!$K:$K,MATCH($B$4,'Combined Delivery Data'!$B:$B,0)),""))</f>
        <v/>
      </c>
      <c r="C14" s="219"/>
      <c r="D14" s="219"/>
      <c r="E14" s="220"/>
    </row>
    <row r="15" spans="1:5">
      <c r="A15" s="42" t="s">
        <v>337</v>
      </c>
      <c r="B15" s="200" t="str">
        <f>IF($B$4="","",IFERROR(INDEX('Combined Delivery Data'!$L:$L,MATCH($B$4,'Combined Delivery Data'!$B:$B,0)),""))</f>
        <v/>
      </c>
      <c r="C15" s="219"/>
      <c r="D15" s="219"/>
      <c r="E15" s="220"/>
    </row>
    <row r="16" spans="1:5">
      <c r="A16" s="42" t="s">
        <v>338</v>
      </c>
      <c r="B16" s="200" t="str">
        <f>IF($B$4="","",IFERROR(INDEX('Combined Delivery Data'!$M:$M,MATCH($B$4,'Combined Delivery Data'!$B:$B,0)),""))</f>
        <v/>
      </c>
      <c r="C16" s="219"/>
      <c r="D16" s="219"/>
      <c r="E16" s="220"/>
    </row>
    <row r="17" spans="1:5">
      <c r="A17" s="42" t="s">
        <v>339</v>
      </c>
      <c r="B17" s="200" t="str">
        <f>IF($B$4="","",IFERROR(INDEX('Combined Delivery Data'!$O:$O,MATCH($B$4,'Combined Delivery Data'!$B:$B,0)),""))</f>
        <v/>
      </c>
      <c r="C17" s="219"/>
      <c r="D17" s="219"/>
      <c r="E17" s="220"/>
    </row>
    <row r="18" spans="1:5">
      <c r="A18" s="42" t="s">
        <v>340</v>
      </c>
      <c r="B18" s="200" t="str">
        <f>IF($B$4="","",IFERROR(INDEX('Combined Delivery Data'!$Q:$Q,MATCH($B$4,'Combined Delivery Data'!$B:$B,0)),""))</f>
        <v/>
      </c>
      <c r="C18" s="219"/>
      <c r="D18" s="219"/>
      <c r="E18" s="220"/>
    </row>
    <row r="19" spans="1:5">
      <c r="A19" s="42" t="s">
        <v>341</v>
      </c>
      <c r="B19" s="200" t="str">
        <f>IF($B$4="","",IFERROR(INDEX('Combined Delivery Data'!$R:$R,MATCH($B$4,'Combined Delivery Data'!$B:$B,0)),""))</f>
        <v/>
      </c>
      <c r="C19" s="219"/>
      <c r="D19" s="219"/>
      <c r="E19" s="220"/>
    </row>
    <row r="20" spans="1:5">
      <c r="A20" s="42" t="s">
        <v>342</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343</v>
      </c>
      <c r="B26" s="201" t="str">
        <f>IF($B$4="","",IFERROR(INDEX('Rework Log'!$Q:$Q,MATCH($B$4,'Rework Log'!$P:$P,0)),""))</f>
        <v/>
      </c>
      <c r="C26" s="219"/>
      <c r="D26" s="219"/>
      <c r="E26" s="220"/>
    </row>
    <row r="27" spans="1:5">
      <c r="A27" s="42" t="s">
        <v>344</v>
      </c>
      <c r="B27" s="201" t="str">
        <f>IF($B$4="","",IFERROR(INDEX('Rework Log'!$R:$R,MATCH($B$4,'Rework Log'!$P:$P,0)),""))</f>
        <v/>
      </c>
      <c r="C27" s="219"/>
      <c r="D27" s="219"/>
      <c r="E27" s="220"/>
    </row>
    <row r="28" spans="1:5">
      <c r="A28" s="42" t="s">
        <v>345</v>
      </c>
      <c r="B28" s="201" t="str">
        <f>IF($B$4="","",IFERROR(INDEX('Rework Log'!$S:$S,MATCH($B$4,'Rework Log'!$P:$P,0)),""))</f>
        <v/>
      </c>
      <c r="C28" s="219"/>
      <c r="D28" s="219"/>
      <c r="E28" s="220"/>
    </row>
    <row r="29" spans="1:5">
      <c r="A29" s="42" t="s">
        <v>346</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347</v>
      </c>
      <c r="B1" s="202"/>
      <c r="C1" s="202"/>
      <c r="D1" s="202"/>
      <c r="E1" s="202"/>
      <c r="F1" s="202"/>
      <c r="G1" s="202"/>
      <c r="H1" s="202"/>
      <c r="I1" s="202"/>
      <c r="J1" s="202"/>
      <c r="K1" s="202"/>
      <c r="L1" s="202"/>
      <c r="M1" s="202"/>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164</v>
      </c>
      <c r="D3" s="33" t="s">
        <v>224</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377</v>
      </c>
      <c r="G17" s="31" t="s">
        <v>50</v>
      </c>
      <c r="H17" s="32" t="s">
        <v>46</v>
      </c>
      <c r="I17" s="32"/>
      <c r="J17" s="32"/>
      <c r="K17" s="31"/>
      <c r="L17" s="31"/>
      <c r="M17" s="3"/>
      <c r="S17" s="28"/>
    </row>
    <row r="18" spans="1:20">
      <c r="A18" s="33" t="s">
        <v>180</v>
      </c>
      <c r="B18" s="32">
        <v>46261</v>
      </c>
      <c r="C18" s="31" t="s">
        <v>164</v>
      </c>
      <c r="D18" s="31" t="s">
        <v>224</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405</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408</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409</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410</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411</v>
      </c>
      <c r="B1" s="218"/>
      <c r="C1" s="218"/>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428</v>
      </c>
      <c r="B1" s="218"/>
      <c r="C1" s="218"/>
      <c r="D1" s="218"/>
      <c r="E1" s="218"/>
      <c r="F1" s="218"/>
      <c r="G1" s="218"/>
      <c r="H1" s="218"/>
      <c r="I1" s="218"/>
      <c r="J1" s="218"/>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434</v>
      </c>
      <c r="D13" s="9" t="s">
        <v>435</v>
      </c>
      <c r="E13" s="9" t="s">
        <v>46</v>
      </c>
      <c r="F13" s="9"/>
      <c r="G13" s="9"/>
      <c r="H13" s="10"/>
      <c r="I13" s="10">
        <v>46115</v>
      </c>
      <c r="J13" s="10">
        <v>46115</v>
      </c>
    </row>
    <row r="14" spans="1:10" ht="14.25" customHeight="1">
      <c r="A14" s="9" t="s">
        <v>40</v>
      </c>
      <c r="B14" s="9" t="s">
        <v>204</v>
      </c>
      <c r="C14" s="9" t="s">
        <v>434</v>
      </c>
      <c r="D14" s="9" t="s">
        <v>435</v>
      </c>
      <c r="E14" s="9" t="s">
        <v>46</v>
      </c>
      <c r="F14" s="9"/>
      <c r="G14" s="9"/>
      <c r="H14" s="10">
        <v>46115</v>
      </c>
      <c r="I14" s="10">
        <v>46120</v>
      </c>
      <c r="J14" s="10">
        <v>46120</v>
      </c>
    </row>
    <row r="15" spans="1:10" ht="14.25" customHeight="1">
      <c r="A15" s="9" t="s">
        <v>40</v>
      </c>
      <c r="B15" s="9" t="s">
        <v>164</v>
      </c>
      <c r="C15" s="9" t="s">
        <v>434</v>
      </c>
      <c r="D15" s="9" t="s">
        <v>435</v>
      </c>
      <c r="E15" s="9" t="s">
        <v>46</v>
      </c>
      <c r="F15" s="9"/>
      <c r="G15" s="9"/>
      <c r="H15" s="10">
        <v>46120</v>
      </c>
      <c r="I15" s="10">
        <v>46122</v>
      </c>
      <c r="J15" s="10">
        <v>46122</v>
      </c>
    </row>
    <row r="16" spans="1:10" ht="14.25" customHeight="1">
      <c r="A16" s="9" t="s">
        <v>40</v>
      </c>
      <c r="B16" s="9" t="s">
        <v>181</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435</v>
      </c>
      <c r="E23" s="9" t="s">
        <v>46</v>
      </c>
      <c r="F23" s="9"/>
      <c r="G23" s="9"/>
      <c r="H23" s="10"/>
      <c r="I23" s="10">
        <v>46115</v>
      </c>
      <c r="J23" s="10">
        <v>46115</v>
      </c>
    </row>
    <row r="24" spans="1:10" ht="14.25" customHeight="1">
      <c r="A24" s="9" t="s">
        <v>40</v>
      </c>
      <c r="B24" s="9" t="s">
        <v>204</v>
      </c>
      <c r="C24" s="9" t="s">
        <v>64</v>
      </c>
      <c r="D24" s="9" t="s">
        <v>435</v>
      </c>
      <c r="E24" s="9" t="s">
        <v>46</v>
      </c>
      <c r="F24" s="9"/>
      <c r="G24" s="9"/>
      <c r="H24" s="10">
        <v>46115</v>
      </c>
      <c r="I24" s="10">
        <v>46120</v>
      </c>
      <c r="J24" s="10">
        <v>46120</v>
      </c>
    </row>
    <row r="25" spans="1:10" ht="14.25" customHeight="1">
      <c r="A25" s="9" t="s">
        <v>40</v>
      </c>
      <c r="B25" s="9" t="s">
        <v>164</v>
      </c>
      <c r="C25" s="9" t="s">
        <v>64</v>
      </c>
      <c r="D25" s="9" t="s">
        <v>435</v>
      </c>
      <c r="E25" s="9" t="s">
        <v>46</v>
      </c>
      <c r="F25" s="9"/>
      <c r="G25" s="9"/>
      <c r="H25" s="10">
        <v>46120</v>
      </c>
      <c r="I25" s="10">
        <v>46122</v>
      </c>
      <c r="J25" s="10">
        <v>46122</v>
      </c>
    </row>
    <row r="26" spans="1:10" ht="14.25" customHeight="1">
      <c r="A26" s="9" t="s">
        <v>40</v>
      </c>
      <c r="B26" s="9" t="s">
        <v>181</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435</v>
      </c>
      <c r="E33" s="9" t="s">
        <v>60</v>
      </c>
      <c r="F33" s="9"/>
      <c r="G33" s="9"/>
      <c r="H33" s="10"/>
      <c r="I33" s="10">
        <v>46122</v>
      </c>
      <c r="J33" s="10">
        <v>46122</v>
      </c>
    </row>
    <row r="34" spans="1:10" ht="14.25" customHeight="1">
      <c r="A34" s="9" t="s">
        <v>40</v>
      </c>
      <c r="B34" s="9" t="s">
        <v>204</v>
      </c>
      <c r="C34" s="9" t="s">
        <v>70</v>
      </c>
      <c r="D34" s="9" t="s">
        <v>435</v>
      </c>
      <c r="E34" s="9" t="s">
        <v>60</v>
      </c>
      <c r="F34" s="9"/>
      <c r="G34" s="9"/>
      <c r="H34" s="10">
        <v>46122</v>
      </c>
      <c r="I34" s="10">
        <v>46126</v>
      </c>
      <c r="J34" s="10">
        <v>46126</v>
      </c>
    </row>
    <row r="35" spans="1:10" ht="14.25" customHeight="1">
      <c r="A35" s="9" t="s">
        <v>40</v>
      </c>
      <c r="B35" s="9" t="s">
        <v>164</v>
      </c>
      <c r="C35" s="9" t="s">
        <v>70</v>
      </c>
      <c r="D35" s="9" t="s">
        <v>435</v>
      </c>
      <c r="E35" s="9" t="s">
        <v>60</v>
      </c>
      <c r="F35" s="9"/>
      <c r="G35" s="9"/>
      <c r="H35" s="10">
        <v>46126</v>
      </c>
      <c r="I35" s="10">
        <v>46122</v>
      </c>
      <c r="J35" s="10">
        <v>46122</v>
      </c>
    </row>
    <row r="36" spans="1:10" ht="14.25" customHeight="1">
      <c r="A36" s="9" t="s">
        <v>40</v>
      </c>
      <c r="B36" s="9" t="s">
        <v>181</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435</v>
      </c>
      <c r="E48" s="9" t="s">
        <v>60</v>
      </c>
      <c r="F48" s="9"/>
      <c r="G48" s="9"/>
      <c r="H48" s="10"/>
      <c r="I48" s="10"/>
      <c r="J48" s="10"/>
    </row>
    <row r="49" spans="1:10" ht="14.25" customHeight="1">
      <c r="A49" s="9" t="s">
        <v>40</v>
      </c>
      <c r="B49" s="9" t="s">
        <v>204</v>
      </c>
      <c r="C49" s="9" t="s">
        <v>97</v>
      </c>
      <c r="D49" s="9" t="s">
        <v>435</v>
      </c>
      <c r="E49" s="9" t="s">
        <v>60</v>
      </c>
      <c r="F49" s="9"/>
      <c r="G49" s="9"/>
      <c r="H49" s="10"/>
      <c r="I49" s="10">
        <v>46139</v>
      </c>
      <c r="J49" s="10">
        <v>46139</v>
      </c>
    </row>
    <row r="50" spans="1:10" ht="14.25" customHeight="1">
      <c r="A50" s="9" t="s">
        <v>40</v>
      </c>
      <c r="B50" s="9" t="s">
        <v>164</v>
      </c>
      <c r="C50" s="9" t="s">
        <v>97</v>
      </c>
      <c r="D50" s="9" t="s">
        <v>435</v>
      </c>
      <c r="E50" s="9" t="s">
        <v>60</v>
      </c>
      <c r="F50" s="9"/>
      <c r="G50" s="9"/>
      <c r="H50" s="10">
        <v>46139</v>
      </c>
      <c r="I50" s="10">
        <v>46139</v>
      </c>
      <c r="J50" s="10">
        <v>46139</v>
      </c>
    </row>
    <row r="51" spans="1:10" ht="14.25" customHeight="1">
      <c r="A51" s="9" t="s">
        <v>40</v>
      </c>
      <c r="B51" s="9" t="s">
        <v>181</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224</v>
      </c>
      <c r="C53" s="9" t="s">
        <v>98</v>
      </c>
      <c r="D53" s="9" t="s">
        <v>435</v>
      </c>
      <c r="E53" s="9" t="s">
        <v>60</v>
      </c>
      <c r="F53" s="9"/>
      <c r="G53" s="9"/>
      <c r="H53" s="10"/>
      <c r="I53" s="10"/>
      <c r="J53" s="10"/>
    </row>
    <row r="54" spans="1:10" ht="14.25" customHeight="1">
      <c r="A54" s="9" t="s">
        <v>40</v>
      </c>
      <c r="B54" s="9" t="s">
        <v>204</v>
      </c>
      <c r="C54" s="9" t="s">
        <v>98</v>
      </c>
      <c r="D54" s="9" t="s">
        <v>435</v>
      </c>
      <c r="E54" s="9" t="s">
        <v>60</v>
      </c>
      <c r="F54" s="9"/>
      <c r="G54" s="9"/>
      <c r="H54" s="9"/>
      <c r="I54" s="10">
        <v>46141</v>
      </c>
      <c r="J54" s="10">
        <v>46141</v>
      </c>
    </row>
    <row r="55" spans="1:10" ht="14.25" customHeight="1">
      <c r="A55" s="9" t="s">
        <v>40</v>
      </c>
      <c r="B55" s="9" t="s">
        <v>164</v>
      </c>
      <c r="C55" s="9" t="s">
        <v>98</v>
      </c>
      <c r="D55" s="9" t="s">
        <v>435</v>
      </c>
      <c r="E55" s="9" t="s">
        <v>60</v>
      </c>
      <c r="F55" s="9"/>
      <c r="G55" s="9"/>
      <c r="H55" s="10">
        <v>46141</v>
      </c>
      <c r="I55" s="10">
        <v>46141</v>
      </c>
      <c r="J55" s="10">
        <v>46141</v>
      </c>
    </row>
    <row r="56" spans="1:10" ht="14.25" customHeight="1">
      <c r="A56" s="9" t="s">
        <v>40</v>
      </c>
      <c r="B56" s="9" t="s">
        <v>181</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224</v>
      </c>
      <c r="C58" s="9" t="s">
        <v>99</v>
      </c>
      <c r="D58" s="9" t="s">
        <v>435</v>
      </c>
      <c r="E58" s="9" t="s">
        <v>46</v>
      </c>
      <c r="F58" s="9"/>
      <c r="G58" s="9"/>
      <c r="H58" s="9"/>
      <c r="I58" s="10"/>
      <c r="J58" s="10"/>
    </row>
    <row r="59" spans="1:10" ht="14.25" customHeight="1">
      <c r="A59" s="9" t="s">
        <v>40</v>
      </c>
      <c r="B59" s="9" t="s">
        <v>204</v>
      </c>
      <c r="C59" s="9" t="s">
        <v>99</v>
      </c>
      <c r="D59" s="9" t="s">
        <v>435</v>
      </c>
      <c r="E59" s="9" t="s">
        <v>46</v>
      </c>
      <c r="F59" s="9"/>
      <c r="G59" s="9"/>
      <c r="H59" s="10"/>
      <c r="I59" s="10">
        <v>46161</v>
      </c>
      <c r="J59" s="10">
        <v>46161</v>
      </c>
    </row>
    <row r="60" spans="1:10" ht="14.25" customHeight="1">
      <c r="A60" s="9" t="s">
        <v>40</v>
      </c>
      <c r="B60" s="9" t="s">
        <v>164</v>
      </c>
      <c r="C60" s="9" t="s">
        <v>99</v>
      </c>
      <c r="D60" s="9" t="s">
        <v>435</v>
      </c>
      <c r="E60" s="9" t="s">
        <v>46</v>
      </c>
      <c r="F60" s="9"/>
      <c r="G60" s="9"/>
      <c r="H60" s="10">
        <v>46161</v>
      </c>
      <c r="I60" s="10">
        <v>46161</v>
      </c>
      <c r="J60" s="10">
        <v>46161</v>
      </c>
    </row>
    <row r="61" spans="1:10" ht="14.25" customHeight="1">
      <c r="A61" s="9" t="s">
        <v>40</v>
      </c>
      <c r="B61" s="9" t="s">
        <v>181</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181</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253</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455</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456</v>
      </c>
      <c r="R4" t="s">
        <v>457</v>
      </c>
      <c r="T4" t="s">
        <v>72</v>
      </c>
    </row>
    <row r="5" spans="1:20" ht="15" customHeight="1">
      <c r="A5" t="s">
        <v>426</v>
      </c>
      <c r="B5" t="s">
        <v>435</v>
      </c>
      <c r="C5" t="s">
        <v>77</v>
      </c>
      <c r="F5" t="s">
        <v>204</v>
      </c>
      <c r="G5" t="s">
        <v>435</v>
      </c>
      <c r="H5" t="s">
        <v>129</v>
      </c>
      <c r="I5" t="s">
        <v>214</v>
      </c>
      <c r="J5" t="s">
        <v>164</v>
      </c>
      <c r="L5" t="s">
        <v>458</v>
      </c>
      <c r="M5" t="s">
        <v>88</v>
      </c>
      <c r="N5" t="s">
        <v>459</v>
      </c>
    </row>
    <row r="6" spans="1:20" ht="15" customHeight="1">
      <c r="A6" t="s">
        <v>306</v>
      </c>
      <c r="B6" t="s">
        <v>84</v>
      </c>
      <c r="F6" t="s">
        <v>164</v>
      </c>
      <c r="G6" t="s">
        <v>84</v>
      </c>
      <c r="H6" t="s">
        <v>143</v>
      </c>
      <c r="I6" t="s">
        <v>460</v>
      </c>
      <c r="J6" t="s">
        <v>181</v>
      </c>
      <c r="M6" t="s">
        <v>48</v>
      </c>
      <c r="N6" t="s">
        <v>459</v>
      </c>
    </row>
    <row r="7" spans="1:20" ht="15" customHeight="1">
      <c r="A7" t="s">
        <v>297</v>
      </c>
      <c r="B7" t="s">
        <v>65</v>
      </c>
      <c r="F7" t="s">
        <v>181</v>
      </c>
      <c r="G7" t="s">
        <v>65</v>
      </c>
      <c r="H7" t="s">
        <v>198</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227</v>
      </c>
      <c r="N18" t="s">
        <v>476</v>
      </c>
    </row>
    <row r="19" spans="13:14" ht="15">
      <c r="M19" t="s">
        <v>198</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181</v>
      </c>
      <c r="G13" s="177" t="s">
        <v>164</v>
      </c>
      <c r="H13" s="177" t="s">
        <v>204</v>
      </c>
      <c r="I13" s="177" t="s">
        <v>224</v>
      </c>
      <c r="J13" s="177" t="s">
        <v>488</v>
      </c>
      <c r="K13" s="176" t="s">
        <v>489</v>
      </c>
      <c r="L13" s="176" t="s">
        <v>429</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204</v>
      </c>
      <c r="D16" t="s">
        <v>460</v>
      </c>
      <c r="E16" t="str">
        <f>IF(C16="Ready for Release in Prod","Blocked in Prod",IF(C16="RELEASED IN PROD","Released",IF(LEFT(D16,3)="Yes","Blocked - Build/QA",IF(C16="NOT STARTED","Not Started",C16))))</f>
        <v>Blocked - Build/QA</v>
      </c>
    </row>
    <row r="17" spans="1:5">
      <c r="A17" t="s">
        <v>169</v>
      </c>
      <c r="B17" t="s">
        <v>166</v>
      </c>
      <c r="C17" t="s">
        <v>128</v>
      </c>
      <c r="D17" t="s">
        <v>331</v>
      </c>
      <c r="E17" t="str">
        <f>IF(C17="Ready for Release in Prod","Blocked in Prod",IF(C17="RELEASED IN PROD","Released",IF(LEFT(D17,3)="Yes","Blocked - Build/QA",IF(C17="NOT STARTED","Not Started",C17))))</f>
        <v>Blocked in Prod</v>
      </c>
    </row>
    <row r="18" spans="1:5">
      <c r="A18" t="s">
        <v>172</v>
      </c>
      <c r="B18" t="s">
        <v>166</v>
      </c>
      <c r="C18" t="s">
        <v>128</v>
      </c>
      <c r="D18" t="s">
        <v>331</v>
      </c>
      <c r="E18" t="str">
        <f>IF(C18="Ready for Release in Prod","Blocked in Prod",IF(C18="RELEASED IN PROD","Released",IF(LEFT(D18,3)="Yes","Blocked - Build/QA",IF(C18="NOT STARTED","Not Started",C18))))</f>
        <v>Blocked in Prod</v>
      </c>
    </row>
    <row r="19" spans="1:5">
      <c r="A19" t="s">
        <v>174</v>
      </c>
      <c r="B19" t="s">
        <v>166</v>
      </c>
      <c r="C19" t="s">
        <v>128</v>
      </c>
      <c r="D19" t="s">
        <v>331</v>
      </c>
      <c r="E19" t="str">
        <f>IF(C19="Ready for Release in Prod","Blocked in Prod",IF(C19="RELEASED IN PROD","Released",IF(LEFT(D19,3)="Yes","Blocked - Build/QA",IF(C19="NOT STARTED","Not Started",C19))))</f>
        <v>Blocked in Prod</v>
      </c>
    </row>
    <row r="20" spans="1:5">
      <c r="A20" t="s">
        <v>176</v>
      </c>
      <c r="B20" t="s">
        <v>166</v>
      </c>
      <c r="C20" t="s">
        <v>128</v>
      </c>
      <c r="D20" t="s">
        <v>331</v>
      </c>
      <c r="E20" t="str">
        <f>IF(C20="Ready for Release in Prod","Blocked in Prod",IF(C20="RELEASED IN PROD","Released",IF(LEFT(D20,3)="Yes","Blocked - Build/QA",IF(C20="NOT STARTED","Not Started",C20))))</f>
        <v>Blocked in Prod</v>
      </c>
    </row>
    <row r="21" spans="1:5">
      <c r="A21" t="s">
        <v>178</v>
      </c>
      <c r="B21" t="s">
        <v>166</v>
      </c>
      <c r="C21" t="s">
        <v>128</v>
      </c>
      <c r="D21" t="s">
        <v>331</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331</v>
      </c>
      <c r="E23" t="str">
        <f>IF(C23="Ready for Release in Prod","Blocked in Prod",IF(C23="RELEASED IN PROD","Released",IF(LEFT(D23,3)="Yes","Blocked - Build/QA",IF(C23="NOT STARTED","Not Started",C23))))</f>
        <v>Blocked in Prod</v>
      </c>
    </row>
    <row r="24" spans="1:5">
      <c r="A24" t="s">
        <v>183</v>
      </c>
      <c r="B24" t="s">
        <v>166</v>
      </c>
      <c r="C24" t="s">
        <v>128</v>
      </c>
      <c r="D24" t="s">
        <v>331</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331</v>
      </c>
      <c r="E26" t="str">
        <f>IF(C26="Ready for Release in Prod","Blocked in Prod",IF(C26="RELEASED IN PROD","Released",IF(LEFT(D26,3)="Yes","Blocked - Build/QA",IF(C26="NOT STARTED","Not Started",C26))))</f>
        <v>Blocked in Prod</v>
      </c>
    </row>
    <row r="27" spans="1:5">
      <c r="A27" t="s">
        <v>189</v>
      </c>
      <c r="B27" t="s">
        <v>166</v>
      </c>
      <c r="C27" t="s">
        <v>128</v>
      </c>
      <c r="D27" t="s">
        <v>331</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331</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331</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244</v>
      </c>
      <c r="B47" t="s">
        <v>241</v>
      </c>
      <c r="C47" t="s">
        <v>204</v>
      </c>
      <c r="E47" t="str">
        <f>IF(C47="Ready for Release in Prod","Blocked in Prod",IF(C47="RELEASED IN PROD","Released",IF(LEFT(D47,3)="Yes","Blocked - Build/QA",IF(C47="NOT STARTED","Not Started",C47))))</f>
        <v>PBI Dev</v>
      </c>
    </row>
    <row r="48" spans="1:5">
      <c r="A48" t="s">
        <v>245</v>
      </c>
      <c r="B48" t="s">
        <v>241</v>
      </c>
      <c r="C48" t="s">
        <v>232</v>
      </c>
      <c r="E48" t="str">
        <f>IF(C48="Ready for Release in Prod","Blocked in Prod",IF(C48="RELEASED IN PROD","Released",IF(LEFT(D48,3)="Yes","Blocked - Build/QA",IF(C48="NOT STARTED","Not Started",C48))))</f>
        <v>Not Started</v>
      </c>
    </row>
    <row r="49" spans="1:5">
      <c r="A49" t="s">
        <v>247</v>
      </c>
      <c r="B49" t="s">
        <v>241</v>
      </c>
      <c r="C49" t="s">
        <v>232</v>
      </c>
      <c r="E49" t="str">
        <f>IF(C49="Ready for Release in Prod","Blocked in Prod",IF(C49="RELEASED IN PROD","Released",IF(LEFT(D49,3)="Yes","Blocked - Build/QA",IF(C49="NOT STARTED","Not Started",C49))))</f>
        <v>Not Started</v>
      </c>
    </row>
    <row r="50" spans="1:5">
      <c r="A50" t="s">
        <v>248</v>
      </c>
      <c r="B50" t="s">
        <v>241</v>
      </c>
      <c r="C50" t="s">
        <v>232</v>
      </c>
      <c r="E50" t="str">
        <f>IF(C50="Ready for Release in Prod","Blocked in Prod",IF(C50="RELEASED IN PROD","Released",IF(LEFT(D50,3)="Yes","Blocked - Build/QA",IF(C50="NOT STARTED","Not Started",C50))))</f>
        <v>Not Started</v>
      </c>
    </row>
    <row r="51" spans="1:5">
      <c r="A51" t="s">
        <v>249</v>
      </c>
      <c r="B51" t="s">
        <v>241</v>
      </c>
      <c r="C51" t="s">
        <v>204</v>
      </c>
      <c r="D51" t="s">
        <v>214</v>
      </c>
      <c r="E51" t="str">
        <f>IF(C51="Ready for Release in Prod","Blocked in Prod",IF(C51="RELEASED IN PROD","Released",IF(LEFT(D51,3)="Yes","Blocked - Build/QA",IF(C51="NOT STARTED","Not Started",C51))))</f>
        <v>Blocked - Build/QA</v>
      </c>
    </row>
    <row r="52" spans="1:5">
      <c r="A52" t="s">
        <v>252</v>
      </c>
      <c r="B52" t="s">
        <v>241</v>
      </c>
      <c r="C52" t="s">
        <v>204</v>
      </c>
      <c r="E52" t="str">
        <f>IF(C52="Ready for Release in Prod","Blocked in Prod",IF(C52="RELEASED IN PROD","Released",IF(LEFT(D52,3)="Yes","Blocked - Build/QA",IF(C52="NOT STARTED","Not Started",C52))))</f>
        <v>PBI Dev</v>
      </c>
    </row>
    <row r="53" spans="1:5">
      <c r="A53" t="s">
        <v>255</v>
      </c>
      <c r="B53" t="s">
        <v>241</v>
      </c>
      <c r="C53" t="s">
        <v>232</v>
      </c>
      <c r="E53" t="str">
        <f>IF(C53="Ready for Release in Prod","Blocked in Prod",IF(C53="RELEASED IN PROD","Released",IF(LEFT(D53,3)="Yes","Blocked - Build/QA",IF(C53="NOT STARTED","Not Started",C53))))</f>
        <v>Not Started</v>
      </c>
    </row>
    <row r="54" spans="1:5">
      <c r="A54" t="s">
        <v>256</v>
      </c>
      <c r="B54" t="s">
        <v>241</v>
      </c>
      <c r="C54" t="s">
        <v>232</v>
      </c>
      <c r="E54" t="str">
        <f>IF(C54="Ready for Release in Prod","Blocked in Prod",IF(C54="RELEASED IN PROD","Released",IF(LEFT(D54,3)="Yes","Blocked - Build/QA",IF(C54="NOT STARTED","Not Started",C54))))</f>
        <v>Not Started</v>
      </c>
    </row>
    <row r="55" spans="1:5">
      <c r="A55" t="s">
        <v>258</v>
      </c>
      <c r="B55" t="s">
        <v>241</v>
      </c>
      <c r="C55" t="s">
        <v>224</v>
      </c>
      <c r="E55" t="str">
        <f>IF(C55="Ready for Release in Prod","Blocked in Prod",IF(C55="RELEASED IN PROD","Released",IF(LEFT(D55,3)="Yes","Blocked - Build/QA",IF(C55="NOT STARTED","Not Started",C55))))</f>
        <v>DB Dev</v>
      </c>
    </row>
    <row r="56" spans="1:5">
      <c r="A56" t="s">
        <v>260</v>
      </c>
      <c r="B56" t="s">
        <v>241</v>
      </c>
      <c r="C56" t="s">
        <v>204</v>
      </c>
      <c r="E56" t="str">
        <f>IF(C56="Ready for Release in Prod","Blocked in Prod",IF(C56="RELEASED IN PROD","Released",IF(LEFT(D56,3)="Yes","Blocked - Build/QA",IF(C56="NOT STARTED","Not Started",C56))))</f>
        <v>PBI Dev</v>
      </c>
    </row>
    <row r="57" spans="1:5">
      <c r="A57" t="s">
        <v>262</v>
      </c>
      <c r="B57" t="s">
        <v>241</v>
      </c>
      <c r="C57" t="s">
        <v>204</v>
      </c>
      <c r="E57" t="str">
        <f>IF(C57="Ready for Release in Prod","Blocked in Prod",IF(C57="RELEASED IN PROD","Released",IF(LEFT(D57,3)="Yes","Blocked - Build/QA",IF(C57="NOT STARTED","Not Started",C57))))</f>
        <v>PBI Dev</v>
      </c>
    </row>
    <row r="58" spans="1:5">
      <c r="A58" t="s">
        <v>263</v>
      </c>
      <c r="B58" t="s">
        <v>241</v>
      </c>
      <c r="C58" t="s">
        <v>232</v>
      </c>
      <c r="E58" t="str">
        <f>IF(C58="Ready for Release in Prod","Blocked in Prod",IF(C58="RELEASED IN PROD","Released",IF(LEFT(D58,3)="Yes","Blocked - Build/QA",IF(C58="NOT STARTED","Not Started",C58))))</f>
        <v>Not Started</v>
      </c>
    </row>
    <row r="59" spans="1:5">
      <c r="A59" t="s">
        <v>265</v>
      </c>
      <c r="B59" t="s">
        <v>490</v>
      </c>
      <c r="C59" t="s">
        <v>232</v>
      </c>
      <c r="E59" t="str">
        <f>IF(C59="Ready for Release in Prod","Blocked in Prod",IF(C59="RELEASED IN PROD","Released",IF(LEFT(D59,3)="Yes","Blocked - Build/QA",IF(C59="NOT STARTED","Not Started",C59))))</f>
        <v>Not Started</v>
      </c>
    </row>
    <row r="60" spans="1:5">
      <c r="A60" t="s">
        <v>269</v>
      </c>
      <c r="B60" t="s">
        <v>490</v>
      </c>
      <c r="C60" t="s">
        <v>232</v>
      </c>
      <c r="E60" t="str">
        <f>IF(C60="Ready for Release in Prod","Blocked in Prod",IF(C60="RELEASED IN PROD","Released",IF(LEFT(D60,3)="Yes","Blocked - Build/QA",IF(C60="NOT STARTED","Not Started",C60))))</f>
        <v>Not Started</v>
      </c>
    </row>
    <row r="61" spans="1:5">
      <c r="A61" t="s">
        <v>270</v>
      </c>
      <c r="B61" t="s">
        <v>490</v>
      </c>
      <c r="C61" t="s">
        <v>232</v>
      </c>
      <c r="E61" t="str">
        <f>IF(C61="Ready for Release in Prod","Blocked in Prod",IF(C61="RELEASED IN PROD","Released",IF(LEFT(D61,3)="Yes","Blocked - Build/QA",IF(C61="NOT STARTED","Not Started",C61))))</f>
        <v>Not Started</v>
      </c>
    </row>
    <row r="62" spans="1:5">
      <c r="A62" t="s">
        <v>272</v>
      </c>
      <c r="B62" t="s">
        <v>490</v>
      </c>
      <c r="C62" t="s">
        <v>232</v>
      </c>
      <c r="E62" t="str">
        <f>IF(C62="Ready for Release in Prod","Blocked in Prod",IF(C62="RELEASED IN PROD","Released",IF(LEFT(D62,3)="Yes","Blocked - Build/QA",IF(C62="NOT STARTED","Not Started",C62))))</f>
        <v>Not Started</v>
      </c>
    </row>
    <row r="63" spans="1:5">
      <c r="A63" t="s">
        <v>273</v>
      </c>
      <c r="B63" t="s">
        <v>490</v>
      </c>
      <c r="C63" t="s">
        <v>232</v>
      </c>
      <c r="E63" t="str">
        <f>IF(C63="Ready for Release in Prod","Blocked in Prod",IF(C63="RELEASED IN PROD","Released",IF(LEFT(D63,3)="Yes","Blocked - Build/QA",IF(C63="NOT STARTED","Not Started",C63))))</f>
        <v>Not Started</v>
      </c>
    </row>
    <row r="64" spans="1:5">
      <c r="A64" t="s">
        <v>275</v>
      </c>
      <c r="B64" t="s">
        <v>490</v>
      </c>
      <c r="C64" t="s">
        <v>232</v>
      </c>
      <c r="E64" t="str">
        <f>IF(C64="Ready for Release in Prod","Blocked in Prod",IF(C64="RELEASED IN PROD","Released",IF(LEFT(D64,3)="Yes","Blocked - Build/QA",IF(C64="NOT STARTED","Not Started",C64))))</f>
        <v>Not Started</v>
      </c>
    </row>
    <row r="65" spans="1:5">
      <c r="A65" t="s">
        <v>278</v>
      </c>
      <c r="B65" t="s">
        <v>490</v>
      </c>
      <c r="C65" t="s">
        <v>232</v>
      </c>
      <c r="E65" t="str">
        <f>IF(C65="Ready for Release in Prod","Blocked in Prod",IF(C65="RELEASED IN PROD","Released",IF(LEFT(D65,3)="Yes","Blocked - Build/QA",IF(C65="NOT STARTED","Not Started",C65))))</f>
        <v>Not Started</v>
      </c>
    </row>
    <row r="66" spans="1:5">
      <c r="A66" t="s">
        <v>280</v>
      </c>
      <c r="B66" t="s">
        <v>490</v>
      </c>
      <c r="C66" t="s">
        <v>232</v>
      </c>
      <c r="E66" t="str">
        <f>IF(C66="Ready for Release in Prod","Blocked in Prod",IF(C66="RELEASED IN PROD","Released",IF(LEFT(D66,3)="Yes","Blocked - Build/QA",IF(C66="NOT STARTED","Not Started",C66))))</f>
        <v>Not Started</v>
      </c>
    </row>
    <row r="67" spans="1:5">
      <c r="A67" t="s">
        <v>282</v>
      </c>
      <c r="B67" t="s">
        <v>490</v>
      </c>
      <c r="C67" t="s">
        <v>232</v>
      </c>
      <c r="E67" t="str">
        <f>IF(C67="Ready for Release in Prod","Blocked in Prod",IF(C67="RELEASED IN PROD","Released",IF(LEFT(D67,3)="Yes","Blocked - Build/QA",IF(C67="NOT STARTED","Not Started",C67))))</f>
        <v>Not Started</v>
      </c>
    </row>
    <row r="68" spans="1:5">
      <c r="A68" t="s">
        <v>283</v>
      </c>
      <c r="B68" t="s">
        <v>490</v>
      </c>
      <c r="C68" t="s">
        <v>232</v>
      </c>
      <c r="E68" t="str">
        <f>IF(C68="Ready for Release in Prod","Blocked in Prod",IF(C68="RELEASED IN PROD","Released",IF(LEFT(D68,3)="Yes","Blocked - Build/QA",IF(C68="NOT STARTED","Not Started",C68))))</f>
        <v>Not Started</v>
      </c>
    </row>
    <row r="69" spans="1:5">
      <c r="A69" t="s">
        <v>286</v>
      </c>
      <c r="B69" t="s">
        <v>490</v>
      </c>
      <c r="C69" t="s">
        <v>232</v>
      </c>
      <c r="E69" t="str">
        <f>IF(C69="Ready for Release in Prod","Blocked in Prod",IF(C69="RELEASED IN PROD","Released",IF(LEFT(D69,3)="Yes","Blocked - Build/QA",IF(C69="NOT STARTED","Not Started",C69))))</f>
        <v>Not Started</v>
      </c>
    </row>
    <row r="70" spans="1:5">
      <c r="A70" t="s">
        <v>288</v>
      </c>
      <c r="B70" t="s">
        <v>490</v>
      </c>
      <c r="C70" t="s">
        <v>232</v>
      </c>
      <c r="E70" t="str">
        <f>IF(C70="Ready for Release in Prod","Blocked in Prod",IF(C70="RELEASED IN PROD","Released",IF(LEFT(D70,3)="Yes","Blocked - Build/QA",IF(C70="NOT STARTED","Not Started",C70))))</f>
        <v>Not Started</v>
      </c>
    </row>
    <row r="71" spans="1:5">
      <c r="A71" t="s">
        <v>291</v>
      </c>
      <c r="B71" t="s">
        <v>490</v>
      </c>
      <c r="C71" t="s">
        <v>232</v>
      </c>
      <c r="E71" t="str">
        <f>IF(C71="Ready for Release in Prod","Blocked in Prod",IF(C71="RELEASED IN PROD","Released",IF(LEFT(D71,3)="Yes","Blocked - Build/QA",IF(C71="NOT STARTED","Not Started",C71))))</f>
        <v>Not Started</v>
      </c>
    </row>
    <row r="72" spans="1:5">
      <c r="A72" t="s">
        <v>292</v>
      </c>
      <c r="B72" t="s">
        <v>490</v>
      </c>
      <c r="C72" t="s">
        <v>232</v>
      </c>
      <c r="E72" t="str">
        <f>IF(C72="Ready for Release in Prod","Blocked in Prod",IF(C72="RELEASED IN PROD","Released",IF(LEFT(D72,3)="Yes","Blocked - Build/QA",IF(C72="NOT STARTED","Not Started",C72))))</f>
        <v>Not Started</v>
      </c>
    </row>
    <row r="73" spans="1:5">
      <c r="A73" t="s">
        <v>295</v>
      </c>
      <c r="B73" t="s">
        <v>490</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2026-10-01T15:22:07Z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