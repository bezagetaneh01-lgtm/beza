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27" documentId="13_ncr:1_{52745E9B-3AA1-4770-AAD3-E6166BFC13AE}" xr6:coauthVersionLast="47" xr6:coauthVersionMax="47" xr10:uidLastSave="{4069C74D-F041-4794-B3F8-967D612A58BA}"/>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<sst xmlns="http://schemas.openxmlformats.org/spreadsheetml/2006/main" count="3602" uniqueCount="521">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</sst>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C59" activePane="topRight" state="frozen"/>
      <selection pane="topRight" activeCell="B63" sqref="B63"/>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237</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242</v>
      </c>
      <c r="J73" s="31" t="s">
        <v>76</v>
      </c>
      <c r="K73" s="43">
        <v>46304</v>
      </c>
      <c r="L73" s="43">
        <v>46259</v>
      </c>
      <c r="M73" s="46">
        <v>46259</v>
      </c>
      <c r="N73" s="44" t="s">
        <v>45</v>
      </c>
      <c r="O73" s="44" t="s">
        <v>193</v>
      </c>
      <c r="P73" s="65" t="s">
        <v>77</v>
      </c>
      <c r="Q73" s="43">
        <v>46313</v>
      </c>
      <c r="R73" s="43">
        <v>46289</v>
      </c>
      <c r="S73" s="43">
        <v>46289</v>
      </c>
      <c r="T73" s="69" t="s">
        <v>243</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244</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245</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242</v>
      </c>
      <c r="J74" s="53" t="s">
        <v>228</v>
      </c>
      <c r="K74" s="43">
        <v>46304</v>
      </c>
      <c r="L74" s="43">
        <v>46269</v>
      </c>
      <c r="M74" s="44">
        <v>46269</v>
      </c>
      <c r="N74" s="44"/>
      <c r="O74" s="44" t="s">
        <v>193</v>
      </c>
      <c r="P74" s="74" t="s">
        <v>77</v>
      </c>
      <c r="Q74" s="43">
        <v>46313</v>
      </c>
      <c r="R74" s="43">
        <v>46300</v>
      </c>
      <c r="S74" s="44"/>
      <c r="T74" s="69" t="s">
        <v>243</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246</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193</v>
      </c>
      <c r="P75" s="139"/>
      <c r="Q75" s="137">
        <v>46313</v>
      </c>
      <c r="R75" s="137"/>
      <c r="S75" s="138"/>
      <c r="T75" s="140" t="s">
        <v>243</v>
      </c>
      <c r="U75" s="141"/>
      <c r="V75" s="142">
        <v>46316</v>
      </c>
      <c r="W75" s="137"/>
      <c r="X75" s="133"/>
      <c r="Y75" s="133"/>
      <c r="Z75" s="143"/>
      <c r="AA75" s="142">
        <v>46325</v>
      </c>
      <c r="AB75" s="137"/>
      <c r="AC75" s="137"/>
      <c r="AD75" s="133" t="s">
        <v>247</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248</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193</v>
      </c>
      <c r="P76" s="139"/>
      <c r="Q76" s="137">
        <v>46313</v>
      </c>
      <c r="R76" s="137"/>
      <c r="S76" s="138"/>
      <c r="T76" s="140" t="s">
        <v>243</v>
      </c>
      <c r="U76" s="141"/>
      <c r="V76" s="142">
        <v>46316</v>
      </c>
      <c r="W76" s="137"/>
      <c r="X76" s="133"/>
      <c r="Y76" s="133"/>
      <c r="Z76" s="143"/>
      <c r="AA76" s="142">
        <v>46325</v>
      </c>
      <c r="AB76" s="137"/>
      <c r="AC76" s="137"/>
      <c r="AD76" s="133" t="s">
        <v>247</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249</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193</v>
      </c>
      <c r="P77" s="139"/>
      <c r="Q77" s="137">
        <v>46313</v>
      </c>
      <c r="R77" s="137"/>
      <c r="S77" s="138"/>
      <c r="T77" s="140" t="s">
        <v>243</v>
      </c>
      <c r="U77" s="141"/>
      <c r="V77" s="142">
        <v>46316</v>
      </c>
      <c r="W77" s="137"/>
      <c r="X77" s="133"/>
      <c r="Y77" s="133"/>
      <c r="Z77" s="143"/>
      <c r="AA77" s="142">
        <v>46325</v>
      </c>
      <c r="AB77" s="137"/>
      <c r="AC77" s="137"/>
      <c r="AD77" s="133" t="s">
        <v>247</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250</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242</v>
      </c>
      <c r="J78" s="144" t="s">
        <v>44</v>
      </c>
      <c r="K78" s="148">
        <v>46304</v>
      </c>
      <c r="L78" s="148">
        <v>46266</v>
      </c>
      <c r="M78" s="149">
        <v>46266</v>
      </c>
      <c r="N78" s="149"/>
      <c r="O78" s="149" t="s">
        <v>251</v>
      </c>
      <c r="P78" s="150" t="s">
        <v>60</v>
      </c>
      <c r="Q78" s="148">
        <v>46313</v>
      </c>
      <c r="R78" s="148">
        <v>46297</v>
      </c>
      <c r="S78" s="149"/>
      <c r="T78" s="151" t="s">
        <v>243</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252</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253</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254</v>
      </c>
      <c r="O79" s="44" t="s">
        <v>193</v>
      </c>
      <c r="P79" s="74" t="s">
        <v>60</v>
      </c>
      <c r="Q79" s="43">
        <v>46313</v>
      </c>
      <c r="R79" s="43">
        <v>46297</v>
      </c>
      <c r="S79" s="44"/>
      <c r="T79" s="69" t="s">
        <v>243</v>
      </c>
      <c r="U79" s="46"/>
      <c r="V79" s="28">
        <v>46316</v>
      </c>
      <c r="W79" s="43"/>
      <c r="X79" s="31"/>
      <c r="Y79" s="31"/>
      <c r="Z79" s="36"/>
      <c r="AA79" s="28">
        <v>46325</v>
      </c>
      <c r="AB79" s="43"/>
      <c r="AC79" s="43"/>
      <c r="AD79" s="31" t="s">
        <v>255</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256</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257</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251</v>
      </c>
      <c r="P80" s="74" t="s">
        <v>60</v>
      </c>
      <c r="Q80" s="43">
        <v>46313</v>
      </c>
      <c r="R80" s="43">
        <v>46300</v>
      </c>
      <c r="S80" s="44"/>
      <c r="T80" s="69" t="s">
        <v>243</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258</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254</v>
      </c>
      <c r="O81" s="149" t="s">
        <v>251</v>
      </c>
      <c r="P81" s="150" t="s">
        <v>60</v>
      </c>
      <c r="Q81" s="148">
        <v>46313</v>
      </c>
      <c r="R81" s="148">
        <v>46295</v>
      </c>
      <c r="S81" s="149">
        <v>46294</v>
      </c>
      <c r="T81" s="69" t="s">
        <v>243</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259</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251</v>
      </c>
      <c r="P82" s="74" t="s">
        <v>77</v>
      </c>
      <c r="Q82" s="43">
        <v>46313</v>
      </c>
      <c r="R82" s="43">
        <v>46304</v>
      </c>
      <c r="S82" s="44"/>
      <c r="T82" s="68" t="s">
        <v>260</v>
      </c>
      <c r="U82" s="46" t="s">
        <v>47</v>
      </c>
      <c r="V82" s="28">
        <v>46316</v>
      </c>
      <c r="W82" s="43"/>
      <c r="X82" s="31"/>
      <c r="Y82" s="31"/>
      <c r="Z82" s="36"/>
      <c r="AA82" s="28">
        <v>46325</v>
      </c>
      <c r="AB82" s="43"/>
      <c r="AC82" s="43"/>
      <c r="AD82" s="31" t="s">
        <v>261</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262</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254</v>
      </c>
      <c r="O83" s="44" t="s">
        <v>251</v>
      </c>
      <c r="P83" s="74" t="s">
        <v>77</v>
      </c>
      <c r="Q83" s="43">
        <v>46313</v>
      </c>
      <c r="R83" s="43">
        <v>46294</v>
      </c>
      <c r="S83" s="44">
        <v>46294</v>
      </c>
      <c r="T83" s="69" t="s">
        <v>243</v>
      </c>
      <c r="U83" s="46" t="s">
        <v>47</v>
      </c>
      <c r="V83" s="28">
        <v>46316</v>
      </c>
      <c r="W83" s="43"/>
      <c r="X83" s="31"/>
      <c r="Y83" s="31"/>
      <c r="Z83" s="36"/>
      <c r="AA83" s="28">
        <v>46325</v>
      </c>
      <c r="AB83" s="43"/>
      <c r="AC83" s="43"/>
      <c r="AD83" s="31" t="s">
        <v>263</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264</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242</v>
      </c>
      <c r="J84" s="53" t="s">
        <v>76</v>
      </c>
      <c r="K84" s="43">
        <v>46304</v>
      </c>
      <c r="L84" s="43">
        <v>46286</v>
      </c>
      <c r="M84" s="46">
        <v>46286</v>
      </c>
      <c r="N84" s="44" t="s">
        <v>254</v>
      </c>
      <c r="O84" s="44" t="s">
        <v>251</v>
      </c>
      <c r="P84" s="74" t="s">
        <v>60</v>
      </c>
      <c r="Q84" s="43">
        <v>46313</v>
      </c>
      <c r="R84" s="43">
        <v>46301</v>
      </c>
      <c r="S84" s="44"/>
      <c r="T84" s="69" t="s">
        <v>243</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265</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266</v>
      </c>
      <c r="F85" s="34" t="s">
        <v>207</v>
      </c>
      <c r="G85" s="31"/>
      <c r="H85" s="49">
        <v>46325</v>
      </c>
      <c r="I85" s="55" t="s">
        <v>242</v>
      </c>
      <c r="J85" s="53" t="s">
        <v>44</v>
      </c>
      <c r="K85" s="43">
        <v>46304</v>
      </c>
      <c r="L85" s="43">
        <v>46276</v>
      </c>
      <c r="M85" s="44"/>
      <c r="N85" s="44"/>
      <c r="O85" s="44" t="s">
        <v>251</v>
      </c>
      <c r="P85" s="74" t="s">
        <v>60</v>
      </c>
      <c r="Q85" s="43">
        <v>46313</v>
      </c>
      <c r="R85" s="43"/>
      <c r="S85" s="44"/>
      <c r="T85" s="68" t="s">
        <v>260</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267</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268</v>
      </c>
      <c r="J86" s="53" t="s">
        <v>84</v>
      </c>
      <c r="K86" s="49">
        <v>46332</v>
      </c>
      <c r="L86" s="43">
        <v>46332</v>
      </c>
      <c r="M86" s="44">
        <v>46290</v>
      </c>
      <c r="N86" s="44"/>
      <c r="O86" s="44" t="s">
        <v>251</v>
      </c>
      <c r="P86" s="74"/>
      <c r="Q86" s="49">
        <v>46339</v>
      </c>
      <c r="R86" s="43"/>
      <c r="S86" s="44"/>
      <c r="T86" s="68" t="s">
        <v>260</v>
      </c>
      <c r="U86" s="46"/>
      <c r="V86" s="28">
        <v>46344</v>
      </c>
      <c r="W86" s="43"/>
      <c r="X86" s="31"/>
      <c r="Y86" s="31"/>
      <c r="Z86" s="36"/>
      <c r="AA86" s="28">
        <v>46356</v>
      </c>
      <c r="AB86" s="43"/>
      <c r="AC86" s="43"/>
      <c r="AD86" s="31" t="s">
        <v>269</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270</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271</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268</v>
      </c>
      <c r="J87" s="53" t="s">
        <v>59</v>
      </c>
      <c r="K87" s="49">
        <v>46332</v>
      </c>
      <c r="L87" s="43"/>
      <c r="M87" s="44"/>
      <c r="N87" s="44"/>
      <c r="O87" s="44" t="s">
        <v>251</v>
      </c>
      <c r="P87" s="74"/>
      <c r="Q87" s="49">
        <v>46339</v>
      </c>
      <c r="R87" s="43"/>
      <c r="S87" s="44"/>
      <c r="T87" s="68" t="s">
        <v>260</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272</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268</v>
      </c>
      <c r="J88" s="53" t="s">
        <v>59</v>
      </c>
      <c r="K88" s="49">
        <v>46332</v>
      </c>
      <c r="L88" s="43"/>
      <c r="M88" s="44"/>
      <c r="N88" s="44"/>
      <c r="O88" s="44" t="s">
        <v>251</v>
      </c>
      <c r="P88" s="74"/>
      <c r="Q88" s="49">
        <v>46339</v>
      </c>
      <c r="R88" s="43"/>
      <c r="S88" s="44"/>
      <c r="T88" s="68" t="s">
        <v>273</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274</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268</v>
      </c>
      <c r="J89" s="53" t="s">
        <v>228</v>
      </c>
      <c r="K89" s="49">
        <v>46332</v>
      </c>
      <c r="L89" s="43">
        <v>46282</v>
      </c>
      <c r="M89" s="44">
        <v>46282</v>
      </c>
      <c r="N89" s="44"/>
      <c r="O89" s="44" t="s">
        <v>251</v>
      </c>
      <c r="P89" s="74"/>
      <c r="Q89" s="49">
        <v>46339</v>
      </c>
      <c r="R89" s="43"/>
      <c r="S89" s="44"/>
      <c r="T89" s="68" t="s">
        <v>273</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275</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268</v>
      </c>
      <c r="J90" s="53" t="s">
        <v>228</v>
      </c>
      <c r="K90" s="49">
        <v>46332</v>
      </c>
      <c r="L90" s="43"/>
      <c r="M90" s="44"/>
      <c r="N90" s="44"/>
      <c r="O90" s="36" t="s">
        <v>276</v>
      </c>
      <c r="P90" s="74"/>
      <c r="Q90" s="49">
        <v>46339</v>
      </c>
      <c r="R90" s="43"/>
      <c r="S90" s="44"/>
      <c r="T90" s="68" t="s">
        <v>273</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277</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268</v>
      </c>
      <c r="J91" s="53" t="s">
        <v>65</v>
      </c>
      <c r="K91" s="49">
        <v>46332</v>
      </c>
      <c r="L91" s="43">
        <v>46273</v>
      </c>
      <c r="M91" s="46">
        <v>46273</v>
      </c>
      <c r="N91" s="46" t="s">
        <v>146</v>
      </c>
      <c r="O91" s="44" t="s">
        <v>251</v>
      </c>
      <c r="P91" s="74"/>
      <c r="Q91" s="49">
        <v>46339</v>
      </c>
      <c r="R91" s="43"/>
      <c r="S91" s="44"/>
      <c r="T91" s="68" t="s">
        <v>273</v>
      </c>
      <c r="U91" s="46"/>
      <c r="V91" s="28">
        <v>46344</v>
      </c>
      <c r="W91" s="43"/>
      <c r="X91" s="31"/>
      <c r="Y91" s="31"/>
      <c r="Z91" s="36"/>
      <c r="AA91" s="28">
        <v>46356</v>
      </c>
      <c r="AB91" s="43"/>
      <c r="AC91" s="43"/>
      <c r="AD91" s="31" t="s">
        <v>278</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279</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268</v>
      </c>
      <c r="J92" s="53" t="s">
        <v>84</v>
      </c>
      <c r="K92" s="49">
        <v>46332</v>
      </c>
      <c r="L92" s="43">
        <v>46332</v>
      </c>
      <c r="M92" s="44">
        <v>46275</v>
      </c>
      <c r="N92" s="44"/>
      <c r="O92" s="44" t="s">
        <v>251</v>
      </c>
      <c r="P92" s="74"/>
      <c r="Q92" s="49">
        <v>46339</v>
      </c>
      <c r="R92" s="43"/>
      <c r="S92" s="44"/>
      <c r="T92" s="68" t="s">
        <v>273</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282</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268</v>
      </c>
      <c r="J93" s="53" t="s">
        <v>154</v>
      </c>
      <c r="K93" s="49">
        <v>46332</v>
      </c>
      <c r="L93" s="43"/>
      <c r="M93" s="44"/>
      <c r="N93" s="44"/>
      <c r="O93" s="36" t="s">
        <v>276</v>
      </c>
      <c r="P93" s="74"/>
      <c r="Q93" s="49">
        <v>46339</v>
      </c>
      <c r="R93" s="43"/>
      <c r="S93" s="44"/>
      <c r="T93" s="68" t="s">
        <v>273</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284</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268</v>
      </c>
      <c r="J94" s="53" t="s">
        <v>154</v>
      </c>
      <c r="K94" s="49">
        <v>46332</v>
      </c>
      <c r="L94" s="43"/>
      <c r="M94" s="44"/>
      <c r="N94" s="44"/>
      <c r="O94" s="36" t="s">
        <v>276</v>
      </c>
      <c r="P94" s="74"/>
      <c r="Q94" s="49">
        <v>46339</v>
      </c>
      <c r="R94" s="43"/>
      <c r="S94" s="44"/>
      <c r="T94" s="68" t="s">
        <v>273</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268</v>
      </c>
      <c r="J95" s="53" t="s">
        <v>76</v>
      </c>
      <c r="K95" s="49">
        <v>46332</v>
      </c>
      <c r="L95" s="43"/>
      <c r="M95" s="44"/>
      <c r="N95" s="44"/>
      <c r="O95" s="36" t="s">
        <v>276</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268</v>
      </c>
      <c r="J96" s="53" t="s">
        <v>76</v>
      </c>
      <c r="K96" s="49">
        <v>46332</v>
      </c>
      <c r="L96" s="43"/>
      <c r="M96" s="44"/>
      <c r="N96" s="44"/>
      <c r="O96" s="36" t="s">
        <v>276</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268</v>
      </c>
      <c r="J97" s="53" t="s">
        <v>291</v>
      </c>
      <c r="K97" s="49">
        <v>46332</v>
      </c>
      <c r="L97" s="49">
        <v>46332</v>
      </c>
      <c r="M97" s="44"/>
      <c r="N97" s="44"/>
      <c r="O97" s="36" t="s">
        <v>276</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293</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268</v>
      </c>
      <c r="J98" s="53" t="s">
        <v>291</v>
      </c>
      <c r="K98" s="49">
        <v>46332</v>
      </c>
      <c r="L98" s="49">
        <v>46332</v>
      </c>
      <c r="M98" s="44">
        <v>46296</v>
      </c>
      <c r="N98" s="44" t="s">
        <v>146</v>
      </c>
      <c r="O98" s="36" t="s">
        <v>276</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268</v>
      </c>
      <c r="J99" s="53" t="s">
        <v>65</v>
      </c>
      <c r="K99" s="49">
        <v>46332</v>
      </c>
      <c r="L99" s="43"/>
      <c r="M99" s="44"/>
      <c r="N99" s="44"/>
      <c r="O99" s="44" t="s">
        <v>251</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268</v>
      </c>
      <c r="J100" s="53" t="s">
        <v>84</v>
      </c>
      <c r="K100" s="49">
        <v>46332</v>
      </c>
      <c r="L100" s="43"/>
      <c r="M100" s="44"/>
      <c r="N100" s="44"/>
      <c r="O100" s="36" t="s">
        <v>276</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276</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276</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276</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c r="M104" s="31"/>
      <c r="N104" s="31"/>
      <c r="O104" s="36" t="s">
        <v>276</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269</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6" t="str">
        <f>IF($B$4="","",IFERROR(INDEX('Combined Delivery Data'!$A:$A,MATCH($B$4,'Combined Delivery Data'!$B:$B,0)),""))</f>
        <v/>
      </c>
      <c r="C6" s="263"/>
      <c r="D6" s="263"/>
      <c r="E6" s="264"/>
    </row>
    <row r="7" spans="1:5">
      <c r="A7" s="42" t="s">
        <v>337</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338</v>
      </c>
      <c r="B14" s="215" t="str">
        <f>IF($B$4="","",IFERROR(INDEX('Combined Delivery Data'!$K:$K,MATCH($B$4,'Combined Delivery Data'!$B:$B,0)),""))</f>
        <v/>
      </c>
      <c r="C14" s="263"/>
      <c r="D14" s="263"/>
      <c r="E14" s="264"/>
    </row>
    <row r="15" spans="1:5">
      <c r="A15" s="42" t="s">
        <v>339</v>
      </c>
      <c r="B15" s="215" t="str">
        <f>IF($B$4="","",IFERROR(INDEX('Combined Delivery Data'!$L:$L,MATCH($B$4,'Combined Delivery Data'!$B:$B,0)),""))</f>
        <v/>
      </c>
      <c r="C15" s="263"/>
      <c r="D15" s="263"/>
      <c r="E15" s="264"/>
    </row>
    <row r="16" spans="1:5">
      <c r="A16" s="42" t="s">
        <v>340</v>
      </c>
      <c r="B16" s="215" t="str">
        <f>IF($B$4="","",IFERROR(INDEX('Combined Delivery Data'!$M:$M,MATCH($B$4,'Combined Delivery Data'!$B:$B,0)),""))</f>
        <v/>
      </c>
      <c r="C16" s="263"/>
      <c r="D16" s="263"/>
      <c r="E16" s="264"/>
    </row>
    <row r="17" spans="1:5">
      <c r="A17" s="42" t="s">
        <v>341</v>
      </c>
      <c r="B17" s="215" t="str">
        <f>IF($B$4="","",IFERROR(INDEX('Combined Delivery Data'!$O:$O,MATCH($B$4,'Combined Delivery Data'!$B:$B,0)),""))</f>
        <v/>
      </c>
      <c r="C17" s="263"/>
      <c r="D17" s="263"/>
      <c r="E17" s="264"/>
    </row>
    <row r="18" spans="1:5">
      <c r="A18" s="42" t="s">
        <v>342</v>
      </c>
      <c r="B18" s="215" t="str">
        <f>IF($B$4="","",IFERROR(INDEX('Combined Delivery Data'!$Q:$Q,MATCH($B$4,'Combined Delivery Data'!$B:$B,0)),""))</f>
        <v/>
      </c>
      <c r="C18" s="263"/>
      <c r="D18" s="263"/>
      <c r="E18" s="264"/>
    </row>
    <row r="19" spans="1:5">
      <c r="A19" s="42" t="s">
        <v>343</v>
      </c>
      <c r="B19" s="215" t="str">
        <f>IF($B$4="","",IFERROR(INDEX('Combined Delivery Data'!$R:$R,MATCH($B$4,'Combined Delivery Data'!$B:$B,0)),""))</f>
        <v/>
      </c>
      <c r="C19" s="263"/>
      <c r="D19" s="263"/>
      <c r="E19" s="264"/>
    </row>
    <row r="20" spans="1:5">
      <c r="A20" s="42" t="s">
        <v>344</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345</v>
      </c>
      <c r="B26" s="216" t="str">
        <f>IF($B$4="","",IFERROR(INDEX('Rework Log'!$Q:$Q,MATCH($B$4,'Rework Log'!$P:$P,0)),""))</f>
        <v/>
      </c>
      <c r="C26" s="263"/>
      <c r="D26" s="263"/>
      <c r="E26" s="264"/>
    </row>
    <row r="27" spans="1:5">
      <c r="A27" s="42" t="s">
        <v>346</v>
      </c>
      <c r="B27" s="216" t="str">
        <f>IF($B$4="","",IFERROR(INDEX('Rework Log'!$R:$R,MATCH($B$4,'Rework Log'!$P:$P,0)),""))</f>
        <v/>
      </c>
      <c r="C27" s="263"/>
      <c r="D27" s="263"/>
      <c r="E27" s="264"/>
    </row>
    <row r="28" spans="1:5">
      <c r="A28" s="42" t="s">
        <v>347</v>
      </c>
      <c r="B28" s="216" t="str">
        <f>IF($B$4="","",IFERROR(INDEX('Rework Log'!$S:$S,MATCH($B$4,'Rework Log'!$P:$P,0)),""))</f>
        <v/>
      </c>
      <c r="C28" s="263"/>
      <c r="D28" s="263"/>
      <c r="E28" s="264"/>
    </row>
    <row r="29" spans="1:5">
      <c r="A29" s="42" t="s">
        <v>348</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A15" activePane="bottomLeft" state="frozen"/>
      <selection pane="bottomLeft" activeCell="B46" sqref="B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349</v>
      </c>
      <c r="B1" s="217"/>
      <c r="C1" s="217"/>
      <c r="D1" s="217"/>
      <c r="E1" s="217"/>
      <c r="F1" s="217"/>
      <c r="G1" s="217"/>
      <c r="H1" s="217"/>
      <c r="I1" s="217"/>
      <c r="J1" s="217"/>
      <c r="K1" s="217"/>
      <c r="L1" s="217"/>
      <c r="M1" s="217"/>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219</v>
      </c>
      <c r="D17" s="31" t="s">
        <v>203</v>
      </c>
      <c r="E17" s="31" t="s">
        <v>143</v>
      </c>
      <c r="F17" s="31" t="s">
        <v>379</v>
      </c>
      <c r="G17" s="31" t="s">
        <v>50</v>
      </c>
      <c r="H17" s="32" t="s">
        <v>46</v>
      </c>
      <c r="I17" s="32"/>
      <c r="J17" s="32"/>
      <c r="K17" s="31"/>
      <c r="L17" s="31"/>
      <c r="M17" s="3"/>
      <c r="S17" s="28"/>
    </row>
    <row r="18" spans="1:20">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219</v>
      </c>
      <c r="D41" s="31" t="s">
        <v>203</v>
      </c>
      <c r="E41" s="31" t="s">
        <v>198</v>
      </c>
      <c r="F41" s="31" t="s">
        <v>407</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219</v>
      </c>
      <c r="D43" s="31" t="s">
        <v>156</v>
      </c>
      <c r="E43" s="31" t="s">
        <v>129</v>
      </c>
      <c r="F43" s="31" t="s">
        <v>410</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219</v>
      </c>
      <c r="D45" s="31" t="s">
        <v>156</v>
      </c>
      <c r="E45" s="31" t="s">
        <v>129</v>
      </c>
      <c r="F45" s="31" t="s">
        <v>413</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33" t="s">
        <v>215</v>
      </c>
      <c r="B46" s="32">
        <v>46297</v>
      </c>
      <c r="C46" s="31"/>
      <c r="D46" s="31"/>
      <c r="E46" s="31"/>
      <c r="F46" s="31"/>
      <c r="G46" s="31"/>
      <c r="H46" s="32"/>
      <c r="I46" s="32"/>
      <c r="J46" s="32"/>
      <c r="K46" s="31"/>
      <c r="L46" s="31"/>
      <c r="M46" s="3"/>
      <c r="S46" s="28"/>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 xml:space="preserve"> -&gt; </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9">
      <formula>AND($B5&lt;&gt;"",MOD(ROW(),2)=0)</formula>
    </cfRule>
  </conditionalFormatting>
  <conditionalFormatting sqref="A11:A13">
    <cfRule type="expression" dxfId="38" priority="16">
      <formula>AND($B11&lt;&gt;"",MOD(ROW(),2)=0)</formula>
    </cfRule>
  </conditionalFormatting>
  <conditionalFormatting sqref="A18">
    <cfRule type="expression" dxfId="37" priority="15">
      <formula>AND($B18&lt;&gt;"",MOD(ROW(),2)=0)</formula>
    </cfRule>
  </conditionalFormatting>
  <conditionalFormatting sqref="A22">
    <cfRule type="expression" dxfId="36" priority="13">
      <formula>AND($B22&lt;&gt;"",MOD(ROW(),2)=0)</formula>
    </cfRule>
  </conditionalFormatting>
  <conditionalFormatting sqref="A26:A27">
    <cfRule type="expression" dxfId="35" priority="11">
      <formula>AND($B26&lt;&gt;"",MOD(ROW(),2)=0)</formula>
    </cfRule>
  </conditionalFormatting>
  <conditionalFormatting sqref="A31">
    <cfRule type="expression" dxfId="34" priority="10">
      <formula>AND($B31&lt;&gt;"",MOD(ROW(),2)=0)</formula>
    </cfRule>
  </conditionalFormatting>
  <conditionalFormatting sqref="A36:A38">
    <cfRule type="expression" dxfId="33" priority="6">
      <formula>AND($B36&lt;&gt;"",MOD(ROW(),2)=0)</formula>
    </cfRule>
  </conditionalFormatting>
  <conditionalFormatting sqref="A43">
    <cfRule type="expression" dxfId="32" priority="4">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9">
      <formula>AND($A3&lt;&gt;"",$G3="Yes")</formula>
    </cfRule>
    <cfRule type="expression" dxfId="30" priority="30">
      <formula>AND($A3&lt;&gt;"",$J3&lt;&gt;"")</formula>
    </cfRule>
    <cfRule type="expression" dxfId="29" priority="31">
      <formula>$A3&lt;&gt;""</formula>
    </cfRule>
  </conditionalFormatting>
  <conditionalFormatting sqref="C3:C198 G3:G198">
    <cfRule type="expression" dxfId="28" priority="32">
      <formula>$A3=""</formula>
    </cfRule>
  </conditionalFormatting>
  <conditionalFormatting sqref="K3:M3 A4:M4 M4:M11 B5:M8 A9:M10 B11:M13 A14:M17 B18:M18 A19:M21 B22:M22 A23:M25 B26:M27 A28:M28 M29:M30 B31:M31 A32:M35 B36:M38 A39:M42 B43:M43 A44:M44 A3:H3 A29:K30 A47:M498 B45:M46">
    <cfRule type="expression" dxfId="27" priority="28">
      <formula>AND($A3&lt;&gt;"",$G3="Did not pass re-test")</formula>
    </cfRule>
  </conditionalFormatting>
  <conditionalFormatting sqref="M3:M498">
    <cfRule type="expression" dxfId="26" priority="22">
      <formula>ISNUMBER(SEARCH("Sent back again",$M3))</formula>
    </cfRule>
    <cfRule type="expression" dxfId="25" priority="23">
      <formula>ISNUMBER(SEARCH("LATE",$M3))</formula>
    </cfRule>
    <cfRule type="expression" dxfId="24" priority="24">
      <formula>ISNUMBER(SEARCH("UNCLAIMED",$M3))</formula>
    </cfRule>
    <cfRule type="expression" dxfId="23" priority="25">
      <formula>ISNUMBER(SEARCH("Missing",$M3))</formula>
    </cfRule>
    <cfRule type="expression" dxfId="22" priority="26">
      <formula>ISNUMBER(SEARCH("Fixed in",$M3))</formula>
    </cfRule>
    <cfRule type="expression" dxfId="21" priority="27">
      <formula>ISNUMBER(SEARCH("Open",$M3))</formula>
    </cfRule>
  </conditionalFormatting>
  <conditionalFormatting sqref="N25">
    <cfRule type="expression" dxfId="20" priority="5">
      <formula>AND($B25&lt;&gt;"",MOD(ROW(),2)=0)</formula>
    </cfRule>
  </conditionalFormatting>
  <conditionalFormatting sqref="A45">
    <cfRule type="expression" dxfId="19" priority="3">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414</v>
      </c>
      <c r="B1" s="262"/>
      <c r="C1" s="262"/>
    </row>
    <row r="2" spans="1:8" ht="14.25" customHeight="1">
      <c r="A2" s="8" t="s">
        <v>0</v>
      </c>
      <c r="B2" s="8" t="s">
        <v>415</v>
      </c>
      <c r="C2" s="8" t="s">
        <v>416</v>
      </c>
      <c r="E2" t="s">
        <v>417</v>
      </c>
      <c r="F2" t="s">
        <v>418</v>
      </c>
      <c r="G2" t="s">
        <v>419</v>
      </c>
      <c r="H2" t="s">
        <v>420</v>
      </c>
    </row>
    <row r="3" spans="1:8" ht="14.25" customHeight="1">
      <c r="A3" s="11" t="s">
        <v>40</v>
      </c>
      <c r="B3" s="11">
        <v>8</v>
      </c>
      <c r="C3" s="12">
        <v>46142</v>
      </c>
      <c r="E3" t="s">
        <v>421</v>
      </c>
      <c r="F3" s="28">
        <v>46233</v>
      </c>
      <c r="G3" s="28">
        <v>46274</v>
      </c>
    </row>
    <row r="4" spans="1:8" ht="14.25" customHeight="1">
      <c r="A4" s="11" t="s">
        <v>40</v>
      </c>
      <c r="B4" s="11">
        <v>10</v>
      </c>
      <c r="C4" s="12">
        <v>46172</v>
      </c>
      <c r="E4" t="s">
        <v>422</v>
      </c>
      <c r="F4" s="28">
        <v>46264</v>
      </c>
      <c r="G4" s="28">
        <v>46295</v>
      </c>
    </row>
    <row r="5" spans="1:8" ht="14.25" customHeight="1">
      <c r="A5" s="11" t="s">
        <v>40</v>
      </c>
      <c r="B5" s="11">
        <v>9</v>
      </c>
      <c r="C5" s="12">
        <v>46203</v>
      </c>
      <c r="E5" t="s">
        <v>423</v>
      </c>
      <c r="F5" s="28">
        <v>46295</v>
      </c>
      <c r="G5" s="28">
        <v>46325</v>
      </c>
    </row>
    <row r="6" spans="1:8" ht="14.25" customHeight="1">
      <c r="A6" s="11" t="s">
        <v>126</v>
      </c>
      <c r="B6" s="11">
        <v>15</v>
      </c>
      <c r="C6" s="12">
        <v>46233</v>
      </c>
      <c r="E6" t="s">
        <v>424</v>
      </c>
      <c r="F6" s="28">
        <v>46325</v>
      </c>
      <c r="G6" s="28">
        <v>46356</v>
      </c>
    </row>
    <row r="7" spans="1:8" ht="14.25" customHeight="1">
      <c r="A7" s="11" t="s">
        <v>126</v>
      </c>
      <c r="B7" s="11">
        <v>15</v>
      </c>
      <c r="C7" s="12">
        <v>46264</v>
      </c>
      <c r="E7" t="s">
        <v>425</v>
      </c>
      <c r="F7" s="28">
        <v>46356</v>
      </c>
      <c r="G7" s="28">
        <v>46387</v>
      </c>
    </row>
    <row r="8" spans="1:8" ht="14.25" customHeight="1">
      <c r="A8" s="11" t="s">
        <v>126</v>
      </c>
      <c r="B8" s="11">
        <v>17</v>
      </c>
      <c r="C8" s="12">
        <v>46295</v>
      </c>
      <c r="E8" t="s">
        <v>426</v>
      </c>
      <c r="F8" s="28">
        <v>46387</v>
      </c>
      <c r="G8" s="28">
        <v>46417</v>
      </c>
    </row>
    <row r="9" spans="1:8" ht="14.25" customHeight="1">
      <c r="A9" s="11" t="s">
        <v>126</v>
      </c>
      <c r="B9" s="11">
        <v>20</v>
      </c>
      <c r="C9" s="12">
        <v>46325</v>
      </c>
      <c r="E9" t="s">
        <v>427</v>
      </c>
      <c r="F9" s="28">
        <v>46417</v>
      </c>
      <c r="G9" s="28">
        <v>46445</v>
      </c>
    </row>
    <row r="10" spans="1:8" ht="14.25" customHeight="1">
      <c r="A10" s="11" t="s">
        <v>126</v>
      </c>
      <c r="B10" s="11">
        <v>20</v>
      </c>
      <c r="C10" s="12">
        <v>46356</v>
      </c>
      <c r="E10" t="s">
        <v>428</v>
      </c>
      <c r="F10" s="28">
        <v>46446</v>
      </c>
      <c r="G10" s="28">
        <v>46477</v>
      </c>
    </row>
    <row r="11" spans="1:8" ht="14.25" customHeight="1">
      <c r="A11" s="11" t="s">
        <v>429</v>
      </c>
      <c r="B11" s="11">
        <v>18</v>
      </c>
      <c r="C11" s="12">
        <v>46417</v>
      </c>
      <c r="E11" t="s">
        <v>430</v>
      </c>
      <c r="F11" s="28">
        <v>46477</v>
      </c>
      <c r="G11" s="28">
        <v>46480</v>
      </c>
    </row>
    <row r="12" spans="1:8" ht="14.25" customHeight="1">
      <c r="A12" s="11" t="s">
        <v>429</v>
      </c>
      <c r="B12" s="11">
        <v>18</v>
      </c>
      <c r="C12" s="12">
        <v>46446</v>
      </c>
    </row>
    <row r="13" spans="1:8" ht="14.25" customHeight="1">
      <c r="A13" s="11" t="s">
        <v>429</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431</v>
      </c>
      <c r="B1" s="262"/>
      <c r="C1" s="262"/>
      <c r="D1" s="262"/>
      <c r="E1" s="262"/>
      <c r="F1" s="262"/>
      <c r="G1" s="262"/>
      <c r="H1" s="262"/>
      <c r="I1" s="262"/>
      <c r="J1" s="262"/>
    </row>
    <row r="2" spans="1:10" ht="27" customHeight="1">
      <c r="A2" s="8" t="s">
        <v>0</v>
      </c>
      <c r="B2" s="8" t="s">
        <v>432</v>
      </c>
      <c r="C2" s="8" t="s">
        <v>1</v>
      </c>
      <c r="D2" s="8" t="s">
        <v>433</v>
      </c>
      <c r="E2" s="8" t="s">
        <v>434</v>
      </c>
      <c r="F2" s="8" t="s">
        <v>6</v>
      </c>
      <c r="G2" s="8" t="s">
        <v>5</v>
      </c>
      <c r="H2" s="8" t="s">
        <v>435</v>
      </c>
      <c r="I2" s="8" t="s">
        <v>416</v>
      </c>
      <c r="J2" s="8" t="s">
        <v>436</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437</v>
      </c>
      <c r="D13" s="9" t="s">
        <v>438</v>
      </c>
      <c r="E13" s="9" t="s">
        <v>46</v>
      </c>
      <c r="F13" s="9"/>
      <c r="G13" s="9"/>
      <c r="H13" s="10"/>
      <c r="I13" s="10">
        <v>46115</v>
      </c>
      <c r="J13" s="10">
        <v>46115</v>
      </c>
    </row>
    <row r="14" spans="1:10" ht="14.25" customHeight="1">
      <c r="A14" s="9" t="s">
        <v>40</v>
      </c>
      <c r="B14" s="9" t="s">
        <v>203</v>
      </c>
      <c r="C14" s="9" t="s">
        <v>437</v>
      </c>
      <c r="D14" s="9" t="s">
        <v>438</v>
      </c>
      <c r="E14" s="9" t="s">
        <v>46</v>
      </c>
      <c r="F14" s="9"/>
      <c r="G14" s="9"/>
      <c r="H14" s="10">
        <v>46115</v>
      </c>
      <c r="I14" s="10">
        <v>46120</v>
      </c>
      <c r="J14" s="10">
        <v>46120</v>
      </c>
    </row>
    <row r="15" spans="1:10" ht="14.25" customHeight="1">
      <c r="A15" s="9" t="s">
        <v>40</v>
      </c>
      <c r="B15" s="9" t="s">
        <v>219</v>
      </c>
      <c r="C15" s="9" t="s">
        <v>437</v>
      </c>
      <c r="D15" s="9" t="s">
        <v>438</v>
      </c>
      <c r="E15" s="9" t="s">
        <v>46</v>
      </c>
      <c r="F15" s="9"/>
      <c r="G15" s="9"/>
      <c r="H15" s="10">
        <v>46120</v>
      </c>
      <c r="I15" s="10">
        <v>46122</v>
      </c>
      <c r="J15" s="10">
        <v>46122</v>
      </c>
    </row>
    <row r="16" spans="1:10" ht="14.25" customHeight="1">
      <c r="A16" s="9" t="s">
        <v>40</v>
      </c>
      <c r="B16" s="9" t="s">
        <v>181</v>
      </c>
      <c r="C16" s="9" t="s">
        <v>437</v>
      </c>
      <c r="D16" s="9" t="s">
        <v>438</v>
      </c>
      <c r="E16" s="9" t="s">
        <v>46</v>
      </c>
      <c r="F16" s="9"/>
      <c r="G16" s="9"/>
      <c r="H16" s="10">
        <v>46122</v>
      </c>
      <c r="I16" s="10"/>
      <c r="J16" s="10"/>
    </row>
    <row r="17" spans="1:10" ht="14.25" customHeight="1">
      <c r="A17" s="9" t="s">
        <v>40</v>
      </c>
      <c r="B17" s="9" t="s">
        <v>42</v>
      </c>
      <c r="C17" s="9" t="s">
        <v>437</v>
      </c>
      <c r="D17" s="9" t="s">
        <v>438</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438</v>
      </c>
      <c r="E23" s="9" t="s">
        <v>46</v>
      </c>
      <c r="F23" s="9"/>
      <c r="G23" s="9"/>
      <c r="H23" s="10"/>
      <c r="I23" s="10">
        <v>46115</v>
      </c>
      <c r="J23" s="10">
        <v>46115</v>
      </c>
    </row>
    <row r="24" spans="1:10" ht="14.25" customHeight="1">
      <c r="A24" s="9" t="s">
        <v>40</v>
      </c>
      <c r="B24" s="9" t="s">
        <v>203</v>
      </c>
      <c r="C24" s="9" t="s">
        <v>64</v>
      </c>
      <c r="D24" s="9" t="s">
        <v>438</v>
      </c>
      <c r="E24" s="9" t="s">
        <v>46</v>
      </c>
      <c r="F24" s="9"/>
      <c r="G24" s="9"/>
      <c r="H24" s="10">
        <v>46115</v>
      </c>
      <c r="I24" s="10">
        <v>46120</v>
      </c>
      <c r="J24" s="10">
        <v>46120</v>
      </c>
    </row>
    <row r="25" spans="1:10" ht="14.25" customHeight="1">
      <c r="A25" s="9" t="s">
        <v>40</v>
      </c>
      <c r="B25" s="9" t="s">
        <v>219</v>
      </c>
      <c r="C25" s="9" t="s">
        <v>64</v>
      </c>
      <c r="D25" s="9" t="s">
        <v>438</v>
      </c>
      <c r="E25" s="9" t="s">
        <v>46</v>
      </c>
      <c r="F25" s="9"/>
      <c r="G25" s="9"/>
      <c r="H25" s="10">
        <v>46120</v>
      </c>
      <c r="I25" s="10">
        <v>46122</v>
      </c>
      <c r="J25" s="10">
        <v>46122</v>
      </c>
    </row>
    <row r="26" spans="1:10" ht="14.25" customHeight="1">
      <c r="A26" s="9" t="s">
        <v>40</v>
      </c>
      <c r="B26" s="9" t="s">
        <v>181</v>
      </c>
      <c r="C26" s="9" t="s">
        <v>64</v>
      </c>
      <c r="D26" s="9" t="s">
        <v>438</v>
      </c>
      <c r="E26" s="9" t="s">
        <v>46</v>
      </c>
      <c r="F26" s="9"/>
      <c r="G26" s="9"/>
      <c r="H26" s="10">
        <v>46122</v>
      </c>
      <c r="I26" s="10"/>
      <c r="J26" s="10"/>
    </row>
    <row r="27" spans="1:10" ht="14.25" customHeight="1">
      <c r="A27" s="9" t="s">
        <v>40</v>
      </c>
      <c r="B27" s="9" t="s">
        <v>42</v>
      </c>
      <c r="C27" s="9" t="s">
        <v>64</v>
      </c>
      <c r="D27" s="9" t="s">
        <v>438</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438</v>
      </c>
      <c r="E33" s="9" t="s">
        <v>60</v>
      </c>
      <c r="F33" s="9"/>
      <c r="G33" s="9"/>
      <c r="H33" s="10"/>
      <c r="I33" s="10">
        <v>46122</v>
      </c>
      <c r="J33" s="10">
        <v>46122</v>
      </c>
    </row>
    <row r="34" spans="1:10" ht="14.25" customHeight="1">
      <c r="A34" s="9" t="s">
        <v>40</v>
      </c>
      <c r="B34" s="9" t="s">
        <v>203</v>
      </c>
      <c r="C34" s="9" t="s">
        <v>70</v>
      </c>
      <c r="D34" s="9" t="s">
        <v>438</v>
      </c>
      <c r="E34" s="9" t="s">
        <v>60</v>
      </c>
      <c r="F34" s="9"/>
      <c r="G34" s="9"/>
      <c r="H34" s="10">
        <v>46122</v>
      </c>
      <c r="I34" s="10">
        <v>46126</v>
      </c>
      <c r="J34" s="10">
        <v>46126</v>
      </c>
    </row>
    <row r="35" spans="1:10" ht="14.25" customHeight="1">
      <c r="A35" s="9" t="s">
        <v>40</v>
      </c>
      <c r="B35" s="9" t="s">
        <v>219</v>
      </c>
      <c r="C35" s="9" t="s">
        <v>70</v>
      </c>
      <c r="D35" s="9" t="s">
        <v>438</v>
      </c>
      <c r="E35" s="9" t="s">
        <v>60</v>
      </c>
      <c r="F35" s="9"/>
      <c r="G35" s="9"/>
      <c r="H35" s="10">
        <v>46126</v>
      </c>
      <c r="I35" s="10">
        <v>46122</v>
      </c>
      <c r="J35" s="10">
        <v>46122</v>
      </c>
    </row>
    <row r="36" spans="1:10" ht="14.25" customHeight="1">
      <c r="A36" s="9" t="s">
        <v>40</v>
      </c>
      <c r="B36" s="9" t="s">
        <v>181</v>
      </c>
      <c r="C36" s="9" t="s">
        <v>70</v>
      </c>
      <c r="D36" s="9" t="s">
        <v>438</v>
      </c>
      <c r="E36" s="9" t="s">
        <v>60</v>
      </c>
      <c r="F36" s="9"/>
      <c r="G36" s="9"/>
      <c r="H36" s="10">
        <v>46122</v>
      </c>
      <c r="I36" s="10"/>
      <c r="J36" s="10"/>
    </row>
    <row r="37" spans="1:10" ht="14.25" customHeight="1">
      <c r="A37" s="9" t="s">
        <v>40</v>
      </c>
      <c r="B37" s="9" t="s">
        <v>42</v>
      </c>
      <c r="C37" s="9" t="s">
        <v>70</v>
      </c>
      <c r="D37" s="9" t="s">
        <v>438</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438</v>
      </c>
      <c r="E48" s="9" t="s">
        <v>60</v>
      </c>
      <c r="F48" s="9"/>
      <c r="G48" s="9"/>
      <c r="H48" s="10"/>
      <c r="I48" s="10"/>
      <c r="J48" s="10"/>
    </row>
    <row r="49" spans="1:10" ht="14.25" customHeight="1">
      <c r="A49" s="9" t="s">
        <v>40</v>
      </c>
      <c r="B49" s="9" t="s">
        <v>203</v>
      </c>
      <c r="C49" s="9" t="s">
        <v>97</v>
      </c>
      <c r="D49" s="9" t="s">
        <v>438</v>
      </c>
      <c r="E49" s="9" t="s">
        <v>60</v>
      </c>
      <c r="F49" s="9"/>
      <c r="G49" s="9"/>
      <c r="H49" s="10"/>
      <c r="I49" s="10">
        <v>46139</v>
      </c>
      <c r="J49" s="10">
        <v>46139</v>
      </c>
    </row>
    <row r="50" spans="1:10" ht="14.25" customHeight="1">
      <c r="A50" s="9" t="s">
        <v>40</v>
      </c>
      <c r="B50" s="9" t="s">
        <v>219</v>
      </c>
      <c r="C50" s="9" t="s">
        <v>97</v>
      </c>
      <c r="D50" s="9" t="s">
        <v>438</v>
      </c>
      <c r="E50" s="9" t="s">
        <v>60</v>
      </c>
      <c r="F50" s="9"/>
      <c r="G50" s="9"/>
      <c r="H50" s="10">
        <v>46139</v>
      </c>
      <c r="I50" s="10">
        <v>46139</v>
      </c>
      <c r="J50" s="10">
        <v>46139</v>
      </c>
    </row>
    <row r="51" spans="1:10" ht="14.25" customHeight="1">
      <c r="A51" s="9" t="s">
        <v>40</v>
      </c>
      <c r="B51" s="9" t="s">
        <v>181</v>
      </c>
      <c r="C51" s="9" t="s">
        <v>97</v>
      </c>
      <c r="D51" s="9" t="s">
        <v>438</v>
      </c>
      <c r="E51" s="9" t="s">
        <v>60</v>
      </c>
      <c r="F51" s="9"/>
      <c r="G51" s="9"/>
      <c r="H51" s="10">
        <v>46139</v>
      </c>
      <c r="I51" s="10"/>
      <c r="J51" s="10"/>
    </row>
    <row r="52" spans="1:10" ht="14.25" customHeight="1">
      <c r="A52" s="9" t="s">
        <v>40</v>
      </c>
      <c r="B52" s="9" t="s">
        <v>42</v>
      </c>
      <c r="C52" s="9" t="s">
        <v>97</v>
      </c>
      <c r="D52" s="9" t="s">
        <v>438</v>
      </c>
      <c r="E52" s="9" t="s">
        <v>60</v>
      </c>
      <c r="F52" s="9"/>
      <c r="G52" s="9"/>
      <c r="H52" s="10"/>
      <c r="I52" s="10"/>
      <c r="J52" s="10"/>
    </row>
    <row r="53" spans="1:10" ht="14.25" customHeight="1">
      <c r="A53" s="9" t="s">
        <v>40</v>
      </c>
      <c r="B53" s="9" t="s">
        <v>156</v>
      </c>
      <c r="C53" s="9" t="s">
        <v>98</v>
      </c>
      <c r="D53" s="9" t="s">
        <v>438</v>
      </c>
      <c r="E53" s="9" t="s">
        <v>60</v>
      </c>
      <c r="F53" s="9"/>
      <c r="G53" s="9"/>
      <c r="H53" s="10"/>
      <c r="I53" s="10"/>
      <c r="J53" s="10"/>
    </row>
    <row r="54" spans="1:10" ht="14.25" customHeight="1">
      <c r="A54" s="9" t="s">
        <v>40</v>
      </c>
      <c r="B54" s="9" t="s">
        <v>203</v>
      </c>
      <c r="C54" s="9" t="s">
        <v>98</v>
      </c>
      <c r="D54" s="9" t="s">
        <v>438</v>
      </c>
      <c r="E54" s="9" t="s">
        <v>60</v>
      </c>
      <c r="F54" s="9"/>
      <c r="G54" s="9"/>
      <c r="H54" s="9"/>
      <c r="I54" s="10">
        <v>46141</v>
      </c>
      <c r="J54" s="10">
        <v>46141</v>
      </c>
    </row>
    <row r="55" spans="1:10" ht="14.25" customHeight="1">
      <c r="A55" s="9" t="s">
        <v>40</v>
      </c>
      <c r="B55" s="9" t="s">
        <v>219</v>
      </c>
      <c r="C55" s="9" t="s">
        <v>98</v>
      </c>
      <c r="D55" s="9" t="s">
        <v>438</v>
      </c>
      <c r="E55" s="9" t="s">
        <v>60</v>
      </c>
      <c r="F55" s="9"/>
      <c r="G55" s="9"/>
      <c r="H55" s="10">
        <v>46141</v>
      </c>
      <c r="I55" s="10">
        <v>46141</v>
      </c>
      <c r="J55" s="10">
        <v>46141</v>
      </c>
    </row>
    <row r="56" spans="1:10" ht="14.25" customHeight="1">
      <c r="A56" s="9" t="s">
        <v>40</v>
      </c>
      <c r="B56" s="9" t="s">
        <v>181</v>
      </c>
      <c r="C56" s="9" t="s">
        <v>98</v>
      </c>
      <c r="D56" s="9" t="s">
        <v>438</v>
      </c>
      <c r="E56" s="9" t="s">
        <v>60</v>
      </c>
      <c r="F56" s="9"/>
      <c r="G56" s="9"/>
      <c r="H56" s="10">
        <v>46141</v>
      </c>
      <c r="I56" s="10"/>
      <c r="J56" s="10"/>
    </row>
    <row r="57" spans="1:10" ht="14.25" customHeight="1">
      <c r="A57" s="9" t="s">
        <v>40</v>
      </c>
      <c r="B57" s="9" t="s">
        <v>42</v>
      </c>
      <c r="C57" s="9" t="s">
        <v>98</v>
      </c>
      <c r="D57" s="9" t="s">
        <v>438</v>
      </c>
      <c r="E57" s="9" t="s">
        <v>60</v>
      </c>
      <c r="F57" s="9"/>
      <c r="G57" s="9"/>
      <c r="H57" s="10"/>
      <c r="I57" s="10"/>
      <c r="J57" s="10"/>
    </row>
    <row r="58" spans="1:10" ht="14.25" customHeight="1">
      <c r="A58" s="9" t="s">
        <v>40</v>
      </c>
      <c r="B58" s="9" t="s">
        <v>156</v>
      </c>
      <c r="C58" s="9" t="s">
        <v>99</v>
      </c>
      <c r="D58" s="9" t="s">
        <v>438</v>
      </c>
      <c r="E58" s="9" t="s">
        <v>46</v>
      </c>
      <c r="F58" s="9"/>
      <c r="G58" s="9"/>
      <c r="H58" s="9"/>
      <c r="I58" s="10"/>
      <c r="J58" s="10"/>
    </row>
    <row r="59" spans="1:10" ht="14.25" customHeight="1">
      <c r="A59" s="9" t="s">
        <v>40</v>
      </c>
      <c r="B59" s="9" t="s">
        <v>203</v>
      </c>
      <c r="C59" s="9" t="s">
        <v>99</v>
      </c>
      <c r="D59" s="9" t="s">
        <v>438</v>
      </c>
      <c r="E59" s="9" t="s">
        <v>46</v>
      </c>
      <c r="F59" s="9"/>
      <c r="G59" s="9"/>
      <c r="H59" s="10"/>
      <c r="I59" s="10">
        <v>46161</v>
      </c>
      <c r="J59" s="10">
        <v>46161</v>
      </c>
    </row>
    <row r="60" spans="1:10" ht="14.25" customHeight="1">
      <c r="A60" s="9" t="s">
        <v>40</v>
      </c>
      <c r="B60" s="9" t="s">
        <v>219</v>
      </c>
      <c r="C60" s="9" t="s">
        <v>99</v>
      </c>
      <c r="D60" s="9" t="s">
        <v>438</v>
      </c>
      <c r="E60" s="9" t="s">
        <v>46</v>
      </c>
      <c r="F60" s="9"/>
      <c r="G60" s="9"/>
      <c r="H60" s="10">
        <v>46161</v>
      </c>
      <c r="I60" s="10">
        <v>46161</v>
      </c>
      <c r="J60" s="10">
        <v>46161</v>
      </c>
    </row>
    <row r="61" spans="1:10" ht="14.25" customHeight="1">
      <c r="A61" s="9" t="s">
        <v>40</v>
      </c>
      <c r="B61" s="9" t="s">
        <v>181</v>
      </c>
      <c r="C61" s="9" t="s">
        <v>99</v>
      </c>
      <c r="D61" s="9" t="s">
        <v>438</v>
      </c>
      <c r="E61" s="9" t="s">
        <v>46</v>
      </c>
      <c r="F61" s="9"/>
      <c r="G61" s="9"/>
      <c r="H61" s="10">
        <v>46161</v>
      </c>
      <c r="I61" s="10"/>
      <c r="J61" s="10"/>
    </row>
    <row r="62" spans="1:10" ht="14.25" customHeight="1">
      <c r="A62" s="9" t="s">
        <v>40</v>
      </c>
      <c r="B62" s="9" t="s">
        <v>42</v>
      </c>
      <c r="C62" s="9" t="s">
        <v>99</v>
      </c>
      <c r="D62" s="9" t="s">
        <v>438</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219</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219</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219</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219</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219</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219</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219</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219</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219</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439</v>
      </c>
      <c r="F1" s="1" t="s">
        <v>337</v>
      </c>
      <c r="G1" s="5" t="s">
        <v>440</v>
      </c>
      <c r="H1" s="5" t="s">
        <v>20</v>
      </c>
      <c r="I1" t="s">
        <v>35</v>
      </c>
      <c r="J1" s="5" t="s">
        <v>441</v>
      </c>
      <c r="K1" s="5" t="s">
        <v>181</v>
      </c>
      <c r="L1" s="5" t="s">
        <v>356</v>
      </c>
      <c r="M1" s="1" t="s">
        <v>442</v>
      </c>
      <c r="N1" s="1" t="s">
        <v>443</v>
      </c>
      <c r="R1" t="s">
        <v>13</v>
      </c>
      <c r="T1" t="s">
        <v>444</v>
      </c>
    </row>
    <row r="2" spans="1:20" ht="13.5" customHeight="1">
      <c r="A2" s="2" t="s">
        <v>445</v>
      </c>
      <c r="B2" s="2" t="s">
        <v>446</v>
      </c>
      <c r="C2" s="2" t="s">
        <v>447</v>
      </c>
      <c r="D2" s="2" t="s">
        <v>448</v>
      </c>
      <c r="E2" s="2" t="s">
        <v>449</v>
      </c>
      <c r="F2" s="2" t="s">
        <v>450</v>
      </c>
      <c r="G2" t="s">
        <v>451</v>
      </c>
      <c r="H2" t="s">
        <v>452</v>
      </c>
      <c r="I2" t="s">
        <v>453</v>
      </c>
      <c r="J2" s="29" t="s">
        <v>454</v>
      </c>
      <c r="K2" s="29" t="s">
        <v>455</v>
      </c>
      <c r="L2" s="29" t="s">
        <v>456</v>
      </c>
      <c r="M2" t="s">
        <v>143</v>
      </c>
      <c r="N2" t="s">
        <v>457</v>
      </c>
      <c r="R2" t="s">
        <v>254</v>
      </c>
      <c r="T2" t="s">
        <v>49</v>
      </c>
    </row>
    <row r="3" spans="1:20" ht="15" customHeight="1">
      <c r="A3" t="s">
        <v>40</v>
      </c>
      <c r="B3" t="s">
        <v>44</v>
      </c>
      <c r="C3" t="s">
        <v>60</v>
      </c>
      <c r="D3" t="s">
        <v>129</v>
      </c>
      <c r="E3" t="s">
        <v>50</v>
      </c>
      <c r="F3" t="s">
        <v>233</v>
      </c>
      <c r="G3" t="s">
        <v>44</v>
      </c>
      <c r="H3" t="s">
        <v>47</v>
      </c>
      <c r="I3" t="s">
        <v>53</v>
      </c>
      <c r="J3" t="s">
        <v>156</v>
      </c>
      <c r="K3" t="s">
        <v>48</v>
      </c>
      <c r="L3" t="s">
        <v>53</v>
      </c>
      <c r="M3" t="s">
        <v>44</v>
      </c>
      <c r="N3" t="s">
        <v>458</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459</v>
      </c>
      <c r="R4" t="s">
        <v>460</v>
      </c>
      <c r="T4" t="s">
        <v>72</v>
      </c>
    </row>
    <row r="5" spans="1:20" ht="15" customHeight="1">
      <c r="A5" t="s">
        <v>429</v>
      </c>
      <c r="B5" t="s">
        <v>438</v>
      </c>
      <c r="C5" t="s">
        <v>77</v>
      </c>
      <c r="F5" t="s">
        <v>203</v>
      </c>
      <c r="G5" t="s">
        <v>438</v>
      </c>
      <c r="H5" t="s">
        <v>129</v>
      </c>
      <c r="I5" t="s">
        <v>217</v>
      </c>
      <c r="J5" t="s">
        <v>219</v>
      </c>
      <c r="L5" t="s">
        <v>461</v>
      </c>
      <c r="M5" t="s">
        <v>88</v>
      </c>
      <c r="N5" t="s">
        <v>462</v>
      </c>
    </row>
    <row r="6" spans="1:20" ht="15" customHeight="1">
      <c r="A6" t="s">
        <v>308</v>
      </c>
      <c r="B6" t="s">
        <v>84</v>
      </c>
      <c r="F6" t="s">
        <v>219</v>
      </c>
      <c r="G6" t="s">
        <v>84</v>
      </c>
      <c r="H6" t="s">
        <v>143</v>
      </c>
      <c r="I6" t="s">
        <v>463</v>
      </c>
      <c r="J6" t="s">
        <v>181</v>
      </c>
      <c r="M6" t="s">
        <v>48</v>
      </c>
      <c r="N6" t="s">
        <v>462</v>
      </c>
    </row>
    <row r="7" spans="1:20" ht="15" customHeight="1">
      <c r="A7" t="s">
        <v>299</v>
      </c>
      <c r="B7" t="s">
        <v>65</v>
      </c>
      <c r="F7" t="s">
        <v>181</v>
      </c>
      <c r="G7" t="s">
        <v>65</v>
      </c>
      <c r="H7" t="s">
        <v>198</v>
      </c>
      <c r="I7" t="s">
        <v>464</v>
      </c>
      <c r="M7" t="s">
        <v>129</v>
      </c>
      <c r="N7" t="s">
        <v>465</v>
      </c>
    </row>
    <row r="8" spans="1:20" ht="15" customHeight="1">
      <c r="B8" t="s">
        <v>76</v>
      </c>
      <c r="F8" t="s">
        <v>128</v>
      </c>
      <c r="G8" t="s">
        <v>76</v>
      </c>
      <c r="I8" t="s">
        <v>466</v>
      </c>
      <c r="M8" t="s">
        <v>60</v>
      </c>
      <c r="N8" t="s">
        <v>467</v>
      </c>
    </row>
    <row r="9" spans="1:20" ht="15" customHeight="1">
      <c r="B9" t="s">
        <v>103</v>
      </c>
      <c r="F9" t="s">
        <v>42</v>
      </c>
      <c r="G9" t="s">
        <v>103</v>
      </c>
      <c r="I9" t="s">
        <v>333</v>
      </c>
      <c r="M9" t="s">
        <v>154</v>
      </c>
      <c r="N9" t="s">
        <v>468</v>
      </c>
    </row>
    <row r="10" spans="1:20" ht="15" customHeight="1">
      <c r="B10" t="s">
        <v>154</v>
      </c>
      <c r="G10" t="s">
        <v>154</v>
      </c>
      <c r="I10" t="s">
        <v>469</v>
      </c>
      <c r="M10" t="s">
        <v>47</v>
      </c>
      <c r="N10" t="s">
        <v>470</v>
      </c>
    </row>
    <row r="11" spans="1:20" ht="15">
      <c r="B11" t="s">
        <v>471</v>
      </c>
      <c r="G11" t="s">
        <v>60</v>
      </c>
      <c r="M11" t="s">
        <v>76</v>
      </c>
      <c r="N11" t="s">
        <v>472</v>
      </c>
    </row>
    <row r="12" spans="1:20" ht="15">
      <c r="B12" t="s">
        <v>473</v>
      </c>
      <c r="G12" t="s">
        <v>46</v>
      </c>
      <c r="M12" t="s">
        <v>46</v>
      </c>
      <c r="N12" t="s">
        <v>474</v>
      </c>
    </row>
    <row r="13" spans="1:20" ht="15">
      <c r="G13" t="s">
        <v>77</v>
      </c>
      <c r="M13" t="s">
        <v>77</v>
      </c>
      <c r="N13" t="s">
        <v>475</v>
      </c>
    </row>
    <row r="14" spans="1:20" ht="15">
      <c r="M14" t="s">
        <v>84</v>
      </c>
      <c r="N14" t="s">
        <v>476</v>
      </c>
    </row>
    <row r="15" spans="1:20" ht="15">
      <c r="M15" t="s">
        <v>59</v>
      </c>
      <c r="N15" t="s">
        <v>477</v>
      </c>
    </row>
    <row r="16" spans="1:20" ht="15">
      <c r="M16" t="s">
        <v>65</v>
      </c>
      <c r="N16" t="s">
        <v>478</v>
      </c>
    </row>
    <row r="17" spans="13:14" ht="15">
      <c r="M17" t="s">
        <v>438</v>
      </c>
      <c r="N17" t="s">
        <v>478</v>
      </c>
    </row>
    <row r="18" spans="13:14" ht="15">
      <c r="M18" t="s">
        <v>228</v>
      </c>
      <c r="N18" t="s">
        <v>479</v>
      </c>
    </row>
    <row r="19" spans="13:14" ht="15">
      <c r="M19" t="s">
        <v>198</v>
      </c>
      <c r="N19" t="s">
        <v>480</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481</v>
      </c>
      <c r="C2" s="171"/>
      <c r="D2" s="171"/>
      <c r="E2" s="171"/>
      <c r="F2" s="171"/>
      <c r="G2" s="171"/>
      <c r="H2" s="171"/>
      <c r="I2" s="171"/>
      <c r="J2" s="171"/>
      <c r="K2" s="171"/>
      <c r="L2" s="171"/>
      <c r="M2" s="243" t="str">
        <f ca="1">"As of "&amp;TEXT(TODAY(),"d mmm yyyy")&amp;". Live from Combined Delivery Data."</f>
        <v>As of 2 Oct 2026. Live from Combined Delivery Data.</v>
      </c>
      <c r="N2" s="243"/>
      <c r="O2" s="243"/>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44" t="str">
        <f>IF(C7+E7=0,"No CMS reports are blocked.","reports are blocked. "&amp;C7&amp;" are approved and waiting for a production release, "&amp;E7&amp;" are blocked in build or QA.")</f>
        <v>reports are blocked. 25 are approved and waiting for a production release, 4 are blocked in build or QA.</v>
      </c>
      <c r="D5" s="244"/>
      <c r="E5" s="244"/>
      <c r="F5" s="244"/>
      <c r="G5" s="244"/>
      <c r="H5" s="244"/>
      <c r="I5" s="244"/>
      <c r="J5" s="244"/>
      <c r="K5" s="244"/>
      <c r="L5" s="244"/>
      <c r="M5" s="244"/>
      <c r="N5" s="244"/>
      <c r="O5" s="244"/>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5" cm="1">
        <f t="array" ref="C7">COUNTIFS(cmsDom,"CMS",cmsStatus,"Ready for Release in Prod")</f>
        <v>25</v>
      </c>
      <c r="D7" s="246"/>
      <c r="E7" s="249" cm="1">
        <f t="array" ref="E7">COUNTIFS(cmsDom,"CMS",cmsBlocked,"Yes*",cmsStatus,"&lt;&gt;Ready for Release in Prod",cmsStatus,"&lt;&gt;RELEASED IN PROD")</f>
        <v>4</v>
      </c>
      <c r="F7" s="250"/>
      <c r="G7" s="251" cm="1">
        <f t="array" ref="G7">SUM(COUNTIFS(cmsDom,"CMS",cmsBlocked,"&lt;&gt;Yes*",cmsStatus,{"DB Dev","PBI Dev","QA","DPO Approval"}))</f>
        <v>23</v>
      </c>
      <c r="H7" s="252"/>
      <c r="I7" s="253" cm="1">
        <f t="array" ref="I7">COUNTIFS(cmsDom,"CMS",cmsBlocked,"&lt;&gt;Yes*",cmsStatus,"NOT STARTED")</f>
        <v>20</v>
      </c>
      <c r="J7" s="254"/>
      <c r="K7" s="255" cm="1">
        <f t="array" ref="K7">COUNTIFS(cmsDom,"CMS",cmsStatus,"RELEASED IN PROD")</f>
        <v>0</v>
      </c>
      <c r="L7" s="256"/>
      <c r="M7" s="257" t="s">
        <v>482</v>
      </c>
      <c r="N7" s="258"/>
      <c r="O7" s="259"/>
      <c r="P7" s="171"/>
      <c r="Q7" s="171"/>
      <c r="R7" s="171"/>
      <c r="S7" s="171"/>
      <c r="T7" s="171"/>
      <c r="U7" s="171"/>
      <c r="V7" s="171"/>
      <c r="W7" s="171"/>
      <c r="X7" s="171"/>
      <c r="Y7" s="171"/>
      <c r="Z7" s="171"/>
    </row>
    <row r="8" spans="1:26" ht="30" customHeight="1">
      <c r="A8" s="171"/>
      <c r="B8" s="171"/>
      <c r="C8" s="247" t="s">
        <v>483</v>
      </c>
      <c r="D8" s="248"/>
      <c r="E8" s="247" t="s">
        <v>484</v>
      </c>
      <c r="F8" s="248"/>
      <c r="G8" s="247" t="s">
        <v>485</v>
      </c>
      <c r="H8" s="248"/>
      <c r="I8" s="247" t="s">
        <v>486</v>
      </c>
      <c r="J8" s="248"/>
      <c r="K8" s="247" t="s">
        <v>487</v>
      </c>
      <c r="L8" s="248"/>
      <c r="M8" s="24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13.</v>
      </c>
      <c r="N8" s="248"/>
      <c r="O8" s="260"/>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488</v>
      </c>
      <c r="C10" s="221" t="s">
        <v>489</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490</v>
      </c>
      <c r="C11" s="185" t="s">
        <v>491</v>
      </c>
      <c r="D11" s="185" t="s">
        <v>492</v>
      </c>
      <c r="E11" s="185" t="s">
        <v>181</v>
      </c>
      <c r="F11" s="185" t="s">
        <v>219</v>
      </c>
      <c r="G11" s="185" t="s">
        <v>203</v>
      </c>
      <c r="H11" s="185" t="s">
        <v>156</v>
      </c>
      <c r="I11" s="185" t="s">
        <v>486</v>
      </c>
      <c r="J11" s="185" t="s">
        <v>493</v>
      </c>
      <c r="K11" s="185" t="s">
        <v>494</v>
      </c>
      <c r="L11" s="185" t="s">
        <v>495</v>
      </c>
      <c r="M11" s="237" t="s">
        <v>496</v>
      </c>
      <c r="N11" s="238"/>
      <c r="O11" s="239"/>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0" t="str">
        <f ca="1">IF($K12=0,"",IF($J12=$K12,"Delivered",IF($L12="","No milestone in Dim Table",IF(TODAY()&gt;$L12,TEXT(TODAY()-$L12,"0")&amp;" days past milestone, "&amp;($K12-$J12)&amp;" of "&amp;$K12&amp;" not released",TEXT($L12-TODAY(),"0")&amp;" days to milestone"&amp;IF($D12&gt;0,", "&amp;$D12&amp;" blocked","")))))</f>
        <v>23 days past milestone, 14 of 14 not released</v>
      </c>
      <c r="N12" s="241"/>
      <c r="O12" s="242"/>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2 days past milestone, 12 of 12 not released</v>
      </c>
      <c r="N13" s="232"/>
      <c r="O13" s="233"/>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2</v>
      </c>
      <c r="D14" s="196" cm="1">
        <f t="array" ref="D14">COUNTIFS(cmsDom,"CMS",cmsMonth,$B14,cmsBlocked,"Yes*",cmsStatus,"&lt;&gt;Ready for Release in Prod",cmsStatus,"&lt;&gt;RELEASED IN PROD")</f>
        <v>3</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28 days to milestone, 3 blocked</v>
      </c>
      <c r="N14" s="232"/>
      <c r="O14" s="233"/>
      <c r="P14" s="171"/>
      <c r="Q14" s="171"/>
      <c r="R14" s="171"/>
      <c r="S14" s="171"/>
      <c r="T14" s="171"/>
      <c r="U14" s="171"/>
      <c r="V14" s="171"/>
      <c r="W14" s="171"/>
      <c r="X14" s="171"/>
      <c r="Y14" s="171"/>
      <c r="Z14" s="171"/>
    </row>
    <row r="15" spans="1:26" ht="21.75" customHeight="1">
      <c r="A15" s="171"/>
      <c r="B15" s="195" t="s">
        <v>242</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59 days to milestone, 1 blocked</v>
      </c>
      <c r="N15" s="232"/>
      <c r="O15" s="233"/>
      <c r="P15" s="171"/>
      <c r="Q15" s="171"/>
      <c r="R15" s="171"/>
      <c r="S15" s="171"/>
      <c r="T15" s="171"/>
      <c r="U15" s="171"/>
      <c r="V15" s="171"/>
      <c r="W15" s="171"/>
      <c r="X15" s="171"/>
      <c r="Y15" s="171"/>
      <c r="Z15" s="171"/>
    </row>
    <row r="16" spans="1:26" ht="21.75" customHeight="1">
      <c r="A16" s="171"/>
      <c r="B16" s="192" t="s">
        <v>268</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4" t="str">
        <f ca="1">IF($K16=0,"",IF($J16=$K16,"Delivered",IF($L16="","No milestone in Dim Table",IF(TODAY()&gt;$L16,TEXT(TODAY()-$L16,"0")&amp;" days past milestone, "&amp;($K16-$J16)&amp;" of "&amp;$K16&amp;" not released",TEXT($L16-TODAY(),"0")&amp;" days to milestone"&amp;IF($D16&gt;0,", "&amp;$D16&amp;" blocked","")))))</f>
        <v>90 days to milestone</v>
      </c>
      <c r="N16" s="235"/>
      <c r="O16" s="236"/>
      <c r="P16" s="171"/>
      <c r="Q16" s="171"/>
      <c r="R16" s="171"/>
      <c r="S16" s="171"/>
      <c r="T16" s="171"/>
      <c r="U16" s="171"/>
      <c r="V16" s="171"/>
      <c r="W16" s="171"/>
      <c r="X16" s="171"/>
      <c r="Y16" s="171"/>
      <c r="Z16" s="171"/>
    </row>
    <row r="17" spans="1:26" ht="24" customHeight="1">
      <c r="A17" s="171"/>
      <c r="B17" s="186" t="s">
        <v>497</v>
      </c>
      <c r="C17" s="198">
        <f>SUM(C12:C16)</f>
        <v>25</v>
      </c>
      <c r="D17" s="198">
        <f>SUM(D12:D16)</f>
        <v>4</v>
      </c>
      <c r="E17" s="198">
        <f>SUM(E12:E16)</f>
        <v>9</v>
      </c>
      <c r="F17" s="198">
        <f>SUM(F12:F16)</f>
        <v>4</v>
      </c>
      <c r="G17" s="198">
        <f>SUM(G12:G16)</f>
        <v>8</v>
      </c>
      <c r="H17" s="198">
        <f>SUM(H12:H16)</f>
        <v>2</v>
      </c>
      <c r="I17" s="198">
        <f>SUM(I12:I16)</f>
        <v>20</v>
      </c>
      <c r="J17" s="198">
        <f>SUM(J12:J16)</f>
        <v>0</v>
      </c>
      <c r="K17" s="198">
        <f>SUM(K12:K16)</f>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498</v>
      </c>
      <c r="C19" s="221" t="s">
        <v>499</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(13)</v>
      </c>
      <c r="C35" s="221" t="s">
        <v>500</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501</v>
      </c>
      <c r="C36" s="199" t="s">
        <v>490</v>
      </c>
      <c r="D36" s="199" t="s">
        <v>502</v>
      </c>
      <c r="E36" s="199" t="s">
        <v>432</v>
      </c>
      <c r="F36" s="199" t="s">
        <v>503</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RPT_04_Leak Recheck Times</v>
      </c>
      <c r="C41" s="202" t="str">
        <v>September</v>
      </c>
      <c r="D41" s="202" t="str">
        <v>PBI Dev</v>
      </c>
      <c r="E41" s="202" t="str">
        <v>Move status to QA</v>
      </c>
      <c r="F41" s="202" t="str">
        <v>Shraddha</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RPT_02_Emergency Time Adjustments Log</v>
      </c>
      <c r="C42" s="202" t="str">
        <v>October</v>
      </c>
      <c r="D42" s="202" t="str">
        <v>PBI Dev</v>
      </c>
      <c r="E42" s="202" t="str">
        <v>Blocked - log it on Rework Log</v>
      </c>
      <c r="F42" s="202" t="str">
        <v>Navya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Appointment Life Cycle</v>
      </c>
      <c r="C43" s="202" t="str">
        <v>October</v>
      </c>
      <c r="D43" s="202" t="str">
        <v>DB Dev</v>
      </c>
      <c r="E43" s="202" t="str">
        <v>Move status to PBI Dev</v>
      </c>
      <c r="F43" s="202" t="str">
        <v>Nick</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RPT_02_PSC Inactive Account</v>
      </c>
      <c r="C44" s="202" t="str">
        <v>October</v>
      </c>
      <c r="D44" s="202" t="str">
        <v>PBI Dev</v>
      </c>
      <c r="E44" s="202" t="str">
        <v>Move status to QA</v>
      </c>
      <c r="F44" s="202" t="str">
        <v>Shraddha</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RPT_02_Fixed Factor Mismatch</v>
      </c>
      <c r="C45" s="202" t="str">
        <v>November</v>
      </c>
      <c r="D45" s="202" t="str">
        <v>NOT STARTED</v>
      </c>
      <c r="E45" s="202" t="str">
        <v>Move status to PBI Dev</v>
      </c>
      <c r="F45" s="202" t="str">
        <v>Siddu</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RPT_02_Install Meter Orders</v>
      </c>
      <c r="C46" s="204" t="str">
        <v>November</v>
      </c>
      <c r="D46" s="204" t="str">
        <v>NOT STARTED</v>
      </c>
      <c r="E46" s="204" t="str">
        <v>Move status to PBI Dev</v>
      </c>
      <c r="F46" s="204" t="str">
        <v>Michael</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494</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490</v>
      </c>
      <c r="D49" s="224"/>
      <c r="E49" s="224" t="s">
        <v>432</v>
      </c>
      <c r="F49" s="224"/>
      <c r="G49" s="224" t="s">
        <v>442</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504</v>
      </c>
      <c r="D50" s="226"/>
      <c r="E50" s="225" t="s">
        <v>504</v>
      </c>
      <c r="F50" s="226"/>
      <c r="G50" s="225" t="s">
        <v>504</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501</v>
      </c>
      <c r="C52" s="208" t="s">
        <v>490</v>
      </c>
      <c r="D52" s="208" t="s">
        <v>502</v>
      </c>
      <c r="E52" s="208" t="s">
        <v>35</v>
      </c>
      <c r="F52" s="208" t="s">
        <v>505</v>
      </c>
      <c r="G52" s="208" t="s">
        <v>506</v>
      </c>
      <c r="H52" s="208" t="s">
        <v>507</v>
      </c>
      <c r="I52" s="208" t="s">
        <v>508</v>
      </c>
      <c r="J52" s="210" t="s">
        <v>509</v>
      </c>
      <c r="K52" s="210" t="s">
        <v>510</v>
      </c>
      <c r="L52" s="210" t="s">
        <v>511</v>
      </c>
      <c r="M52" s="210" t="s">
        <v>512</v>
      </c>
      <c r="N52" s="210" t="s">
        <v>513</v>
      </c>
      <c r="O52" s="208" t="s">
        <v>514</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t="str">
        <v/>
      </c>
      <c r="M95" s="213" t="str">
        <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515</v>
      </c>
      <c r="C1" t="s">
        <v>516</v>
      </c>
      <c r="D1" t="s">
        <v>35</v>
      </c>
      <c r="E1" t="s">
        <v>517</v>
      </c>
    </row>
    <row r="2" spans="1:5">
      <c r="A2" t="s">
        <v>127</v>
      </c>
      <c r="B2" t="s">
        <v>130</v>
      </c>
      <c r="C2" t="s">
        <v>128</v>
      </c>
      <c r="D2" t="s">
        <v>333</v>
      </c>
      <c r="E2" t="str">
        <f>IF(C2="Ready for Release in Prod","Blocked in Prod",IF(C2="RELEASED IN PROD","Released",IF(LEFT(D2,3)="Yes","Blocked - Build/QA",IF(C2="NOT STARTED","Not Started",C2))))</f>
        <v>Blocked in Prod</v>
      </c>
    </row>
    <row r="3" spans="1:5">
      <c r="A3" t="s">
        <v>134</v>
      </c>
      <c r="B3" t="s">
        <v>130</v>
      </c>
      <c r="C3" t="s">
        <v>128</v>
      </c>
      <c r="D3" t="s">
        <v>333</v>
      </c>
      <c r="E3" t="str">
        <f>IF(C3="Ready for Release in Prod","Blocked in Prod",IF(C3="RELEASED IN PROD","Released",IF(LEFT(D3,3)="Yes","Blocked - Build/QA",IF(C3="NOT STARTED","Not Started",C3))))</f>
        <v>Blocked in Prod</v>
      </c>
    </row>
    <row r="4" spans="1:5">
      <c r="A4" t="s">
        <v>136</v>
      </c>
      <c r="B4" t="s">
        <v>130</v>
      </c>
      <c r="C4" t="s">
        <v>128</v>
      </c>
      <c r="D4" t="s">
        <v>333</v>
      </c>
      <c r="E4" t="str">
        <f>IF(C4="Ready for Release in Prod","Blocked in Prod",IF(C4="RELEASED IN PROD","Released",IF(LEFT(D4,3)="Yes","Blocked - Build/QA",IF(C4="NOT STARTED","Not Started",C4))))</f>
        <v>Blocked in Prod</v>
      </c>
    </row>
    <row r="5" spans="1:5">
      <c r="A5" t="s">
        <v>138</v>
      </c>
      <c r="B5" t="s">
        <v>130</v>
      </c>
      <c r="C5" t="s">
        <v>128</v>
      </c>
      <c r="D5" t="s">
        <v>333</v>
      </c>
      <c r="E5" t="str">
        <f>IF(C5="Ready for Release in Prod","Blocked in Prod",IF(C5="RELEASED IN PROD","Released",IF(LEFT(D5,3)="Yes","Blocked - Build/QA",IF(C5="NOT STARTED","Not Started",C5))))</f>
        <v>Blocked in Prod</v>
      </c>
    </row>
    <row r="6" spans="1:5">
      <c r="A6" t="s">
        <v>140</v>
      </c>
      <c r="B6" t="s">
        <v>130</v>
      </c>
      <c r="C6" t="s">
        <v>128</v>
      </c>
      <c r="D6" t="s">
        <v>333</v>
      </c>
      <c r="E6" t="str">
        <f>IF(C6="Ready for Release in Prod","Blocked in Prod",IF(C6="RELEASED IN PROD","Released",IF(LEFT(D6,3)="Yes","Blocked - Build/QA",IF(C6="NOT STARTED","Not Started",C6))))</f>
        <v>Blocked in Prod</v>
      </c>
    </row>
    <row r="7" spans="1:5">
      <c r="A7" t="s">
        <v>142</v>
      </c>
      <c r="B7" t="s">
        <v>130</v>
      </c>
      <c r="C7" t="s">
        <v>128</v>
      </c>
      <c r="D7" t="s">
        <v>333</v>
      </c>
      <c r="E7" t="str">
        <f>IF(C7="Ready for Release in Prod","Blocked in Prod",IF(C7="RELEASED IN PROD","Released",IF(LEFT(D7,3)="Yes","Blocked - Build/QA",IF(C7="NOT STARTED","Not Started",C7))))</f>
        <v>Blocked in Prod</v>
      </c>
    </row>
    <row r="8" spans="1:5">
      <c r="A8" t="s">
        <v>145</v>
      </c>
      <c r="B8" t="s">
        <v>130</v>
      </c>
      <c r="C8" t="s">
        <v>128</v>
      </c>
      <c r="D8" t="s">
        <v>333</v>
      </c>
      <c r="E8" t="str">
        <f>IF(C8="Ready for Release in Prod","Blocked in Prod",IF(C8="RELEASED IN PROD","Released",IF(LEFT(D8,3)="Yes","Blocked - Build/QA",IF(C8="NOT STARTED","Not Started",C8))))</f>
        <v>Blocked in Prod</v>
      </c>
    </row>
    <row r="9" spans="1:5">
      <c r="A9" t="s">
        <v>148</v>
      </c>
      <c r="B9" t="s">
        <v>130</v>
      </c>
      <c r="C9" t="s">
        <v>128</v>
      </c>
      <c r="D9" t="s">
        <v>333</v>
      </c>
      <c r="E9" t="str">
        <f>IF(C9="Ready for Release in Prod","Blocked in Prod",IF(C9="RELEASED IN PROD","Released",IF(LEFT(D9,3)="Yes","Blocked - Build/QA",IF(C9="NOT STARTED","Not Started",C9))))</f>
        <v>Blocked in Prod</v>
      </c>
    </row>
    <row r="10" spans="1:5">
      <c r="A10" t="s">
        <v>149</v>
      </c>
      <c r="B10" t="s">
        <v>130</v>
      </c>
      <c r="C10" t="s">
        <v>128</v>
      </c>
      <c r="D10" t="s">
        <v>333</v>
      </c>
      <c r="E10" t="str">
        <f>IF(C10="Ready for Release in Prod","Blocked in Prod",IF(C10="RELEASED IN PROD","Released",IF(LEFT(D10,3)="Yes","Blocked - Build/QA",IF(C10="NOT STARTED","Not Started",C10))))</f>
        <v>Blocked in Prod</v>
      </c>
    </row>
    <row r="11" spans="1:5">
      <c r="A11" t="s">
        <v>152</v>
      </c>
      <c r="B11" t="s">
        <v>130</v>
      </c>
      <c r="C11" t="s">
        <v>128</v>
      </c>
      <c r="D11" t="s">
        <v>333</v>
      </c>
      <c r="E11" t="str">
        <f>IF(C11="Ready for Release in Prod","Blocked in Prod",IF(C11="RELEASED IN PROD","Released",IF(LEFT(D11,3)="Yes","Blocked - Build/QA",IF(C11="NOT STARTED","Not Started",C11))))</f>
        <v>Blocked in Prod</v>
      </c>
    </row>
    <row r="12" spans="1:5">
      <c r="A12" t="s">
        <v>155</v>
      </c>
      <c r="B12" t="s">
        <v>130</v>
      </c>
      <c r="C12" t="s">
        <v>128</v>
      </c>
      <c r="D12" t="s">
        <v>333</v>
      </c>
      <c r="E12" t="str">
        <f>IF(C12="Ready for Release in Prod","Blocked in Prod",IF(C12="RELEASED IN PROD","Released",IF(LEFT(D12,3)="Yes","Blocked - Build/QA",IF(C12="NOT STARTED","Not Started",C12))))</f>
        <v>Blocked in Prod</v>
      </c>
    </row>
    <row r="13" spans="1:5">
      <c r="A13" t="s">
        <v>157</v>
      </c>
      <c r="B13" t="s">
        <v>130</v>
      </c>
      <c r="C13" t="s">
        <v>128</v>
      </c>
      <c r="D13" t="s">
        <v>333</v>
      </c>
      <c r="E13" t="str">
        <f>IF(C13="Ready for Release in Prod","Blocked in Prod",IF(C13="RELEASED IN PROD","Released",IF(LEFT(D13,3)="Yes","Blocked - Build/QA",IF(C13="NOT STARTED","Not Started",C13))))</f>
        <v>Blocked in Prod</v>
      </c>
    </row>
    <row r="14" spans="1:5">
      <c r="A14" t="s">
        <v>159</v>
      </c>
      <c r="B14" t="s">
        <v>130</v>
      </c>
      <c r="C14" t="s">
        <v>128</v>
      </c>
      <c r="D14" t="s">
        <v>333</v>
      </c>
      <c r="E14" t="str">
        <f>IF(C14="Ready for Release in Prod","Blocked in Prod",IF(C14="RELEASED IN PROD","Released",IF(LEFT(D14,3)="Yes","Blocked - Build/QA",IF(C14="NOT STARTED","Not Started",C14))))</f>
        <v>Blocked in Prod</v>
      </c>
    </row>
    <row r="15" spans="1:5">
      <c r="A15" t="s">
        <v>161</v>
      </c>
      <c r="B15" t="s">
        <v>130</v>
      </c>
      <c r="C15" t="s">
        <v>128</v>
      </c>
      <c r="D15" t="s">
        <v>333</v>
      </c>
      <c r="E15" t="str">
        <f>IF(C15="Ready for Release in Prod","Blocked in Prod",IF(C15="RELEASED IN PROD","Released",IF(LEFT(D15,3)="Yes","Blocked - Build/QA",IF(C15="NOT STARTED","Not Started",C15))))</f>
        <v>Blocked in Prod</v>
      </c>
    </row>
    <row r="16" spans="1:5">
      <c r="A16" t="s">
        <v>164</v>
      </c>
      <c r="B16" t="s">
        <v>166</v>
      </c>
      <c r="C16" t="s">
        <v>203</v>
      </c>
      <c r="D16" t="s">
        <v>463</v>
      </c>
      <c r="E16" t="str">
        <f>IF(C16="Ready for Release in Prod","Blocked in Prod",IF(C16="RELEASED IN PROD","Released",IF(LEFT(D16,3)="Yes","Blocked - Build/QA",IF(C16="NOT STARTED","Not Started",C16))))</f>
        <v>Blocked - Build/QA</v>
      </c>
    </row>
    <row r="17" spans="1:5">
      <c r="A17" t="s">
        <v>169</v>
      </c>
      <c r="B17" t="s">
        <v>166</v>
      </c>
      <c r="C17" t="s">
        <v>128</v>
      </c>
      <c r="D17" t="s">
        <v>333</v>
      </c>
      <c r="E17" t="str">
        <f>IF(C17="Ready for Release in Prod","Blocked in Prod",IF(C17="RELEASED IN PROD","Released",IF(LEFT(D17,3)="Yes","Blocked - Build/QA",IF(C17="NOT STARTED","Not Started",C17))))</f>
        <v>Blocked in Prod</v>
      </c>
    </row>
    <row r="18" spans="1:5">
      <c r="A18" t="s">
        <v>172</v>
      </c>
      <c r="B18" t="s">
        <v>166</v>
      </c>
      <c r="C18" t="s">
        <v>128</v>
      </c>
      <c r="D18" t="s">
        <v>333</v>
      </c>
      <c r="E18" t="str">
        <f>IF(C18="Ready for Release in Prod","Blocked in Prod",IF(C18="RELEASED IN PROD","Released",IF(LEFT(D18,3)="Yes","Blocked - Build/QA",IF(C18="NOT STARTED","Not Started",C18))))</f>
        <v>Blocked in Prod</v>
      </c>
    </row>
    <row r="19" spans="1:5">
      <c r="A19" t="s">
        <v>174</v>
      </c>
      <c r="B19" t="s">
        <v>166</v>
      </c>
      <c r="C19" t="s">
        <v>128</v>
      </c>
      <c r="D19" t="s">
        <v>333</v>
      </c>
      <c r="E19" t="str">
        <f>IF(C19="Ready for Release in Prod","Blocked in Prod",IF(C19="RELEASED IN PROD","Released",IF(LEFT(D19,3)="Yes","Blocked - Build/QA",IF(C19="NOT STARTED","Not Started",C19))))</f>
        <v>Blocked in Prod</v>
      </c>
    </row>
    <row r="20" spans="1:5">
      <c r="A20" t="s">
        <v>176</v>
      </c>
      <c r="B20" t="s">
        <v>166</v>
      </c>
      <c r="C20" t="s">
        <v>128</v>
      </c>
      <c r="D20" t="s">
        <v>333</v>
      </c>
      <c r="E20" t="str">
        <f>IF(C20="Ready for Release in Prod","Blocked in Prod",IF(C20="RELEASED IN PROD","Released",IF(LEFT(D20,3)="Yes","Blocked - Build/QA",IF(C20="NOT STARTED","Not Started",C20))))</f>
        <v>Blocked in Prod</v>
      </c>
    </row>
    <row r="21" spans="1:5">
      <c r="A21" t="s">
        <v>178</v>
      </c>
      <c r="B21" t="s">
        <v>166</v>
      </c>
      <c r="C21" t="s">
        <v>128</v>
      </c>
      <c r="D21" t="s">
        <v>333</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333</v>
      </c>
      <c r="E23" t="str">
        <f>IF(C23="Ready for Release in Prod","Blocked in Prod",IF(C23="RELEASED IN PROD","Released",IF(LEFT(D23,3)="Yes","Blocked - Build/QA",IF(C23="NOT STARTED","Not Started",C23))))</f>
        <v>Blocked in Prod</v>
      </c>
    </row>
    <row r="24" spans="1:5">
      <c r="A24" t="s">
        <v>183</v>
      </c>
      <c r="B24" t="s">
        <v>166</v>
      </c>
      <c r="C24" t="s">
        <v>128</v>
      </c>
      <c r="D24" t="s">
        <v>333</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333</v>
      </c>
      <c r="E26" t="str">
        <f>IF(C26="Ready for Release in Prod","Blocked in Prod",IF(C26="RELEASED IN PROD","Released",IF(LEFT(D26,3)="Yes","Blocked - Build/QA",IF(C26="NOT STARTED","Not Started",C26))))</f>
        <v>Blocked in Prod</v>
      </c>
    </row>
    <row r="27" spans="1:5">
      <c r="A27" t="s">
        <v>189</v>
      </c>
      <c r="B27" t="s">
        <v>166</v>
      </c>
      <c r="C27" t="s">
        <v>128</v>
      </c>
      <c r="D27" t="s">
        <v>333</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333</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333</v>
      </c>
      <c r="E33" t="str">
        <f>IF(C33="Ready for Release in Prod","Blocked in Prod",IF(C33="RELEASED IN PROD","Released",IF(LEFT(D33,3)="Yes","Blocked - Build/QA",IF(C33="NOT STARTED","Not Started",C33))))</f>
        <v>Blocked in Prod</v>
      </c>
    </row>
    <row r="34" spans="1:5">
      <c r="A34" t="s">
        <v>210</v>
      </c>
      <c r="B34" t="s">
        <v>192</v>
      </c>
      <c r="C34" t="s">
        <v>181</v>
      </c>
      <c r="D34" t="s">
        <v>217</v>
      </c>
      <c r="E34" t="str">
        <f>IF(C34="Ready for Release in Prod","Blocked in Prod",IF(C34="RELEASED IN PROD","Released",IF(LEFT(D34,3)="Yes","Blocked - Build/QA",IF(C34="NOT STARTED","Not Started",C34))))</f>
        <v>Blocked - Build/QA</v>
      </c>
    </row>
    <row r="35" spans="1:5">
      <c r="A35" t="s">
        <v>213</v>
      </c>
      <c r="B35" t="s">
        <v>192</v>
      </c>
      <c r="C35" t="s">
        <v>181</v>
      </c>
      <c r="D35" t="s">
        <v>53</v>
      </c>
      <c r="E35" t="str">
        <f>IF(C35="Ready for Release in Prod","Blocked in Prod",IF(C35="RELEASED IN PROD","Released",IF(LEFT(D35,3)="Yes","Blocked - Build/QA",IF(C35="NOT STARTED","Not Started",C35))))</f>
        <v>DPO Approval</v>
      </c>
    </row>
    <row r="36" spans="1:5">
      <c r="A36" t="s">
        <v>215</v>
      </c>
      <c r="B36" t="s">
        <v>192</v>
      </c>
      <c r="C36" t="s">
        <v>219</v>
      </c>
      <c r="D36" t="s">
        <v>53</v>
      </c>
      <c r="E36" t="str">
        <f>IF(C36="Ready for Release in Prod","Blocked in Prod",IF(C36="RELEASED IN PROD","Released",IF(LEFT(D36,3)="Yes","Blocked - Build/QA",IF(C36="NOT STARTED","Not Started",C36))))</f>
        <v>QA</v>
      </c>
    </row>
    <row r="37" spans="1:5">
      <c r="A37" t="s">
        <v>218</v>
      </c>
      <c r="B37" t="s">
        <v>192</v>
      </c>
      <c r="C37" t="s">
        <v>219</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203</v>
      </c>
      <c r="D39" t="s">
        <v>53</v>
      </c>
      <c r="E39" t="str">
        <f>IF(C39="Ready for Release in Prod","Blocked in Prod",IF(C39="RELEASED IN PROD","Released",IF(LEFT(D39,3)="Yes","Blocked - Build/QA",IF(C39="NOT STARTED","Not Started",C39))))</f>
        <v>PBI Dev</v>
      </c>
    </row>
    <row r="40" spans="1:5">
      <c r="A40" t="s">
        <v>223</v>
      </c>
      <c r="B40" t="s">
        <v>192</v>
      </c>
      <c r="C40" t="s">
        <v>156</v>
      </c>
      <c r="D40" t="s">
        <v>53</v>
      </c>
      <c r="E40" t="str">
        <f>IF(C40="Ready for Release in Prod","Blocked in Prod",IF(C40="RELEASED IN PROD","Released",IF(LEFT(D40,3)="Yes","Blocked - Build/QA",IF(C40="NOT STARTED","Not Started",C40))))</f>
        <v>DB Dev</v>
      </c>
    </row>
    <row r="41" spans="1:5">
      <c r="A41" t="s">
        <v>227</v>
      </c>
      <c r="B41" t="s">
        <v>192</v>
      </c>
      <c r="C41" t="s">
        <v>203</v>
      </c>
      <c r="D41" t="s">
        <v>53</v>
      </c>
      <c r="E41" t="str">
        <f>IF(C41="Ready for Release in Prod","Blocked in Prod",IF(C41="RELEASED IN PROD","Released",IF(LEFT(D41,3)="Yes","Blocked - Build/QA",IF(C41="NOT STARTED","Not Started",C41))))</f>
        <v>PBI Dev</v>
      </c>
    </row>
    <row r="42" spans="1:5">
      <c r="A42" t="s">
        <v>232</v>
      </c>
      <c r="B42" t="s">
        <v>192</v>
      </c>
      <c r="C42" t="s">
        <v>233</v>
      </c>
      <c r="D42" t="s">
        <v>53</v>
      </c>
      <c r="E42" t="str">
        <f>IF(C42="Ready for Release in Prod","Blocked in Prod",IF(C42="RELEASED IN PROD","Released",IF(LEFT(D42,3)="Yes","Blocked - Build/QA",IF(C42="NOT STARTED","Not Started",C42))))</f>
        <v>Not Started</v>
      </c>
    </row>
    <row r="43" spans="1:5">
      <c r="A43" t="s">
        <v>236</v>
      </c>
      <c r="B43" t="s">
        <v>192</v>
      </c>
      <c r="C43" t="s">
        <v>203</v>
      </c>
      <c r="D43" t="s">
        <v>204</v>
      </c>
      <c r="E43" t="str">
        <f>IF(C43="Ready for Release in Prod","Blocked in Prod",IF(C43="RELEASED IN PROD","Released",IF(LEFT(D43,3)="Yes","Blocked - Build/QA",IF(C43="NOT STARTED","Not Started",C43))))</f>
        <v>Blocked - Build/QA</v>
      </c>
    </row>
    <row r="44" spans="1:5">
      <c r="A44" t="s">
        <v>237</v>
      </c>
      <c r="B44" t="s">
        <v>192</v>
      </c>
      <c r="C44" t="s">
        <v>181</v>
      </c>
      <c r="D44" t="s">
        <v>53</v>
      </c>
      <c r="E44" t="str">
        <f>IF(C44="Ready for Release in Prod","Blocked in Prod",IF(C44="RELEASED IN PROD","Released",IF(LEFT(D44,3)="Yes","Blocked - Build/QA",IF(C44="NOT STARTED","Not Started",C44))))</f>
        <v>DPO Approval</v>
      </c>
    </row>
    <row r="45" spans="1:5">
      <c r="A45" t="s">
        <v>240</v>
      </c>
      <c r="B45" t="s">
        <v>192</v>
      </c>
      <c r="C45" t="s">
        <v>203</v>
      </c>
      <c r="D45" t="s">
        <v>53</v>
      </c>
      <c r="E45" t="str">
        <f>IF(C45="Ready for Release in Prod","Blocked in Prod",IF(C45="RELEASED IN PROD","Released",IF(LEFT(D45,3)="Yes","Blocked - Build/QA",IF(C45="NOT STARTED","Not Started",C45))))</f>
        <v>PBI Dev</v>
      </c>
    </row>
    <row r="46" spans="1:5">
      <c r="A46" t="s">
        <v>241</v>
      </c>
      <c r="B46" t="s">
        <v>242</v>
      </c>
      <c r="C46" t="s">
        <v>219</v>
      </c>
      <c r="E46" t="str">
        <f>IF(C46="Ready for Release in Prod","Blocked in Prod",IF(C46="RELEASED IN PROD","Released",IF(LEFT(D46,3)="Yes","Blocked - Build/QA",IF(C46="NOT STARTED","Not Started",C46))))</f>
        <v>QA</v>
      </c>
    </row>
    <row r="47" spans="1:5">
      <c r="A47" t="s">
        <v>245</v>
      </c>
      <c r="B47" t="s">
        <v>242</v>
      </c>
      <c r="C47" t="s">
        <v>203</v>
      </c>
      <c r="E47" t="str">
        <f>IF(C47="Ready for Release in Prod","Blocked in Prod",IF(C47="RELEASED IN PROD","Released",IF(LEFT(D47,3)="Yes","Blocked - Build/QA",IF(C47="NOT STARTED","Not Started",C47))))</f>
        <v>PBI Dev</v>
      </c>
    </row>
    <row r="48" spans="1:5">
      <c r="A48" t="s">
        <v>246</v>
      </c>
      <c r="B48" t="s">
        <v>242</v>
      </c>
      <c r="C48" t="s">
        <v>233</v>
      </c>
      <c r="E48" t="str">
        <f>IF(C48="Ready for Release in Prod","Blocked in Prod",IF(C48="RELEASED IN PROD","Released",IF(LEFT(D48,3)="Yes","Blocked - Build/QA",IF(C48="NOT STARTED","Not Started",C48))))</f>
        <v>Not Started</v>
      </c>
    </row>
    <row r="49" spans="1:5">
      <c r="A49" t="s">
        <v>248</v>
      </c>
      <c r="B49" t="s">
        <v>242</v>
      </c>
      <c r="C49" t="s">
        <v>233</v>
      </c>
      <c r="E49" t="str">
        <f>IF(C49="Ready for Release in Prod","Blocked in Prod",IF(C49="RELEASED IN PROD","Released",IF(LEFT(D49,3)="Yes","Blocked - Build/QA",IF(C49="NOT STARTED","Not Started",C49))))</f>
        <v>Not Started</v>
      </c>
    </row>
    <row r="50" spans="1:5">
      <c r="A50" t="s">
        <v>249</v>
      </c>
      <c r="B50" t="s">
        <v>242</v>
      </c>
      <c r="C50" t="s">
        <v>233</v>
      </c>
      <c r="E50" t="str">
        <f>IF(C50="Ready for Release in Prod","Blocked in Prod",IF(C50="RELEASED IN PROD","Released",IF(LEFT(D50,3)="Yes","Blocked - Build/QA",IF(C50="NOT STARTED","Not Started",C50))))</f>
        <v>Not Started</v>
      </c>
    </row>
    <row r="51" spans="1:5">
      <c r="A51" t="s">
        <v>250</v>
      </c>
      <c r="B51" t="s">
        <v>242</v>
      </c>
      <c r="C51" t="s">
        <v>203</v>
      </c>
      <c r="D51" t="s">
        <v>217</v>
      </c>
      <c r="E51" t="str">
        <f>IF(C51="Ready for Release in Prod","Blocked in Prod",IF(C51="RELEASED IN PROD","Released",IF(LEFT(D51,3)="Yes","Blocked - Build/QA",IF(C51="NOT STARTED","Not Started",C51))))</f>
        <v>Blocked - Build/QA</v>
      </c>
    </row>
    <row r="52" spans="1:5">
      <c r="A52" t="s">
        <v>253</v>
      </c>
      <c r="B52" t="s">
        <v>242</v>
      </c>
      <c r="C52" t="s">
        <v>203</v>
      </c>
      <c r="E52" t="str">
        <f>IF(C52="Ready for Release in Prod","Blocked in Prod",IF(C52="RELEASED IN PROD","Released",IF(LEFT(D52,3)="Yes","Blocked - Build/QA",IF(C52="NOT STARTED","Not Started",C52))))</f>
        <v>PBI Dev</v>
      </c>
    </row>
    <row r="53" spans="1:5">
      <c r="A53" t="s">
        <v>257</v>
      </c>
      <c r="B53" t="s">
        <v>242</v>
      </c>
      <c r="C53" t="s">
        <v>233</v>
      </c>
      <c r="E53" t="str">
        <f>IF(C53="Ready for Release in Prod","Blocked in Prod",IF(C53="RELEASED IN PROD","Released",IF(LEFT(D53,3)="Yes","Blocked - Build/QA",IF(C53="NOT STARTED","Not Started",C53))))</f>
        <v>Not Started</v>
      </c>
    </row>
    <row r="54" spans="1:5">
      <c r="A54" t="s">
        <v>258</v>
      </c>
      <c r="B54" t="s">
        <v>242</v>
      </c>
      <c r="C54" t="s">
        <v>233</v>
      </c>
      <c r="E54" t="str">
        <f>IF(C54="Ready for Release in Prod","Blocked in Prod",IF(C54="RELEASED IN PROD","Released",IF(LEFT(D54,3)="Yes","Blocked - Build/QA",IF(C54="NOT STARTED","Not Started",C54))))</f>
        <v>Not Started</v>
      </c>
    </row>
    <row r="55" spans="1:5">
      <c r="A55" t="s">
        <v>259</v>
      </c>
      <c r="B55" t="s">
        <v>242</v>
      </c>
      <c r="C55" t="s">
        <v>156</v>
      </c>
      <c r="E55" t="str">
        <f>IF(C55="Ready for Release in Prod","Blocked in Prod",IF(C55="RELEASED IN PROD","Released",IF(LEFT(D55,3)="Yes","Blocked - Build/QA",IF(C55="NOT STARTED","Not Started",C55))))</f>
        <v>DB Dev</v>
      </c>
    </row>
    <row r="56" spans="1:5">
      <c r="A56" t="s">
        <v>262</v>
      </c>
      <c r="B56" t="s">
        <v>242</v>
      </c>
      <c r="C56" t="s">
        <v>203</v>
      </c>
      <c r="E56" t="str">
        <f>IF(C56="Ready for Release in Prod","Blocked in Prod",IF(C56="RELEASED IN PROD","Released",IF(LEFT(D56,3)="Yes","Blocked - Build/QA",IF(C56="NOT STARTED","Not Started",C56))))</f>
        <v>PBI Dev</v>
      </c>
    </row>
    <row r="57" spans="1:5">
      <c r="A57" t="s">
        <v>264</v>
      </c>
      <c r="B57" t="s">
        <v>242</v>
      </c>
      <c r="C57" t="s">
        <v>203</v>
      </c>
      <c r="E57" t="str">
        <f>IF(C57="Ready for Release in Prod","Blocked in Prod",IF(C57="RELEASED IN PROD","Released",IF(LEFT(D57,3)="Yes","Blocked - Build/QA",IF(C57="NOT STARTED","Not Started",C57))))</f>
        <v>PBI Dev</v>
      </c>
    </row>
    <row r="58" spans="1:5">
      <c r="A58" t="s">
        <v>265</v>
      </c>
      <c r="B58" t="s">
        <v>242</v>
      </c>
      <c r="C58" t="s">
        <v>233</v>
      </c>
      <c r="E58" t="str">
        <f>IF(C58="Ready for Release in Prod","Blocked in Prod",IF(C58="RELEASED IN PROD","Released",IF(LEFT(D58,3)="Yes","Blocked - Build/QA",IF(C58="NOT STARTED","Not Started",C58))))</f>
        <v>Not Started</v>
      </c>
    </row>
    <row r="59" spans="1:5">
      <c r="A59" t="s">
        <v>267</v>
      </c>
      <c r="B59" t="s">
        <v>268</v>
      </c>
      <c r="C59" t="s">
        <v>233</v>
      </c>
      <c r="E59" t="str">
        <f>IF(C59="Ready for Release in Prod","Blocked in Prod",IF(C59="RELEASED IN PROD","Released",IF(LEFT(D59,3)="Yes","Blocked - Build/QA",IF(C59="NOT STARTED","Not Started",C59))))</f>
        <v>Not Started</v>
      </c>
    </row>
    <row r="60" spans="1:5">
      <c r="A60" t="s">
        <v>271</v>
      </c>
      <c r="B60" t="s">
        <v>268</v>
      </c>
      <c r="C60" t="s">
        <v>233</v>
      </c>
      <c r="E60" t="str">
        <f>IF(C60="Ready for Release in Prod","Blocked in Prod",IF(C60="RELEASED IN PROD","Released",IF(LEFT(D60,3)="Yes","Blocked - Build/QA",IF(C60="NOT STARTED","Not Started",C60))))</f>
        <v>Not Started</v>
      </c>
    </row>
    <row r="61" spans="1:5">
      <c r="A61" t="s">
        <v>272</v>
      </c>
      <c r="B61" t="s">
        <v>268</v>
      </c>
      <c r="C61" t="s">
        <v>233</v>
      </c>
      <c r="E61" t="str">
        <f>IF(C61="Ready for Release in Prod","Blocked in Prod",IF(C61="RELEASED IN PROD","Released",IF(LEFT(D61,3)="Yes","Blocked - Build/QA",IF(C61="NOT STARTED","Not Started",C61))))</f>
        <v>Not Started</v>
      </c>
    </row>
    <row r="62" spans="1:5">
      <c r="A62" t="s">
        <v>274</v>
      </c>
      <c r="B62" t="s">
        <v>268</v>
      </c>
      <c r="C62" t="s">
        <v>233</v>
      </c>
      <c r="E62" t="str">
        <f>IF(C62="Ready for Release in Prod","Blocked in Prod",IF(C62="RELEASED IN PROD","Released",IF(LEFT(D62,3)="Yes","Blocked - Build/QA",IF(C62="NOT STARTED","Not Started",C62))))</f>
        <v>Not Started</v>
      </c>
    </row>
    <row r="63" spans="1:5">
      <c r="A63" t="s">
        <v>275</v>
      </c>
      <c r="B63" t="s">
        <v>268</v>
      </c>
      <c r="C63" t="s">
        <v>233</v>
      </c>
      <c r="E63" t="str">
        <f>IF(C63="Ready for Release in Prod","Blocked in Prod",IF(C63="RELEASED IN PROD","Released",IF(LEFT(D63,3)="Yes","Blocked - Build/QA",IF(C63="NOT STARTED","Not Started",C63))))</f>
        <v>Not Started</v>
      </c>
    </row>
    <row r="64" spans="1:5">
      <c r="A64" t="s">
        <v>277</v>
      </c>
      <c r="B64" t="s">
        <v>268</v>
      </c>
      <c r="C64" t="s">
        <v>233</v>
      </c>
      <c r="E64" t="str">
        <f>IF(C64="Ready for Release in Prod","Blocked in Prod",IF(C64="RELEASED IN PROD","Released",IF(LEFT(D64,3)="Yes","Blocked - Build/QA",IF(C64="NOT STARTED","Not Started",C64))))</f>
        <v>Not Started</v>
      </c>
    </row>
    <row r="65" spans="1:5">
      <c r="A65" t="s">
        <v>280</v>
      </c>
      <c r="B65" t="s">
        <v>268</v>
      </c>
      <c r="C65" t="s">
        <v>233</v>
      </c>
      <c r="E65" t="str">
        <f>IF(C65="Ready for Release in Prod","Blocked in Prod",IF(C65="RELEASED IN PROD","Released",IF(LEFT(D65,3)="Yes","Blocked - Build/QA",IF(C65="NOT STARTED","Not Started",C65))))</f>
        <v>Not Started</v>
      </c>
    </row>
    <row r="66" spans="1:5">
      <c r="A66" t="s">
        <v>282</v>
      </c>
      <c r="B66" t="s">
        <v>268</v>
      </c>
      <c r="C66" t="s">
        <v>233</v>
      </c>
      <c r="E66" t="str">
        <f>IF(C66="Ready for Release in Prod","Blocked in Prod",IF(C66="RELEASED IN PROD","Released",IF(LEFT(D66,3)="Yes","Blocked - Build/QA",IF(C66="NOT STARTED","Not Started",C66))))</f>
        <v>Not Started</v>
      </c>
    </row>
    <row r="67" spans="1:5">
      <c r="A67" t="s">
        <v>284</v>
      </c>
      <c r="B67" t="s">
        <v>268</v>
      </c>
      <c r="C67" t="s">
        <v>233</v>
      </c>
      <c r="E67" t="str">
        <f>IF(C67="Ready for Release in Prod","Blocked in Prod",IF(C67="RELEASED IN PROD","Released",IF(LEFT(D67,3)="Yes","Blocked - Build/QA",IF(C67="NOT STARTED","Not Started",C67))))</f>
        <v>Not Started</v>
      </c>
    </row>
    <row r="68" spans="1:5">
      <c r="A68" t="s">
        <v>285</v>
      </c>
      <c r="B68" t="s">
        <v>268</v>
      </c>
      <c r="C68" t="s">
        <v>233</v>
      </c>
      <c r="E68" t="str">
        <f>IF(C68="Ready for Release in Prod","Blocked in Prod",IF(C68="RELEASED IN PROD","Released",IF(LEFT(D68,3)="Yes","Blocked - Build/QA",IF(C68="NOT STARTED","Not Started",C68))))</f>
        <v>Not Started</v>
      </c>
    </row>
    <row r="69" spans="1:5">
      <c r="A69" t="s">
        <v>288</v>
      </c>
      <c r="B69" t="s">
        <v>268</v>
      </c>
      <c r="C69" t="s">
        <v>233</v>
      </c>
      <c r="E69" t="str">
        <f>IF(C69="Ready for Release in Prod","Blocked in Prod",IF(C69="RELEASED IN PROD","Released",IF(LEFT(D69,3)="Yes","Blocked - Build/QA",IF(C69="NOT STARTED","Not Started",C69))))</f>
        <v>Not Started</v>
      </c>
    </row>
    <row r="70" spans="1:5">
      <c r="A70" t="s">
        <v>290</v>
      </c>
      <c r="B70" t="s">
        <v>268</v>
      </c>
      <c r="C70" t="s">
        <v>233</v>
      </c>
      <c r="E70" t="str">
        <f>IF(C70="Ready for Release in Prod","Blocked in Prod",IF(C70="RELEASED IN PROD","Released",IF(LEFT(D70,3)="Yes","Blocked - Build/QA",IF(C70="NOT STARTED","Not Started",C70))))</f>
        <v>Not Started</v>
      </c>
    </row>
    <row r="71" spans="1:5">
      <c r="A71" t="s">
        <v>293</v>
      </c>
      <c r="B71" t="s">
        <v>268</v>
      </c>
      <c r="C71" t="s">
        <v>233</v>
      </c>
      <c r="E71" t="str">
        <f>IF(C71="Ready for Release in Prod","Blocked in Prod",IF(C71="RELEASED IN PROD","Released",IF(LEFT(D71,3)="Yes","Blocked - Build/QA",IF(C71="NOT STARTED","Not Started",C71))))</f>
        <v>Not Started</v>
      </c>
    </row>
    <row r="72" spans="1:5">
      <c r="A72" t="s">
        <v>294</v>
      </c>
      <c r="B72" t="s">
        <v>268</v>
      </c>
      <c r="C72" t="s">
        <v>233</v>
      </c>
      <c r="E72" t="str">
        <f>IF(C72="Ready for Release in Prod","Blocked in Prod",IF(C72="RELEASED IN PROD","Released",IF(LEFT(D72,3)="Yes","Blocked - Build/QA",IF(C72="NOT STARTED","Not Started",C72))))</f>
        <v>Not Started</v>
      </c>
    </row>
    <row r="73" spans="1:5">
      <c r="A73" t="s">
        <v>297</v>
      </c>
      <c r="B73" t="s">
        <v>268</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518</v>
      </c>
      <c r="B1" t="s">
        <v>519</v>
      </c>
      <c r="C1" t="s">
        <v>520</v>
      </c>
    </row>
    <row r="2" spans="1:3">
      <c r="A2" t="s">
        <v>504</v>
      </c>
      <c r="B2" t="s">
        <v>504</v>
      </c>
      <c r="C2" t="s">
        <v>504</v>
      </c>
    </row>
    <row r="3" spans="1:3">
      <c r="A3" t="str" cm="1">
        <f t="array" ref="A3:A7">_xlfn.LET(_xlpm.u,_xlfn.UNIQUE(_xlfn._xlws.FILTER(cmsMonth,(cmsDom="CMS")*(cmsMonth&lt;&gt;""))),_xlfn.SORTBY(_xlpm.u,MONTH(DATEVALUE("1 "&amp;_xlpm.u&amp;" 2026"))))</f>
        <v>July</v>
      </c>
      <c r="B3" t="s">
        <v>491</v>
      </c>
      <c r="C3" t="str" cm="1">
        <f t="array" ref="C3:C18">_xlfn.LET(_xlpm.v,_xlfn.VSTACK(cmsDBDev,cmsPBIDev,cmsQA),_xlpm.d,_xlfn.VSTACK(cmsDom,cmsDom,cmsDom),_xlfn._xlws.SORT(_xlfn.UNIQUE(_xlfn._xlws.FILTER(_xlpm.v,(_xlpm.d="CMS")*(_xlpm.v&lt;&gt;"")))))</f>
        <v>Bardia</v>
      </c>
    </row>
    <row r="4" spans="1:3">
      <c r="A4" t="str">
        <v>August</v>
      </c>
      <c r="B4" t="s">
        <v>492</v>
      </c>
      <c r="C4" t="str">
        <v>Fetwi</v>
      </c>
    </row>
    <row r="5" spans="1:3">
      <c r="A5" t="str">
        <v>September</v>
      </c>
      <c r="B5" t="s">
        <v>181</v>
      </c>
      <c r="C5" t="str">
        <v>Geetha</v>
      </c>
    </row>
    <row r="6" spans="1:3">
      <c r="A6" t="str">
        <v>October</v>
      </c>
      <c r="B6" t="s">
        <v>219</v>
      </c>
      <c r="C6" t="str">
        <v>Greeta</v>
      </c>
    </row>
    <row r="7" spans="1:3">
      <c r="A7" t="str">
        <v>November</v>
      </c>
      <c r="B7" t="s">
        <v>203</v>
      </c>
      <c r="C7" t="str">
        <v>Kushal</v>
      </c>
    </row>
    <row r="8" spans="1:3">
      <c r="B8" t="s">
        <v>156</v>
      </c>
      <c r="C8" t="str">
        <v>Michael</v>
      </c>
    </row>
    <row r="9" spans="1:3">
      <c r="B9" t="s">
        <v>486</v>
      </c>
      <c r="C9" t="str">
        <v>Navya</v>
      </c>
    </row>
    <row r="10" spans="1:3">
      <c r="B10" t="s">
        <v>493</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2026-10-02T20:07:56Z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