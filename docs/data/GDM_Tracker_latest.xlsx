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106" documentId="13_ncr:1_{52745E9B-3AA1-4770-AAD3-E6166BFC13AE}" xr6:coauthVersionLast="47" xr6:coauthVersionMax="47" xr10:uidLastSave="{10F6B989-B6AE-4B78-B886-748F0E409272}"/>
  <bookViews>
    <workbookView xWindow="28680" yWindow="-120" windowWidth="20640" windowHeight="11040" tabRatio="500" firstSheet="5" activeTab="5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<sst xmlns="http://schemas.openxmlformats.org/spreadsheetml/2006/main" count="2090" uniqueCount="249">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</sst>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69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zoomScaleNormal="70" workbookViewId="0">
      <pane xSplit="2" ySplit="1" topLeftCell="C27" activePane="bottomRight" state="frozen"/>
      <selection pane="bottomRight" activeCell="G38" sqref="G38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ht="15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ht="15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ht="15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ht="15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ht="15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ht="15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ht="15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ht="15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ht="15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ht="15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ht="15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ht="15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ht="15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ht="15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ht="15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ht="15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ht="15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ht="15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ht="15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ht="15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ht="15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ht="15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ht="15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ht="15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ht="15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ht="15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Blocked - needs PBI Dev to fix - unclaimed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122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123</v>
      </c>
    </row>
    <row r="28" spans="1:34" ht="15">
      <c r="A28" s="40" t="s">
        <v>104</v>
      </c>
      <c r="B28" s="40" t="s">
        <v>124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122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ht="15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ht="15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ht="15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ht="15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ht="15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ht="15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ht="15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ht="15">
      <c r="A36" s="40" t="s">
        <v>104</v>
      </c>
      <c r="B36" s="40" t="s">
        <v>139</v>
      </c>
      <c r="C36" s="40" t="s">
        <v>120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On track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ht="15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ht="15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ht="15">
      <c r="A39" s="40" t="s">
        <v>104</v>
      </c>
      <c r="B39" s="40" t="s">
        <v>145</v>
      </c>
      <c r="C39" s="40" t="s">
        <v>120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ht="15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ht="15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ht="15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ht="15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ht="15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ht="15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ht="15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ht="15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ht="15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/>
      <c r="N48" s="44"/>
      <c r="O48" s="44"/>
      <c r="P48" s="44"/>
      <c r="Q48" s="45"/>
      <c r="R48" s="44"/>
      <c r="S48" s="44"/>
      <c r="T48" s="44"/>
      <c r="U48" s="46"/>
      <c r="V48" s="44"/>
      <c r="W48" s="44"/>
      <c r="X48" s="44"/>
      <c r="Y48" s="47"/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ht="15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/>
      <c r="N49" s="44"/>
      <c r="O49" s="44"/>
      <c r="P49" s="44"/>
      <c r="Q49" s="45"/>
      <c r="R49" s="44"/>
      <c r="S49" s="44"/>
      <c r="T49" s="44"/>
      <c r="U49" s="46"/>
      <c r="V49" s="44"/>
      <c r="W49" s="44"/>
      <c r="X49" s="44"/>
      <c r="Y49" s="47"/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ht="15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/>
      <c r="N50" s="44"/>
      <c r="O50" s="44"/>
      <c r="P50" s="44"/>
      <c r="Q50" s="45"/>
      <c r="R50" s="44"/>
      <c r="S50" s="44"/>
      <c r="T50" s="44"/>
      <c r="U50" s="46"/>
      <c r="V50" s="44"/>
      <c r="W50" s="44"/>
      <c r="X50" s="44"/>
      <c r="Y50" s="47"/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ht="15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/>
      <c r="N51" s="44"/>
      <c r="O51" s="44"/>
      <c r="P51" s="44"/>
      <c r="Q51" s="45"/>
      <c r="R51" s="44"/>
      <c r="S51" s="44"/>
      <c r="T51" s="44"/>
      <c r="U51" s="46"/>
      <c r="V51" s="44"/>
      <c r="W51" s="44"/>
      <c r="X51" s="44"/>
      <c r="Y51" s="47"/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ht="15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/>
      <c r="N52" s="44"/>
      <c r="O52" s="44"/>
      <c r="P52" s="44"/>
      <c r="Q52" s="45"/>
      <c r="R52" s="44"/>
      <c r="S52" s="44"/>
      <c r="T52" s="44"/>
      <c r="U52" s="46"/>
      <c r="V52" s="44"/>
      <c r="W52" s="44"/>
      <c r="X52" s="44"/>
      <c r="Y52" s="47"/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ht="15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/>
      <c r="N53" s="44"/>
      <c r="O53" s="44"/>
      <c r="P53" s="44"/>
      <c r="Q53" s="45"/>
      <c r="R53" s="44"/>
      <c r="S53" s="44"/>
      <c r="T53" s="44"/>
      <c r="U53" s="46"/>
      <c r="V53" s="44"/>
      <c r="W53" s="44"/>
      <c r="X53" s="44"/>
      <c r="Y53" s="47"/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ht="15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/>
      <c r="N54" s="44"/>
      <c r="O54" s="44"/>
      <c r="P54" s="44"/>
      <c r="Q54" s="45"/>
      <c r="R54" s="44"/>
      <c r="S54" s="44"/>
      <c r="T54" s="44"/>
      <c r="U54" s="46"/>
      <c r="V54" s="44"/>
      <c r="W54" s="44"/>
      <c r="X54" s="44"/>
      <c r="Y54" s="47"/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ht="15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/>
      <c r="N55" s="44"/>
      <c r="O55" s="44"/>
      <c r="P55" s="44"/>
      <c r="Q55" s="45"/>
      <c r="R55" s="44"/>
      <c r="S55" s="44"/>
      <c r="T55" s="44"/>
      <c r="U55" s="46"/>
      <c r="V55" s="44"/>
      <c r="W55" s="44"/>
      <c r="X55" s="44"/>
      <c r="Y55" s="47"/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ht="15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/>
      <c r="N56" s="44"/>
      <c r="O56" s="44"/>
      <c r="P56" s="44"/>
      <c r="Q56" s="45"/>
      <c r="R56" s="44"/>
      <c r="S56" s="44"/>
      <c r="T56" s="44"/>
      <c r="U56" s="46"/>
      <c r="V56" s="44"/>
      <c r="W56" s="44"/>
      <c r="X56" s="44"/>
      <c r="Y56" s="47"/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ht="15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/>
      <c r="N57" s="44"/>
      <c r="O57" s="44"/>
      <c r="P57" s="44"/>
      <c r="Q57" s="45"/>
      <c r="R57" s="44"/>
      <c r="S57" s="44"/>
      <c r="T57" s="44"/>
      <c r="U57" s="46"/>
      <c r="V57" s="44"/>
      <c r="W57" s="44"/>
      <c r="X57" s="44"/>
      <c r="Y57" s="47"/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ht="15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/>
      <c r="N58" s="44"/>
      <c r="O58" s="44"/>
      <c r="P58" s="44"/>
      <c r="Q58" s="45"/>
      <c r="R58" s="44"/>
      <c r="S58" s="44"/>
      <c r="T58" s="44"/>
      <c r="U58" s="46"/>
      <c r="V58" s="44"/>
      <c r="W58" s="44"/>
      <c r="X58" s="44"/>
      <c r="Y58" s="47"/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ht="15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/>
      <c r="N59" s="44"/>
      <c r="O59" s="44"/>
      <c r="P59" s="44"/>
      <c r="Q59" s="45"/>
      <c r="R59" s="44"/>
      <c r="S59" s="44"/>
      <c r="T59" s="44"/>
      <c r="U59" s="46"/>
      <c r="V59" s="44"/>
      <c r="W59" s="44"/>
      <c r="X59" s="44"/>
      <c r="Y59" s="47"/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ht="15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/>
      <c r="N60" s="44"/>
      <c r="O60" s="44"/>
      <c r="P60" s="44"/>
      <c r="Q60" s="45"/>
      <c r="R60" s="44"/>
      <c r="S60" s="44"/>
      <c r="T60" s="44"/>
      <c r="U60" s="46"/>
      <c r="V60" s="44"/>
      <c r="W60" s="44"/>
      <c r="X60" s="44"/>
      <c r="Y60" s="47"/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ht="15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/>
      <c r="N61" s="44"/>
      <c r="O61" s="44"/>
      <c r="P61" s="44"/>
      <c r="Q61" s="45"/>
      <c r="R61" s="44"/>
      <c r="S61" s="44"/>
      <c r="T61" s="44"/>
      <c r="U61" s="46"/>
      <c r="V61" s="44"/>
      <c r="W61" s="44"/>
      <c r="X61" s="44"/>
      <c r="Y61" s="47"/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ht="15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/>
      <c r="N62" s="44"/>
      <c r="O62" s="44"/>
      <c r="P62" s="44"/>
      <c r="Q62" s="45"/>
      <c r="R62" s="44"/>
      <c r="S62" s="44"/>
      <c r="T62" s="44"/>
      <c r="U62" s="46"/>
      <c r="V62" s="44"/>
      <c r="W62" s="44"/>
      <c r="X62" s="44"/>
      <c r="Y62" s="47"/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ht="15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/>
      <c r="N63" s="44"/>
      <c r="O63" s="44"/>
      <c r="P63" s="44"/>
      <c r="Q63" s="45"/>
      <c r="R63" s="44"/>
      <c r="S63" s="44"/>
      <c r="T63" s="44"/>
      <c r="U63" s="46"/>
      <c r="V63" s="44"/>
      <c r="W63" s="44"/>
      <c r="X63" s="44"/>
      <c r="Y63" s="47"/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ht="15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/>
      <c r="N64" s="44"/>
      <c r="O64" s="44"/>
      <c r="P64" s="44"/>
      <c r="Q64" s="45"/>
      <c r="R64" s="44"/>
      <c r="S64" s="44"/>
      <c r="T64" s="44"/>
      <c r="U64" s="46"/>
      <c r="V64" s="44"/>
      <c r="W64" s="44"/>
      <c r="X64" s="44"/>
      <c r="Y64" s="47"/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ht="15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/>
      <c r="N65" s="44"/>
      <c r="O65" s="44"/>
      <c r="P65" s="44"/>
      <c r="Q65" s="45"/>
      <c r="R65" s="44"/>
      <c r="S65" s="44"/>
      <c r="T65" s="44"/>
      <c r="U65" s="46"/>
      <c r="V65" s="44"/>
      <c r="W65" s="44"/>
      <c r="X65" s="44"/>
      <c r="Y65" s="47"/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ht="15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34:L35 A67:AA492 A36:AH65 N34:AH35 A2:AH33 A66:AD66">
    <cfRule type="expression" dxfId="68" priority="28">
      <formula>AND($B2&lt;&gt;"",MOD(ROW(),2)=0)</formula>
    </cfRule>
  </conditionalFormatting>
  <conditionalFormatting sqref="D2:D492">
    <cfRule type="expression" dxfId="67" priority="12">
      <formula>ISNUMBER(SEARCH("Blocked",$D2))</formula>
    </cfRule>
    <cfRule type="expression" dxfId="66" priority="13">
      <formula>ISNUMBER(SEARCH("overdue",$D2))</formula>
    </cfRule>
    <cfRule type="expression" dxfId="65" priority="14">
      <formula>ISNUMBER(SEARCH("no target",$D2))</formula>
    </cfRule>
    <cfRule type="expression" dxfId="64" priority="15">
      <formula>ISNUMBER(SEARCH("Review",$D2))</formula>
    </cfRule>
    <cfRule type="expression" dxfId="63" priority="16">
      <formula>OR($D2="On track",$D2="Delivered")</formula>
    </cfRule>
  </conditionalFormatting>
  <conditionalFormatting sqref="M22">
    <cfRule type="expression" dxfId="62" priority="9">
      <formula>$AF22="Yes – needs PBI Dev to fix"</formula>
    </cfRule>
  </conditionalFormatting>
  <conditionalFormatting sqref="M25:M26">
    <cfRule type="expression" dxfId="61" priority="11">
      <formula>$AF25="Yes – needs PBI Dev to fix"</formula>
    </cfRule>
  </conditionalFormatting>
  <conditionalFormatting sqref="M33:M34">
    <cfRule type="expression" dxfId="60" priority="2">
      <formula>$AF33="Yes – needs PBI Dev to fix"</formula>
    </cfRule>
  </conditionalFormatting>
  <conditionalFormatting sqref="M67:N492">
    <cfRule type="expression" dxfId="59" priority="21">
      <formula>$Y67="Yes – needs DB Dev to fix"</formula>
    </cfRule>
  </conditionalFormatting>
  <conditionalFormatting sqref="M2:P33 N34:P35 M36:P65">
    <cfRule type="expression" dxfId="58" priority="60">
      <formula>$AF2="Yes – needs DB Dev to fix"</formula>
    </cfRule>
  </conditionalFormatting>
  <conditionalFormatting sqref="O22:P22">
    <cfRule type="expression" dxfId="57" priority="8">
      <formula>$AF22="Yes – needs PBI Dev to fix"</formula>
    </cfRule>
  </conditionalFormatting>
  <conditionalFormatting sqref="O25:P26">
    <cfRule type="expression" dxfId="56" priority="5">
      <formula>$AF25="Yes – needs PBI Dev to fix"</formula>
    </cfRule>
  </conditionalFormatting>
  <conditionalFormatting sqref="O33:P34">
    <cfRule type="expression" dxfId="55" priority="1">
      <formula>$AF33="Yes – needs PBI Dev to fix"</formula>
    </cfRule>
  </conditionalFormatting>
  <conditionalFormatting sqref="O67:P492">
    <cfRule type="expression" dxfId="54" priority="22">
      <formula>$Y67="Yes – needs PBI Dev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Q67:R492">
    <cfRule type="expression" dxfId="52" priority="23">
      <formula>$Y67="Yes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2:X66">
    <cfRule type="expression" dxfId="50" priority="66">
      <formula>$AF2="Yes – needs QA to fix"</formula>
    </cfRule>
  </conditionalFormatting>
  <conditionalFormatting sqref="U67:U492">
    <cfRule type="expression" dxfId="49" priority="20">
      <formula>$U67="Yes"</formula>
    </cfRule>
  </conditionalFormatting>
  <conditionalFormatting sqref="Y2:AA66">
    <cfRule type="expression" dxfId="48" priority="69">
      <formula>$AF2="Yes – needs DPO Approval to fix"</formula>
    </cfRule>
  </conditionalFormatting>
  <conditionalFormatting sqref="AB2:AB66">
    <cfRule type="expression" dxfId="47" priority="41">
      <formula>$AB2="Yes"</formula>
    </cfRule>
  </conditionalFormatting>
  <conditionalFormatting sqref="Y67:Y492">
    <cfRule type="expression" dxfId="46" priority="17">
      <formula>LEFT($Y67,3)="Yes"</formula>
    </cfRule>
  </conditionalFormatting>
  <conditionalFormatting sqref="Z67:Z492">
    <cfRule type="expression" dxfId="45" priority="25">
      <formula>ISNUMBER(SEARCH("Open rework",$Z67))</formula>
    </cfRule>
    <cfRule type="expression" dxfId="44" priority="25">
      <formula>ISNUMBER(SEARCH("Move old",$Z67))</formula>
    </cfRule>
    <cfRule type="expression" dxfId="43" priority="25">
      <formula>ISNUMBER(SEARCH("log it",$Z67))</formula>
    </cfRule>
    <cfRule type="expression" dxfId="42" priority="26">
      <formula>ISNUMBER(SEARCH("Duplicate",$Z67))</formula>
    </cfRule>
    <cfRule type="expression" dxfId="41" priority="27">
      <formula>$Z67&lt;&gt;""</formula>
    </cfRule>
  </conditionalFormatting>
  <conditionalFormatting sqref="AF2:AF66">
    <cfRule type="expression" dxfId="40" priority="43">
      <formula>LEFT($AF2,3)="Yes"</formula>
    </cfRule>
  </conditionalFormatting>
  <conditionalFormatting sqref="AG2:AG66">
    <cfRule type="expression" dxfId="39" priority="49">
      <formula>ISNUMBER(SEARCH("log it",$AG2))</formula>
    </cfRule>
    <cfRule type="expression" dxfId="38" priority="50">
      <formula>ISNUMBER(SEARCH("Open rework",$AG2))</formula>
    </cfRule>
    <cfRule type="expression" dxfId="37" priority="51">
      <formula>ISNUMBER(SEARCH("Move old",$AG2))</formula>
    </cfRule>
    <cfRule type="expression" dxfId="36" priority="52">
      <formula>ISNUMBER(SEARCH("Duplicate",$AG2))</formula>
    </cfRule>
    <cfRule type="expression" dxfId="35" priority="53">
      <formula>$AG2&lt;&gt;""</formula>
    </cfRule>
  </conditionalFormatting>
  <conditionalFormatting sqref="M66:N66">
    <cfRule type="expression" dxfId="34" priority="87">
      <formula>$AB66="Yes – needs DB Dev to fix"</formula>
    </cfRule>
  </conditionalFormatting>
  <conditionalFormatting sqref="Q66">
    <cfRule type="expression" dxfId="33" priority="91">
      <formula>$AB66="Yes – needs PBI Dev to fix"</formula>
    </cfRule>
  </conditionalFormatting>
  <conditionalFormatting sqref="R66:T66">
    <cfRule type="expression" dxfId="32" priority="93">
      <formula>$AB66="Yes – needs QA to fix"</formula>
    </cfRule>
  </conditionalFormatting>
  <conditionalFormatting sqref="U66:V66">
    <cfRule type="expression" dxfId="31" priority="95">
      <formula>$AB66="Yes – needs DPO Approval to fix"</formula>
    </cfRule>
  </conditionalFormatting>
  <conditionalFormatting sqref="W66:X66">
    <cfRule type="expression" dxfId="30" priority="97">
      <formula>$W66="Yes"</formula>
    </cfRule>
  </conditionalFormatting>
  <conditionalFormatting sqref="AB66">
    <cfRule type="expression" dxfId="29" priority="99">
      <formula>LEFT($AB66,3)="Yes"</formula>
    </cfRule>
  </conditionalFormatting>
  <conditionalFormatting sqref="AC66">
    <cfRule type="expression" dxfId="28" priority="105">
      <formula>ISNUMBER(SEARCH("Open rework",$AC66))</formula>
    </cfRule>
    <cfRule type="expression" dxfId="27" priority="106">
      <formula>ISNUMBER(SEARCH("Move old",$AC66))</formula>
    </cfRule>
    <cfRule type="expression" dxfId="26" priority="107">
      <formula>ISNUMBER(SEARCH("log it",$AC66))</formula>
    </cfRule>
    <cfRule type="expression" dxfId="25" priority="108">
      <formula>ISNUMBER(SEARCH("Duplicate",$AC66))</formula>
    </cfRule>
    <cfRule type="expression" dxfId="24" priority="109">
      <formula>$AC66&lt;&gt;""</formula>
    </cfRule>
  </conditionalFormatting>
  <conditionalFormatting sqref="O66:P66">
    <cfRule type="expression" dxfId="23" priority="121">
      <formula>$AA66="Yes – needs PBI Dev to fix"</formula>
    </cfRule>
  </conditionalFormatting>
  <conditionalFormatting sqref="M34">
    <cfRule type="expression" dxfId="22" priority="137">
      <formula>AND($B34&lt;&gt;"",MOD(ROW(),2)=0)</formula>
    </cfRule>
    <cfRule type="expression" dxfId="21" priority="138">
      <formula>$AF34="Yes – needs DB Dev to fix"</formula>
    </cfRule>
  </conditionalFormatting>
  <conditionalFormatting sqref="M35">
    <cfRule type="expression" dxfId="20" priority="139">
      <formula>AND($B34&lt;&gt;"",MOD(ROW(),2)=0)</formula>
    </cfRule>
    <cfRule type="expression" dxfId="19" priority="140">
      <formula>$AF34="Yes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173</v>
      </c>
    </row>
    <row r="2" spans="1:5">
      <c r="A2" s="6" t="s">
        <v>174</v>
      </c>
    </row>
    <row r="4" spans="1:5" ht="21.95" customHeight="1">
      <c r="A4" s="5" t="s">
        <v>175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176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177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178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179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180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181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182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183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184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185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186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188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203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>
      <c r="A157" s="3" t="s">
        <v>104</v>
      </c>
      <c r="B157" s="3" t="s">
        <v>120</v>
      </c>
      <c r="C157" s="3" t="s">
        <v>124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tabSelected="1"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s="56" t="s">
        <v>242</v>
      </c>
    </row>
    <row r="5" spans="1:14" ht="15" customHeight="1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245</v>
      </c>
      <c r="M5" t="s">
        <v>76</v>
      </c>
      <c r="N5" s="56" t="s">
        <v>242</v>
      </c>
    </row>
    <row r="6" spans="1:14" ht="15" customHeight="1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122</v>
      </c>
      <c r="J6" t="s">
        <v>210</v>
      </c>
      <c r="M6" t="s">
        <v>41</v>
      </c>
      <c r="N6" s="56" t="s">
        <v>242</v>
      </c>
    </row>
    <row r="7" spans="1:14" ht="15" customHeight="1">
      <c r="A7" t="s">
        <v>223</v>
      </c>
      <c r="B7" t="s">
        <v>97</v>
      </c>
      <c r="F7" t="s">
        <v>210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>
      <c r="B9" t="s">
        <v>85</v>
      </c>
      <c r="G9" t="s">
        <v>85</v>
      </c>
      <c r="M9" t="s">
        <v>132</v>
      </c>
      <c r="N9" s="56" t="s">
        <v>242</v>
      </c>
    </row>
    <row r="10" spans="1:14" ht="15" customHeight="1">
      <c r="B10" t="s">
        <v>132</v>
      </c>
      <c r="G10" t="s">
        <v>132</v>
      </c>
      <c r="M10" t="s">
        <v>39</v>
      </c>
      <c r="N10" s="56" t="s">
        <v>242</v>
      </c>
    </row>
    <row r="11" spans="1:14" ht="15">
      <c r="G11" t="s">
        <v>54</v>
      </c>
      <c r="M11" t="s">
        <v>63</v>
      </c>
      <c r="N11" s="56" t="s">
        <v>242</v>
      </c>
    </row>
    <row r="12" spans="1:14" ht="15">
      <c r="G12" t="s">
        <v>38</v>
      </c>
      <c r="M12" t="s">
        <v>38</v>
      </c>
      <c r="N12" s="56" t="s">
        <v>242</v>
      </c>
    </row>
    <row r="13" spans="1:14" ht="15">
      <c r="G13" t="s">
        <v>64</v>
      </c>
      <c r="M13" t="s">
        <v>64</v>
      </c>
      <c r="N13" s="56" t="s">
        <v>242</v>
      </c>
    </row>
    <row r="14" spans="1:14" ht="15">
      <c r="M14" t="s">
        <v>72</v>
      </c>
      <c r="N14" s="56" t="s">
        <v>248</v>
      </c>
    </row>
    <row r="15" spans="1:14" ht="15">
      <c r="M15" t="s">
        <v>53</v>
      </c>
      <c r="N15" s="56" t="s">
        <v>242</v>
      </c>
    </row>
    <row r="16" spans="1:14" ht="15">
      <c r="M16" t="s">
        <v>97</v>
      </c>
      <c r="N16" s="56" t="s">
        <v>242</v>
      </c>
    </row>
    <row r="17" spans="13:14" ht="15">
      <c r="M17" t="s">
        <v>51</v>
      </c>
      <c r="N17" s="56" t="s">
        <v>242</v>
      </c>
    </row>
    <row r="18" spans="13:14" ht="15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2026-08-03T17:28:38Z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