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586" documentId="13_ncr:1_{52745E9B-3AA1-4770-AAD3-E6166BFC13AE}" xr6:coauthVersionLast="47" xr6:coauthVersionMax="47" xr10:uidLastSave="{09AFD86B-DB12-482D-9D1B-0EFC68AEA1A2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" i="2" l="1" a="1"/>
  <c r="D115" i="2" s="1"/>
  <c r="D114" i="2" a="1"/>
  <c r="D114" i="2" s="1"/>
  <c r="D113" i="2" a="1"/>
  <c r="D113" i="2" s="1"/>
  <c r="D112" i="2" a="1"/>
  <c r="D112" i="2" s="1"/>
  <c r="D111" i="2" a="1"/>
  <c r="D111" i="2"/>
  <c r="D110" i="2" a="1"/>
  <c r="D110" i="2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/>
  <c r="D102" i="2" a="1"/>
  <c r="D102" i="2"/>
  <c r="D101" i="2" a="1"/>
  <c r="D101" i="2" s="1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 s="1"/>
  <c r="D93" i="2" a="1"/>
  <c r="D93" i="2"/>
  <c r="D92" i="2" a="1"/>
  <c r="D92" i="2" s="1"/>
  <c r="D91" i="2" a="1"/>
  <c r="D91" i="2" s="1"/>
  <c r="D90" i="2" a="1"/>
  <c r="D90" i="2" s="1"/>
  <c r="D89" i="2" a="1"/>
  <c r="D89" i="2" s="1"/>
  <c r="D88" i="2" a="1"/>
  <c r="D88" i="2"/>
  <c r="D87" i="2" a="1"/>
  <c r="D87" i="2" s="1"/>
  <c r="D86" i="2" a="1"/>
  <c r="D86" i="2" s="1"/>
  <c r="D85" i="2" a="1"/>
  <c r="D85" i="2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 s="1"/>
  <c r="D72" i="2" a="1"/>
  <c r="D72" i="2"/>
  <c r="D71" i="2" a="1"/>
  <c r="D71" i="2" s="1"/>
  <c r="D70" i="2" a="1"/>
  <c r="D70" i="2"/>
  <c r="D69" i="2" a="1"/>
  <c r="D69" i="2"/>
  <c r="D68" i="2" a="1"/>
  <c r="D68" i="2"/>
  <c r="D67" i="2" a="1"/>
  <c r="D67" i="2"/>
  <c r="D66" i="2" a="1"/>
  <c r="D66" i="2" s="1"/>
  <c r="D65" i="2" a="1"/>
  <c r="D65" i="2" s="1"/>
  <c r="D64" i="2" a="1"/>
  <c r="D64" i="2"/>
  <c r="D63" i="2" a="1"/>
  <c r="D63" i="2"/>
  <c r="D62" i="2" a="1"/>
  <c r="D62" i="2"/>
  <c r="D61" i="2" a="1"/>
  <c r="D61" i="2" s="1"/>
  <c r="D60" i="2" a="1"/>
  <c r="D60" i="2" s="1"/>
  <c r="D59" i="2" a="1"/>
  <c r="D59" i="2" s="1"/>
  <c r="D58" i="2" a="1"/>
  <c r="D58" i="2"/>
  <c r="D57" i="2" a="1"/>
  <c r="D57" i="2"/>
  <c r="D56" i="2" a="1"/>
  <c r="D56" i="2" s="1"/>
  <c r="D55" i="2" a="1"/>
  <c r="D55" i="2"/>
  <c r="D54" i="2" a="1"/>
  <c r="D54" i="2"/>
  <c r="D53" i="2" a="1"/>
  <c r="D53" i="2" s="1"/>
  <c r="D52" i="2" a="1"/>
  <c r="D52" i="2" s="1"/>
  <c r="D51" i="2" a="1"/>
  <c r="D51" i="2"/>
  <c r="D50" i="2" a="1"/>
  <c r="D50" i="2"/>
  <c r="D49" i="2" a="1"/>
  <c r="D49" i="2"/>
  <c r="D48" i="2" a="1"/>
  <c r="D48" i="2"/>
  <c r="D47" i="2" a="1"/>
  <c r="D47" i="2"/>
  <c r="D46" i="2" a="1"/>
  <c r="D46" i="2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/>
  <c r="D39" i="2" a="1"/>
  <c r="D39" i="2" s="1"/>
  <c r="D38" i="2" a="1"/>
  <c r="D38" i="2" s="1"/>
  <c r="D37" i="2" a="1"/>
  <c r="D37" i="2"/>
  <c r="D36" i="2" a="1"/>
  <c r="D36" i="2" s="1"/>
  <c r="D35" i="2" a="1"/>
  <c r="D35" i="2" s="1"/>
  <c r="D34" i="2" a="1"/>
  <c r="D34" i="2"/>
  <c r="D33" i="2" a="1"/>
  <c r="D33" i="2"/>
  <c r="D32" i="2" a="1"/>
  <c r="D32" i="2" s="1"/>
  <c r="D31" i="2" a="1"/>
  <c r="D31" i="2" s="1"/>
  <c r="D30" i="2" a="1"/>
  <c r="D30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 s="1"/>
  <c r="D22" i="2" a="1"/>
  <c r="D22" i="2"/>
  <c r="D21" i="2" a="1"/>
  <c r="D21" i="2"/>
  <c r="D20" i="2" a="1"/>
  <c r="D20" i="2"/>
  <c r="D19" i="2" a="1"/>
  <c r="D19" i="2" s="1"/>
  <c r="D18" i="2" a="1"/>
  <c r="D18" i="2" s="1"/>
  <c r="D17" i="2" a="1"/>
  <c r="D17" i="2" s="1"/>
  <c r="D16" i="2" a="1"/>
  <c r="D16" i="2" s="1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 s="1"/>
  <c r="D8" i="2" a="1"/>
  <c r="D8" i="2" s="1"/>
  <c r="D7" i="2" a="1"/>
  <c r="D7" i="2"/>
  <c r="D6" i="2" a="1"/>
  <c r="D6" i="2"/>
  <c r="D5" i="2" a="1"/>
  <c r="D5" i="2"/>
  <c r="D4" i="2" a="1"/>
  <c r="D4" i="2"/>
  <c r="D3" i="2" a="1"/>
  <c r="D3" i="2"/>
  <c r="D2" i="2" a="1"/>
  <c r="D2" i="2" s="1"/>
  <c r="D29" i="2" a="1"/>
  <c r="D29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<sst xmlns="http://schemas.openxmlformats.org/spreadsheetml/2006/main" count="2683" uniqueCount="346">
  <si>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</si>
  <si>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</si>
  <si>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</si>
  <si>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</si>
  <si>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</si>
  <si>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</si>
  <si>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</si>
  <si>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</si>
  <si>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</si>
  <si>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</si>
  <si>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</si>
  <si>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</si>
  <si>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</si>
  <si>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</si>
  <si>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</si>
  <si>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</si>
  <si>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</si>
  <si>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</si>
  <si>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</si>
  <si>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</si>
  <si>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</si>
  <si>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</si>
  <si>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</si>
  <si>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</si>
  <si>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</si>
  <si>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</si>
  <si>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</si>
  <si>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</si>
  <si>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</si>
  <si>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</si>
  <si>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</si>
  <si>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</si>
  <si>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</si>
  <si>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</si>
  <si>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</si>
  <si>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</si>
  <si>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</si>
  <si>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</si>
  <si>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</si>
  <si>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</si>
  <si>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</si>
  <si>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</si>
  <si>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</si>
  <si>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</si>
  <si>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</si>
  <si>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</si>
  <si>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</si>
  <si>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</si>
  <si>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</si>
  <si>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</si>
  <si>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</si>
  <si>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</si>
  <si>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</si>
  <si>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</si>
  <si>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</si>
  <si>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</si>
  <si>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</si>
  <si>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</si>
  <si>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</si>
  <si>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</si>
  <si>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</si>
  <si>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</si>
  <si>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</si>
  <si>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</si>
  <si>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</si>
  <si>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</si>
  <si>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</si>
  <si>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</si>
  <si>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</si>
  <si>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</si>
  <si>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</si>
  <si>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</si>
  <si>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</si>
  <si>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</si>
  <si>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</si>
  <si>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</si>
  <si>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</si>
  <si>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</si>
  <si>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</si>
  <si>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</si>
  <si>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</si>
  <si>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</si>
  <si>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</si>
  <si>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</si>
  <si>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</si>
  <si>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</si>
  <si>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</si>
  <si>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</si>
  <si>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</si>
  <si>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</si>
  <si>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</si>
  <si>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</si>
  <si>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</si>
  <si>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</si>
  <si>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</si>
  <si>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</si>
  <si>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</si>
  <si>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</si>
  <si>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</si>
  <si>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</si>
  <si>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</si>
  <si>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</si>
  <si>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</si>
  <si>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</si>
  <si>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</si>
  <si>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</si>
  <si>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</si>
  <si>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</si>
  <si>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</si>
  <si>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</si>
  <si>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</si>
  <si>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</si>
  <si>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</si>
  <si>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</si>
  <si>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</si>
  <si>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</si>
  <si>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</si>
  <si>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</si>
  <si>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</si>
  <si>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</si>
  <si>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</si>
  <si>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</si>
  <si>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</si>
  <si>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</si>
  <si>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</si>
  <si>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</si>
  <si>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</si>
  <si>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</si>
  <si>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</si>
  <si>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</si>
  <si>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</si>
  <si>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</si>
  <si>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</si>
  <si>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</si>
  <si>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</si>
  <si>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</si>
  <si>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</si>
  <si>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</si>
  <si>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</si>
  <si>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</si>
  <si>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</si>
  <si>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</si>
  <si>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</si>
  <si>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</si>
  <si>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</si>
  <si>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</si>
  <si>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</si>
  <si>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</si>
  <si>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</si>
  <si>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</si>
  <si>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</si>
  <si>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</si>
  <si>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</si>
  <si>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</si>
  <si>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</si>
  <si>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</si>
  <si>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</si>
  <si>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</si>
  <si>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</si>
  <si>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</si>
  <si>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</si>
  <si>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</si>
  <si>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</si>
  <si>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</si>
  <si>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</si>
  <si>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</si>
  <si>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</si>
  <si>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</si>
  <si>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</si>
  <si>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</si>
  <si>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</si>
  <si>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</si>
  <si>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</si>
  <si>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</si>
  <si>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</si>
  <si>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</si>
  <si>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</si>
  <si>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</si>
  <si>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</si>
  <si>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</si>
  <si>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</si>
  <si>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</si>
  <si>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</si>
  <si>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</si>
  <si>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</si>
  <si>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</si>
  <si>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</si>
  <si>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</si>
  <si>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</si>
  <si>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</si>
  <si>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</si>
  <si>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</si>
  <si>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</si>
  <si>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</si>
  <si>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</si>
  <si>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</si>
  <si>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</si>
  <si>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</si>
  <si>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</si>
  <si>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</si>
  <si>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</si>
  <si>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</si>
  <si>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</si>
  <si>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</si>
  <si>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</si>
  <si>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</si>
  <si>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</si>
  <si>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</si>
  <si>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</si>
  <si>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</si>
  <si>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</si>
  <si>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</si>
  <si>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</si>
  <si>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</si>
  <si>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</si>
  <si>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</si>
  <si>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</si>
  <si>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</si>
  <si>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</si>
  <si>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</si>
  <si>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</si>
  <si>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</si>
  <si>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</si>
  <si>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</si>
  <si>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</si>
  <si>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</si>
  <si>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</si>
  <si>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</si>
  <si>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</si>
  <si>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</si>
  <si>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</si>
  <si>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</si>
  <si>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</si>
  <si>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</si>
  <si>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</si>
  <si>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</si>
  <si>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</si>
  <si>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</si>
  <si>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</si>
  <si>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</si>
  <si>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</si>
  <si>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</si>
  <si>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</si>
  <si>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</si>
  <si>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</si>
  <si>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</si>
  <si>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</si>
  <si>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</si>
  <si>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</si>
  <si>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</si>
  <si>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</si>
  <si>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</si>
  <si>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</si>
  <si>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</si>
  <si>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</si>
  <si>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</si>
  <si>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</si>
  <si>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</si>
  <si>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</si>
  <si>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</si>
  <si>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</si>
  <si>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</si>
  <si>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</si>
  <si>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</si>
  <si>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</si>
  <si>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</si>
  <si>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</si>
  <si>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</si>
  <si>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</si>
  <si>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</si>
  <si>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</si>
  <si>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</si>
  <si>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</si>
  <si>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</si>
  <si>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</si>
  <si>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</si>
  <si>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</si>
  <si>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</si>
  <si>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</si>
  <si>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</si>
  <si>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</si>
  <si>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</si>
  <si>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</si>
  <si>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</si>
  <si>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</si>
  <si>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</si>
  <si>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</si>
  <si>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</si>
  <si>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</si>
  <si>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</si>
  <si>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</si>
  <si>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</si>
  <si>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</si>
  <si>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</si>
  <si>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</si>
  <si>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</si>
  <si>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</si>
  <si>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</si>
  <si>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</si>
  <si>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</si>
  <si>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</si>
  <si>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</si>
  <si>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</si>
  <si>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</si>
  <si>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</si>
  <si>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</si>
  <si>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</si>
  <si>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</si>
  <si>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</si>
  <si>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</si>
  <si>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</si>
  <si>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</si>
  <si>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</si>
  <si>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</si>
  <si>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</si>
  <si>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</si>
  <si>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</si>
  <si>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</si>
  <si>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</si>
  <si>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</si>
  <si>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</si>
  <si>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</si>
  <si>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</si>
  <si>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</si>
  <si>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</si>
  <si>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>Sarath- waiting for QA view to
deploy PBI report to QA for testing
-,Deployed to QA on 0825</t>
  </si>
  <si>
    <t>DPO Approval Completion Date</t>
  </si>
  <si>
    <t>[GDMP-2940] GRO Monitor observation - Jira</t>
  </si>
  <si>
    <t>hybrid</t>
  </si>
  <si>
    <t>Raw</t>
  </si>
  <si>
    <t>sent back yesterday</t>
  </si>
  <si>
    <t>PI2, S6</t>
  </si>
  <si>
    <t>PI2, SIP</t>
  </si>
  <si>
    <t>PI3, S1</t>
  </si>
  <si>
    <t>PI3, S2</t>
  </si>
  <si>
    <t>PI3, S3</t>
  </si>
  <si>
    <t>PI3, S4</t>
  </si>
  <si>
    <t>PI3, S5</t>
  </si>
  <si>
    <t>PI2,S6</t>
  </si>
  <si>
    <t>PI2,SIP</t>
  </si>
  <si>
    <t>PI3,S1</t>
  </si>
  <si>
    <t>PI3,S2</t>
  </si>
  <si>
    <t>PI3,S3</t>
  </si>
  <si>
    <t>PI3,S4</t>
  </si>
  <si>
    <t>PI3,S5</t>
  </si>
  <si>
    <t>PI3,S6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</si>
</sst>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13" fillId="0" borderId="0" xfId="0" applyFont="1" applyAlignment="1">
      <alignment vertical="center" wrapText="1"/>
    </xf>
    <xf numFmtId="0" fontId="0" fillId="0" borderId="0" xfId="0"/>
    <xf numFmtId="0" fontId="14" fillId="0" borderId="0" xfId="0" applyFont="1"/>
    <xf numFmtId="0" fontId="15" fillId="0" borderId="0" xfId="0" applyFont="1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" fillId="3" borderId="0" xfId="0" applyFont="1" applyFill="1"/>
    <xf numFmtId="0" fontId="3" fillId="3" borderId="0" xfId="0" applyFont="1" applyFill="1"/>
    <xf numFmtId="0" fontId="6" fillId="0" borderId="13" xfId="0" applyFont="1" applyBorder="1" applyAlignment="1" applyProtection="1">
      <alignment vertical="top"/>
      <protection locked="0"/>
    </xf>
  </cellXfs>
  <cellStyles count="2">
    <cellStyle name="Hyperlink" xfId="1" builtinId="8"/>
    <cellStyle name="Normal" xfId="0" builtinId="0"/>
  </cellStyles>
  <dxfs count="101"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J115" dataDxfId="100">
  <autoFilter ref="A1:AJ115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6">
    <tableColumn id="1" xr3:uid="{00000000-0010-0000-0000-000001000000}" name="Domain" dataDxfId="99"/>
    <tableColumn id="2" xr3:uid="{00000000-0010-0000-0000-000002000000}" name="Report Name" dataDxfId="98"/>
    <tableColumn id="3" xr3:uid="{00000000-0010-0000-0000-000003000000}" name="Current Status  (Update next stage after completion date)" dataDxfId="97"/>
    <tableColumn id="4" xr3:uid="{00000000-0010-0000-0000-000004000000}" name="Status Flag" dataDxfId="96">
      <calculatedColumnFormula array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track")),IF(C2="QA",IF(AND(W2="",V2=""),"No target set",IF(AND(IF(W2&lt;&gt;"",W2,V2)&lt;TODAY(),X2=""),"Overdue","On track")),IF(C2="DPO Approval",IF(AND(AA2="",Z2=""),"No target set",IF(IF(AA2&lt;&gt;"",AA2,Z2)&lt;TODAY(),"Overdue","On track")),IF(C2="RELEASED IN PROD","Delivered",""))))))))</calculatedColumnFormula>
    </tableColumn>
    <tableColumn id="5" xr3:uid="{00000000-0010-0000-0000-000005000000}" name="Business Value Rank" dataDxfId="95"/>
    <tableColumn id="6" xr3:uid="{00000000-0010-0000-0000-000006000000}" name="PO" dataDxfId="94"/>
    <tableColumn id="10" xr3:uid="{00000000-0010-0000-0000-00000A000000}" name="Schema" dataDxfId="93"/>
    <tableColumn id="11" xr3:uid="{00000000-0010-0000-0000-00000B000000}" name="Plan Delivery Date" dataDxfId="92"/>
    <tableColumn id="12" xr3:uid="{00000000-0010-0000-0000-00000C000000}" name="Plan Delivery Month" dataDxfId="91"/>
    <tableColumn id="7" xr3:uid="{00000000-0010-0000-0000-000007000000}" name="DB Developer" dataDxfId="90"/>
    <tableColumn id="13" xr3:uid="{00000000-0010-0000-0000-00000D000000}" name="DB Dev Baseline Completion Date" dataDxfId="89"/>
    <tableColumn id="30" xr3:uid="{00000000-0010-0000-0000-00001E000000}" name="DB Dev Reforecast Completion Date" dataDxfId="88"/>
    <tableColumn id="14" xr3:uid="{00000000-0010-0000-0000-00000E000000}" name="DB Dev Actual Completion Date" dataDxfId="87"/>
    <tableColumn id="35" xr3:uid="{1A518B0C-8D73-4DAB-8F10-7B4DFF037343}" name="Build Source" dataDxfId="86"/>
    <tableColumn id="28" xr3:uid="{EFCDFAEE-1B00-42CE-9649-7541F5DDC136}" name="Sprint DB" dataDxfId="85"/>
    <tableColumn id="8" xr3:uid="{00000000-0010-0000-0000-000008000000}" name="PBI Developer" dataDxfId="84"/>
    <tableColumn id="15" xr3:uid="{00000000-0010-0000-0000-00000F000000}" name="PBI Dev Baseline Completion Date" dataDxfId="83"/>
    <tableColumn id="31" xr3:uid="{00000000-0010-0000-0000-00001F000000}" name="PBI Dev Reforecast Completion Date" dataDxfId="82"/>
    <tableColumn id="16" xr3:uid="{00000000-0010-0000-0000-000010000000}" name="PBI Dev Actual Completion Date" dataDxfId="81"/>
    <tableColumn id="29" xr3:uid="{4630D178-9B47-4360-A40B-22C7384DB9C9}" name="Sprint PBI" dataDxfId="80"/>
    <tableColumn id="9" xr3:uid="{00000000-0010-0000-0000-000009000000}" name="QA Tester" dataDxfId="79"/>
    <tableColumn id="17" xr3:uid="{00000000-0010-0000-0000-000011000000}" name="QA Baseline Completion Date" dataDxfId="78"/>
    <tableColumn id="32" xr3:uid="{00000000-0010-0000-0000-000020000000}" name="QA Reforecast Completion Date" dataDxfId="77"/>
    <tableColumn id="18" xr3:uid="{00000000-0010-0000-0000-000012000000}" name="QA Actual Completion Date" dataDxfId="76"/>
    <tableColumn id="34" xr3:uid="{70C5E8CB-08B0-4A84-9B68-89630FC3C5C7}" name="Sprint QA" dataDxfId="75"/>
    <tableColumn id="19" xr3:uid="{00000000-0010-0000-0000-000013000000}" name="DPO Approval Baseline Completion Date" dataDxfId="74"/>
    <tableColumn id="33" xr3:uid="{00000000-0010-0000-0000-000021000000}" name="DPO Approval Reforecast Completion Date" dataDxfId="73"/>
    <tableColumn id="36" xr3:uid="{86D482BF-E7A4-45A2-B2F5-CA0223EBDDD1}" name="DPO Approval Completion Date" dataDxfId="50"/>
    <tableColumn id="20" xr3:uid="{00000000-0010-0000-0000-000014000000}" name="DPO Approval Reviewer" dataDxfId="72"/>
    <tableColumn id="21" xr3:uid="{00000000-0010-0000-0000-000015000000}" name="Confirmed Deployed?" dataDxfId="71"/>
    <tableColumn id="22" xr3:uid="{00000000-0010-0000-0000-000016000000}" name="Confirmed Deployed Date" dataDxfId="70"/>
    <tableColumn id="23" xr3:uid="{00000000-0010-0000-0000-000017000000}" name="UAT Report URL" dataDxfId="69"/>
    <tableColumn id="24" xr3:uid="{00000000-0010-0000-0000-000018000000}" name="Production URL" dataDxfId="68"/>
    <tableColumn id="25" xr3:uid="{00000000-0010-0000-0000-000019000000}" name="Blocked?" dataDxfId="67"/>
    <tableColumn id="26" xr3:uid="{00000000-0010-0000-0000-00001A000000}" name="Data Check" dataDxfId="66"/>
    <tableColumn id="27" xr3:uid="{00000000-0010-0000-0000-00001B000000}" name="Comments" dataDxfId="6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6" Type="http://schemas.microsoft.com/office/2019/04/relationships/namedSheetView" Target="../namedSheetViews/namedSheetView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J526"/>
  <sheetViews>
    <sheetView tabSelected="1" topLeftCell="A38" zoomScale="80" zoomScaleNormal="80" workbookViewId="0">
      <pane xSplit="2" topLeftCell="C1" activePane="topRight" state="frozen"/>
      <selection activeCell="A29" sqref="A29"/>
      <selection pane="topRight" activeCell="G120" sqref="G120"/>
    </sheetView>
  </sheetViews>
  <sheetFormatPr defaultRowHeight="15" customHeight="1" x14ac:dyDescent="0.3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79687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69531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6953125" customWidth="1"/>
    <col min="36" max="36" width="25.81640625" customWidth="1"/>
  </cols>
  <sheetData>
    <row r="1" spans="1:36" ht="32.15" customHeigh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326</v>
      </c>
      <c r="AC1" s="18" t="s">
        <v>27</v>
      </c>
      <c r="AD1" s="23" t="s">
        <v>28</v>
      </c>
      <c r="AE1" s="19" t="s">
        <v>29</v>
      </c>
      <c r="AF1" s="24" t="s">
        <v>30</v>
      </c>
      <c r="AG1" s="20" t="s">
        <v>31</v>
      </c>
      <c r="AH1" s="25" t="s">
        <v>32</v>
      </c>
      <c r="AI1" s="26" t="s">
        <v>33</v>
      </c>
      <c r="AJ1" s="27" t="s">
        <v>34</v>
      </c>
    </row>
    <row r="2" spans="1:36" ht="14.5" hidden="1" x14ac:dyDescent="0.35">
      <c r="A2" s="33" t="s">
        <v>35</v>
      </c>
      <c r="B2" s="33" t="s">
        <v>36</v>
      </c>
      <c r="C2" s="33" t="s">
        <v>37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track")),IF(C2="QA",IF(AND(W2="",V2=""),"No target set",IF(AND(IF(W2&lt;&gt;"",W2,V2)&lt;TODAY(),X2=""),"Overdue","On track")),IF(C2="DPO Approval",IF(AND(AA2="",Z2=""),"No target set",IF(IF(AA2&lt;&gt;"",AA2,Z2)&lt;TODAY(),"Overdue","On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43</v>
      </c>
      <c r="AD2" s="38" t="s">
        <v>44</v>
      </c>
      <c r="AE2" s="36">
        <v>46122</v>
      </c>
      <c r="AF2" s="39" t="s">
        <v>45</v>
      </c>
      <c r="AG2" s="33" t="s">
        <v>46</v>
      </c>
      <c r="AH2" s="40" t="s">
        <v>47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48</v>
      </c>
    </row>
    <row r="3" spans="1:36" ht="14.5" hidden="1" x14ac:dyDescent="0.35">
      <c r="A3" s="33" t="s">
        <v>35</v>
      </c>
      <c r="B3" s="33" t="s">
        <v>49</v>
      </c>
      <c r="C3" s="33" t="s">
        <v>37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track")),IF(C3="QA",IF(AND(W3="",V3=""),"No target set",IF(AND(IF(W3&lt;&gt;"",W3,V3)&lt;TODAY(),X3=""),"Overdue","On track")),IF(C3="DPO Approval",IF(AND(AA3="",Z3=""),"No target set",IF(IF(AA3&lt;&gt;"",AA3,Z3)&lt;TODAY(),"Overdue","On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43</v>
      </c>
      <c r="AD3" s="38" t="s">
        <v>44</v>
      </c>
      <c r="AE3" s="36">
        <v>46122</v>
      </c>
      <c r="AF3" s="39" t="s">
        <v>50</v>
      </c>
      <c r="AG3" s="33" t="s">
        <v>51</v>
      </c>
      <c r="AH3" s="40" t="s">
        <v>47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48</v>
      </c>
    </row>
    <row r="4" spans="1:36" ht="14.5" hidden="1" x14ac:dyDescent="0.35">
      <c r="A4" s="33" t="s">
        <v>35</v>
      </c>
      <c r="B4" s="33" t="s">
        <v>52</v>
      </c>
      <c r="C4" s="33" t="s">
        <v>37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track")),IF(C4="QA",IF(AND(W4="",V4=""),"No target set",IF(AND(IF(W4&lt;&gt;"",W4,V4)&lt;TODAY(),X4=""),"Overdue","On track")),IF(C4="DPO Approval",IF(AND(AA4="",Z4=""),"No target set",IF(IF(AA4&lt;&gt;"",AA4,Z4)&lt;TODAY(),"Overdue","On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43</v>
      </c>
      <c r="AD4" s="38" t="s">
        <v>44</v>
      </c>
      <c r="AE4" s="36">
        <v>46122</v>
      </c>
      <c r="AF4" s="39" t="s">
        <v>55</v>
      </c>
      <c r="AG4" s="33" t="s">
        <v>56</v>
      </c>
      <c r="AH4" s="40" t="s">
        <v>47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57</v>
      </c>
    </row>
    <row r="5" spans="1:36" ht="14.5" hidden="1" x14ac:dyDescent="0.35">
      <c r="A5" s="33" t="s">
        <v>35</v>
      </c>
      <c r="B5" s="33" t="s">
        <v>58</v>
      </c>
      <c r="C5" s="33" t="s">
        <v>37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track")),IF(C5="QA",IF(AND(W5="",V5=""),"No target set",IF(AND(IF(W5&lt;&gt;"",W5,V5)&lt;TODAY(),X5=""),"Overdue","On track")),IF(C5="DPO Approval",IF(AND(AA5="",Z5=""),"No target set",IF(IF(AA5&lt;&gt;"",AA5,Z5)&lt;TODAY(),"Overdue","On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43</v>
      </c>
      <c r="AD5" s="38" t="s">
        <v>44</v>
      </c>
      <c r="AE5" s="36">
        <v>46122</v>
      </c>
      <c r="AF5" s="39" t="s">
        <v>60</v>
      </c>
      <c r="AG5" s="33" t="s">
        <v>61</v>
      </c>
      <c r="AH5" s="40" t="s">
        <v>47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62</v>
      </c>
    </row>
    <row r="6" spans="1:36" ht="14.5" hidden="1" x14ac:dyDescent="0.35">
      <c r="A6" s="33" t="s">
        <v>35</v>
      </c>
      <c r="B6" s="33" t="s">
        <v>63</v>
      </c>
      <c r="C6" s="33" t="s">
        <v>37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track")),IF(C6="QA",IF(AND(W6="",V6=""),"No target set",IF(AND(IF(W6&lt;&gt;"",W6,V6)&lt;TODAY(),X6=""),"Overdue","On track")),IF(C6="DPO Approval",IF(AND(AA6="",Z6=""),"No target set",IF(IF(AA6&lt;&gt;"",AA6,Z6)&lt;TODAY(),"Overdue","On track")),IF(C6="RELEASED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43</v>
      </c>
      <c r="AD6" s="38" t="s">
        <v>44</v>
      </c>
      <c r="AE6" s="36">
        <v>46142</v>
      </c>
      <c r="AF6" s="39"/>
      <c r="AG6" s="33"/>
      <c r="AH6" s="40"/>
      <c r="AI6" s="48"/>
      <c r="AJ6" s="41"/>
    </row>
    <row r="7" spans="1:36" ht="14.5" hidden="1" x14ac:dyDescent="0.35">
      <c r="A7" s="33" t="s">
        <v>35</v>
      </c>
      <c r="B7" s="33" t="s">
        <v>64</v>
      </c>
      <c r="C7" s="33" t="s">
        <v>37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track")),IF(C7="QA",IF(AND(W7="",V7=""),"No target set",IF(AND(IF(W7&lt;&gt;"",W7,V7)&lt;TODAY(),X7=""),"Overdue","On track")),IF(C7="DPO Approval",IF(AND(AA7="",Z7=""),"No target set",IF(IF(AA7&lt;&gt;"",AA7,Z7)&lt;TODAY(),"Overdue","On track")),IF(C7="RELEASED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43</v>
      </c>
      <c r="AD7" s="38" t="s">
        <v>44</v>
      </c>
      <c r="AE7" s="36">
        <v>46142</v>
      </c>
      <c r="AF7" s="39"/>
      <c r="AG7" s="33"/>
      <c r="AH7" s="40"/>
      <c r="AI7" s="48"/>
      <c r="AJ7" s="41"/>
    </row>
    <row r="8" spans="1:36" ht="14.5" hidden="1" x14ac:dyDescent="0.35">
      <c r="A8" s="33" t="s">
        <v>35</v>
      </c>
      <c r="B8" s="33" t="s">
        <v>65</v>
      </c>
      <c r="C8" s="33" t="s">
        <v>37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track")),IF(C8="QA",IF(AND(W8="",V8=""),"No target set",IF(AND(IF(W8&lt;&gt;"",W8,V8)&lt;TODAY(),X8=""),"Overdue","On track")),IF(C8="DPO Approval",IF(AND(AA8="",Z8=""),"No target set",IF(IF(AA8&lt;&gt;"",AA8,Z8)&lt;TODAY(),"Overdue","On track")),IF(C8="RELEASED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43</v>
      </c>
      <c r="AD8" s="38" t="s">
        <v>44</v>
      </c>
      <c r="AE8" s="36">
        <v>46142</v>
      </c>
      <c r="AF8" s="39"/>
      <c r="AG8" s="33"/>
      <c r="AH8" s="40"/>
      <c r="AI8" s="48"/>
      <c r="AJ8" s="41"/>
    </row>
    <row r="9" spans="1:36" ht="14.5" hidden="1" x14ac:dyDescent="0.35">
      <c r="A9" s="33" t="s">
        <v>35</v>
      </c>
      <c r="B9" s="33" t="s">
        <v>66</v>
      </c>
      <c r="C9" s="33" t="s">
        <v>37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track")),IF(C9="QA",IF(AND(W9="",V9=""),"No target set",IF(AND(IF(W9&lt;&gt;"",W9,V9)&lt;TODAY(),X9=""),"Overdue","On track")),IF(C9="DPO Approval",IF(AND(AA9="",Z9=""),"No target set",IF(IF(AA9&lt;&gt;"",AA9,Z9)&lt;TODAY(),"Overdue","On track")),IF(C9="RELEASED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43</v>
      </c>
      <c r="AD9" s="38" t="s">
        <v>44</v>
      </c>
      <c r="AE9" s="36">
        <v>46142</v>
      </c>
      <c r="AF9" s="39"/>
      <c r="AG9" s="33"/>
      <c r="AH9" s="40"/>
      <c r="AI9" s="48"/>
      <c r="AJ9" s="41"/>
    </row>
    <row r="10" spans="1:36" ht="14.5" hidden="1" x14ac:dyDescent="0.35">
      <c r="A10" s="33" t="s">
        <v>35</v>
      </c>
      <c r="B10" s="33" t="s">
        <v>67</v>
      </c>
      <c r="C10" s="33" t="s">
        <v>37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track")),IF(C10="QA",IF(AND(W10="",V10=""),"No target set",IF(AND(IF(W10&lt;&gt;"",W10,V10)&lt;TODAY(),X10=""),"Overdue","On track")),IF(C10="DPO Approval",IF(AND(AA10="",Z10=""),"No target set",IF(IF(AA10&lt;&gt;"",AA10,Z10)&lt;TODAY(),"Overdue","On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68</v>
      </c>
      <c r="J10" s="33" t="s">
        <v>69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70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43</v>
      </c>
      <c r="AD10" s="38" t="s">
        <v>44</v>
      </c>
      <c r="AE10" s="36">
        <v>46134</v>
      </c>
      <c r="AF10" s="39" t="s">
        <v>71</v>
      </c>
      <c r="AG10" s="33" t="s">
        <v>72</v>
      </c>
      <c r="AH10" s="40" t="s">
        <v>47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</row>
    <row r="11" spans="1:36" ht="14.5" hidden="1" x14ac:dyDescent="0.35">
      <c r="A11" s="33" t="s">
        <v>35</v>
      </c>
      <c r="B11" s="33" t="s">
        <v>73</v>
      </c>
      <c r="C11" s="33" t="s">
        <v>37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track")),IF(C11="QA",IF(AND(W11="",V11=""),"No target set",IF(AND(IF(W11&lt;&gt;"",W11,V11)&lt;TODAY(),X11=""),"Overdue","On track")),IF(C11="DPO Approval",IF(AND(AA11="",Z11=""),"No target set",IF(IF(AA11&lt;&gt;"",AA11,Z11)&lt;TODAY(),"Overdue","On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68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70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43</v>
      </c>
      <c r="AD11" s="38" t="s">
        <v>44</v>
      </c>
      <c r="AE11" s="36">
        <v>46139</v>
      </c>
      <c r="AF11" s="39" t="s">
        <v>74</v>
      </c>
      <c r="AG11" s="33" t="s">
        <v>75</v>
      </c>
      <c r="AH11" s="40" t="s">
        <v>47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</row>
    <row r="12" spans="1:36" ht="14.5" hidden="1" x14ac:dyDescent="0.35">
      <c r="A12" s="33" t="s">
        <v>35</v>
      </c>
      <c r="B12" s="33" t="s">
        <v>76</v>
      </c>
      <c r="C12" s="33" t="s">
        <v>37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track")),IF(C12="QA",IF(AND(W12="",V12=""),"No target set",IF(AND(IF(W12&lt;&gt;"",W12,V12)&lt;TODAY(),X12=""),"Overdue","On track")),IF(C12="DPO Approval",IF(AND(AA12="",Z12=""),"No target set",IF(IF(AA12&lt;&gt;"",AA12,Z12)&lt;TODAY(),"Overdue","On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68</v>
      </c>
      <c r="J12" s="33" t="s">
        <v>77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43</v>
      </c>
      <c r="AD12" s="38" t="s">
        <v>44</v>
      </c>
      <c r="AE12" s="36">
        <v>46147</v>
      </c>
      <c r="AF12" s="39" t="s">
        <v>78</v>
      </c>
      <c r="AG12" s="33" t="s">
        <v>79</v>
      </c>
      <c r="AH12" s="40" t="s">
        <v>47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</row>
    <row r="13" spans="1:36" ht="14.5" hidden="1" x14ac:dyDescent="0.35">
      <c r="A13" s="33" t="s">
        <v>35</v>
      </c>
      <c r="B13" s="33" t="s">
        <v>80</v>
      </c>
      <c r="C13" s="33" t="s">
        <v>37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track")),IF(C13="QA",IF(AND(W13="",V13=""),"No target set",IF(AND(IF(W13&lt;&gt;"",W13,V13)&lt;TODAY(),X13=""),"Overdue","On track")),IF(C13="DPO Approval",IF(AND(AA13="",Z13=""),"No target set",IF(IF(AA13&lt;&gt;"",AA13,Z13)&lt;TODAY(),"Overdue","On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68</v>
      </c>
      <c r="J13" s="33" t="s">
        <v>77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81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43</v>
      </c>
      <c r="AD13" s="38" t="s">
        <v>44</v>
      </c>
      <c r="AE13" s="36">
        <v>46179</v>
      </c>
      <c r="AF13" s="39" t="s">
        <v>82</v>
      </c>
      <c r="AG13" s="33"/>
      <c r="AH13" s="40" t="s">
        <v>47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</row>
    <row r="14" spans="1:36" ht="14.5" hidden="1" x14ac:dyDescent="0.35">
      <c r="A14" s="33" t="s">
        <v>35</v>
      </c>
      <c r="B14" s="33" t="s">
        <v>83</v>
      </c>
      <c r="C14" s="33" t="s">
        <v>37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track")),IF(C14="QA",IF(AND(W14="",V14=""),"No target set",IF(AND(IF(W14&lt;&gt;"",W14,V14)&lt;TODAY(),X14=""),"Overdue","On track")),IF(C14="DPO Approval",IF(AND(AA14="",Z14=""),"No target set",IF(IF(AA14&lt;&gt;"",AA14,Z14)&lt;TODAY(),"Overdue","On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68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81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43</v>
      </c>
      <c r="AD14" s="38" t="s">
        <v>44</v>
      </c>
      <c r="AE14" s="36">
        <v>46184</v>
      </c>
      <c r="AF14" s="39" t="s">
        <v>84</v>
      </c>
      <c r="AG14" s="33" t="s">
        <v>85</v>
      </c>
      <c r="AH14" s="40" t="s">
        <v>47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</row>
    <row r="15" spans="1:36" ht="14.5" hidden="1" x14ac:dyDescent="0.35">
      <c r="A15" s="33" t="s">
        <v>35</v>
      </c>
      <c r="B15" s="33" t="s">
        <v>86</v>
      </c>
      <c r="C15" s="33" t="s">
        <v>37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track")),IF(C15="QA",IF(AND(W15="",V15=""),"No target set",IF(AND(IF(W15&lt;&gt;"",W15,V15)&lt;TODAY(),X15=""),"Overdue","On track")),IF(C15="DPO Approval",IF(AND(AA15="",Z15=""),"No target set",IF(IF(AA15&lt;&gt;"",AA15,Z15)&lt;TODAY(),"Overdue","On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68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70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43</v>
      </c>
      <c r="AD15" s="38" t="s">
        <v>44</v>
      </c>
      <c r="AE15" s="36">
        <v>46192</v>
      </c>
      <c r="AF15" s="39" t="s">
        <v>87</v>
      </c>
      <c r="AG15" s="33"/>
      <c r="AH15" s="40" t="s">
        <v>47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88</v>
      </c>
    </row>
    <row r="16" spans="1:36" ht="14.5" hidden="1" x14ac:dyDescent="0.35">
      <c r="A16" s="33" t="s">
        <v>35</v>
      </c>
      <c r="B16" s="33" t="s">
        <v>89</v>
      </c>
      <c r="C16" s="33" t="s">
        <v>37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track")),IF(C16="QA",IF(AND(W16="",V16=""),"No target set",IF(AND(IF(W16&lt;&gt;"",W16,V16)&lt;TODAY(),X16=""),"Overdue","On track")),IF(C16="DPO Approval",IF(AND(AA16="",Z16=""),"No target set",IF(IF(AA16&lt;&gt;"",AA16,Z16)&lt;TODAY(),"Overdue","On track")),IF(C16="RELEASED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68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43</v>
      </c>
      <c r="AD16" s="38" t="s">
        <v>44</v>
      </c>
      <c r="AE16" s="36">
        <v>46203</v>
      </c>
      <c r="AF16" s="39"/>
      <c r="AG16" s="33"/>
      <c r="AH16" s="40"/>
      <c r="AI16" s="48"/>
      <c r="AJ16" s="41"/>
    </row>
    <row r="17" spans="1:36" ht="14.5" hidden="1" x14ac:dyDescent="0.35">
      <c r="A17" s="33" t="s">
        <v>35</v>
      </c>
      <c r="B17" s="33" t="s">
        <v>90</v>
      </c>
      <c r="C17" s="33" t="s">
        <v>37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track")),IF(C17="QA",IF(AND(W17="",V17=""),"No target set",IF(AND(IF(W17&lt;&gt;"",W17,V17)&lt;TODAY(),X17=""),"Overdue","On track")),IF(C17="DPO Approval",IF(AND(AA17="",Z17=""),"No target set",IF(IF(AA17&lt;&gt;"",AA17,Z17)&lt;TODAY(),"Overdue","On track")),IF(C17="RELEASED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68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43</v>
      </c>
      <c r="AD17" s="38" t="s">
        <v>44</v>
      </c>
      <c r="AE17" s="36">
        <v>46203</v>
      </c>
      <c r="AF17" s="39"/>
      <c r="AG17" s="33"/>
      <c r="AH17" s="40"/>
      <c r="AI17" s="48"/>
      <c r="AJ17" s="41"/>
    </row>
    <row r="18" spans="1:36" ht="14.5" hidden="1" x14ac:dyDescent="0.35">
      <c r="A18" s="33" t="s">
        <v>35</v>
      </c>
      <c r="B18" s="33" t="s">
        <v>91</v>
      </c>
      <c r="C18" s="33" t="s">
        <v>37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track")),IF(C18="QA",IF(AND(W18="",V18=""),"No target set",IF(AND(IF(W18&lt;&gt;"",W18,V18)&lt;TODAY(),X18=""),"Overdue","On track")),IF(C18="DPO Approval",IF(AND(AA18="",Z18=""),"No target set",IF(IF(AA18&lt;&gt;"",AA18,Z18)&lt;TODAY(),"Overdue","On track")),IF(C18="RELEASED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68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43</v>
      </c>
      <c r="AD18" s="38" t="s">
        <v>44</v>
      </c>
      <c r="AE18" s="36">
        <v>46203</v>
      </c>
      <c r="AF18" s="39"/>
      <c r="AG18" s="33"/>
      <c r="AH18" s="40"/>
      <c r="AI18" s="48"/>
      <c r="AJ18" s="41"/>
    </row>
    <row r="19" spans="1:36" ht="14.5" hidden="1" x14ac:dyDescent="0.35">
      <c r="A19" s="33" t="s">
        <v>35</v>
      </c>
      <c r="B19" s="33" t="s">
        <v>92</v>
      </c>
      <c r="C19" s="33" t="s">
        <v>37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track")),IF(C19="QA",IF(AND(W19="",V19=""),"No target set",IF(AND(IF(W19&lt;&gt;"",W19,V19)&lt;TODAY(),X19=""),"Overdue","On track")),IF(C19="DPO Approval",IF(AND(AA19="",Z19=""),"No target set",IF(IF(AA19&lt;&gt;"",AA19,Z19)&lt;TODAY(),"Overdue","On track")),IF(C19="RELEASED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68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43</v>
      </c>
      <c r="AD19" s="38" t="s">
        <v>44</v>
      </c>
      <c r="AE19" s="36">
        <v>46203</v>
      </c>
      <c r="AF19" s="39"/>
      <c r="AG19" s="33"/>
      <c r="AH19" s="40"/>
      <c r="AI19" s="48"/>
      <c r="AJ19" s="41"/>
    </row>
    <row r="20" spans="1:36" ht="14.5" hidden="1" x14ac:dyDescent="0.35">
      <c r="A20" s="33" t="s">
        <v>35</v>
      </c>
      <c r="B20" s="33" t="s">
        <v>93</v>
      </c>
      <c r="C20" s="33" t="s">
        <v>37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track")),IF(C20="QA",IF(AND(W20="",V20=""),"No target set",IF(AND(IF(W20&lt;&gt;"",W20,V20)&lt;TODAY(),X20=""),"Overdue","On track")),IF(C20="DPO Approval",IF(AND(AA20="",Z20=""),"No target set",IF(IF(AA20&lt;&gt;"",AA20,Z20)&lt;TODAY(),"Overdue","On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94</v>
      </c>
      <c r="J20" s="33" t="s">
        <v>95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44</v>
      </c>
      <c r="AE20" s="36">
        <v>46195</v>
      </c>
      <c r="AF20" s="39"/>
      <c r="AG20" s="33"/>
      <c r="AH20" s="40" t="s">
        <v>47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</row>
    <row r="21" spans="1:36" ht="14.5" hidden="1" x14ac:dyDescent="0.35">
      <c r="A21" s="33" t="s">
        <v>35</v>
      </c>
      <c r="B21" s="33" t="s">
        <v>96</v>
      </c>
      <c r="C21" s="33" t="s">
        <v>37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track")),IF(C21="QA",IF(AND(W21="",V21=""),"No target set",IF(AND(IF(W21&lt;&gt;"",W21,V21)&lt;TODAY(),X21=""),"Overdue","On track")),IF(C21="DPO Approval",IF(AND(AA21="",Z21=""),"No target set",IF(IF(AA21&lt;&gt;"",AA21,Z21)&lt;TODAY(),"Overdue","On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94</v>
      </c>
      <c r="J21" s="33" t="s">
        <v>95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70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44</v>
      </c>
      <c r="AE21" s="36">
        <v>46198</v>
      </c>
      <c r="AF21" s="39"/>
      <c r="AG21" s="33"/>
      <c r="AH21" s="40" t="s">
        <v>47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97</v>
      </c>
    </row>
    <row r="22" spans="1:36" ht="14.5" hidden="1" x14ac:dyDescent="0.35">
      <c r="A22" s="33" t="s">
        <v>35</v>
      </c>
      <c r="B22" s="33" t="s">
        <v>98</v>
      </c>
      <c r="C22" s="33" t="s">
        <v>37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track")),IF(C22="QA",IF(AND(W22="",V22=""),"No target set",IF(AND(IF(W22&lt;&gt;"",W22,V22)&lt;TODAY(),X22=""),"Overdue","On track")),IF(C22="DPO Approval",IF(AND(AA22="",Z22=""),"No target set",IF(IF(AA22&lt;&gt;"",AA22,Z22)&lt;TODAY(),"Overdue","On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94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44</v>
      </c>
      <c r="AE22" s="36">
        <v>46198</v>
      </c>
      <c r="AF22" s="39"/>
      <c r="AG22" s="33"/>
      <c r="AH22" s="40" t="s">
        <v>47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</row>
    <row r="23" spans="1:36" ht="14.5" hidden="1" x14ac:dyDescent="0.35">
      <c r="A23" s="33" t="s">
        <v>35</v>
      </c>
      <c r="B23" s="33" t="s">
        <v>99</v>
      </c>
      <c r="C23" s="33" t="s">
        <v>37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track")),IF(C23="QA",IF(AND(W23="",V23=""),"No target set",IF(AND(IF(W23&lt;&gt;"",W23,V23)&lt;TODAY(),X23=""),"Overdue","On track")),IF(C23="DPO Approval",IF(AND(AA23="",Z23=""),"No target set",IF(IF(AA23&lt;&gt;"",AA23,Z23)&lt;TODAY(),"Overdue","On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94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44</v>
      </c>
      <c r="AE23" s="36">
        <v>46184</v>
      </c>
      <c r="AF23" s="39" t="s">
        <v>100</v>
      </c>
      <c r="AG23" s="33" t="s">
        <v>101</v>
      </c>
      <c r="AH23" s="40" t="s">
        <v>47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</row>
    <row r="24" spans="1:36" ht="14.5" hidden="1" x14ac:dyDescent="0.35">
      <c r="A24" s="33" t="s">
        <v>35</v>
      </c>
      <c r="B24" s="33" t="s">
        <v>102</v>
      </c>
      <c r="C24" s="33" t="s">
        <v>37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track")),IF(C24="QA",IF(AND(W24="",V24=""),"No target set",IF(AND(IF(W24&lt;&gt;"",W24,V24)&lt;TODAY(),X24=""),"Overdue","On track")),IF(C24="DPO Approval",IF(AND(AA24="",Z24=""),"No target set",IF(IF(AA24&lt;&gt;"",AA24,Z24)&lt;TODAY(),"Overdue","On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94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81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44</v>
      </c>
      <c r="AE24" s="36">
        <v>46227</v>
      </c>
      <c r="AF24" s="39"/>
      <c r="AG24" s="33"/>
      <c r="AH24" s="40" t="s">
        <v>47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103</v>
      </c>
    </row>
    <row r="25" spans="1:36" ht="14.5" hidden="1" x14ac:dyDescent="0.35">
      <c r="A25" s="33" t="s">
        <v>35</v>
      </c>
      <c r="B25" s="33" t="s">
        <v>104</v>
      </c>
      <c r="C25" s="33" t="s">
        <v>37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track")),IF(C25="QA",IF(AND(W25="",V25=""),"No target set",IF(AND(IF(W25&lt;&gt;"",W25,V25)&lt;TODAY(),X25=""),"Overdue","On track")),IF(C25="DPO Approval",IF(AND(AA25="",Z25=""),"No target set",IF(IF(AA25&lt;&gt;"",AA25,Z25)&lt;TODAY(),"Overdue","On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94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70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44</v>
      </c>
      <c r="AE25" s="36">
        <v>46204</v>
      </c>
      <c r="AF25" s="39"/>
      <c r="AG25" s="33"/>
      <c r="AH25" s="40" t="s">
        <v>47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103</v>
      </c>
    </row>
    <row r="26" spans="1:36" ht="14.5" hidden="1" x14ac:dyDescent="0.35">
      <c r="A26" s="33" t="s">
        <v>35</v>
      </c>
      <c r="B26" s="33" t="s">
        <v>105</v>
      </c>
      <c r="C26" s="33" t="s">
        <v>37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track")),IF(C26="QA",IF(AND(W26="",V26=""),"No target set",IF(AND(IF(W26&lt;&gt;"",W26,V26)&lt;TODAY(),X26=""),"Overdue","On track")),IF(C26="DPO Approval",IF(AND(AA26="",Z26=""),"No target set",IF(IF(AA26&lt;&gt;"",AA26,Z26)&lt;TODAY(),"Overdue","On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94</v>
      </c>
      <c r="J26" s="33" t="s">
        <v>106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81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44</v>
      </c>
      <c r="AE26" s="36">
        <v>46196</v>
      </c>
      <c r="AF26" s="39" t="s">
        <v>107</v>
      </c>
      <c r="AG26" s="33" t="s">
        <v>108</v>
      </c>
      <c r="AH26" s="40" t="s">
        <v>47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</row>
    <row r="27" spans="1:36" ht="14.5" hidden="1" x14ac:dyDescent="0.35">
      <c r="A27" s="33" t="s">
        <v>35</v>
      </c>
      <c r="B27" s="33" t="s">
        <v>109</v>
      </c>
      <c r="C27" s="33" t="s">
        <v>37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track")),IF(C27="QA",IF(AND(W27="",V27=""),"No target set",IF(AND(IF(W27&lt;&gt;"",W27,V27)&lt;TODAY(),X27=""),"Overdue","On track")),IF(C27="DPO Approval",IF(AND(AA27="",Z27=""),"No target set",IF(IF(AA27&lt;&gt;"",AA27,Z27)&lt;TODAY(),"Overdue","On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94</v>
      </c>
      <c r="J27" s="33" t="s">
        <v>95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70</v>
      </c>
      <c r="Q27" s="4">
        <v>46192</v>
      </c>
      <c r="R27" s="36"/>
      <c r="S27" s="36">
        <v>46189</v>
      </c>
      <c r="T27" s="70"/>
      <c r="U27" s="55" t="s">
        <v>81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44</v>
      </c>
      <c r="AE27" s="36">
        <v>46192</v>
      </c>
      <c r="AF27" s="39" t="s">
        <v>110</v>
      </c>
      <c r="AG27" s="33"/>
      <c r="AH27" s="40" t="s">
        <v>47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</row>
    <row r="28" spans="1:36" ht="14.5" hidden="1" x14ac:dyDescent="0.35">
      <c r="A28" s="33" t="s">
        <v>35</v>
      </c>
      <c r="B28" s="33" t="s">
        <v>111</v>
      </c>
      <c r="C28" s="33" t="s">
        <v>37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track")),IF(C28="QA",IF(AND(W28="",V28=""),"No target set",IF(AND(IF(W28&lt;&gt;"",W28,V28)&lt;TODAY(),X28=""),"Overdue","On track")),IF(C28="DPO Approval",IF(AND(AA28="",Z28=""),"No target set",IF(IF(AA28&lt;&gt;"",AA28,Z28)&lt;TODAY(),"Overdue","On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94</v>
      </c>
      <c r="J28" s="33" t="s">
        <v>77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70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44</v>
      </c>
      <c r="AE28" s="36">
        <v>46197</v>
      </c>
      <c r="AF28" s="39"/>
      <c r="AG28" s="33"/>
      <c r="AH28" s="40" t="s">
        <v>47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112</v>
      </c>
    </row>
    <row r="29" spans="1:36" ht="14.5" x14ac:dyDescent="0.35">
      <c r="A29" s="33" t="s">
        <v>113</v>
      </c>
      <c r="B29" s="33" t="s">
        <v>114</v>
      </c>
      <c r="C29" s="33" t="s">
        <v>115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Dev",IF(AND(L29="",K29=""),"No target set",IF(AND(IF(L29&lt;&gt;"",L29,K29)&lt;TODAY(),M29=""),"Overdue","On track")),IF(C29="PBI Dev",IF(AND(R29="",Q29=""),"No target set",IF(AND(IF(R29&lt;&gt;"",R29,Q29)&lt;TODAY(),S29=""),"Overdue","On track")),IF(C29="QA",IF(AND(W29="",V29=""),"No target set",IF(AND(IF(W29&lt;&gt;"",W29,V29)&lt;TODAY(),X29=""),"Overdue","On track")),IF(C29="DPO Approval",IF(AND(AA29="",Z29=""),"No target set",IF(IF(AA29&lt;&gt;"",AA29,Z29)&lt;TODAY(),"Overdue","On track")),IF(C29="RELEASED IN PROD","Delivered",""))))))))</f>
        <v>On track</v>
      </c>
      <c r="E29" s="33">
        <v>1</v>
      </c>
      <c r="F29" s="34" t="s">
        <v>116</v>
      </c>
      <c r="G29" s="33"/>
      <c r="H29" s="50">
        <v>46234</v>
      </c>
      <c r="I29" s="62" t="s">
        <v>117</v>
      </c>
      <c r="J29" s="33" t="s">
        <v>69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118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116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47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119</v>
      </c>
    </row>
    <row r="30" spans="1:36" ht="14.5" x14ac:dyDescent="0.35">
      <c r="A30" s="33" t="s">
        <v>113</v>
      </c>
      <c r="B30" s="33" t="s">
        <v>120</v>
      </c>
      <c r="C30" s="33" t="s">
        <v>115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track")),IF(C30="QA",IF(AND(W30="",V30=""),"No target set",IF(AND(IF(W30&lt;&gt;"",W30,V30)&lt;TODAY(),X30=""),"Overdue","On track")),IF(C30="DPO Approval",IF(AND(AA30="",Z30=""),"No target set",IF(IF(AA30&lt;&gt;"",AA30,Z30)&lt;TODAY(),"Overdue","On track")),IF(C30="RELEASED IN PROD","Delivered",""))))))))</f>
        <v>Overdue</v>
      </c>
      <c r="E30" s="33">
        <v>2</v>
      </c>
      <c r="F30" s="34" t="s">
        <v>116</v>
      </c>
      <c r="G30" s="33"/>
      <c r="H30" s="50">
        <v>46234</v>
      </c>
      <c r="I30" s="62" t="s">
        <v>117</v>
      </c>
      <c r="J30" s="33" t="s">
        <v>106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118</v>
      </c>
      <c r="P30" s="66" t="s">
        <v>70</v>
      </c>
      <c r="Q30" s="4">
        <v>46220</v>
      </c>
      <c r="R30" s="36">
        <v>46245</v>
      </c>
      <c r="S30" s="36">
        <v>46246</v>
      </c>
      <c r="T30" s="70"/>
      <c r="U30" s="55" t="s">
        <v>116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6"/>
      <c r="AC30" s="33"/>
      <c r="AD30" s="38"/>
      <c r="AE30" s="36"/>
      <c r="AF30" s="39"/>
      <c r="AG30" s="33"/>
      <c r="AH30" s="40" t="s">
        <v>47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121</v>
      </c>
    </row>
    <row r="31" spans="1:36" ht="14.5" x14ac:dyDescent="0.35">
      <c r="A31" s="33" t="s">
        <v>113</v>
      </c>
      <c r="B31" s="33" t="s">
        <v>122</v>
      </c>
      <c r="C31" s="33" t="s">
        <v>115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track")),IF(C31="QA",IF(AND(W31="",V31=""),"No target set",IF(AND(IF(W31&lt;&gt;"",W31,V31)&lt;TODAY(),X31=""),"Overdue","On track")),IF(C31="DPO Approval",IF(AND(AA31="",Z31=""),"No target set",IF(IF(AA31&lt;&gt;"",AA31,Z31)&lt;TODAY(),"Overdue","On track")),IF(C31="RELEASED IN PROD","Delivered",""))))))))</f>
        <v>On track</v>
      </c>
      <c r="E31" s="33">
        <v>3</v>
      </c>
      <c r="F31" s="34" t="s">
        <v>116</v>
      </c>
      <c r="G31" s="33"/>
      <c r="H31" s="50">
        <v>46234</v>
      </c>
      <c r="I31" s="62" t="s">
        <v>117</v>
      </c>
      <c r="J31" s="33" t="s">
        <v>106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118</v>
      </c>
      <c r="P31" s="66" t="s">
        <v>70</v>
      </c>
      <c r="Q31" s="4">
        <v>46220</v>
      </c>
      <c r="R31" s="36">
        <v>46246</v>
      </c>
      <c r="S31" s="36">
        <v>46251</v>
      </c>
      <c r="T31" s="70"/>
      <c r="U31" s="55" t="s">
        <v>116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47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123</v>
      </c>
    </row>
    <row r="32" spans="1:36" ht="14.5" x14ac:dyDescent="0.35">
      <c r="A32" s="33" t="s">
        <v>113</v>
      </c>
      <c r="B32" s="33" t="s">
        <v>124</v>
      </c>
      <c r="C32" s="33" t="s">
        <v>137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track")),IF(C32="QA",IF(AND(W32="",V32=""),"No target set",IF(AND(IF(W32&lt;&gt;"",W32,V32)&lt;TODAY(),X32=""),"Overdue","On track")),IF(C32="DPO Approval",IF(AND(AA32="",Z32=""),"No target set",IF(IF(AA32&lt;&gt;"",AA32,Z32)&lt;TODAY(),"Overdue","On track")),IF(C32="RELEASED IN PROD","Delivered",""))))))))</f>
        <v>Blocked - needs DB Dev to fix - unclaimed</v>
      </c>
      <c r="E32" s="33">
        <v>4</v>
      </c>
      <c r="F32" s="34" t="s">
        <v>116</v>
      </c>
      <c r="G32" s="33"/>
      <c r="H32" s="50">
        <v>46234</v>
      </c>
      <c r="I32" s="62" t="s">
        <v>117</v>
      </c>
      <c r="J32" s="33" t="s">
        <v>53</v>
      </c>
      <c r="K32" s="4">
        <v>46213</v>
      </c>
      <c r="L32" s="36"/>
      <c r="M32" s="37">
        <v>46248</v>
      </c>
      <c r="N32" s="47" t="s">
        <v>40</v>
      </c>
      <c r="O32" s="36" t="s">
        <v>118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/>
      <c r="X32" s="36"/>
      <c r="Y32" s="36"/>
      <c r="Z32" s="53">
        <v>46232</v>
      </c>
      <c r="AA32" s="36">
        <v>46260</v>
      </c>
      <c r="AB32" s="36"/>
      <c r="AC32" s="33"/>
      <c r="AD32" s="38"/>
      <c r="AE32" s="36"/>
      <c r="AF32" s="39"/>
      <c r="AG32" s="33"/>
      <c r="AH32" s="40" t="s">
        <v>126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127</v>
      </c>
    </row>
    <row r="33" spans="1:36" ht="14.5" x14ac:dyDescent="0.35">
      <c r="A33" s="33" t="s">
        <v>113</v>
      </c>
      <c r="B33" s="33" t="s">
        <v>128</v>
      </c>
      <c r="C33" s="33" t="s">
        <v>115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track")),IF(C33="QA",IF(AND(W33="",V33=""),"No target set",IF(AND(IF(W33&lt;&gt;"",W33,V33)&lt;TODAY(),X33=""),"Overdue","On track")),IF(C33="DPO Approval",IF(AND(AA33="",Z33=""),"No target set",IF(IF(AA33&lt;&gt;"",AA33,Z33)&lt;TODAY(),"Overdue","On track")),IF(C33="RELEASED IN PROD","Delivered",""))))))))</f>
        <v>On track</v>
      </c>
      <c r="E33" s="33">
        <v>5</v>
      </c>
      <c r="F33" s="34" t="s">
        <v>116</v>
      </c>
      <c r="G33" s="33"/>
      <c r="H33" s="50">
        <v>46234</v>
      </c>
      <c r="I33" s="62" t="s">
        <v>117</v>
      </c>
      <c r="J33" s="33" t="s">
        <v>95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118</v>
      </c>
      <c r="P33" s="66" t="s">
        <v>70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6"/>
      <c r="AC33" s="33"/>
      <c r="AD33" s="38"/>
      <c r="AE33" s="36"/>
      <c r="AF33" s="39"/>
      <c r="AG33" s="33"/>
      <c r="AH33" s="40" t="s">
        <v>47</v>
      </c>
      <c r="AI33" s="74"/>
      <c r="AJ33" s="41" t="s">
        <v>129</v>
      </c>
    </row>
    <row r="34" spans="1:36" ht="14.5" x14ac:dyDescent="0.35">
      <c r="A34" s="33" t="s">
        <v>113</v>
      </c>
      <c r="B34" s="33" t="s">
        <v>130</v>
      </c>
      <c r="C34" s="33" t="s">
        <v>115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track")),IF(C34="QA",IF(AND(W34="",V34=""),"No target set",IF(AND(IF(W34&lt;&gt;"",W34,V34)&lt;TODAY(),X34=""),"Overdue","On track")),IF(C34="DPO Approval",IF(AND(AA34="",Z34=""),"No target set",IF(IF(AA34&lt;&gt;"",AA34,Z34)&lt;TODAY(),"Overdue","On track")),IF(C34="RELEASED IN PROD","Delivered",""))))))))</f>
        <v>On track</v>
      </c>
      <c r="E34" s="33">
        <v>6</v>
      </c>
      <c r="F34" s="34" t="s">
        <v>131</v>
      </c>
      <c r="G34" s="33"/>
      <c r="H34" s="50">
        <v>46234</v>
      </c>
      <c r="I34" s="62" t="s">
        <v>117</v>
      </c>
      <c r="J34" s="33" t="s">
        <v>77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118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131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6"/>
      <c r="AC34" s="33"/>
      <c r="AD34" s="38"/>
      <c r="AE34" s="36"/>
      <c r="AF34" s="39"/>
      <c r="AG34" s="33"/>
      <c r="AH34" s="40" t="s">
        <v>47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132</v>
      </c>
    </row>
    <row r="35" spans="1:36" ht="14.5" x14ac:dyDescent="0.35">
      <c r="A35" s="33" t="s">
        <v>113</v>
      </c>
      <c r="B35" s="33" t="s">
        <v>133</v>
      </c>
      <c r="C35" s="33" t="s">
        <v>125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track")),IF(C35="QA",IF(AND(W35="",V35=""),"No target set",IF(AND(IF(W35&lt;&gt;"",W35,V35)&lt;TODAY(),X35=""),"Overdue","On track")),IF(C35="DPO Approval",IF(AND(AA35="",Z35=""),"No target set",IF(IF(AA35&lt;&gt;"",AA35,Z35)&lt;TODAY(),"Overdue","On track")),IF(C35="RELEASED IN PROD","Delivered",""))))))))</f>
        <v>Blocked - needs PBI Dev to fix - unclaimed</v>
      </c>
      <c r="E35" s="33">
        <v>7</v>
      </c>
      <c r="F35" s="34" t="s">
        <v>131</v>
      </c>
      <c r="G35" s="33"/>
      <c r="H35" s="50">
        <v>46234</v>
      </c>
      <c r="I35" s="62" t="s">
        <v>117</v>
      </c>
      <c r="J35" s="33" t="s">
        <v>106</v>
      </c>
      <c r="K35" s="4">
        <v>46213</v>
      </c>
      <c r="L35" s="36">
        <v>46244</v>
      </c>
      <c r="M35" s="35">
        <v>46258</v>
      </c>
      <c r="N35" s="47" t="s">
        <v>40</v>
      </c>
      <c r="O35" s="36" t="s">
        <v>118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131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6"/>
      <c r="AC35" s="33"/>
      <c r="AD35" s="38"/>
      <c r="AE35" s="36"/>
      <c r="AF35" s="39"/>
      <c r="AG35" s="33"/>
      <c r="AH35" s="40" t="s">
        <v>135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330</v>
      </c>
    </row>
    <row r="36" spans="1:36" ht="14.5" x14ac:dyDescent="0.35">
      <c r="A36" s="33" t="s">
        <v>113</v>
      </c>
      <c r="B36" s="33" t="s">
        <v>136</v>
      </c>
      <c r="C36" s="33" t="s">
        <v>125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track")),IF(C36="QA",IF(AND(W36="",V36=""),"No target set",IF(AND(IF(W36&lt;&gt;"",W36,V36)&lt;TODAY(),X36=""),"Overdue","On track")),IF(C36="DPO Approval",IF(AND(AA36="",Z36=""),"No target set",IF(IF(AA36&lt;&gt;"",AA36,Z36)&lt;TODAY(),"Overdue","On track")),IF(C36="RELEASED IN PROD","Delivered",""))))))))</f>
        <v>Blocked - needs DB Dev to fix - unclaimed</v>
      </c>
      <c r="E36" s="33">
        <v>8</v>
      </c>
      <c r="F36" s="34" t="s">
        <v>131</v>
      </c>
      <c r="G36" s="33"/>
      <c r="H36" s="50">
        <v>46234</v>
      </c>
      <c r="I36" s="62" t="s">
        <v>117</v>
      </c>
      <c r="J36" s="33" t="s">
        <v>106</v>
      </c>
      <c r="K36" s="4">
        <v>46213</v>
      </c>
      <c r="L36" s="36">
        <v>46245</v>
      </c>
      <c r="M36" s="36">
        <v>46258</v>
      </c>
      <c r="N36" s="36" t="s">
        <v>40</v>
      </c>
      <c r="O36" s="36" t="s">
        <v>118</v>
      </c>
      <c r="P36" s="66" t="s">
        <v>70</v>
      </c>
      <c r="Q36" s="4">
        <v>46220</v>
      </c>
      <c r="R36" s="36">
        <v>46246</v>
      </c>
      <c r="S36" s="36">
        <v>46246</v>
      </c>
      <c r="T36" s="70"/>
      <c r="U36" s="55" t="s">
        <v>131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6"/>
      <c r="AC36" s="33"/>
      <c r="AD36" s="38"/>
      <c r="AE36" s="36"/>
      <c r="AF36" s="39"/>
      <c r="AG36" s="33"/>
      <c r="AH36" s="40" t="s">
        <v>126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330</v>
      </c>
    </row>
    <row r="37" spans="1:36" ht="14.5" x14ac:dyDescent="0.35">
      <c r="A37" s="33" t="s">
        <v>113</v>
      </c>
      <c r="B37" s="33" t="s">
        <v>138</v>
      </c>
      <c r="C37" s="33" t="s">
        <v>115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track")),IF(C37="QA",IF(AND(W37="",V37=""),"No target set",IF(AND(IF(W37&lt;&gt;"",W37,V37)&lt;TODAY(),X37=""),"Overdue","On track")),IF(C37="DPO Approval",IF(AND(AA37="",Z37=""),"No target set",IF(IF(AA37&lt;&gt;"",AA37,Z37)&lt;TODAY(),"Overdue","On track")),IF(C37="RELEASED IN PROD","Delivered",""))))))))</f>
        <v>On track</v>
      </c>
      <c r="E37" s="33">
        <v>9</v>
      </c>
      <c r="F37" s="34" t="s">
        <v>131</v>
      </c>
      <c r="G37" s="33"/>
      <c r="H37" s="50">
        <v>46234</v>
      </c>
      <c r="I37" s="62" t="s">
        <v>117</v>
      </c>
      <c r="J37" s="33" t="s">
        <v>77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118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131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6"/>
      <c r="AC37" s="33"/>
      <c r="AD37" s="38"/>
      <c r="AE37" s="36"/>
      <c r="AF37" s="39"/>
      <c r="AG37" s="33"/>
      <c r="AH37" s="40" t="s">
        <v>47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</row>
    <row r="38" spans="1:36" ht="14.5" x14ac:dyDescent="0.35">
      <c r="A38" s="33" t="s">
        <v>113</v>
      </c>
      <c r="B38" s="33" t="s">
        <v>140</v>
      </c>
      <c r="C38" s="33" t="s">
        <v>115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track")),IF(C38="QA",IF(AND(W38="",V38=""),"No target set",IF(AND(IF(W38&lt;&gt;"",W38,V38)&lt;TODAY(),X38=""),"Overdue","On track")),IF(C38="DPO Approval",IF(AND(AA38="",Z38=""),"No target set",IF(IF(AA38&lt;&gt;"",AA38,Z38)&lt;TODAY(),"Overdue","On track")),IF(C38="RELEASED IN PROD","Delivered",""))))))))</f>
        <v>On track</v>
      </c>
      <c r="E38" s="33" t="s">
        <v>141</v>
      </c>
      <c r="F38" s="34" t="s">
        <v>131</v>
      </c>
      <c r="G38" s="33"/>
      <c r="H38" s="50">
        <v>46234</v>
      </c>
      <c r="I38" s="62" t="s">
        <v>117</v>
      </c>
      <c r="J38" s="33" t="s">
        <v>142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118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131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47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</row>
    <row r="39" spans="1:36" ht="14.5" x14ac:dyDescent="0.35">
      <c r="A39" s="33" t="s">
        <v>113</v>
      </c>
      <c r="B39" s="33" t="s">
        <v>143</v>
      </c>
      <c r="C39" s="33" t="s">
        <v>115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track")),IF(C39="QA",IF(AND(W39="",V39=""),"No target set",IF(AND(IF(W39&lt;&gt;"",W39,V39)&lt;TODAY(),X39=""),"Overdue","On track")),IF(C39="DPO Approval",IF(AND(AA39="",Z39=""),"No target set",IF(IF(AA39&lt;&gt;"",AA39,Z39)&lt;TODAY(),"Overdue","On track")),IF(C39="RELEASED IN PROD","Delivered",""))))))))</f>
        <v>Blocked - needs PBI Dev to fix</v>
      </c>
      <c r="E39" s="33">
        <v>11</v>
      </c>
      <c r="F39" s="34" t="s">
        <v>131</v>
      </c>
      <c r="G39" s="33"/>
      <c r="H39" s="50">
        <v>46234</v>
      </c>
      <c r="I39" s="62" t="s">
        <v>117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118</v>
      </c>
      <c r="P39" s="66" t="s">
        <v>70</v>
      </c>
      <c r="Q39" s="4">
        <v>46220</v>
      </c>
      <c r="R39" s="36">
        <v>46247</v>
      </c>
      <c r="S39" s="36">
        <v>46259</v>
      </c>
      <c r="T39" s="70"/>
      <c r="U39" s="55" t="s">
        <v>42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135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330</v>
      </c>
    </row>
    <row r="40" spans="1:36" ht="14.5" x14ac:dyDescent="0.35">
      <c r="A40" s="33" t="s">
        <v>113</v>
      </c>
      <c r="B40" s="33" t="s">
        <v>144</v>
      </c>
      <c r="C40" s="33" t="s">
        <v>115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track")),IF(C40="QA",IF(AND(W40="",V40=""),"No target set",IF(AND(IF(W40&lt;&gt;"",W40,V40)&lt;TODAY(),X40=""),"Overdue","On track")),IF(C40="DPO Approval",IF(AND(AA40="",Z40=""),"No target set",IF(IF(AA40&lt;&gt;"",AA40,Z40)&lt;TODAY(),"Overdue","On track")),IF(C40="RELEASED IN PROD","Delivered",""))))))))</f>
        <v>On track</v>
      </c>
      <c r="E40" s="33">
        <v>13</v>
      </c>
      <c r="F40" s="34" t="s">
        <v>116</v>
      </c>
      <c r="G40" s="33"/>
      <c r="H40" s="50">
        <v>46234</v>
      </c>
      <c r="I40" s="62" t="s">
        <v>117</v>
      </c>
      <c r="J40" s="33" t="s">
        <v>69</v>
      </c>
      <c r="K40" s="4">
        <v>46213</v>
      </c>
      <c r="L40" s="36">
        <v>46251</v>
      </c>
      <c r="M40" s="37"/>
      <c r="N40" s="47" t="s">
        <v>40</v>
      </c>
      <c r="O40" s="36" t="s">
        <v>118</v>
      </c>
      <c r="P40" s="66" t="s">
        <v>70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47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</row>
    <row r="41" spans="1:36" ht="14.5" x14ac:dyDescent="0.35">
      <c r="A41" s="33" t="s">
        <v>113</v>
      </c>
      <c r="B41" s="33" t="s">
        <v>146</v>
      </c>
      <c r="C41" s="33" t="s">
        <v>115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track")),IF(C41="QA",IF(AND(W41="",V41=""),"No target set",IF(AND(IF(W41&lt;&gt;"",W41,V41)&lt;TODAY(),X41=""),"Overdue","On track")),IF(C41="DPO Approval",IF(AND(AA41="",Z41=""),"No target set",IF(IF(AA41&lt;&gt;"",AA41,Z41)&lt;TODAY(),"Overdue","On track")),IF(C41="RELEASED IN PROD","Delivered",""))))))))</f>
        <v>On track</v>
      </c>
      <c r="E41" s="33">
        <v>14</v>
      </c>
      <c r="F41" s="34" t="s">
        <v>116</v>
      </c>
      <c r="G41" s="33"/>
      <c r="H41" s="50">
        <v>46234</v>
      </c>
      <c r="I41" s="62" t="s">
        <v>117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118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47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</row>
    <row r="42" spans="1:36" ht="14.5" x14ac:dyDescent="0.35">
      <c r="A42" s="33" t="s">
        <v>113</v>
      </c>
      <c r="B42" s="33" t="s">
        <v>148</v>
      </c>
      <c r="C42" s="33" t="s">
        <v>134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track")),IF(C42="QA",IF(AND(W42="",V42=""),"No target set",IF(AND(IF(W42&lt;&gt;"",W42,V42)&lt;TODAY(),X42=""),"Overdue","On track")),IF(C42="DPO Approval",IF(AND(AA42="",Z42=""),"No target set",IF(IF(AA42&lt;&gt;"",AA42,Z42)&lt;TODAY(),"Overdue","On track")),IF(C42="RELEASED IN PROD","Delivered",""))))))))</f>
        <v>Blocked - needs PBI Dev to fix</v>
      </c>
      <c r="E42" s="33">
        <v>15</v>
      </c>
      <c r="F42" s="34" t="s">
        <v>131</v>
      </c>
      <c r="G42" s="33"/>
      <c r="H42" s="50">
        <v>46234</v>
      </c>
      <c r="I42" s="62" t="s">
        <v>117</v>
      </c>
      <c r="J42" s="33" t="s">
        <v>69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149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135</v>
      </c>
      <c r="AI42" s="48"/>
      <c r="AJ42" s="45" t="s">
        <v>327</v>
      </c>
    </row>
    <row r="43" spans="1:36" ht="14.5" hidden="1" x14ac:dyDescent="0.35">
      <c r="A43" s="33" t="s">
        <v>113</v>
      </c>
      <c r="B43" s="33" t="s">
        <v>150</v>
      </c>
      <c r="C43" s="33" t="s">
        <v>134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track")),IF(C43="QA",IF(AND(W43="",V43=""),"No target set",IF(AND(IF(W43&lt;&gt;"",W43,V43)&lt;TODAY(),X43=""),"Overdue","On track")),IF(C43="DPO Approval",IF(AND(AA43="",Z43=""),"No target set",IF(IF(AA43&lt;&gt;"",AA43,Z43)&lt;TODAY(),"Overdue","On track")),IF(C43="RELEASED IN PROD","Delivered",""))))))))</f>
        <v>Blocked - needs DB Dev to fix</v>
      </c>
      <c r="E43" s="33" t="s">
        <v>151</v>
      </c>
      <c r="F43" s="34" t="s">
        <v>131</v>
      </c>
      <c r="G43" s="33"/>
      <c r="H43" s="50">
        <v>46265</v>
      </c>
      <c r="I43" s="62" t="s">
        <v>152</v>
      </c>
      <c r="J43" s="33" t="s">
        <v>95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153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126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154</v>
      </c>
    </row>
    <row r="44" spans="1:36" ht="14.5" hidden="1" x14ac:dyDescent="0.35">
      <c r="A44" s="33" t="s">
        <v>113</v>
      </c>
      <c r="B44" s="33" t="s">
        <v>155</v>
      </c>
      <c r="C44" s="33" t="s">
        <v>125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track")),IF(C44="QA",IF(AND(W44="",V44=""),"No target set",IF(AND(IF(W44&lt;&gt;"",W44,V44)&lt;TODAY(),X44=""),"Overdue","On track")),IF(C44="DPO Approval",IF(AND(AA44="",Z44=""),"No target set",IF(IF(AA44&lt;&gt;"",AA44,Z44)&lt;TODAY(),"Overdue","On track")),IF(C44="RELEASED IN PROD","Delivered",""))))))))</f>
        <v>On track</v>
      </c>
      <c r="E44" s="33">
        <v>18</v>
      </c>
      <c r="F44" s="34" t="s">
        <v>131</v>
      </c>
      <c r="G44" s="33"/>
      <c r="H44" s="50">
        <v>46265</v>
      </c>
      <c r="I44" s="62" t="s">
        <v>152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153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131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47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88" t="s">
        <v>325</v>
      </c>
    </row>
    <row r="45" spans="1:36" ht="14.5" hidden="1" x14ac:dyDescent="0.35">
      <c r="A45" s="33" t="s">
        <v>113</v>
      </c>
      <c r="B45" s="33" t="s">
        <v>156</v>
      </c>
      <c r="C45" s="33" t="s">
        <v>125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track")),IF(C45="QA",IF(AND(W45="",V45=""),"No target set",IF(AND(IF(W45&lt;&gt;"",W45,V45)&lt;TODAY(),X45=""),"Overdue","On track")),IF(C45="DPO Approval",IF(AND(AA45="",Z45=""),"No target set",IF(IF(AA45&lt;&gt;"",AA45,Z45)&lt;TODAY(),"Overdue","On track")),IF(C45="RELEASED IN PROD","Delivered",""))))))))</f>
        <v>Overdue</v>
      </c>
      <c r="E45" s="33">
        <v>19</v>
      </c>
      <c r="F45" s="34" t="s">
        <v>116</v>
      </c>
      <c r="G45" s="33"/>
      <c r="H45" s="50">
        <v>46265</v>
      </c>
      <c r="I45" s="62" t="s">
        <v>152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153</v>
      </c>
      <c r="P45" s="66" t="s">
        <v>70</v>
      </c>
      <c r="Q45" s="4">
        <v>46241</v>
      </c>
      <c r="R45" s="36">
        <v>46252</v>
      </c>
      <c r="S45" s="36">
        <v>46251</v>
      </c>
      <c r="T45" s="70"/>
      <c r="U45" s="55" t="s">
        <v>116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47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</row>
    <row r="46" spans="1:36" ht="14.5" hidden="1" x14ac:dyDescent="0.35">
      <c r="A46" s="33" t="s">
        <v>113</v>
      </c>
      <c r="B46" s="33" t="s">
        <v>157</v>
      </c>
      <c r="C46" s="33" t="s">
        <v>134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track")),IF(C46="QA",IF(AND(W46="",V46=""),"No target set",IF(AND(IF(W46&lt;&gt;"",W46,V46)&lt;TODAY(),X46=""),"Overdue","On track")),IF(C46="DPO Approval",IF(AND(AA46="",Z46=""),"No target set",IF(IF(AA46&lt;&gt;"",AA46,Z46)&lt;TODAY(),"Overdue","On track")),IF(C46="RELEASED IN PROD","Delivered",""))))))))</f>
        <v>On track</v>
      </c>
      <c r="E46" s="33">
        <v>20</v>
      </c>
      <c r="F46" s="34" t="s">
        <v>116</v>
      </c>
      <c r="G46" s="33"/>
      <c r="H46" s="50">
        <v>46265</v>
      </c>
      <c r="I46" s="62" t="s">
        <v>152</v>
      </c>
      <c r="J46" s="33" t="s">
        <v>77</v>
      </c>
      <c r="K46" s="4">
        <v>46234</v>
      </c>
      <c r="L46" s="36">
        <v>46213</v>
      </c>
      <c r="M46" s="36">
        <v>46244</v>
      </c>
      <c r="N46" s="36"/>
      <c r="O46" s="36" t="s">
        <v>158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116</v>
      </c>
      <c r="V46" s="60">
        <v>46255</v>
      </c>
      <c r="W46" s="36"/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47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</row>
    <row r="47" spans="1:36" ht="14.5" hidden="1" x14ac:dyDescent="0.35">
      <c r="A47" s="33" t="s">
        <v>113</v>
      </c>
      <c r="B47" s="33" t="s">
        <v>159</v>
      </c>
      <c r="C47" s="33" t="s">
        <v>134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track")),IF(C47="QA",IF(AND(W47="",V47=""),"No target set",IF(AND(IF(W47&lt;&gt;"",W47,V47)&lt;TODAY(),X47=""),"Overdue","On track")),IF(C47="DPO Approval",IF(AND(AA47="",Z47=""),"No target set",IF(IF(AA47&lt;&gt;"",AA47,Z47)&lt;TODAY(),"Overdue","On track")),IF(C47="RELEASED IN PROD","Delivered",""))))))))</f>
        <v>On track</v>
      </c>
      <c r="E47" s="33">
        <v>21</v>
      </c>
      <c r="F47" s="34" t="s">
        <v>116</v>
      </c>
      <c r="G47" s="33"/>
      <c r="H47" s="50">
        <v>46265</v>
      </c>
      <c r="I47" s="62" t="s">
        <v>152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160</v>
      </c>
      <c r="P47" s="66" t="s">
        <v>70</v>
      </c>
      <c r="Q47" s="4">
        <v>46241</v>
      </c>
      <c r="R47" s="36">
        <v>46261</v>
      </c>
      <c r="S47" s="36"/>
      <c r="T47" s="70"/>
      <c r="U47" s="55" t="s">
        <v>116</v>
      </c>
      <c r="V47" s="60">
        <v>46255</v>
      </c>
      <c r="W47" s="36"/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47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161</v>
      </c>
    </row>
    <row r="48" spans="1:36" ht="14.5" hidden="1" x14ac:dyDescent="0.35">
      <c r="A48" s="33" t="s">
        <v>113</v>
      </c>
      <c r="B48" s="33" t="s">
        <v>162</v>
      </c>
      <c r="C48" s="33" t="s">
        <v>125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track")),IF(C48="QA",IF(AND(W48="",V48=""),"No target set",IF(AND(IF(W48&lt;&gt;"",W48,V48)&lt;TODAY(),X48=""),"Overdue","On track")),IF(C48="DPO Approval",IF(AND(AA48="",Z48=""),"No target set",IF(IF(AA48&lt;&gt;"",AA48,Z48)&lt;TODAY(),"Overdue","On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152</v>
      </c>
      <c r="J48" s="33" t="s">
        <v>95</v>
      </c>
      <c r="K48" s="4">
        <v>46234</v>
      </c>
      <c r="L48" s="36">
        <v>46255</v>
      </c>
      <c r="M48" s="36">
        <v>46253</v>
      </c>
      <c r="N48" s="36"/>
      <c r="O48" s="36" t="s">
        <v>160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131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47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</row>
    <row r="49" spans="1:36" ht="14.5" hidden="1" x14ac:dyDescent="0.35">
      <c r="A49" s="33" t="s">
        <v>113</v>
      </c>
      <c r="B49" s="33" t="s">
        <v>163</v>
      </c>
      <c r="C49" s="33" t="s">
        <v>134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track")),IF(C49="QA",IF(AND(W49="",V49=""),"No target set",IF(AND(IF(W49&lt;&gt;"",W49,V49)&lt;TODAY(),X49=""),"Overdue","On track")),IF(C49="DPO Approval",IF(AND(AA49="",Z49=""),"No target set",IF(IF(AA49&lt;&gt;"",AA49,Z49)&lt;TODAY(),"Overdue","On track")),IF(C49="RELEASED IN PROD","Delivered",""))))))))</f>
        <v>On track</v>
      </c>
      <c r="E49" s="33">
        <v>23</v>
      </c>
      <c r="F49" s="34" t="s">
        <v>116</v>
      </c>
      <c r="G49" s="33"/>
      <c r="H49" s="50">
        <v>46265</v>
      </c>
      <c r="I49" s="62" t="s">
        <v>152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118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116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47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</row>
    <row r="50" spans="1:36" ht="15" hidden="1" customHeight="1" x14ac:dyDescent="0.35">
      <c r="A50" s="33" t="s">
        <v>113</v>
      </c>
      <c r="B50" s="33" t="s">
        <v>164</v>
      </c>
      <c r="C50" s="33" t="s">
        <v>125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track")),IF(C50="QA",IF(AND(W50="",V50=""),"No target set",IF(AND(IF(W50&lt;&gt;"",W50,V50)&lt;TODAY(),X50=""),"Overdue","On track")),IF(C50="DPO Approval",IF(AND(AA50="",Z50=""),"No target set",IF(IF(AA50&lt;&gt;"",AA50,Z50)&lt;TODAY(),"Overdue","On track")),IF(C50="RELEASED IN PROD","Delivered",""))))))))</f>
        <v>Overdue</v>
      </c>
      <c r="E50" s="33">
        <v>25</v>
      </c>
      <c r="F50" s="34" t="s">
        <v>131</v>
      </c>
      <c r="G50" s="33"/>
      <c r="H50" s="50">
        <v>46265</v>
      </c>
      <c r="I50" s="62" t="s">
        <v>152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160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131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47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</row>
    <row r="51" spans="1:36" ht="14.5" hidden="1" x14ac:dyDescent="0.35">
      <c r="A51" s="33" t="s">
        <v>113</v>
      </c>
      <c r="B51" s="33" t="s">
        <v>165</v>
      </c>
      <c r="C51" s="33" t="s">
        <v>134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track")),IF(C51="QA",IF(AND(W51="",V51=""),"No target set",IF(AND(IF(W51&lt;&gt;"",W51,V51)&lt;TODAY(),X51=""),"Overdue","On track")),IF(C51="DPO Approval",IF(AND(AA51="",Z51=""),"No target set",IF(IF(AA51&lt;&gt;"",AA51,Z51)&lt;TODAY(),"Overdue","On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152</v>
      </c>
      <c r="J51" s="33" t="s">
        <v>69</v>
      </c>
      <c r="K51" s="4">
        <v>46234</v>
      </c>
      <c r="L51" s="36">
        <v>46248</v>
      </c>
      <c r="M51" s="36">
        <v>46248</v>
      </c>
      <c r="N51" s="36"/>
      <c r="O51" s="36" t="s">
        <v>160</v>
      </c>
      <c r="P51" s="66" t="s">
        <v>70</v>
      </c>
      <c r="Q51" s="4">
        <v>46241</v>
      </c>
      <c r="R51" s="36">
        <v>46255</v>
      </c>
      <c r="S51" s="36"/>
      <c r="T51" s="70"/>
      <c r="U51" s="55" t="s">
        <v>131</v>
      </c>
      <c r="V51" s="60">
        <v>46255</v>
      </c>
      <c r="W51" s="36"/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47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</row>
    <row r="52" spans="1:36" ht="14.5" hidden="1" x14ac:dyDescent="0.35">
      <c r="A52" s="33" t="s">
        <v>113</v>
      </c>
      <c r="B52" s="33" t="s">
        <v>166</v>
      </c>
      <c r="C52" s="33" t="s">
        <v>134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track")),IF(C52="QA",IF(AND(W52="",V52=""),"No target set",IF(AND(IF(W52&lt;&gt;"",W52,V52)&lt;TODAY(),X52=""),"Overdue","On track")),IF(C52="DPO Approval",IF(AND(AA52="",Z52=""),"No target set",IF(IF(AA52&lt;&gt;"",AA52,Z52)&lt;TODAY(),"Overdue","On track")),IF(C52="RELEASED IN PROD","Delivered",""))))))))</f>
        <v>Overdue</v>
      </c>
      <c r="E52" s="33">
        <v>27</v>
      </c>
      <c r="F52" s="34" t="s">
        <v>116</v>
      </c>
      <c r="G52" s="33"/>
      <c r="H52" s="50">
        <v>46265</v>
      </c>
      <c r="I52" s="62" t="s">
        <v>152</v>
      </c>
      <c r="J52" s="33" t="s">
        <v>106</v>
      </c>
      <c r="K52" s="4">
        <v>46234</v>
      </c>
      <c r="L52" s="36">
        <v>46253</v>
      </c>
      <c r="M52" s="36">
        <v>46252</v>
      </c>
      <c r="N52" s="36"/>
      <c r="O52" s="36" t="s">
        <v>160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47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167</v>
      </c>
    </row>
    <row r="53" spans="1:36" ht="14.5" hidden="1" x14ac:dyDescent="0.35">
      <c r="A53" s="33" t="s">
        <v>113</v>
      </c>
      <c r="B53" s="33" t="s">
        <v>168</v>
      </c>
      <c r="C53" s="33" t="s">
        <v>134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track")),IF(C53="QA",IF(AND(W53="",V53=""),"No target set",IF(AND(IF(W53&lt;&gt;"",W53,V53)&lt;TODAY(),X53=""),"Overdue","On track")),IF(C53="DPO Approval",IF(AND(AA53="",Z53=""),"No target set",IF(IF(AA53&lt;&gt;"",AA53,Z53)&lt;TODAY(),"Overdue","On track")),IF(C53="RELEASED IN PROD","Delivered",""))))))))</f>
        <v>On track</v>
      </c>
      <c r="E53" s="33">
        <v>29</v>
      </c>
      <c r="F53" s="34" t="s">
        <v>131</v>
      </c>
      <c r="G53" s="33"/>
      <c r="H53" s="50">
        <v>46265</v>
      </c>
      <c r="I53" s="62" t="s">
        <v>152</v>
      </c>
      <c r="J53" s="33" t="s">
        <v>69</v>
      </c>
      <c r="K53" s="4">
        <v>46234</v>
      </c>
      <c r="L53" s="36">
        <v>46251</v>
      </c>
      <c r="M53" s="36">
        <v>46251</v>
      </c>
      <c r="N53" s="36"/>
      <c r="O53" s="36" t="s">
        <v>118</v>
      </c>
      <c r="P53" s="66" t="s">
        <v>70</v>
      </c>
      <c r="Q53" s="4">
        <v>46241</v>
      </c>
      <c r="R53" s="36">
        <v>46265</v>
      </c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47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</row>
    <row r="54" spans="1:36" ht="14.5" hidden="1" x14ac:dyDescent="0.35">
      <c r="A54" s="33" t="s">
        <v>113</v>
      </c>
      <c r="B54" s="33" t="s">
        <v>169</v>
      </c>
      <c r="C54" s="33" t="s">
        <v>134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track")),IF(C54="QA",IF(AND(W54="",V54=""),"No target set",IF(AND(IF(W54&lt;&gt;"",W54,V54)&lt;TODAY(),X54=""),"Overdue","On track")),IF(C54="DPO Approval",IF(AND(AA54="",Z54=""),"No target set",IF(IF(AA54&lt;&gt;"",AA54,Z54)&lt;TODAY(),"Overdue","On track")),IF(C54="RELEASED IN PROD","Delivered",""))))))))</f>
        <v>Overdue</v>
      </c>
      <c r="E54" s="33">
        <v>30</v>
      </c>
      <c r="F54" s="34" t="s">
        <v>116</v>
      </c>
      <c r="G54" s="33"/>
      <c r="H54" s="50">
        <v>46265</v>
      </c>
      <c r="I54" s="62" t="s">
        <v>152</v>
      </c>
      <c r="J54" s="33" t="s">
        <v>77</v>
      </c>
      <c r="K54" s="4">
        <v>46234</v>
      </c>
      <c r="L54" s="36">
        <v>46255</v>
      </c>
      <c r="M54" s="36">
        <v>46253</v>
      </c>
      <c r="N54" s="36"/>
      <c r="O54" s="36" t="s">
        <v>118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47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</row>
    <row r="55" spans="1:36" ht="14.5" hidden="1" x14ac:dyDescent="0.35">
      <c r="A55" s="33" t="s">
        <v>113</v>
      </c>
      <c r="B55" s="33" t="s">
        <v>170</v>
      </c>
      <c r="C55" s="33" t="s">
        <v>134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track")),IF(C55="QA",IF(AND(W55="",V55=""),"No target set",IF(AND(IF(W55&lt;&gt;"",W55,V55)&lt;TODAY(),X55=""),"Overdue","On track")),IF(C55="DPO Approval",IF(AND(AA55="",Z55=""),"No target set",IF(IF(AA55&lt;&gt;"",AA55,Z55)&lt;TODAY(),"Overdue","On track")),IF(C55="RELEASED IN PROD","Delivered",""))))))))</f>
        <v>On track</v>
      </c>
      <c r="E55" s="33">
        <v>31</v>
      </c>
      <c r="F55" s="34" t="s">
        <v>131</v>
      </c>
      <c r="G55" s="33"/>
      <c r="H55" s="50">
        <v>46295</v>
      </c>
      <c r="I55" s="56" t="s">
        <v>171</v>
      </c>
      <c r="J55" s="33" t="s">
        <v>69</v>
      </c>
      <c r="K55" s="4">
        <v>46262</v>
      </c>
      <c r="L55" s="36">
        <v>46253</v>
      </c>
      <c r="M55" s="36">
        <v>46253</v>
      </c>
      <c r="N55" s="36"/>
      <c r="O55" s="36" t="s">
        <v>172</v>
      </c>
      <c r="P55" s="64" t="s">
        <v>70</v>
      </c>
      <c r="Q55" s="4">
        <v>46269</v>
      </c>
      <c r="R55" s="36"/>
      <c r="S55" s="36"/>
      <c r="T55" s="70" t="s">
        <v>338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47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</row>
    <row r="56" spans="1:36" ht="14.5" hidden="1" x14ac:dyDescent="0.35">
      <c r="A56" s="33" t="s">
        <v>113</v>
      </c>
      <c r="B56" s="33" t="s">
        <v>173</v>
      </c>
      <c r="C56" s="33" t="s">
        <v>134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track")),IF(C56="QA",IF(AND(W56="",V56=""),"No target set",IF(AND(IF(W56&lt;&gt;"",W56,V56)&lt;TODAY(),X56=""),"Overdue","On track")),IF(C56="DPO Approval",IF(AND(AA56="",Z56=""),"No target set",IF(IF(AA56&lt;&gt;"",AA56,Z56)&lt;TODAY(),"Overdue","On track")),IF(C56="RELEASED IN PROD","Delivered",""))))))))</f>
        <v>On track</v>
      </c>
      <c r="E56" s="33">
        <v>32</v>
      </c>
      <c r="F56" s="34" t="s">
        <v>116</v>
      </c>
      <c r="G56" s="33"/>
      <c r="H56" s="50">
        <v>46295</v>
      </c>
      <c r="I56" s="56" t="s">
        <v>171</v>
      </c>
      <c r="J56" s="33" t="s">
        <v>69</v>
      </c>
      <c r="K56" s="4">
        <v>46262</v>
      </c>
      <c r="L56" s="36">
        <v>46253</v>
      </c>
      <c r="M56" s="36">
        <v>46253</v>
      </c>
      <c r="N56" s="36"/>
      <c r="O56" s="36" t="s">
        <v>172</v>
      </c>
      <c r="P56" s="64" t="s">
        <v>54</v>
      </c>
      <c r="Q56" s="4">
        <v>46269</v>
      </c>
      <c r="R56" s="36"/>
      <c r="S56" s="36"/>
      <c r="T56" s="70" t="s">
        <v>338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47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167</v>
      </c>
    </row>
    <row r="57" spans="1:36" ht="14.5" hidden="1" x14ac:dyDescent="0.35">
      <c r="A57" s="33" t="s">
        <v>113</v>
      </c>
      <c r="B57" s="33" t="s">
        <v>174</v>
      </c>
      <c r="C57" s="33" t="s">
        <v>175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track")),IF(C57="QA",IF(AND(W57="",V57=""),"No target set",IF(AND(IF(W57&lt;&gt;"",W57,V57)&lt;TODAY(),X57=""),"Overdue","On track")),IF(C57="DPO Approval",IF(AND(AA57="",Z57=""),"No target set",IF(IF(AA57&lt;&gt;"",AA57,Z57)&lt;TODAY(),"Overdue","On track")),IF(C57="RELEASED IN PROD","Delivered",""))))))))</f>
        <v>On track</v>
      </c>
      <c r="E57" s="33">
        <v>33</v>
      </c>
      <c r="F57" s="34" t="s">
        <v>131</v>
      </c>
      <c r="G57" s="33"/>
      <c r="H57" s="50">
        <v>46295</v>
      </c>
      <c r="I57" s="56" t="s">
        <v>171</v>
      </c>
      <c r="J57" s="33" t="s">
        <v>106</v>
      </c>
      <c r="K57" s="4">
        <v>46262</v>
      </c>
      <c r="L57" s="36">
        <v>46254</v>
      </c>
      <c r="M57" s="36"/>
      <c r="N57" s="36"/>
      <c r="O57" s="36" t="s">
        <v>172</v>
      </c>
      <c r="P57" s="64" t="s">
        <v>41</v>
      </c>
      <c r="Q57" s="4">
        <v>46269</v>
      </c>
      <c r="R57" s="36"/>
      <c r="S57" s="36"/>
      <c r="T57" s="70" t="s">
        <v>338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47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167</v>
      </c>
    </row>
    <row r="58" spans="1:36" ht="14.5" hidden="1" x14ac:dyDescent="0.35">
      <c r="A58" s="33" t="s">
        <v>113</v>
      </c>
      <c r="B58" s="33" t="s">
        <v>176</v>
      </c>
      <c r="C58" s="33" t="s">
        <v>175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track")),IF(C58="QA",IF(AND(W58="",V58=""),"No target set",IF(AND(IF(W58&lt;&gt;"",W58,V58)&lt;TODAY(),X58=""),"Overdue","On track")),IF(C58="DPO Approval",IF(AND(AA58="",Z58=""),"No target set",IF(IF(AA58&lt;&gt;"",AA58,Z58)&lt;TODAY(),"Overdue","On track")),IF(C58="RELEASED IN PROD","Delivered",""))))))))</f>
        <v>On track</v>
      </c>
      <c r="E58" s="33">
        <v>34</v>
      </c>
      <c r="F58" s="34" t="s">
        <v>116</v>
      </c>
      <c r="G58" s="33"/>
      <c r="H58" s="50">
        <v>46295</v>
      </c>
      <c r="I58" s="56" t="s">
        <v>171</v>
      </c>
      <c r="J58" s="33" t="s">
        <v>106</v>
      </c>
      <c r="K58" s="4">
        <v>46262</v>
      </c>
      <c r="L58" s="36">
        <v>46254</v>
      </c>
      <c r="M58" s="36"/>
      <c r="N58" s="36"/>
      <c r="O58" s="36" t="s">
        <v>172</v>
      </c>
      <c r="P58" s="64" t="s">
        <v>70</v>
      </c>
      <c r="Q58" s="4">
        <v>46269</v>
      </c>
      <c r="R58" s="36"/>
      <c r="S58" s="36"/>
      <c r="T58" s="70" t="s">
        <v>338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47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</row>
    <row r="59" spans="1:36" ht="14.5" hidden="1" x14ac:dyDescent="0.35">
      <c r="A59" s="33" t="s">
        <v>113</v>
      </c>
      <c r="B59" s="33" t="s">
        <v>177</v>
      </c>
      <c r="C59" s="33" t="s">
        <v>134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track")),IF(C59="QA",IF(AND(W59="",V59=""),"No target set",IF(AND(IF(W59&lt;&gt;"",W59,V59)&lt;TODAY(),X59=""),"Overdue","On track")),IF(C59="DPO Approval",IF(AND(AA59="",Z59=""),"No target set",IF(IF(AA59&lt;&gt;"",AA59,Z59)&lt;TODAY(),"Overdue","On track")),IF(C59="RELEASED IN PROD","Delivered",""))))))))</f>
        <v>On track</v>
      </c>
      <c r="E59" s="33">
        <v>35</v>
      </c>
      <c r="F59" s="34" t="s">
        <v>131</v>
      </c>
      <c r="G59" s="33"/>
      <c r="H59" s="50">
        <v>46295</v>
      </c>
      <c r="I59" s="56" t="s">
        <v>171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172</v>
      </c>
      <c r="P59" s="64" t="s">
        <v>54</v>
      </c>
      <c r="Q59" s="4">
        <v>46269</v>
      </c>
      <c r="R59" s="36"/>
      <c r="S59" s="36"/>
      <c r="T59" s="70" t="s">
        <v>338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47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</row>
    <row r="60" spans="1:36" ht="14.5" hidden="1" x14ac:dyDescent="0.35">
      <c r="A60" s="33" t="s">
        <v>113</v>
      </c>
      <c r="B60" s="33" t="s">
        <v>178</v>
      </c>
      <c r="C60" s="33" t="s">
        <v>134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track")),IF(C60="QA",IF(AND(W60="",V60=""),"No target set",IF(AND(IF(W60&lt;&gt;"",W60,V60)&lt;TODAY(),X60=""),"Overdue","On track")),IF(C60="DPO Approval",IF(AND(AA60="",Z60=""),"No target set",IF(IF(AA60&lt;&gt;"",AA60,Z60)&lt;TODAY(),"Overdue","On track")),IF(C60="RELEASED IN PROD","Delivered",""))))))))</f>
        <v>On track</v>
      </c>
      <c r="E60" s="33">
        <v>36</v>
      </c>
      <c r="F60" s="34" t="s">
        <v>131</v>
      </c>
      <c r="G60" s="33"/>
      <c r="H60" s="50">
        <v>46295</v>
      </c>
      <c r="I60" s="56" t="s">
        <v>171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172</v>
      </c>
      <c r="P60" s="64" t="s">
        <v>41</v>
      </c>
      <c r="Q60" s="4">
        <v>46269</v>
      </c>
      <c r="R60" s="36"/>
      <c r="S60" s="36"/>
      <c r="T60" s="70" t="s">
        <v>338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47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</row>
    <row r="61" spans="1:36" ht="14.5" hidden="1" x14ac:dyDescent="0.35">
      <c r="A61" s="33" t="s">
        <v>113</v>
      </c>
      <c r="B61" s="33" t="s">
        <v>179</v>
      </c>
      <c r="C61" s="33" t="s">
        <v>125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track")),IF(C61="QA",IF(AND(W61="",V61=""),"No target set",IF(AND(IF(W61&lt;&gt;"",W61,V61)&lt;TODAY(),X61=""),"Overdue","On track")),IF(C61="DPO Approval",IF(AND(AA61="",Z61=""),"No target set",IF(IF(AA61&lt;&gt;"",AA61,Z61)&lt;TODAY(),"Overdue","On track")),IF(C61="RELEASED IN PROD","Delivered",""))))))))</f>
        <v>On track</v>
      </c>
      <c r="E61" s="33">
        <v>37</v>
      </c>
      <c r="F61" s="34" t="s">
        <v>116</v>
      </c>
      <c r="G61" s="33"/>
      <c r="H61" s="50">
        <v>46295</v>
      </c>
      <c r="I61" s="56" t="s">
        <v>171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172</v>
      </c>
      <c r="P61" s="64" t="s">
        <v>54</v>
      </c>
      <c r="Q61" s="4">
        <v>46269</v>
      </c>
      <c r="R61" s="36"/>
      <c r="S61" s="36"/>
      <c r="T61" s="70" t="s">
        <v>338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47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</row>
    <row r="62" spans="1:36" ht="14.5" hidden="1" x14ac:dyDescent="0.35">
      <c r="A62" s="33" t="s">
        <v>113</v>
      </c>
      <c r="B62" s="33" t="s">
        <v>180</v>
      </c>
      <c r="C62" s="33" t="s">
        <v>175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track")),IF(C62="QA",IF(AND(W62="",V62=""),"No target set",IF(AND(IF(W62&lt;&gt;"",W62,V62)&lt;TODAY(),X62=""),"Overdue","On track")),IF(C62="DPO Approval",IF(AND(AA62="",Z62=""),"No target set",IF(IF(AA62&lt;&gt;"",AA62,Z62)&lt;TODAY(),"Overdue","On track")),IF(C62="RELEASED IN PROD","Delivered",""))))))))</f>
        <v>On track</v>
      </c>
      <c r="E62" s="33">
        <v>38</v>
      </c>
      <c r="F62" s="34" t="s">
        <v>131</v>
      </c>
      <c r="G62" s="33"/>
      <c r="H62" s="50">
        <v>46295</v>
      </c>
      <c r="I62" s="56" t="s">
        <v>171</v>
      </c>
      <c r="J62" s="33" t="s">
        <v>77</v>
      </c>
      <c r="K62" s="4">
        <v>46262</v>
      </c>
      <c r="L62" s="36">
        <v>46260</v>
      </c>
      <c r="M62" s="36">
        <v>46259</v>
      </c>
      <c r="N62" s="36"/>
      <c r="O62" s="36" t="s">
        <v>172</v>
      </c>
      <c r="P62" s="64" t="s">
        <v>70</v>
      </c>
      <c r="Q62" s="4">
        <v>46269</v>
      </c>
      <c r="R62" s="36"/>
      <c r="S62" s="36"/>
      <c r="T62" s="70" t="s">
        <v>338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47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</row>
    <row r="63" spans="1:36" ht="14.5" hidden="1" x14ac:dyDescent="0.35">
      <c r="A63" s="33" t="s">
        <v>113</v>
      </c>
      <c r="B63" s="33" t="s">
        <v>181</v>
      </c>
      <c r="C63" s="33" t="s">
        <v>175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track")),IF(C63="QA",IF(AND(W63="",V63=""),"No target set",IF(AND(IF(W63&lt;&gt;"",W63,V63)&lt;TODAY(),X63=""),"Overdue","On track")),IF(C63="DPO Approval",IF(AND(AA63="",Z63=""),"No target set",IF(IF(AA63&lt;&gt;"",AA63,Z63)&lt;TODAY(),"Overdue","On track")),IF(C63="RELEASED IN PROD","Delivered",""))))))))</f>
        <v>On track</v>
      </c>
      <c r="E63" s="33">
        <v>39</v>
      </c>
      <c r="F63" s="34" t="s">
        <v>131</v>
      </c>
      <c r="G63" s="33"/>
      <c r="H63" s="50">
        <v>46295</v>
      </c>
      <c r="I63" s="56" t="s">
        <v>171</v>
      </c>
      <c r="J63" s="33" t="s">
        <v>77</v>
      </c>
      <c r="K63" s="4">
        <v>46276</v>
      </c>
      <c r="L63" s="36">
        <v>46276</v>
      </c>
      <c r="M63" s="36"/>
      <c r="N63" s="36"/>
      <c r="O63" s="36" t="s">
        <v>172</v>
      </c>
      <c r="P63" s="64" t="s">
        <v>41</v>
      </c>
      <c r="Q63" s="4">
        <v>46286</v>
      </c>
      <c r="R63" s="36"/>
      <c r="S63" s="36"/>
      <c r="T63" s="70" t="s">
        <v>338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47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</row>
    <row r="64" spans="1:36" ht="14.5" hidden="1" x14ac:dyDescent="0.35">
      <c r="A64" s="33" t="s">
        <v>113</v>
      </c>
      <c r="B64" s="33" t="s">
        <v>182</v>
      </c>
      <c r="C64" s="33" t="s">
        <v>175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track")),IF(C64="QA",IF(AND(W64="",V64=""),"No target set",IF(AND(IF(W64&lt;&gt;"",W64,V64)&lt;TODAY(),X64=""),"Overdue","On track")),IF(C64="DPO Approval",IF(AND(AA64="",Z64=""),"No target set",IF(IF(AA64&lt;&gt;"",AA64,Z64)&lt;TODAY(),"Overdue","On track")),IF(C64="RELEASED IN PROD","Delivered",""))))))))</f>
        <v>On track</v>
      </c>
      <c r="E64" s="33">
        <v>40</v>
      </c>
      <c r="F64" s="34" t="s">
        <v>116</v>
      </c>
      <c r="G64" s="33"/>
      <c r="H64" s="50">
        <v>46295</v>
      </c>
      <c r="I64" s="56" t="s">
        <v>171</v>
      </c>
      <c r="J64" s="33" t="s">
        <v>95</v>
      </c>
      <c r="K64" s="4">
        <v>46276</v>
      </c>
      <c r="L64" s="36"/>
      <c r="M64" s="36"/>
      <c r="N64" s="36"/>
      <c r="O64" s="36" t="s">
        <v>172</v>
      </c>
      <c r="P64" s="64" t="s">
        <v>54</v>
      </c>
      <c r="Q64" s="4">
        <v>46286</v>
      </c>
      <c r="R64" s="36"/>
      <c r="S64" s="36"/>
      <c r="T64" s="70" t="s">
        <v>338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47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</row>
    <row r="65" spans="1:36" ht="14.5" hidden="1" x14ac:dyDescent="0.35">
      <c r="A65" s="33" t="s">
        <v>113</v>
      </c>
      <c r="B65" s="33" t="s">
        <v>183</v>
      </c>
      <c r="C65" s="33" t="s">
        <v>137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track")),IF(C65="QA",IF(AND(W65="",V65=""),"No target set",IF(AND(IF(W65&lt;&gt;"",W65,V65)&lt;TODAY(),X65=""),"Overdue","On track")),IF(C65="DPO Approval",IF(AND(AA65="",Z65=""),"No target set",IF(IF(AA65&lt;&gt;"",AA65,Z65)&lt;TODAY(),"Overdue","On track")),IF(C65="RELEASED IN PROD","Delivered",""))))))))</f>
        <v>On track</v>
      </c>
      <c r="E65" s="33">
        <v>41</v>
      </c>
      <c r="F65" s="34" t="s">
        <v>116</v>
      </c>
      <c r="G65" s="33"/>
      <c r="H65" s="50">
        <v>46295</v>
      </c>
      <c r="I65" s="56" t="s">
        <v>171</v>
      </c>
      <c r="J65" s="33" t="s">
        <v>142</v>
      </c>
      <c r="K65" s="4">
        <v>46276</v>
      </c>
      <c r="L65" s="36"/>
      <c r="M65" s="36"/>
      <c r="N65" s="36"/>
      <c r="O65" s="36" t="s">
        <v>172</v>
      </c>
      <c r="P65" s="64" t="s">
        <v>70</v>
      </c>
      <c r="Q65" s="4">
        <v>46286</v>
      </c>
      <c r="R65" s="36"/>
      <c r="S65" s="36"/>
      <c r="T65" s="70" t="s">
        <v>338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47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</row>
    <row r="66" spans="1:36" ht="14.5" hidden="1" x14ac:dyDescent="0.35">
      <c r="A66" s="33" t="s">
        <v>113</v>
      </c>
      <c r="B66" s="33" t="s">
        <v>184</v>
      </c>
      <c r="C66" s="33" t="s">
        <v>175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track")),IF(C66="QA",IF(AND(W66="",V66=""),"No target set",IF(AND(IF(W66&lt;&gt;"",W66,V66)&lt;TODAY(),X66=""),"Overdue","On track")),IF(C66="DPO Approval",IF(AND(AA66="",Z66=""),"No target set",IF(IF(AA66&lt;&gt;"",AA66,Z66)&lt;TODAY(),"Overdue","On track")),IF(C66="RELEASED IN PROD","Delivered",""))))))))</f>
        <v>On track</v>
      </c>
      <c r="E66" s="33">
        <v>42</v>
      </c>
      <c r="F66" s="34" t="s">
        <v>116</v>
      </c>
      <c r="G66" s="33"/>
      <c r="H66" s="50">
        <v>46295</v>
      </c>
      <c r="I66" s="56" t="s">
        <v>171</v>
      </c>
      <c r="J66" s="33" t="s">
        <v>39</v>
      </c>
      <c r="K66" s="4">
        <v>46276</v>
      </c>
      <c r="L66" s="36"/>
      <c r="M66" s="36"/>
      <c r="N66" s="36"/>
      <c r="O66" s="36" t="s">
        <v>172</v>
      </c>
      <c r="P66" s="64" t="s">
        <v>41</v>
      </c>
      <c r="Q66" s="4">
        <v>46286</v>
      </c>
      <c r="R66" s="36"/>
      <c r="S66" s="36"/>
      <c r="T66" s="70" t="s">
        <v>338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47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</row>
    <row r="67" spans="1:36" ht="14.5" hidden="1" x14ac:dyDescent="0.35">
      <c r="A67" s="33" t="s">
        <v>113</v>
      </c>
      <c r="B67" s="33" t="s">
        <v>185</v>
      </c>
      <c r="C67" s="33" t="s">
        <v>175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track")),IF(C67="QA",IF(AND(W67="",V67=""),"No target set",IF(AND(IF(W67&lt;&gt;"",W67,V67)&lt;TODAY(),X67=""),"Overdue","On track")),IF(C67="DPO Approval",IF(AND(AA67="",Z67=""),"No target set",IF(IF(AA67&lt;&gt;"",AA67,Z67)&lt;TODAY(),"Overdue","On track")),IF(C67="RELEASED IN PROD","Delivered",""))))))))</f>
        <v>On track</v>
      </c>
      <c r="E67" s="33">
        <v>43</v>
      </c>
      <c r="F67" s="34" t="s">
        <v>116</v>
      </c>
      <c r="G67" s="33"/>
      <c r="H67" s="50">
        <v>46295</v>
      </c>
      <c r="I67" s="56" t="s">
        <v>171</v>
      </c>
      <c r="J67" s="33" t="s">
        <v>39</v>
      </c>
      <c r="K67" s="4">
        <v>46276</v>
      </c>
      <c r="L67" s="36">
        <v>46254</v>
      </c>
      <c r="M67" s="36">
        <v>46254</v>
      </c>
      <c r="N67" s="36"/>
      <c r="O67" s="36" t="s">
        <v>172</v>
      </c>
      <c r="P67" s="64" t="s">
        <v>54</v>
      </c>
      <c r="Q67" s="4">
        <v>46286</v>
      </c>
      <c r="R67" s="36">
        <v>46254</v>
      </c>
      <c r="S67" s="36"/>
      <c r="T67" s="70" t="s">
        <v>338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47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</row>
    <row r="68" spans="1:36" ht="14.5" hidden="1" x14ac:dyDescent="0.35">
      <c r="A68" s="33" t="s">
        <v>113</v>
      </c>
      <c r="B68" s="33" t="s">
        <v>186</v>
      </c>
      <c r="C68" s="33" t="s">
        <v>134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track")),IF(C68="QA",IF(AND(W68="",V68=""),"No target set",IF(AND(IF(W68&lt;&gt;"",W68,V68)&lt;TODAY(),X68=""),"Overdue","On track")),IF(C68="DPO Approval",IF(AND(AA68="",Z68=""),"No target set",IF(IF(AA68&lt;&gt;"",AA68,Z68)&lt;TODAY(),"Overdue","On track")),IF(C68="RELEASED IN PROD","Delivered",""))))))))</f>
        <v>On track</v>
      </c>
      <c r="E68" s="33">
        <v>44</v>
      </c>
      <c r="F68" s="34" t="s">
        <v>116</v>
      </c>
      <c r="G68" s="33"/>
      <c r="H68" s="50">
        <v>46295</v>
      </c>
      <c r="I68" s="56" t="s">
        <v>171</v>
      </c>
      <c r="J68" s="33" t="s">
        <v>187</v>
      </c>
      <c r="K68" s="4">
        <v>46276</v>
      </c>
      <c r="L68" s="36">
        <v>46258</v>
      </c>
      <c r="M68" s="36">
        <v>46258</v>
      </c>
      <c r="N68" s="36"/>
      <c r="O68" s="36" t="s">
        <v>172</v>
      </c>
      <c r="P68" s="64" t="s">
        <v>70</v>
      </c>
      <c r="Q68" s="4">
        <v>46286</v>
      </c>
      <c r="R68" s="36"/>
      <c r="S68" s="36"/>
      <c r="T68" s="70" t="s">
        <v>339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47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</row>
    <row r="69" spans="1:36" ht="14.5" hidden="1" x14ac:dyDescent="0.35">
      <c r="A69" s="33" t="s">
        <v>113</v>
      </c>
      <c r="B69" s="33" t="s">
        <v>188</v>
      </c>
      <c r="C69" s="33" t="s">
        <v>175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track")),IF(C69="QA",IF(AND(W69="",V69=""),"No target set",IF(AND(IF(W69&lt;&gt;"",W69,V69)&lt;TODAY(),X69=""),"Overdue","On track")),IF(C69="DPO Approval",IF(AND(AA69="",Z69=""),"No target set",IF(IF(AA69&lt;&gt;"",AA69,Z69)&lt;TODAY(),"Overdue","On track")),IF(C69="RELEASED IN PROD","Delivered",""))))))))</f>
        <v>On track</v>
      </c>
      <c r="E69" s="33">
        <v>45</v>
      </c>
      <c r="F69" s="34" t="s">
        <v>131</v>
      </c>
      <c r="G69" s="33"/>
      <c r="H69" s="50">
        <v>46295</v>
      </c>
      <c r="I69" s="56" t="s">
        <v>171</v>
      </c>
      <c r="J69" s="33" t="s">
        <v>53</v>
      </c>
      <c r="K69" s="4">
        <v>46276</v>
      </c>
      <c r="L69" s="36"/>
      <c r="M69" s="36"/>
      <c r="N69" s="36"/>
      <c r="O69" s="36" t="s">
        <v>172</v>
      </c>
      <c r="P69" s="64" t="s">
        <v>41</v>
      </c>
      <c r="Q69" s="4">
        <v>46286</v>
      </c>
      <c r="R69" s="36"/>
      <c r="S69" s="36"/>
      <c r="T69" s="70" t="s">
        <v>339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47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</row>
    <row r="70" spans="1:36" ht="14.5" hidden="1" x14ac:dyDescent="0.35">
      <c r="A70" s="33" t="s">
        <v>113</v>
      </c>
      <c r="B70" s="33" t="s">
        <v>189</v>
      </c>
      <c r="C70" s="33" t="s">
        <v>175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track")),IF(C70="QA",IF(AND(W70="",V70=""),"No target set",IF(AND(IF(W70&lt;&gt;"",W70,V70)&lt;TODAY(),X70=""),"Overdue","On track")),IF(C70="DPO Approval",IF(AND(AA70="",Z70=""),"No target set",IF(IF(AA70&lt;&gt;"",AA70,Z70)&lt;TODAY(),"Overdue","On track")),IF(C70="RELEASED IN PROD","Delivered",""))))))))</f>
        <v>On track</v>
      </c>
      <c r="E70" s="33">
        <v>46</v>
      </c>
      <c r="F70" s="34" t="s">
        <v>131</v>
      </c>
      <c r="G70" s="33"/>
      <c r="H70" s="50">
        <v>46295</v>
      </c>
      <c r="I70" s="56" t="s">
        <v>171</v>
      </c>
      <c r="J70" s="33" t="s">
        <v>106</v>
      </c>
      <c r="K70" s="4">
        <v>46276</v>
      </c>
      <c r="L70" s="36">
        <v>46262</v>
      </c>
      <c r="M70" s="36"/>
      <c r="N70" s="36"/>
      <c r="O70" s="36" t="s">
        <v>172</v>
      </c>
      <c r="P70" s="64" t="s">
        <v>41</v>
      </c>
      <c r="Q70" s="4">
        <v>46286</v>
      </c>
      <c r="R70" s="36"/>
      <c r="S70" s="36"/>
      <c r="T70" s="70" t="s">
        <v>339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47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</row>
    <row r="71" spans="1:36" ht="14.5" hidden="1" x14ac:dyDescent="0.35">
      <c r="A71" s="33" t="s">
        <v>113</v>
      </c>
      <c r="B71" s="33" t="s">
        <v>190</v>
      </c>
      <c r="C71" s="33" t="s">
        <v>175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track")),IF(C71="QA",IF(AND(W71="",V71=""),"No target set",IF(AND(IF(W71&lt;&gt;"",W71,V71)&lt;TODAY(),X71=""),"Overdue","On track")),IF(C71="DPO Approval",IF(AND(AA71="",Z71=""),"No target set",IF(IF(AA71&lt;&gt;"",AA71,Z71)&lt;TODAY(),"Overdue","On track")),IF(C71="RELEASED IN PROD","Delivered",""))))))))</f>
        <v>On track</v>
      </c>
      <c r="E71" s="33">
        <v>47</v>
      </c>
      <c r="F71" s="34" t="s">
        <v>131</v>
      </c>
      <c r="G71" s="33"/>
      <c r="H71" s="50">
        <v>46295</v>
      </c>
      <c r="I71" s="56" t="s">
        <v>171</v>
      </c>
      <c r="J71" s="33" t="s">
        <v>39</v>
      </c>
      <c r="K71" s="4">
        <v>46276</v>
      </c>
      <c r="L71" s="36">
        <v>46259</v>
      </c>
      <c r="M71" s="36">
        <v>46259</v>
      </c>
      <c r="N71" s="36"/>
      <c r="O71" s="36" t="s">
        <v>172</v>
      </c>
      <c r="P71" s="64" t="s">
        <v>54</v>
      </c>
      <c r="Q71" s="4">
        <v>46286</v>
      </c>
      <c r="R71" s="36"/>
      <c r="S71" s="36"/>
      <c r="T71" s="70" t="s">
        <v>339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47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</row>
    <row r="72" spans="1:36" ht="14.5" hidden="1" x14ac:dyDescent="0.35">
      <c r="A72" s="33" t="s">
        <v>113</v>
      </c>
      <c r="B72" s="33" t="s">
        <v>191</v>
      </c>
      <c r="C72" s="33" t="s">
        <v>134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track")),IF(C72="QA",IF(AND(W72="",V72=""),"No target set",IF(AND(IF(W72&lt;&gt;"",W72,V72)&lt;TODAY(),X72=""),"Overdue","On track")),IF(C72="DPO Approval",IF(AND(AA72="",Z72=""),"No target set",IF(IF(AA72&lt;&gt;"",AA72,Z72)&lt;TODAY(),"Overdue","On track")),IF(C72="RELEASED IN PROD","Delivered",""))))))))</f>
        <v>On track</v>
      </c>
      <c r="E72" s="33">
        <v>48</v>
      </c>
      <c r="F72" s="34" t="s">
        <v>116</v>
      </c>
      <c r="G72" s="33"/>
      <c r="H72" s="50">
        <v>46295</v>
      </c>
      <c r="I72" s="56" t="s">
        <v>171</v>
      </c>
      <c r="J72" s="33" t="s">
        <v>69</v>
      </c>
      <c r="K72" s="4">
        <v>46276</v>
      </c>
      <c r="L72" s="36">
        <v>46258</v>
      </c>
      <c r="M72" s="36">
        <v>46258</v>
      </c>
      <c r="N72" s="36"/>
      <c r="O72" s="36" t="s">
        <v>172</v>
      </c>
      <c r="P72" s="64" t="s">
        <v>70</v>
      </c>
      <c r="Q72" s="4">
        <v>46286</v>
      </c>
      <c r="R72" s="36"/>
      <c r="S72" s="36"/>
      <c r="T72" s="70" t="s">
        <v>339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47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</row>
    <row r="73" spans="1:36" ht="14.5" hidden="1" x14ac:dyDescent="0.35">
      <c r="A73" s="31" t="s">
        <v>113</v>
      </c>
      <c r="B73" s="31" t="s">
        <v>192</v>
      </c>
      <c r="C73" s="31" t="s">
        <v>134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track")),IF(C73="QA",IF(AND(W73="",V73=""),"No target set",IF(AND(IF(W73&lt;&gt;"",W73,V73)&lt;TODAY(),X73=""),"Overdue","On track")),IF(C73="DPO Approval",IF(AND(AA73="",Z73=""),"No target set",IF(IF(AA73&lt;&gt;"",AA73,Z73)&lt;TODAY(),"Overdue","On track")),IF(C73="RELEASED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193</v>
      </c>
      <c r="J73" s="31" t="s">
        <v>69</v>
      </c>
      <c r="K73" s="51"/>
      <c r="L73" s="43">
        <v>46259</v>
      </c>
      <c r="M73" s="47">
        <v>46259</v>
      </c>
      <c r="N73" s="44"/>
      <c r="O73" s="44" t="s">
        <v>172</v>
      </c>
      <c r="P73" s="67"/>
      <c r="Q73" s="51"/>
      <c r="R73" s="43"/>
      <c r="S73" s="44"/>
      <c r="T73" s="71" t="s">
        <v>340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</row>
    <row r="74" spans="1:36" ht="14.5" hidden="1" x14ac:dyDescent="0.35">
      <c r="A74" s="31" t="s">
        <v>113</v>
      </c>
      <c r="B74" s="31" t="s">
        <v>194</v>
      </c>
      <c r="C74" s="31" t="s">
        <v>175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track")),IF(C74="QA",IF(AND(W74="",V74=""),"No target set",IF(AND(IF(W74&lt;&gt;"",W74,V74)&lt;TODAY(),X74=""),"Overdue","On track")),IF(C74="DPO Approval",IF(AND(AA74="",Z74=""),"No target set",IF(IF(AA74&lt;&gt;"",AA74,Z74)&lt;TODAY(),"Overdue","On track")),IF(C74="RELEASED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193</v>
      </c>
      <c r="J74" s="55"/>
      <c r="K74" s="51"/>
      <c r="L74" s="43"/>
      <c r="M74" s="44"/>
      <c r="N74" s="44"/>
      <c r="O74" s="44" t="s">
        <v>331</v>
      </c>
      <c r="P74" s="76"/>
      <c r="Q74" s="51"/>
      <c r="R74" s="43"/>
      <c r="S74" s="44"/>
      <c r="T74" s="71" t="s">
        <v>340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</row>
    <row r="75" spans="1:36" ht="14.5" hidden="1" x14ac:dyDescent="0.35">
      <c r="A75" s="31" t="s">
        <v>113</v>
      </c>
      <c r="B75" s="31" t="s">
        <v>195</v>
      </c>
      <c r="C75" s="31" t="s">
        <v>175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track")),IF(C75="QA",IF(AND(W75="",V75=""),"No target set",IF(AND(IF(W75&lt;&gt;"",W75,V75)&lt;TODAY(),X75=""),"Overdue","On track")),IF(C75="DPO Approval",IF(AND(AA75="",Z75=""),"No target set",IF(IF(AA75&lt;&gt;"",AA75,Z75)&lt;TODAY(),"Overdue","On track")),IF(C75="RELEASED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193</v>
      </c>
      <c r="J75" s="55"/>
      <c r="K75" s="51"/>
      <c r="L75" s="43"/>
      <c r="M75" s="44"/>
      <c r="N75" s="44"/>
      <c r="O75" s="44" t="s">
        <v>331</v>
      </c>
      <c r="P75" s="76"/>
      <c r="Q75" s="51"/>
      <c r="R75" s="43"/>
      <c r="S75" s="44"/>
      <c r="T75" s="71" t="s">
        <v>340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</row>
    <row r="76" spans="1:36" ht="14.5" hidden="1" x14ac:dyDescent="0.35">
      <c r="A76" s="31" t="s">
        <v>113</v>
      </c>
      <c r="B76" s="31" t="s">
        <v>196</v>
      </c>
      <c r="C76" s="31" t="s">
        <v>175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track")),IF(C76="QA",IF(AND(W76="",V76=""),"No target set",IF(AND(IF(W76&lt;&gt;"",W76,V76)&lt;TODAY(),X76=""),"Overdue","On track")),IF(C76="DPO Approval",IF(AND(AA76="",Z76=""),"No target set",IF(IF(AA76&lt;&gt;"",AA76,Z76)&lt;TODAY(),"Overdue","On track")),IF(C76="RELEASED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193</v>
      </c>
      <c r="J76" s="55"/>
      <c r="K76" s="51"/>
      <c r="L76" s="43"/>
      <c r="M76" s="44"/>
      <c r="N76" s="44"/>
      <c r="O76" s="44" t="s">
        <v>331</v>
      </c>
      <c r="P76" s="76"/>
      <c r="Q76" s="51"/>
      <c r="R76" s="43"/>
      <c r="S76" s="44"/>
      <c r="T76" s="71" t="s">
        <v>340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</row>
    <row r="77" spans="1:36" ht="14.5" hidden="1" x14ac:dyDescent="0.35">
      <c r="A77" s="31" t="s">
        <v>113</v>
      </c>
      <c r="B77" s="31" t="s">
        <v>197</v>
      </c>
      <c r="C77" s="31" t="s">
        <v>175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track")),IF(C77="QA",IF(AND(W77="",V77=""),"No target set",IF(AND(IF(W77&lt;&gt;"",W77,V77)&lt;TODAY(),X77=""),"Overdue","On track")),IF(C77="DPO Approval",IF(AND(AA77="",Z77=""),"No target set",IF(IF(AA77&lt;&gt;"",AA77,Z77)&lt;TODAY(),"Overdue","On track")),IF(C77="RELEASED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193</v>
      </c>
      <c r="J77" s="55"/>
      <c r="K77" s="51"/>
      <c r="L77" s="43"/>
      <c r="M77" s="44"/>
      <c r="N77" s="44"/>
      <c r="O77" s="44" t="s">
        <v>331</v>
      </c>
      <c r="P77" s="76"/>
      <c r="Q77" s="51"/>
      <c r="R77" s="43"/>
      <c r="S77" s="44"/>
      <c r="T77" s="71" t="s">
        <v>340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</row>
    <row r="78" spans="1:36" ht="14.5" hidden="1" x14ac:dyDescent="0.35">
      <c r="A78" s="31" t="s">
        <v>113</v>
      </c>
      <c r="B78" s="31" t="s">
        <v>198</v>
      </c>
      <c r="C78" s="31" t="s">
        <v>175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track")),IF(C78="QA",IF(AND(W78="",V78=""),"No target set",IF(AND(IF(W78&lt;&gt;"",W78,V78)&lt;TODAY(),X78=""),"Overdue","On track")),IF(C78="DPO Approval",IF(AND(AA78="",Z78=""),"No target set",IF(IF(AA78&lt;&gt;"",AA78,Z78)&lt;TODAY(),"Overdue","On track")),IF(C78="RELEASED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193</v>
      </c>
      <c r="J78" s="55" t="s">
        <v>39</v>
      </c>
      <c r="K78" s="51"/>
      <c r="L78" s="43"/>
      <c r="M78" s="44"/>
      <c r="N78" s="44"/>
      <c r="O78" s="44" t="s">
        <v>331</v>
      </c>
      <c r="P78" s="76"/>
      <c r="Q78" s="51"/>
      <c r="R78" s="43"/>
      <c r="S78" s="44"/>
      <c r="T78" s="71" t="s">
        <v>340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</row>
    <row r="79" spans="1:36" ht="14.5" hidden="1" x14ac:dyDescent="0.35">
      <c r="A79" s="31" t="s">
        <v>113</v>
      </c>
      <c r="B79" s="31" t="s">
        <v>199</v>
      </c>
      <c r="C79" s="31" t="s">
        <v>175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track")),IF(C79="QA",IF(AND(W79="",V79=""),"No target set",IF(AND(IF(W79&lt;&gt;"",W79,V79)&lt;TODAY(),X79=""),"Overdue","On track")),IF(C79="DPO Approval",IF(AND(AA79="",Z79=""),"No target set",IF(IF(AA79&lt;&gt;"",AA79,Z79)&lt;TODAY(),"Overdue","On track")),IF(C79="RELEASED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193</v>
      </c>
      <c r="J79" s="55"/>
      <c r="K79" s="51"/>
      <c r="L79" s="43"/>
      <c r="M79" s="44"/>
      <c r="N79" s="44"/>
      <c r="O79" s="44" t="s">
        <v>331</v>
      </c>
      <c r="P79" s="76"/>
      <c r="Q79" s="51"/>
      <c r="R79" s="43"/>
      <c r="S79" s="44"/>
      <c r="T79" s="71" t="s">
        <v>340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</row>
    <row r="80" spans="1:36" ht="14.5" hidden="1" x14ac:dyDescent="0.35">
      <c r="A80" s="31" t="s">
        <v>113</v>
      </c>
      <c r="B80" s="31" t="s">
        <v>200</v>
      </c>
      <c r="C80" s="31" t="s">
        <v>175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track")),IF(C80="QA",IF(AND(W80="",V80=""),"No target set",IF(AND(IF(W80&lt;&gt;"",W80,V80)&lt;TODAY(),X80=""),"Overdue","On track")),IF(C80="DPO Approval",IF(AND(AA80="",Z80=""),"No target set",IF(IF(AA80&lt;&gt;"",AA80,Z80)&lt;TODAY(),"Overdue","On track")),IF(C80="RELEASED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193</v>
      </c>
      <c r="J80" s="55"/>
      <c r="K80" s="51"/>
      <c r="L80" s="43"/>
      <c r="M80" s="44"/>
      <c r="N80" s="44"/>
      <c r="O80" s="44" t="s">
        <v>331</v>
      </c>
      <c r="P80" s="76"/>
      <c r="Q80" s="51"/>
      <c r="R80" s="43"/>
      <c r="S80" s="44"/>
      <c r="T80" s="71" t="s">
        <v>340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</row>
    <row r="81" spans="1:36" ht="14.5" hidden="1" x14ac:dyDescent="0.35">
      <c r="A81" s="31" t="s">
        <v>113</v>
      </c>
      <c r="B81" s="31" t="s">
        <v>201</v>
      </c>
      <c r="C81" s="31" t="s">
        <v>175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track")),IF(C81="QA",IF(AND(W81="",V81=""),"No target set",IF(AND(IF(W81&lt;&gt;"",W81,V81)&lt;TODAY(),X81=""),"Overdue","On track")),IF(C81="DPO Approval",IF(AND(AA81="",Z81=""),"No target set",IF(IF(AA81&lt;&gt;"",AA81,Z81)&lt;TODAY(),"Overdue","On track")),IF(C81="RELEASED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193</v>
      </c>
      <c r="J81" s="55"/>
      <c r="K81" s="51"/>
      <c r="L81" s="43"/>
      <c r="M81" s="44"/>
      <c r="N81" s="44"/>
      <c r="O81" s="44" t="s">
        <v>331</v>
      </c>
      <c r="P81" s="76"/>
      <c r="Q81" s="51"/>
      <c r="R81" s="43"/>
      <c r="S81" s="44"/>
      <c r="T81" s="70" t="s">
        <v>341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</row>
    <row r="82" spans="1:36" ht="14.5" hidden="1" x14ac:dyDescent="0.35">
      <c r="A82" s="31" t="s">
        <v>113</v>
      </c>
      <c r="B82" s="31" t="s">
        <v>202</v>
      </c>
      <c r="C82" s="31" t="s">
        <v>175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track")),IF(C82="QA",IF(AND(W82="",V82=""),"No target set",IF(AND(IF(W82&lt;&gt;"",W82,V82)&lt;TODAY(),X82=""),"Overdue","On track")),IF(C82="DPO Approval",IF(AND(AA82="",Z82=""),"No target set",IF(IF(AA82&lt;&gt;"",AA82,Z82)&lt;TODAY(),"Overdue","On track")),IF(C82="RELEASED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193</v>
      </c>
      <c r="J82" s="55"/>
      <c r="K82" s="51"/>
      <c r="L82" s="43"/>
      <c r="M82" s="44"/>
      <c r="N82" s="44"/>
      <c r="O82" s="36" t="s">
        <v>332</v>
      </c>
      <c r="P82" s="76"/>
      <c r="Q82" s="51"/>
      <c r="R82" s="43"/>
      <c r="S82" s="44"/>
      <c r="T82" s="70" t="s">
        <v>341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</row>
    <row r="83" spans="1:36" ht="14.5" hidden="1" x14ac:dyDescent="0.35">
      <c r="A83" s="31" t="s">
        <v>113</v>
      </c>
      <c r="B83" s="31" t="s">
        <v>203</v>
      </c>
      <c r="C83" s="31" t="s">
        <v>175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track")),IF(C83="QA",IF(AND(W83="",V83=""),"No target set",IF(AND(IF(W83&lt;&gt;"",W83,V83)&lt;TODAY(),X83=""),"Overdue","On track")),IF(C83="DPO Approval",IF(AND(AA83="",Z83=""),"No target set",IF(IF(AA83&lt;&gt;"",AA83,Z83)&lt;TODAY(),"Overdue","On track")),IF(C83="RELEASED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193</v>
      </c>
      <c r="J83" s="55"/>
      <c r="K83" s="51"/>
      <c r="L83" s="43"/>
      <c r="M83" s="44"/>
      <c r="N83" s="44"/>
      <c r="O83" s="36" t="s">
        <v>332</v>
      </c>
      <c r="P83" s="76"/>
      <c r="Q83" s="51"/>
      <c r="R83" s="43"/>
      <c r="S83" s="44"/>
      <c r="T83" s="70" t="s">
        <v>341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</row>
    <row r="84" spans="1:36" ht="14.5" hidden="1" x14ac:dyDescent="0.35">
      <c r="A84" s="31" t="s">
        <v>113</v>
      </c>
      <c r="B84" s="31" t="s">
        <v>204</v>
      </c>
      <c r="C84" s="31" t="s">
        <v>175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track")),IF(C84="QA",IF(AND(W84="",V84=""),"No target set",IF(AND(IF(W84&lt;&gt;"",W84,V84)&lt;TODAY(),X84=""),"Overdue","On track")),IF(C84="DPO Approval",IF(AND(AA84="",Z84=""),"No target set",IF(IF(AA84&lt;&gt;"",AA84,Z84)&lt;TODAY(),"Overdue","On track")),IF(C84="RELEASED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193</v>
      </c>
      <c r="J84" s="55"/>
      <c r="K84" s="51"/>
      <c r="L84" s="43"/>
      <c r="M84" s="44"/>
      <c r="N84" s="44"/>
      <c r="O84" s="36" t="s">
        <v>332</v>
      </c>
      <c r="P84" s="76"/>
      <c r="Q84" s="51"/>
      <c r="R84" s="43"/>
      <c r="S84" s="44"/>
      <c r="T84" s="70" t="s">
        <v>341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</row>
    <row r="85" spans="1:36" ht="14.5" hidden="1" x14ac:dyDescent="0.35">
      <c r="A85" s="31" t="s">
        <v>113</v>
      </c>
      <c r="B85" s="31" t="s">
        <v>205</v>
      </c>
      <c r="C85" s="31" t="s">
        <v>175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track")),IF(C85="QA",IF(AND(W85="",V85=""),"No target set",IF(AND(IF(W85&lt;&gt;"",W85,V85)&lt;TODAY(),X85=""),"Overdue","On track")),IF(C85="DPO Approval",IF(AND(AA85="",Z85=""),"No target set",IF(IF(AA85&lt;&gt;"",AA85,Z85)&lt;TODAY(),"Overdue","On track")),IF(C85="RELEASED IN PROD","Delivered",""))))))))</f>
        <v>On track</v>
      </c>
      <c r="E85" s="31" t="s">
        <v>206</v>
      </c>
      <c r="F85" s="31"/>
      <c r="G85" s="31"/>
      <c r="H85" s="50">
        <v>46325</v>
      </c>
      <c r="I85" s="57" t="s">
        <v>193</v>
      </c>
      <c r="J85" s="55"/>
      <c r="K85" s="51"/>
      <c r="L85" s="43"/>
      <c r="M85" s="44"/>
      <c r="N85" s="44"/>
      <c r="O85" s="36" t="s">
        <v>332</v>
      </c>
      <c r="P85" s="76"/>
      <c r="Q85" s="51"/>
      <c r="R85" s="43"/>
      <c r="S85" s="44"/>
      <c r="T85" s="70" t="s">
        <v>341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</row>
    <row r="86" spans="1:36" ht="14.5" hidden="1" x14ac:dyDescent="0.35">
      <c r="A86" s="31" t="s">
        <v>113</v>
      </c>
      <c r="B86" s="31" t="s">
        <v>207</v>
      </c>
      <c r="C86" s="31" t="s">
        <v>175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track")),IF(C86="QA",IF(AND(W86="",V86=""),"No target set",IF(AND(IF(W86&lt;&gt;"",W86,V86)&lt;TODAY(),X86=""),"Overdue","On track")),IF(C86="DPO Approval",IF(AND(AA86="",Z86=""),"No target set",IF(IF(AA86&lt;&gt;"",AA86,Z86)&lt;TODAY(),"Overdue","On track")),IF(C86="RELEASED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208</v>
      </c>
      <c r="J86" s="55"/>
      <c r="K86" s="51"/>
      <c r="L86" s="43"/>
      <c r="M86" s="44"/>
      <c r="N86" s="44"/>
      <c r="O86" s="36" t="s">
        <v>333</v>
      </c>
      <c r="P86" s="76"/>
      <c r="Q86" s="51"/>
      <c r="R86" s="43"/>
      <c r="S86" s="44"/>
      <c r="T86" s="70" t="s">
        <v>341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</row>
    <row r="87" spans="1:36" ht="14.5" hidden="1" x14ac:dyDescent="0.35">
      <c r="A87" s="31" t="s">
        <v>113</v>
      </c>
      <c r="B87" s="31" t="s">
        <v>209</v>
      </c>
      <c r="C87" s="31" t="s">
        <v>175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track")),IF(C87="QA",IF(AND(W87="",V87=""),"No target set",IF(AND(IF(W87&lt;&gt;"",W87,V87)&lt;TODAY(),X87=""),"Overdue","On track")),IF(C87="DPO Approval",IF(AND(AA87="",Z87=""),"No target set",IF(IF(AA87&lt;&gt;"",AA87,Z87)&lt;TODAY(),"Overdue","On track")),IF(C87="RELEASED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208</v>
      </c>
      <c r="J87" s="55"/>
      <c r="K87" s="51"/>
      <c r="L87" s="43"/>
      <c r="M87" s="44"/>
      <c r="N87" s="44"/>
      <c r="O87" s="36" t="s">
        <v>333</v>
      </c>
      <c r="P87" s="76"/>
      <c r="Q87" s="51"/>
      <c r="R87" s="43"/>
      <c r="S87" s="44"/>
      <c r="T87" s="70" t="s">
        <v>341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</row>
    <row r="88" spans="1:36" ht="14.5" hidden="1" x14ac:dyDescent="0.35">
      <c r="A88" s="31" t="s">
        <v>113</v>
      </c>
      <c r="B88" s="31" t="s">
        <v>210</v>
      </c>
      <c r="C88" s="31" t="s">
        <v>175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track")),IF(C88="QA",IF(AND(W88="",V88=""),"No target set",IF(AND(IF(W88&lt;&gt;"",W88,V88)&lt;TODAY(),X88=""),"Overdue","On track")),IF(C88="DPO Approval",IF(AND(AA88="",Z88=""),"No target set",IF(IF(AA88&lt;&gt;"",AA88,Z88)&lt;TODAY(),"Overdue","On track")),IF(C88="RELEASED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208</v>
      </c>
      <c r="J88" s="55"/>
      <c r="K88" s="51"/>
      <c r="L88" s="43"/>
      <c r="M88" s="44"/>
      <c r="N88" s="44"/>
      <c r="O88" s="36" t="s">
        <v>333</v>
      </c>
      <c r="P88" s="76"/>
      <c r="Q88" s="51"/>
      <c r="R88" s="43"/>
      <c r="S88" s="44"/>
      <c r="T88" s="70" t="s">
        <v>342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</row>
    <row r="89" spans="1:36" ht="14.5" hidden="1" x14ac:dyDescent="0.35">
      <c r="A89" s="31" t="s">
        <v>113</v>
      </c>
      <c r="B89" s="31" t="s">
        <v>211</v>
      </c>
      <c r="C89" s="31" t="s">
        <v>175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track")),IF(C89="QA",IF(AND(W89="",V89=""),"No target set",IF(AND(IF(W89&lt;&gt;"",W89,V89)&lt;TODAY(),X89=""),"Overdue","On track")),IF(C89="DPO Approval",IF(AND(AA89="",Z89=""),"No target set",IF(IF(AA89&lt;&gt;"",AA89,Z89)&lt;TODAY(),"Overdue","On track")),IF(C89="RELEASED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208</v>
      </c>
      <c r="J89" s="55"/>
      <c r="K89" s="51"/>
      <c r="L89" s="43"/>
      <c r="M89" s="44"/>
      <c r="N89" s="44"/>
      <c r="O89" s="36" t="s">
        <v>333</v>
      </c>
      <c r="P89" s="76"/>
      <c r="Q89" s="51"/>
      <c r="R89" s="43"/>
      <c r="S89" s="44"/>
      <c r="T89" s="70" t="s">
        <v>342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</row>
    <row r="90" spans="1:36" ht="14.5" hidden="1" x14ac:dyDescent="0.35">
      <c r="A90" s="31" t="s">
        <v>113</v>
      </c>
      <c r="B90" s="31" t="s">
        <v>212</v>
      </c>
      <c r="C90" s="31" t="s">
        <v>175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track")),IF(C90="QA",IF(AND(W90="",V90=""),"No target set",IF(AND(IF(W90&lt;&gt;"",W90,V90)&lt;TODAY(),X90=""),"Overdue","On track")),IF(C90="DPO Approval",IF(AND(AA90="",Z90=""),"No target set",IF(IF(AA90&lt;&gt;"",AA90,Z90)&lt;TODAY(),"Overdue","On track")),IF(C90="RELEASED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208</v>
      </c>
      <c r="J90" s="55"/>
      <c r="K90" s="51"/>
      <c r="L90" s="43"/>
      <c r="M90" s="44"/>
      <c r="N90" s="44"/>
      <c r="O90" s="36" t="s">
        <v>333</v>
      </c>
      <c r="P90" s="76"/>
      <c r="Q90" s="51"/>
      <c r="R90" s="43"/>
      <c r="S90" s="44"/>
      <c r="T90" s="70" t="s">
        <v>342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</row>
    <row r="91" spans="1:36" ht="14.5" hidden="1" x14ac:dyDescent="0.35">
      <c r="A91" s="31" t="s">
        <v>113</v>
      </c>
      <c r="B91" s="31" t="s">
        <v>213</v>
      </c>
      <c r="C91" s="31" t="s">
        <v>175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track")),IF(C91="QA",IF(AND(W91="",V91=""),"No target set",IF(AND(IF(W91&lt;&gt;"",W91,V91)&lt;TODAY(),X91=""),"Overdue","On track")),IF(C91="DPO Approval",IF(AND(AA91="",Z91=""),"No target set",IF(IF(AA91&lt;&gt;"",AA91,Z91)&lt;TODAY(),"Overdue","On track")),IF(C91="RELEASED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208</v>
      </c>
      <c r="J91" s="55"/>
      <c r="K91" s="51"/>
      <c r="L91" s="43"/>
      <c r="M91" s="44"/>
      <c r="N91" s="44"/>
      <c r="O91" s="36" t="s">
        <v>333</v>
      </c>
      <c r="P91" s="76"/>
      <c r="Q91" s="51"/>
      <c r="R91" s="43"/>
      <c r="S91" s="44"/>
      <c r="T91" s="70" t="s">
        <v>342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</row>
    <row r="92" spans="1:36" ht="14.5" hidden="1" x14ac:dyDescent="0.35">
      <c r="A92" s="31" t="s">
        <v>113</v>
      </c>
      <c r="B92" s="31" t="s">
        <v>214</v>
      </c>
      <c r="C92" s="31" t="s">
        <v>175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track")),IF(C92="QA",IF(AND(W92="",V92=""),"No target set",IF(AND(IF(W92&lt;&gt;"",W92,V92)&lt;TODAY(),X92=""),"Overdue","On track")),IF(C92="DPO Approval",IF(AND(AA92="",Z92=""),"No target set",IF(IF(AA92&lt;&gt;"",AA92,Z92)&lt;TODAY(),"Overdue","On track")),IF(C92="RELEASED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208</v>
      </c>
      <c r="J92" s="55"/>
      <c r="K92" s="51"/>
      <c r="L92" s="43"/>
      <c r="M92" s="44"/>
      <c r="N92" s="44"/>
      <c r="O92" s="36" t="s">
        <v>334</v>
      </c>
      <c r="P92" s="76"/>
      <c r="Q92" s="51"/>
      <c r="R92" s="43"/>
      <c r="S92" s="44"/>
      <c r="T92" s="70" t="s">
        <v>342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</row>
    <row r="93" spans="1:36" ht="14.5" hidden="1" x14ac:dyDescent="0.35">
      <c r="A93" s="31" t="s">
        <v>113</v>
      </c>
      <c r="B93" s="31" t="s">
        <v>215</v>
      </c>
      <c r="C93" s="31" t="s">
        <v>175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track")),IF(C93="QA",IF(AND(W93="",V93=""),"No target set",IF(AND(IF(W93&lt;&gt;"",W93,V93)&lt;TODAY(),X93=""),"Overdue","On track")),IF(C93="DPO Approval",IF(AND(AA93="",Z93=""),"No target set",IF(IF(AA93&lt;&gt;"",AA93,Z93)&lt;TODAY(),"Overdue","On track")),IF(C93="RELEASED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208</v>
      </c>
      <c r="J93" s="55"/>
      <c r="K93" s="51"/>
      <c r="L93" s="43"/>
      <c r="M93" s="44"/>
      <c r="N93" s="44"/>
      <c r="O93" s="36" t="s">
        <v>334</v>
      </c>
      <c r="P93" s="76"/>
      <c r="Q93" s="51"/>
      <c r="R93" s="43"/>
      <c r="S93" s="44"/>
      <c r="T93" s="70" t="s">
        <v>342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</row>
    <row r="94" spans="1:36" ht="14.5" hidden="1" x14ac:dyDescent="0.35">
      <c r="A94" s="31" t="s">
        <v>113</v>
      </c>
      <c r="B94" s="31" t="s">
        <v>216</v>
      </c>
      <c r="C94" s="31" t="s">
        <v>175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track")),IF(C94="QA",IF(AND(W94="",V94=""),"No target set",IF(AND(IF(W94&lt;&gt;"",W94,V94)&lt;TODAY(),X94=""),"Overdue","On track")),IF(C94="DPO Approval",IF(AND(AA94="",Z94=""),"No target set",IF(IF(AA94&lt;&gt;"",AA94,Z94)&lt;TODAY(),"Overdue","On track")),IF(C94="RELEASED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208</v>
      </c>
      <c r="J94" s="55"/>
      <c r="K94" s="51"/>
      <c r="L94" s="43"/>
      <c r="M94" s="44"/>
      <c r="N94" s="44"/>
      <c r="O94" s="36" t="s">
        <v>334</v>
      </c>
      <c r="P94" s="76"/>
      <c r="Q94" s="51"/>
      <c r="R94" s="43"/>
      <c r="S94" s="44"/>
      <c r="T94" s="70" t="s">
        <v>342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</row>
    <row r="95" spans="1:36" ht="14.5" hidden="1" x14ac:dyDescent="0.35">
      <c r="A95" s="31" t="s">
        <v>113</v>
      </c>
      <c r="B95" s="31" t="s">
        <v>217</v>
      </c>
      <c r="C95" s="31" t="s">
        <v>175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track")),IF(C95="QA",IF(AND(W95="",V95=""),"No target set",IF(AND(IF(W95&lt;&gt;"",W95,V95)&lt;TODAY(),X95=""),"Overdue","On track")),IF(C95="DPO Approval",IF(AND(AA95="",Z95=""),"No target set",IF(IF(AA95&lt;&gt;"",AA95,Z95)&lt;TODAY(),"Overdue","On track")),IF(C95="RELEASED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208</v>
      </c>
      <c r="J95" s="55"/>
      <c r="K95" s="51"/>
      <c r="L95" s="43"/>
      <c r="M95" s="44"/>
      <c r="N95" s="44"/>
      <c r="O95" s="36" t="s">
        <v>334</v>
      </c>
      <c r="P95" s="76"/>
      <c r="Q95" s="51"/>
      <c r="R95" s="43"/>
      <c r="S95" s="44"/>
      <c r="T95" s="70" t="s">
        <v>343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</row>
    <row r="96" spans="1:36" ht="14.5" hidden="1" x14ac:dyDescent="0.35">
      <c r="A96" s="31" t="s">
        <v>113</v>
      </c>
      <c r="B96" s="31" t="s">
        <v>218</v>
      </c>
      <c r="C96" s="31" t="s">
        <v>175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track")),IF(C96="QA",IF(AND(W96="",V96=""),"No target set",IF(AND(IF(W96&lt;&gt;"",W96,V96)&lt;TODAY(),X96=""),"Overdue","On track")),IF(C96="DPO Approval",IF(AND(AA96="",Z96=""),"No target set",IF(IF(AA96&lt;&gt;"",AA96,Z96)&lt;TODAY(),"Overdue","On track")),IF(C96="RELEASED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208</v>
      </c>
      <c r="J96" s="55"/>
      <c r="K96" s="51"/>
      <c r="L96" s="43"/>
      <c r="M96" s="44"/>
      <c r="N96" s="44"/>
      <c r="O96" s="36" t="s">
        <v>334</v>
      </c>
      <c r="P96" s="76"/>
      <c r="Q96" s="51"/>
      <c r="R96" s="43"/>
      <c r="S96" s="44"/>
      <c r="T96" s="70" t="s">
        <v>343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</row>
    <row r="97" spans="1:36" ht="14.5" hidden="1" x14ac:dyDescent="0.35">
      <c r="A97" s="31" t="s">
        <v>113</v>
      </c>
      <c r="B97" s="31" t="s">
        <v>219</v>
      </c>
      <c r="C97" s="31" t="s">
        <v>175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track")),IF(C97="QA",IF(AND(W97="",V97=""),"No target set",IF(AND(IF(W97&lt;&gt;"",W97,V97)&lt;TODAY(),X97=""),"Overdue","On track")),IF(C97="DPO Approval",IF(AND(AA97="",Z97=""),"No target set",IF(IF(AA97&lt;&gt;"",AA97,Z97)&lt;TODAY(),"Overdue","On track")),IF(C97="RELEASED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208</v>
      </c>
      <c r="J97" s="55"/>
      <c r="K97" s="51"/>
      <c r="L97" s="43"/>
      <c r="M97" s="44"/>
      <c r="N97" s="44"/>
      <c r="O97" s="36" t="s">
        <v>334</v>
      </c>
      <c r="P97" s="76"/>
      <c r="Q97" s="51"/>
      <c r="R97" s="43"/>
      <c r="S97" s="44"/>
      <c r="T97" s="70" t="s">
        <v>343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</row>
    <row r="98" spans="1:36" ht="14.5" hidden="1" x14ac:dyDescent="0.35">
      <c r="A98" s="31" t="s">
        <v>113</v>
      </c>
      <c r="B98" s="31" t="s">
        <v>220</v>
      </c>
      <c r="C98" s="31" t="s">
        <v>175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track")),IF(C98="QA",IF(AND(W98="",V98=""),"No target set",IF(AND(IF(W98&lt;&gt;"",W98,V98)&lt;TODAY(),X98=""),"Overdue","On track")),IF(C98="DPO Approval",IF(AND(AA98="",Z98=""),"No target set",IF(IF(AA98&lt;&gt;"",AA98,Z98)&lt;TODAY(),"Overdue","On track")),IF(C98="RELEASED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208</v>
      </c>
      <c r="J98" s="55"/>
      <c r="K98" s="51"/>
      <c r="L98" s="43"/>
      <c r="M98" s="44"/>
      <c r="N98" s="44"/>
      <c r="O98" s="36" t="s">
        <v>334</v>
      </c>
      <c r="P98" s="76"/>
      <c r="Q98" s="51"/>
      <c r="R98" s="43"/>
      <c r="S98" s="44"/>
      <c r="T98" s="70" t="s">
        <v>343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</row>
    <row r="99" spans="1:36" ht="14.5" hidden="1" x14ac:dyDescent="0.35">
      <c r="A99" s="31" t="s">
        <v>113</v>
      </c>
      <c r="B99" s="31" t="s">
        <v>221</v>
      </c>
      <c r="C99" s="31" t="s">
        <v>175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track")),IF(C99="QA",IF(AND(W99="",V99=""),"No target set",IF(AND(IF(W99&lt;&gt;"",W99,V99)&lt;TODAY(),X99=""),"Overdue","On track")),IF(C99="DPO Approval",IF(AND(AA99="",Z99=""),"No target set",IF(IF(AA99&lt;&gt;"",AA99,Z99)&lt;TODAY(),"Overdue","On track")),IF(C99="RELEASED IN PROD","Delivered",""))))))))</f>
        <v>On track</v>
      </c>
      <c r="E99" s="31" t="s">
        <v>222</v>
      </c>
      <c r="F99" s="31"/>
      <c r="G99" s="31"/>
      <c r="H99" s="50">
        <v>46356</v>
      </c>
      <c r="I99" s="57" t="s">
        <v>208</v>
      </c>
      <c r="J99" s="55"/>
      <c r="K99" s="51"/>
      <c r="L99" s="43"/>
      <c r="M99" s="44"/>
      <c r="N99" s="44"/>
      <c r="O99" s="36" t="s">
        <v>334</v>
      </c>
      <c r="P99" s="76"/>
      <c r="Q99" s="51"/>
      <c r="R99" s="43"/>
      <c r="S99" s="44"/>
      <c r="T99" s="70" t="s">
        <v>343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</row>
    <row r="100" spans="1:36" ht="14.5" hidden="1" x14ac:dyDescent="0.35">
      <c r="A100" s="31" t="s">
        <v>113</v>
      </c>
      <c r="B100" s="31" t="s">
        <v>223</v>
      </c>
      <c r="C100" s="31" t="s">
        <v>175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track")),IF(C100="QA",IF(AND(W100="",V100=""),"No target set",IF(AND(IF(W100&lt;&gt;"",W100,V100)&lt;TODAY(),X100=""),"Overdue","On track")),IF(C100="DPO Approval",IF(AND(AA100="",Z100=""),"No target set",IF(IF(AA100&lt;&gt;"",AA100,Z100)&lt;TODAY(),"Overdue","On track")),IF(C100="RELEASED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208</v>
      </c>
      <c r="J100" s="55"/>
      <c r="K100" s="51"/>
      <c r="L100" s="43"/>
      <c r="M100" s="44"/>
      <c r="N100" s="44"/>
      <c r="O100" s="36" t="s">
        <v>334</v>
      </c>
      <c r="P100" s="76"/>
      <c r="Q100" s="51"/>
      <c r="R100" s="43"/>
      <c r="S100" s="44"/>
      <c r="T100" s="70" t="s">
        <v>343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</row>
    <row r="101" spans="1:36" ht="14.5" hidden="1" x14ac:dyDescent="0.35">
      <c r="A101" s="31" t="s">
        <v>224</v>
      </c>
      <c r="B101" s="31" t="s">
        <v>225</v>
      </c>
      <c r="C101" s="31" t="s">
        <v>175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track")),IF(C101="QA",IF(AND(W101="",V101=""),"No target set",IF(AND(IF(W101&lt;&gt;"",W101,V101)&lt;TODAY(),X101=""),"Overdue","On track")),IF(C101="DPO Approval",IF(AND(AA101="",Z101=""),"No target set",IF(IF(AA101&lt;&gt;"",AA101,Z101)&lt;TODAY(),"Overdue","On track")),IF(C101="RELEASED IN PROD","Delivered",""))))))))</f>
        <v>On track</v>
      </c>
      <c r="E101" s="31">
        <v>1</v>
      </c>
      <c r="F101" s="31" t="s">
        <v>116</v>
      </c>
      <c r="G101" s="31"/>
      <c r="H101" s="28">
        <v>46387</v>
      </c>
      <c r="I101" s="57" t="s">
        <v>226</v>
      </c>
      <c r="J101" s="55"/>
      <c r="L101" s="43"/>
      <c r="M101" s="31"/>
      <c r="N101" s="31"/>
      <c r="O101" s="36" t="s">
        <v>335</v>
      </c>
      <c r="P101" s="76"/>
      <c r="R101" s="43"/>
      <c r="S101" s="31"/>
      <c r="T101" s="70" t="s">
        <v>343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</row>
    <row r="102" spans="1:36" ht="14.5" hidden="1" x14ac:dyDescent="0.35">
      <c r="A102" s="31" t="s">
        <v>224</v>
      </c>
      <c r="B102" s="31" t="s">
        <v>227</v>
      </c>
      <c r="C102" s="31" t="s">
        <v>175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track")),IF(C102="QA",IF(AND(W102="",V102=""),"No target set",IF(AND(IF(W102&lt;&gt;"",W102,V102)&lt;TODAY(),X102=""),"Overdue","On track")),IF(C102="DPO Approval",IF(AND(AA102="",Z102=""),"No target set",IF(IF(AA102&lt;&gt;"",AA102,Z102)&lt;TODAY(),"Overdue","On track")),IF(C102="RELEASED IN PROD","Delivered",""))))))))</f>
        <v>On track</v>
      </c>
      <c r="E102" s="31">
        <v>2</v>
      </c>
      <c r="F102" s="31" t="s">
        <v>116</v>
      </c>
      <c r="G102" s="31"/>
      <c r="H102" s="28">
        <v>46387</v>
      </c>
      <c r="I102" s="57" t="s">
        <v>226</v>
      </c>
      <c r="J102" s="55"/>
      <c r="L102" s="43"/>
      <c r="M102" s="31"/>
      <c r="N102" s="31"/>
      <c r="O102" s="36" t="s">
        <v>335</v>
      </c>
      <c r="P102" s="76"/>
      <c r="R102" s="43"/>
      <c r="S102" s="31"/>
      <c r="T102" s="70" t="s">
        <v>344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</row>
    <row r="103" spans="1:36" ht="14.5" hidden="1" x14ac:dyDescent="0.35">
      <c r="A103" s="31" t="s">
        <v>224</v>
      </c>
      <c r="B103" s="31" t="s">
        <v>228</v>
      </c>
      <c r="C103" s="31" t="s">
        <v>175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track")),IF(C103="QA",IF(AND(W103="",V103=""),"No target set",IF(AND(IF(W103&lt;&gt;"",W103,V103)&lt;TODAY(),X103=""),"Overdue","On track")),IF(C103="DPO Approval",IF(AND(AA103="",Z103=""),"No target set",IF(IF(AA103&lt;&gt;"",AA103,Z103)&lt;TODAY(),"Overdue","On track")),IF(C103="RELEASED IN PROD","Delivered",""))))))))</f>
        <v>On track</v>
      </c>
      <c r="E103" s="31">
        <v>3</v>
      </c>
      <c r="F103" s="31" t="s">
        <v>116</v>
      </c>
      <c r="G103" s="31"/>
      <c r="H103" s="28">
        <v>46387</v>
      </c>
      <c r="I103" s="57" t="s">
        <v>226</v>
      </c>
      <c r="J103" s="55"/>
      <c r="L103" s="43"/>
      <c r="M103" s="31"/>
      <c r="N103" s="31"/>
      <c r="O103" s="36" t="s">
        <v>335</v>
      </c>
      <c r="P103" s="76"/>
      <c r="R103" s="43"/>
      <c r="S103" s="31"/>
      <c r="T103" s="70" t="s">
        <v>344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</row>
    <row r="104" spans="1:36" ht="14.5" hidden="1" x14ac:dyDescent="0.35">
      <c r="A104" s="31" t="s">
        <v>229</v>
      </c>
      <c r="B104" s="31" t="s">
        <v>230</v>
      </c>
      <c r="C104" s="31" t="s">
        <v>175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track")),IF(C104="QA",IF(AND(W104="",V104=""),"No target set",IF(AND(IF(W104&lt;&gt;"",W104,V104)&lt;TODAY(),X104=""),"Overdue","On track")),IF(C104="DPO Approval",IF(AND(AA104="",Z104=""),"No target set",IF(IF(AA104&lt;&gt;"",AA104,Z104)&lt;TODAY(),"Overdue","On track")),IF(C104="RELEASED IN PROD","Delivered",""))))))))</f>
        <v>On track</v>
      </c>
      <c r="E104" s="31">
        <v>4</v>
      </c>
      <c r="F104" s="31" t="s">
        <v>131</v>
      </c>
      <c r="G104" s="31"/>
      <c r="H104" s="28">
        <v>46387</v>
      </c>
      <c r="I104" s="57" t="s">
        <v>226</v>
      </c>
      <c r="J104" s="55"/>
      <c r="L104" s="43"/>
      <c r="M104" s="31"/>
      <c r="N104" s="31"/>
      <c r="O104" s="36" t="s">
        <v>335</v>
      </c>
      <c r="P104" s="76"/>
      <c r="R104" s="43"/>
      <c r="S104" s="31"/>
      <c r="T104" s="70" t="s">
        <v>344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</row>
    <row r="105" spans="1:36" ht="14.5" hidden="1" x14ac:dyDescent="0.35">
      <c r="A105" s="31" t="s">
        <v>224</v>
      </c>
      <c r="B105" s="31" t="s">
        <v>231</v>
      </c>
      <c r="C105" s="31" t="s">
        <v>175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track")),IF(C105="QA",IF(AND(W105="",V105=""),"No target set",IF(AND(IF(W105&lt;&gt;"",W105,V105)&lt;TODAY(),X105=""),"Overdue","On track")),IF(C105="DPO Approval",IF(AND(AA105="",Z105=""),"No target set",IF(IF(AA105&lt;&gt;"",AA105,Z105)&lt;TODAY(),"Overdue","On track")),IF(C105="RELEASED IN PROD","Delivered",""))))))))</f>
        <v>On track</v>
      </c>
      <c r="E105" s="31">
        <v>5</v>
      </c>
      <c r="F105" s="31" t="s">
        <v>116</v>
      </c>
      <c r="G105" s="31"/>
      <c r="H105" s="28">
        <v>46387</v>
      </c>
      <c r="I105" s="57" t="s">
        <v>226</v>
      </c>
      <c r="J105" s="55"/>
      <c r="L105" s="43"/>
      <c r="M105" s="31"/>
      <c r="N105" s="31"/>
      <c r="O105" s="36" t="s">
        <v>335</v>
      </c>
      <c r="P105" s="76"/>
      <c r="R105" s="43"/>
      <c r="S105" s="31"/>
      <c r="T105" s="70" t="s">
        <v>344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</row>
    <row r="106" spans="1:36" ht="14.5" hidden="1" x14ac:dyDescent="0.35">
      <c r="A106" s="31" t="s">
        <v>224</v>
      </c>
      <c r="B106" s="31" t="s">
        <v>232</v>
      </c>
      <c r="C106" s="31" t="s">
        <v>175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track")),IF(C106="QA",IF(AND(W106="",V106=""),"No target set",IF(AND(IF(W106&lt;&gt;"",W106,V106)&lt;TODAY(),X106=""),"Overdue","On track")),IF(C106="DPO Approval",IF(AND(AA106="",Z106=""),"No target set",IF(IF(AA106&lt;&gt;"",AA106,Z106)&lt;TODAY(),"Overdue","On track")),IF(C106="RELEASED IN PROD","Delivered",""))))))))</f>
        <v>On track</v>
      </c>
      <c r="E106" s="31">
        <v>6</v>
      </c>
      <c r="F106" s="31" t="s">
        <v>116</v>
      </c>
      <c r="G106" s="31"/>
      <c r="H106" s="28">
        <v>46387</v>
      </c>
      <c r="I106" s="57" t="s">
        <v>226</v>
      </c>
      <c r="J106" s="55"/>
      <c r="L106" s="43"/>
      <c r="M106" s="31"/>
      <c r="N106" s="31"/>
      <c r="O106" s="36" t="s">
        <v>335</v>
      </c>
      <c r="P106" s="76"/>
      <c r="R106" s="43"/>
      <c r="S106" s="31"/>
      <c r="T106" s="70" t="s">
        <v>344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</row>
    <row r="107" spans="1:36" ht="14.5" hidden="1" x14ac:dyDescent="0.35">
      <c r="A107" s="31" t="s">
        <v>224</v>
      </c>
      <c r="B107" s="31" t="s">
        <v>233</v>
      </c>
      <c r="C107" s="31" t="s">
        <v>175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track")),IF(C107="QA",IF(AND(W107="",V107=""),"No target set",IF(AND(IF(W107&lt;&gt;"",W107,V107)&lt;TODAY(),X107=""),"Overdue","On track")),IF(C107="DPO Approval",IF(AND(AA107="",Z107=""),"No target set",IF(IF(AA107&lt;&gt;"",AA107,Z107)&lt;TODAY(),"Overdue","On track")),IF(C107="RELEASED IN PROD","Delivered",""))))))))</f>
        <v>On track</v>
      </c>
      <c r="E107" s="31">
        <v>7</v>
      </c>
      <c r="F107" s="31" t="s">
        <v>116</v>
      </c>
      <c r="G107" s="31"/>
      <c r="H107" s="28">
        <v>46387</v>
      </c>
      <c r="I107" s="57" t="s">
        <v>226</v>
      </c>
      <c r="J107" s="55"/>
      <c r="L107" s="43"/>
      <c r="M107" s="31"/>
      <c r="N107" s="31"/>
      <c r="O107" s="36" t="s">
        <v>335</v>
      </c>
      <c r="P107" s="76"/>
      <c r="R107" s="43"/>
      <c r="S107" s="31"/>
      <c r="T107" s="70" t="s">
        <v>344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</row>
    <row r="108" spans="1:36" ht="14.5" hidden="1" x14ac:dyDescent="0.35">
      <c r="A108" s="31" t="s">
        <v>224</v>
      </c>
      <c r="B108" s="31" t="s">
        <v>234</v>
      </c>
      <c r="C108" s="31" t="s">
        <v>175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track")),IF(C108="QA",IF(AND(W108="",V108=""),"No target set",IF(AND(IF(W108&lt;&gt;"",W108,V108)&lt;TODAY(),X108=""),"Overdue","On track")),IF(C108="DPO Approval",IF(AND(AA108="",Z108=""),"No target set",IF(IF(AA108&lt;&gt;"",AA108,Z108)&lt;TODAY(),"Overdue","On track")),IF(C108="RELEASED IN PROD","Delivered",""))))))))</f>
        <v>On track</v>
      </c>
      <c r="E108" s="31">
        <v>8</v>
      </c>
      <c r="F108" s="31" t="s">
        <v>116</v>
      </c>
      <c r="G108" s="31"/>
      <c r="H108" s="28">
        <v>46387</v>
      </c>
      <c r="I108" s="57" t="s">
        <v>226</v>
      </c>
      <c r="J108" s="55"/>
      <c r="L108" s="43"/>
      <c r="M108" s="31"/>
      <c r="N108" s="31"/>
      <c r="O108" s="36" t="s">
        <v>336</v>
      </c>
      <c r="P108" s="76"/>
      <c r="R108" s="43"/>
      <c r="S108" s="31"/>
      <c r="T108" s="70" t="s">
        <v>344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</row>
    <row r="109" spans="1:36" ht="14.5" hidden="1" x14ac:dyDescent="0.35">
      <c r="A109" s="31" t="s">
        <v>229</v>
      </c>
      <c r="B109" s="31" t="s">
        <v>235</v>
      </c>
      <c r="C109" s="31" t="s">
        <v>175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track")),IF(C109="QA",IF(AND(W109="",V109=""),"No target set",IF(AND(IF(W109&lt;&gt;"",W109,V109)&lt;TODAY(),X109=""),"Overdue","On track")),IF(C109="DPO Approval",IF(AND(AA109="",Z109=""),"No target set",IF(IF(AA109&lt;&gt;"",AA109,Z109)&lt;TODAY(),"Overdue","On track")),IF(C109="RELEASED IN PROD","Delivered",""))))))))</f>
        <v>On track</v>
      </c>
      <c r="E109" s="31">
        <v>9</v>
      </c>
      <c r="F109" s="31" t="s">
        <v>131</v>
      </c>
      <c r="G109" s="31"/>
      <c r="H109" s="28">
        <v>46387</v>
      </c>
      <c r="I109" s="57" t="s">
        <v>226</v>
      </c>
      <c r="J109" s="55"/>
      <c r="L109" s="43"/>
      <c r="M109" s="31"/>
      <c r="N109" s="31"/>
      <c r="O109" s="36" t="s">
        <v>336</v>
      </c>
      <c r="P109" s="76"/>
      <c r="R109" s="43"/>
      <c r="S109" s="31"/>
      <c r="T109" s="70" t="s">
        <v>345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</row>
    <row r="110" spans="1:36" ht="14.5" hidden="1" x14ac:dyDescent="0.35">
      <c r="A110" s="31" t="s">
        <v>224</v>
      </c>
      <c r="B110" s="31" t="s">
        <v>236</v>
      </c>
      <c r="C110" s="31" t="s">
        <v>175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track")),IF(C110="QA",IF(AND(W110="",V110=""),"No target set",IF(AND(IF(W110&lt;&gt;"",W110,V110)&lt;TODAY(),X110=""),"Overdue","On track")),IF(C110="DPO Approval",IF(AND(AA110="",Z110=""),"No target set",IF(IF(AA110&lt;&gt;"",AA110,Z110)&lt;TODAY(),"Overdue","On track")),IF(C110="RELEASED IN PROD","Delivered",""))))))))</f>
        <v>On track</v>
      </c>
      <c r="E110" s="31">
        <v>10</v>
      </c>
      <c r="F110" s="31" t="s">
        <v>116</v>
      </c>
      <c r="G110" s="31"/>
      <c r="H110" s="28">
        <v>46387</v>
      </c>
      <c r="I110" s="57" t="s">
        <v>226</v>
      </c>
      <c r="J110" s="55"/>
      <c r="L110" s="43"/>
      <c r="M110" s="31"/>
      <c r="N110" s="31"/>
      <c r="O110" s="36" t="s">
        <v>336</v>
      </c>
      <c r="P110" s="76"/>
      <c r="R110" s="43"/>
      <c r="S110" s="31"/>
      <c r="T110" s="70" t="s">
        <v>345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</row>
    <row r="111" spans="1:36" ht="14.5" hidden="1" x14ac:dyDescent="0.35">
      <c r="A111" s="31" t="s">
        <v>229</v>
      </c>
      <c r="B111" s="31" t="s">
        <v>237</v>
      </c>
      <c r="C111" s="31" t="s">
        <v>175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track")),IF(C111="QA",IF(AND(W111="",V111=""),"No target set",IF(AND(IF(W111&lt;&gt;"",W111,V111)&lt;TODAY(),X111=""),"Overdue","On track")),IF(C111="DPO Approval",IF(AND(AA111="",Z111=""),"No target set",IF(IF(AA111&lt;&gt;"",AA111,Z111)&lt;TODAY(),"Overdue","On track")),IF(C111="RELEASED IN PROD","Delivered",""))))))))</f>
        <v>On track</v>
      </c>
      <c r="E111" s="31">
        <v>11</v>
      </c>
      <c r="F111" s="31" t="s">
        <v>131</v>
      </c>
      <c r="G111" s="31"/>
      <c r="H111" s="28">
        <v>46387</v>
      </c>
      <c r="I111" s="57" t="s">
        <v>226</v>
      </c>
      <c r="J111" s="55"/>
      <c r="L111" s="43"/>
      <c r="M111" s="31"/>
      <c r="N111" s="31"/>
      <c r="O111" s="36" t="s">
        <v>336</v>
      </c>
      <c r="P111" s="76"/>
      <c r="R111" s="43"/>
      <c r="S111" s="31"/>
      <c r="T111" s="70" t="s">
        <v>345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</row>
    <row r="112" spans="1:36" ht="14.5" hidden="1" x14ac:dyDescent="0.35">
      <c r="A112" s="31" t="s">
        <v>229</v>
      </c>
      <c r="B112" s="31" t="s">
        <v>238</v>
      </c>
      <c r="C112" s="31" t="s">
        <v>175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track")),IF(C112="QA",IF(AND(W112="",V112=""),"No target set",IF(AND(IF(W112&lt;&gt;"",W112,V112)&lt;TODAY(),X112=""),"Overdue","On track")),IF(C112="DPO Approval",IF(AND(AA112="",Z112=""),"No target set",IF(IF(AA112&lt;&gt;"",AA112,Z112)&lt;TODAY(),"Overdue","On track")),IF(C112="RELEASED IN PROD","Delivered",""))))))))</f>
        <v>On track</v>
      </c>
      <c r="E112" s="31">
        <v>12</v>
      </c>
      <c r="F112" s="31" t="s">
        <v>131</v>
      </c>
      <c r="G112" s="31"/>
      <c r="H112" s="28">
        <v>46387</v>
      </c>
      <c r="I112" s="57" t="s">
        <v>226</v>
      </c>
      <c r="J112" s="55"/>
      <c r="L112" s="43"/>
      <c r="M112" s="31"/>
      <c r="N112" s="31"/>
      <c r="O112" s="36" t="s">
        <v>336</v>
      </c>
      <c r="P112" s="76"/>
      <c r="R112" s="43"/>
      <c r="S112" s="31"/>
      <c r="T112" s="70" t="s">
        <v>345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</row>
    <row r="113" spans="1:36" ht="14.5" hidden="1" x14ac:dyDescent="0.35">
      <c r="A113" s="31" t="s">
        <v>229</v>
      </c>
      <c r="B113" s="31" t="s">
        <v>239</v>
      </c>
      <c r="C113" s="31" t="s">
        <v>175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track")),IF(C113="QA",IF(AND(W113="",V113=""),"No target set",IF(AND(IF(W113&lt;&gt;"",W113,V113)&lt;TODAY(),X113=""),"Overdue","On track")),IF(C113="DPO Approval",IF(AND(AA113="",Z113=""),"No target set",IF(IF(AA113&lt;&gt;"",AA113,Z113)&lt;TODAY(),"Overdue","On track")),IF(C113="RELEASED IN PROD","Delivered",""))))))))</f>
        <v>On track</v>
      </c>
      <c r="E113" s="31">
        <v>13</v>
      </c>
      <c r="F113" s="31" t="s">
        <v>131</v>
      </c>
      <c r="G113" s="31"/>
      <c r="H113" s="28">
        <v>46387</v>
      </c>
      <c r="I113" s="57" t="s">
        <v>226</v>
      </c>
      <c r="J113" s="55"/>
      <c r="L113" s="43"/>
      <c r="M113" s="31"/>
      <c r="N113" s="31"/>
      <c r="O113" s="36" t="s">
        <v>336</v>
      </c>
      <c r="P113" s="76"/>
      <c r="R113" s="43"/>
      <c r="S113" s="31"/>
      <c r="T113" s="70" t="s">
        <v>345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</row>
    <row r="114" spans="1:36" ht="14.5" hidden="1" x14ac:dyDescent="0.35">
      <c r="A114" s="31" t="s">
        <v>229</v>
      </c>
      <c r="B114" s="31" t="s">
        <v>240</v>
      </c>
      <c r="C114" s="31" t="s">
        <v>175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track")),IF(C114="QA",IF(AND(W114="",V114=""),"No target set",IF(AND(IF(W114&lt;&gt;"",W114,V114)&lt;TODAY(),X114=""),"Overdue","On track")),IF(C114="DPO Approval",IF(AND(AA114="",Z114=""),"No target set",IF(IF(AA114&lt;&gt;"",AA114,Z114)&lt;TODAY(),"Overdue","On track")),IF(C114="RELEASED IN PROD","Delivered",""))))))))</f>
        <v>On track</v>
      </c>
      <c r="E114" s="31">
        <v>14</v>
      </c>
      <c r="F114" s="31" t="s">
        <v>131</v>
      </c>
      <c r="G114" s="31"/>
      <c r="H114" s="28">
        <v>46387</v>
      </c>
      <c r="I114" s="57" t="s">
        <v>226</v>
      </c>
      <c r="J114" s="55"/>
      <c r="L114" s="43"/>
      <c r="M114" s="31"/>
      <c r="N114" s="31"/>
      <c r="O114" s="36" t="s">
        <v>337</v>
      </c>
      <c r="P114" s="76"/>
      <c r="R114" s="43"/>
      <c r="S114" s="31"/>
      <c r="T114" s="70" t="s">
        <v>345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</row>
    <row r="115" spans="1:36" ht="14.5" hidden="1" x14ac:dyDescent="0.35">
      <c r="A115" s="31" t="s">
        <v>229</v>
      </c>
      <c r="B115" s="31" t="s">
        <v>241</v>
      </c>
      <c r="C115" s="31" t="s">
        <v>175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track")),IF(C115="QA",IF(AND(W115="",V115=""),"No target set",IF(AND(IF(W115&lt;&gt;"",W115,V115)&lt;TODAY(),X115=""),"Overdue","On track")),IF(C115="DPO Approval",IF(AND(AA115="",Z115=""),"No target set",IF(IF(AA115&lt;&gt;"",AA115,Z115)&lt;TODAY(),"Overdue","On track")),IF(C115="RELEASED IN PROD","Delivered",""))))))))</f>
        <v>On track</v>
      </c>
      <c r="E115" s="31">
        <v>15</v>
      </c>
      <c r="F115" s="31" t="s">
        <v>131</v>
      </c>
      <c r="G115" s="31"/>
      <c r="H115" s="28">
        <v>46387</v>
      </c>
      <c r="I115" s="57" t="s">
        <v>226</v>
      </c>
      <c r="J115" s="55"/>
      <c r="L115" s="43"/>
      <c r="M115" s="31"/>
      <c r="N115" s="31"/>
      <c r="O115" s="36" t="s">
        <v>337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</row>
    <row r="116" spans="1:36" ht="14.5" x14ac:dyDescent="0.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6" ht="14.5" x14ac:dyDescent="0.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6" ht="14.5" x14ac:dyDescent="0.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6" ht="14.5" x14ac:dyDescent="0.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6" ht="14.5" x14ac:dyDescent="0.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6" ht="14.5" x14ac:dyDescent="0.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6" ht="14.5" x14ac:dyDescent="0.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6" ht="14.5" x14ac:dyDescent="0.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6" ht="14.5" x14ac:dyDescent="0.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6" ht="14.5" x14ac:dyDescent="0.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6" ht="14.5" x14ac:dyDescent="0.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6" ht="14.5" x14ac:dyDescent="0.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6" ht="14.5" x14ac:dyDescent="0.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 ht="14.5" x14ac:dyDescent="0.3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 ht="14.5" x14ac:dyDescent="0.3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 ht="14.5" x14ac:dyDescent="0.3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 ht="14.5" x14ac:dyDescent="0.3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 ht="14.5" x14ac:dyDescent="0.3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 ht="14.5" x14ac:dyDescent="0.3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 ht="14.5" x14ac:dyDescent="0.3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 ht="14.5" x14ac:dyDescent="0.3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 ht="14.5" x14ac:dyDescent="0.3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 ht="14.5" x14ac:dyDescent="0.3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 ht="14.5" x14ac:dyDescent="0.3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 ht="14.5" x14ac:dyDescent="0.3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 ht="14.5" x14ac:dyDescent="0.3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 ht="14.5" x14ac:dyDescent="0.3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 ht="14.5" x14ac:dyDescent="0.3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 ht="14.5" x14ac:dyDescent="0.3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 ht="14.5" x14ac:dyDescent="0.3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 ht="14.5" x14ac:dyDescent="0.3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 ht="14.5" x14ac:dyDescent="0.3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 ht="14.5" x14ac:dyDescent="0.3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 ht="14.5" x14ac:dyDescent="0.3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 ht="14.5" x14ac:dyDescent="0.3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 ht="14.5" x14ac:dyDescent="0.3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 ht="14.5" x14ac:dyDescent="0.3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 ht="14.5" x14ac:dyDescent="0.3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 ht="14.5" x14ac:dyDescent="0.3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 ht="14.5" x14ac:dyDescent="0.3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 ht="14.5" x14ac:dyDescent="0.3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 ht="14.5" x14ac:dyDescent="0.3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 ht="14.5" x14ac:dyDescent="0.3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 ht="14.5" x14ac:dyDescent="0.3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 ht="14.5" x14ac:dyDescent="0.3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 ht="14.5" x14ac:dyDescent="0.3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 ht="14.5" x14ac:dyDescent="0.3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 ht="14.5" x14ac:dyDescent="0.3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 ht="14.5" x14ac:dyDescent="0.3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 ht="14.5" x14ac:dyDescent="0.3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 ht="14.5" x14ac:dyDescent="0.3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 ht="14.5" x14ac:dyDescent="0.3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 ht="14.5" x14ac:dyDescent="0.3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 ht="14.5" x14ac:dyDescent="0.3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 ht="14.5" x14ac:dyDescent="0.3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 ht="14.5" x14ac:dyDescent="0.3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 ht="14.5" x14ac:dyDescent="0.3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 ht="14.5" x14ac:dyDescent="0.3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 ht="14.5" x14ac:dyDescent="0.3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 ht="14.5" x14ac:dyDescent="0.3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 ht="14.5" x14ac:dyDescent="0.3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 ht="14.5" x14ac:dyDescent="0.3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 ht="14.5" x14ac:dyDescent="0.3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 ht="14.5" x14ac:dyDescent="0.3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 ht="14.5" x14ac:dyDescent="0.3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 ht="14.5" x14ac:dyDescent="0.3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 ht="14.5" x14ac:dyDescent="0.3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 ht="14.5" x14ac:dyDescent="0.3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 ht="14.5" x14ac:dyDescent="0.3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 ht="14.5" x14ac:dyDescent="0.3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 ht="14.5" x14ac:dyDescent="0.3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 ht="14.5" x14ac:dyDescent="0.3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 ht="14.5" x14ac:dyDescent="0.3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 ht="14.5" x14ac:dyDescent="0.3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 ht="14.5" x14ac:dyDescent="0.3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 ht="14.5" x14ac:dyDescent="0.3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 ht="14.5" x14ac:dyDescent="0.3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 ht="14.5" x14ac:dyDescent="0.3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 ht="14.5" x14ac:dyDescent="0.3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 ht="14.5" x14ac:dyDescent="0.3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 ht="14.5" x14ac:dyDescent="0.3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 ht="14.5" x14ac:dyDescent="0.3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 ht="14.5" x14ac:dyDescent="0.3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 ht="14.5" x14ac:dyDescent="0.3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 ht="14.5" x14ac:dyDescent="0.3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 ht="14.5" x14ac:dyDescent="0.3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 ht="14.5" x14ac:dyDescent="0.3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 ht="14.5" x14ac:dyDescent="0.3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 ht="14.5" x14ac:dyDescent="0.3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 ht="14.5" x14ac:dyDescent="0.3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 ht="14.5" x14ac:dyDescent="0.3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 ht="14.5" x14ac:dyDescent="0.3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 ht="14.5" x14ac:dyDescent="0.3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 ht="14.5" x14ac:dyDescent="0.3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 ht="14.5" x14ac:dyDescent="0.3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 ht="14.5" x14ac:dyDescent="0.3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 ht="14.5" x14ac:dyDescent="0.3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 ht="14.5" x14ac:dyDescent="0.3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 ht="14.5" x14ac:dyDescent="0.3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 ht="14.5" x14ac:dyDescent="0.3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 ht="14.5" x14ac:dyDescent="0.3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 ht="14.5" x14ac:dyDescent="0.3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 ht="14.5" x14ac:dyDescent="0.3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 ht="14.5" x14ac:dyDescent="0.3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 ht="14.5" x14ac:dyDescent="0.3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 ht="14.5" x14ac:dyDescent="0.3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 ht="14.5" x14ac:dyDescent="0.3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 ht="14.5" x14ac:dyDescent="0.3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 ht="14.5" x14ac:dyDescent="0.3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 ht="14.5" x14ac:dyDescent="0.3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 ht="14.5" x14ac:dyDescent="0.3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 ht="14.5" x14ac:dyDescent="0.3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 ht="14.5" x14ac:dyDescent="0.3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 ht="14.5" x14ac:dyDescent="0.3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 ht="14.5" x14ac:dyDescent="0.3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 ht="14.5" x14ac:dyDescent="0.3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 ht="14.5" x14ac:dyDescent="0.3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 ht="14.5" x14ac:dyDescent="0.3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 ht="14.5" x14ac:dyDescent="0.3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 ht="14.5" x14ac:dyDescent="0.3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 ht="14.5" x14ac:dyDescent="0.3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 ht="14.5" x14ac:dyDescent="0.3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 ht="14.5" x14ac:dyDescent="0.3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 ht="14.5" x14ac:dyDescent="0.3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 ht="14.5" x14ac:dyDescent="0.3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 ht="14.5" x14ac:dyDescent="0.3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 ht="14.5" x14ac:dyDescent="0.3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 ht="14.5" x14ac:dyDescent="0.3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 ht="14.5" x14ac:dyDescent="0.3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 ht="14.5" x14ac:dyDescent="0.3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 ht="14.5" x14ac:dyDescent="0.3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 ht="14.5" x14ac:dyDescent="0.3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 ht="14.5" x14ac:dyDescent="0.3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 ht="14.5" x14ac:dyDescent="0.3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 ht="14.5" x14ac:dyDescent="0.3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 ht="14.5" x14ac:dyDescent="0.3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 ht="14.5" x14ac:dyDescent="0.3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 ht="14.5" x14ac:dyDescent="0.3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 ht="14.5" x14ac:dyDescent="0.3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 ht="14.5" x14ac:dyDescent="0.3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 ht="14.5" x14ac:dyDescent="0.3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 ht="14.5" x14ac:dyDescent="0.3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 ht="14.5" x14ac:dyDescent="0.3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 ht="14.5" x14ac:dyDescent="0.3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 ht="14.5" x14ac:dyDescent="0.3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 ht="14.5" x14ac:dyDescent="0.3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 ht="14.5" x14ac:dyDescent="0.3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 ht="14.5" x14ac:dyDescent="0.3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 ht="14.5" x14ac:dyDescent="0.3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 ht="14.5" x14ac:dyDescent="0.3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 ht="14.5" x14ac:dyDescent="0.3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 ht="14.5" x14ac:dyDescent="0.3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 ht="14.5" x14ac:dyDescent="0.3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 ht="14.5" x14ac:dyDescent="0.3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 ht="14.5" x14ac:dyDescent="0.3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 ht="14.5" x14ac:dyDescent="0.3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 ht="14.5" x14ac:dyDescent="0.3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 ht="14.5" x14ac:dyDescent="0.3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 ht="14.5" x14ac:dyDescent="0.3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 ht="14.5" x14ac:dyDescent="0.3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 ht="14.5" x14ac:dyDescent="0.3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 ht="14.5" x14ac:dyDescent="0.3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 ht="14.5" x14ac:dyDescent="0.3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 ht="14.5" x14ac:dyDescent="0.3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 ht="14.5" x14ac:dyDescent="0.3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 ht="14.5" x14ac:dyDescent="0.3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 ht="14.5" x14ac:dyDescent="0.3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 ht="14.5" x14ac:dyDescent="0.3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 ht="14.5" x14ac:dyDescent="0.3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 ht="14.5" x14ac:dyDescent="0.3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 ht="14.5" x14ac:dyDescent="0.3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 ht="14.5" x14ac:dyDescent="0.3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 ht="14.5" x14ac:dyDescent="0.3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 ht="14.5" x14ac:dyDescent="0.3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 ht="14.5" x14ac:dyDescent="0.3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 ht="14.5" x14ac:dyDescent="0.3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 ht="14.5" x14ac:dyDescent="0.3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 ht="14.5" x14ac:dyDescent="0.3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 ht="14.5" x14ac:dyDescent="0.3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 ht="14.5" x14ac:dyDescent="0.3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 ht="14.5" x14ac:dyDescent="0.3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 ht="14.5" x14ac:dyDescent="0.3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 ht="14.5" x14ac:dyDescent="0.3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 ht="14.5" x14ac:dyDescent="0.3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 ht="14.5" x14ac:dyDescent="0.3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 ht="14.5" x14ac:dyDescent="0.3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 ht="14.5" x14ac:dyDescent="0.3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 ht="14.5" x14ac:dyDescent="0.3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 ht="14.5" x14ac:dyDescent="0.3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 ht="14.5" x14ac:dyDescent="0.3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 ht="14.5" x14ac:dyDescent="0.3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 ht="14.5" x14ac:dyDescent="0.3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 ht="14.5" x14ac:dyDescent="0.3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 ht="14.5" x14ac:dyDescent="0.3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 ht="14.5" x14ac:dyDescent="0.3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 ht="14.5" x14ac:dyDescent="0.3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 ht="14.5" x14ac:dyDescent="0.3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 ht="14.5" x14ac:dyDescent="0.3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 ht="14.5" x14ac:dyDescent="0.3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 ht="14.5" x14ac:dyDescent="0.3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 ht="14.5" x14ac:dyDescent="0.3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 ht="14.5" x14ac:dyDescent="0.3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 ht="14.5" x14ac:dyDescent="0.3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 ht="14.5" x14ac:dyDescent="0.3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 ht="14.5" x14ac:dyDescent="0.3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 ht="14.5" x14ac:dyDescent="0.3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 ht="14.5" x14ac:dyDescent="0.3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 ht="14.5" x14ac:dyDescent="0.3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 ht="14.5" x14ac:dyDescent="0.3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 ht="14.5" x14ac:dyDescent="0.3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 ht="14.5" x14ac:dyDescent="0.3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 ht="14.5" x14ac:dyDescent="0.3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 ht="14.5" x14ac:dyDescent="0.3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 ht="14.5" x14ac:dyDescent="0.3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 ht="14.5" x14ac:dyDescent="0.3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 ht="14.5" x14ac:dyDescent="0.3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 ht="14.5" x14ac:dyDescent="0.3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 ht="14.5" x14ac:dyDescent="0.3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 ht="14.5" x14ac:dyDescent="0.3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 ht="14.5" x14ac:dyDescent="0.3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 ht="14.5" x14ac:dyDescent="0.3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 ht="14.5" x14ac:dyDescent="0.3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 ht="14.5" x14ac:dyDescent="0.3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 ht="14.5" x14ac:dyDescent="0.3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 ht="14.5" x14ac:dyDescent="0.3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 ht="14.5" x14ac:dyDescent="0.3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 ht="14.5" x14ac:dyDescent="0.3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 ht="14.5" x14ac:dyDescent="0.3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 ht="14.5" x14ac:dyDescent="0.3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 ht="14.5" x14ac:dyDescent="0.3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 ht="14.5" x14ac:dyDescent="0.3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 ht="14.5" x14ac:dyDescent="0.3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 ht="14.5" x14ac:dyDescent="0.3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 ht="14.5" x14ac:dyDescent="0.3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 ht="14.5" x14ac:dyDescent="0.3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 ht="14.5" x14ac:dyDescent="0.3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 ht="14.5" x14ac:dyDescent="0.3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 ht="14.5" x14ac:dyDescent="0.3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 ht="14.5" x14ac:dyDescent="0.3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 ht="14.5" x14ac:dyDescent="0.3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 ht="14.5" x14ac:dyDescent="0.3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 ht="14.5" x14ac:dyDescent="0.3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 ht="14.5" x14ac:dyDescent="0.3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 ht="14.5" x14ac:dyDescent="0.3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 ht="14.5" x14ac:dyDescent="0.3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 ht="14.5" x14ac:dyDescent="0.3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 ht="14.5" x14ac:dyDescent="0.3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 ht="14.5" x14ac:dyDescent="0.3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 ht="14.5" x14ac:dyDescent="0.3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 ht="14.5" x14ac:dyDescent="0.3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 ht="14.5" x14ac:dyDescent="0.3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 ht="14.5" x14ac:dyDescent="0.3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 ht="14.5" x14ac:dyDescent="0.3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 ht="14.5" x14ac:dyDescent="0.3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 ht="14.5" x14ac:dyDescent="0.3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 ht="14.5" x14ac:dyDescent="0.3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 ht="14.5" x14ac:dyDescent="0.3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 ht="14.5" x14ac:dyDescent="0.3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 ht="14.5" x14ac:dyDescent="0.3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 ht="14.5" x14ac:dyDescent="0.3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 ht="14.5" x14ac:dyDescent="0.3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 ht="14.5" x14ac:dyDescent="0.3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 ht="14.5" x14ac:dyDescent="0.3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 ht="14.5" x14ac:dyDescent="0.3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 ht="14.5" x14ac:dyDescent="0.3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 ht="14.5" x14ac:dyDescent="0.3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 ht="14.5" x14ac:dyDescent="0.3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 ht="14.5" x14ac:dyDescent="0.3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 ht="14.5" x14ac:dyDescent="0.3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 ht="14.5" x14ac:dyDescent="0.3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 ht="14.5" x14ac:dyDescent="0.3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 ht="14.5" x14ac:dyDescent="0.3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 ht="14.5" x14ac:dyDescent="0.3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 ht="14.5" x14ac:dyDescent="0.3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 ht="14.5" x14ac:dyDescent="0.3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 ht="14.5" x14ac:dyDescent="0.3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 ht="14.5" x14ac:dyDescent="0.3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 ht="14.5" x14ac:dyDescent="0.3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 ht="14.5" x14ac:dyDescent="0.3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 ht="14.5" x14ac:dyDescent="0.3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 ht="14.5" x14ac:dyDescent="0.3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 ht="14.5" x14ac:dyDescent="0.3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 ht="14.5" x14ac:dyDescent="0.3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 ht="14.5" x14ac:dyDescent="0.3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 ht="14.5" x14ac:dyDescent="0.3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 ht="14.5" x14ac:dyDescent="0.3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 ht="14.5" x14ac:dyDescent="0.3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 ht="14.5" x14ac:dyDescent="0.3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 ht="14.5" x14ac:dyDescent="0.3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 ht="14.5" x14ac:dyDescent="0.3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 ht="14.5" x14ac:dyDescent="0.3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 ht="14.5" x14ac:dyDescent="0.3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 ht="14.5" x14ac:dyDescent="0.3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 ht="14.5" x14ac:dyDescent="0.3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 ht="14.5" x14ac:dyDescent="0.3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 ht="14.5" x14ac:dyDescent="0.3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 ht="14.5" x14ac:dyDescent="0.3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 ht="14.5" x14ac:dyDescent="0.3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 ht="14.5" x14ac:dyDescent="0.3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 ht="14.5" x14ac:dyDescent="0.3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 ht="14.5" x14ac:dyDescent="0.3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 ht="14.5" x14ac:dyDescent="0.3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 ht="14.5" x14ac:dyDescent="0.3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 ht="14.5" x14ac:dyDescent="0.3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 ht="14.5" x14ac:dyDescent="0.3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 ht="14.5" x14ac:dyDescent="0.3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 ht="14.5" x14ac:dyDescent="0.3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 ht="14.5" x14ac:dyDescent="0.3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 ht="14.5" x14ac:dyDescent="0.3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 ht="14.5" x14ac:dyDescent="0.3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 ht="14.5" x14ac:dyDescent="0.3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 ht="14.5" x14ac:dyDescent="0.3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 ht="14.5" x14ac:dyDescent="0.3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 ht="14.5" x14ac:dyDescent="0.3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 ht="14.5" x14ac:dyDescent="0.3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 ht="14.5" x14ac:dyDescent="0.3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 ht="14.5" x14ac:dyDescent="0.3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 ht="14.5" x14ac:dyDescent="0.3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 ht="14.5" x14ac:dyDescent="0.3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 ht="14.5" x14ac:dyDescent="0.3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 ht="14.5" x14ac:dyDescent="0.3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 ht="14.5" x14ac:dyDescent="0.3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 ht="14.5" x14ac:dyDescent="0.3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 ht="14.5" x14ac:dyDescent="0.3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 ht="14.5" x14ac:dyDescent="0.3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 ht="14.5" x14ac:dyDescent="0.3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 ht="14.5" x14ac:dyDescent="0.3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 ht="14.5" x14ac:dyDescent="0.3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 ht="14.5" x14ac:dyDescent="0.3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 ht="14.5" x14ac:dyDescent="0.3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 ht="14.5" x14ac:dyDescent="0.3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 ht="14.5" x14ac:dyDescent="0.3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 ht="14.5" x14ac:dyDescent="0.3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 ht="14.5" x14ac:dyDescent="0.3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 ht="14.5" x14ac:dyDescent="0.3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 ht="14.5" x14ac:dyDescent="0.3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 ht="14.5" x14ac:dyDescent="0.3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 ht="14.5" x14ac:dyDescent="0.3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 ht="14.5" x14ac:dyDescent="0.3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 ht="14.5" x14ac:dyDescent="0.3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 ht="14.5" x14ac:dyDescent="0.3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 ht="14.5" x14ac:dyDescent="0.3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 ht="14.5" x14ac:dyDescent="0.3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 ht="14.5" x14ac:dyDescent="0.3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 ht="14.5" x14ac:dyDescent="0.3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 ht="14.5" x14ac:dyDescent="0.3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 ht="14.5" x14ac:dyDescent="0.3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 ht="14.5" x14ac:dyDescent="0.3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 ht="14.5" x14ac:dyDescent="0.3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 ht="14.5" x14ac:dyDescent="0.3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 ht="14.5" x14ac:dyDescent="0.3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 ht="14.5" x14ac:dyDescent="0.3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 ht="14.5" x14ac:dyDescent="0.3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 ht="14.5" x14ac:dyDescent="0.3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 ht="14.5" x14ac:dyDescent="0.3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 ht="14.5" x14ac:dyDescent="0.3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 ht="14.5" x14ac:dyDescent="0.3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 ht="14.5" x14ac:dyDescent="0.3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 ht="14.5" x14ac:dyDescent="0.3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 ht="14.5" x14ac:dyDescent="0.3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 ht="14.5" x14ac:dyDescent="0.3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 ht="14.5" x14ac:dyDescent="0.3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 ht="14.5" x14ac:dyDescent="0.3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 ht="14.5" x14ac:dyDescent="0.3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 ht="14.5" x14ac:dyDescent="0.3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 ht="14.5" x14ac:dyDescent="0.3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 ht="14.5" x14ac:dyDescent="0.3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 ht="14.5" x14ac:dyDescent="0.3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 ht="14.5" x14ac:dyDescent="0.3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 ht="14.5" x14ac:dyDescent="0.3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 ht="14.5" x14ac:dyDescent="0.3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 ht="14.5" x14ac:dyDescent="0.3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 ht="14.5" x14ac:dyDescent="0.3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 ht="14.5" x14ac:dyDescent="0.3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 ht="14.5" x14ac:dyDescent="0.3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 ht="14.5" x14ac:dyDescent="0.3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 ht="14.5" x14ac:dyDescent="0.3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 ht="14.5" x14ac:dyDescent="0.3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 ht="14.5" x14ac:dyDescent="0.3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 ht="14.5" x14ac:dyDescent="0.3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 ht="14.5" x14ac:dyDescent="0.3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 ht="14.5" x14ac:dyDescent="0.3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 ht="14.5" x14ac:dyDescent="0.3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 ht="14.5" x14ac:dyDescent="0.3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 x14ac:dyDescent="0.3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 x14ac:dyDescent="0.35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 x14ac:dyDescent="0.35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 x14ac:dyDescent="0.35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 x14ac:dyDescent="0.35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 x14ac:dyDescent="0.35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 x14ac:dyDescent="0.35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 x14ac:dyDescent="0.35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 x14ac:dyDescent="0.35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 x14ac:dyDescent="0.35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 x14ac:dyDescent="0.35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 x14ac:dyDescent="0.35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 x14ac:dyDescent="0.35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 x14ac:dyDescent="0.35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 x14ac:dyDescent="0.35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 x14ac:dyDescent="0.35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 x14ac:dyDescent="0.35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 x14ac:dyDescent="0.35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 x14ac:dyDescent="0.35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 x14ac:dyDescent="0.35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 x14ac:dyDescent="0.35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 x14ac:dyDescent="0.35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 x14ac:dyDescent="0.35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 x14ac:dyDescent="0.35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 x14ac:dyDescent="0.35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 x14ac:dyDescent="0.35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 x14ac:dyDescent="0.35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49" priority="36">
      <formula>AND($B2&lt;&gt;"",MOD(ROW(),2)=0)</formula>
    </cfRule>
  </conditionalFormatting>
  <conditionalFormatting sqref="D2:D526">
    <cfRule type="expression" dxfId="48" priority="20">
      <formula>ISNUMBER(SEARCH("Blocked",$D2))</formula>
    </cfRule>
    <cfRule type="expression" dxfId="47" priority="21">
      <formula>ISNUMBER(SEARCH("overdue",$D2))</formula>
    </cfRule>
    <cfRule type="expression" dxfId="46" priority="22">
      <formula>ISNUMBER(SEARCH("no target",$D2))</formula>
    </cfRule>
    <cfRule type="expression" dxfId="45" priority="23">
      <formula>ISNUMBER(SEARCH("Review",$D2))</formula>
    </cfRule>
    <cfRule type="expression" dxfId="44" priority="24">
      <formula>OR($D2="On track",$D2="Delivered")</formula>
    </cfRule>
  </conditionalFormatting>
  <conditionalFormatting sqref="J2:O191">
    <cfRule type="expression" dxfId="43" priority="3">
      <formula>$AH2="Yes – needs DB Dev to fix"</formula>
    </cfRule>
  </conditionalFormatting>
  <conditionalFormatting sqref="K41">
    <cfRule type="expression" dxfId="42" priority="286">
      <formula>AND($B41&lt;&gt;"",MOD(ROW(),2)=0)</formula>
    </cfRule>
    <cfRule type="expression" dxfId="41" priority="287">
      <formula>$AH41="Yes – needs DB Dev to fix"</formula>
    </cfRule>
  </conditionalFormatting>
  <conditionalFormatting sqref="K42">
    <cfRule type="expression" dxfId="40" priority="288">
      <formula>AND($B41&lt;&gt;"",MOD(ROW(),2)=0)</formula>
    </cfRule>
    <cfRule type="expression" dxfId="39" priority="289">
      <formula>$AH41="Yes – needs DB Dev to fix"</formula>
    </cfRule>
  </conditionalFormatting>
  <conditionalFormatting sqref="K73:L100">
    <cfRule type="expression" dxfId="38" priority="95">
      <formula>$AD73="Yes – needs DB Dev to fix"</formula>
    </cfRule>
  </conditionalFormatting>
  <conditionalFormatting sqref="K101:L526">
    <cfRule type="expression" dxfId="37" priority="29">
      <formula>$Z101="Yes – needs DB Dev to fix"</formula>
    </cfRule>
  </conditionalFormatting>
  <conditionalFormatting sqref="M73:P100">
    <cfRule type="expression" dxfId="36" priority="280">
      <formula>$AC73="Yes – needs PBI Dev to fix"</formula>
    </cfRule>
  </conditionalFormatting>
  <conditionalFormatting sqref="M101:P526">
    <cfRule type="expression" dxfId="35" priority="282">
      <formula>$Z101="Yes – needs PBI Dev to fix"</formula>
    </cfRule>
  </conditionalFormatting>
  <conditionalFormatting sqref="Q73:Q100">
    <cfRule type="expression" dxfId="34" priority="99">
      <formula>$AD73="Yes – needs PBI Dev to fix"</formula>
    </cfRule>
  </conditionalFormatting>
  <conditionalFormatting sqref="Q101:R526">
    <cfRule type="expression" dxfId="33" priority="31">
      <formula>$Z101="Yes – needs QA to fix"</formula>
    </cfRule>
  </conditionalFormatting>
  <conditionalFormatting sqref="K40:K41 J29 M29:P29 J32:J33 M32:P33 M40:P41 Q2:U115">
    <cfRule type="expression" dxfId="32" priority="10">
      <formula>$AH2="Yes – needs PBI Dev to fix"</formula>
    </cfRule>
  </conditionalFormatting>
  <conditionalFormatting sqref="R73:U100 T96:T101">
    <cfRule type="expression" dxfId="31" priority="101">
      <formula>$AD73="Yes – needs QA to fix"</formula>
    </cfRule>
  </conditionalFormatting>
  <conditionalFormatting sqref="S101:U526">
    <cfRule type="expression" dxfId="30" priority="32">
      <formula>$Z101="Yes – needs DPO Approval to fix"</formula>
    </cfRule>
  </conditionalFormatting>
  <conditionalFormatting sqref="U10:V19">
    <cfRule type="expression" dxfId="29" priority="19">
      <formula>$AH10="Yes – needs PBI Dev to fix"</formula>
    </cfRule>
  </conditionalFormatting>
  <conditionalFormatting sqref="U101:V526">
    <cfRule type="expression" dxfId="28" priority="28">
      <formula>$V101="Yes"</formula>
    </cfRule>
  </conditionalFormatting>
  <conditionalFormatting sqref="U73:W100">
    <cfRule type="expression" dxfId="27" priority="103">
      <formula>$AD73="Yes – needs DPO Approval to fix"</formula>
    </cfRule>
  </conditionalFormatting>
  <conditionalFormatting sqref="U2:Y115">
    <cfRule type="expression" dxfId="26" priority="74">
      <formula>$AH2="Yes – needs QA to fix"</formula>
    </cfRule>
  </conditionalFormatting>
  <conditionalFormatting sqref="X73:Y100">
    <cfRule type="expression" dxfId="25" priority="105">
      <formula>$X73="Yes"</formula>
    </cfRule>
  </conditionalFormatting>
  <conditionalFormatting sqref="Z3">
    <cfRule type="expression" dxfId="24" priority="290">
      <formula>AND($B3&lt;&gt;"",MOD(ROW(),2)=0)</formula>
    </cfRule>
    <cfRule type="expression" dxfId="23" priority="291">
      <formula>$AH3="Yes – needs DPO Approval to fix"</formula>
    </cfRule>
  </conditionalFormatting>
  <conditionalFormatting sqref="Z101:Z526">
    <cfRule type="expression" dxfId="22" priority="25">
      <formula>LEFT($Z101,3)="Yes"</formula>
    </cfRule>
  </conditionalFormatting>
  <conditionalFormatting sqref="Z2:AC2 AA3:AC3 Z4:AC100">
    <cfRule type="expression" dxfId="21" priority="77">
      <formula>$AH2="Yes – needs DPO Approval to fix"</formula>
    </cfRule>
  </conditionalFormatting>
  <conditionalFormatting sqref="AA101:AB526">
    <cfRule type="expression" dxfId="20" priority="33">
      <formula>ISNUMBER(SEARCH("Move old",$AA101))</formula>
    </cfRule>
    <cfRule type="expression" dxfId="19" priority="33">
      <formula>ISNUMBER(SEARCH("log it",$AA101))</formula>
    </cfRule>
    <cfRule type="expression" dxfId="18" priority="33">
      <formula>ISNUMBER(SEARCH("Open rework",$AA101))</formula>
    </cfRule>
    <cfRule type="expression" dxfId="17" priority="34">
      <formula>ISNUMBER(SEARCH("Duplicate",$AA101))</formula>
    </cfRule>
    <cfRule type="expression" dxfId="16" priority="35">
      <formula>$AA101&lt;&gt;""</formula>
    </cfRule>
  </conditionalFormatting>
  <conditionalFormatting sqref="AD2:AD115">
    <cfRule type="expression" dxfId="15" priority="49">
      <formula>$AD2="Yes"</formula>
    </cfRule>
  </conditionalFormatting>
  <conditionalFormatting sqref="AD73:AD100">
    <cfRule type="expression" dxfId="14" priority="107">
      <formula>LEFT($AD73,3)="Yes"</formula>
    </cfRule>
  </conditionalFormatting>
  <conditionalFormatting sqref="AE73:AE100">
    <cfRule type="expression" dxfId="13" priority="113">
      <formula>ISNUMBER(SEARCH("Open rework",$AE73))</formula>
    </cfRule>
    <cfRule type="expression" dxfId="12" priority="114">
      <formula>ISNUMBER(SEARCH("Move old",$AE73))</formula>
    </cfRule>
    <cfRule type="expression" dxfId="11" priority="115">
      <formula>ISNUMBER(SEARCH("log it",$AE73))</formula>
    </cfRule>
    <cfRule type="expression" dxfId="10" priority="116">
      <formula>ISNUMBER(SEARCH("Duplicate",$AE73))</formula>
    </cfRule>
    <cfRule type="expression" dxfId="9" priority="117">
      <formula>$AE73&lt;&gt;""</formula>
    </cfRule>
  </conditionalFormatting>
  <conditionalFormatting sqref="AH2:AH115">
    <cfRule type="expression" dxfId="8" priority="51">
      <formula>LEFT($AH2,3)="Yes"</formula>
    </cfRule>
  </conditionalFormatting>
  <conditionalFormatting sqref="AI2:AI115">
    <cfRule type="expression" dxfId="7" priority="57">
      <formula>ISNUMBER(SEARCH("log it",$AI2))</formula>
    </cfRule>
    <cfRule type="expression" dxfId="6" priority="58">
      <formula>ISNUMBER(SEARCH("Open rework",$AI2))</formula>
    </cfRule>
    <cfRule type="expression" dxfId="5" priority="59">
      <formula>ISNUMBER(SEARCH("Move old",$AI2))</formula>
    </cfRule>
    <cfRule type="expression" dxfId="4" priority="60">
      <formula>ISNUMBER(SEARCH("Duplicate",$AI2))</formula>
    </cfRule>
    <cfRule type="expression" dxfId="3" priority="61">
      <formula>$AI2&lt;&gt;""</formula>
    </cfRule>
  </conditionalFormatting>
  <conditionalFormatting sqref="AJ47">
    <cfRule type="expression" dxfId="2" priority="293">
      <formula>AND($B51&lt;&gt;"",MOD(ROW(),2)=0)</formula>
    </cfRule>
  </conditionalFormatting>
  <conditionalFormatting sqref="M73">
    <cfRule type="expression" dxfId="1" priority="2">
      <formula>$AD73="Yes – needs DB Dev to fix"</formula>
    </cfRule>
  </conditionalFormatting>
  <conditionalFormatting sqref="O101:O113">
    <cfRule type="expression" dxfId="0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5" x14ac:dyDescent="0.35"/>
  <cols>
    <col min="1" max="1" width="24" customWidth="1"/>
    <col min="2" max="5" width="16" customWidth="1"/>
  </cols>
  <sheetData>
    <row r="1" spans="1:5" ht="21" customHeight="1" x14ac:dyDescent="0.5">
      <c r="A1" s="7" t="s">
        <v>242</v>
      </c>
    </row>
    <row r="2" spans="1:5" x14ac:dyDescent="0.35">
      <c r="A2" s="6" t="s">
        <v>243</v>
      </c>
    </row>
    <row r="4" spans="1:5" ht="22" customHeight="1" x14ac:dyDescent="0.35">
      <c r="A4" s="5" t="s">
        <v>244</v>
      </c>
      <c r="B4" s="85"/>
      <c r="C4" s="78"/>
      <c r="D4" s="78"/>
      <c r="E4" s="78"/>
    </row>
    <row r="6" spans="1:5" x14ac:dyDescent="0.35">
      <c r="A6" s="42" t="s">
        <v>0</v>
      </c>
      <c r="B6" s="84" t="str">
        <f>IF($B$4="","",IFERROR(INDEX('Combined Delivery Data'!$A:$A,MATCH($B$4,'Combined Delivery Data'!$B:$B,0)),""))</f>
        <v/>
      </c>
      <c r="C6" s="82"/>
      <c r="D6" s="82"/>
      <c r="E6" s="83"/>
    </row>
    <row r="7" spans="1:5" x14ac:dyDescent="0.35">
      <c r="A7" s="42" t="s">
        <v>245</v>
      </c>
      <c r="B7" s="84" t="str">
        <f>IF($B$4="","",IFERROR(INDEX('Combined Delivery Data'!$C:$C,MATCH($B$4,'Combined Delivery Data'!$B:$B,0)),""))</f>
        <v/>
      </c>
      <c r="C7" s="82"/>
      <c r="D7" s="82"/>
      <c r="E7" s="83"/>
    </row>
    <row r="8" spans="1:5" x14ac:dyDescent="0.35">
      <c r="A8" s="42" t="s">
        <v>3</v>
      </c>
      <c r="B8" s="84" t="str">
        <f>IF($B$4="","",IFERROR(INDEX('Combined Delivery Data'!$D:$D,MATCH($B$4,'Combined Delivery Data'!$B:$B,0)),""))</f>
        <v/>
      </c>
      <c r="C8" s="82"/>
      <c r="D8" s="82"/>
      <c r="E8" s="83"/>
    </row>
    <row r="9" spans="1:5" x14ac:dyDescent="0.35">
      <c r="A9" s="42" t="s">
        <v>4</v>
      </c>
      <c r="B9" s="84" t="str">
        <f>IF($B$4="","",IFERROR(INDEX('Combined Delivery Data'!$E:$E,MATCH($B$4,'Combined Delivery Data'!$B:$B,0)),""))</f>
        <v/>
      </c>
      <c r="C9" s="82"/>
      <c r="D9" s="82"/>
      <c r="E9" s="83"/>
    </row>
    <row r="10" spans="1:5" x14ac:dyDescent="0.35">
      <c r="A10" s="42" t="s">
        <v>5</v>
      </c>
      <c r="B10" s="84" t="str">
        <f>IF($B$4="","",IFERROR(INDEX('Combined Delivery Data'!$F:$F,MATCH($B$4,'Combined Delivery Data'!$B:$B,0)),""))</f>
        <v/>
      </c>
      <c r="C10" s="82"/>
      <c r="D10" s="82"/>
      <c r="E10" s="83"/>
    </row>
    <row r="11" spans="1:5" x14ac:dyDescent="0.35">
      <c r="A11" s="42" t="s">
        <v>9</v>
      </c>
      <c r="B11" s="84" t="str">
        <f>IF($B$4="","",IFERROR(INDEX('Combined Delivery Data'!$J:$J,MATCH($B$4,'Combined Delivery Data'!$B:$B,0)),""))</f>
        <v/>
      </c>
      <c r="C11" s="82"/>
      <c r="D11" s="82"/>
      <c r="E11" s="83"/>
    </row>
    <row r="12" spans="1:5" x14ac:dyDescent="0.35">
      <c r="A12" s="42" t="s">
        <v>15</v>
      </c>
      <c r="B12" s="84" t="str">
        <f>IF($B$4="","",IFERROR(INDEX('Combined Delivery Data'!$P:$P,MATCH($B$4,'Combined Delivery Data'!$B:$B,0)),""))</f>
        <v/>
      </c>
      <c r="C12" s="82"/>
      <c r="D12" s="82"/>
      <c r="E12" s="83"/>
    </row>
    <row r="13" spans="1:5" x14ac:dyDescent="0.35">
      <c r="A13" s="42" t="s">
        <v>20</v>
      </c>
      <c r="B13" s="84" t="str">
        <f>IF($B$4="","",IFERROR(INDEX('Combined Delivery Data'!$U:$U,MATCH($B$4,'Combined Delivery Data'!$B:$B,0)),""))</f>
        <v/>
      </c>
      <c r="C13" s="82"/>
      <c r="D13" s="82"/>
      <c r="E13" s="83"/>
    </row>
    <row r="14" spans="1:5" x14ac:dyDescent="0.35">
      <c r="A14" s="42" t="s">
        <v>246</v>
      </c>
      <c r="B14" s="81" t="str">
        <f>IF($B$4="","",IFERROR(INDEX('Combined Delivery Data'!$K:$K,MATCH($B$4,'Combined Delivery Data'!$B:$B,0)),""))</f>
        <v/>
      </c>
      <c r="C14" s="82"/>
      <c r="D14" s="82"/>
      <c r="E14" s="83"/>
    </row>
    <row r="15" spans="1:5" x14ac:dyDescent="0.35">
      <c r="A15" s="42" t="s">
        <v>247</v>
      </c>
      <c r="B15" s="81" t="str">
        <f>IF($B$4="","",IFERROR(INDEX('Combined Delivery Data'!$L:$L,MATCH($B$4,'Combined Delivery Data'!$B:$B,0)),""))</f>
        <v/>
      </c>
      <c r="C15" s="82"/>
      <c r="D15" s="82"/>
      <c r="E15" s="83"/>
    </row>
    <row r="16" spans="1:5" x14ac:dyDescent="0.35">
      <c r="A16" s="42" t="s">
        <v>248</v>
      </c>
      <c r="B16" s="81" t="str">
        <f>IF($B$4="","",IFERROR(INDEX('Combined Delivery Data'!$M:$M,MATCH($B$4,'Combined Delivery Data'!$B:$B,0)),""))</f>
        <v/>
      </c>
      <c r="C16" s="82"/>
      <c r="D16" s="82"/>
      <c r="E16" s="83"/>
    </row>
    <row r="17" spans="1:5" x14ac:dyDescent="0.35">
      <c r="A17" s="42" t="s">
        <v>249</v>
      </c>
      <c r="B17" s="81" t="str">
        <f>IF($B$4="","",IFERROR(INDEX('Combined Delivery Data'!$O:$O,MATCH($B$4,'Combined Delivery Data'!$B:$B,0)),""))</f>
        <v/>
      </c>
      <c r="C17" s="82"/>
      <c r="D17" s="82"/>
      <c r="E17" s="83"/>
    </row>
    <row r="18" spans="1:5" x14ac:dyDescent="0.35">
      <c r="A18" s="42" t="s">
        <v>250</v>
      </c>
      <c r="B18" s="81" t="str">
        <f>IF($B$4="","",IFERROR(INDEX('Combined Delivery Data'!$Q:$Q,MATCH($B$4,'Combined Delivery Data'!$B:$B,0)),""))</f>
        <v/>
      </c>
      <c r="C18" s="82"/>
      <c r="D18" s="82"/>
      <c r="E18" s="83"/>
    </row>
    <row r="19" spans="1:5" x14ac:dyDescent="0.35">
      <c r="A19" s="42" t="s">
        <v>251</v>
      </c>
      <c r="B19" s="81" t="str">
        <f>IF($B$4="","",IFERROR(INDEX('Combined Delivery Data'!$R:$R,MATCH($B$4,'Combined Delivery Data'!$B:$B,0)),""))</f>
        <v/>
      </c>
      <c r="C19" s="82"/>
      <c r="D19" s="82"/>
      <c r="E19" s="83"/>
    </row>
    <row r="20" spans="1:5" x14ac:dyDescent="0.35">
      <c r="A20" s="42" t="s">
        <v>252</v>
      </c>
      <c r="B20" s="81" t="str">
        <f>IF($B$4="","",IFERROR(INDEX('Combined Delivery Data'!$S:$S,MATCH($B$4,'Combined Delivery Data'!$B:$B,0)),""))</f>
        <v/>
      </c>
      <c r="C20" s="82"/>
      <c r="D20" s="82"/>
      <c r="E20" s="83"/>
    </row>
    <row r="21" spans="1:5" x14ac:dyDescent="0.35">
      <c r="A21" s="42" t="s">
        <v>27</v>
      </c>
      <c r="B21" s="84" t="str">
        <f>IF($B$4="","",IFERROR(INDEX('Combined Delivery Data'!$T:$T,MATCH($B$4,'Combined Delivery Data'!$B:$B,0)),""))</f>
        <v/>
      </c>
      <c r="C21" s="82"/>
      <c r="D21" s="82"/>
      <c r="E21" s="83"/>
    </row>
    <row r="22" spans="1:5" x14ac:dyDescent="0.35">
      <c r="A22" s="42" t="s">
        <v>28</v>
      </c>
      <c r="B22" s="84" t="str">
        <f>IF($B$4="","",IFERROR(INDEX('Combined Delivery Data'!$V:$V,MATCH($B$4,'Combined Delivery Data'!$B:$B,0)),""))</f>
        <v/>
      </c>
      <c r="C22" s="82"/>
      <c r="D22" s="82"/>
      <c r="E22" s="83"/>
    </row>
    <row r="23" spans="1:5" x14ac:dyDescent="0.35">
      <c r="A23" s="42" t="s">
        <v>29</v>
      </c>
      <c r="B23" s="81" t="str">
        <f>IF($B$4="","",IFERROR(INDEX('Combined Delivery Data'!$W:$W,MATCH($B$4,'Combined Delivery Data'!$B:$B,0)),""))</f>
        <v/>
      </c>
      <c r="C23" s="82"/>
      <c r="D23" s="82"/>
      <c r="E23" s="83"/>
    </row>
    <row r="24" spans="1:5" x14ac:dyDescent="0.35">
      <c r="A24" s="42" t="s">
        <v>32</v>
      </c>
      <c r="B24" s="84" t="str">
        <f>IF($B$4="","",IFERROR(INDEX('Combined Delivery Data'!$Z:$Z,MATCH($B$4,'Combined Delivery Data'!$B:$B,0)),""))</f>
        <v/>
      </c>
      <c r="C24" s="82"/>
      <c r="D24" s="82"/>
      <c r="E24" s="83"/>
    </row>
    <row r="25" spans="1:5" x14ac:dyDescent="0.35">
      <c r="A25" s="42" t="s">
        <v>33</v>
      </c>
      <c r="B25" s="84" t="str">
        <f>IF($B$4="","",IFERROR(INDEX('Combined Delivery Data'!$AA:$AA,MATCH($B$4,'Combined Delivery Data'!$B:$B,0)),""))</f>
        <v/>
      </c>
      <c r="C25" s="82"/>
      <c r="D25" s="82"/>
      <c r="E25" s="83"/>
    </row>
    <row r="26" spans="1:5" x14ac:dyDescent="0.35">
      <c r="A26" s="42" t="s">
        <v>253</v>
      </c>
      <c r="B26" s="84" t="str">
        <f>IF($B$4="","",IFERROR(INDEX('Rework Log'!$Q:$Q,MATCH($B$4,'Rework Log'!$P:$P,0)),""))</f>
        <v/>
      </c>
      <c r="C26" s="82"/>
      <c r="D26" s="82"/>
      <c r="E26" s="83"/>
    </row>
    <row r="27" spans="1:5" x14ac:dyDescent="0.35">
      <c r="A27" s="42" t="s">
        <v>254</v>
      </c>
      <c r="B27" s="84" t="str">
        <f>IF($B$4="","",IFERROR(INDEX('Rework Log'!$R:$R,MATCH($B$4,'Rework Log'!$P:$P,0)),""))</f>
        <v/>
      </c>
      <c r="C27" s="82"/>
      <c r="D27" s="82"/>
      <c r="E27" s="83"/>
    </row>
    <row r="28" spans="1:5" x14ac:dyDescent="0.35">
      <c r="A28" s="42" t="s">
        <v>255</v>
      </c>
      <c r="B28" s="84" t="str">
        <f>IF($B$4="","",IFERROR(INDEX('Rework Log'!$S:$S,MATCH($B$4,'Rework Log'!$P:$P,0)),""))</f>
        <v/>
      </c>
      <c r="C28" s="82"/>
      <c r="D28" s="82"/>
      <c r="E28" s="83"/>
    </row>
    <row r="29" spans="1:5" x14ac:dyDescent="0.35">
      <c r="A29" s="42" t="s">
        <v>256</v>
      </c>
      <c r="B29" s="84" t="str">
        <f>IF($B$4="","",IFERROR(INDEX('Rework Log'!$T:$T,MATCH($B$4,'Rework Log'!$P:$P,0)),""))</f>
        <v/>
      </c>
      <c r="C29" s="82"/>
      <c r="D29" s="82"/>
      <c r="E29" s="83"/>
    </row>
    <row r="30" spans="1:5" ht="15.65" customHeight="1" x14ac:dyDescent="0.35">
      <c r="A30" s="42"/>
      <c r="B30" s="84"/>
      <c r="C30" s="82"/>
      <c r="D30" s="82"/>
      <c r="E30" s="83"/>
    </row>
    <row r="31" spans="1:5" ht="15.65" customHeight="1" x14ac:dyDescent="0.35">
      <c r="A31" s="5" t="s">
        <v>34</v>
      </c>
      <c r="B31" s="80" t="str">
        <f>IF($B$4="","",IFERROR(INDEX('Combined Delivery Data'!$AC:$AC,MATCH($B$4,'Combined Delivery Data'!$B:$B,0)),""))</f>
        <v/>
      </c>
      <c r="C31" s="78"/>
      <c r="D31" s="78"/>
      <c r="E31" s="78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opLeftCell="B1" zoomScale="80" zoomScaleNormal="80" workbookViewId="0">
      <pane ySplit="2" topLeftCell="A3" activePane="bottomLeft" state="frozen"/>
      <selection pane="bottomLeft" activeCell="L21" sqref="L21"/>
    </sheetView>
  </sheetViews>
  <sheetFormatPr defaultRowHeight="14.5" x14ac:dyDescent="0.35"/>
  <cols>
    <col min="1" max="1" width="50.54296875" customWidth="1"/>
    <col min="2" max="2" width="14" customWidth="1"/>
    <col min="3" max="4" width="11" customWidth="1"/>
    <col min="5" max="5" width="13" customWidth="1"/>
    <col min="6" max="6" width="56" customWidth="1"/>
    <col min="7" max="7" width="9.7265625" customWidth="1"/>
    <col min="8" max="8" width="1.453125" customWidth="1"/>
    <col min="9" max="9" width="17.7265625" customWidth="1"/>
    <col min="10" max="11" width="12" customWidth="1"/>
    <col min="12" max="12" width="36" customWidth="1"/>
    <col min="13" max="13" width="18" customWidth="1"/>
    <col min="15" max="15" width="84.453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6" hidden="1" customHeight="1" x14ac:dyDescent="0.35">
      <c r="A1" s="77" t="s">
        <v>257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P1" s="79" t="s">
        <v>258</v>
      </c>
      <c r="Q1" s="78"/>
      <c r="R1" s="78"/>
      <c r="S1" s="78"/>
      <c r="T1" s="78"/>
    </row>
    <row r="2" spans="1:20" ht="30" customHeight="1" x14ac:dyDescent="0.35">
      <c r="A2" s="17" t="s">
        <v>1</v>
      </c>
      <c r="B2" s="17" t="s">
        <v>259</v>
      </c>
      <c r="C2" s="17" t="s">
        <v>260</v>
      </c>
      <c r="D2" s="17" t="s">
        <v>261</v>
      </c>
      <c r="E2" s="17" t="s">
        <v>262</v>
      </c>
      <c r="F2" s="17" t="s">
        <v>263</v>
      </c>
      <c r="G2" s="17" t="s">
        <v>264</v>
      </c>
      <c r="H2" s="30" t="s">
        <v>265</v>
      </c>
      <c r="I2" s="30" t="s">
        <v>266</v>
      </c>
      <c r="J2" s="30" t="s">
        <v>267</v>
      </c>
      <c r="K2" s="30" t="s">
        <v>268</v>
      </c>
      <c r="L2" s="30" t="s">
        <v>269</v>
      </c>
      <c r="M2" s="21" t="s">
        <v>270</v>
      </c>
      <c r="N2" s="21" t="s">
        <v>271</v>
      </c>
      <c r="P2" s="13" t="s">
        <v>1</v>
      </c>
      <c r="Q2" s="13" t="s">
        <v>253</v>
      </c>
      <c r="R2" s="13" t="s">
        <v>254</v>
      </c>
      <c r="S2" s="13" t="s">
        <v>255</v>
      </c>
      <c r="T2" s="13" t="s">
        <v>256</v>
      </c>
    </row>
    <row r="3" spans="1:20" x14ac:dyDescent="0.35">
      <c r="A3" s="33" t="s">
        <v>130</v>
      </c>
      <c r="B3" s="36">
        <v>46230</v>
      </c>
      <c r="C3" s="33" t="s">
        <v>125</v>
      </c>
      <c r="D3" s="33" t="s">
        <v>137</v>
      </c>
      <c r="E3" s="33" t="s">
        <v>131</v>
      </c>
      <c r="F3" s="33" t="s">
        <v>272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5">
      <c r="A4" s="31" t="s">
        <v>140</v>
      </c>
      <c r="B4" s="32">
        <v>46237</v>
      </c>
      <c r="C4" s="31" t="s">
        <v>125</v>
      </c>
      <c r="D4" s="31" t="s">
        <v>137</v>
      </c>
      <c r="E4" s="31" t="s">
        <v>131</v>
      </c>
      <c r="F4" s="31" t="s">
        <v>273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274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x14ac:dyDescent="0.35">
      <c r="A5" s="55" t="s">
        <v>114</v>
      </c>
      <c r="B5" s="32">
        <v>46238</v>
      </c>
      <c r="C5" s="31" t="s">
        <v>125</v>
      </c>
      <c r="D5" s="31" t="s">
        <v>137</v>
      </c>
      <c r="E5" s="31" t="s">
        <v>116</v>
      </c>
      <c r="F5" s="31" t="s">
        <v>275</v>
      </c>
      <c r="G5" s="31" t="s">
        <v>44</v>
      </c>
      <c r="H5" s="32"/>
      <c r="I5" s="32"/>
      <c r="J5" s="32"/>
      <c r="K5" s="31"/>
      <c r="L5" s="31"/>
      <c r="M5" s="3" t="str">
        <f t="shared" ca="1" si="0"/>
        <v>UNCLAIMED 21 d</v>
      </c>
      <c r="N5" t="s">
        <v>44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x14ac:dyDescent="0.35">
      <c r="A6" s="55" t="s">
        <v>128</v>
      </c>
      <c r="B6" s="32">
        <v>46234</v>
      </c>
      <c r="C6" s="31" t="s">
        <v>125</v>
      </c>
      <c r="D6" s="31" t="s">
        <v>137</v>
      </c>
      <c r="E6" s="31" t="s">
        <v>116</v>
      </c>
      <c r="F6" s="31" t="s">
        <v>276</v>
      </c>
      <c r="G6" s="31" t="s">
        <v>44</v>
      </c>
      <c r="H6" s="32"/>
      <c r="I6" s="32"/>
      <c r="J6" s="32"/>
      <c r="K6" s="31"/>
      <c r="L6" s="31"/>
      <c r="M6" s="3" t="str">
        <f t="shared" ca="1" si="0"/>
        <v>UNCLAIMED 25 d</v>
      </c>
      <c r="N6" t="s">
        <v>44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x14ac:dyDescent="0.35">
      <c r="A7" s="55" t="s">
        <v>120</v>
      </c>
      <c r="B7" s="32">
        <v>46239</v>
      </c>
      <c r="C7" s="31" t="s">
        <v>125</v>
      </c>
      <c r="D7" s="31" t="s">
        <v>137</v>
      </c>
      <c r="E7" s="31" t="s">
        <v>116</v>
      </c>
      <c r="F7" s="31" t="s">
        <v>277</v>
      </c>
      <c r="G7" s="31" t="s">
        <v>44</v>
      </c>
      <c r="H7" s="32"/>
      <c r="I7" s="32"/>
      <c r="J7" s="32"/>
      <c r="K7" s="31"/>
      <c r="L7" s="31"/>
      <c r="M7" s="3" t="str">
        <f t="shared" ca="1" si="0"/>
        <v>UNCLAIMED 20 d</v>
      </c>
      <c r="N7" t="s">
        <v>44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x14ac:dyDescent="0.35">
      <c r="A8" s="55" t="s">
        <v>120</v>
      </c>
      <c r="B8" s="32">
        <v>46246</v>
      </c>
      <c r="C8" s="31" t="s">
        <v>125</v>
      </c>
      <c r="D8" s="31" t="s">
        <v>137</v>
      </c>
      <c r="E8" s="31" t="s">
        <v>116</v>
      </c>
      <c r="F8" s="31" t="s">
        <v>278</v>
      </c>
      <c r="G8" s="31" t="s">
        <v>44</v>
      </c>
      <c r="H8" s="32"/>
      <c r="I8" s="32"/>
      <c r="J8" s="32"/>
      <c r="K8" s="31"/>
      <c r="L8" s="31"/>
      <c r="M8" s="3" t="str">
        <f t="shared" ca="1" si="0"/>
        <v>UNCLAIMED 13 d</v>
      </c>
      <c r="N8" t="s">
        <v>279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x14ac:dyDescent="0.35">
      <c r="A9" s="31" t="s">
        <v>140</v>
      </c>
      <c r="B9" s="32">
        <v>46251</v>
      </c>
      <c r="C9" s="31" t="s">
        <v>125</v>
      </c>
      <c r="D9" s="31" t="s">
        <v>137</v>
      </c>
      <c r="E9" s="31" t="s">
        <v>131</v>
      </c>
      <c r="F9" s="31" t="s">
        <v>280</v>
      </c>
      <c r="G9" s="31" t="s">
        <v>44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279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x14ac:dyDescent="0.35">
      <c r="A10" s="31" t="s">
        <v>130</v>
      </c>
      <c r="B10" s="32">
        <v>46237</v>
      </c>
      <c r="C10" s="31" t="s">
        <v>125</v>
      </c>
      <c r="D10" s="31" t="s">
        <v>137</v>
      </c>
      <c r="E10" s="31" t="s">
        <v>131</v>
      </c>
      <c r="F10" s="31" t="s">
        <v>273</v>
      </c>
      <c r="G10" s="31" t="s">
        <v>44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279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x14ac:dyDescent="0.35">
      <c r="A11" s="55" t="s">
        <v>120</v>
      </c>
      <c r="B11" s="32">
        <v>46254</v>
      </c>
      <c r="C11" s="31" t="s">
        <v>125</v>
      </c>
      <c r="D11" s="31" t="s">
        <v>137</v>
      </c>
      <c r="E11" s="31" t="s">
        <v>116</v>
      </c>
      <c r="F11" s="31" t="s">
        <v>275</v>
      </c>
      <c r="G11" s="31" t="s">
        <v>44</v>
      </c>
      <c r="H11" s="32"/>
      <c r="I11" s="32"/>
      <c r="J11" s="32"/>
      <c r="K11" s="31"/>
      <c r="L11" s="31"/>
      <c r="M11" s="3" t="str">
        <f t="shared" ca="1" si="0"/>
        <v>UNCLAIMED 5 d</v>
      </c>
      <c r="N11" t="s">
        <v>44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x14ac:dyDescent="0.35">
      <c r="A12" s="55" t="s">
        <v>138</v>
      </c>
      <c r="B12" s="32">
        <v>46254</v>
      </c>
      <c r="C12" s="31" t="s">
        <v>125</v>
      </c>
      <c r="D12" s="31" t="s">
        <v>137</v>
      </c>
      <c r="E12" s="31" t="s">
        <v>131</v>
      </c>
      <c r="F12" s="31" t="s">
        <v>281</v>
      </c>
      <c r="G12" s="31" t="s">
        <v>44</v>
      </c>
      <c r="H12" s="32"/>
      <c r="I12" s="32"/>
      <c r="J12" s="32">
        <v>46255</v>
      </c>
      <c r="K12" s="31"/>
      <c r="L12" s="31"/>
      <c r="M12" s="3" t="str">
        <f t="shared" ca="1" si="0"/>
        <v>Fixed</v>
      </c>
      <c r="N12" t="s">
        <v>282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x14ac:dyDescent="0.35">
      <c r="A13" s="55" t="s">
        <v>124</v>
      </c>
      <c r="B13" s="32">
        <v>46258</v>
      </c>
      <c r="C13" s="31" t="s">
        <v>125</v>
      </c>
      <c r="D13" s="31" t="s">
        <v>137</v>
      </c>
      <c r="E13" s="31" t="s">
        <v>116</v>
      </c>
      <c r="F13" s="31" t="s">
        <v>283</v>
      </c>
      <c r="G13" s="31" t="s">
        <v>47</v>
      </c>
      <c r="H13" s="32"/>
      <c r="I13" s="32"/>
      <c r="J13" s="32">
        <v>46258</v>
      </c>
      <c r="K13" s="31"/>
      <c r="L13" s="31"/>
      <c r="M13" s="3" t="str">
        <f t="shared" ca="1" si="0"/>
        <v>Fixed</v>
      </c>
      <c r="N13" t="s">
        <v>282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x14ac:dyDescent="0.35">
      <c r="A14" s="31" t="s">
        <v>133</v>
      </c>
      <c r="B14" s="32">
        <v>46258</v>
      </c>
      <c r="C14" s="31" t="s">
        <v>125</v>
      </c>
      <c r="D14" s="31" t="s">
        <v>134</v>
      </c>
      <c r="E14" s="31" t="s">
        <v>131</v>
      </c>
      <c r="F14" s="31" t="s">
        <v>284</v>
      </c>
      <c r="G14" s="31" t="s">
        <v>47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44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x14ac:dyDescent="0.35">
      <c r="A15" s="31" t="s">
        <v>143</v>
      </c>
      <c r="B15" s="32">
        <v>46258</v>
      </c>
      <c r="C15" s="31" t="s">
        <v>125</v>
      </c>
      <c r="D15" s="31" t="s">
        <v>134</v>
      </c>
      <c r="E15" s="31" t="s">
        <v>131</v>
      </c>
      <c r="F15" s="31" t="s">
        <v>285</v>
      </c>
      <c r="G15" s="31" t="s">
        <v>44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282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x14ac:dyDescent="0.35">
      <c r="A16" s="31" t="s">
        <v>136</v>
      </c>
      <c r="B16" s="32">
        <v>46258</v>
      </c>
      <c r="C16" s="31" t="s">
        <v>125</v>
      </c>
      <c r="D16" s="31" t="s">
        <v>137</v>
      </c>
      <c r="E16" s="31" t="s">
        <v>131</v>
      </c>
      <c r="F16" s="31" t="s">
        <v>286</v>
      </c>
      <c r="G16" s="31" t="s">
        <v>47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282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x14ac:dyDescent="0.35">
      <c r="A17" s="31"/>
      <c r="B17" s="32"/>
      <c r="C17" s="31" t="s">
        <v>125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x14ac:dyDescent="0.35">
      <c r="A18" s="31"/>
      <c r="B18" s="32"/>
      <c r="C18" s="31" t="s">
        <v>125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x14ac:dyDescent="0.35">
      <c r="A19" s="31"/>
      <c r="B19" s="32"/>
      <c r="C19" s="31" t="s">
        <v>125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x14ac:dyDescent="0.35">
      <c r="A20" s="31"/>
      <c r="B20" s="32"/>
      <c r="C20" s="31" t="s">
        <v>125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x14ac:dyDescent="0.35">
      <c r="A21" s="31"/>
      <c r="B21" s="32"/>
      <c r="C21" s="31" t="s">
        <v>125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x14ac:dyDescent="0.35">
      <c r="A22" s="31"/>
      <c r="B22" s="32"/>
      <c r="C22" s="31" t="s">
        <v>125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x14ac:dyDescent="0.35">
      <c r="A23" s="31"/>
      <c r="B23" s="32"/>
      <c r="C23" s="31" t="s">
        <v>125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x14ac:dyDescent="0.35">
      <c r="A24" s="31"/>
      <c r="B24" s="32"/>
      <c r="C24" s="31" t="s">
        <v>125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x14ac:dyDescent="0.35">
      <c r="A25" s="31"/>
      <c r="B25" s="32"/>
      <c r="C25" s="31" t="s">
        <v>125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x14ac:dyDescent="0.35">
      <c r="A26" s="31"/>
      <c r="B26" s="32"/>
      <c r="C26" s="31" t="s">
        <v>125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x14ac:dyDescent="0.35">
      <c r="A27" s="31"/>
      <c r="B27" s="32"/>
      <c r="C27" s="31" t="s">
        <v>125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x14ac:dyDescent="0.35">
      <c r="A28" s="31"/>
      <c r="B28" s="32"/>
      <c r="C28" s="31" t="s">
        <v>125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x14ac:dyDescent="0.35">
      <c r="A29" s="31"/>
      <c r="B29" s="32"/>
      <c r="C29" s="31" t="s">
        <v>125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x14ac:dyDescent="0.35">
      <c r="A30" s="31"/>
      <c r="B30" s="32"/>
      <c r="C30" s="31" t="s">
        <v>125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x14ac:dyDescent="0.35">
      <c r="A31" s="31"/>
      <c r="B31" s="32"/>
      <c r="C31" s="31" t="s">
        <v>125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x14ac:dyDescent="0.35">
      <c r="A32" s="31"/>
      <c r="B32" s="32"/>
      <c r="C32" s="31" t="s">
        <v>125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x14ac:dyDescent="0.35">
      <c r="A33" s="31"/>
      <c r="B33" s="32"/>
      <c r="C33" s="31" t="s">
        <v>125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x14ac:dyDescent="0.35">
      <c r="A34" s="31"/>
      <c r="B34" s="32"/>
      <c r="C34" s="31" t="s">
        <v>125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x14ac:dyDescent="0.35">
      <c r="A35" s="31"/>
      <c r="B35" s="32"/>
      <c r="C35" s="31" t="s">
        <v>125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x14ac:dyDescent="0.35">
      <c r="A36" s="31"/>
      <c r="B36" s="32"/>
      <c r="C36" s="31" t="s">
        <v>125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x14ac:dyDescent="0.35">
      <c r="A37" s="31"/>
      <c r="B37" s="32"/>
      <c r="C37" s="31" t="s">
        <v>125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x14ac:dyDescent="0.35">
      <c r="A38" s="31"/>
      <c r="B38" s="32"/>
      <c r="C38" s="31" t="s">
        <v>125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x14ac:dyDescent="0.35">
      <c r="A39" s="31"/>
      <c r="B39" s="32"/>
      <c r="C39" s="31" t="s">
        <v>125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x14ac:dyDescent="0.35">
      <c r="A40" s="31"/>
      <c r="B40" s="32"/>
      <c r="C40" s="31" t="s">
        <v>125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x14ac:dyDescent="0.35">
      <c r="A41" s="31"/>
      <c r="B41" s="32"/>
      <c r="C41" s="31" t="s">
        <v>125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x14ac:dyDescent="0.35">
      <c r="A42" s="31"/>
      <c r="B42" s="32"/>
      <c r="C42" s="31" t="s">
        <v>125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x14ac:dyDescent="0.35">
      <c r="A43" s="31"/>
      <c r="B43" s="32"/>
      <c r="C43" s="31" t="s">
        <v>125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x14ac:dyDescent="0.35">
      <c r="A44" s="31"/>
      <c r="B44" s="32"/>
      <c r="C44" s="31" t="s">
        <v>125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x14ac:dyDescent="0.35">
      <c r="A45" s="31"/>
      <c r="B45" s="32"/>
      <c r="C45" s="31" t="s">
        <v>125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x14ac:dyDescent="0.35">
      <c r="A46" s="31"/>
      <c r="B46" s="32"/>
      <c r="C46" s="31" t="s">
        <v>125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x14ac:dyDescent="0.35">
      <c r="A47" s="31"/>
      <c r="B47" s="32"/>
      <c r="C47" s="31" t="s">
        <v>125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x14ac:dyDescent="0.35">
      <c r="A48" s="31"/>
      <c r="B48" s="32"/>
      <c r="C48" s="31" t="s">
        <v>125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x14ac:dyDescent="0.35">
      <c r="A49" s="31"/>
      <c r="B49" s="32"/>
      <c r="C49" s="31" t="s">
        <v>125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x14ac:dyDescent="0.35">
      <c r="A50" s="31"/>
      <c r="B50" s="32"/>
      <c r="C50" s="31" t="s">
        <v>125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x14ac:dyDescent="0.35">
      <c r="A51" s="31"/>
      <c r="B51" s="32"/>
      <c r="C51" s="31" t="s">
        <v>125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x14ac:dyDescent="0.35">
      <c r="A52" s="31"/>
      <c r="B52" s="32"/>
      <c r="C52" s="31" t="s">
        <v>125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x14ac:dyDescent="0.35">
      <c r="A53" s="31"/>
      <c r="B53" s="32"/>
      <c r="C53" s="31" t="s">
        <v>125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x14ac:dyDescent="0.35">
      <c r="A54" s="31"/>
      <c r="B54" s="32"/>
      <c r="C54" s="31" t="s">
        <v>125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x14ac:dyDescent="0.35">
      <c r="A55" s="31"/>
      <c r="B55" s="32"/>
      <c r="C55" s="31" t="s">
        <v>125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x14ac:dyDescent="0.35">
      <c r="A56" s="31"/>
      <c r="B56" s="32"/>
      <c r="C56" s="31" t="s">
        <v>125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x14ac:dyDescent="0.35">
      <c r="A57" s="31"/>
      <c r="B57" s="32"/>
      <c r="C57" s="31" t="s">
        <v>125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x14ac:dyDescent="0.35">
      <c r="A58" s="31"/>
      <c r="B58" s="32"/>
      <c r="C58" s="31" t="s">
        <v>125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x14ac:dyDescent="0.35">
      <c r="A59" s="31"/>
      <c r="B59" s="32"/>
      <c r="C59" s="31" t="s">
        <v>125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x14ac:dyDescent="0.35">
      <c r="A60" s="31"/>
      <c r="B60" s="32"/>
      <c r="C60" s="31" t="s">
        <v>125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x14ac:dyDescent="0.35">
      <c r="A61" s="31"/>
      <c r="B61" s="32"/>
      <c r="C61" s="31" t="s">
        <v>125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x14ac:dyDescent="0.35">
      <c r="A62" s="31"/>
      <c r="B62" s="32"/>
      <c r="C62" s="31" t="s">
        <v>125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x14ac:dyDescent="0.35">
      <c r="A63" s="31"/>
      <c r="B63" s="32"/>
      <c r="C63" s="31" t="s">
        <v>125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x14ac:dyDescent="0.35">
      <c r="A64" s="31"/>
      <c r="B64" s="32"/>
      <c r="C64" s="31" t="s">
        <v>125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x14ac:dyDescent="0.35">
      <c r="A65" s="31"/>
      <c r="B65" s="32"/>
      <c r="C65" s="31" t="s">
        <v>125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x14ac:dyDescent="0.35">
      <c r="A66" s="31"/>
      <c r="B66" s="32"/>
      <c r="C66" s="31" t="s">
        <v>125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x14ac:dyDescent="0.35">
      <c r="A67" s="31"/>
      <c r="B67" s="32"/>
      <c r="C67" s="31" t="s">
        <v>125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5">
      <c r="A68" s="31"/>
      <c r="B68" s="32"/>
      <c r="C68" s="31" t="s">
        <v>125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x14ac:dyDescent="0.35">
      <c r="A69" s="31"/>
      <c r="B69" s="32"/>
      <c r="C69" s="31" t="s">
        <v>125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x14ac:dyDescent="0.35">
      <c r="A70" s="31"/>
      <c r="B70" s="32"/>
      <c r="C70" s="31" t="s">
        <v>125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x14ac:dyDescent="0.35">
      <c r="A71" s="31"/>
      <c r="B71" s="32"/>
      <c r="C71" s="31" t="s">
        <v>125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x14ac:dyDescent="0.35">
      <c r="A72" s="31"/>
      <c r="B72" s="32"/>
      <c r="C72" s="31" t="s">
        <v>125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x14ac:dyDescent="0.35">
      <c r="A73" s="31"/>
      <c r="B73" s="32"/>
      <c r="C73" s="31" t="s">
        <v>125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x14ac:dyDescent="0.35">
      <c r="A74" s="31"/>
      <c r="B74" s="32"/>
      <c r="C74" s="31" t="s">
        <v>125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x14ac:dyDescent="0.35">
      <c r="A75" s="31"/>
      <c r="B75" s="32"/>
      <c r="C75" s="31" t="s">
        <v>125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x14ac:dyDescent="0.35">
      <c r="A76" s="31"/>
      <c r="B76" s="32"/>
      <c r="C76" s="31" t="s">
        <v>125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x14ac:dyDescent="0.35">
      <c r="A77" s="31"/>
      <c r="B77" s="32"/>
      <c r="C77" s="31" t="s">
        <v>125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x14ac:dyDescent="0.35">
      <c r="A78" s="31"/>
      <c r="B78" s="32"/>
      <c r="C78" s="31" t="s">
        <v>125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x14ac:dyDescent="0.35">
      <c r="A79" s="31"/>
      <c r="B79" s="32"/>
      <c r="C79" s="31" t="s">
        <v>125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x14ac:dyDescent="0.35">
      <c r="A80" s="31"/>
      <c r="B80" s="32"/>
      <c r="C80" s="31" t="s">
        <v>125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x14ac:dyDescent="0.35">
      <c r="A81" s="31"/>
      <c r="B81" s="32"/>
      <c r="C81" s="31" t="s">
        <v>125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x14ac:dyDescent="0.35">
      <c r="A82" s="31"/>
      <c r="B82" s="32"/>
      <c r="C82" s="31" t="s">
        <v>125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x14ac:dyDescent="0.35">
      <c r="A83" s="31"/>
      <c r="B83" s="32"/>
      <c r="C83" s="31" t="s">
        <v>125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x14ac:dyDescent="0.35">
      <c r="A84" s="31"/>
      <c r="B84" s="32"/>
      <c r="C84" s="31" t="s">
        <v>125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x14ac:dyDescent="0.35">
      <c r="A85" s="31"/>
      <c r="B85" s="32"/>
      <c r="C85" s="31" t="s">
        <v>125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x14ac:dyDescent="0.35">
      <c r="A86" s="31"/>
      <c r="B86" s="32"/>
      <c r="C86" s="31" t="s">
        <v>125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x14ac:dyDescent="0.35">
      <c r="A87" s="31"/>
      <c r="B87" s="32"/>
      <c r="C87" s="31" t="s">
        <v>125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x14ac:dyDescent="0.35">
      <c r="A88" s="31"/>
      <c r="B88" s="32"/>
      <c r="C88" s="31" t="s">
        <v>125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x14ac:dyDescent="0.35">
      <c r="A89" s="31"/>
      <c r="B89" s="32"/>
      <c r="C89" s="31" t="s">
        <v>125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x14ac:dyDescent="0.35">
      <c r="A90" s="31"/>
      <c r="B90" s="32"/>
      <c r="C90" s="31" t="s">
        <v>125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x14ac:dyDescent="0.35">
      <c r="A91" s="31"/>
      <c r="B91" s="32"/>
      <c r="C91" s="31" t="s">
        <v>125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x14ac:dyDescent="0.35">
      <c r="A92" s="31"/>
      <c r="B92" s="32"/>
      <c r="C92" s="31" t="s">
        <v>125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x14ac:dyDescent="0.35">
      <c r="A93" s="31"/>
      <c r="B93" s="32"/>
      <c r="C93" s="31" t="s">
        <v>125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x14ac:dyDescent="0.35">
      <c r="A94" s="31"/>
      <c r="B94" s="32"/>
      <c r="C94" s="31" t="s">
        <v>125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x14ac:dyDescent="0.35">
      <c r="A95" s="31"/>
      <c r="B95" s="32"/>
      <c r="C95" s="31" t="s">
        <v>125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x14ac:dyDescent="0.35">
      <c r="A96" s="31"/>
      <c r="B96" s="32"/>
      <c r="C96" s="31" t="s">
        <v>125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x14ac:dyDescent="0.35">
      <c r="A97" s="31"/>
      <c r="B97" s="32"/>
      <c r="C97" s="31" t="s">
        <v>125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x14ac:dyDescent="0.35">
      <c r="A98" s="31"/>
      <c r="B98" s="32"/>
      <c r="C98" s="31" t="s">
        <v>125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x14ac:dyDescent="0.35">
      <c r="A99" s="31"/>
      <c r="B99" s="32"/>
      <c r="C99" s="31" t="s">
        <v>125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x14ac:dyDescent="0.35">
      <c r="A100" s="31"/>
      <c r="B100" s="32"/>
      <c r="C100" s="31" t="s">
        <v>125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x14ac:dyDescent="0.35">
      <c r="A101" s="31"/>
      <c r="B101" s="32"/>
      <c r="C101" s="31" t="s">
        <v>125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x14ac:dyDescent="0.35">
      <c r="A102" s="31"/>
      <c r="B102" s="32"/>
      <c r="C102" s="31" t="s">
        <v>125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x14ac:dyDescent="0.35">
      <c r="A103" s="31"/>
      <c r="B103" s="32"/>
      <c r="C103" s="31" t="s">
        <v>125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x14ac:dyDescent="0.35">
      <c r="A104" s="31"/>
      <c r="B104" s="32"/>
      <c r="C104" s="31" t="s">
        <v>125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x14ac:dyDescent="0.35">
      <c r="A105" s="31"/>
      <c r="B105" s="32"/>
      <c r="C105" s="31" t="s">
        <v>125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x14ac:dyDescent="0.35">
      <c r="A106" s="31"/>
      <c r="B106" s="32"/>
      <c r="C106" s="31" t="s">
        <v>125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x14ac:dyDescent="0.35">
      <c r="A107" s="31"/>
      <c r="B107" s="32"/>
      <c r="C107" s="31" t="s">
        <v>125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x14ac:dyDescent="0.35">
      <c r="A108" s="31"/>
      <c r="B108" s="32"/>
      <c r="C108" s="31" t="s">
        <v>125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x14ac:dyDescent="0.35">
      <c r="A109" s="31"/>
      <c r="B109" s="32"/>
      <c r="C109" s="31" t="s">
        <v>125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x14ac:dyDescent="0.35">
      <c r="A110" s="31"/>
      <c r="B110" s="32"/>
      <c r="C110" s="31" t="s">
        <v>125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x14ac:dyDescent="0.35">
      <c r="A111" s="31"/>
      <c r="B111" s="32"/>
      <c r="C111" s="31" t="s">
        <v>125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x14ac:dyDescent="0.35">
      <c r="A112" s="31"/>
      <c r="B112" s="32"/>
      <c r="C112" s="31" t="s">
        <v>125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x14ac:dyDescent="0.35">
      <c r="A113" s="31"/>
      <c r="B113" s="32"/>
      <c r="C113" s="31" t="s">
        <v>125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x14ac:dyDescent="0.35">
      <c r="A114" s="31"/>
      <c r="B114" s="32"/>
      <c r="C114" s="31" t="s">
        <v>125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x14ac:dyDescent="0.35">
      <c r="A115" s="31"/>
      <c r="B115" s="32"/>
      <c r="C115" s="31" t="s">
        <v>125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x14ac:dyDescent="0.35">
      <c r="A116" s="31"/>
      <c r="B116" s="32"/>
      <c r="C116" s="31" t="s">
        <v>125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x14ac:dyDescent="0.35">
      <c r="A117" s="31"/>
      <c r="B117" s="32"/>
      <c r="C117" s="31" t="s">
        <v>125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x14ac:dyDescent="0.35">
      <c r="A118" s="31"/>
      <c r="B118" s="32"/>
      <c r="C118" s="31" t="s">
        <v>125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x14ac:dyDescent="0.35">
      <c r="A119" s="31"/>
      <c r="B119" s="32"/>
      <c r="C119" s="31" t="s">
        <v>125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x14ac:dyDescent="0.35">
      <c r="A120" s="31"/>
      <c r="B120" s="32"/>
      <c r="C120" s="31" t="s">
        <v>125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x14ac:dyDescent="0.35">
      <c r="A121" s="31"/>
      <c r="B121" s="32"/>
      <c r="C121" s="31" t="s">
        <v>125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x14ac:dyDescent="0.35">
      <c r="A122" s="31"/>
      <c r="B122" s="32"/>
      <c r="C122" s="31" t="s">
        <v>125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x14ac:dyDescent="0.35">
      <c r="A123" s="31"/>
      <c r="B123" s="32"/>
      <c r="C123" s="31" t="s">
        <v>125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x14ac:dyDescent="0.35">
      <c r="A124" s="31"/>
      <c r="B124" s="32"/>
      <c r="C124" s="31" t="s">
        <v>125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x14ac:dyDescent="0.35">
      <c r="A125" s="31"/>
      <c r="B125" s="32"/>
      <c r="C125" s="31" t="s">
        <v>125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x14ac:dyDescent="0.35">
      <c r="A126" s="31"/>
      <c r="B126" s="32"/>
      <c r="C126" s="31" t="s">
        <v>125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x14ac:dyDescent="0.35">
      <c r="A127" s="31"/>
      <c r="B127" s="32"/>
      <c r="C127" s="31" t="s">
        <v>125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x14ac:dyDescent="0.35">
      <c r="A128" s="31"/>
      <c r="B128" s="32"/>
      <c r="C128" s="31" t="s">
        <v>125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x14ac:dyDescent="0.35">
      <c r="A129" s="31"/>
      <c r="B129" s="32"/>
      <c r="C129" s="31" t="s">
        <v>125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x14ac:dyDescent="0.35">
      <c r="A130" s="31"/>
      <c r="B130" s="32"/>
      <c r="C130" s="31" t="s">
        <v>125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x14ac:dyDescent="0.35">
      <c r="A131" s="31"/>
      <c r="B131" s="32"/>
      <c r="C131" s="31" t="s">
        <v>125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5">
      <c r="A132" s="31"/>
      <c r="B132" s="32"/>
      <c r="C132" s="31" t="s">
        <v>125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x14ac:dyDescent="0.35">
      <c r="A133" s="31"/>
      <c r="B133" s="32"/>
      <c r="C133" s="31" t="s">
        <v>125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x14ac:dyDescent="0.35">
      <c r="A134" s="31"/>
      <c r="B134" s="32"/>
      <c r="C134" s="31" t="s">
        <v>125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x14ac:dyDescent="0.35">
      <c r="A135" s="31"/>
      <c r="B135" s="32"/>
      <c r="C135" s="31" t="s">
        <v>125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x14ac:dyDescent="0.35">
      <c r="A136" s="31"/>
      <c r="B136" s="32"/>
      <c r="C136" s="31" t="s">
        <v>125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x14ac:dyDescent="0.35">
      <c r="A137" s="31"/>
      <c r="B137" s="32"/>
      <c r="C137" s="31" t="s">
        <v>125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x14ac:dyDescent="0.35">
      <c r="A138" s="31"/>
      <c r="B138" s="32"/>
      <c r="C138" s="31" t="s">
        <v>125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x14ac:dyDescent="0.35">
      <c r="A139" s="31"/>
      <c r="B139" s="32"/>
      <c r="C139" s="31" t="s">
        <v>125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x14ac:dyDescent="0.35">
      <c r="A140" s="31"/>
      <c r="B140" s="32"/>
      <c r="C140" s="31" t="s">
        <v>125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x14ac:dyDescent="0.35">
      <c r="A141" s="31"/>
      <c r="B141" s="32"/>
      <c r="C141" s="31" t="s">
        <v>125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x14ac:dyDescent="0.35">
      <c r="A142" s="31"/>
      <c r="B142" s="32"/>
      <c r="C142" s="31" t="s">
        <v>125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x14ac:dyDescent="0.35">
      <c r="A143" s="31"/>
      <c r="B143" s="32"/>
      <c r="C143" s="31" t="s">
        <v>125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x14ac:dyDescent="0.35">
      <c r="A144" s="31"/>
      <c r="B144" s="32"/>
      <c r="C144" s="31" t="s">
        <v>125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x14ac:dyDescent="0.35">
      <c r="A145" s="31"/>
      <c r="B145" s="32"/>
      <c r="C145" s="31" t="s">
        <v>125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x14ac:dyDescent="0.35">
      <c r="A146" s="31"/>
      <c r="B146" s="32"/>
      <c r="C146" s="31" t="s">
        <v>125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x14ac:dyDescent="0.35">
      <c r="A147" s="31"/>
      <c r="B147" s="32"/>
      <c r="C147" s="31" t="s">
        <v>125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x14ac:dyDescent="0.35">
      <c r="A148" s="31"/>
      <c r="B148" s="32"/>
      <c r="C148" s="31" t="s">
        <v>125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x14ac:dyDescent="0.35">
      <c r="A149" s="31"/>
      <c r="B149" s="32"/>
      <c r="C149" s="31" t="s">
        <v>125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x14ac:dyDescent="0.35">
      <c r="A150" s="31"/>
      <c r="B150" s="32"/>
      <c r="C150" s="31" t="s">
        <v>125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x14ac:dyDescent="0.35">
      <c r="A151" s="31"/>
      <c r="B151" s="32"/>
      <c r="C151" s="31" t="s">
        <v>125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x14ac:dyDescent="0.35">
      <c r="A152" s="31"/>
      <c r="B152" s="32"/>
      <c r="C152" s="31" t="s">
        <v>125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x14ac:dyDescent="0.35">
      <c r="A153" s="31"/>
      <c r="B153" s="32"/>
      <c r="C153" s="31" t="s">
        <v>125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x14ac:dyDescent="0.35">
      <c r="A154" s="31"/>
      <c r="B154" s="32"/>
      <c r="C154" s="31" t="s">
        <v>125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x14ac:dyDescent="0.35">
      <c r="A155" s="31"/>
      <c r="B155" s="32"/>
      <c r="C155" s="31" t="s">
        <v>125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x14ac:dyDescent="0.35">
      <c r="A156" s="31"/>
      <c r="B156" s="32"/>
      <c r="C156" s="31" t="s">
        <v>125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x14ac:dyDescent="0.35">
      <c r="A157" s="31"/>
      <c r="B157" s="32"/>
      <c r="C157" s="31" t="s">
        <v>125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x14ac:dyDescent="0.35">
      <c r="A158" s="31"/>
      <c r="B158" s="32"/>
      <c r="C158" s="31" t="s">
        <v>125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x14ac:dyDescent="0.35">
      <c r="A159" s="31"/>
      <c r="B159" s="32"/>
      <c r="C159" s="31" t="s">
        <v>125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x14ac:dyDescent="0.35">
      <c r="A160" s="31"/>
      <c r="B160" s="32"/>
      <c r="C160" s="31" t="s">
        <v>125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x14ac:dyDescent="0.35">
      <c r="A161" s="31"/>
      <c r="B161" s="32"/>
      <c r="C161" s="31" t="s">
        <v>125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x14ac:dyDescent="0.35">
      <c r="A162" s="31"/>
      <c r="B162" s="32"/>
      <c r="C162" s="31" t="s">
        <v>125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x14ac:dyDescent="0.35">
      <c r="A163" s="31"/>
      <c r="B163" s="32"/>
      <c r="C163" s="31" t="s">
        <v>125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x14ac:dyDescent="0.35">
      <c r="A164" s="31"/>
      <c r="B164" s="32"/>
      <c r="C164" s="31" t="s">
        <v>125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x14ac:dyDescent="0.35">
      <c r="A165" s="31"/>
      <c r="B165" s="32"/>
      <c r="C165" s="31" t="s">
        <v>125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x14ac:dyDescent="0.35">
      <c r="A166" s="31"/>
      <c r="B166" s="32"/>
      <c r="C166" s="31" t="s">
        <v>125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x14ac:dyDescent="0.35">
      <c r="A167" s="31"/>
      <c r="B167" s="32"/>
      <c r="C167" s="31" t="s">
        <v>125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x14ac:dyDescent="0.35">
      <c r="A168" s="31"/>
      <c r="B168" s="32"/>
      <c r="C168" s="31" t="s">
        <v>125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x14ac:dyDescent="0.35">
      <c r="A169" s="31"/>
      <c r="B169" s="32"/>
      <c r="C169" s="31" t="s">
        <v>125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x14ac:dyDescent="0.35">
      <c r="A170" s="31"/>
      <c r="B170" s="32"/>
      <c r="C170" s="31" t="s">
        <v>125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x14ac:dyDescent="0.35">
      <c r="A171" s="31"/>
      <c r="B171" s="32"/>
      <c r="C171" s="31" t="s">
        <v>125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x14ac:dyDescent="0.35">
      <c r="A172" s="31"/>
      <c r="B172" s="32"/>
      <c r="C172" s="31" t="s">
        <v>125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x14ac:dyDescent="0.35">
      <c r="A173" s="31"/>
      <c r="B173" s="32"/>
      <c r="C173" s="31" t="s">
        <v>125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x14ac:dyDescent="0.35">
      <c r="A174" s="31"/>
      <c r="B174" s="32"/>
      <c r="C174" s="31" t="s">
        <v>125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x14ac:dyDescent="0.35">
      <c r="A175" s="31"/>
      <c r="B175" s="32"/>
      <c r="C175" s="31" t="s">
        <v>125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x14ac:dyDescent="0.35">
      <c r="A176" s="31"/>
      <c r="B176" s="32"/>
      <c r="C176" s="31" t="s">
        <v>125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x14ac:dyDescent="0.35">
      <c r="A177" s="31"/>
      <c r="B177" s="32"/>
      <c r="C177" s="31" t="s">
        <v>125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x14ac:dyDescent="0.35">
      <c r="A178" s="31"/>
      <c r="B178" s="32"/>
      <c r="C178" s="31" t="s">
        <v>125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x14ac:dyDescent="0.35">
      <c r="A179" s="31"/>
      <c r="B179" s="32"/>
      <c r="C179" s="31" t="s">
        <v>125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x14ac:dyDescent="0.35">
      <c r="A180" s="31"/>
      <c r="B180" s="32"/>
      <c r="C180" s="31" t="s">
        <v>125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x14ac:dyDescent="0.35">
      <c r="A181" s="31"/>
      <c r="B181" s="32"/>
      <c r="C181" s="31" t="s">
        <v>125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x14ac:dyDescent="0.35">
      <c r="A182" s="31"/>
      <c r="B182" s="32"/>
      <c r="C182" s="31" t="s">
        <v>125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x14ac:dyDescent="0.35">
      <c r="A183" s="31"/>
      <c r="B183" s="32"/>
      <c r="C183" s="31" t="s">
        <v>125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x14ac:dyDescent="0.35">
      <c r="A184" s="31"/>
      <c r="B184" s="32"/>
      <c r="C184" s="31" t="s">
        <v>125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x14ac:dyDescent="0.35">
      <c r="A185" s="31"/>
      <c r="B185" s="32"/>
      <c r="C185" s="31" t="s">
        <v>125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x14ac:dyDescent="0.35">
      <c r="A186" s="31"/>
      <c r="B186" s="32"/>
      <c r="C186" s="31" t="s">
        <v>125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x14ac:dyDescent="0.35">
      <c r="A187" s="31"/>
      <c r="B187" s="32"/>
      <c r="C187" s="31" t="s">
        <v>125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x14ac:dyDescent="0.35">
      <c r="A188" s="31"/>
      <c r="B188" s="32"/>
      <c r="C188" s="31" t="s">
        <v>125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x14ac:dyDescent="0.35">
      <c r="A189" s="31"/>
      <c r="B189" s="32"/>
      <c r="C189" s="31" t="s">
        <v>125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x14ac:dyDescent="0.35">
      <c r="A190" s="31"/>
      <c r="B190" s="32"/>
      <c r="C190" s="31" t="s">
        <v>125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x14ac:dyDescent="0.35">
      <c r="A191" s="31"/>
      <c r="B191" s="32"/>
      <c r="C191" s="31" t="s">
        <v>125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x14ac:dyDescent="0.35">
      <c r="A192" s="31"/>
      <c r="B192" s="32"/>
      <c r="C192" s="31" t="s">
        <v>125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x14ac:dyDescent="0.35">
      <c r="A193" s="31"/>
      <c r="B193" s="32"/>
      <c r="C193" s="31" t="s">
        <v>125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x14ac:dyDescent="0.35">
      <c r="A194" s="31"/>
      <c r="B194" s="32"/>
      <c r="C194" s="31" t="s">
        <v>125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x14ac:dyDescent="0.35">
      <c r="A195" s="31"/>
      <c r="B195" s="32"/>
      <c r="C195" s="31" t="s">
        <v>125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5">
      <c r="A196" s="31"/>
      <c r="B196" s="32"/>
      <c r="C196" s="31" t="s">
        <v>125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x14ac:dyDescent="0.35">
      <c r="A197" s="31"/>
      <c r="B197" s="32"/>
      <c r="C197" s="31" t="s">
        <v>125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x14ac:dyDescent="0.35">
      <c r="A198" s="31"/>
      <c r="B198" s="32"/>
      <c r="C198" s="31" t="s">
        <v>125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x14ac:dyDescent="0.35">
      <c r="A199" s="31"/>
      <c r="B199" s="32"/>
      <c r="C199" s="31" t="s">
        <v>125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x14ac:dyDescent="0.35">
      <c r="A200" s="31"/>
      <c r="B200" s="32"/>
      <c r="C200" s="31" t="s">
        <v>125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x14ac:dyDescent="0.3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x14ac:dyDescent="0.3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x14ac:dyDescent="0.3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x14ac:dyDescent="0.3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x14ac:dyDescent="0.3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x14ac:dyDescent="0.3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x14ac:dyDescent="0.3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x14ac:dyDescent="0.3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x14ac:dyDescent="0.3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x14ac:dyDescent="0.3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x14ac:dyDescent="0.3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x14ac:dyDescent="0.3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x14ac:dyDescent="0.3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x14ac:dyDescent="0.3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x14ac:dyDescent="0.3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x14ac:dyDescent="0.3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x14ac:dyDescent="0.3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x14ac:dyDescent="0.3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x14ac:dyDescent="0.3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x14ac:dyDescent="0.3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x14ac:dyDescent="0.3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x14ac:dyDescent="0.3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x14ac:dyDescent="0.3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x14ac:dyDescent="0.3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x14ac:dyDescent="0.3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x14ac:dyDescent="0.3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x14ac:dyDescent="0.3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x14ac:dyDescent="0.3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x14ac:dyDescent="0.3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x14ac:dyDescent="0.3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x14ac:dyDescent="0.3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x14ac:dyDescent="0.3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x14ac:dyDescent="0.3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x14ac:dyDescent="0.3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x14ac:dyDescent="0.3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x14ac:dyDescent="0.3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x14ac:dyDescent="0.3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x14ac:dyDescent="0.3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x14ac:dyDescent="0.3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x14ac:dyDescent="0.3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x14ac:dyDescent="0.3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x14ac:dyDescent="0.3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x14ac:dyDescent="0.3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x14ac:dyDescent="0.3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x14ac:dyDescent="0.3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x14ac:dyDescent="0.3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x14ac:dyDescent="0.3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x14ac:dyDescent="0.3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x14ac:dyDescent="0.3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x14ac:dyDescent="0.3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x14ac:dyDescent="0.3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x14ac:dyDescent="0.3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x14ac:dyDescent="0.3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x14ac:dyDescent="0.3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x14ac:dyDescent="0.3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x14ac:dyDescent="0.3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x14ac:dyDescent="0.3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x14ac:dyDescent="0.3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x14ac:dyDescent="0.3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x14ac:dyDescent="0.3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x14ac:dyDescent="0.3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x14ac:dyDescent="0.3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x14ac:dyDescent="0.3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x14ac:dyDescent="0.3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x14ac:dyDescent="0.3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x14ac:dyDescent="0.3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x14ac:dyDescent="0.3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x14ac:dyDescent="0.3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x14ac:dyDescent="0.3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x14ac:dyDescent="0.3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x14ac:dyDescent="0.3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x14ac:dyDescent="0.3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x14ac:dyDescent="0.3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x14ac:dyDescent="0.3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x14ac:dyDescent="0.3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x14ac:dyDescent="0.3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x14ac:dyDescent="0.3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x14ac:dyDescent="0.3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x14ac:dyDescent="0.3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x14ac:dyDescent="0.3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x14ac:dyDescent="0.3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x14ac:dyDescent="0.3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x14ac:dyDescent="0.3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x14ac:dyDescent="0.3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x14ac:dyDescent="0.3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x14ac:dyDescent="0.3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x14ac:dyDescent="0.3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x14ac:dyDescent="0.3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x14ac:dyDescent="0.3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x14ac:dyDescent="0.3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x14ac:dyDescent="0.3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x14ac:dyDescent="0.3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x14ac:dyDescent="0.3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x14ac:dyDescent="0.3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x14ac:dyDescent="0.3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x14ac:dyDescent="0.3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x14ac:dyDescent="0.3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x14ac:dyDescent="0.3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x14ac:dyDescent="0.3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x14ac:dyDescent="0.3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x14ac:dyDescent="0.3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x14ac:dyDescent="0.3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x14ac:dyDescent="0.3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x14ac:dyDescent="0.3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x14ac:dyDescent="0.3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x14ac:dyDescent="0.3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x14ac:dyDescent="0.3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x14ac:dyDescent="0.3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x14ac:dyDescent="0.3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x14ac:dyDescent="0.3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x14ac:dyDescent="0.3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x14ac:dyDescent="0.3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x14ac:dyDescent="0.3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x14ac:dyDescent="0.3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x14ac:dyDescent="0.3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x14ac:dyDescent="0.3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x14ac:dyDescent="0.3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x14ac:dyDescent="0.3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x14ac:dyDescent="0.3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x14ac:dyDescent="0.3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x14ac:dyDescent="0.3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x14ac:dyDescent="0.3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x14ac:dyDescent="0.3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x14ac:dyDescent="0.3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x14ac:dyDescent="0.3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x14ac:dyDescent="0.3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x14ac:dyDescent="0.3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x14ac:dyDescent="0.3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x14ac:dyDescent="0.3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x14ac:dyDescent="0.3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x14ac:dyDescent="0.3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x14ac:dyDescent="0.3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x14ac:dyDescent="0.3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x14ac:dyDescent="0.3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x14ac:dyDescent="0.3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x14ac:dyDescent="0.3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x14ac:dyDescent="0.3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x14ac:dyDescent="0.3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x14ac:dyDescent="0.3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x14ac:dyDescent="0.3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x14ac:dyDescent="0.3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x14ac:dyDescent="0.3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x14ac:dyDescent="0.3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x14ac:dyDescent="0.3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x14ac:dyDescent="0.3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x14ac:dyDescent="0.3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x14ac:dyDescent="0.3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x14ac:dyDescent="0.3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x14ac:dyDescent="0.3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x14ac:dyDescent="0.3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x14ac:dyDescent="0.3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x14ac:dyDescent="0.3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x14ac:dyDescent="0.3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x14ac:dyDescent="0.3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x14ac:dyDescent="0.3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x14ac:dyDescent="0.3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x14ac:dyDescent="0.3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x14ac:dyDescent="0.3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x14ac:dyDescent="0.3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x14ac:dyDescent="0.3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x14ac:dyDescent="0.3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x14ac:dyDescent="0.3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x14ac:dyDescent="0.3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x14ac:dyDescent="0.3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x14ac:dyDescent="0.3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x14ac:dyDescent="0.3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x14ac:dyDescent="0.3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x14ac:dyDescent="0.3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x14ac:dyDescent="0.3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x14ac:dyDescent="0.3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x14ac:dyDescent="0.3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x14ac:dyDescent="0.3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x14ac:dyDescent="0.3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x14ac:dyDescent="0.3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x14ac:dyDescent="0.3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x14ac:dyDescent="0.3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x14ac:dyDescent="0.3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x14ac:dyDescent="0.3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x14ac:dyDescent="0.3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x14ac:dyDescent="0.3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x14ac:dyDescent="0.3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x14ac:dyDescent="0.3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x14ac:dyDescent="0.3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x14ac:dyDescent="0.3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x14ac:dyDescent="0.3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x14ac:dyDescent="0.3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x14ac:dyDescent="0.3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x14ac:dyDescent="0.3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x14ac:dyDescent="0.3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x14ac:dyDescent="0.3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x14ac:dyDescent="0.3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x14ac:dyDescent="0.3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x14ac:dyDescent="0.3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x14ac:dyDescent="0.3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x14ac:dyDescent="0.3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x14ac:dyDescent="0.3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x14ac:dyDescent="0.3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x14ac:dyDescent="0.3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x14ac:dyDescent="0.3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x14ac:dyDescent="0.3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x14ac:dyDescent="0.3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x14ac:dyDescent="0.3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x14ac:dyDescent="0.3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x14ac:dyDescent="0.3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x14ac:dyDescent="0.3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x14ac:dyDescent="0.3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x14ac:dyDescent="0.3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x14ac:dyDescent="0.3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x14ac:dyDescent="0.3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x14ac:dyDescent="0.3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x14ac:dyDescent="0.3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x14ac:dyDescent="0.3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x14ac:dyDescent="0.3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x14ac:dyDescent="0.3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x14ac:dyDescent="0.3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x14ac:dyDescent="0.3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x14ac:dyDescent="0.3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x14ac:dyDescent="0.3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x14ac:dyDescent="0.3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x14ac:dyDescent="0.3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x14ac:dyDescent="0.3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x14ac:dyDescent="0.3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x14ac:dyDescent="0.3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x14ac:dyDescent="0.3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x14ac:dyDescent="0.3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x14ac:dyDescent="0.3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x14ac:dyDescent="0.3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x14ac:dyDescent="0.3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x14ac:dyDescent="0.3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x14ac:dyDescent="0.3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x14ac:dyDescent="0.3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x14ac:dyDescent="0.3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x14ac:dyDescent="0.3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x14ac:dyDescent="0.3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x14ac:dyDescent="0.3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x14ac:dyDescent="0.3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x14ac:dyDescent="0.3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x14ac:dyDescent="0.3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x14ac:dyDescent="0.3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x14ac:dyDescent="0.3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x14ac:dyDescent="0.3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x14ac:dyDescent="0.3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x14ac:dyDescent="0.3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x14ac:dyDescent="0.3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x14ac:dyDescent="0.3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x14ac:dyDescent="0.3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x14ac:dyDescent="0.3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x14ac:dyDescent="0.3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x14ac:dyDescent="0.3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x14ac:dyDescent="0.3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x14ac:dyDescent="0.3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x14ac:dyDescent="0.3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x14ac:dyDescent="0.3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x14ac:dyDescent="0.3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x14ac:dyDescent="0.3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x14ac:dyDescent="0.3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x14ac:dyDescent="0.3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x14ac:dyDescent="0.3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x14ac:dyDescent="0.3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x14ac:dyDescent="0.3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x14ac:dyDescent="0.3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x14ac:dyDescent="0.3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x14ac:dyDescent="0.3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x14ac:dyDescent="0.3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x14ac:dyDescent="0.3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x14ac:dyDescent="0.3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x14ac:dyDescent="0.3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x14ac:dyDescent="0.3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x14ac:dyDescent="0.3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x14ac:dyDescent="0.3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x14ac:dyDescent="0.3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x14ac:dyDescent="0.3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x14ac:dyDescent="0.3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x14ac:dyDescent="0.3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x14ac:dyDescent="0.3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x14ac:dyDescent="0.3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x14ac:dyDescent="0.3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x14ac:dyDescent="0.3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x14ac:dyDescent="0.3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x14ac:dyDescent="0.3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x14ac:dyDescent="0.3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x14ac:dyDescent="0.3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x14ac:dyDescent="0.3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x14ac:dyDescent="0.3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x14ac:dyDescent="0.3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x14ac:dyDescent="0.3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x14ac:dyDescent="0.3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x14ac:dyDescent="0.3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x14ac:dyDescent="0.3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x14ac:dyDescent="0.3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x14ac:dyDescent="0.3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x14ac:dyDescent="0.3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x14ac:dyDescent="0.3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x14ac:dyDescent="0.3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x14ac:dyDescent="0.3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x14ac:dyDescent="0.3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64" priority="4">
      <formula>AND($B5&lt;&gt;"",MOD(ROW(),2)=0)</formula>
    </cfRule>
  </conditionalFormatting>
  <conditionalFormatting sqref="A11:A13">
    <cfRule type="expression" dxfId="63" priority="1">
      <formula>AND($B11&lt;&gt;"",MOD(ROW(),2)=0)</formula>
    </cfRule>
  </conditionalFormatting>
  <conditionalFormatting sqref="A3:H3 K3:M3 A4:M4 M4:M11 B5:M8 A9:M10 B11:M13 A14:M500">
    <cfRule type="expression" dxfId="62" priority="14">
      <formula>AND($A3&lt;&gt;"",$G3="Yes")</formula>
    </cfRule>
    <cfRule type="expression" dxfId="61" priority="15">
      <formula>AND($A3&lt;&gt;"",$J3&lt;&gt;"")</formula>
    </cfRule>
    <cfRule type="expression" dxfId="60" priority="16">
      <formula>$A3&lt;&gt;""</formula>
    </cfRule>
  </conditionalFormatting>
  <conditionalFormatting sqref="C3:C200">
    <cfRule type="expression" dxfId="59" priority="17">
      <formula>$A3=""</formula>
    </cfRule>
  </conditionalFormatting>
  <conditionalFormatting sqref="G3:G200">
    <cfRule type="expression" dxfId="58" priority="18">
      <formula>$A3=""</formula>
    </cfRule>
  </conditionalFormatting>
  <conditionalFormatting sqref="K3:M3 A4:M4 M4:M11 B5:M8 A9:M10 B11:M13 A14:M500 A3:H3">
    <cfRule type="expression" dxfId="57" priority="13">
      <formula>AND($A3&lt;&gt;"",$G3="Did not pass re-test")</formula>
    </cfRule>
  </conditionalFormatting>
  <conditionalFormatting sqref="M3:M500">
    <cfRule type="expression" dxfId="56" priority="7">
      <formula>ISNUMBER(SEARCH("Sent back again",$M3))</formula>
    </cfRule>
    <cfRule type="expression" dxfId="55" priority="8">
      <formula>ISNUMBER(SEARCH("LATE",$M3))</formula>
    </cfRule>
    <cfRule type="expression" dxfId="54" priority="9">
      <formula>ISNUMBER(SEARCH("UNCLAIMED",$M3))</formula>
    </cfRule>
    <cfRule type="expression" dxfId="53" priority="10">
      <formula>ISNUMBER(SEARCH("Missing",$M3))</formula>
    </cfRule>
    <cfRule type="expression" dxfId="52" priority="11">
      <formula>ISNUMBER(SEARCH("Fixed in",$M3))</formula>
    </cfRule>
    <cfRule type="expression" dxfId="51" priority="12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265625" defaultRowHeight="14.5" x14ac:dyDescent="0.3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5">
      <c r="A1" s="86" t="s">
        <v>287</v>
      </c>
      <c r="B1" s="78"/>
      <c r="C1" s="78"/>
      <c r="D1" s="78"/>
      <c r="E1" s="78"/>
      <c r="F1" s="78"/>
      <c r="G1" s="78"/>
      <c r="H1" s="78"/>
      <c r="I1" s="78"/>
      <c r="J1" s="78"/>
    </row>
    <row r="2" spans="1:10" ht="27" customHeight="1" x14ac:dyDescent="0.35">
      <c r="A2" s="8" t="s">
        <v>0</v>
      </c>
      <c r="B2" s="8" t="s">
        <v>288</v>
      </c>
      <c r="C2" s="8" t="s">
        <v>1</v>
      </c>
      <c r="D2" s="8" t="s">
        <v>289</v>
      </c>
      <c r="E2" s="8" t="s">
        <v>290</v>
      </c>
      <c r="F2" s="8" t="s">
        <v>6</v>
      </c>
      <c r="G2" s="8" t="s">
        <v>5</v>
      </c>
      <c r="H2" s="8" t="s">
        <v>291</v>
      </c>
      <c r="I2" s="8" t="s">
        <v>292</v>
      </c>
      <c r="J2" s="8" t="s">
        <v>293</v>
      </c>
    </row>
    <row r="3" spans="1:10" ht="14.25" customHeight="1" x14ac:dyDescent="0.35">
      <c r="A3" s="9" t="s">
        <v>35</v>
      </c>
      <c r="B3" s="9" t="s">
        <v>137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5">
      <c r="A4" s="9" t="s">
        <v>35</v>
      </c>
      <c r="B4" s="9" t="s">
        <v>134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5">
      <c r="A5" s="9" t="s">
        <v>35</v>
      </c>
      <c r="B5" s="9" t="s">
        <v>125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5">
      <c r="A6" s="9" t="s">
        <v>35</v>
      </c>
      <c r="B6" s="9" t="s">
        <v>115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 x14ac:dyDescent="0.35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 x14ac:dyDescent="0.35">
      <c r="A8" s="9" t="s">
        <v>35</v>
      </c>
      <c r="B8" s="9" t="s">
        <v>137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5">
      <c r="A9" s="9" t="s">
        <v>35</v>
      </c>
      <c r="B9" s="9" t="s">
        <v>134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5">
      <c r="A10" s="9" t="s">
        <v>35</v>
      </c>
      <c r="B10" s="9" t="s">
        <v>125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5">
      <c r="A11" s="9" t="s">
        <v>35</v>
      </c>
      <c r="B11" s="9" t="s">
        <v>115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 x14ac:dyDescent="0.35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 x14ac:dyDescent="0.35">
      <c r="A13" s="9" t="s">
        <v>35</v>
      </c>
      <c r="B13" s="9" t="s">
        <v>137</v>
      </c>
      <c r="C13" s="9" t="s">
        <v>294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5">
      <c r="A14" s="9" t="s">
        <v>35</v>
      </c>
      <c r="B14" s="9" t="s">
        <v>134</v>
      </c>
      <c r="C14" s="9" t="s">
        <v>294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5">
      <c r="A15" s="9" t="s">
        <v>35</v>
      </c>
      <c r="B15" s="9" t="s">
        <v>125</v>
      </c>
      <c r="C15" s="9" t="s">
        <v>294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5">
      <c r="A16" s="9" t="s">
        <v>35</v>
      </c>
      <c r="B16" s="9" t="s">
        <v>115</v>
      </c>
      <c r="C16" s="9" t="s">
        <v>294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 x14ac:dyDescent="0.35">
      <c r="A17" s="9" t="s">
        <v>35</v>
      </c>
      <c r="B17" s="9" t="s">
        <v>37</v>
      </c>
      <c r="C17" s="9" t="s">
        <v>294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 x14ac:dyDescent="0.35">
      <c r="A18" s="9" t="s">
        <v>35</v>
      </c>
      <c r="B18" s="9" t="s">
        <v>137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5">
      <c r="A19" s="9" t="s">
        <v>35</v>
      </c>
      <c r="B19" s="9" t="s">
        <v>134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5">
      <c r="A20" s="9" t="s">
        <v>35</v>
      </c>
      <c r="B20" s="9" t="s">
        <v>125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5">
      <c r="A21" s="9" t="s">
        <v>35</v>
      </c>
      <c r="B21" s="9" t="s">
        <v>115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 x14ac:dyDescent="0.35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 x14ac:dyDescent="0.35">
      <c r="A23" s="9" t="s">
        <v>35</v>
      </c>
      <c r="B23" s="9" t="s">
        <v>137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5">
      <c r="A24" s="9" t="s">
        <v>35</v>
      </c>
      <c r="B24" s="9" t="s">
        <v>134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5">
      <c r="A25" s="9" t="s">
        <v>35</v>
      </c>
      <c r="B25" s="9" t="s">
        <v>125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5">
      <c r="A26" s="9" t="s">
        <v>35</v>
      </c>
      <c r="B26" s="9" t="s">
        <v>115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 x14ac:dyDescent="0.35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 x14ac:dyDescent="0.35">
      <c r="A28" s="9" t="s">
        <v>35</v>
      </c>
      <c r="B28" s="9" t="s">
        <v>137</v>
      </c>
      <c r="C28" s="9" t="s">
        <v>63</v>
      </c>
      <c r="D28" s="9" t="s">
        <v>69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5">
      <c r="A29" s="9" t="s">
        <v>35</v>
      </c>
      <c r="B29" s="9" t="s">
        <v>134</v>
      </c>
      <c r="C29" s="9" t="s">
        <v>63</v>
      </c>
      <c r="D29" s="9" t="s">
        <v>69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5">
      <c r="A30" s="9" t="s">
        <v>35</v>
      </c>
      <c r="B30" s="9" t="s">
        <v>125</v>
      </c>
      <c r="C30" s="9" t="s">
        <v>63</v>
      </c>
      <c r="D30" s="9" t="s">
        <v>69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5">
      <c r="A31" s="9" t="s">
        <v>35</v>
      </c>
      <c r="B31" s="9" t="s">
        <v>115</v>
      </c>
      <c r="C31" s="9" t="s">
        <v>63</v>
      </c>
      <c r="D31" s="9" t="s">
        <v>69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 x14ac:dyDescent="0.35">
      <c r="A32" s="9" t="s">
        <v>35</v>
      </c>
      <c r="B32" s="9" t="s">
        <v>37</v>
      </c>
      <c r="C32" s="9" t="s">
        <v>63</v>
      </c>
      <c r="D32" s="9" t="s">
        <v>69</v>
      </c>
      <c r="E32" s="9" t="s">
        <v>54</v>
      </c>
      <c r="F32" s="9"/>
      <c r="G32" s="9"/>
      <c r="H32" s="10"/>
      <c r="I32" s="10"/>
      <c r="J32" s="10"/>
    </row>
    <row r="33" spans="1:10" ht="14.25" customHeight="1" x14ac:dyDescent="0.35">
      <c r="A33" s="9" t="s">
        <v>35</v>
      </c>
      <c r="B33" s="9" t="s">
        <v>137</v>
      </c>
      <c r="C33" s="9" t="s">
        <v>64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5">
      <c r="A34" s="9" t="s">
        <v>35</v>
      </c>
      <c r="B34" s="9" t="s">
        <v>134</v>
      </c>
      <c r="C34" s="9" t="s">
        <v>64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5">
      <c r="A35" s="9" t="s">
        <v>35</v>
      </c>
      <c r="B35" s="9" t="s">
        <v>125</v>
      </c>
      <c r="C35" s="9" t="s">
        <v>64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5">
      <c r="A36" s="9" t="s">
        <v>35</v>
      </c>
      <c r="B36" s="9" t="s">
        <v>115</v>
      </c>
      <c r="C36" s="9" t="s">
        <v>64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 x14ac:dyDescent="0.35">
      <c r="A37" s="9" t="s">
        <v>35</v>
      </c>
      <c r="B37" s="9" t="s">
        <v>37</v>
      </c>
      <c r="C37" s="9" t="s">
        <v>64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 x14ac:dyDescent="0.35">
      <c r="A38" s="9" t="s">
        <v>35</v>
      </c>
      <c r="B38" s="9" t="s">
        <v>137</v>
      </c>
      <c r="C38" s="9" t="s">
        <v>65</v>
      </c>
      <c r="D38" s="9" t="s">
        <v>77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5">
      <c r="A39" s="9" t="s">
        <v>35</v>
      </c>
      <c r="B39" s="9" t="s">
        <v>134</v>
      </c>
      <c r="C39" s="9" t="s">
        <v>65</v>
      </c>
      <c r="D39" s="9" t="s">
        <v>77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5">
      <c r="A40" s="9" t="s">
        <v>35</v>
      </c>
      <c r="B40" s="9" t="s">
        <v>125</v>
      </c>
      <c r="C40" s="9" t="s">
        <v>65</v>
      </c>
      <c r="D40" s="9" t="s">
        <v>77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5">
      <c r="A41" s="9" t="s">
        <v>35</v>
      </c>
      <c r="B41" s="9" t="s">
        <v>115</v>
      </c>
      <c r="C41" s="9" t="s">
        <v>65</v>
      </c>
      <c r="D41" s="9" t="s">
        <v>77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 x14ac:dyDescent="0.35">
      <c r="A42" s="9" t="s">
        <v>35</v>
      </c>
      <c r="B42" s="9" t="s">
        <v>37</v>
      </c>
      <c r="C42" s="9" t="s">
        <v>65</v>
      </c>
      <c r="D42" s="9" t="s">
        <v>77</v>
      </c>
      <c r="E42" s="9" t="s">
        <v>54</v>
      </c>
      <c r="F42" s="9"/>
      <c r="G42" s="9"/>
      <c r="H42" s="9"/>
      <c r="I42" s="10"/>
      <c r="J42" s="10"/>
    </row>
    <row r="43" spans="1:10" ht="14.25" customHeight="1" x14ac:dyDescent="0.35">
      <c r="A43" s="9" t="s">
        <v>35</v>
      </c>
      <c r="B43" s="9" t="s">
        <v>137</v>
      </c>
      <c r="C43" s="9" t="s">
        <v>66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5">
      <c r="A44" s="9" t="s">
        <v>35</v>
      </c>
      <c r="B44" s="9" t="s">
        <v>134</v>
      </c>
      <c r="C44" s="9" t="s">
        <v>66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5">
      <c r="A45" s="9" t="s">
        <v>35</v>
      </c>
      <c r="B45" s="9" t="s">
        <v>125</v>
      </c>
      <c r="C45" s="9" t="s">
        <v>66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5">
      <c r="A46" s="9" t="s">
        <v>35</v>
      </c>
      <c r="B46" s="9" t="s">
        <v>115</v>
      </c>
      <c r="C46" s="9" t="s">
        <v>66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 x14ac:dyDescent="0.35">
      <c r="A47" s="9" t="s">
        <v>35</v>
      </c>
      <c r="B47" s="9" t="s">
        <v>37</v>
      </c>
      <c r="C47" s="9" t="s">
        <v>66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 x14ac:dyDescent="0.35">
      <c r="A48" s="9" t="s">
        <v>35</v>
      </c>
      <c r="B48" s="9" t="s">
        <v>137</v>
      </c>
      <c r="C48" s="9" t="s">
        <v>89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 x14ac:dyDescent="0.35">
      <c r="A49" s="9" t="s">
        <v>35</v>
      </c>
      <c r="B49" s="9" t="s">
        <v>134</v>
      </c>
      <c r="C49" s="9" t="s">
        <v>89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5">
      <c r="A50" s="9" t="s">
        <v>35</v>
      </c>
      <c r="B50" s="9" t="s">
        <v>125</v>
      </c>
      <c r="C50" s="9" t="s">
        <v>89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5">
      <c r="A51" s="9" t="s">
        <v>35</v>
      </c>
      <c r="B51" s="9" t="s">
        <v>115</v>
      </c>
      <c r="C51" s="9" t="s">
        <v>89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 x14ac:dyDescent="0.35">
      <c r="A52" s="9" t="s">
        <v>35</v>
      </c>
      <c r="B52" s="9" t="s">
        <v>37</v>
      </c>
      <c r="C52" s="9" t="s">
        <v>89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 x14ac:dyDescent="0.35">
      <c r="A53" s="9" t="s">
        <v>35</v>
      </c>
      <c r="B53" s="9" t="s">
        <v>137</v>
      </c>
      <c r="C53" s="9" t="s">
        <v>90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 x14ac:dyDescent="0.35">
      <c r="A54" s="9" t="s">
        <v>35</v>
      </c>
      <c r="B54" s="9" t="s">
        <v>134</v>
      </c>
      <c r="C54" s="9" t="s">
        <v>90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5">
      <c r="A55" s="9" t="s">
        <v>35</v>
      </c>
      <c r="B55" s="9" t="s">
        <v>125</v>
      </c>
      <c r="C55" s="9" t="s">
        <v>90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5">
      <c r="A56" s="9" t="s">
        <v>35</v>
      </c>
      <c r="B56" s="9" t="s">
        <v>115</v>
      </c>
      <c r="C56" s="9" t="s">
        <v>90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 x14ac:dyDescent="0.35">
      <c r="A57" s="9" t="s">
        <v>35</v>
      </c>
      <c r="B57" s="9" t="s">
        <v>37</v>
      </c>
      <c r="C57" s="9" t="s">
        <v>90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 x14ac:dyDescent="0.35">
      <c r="A58" s="9" t="s">
        <v>35</v>
      </c>
      <c r="B58" s="9" t="s">
        <v>137</v>
      </c>
      <c r="C58" s="9" t="s">
        <v>91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 x14ac:dyDescent="0.35">
      <c r="A59" s="9" t="s">
        <v>35</v>
      </c>
      <c r="B59" s="9" t="s">
        <v>134</v>
      </c>
      <c r="C59" s="9" t="s">
        <v>91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5">
      <c r="A60" s="9" t="s">
        <v>35</v>
      </c>
      <c r="B60" s="9" t="s">
        <v>125</v>
      </c>
      <c r="C60" s="9" t="s">
        <v>91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5">
      <c r="A61" s="9" t="s">
        <v>35</v>
      </c>
      <c r="B61" s="9" t="s">
        <v>115</v>
      </c>
      <c r="C61" s="9" t="s">
        <v>91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 x14ac:dyDescent="0.35">
      <c r="A62" s="9" t="s">
        <v>35</v>
      </c>
      <c r="B62" s="9" t="s">
        <v>37</v>
      </c>
      <c r="C62" s="9" t="s">
        <v>91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 x14ac:dyDescent="0.35">
      <c r="A63" s="9" t="s">
        <v>35</v>
      </c>
      <c r="B63" s="9" t="s">
        <v>137</v>
      </c>
      <c r="C63" s="9" t="s">
        <v>92</v>
      </c>
      <c r="D63" s="9" t="s">
        <v>95</v>
      </c>
      <c r="E63" s="9" t="s">
        <v>41</v>
      </c>
      <c r="F63" s="9"/>
      <c r="G63" s="9"/>
      <c r="H63" s="10"/>
      <c r="I63" s="10"/>
      <c r="J63" s="10"/>
    </row>
    <row r="64" spans="1:10" ht="14.25" customHeight="1" x14ac:dyDescent="0.35">
      <c r="A64" s="9" t="s">
        <v>35</v>
      </c>
      <c r="B64" s="9" t="s">
        <v>134</v>
      </c>
      <c r="C64" s="9" t="s">
        <v>92</v>
      </c>
      <c r="D64" s="9" t="s">
        <v>95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5">
      <c r="A65" s="9" t="s">
        <v>35</v>
      </c>
      <c r="B65" s="9" t="s">
        <v>125</v>
      </c>
      <c r="C65" s="9" t="s">
        <v>92</v>
      </c>
      <c r="D65" s="9" t="s">
        <v>95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5">
      <c r="A66" s="9" t="s">
        <v>35</v>
      </c>
      <c r="B66" s="9" t="s">
        <v>115</v>
      </c>
      <c r="C66" s="9" t="s">
        <v>92</v>
      </c>
      <c r="D66" s="9" t="s">
        <v>95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 x14ac:dyDescent="0.35">
      <c r="A67" s="9" t="s">
        <v>35</v>
      </c>
      <c r="B67" s="9" t="s">
        <v>37</v>
      </c>
      <c r="C67" s="9" t="s">
        <v>92</v>
      </c>
      <c r="D67" s="9" t="s">
        <v>95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5">
      <c r="A68" s="9" t="s">
        <v>35</v>
      </c>
      <c r="B68" s="9" t="s">
        <v>137</v>
      </c>
      <c r="C68" s="9" t="s">
        <v>67</v>
      </c>
      <c r="D68" s="9" t="s">
        <v>69</v>
      </c>
      <c r="E68" s="9" t="s">
        <v>70</v>
      </c>
      <c r="F68" s="9"/>
      <c r="G68" s="9"/>
      <c r="H68" s="10"/>
      <c r="I68" s="10"/>
      <c r="J68" s="9"/>
    </row>
    <row r="69" spans="1:10" ht="14.25" customHeight="1" x14ac:dyDescent="0.35">
      <c r="A69" s="9" t="s">
        <v>35</v>
      </c>
      <c r="B69" s="9" t="s">
        <v>134</v>
      </c>
      <c r="C69" s="9" t="s">
        <v>67</v>
      </c>
      <c r="D69" s="9" t="s">
        <v>69</v>
      </c>
      <c r="E69" s="9" t="s">
        <v>70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5">
      <c r="A70" s="9" t="s">
        <v>35</v>
      </c>
      <c r="B70" s="9" t="s">
        <v>125</v>
      </c>
      <c r="C70" s="9" t="s">
        <v>67</v>
      </c>
      <c r="D70" s="9" t="s">
        <v>69</v>
      </c>
      <c r="E70" s="9" t="s">
        <v>70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5">
      <c r="A71" s="9" t="s">
        <v>35</v>
      </c>
      <c r="B71" s="9" t="s">
        <v>115</v>
      </c>
      <c r="C71" s="9" t="s">
        <v>67</v>
      </c>
      <c r="D71" s="9" t="s">
        <v>69</v>
      </c>
      <c r="E71" s="9" t="s">
        <v>70</v>
      </c>
      <c r="F71" s="9"/>
      <c r="G71" s="9"/>
      <c r="H71" s="10">
        <v>46134</v>
      </c>
      <c r="I71" s="10"/>
      <c r="J71" s="10"/>
    </row>
    <row r="72" spans="1:10" ht="14.25" customHeight="1" x14ac:dyDescent="0.35">
      <c r="A72" s="9" t="s">
        <v>35</v>
      </c>
      <c r="B72" s="9" t="s">
        <v>37</v>
      </c>
      <c r="C72" s="9" t="s">
        <v>67</v>
      </c>
      <c r="D72" s="9" t="s">
        <v>69</v>
      </c>
      <c r="E72" s="9" t="s">
        <v>70</v>
      </c>
      <c r="F72" s="9"/>
      <c r="G72" s="9"/>
      <c r="H72" s="10"/>
      <c r="I72" s="10"/>
      <c r="J72" s="10"/>
    </row>
    <row r="73" spans="1:10" ht="14.25" customHeight="1" x14ac:dyDescent="0.35">
      <c r="A73" s="9" t="s">
        <v>35</v>
      </c>
      <c r="B73" s="9" t="s">
        <v>137</v>
      </c>
      <c r="C73" s="9" t="s">
        <v>73</v>
      </c>
      <c r="D73" s="9" t="s">
        <v>53</v>
      </c>
      <c r="E73" s="9" t="s">
        <v>70</v>
      </c>
      <c r="F73" s="9"/>
      <c r="G73" s="9"/>
      <c r="H73" s="9"/>
      <c r="I73" s="10"/>
      <c r="J73" s="10"/>
    </row>
    <row r="74" spans="1:10" ht="14.25" customHeight="1" x14ac:dyDescent="0.35">
      <c r="A74" s="9" t="s">
        <v>35</v>
      </c>
      <c r="B74" s="9" t="s">
        <v>134</v>
      </c>
      <c r="C74" s="9" t="s">
        <v>73</v>
      </c>
      <c r="D74" s="9" t="s">
        <v>53</v>
      </c>
      <c r="E74" s="9" t="s">
        <v>70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5">
      <c r="A75" s="9" t="s">
        <v>35</v>
      </c>
      <c r="B75" s="9" t="s">
        <v>125</v>
      </c>
      <c r="C75" s="9" t="s">
        <v>73</v>
      </c>
      <c r="D75" s="9" t="s">
        <v>53</v>
      </c>
      <c r="E75" s="9" t="s">
        <v>70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5">
      <c r="A76" s="9" t="s">
        <v>35</v>
      </c>
      <c r="B76" s="9" t="s">
        <v>115</v>
      </c>
      <c r="C76" s="9" t="s">
        <v>73</v>
      </c>
      <c r="D76" s="9" t="s">
        <v>53</v>
      </c>
      <c r="E76" s="9" t="s">
        <v>70</v>
      </c>
      <c r="F76" s="9"/>
      <c r="G76" s="9"/>
      <c r="H76" s="10">
        <v>46139</v>
      </c>
      <c r="I76" s="10"/>
      <c r="J76" s="10"/>
    </row>
    <row r="77" spans="1:10" ht="14.25" customHeight="1" x14ac:dyDescent="0.35">
      <c r="A77" s="9" t="s">
        <v>35</v>
      </c>
      <c r="B77" s="9" t="s">
        <v>37</v>
      </c>
      <c r="C77" s="9" t="s">
        <v>73</v>
      </c>
      <c r="D77" s="9" t="s">
        <v>53</v>
      </c>
      <c r="E77" s="9" t="s">
        <v>70</v>
      </c>
      <c r="F77" s="9"/>
      <c r="G77" s="9"/>
      <c r="H77" s="9"/>
      <c r="I77" s="10"/>
      <c r="J77" s="10"/>
    </row>
    <row r="78" spans="1:10" ht="14.25" customHeight="1" x14ac:dyDescent="0.35">
      <c r="A78" s="9" t="s">
        <v>35</v>
      </c>
      <c r="B78" s="9" t="s">
        <v>137</v>
      </c>
      <c r="C78" s="9" t="s">
        <v>76</v>
      </c>
      <c r="D78" s="9" t="s">
        <v>77</v>
      </c>
      <c r="E78" s="9" t="s">
        <v>54</v>
      </c>
      <c r="F78" s="9"/>
      <c r="G78" s="9"/>
      <c r="H78" s="10"/>
      <c r="I78" s="10"/>
      <c r="J78" s="9"/>
    </row>
    <row r="79" spans="1:10" ht="14.25" customHeight="1" x14ac:dyDescent="0.35">
      <c r="A79" s="9" t="s">
        <v>35</v>
      </c>
      <c r="B79" s="9" t="s">
        <v>134</v>
      </c>
      <c r="C79" s="9" t="s">
        <v>76</v>
      </c>
      <c r="D79" s="9" t="s">
        <v>77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5">
      <c r="A80" s="9" t="s">
        <v>35</v>
      </c>
      <c r="B80" s="9" t="s">
        <v>125</v>
      </c>
      <c r="C80" s="9" t="s">
        <v>76</v>
      </c>
      <c r="D80" s="9" t="s">
        <v>77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5">
      <c r="A81" s="9" t="s">
        <v>35</v>
      </c>
      <c r="B81" s="9" t="s">
        <v>115</v>
      </c>
      <c r="C81" s="9" t="s">
        <v>76</v>
      </c>
      <c r="D81" s="9" t="s">
        <v>77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 x14ac:dyDescent="0.35">
      <c r="A82" s="9" t="s">
        <v>35</v>
      </c>
      <c r="B82" s="9" t="s">
        <v>37</v>
      </c>
      <c r="C82" s="9" t="s">
        <v>76</v>
      </c>
      <c r="D82" s="9" t="s">
        <v>77</v>
      </c>
      <c r="E82" s="9" t="s">
        <v>54</v>
      </c>
      <c r="F82" s="9"/>
      <c r="G82" s="9"/>
      <c r="H82" s="10"/>
      <c r="I82" s="10"/>
      <c r="J82" s="9"/>
    </row>
    <row r="83" spans="1:10" ht="14.25" customHeight="1" x14ac:dyDescent="0.35">
      <c r="A83" s="9" t="s">
        <v>35</v>
      </c>
      <c r="B83" s="9" t="s">
        <v>137</v>
      </c>
      <c r="C83" s="9" t="s">
        <v>80</v>
      </c>
      <c r="D83" s="9" t="s">
        <v>77</v>
      </c>
      <c r="E83" s="9" t="s">
        <v>41</v>
      </c>
      <c r="F83" s="9"/>
      <c r="G83" s="9"/>
      <c r="H83" s="9"/>
      <c r="I83" s="10"/>
      <c r="J83" s="10"/>
    </row>
    <row r="84" spans="1:10" ht="14.25" customHeight="1" x14ac:dyDescent="0.35">
      <c r="A84" s="9" t="s">
        <v>35</v>
      </c>
      <c r="B84" s="9" t="s">
        <v>134</v>
      </c>
      <c r="C84" s="9" t="s">
        <v>80</v>
      </c>
      <c r="D84" s="9" t="s">
        <v>77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5">
      <c r="A85" s="9" t="s">
        <v>35</v>
      </c>
      <c r="B85" s="9" t="s">
        <v>125</v>
      </c>
      <c r="C85" s="9" t="s">
        <v>80</v>
      </c>
      <c r="D85" s="9" t="s">
        <v>77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5">
      <c r="A86" s="9" t="s">
        <v>35</v>
      </c>
      <c r="B86" s="9" t="s">
        <v>115</v>
      </c>
      <c r="C86" s="9" t="s">
        <v>80</v>
      </c>
      <c r="D86" s="9" t="s">
        <v>77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 x14ac:dyDescent="0.35">
      <c r="A87" s="9" t="s">
        <v>35</v>
      </c>
      <c r="B87" s="9" t="s">
        <v>37</v>
      </c>
      <c r="C87" s="9" t="s">
        <v>80</v>
      </c>
      <c r="D87" s="9" t="s">
        <v>77</v>
      </c>
      <c r="E87" s="9" t="s">
        <v>41</v>
      </c>
      <c r="F87" s="9"/>
      <c r="G87" s="9"/>
      <c r="H87" s="9"/>
      <c r="I87" s="10"/>
      <c r="J87" s="10"/>
    </row>
    <row r="88" spans="1:10" ht="14.25" customHeight="1" x14ac:dyDescent="0.35">
      <c r="A88" s="9" t="s">
        <v>35</v>
      </c>
      <c r="B88" s="9" t="s">
        <v>137</v>
      </c>
      <c r="C88" s="9" t="s">
        <v>83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 x14ac:dyDescent="0.35">
      <c r="A89" s="9" t="s">
        <v>35</v>
      </c>
      <c r="B89" s="9" t="s">
        <v>134</v>
      </c>
      <c r="C89" s="9" t="s">
        <v>83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5">
      <c r="A90" s="9" t="s">
        <v>35</v>
      </c>
      <c r="B90" s="9" t="s">
        <v>125</v>
      </c>
      <c r="C90" s="9" t="s">
        <v>83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5">
      <c r="A91" s="9" t="s">
        <v>35</v>
      </c>
      <c r="B91" s="9" t="s">
        <v>115</v>
      </c>
      <c r="C91" s="9" t="s">
        <v>83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 x14ac:dyDescent="0.35">
      <c r="A92" s="9" t="s">
        <v>35</v>
      </c>
      <c r="B92" s="9" t="s">
        <v>37</v>
      </c>
      <c r="C92" s="9" t="s">
        <v>83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5">
      <c r="A93" s="9" t="s">
        <v>35</v>
      </c>
      <c r="B93" s="9" t="s">
        <v>137</v>
      </c>
      <c r="C93" s="9" t="s">
        <v>86</v>
      </c>
      <c r="D93" s="9" t="s">
        <v>39</v>
      </c>
      <c r="E93" s="9" t="s">
        <v>70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5">
      <c r="A94" s="9" t="s">
        <v>35</v>
      </c>
      <c r="B94" s="9" t="s">
        <v>134</v>
      </c>
      <c r="C94" s="9" t="s">
        <v>86</v>
      </c>
      <c r="D94" s="9" t="s">
        <v>39</v>
      </c>
      <c r="E94" s="9" t="s">
        <v>70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5">
      <c r="A95" s="9" t="s">
        <v>35</v>
      </c>
      <c r="B95" s="9" t="s">
        <v>125</v>
      </c>
      <c r="C95" s="9" t="s">
        <v>86</v>
      </c>
      <c r="D95" s="9" t="s">
        <v>39</v>
      </c>
      <c r="E95" s="9" t="s">
        <v>70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5">
      <c r="A96" s="9" t="s">
        <v>35</v>
      </c>
      <c r="B96" s="9" t="s">
        <v>115</v>
      </c>
      <c r="C96" s="9" t="s">
        <v>86</v>
      </c>
      <c r="D96" s="9" t="s">
        <v>39</v>
      </c>
      <c r="E96" s="9" t="s">
        <v>70</v>
      </c>
      <c r="F96" s="9"/>
      <c r="G96" s="9"/>
      <c r="H96" s="10">
        <v>46175</v>
      </c>
      <c r="I96" s="10"/>
      <c r="J96" s="10"/>
    </row>
    <row r="97" spans="1:10" ht="14.25" customHeight="1" x14ac:dyDescent="0.35">
      <c r="A97" s="9" t="s">
        <v>35</v>
      </c>
      <c r="B97" s="9" t="s">
        <v>37</v>
      </c>
      <c r="C97" s="9" t="s">
        <v>86</v>
      </c>
      <c r="D97" s="9" t="s">
        <v>39</v>
      </c>
      <c r="E97" s="9" t="s">
        <v>70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5">
      <c r="A98" s="9" t="s">
        <v>35</v>
      </c>
      <c r="B98" s="9" t="s">
        <v>137</v>
      </c>
      <c r="C98" s="9" t="s">
        <v>93</v>
      </c>
      <c r="D98" s="9" t="s">
        <v>95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5">
      <c r="A99" s="9" t="s">
        <v>35</v>
      </c>
      <c r="B99" s="9" t="s">
        <v>134</v>
      </c>
      <c r="C99" s="9" t="s">
        <v>93</v>
      </c>
      <c r="D99" s="9" t="s">
        <v>95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5">
      <c r="A100" s="9" t="s">
        <v>35</v>
      </c>
      <c r="B100" s="9" t="s">
        <v>125</v>
      </c>
      <c r="C100" s="9" t="s">
        <v>93</v>
      </c>
      <c r="D100" s="9" t="s">
        <v>95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5">
      <c r="A101" s="9" t="s">
        <v>35</v>
      </c>
      <c r="B101" s="9" t="s">
        <v>115</v>
      </c>
      <c r="C101" s="9" t="s">
        <v>93</v>
      </c>
      <c r="D101" s="9" t="s">
        <v>95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 x14ac:dyDescent="0.35">
      <c r="A102" s="9" t="s">
        <v>35</v>
      </c>
      <c r="B102" s="9" t="s">
        <v>37</v>
      </c>
      <c r="C102" s="9" t="s">
        <v>93</v>
      </c>
      <c r="D102" s="9" t="s">
        <v>95</v>
      </c>
      <c r="E102" s="9" t="s">
        <v>54</v>
      </c>
      <c r="F102" s="9"/>
      <c r="G102" s="9"/>
      <c r="H102" s="10"/>
      <c r="I102" s="10"/>
      <c r="J102" s="9"/>
    </row>
    <row r="103" spans="1:10" ht="14.25" customHeight="1" x14ac:dyDescent="0.35">
      <c r="A103" s="9" t="s">
        <v>35</v>
      </c>
      <c r="B103" s="9" t="s">
        <v>137</v>
      </c>
      <c r="C103" s="9" t="s">
        <v>96</v>
      </c>
      <c r="D103" s="9" t="s">
        <v>95</v>
      </c>
      <c r="E103" s="9" t="s">
        <v>70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5">
      <c r="A104" s="9" t="s">
        <v>35</v>
      </c>
      <c r="B104" s="9" t="s">
        <v>134</v>
      </c>
      <c r="C104" s="9" t="s">
        <v>96</v>
      </c>
      <c r="D104" s="9" t="s">
        <v>95</v>
      </c>
      <c r="E104" s="9" t="s">
        <v>70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5">
      <c r="A105" s="9" t="s">
        <v>35</v>
      </c>
      <c r="B105" s="9" t="s">
        <v>125</v>
      </c>
      <c r="C105" s="9" t="s">
        <v>96</v>
      </c>
      <c r="D105" s="9" t="s">
        <v>95</v>
      </c>
      <c r="E105" s="9" t="s">
        <v>70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5">
      <c r="A106" s="9" t="s">
        <v>35</v>
      </c>
      <c r="B106" s="9" t="s">
        <v>115</v>
      </c>
      <c r="C106" s="9" t="s">
        <v>96</v>
      </c>
      <c r="D106" s="9" t="s">
        <v>95</v>
      </c>
      <c r="E106" s="9" t="s">
        <v>70</v>
      </c>
      <c r="F106" s="9"/>
      <c r="G106" s="9"/>
      <c r="H106" s="10">
        <v>46198</v>
      </c>
      <c r="I106" s="10"/>
      <c r="J106" s="9"/>
    </row>
    <row r="107" spans="1:10" ht="14.25" customHeight="1" x14ac:dyDescent="0.35">
      <c r="A107" s="9" t="s">
        <v>35</v>
      </c>
      <c r="B107" s="9" t="s">
        <v>37</v>
      </c>
      <c r="C107" s="9" t="s">
        <v>96</v>
      </c>
      <c r="D107" s="9" t="s">
        <v>95</v>
      </c>
      <c r="E107" s="9" t="s">
        <v>70</v>
      </c>
      <c r="F107" s="9"/>
      <c r="G107" s="9"/>
      <c r="H107" s="9"/>
      <c r="I107" s="10"/>
      <c r="J107" s="10"/>
    </row>
    <row r="108" spans="1:10" ht="14.25" customHeight="1" x14ac:dyDescent="0.35">
      <c r="A108" s="9" t="s">
        <v>35</v>
      </c>
      <c r="B108" s="9" t="s">
        <v>137</v>
      </c>
      <c r="C108" s="9" t="s">
        <v>98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5">
      <c r="A109" s="9" t="s">
        <v>35</v>
      </c>
      <c r="B109" s="9" t="s">
        <v>134</v>
      </c>
      <c r="C109" s="9" t="s">
        <v>98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5">
      <c r="A110" s="9" t="s">
        <v>35</v>
      </c>
      <c r="B110" s="9" t="s">
        <v>125</v>
      </c>
      <c r="C110" s="9" t="s">
        <v>98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5">
      <c r="A111" s="9" t="s">
        <v>35</v>
      </c>
      <c r="B111" s="9" t="s">
        <v>115</v>
      </c>
      <c r="C111" s="9" t="s">
        <v>98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 x14ac:dyDescent="0.35">
      <c r="A112" s="9" t="s">
        <v>35</v>
      </c>
      <c r="B112" s="9" t="s">
        <v>37</v>
      </c>
      <c r="C112" s="9" t="s">
        <v>98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 x14ac:dyDescent="0.35">
      <c r="A113" s="9" t="s">
        <v>35</v>
      </c>
      <c r="B113" s="9" t="s">
        <v>137</v>
      </c>
      <c r="C113" s="9" t="s">
        <v>99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5">
      <c r="A114" s="9" t="s">
        <v>35</v>
      </c>
      <c r="B114" s="9" t="s">
        <v>134</v>
      </c>
      <c r="C114" s="9" t="s">
        <v>99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5">
      <c r="A115" s="9" t="s">
        <v>35</v>
      </c>
      <c r="B115" s="9" t="s">
        <v>125</v>
      </c>
      <c r="C115" s="9" t="s">
        <v>99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5">
      <c r="A116" s="9" t="s">
        <v>35</v>
      </c>
      <c r="B116" s="9" t="s">
        <v>115</v>
      </c>
      <c r="C116" s="9" t="s">
        <v>99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 x14ac:dyDescent="0.35">
      <c r="A117" s="9" t="s">
        <v>35</v>
      </c>
      <c r="B117" s="9" t="s">
        <v>37</v>
      </c>
      <c r="C117" s="9" t="s">
        <v>99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5">
      <c r="A118" s="9" t="s">
        <v>35</v>
      </c>
      <c r="B118" s="9" t="s">
        <v>137</v>
      </c>
      <c r="C118" s="9" t="s">
        <v>102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5">
      <c r="A119" s="9" t="s">
        <v>35</v>
      </c>
      <c r="B119" s="9" t="s">
        <v>134</v>
      </c>
      <c r="C119" s="9" t="s">
        <v>102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5">
      <c r="A120" s="9" t="s">
        <v>35</v>
      </c>
      <c r="B120" s="9" t="s">
        <v>125</v>
      </c>
      <c r="C120" s="9" t="s">
        <v>102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5">
      <c r="A121" s="9" t="s">
        <v>35</v>
      </c>
      <c r="B121" s="9" t="s">
        <v>137</v>
      </c>
      <c r="C121" s="9" t="s">
        <v>104</v>
      </c>
      <c r="D121" s="9" t="s">
        <v>53</v>
      </c>
      <c r="E121" s="9" t="s">
        <v>70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5">
      <c r="A122" s="9" t="s">
        <v>35</v>
      </c>
      <c r="B122" s="9" t="s">
        <v>134</v>
      </c>
      <c r="C122" s="9" t="s">
        <v>104</v>
      </c>
      <c r="D122" s="9" t="s">
        <v>53</v>
      </c>
      <c r="E122" s="9" t="s">
        <v>70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5">
      <c r="A123" s="9" t="s">
        <v>35</v>
      </c>
      <c r="B123" s="9" t="s">
        <v>125</v>
      </c>
      <c r="C123" s="9" t="s">
        <v>104</v>
      </c>
      <c r="D123" s="9" t="s">
        <v>53</v>
      </c>
      <c r="E123" s="9" t="s">
        <v>70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5">
      <c r="A124" s="9" t="s">
        <v>35</v>
      </c>
      <c r="B124" s="9" t="s">
        <v>115</v>
      </c>
      <c r="C124" s="9" t="s">
        <v>104</v>
      </c>
      <c r="D124" s="9" t="s">
        <v>53</v>
      </c>
      <c r="E124" s="9" t="s">
        <v>70</v>
      </c>
      <c r="F124" s="9"/>
      <c r="G124" s="9"/>
      <c r="H124" s="10">
        <v>46204</v>
      </c>
      <c r="I124" s="10"/>
      <c r="J124" s="9"/>
    </row>
    <row r="125" spans="1:10" ht="14.25" customHeight="1" x14ac:dyDescent="0.35">
      <c r="A125" s="9" t="s">
        <v>35</v>
      </c>
      <c r="B125" s="9" t="s">
        <v>37</v>
      </c>
      <c r="C125" s="9" t="s">
        <v>104</v>
      </c>
      <c r="D125" s="9" t="s">
        <v>53</v>
      </c>
      <c r="E125" s="9" t="s">
        <v>70</v>
      </c>
      <c r="F125" s="9"/>
      <c r="G125" s="9"/>
      <c r="H125" s="9"/>
      <c r="I125" s="10"/>
      <c r="J125" s="10"/>
    </row>
    <row r="126" spans="1:10" ht="14.25" customHeight="1" x14ac:dyDescent="0.35">
      <c r="A126" s="9" t="s">
        <v>35</v>
      </c>
      <c r="B126" s="9" t="s">
        <v>137</v>
      </c>
      <c r="C126" s="9" t="s">
        <v>105</v>
      </c>
      <c r="D126" s="9" t="s">
        <v>106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5">
      <c r="A127" s="9" t="s">
        <v>35</v>
      </c>
      <c r="B127" s="9" t="s">
        <v>134</v>
      </c>
      <c r="C127" s="9" t="s">
        <v>105</v>
      </c>
      <c r="D127" s="9" t="s">
        <v>106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5">
      <c r="A128" s="9" t="s">
        <v>35</v>
      </c>
      <c r="B128" s="9" t="s">
        <v>125</v>
      </c>
      <c r="C128" s="9" t="s">
        <v>105</v>
      </c>
      <c r="D128" s="9" t="s">
        <v>106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5">
      <c r="A129" s="9" t="s">
        <v>35</v>
      </c>
      <c r="B129" s="9" t="s">
        <v>115</v>
      </c>
      <c r="C129" s="9" t="s">
        <v>105</v>
      </c>
      <c r="D129" s="9" t="s">
        <v>106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 x14ac:dyDescent="0.35">
      <c r="A130" s="9" t="s">
        <v>35</v>
      </c>
      <c r="B130" s="9" t="s">
        <v>37</v>
      </c>
      <c r="C130" s="9" t="s">
        <v>105</v>
      </c>
      <c r="D130" s="9" t="s">
        <v>106</v>
      </c>
      <c r="E130" s="9" t="s">
        <v>54</v>
      </c>
      <c r="F130" s="9"/>
      <c r="G130" s="9"/>
      <c r="H130" s="9"/>
      <c r="I130" s="10"/>
      <c r="J130" s="9"/>
    </row>
    <row r="131" spans="1:10" ht="14.25" customHeight="1" x14ac:dyDescent="0.35">
      <c r="A131" s="9" t="s">
        <v>35</v>
      </c>
      <c r="B131" s="9" t="s">
        <v>137</v>
      </c>
      <c r="C131" s="9" t="s">
        <v>109</v>
      </c>
      <c r="D131" s="9" t="s">
        <v>95</v>
      </c>
      <c r="E131" s="9" t="s">
        <v>70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5">
      <c r="A132" s="9" t="s">
        <v>35</v>
      </c>
      <c r="B132" s="9" t="s">
        <v>134</v>
      </c>
      <c r="C132" s="9" t="s">
        <v>109</v>
      </c>
      <c r="D132" s="9" t="s">
        <v>95</v>
      </c>
      <c r="E132" s="9" t="s">
        <v>70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5">
      <c r="A133" s="9" t="s">
        <v>35</v>
      </c>
      <c r="B133" s="9" t="s">
        <v>125</v>
      </c>
      <c r="C133" s="9" t="s">
        <v>109</v>
      </c>
      <c r="D133" s="9" t="s">
        <v>95</v>
      </c>
      <c r="E133" s="9" t="s">
        <v>70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5">
      <c r="A134" s="9" t="s">
        <v>35</v>
      </c>
      <c r="B134" s="9" t="s">
        <v>115</v>
      </c>
      <c r="C134" s="9" t="s">
        <v>109</v>
      </c>
      <c r="D134" s="9" t="s">
        <v>95</v>
      </c>
      <c r="E134" s="9" t="s">
        <v>70</v>
      </c>
      <c r="F134" s="9"/>
      <c r="G134" s="9"/>
      <c r="H134" s="10">
        <v>46189</v>
      </c>
      <c r="I134" s="9"/>
      <c r="J134" s="9"/>
    </row>
    <row r="135" spans="1:10" ht="14.25" customHeight="1" x14ac:dyDescent="0.35">
      <c r="A135" s="9" t="s">
        <v>35</v>
      </c>
      <c r="B135" s="9" t="s">
        <v>37</v>
      </c>
      <c r="C135" s="9" t="s">
        <v>109</v>
      </c>
      <c r="D135" s="9" t="s">
        <v>95</v>
      </c>
      <c r="E135" s="9" t="s">
        <v>70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5">
      <c r="A136" s="9" t="s">
        <v>35</v>
      </c>
      <c r="B136" s="9" t="s">
        <v>137</v>
      </c>
      <c r="C136" s="9" t="s">
        <v>111</v>
      </c>
      <c r="D136" s="9" t="s">
        <v>77</v>
      </c>
      <c r="E136" s="9" t="s">
        <v>70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5">
      <c r="A137" s="9" t="s">
        <v>35</v>
      </c>
      <c r="B137" s="9" t="s">
        <v>134</v>
      </c>
      <c r="C137" s="9" t="s">
        <v>111</v>
      </c>
      <c r="D137" s="9" t="s">
        <v>77</v>
      </c>
      <c r="E137" s="9" t="s">
        <v>70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5">
      <c r="A138" s="9" t="s">
        <v>35</v>
      </c>
      <c r="B138" s="9" t="s">
        <v>125</v>
      </c>
      <c r="C138" s="9" t="s">
        <v>111</v>
      </c>
      <c r="D138" s="9" t="s">
        <v>77</v>
      </c>
      <c r="E138" s="9" t="s">
        <v>70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5">
      <c r="A139" s="9" t="s">
        <v>35</v>
      </c>
      <c r="B139" s="9" t="s">
        <v>115</v>
      </c>
      <c r="C139" s="9" t="s">
        <v>111</v>
      </c>
      <c r="D139" s="9" t="s">
        <v>77</v>
      </c>
      <c r="E139" s="9" t="s">
        <v>70</v>
      </c>
      <c r="F139" s="9"/>
      <c r="G139" s="9"/>
      <c r="H139" s="10">
        <v>46197</v>
      </c>
      <c r="I139" s="9"/>
      <c r="J139" s="9"/>
    </row>
    <row r="140" spans="1:10" ht="14.25" customHeight="1" x14ac:dyDescent="0.35">
      <c r="A140" s="9" t="s">
        <v>35</v>
      </c>
      <c r="B140" s="9" t="s">
        <v>37</v>
      </c>
      <c r="C140" s="9" t="s">
        <v>111</v>
      </c>
      <c r="D140" s="9" t="s">
        <v>77</v>
      </c>
      <c r="E140" s="9" t="s">
        <v>70</v>
      </c>
      <c r="F140" s="9"/>
      <c r="G140" s="9"/>
      <c r="H140" s="9"/>
      <c r="I140" s="9"/>
      <c r="J140" s="9"/>
    </row>
    <row r="141" spans="1:10" ht="14.25" customHeight="1" x14ac:dyDescent="0.35">
      <c r="A141" s="9" t="s">
        <v>113</v>
      </c>
      <c r="B141" s="9" t="s">
        <v>137</v>
      </c>
      <c r="C141" s="9" t="s">
        <v>114</v>
      </c>
      <c r="D141" s="9" t="s">
        <v>69</v>
      </c>
      <c r="E141" s="9" t="s">
        <v>54</v>
      </c>
      <c r="F141" s="9"/>
      <c r="G141" s="9" t="s">
        <v>116</v>
      </c>
      <c r="H141" s="9"/>
      <c r="I141" s="9"/>
      <c r="J141" s="9"/>
    </row>
    <row r="142" spans="1:10" ht="14.25" customHeight="1" x14ac:dyDescent="0.35">
      <c r="A142" s="9" t="s">
        <v>113</v>
      </c>
      <c r="B142" s="9" t="s">
        <v>134</v>
      </c>
      <c r="C142" s="9" t="s">
        <v>114</v>
      </c>
      <c r="D142" s="9" t="s">
        <v>69</v>
      </c>
      <c r="E142" s="9" t="s">
        <v>54</v>
      </c>
      <c r="F142" s="9"/>
      <c r="G142" s="9" t="s">
        <v>116</v>
      </c>
      <c r="H142" s="9"/>
      <c r="I142" s="10">
        <v>46213</v>
      </c>
      <c r="J142" s="10">
        <v>46213</v>
      </c>
    </row>
    <row r="143" spans="1:10" ht="14.25" customHeight="1" x14ac:dyDescent="0.35">
      <c r="A143" s="9" t="s">
        <v>113</v>
      </c>
      <c r="B143" s="9" t="s">
        <v>125</v>
      </c>
      <c r="C143" s="9" t="s">
        <v>114</v>
      </c>
      <c r="D143" s="9" t="s">
        <v>69</v>
      </c>
      <c r="E143" s="9" t="s">
        <v>54</v>
      </c>
      <c r="F143" s="9"/>
      <c r="G143" s="9" t="s">
        <v>116</v>
      </c>
      <c r="H143" s="10">
        <v>46213</v>
      </c>
      <c r="I143" s="10">
        <v>46223</v>
      </c>
      <c r="J143" s="10">
        <v>46223</v>
      </c>
    </row>
    <row r="144" spans="1:10" ht="14.25" customHeight="1" x14ac:dyDescent="0.35">
      <c r="A144" s="9" t="s">
        <v>113</v>
      </c>
      <c r="B144" s="9" t="s">
        <v>137</v>
      </c>
      <c r="C144" s="9" t="s">
        <v>120</v>
      </c>
      <c r="D144" s="9" t="s">
        <v>106</v>
      </c>
      <c r="E144" s="9" t="s">
        <v>70</v>
      </c>
      <c r="F144" s="9"/>
      <c r="G144" s="9" t="s">
        <v>116</v>
      </c>
      <c r="H144" s="9"/>
      <c r="I144" s="9"/>
      <c r="J144" s="9"/>
    </row>
    <row r="145" spans="1:10" ht="14.25" customHeight="1" x14ac:dyDescent="0.35">
      <c r="A145" s="9" t="s">
        <v>113</v>
      </c>
      <c r="B145" s="9" t="s">
        <v>134</v>
      </c>
      <c r="C145" s="9" t="s">
        <v>120</v>
      </c>
      <c r="D145" s="9" t="s">
        <v>106</v>
      </c>
      <c r="E145" s="9" t="s">
        <v>70</v>
      </c>
      <c r="F145" s="9"/>
      <c r="G145" s="9" t="s">
        <v>116</v>
      </c>
      <c r="H145" s="9"/>
      <c r="I145" s="10">
        <v>46218</v>
      </c>
      <c r="J145" s="10">
        <v>46218</v>
      </c>
    </row>
    <row r="146" spans="1:10" ht="14.25" customHeight="1" x14ac:dyDescent="0.35">
      <c r="A146" s="9" t="s">
        <v>113</v>
      </c>
      <c r="B146" s="9" t="s">
        <v>125</v>
      </c>
      <c r="C146" s="9" t="s">
        <v>120</v>
      </c>
      <c r="D146" s="9" t="s">
        <v>106</v>
      </c>
      <c r="E146" s="9" t="s">
        <v>70</v>
      </c>
      <c r="F146" s="9"/>
      <c r="G146" s="9" t="s">
        <v>116</v>
      </c>
      <c r="H146" s="10">
        <v>46218</v>
      </c>
      <c r="I146" s="10">
        <v>46223</v>
      </c>
      <c r="J146" s="10">
        <v>46223</v>
      </c>
    </row>
    <row r="147" spans="1:10" ht="14.25" customHeight="1" x14ac:dyDescent="0.35">
      <c r="A147" s="9" t="s">
        <v>113</v>
      </c>
      <c r="B147" s="9" t="s">
        <v>137</v>
      </c>
      <c r="C147" s="9" t="s">
        <v>122</v>
      </c>
      <c r="D147" s="9" t="s">
        <v>106</v>
      </c>
      <c r="E147" s="9" t="s">
        <v>70</v>
      </c>
      <c r="F147" s="9"/>
      <c r="G147" s="9" t="s">
        <v>116</v>
      </c>
      <c r="H147" s="9"/>
      <c r="I147" s="9"/>
      <c r="J147" s="9"/>
    </row>
    <row r="148" spans="1:10" ht="14.25" customHeight="1" x14ac:dyDescent="0.35">
      <c r="A148" s="9" t="s">
        <v>113</v>
      </c>
      <c r="B148" s="9" t="s">
        <v>134</v>
      </c>
      <c r="C148" s="9" t="s">
        <v>122</v>
      </c>
      <c r="D148" s="9" t="s">
        <v>106</v>
      </c>
      <c r="E148" s="9" t="s">
        <v>70</v>
      </c>
      <c r="F148" s="9"/>
      <c r="G148" s="9" t="s">
        <v>116</v>
      </c>
      <c r="H148" s="9"/>
      <c r="I148" s="10">
        <v>46225</v>
      </c>
      <c r="J148" s="10">
        <v>46225</v>
      </c>
    </row>
    <row r="149" spans="1:10" ht="14.25" customHeight="1" x14ac:dyDescent="0.35">
      <c r="A149" s="9" t="s">
        <v>113</v>
      </c>
      <c r="B149" s="9" t="s">
        <v>125</v>
      </c>
      <c r="C149" s="9" t="s">
        <v>122</v>
      </c>
      <c r="D149" s="9" t="s">
        <v>106</v>
      </c>
      <c r="E149" s="9" t="s">
        <v>70</v>
      </c>
      <c r="F149" s="9"/>
      <c r="G149" s="9" t="s">
        <v>116</v>
      </c>
      <c r="H149" s="10">
        <v>46225</v>
      </c>
      <c r="I149" s="10">
        <v>46223</v>
      </c>
      <c r="J149" s="10">
        <v>46223</v>
      </c>
    </row>
    <row r="150" spans="1:10" ht="14.25" customHeight="1" x14ac:dyDescent="0.35">
      <c r="A150" s="9" t="s">
        <v>113</v>
      </c>
      <c r="B150" s="9" t="s">
        <v>137</v>
      </c>
      <c r="C150" s="9" t="s">
        <v>124</v>
      </c>
      <c r="D150" s="9" t="s">
        <v>53</v>
      </c>
      <c r="E150" s="9" t="s">
        <v>41</v>
      </c>
      <c r="F150" s="9"/>
      <c r="G150" s="9" t="s">
        <v>116</v>
      </c>
      <c r="H150" s="9"/>
      <c r="I150" s="9"/>
      <c r="J150" s="9"/>
    </row>
    <row r="151" spans="1:10" ht="14.25" customHeight="1" x14ac:dyDescent="0.35">
      <c r="A151" s="9" t="s">
        <v>113</v>
      </c>
      <c r="B151" s="9" t="s">
        <v>134</v>
      </c>
      <c r="C151" s="9" t="s">
        <v>124</v>
      </c>
      <c r="D151" s="9" t="s">
        <v>53</v>
      </c>
      <c r="E151" s="9" t="s">
        <v>41</v>
      </c>
      <c r="F151" s="9"/>
      <c r="G151" s="9" t="s">
        <v>116</v>
      </c>
      <c r="H151" s="9"/>
      <c r="I151" s="10">
        <v>46227</v>
      </c>
      <c r="J151" s="10">
        <v>46227</v>
      </c>
    </row>
    <row r="152" spans="1:10" ht="14.25" customHeight="1" x14ac:dyDescent="0.35">
      <c r="A152" s="9" t="s">
        <v>113</v>
      </c>
      <c r="B152" s="9" t="s">
        <v>125</v>
      </c>
      <c r="C152" s="9" t="s">
        <v>124</v>
      </c>
      <c r="D152" s="9" t="s">
        <v>53</v>
      </c>
      <c r="E152" s="9" t="s">
        <v>41</v>
      </c>
      <c r="F152" s="9"/>
      <c r="G152" s="9" t="s">
        <v>116</v>
      </c>
      <c r="H152" s="10">
        <v>46227</v>
      </c>
      <c r="I152" s="10">
        <v>46223</v>
      </c>
      <c r="J152" s="10">
        <v>46223</v>
      </c>
    </row>
    <row r="153" spans="1:10" ht="14.25" customHeight="1" x14ac:dyDescent="0.35">
      <c r="A153" s="9" t="s">
        <v>113</v>
      </c>
      <c r="B153" s="9" t="s">
        <v>137</v>
      </c>
      <c r="C153" s="9" t="s">
        <v>128</v>
      </c>
      <c r="D153" s="9" t="s">
        <v>95</v>
      </c>
      <c r="E153" s="9" t="s">
        <v>70</v>
      </c>
      <c r="F153" s="9"/>
      <c r="G153" s="9" t="s">
        <v>116</v>
      </c>
      <c r="H153" s="9"/>
      <c r="I153" s="9"/>
      <c r="J153" s="9"/>
    </row>
    <row r="154" spans="1:10" ht="14.25" customHeight="1" x14ac:dyDescent="0.35">
      <c r="A154" s="9" t="s">
        <v>113</v>
      </c>
      <c r="B154" s="9" t="s">
        <v>134</v>
      </c>
      <c r="C154" s="9" t="s">
        <v>128</v>
      </c>
      <c r="D154" s="9" t="s">
        <v>95</v>
      </c>
      <c r="E154" s="9" t="s">
        <v>70</v>
      </c>
      <c r="F154" s="9"/>
      <c r="G154" s="9" t="s">
        <v>116</v>
      </c>
      <c r="H154" s="9"/>
      <c r="I154" s="10">
        <v>46216</v>
      </c>
      <c r="J154" s="10">
        <v>46216</v>
      </c>
    </row>
    <row r="155" spans="1:10" ht="14.25" customHeight="1" x14ac:dyDescent="0.35">
      <c r="A155" s="9" t="s">
        <v>113</v>
      </c>
      <c r="B155" s="9" t="s">
        <v>125</v>
      </c>
      <c r="C155" s="9" t="s">
        <v>128</v>
      </c>
      <c r="D155" s="9" t="s">
        <v>95</v>
      </c>
      <c r="E155" s="9" t="s">
        <v>70</v>
      </c>
      <c r="F155" s="9"/>
      <c r="G155" s="9" t="s">
        <v>116</v>
      </c>
      <c r="H155" s="10">
        <v>46216</v>
      </c>
      <c r="I155" s="10">
        <v>46225</v>
      </c>
      <c r="J155" s="10">
        <v>46225</v>
      </c>
    </row>
    <row r="156" spans="1:10" ht="14.25" customHeight="1" x14ac:dyDescent="0.35">
      <c r="A156" s="9" t="s">
        <v>113</v>
      </c>
      <c r="B156" s="9" t="s">
        <v>137</v>
      </c>
      <c r="C156" s="9" t="s">
        <v>130</v>
      </c>
      <c r="D156" s="9" t="s">
        <v>77</v>
      </c>
      <c r="E156" s="9" t="s">
        <v>54</v>
      </c>
      <c r="F156" s="9"/>
      <c r="G156" s="9" t="s">
        <v>131</v>
      </c>
      <c r="H156" s="9"/>
      <c r="I156" s="9"/>
      <c r="J156" s="9"/>
    </row>
    <row r="157" spans="1:10" x14ac:dyDescent="0.35">
      <c r="A157" s="3" t="s">
        <v>113</v>
      </c>
      <c r="B157" s="3" t="s">
        <v>137</v>
      </c>
      <c r="C157" s="3" t="s">
        <v>133</v>
      </c>
      <c r="D157" s="3" t="s">
        <v>106</v>
      </c>
      <c r="E157" s="3" t="s">
        <v>41</v>
      </c>
      <c r="F157" s="3"/>
      <c r="G157" s="3" t="s">
        <v>131</v>
      </c>
      <c r="H157" s="3"/>
      <c r="I157" s="3"/>
      <c r="J157" s="3"/>
    </row>
    <row r="158" spans="1:10" x14ac:dyDescent="0.35">
      <c r="A158" s="3" t="s">
        <v>113</v>
      </c>
      <c r="B158" s="3" t="s">
        <v>137</v>
      </c>
      <c r="C158" s="3" t="s">
        <v>136</v>
      </c>
      <c r="D158" s="3" t="s">
        <v>106</v>
      </c>
      <c r="E158" s="3" t="s">
        <v>41</v>
      </c>
      <c r="F158" s="3"/>
      <c r="G158" s="3" t="s">
        <v>131</v>
      </c>
      <c r="H158" s="3"/>
      <c r="I158" s="3"/>
      <c r="J158" s="3"/>
    </row>
    <row r="159" spans="1:10" x14ac:dyDescent="0.35">
      <c r="A159" s="3" t="s">
        <v>113</v>
      </c>
      <c r="B159" s="3" t="s">
        <v>134</v>
      </c>
      <c r="C159" s="3" t="s">
        <v>136</v>
      </c>
      <c r="D159" s="3" t="s">
        <v>106</v>
      </c>
      <c r="E159" s="3" t="s">
        <v>41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 x14ac:dyDescent="0.35">
      <c r="A160" s="3" t="s">
        <v>113</v>
      </c>
      <c r="B160" s="3" t="s">
        <v>125</v>
      </c>
      <c r="C160" s="3" t="s">
        <v>136</v>
      </c>
      <c r="D160" s="3" t="s">
        <v>106</v>
      </c>
      <c r="E160" s="3" t="s">
        <v>41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 x14ac:dyDescent="0.35">
      <c r="A161" s="3" t="s">
        <v>113</v>
      </c>
      <c r="B161" s="3" t="s">
        <v>137</v>
      </c>
      <c r="C161" s="3" t="s">
        <v>138</v>
      </c>
      <c r="D161" s="3" t="s">
        <v>77</v>
      </c>
      <c r="E161" s="3" t="s">
        <v>54</v>
      </c>
      <c r="F161" s="3"/>
      <c r="G161" s="3" t="s">
        <v>131</v>
      </c>
      <c r="H161" s="3"/>
      <c r="I161" s="3"/>
      <c r="J161" s="3"/>
    </row>
    <row r="162" spans="1:10" x14ac:dyDescent="0.35">
      <c r="A162" s="3" t="s">
        <v>113</v>
      </c>
      <c r="B162" s="3" t="s">
        <v>134</v>
      </c>
      <c r="C162" s="3" t="s">
        <v>138</v>
      </c>
      <c r="D162" s="3" t="s">
        <v>77</v>
      </c>
      <c r="E162" s="3" t="s">
        <v>54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 x14ac:dyDescent="0.35">
      <c r="A163" s="3" t="s">
        <v>113</v>
      </c>
      <c r="B163" s="3" t="s">
        <v>125</v>
      </c>
      <c r="C163" s="3" t="s">
        <v>138</v>
      </c>
      <c r="D163" s="3" t="s">
        <v>77</v>
      </c>
      <c r="E163" s="3" t="s">
        <v>54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 x14ac:dyDescent="0.35">
      <c r="A164" s="3" t="s">
        <v>113</v>
      </c>
      <c r="B164" s="3" t="s">
        <v>137</v>
      </c>
      <c r="C164" s="3" t="s">
        <v>140</v>
      </c>
      <c r="D164" s="3" t="s">
        <v>142</v>
      </c>
      <c r="E164" s="3" t="s">
        <v>54</v>
      </c>
      <c r="F164" s="3"/>
      <c r="G164" s="3" t="s">
        <v>131</v>
      </c>
      <c r="H164" s="3"/>
      <c r="I164" s="3"/>
      <c r="J164" s="3"/>
    </row>
    <row r="165" spans="1:10" x14ac:dyDescent="0.35">
      <c r="A165" s="3" t="s">
        <v>113</v>
      </c>
      <c r="B165" s="3" t="s">
        <v>134</v>
      </c>
      <c r="C165" s="3" t="s">
        <v>140</v>
      </c>
      <c r="D165" s="3" t="s">
        <v>142</v>
      </c>
      <c r="E165" s="3" t="s">
        <v>54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 x14ac:dyDescent="0.35">
      <c r="A166" s="3" t="s">
        <v>113</v>
      </c>
      <c r="B166" s="3" t="s">
        <v>125</v>
      </c>
      <c r="C166" s="3" t="s">
        <v>140</v>
      </c>
      <c r="D166" s="3" t="s">
        <v>142</v>
      </c>
      <c r="E166" s="3" t="s">
        <v>54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 x14ac:dyDescent="0.35">
      <c r="A167" s="3" t="s">
        <v>113</v>
      </c>
      <c r="B167" s="3" t="s">
        <v>137</v>
      </c>
      <c r="C167" s="3" t="s">
        <v>143</v>
      </c>
      <c r="D167" s="3" t="s">
        <v>142</v>
      </c>
      <c r="E167" s="3" t="s">
        <v>70</v>
      </c>
      <c r="F167" s="3"/>
      <c r="G167" s="3" t="s">
        <v>131</v>
      </c>
      <c r="H167" s="3"/>
      <c r="I167" s="3"/>
      <c r="J167" s="3"/>
    </row>
    <row r="168" spans="1:10" x14ac:dyDescent="0.35">
      <c r="A168" s="3" t="s">
        <v>113</v>
      </c>
      <c r="B168" s="3" t="s">
        <v>134</v>
      </c>
      <c r="C168" s="3" t="s">
        <v>143</v>
      </c>
      <c r="D168" s="3" t="s">
        <v>142</v>
      </c>
      <c r="E168" s="3" t="s">
        <v>70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 x14ac:dyDescent="0.35">
      <c r="A169" s="3" t="s">
        <v>113</v>
      </c>
      <c r="B169" s="3" t="s">
        <v>125</v>
      </c>
      <c r="C169" s="3" t="s">
        <v>143</v>
      </c>
      <c r="D169" s="3" t="s">
        <v>142</v>
      </c>
      <c r="E169" s="3" t="s">
        <v>70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 x14ac:dyDescent="0.35">
      <c r="A170" s="3" t="s">
        <v>113</v>
      </c>
      <c r="B170" s="3" t="s">
        <v>137</v>
      </c>
      <c r="C170" s="3" t="s">
        <v>144</v>
      </c>
      <c r="D170" s="3" t="s">
        <v>69</v>
      </c>
      <c r="E170" s="3" t="s">
        <v>41</v>
      </c>
      <c r="F170" s="3"/>
      <c r="G170" s="3" t="s">
        <v>116</v>
      </c>
      <c r="H170" s="3"/>
      <c r="I170" s="3"/>
      <c r="J170" s="3"/>
    </row>
    <row r="171" spans="1:10" x14ac:dyDescent="0.35">
      <c r="A171" s="3" t="s">
        <v>113</v>
      </c>
      <c r="B171" s="3" t="s">
        <v>134</v>
      </c>
      <c r="C171" s="3" t="s">
        <v>144</v>
      </c>
      <c r="D171" s="3" t="s">
        <v>69</v>
      </c>
      <c r="E171" s="3" t="s">
        <v>41</v>
      </c>
      <c r="F171" s="3"/>
      <c r="G171" s="3" t="s">
        <v>116</v>
      </c>
      <c r="H171" s="3"/>
      <c r="I171" s="4">
        <v>46226</v>
      </c>
      <c r="J171" s="4">
        <v>46226</v>
      </c>
    </row>
    <row r="172" spans="1:10" x14ac:dyDescent="0.35">
      <c r="A172" s="3" t="s">
        <v>113</v>
      </c>
      <c r="B172" s="3" t="s">
        <v>125</v>
      </c>
      <c r="C172" s="3" t="s">
        <v>144</v>
      </c>
      <c r="D172" s="3" t="s">
        <v>69</v>
      </c>
      <c r="E172" s="3" t="s">
        <v>41</v>
      </c>
      <c r="F172" s="3"/>
      <c r="G172" s="3" t="s">
        <v>116</v>
      </c>
      <c r="H172" s="4">
        <v>46226</v>
      </c>
      <c r="I172" s="4">
        <v>46223</v>
      </c>
      <c r="J172" s="4">
        <v>46223</v>
      </c>
    </row>
    <row r="173" spans="1:10" x14ac:dyDescent="0.35">
      <c r="A173" s="3" t="s">
        <v>113</v>
      </c>
      <c r="B173" s="3" t="s">
        <v>137</v>
      </c>
      <c r="C173" s="3" t="s">
        <v>146</v>
      </c>
      <c r="D173" s="3" t="s">
        <v>53</v>
      </c>
      <c r="E173" s="3" t="s">
        <v>54</v>
      </c>
      <c r="F173" s="3"/>
      <c r="G173" s="3" t="s">
        <v>116</v>
      </c>
      <c r="H173" s="3"/>
      <c r="I173" s="3"/>
      <c r="J173" s="3"/>
    </row>
    <row r="174" spans="1:10" x14ac:dyDescent="0.35">
      <c r="A174" s="3" t="s">
        <v>113</v>
      </c>
      <c r="B174" s="3" t="s">
        <v>134</v>
      </c>
      <c r="C174" s="3" t="s">
        <v>146</v>
      </c>
      <c r="D174" s="3" t="s">
        <v>53</v>
      </c>
      <c r="E174" s="3" t="s">
        <v>54</v>
      </c>
      <c r="F174" s="3"/>
      <c r="G174" s="3" t="s">
        <v>116</v>
      </c>
      <c r="H174" s="3"/>
      <c r="I174" s="4">
        <v>46225</v>
      </c>
      <c r="J174" s="4">
        <v>46225</v>
      </c>
    </row>
    <row r="175" spans="1:10" x14ac:dyDescent="0.35">
      <c r="A175" s="3" t="s">
        <v>113</v>
      </c>
      <c r="B175" s="3" t="s">
        <v>125</v>
      </c>
      <c r="C175" s="3" t="s">
        <v>146</v>
      </c>
      <c r="D175" s="3" t="s">
        <v>53</v>
      </c>
      <c r="E175" s="3" t="s">
        <v>54</v>
      </c>
      <c r="F175" s="3"/>
      <c r="G175" s="3" t="s">
        <v>116</v>
      </c>
      <c r="H175" s="4">
        <v>46225</v>
      </c>
      <c r="I175" s="4">
        <v>46223</v>
      </c>
      <c r="J175" s="4">
        <v>46223</v>
      </c>
    </row>
    <row r="176" spans="1:10" x14ac:dyDescent="0.35">
      <c r="A176" s="3" t="s">
        <v>113</v>
      </c>
      <c r="B176" s="3" t="s">
        <v>137</v>
      </c>
      <c r="C176" s="3" t="s">
        <v>148</v>
      </c>
      <c r="D176" s="3" t="s">
        <v>69</v>
      </c>
      <c r="E176" s="3" t="s">
        <v>70</v>
      </c>
      <c r="F176" s="3"/>
      <c r="G176" s="3" t="s">
        <v>131</v>
      </c>
      <c r="H176" s="3"/>
      <c r="I176" s="3"/>
      <c r="J176" s="3"/>
    </row>
    <row r="177" spans="1:10" x14ac:dyDescent="0.35">
      <c r="A177" s="3" t="s">
        <v>113</v>
      </c>
      <c r="B177" s="3" t="s">
        <v>134</v>
      </c>
      <c r="C177" s="3" t="s">
        <v>148</v>
      </c>
      <c r="D177" s="3" t="s">
        <v>69</v>
      </c>
      <c r="E177" s="3" t="s">
        <v>70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 x14ac:dyDescent="0.35">
      <c r="A178" s="3" t="s">
        <v>113</v>
      </c>
      <c r="B178" s="3" t="s">
        <v>125</v>
      </c>
      <c r="C178" s="3" t="s">
        <v>148</v>
      </c>
      <c r="D178" s="3" t="s">
        <v>69</v>
      </c>
      <c r="E178" s="3" t="s">
        <v>70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 x14ac:dyDescent="0.35">
      <c r="A179" s="3" t="s">
        <v>113</v>
      </c>
      <c r="B179" s="3" t="s">
        <v>137</v>
      </c>
      <c r="C179" s="3" t="s">
        <v>150</v>
      </c>
      <c r="D179" s="3" t="s">
        <v>95</v>
      </c>
      <c r="E179" s="3"/>
      <c r="F179" s="3"/>
      <c r="G179" s="3"/>
      <c r="H179" s="3"/>
      <c r="I179" s="3"/>
      <c r="J179" s="3"/>
    </row>
    <row r="180" spans="1:10" x14ac:dyDescent="0.35">
      <c r="A180" s="3" t="s">
        <v>113</v>
      </c>
      <c r="B180" s="3" t="s">
        <v>134</v>
      </c>
      <c r="C180" s="3" t="s">
        <v>150</v>
      </c>
      <c r="D180" s="3" t="s">
        <v>95</v>
      </c>
      <c r="E180" s="3"/>
      <c r="F180" s="3"/>
      <c r="G180" s="3"/>
      <c r="H180" s="3"/>
      <c r="I180" s="3"/>
      <c r="J180" s="3"/>
    </row>
    <row r="181" spans="1:10" x14ac:dyDescent="0.35">
      <c r="A181" s="3" t="s">
        <v>113</v>
      </c>
      <c r="B181" s="3" t="s">
        <v>125</v>
      </c>
      <c r="C181" s="3" t="s">
        <v>150</v>
      </c>
      <c r="D181" s="3" t="s">
        <v>95</v>
      </c>
      <c r="E181" s="3"/>
      <c r="F181" s="3"/>
      <c r="G181" s="3"/>
      <c r="H181" s="3"/>
      <c r="I181" s="3"/>
      <c r="J181" s="3"/>
    </row>
    <row r="182" spans="1:10" x14ac:dyDescent="0.35">
      <c r="A182" s="3" t="s">
        <v>113</v>
      </c>
      <c r="B182" s="3" t="s">
        <v>137</v>
      </c>
      <c r="C182" s="3" t="s">
        <v>157</v>
      </c>
      <c r="D182" s="3" t="s">
        <v>77</v>
      </c>
      <c r="E182" s="3"/>
      <c r="F182" s="3"/>
      <c r="G182" s="3"/>
      <c r="H182" s="3"/>
      <c r="I182" s="3"/>
      <c r="J182" s="3"/>
    </row>
    <row r="183" spans="1:10" x14ac:dyDescent="0.35">
      <c r="A183" s="3" t="s">
        <v>113</v>
      </c>
      <c r="B183" s="3" t="s">
        <v>134</v>
      </c>
      <c r="C183" s="3" t="s">
        <v>157</v>
      </c>
      <c r="D183" s="3" t="s">
        <v>77</v>
      </c>
      <c r="E183" s="3"/>
      <c r="F183" s="3"/>
      <c r="G183" s="3"/>
      <c r="H183" s="3"/>
      <c r="I183" s="3"/>
      <c r="J183" s="3"/>
    </row>
    <row r="184" spans="1:10" x14ac:dyDescent="0.35">
      <c r="A184" s="3" t="s">
        <v>113</v>
      </c>
      <c r="B184" s="3" t="s">
        <v>125</v>
      </c>
      <c r="C184" s="3" t="s">
        <v>157</v>
      </c>
      <c r="D184" s="3" t="s">
        <v>77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265625" defaultRowHeight="14.5" x14ac:dyDescent="0.35"/>
  <cols>
    <col min="1" max="3" width="22" customWidth="1"/>
  </cols>
  <sheetData>
    <row r="1" spans="1:3" ht="14.25" hidden="1" customHeight="1" x14ac:dyDescent="0.35">
      <c r="A1" s="87" t="s">
        <v>295</v>
      </c>
      <c r="B1" s="78"/>
      <c r="C1" s="78"/>
    </row>
    <row r="2" spans="1:3" ht="14.25" customHeight="1" x14ac:dyDescent="0.35">
      <c r="A2" s="8" t="s">
        <v>0</v>
      </c>
      <c r="B2" s="8" t="s">
        <v>296</v>
      </c>
      <c r="C2" s="8" t="s">
        <v>292</v>
      </c>
    </row>
    <row r="3" spans="1:3" ht="14.25" customHeight="1" x14ac:dyDescent="0.35">
      <c r="A3" s="11" t="s">
        <v>35</v>
      </c>
      <c r="B3" s="11">
        <v>8</v>
      </c>
      <c r="C3" s="12">
        <v>46142</v>
      </c>
    </row>
    <row r="4" spans="1:3" ht="14.25" customHeight="1" x14ac:dyDescent="0.35">
      <c r="A4" s="11" t="s">
        <v>35</v>
      </c>
      <c r="B4" s="11">
        <v>10</v>
      </c>
      <c r="C4" s="12">
        <v>46172</v>
      </c>
    </row>
    <row r="5" spans="1:3" ht="14.25" customHeight="1" x14ac:dyDescent="0.35">
      <c r="A5" s="11" t="s">
        <v>35</v>
      </c>
      <c r="B5" s="11">
        <v>9</v>
      </c>
      <c r="C5" s="12">
        <v>46203</v>
      </c>
    </row>
    <row r="6" spans="1:3" ht="14.25" customHeight="1" x14ac:dyDescent="0.35">
      <c r="A6" s="11" t="s">
        <v>113</v>
      </c>
      <c r="B6" s="11">
        <v>15</v>
      </c>
      <c r="C6" s="12">
        <v>46233</v>
      </c>
    </row>
    <row r="7" spans="1:3" ht="14.25" customHeight="1" x14ac:dyDescent="0.35">
      <c r="A7" s="11" t="s">
        <v>113</v>
      </c>
      <c r="B7" s="11">
        <v>15</v>
      </c>
      <c r="C7" s="12">
        <v>46264</v>
      </c>
    </row>
    <row r="8" spans="1:3" ht="14.25" customHeight="1" x14ac:dyDescent="0.35">
      <c r="A8" s="11" t="s">
        <v>113</v>
      </c>
      <c r="B8" s="11">
        <v>17</v>
      </c>
      <c r="C8" s="12">
        <v>46295</v>
      </c>
    </row>
    <row r="9" spans="1:3" ht="14.25" customHeight="1" x14ac:dyDescent="0.35">
      <c r="A9" s="11" t="s">
        <v>113</v>
      </c>
      <c r="B9" s="11">
        <v>20</v>
      </c>
      <c r="C9" s="12">
        <v>46325</v>
      </c>
    </row>
    <row r="10" spans="1:3" ht="14.25" customHeight="1" x14ac:dyDescent="0.35">
      <c r="A10" s="11" t="s">
        <v>113</v>
      </c>
      <c r="B10" s="11">
        <v>20</v>
      </c>
      <c r="C10" s="12">
        <v>46356</v>
      </c>
    </row>
    <row r="11" spans="1:3" ht="14.25" customHeight="1" x14ac:dyDescent="0.35">
      <c r="A11" s="11" t="s">
        <v>297</v>
      </c>
      <c r="B11" s="11">
        <v>18</v>
      </c>
      <c r="C11" s="12">
        <v>46386</v>
      </c>
    </row>
    <row r="12" spans="1:3" ht="14.25" customHeight="1" x14ac:dyDescent="0.35">
      <c r="A12" s="11" t="s">
        <v>297</v>
      </c>
      <c r="B12" s="11">
        <v>18</v>
      </c>
      <c r="C12" s="12">
        <v>46417</v>
      </c>
    </row>
    <row r="13" spans="1:3" ht="14.25" customHeight="1" x14ac:dyDescent="0.35">
      <c r="A13" s="11" t="s">
        <v>297</v>
      </c>
      <c r="B13" s="11">
        <v>19</v>
      </c>
      <c r="C13" s="12">
        <v>46446</v>
      </c>
    </row>
    <row r="14" spans="1:3" ht="14.25" customHeight="1" x14ac:dyDescent="0.35">
      <c r="A14" s="11" t="s">
        <v>229</v>
      </c>
      <c r="B14" s="11">
        <v>9</v>
      </c>
      <c r="C14" s="12">
        <v>46476</v>
      </c>
    </row>
    <row r="15" spans="1:3" ht="14.25" customHeight="1" x14ac:dyDescent="0.35">
      <c r="A15" s="11" t="s">
        <v>224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topLeftCell="I1" zoomScaleNormal="100" workbookViewId="0">
      <selection activeCell="R7" sqref="R7"/>
    </sheetView>
  </sheetViews>
  <sheetFormatPr defaultColWidth="8.7265625" defaultRowHeight="14.5" x14ac:dyDescent="0.3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 x14ac:dyDescent="0.35">
      <c r="A1" s="1" t="s">
        <v>0</v>
      </c>
      <c r="B1" s="1" t="s">
        <v>9</v>
      </c>
      <c r="C1" s="1" t="s">
        <v>15</v>
      </c>
      <c r="D1" s="1" t="s">
        <v>5</v>
      </c>
      <c r="E1" s="1" t="s">
        <v>298</v>
      </c>
      <c r="F1" s="1" t="s">
        <v>245</v>
      </c>
      <c r="G1" s="5" t="s">
        <v>299</v>
      </c>
      <c r="H1" s="5" t="s">
        <v>20</v>
      </c>
      <c r="I1" t="s">
        <v>32</v>
      </c>
      <c r="J1" s="5" t="s">
        <v>300</v>
      </c>
      <c r="K1" s="5" t="s">
        <v>115</v>
      </c>
      <c r="L1" s="5" t="s">
        <v>264</v>
      </c>
      <c r="M1" s="1" t="s">
        <v>301</v>
      </c>
      <c r="N1" s="1" t="s">
        <v>302</v>
      </c>
      <c r="R1" t="s">
        <v>13</v>
      </c>
    </row>
    <row r="2" spans="1:18" ht="13.5" customHeight="1" x14ac:dyDescent="0.35">
      <c r="A2" s="2" t="s">
        <v>303</v>
      </c>
      <c r="B2" s="2" t="s">
        <v>304</v>
      </c>
      <c r="C2" s="2" t="s">
        <v>305</v>
      </c>
      <c r="D2" s="2" t="s">
        <v>306</v>
      </c>
      <c r="E2" s="2" t="s">
        <v>307</v>
      </c>
      <c r="F2" s="2" t="s">
        <v>308</v>
      </c>
      <c r="G2" t="s">
        <v>309</v>
      </c>
      <c r="H2" t="s">
        <v>310</v>
      </c>
      <c r="I2" t="s">
        <v>311</v>
      </c>
      <c r="J2" s="29" t="s">
        <v>312</v>
      </c>
      <c r="K2" s="29" t="s">
        <v>313</v>
      </c>
      <c r="L2" s="29" t="s">
        <v>314</v>
      </c>
      <c r="M2" t="s">
        <v>131</v>
      </c>
      <c r="N2" s="45" t="s">
        <v>315</v>
      </c>
      <c r="R2" t="s">
        <v>329</v>
      </c>
    </row>
    <row r="3" spans="1:18" ht="15" customHeight="1" x14ac:dyDescent="0.35">
      <c r="A3" t="s">
        <v>35</v>
      </c>
      <c r="B3" t="s">
        <v>39</v>
      </c>
      <c r="C3" t="s">
        <v>54</v>
      </c>
      <c r="D3" t="s">
        <v>116</v>
      </c>
      <c r="E3" t="s">
        <v>44</v>
      </c>
      <c r="F3" t="s">
        <v>175</v>
      </c>
      <c r="G3" t="s">
        <v>39</v>
      </c>
      <c r="H3" t="s">
        <v>42</v>
      </c>
      <c r="I3" t="s">
        <v>47</v>
      </c>
      <c r="J3" t="s">
        <v>137</v>
      </c>
      <c r="K3" t="s">
        <v>43</v>
      </c>
      <c r="L3" t="s">
        <v>47</v>
      </c>
      <c r="M3" t="s">
        <v>39</v>
      </c>
      <c r="N3" s="45" t="s">
        <v>316</v>
      </c>
      <c r="R3" t="s">
        <v>40</v>
      </c>
    </row>
    <row r="4" spans="1:18" ht="15" customHeight="1" x14ac:dyDescent="0.35">
      <c r="A4" t="s">
        <v>113</v>
      </c>
      <c r="B4" t="s">
        <v>53</v>
      </c>
      <c r="C4" t="s">
        <v>41</v>
      </c>
      <c r="D4" t="s">
        <v>131</v>
      </c>
      <c r="E4" t="s">
        <v>47</v>
      </c>
      <c r="F4" t="s">
        <v>137</v>
      </c>
      <c r="G4" t="s">
        <v>53</v>
      </c>
      <c r="H4" t="s">
        <v>81</v>
      </c>
      <c r="I4" t="s">
        <v>317</v>
      </c>
      <c r="J4" t="s">
        <v>134</v>
      </c>
      <c r="L4" t="s">
        <v>44</v>
      </c>
      <c r="M4" t="s">
        <v>95</v>
      </c>
      <c r="N4" s="45" t="s">
        <v>316</v>
      </c>
      <c r="R4" t="s">
        <v>328</v>
      </c>
    </row>
    <row r="5" spans="1:18" ht="15" customHeight="1" x14ac:dyDescent="0.35">
      <c r="A5" t="s">
        <v>297</v>
      </c>
      <c r="B5" t="s">
        <v>59</v>
      </c>
      <c r="C5" t="s">
        <v>70</v>
      </c>
      <c r="F5" t="s">
        <v>134</v>
      </c>
      <c r="G5" t="s">
        <v>59</v>
      </c>
      <c r="H5" t="s">
        <v>116</v>
      </c>
      <c r="I5" t="s">
        <v>126</v>
      </c>
      <c r="J5" t="s">
        <v>125</v>
      </c>
      <c r="L5" t="s">
        <v>318</v>
      </c>
      <c r="M5" t="s">
        <v>81</v>
      </c>
      <c r="N5" s="45" t="s">
        <v>316</v>
      </c>
    </row>
    <row r="6" spans="1:18" ht="15" customHeight="1" x14ac:dyDescent="0.35">
      <c r="A6" t="s">
        <v>229</v>
      </c>
      <c r="B6" t="s">
        <v>77</v>
      </c>
      <c r="F6" t="s">
        <v>125</v>
      </c>
      <c r="G6" t="s">
        <v>77</v>
      </c>
      <c r="H6" t="s">
        <v>131</v>
      </c>
      <c r="I6" t="s">
        <v>135</v>
      </c>
      <c r="J6" t="s">
        <v>115</v>
      </c>
      <c r="M6" t="s">
        <v>43</v>
      </c>
      <c r="N6" s="45" t="s">
        <v>316</v>
      </c>
    </row>
    <row r="7" spans="1:18" ht="15" customHeight="1" x14ac:dyDescent="0.35">
      <c r="A7" t="s">
        <v>224</v>
      </c>
      <c r="B7" t="s">
        <v>106</v>
      </c>
      <c r="F7" t="s">
        <v>115</v>
      </c>
      <c r="G7" t="s">
        <v>106</v>
      </c>
      <c r="I7" t="s">
        <v>319</v>
      </c>
      <c r="M7" t="s">
        <v>116</v>
      </c>
      <c r="N7" s="45" t="s">
        <v>316</v>
      </c>
    </row>
    <row r="8" spans="1:18" ht="15" customHeight="1" x14ac:dyDescent="0.35">
      <c r="B8" t="s">
        <v>69</v>
      </c>
      <c r="F8" t="s">
        <v>37</v>
      </c>
      <c r="G8" t="s">
        <v>69</v>
      </c>
      <c r="I8" t="s">
        <v>320</v>
      </c>
      <c r="M8" t="s">
        <v>54</v>
      </c>
      <c r="N8" s="45" t="s">
        <v>316</v>
      </c>
    </row>
    <row r="9" spans="1:18" ht="15" customHeight="1" x14ac:dyDescent="0.35">
      <c r="B9" t="s">
        <v>95</v>
      </c>
      <c r="G9" t="s">
        <v>95</v>
      </c>
      <c r="I9" t="s">
        <v>321</v>
      </c>
      <c r="M9" t="s">
        <v>142</v>
      </c>
      <c r="N9" s="45" t="s">
        <v>316</v>
      </c>
    </row>
    <row r="10" spans="1:18" ht="15" customHeight="1" x14ac:dyDescent="0.35">
      <c r="B10" t="s">
        <v>142</v>
      </c>
      <c r="G10" t="s">
        <v>142</v>
      </c>
      <c r="M10" t="s">
        <v>42</v>
      </c>
      <c r="N10" s="45" t="s">
        <v>316</v>
      </c>
    </row>
    <row r="11" spans="1:18" x14ac:dyDescent="0.35">
      <c r="B11" t="s">
        <v>322</v>
      </c>
      <c r="G11" t="s">
        <v>54</v>
      </c>
      <c r="M11" t="s">
        <v>69</v>
      </c>
      <c r="N11" s="45" t="s">
        <v>316</v>
      </c>
    </row>
    <row r="12" spans="1:18" x14ac:dyDescent="0.35">
      <c r="B12" t="s">
        <v>323</v>
      </c>
      <c r="G12" t="s">
        <v>41</v>
      </c>
      <c r="M12" t="s">
        <v>41</v>
      </c>
      <c r="N12" s="45" t="s">
        <v>316</v>
      </c>
    </row>
    <row r="13" spans="1:18" x14ac:dyDescent="0.35">
      <c r="G13" t="s">
        <v>70</v>
      </c>
      <c r="M13" t="s">
        <v>70</v>
      </c>
      <c r="N13" s="45" t="s">
        <v>316</v>
      </c>
    </row>
    <row r="14" spans="1:18" x14ac:dyDescent="0.35">
      <c r="M14" t="s">
        <v>77</v>
      </c>
      <c r="N14" s="45" t="s">
        <v>324</v>
      </c>
    </row>
    <row r="15" spans="1:18" x14ac:dyDescent="0.35">
      <c r="M15" t="s">
        <v>53</v>
      </c>
      <c r="N15" s="45" t="s">
        <v>316</v>
      </c>
    </row>
    <row r="16" spans="1:18" x14ac:dyDescent="0.35">
      <c r="M16" t="s">
        <v>106</v>
      </c>
      <c r="N16" s="45" t="s">
        <v>316</v>
      </c>
    </row>
    <row r="17" spans="13:14" x14ac:dyDescent="0.35">
      <c r="M17" t="s">
        <v>59</v>
      </c>
      <c r="N17" s="45" t="s">
        <v>316</v>
      </c>
    </row>
    <row r="18" spans="13:14" x14ac:dyDescent="0.35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schemas.microsoft.com/office/infopath/2007/PartnerControls"/>
    <ds:schemaRef ds:uri="cadce026-d35b-4a62-a2ee-1436bb44fb55"/>
    <ds:schemaRef ds:uri="6d32ee4e-79d4-4fe0-ad34-1cbae873c51e"/>
    <ds:schemaRef ds:uri="5b9cbbf0-fbbf-4687-be4c-62cb1159071c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2026-08-25T19:59:45Z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