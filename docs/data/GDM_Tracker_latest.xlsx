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0640" windowHeight="11040" tabRatio="500" firstSheet="1" activeTab="5" autoFilterDateGrouping="1"/>
  </bookViews>
  <sheets>
    <sheet xmlns:r="http://schemas.openxmlformats.org/officeDocument/2006/relationships" name="README - Instructions" sheetId="1" state="hidden" r:id="rId1"/>
    <sheet xmlns:r="http://schemas.openxmlformats.org/officeDocument/2006/relationships" name="Combined Delivery Data" sheetId="2" state="visible" r:id="rId2"/>
    <sheet xmlns:r="http://schemas.openxmlformats.org/officeDocument/2006/relationships" name="Find a Report" sheetId="3" state="hidden" r:id="rId3"/>
    <sheet xmlns:r="http://schemas.openxmlformats.org/officeDocument/2006/relationships" name="Rework Log" sheetId="4" state="visible" r:id="rId4"/>
    <sheet xmlns:r="http://schemas.openxmlformats.org/officeDocument/2006/relationships" name="Fact Table" sheetId="5" state="visible" r:id="rId5"/>
    <sheet xmlns:r="http://schemas.openxmlformats.org/officeDocument/2006/relationships" name="Dim Table" sheetId="6" state="visible" r:id="rId6"/>
    <sheet xmlns:r="http://schemas.openxmlformats.org/officeDocument/2006/relationships" name="Data Validation" sheetId="7" state="visible" r:id="rId7"/>
  </sheets>
  <definedNames>
    <definedName name="_xlnm._FilterDatabase" localSheetId="3" hidden="1">'Rework Log'!$A$2:$G$2</definedName>
    <definedName name="_xlnm._FilterDatabase" localSheetId="4" hidden="1">'Fact Table'!$A$2:$J$156</definedName>
    <definedName name="_xlnm._FilterDatabase" localSheetId="5" hidden="1">'Dim Table'!$A$2:$C$15</definedName>
  </definedNames>
  <calcPr calcId="191029" fullCalcOnLoad="1" iterateDelta="0.0001"/>
</workbook>
</file>

<file path=xl/styles.xml><?xml version="1.0" encoding="utf-8"?>
<styleSheet xmlns="http://schemas.openxmlformats.org/spreadsheetml/2006/main">
  <numFmts count="0"/>
  <fonts count="18">
    <font>
      <name val="Calibri"/>
      <charset val="1"/>
      <family val="2"/>
      <color theme="1"/>
      <sz val="11"/>
    </font>
    <font>
      <name val="Calibri"/>
      <charset val="1"/>
      <family val="2"/>
      <i val="1"/>
      <color rgb="FF9C6500"/>
      <sz val="10"/>
    </font>
    <font>
      <name val="Calibri"/>
      <charset val="1"/>
      <family val="2"/>
      <b val="1"/>
      <color rgb="FFFFFFFF"/>
      <sz val="10"/>
    </font>
    <font>
      <name val="Calibri"/>
      <charset val="1"/>
      <family val="2"/>
      <i val="1"/>
      <color rgb="FF1F4E78"/>
      <sz val="10"/>
    </font>
    <font>
      <name val="Cambria"/>
      <family val="1"/>
      <b val="1"/>
      <sz val="11"/>
    </font>
    <font>
      <name val="Cambria"/>
      <family val="1"/>
      <i val="1"/>
      <color rgb="FF666666"/>
      <sz val="9"/>
    </font>
    <font>
      <name val="Calibri"/>
      <family val="2"/>
      <b val="1"/>
      <color rgb="FFFFFFFF"/>
      <sz val="10"/>
    </font>
    <font>
      <name val="Calibri"/>
      <family val="2"/>
      <sz val="11"/>
    </font>
    <font>
      <name val="Calibri"/>
      <family val="2"/>
      <b val="1"/>
      <sz val="11"/>
    </font>
    <font>
      <name val="Calibri"/>
      <family val="2"/>
      <i val="1"/>
      <color rgb="FF666666"/>
      <sz val="10"/>
    </font>
    <font>
      <name val="Calibri"/>
      <family val="2"/>
      <b val="1"/>
      <color rgb="FF1F4E78"/>
      <sz val="16"/>
    </font>
    <font>
      <name val="Calibri"/>
      <family val="2"/>
      <b val="1"/>
      <color rgb="FF1F4E78"/>
      <sz val="12"/>
    </font>
    <font>
      <name val="Calibri"/>
      <family val="2"/>
      <b val="1"/>
      <color rgb="FFFFFFFF"/>
      <sz val="11"/>
    </font>
    <font>
      <name val="Calibri"/>
      <family val="2"/>
      <b val="1"/>
      <color rgb="FF1F4E78"/>
      <sz val="17"/>
    </font>
    <font>
      <name val="Calibri"/>
      <family val="2"/>
      <i val="1"/>
      <color rgb="FF666666"/>
      <sz val="11"/>
    </font>
    <font>
      <name val="Calibri"/>
      <family val="2"/>
      <b val="1"/>
      <sz val="12"/>
    </font>
    <font>
      <name val="Calibri"/>
      <family val="2"/>
      <sz val="12"/>
    </font>
    <font>
      <name val="Aptos Narrow"/>
      <family val="2"/>
      <color rgb="FF242424"/>
      <sz val="11"/>
    </font>
  </fonts>
  <fills count="17">
    <fill>
      <patternFill/>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808080"/>
        <bgColor rgb="FF808080"/>
      </patternFill>
    </fill>
    <fill>
      <patternFill patternType="solid">
        <fgColor rgb="FFFFE699"/>
        <bgColor rgb="FFFFE699"/>
      </patternFill>
    </fill>
  </fills>
  <borders count="17">
    <border>
      <left/>
      <right/>
      <top/>
      <bottom/>
      <diagonal/>
    </border>
    <border>
      <left style="thin">
        <color rgb="FFD9D9D9"/>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B9770E"/>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right/>
      <top style="thin">
        <color rgb="FFD9D9D9"/>
      </top>
      <bottom/>
      <diagonal/>
    </border>
    <border>
      <left/>
      <right style="thin">
        <color rgb="FFD9D9D9"/>
      </right>
      <top style="thin">
        <color rgb="FFD9D9D9"/>
      </top>
      <bottom/>
      <diagonal/>
    </border>
  </borders>
  <cellStyleXfs count="1">
    <xf numFmtId="0" fontId="0" fillId="0" borderId="0"/>
  </cellStyleXfs>
  <cellXfs count="68">
    <xf numFmtId="0" fontId="0" fillId="0" borderId="0" pivotButton="0" quotePrefix="0" xfId="0"/>
    <xf numFmtId="0" fontId="0" fillId="0" borderId="0" applyProtection="1" pivotButton="0" quotePrefix="0" xfId="0">
      <protection locked="0" hidden="0"/>
    </xf>
    <xf numFmtId="0" fontId="4" fillId="0" borderId="0" pivotButton="0" quotePrefix="0" xfId="0"/>
    <xf numFmtId="0" fontId="5" fillId="0" borderId="0" pivotButton="0" quotePrefix="0" xfId="0"/>
    <xf numFmtId="0" fontId="7" fillId="0" borderId="0" pivotButton="0" quotePrefix="0" xfId="0"/>
    <xf numFmtId="14" fontId="7" fillId="0" borderId="0" pivotButton="0" quotePrefix="0" xfId="0"/>
    <xf numFmtId="0" fontId="8" fillId="0" borderId="0" pivotButton="0" quotePrefix="0" xfId="0"/>
    <xf numFmtId="0" fontId="6" fillId="4" borderId="0" pivotButton="0" quotePrefix="0" xfId="0"/>
    <xf numFmtId="0" fontId="6" fillId="4" borderId="0" applyAlignment="1" applyProtection="1" pivotButton="0" quotePrefix="0" xfId="0">
      <alignment vertical="center" wrapText="1"/>
      <protection locked="0" hidden="0"/>
    </xf>
    <xf numFmtId="0" fontId="7" fillId="0" borderId="0" applyProtection="1" pivotButton="0" quotePrefix="0" xfId="0">
      <protection locked="0" hidden="0"/>
    </xf>
    <xf numFmtId="14" fontId="7" fillId="0" borderId="0" applyProtection="1" pivotButton="0" quotePrefix="0" xfId="0">
      <protection locked="0" hidden="0"/>
    </xf>
    <xf numFmtId="0" fontId="11" fillId="0" borderId="0" applyAlignment="1" pivotButton="0" quotePrefix="0" xfId="0">
      <alignment vertical="top" wrapText="1"/>
    </xf>
    <xf numFmtId="0" fontId="7" fillId="0" borderId="0" applyAlignment="1" pivotButton="0" quotePrefix="0" xfId="0">
      <alignment vertical="top" wrapText="1"/>
    </xf>
    <xf numFmtId="0" fontId="9" fillId="0" borderId="0" pivotButton="0" quotePrefix="0" xfId="0"/>
    <xf numFmtId="0" fontId="6" fillId="5" borderId="0" applyAlignment="1" applyProtection="1" pivotButton="0" quotePrefix="0" xfId="0">
      <alignment vertical="center" wrapText="1"/>
      <protection locked="0" hidden="0"/>
    </xf>
    <xf numFmtId="0" fontId="6" fillId="6" borderId="0" applyAlignment="1" applyProtection="1" pivotButton="0" quotePrefix="0" xfId="0">
      <alignment vertical="center" wrapText="1"/>
      <protection locked="0" hidden="0"/>
    </xf>
    <xf numFmtId="0" fontId="6" fillId="7" borderId="0" applyAlignment="1" applyProtection="1" pivotButton="0" quotePrefix="0" xfId="0">
      <alignment vertical="center" wrapText="1"/>
      <protection locked="0" hidden="0"/>
    </xf>
    <xf numFmtId="0" fontId="6" fillId="8" borderId="0" applyAlignment="1" applyProtection="1" pivotButton="0" quotePrefix="0" xfId="0">
      <alignment vertical="center" wrapText="1"/>
      <protection locked="0" hidden="0"/>
    </xf>
    <xf numFmtId="0" fontId="6" fillId="9" borderId="0" applyAlignment="1" applyProtection="1" pivotButton="0" quotePrefix="0" xfId="0">
      <alignment vertical="center" wrapText="1"/>
      <protection locked="0" hidden="0"/>
    </xf>
    <xf numFmtId="0" fontId="6" fillId="10" borderId="0" applyAlignment="1" applyProtection="1" pivotButton="0" quotePrefix="0" xfId="0">
      <alignment vertical="center" wrapText="1"/>
      <protection locked="0" hidden="0"/>
    </xf>
    <xf numFmtId="0" fontId="6" fillId="11" borderId="0" applyAlignment="1" applyProtection="1" pivotButton="0" quotePrefix="0" xfId="0">
      <alignment vertical="center" wrapText="1"/>
      <protection locked="0" hidden="0"/>
    </xf>
    <xf numFmtId="0" fontId="6" fillId="12" borderId="0" applyAlignment="1" applyProtection="1" pivotButton="0" quotePrefix="0" xfId="0">
      <alignment vertical="center" wrapText="1"/>
      <protection locked="0" hidden="0"/>
    </xf>
    <xf numFmtId="0" fontId="6" fillId="13" borderId="0" applyAlignment="1" applyProtection="1" pivotButton="0" quotePrefix="0" xfId="0">
      <alignment vertical="center" wrapText="1"/>
      <protection locked="0" hidden="0"/>
    </xf>
    <xf numFmtId="0" fontId="6" fillId="14" borderId="0" applyAlignment="1" applyProtection="1" pivotButton="0" quotePrefix="0" xfId="0">
      <alignment vertical="center" wrapText="1"/>
      <protection locked="0" hidden="0"/>
    </xf>
    <xf numFmtId="0" fontId="6" fillId="15" borderId="0" applyAlignment="1" applyProtection="1" pivotButton="0" quotePrefix="0" xfId="0">
      <alignment vertical="center" wrapText="1"/>
      <protection locked="0" hidden="0"/>
    </xf>
    <xf numFmtId="0" fontId="13" fillId="0" borderId="0" applyAlignment="1" pivotButton="0" quotePrefix="0" xfId="0">
      <alignment vertical="top" wrapText="1"/>
    </xf>
    <xf numFmtId="0" fontId="14" fillId="0" borderId="0" applyAlignment="1" pivotButton="0" quotePrefix="0" xfId="0">
      <alignment vertical="top" wrapText="1"/>
    </xf>
    <xf numFmtId="0" fontId="12" fillId="7" borderId="0" applyAlignment="1" pivotButton="0" quotePrefix="0" xfId="0">
      <alignment vertical="top" wrapText="1"/>
    </xf>
    <xf numFmtId="0" fontId="6" fillId="5" borderId="2" applyAlignment="1" applyProtection="1" pivotButton="0" quotePrefix="0" xfId="0">
      <alignment vertical="center" wrapText="1"/>
      <protection locked="0" hidden="0"/>
    </xf>
    <xf numFmtId="0" fontId="6" fillId="6" borderId="3" applyAlignment="1" applyProtection="1" pivotButton="0" quotePrefix="0" xfId="0">
      <alignment vertical="center" wrapText="1"/>
      <protection locked="0" hidden="0"/>
    </xf>
    <xf numFmtId="0" fontId="6" fillId="7" borderId="4" applyAlignment="1" applyProtection="1" pivotButton="0" quotePrefix="0" xfId="0">
      <alignment vertical="center" wrapText="1"/>
      <protection locked="0" hidden="0"/>
    </xf>
    <xf numFmtId="0" fontId="6" fillId="8" borderId="5" applyAlignment="1" applyProtection="1" pivotButton="0" quotePrefix="0" xfId="0">
      <alignment vertical="center" wrapText="1"/>
      <protection locked="0" hidden="0"/>
    </xf>
    <xf numFmtId="0" fontId="6" fillId="9" borderId="6" applyAlignment="1" applyProtection="1" pivotButton="0" quotePrefix="0" xfId="0">
      <alignment vertical="center" wrapText="1"/>
      <protection locked="0" hidden="0"/>
    </xf>
    <xf numFmtId="0" fontId="6" fillId="10" borderId="7" applyAlignment="1" applyProtection="1" pivotButton="0" quotePrefix="0" xfId="0">
      <alignment vertical="center" wrapText="1"/>
      <protection locked="0" hidden="0"/>
    </xf>
    <xf numFmtId="0" fontId="6" fillId="11" borderId="8" applyAlignment="1" applyProtection="1" pivotButton="0" quotePrefix="0" xfId="0">
      <alignment vertical="center" wrapText="1"/>
      <protection locked="0" hidden="0"/>
    </xf>
    <xf numFmtId="0" fontId="6" fillId="12" borderId="9" applyAlignment="1" applyProtection="1" pivotButton="0" quotePrefix="0" xfId="0">
      <alignment vertical="center" wrapText="1"/>
      <protection locked="0" hidden="0"/>
    </xf>
    <xf numFmtId="0" fontId="6" fillId="13" borderId="10" applyAlignment="1" applyProtection="1" pivotButton="0" quotePrefix="0" xfId="0">
      <alignment vertical="center" wrapText="1"/>
      <protection locked="0" hidden="0"/>
    </xf>
    <xf numFmtId="0" fontId="6" fillId="14" borderId="11" applyAlignment="1" applyProtection="1" pivotButton="0" quotePrefix="0" xfId="0">
      <alignment vertical="center" wrapText="1"/>
      <protection locked="0" hidden="0"/>
    </xf>
    <xf numFmtId="0" fontId="6" fillId="4" borderId="12" applyAlignment="1" applyProtection="1" pivotButton="0" quotePrefix="0" xfId="0">
      <alignment vertical="center" wrapText="1"/>
      <protection locked="0" hidden="0"/>
    </xf>
    <xf numFmtId="0" fontId="7" fillId="0" borderId="2" applyProtection="1" pivotButton="0" quotePrefix="0" xfId="0">
      <protection locked="0" hidden="0"/>
    </xf>
    <xf numFmtId="14" fontId="7" fillId="0" borderId="3" applyProtection="1" pivotButton="0" quotePrefix="0" xfId="0">
      <protection locked="0" hidden="0"/>
    </xf>
    <xf numFmtId="0" fontId="7" fillId="0" borderId="4" applyProtection="1" pivotButton="0" quotePrefix="0" xfId="0">
      <protection locked="0" hidden="0"/>
    </xf>
    <xf numFmtId="0" fontId="7" fillId="0" borderId="5" applyProtection="1" pivotButton="0" quotePrefix="0" xfId="0">
      <protection locked="0" hidden="0"/>
    </xf>
    <xf numFmtId="0" fontId="7" fillId="0" borderId="6" applyProtection="1" pivotButton="0" quotePrefix="0" xfId="0">
      <protection locked="0" hidden="0"/>
    </xf>
    <xf numFmtId="0" fontId="7" fillId="0" borderId="7" applyProtection="1" pivotButton="0" quotePrefix="0" xfId="0">
      <protection locked="0" hidden="0"/>
    </xf>
    <xf numFmtId="0" fontId="7" fillId="0" borderId="8" applyProtection="1" pivotButton="0" quotePrefix="0" xfId="0">
      <protection locked="0" hidden="0"/>
    </xf>
    <xf numFmtId="0" fontId="7" fillId="0" borderId="10" applyProtection="1" pivotButton="0" quotePrefix="0" xfId="0">
      <protection locked="0" hidden="0"/>
    </xf>
    <xf numFmtId="0" fontId="7" fillId="0" borderId="11" applyProtection="1" pivotButton="0" quotePrefix="0" xfId="0">
      <protection locked="0" hidden="0"/>
    </xf>
    <xf numFmtId="0" fontId="7" fillId="0" borderId="12" applyProtection="1" pivotButton="0" quotePrefix="0" xfId="0">
      <protection locked="0" hidden="0"/>
    </xf>
    <xf numFmtId="0" fontId="7" fillId="0" borderId="9" applyProtection="1" pivotButton="0" quotePrefix="0" xfId="0">
      <protection locked="0" hidden="0"/>
    </xf>
    <xf numFmtId="0" fontId="11" fillId="0" borderId="0" pivotButton="0" quotePrefix="0" xfId="0"/>
    <xf numFmtId="0" fontId="10" fillId="0" borderId="0" pivotButton="0" quotePrefix="0" xfId="0"/>
    <xf numFmtId="0" fontId="8" fillId="0" borderId="1" pivotButton="0" quotePrefix="0" xfId="0"/>
    <xf numFmtId="0" fontId="2" fillId="2" borderId="1" applyAlignment="1" pivotButton="0" quotePrefix="0" xfId="0">
      <alignment vertical="center" wrapText="1"/>
    </xf>
    <xf numFmtId="0" fontId="7" fillId="0" borderId="1" applyAlignment="1" pivotButton="0" quotePrefix="0" xfId="0">
      <alignment vertical="top"/>
    </xf>
    <xf numFmtId="14" fontId="7" fillId="0" borderId="1" applyAlignment="1" pivotButton="0" quotePrefix="0" xfId="0">
      <alignment vertical="top"/>
    </xf>
    <xf numFmtId="0" fontId="0" fillId="0" borderId="1" pivotButton="0" quotePrefix="0" xfId="0"/>
    <xf numFmtId="14" fontId="0" fillId="0" borderId="1" pivotButton="0" quotePrefix="0" xfId="0"/>
    <xf numFmtId="14" fontId="17" fillId="0" borderId="0" pivotButton="0" quotePrefix="0" xfId="0"/>
    <xf numFmtId="0" fontId="3" fillId="3" borderId="0" pivotButton="0" quotePrefix="0" xfId="0"/>
    <xf numFmtId="0" fontId="0" fillId="0" borderId="0" pivotButton="0" quotePrefix="0" xfId="0"/>
    <xf numFmtId="0" fontId="16" fillId="0" borderId="1" applyAlignment="1" pivotButton="0" quotePrefix="0" xfId="0">
      <alignment vertical="center" wrapText="1"/>
    </xf>
    <xf numFmtId="0" fontId="0" fillId="0" borderId="13" pivotButton="0" quotePrefix="0" xfId="0"/>
    <xf numFmtId="0" fontId="0" fillId="0" borderId="14" pivotButton="0" quotePrefix="0" xfId="0"/>
    <xf numFmtId="14" fontId="16" fillId="0" borderId="1" applyAlignment="1" pivotButton="0" quotePrefix="0" xfId="0">
      <alignment vertical="center" wrapText="1"/>
    </xf>
    <xf numFmtId="0" fontId="15" fillId="16" borderId="0" pivotButton="0" quotePrefix="0" xfId="0"/>
    <xf numFmtId="0" fontId="9" fillId="0" borderId="0" applyAlignment="1" pivotButton="0" quotePrefix="0" xfId="0">
      <alignment vertical="center" wrapText="1"/>
    </xf>
    <xf numFmtId="0" fontId="1" fillId="3" borderId="0" pivotButton="0" quotePrefix="0" xfId="0"/>
  </cellXfs>
  <cellStyles count="1">
    <cellStyle name="Normal" xfId="0" builtinId="0"/>
  </cellStyles>
  <dxfs count="23">
    <dxf>
      <font>
        <b val="1"/>
        <color rgb="FF9C0006"/>
      </font>
      <fill>
        <patternFill patternType="solid">
          <fgColor rgb="FFF8CBAD"/>
          <bgColor rgb="FFF8CBAD"/>
        </patternFill>
      </fill>
    </dxf>
    <dxf>
      <font>
        <color rgb="FF9C6500"/>
      </font>
      <fill>
        <patternFill patternType="solid">
          <fgColor rgb="FFFFE699"/>
          <bgColor rgb="FFFFE699"/>
        </patternFill>
      </fill>
    </dxf>
    <dxf>
      <font>
        <b val="1"/>
        <color rgb="FF9C0006"/>
      </font>
      <fill>
        <patternFill patternType="solid">
          <fgColor rgb="FFF8CBAD"/>
          <bgColor rgb="FFF8CBAD"/>
        </patternFill>
      </fill>
    </dxf>
    <dxf>
      <font>
        <b val="1"/>
        <color rgb="FF9C0006"/>
      </font>
      <fill>
        <patternFill patternType="solid">
          <fgColor rgb="FFF8CBAD"/>
          <bgColor rgb="FFF8CBAD"/>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b val="1"/>
        <color rgb="FF9C0006"/>
      </font>
      <fill>
        <patternFill patternType="solid">
          <fgColor rgb="FFF8CBAD"/>
          <bgColor rgb="FFF8CBAD"/>
        </patternFill>
      </fill>
    </dxf>
    <dxf>
      <font>
        <b val="1"/>
        <color rgb="FF9C0006"/>
      </font>
      <fill>
        <patternFill patternType="solid">
          <fgColor rgb="FFF8CBAD"/>
          <bgColor rgb="FFF8CBAD"/>
        </patternFill>
      </fill>
    </dxf>
    <dxf>
      <font>
        <color rgb="FF375623"/>
      </font>
      <fill>
        <patternFill patternType="solid">
          <fgColor rgb="FFC6E0B4"/>
          <bgColor rgb="FFC6E0B4"/>
        </patternFill>
      </fill>
    </dxf>
    <dxf>
      <font>
        <b val="1"/>
        <color rgb="FF9C0006"/>
      </font>
      <fill>
        <patternFill patternType="solid">
          <fgColor rgb="FFF8CBAD"/>
          <bgColor rgb="FFF8CBAD"/>
        </patternFill>
      </fill>
    </dxf>
    <dxf>
      <font>
        <b val="1"/>
        <color rgb="FF9C0006"/>
      </font>
      <fill>
        <patternFill patternType="solid">
          <fgColor rgb="FFF8CBAD"/>
          <bgColor rgb="FFF8CBAD"/>
        </patternFill>
      </fill>
    </dxf>
    <dxf>
      <font>
        <b val="1"/>
        <color rgb="FF9C0006"/>
      </font>
      <fill>
        <patternFill patternType="solid">
          <fgColor rgb="FFF8CBAD"/>
          <bgColor rgb="FFF8CBAD"/>
        </patternFill>
      </fill>
    </dxf>
    <dxf>
      <font>
        <b val="1"/>
        <color rgb="FF9C0006"/>
      </font>
      <fill>
        <patternFill patternType="solid">
          <fgColor rgb="FFF8CBAD"/>
          <bgColor rgb="FFF8CBAD"/>
        </patternFill>
      </fill>
    </dxf>
    <dxf>
      <font>
        <b val="1"/>
        <color rgb="FF9C0006"/>
      </font>
      <fill>
        <patternFill patternType="solid">
          <fgColor rgb="FFF8CBAD"/>
          <bgColor rgb="FFF8CBAD"/>
        </patternFill>
      </fill>
    </dxf>
    <dxf>
      <font>
        <b val="1"/>
        <color rgb="FF9C0006"/>
      </font>
      <fill>
        <patternFill patternType="solid">
          <fgColor rgb="FFF8CBAD"/>
          <bgColor rgb="FFF8CBAD"/>
        </patternFill>
      </fill>
    </dxf>
    <dxf>
      <font>
        <b val="1"/>
        <color rgb="FF9C0006"/>
      </font>
      <fill>
        <patternFill patternType="solid">
          <fgColor rgb="FFF8CBAD"/>
          <bgColor rgb="FFF8CBAD"/>
        </patternFill>
      </fill>
    </dxf>
    <dxf>
      <font>
        <b val="1"/>
        <color rgb="FF9C0006"/>
      </font>
      <fill>
        <patternFill patternType="solid">
          <fgColor rgb="FFF8CBAD"/>
          <bgColor rgb="FFF8CBAD"/>
        </patternFill>
      </fill>
    </dxf>
    <dxf>
      <font>
        <b val="1"/>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b val="1"/>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Beza</author>
  </authors>
  <commentList>
    <comment ref="N2" authorId="0" shapeId="0">
      <text>
        <t>Backfilled by Beza on 2026-07-24: DB Dev Expected Completion Date was blank while DB Dev Actual Completion Date was already filled in (04/03/2026). Filled with that same date so this stage has a target date on record. Please review/adjust if the real target date was different.</t>
      </text>
    </comment>
    <comment ref="Q2" authorId="0" shapeId="0">
      <text>
        <t>Backfilled by Beza on 2026-07-24: PBI Dev Expected Completion Date was blank while PBI Dev Actual Completion Date was already filled in (04/02/2026). Filled with that same date so this stage has a target date on record. Please review/adjust if the real target date was different.</t>
      </text>
    </comment>
    <comment ref="T2" authorId="0" shapeId="0">
      <text>
        <t>Backfilled by Beza on 2026-07-24: QA Expected Completion Date was blank while QA Actual Completion Date was already filled in (04/10/2026). Filled with that same date so this stage has a target date on record. Please review/adjust if the real target date was different.</t>
      </text>
    </comment>
    <comment ref="Z2" authorId="0" shapeId="0">
      <text>
        <t>Backfilled by Beza on 2026-07-24: Confirmed Deployed Date was blank while Confirmed Deployed? = Yes. No DPO Approval date was on record either, so this was filled with this report's QA Actual Completion Date (04/10/2026) as the closest known real date, since it was the last recorded actual event before deployment. Please review/adjust if the real deployment date was different.</t>
      </text>
    </comment>
    <comment ref="N3" authorId="0" shapeId="0">
      <text>
        <t>Backfilled by Beza on 2026-07-24: DB Dev Expected Completion Date was blank while DB Dev Actual Completion Date was already filled in (04/03/2026). Filled with that same date so this stage has a target date on record. Please review/adjust if the real target date was different.</t>
      </text>
    </comment>
    <comment ref="Q3" authorId="0" shapeId="0">
      <text>
        <t>Backfilled by Beza on 2026-07-24: PBI Dev Expected Completion Date was blank while PBI Dev Actual Completion Date was already filled in (04/02/2026). Filled with that same date so this stage has a target date on record. Please review/adjust if the real target date was different.</t>
      </text>
    </comment>
    <comment ref="T3" authorId="0" shapeId="0">
      <text>
        <t>Backfilled by Beza on 2026-07-24: QA Expected Completion Date was blank while QA Actual Completion Date was already filled in (04/10/2026). Filled with that same date so this stage has a target date on record. Please review/adjust if the real target date was different.</t>
      </text>
    </comment>
    <comment ref="Z3" authorId="0" shapeId="0">
      <text>
        <t>Backfilled by Beza on 2026-07-24: Confirmed Deployed Date was blank while Confirmed Deployed? = Yes. No DPO Approval date was on record either, so this was filled with this report's QA Actual Completion Date (04/10/2026) as the closest known real date, since it was the last recorded actual event before deployment. Please review/adjust if the real deployment date was different.</t>
      </text>
    </comment>
    <comment ref="N4" authorId="0" shapeId="0">
      <text>
        <t>Backfilled by Beza on 2026-07-24: DB Dev Expected Completion Date was blank while DB Dev Actual Completion Date was already filled in (04/03/2026). Filled with that same date so this stage has a target date on record. Please review/adjust if the real target date was different.</t>
      </text>
    </comment>
    <comment ref="Q4" authorId="0" shapeId="0">
      <text>
        <t>Backfilled by Beza on 2026-07-24: PBI Dev Expected Completion Date was blank while PBI Dev Actual Completion Date was already filled in (04/08/2026). Filled with that same date so this stage has a target date on record. Please review/adjust if the real target date was different.</t>
      </text>
    </comment>
    <comment ref="T4" authorId="0" shapeId="0">
      <text>
        <t>Backfilled by Beza on 2026-07-24: QA Expected Completion Date was blank while QA Actual Completion Date was already filled in (04/10/2026). Filled with that same date so this stage has a target date on record. Please review/adjust if the real target date was different.</t>
      </text>
    </comment>
    <comment ref="Y4" authorId="0" shapeId="0">
      <text>
        <t>Backfilled by Beza on 2026-07-24: Confirmed Deployed? was blank while Status Flag = Delivered (Current Status = RELEASED IN PROD), so this was set to Yes to match.</t>
      </text>
    </comment>
    <comment ref="Z4" authorId="0" shapeId="0">
      <text>
        <t>Backfilled by Beza on 2026-07-24: Confirmed Deployed Date was blank while Status Flag = Delivered (Current Status = RELEASED IN PROD). No DPO Approval date was on record either, so this was filled with this report's QA Actual Completion Date (04/10/2026) as the closest known real date. Please review/adjust if the real deployment date was different.</t>
      </text>
    </comment>
    <comment ref="N5" authorId="0" shapeId="0">
      <text>
        <t>Backfilled by Beza on 2026-07-24: DB Dev Expected Completion Date was blank while DB Dev Actual Completion Date was already filled in (04/03/2026). Filled with that same date so this stage has a target date on record. Please review/adjust if the real target date was different.</t>
      </text>
    </comment>
    <comment ref="Q5" authorId="0" shapeId="0">
      <text>
        <t>Backfilled by Beza on 2026-07-24: PBI Dev Expected Completion Date was blank while PBI Dev Actual Completion Date was already filled in (04/14/2026). Filled with that same date so this stage has a target date on record. Please review/adjust if the real target date was different.</t>
      </text>
    </comment>
    <comment ref="T5" authorId="0" shapeId="0">
      <text>
        <t>Backfilled by Beza on 2026-07-24: QA Expected Completion Date was blank while QA Actual Completion Date was already filled in (04/10/2026). Filled with that same date so this stage has a target date on record. Please review/adjust if the real target date was different.</t>
      </text>
    </comment>
    <comment ref="Z5" authorId="0" shapeId="0">
      <text>
        <t>Backfilled by Beza on 2026-07-24: Confirmed Deployed Date was blank while Confirmed Deployed? = Yes. No DPO Approval date was on record either, so this was filled with this report's QA Actual Completion Date (04/10/2026) as the closest known real date, since it was the last recorded actual event before deployment. Please review/adjust if the real deployment date was different.</t>
      </text>
    </comment>
    <comment ref="N6" authorId="0" shapeId="0">
      <text>
        <t>Backfilled by Beza on 2026-07-24: DB Dev Expected Completion Date was blank while DB Dev Actual Completion Date was already filled in (04/03/2026). Filled with that same date so this stage has a target date on record. Please review/adjust if the real target date was different.</t>
      </text>
    </comment>
    <comment ref="Q6" authorId="0" shapeId="0">
      <text>
        <t>Backfilled by Beza on 2026-07-24: PBI Dev Expected Completion Date was blank while PBI Dev Actual Completion Date was already filled in (04/08/2026). Filled with that same date so this stage has a target date on record. Please review/adjust if the real target date was different.</t>
      </text>
    </comment>
    <comment ref="T6" authorId="0" shapeId="0">
      <text>
        <t>Backfilled by Beza on 2026-07-24: QA Expected Completion Date was blank while QA Actual Completion Date was already filled in (04/10/2026). Filled with that same date so this stage has a target date on record. Please review/adjust if the real target date was different.</t>
      </text>
    </comment>
    <comment ref="Z6" authorId="0" shapeId="0">
      <text>
        <t>Backfilled by Beza on 2026-07-24: Confirmed Deployed Date was blank while Confirmed Deployed? = Yes. No DPO Approval date was on record either, so this was filled with this report's QA Actual Completion Date (04/10/2026) as the closest known real date, since it was the last recorded actual event before deployment. Please review/adjust if the real deployment date was different.</t>
      </text>
    </comment>
    <comment ref="N7" authorId="0" shapeId="0">
      <text>
        <t>Backfilled by Beza on 2026-07-24: DB Dev Expected Completion Date was blank while DB Dev Actual Completion Date was already filled in (04/03/2026). Filled with that same date so this stage has a target date on record. Please review/adjust if the real target date was different.</t>
      </text>
    </comment>
    <comment ref="Q7" authorId="0" shapeId="0">
      <text>
        <t>Backfilled by Beza on 2026-07-24: PBI Dev Expected Completion Date was blank while PBI Dev Actual Completion Date was already filled in (04/14/2026). Filled with that same date so this stage has a target date on record. Please review/adjust if the real target date was different.</t>
      </text>
    </comment>
    <comment ref="T7" authorId="0" shapeId="0">
      <text>
        <t>Backfilled by Beza on 2026-07-24: QA Expected Completion Date was blank while QA Actual Completion Date was already filled in (04/10/2026). Filled with that same date so this stage has a target date on record. Please review/adjust if the real target date was different.</t>
      </text>
    </comment>
    <comment ref="Z7" authorId="0" shapeId="0">
      <text>
        <t>Backfilled by Beza on 2026-07-24: Confirmed Deployed Date was blank while Confirmed Deployed? = Yes. No DPO Approval date was on record either, so this was filled with this report's QA Actual Completion Date (04/10/2026) as the closest known real date, since it was the last recorded actual event before deployment. Please review/adjust if the real deployment date was different.</t>
      </text>
    </comment>
    <comment ref="N8" authorId="0" shapeId="0">
      <text>
        <t>Backfilled by Beza on 2026-07-24: DB Dev Expected Completion Date was blank while DB Dev Actual Completion Date was already filled in (04/10/2026). Filled with that same date so this stage has a target date on record. Please review/adjust if the real target date was different.</t>
      </text>
    </comment>
    <comment ref="Q8" authorId="0" shapeId="0">
      <text>
        <t>Backfilled by Beza on 2026-07-24: PBI Dev Expected Completion Date was blank while PBI Dev Actual Completion Date was already filled in (04/14/2026). Filled with that same date so this stage has a target date on record. Please review/adjust if the real target date was different.</t>
      </text>
    </comment>
    <comment ref="T8" authorId="0" shapeId="0">
      <text>
        <t>Backfilled by Beza on 2026-07-24: QA Expected Completion Date was blank while QA Actual Completion Date was already filled in (04/10/2026). Filled with that same date so this stage has a target date on record. Please review/adjust if the real target date was different.</t>
      </text>
    </comment>
    <comment ref="Z8" authorId="0" shapeId="0">
      <text>
        <t>Backfilled by Beza on 2026-07-24: Confirmed Deployed Date was blank while Confirmed Deployed? = Yes. No DPO Approval date was on record either, so this was filled with this report's QA Actual Completion Date (04/10/2026) as the closest known real date, since it was the last recorded actual event before deployment. Please review/adjust if the real deployment date was different.</t>
      </text>
    </comment>
    <comment ref="N9" authorId="0" shapeId="0">
      <text>
        <t>Backfilled by Beza on 2026-07-24: DB Dev Expected Completion Date was blank while DB Dev Actual Completion Date was already filled in (04/10/2026). Filled with that same date so this stage has a target date on record. Please review/adjust if the real target date was different.</t>
      </text>
    </comment>
    <comment ref="Q9" authorId="0" shapeId="0">
      <text>
        <t>Backfilled by Beza on 2026-07-24: PBI Dev Expected Completion Date was blank while PBI Dev Actual Completion Date was already filled in (04/14/2026). Filled with that same date so this stage has a target date on record. Please review/adjust if the real target date was different.</t>
      </text>
    </comment>
    <comment ref="T9" authorId="0" shapeId="0">
      <text>
        <t>Backfilled by Beza on 2026-07-24: QA Expected Completion Date was blank while QA Actual Completion Date was already filled in (04/10/2026). Filled with that same date so this stage has a target date on record. Please review/adjust if the real target date was different.</t>
      </text>
    </comment>
    <comment ref="Z9" authorId="0" shapeId="0">
      <text>
        <t>Backfilled by Beza on 2026-07-24: Confirmed Deployed Date was blank while Confirmed Deployed? = Yes. No DPO Approval date was on record either, so this was filled with this report's QA Actual Completion Date (04/10/2026) as the closest known real date, since it was the last recorded actual event before deployment. Please review/adjust if the real deployment date was different.</t>
      </text>
    </comment>
    <comment ref="N10" authorId="0" shapeId="0">
      <text>
        <t>Backfilled by Beza on 2026-07-24: DB Dev Expected Completion Date was blank while DB Dev Actual Completion Date was already filled in (04/15/2026). Filled with that same date so this stage has a target date on record. Please review/adjust if the real target date was different.</t>
      </text>
    </comment>
    <comment ref="Q10" authorId="0" shapeId="0">
      <text>
        <t>Backfilled by Beza on 2026-07-24: PBI Dev Expected Completion Date was blank while PBI Dev Actual Completion Date was already filled in (04/14/2026). Filled with that same date so this stage has a target date on record. Please review/adjust if the real target date was different.</t>
      </text>
    </comment>
    <comment ref="T10" authorId="0" shapeId="0">
      <text>
        <t>Backfilled by Beza on 2026-07-24: QA Expected Completion Date was blank while QA Actual Completion Date was already filled in (04/10/2026). Filled with that same date so this stage has a target date on record. Please review/adjust if the real target date was different.</t>
      </text>
    </comment>
    <comment ref="Z10" authorId="0" shapeId="0">
      <text>
        <t>Backfilled by Beza on 2026-07-24: Confirmed Deployed Date was blank while Confirmed Deployed? = Yes. No DPO Approval date was on record either, so this was filled with this report's QA Actual Completion Date (04/10/2026) as the closest known real date, since it was the last recorded actual event before deployment. Please review/adjust if the real deployment date was different.</t>
      </text>
    </comment>
    <comment ref="Q11" authorId="0" shapeId="0">
      <text>
        <t>Backfilled by Beza on 2026-07-24: PBI Dev Expected Completion Date was blank while PBI Dev Actual Completion Date was already filled in (04/27/2026). Filled with that same date so this stage has a target date on record. Please review/adjust if the real target date was different.</t>
      </text>
    </comment>
    <comment ref="T11" authorId="0" shapeId="0">
      <text>
        <t>Backfilled by Beza on 2026-07-24: QA Expected Completion Date was blank while QA Actual Completion Date was already filled in (04/27/2026). Filled with that same date so this stage has a target date on record. Please review/adjust if the real target date was different.</t>
      </text>
    </comment>
    <comment ref="Z11" authorId="0" shapeId="0">
      <text>
        <t>Backfilled by Beza on 2026-07-24: Confirmed Deployed Date was blank while Confirmed Deployed? = Yes. No DPO Approval date was on record either, so this was filled with this report's QA Actual Completion Date (04/27/2026) as the closest known real date, since it was the last recorded actual event before deployment. Please review/adjust if the real deployment date was different.</t>
      </text>
    </comment>
    <comment ref="Q12" authorId="0" shapeId="0">
      <text>
        <t>Backfilled by Beza on 2026-07-24: PBI Dev Expected Completion Date was blank while PBI Dev Actual Completion Date was already filled in (04/29/2026). Filled with that same date so this stage has a target date on record. Please review/adjust if the real target date was different.</t>
      </text>
    </comment>
    <comment ref="T12" authorId="0" shapeId="0">
      <text>
        <t>Backfilled by Beza on 2026-07-24: QA Expected Completion Date was blank while QA Actual Completion Date was already filled in (04/29/2026). Filled with that same date so this stage has a target date on record. Please review/adjust if the real target date was different.</t>
      </text>
    </comment>
    <comment ref="Z12" authorId="0" shapeId="0">
      <text>
        <t>Backfilled by Beza on 2026-07-24: Confirmed Deployed Date was blank while Confirmed Deployed? = Yes. No DPO Approval date was on record either, so this was filled with this report's QA Actual Completion Date (04/29/2026) as the closest known real date, since it was the last recorded actual event before deployment. Please review/adjust if the real deployment date was different.</t>
      </text>
    </comment>
    <comment ref="Q13" authorId="0" shapeId="0">
      <text>
        <t>Backfilled by Beza on 2026-07-24: PBI Dev Expected Completion Date was blank while PBI Dev Actual Completion Date was already filled in (05/19/2026). Filled with that same date so this stage has a target date on record. Please review/adjust if the real target date was different.</t>
      </text>
    </comment>
    <comment ref="T13" authorId="0" shapeId="0">
      <text>
        <t>Backfilled by Beza on 2026-07-24: QA Expected Completion Date was blank while QA Actual Completion Date was already filled in (05/19/2026). Filled with that same date so this stage has a target date on record. Please review/adjust if the real target date was different.</t>
      </text>
    </comment>
    <comment ref="Z13" authorId="0" shapeId="0">
      <text>
        <t>Backfilled by Beza on 2026-07-24: Confirmed Deployed Date was blank while Confirmed Deployed? = Yes. No DPO Approval date was on record either, so this was filled with this report's QA Actual Completion Date (05/19/2026) as the closest known real date, since it was the last recorded actual event before deployment. Please review/adjust if the real deployment date was different.</t>
      </text>
    </comment>
    <comment ref="Q14" authorId="0" shapeId="0">
      <text>
        <t>Backfilled by Beza on 2026-07-24: PBI Dev Expected Completion Date was blank while PBI Dev Actual Completion Date was already filled in (06/02/2026). Filled with that same date so this stage has a target date on record. Please review/adjust if the real target date was different.</t>
      </text>
    </comment>
    <comment ref="T14" authorId="0" shapeId="0">
      <text>
        <t>Backfilled by Beza on 2026-07-24: QA Expected Completion Date was blank while QA Actual Completion Date was already filled in (06/02/2026). Filled with that same date so this stage has a target date on record. Please review/adjust if the real target date was different.</t>
      </text>
    </comment>
    <comment ref="W14" authorId="0" shapeId="0">
      <text>
        <t>Backfilled by Beza on 2026-07-24: DPO Approval Expected Completion Date was blank while Confirmed Deployed Date was already filled in (06/11/2026). Filled with that same date so this stage has a target date on record. Please review/adjust if the real target date was different.</t>
      </text>
    </comment>
    <comment ref="Q15" authorId="0" shapeId="0">
      <text>
        <t>Backfilled by Beza on 2026-07-24: PBI Dev Expected Completion Date was blank while PBI Dev Actual Completion Date was already filled in (04/22/2026). Filled with that same date so this stage has a target date on record. Please review/adjust if the real target date was different.</t>
      </text>
    </comment>
    <comment ref="T15" authorId="0" shapeId="0">
      <text>
        <t>Backfilled by Beza on 2026-07-24: QA Expected Completion Date was blank while QA Actual Completion Date was already filled in (04/22/2026). Filled with that same date so this stage has a target date on record. Please review/adjust if the real target date was different.</t>
      </text>
    </comment>
    <comment ref="Z15" authorId="0" shapeId="0">
      <text>
        <t>Backfilled by Beza on 2026-07-24: Confirmed Deployed Date was blank while Confirmed Deployed? = Yes. No DPO Approval date was on record either, so this was filled with this report's QA Actual Completion Date (04/22/2026) as the closest known real date, since it was the last recorded actual event before deployment. Please review/adjust if the real deployment date was different.</t>
      </text>
    </comment>
    <comment ref="Q16" authorId="0" shapeId="0">
      <text>
        <t>Backfilled by Beza on 2026-07-24: PBI Dev Expected Completion Date was blank while PBI Dev Actual Completion Date was already filled in (04/27/2026). Filled with that same date so this stage has a target date on record. Please review/adjust if the real target date was different.</t>
      </text>
    </comment>
    <comment ref="T16" authorId="0" shapeId="0">
      <text>
        <t>Backfilled by Beza on 2026-07-24: QA Expected Completion Date was blank while QA Actual Completion Date was already filled in (04/27/2026). Filled with that same date so this stage has a target date on record. Please review/adjust if the real target date was different.</t>
      </text>
    </comment>
    <comment ref="Z16" authorId="0" shapeId="0">
      <text>
        <t>Backfilled by Beza on 2026-07-24: Confirmed Deployed Date was blank while Confirmed Deployed? = Yes. No DPO Approval date was on record either, so this was filled with this report's QA Actual Completion Date (04/27/2026) as the closest known real date, since it was the last recorded actual event before deployment. Please review/adjust if the real deployment date was different.</t>
      </text>
    </comment>
    <comment ref="Q17" authorId="0" shapeId="0">
      <text>
        <t>Backfilled by Beza on 2026-07-24: PBI Dev Expected Completion Date was blank while PBI Dev Actual Completion Date was already filled in (05/05/2026). Filled with that same date so this stage has a target date on record. Please review/adjust if the real target date was different.</t>
      </text>
    </comment>
    <comment ref="T17" authorId="0" shapeId="0">
      <text>
        <t>Backfilled by Beza on 2026-07-24: QA Expected Completion Date was blank while QA Actual Completion Date was already filled in (05/05/2026). Filled with that same date so this stage has a target date on record. Please review/adjust if the real target date was different.</t>
      </text>
    </comment>
    <comment ref="Z17" authorId="0" shapeId="0">
      <text>
        <t>Backfilled by Beza on 2026-07-24: Confirmed Deployed Date was blank while Confirmed Deployed? = Yes. No DPO Approval date was on record either, so this was filled with this report's QA Actual Completion Date (05/05/2026) as the closest known real date, since it was the last recorded actual event before deployment. Please review/adjust if the real deployment date was different.</t>
      </text>
    </comment>
    <comment ref="Q18" authorId="0" shapeId="0">
      <text>
        <t>Backfilled by Beza on 2026-07-24: PBI Dev Expected Completion Date was blank while PBI Dev Actual Completion Date was already filled in (06/02/2026). Filled with that same date so this stage has a target date on record. Please review/adjust if the real target date was different.</t>
      </text>
    </comment>
    <comment ref="T18" authorId="0" shapeId="0">
      <text>
        <t>Backfilled by Beza on 2026-07-24: QA Expected Completion Date was blank while QA Actual Completion Date was already filled in (06/06/2026). Filled with that same date so this stage has a target date on record. Please review/adjust if the real target date was different.</t>
      </text>
    </comment>
    <comment ref="Y18" authorId="0" shapeId="0">
      <text>
        <t>Backfilled by Beza on 2026-07-24: Confirmed Deployed? was blank while Status Flag = Delivered (Current Status = RELEASED IN PROD), so this was set to Yes to match.</t>
      </text>
    </comment>
    <comment ref="Z18" authorId="0" shapeId="0">
      <text>
        <t>Backfilled by Beza on 2026-07-24: Confirmed Deployed Date was blank while Status Flag = Delivered (Current Status = RELEASED IN PROD). No DPO Approval date was on record either, so this was filled with this report's QA Actual Completion Date (06/06/2026) as the closest known real date. Please review/adjust if the real deployment date was different.</t>
      </text>
    </comment>
    <comment ref="Q19" authorId="0" shapeId="0">
      <text>
        <t>Backfilled by Beza on 2026-07-24: PBI Dev Expected Completion Date was blank while PBI Dev Actual Completion Date was already filled in (05/01/2026). Filled with that same date so this stage has a target date on record. Please review/adjust if the real target date was different.</t>
      </text>
    </comment>
    <comment ref="T19" authorId="0" shapeId="0">
      <text>
        <t>Backfilled by Beza on 2026-07-24: QA Expected Completion Date was blank while QA Actual Completion Date was already filled in (06/02/2026). Filled with that same date so this stage has a target date on record. Please review/adjust if the real target date was different.</t>
      </text>
    </comment>
    <comment ref="W19" authorId="0" shapeId="0">
      <text>
        <t>Backfilled by Beza on 2026-07-24: DPO Approval Expected Completion Date was blank while Confirmed Deployed Date was already filled in (06/11/2026). Filled with that same date so this stage has a target date on record. Please review/adjust if the real target date was different.</t>
      </text>
    </comment>
    <comment ref="N20" authorId="0" shapeId="0">
      <text>
        <t>Backfilled by Beza on 2026-07-24: DB Dev Expected Completion Date was blank while DB Dev Actual Completion Date was already filled in (06/02/2026). Filled with that same date so this stage has a target date on record. Please review/adjust if the real target date was different.</t>
      </text>
    </comment>
    <comment ref="Q20" authorId="0" shapeId="0">
      <text>
        <t>Backfilled by Beza on 2026-07-24: PBI Dev Expected Completion Date was blank while PBI Dev Actual Completion Date was already filled in (06/05/2026). Filled with that same date so this stage has a target date on record. Please review/adjust if the real target date was different.</t>
      </text>
    </comment>
    <comment ref="T20" authorId="0" shapeId="0">
      <text>
        <t>Backfilled by Beza on 2026-07-24: QA Expected Completion Date was blank while QA Actual Completion Date was already filled in (06/02/2026). Filled with that same date so this stage has a target date on record. Please review/adjust if the real target date was different.</t>
      </text>
    </comment>
    <comment ref="W20" authorId="0" shapeId="0">
      <text>
        <t>Backfilled by Beza on 2026-07-24: DPO Approval Expected Completion Date was blank while Confirmed Deployed Date was already filled in (06/19/2026). Filled with that same date so this stage has a target date on record. Please review/adjust if the real target date was different.</t>
      </text>
    </comment>
    <comment ref="N21" authorId="0" shapeId="0">
      <text>
        <t>Backfilled by Beza on 2026-07-24: DB Dev Expected Completion Date was blank while DB Dev Actual Completion Date was already filled in (05/06/2026). Filled with that same date so this stage has a target date on record. Please review/adjust if the real target date was different.</t>
      </text>
    </comment>
    <comment ref="Q21" authorId="0" shapeId="0">
      <text>
        <t>Backfilled by Beza on 2026-07-24: PBI Dev Expected Completion Date was blank while PBI Dev Actual Completion Date was already filled in (06/10/2026). Filled with that same date so this stage has a target date on record. Please review/adjust if the real target date was different.</t>
      </text>
    </comment>
    <comment ref="T21" authorId="0" shapeId="0">
      <text>
        <t>Backfilled by Beza on 2026-07-24: QA Expected Completion Date was blank while QA Actual Completion Date was already filled in (06/22/2026). Filled with that same date so this stage has a target date on record. Please review/adjust if the real target date was different.</t>
      </text>
    </comment>
    <comment ref="Y21" authorId="0" shapeId="0">
      <text>
        <t>Backfilled by Beza on 2026-07-24: Confirmed Deployed? was blank while Status Flag = Delivered (Current Status = RELEASED IN PROD), so this was set to Yes to match.</t>
      </text>
    </comment>
    <comment ref="Z21" authorId="0" shapeId="0">
      <text>
        <t>Backfilled by Beza on 2026-07-24: Confirmed Deployed Date was blank while Status Flag = Delivered (Current Status = RELEASED IN PROD). No DPO Approval date was on record either, so this was filled with this report's QA Actual Completion Date (06/22/2026) as the closest known real date. Please review/adjust if the real deployment date was different.</t>
      </text>
    </comment>
    <comment ref="N22" authorId="0" shapeId="0">
      <text>
        <t>Backfilled by Beza on 2026-07-24: DB Dev Expected Completion Date was blank while DB Dev Actual Completion Date was already filled in (05/20/2026). Filled with that same date so this stage has a target date on record. Please review/adjust if the real target date was different.</t>
      </text>
    </comment>
    <comment ref="Q22" authorId="0" shapeId="0">
      <text>
        <t>Backfilled by Beza on 2026-07-24: PBI Dev Expected Completion Date was blank while PBI Dev Actual Completion Date was already filled in (06/09/2026). Filled with that same date so this stage has a target date on record. Please review/adjust if the real target date was different.</t>
      </text>
    </comment>
    <comment ref="T22" authorId="0" shapeId="0">
      <text>
        <t>Backfilled by Beza on 2026-07-24: QA Expected Completion Date was blank while QA Actual Completion Date was already filled in (06/25/2026). Filled with that same date so this stage has a target date on record. Please review/adjust if the real target date was different.</t>
      </text>
    </comment>
    <comment ref="Y22" authorId="0" shapeId="0">
      <text>
        <t>Backfilled by Beza on 2026-07-24: Confirmed Deployed? was blank while Status Flag = Delivered (Current Status = RELEASED IN PROD), so this was set to Yes to match.</t>
      </text>
    </comment>
    <comment ref="Z22" authorId="0" shapeId="0">
      <text>
        <t>Backfilled by Beza on 2026-07-24: Confirmed Deployed Date was blank while Status Flag = Delivered (Current Status = RELEASED IN PROD). No DPO Approval date was on record either, so this was filled with this report's QA Actual Completion Date (06/25/2026) as the closest known real date. Please review/adjust if the real deployment date was different.</t>
      </text>
    </comment>
    <comment ref="N23" authorId="0" shapeId="0">
      <text>
        <t>Backfilled by Beza on 2026-07-24: DB Dev Expected Completion Date was blank while DB Dev Actual Completion Date was already filled in (05/26/2026). Filled with that same date so this stage has a target date on record. Please review/adjust if the real target date was different.</t>
      </text>
    </comment>
    <comment ref="Q23" authorId="0" shapeId="0">
      <text>
        <t>Backfilled by Beza on 2026-07-24: PBI Dev Expected Completion Date was blank while PBI Dev Actual Completion Date was already filled in (06/10/2026). Filled with that same date so this stage has a target date on record. Please review/adjust if the real target date was different.</t>
      </text>
    </comment>
    <comment ref="T23" authorId="0" shapeId="0">
      <text>
        <t>Backfilled by Beza on 2026-07-24: QA Expected Completion Date was blank while QA Actual Completion Date was already filled in (06/25/2026). Filled with that same date so this stage has a target date on record. Please review/adjust if the real target date was different.</t>
      </text>
    </comment>
    <comment ref="Y23" authorId="0" shapeId="0">
      <text>
        <t>Backfilled by Beza on 2026-07-24: Confirmed Deployed? was blank while Status Flag = Delivered (Current Status = RELEASED IN PROD), so this was set to Yes to match.</t>
      </text>
    </comment>
    <comment ref="Z23" authorId="0" shapeId="0">
      <text>
        <t>Backfilled by Beza on 2026-07-24: Confirmed Deployed Date was blank while Status Flag = Delivered (Current Status = RELEASED IN PROD). No DPO Approval date was on record either, so this was filled with this report's QA Actual Completion Date (06/25/2026) as the closest known real date. Please review/adjust if the real deployment date was different.</t>
      </text>
    </comment>
    <comment ref="N24" authorId="0" shapeId="0">
      <text>
        <t>Backfilled by Beza on 2026-07-24: DB Dev Expected Completion Date was blank while DB Dev Actual Completion Date was already filled in (05/23/2026). Filled with that same date so this stage has a target date on record. Please review/adjust if the real target date was different.</t>
      </text>
    </comment>
    <comment ref="Q24" authorId="0" shapeId="0">
      <text>
        <t>Backfilled by Beza on 2026-07-24: PBI Dev Expected Completion Date was blank while PBI Dev Actual Completion Date was already filled in (05/11/2026). Filled with that same date so this stage has a target date on record. Please review/adjust if the real target date was different.</t>
      </text>
    </comment>
    <comment ref="T24" authorId="0" shapeId="0">
      <text>
        <t>Backfilled by Beza on 2026-07-24: QA Expected Completion Date was blank while QA Actual Completion Date was already filled in (05/12/2026). Filled with that same date so this stage has a target date on record. Please review/adjust if the real target date was different.</t>
      </text>
    </comment>
    <comment ref="W24" authorId="0" shapeId="0">
      <text>
        <t>Backfilled by Beza on 2026-07-24: DPO Approval Expected Completion Date was blank while Confirmed Deployed Date was already filled in (06/11/2026). Filled with that same date so this stage has a target date on record. Please review/adjust if the real target date was different.</t>
      </text>
    </comment>
    <comment ref="N25" authorId="0" shapeId="0">
      <text>
        <t>Backfilled by Beza on 2026-07-24: DB Dev Expected Completion Date was blank while DB Dev Actual Completion Date was already filled in (05/20/2026). Filled with that same date so this stage has a target date on record. Please review/adjust if the real target date was different.</t>
      </text>
    </comment>
    <comment ref="Q25" authorId="0" shapeId="0">
      <text>
        <t>Backfilled by Beza on 2026-07-24: PBI Dev Expected Completion Date was blank while PBI Dev Actual Completion Date was already filled in (06/13/2026). Filled with that same date so this stage has a target date on record. Please review/adjust if the real target date was different.</t>
      </text>
    </comment>
    <comment ref="N26" authorId="0" shapeId="0">
      <text>
        <t>Backfilled by Beza on 2026-07-24: DB Dev Expected Completion Date was blank while DB Dev Actual Completion Date was already filled in (05/20/2026). Filled with that same date so this stage has a target date on record. Please review/adjust if the real target date was different.</t>
      </text>
    </comment>
    <comment ref="Q26" authorId="0" shapeId="0">
      <text>
        <t>Backfilled by Beza on 2026-07-24: PBI Dev Expected Completion Date was blank while PBI Dev Actual Completion Date was already filled in (05/22/2026). Filled with that same date so this stage has a target date on record. Please review/adjust if the real target date was different.</t>
      </text>
    </comment>
    <comment ref="T26" authorId="0" shapeId="0">
      <text>
        <t>Backfilled by Beza on 2026-07-24: QA Expected Completion Date was blank while QA Actual Completion Date was already filled in (07/01/2026). Filled with that same date so this stage has a target date on record. Please review/adjust if the real target date was different.</t>
      </text>
    </comment>
    <comment ref="Y26" authorId="0" shapeId="0">
      <text>
        <t>Backfilled by Beza on 2026-07-24: Confirmed Deployed? was blank while Status Flag = Delivered (Current Status = RELEASED IN PROD), so this was set to Yes to match.</t>
      </text>
    </comment>
    <comment ref="Z26" authorId="0" shapeId="0">
      <text>
        <t>Backfilled by Beza on 2026-07-24: Confirmed Deployed Date was blank while Status Flag = Delivered (Current Status = RELEASED IN PROD). No DPO Approval date was on record either, so this was filled with this report's QA Actual Completion Date (07/01/2026) as the closest known real date. Please review/adjust if the real deployment date was different.</t>
      </text>
    </comment>
    <comment ref="N27" authorId="0" shapeId="0">
      <text>
        <t>Backfilled by Beza on 2026-07-24: DB Dev Expected Completion Date was blank while DB Dev Actual Completion Date was already filled in (05/27/2026). Filled with that same date so this stage has a target date on record. Please review/adjust if the real target date was different.</t>
      </text>
    </comment>
    <comment ref="Q27" authorId="0" shapeId="0">
      <text>
        <t>Backfilled by Beza on 2026-07-24: PBI Dev Expected Completion Date was blank while PBI Dev Actual Completion Date was already filled in (06/18/2026). Filled with that same date so this stage has a target date on record. Please review/adjust if the real target date was different.</t>
      </text>
    </comment>
    <comment ref="T27" authorId="0" shapeId="0">
      <text>
        <t>Backfilled by Beza on 2026-07-24: QA Expected Completion Date was blank while QA Actual Completion Date was already filled in (06/23/2026). Filled with that same date so this stage has a target date on record. Please review/adjust if the real target date was different.</t>
      </text>
    </comment>
    <comment ref="Y27" authorId="0" shapeId="0">
      <text>
        <t>Backfilled by Beza on 2026-07-24: Confirmed Deployed? was blank while Status Flag = Delivered (Current Status = RELEASED IN PROD), so this was set to Yes to match.</t>
      </text>
    </comment>
    <comment ref="Z27" authorId="0" shapeId="0">
      <text>
        <t>Backfilled by Beza on 2026-07-24: Confirmed Deployed Date was blank while Status Flag = Delivered (Current Status = RELEASED IN PROD). No DPO Approval date was on record either, so this was filled with this report's QA Actual Completion Date (06/23/2026) as the closest known real date. Please review/adjust if the real deployment date was different.</t>
      </text>
    </comment>
    <comment ref="N28" authorId="0" shapeId="0">
      <text>
        <t>Backfilled by Beza on 2026-07-24: DB Dev Expected Completion Date was blank while DB Dev Actual Completion Date was already filled in (05/26/2026). Filled with that same date so this stage has a target date on record. Please review/adjust if the real target date was different.</t>
      </text>
    </comment>
    <comment ref="Q28" authorId="0" shapeId="0">
      <text>
        <t>Backfilled by Beza on 2026-07-24: PBI Dev Expected Completion Date was blank while PBI Dev Actual Completion Date was already filled in (06/16/2026). Filled with that same date so this stage has a target date on record. Please review/adjust if the real target date was different.</t>
      </text>
    </comment>
    <comment ref="T28" authorId="0" shapeId="0">
      <text>
        <t>Backfilled by Beza on 2026-07-24: QA Expected Completion Date was blank while QA Actual Completion Date was already filled in (06/16/2026). Filled with that same date so this stage has a target date on record. Please review/adjust if the real target date was different.</t>
      </text>
    </comment>
    <comment ref="W28" authorId="0" shapeId="0">
      <text>
        <t>Backfilled by Beza on 2026-07-24: DPO Approval Expected Completion Date was blank while Confirmed Deployed Date was already filled in (06/19/2026). Filled with that same date so this stage has a target date on record. Please review/adjust if the real target date was different.</t>
      </text>
    </comment>
    <comment ref="N29" authorId="0" shapeId="0">
      <text>
        <t>Backfilled by Beza on 2026-07-24: DB Dev Expected Completion Date was blank while DB Dev Actual Completion Date was already filled in (05/27/2026). Filled with that same date so this stage has a target date on record. Please review/adjust if the real target date was different.</t>
      </text>
    </comment>
    <comment ref="Q29" authorId="0" shapeId="0">
      <text>
        <t>Backfilled by Beza on 2026-07-24: PBI Dev Expected Completion Date was blank while PBI Dev Actual Completion Date was already filled in (06/22/2026). Filled with that same date so this stage has a target date on record. Please review/adjust if the real target date was different.</t>
      </text>
    </comment>
    <comment ref="T29" authorId="0" shapeId="0">
      <text>
        <t>Backfilled by Beza on 2026-07-24: QA Expected Completion Date was blank while QA Actual Completion Date was already filled in (06/24/2026). Filled with that same date so this stage has a target date on record. Please review/adjust if the real target date was different.</t>
      </text>
    </comment>
    <comment ref="Y29" authorId="0" shapeId="0">
      <text>
        <t>Backfilled by Beza on 2026-07-24: Confirmed Deployed? was blank while Status Flag = Delivered (Current Status = RELEASED IN PROD), so this was set to Yes to match.</t>
      </text>
    </comment>
    <comment ref="Z29" authorId="0" shapeId="0">
      <text>
        <t>Backfilled by Beza on 2026-07-24: Confirmed Deployed Date was blank while Status Flag = Delivered (Current Status = RELEASED IN PROD). No DPO Approval date was on record either, so this was filled with this report's QA Actual Completion Date (06/24/2026) as the closest known real date. Please review/adjust if the real deployment date was different.</t>
      </text>
    </comment>
    <comment ref="T30" authorId="0" shapeId="0">
      <text>
        <t>Backfilled by Beza on 2026-07-24: QA Expected Completion Date was blank while QA Actual Completion Date was already filled in (07/24/2026). Filled with that same date so this stage has a target date on record. Please review/adjust if the real target date was different.</t>
      </text>
    </comment>
    <comment ref="T31" authorId="0" shapeId="0">
      <text>
        <t>Backfilled by Beza on 2026-07-24: QA Expected Completion Date was blank while QA Actual Completion Date was already filled in (07/24/2026). Filled with that same date so this stage has a target date on record. Please review/adjust if the real target date was different.</t>
      </text>
    </comment>
    <comment ref="T34" authorId="0" shapeId="0">
      <text>
        <t>Backfilled by Beza on 2026-07-24: QA Expected Completion Date was blank while QA Actual Completion Date was already filled in (07/22/2026). Filled with that same date so this stage has a target date on record. Please review/adjust if the real target date was different.</t>
      </text>
    </comment>
    <comment ref="T35" authorId="0" shapeId="0">
      <text>
        <t>Backfilled by Beza on 2026-07-24: QA Expected Completion Date was blank while QA Actual Completion Date was already filled in (07/22/2026). Filled with that same date so this stage has a target date on record. Please review/adjust if the real target date was different.</t>
      </text>
    </comment>
    <comment ref="T36" authorId="0" shapeId="0">
      <text>
        <t>Backfilled by Beza on 2026-07-24: QA Expected Completion Date was blank while QA Actual Completion Date was already filled in (07/22/2026). Filled with that same date so this stage has a target date on record. Please review/adjust if the real target date was different.</t>
      </text>
    </comment>
  </commentList>
</comments>
</file>

<file path=xl/comments/comment2.xml><?xml version="1.0" encoding="utf-8"?>
<comments xmlns="http://schemas.openxmlformats.org/spreadsheetml/2006/main">
  <authors>
    <author>Unknown Author</author>
  </authors>
  <commentList>
    <comment ref="A1" authorId="0" shapeId="0">
      <text>
        <t>This list feeds the dropdown on Combined Delivery Data, column A (Domain).
Add, remove, or rename values here and the dropdown updates automatically.</t>
      </text>
    </comment>
    <comment ref="B1" authorId="0" shapeId="0">
      <text>
        <t>This list feeds the dropdown on Combined Delivery Data, column F (DB Developer).
Add, remove, or rename values here and the dropdown updates automatically.</t>
      </text>
    </comment>
    <comment ref="C1" authorId="0" shapeId="0">
      <text>
        <t>This list feeds the dropdown on Combined Delivery Data, column G (PBI Developer).
Add, remove, or rename values here and the dropdown updates automatically.</t>
      </text>
    </comment>
    <comment ref="D1" authorId="0" shapeId="0">
      <text>
        <t>This list feeds the dropdown on Combined Delivery Data, column E (PO).
Add, remove, or rename values here and the dropdown updates automatically.</t>
      </text>
    </comment>
    <comment ref="E1" authorId="0" shapeId="0">
      <text>
        <t>This list feeds the dropdown on Combined Delivery Data, column Z (Blocked?).
Add, remove, or rename values here and the dropdown updates automatically.</t>
      </text>
    </comment>
    <comment ref="F1" authorId="0" shapeId="0">
      <text>
        <t>This list feeds the dropdown on Combined Delivery Data, column C (Current Status).
Add, remove, or rename values here and the dropdown updates automatically.</t>
      </text>
    </comment>
  </commentList>
</comments>
</file>

<file path=xl/tables/table1.xml><?xml version="1.0" encoding="utf-8"?>
<table xmlns="http://schemas.openxmlformats.org/spreadsheetml/2006/main" id="1" name="CombinedDeliveryData" displayName="CombinedDeliveryData" ref="A1:AM73" headerRowCount="1">
  <tableColumns count="39">
    <tableColumn id="1" name="Domain"/>
    <tableColumn id="2" name="Report Name"/>
    <tableColumn id="3" name="Current Status"/>
    <tableColumn id="4" name="Status Flag"/>
    <tableColumn id="5" name="Business Value Rank"/>
    <tableColumn id="6" name="PO"/>
    <tableColumn id="7" name="DB Developer"/>
    <tableColumn id="8" name="PBI Developer"/>
    <tableColumn id="9" name="QA Tester"/>
    <tableColumn id="10" name="Schema"/>
    <tableColumn id="11" name="Plan Delivery Date"/>
    <tableColumn id="12" name="Plan Delivery Month"/>
    <tableColumn id="13" name="DB Dev Status Assigned Date"/>
    <tableColumn id="14" name="DB Dev Expected Completion Date"/>
    <tableColumn id="15" name="DB Dev Estimated Completion Date"/>
    <tableColumn id="16" name="DB Dev Actual Completion Date"/>
    <tableColumn id="17" name="PBI Dev Expected Completion Date"/>
    <tableColumn id="18" name="PBI Dev Estimated Completion Date"/>
    <tableColumn id="19" name="PBI Dev Actual Completion Date"/>
    <tableColumn id="20" name="QA Expected Completion Date"/>
    <tableColumn id="21" name="QA Estimated Completion Date"/>
    <tableColumn id="22" name="QA Actual Completion Date"/>
    <tableColumn id="23" name="DPO Approval Expected Completion Date"/>
    <tableColumn id="24" name="DPO Approval Reviewer"/>
    <tableColumn id="25" name="Confirmed Deployed?"/>
    <tableColumn id="26" name="Confirmed Deployed Date"/>
    <tableColumn id="27" name="UAT Report URL"/>
    <tableColumn id="28" name="Production URL"/>
    <tableColumn id="29" name="Blocked?"/>
    <tableColumn id="30" name="Rework Count"/>
    <tableColumn id="31" name="Last Sent Back From"/>
    <tableColumn id="32" name="Rework Est. Fix Date"/>
    <tableColumn id="33" name="Last Defect/Jira Ticket"/>
    <tableColumn id="34" name="Furthest Stage Reached"/>
    <tableColumn id="35" name="Auto Rework Alert"/>
    <tableColumn id="36" name="Chronology Check"/>
    <tableColumn id="37" name="Duplicate Name Check"/>
    <tableColumn id="38" name="Comments"/>
    <tableColumn id="39" name="_Last Rework Row"/>
  </tableColumns>
  <tableStyleInfo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7.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A36"/>
  <sheetViews>
    <sheetView showGridLines="0" workbookViewId="0">
      <selection activeCell="A1" sqref="A1"/>
    </sheetView>
  </sheetViews>
  <sheetFormatPr baseColWidth="8" defaultRowHeight="14.4"/>
  <cols>
    <col width="112" customWidth="1" style="60" min="1" max="1"/>
  </cols>
  <sheetData>
    <row r="1" ht="22.5" customHeight="1" s="60">
      <c r="A1" s="25" t="inlineStr">
        <is>
          <t>GDM Tracker</t>
        </is>
      </c>
    </row>
    <row r="2" ht="27.9" customHeight="1" s="60">
      <c r="A2" s="26" t="inlineStr">
        <is>
          <t>One tracker, built so a Manager, Director, PM, QA tester, or PBI/DB developer can each get what they need without hunting for it.</t>
        </is>
      </c>
    </row>
    <row r="4" ht="20.1" customHeight="1" s="60">
      <c r="A4" s="27" t="inlineStr">
        <is>
          <t>QUICK GUIDE BY ROLE</t>
        </is>
      </c>
    </row>
    <row r="5" ht="65.09999999999999" customHeight="1" s="60">
      <c r="A5" s="12" t="inlineStr">
        <is>
          <t>Manager / Director - look at: Status Flag (col D, color-coded), Business Value Rank (col E) to see what matters most, Blocked? (col AC) for an instant blocked / needs-fix read - plus that stage's own date columns turn red too, so it's visible without even reading the text. Auto Rework Alert (col AI, red = something bounced backward), Confirmed Deployed? (col Y) for real proof of what's actually live. UAT/Prod URLs (cols AA-AB) are clickable.</t>
        </is>
      </c>
    </row>
    <row r="7" ht="15.75" customHeight="1" s="60">
      <c r="A7" s="11" t="inlineStr">
        <is>
          <t>The pipeline</t>
        </is>
      </c>
    </row>
    <row r="8" ht="65.09999999999999" customHeight="1" s="60">
      <c r="A8" s="12" t="inlineStr">
        <is>
          <t>NOT STARTED -&gt; DB Dev -&gt; PBI Dev -&gt; QA -&gt; DPO Approval -&gt; RELEASED IN PROD. Current Status (col C) is a manual dropdown - set it to wherever the report actually is. Each stage (except Not Started and Released) has its own Status Assigned / Expected / Estimated / Actual date columns, except DPO Approval, which just has Status Assigned, Expected, and a Reviewer name (col AA) - there's no separate Actual for DPO Approval; use Confirmed Deployed? (col AB) instead once it's truly live.</t>
        </is>
      </c>
    </row>
    <row r="10" ht="15.75" customHeight="1" s="60">
      <c r="A10" s="11" t="inlineStr">
        <is>
          <t>Expected vs. Estimated - the one habit that matters most</t>
        </is>
      </c>
    </row>
    <row r="11" ht="69.90000000000001" customHeight="1" s="60">
      <c r="A11" s="12" t="inlineStr">
        <is>
          <t>Expected Completion Date is the original target - set it once, when a report enters that stage, and don't change it again. Estimated Completion Date is the one that moves - update it whenever a timeline shifts or a rework changes the plan. This way you always know both what was originally promised and what's realistically true now, without losing either. This is guidance, not an enforced rule - nothing is locked, it's on the honor system.</t>
        </is>
      </c>
    </row>
    <row r="13" ht="15.75" customHeight="1" s="60">
      <c r="A13" s="11" t="inlineStr">
        <is>
          <t>Status Flag (col D) - automatic</t>
        </is>
      </c>
    </row>
    <row r="14" ht="65.09999999999999" customHeight="1" s="60">
      <c r="A14" s="12" t="inlineStr">
        <is>
          <t>Reads Current Status plus that stage's own dates: 'No target set', 'Overdue', 'Review - planned start passed', 'On track', or 'Delivered'. Color-coded. Once a report is Released, Status Flag always just says 'Delivered' - a missing date never downgrades or flags a released report; Confirmed Deployed? is extra evidence on top, never a condition for the status itself.</t>
        </is>
      </c>
    </row>
    <row r="16" ht="15" customHeight="1" s="60">
      <c r="A16" s="11" t="inlineStr">
        <is>
          <t>Rework tracking - three layers now</t>
        </is>
      </c>
    </row>
    <row r="17" ht="189.9" customHeight="1" s="60">
      <c r="A17" s="12" t="inlineStr">
        <is>
          <t>Layer 1, fully automatic (cols AH-AI): 'Furthest Stage Reached' figures out from the dates already filled in how far a report has actually gotten. 'Auto Rework Alert' flags it in red if Current Status has been moved backward from that point - e.g. QA already has a date, but Current Status now says DB Dev. No logging required for this to work, ever.
Layer 2, optional manual detail (Rework Log tab + cols AD-AG here): log who sent it back, why, the Defect/Jira Ticket if there is one, and the new expected fix date. Combined Delivery Data automatically pulls the most recent entry into 'Last Sent Back From', 'Last Defect/Jira Ticket', and 'Rework Est. Fix Date' - maintain history in one place, it shows up here without re-typing it. Rework Count tallies how many times each report appears on the log. Any stage can go back to any previous stage - it's not QA-specific.
Layer 3 - Blocked with a known cause (col AC): Blocked? is a single dropdown - No, Yes – other, or Yes – needs &lt;Stage&gt; to fix (one option per stage: DB Dev, PBI Dev, QA, DPO Approval). Pick 'Yes – other' if the block is just something stuck in its current stage (waiting on a normal review, etc.). If a PREVIOUS stage actually needs to fix something (e.g. QA found a bug only DB Dev can resolve), pick 'Yes – needs DB Dev to fix' instead, and that stage's own date columns light up red too, so whoever owns that stage sees it without reading anything. Rework Log also now has a live summary table (columns J-N) mirroring the same counts per report, so you can see them without switching tabs.</t>
        </is>
      </c>
    </row>
    <row r="19" ht="15.75" customHeight="1" s="60">
      <c r="A19" s="11" t="inlineStr">
        <is>
          <t>Date columns reject text - on purpose</t>
        </is>
      </c>
    </row>
    <row r="20" ht="54.9" customHeight="1" s="60">
      <c r="A20" s="12" t="inlineStr">
        <is>
          <t>Every date column only accepts real dates. Typing a status word or note into one gets rejected with a message pointing to Comments instead - this was added because the original source data had status words like 'Completed' sitting in date cells throughout, which made real reconciliation nearly impossible.</t>
        </is>
      </c>
    </row>
    <row r="22" ht="15.75" customHeight="1" s="60">
      <c r="A22" s="11" t="inlineStr">
        <is>
          <t>Chronology Check (col AO)</t>
        </is>
      </c>
    </row>
    <row r="23" ht="45" customHeight="1" s="60">
      <c r="A23" s="12" t="inlineStr">
        <is>
          <t>Automatic - flags a report if a later stage's target date is earlier than an earlier stage's, since that's usually a typo or wrong year. Does not compare DB Dev against PBI Dev to each other, since those run in parallel.</t>
        </is>
      </c>
    </row>
    <row r="25" ht="15.75" customHeight="1" s="60">
      <c r="A25" s="11" t="inlineStr">
        <is>
          <t>Reading the sheet at a glance</t>
        </is>
      </c>
    </row>
    <row r="26" ht="80.09999999999999" customHeight="1" s="60">
      <c r="A26" s="12" t="inlineStr">
        <is>
          <t>Each stage has its own header color and a matching colored left-border running down the sheet, so scrolling across reads as distinct sections rather than a wall of identical columns. When a report is blocked, the specific stage it's blocked at gets its own date columns highlighted red too - not just the Blocked? text column - so whoever owns that stage sees it immediately without reading anything. UAT Report URL and Production URL are real clickable links, not text to copy-paste.</t>
        </is>
      </c>
    </row>
    <row r="27" ht="15.75" customHeight="1" s="60">
      <c r="A27" s="50" t="inlineStr">
        <is>
          <t>Dropdowns and data entry</t>
        </is>
      </c>
    </row>
    <row r="28" ht="54.9" customHeight="1" s="60">
      <c r="A28" s="12" t="inlineStr">
        <is>
          <t>Domain, DB Developer, PBI Developer, PO, QA Tester, and Current Status are dropdowns sourced from the Data Validation tab - add a name or value there and it shows up automatically. Most are soft suggestions (you can type a new value directly), except Blocked? and Confirmed Deployed?, which are strict Yes/No only.</t>
        </is>
      </c>
    </row>
    <row r="29" ht="84.90000000000001" customHeight="1" s="60">
      <c r="A29" s="11" t="inlineStr">
        <is>
          <t>Migrated from the old source - what changed</t>
        </is>
      </c>
    </row>
    <row r="30" ht="84.90000000000001" customHeight="1" s="60">
      <c r="A30" s="12" t="inlineStr">
        <is>
          <t>This tracker replaces the old monthly Report Migration Timeline file. During migration: 8 QA target dates were corrected to match the true source values; Business Value Rank, UAT/Production URLs, DPO Approval Reviewer, QA Tester, and a real Confirmed Deployed signal (with actual dates recovered for 4 reports) were added since they existed in the old source but were never captured before; 5 specific historical blocker notes were preserved in Comments, tagged [Historical]. Everything else in the old source (generic 'ready for X' handoff notes, one-off 'Raw changes'/'Curated Change' notes, and uncertain '?' date markers) was reviewed and intentionally left behind as not worth carrying forward.</t>
        </is>
      </c>
    </row>
    <row r="31" ht="15.75" customHeight="1" s="60">
      <c r="A31" s="50" t="inlineStr">
        <is>
          <t>Duplicate Name Check (col AP)</t>
        </is>
      </c>
    </row>
    <row r="32" ht="39.9" customHeight="1" s="60">
      <c r="A32" s="12" t="inlineStr">
        <is>
          <t>Automatic - flags a report if its exact name appears more than once in the sheet, since that usually means a typo or an accidental duplicate entry rather than two genuinely different reports.</t>
        </is>
      </c>
    </row>
    <row r="33" ht="15.75" customHeight="1" s="60">
      <c r="A33" s="50" t="inlineStr">
        <is>
          <t>Find a Report tab</t>
        </is>
      </c>
    </row>
    <row r="34" ht="45" customHeight="1" s="60">
      <c r="A34" s="12" t="inlineStr">
        <is>
          <t>Pick any report name from the dropdown at the top and every key fact about it - status, dates, blockers, rework history, comments - appears below automatically. Useful for a quick check on one report without scrolling the full sheet.</t>
        </is>
      </c>
    </row>
    <row r="35" ht="15.75" customHeight="1" s="60">
      <c r="A35" s="50" t="inlineStr">
        <is>
          <t>It's now a real Excel Table</t>
        </is>
      </c>
    </row>
    <row r="36" ht="54.9" customHeight="1" s="60">
      <c r="A36" s="12" t="inlineStr">
        <is>
          <t>Combined Delivery Data is a genuine Excel Table now, not just a formatted range. Type a new report into the row right below the current last row, and every formula, dropdown, and conditional format on that row fills in automatically - no manual copying down required.</t>
        </is>
      </c>
    </row>
  </sheetData>
  <pageMargins left="0.75" right="0.75" top="1" bottom="1" header="0.5" footer="0.5"/>
  <headerFooter>
    <oddHeader/>
    <oddFooter>&amp;L&amp;"Aptos"&amp;10 &amp;K000000_x000d_# This content is for internal use only</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AM500"/>
  <sheetViews>
    <sheetView zoomScale="175" zoomScaleNormal="175" workbookViewId="0">
      <pane xSplit="2" ySplit="1" topLeftCell="L2" activePane="bottomRight" state="frozen"/>
      <selection pane="topRight" activeCell="A1" sqref="A1"/>
      <selection pane="bottomLeft" activeCell="A1" sqref="A1"/>
      <selection pane="bottomRight" activeCell="N11" sqref="N11"/>
    </sheetView>
  </sheetViews>
  <sheetFormatPr baseColWidth="8" defaultRowHeight="14.4"/>
  <cols>
    <col width="12" customWidth="1" style="60" min="1" max="1"/>
    <col width="38" customWidth="1" style="60" min="2" max="2"/>
    <col width="15" customWidth="1" style="60" min="3" max="3"/>
    <col width="22" customWidth="1" style="60" min="4" max="4"/>
    <col width="10" customWidth="1" style="60" min="5" max="5"/>
    <col width="11" customWidth="1" style="60" min="6" max="6"/>
    <col width="13" customWidth="1" style="60" min="7" max="8"/>
    <col width="11" customWidth="1" style="60" min="9" max="10"/>
    <col hidden="1" width="15" customWidth="1" style="60" min="11" max="11"/>
    <col width="13" customWidth="1" style="60" min="12" max="12"/>
    <col width="16" customWidth="1" style="60" min="13" max="13"/>
    <col width="17" customWidth="1" style="60" min="14" max="14"/>
    <col width="15" customWidth="1" style="60" min="15" max="16"/>
    <col width="16" customWidth="1" style="60" min="17" max="17"/>
    <col width="17" customWidth="1" style="60" min="18" max="18"/>
    <col width="15" customWidth="1" style="60" min="19" max="20"/>
    <col width="16" customWidth="1" style="60" min="21" max="21"/>
    <col width="17" customWidth="1" style="60" min="22" max="22"/>
    <col width="15" customWidth="1" style="60" min="23" max="24"/>
    <col width="18" customWidth="1" style="60" min="25" max="25"/>
    <col width="19" customWidth="1" style="60" min="26" max="26"/>
    <col width="16" customWidth="1" style="60" min="27" max="27"/>
    <col width="13" customWidth="1" style="60" min="28" max="28"/>
    <col width="15" customWidth="1" style="60" min="29" max="29"/>
    <col width="13" customWidth="1" style="60" min="30" max="31"/>
    <col width="10" customWidth="1" style="60" min="32" max="32"/>
    <col width="20" customWidth="1" style="60" min="33" max="33"/>
    <col width="22" customWidth="1" style="60" min="34" max="34"/>
    <col width="11" customWidth="1" style="60" min="35" max="35"/>
    <col width="16" customWidth="1" style="60" min="36" max="36"/>
    <col width="14" customWidth="1" style="60" min="37" max="37"/>
    <col width="16" customWidth="1" style="60" min="38" max="38"/>
    <col width="17" customWidth="1" style="60" min="39" max="39"/>
    <col width="30" customWidth="1" style="60" min="40" max="40"/>
    <col width="28" customWidth="1" style="60" min="41" max="41"/>
    <col width="20" customWidth="1" style="60" min="42" max="42"/>
    <col width="42" customWidth="1" style="60" min="43" max="43"/>
    <col hidden="1" width="10" customWidth="1" style="60" min="44" max="44"/>
  </cols>
  <sheetData>
    <row r="1" ht="32.1" customHeight="1" s="60">
      <c r="A1" s="8" t="inlineStr">
        <is>
          <t>Domain</t>
        </is>
      </c>
      <c r="B1" s="8" t="inlineStr">
        <is>
          <t>Report Name</t>
        </is>
      </c>
      <c r="C1" s="8" t="inlineStr">
        <is>
          <t>Current Status</t>
        </is>
      </c>
      <c r="D1" s="8" t="inlineStr">
        <is>
          <t>Status Flag</t>
        </is>
      </c>
      <c r="E1" s="8" t="inlineStr">
        <is>
          <t>Business Value Rank</t>
        </is>
      </c>
      <c r="F1" s="28" t="inlineStr">
        <is>
          <t>PO</t>
        </is>
      </c>
      <c r="G1" s="14" t="inlineStr">
        <is>
          <t>DB Developer</t>
        </is>
      </c>
      <c r="H1" s="14" t="inlineStr">
        <is>
          <t>PBI Developer</t>
        </is>
      </c>
      <c r="I1" s="14" t="inlineStr">
        <is>
          <t>QA Tester</t>
        </is>
      </c>
      <c r="J1" s="14" t="inlineStr">
        <is>
          <t>Schema</t>
        </is>
      </c>
      <c r="K1" s="29" t="inlineStr">
        <is>
          <t>Plan Delivery Date</t>
        </is>
      </c>
      <c r="L1" s="15" t="inlineStr">
        <is>
          <t>Plan Delivery Month</t>
        </is>
      </c>
      <c r="M1" s="30" t="inlineStr">
        <is>
          <t>DB Dev Status Assigned Date</t>
        </is>
      </c>
      <c r="N1" s="16" t="inlineStr">
        <is>
          <t>DB Dev Expected Completion Date</t>
        </is>
      </c>
      <c r="O1" s="16" t="inlineStr">
        <is>
          <t>DB Dev Estimated Completion Date</t>
        </is>
      </c>
      <c r="P1" s="16" t="inlineStr">
        <is>
          <t>DB Dev Actual Completion Date</t>
        </is>
      </c>
      <c r="Q1" s="17" t="inlineStr">
        <is>
          <t>PBI Dev Expected Completion Date</t>
        </is>
      </c>
      <c r="R1" s="17" t="inlineStr">
        <is>
          <t>PBI Dev Estimated Completion Date</t>
        </is>
      </c>
      <c r="S1" s="17" t="inlineStr">
        <is>
          <t>PBI Dev Actual Completion Date</t>
        </is>
      </c>
      <c r="T1" s="18" t="inlineStr">
        <is>
          <t>QA Expected Completion Date</t>
        </is>
      </c>
      <c r="U1" s="18" t="inlineStr">
        <is>
          <t>QA Estimated Completion Date</t>
        </is>
      </c>
      <c r="V1" s="18" t="inlineStr">
        <is>
          <t>QA Actual Completion Date</t>
        </is>
      </c>
      <c r="W1" s="19" t="inlineStr">
        <is>
          <t>DPO Approval Expected Completion Date</t>
        </is>
      </c>
      <c r="X1" s="19" t="inlineStr">
        <is>
          <t>DPO Approval Reviewer</t>
        </is>
      </c>
      <c r="Y1" s="34" t="inlineStr">
        <is>
          <t>Confirmed Deployed?</t>
        </is>
      </c>
      <c r="Z1" s="20" t="inlineStr">
        <is>
          <t>Confirmed Deployed Date</t>
        </is>
      </c>
      <c r="AA1" s="35" t="inlineStr">
        <is>
          <t>UAT Report URL</t>
        </is>
      </c>
      <c r="AB1" s="21" t="inlineStr">
        <is>
          <t>Production URL</t>
        </is>
      </c>
      <c r="AC1" s="36" t="inlineStr">
        <is>
          <t>Blocked?</t>
        </is>
      </c>
      <c r="AD1" s="22" t="inlineStr">
        <is>
          <t>Rework Count</t>
        </is>
      </c>
      <c r="AE1" s="22" t="inlineStr">
        <is>
          <t>Last Sent Back From</t>
        </is>
      </c>
      <c r="AF1" s="22" t="inlineStr">
        <is>
          <t>Rework Est. Fix Date</t>
        </is>
      </c>
      <c r="AG1" s="22" t="inlineStr">
        <is>
          <t>Last Defect/Jira Ticket</t>
        </is>
      </c>
      <c r="AH1" s="37" t="inlineStr">
        <is>
          <t>Furthest Stage Reached</t>
        </is>
      </c>
      <c r="AI1" s="23" t="inlineStr">
        <is>
          <t>Auto Rework Alert</t>
        </is>
      </c>
      <c r="AJ1" s="23" t="inlineStr">
        <is>
          <t>Chronology Check</t>
        </is>
      </c>
      <c r="AK1" s="23" t="inlineStr">
        <is>
          <t>Duplicate Name Check</t>
        </is>
      </c>
      <c r="AL1" s="38" t="inlineStr">
        <is>
          <t>Comments</t>
        </is>
      </c>
      <c r="AM1" s="24" t="inlineStr">
        <is>
          <t>_Last Rework Row</t>
        </is>
      </c>
    </row>
    <row r="2">
      <c r="A2" s="9" t="inlineStr">
        <is>
          <t>Leaks</t>
        </is>
      </c>
      <c r="B2" s="9" t="inlineStr">
        <is>
          <t>RPT_04_Active Leaks</t>
        </is>
      </c>
      <c r="C2" s="9" t="inlineStr">
        <is>
          <t>RELEASED IN PROD</t>
        </is>
      </c>
      <c r="D2" s="9">
        <f>IF($B2="","",IF(LEFT($AC2,3)="Yes","Blocked - "&amp;MID($AC2,7,100),IF(C2="NOT STARTED",IF(K2="","No plan date set",IF(K2&lt;TODAY(),"Review - planned start passed","On track")),IF(C2="DB Dev",IF(N2="","No target set",IF(AND(N2&lt;TODAY(),P2=""),"Overdue","On track")),IF(C2="PBI Dev",IF(Q2="","No target set",IF(AND(Q2&lt;TODAY(),S2=""),"Overdue","On track")),IF(C2="QA",IF(T2="","No target set",IF(AND(T2&lt;TODAY(),V2=""),"Overdue","On track")),IF(C2="DPO Approval",IF(W2="","No target set",IF(W2&lt;TODAY(),"Overdue","On track")),IF(C2="RELEASED IN PROD","Delivered",""))))))))</f>
        <v/>
      </c>
      <c r="E2" s="9" t="n">
        <v>1</v>
      </c>
      <c r="F2" s="39" t="n"/>
      <c r="G2" s="9" t="inlineStr">
        <is>
          <t>Fetwi</t>
        </is>
      </c>
      <c r="H2" s="9" t="inlineStr">
        <is>
          <t>Sarath</t>
        </is>
      </c>
      <c r="I2" s="9" t="inlineStr">
        <is>
          <t>Preety</t>
        </is>
      </c>
      <c r="J2" s="9" t="n"/>
      <c r="K2" s="40" t="n">
        <v>46142</v>
      </c>
      <c r="L2" s="9" t="inlineStr">
        <is>
          <t>April</t>
        </is>
      </c>
      <c r="M2" s="41" t="n"/>
      <c r="N2" s="10" t="n">
        <v>46115</v>
      </c>
      <c r="O2" s="9" t="n"/>
      <c r="P2" s="10" t="n">
        <v>46115</v>
      </c>
      <c r="Q2" s="10" t="n">
        <v>46114</v>
      </c>
      <c r="R2" s="9" t="n"/>
      <c r="S2" s="10" t="n">
        <v>46114</v>
      </c>
      <c r="T2" s="10" t="n">
        <v>46122</v>
      </c>
      <c r="U2" s="9" t="n"/>
      <c r="V2" s="10" t="n">
        <v>46122</v>
      </c>
      <c r="W2" s="9" t="n"/>
      <c r="X2" s="9" t="inlineStr">
        <is>
          <t>Kelvin Hu</t>
        </is>
      </c>
      <c r="Y2" s="45" t="inlineStr">
        <is>
          <t>Yes</t>
        </is>
      </c>
      <c r="Z2" s="10" t="n">
        <v>46122</v>
      </c>
      <c r="AA2" s="49" t="inlineStr">
        <is>
          <t>https://app.powerbi.com/groups/me/apps/eedba83d-be9a-45f9-9504-7bfa41e6051a/reports/62307ec4-3158-4457-8dcc-4acc2150cdc3/ccfe9e7f0a40d49acb85?experience=power-bi</t>
        </is>
      </c>
      <c r="AB2" s="9" t="inlineStr">
        <is>
          <t>https://app.powerbi.com/groups/me/apps/2c7180b1-0d3d-45be-979e-f7dc86b3557d/reports/8cd4a21d-3abe-4e55-a99e-3af846ab1c67/ccfe9e7f0a40d49acb85?ctid=f98a6a53-25f3-4212-901c-c7787fcd3495&amp;experience=power-bi</t>
        </is>
      </c>
      <c r="AC2" s="46" t="inlineStr">
        <is>
          <t>No</t>
        </is>
      </c>
      <c r="AD2" s="9">
        <f>IF($B2="","",COUNTIF('Rework Log'!$A$3:$A$500,$B2))</f>
        <v/>
      </c>
      <c r="AE2" s="9">
        <f>IF(OR($B2="",$AM2=0),"",INDEX('Rework Log'!$C:$C,$AM2))</f>
        <v/>
      </c>
      <c r="AF2" s="10">
        <f>IF(OR($B2="",$AM2=0),"",INDEX('Rework Log'!$H:$H,$AM2))</f>
        <v/>
      </c>
      <c r="AG2" s="9">
        <f>IF(OR($B2="",$AM2=0),"",INDEX('Rework Log'!$G:$G,$AM2))</f>
        <v/>
      </c>
      <c r="AH2" s="47">
        <f>IF($B2="","",IF(W2&lt;&gt;"","DPO Approval",IF(T2&lt;&gt;"","QA",IF(Q2&lt;&gt;"","PBI Dev",IF(N2&lt;&gt;"","DB Dev","NOT STARTED")))))</f>
        <v/>
      </c>
      <c r="AI2" s="9">
        <f>IF($B2="","",IF(IF($C2="NOT STARTED",0,IF($C2="DB Dev",1,IF($C2="PBI Dev",2,IF($C2="QA",3,IF($C2="DPO Approval",4,IF($C2="RELEASED IN PROD",5,-1))))))&lt;IF($AH2="NOT STARTED",0,IF($AH2="DB Dev",1,IF($AH2="PBI Dev",2,IF($AH2="QA",3,IF($AH2="DPO Approval",4,IF($AH2="RELEASED IN PROD",5,-1)))))),"Yes - was already at "&amp;$AH2&amp;", now back at "&amp;$C2,"No"))</f>
        <v/>
      </c>
      <c r="AJ2" s="9">
        <f>IF($B2="","",IF(AND(T2&lt;&gt;"",N2&lt;&gt;"",T2&lt;N2),"QA target is before DB Dev target",IF(AND(T2&lt;&gt;"",Q2&lt;&gt;"",T2&lt;Q2),"QA target is before PBI Dev target",IF(AND(W2&lt;&gt;"",T2&lt;&gt;"",W2&lt;T2),"DPO Approval target is before QA target",IF(AND(Z2&lt;&gt;"",W2&lt;&gt;"",Z2&lt;W2),"Confirmed Deployed date is before DPO Approval target","")))))</f>
        <v/>
      </c>
      <c r="AK2" s="9">
        <f>IF($B2="","",IF(COUNTIF($B$2:$B$500,$B2)&gt;1,"Duplicate name - check row",""))</f>
        <v/>
      </c>
      <c r="AL2" s="48" t="inlineStr">
        <is>
          <t>[Historical, April 2026]: QA found an issue - date calendar dimension broken. Fetwi assigned to fix.</t>
        </is>
      </c>
      <c r="AM2" s="9">
        <f>IF($B2="","",SUMPRODUCT(MAX(('Rework Log'!$A$3:$A$500=$B2)*ROW('Rework Log'!$A$3:$A$500))))</f>
        <v/>
      </c>
    </row>
    <row r="3">
      <c r="A3" s="9" t="inlineStr">
        <is>
          <t>Leaks</t>
        </is>
      </c>
      <c r="B3" s="9" t="inlineStr">
        <is>
          <t>RPT_04_Count of Active Leaks On Hand</t>
        </is>
      </c>
      <c r="C3" s="9" t="inlineStr">
        <is>
          <t>RELEASED IN PROD</t>
        </is>
      </c>
      <c r="D3" s="9">
        <f>IF($B3="","",IF(LEFT($AC3,3)="Yes","Blocked - "&amp;MID($AC3,7,100),IF(C3="NOT STARTED",IF(K3="","No plan date set",IF(K3&lt;TODAY(),"Review - planned start passed","On track")),IF(C3="DB Dev",IF(N3="","No target set",IF(AND(N3&lt;TODAY(),P3=""),"Overdue","On track")),IF(C3="PBI Dev",IF(Q3="","No target set",IF(AND(Q3&lt;TODAY(),S3=""),"Overdue","On track")),IF(C3="QA",IF(T3="","No target set",IF(AND(T3&lt;TODAY(),V3=""),"Overdue","On track")),IF(C3="DPO Approval",IF(W3="","No target set",IF(W3&lt;TODAY(),"Overdue","On track")),IF(C3="RELEASED IN PROD","Delivered",""))))))))</f>
        <v/>
      </c>
      <c r="E3" s="9" t="n">
        <v>2</v>
      </c>
      <c r="F3" s="39" t="n"/>
      <c r="G3" s="9" t="inlineStr">
        <is>
          <t>Fetwi</t>
        </is>
      </c>
      <c r="H3" s="9" t="inlineStr">
        <is>
          <t>Sarath</t>
        </is>
      </c>
      <c r="I3" s="9" t="inlineStr">
        <is>
          <t>Preety</t>
        </is>
      </c>
      <c r="J3" s="9" t="n"/>
      <c r="K3" s="40" t="n">
        <v>46142</v>
      </c>
      <c r="L3" s="9" t="inlineStr">
        <is>
          <t>April</t>
        </is>
      </c>
      <c r="M3" s="41" t="n"/>
      <c r="N3" s="10" t="n">
        <v>46115</v>
      </c>
      <c r="O3" s="9" t="n"/>
      <c r="P3" s="10" t="n">
        <v>46115</v>
      </c>
      <c r="Q3" s="10" t="n">
        <v>46114</v>
      </c>
      <c r="R3" s="9" t="n"/>
      <c r="S3" s="10" t="n">
        <v>46114</v>
      </c>
      <c r="T3" s="10" t="n">
        <v>46122</v>
      </c>
      <c r="U3" s="9" t="n"/>
      <c r="V3" s="10" t="n">
        <v>46122</v>
      </c>
      <c r="W3" s="9" t="n"/>
      <c r="X3" s="9" t="inlineStr">
        <is>
          <t>Kelvin Hu</t>
        </is>
      </c>
      <c r="Y3" s="45" t="inlineStr">
        <is>
          <t>Yes</t>
        </is>
      </c>
      <c r="Z3" s="10" t="n">
        <v>46122</v>
      </c>
      <c r="AA3" s="49" t="inlineStr">
        <is>
          <t>https://app.powerbi.com/groups/me/apps/eedba83d-be9a-45f9-9504-7bfa41e6051a/reports/c0b3f0ae-dedd-485b-8bbc-aa0e5f3fd077/24a66431d0637282f4b7?experience=power-bi</t>
        </is>
      </c>
      <c r="AB3" s="9" t="inlineStr">
        <is>
          <t>https://app.powerbi.com/groups/me/apps/2c7180b1-0d3d-45be-979e-f7dc86b3557d/reports/5ffd546f-ad77-4a7f-8e6d-94dc08bef796/24a66431d0637282f4b7?ctid=f98a6a53-25f3-4212-901c-c7787fcd3495&amp;experience=power-bi</t>
        </is>
      </c>
      <c r="AC3" s="46" t="inlineStr">
        <is>
          <t>No</t>
        </is>
      </c>
      <c r="AD3" s="9">
        <f>IF($B3="","",COUNTIF('Rework Log'!$A$3:$A$500,$B3))</f>
        <v/>
      </c>
      <c r="AE3" s="9">
        <f>IF(OR($B3="",$AM3=0),"",INDEX('Rework Log'!$C:$C,$AM3))</f>
        <v/>
      </c>
      <c r="AF3" s="10">
        <f>IF(OR($B3="",$AM3=0),"",INDEX('Rework Log'!$H:$H,$AM3))</f>
        <v/>
      </c>
      <c r="AG3" s="9">
        <f>IF(OR($B3="",$AM3=0),"",INDEX('Rework Log'!$G:$G,$AM3))</f>
        <v/>
      </c>
      <c r="AH3" s="47">
        <f>IF($B3="","",IF(W3&lt;&gt;"","DPO Approval",IF(T3&lt;&gt;"","QA",IF(Q3&lt;&gt;"","PBI Dev",IF(N3&lt;&gt;"","DB Dev","NOT STARTED")))))</f>
        <v/>
      </c>
      <c r="AI3" s="9">
        <f>IF($B3="","",IF(IF($C3="NOT STARTED",0,IF($C3="DB Dev",1,IF($C3="PBI Dev",2,IF($C3="QA",3,IF($C3="DPO Approval",4,IF($C3="RELEASED IN PROD",5,-1))))))&lt;IF($AH3="NOT STARTED",0,IF($AH3="DB Dev",1,IF($AH3="PBI Dev",2,IF($AH3="QA",3,IF($AH3="DPO Approval",4,IF($AH3="RELEASED IN PROD",5,-1)))))),"Yes - was already at "&amp;$AH3&amp;", now back at "&amp;$C3,"No"))</f>
        <v/>
      </c>
      <c r="AJ3" s="9">
        <f>IF($B3="","",IF(AND(T3&lt;&gt;"",N3&lt;&gt;"",T3&lt;N3),"QA target is before DB Dev target",IF(AND(T3&lt;&gt;"",Q3&lt;&gt;"",T3&lt;Q3),"QA target is before PBI Dev target",IF(AND(W3&lt;&gt;"",T3&lt;&gt;"",W3&lt;T3),"DPO Approval target is before QA target",IF(AND(Z3&lt;&gt;"",W3&lt;&gt;"",Z3&lt;W3),"Confirmed Deployed date is before DPO Approval target","")))))</f>
        <v/>
      </c>
      <c r="AK3" s="9">
        <f>IF($B3="","",IF(COUNTIF($B$2:$B$500,$B3)&gt;1,"Duplicate name - check row",""))</f>
        <v/>
      </c>
      <c r="AL3" s="48" t="inlineStr">
        <is>
          <t>[Historical, April 2026]: QA found an issue - date calendar dimension broken. Fetwi assigned to fix.</t>
        </is>
      </c>
      <c r="AM3" s="9">
        <f>IF($B3="","",SUMPRODUCT(MAX(('Rework Log'!$A$3:$A$500=$B3)*ROW('Rework Log'!$A$3:$A$500))))</f>
        <v/>
      </c>
    </row>
    <row r="4">
      <c r="A4" s="9" t="inlineStr">
        <is>
          <t>Leaks</t>
        </is>
      </c>
      <c r="B4" s="9" t="inlineStr">
        <is>
          <t>RPT_04_Leak Scheduling</t>
        </is>
      </c>
      <c r="C4" s="9" t="inlineStr">
        <is>
          <t>RELEASED IN PROD</t>
        </is>
      </c>
      <c r="D4" s="9">
        <f>IF($B4="","",IF(LEFT($AC4,3)="Yes","Blocked - "&amp;MID($AC4,7,100),IF(C4="NOT STARTED",IF(K4="","No plan date set",IF(K4&lt;TODAY(),"Review - planned start passed","On track")),IF(C4="DB Dev",IF(N4="","No target set",IF(AND(N4&lt;TODAY(),P4=""),"Overdue","On track")),IF(C4="PBI Dev",IF(Q4="","No target set",IF(AND(Q4&lt;TODAY(),S4=""),"Overdue","On track")),IF(C4="QA",IF(T4="","No target set",IF(AND(T4&lt;TODAY(),V4=""),"Overdue","On track")),IF(C4="DPO Approval",IF(W4="","No target set",IF(W4&lt;TODAY(),"Overdue","On track")),IF(C4="RELEASED IN PROD","Delivered",""))))))))</f>
        <v/>
      </c>
      <c r="E4" s="9" t="n">
        <v>4</v>
      </c>
      <c r="F4" s="39" t="n"/>
      <c r="G4" s="9" t="inlineStr">
        <is>
          <t>Sreevarsha</t>
        </is>
      </c>
      <c r="H4" s="9" t="inlineStr">
        <is>
          <t>Sarath</t>
        </is>
      </c>
      <c r="I4" s="9" t="inlineStr">
        <is>
          <t>Preety</t>
        </is>
      </c>
      <c r="J4" s="9" t="n"/>
      <c r="K4" s="40" t="n">
        <v>46142</v>
      </c>
      <c r="L4" s="9" t="inlineStr">
        <is>
          <t>April</t>
        </is>
      </c>
      <c r="M4" s="41" t="n"/>
      <c r="N4" s="10" t="n">
        <v>46115</v>
      </c>
      <c r="O4" s="9" t="n"/>
      <c r="P4" s="10" t="n">
        <v>46115</v>
      </c>
      <c r="Q4" s="10" t="n">
        <v>46120</v>
      </c>
      <c r="R4" s="9" t="n"/>
      <c r="S4" s="10" t="n">
        <v>46120</v>
      </c>
      <c r="T4" s="10" t="n">
        <v>46122</v>
      </c>
      <c r="U4" s="9" t="n"/>
      <c r="V4" s="10" t="n">
        <v>46122</v>
      </c>
      <c r="W4" s="9" t="n"/>
      <c r="X4" s="9" t="inlineStr">
        <is>
          <t>Kelvin Hu</t>
        </is>
      </c>
      <c r="Y4" s="45" t="inlineStr">
        <is>
          <t>Yes</t>
        </is>
      </c>
      <c r="Z4" s="10" t="n">
        <v>46122</v>
      </c>
      <c r="AA4" s="49" t="n"/>
      <c r="AB4" s="9" t="n"/>
      <c r="AC4" s="46" t="inlineStr">
        <is>
          <t>No</t>
        </is>
      </c>
      <c r="AD4" s="9">
        <f>IF($B4="","",COUNTIF('Rework Log'!$A$3:$A$500,$B4))</f>
        <v/>
      </c>
      <c r="AE4" s="9">
        <f>IF(OR($B4="",$AM4=0),"",INDEX('Rework Log'!$C:$C,$AM4))</f>
        <v/>
      </c>
      <c r="AF4" s="10">
        <f>IF(OR($B4="",$AM4=0),"",INDEX('Rework Log'!$H:$H,$AM4))</f>
        <v/>
      </c>
      <c r="AG4" s="9">
        <f>IF(OR($B4="",$AM4=0),"",INDEX('Rework Log'!$G:$G,$AM4))</f>
        <v/>
      </c>
      <c r="AH4" s="47">
        <f>IF($B4="","",IF(W4&lt;&gt;"","DPO Approval",IF(T4&lt;&gt;"","QA",IF(Q4&lt;&gt;"","PBI Dev",IF(N4&lt;&gt;"","DB Dev","NOT STARTED")))))</f>
        <v/>
      </c>
      <c r="AI4" s="9">
        <f>IF($B4="","",IF(IF($C4="NOT STARTED",0,IF($C4="DB Dev",1,IF($C4="PBI Dev",2,IF($C4="QA",3,IF($C4="DPO Approval",4,IF($C4="RELEASED IN PROD",5,-1))))))&lt;IF($AH4="NOT STARTED",0,IF($AH4="DB Dev",1,IF($AH4="PBI Dev",2,IF($AH4="QA",3,IF($AH4="DPO Approval",4,IF($AH4="RELEASED IN PROD",5,-1)))))),"Yes - was already at "&amp;$AH4&amp;", now back at "&amp;$C4,"No"))</f>
        <v/>
      </c>
      <c r="AJ4" s="9">
        <f>IF($B4="","",IF(AND(T4&lt;&gt;"",N4&lt;&gt;"",T4&lt;N4),"QA target is before DB Dev target",IF(AND(T4&lt;&gt;"",Q4&lt;&gt;"",T4&lt;Q4),"QA target is before PBI Dev target",IF(AND(W4&lt;&gt;"",T4&lt;&gt;"",W4&lt;T4),"DPO Approval target is before QA target",IF(AND(Z4&lt;&gt;"",W4&lt;&gt;"",Z4&lt;W4),"Confirmed Deployed date is before DPO Approval target","")))))</f>
        <v/>
      </c>
      <c r="AK4" s="9">
        <f>IF($B4="","",IF(COUNTIF($B$2:$B$500,$B4)&gt;1,"Duplicate name - check row",""))</f>
        <v/>
      </c>
      <c r="AL4" s="48" t="n"/>
      <c r="AM4" s="9">
        <f>IF($B4="","",SUMPRODUCT(MAX(('Rework Log'!$A$3:$A$500=$B4)*ROW('Rework Log'!$A$3:$A$500))))</f>
        <v/>
      </c>
    </row>
    <row r="5">
      <c r="A5" s="9" t="inlineStr">
        <is>
          <t>Leaks</t>
        </is>
      </c>
      <c r="B5" s="9" t="inlineStr">
        <is>
          <t>RPT_04_Leak Days Remaining</t>
        </is>
      </c>
      <c r="C5" s="9" t="inlineStr">
        <is>
          <t>RELEASED IN PROD</t>
        </is>
      </c>
      <c r="D5" s="9">
        <f>IF($B5="","",IF(LEFT($AC5,3)="Yes","Blocked - "&amp;MID($AC5,7,100),IF(C5="NOT STARTED",IF(K5="","No plan date set",IF(K5&lt;TODAY(),"Review - planned start passed","On track")),IF(C5="DB Dev",IF(N5="","No target set",IF(AND(N5&lt;TODAY(),P5=""),"Overdue","On track")),IF(C5="PBI Dev",IF(Q5="","No target set",IF(AND(Q5&lt;TODAY(),S5=""),"Overdue","On track")),IF(C5="QA",IF(T5="","No target set",IF(AND(T5&lt;TODAY(),V5=""),"Overdue","On track")),IF(C5="DPO Approval",IF(W5="","No target set",IF(W5&lt;TODAY(),"Overdue","On track")),IF(C5="RELEASED IN PROD","Delivered",""))))))))</f>
        <v/>
      </c>
      <c r="E5" s="9" t="n">
        <v>5</v>
      </c>
      <c r="F5" s="39" t="n"/>
      <c r="G5" s="9" t="inlineStr">
        <is>
          <t>Siva</t>
        </is>
      </c>
      <c r="H5" s="9" t="inlineStr">
        <is>
          <t>Navya</t>
        </is>
      </c>
      <c r="I5" s="9" t="inlineStr">
        <is>
          <t>Preety</t>
        </is>
      </c>
      <c r="J5" s="9" t="n"/>
      <c r="K5" s="40" t="n">
        <v>46142</v>
      </c>
      <c r="L5" s="9" t="inlineStr">
        <is>
          <t>April</t>
        </is>
      </c>
      <c r="M5" s="41" t="n"/>
      <c r="N5" s="10" t="n">
        <v>46115</v>
      </c>
      <c r="O5" s="9" t="n"/>
      <c r="P5" s="10" t="n">
        <v>46115</v>
      </c>
      <c r="Q5" s="10" t="n">
        <v>46126</v>
      </c>
      <c r="R5" s="9" t="n"/>
      <c r="S5" s="10" t="n">
        <v>46126</v>
      </c>
      <c r="T5" s="10" t="n">
        <v>46122</v>
      </c>
      <c r="U5" s="9" t="n"/>
      <c r="V5" s="10" t="n">
        <v>46122</v>
      </c>
      <c r="W5" s="9" t="n"/>
      <c r="X5" s="9" t="inlineStr">
        <is>
          <t>Kelvin Hu</t>
        </is>
      </c>
      <c r="Y5" s="45" t="inlineStr">
        <is>
          <t>Yes</t>
        </is>
      </c>
      <c r="Z5" s="10" t="n">
        <v>46122</v>
      </c>
      <c r="AA5" s="49" t="inlineStr">
        <is>
          <t>https://app.powerbi.com/groups/me/apps/eedba83d-be9a-45f9-9504-7bfa41e6051a/reports/8b9ae445-3a30-4ae6-a3fa-7a6d8e7ef349/d97da6159d0c87677529?experience=power-bi</t>
        </is>
      </c>
      <c r="AB5" s="9" t="inlineStr">
        <is>
          <t>https://app.powerbi.com/groups/me/apps/2c7180b1-0d3d-45be-979e-f7dc86b3557d/reports/848ce65a-4e47-422b-aae5-7ea9e7d68a5f/d97da6159d0c87677529?ctid=f98a6a53-25f3-4212-901c-c7787fcd3495&amp;experience=power-bi</t>
        </is>
      </c>
      <c r="AC5" s="46" t="inlineStr">
        <is>
          <t>No</t>
        </is>
      </c>
      <c r="AD5" s="9">
        <f>IF($B5="","",COUNTIF('Rework Log'!$A$3:$A$500,$B5))</f>
        <v/>
      </c>
      <c r="AE5" s="9">
        <f>IF(OR($B5="",$AM5=0),"",INDEX('Rework Log'!$C:$C,$AM5))</f>
        <v/>
      </c>
      <c r="AF5" s="10">
        <f>IF(OR($B5="",$AM5=0),"",INDEX('Rework Log'!$H:$H,$AM5))</f>
        <v/>
      </c>
      <c r="AG5" s="9">
        <f>IF(OR($B5="",$AM5=0),"",INDEX('Rework Log'!$G:$G,$AM5))</f>
        <v/>
      </c>
      <c r="AH5" s="47">
        <f>IF($B5="","",IF(W5&lt;&gt;"","DPO Approval",IF(T5&lt;&gt;"","QA",IF(Q5&lt;&gt;"","PBI Dev",IF(N5&lt;&gt;"","DB Dev","NOT STARTED")))))</f>
        <v/>
      </c>
      <c r="AI5" s="9">
        <f>IF($B5="","",IF(IF($C5="NOT STARTED",0,IF($C5="DB Dev",1,IF($C5="PBI Dev",2,IF($C5="QA",3,IF($C5="DPO Approval",4,IF($C5="RELEASED IN PROD",5,-1))))))&lt;IF($AH5="NOT STARTED",0,IF($AH5="DB Dev",1,IF($AH5="PBI Dev",2,IF($AH5="QA",3,IF($AH5="DPO Approval",4,IF($AH5="RELEASED IN PROD",5,-1)))))),"Yes - was already at "&amp;$AH5&amp;", now back at "&amp;$C5,"No"))</f>
        <v/>
      </c>
      <c r="AJ5" s="9">
        <f>IF($B5="","",IF(AND(T5&lt;&gt;"",N5&lt;&gt;"",T5&lt;N5),"QA target is before DB Dev target",IF(AND(T5&lt;&gt;"",Q5&lt;&gt;"",T5&lt;Q5),"QA target is before PBI Dev target",IF(AND(W5&lt;&gt;"",T5&lt;&gt;"",W5&lt;T5),"DPO Approval target is before QA target",IF(AND(Z5&lt;&gt;"",W5&lt;&gt;"",Z5&lt;W5),"Confirmed Deployed date is before DPO Approval target","")))))</f>
        <v/>
      </c>
      <c r="AK5" s="9">
        <f>IF($B5="","",IF(COUNTIF($B$2:$B$500,$B5)&gt;1,"Duplicate name - check row",""))</f>
        <v/>
      </c>
      <c r="AL5" s="48" t="inlineStr">
        <is>
          <t>16/04 - Testing completed in QA and created defect https://jira.prod.nationalgrid.com/browse/GDMP-2186; ETA -04/24</t>
        </is>
      </c>
      <c r="AM5" s="9">
        <f>IF($B5="","",SUMPRODUCT(MAX(('Rework Log'!$A$3:$A$500=$B5)*ROW('Rework Log'!$A$3:$A$500))))</f>
        <v/>
      </c>
    </row>
    <row r="6">
      <c r="A6" s="9" t="inlineStr">
        <is>
          <t>Leaks</t>
        </is>
      </c>
      <c r="B6" s="9" t="inlineStr">
        <is>
          <t>RPT_04_Cleared Leaks</t>
        </is>
      </c>
      <c r="C6" s="9" t="inlineStr">
        <is>
          <t>RELEASED IN PROD</t>
        </is>
      </c>
      <c r="D6" s="9">
        <f>IF($B6="","",IF(LEFT($AC6,3)="Yes","Blocked - "&amp;MID($AC6,7,100),IF(C6="NOT STARTED",IF(K6="","No plan date set",IF(K6&lt;TODAY(),"Review - planned start passed","On track")),IF(C6="DB Dev",IF(N6="","No target set",IF(AND(N6&lt;TODAY(),P6=""),"Overdue","On track")),IF(C6="PBI Dev",IF(Q6="","No target set",IF(AND(Q6&lt;TODAY(),S6=""),"Overdue","On track")),IF(C6="QA",IF(T6="","No target set",IF(AND(T6&lt;TODAY(),V6=""),"Overdue","On track")),IF(C6="DPO Approval",IF(W6="","No target set",IF(W6&lt;TODAY(),"Overdue","On track")),IF(C6="RELEASED IN PROD","Delivered",""))))))))</f>
        <v/>
      </c>
      <c r="E6" s="9" t="n">
        <v>3</v>
      </c>
      <c r="F6" s="39" t="n"/>
      <c r="G6" s="9" t="inlineStr">
        <is>
          <t>Sreevarsha</t>
        </is>
      </c>
      <c r="H6" s="9" t="inlineStr">
        <is>
          <t>Sarath</t>
        </is>
      </c>
      <c r="I6" s="9" t="inlineStr">
        <is>
          <t>Preety</t>
        </is>
      </c>
      <c r="J6" s="9" t="n"/>
      <c r="K6" s="40" t="n">
        <v>46142</v>
      </c>
      <c r="L6" s="9" t="inlineStr">
        <is>
          <t>April</t>
        </is>
      </c>
      <c r="M6" s="41" t="n"/>
      <c r="N6" s="10" t="n">
        <v>46115</v>
      </c>
      <c r="O6" s="9" t="n"/>
      <c r="P6" s="10" t="n">
        <v>46115</v>
      </c>
      <c r="Q6" s="10" t="n">
        <v>46120</v>
      </c>
      <c r="R6" s="9" t="n"/>
      <c r="S6" s="10" t="n">
        <v>46120</v>
      </c>
      <c r="T6" s="10" t="n">
        <v>46122</v>
      </c>
      <c r="U6" s="9" t="n"/>
      <c r="V6" s="10" t="n">
        <v>46122</v>
      </c>
      <c r="W6" s="9" t="n"/>
      <c r="X6" s="9" t="inlineStr">
        <is>
          <t>Kelvin Hu</t>
        </is>
      </c>
      <c r="Y6" s="45" t="inlineStr">
        <is>
          <t>Yes</t>
        </is>
      </c>
      <c r="Z6" s="10" t="n">
        <v>46122</v>
      </c>
      <c r="AA6" s="49" t="inlineStr">
        <is>
          <t>https://app.powerbi.com/groups/me/apps/eedba83d-be9a-45f9-9504-7bfa41e6051a/reports/938a9ba1-8138-440e-842a-d9a679933d8c/44bb4fce98fafb2cace2?experience=power-bi</t>
        </is>
      </c>
      <c r="AB6" s="9" t="inlineStr">
        <is>
          <t>https://app.powerbi.com/groups/me/apps/2c7180b1-0d3d-45be-979e-f7dc86b3557d/reports/677c6418-6db8-4ebf-9323-65be4cb2c960/ea184ec020032ecbdd43?ctid=f98a6a53-25f3-4212-901c-c7787fcd3495&amp;experience=power-bi</t>
        </is>
      </c>
      <c r="AC6" s="46" t="inlineStr">
        <is>
          <t>No</t>
        </is>
      </c>
      <c r="AD6" s="9">
        <f>IF($B6="","",COUNTIF('Rework Log'!$A$3:$A$500,$B6))</f>
        <v/>
      </c>
      <c r="AE6" s="9">
        <f>IF(OR($B6="",$AM6=0),"",INDEX('Rework Log'!$C:$C,$AM6))</f>
        <v/>
      </c>
      <c r="AF6" s="10">
        <f>IF(OR($B6="",$AM6=0),"",INDEX('Rework Log'!$H:$H,$AM6))</f>
        <v/>
      </c>
      <c r="AG6" s="9">
        <f>IF(OR($B6="",$AM6=0),"",INDEX('Rework Log'!$G:$G,$AM6))</f>
        <v/>
      </c>
      <c r="AH6" s="47">
        <f>IF($B6="","",IF(W6&lt;&gt;"","DPO Approval",IF(T6&lt;&gt;"","QA",IF(Q6&lt;&gt;"","PBI Dev",IF(N6&lt;&gt;"","DB Dev","NOT STARTED")))))</f>
        <v/>
      </c>
      <c r="AI6" s="9">
        <f>IF($B6="","",IF(IF($C6="NOT STARTED",0,IF($C6="DB Dev",1,IF($C6="PBI Dev",2,IF($C6="QA",3,IF($C6="DPO Approval",4,IF($C6="RELEASED IN PROD",5,-1))))))&lt;IF($AH6="NOT STARTED",0,IF($AH6="DB Dev",1,IF($AH6="PBI Dev",2,IF($AH6="QA",3,IF($AH6="DPO Approval",4,IF($AH6="RELEASED IN PROD",5,-1)))))),"Yes - was already at "&amp;$AH6&amp;", now back at "&amp;$C6,"No"))</f>
        <v/>
      </c>
      <c r="AJ6" s="9">
        <f>IF($B6="","",IF(AND(T6&lt;&gt;"",N6&lt;&gt;"",T6&lt;N6),"QA target is before DB Dev target",IF(AND(T6&lt;&gt;"",Q6&lt;&gt;"",T6&lt;Q6),"QA target is before PBI Dev target",IF(AND(W6&lt;&gt;"",T6&lt;&gt;"",W6&lt;T6),"DPO Approval target is before QA target",IF(AND(Z6&lt;&gt;"",W6&lt;&gt;"",Z6&lt;W6),"Confirmed Deployed date is before DPO Approval target","")))))</f>
        <v/>
      </c>
      <c r="AK6" s="9">
        <f>IF($B6="","",IF(COUNTIF($B$2:$B$500,$B6)&gt;1,"Duplicate name - check row",""))</f>
        <v/>
      </c>
      <c r="AL6" s="48" t="inlineStr">
        <is>
          <t>[Historical, April 2026]: L_GRO_NUMBER columns had an issue in QA - DB team assigned to fix.</t>
        </is>
      </c>
      <c r="AM6" s="9">
        <f>IF($B6="","",SUMPRODUCT(MAX(('Rework Log'!$A$3:$A$500=$B6)*ROW('Rework Log'!$A$3:$A$500))))</f>
        <v/>
      </c>
    </row>
    <row r="7">
      <c r="A7" s="9" t="inlineStr">
        <is>
          <t>Leaks</t>
        </is>
      </c>
      <c r="B7" s="9" t="inlineStr">
        <is>
          <t>RPT_04_Leaks Repaired Detail</t>
        </is>
      </c>
      <c r="C7" s="9" t="inlineStr">
        <is>
          <t>RELEASED IN PROD</t>
        </is>
      </c>
      <c r="D7" s="9">
        <f>IF($B7="","",IF(LEFT($AC7,3)="Yes","Blocked - "&amp;MID($AC7,7,100),IF(C7="NOT STARTED",IF(K7="","No plan date set",IF(K7&lt;TODAY(),"Review - planned start passed","On track")),IF(C7="DB Dev",IF(N7="","No target set",IF(AND(N7&lt;TODAY(),P7=""),"Overdue","On track")),IF(C7="PBI Dev",IF(Q7="","No target set",IF(AND(Q7&lt;TODAY(),S7=""),"Overdue","On track")),IF(C7="QA",IF(T7="","No target set",IF(AND(T7&lt;TODAY(),V7=""),"Overdue","On track")),IF(C7="DPO Approval",IF(W7="","No target set",IF(W7&lt;TODAY(),"Overdue","On track")),IF(C7="RELEASED IN PROD","Delivered",""))))))))</f>
        <v/>
      </c>
      <c r="E7" s="9" t="n">
        <v>6</v>
      </c>
      <c r="F7" s="39" t="n"/>
      <c r="G7" s="9" t="inlineStr">
        <is>
          <t>Rupa</t>
        </is>
      </c>
      <c r="H7" s="9" t="inlineStr">
        <is>
          <t>Navya</t>
        </is>
      </c>
      <c r="I7" s="9" t="inlineStr">
        <is>
          <t>Preety</t>
        </is>
      </c>
      <c r="J7" s="9" t="n"/>
      <c r="K7" s="40" t="n">
        <v>46142</v>
      </c>
      <c r="L7" s="9" t="inlineStr">
        <is>
          <t>April</t>
        </is>
      </c>
      <c r="M7" s="41" t="n"/>
      <c r="N7" s="10" t="n">
        <v>46115</v>
      </c>
      <c r="O7" s="9" t="n"/>
      <c r="P7" s="10" t="n">
        <v>46115</v>
      </c>
      <c r="Q7" s="10" t="n">
        <v>46126</v>
      </c>
      <c r="R7" s="9" t="n"/>
      <c r="S7" s="10" t="n">
        <v>46126</v>
      </c>
      <c r="T7" s="10" t="n">
        <v>46122</v>
      </c>
      <c r="U7" s="9" t="n"/>
      <c r="V7" s="10" t="n">
        <v>46122</v>
      </c>
      <c r="W7" s="9" t="n"/>
      <c r="X7" s="9" t="inlineStr">
        <is>
          <t>Kelvin Hu</t>
        </is>
      </c>
      <c r="Y7" s="45" t="inlineStr">
        <is>
          <t>Yes</t>
        </is>
      </c>
      <c r="Z7" s="10" t="n">
        <v>46122</v>
      </c>
      <c r="AA7" s="49" t="inlineStr">
        <is>
          <t>https://app.powerbi.com/groups/me/apps/eedba83d-be9a-45f9-9504-7bfa41e6051a/reports/cbaf2155-2cf3-4377-8af2-7e07a896e887/ea184ec020032ecbdd43?experience=power-bi</t>
        </is>
      </c>
      <c r="AB7" s="9" t="inlineStr">
        <is>
          <t>https://app.powerbi.com/groups/me/apps/2c7180b1-0d3d-45be-979e-f7dc86b3557d/reports/9c6d5e21-4e57-4a64-9973-61ff3717468e/ea184ec020032ecbdd43?ctid=f98a6a53-25f3-4212-901c-c7787fcd3495&amp;experience=power-bi</t>
        </is>
      </c>
      <c r="AC7" s="46" t="inlineStr">
        <is>
          <t>No</t>
        </is>
      </c>
      <c r="AD7" s="9">
        <f>IF($B7="","",COUNTIF('Rework Log'!$A$3:$A$500,$B7))</f>
        <v/>
      </c>
      <c r="AE7" s="9">
        <f>IF(OR($B7="",$AM7=0),"",INDEX('Rework Log'!$C:$C,$AM7))</f>
        <v/>
      </c>
      <c r="AF7" s="10">
        <f>IF(OR($B7="",$AM7=0),"",INDEX('Rework Log'!$H:$H,$AM7))</f>
        <v/>
      </c>
      <c r="AG7" s="9">
        <f>IF(OR($B7="",$AM7=0),"",INDEX('Rework Log'!$G:$G,$AM7))</f>
        <v/>
      </c>
      <c r="AH7" s="47">
        <f>IF($B7="","",IF(W7&lt;&gt;"","DPO Approval",IF(T7&lt;&gt;"","QA",IF(Q7&lt;&gt;"","PBI Dev",IF(N7&lt;&gt;"","DB Dev","NOT STARTED")))))</f>
        <v/>
      </c>
      <c r="AI7" s="9">
        <f>IF($B7="","",IF(IF($C7="NOT STARTED",0,IF($C7="DB Dev",1,IF($C7="PBI Dev",2,IF($C7="QA",3,IF($C7="DPO Approval",4,IF($C7="RELEASED IN PROD",5,-1))))))&lt;IF($AH7="NOT STARTED",0,IF($AH7="DB Dev",1,IF($AH7="PBI Dev",2,IF($AH7="QA",3,IF($AH7="DPO Approval",4,IF($AH7="RELEASED IN PROD",5,-1)))))),"Yes - was already at "&amp;$AH7&amp;", now back at "&amp;$C7,"No"))</f>
        <v/>
      </c>
      <c r="AJ7" s="9">
        <f>IF($B7="","",IF(AND(T7&lt;&gt;"",N7&lt;&gt;"",T7&lt;N7),"QA target is before DB Dev target",IF(AND(T7&lt;&gt;"",Q7&lt;&gt;"",T7&lt;Q7),"QA target is before PBI Dev target",IF(AND(W7&lt;&gt;"",T7&lt;&gt;"",W7&lt;T7),"DPO Approval target is before QA target",IF(AND(Z7&lt;&gt;"",W7&lt;&gt;"",Z7&lt;W7),"Confirmed Deployed date is before DPO Approval target","")))))</f>
        <v/>
      </c>
      <c r="AK7" s="9">
        <f>IF($B7="","",IF(COUNTIF($B$2:$B$500,$B7)&gt;1,"Duplicate name - check row",""))</f>
        <v/>
      </c>
      <c r="AL7" s="48" t="inlineStr">
        <is>
          <t>21/4 Testing completed in QA and defect raised https://jira.prod.nationalgrid.com/browse/GDMP-2190; Report ready for testing 04/23/2026</t>
        </is>
      </c>
      <c r="AM7" s="9">
        <f>IF($B7="","",SUMPRODUCT(MAX(('Rework Log'!$A$3:$A$500=$B7)*ROW('Rework Log'!$A$3:$A$500))))</f>
        <v/>
      </c>
    </row>
    <row r="8">
      <c r="A8" s="9" t="inlineStr">
        <is>
          <t>Leaks</t>
        </is>
      </c>
      <c r="B8" s="9" t="inlineStr">
        <is>
          <t>RPT_04_Leaks Aging</t>
        </is>
      </c>
      <c r="C8" s="9" t="inlineStr">
        <is>
          <t>RELEASED IN PROD</t>
        </is>
      </c>
      <c r="D8" s="9">
        <f>IF($B8="","",IF(LEFT($AC8,3)="Yes","Blocked - "&amp;MID($AC8,7,100),IF(C8="NOT STARTED",IF(K8="","No plan date set",IF(K8&lt;TODAY(),"Review - planned start passed","On track")),IF(C8="DB Dev",IF(N8="","No target set",IF(AND(N8&lt;TODAY(),P8=""),"Overdue","On track")),IF(C8="PBI Dev",IF(Q8="","No target set",IF(AND(Q8&lt;TODAY(),S8=""),"Overdue","On track")),IF(C8="QA",IF(T8="","No target set",IF(AND(T8&lt;TODAY(),V8=""),"Overdue","On track")),IF(C8="DPO Approval",IF(W8="","No target set",IF(W8&lt;TODAY(),"Overdue","On track")),IF(C8="RELEASED IN PROD","Delivered",""))))))))</f>
        <v/>
      </c>
      <c r="E8" s="9" t="n">
        <v>7</v>
      </c>
      <c r="F8" s="39" t="n"/>
      <c r="G8" s="9" t="inlineStr">
        <is>
          <t>Sreevarsha</t>
        </is>
      </c>
      <c r="H8" s="9" t="inlineStr">
        <is>
          <t>Navya</t>
        </is>
      </c>
      <c r="I8" s="9" t="inlineStr">
        <is>
          <t>Preety</t>
        </is>
      </c>
      <c r="J8" s="9" t="n"/>
      <c r="K8" s="40" t="n">
        <v>46142</v>
      </c>
      <c r="L8" s="9" t="inlineStr">
        <is>
          <t>April</t>
        </is>
      </c>
      <c r="M8" s="41" t="n"/>
      <c r="N8" s="10" t="n">
        <v>46122</v>
      </c>
      <c r="O8" s="9" t="n"/>
      <c r="P8" s="10" t="n">
        <v>46122</v>
      </c>
      <c r="Q8" s="10" t="n">
        <v>46126</v>
      </c>
      <c r="R8" s="9" t="n"/>
      <c r="S8" s="10" t="n">
        <v>46126</v>
      </c>
      <c r="T8" s="10" t="n">
        <v>46122</v>
      </c>
      <c r="U8" s="9" t="n"/>
      <c r="V8" s="10" t="n">
        <v>46122</v>
      </c>
      <c r="W8" s="9" t="n"/>
      <c r="X8" s="9" t="inlineStr">
        <is>
          <t>Kelvin Hu</t>
        </is>
      </c>
      <c r="Y8" s="45" t="inlineStr">
        <is>
          <t>Yes</t>
        </is>
      </c>
      <c r="Z8" s="10" t="n">
        <v>46122</v>
      </c>
      <c r="AA8" s="49" t="inlineStr">
        <is>
          <t>https://app.powerbi.com/groups/me/apps/eedba83d-be9a-45f9-9504-7bfa41e6051a/reports/383c1502-9c3c-4fa0-a321-321cfed3b4a1/ReportSection1e63b8fbeb9ea54074e1?experience=power-bi</t>
        </is>
      </c>
      <c r="AB8" s="9" t="inlineStr">
        <is>
          <t>https://app.powerbi.com/groups/me/apps/2c7180b1-0d3d-45be-979e-f7dc86b3557d/reports/b7f15195-22d6-4ac4-8982-a8cadb215cbf/ReportSection1e63b8fbeb9ea54074e1?ctid=f98a6a53-25f3-4212-901c-c7787fcd3495&amp;experience=power-bi</t>
        </is>
      </c>
      <c r="AC8" s="46" t="inlineStr">
        <is>
          <t>No</t>
        </is>
      </c>
      <c r="AD8" s="9">
        <f>IF($B8="","",COUNTIF('Rework Log'!$A$3:$A$500,$B8))</f>
        <v/>
      </c>
      <c r="AE8" s="9">
        <f>IF(OR($B8="",$AM8=0),"",INDEX('Rework Log'!$C:$C,$AM8))</f>
        <v/>
      </c>
      <c r="AF8" s="10">
        <f>IF(OR($B8="",$AM8=0),"",INDEX('Rework Log'!$H:$H,$AM8))</f>
        <v/>
      </c>
      <c r="AG8" s="9">
        <f>IF(OR($B8="",$AM8=0),"",INDEX('Rework Log'!$G:$G,$AM8))</f>
        <v/>
      </c>
      <c r="AH8" s="47">
        <f>IF($B8="","",IF(W8&lt;&gt;"","DPO Approval",IF(T8&lt;&gt;"","QA",IF(Q8&lt;&gt;"","PBI Dev",IF(N8&lt;&gt;"","DB Dev","NOT STARTED")))))</f>
        <v/>
      </c>
      <c r="AI8" s="9">
        <f>IF($B8="","",IF(IF($C8="NOT STARTED",0,IF($C8="DB Dev",1,IF($C8="PBI Dev",2,IF($C8="QA",3,IF($C8="DPO Approval",4,IF($C8="RELEASED IN PROD",5,-1))))))&lt;IF($AH8="NOT STARTED",0,IF($AH8="DB Dev",1,IF($AH8="PBI Dev",2,IF($AH8="QA",3,IF($AH8="DPO Approval",4,IF($AH8="RELEASED IN PROD",5,-1)))))),"Yes - was already at "&amp;$AH8&amp;", now back at "&amp;$C8,"No"))</f>
        <v/>
      </c>
      <c r="AJ8" s="9">
        <f>IF($B8="","",IF(AND(T8&lt;&gt;"",N8&lt;&gt;"",T8&lt;N8),"QA target is before DB Dev target",IF(AND(T8&lt;&gt;"",Q8&lt;&gt;"",T8&lt;Q8),"QA target is before PBI Dev target",IF(AND(W8&lt;&gt;"",T8&lt;&gt;"",W8&lt;T8),"DPO Approval target is before QA target",IF(AND(Z8&lt;&gt;"",W8&lt;&gt;"",Z8&lt;W8),"Confirmed Deployed date is before DPO Approval target","")))))</f>
        <v/>
      </c>
      <c r="AK8" s="9">
        <f>IF($B8="","",IF(COUNTIF($B$2:$B$500,$B8)&gt;1,"Duplicate name - check row",""))</f>
        <v/>
      </c>
      <c r="AL8" s="48" t="n"/>
      <c r="AM8" s="9">
        <f>IF($B8="","",SUMPRODUCT(MAX(('Rework Log'!$A$3:$A$500=$B8)*ROW('Rework Log'!$A$3:$A$500))))</f>
        <v/>
      </c>
    </row>
    <row r="9">
      <c r="A9" s="9" t="inlineStr">
        <is>
          <t>Leaks</t>
        </is>
      </c>
      <c r="B9" s="9" t="inlineStr">
        <is>
          <t>RPT_04_Prior Leak Readings</t>
        </is>
      </c>
      <c r="C9" s="9" t="inlineStr">
        <is>
          <t>RELEASED IN PROD</t>
        </is>
      </c>
      <c r="D9" s="9">
        <f>IF($B9="","",IF(LEFT($AC9,3)="Yes","Blocked - "&amp;MID($AC9,7,100),IF(C9="NOT STARTED",IF(K9="","No plan date set",IF(K9&lt;TODAY(),"Review - planned start passed","On track")),IF(C9="DB Dev",IF(N9="","No target set",IF(AND(N9&lt;TODAY(),P9=""),"Overdue","On track")),IF(C9="PBI Dev",IF(Q9="","No target set",IF(AND(Q9&lt;TODAY(),S9=""),"Overdue","On track")),IF(C9="QA",IF(T9="","No target set",IF(AND(T9&lt;TODAY(),V9=""),"Overdue","On track")),IF(C9="DPO Approval",IF(W9="","No target set",IF(W9&lt;TODAY(),"Overdue","On track")),IF(C9="RELEASED IN PROD","Delivered",""))))))))</f>
        <v/>
      </c>
      <c r="E9" s="9" t="n">
        <v>9</v>
      </c>
      <c r="F9" s="39" t="n"/>
      <c r="G9" s="9" t="inlineStr">
        <is>
          <t>Siddu</t>
        </is>
      </c>
      <c r="H9" s="9" t="inlineStr">
        <is>
          <t>Navya</t>
        </is>
      </c>
      <c r="I9" s="9" t="inlineStr">
        <is>
          <t>Preety</t>
        </is>
      </c>
      <c r="J9" s="9" t="n"/>
      <c r="K9" s="40" t="n">
        <v>46142</v>
      </c>
      <c r="L9" s="9" t="inlineStr">
        <is>
          <t>April</t>
        </is>
      </c>
      <c r="M9" s="41" t="n"/>
      <c r="N9" s="10" t="n">
        <v>46122</v>
      </c>
      <c r="O9" s="9" t="n"/>
      <c r="P9" s="10" t="n">
        <v>46122</v>
      </c>
      <c r="Q9" s="10" t="n">
        <v>46126</v>
      </c>
      <c r="R9" s="9" t="n"/>
      <c r="S9" s="10" t="n">
        <v>46126</v>
      </c>
      <c r="T9" s="10" t="n">
        <v>46122</v>
      </c>
      <c r="U9" s="9" t="n"/>
      <c r="V9" s="10" t="n">
        <v>46122</v>
      </c>
      <c r="W9" s="9" t="n"/>
      <c r="X9" s="9" t="inlineStr">
        <is>
          <t>Kelvin Hu</t>
        </is>
      </c>
      <c r="Y9" s="45" t="inlineStr">
        <is>
          <t>Yes</t>
        </is>
      </c>
      <c r="Z9" s="10" t="n">
        <v>46122</v>
      </c>
      <c r="AA9" s="49" t="inlineStr">
        <is>
          <t>https://app.powerbi.com/groups/me/apps/7767030c-f4c8-4488-b3cb-36a860cb6ff2/reports/acc74ccc-08b7-420d-b64e-5e4d786ac711/ReportSection6d915001f68ea4805272?experience=power-bi</t>
        </is>
      </c>
      <c r="AB9" s="9" t="inlineStr">
        <is>
          <t>https://app.powerbi.com/groups/me/apps/5b29b0dd-a398-4801-84ce-f3a7d8435827/reports/5a06a5bd-88fb-4024-8841-570da23785ad/ReportSection6d915001f68ea4805272?ctid=f98a6a53-25f3-4212-901c-c7787fcd3495&amp;experience=power-bi</t>
        </is>
      </c>
      <c r="AC9" s="46" t="inlineStr">
        <is>
          <t>No</t>
        </is>
      </c>
      <c r="AD9" s="9">
        <f>IF($B9="","",COUNTIF('Rework Log'!$A$3:$A$500,$B9))</f>
        <v/>
      </c>
      <c r="AE9" s="9">
        <f>IF(OR($B9="",$AM9=0),"",INDEX('Rework Log'!$C:$C,$AM9))</f>
        <v/>
      </c>
      <c r="AF9" s="10">
        <f>IF(OR($B9="",$AM9=0),"",INDEX('Rework Log'!$H:$H,$AM9))</f>
        <v/>
      </c>
      <c r="AG9" s="9">
        <f>IF(OR($B9="",$AM9=0),"",INDEX('Rework Log'!$G:$G,$AM9))</f>
        <v/>
      </c>
      <c r="AH9" s="47">
        <f>IF($B9="","",IF(W9&lt;&gt;"","DPO Approval",IF(T9&lt;&gt;"","QA",IF(Q9&lt;&gt;"","PBI Dev",IF(N9&lt;&gt;"","DB Dev","NOT STARTED")))))</f>
        <v/>
      </c>
      <c r="AI9" s="9">
        <f>IF($B9="","",IF(IF($C9="NOT STARTED",0,IF($C9="DB Dev",1,IF($C9="PBI Dev",2,IF($C9="QA",3,IF($C9="DPO Approval",4,IF($C9="RELEASED IN PROD",5,-1))))))&lt;IF($AH9="NOT STARTED",0,IF($AH9="DB Dev",1,IF($AH9="PBI Dev",2,IF($AH9="QA",3,IF($AH9="DPO Approval",4,IF($AH9="RELEASED IN PROD",5,-1)))))),"Yes - was already at "&amp;$AH9&amp;", now back at "&amp;$C9,"No"))</f>
        <v/>
      </c>
      <c r="AJ9" s="9">
        <f>IF($B9="","",IF(AND(T9&lt;&gt;"",N9&lt;&gt;"",T9&lt;N9),"QA target is before DB Dev target",IF(AND(T9&lt;&gt;"",Q9&lt;&gt;"",T9&lt;Q9),"QA target is before PBI Dev target",IF(AND(W9&lt;&gt;"",T9&lt;&gt;"",W9&lt;T9),"DPO Approval target is before QA target",IF(AND(Z9&lt;&gt;"",W9&lt;&gt;"",Z9&lt;W9),"Confirmed Deployed date is before DPO Approval target","")))))</f>
        <v/>
      </c>
      <c r="AK9" s="9">
        <f>IF($B9="","",IF(COUNTIF($B$2:$B$500,$B9)&gt;1,"Duplicate name - check row",""))</f>
        <v/>
      </c>
      <c r="AL9" s="48" t="n"/>
      <c r="AM9" s="9">
        <f>IF($B9="","",SUMPRODUCT(MAX(('Rework Log'!$A$3:$A$500=$B9)*ROW('Rework Log'!$A$3:$A$500))))</f>
        <v/>
      </c>
    </row>
    <row r="10">
      <c r="A10" s="9" t="inlineStr">
        <is>
          <t>Leaks</t>
        </is>
      </c>
      <c r="B10" s="9" t="inlineStr">
        <is>
          <t>RSS_04_Leak Grade Change History</t>
        </is>
      </c>
      <c r="C10" s="9" t="inlineStr">
        <is>
          <t>RELEASED IN PROD</t>
        </is>
      </c>
      <c r="D10" s="9">
        <f>IF($B10="","",IF(LEFT($AC10,3)="Yes","Blocked - "&amp;MID($AC10,7,100),IF(C10="NOT STARTED",IF(K10="","No plan date set",IF(K10&lt;TODAY(),"Review - planned start passed","On track")),IF(C10="DB Dev",IF(N10="","No target set",IF(AND(N10&lt;TODAY(),P10=""),"Overdue","On track")),IF(C10="PBI Dev",IF(Q10="","No target set",IF(AND(Q10&lt;TODAY(),S10=""),"Overdue","On track")),IF(C10="QA",IF(T10="","No target set",IF(AND(T10&lt;TODAY(),V10=""),"Overdue","On track")),IF(C10="DPO Approval",IF(W10="","No target set",IF(W10&lt;TODAY(),"Overdue","On track")),IF(C10="RELEASED IN PROD","Delivered",""))))))))</f>
        <v/>
      </c>
      <c r="E10" s="9" t="n">
        <v>8</v>
      </c>
      <c r="F10" s="39" t="n"/>
      <c r="G10" s="9" t="inlineStr">
        <is>
          <t>Siva</t>
        </is>
      </c>
      <c r="H10" s="9" t="inlineStr">
        <is>
          <t>Navya</t>
        </is>
      </c>
      <c r="I10" s="9" t="inlineStr">
        <is>
          <t>Preety</t>
        </is>
      </c>
      <c r="J10" s="9" t="n"/>
      <c r="K10" s="40" t="n">
        <v>46142</v>
      </c>
      <c r="L10" s="9" t="inlineStr">
        <is>
          <t>April</t>
        </is>
      </c>
      <c r="M10" s="41" t="n"/>
      <c r="N10" s="10" t="n">
        <v>46127</v>
      </c>
      <c r="O10" s="9" t="n"/>
      <c r="P10" s="10" t="n">
        <v>46127</v>
      </c>
      <c r="Q10" s="10" t="n">
        <v>46126</v>
      </c>
      <c r="R10" s="9" t="n"/>
      <c r="S10" s="10" t="n">
        <v>46126</v>
      </c>
      <c r="T10" s="10" t="n">
        <v>46122</v>
      </c>
      <c r="U10" s="9" t="n"/>
      <c r="V10" s="10" t="n">
        <v>46122</v>
      </c>
      <c r="W10" s="9" t="n"/>
      <c r="X10" s="9" t="inlineStr">
        <is>
          <t>Kelvin Hu</t>
        </is>
      </c>
      <c r="Y10" s="45" t="inlineStr">
        <is>
          <t>Yes</t>
        </is>
      </c>
      <c r="Z10" s="10" t="n">
        <v>46122</v>
      </c>
      <c r="AA10" s="49" t="inlineStr">
        <is>
          <t>https://app.powerbi.com/groups/me/apps/7767030c-f4c8-4488-b3cb-36a860cb6ff2/reports/6fe40f7b-3dfe-45ee-9f81-cb977321242d/9d7e292e8fb40cfee194?experience=power-bi</t>
        </is>
      </c>
      <c r="AB10" s="9" t="inlineStr">
        <is>
          <t>https://app.powerbi.com/groups/me/apps/5b29b0dd-a398-4801-84ce-f3a7d8435827/reports/4268caf5-dcbd-4b00-8518-baf8239fff69/9d7e292e8fb40cfee194?experience=power-bi</t>
        </is>
      </c>
      <c r="AC10" s="46" t="inlineStr">
        <is>
          <t>No</t>
        </is>
      </c>
      <c r="AD10" s="9">
        <f>IF($B10="","",COUNTIF('Rework Log'!$A$3:$A$500,$B10))</f>
        <v/>
      </c>
      <c r="AE10" s="9">
        <f>IF(OR($B10="",$AM10=0),"",INDEX('Rework Log'!$C:$C,$AM10))</f>
        <v/>
      </c>
      <c r="AF10" s="10">
        <f>IF(OR($B10="",$AM10=0),"",INDEX('Rework Log'!$H:$H,$AM10))</f>
        <v/>
      </c>
      <c r="AG10" s="9">
        <f>IF(OR($B10="",$AM10=0),"",INDEX('Rework Log'!$G:$G,$AM10))</f>
        <v/>
      </c>
      <c r="AH10" s="47">
        <f>IF($B10="","",IF(W10&lt;&gt;"","DPO Approval",IF(T10&lt;&gt;"","QA",IF(Q10&lt;&gt;"","PBI Dev",IF(N10&lt;&gt;"","DB Dev","NOT STARTED")))))</f>
        <v/>
      </c>
      <c r="AI10" s="9">
        <f>IF($B10="","",IF(IF($C10="NOT STARTED",0,IF($C10="DB Dev",1,IF($C10="PBI Dev",2,IF($C10="QA",3,IF($C10="DPO Approval",4,IF($C10="RELEASED IN PROD",5,-1))))))&lt;IF($AH10="NOT STARTED",0,IF($AH10="DB Dev",1,IF($AH10="PBI Dev",2,IF($AH10="QA",3,IF($AH10="DPO Approval",4,IF($AH10="RELEASED IN PROD",5,-1)))))),"Yes - was already at "&amp;$AH10&amp;", now back at "&amp;$C10,"No"))</f>
        <v/>
      </c>
      <c r="AJ10" s="9">
        <f>IF($B10="","",IF(AND(T10&lt;&gt;"",N10&lt;&gt;"",T10&lt;N10),"QA target is before DB Dev target",IF(AND(T10&lt;&gt;"",Q10&lt;&gt;"",T10&lt;Q10),"QA target is before PBI Dev target",IF(AND(W10&lt;&gt;"",T10&lt;&gt;"",W10&lt;T10),"DPO Approval target is before QA target",IF(AND(Z10&lt;&gt;"",W10&lt;&gt;"",Z10&lt;W10),"Confirmed Deployed date is before DPO Approval target","")))))</f>
        <v/>
      </c>
      <c r="AK10" s="9">
        <f>IF($B10="","",IF(COUNTIF($B$2:$B$500,$B10)&gt;1,"Duplicate name - check row",""))</f>
        <v/>
      </c>
      <c r="AL10" s="48" t="inlineStr">
        <is>
          <t xml:space="preserve">
23/4 - Testing completed in QA and defect created https://jira.prod.nationalgrid.com/browse/GDMP-2227; Report is ready for testing 04/23/2026</t>
        </is>
      </c>
      <c r="AM10" s="9">
        <f>IF($B10="","",SUMPRODUCT(MAX(('Rework Log'!$A$3:$A$500=$B10)*ROW('Rework Log'!$A$3:$A$500))))</f>
        <v/>
      </c>
    </row>
    <row r="11">
      <c r="A11" s="9" t="inlineStr">
        <is>
          <t>Leaks</t>
        </is>
      </c>
      <c r="B11" s="9" t="inlineStr">
        <is>
          <t>RPT_04_Surveillances With Zero Readings</t>
        </is>
      </c>
      <c r="C11" s="9" t="inlineStr">
        <is>
          <t>RELEASED IN PROD</t>
        </is>
      </c>
      <c r="D11" s="9">
        <f>IF($B11="","",IF(LEFT($AC11,3)="Yes","Blocked - "&amp;MID($AC11,7,100),IF(C11="NOT STARTED",IF(K11="","No plan date set",IF(K11&lt;TODAY(),"Review - planned start passed","On track")),IF(C11="DB Dev",IF(N11="","No target set",IF(AND(N11&lt;TODAY(),P11=""),"Overdue","On track")),IF(C11="PBI Dev",IF(Q11="","No target set",IF(AND(Q11&lt;TODAY(),S11=""),"Overdue","On track")),IF(C11="QA",IF(T11="","No target set",IF(AND(T11&lt;TODAY(),V11=""),"Overdue","On track")),IF(C11="DPO Approval",IF(W11="","No target set",IF(W11&lt;TODAY(),"Overdue","On track")),IF(C11="RELEASED IN PROD","Delivered",""))))))))</f>
        <v/>
      </c>
      <c r="E11" s="9" t="n">
        <v>10</v>
      </c>
      <c r="F11" s="39" t="n"/>
      <c r="G11" s="9" t="inlineStr">
        <is>
          <t>Sreevarsha</t>
        </is>
      </c>
      <c r="H11" s="9" t="inlineStr">
        <is>
          <t>Navya</t>
        </is>
      </c>
      <c r="I11" s="9" t="inlineStr">
        <is>
          <t>Kelvin</t>
        </is>
      </c>
      <c r="J11" s="9" t="n"/>
      <c r="K11" s="40" t="n">
        <v>46173</v>
      </c>
      <c r="L11" s="9" t="inlineStr">
        <is>
          <t>May</t>
        </is>
      </c>
      <c r="M11" s="41" t="n"/>
      <c r="N11" s="9" t="n"/>
      <c r="O11" s="9" t="n"/>
      <c r="P11" s="9" t="n"/>
      <c r="Q11" s="10" t="n">
        <v>46139</v>
      </c>
      <c r="R11" s="9" t="n"/>
      <c r="S11" s="10" t="n">
        <v>46139</v>
      </c>
      <c r="T11" s="10" t="n">
        <v>46139</v>
      </c>
      <c r="U11" s="9" t="n"/>
      <c r="V11" s="10" t="n">
        <v>46139</v>
      </c>
      <c r="W11" s="9" t="n"/>
      <c r="X11" s="9" t="inlineStr">
        <is>
          <t>Kelvin Hu</t>
        </is>
      </c>
      <c r="Y11" s="45" t="inlineStr">
        <is>
          <t>Yes</t>
        </is>
      </c>
      <c r="Z11" s="10" t="n">
        <v>46139</v>
      </c>
      <c r="AA11" s="49" t="inlineStr">
        <is>
          <t>https://app.powerbi.com/groups/me/apps/eedba83d-be9a-45f9-9504-7bfa41e6051a/reports/743b79eb-5470-4cd4-ad54-81eb3b409ae8/ea184ec020032ecbdd43?ctid=f98a6a53-25f3-4212-901c-c7787fcd3495&amp;experience=power-bi</t>
        </is>
      </c>
      <c r="AB11" s="9" t="inlineStr">
        <is>
          <t>https://app.powerbi.com/groups/me/apps/2c7180b1-0d3d-45be-979e-f7dc86b3557d/reports/c887cd5e-9172-4de3-921e-2c0edd2533bc/ea184ec020032ecbdd43?experience=power-bi</t>
        </is>
      </c>
      <c r="AC11" s="46" t="inlineStr">
        <is>
          <t>No</t>
        </is>
      </c>
      <c r="AD11" s="9">
        <f>IF($B11="","",COUNTIF('Rework Log'!$A$3:$A$500,$B11))</f>
        <v/>
      </c>
      <c r="AE11" s="9">
        <f>IF(OR($B11="",$AM11=0),"",INDEX('Rework Log'!$C:$C,$AM11))</f>
        <v/>
      </c>
      <c r="AF11" s="10">
        <f>IF(OR($B11="",$AM11=0),"",INDEX('Rework Log'!$H:$H,$AM11))</f>
        <v/>
      </c>
      <c r="AG11" s="9">
        <f>IF(OR($B11="",$AM11=0),"",INDEX('Rework Log'!$G:$G,$AM11))</f>
        <v/>
      </c>
      <c r="AH11" s="47">
        <f>IF($B11="","",IF(W11&lt;&gt;"","DPO Approval",IF(T11&lt;&gt;"","QA",IF(Q11&lt;&gt;"","PBI Dev",IF(N11&lt;&gt;"","DB Dev","NOT STARTED")))))</f>
        <v/>
      </c>
      <c r="AI11" s="9">
        <f>IF($B11="","",IF(IF($C11="NOT STARTED",0,IF($C11="DB Dev",1,IF($C11="PBI Dev",2,IF($C11="QA",3,IF($C11="DPO Approval",4,IF($C11="RELEASED IN PROD",5,-1))))))&lt;IF($AH11="NOT STARTED",0,IF($AH11="DB Dev",1,IF($AH11="PBI Dev",2,IF($AH11="QA",3,IF($AH11="DPO Approval",4,IF($AH11="RELEASED IN PROD",5,-1)))))),"Yes - was already at "&amp;$AH11&amp;", now back at "&amp;$C11,"No"))</f>
        <v/>
      </c>
      <c r="AJ11" s="9">
        <f>IF($B11="","",IF(AND(T11&lt;&gt;"",N11&lt;&gt;"",T11&lt;N11),"QA target is before DB Dev target",IF(AND(T11&lt;&gt;"",Q11&lt;&gt;"",T11&lt;Q11),"QA target is before PBI Dev target",IF(AND(W11&lt;&gt;"",T11&lt;&gt;"",W11&lt;T11),"DPO Approval target is before QA target",IF(AND(Z11&lt;&gt;"",W11&lt;&gt;"",Z11&lt;W11),"Confirmed Deployed date is before DPO Approval target","")))))</f>
        <v/>
      </c>
      <c r="AK11" s="9">
        <f>IF($B11="","",IF(COUNTIF($B$2:$B$500,$B11)&gt;1,"Duplicate name - check row",""))</f>
        <v/>
      </c>
      <c r="AL11" s="48" t="n"/>
      <c r="AM11" s="9">
        <f>IF($B11="","",SUMPRODUCT(MAX(('Rework Log'!$A$3:$A$500=$B11)*ROW('Rework Log'!$A$3:$A$500))))</f>
        <v/>
      </c>
    </row>
    <row r="12">
      <c r="A12" s="9" t="inlineStr">
        <is>
          <t>Leaks</t>
        </is>
      </c>
      <c r="B12" s="9" t="inlineStr">
        <is>
          <t>RPT_04 High Emitter leaks</t>
        </is>
      </c>
      <c r="C12" s="9" t="inlineStr">
        <is>
          <t>RELEASED IN PROD</t>
        </is>
      </c>
      <c r="D12" s="9">
        <f>IF($B12="","",IF(LEFT($AC12,3)="Yes","Blocked - "&amp;MID($AC12,7,100),IF(C12="NOT STARTED",IF(K12="","No plan date set",IF(K12&lt;TODAY(),"Review - planned start passed","On track")),IF(C12="DB Dev",IF(N12="","No target set",IF(AND(N12&lt;TODAY(),P12=""),"Overdue","On track")),IF(C12="PBI Dev",IF(Q12="","No target set",IF(AND(Q12&lt;TODAY(),S12=""),"Overdue","On track")),IF(C12="QA",IF(T12="","No target set",IF(AND(T12&lt;TODAY(),V12=""),"Overdue","On track")),IF(C12="DPO Approval",IF(W12="","No target set",IF(W12&lt;TODAY(),"Overdue","On track")),IF(C12="RELEASED IN PROD","Delivered",""))))))))</f>
        <v/>
      </c>
      <c r="E12" s="9" t="n">
        <v>11</v>
      </c>
      <c r="F12" s="39" t="n"/>
      <c r="G12" s="9" t="inlineStr">
        <is>
          <t>Sreevarsha</t>
        </is>
      </c>
      <c r="H12" s="9" t="inlineStr">
        <is>
          <t>Navya</t>
        </is>
      </c>
      <c r="I12" s="9" t="inlineStr">
        <is>
          <t>Preety</t>
        </is>
      </c>
      <c r="J12" s="9" t="n"/>
      <c r="K12" s="40" t="n">
        <v>46173</v>
      </c>
      <c r="L12" s="9" t="inlineStr">
        <is>
          <t>May</t>
        </is>
      </c>
      <c r="M12" s="41" t="n"/>
      <c r="N12" s="9" t="n"/>
      <c r="O12" s="9" t="n"/>
      <c r="P12" s="9" t="n"/>
      <c r="Q12" s="10" t="n">
        <v>46141</v>
      </c>
      <c r="R12" s="9" t="n"/>
      <c r="S12" s="10" t="n">
        <v>46141</v>
      </c>
      <c r="T12" s="10" t="n">
        <v>46141</v>
      </c>
      <c r="U12" s="9" t="n"/>
      <c r="V12" s="10" t="n">
        <v>46141</v>
      </c>
      <c r="W12" s="9" t="n"/>
      <c r="X12" s="9" t="inlineStr">
        <is>
          <t>Kelvin Hu</t>
        </is>
      </c>
      <c r="Y12" s="45" t="inlineStr">
        <is>
          <t>Yes</t>
        </is>
      </c>
      <c r="Z12" s="10" t="n">
        <v>46141</v>
      </c>
      <c r="AA12" s="49" t="inlineStr">
        <is>
          <t>https://app.powerbi.com/groups/me/apps/61b18507-2848-49b9-aacc-32c49ffe1e0b/reports/a44e7124-b1d0-4a09-a5d1-157e2043ba8e/ea184ec020032ecbdd43?ctid=f98a6a53-25f3-4212-901c-c7787fcd3495&amp;experience=power-bi</t>
        </is>
      </c>
      <c r="AB12" s="9" t="inlineStr">
        <is>
          <t>https://app.powerbi.com/groups/me/apps/93d01997-58e0-48d8-bcca-ad8377094e64/reports/6d6fe558-e5d6-4a4b-b6fb-8a5f8735d1df/ea184ec020032ecbdd43?experience=power-bi</t>
        </is>
      </c>
      <c r="AC12" s="46" t="inlineStr">
        <is>
          <t>No</t>
        </is>
      </c>
      <c r="AD12" s="9">
        <f>IF($B12="","",COUNTIF('Rework Log'!$A$3:$A$500,$B12))</f>
        <v/>
      </c>
      <c r="AE12" s="9">
        <f>IF(OR($B12="",$AM12=0),"",INDEX('Rework Log'!$C:$C,$AM12))</f>
        <v/>
      </c>
      <c r="AF12" s="10">
        <f>IF(OR($B12="",$AM12=0),"",INDEX('Rework Log'!$H:$H,$AM12))</f>
        <v/>
      </c>
      <c r="AG12" s="9">
        <f>IF(OR($B12="",$AM12=0),"",INDEX('Rework Log'!$G:$G,$AM12))</f>
        <v/>
      </c>
      <c r="AH12" s="47">
        <f>IF($B12="","",IF(W12&lt;&gt;"","DPO Approval",IF(T12&lt;&gt;"","QA",IF(Q12&lt;&gt;"","PBI Dev",IF(N12&lt;&gt;"","DB Dev","NOT STARTED")))))</f>
        <v/>
      </c>
      <c r="AI12" s="9">
        <f>IF($B12="","",IF(IF($C12="NOT STARTED",0,IF($C12="DB Dev",1,IF($C12="PBI Dev",2,IF($C12="QA",3,IF($C12="DPO Approval",4,IF($C12="RELEASED IN PROD",5,-1))))))&lt;IF($AH12="NOT STARTED",0,IF($AH12="DB Dev",1,IF($AH12="PBI Dev",2,IF($AH12="QA",3,IF($AH12="DPO Approval",4,IF($AH12="RELEASED IN PROD",5,-1)))))),"Yes - was already at "&amp;$AH12&amp;", now back at "&amp;$C12,"No"))</f>
        <v/>
      </c>
      <c r="AJ12" s="9">
        <f>IF($B12="","",IF(AND(T12&lt;&gt;"",N12&lt;&gt;"",T12&lt;N12),"QA target is before DB Dev target",IF(AND(T12&lt;&gt;"",Q12&lt;&gt;"",T12&lt;Q12),"QA target is before PBI Dev target",IF(AND(W12&lt;&gt;"",T12&lt;&gt;"",W12&lt;T12),"DPO Approval target is before QA target",IF(AND(Z12&lt;&gt;"",W12&lt;&gt;"",Z12&lt;W12),"Confirmed Deployed date is before DPO Approval target","")))))</f>
        <v/>
      </c>
      <c r="AK12" s="9">
        <f>IF($B12="","",IF(COUNTIF($B$2:$B$500,$B12)&gt;1,"Duplicate name - check row",""))</f>
        <v/>
      </c>
      <c r="AL12" s="48" t="inlineStr">
        <is>
          <t>05/05-  defect raised https://jira.prod.nationalgrid.com/browse/GDMP-2230</t>
        </is>
      </c>
      <c r="AM12" s="9">
        <f>IF($B12="","",SUMPRODUCT(MAX(('Rework Log'!$A$3:$A$500=$B12)*ROW('Rework Log'!$A$3:$A$500))))</f>
        <v/>
      </c>
    </row>
    <row r="13">
      <c r="A13" s="9" t="inlineStr">
        <is>
          <t>Leaks</t>
        </is>
      </c>
      <c r="B13" s="9" t="inlineStr">
        <is>
          <t>RPT_04_School Zone Leaks Without Repair</t>
        </is>
      </c>
      <c r="C13" s="9" t="inlineStr">
        <is>
          <t>RELEASED IN PROD</t>
        </is>
      </c>
      <c r="D13" s="9">
        <f>IF($B13="","",IF(LEFT($AC13,3)="Yes","Blocked - "&amp;MID($AC13,7,100),IF(C13="NOT STARTED",IF(K13="","No plan date set",IF(K13&lt;TODAY(),"Review - planned start passed","On track")),IF(C13="DB Dev",IF(N13="","No target set",IF(AND(N13&lt;TODAY(),P13=""),"Overdue","On track")),IF(C13="PBI Dev",IF(Q13="","No target set",IF(AND(Q13&lt;TODAY(),S13=""),"Overdue","On track")),IF(C13="QA",IF(T13="","No target set",IF(AND(T13&lt;TODAY(),V13=""),"Overdue","On track")),IF(C13="DPO Approval",IF(W13="","No target set",IF(W13&lt;TODAY(),"Overdue","On track")),IF(C13="RELEASED IN PROD","Delivered",""))))))))</f>
        <v/>
      </c>
      <c r="E13" s="9" t="n">
        <v>12</v>
      </c>
      <c r="F13" s="39" t="n"/>
      <c r="G13" s="9" t="inlineStr">
        <is>
          <t>Sreevarsha</t>
        </is>
      </c>
      <c r="H13" s="9" t="inlineStr">
        <is>
          <t>Sarath</t>
        </is>
      </c>
      <c r="I13" s="9" t="inlineStr">
        <is>
          <t>Preety</t>
        </is>
      </c>
      <c r="J13" s="9" t="n"/>
      <c r="K13" s="40" t="n">
        <v>46173</v>
      </c>
      <c r="L13" s="9" t="inlineStr">
        <is>
          <t>May</t>
        </is>
      </c>
      <c r="M13" s="41" t="n"/>
      <c r="N13" s="9" t="n"/>
      <c r="O13" s="9" t="n"/>
      <c r="P13" s="9" t="n"/>
      <c r="Q13" s="10" t="n">
        <v>46161</v>
      </c>
      <c r="R13" s="9" t="n"/>
      <c r="S13" s="10" t="n">
        <v>46161</v>
      </c>
      <c r="T13" s="10" t="n">
        <v>46161</v>
      </c>
      <c r="U13" s="9" t="n"/>
      <c r="V13" s="10" t="n">
        <v>46161</v>
      </c>
      <c r="W13" s="9" t="n"/>
      <c r="X13" s="9" t="inlineStr">
        <is>
          <t>Kelvin Hu</t>
        </is>
      </c>
      <c r="Y13" s="45" t="inlineStr">
        <is>
          <t>Yes</t>
        </is>
      </c>
      <c r="Z13" s="10" t="n">
        <v>46161</v>
      </c>
      <c r="AA13" s="49" t="inlineStr">
        <is>
          <t>https://app.powerbi.com/groups/me/apps/eedba83d-be9a-45f9-9504-7bfa41e6051a/reports/0f3b2c1d-09ad-45db-9786-31e8c9401bc4/ReportSectionda782bb6769340acca9d?experience=power-bi</t>
        </is>
      </c>
      <c r="AB13" s="9" t="inlineStr">
        <is>
          <t>https://app.powerbi.com/groups/me/apps/2c7180b1-0d3d-45be-979e-f7dc86b3557d/reports/5e101b4d-8b08-431a-8b3a-04aafc85f314/ReportSection1e63b8fbeb9ea54074e1?experience=power-bi</t>
        </is>
      </c>
      <c r="AC13" s="46" t="inlineStr">
        <is>
          <t>No</t>
        </is>
      </c>
      <c r="AD13" s="9">
        <f>IF($B13="","",COUNTIF('Rework Log'!$A$3:$A$500,$B13))</f>
        <v/>
      </c>
      <c r="AE13" s="9">
        <f>IF(OR($B13="",$AM13=0),"",INDEX('Rework Log'!$C:$C,$AM13))</f>
        <v/>
      </c>
      <c r="AF13" s="10">
        <f>IF(OR($B13="",$AM13=0),"",INDEX('Rework Log'!$H:$H,$AM13))</f>
        <v/>
      </c>
      <c r="AG13" s="9">
        <f>IF(OR($B13="",$AM13=0),"",INDEX('Rework Log'!$G:$G,$AM13))</f>
        <v/>
      </c>
      <c r="AH13" s="47">
        <f>IF($B13="","",IF(W13&lt;&gt;"","DPO Approval",IF(T13&lt;&gt;"","QA",IF(Q13&lt;&gt;"","PBI Dev",IF(N13&lt;&gt;"","DB Dev","NOT STARTED")))))</f>
        <v/>
      </c>
      <c r="AI13" s="9">
        <f>IF($B13="","",IF(IF($C13="NOT STARTED",0,IF($C13="DB Dev",1,IF($C13="PBI Dev",2,IF($C13="QA",3,IF($C13="DPO Approval",4,IF($C13="RELEASED IN PROD",5,-1))))))&lt;IF($AH13="NOT STARTED",0,IF($AH13="DB Dev",1,IF($AH13="PBI Dev",2,IF($AH13="QA",3,IF($AH13="DPO Approval",4,IF($AH13="RELEASED IN PROD",5,-1)))))),"Yes - was already at "&amp;$AH13&amp;", now back at "&amp;$C13,"No"))</f>
        <v/>
      </c>
      <c r="AJ13" s="9">
        <f>IF($B13="","",IF(AND(T13&lt;&gt;"",N13&lt;&gt;"",T13&lt;N13),"QA target is before DB Dev target",IF(AND(T13&lt;&gt;"",Q13&lt;&gt;"",T13&lt;Q13),"QA target is before PBI Dev target",IF(AND(W13&lt;&gt;"",T13&lt;&gt;"",W13&lt;T13),"DPO Approval target is before QA target",IF(AND(Z13&lt;&gt;"",W13&lt;&gt;"",Z13&lt;W13),"Confirmed Deployed date is before DPO Approval target","")))))</f>
        <v/>
      </c>
      <c r="AK13" s="9">
        <f>IF($B13="","",IF(COUNTIF($B$2:$B$500,$B13)&gt;1,"Duplicate name - check row",""))</f>
        <v/>
      </c>
      <c r="AL13" s="48" t="n"/>
      <c r="AM13" s="9">
        <f>IF($B13="","",SUMPRODUCT(MAX(('Rework Log'!$A$3:$A$500=$B13)*ROW('Rework Log'!$A$3:$A$500))))</f>
        <v/>
      </c>
    </row>
    <row r="14">
      <c r="A14" s="9" t="inlineStr">
        <is>
          <t>Leaks</t>
        </is>
      </c>
      <c r="B14" s="9" t="inlineStr">
        <is>
          <t>RPT_04_PSC Quarterly Leak</t>
        </is>
      </c>
      <c r="C14" s="9" t="inlineStr">
        <is>
          <t>RELEASED IN PROD</t>
        </is>
      </c>
      <c r="D14" s="9">
        <f>IF($B14="","",IF(LEFT($AC14,3)="Yes","Blocked - "&amp;MID($AC14,7,100),IF(C14="NOT STARTED",IF(K14="","No plan date set",IF(K14&lt;TODAY(),"Review - planned start passed","On track")),IF(C14="DB Dev",IF(N14="","No target set",IF(AND(N14&lt;TODAY(),P14=""),"Overdue","On track")),IF(C14="PBI Dev",IF(Q14="","No target set",IF(AND(Q14&lt;TODAY(),S14=""),"Overdue","On track")),IF(C14="QA",IF(T14="","No target set",IF(AND(T14&lt;TODAY(),V14=""),"Overdue","On track")),IF(C14="DPO Approval",IF(W14="","No target set",IF(W14&lt;TODAY(),"Overdue","On track")),IF(C14="RELEASED IN PROD","Delivered",""))))))))</f>
        <v/>
      </c>
      <c r="E14" s="9" t="n">
        <v>13</v>
      </c>
      <c r="F14" s="39" t="n"/>
      <c r="G14" s="9" t="inlineStr">
        <is>
          <t>Geetha</t>
        </is>
      </c>
      <c r="H14" s="9" t="inlineStr">
        <is>
          <t>Sarath</t>
        </is>
      </c>
      <c r="I14" s="9" t="inlineStr">
        <is>
          <t>Kelvin</t>
        </is>
      </c>
      <c r="J14" s="9" t="n"/>
      <c r="K14" s="40" t="n">
        <v>46173</v>
      </c>
      <c r="L14" s="9" t="inlineStr">
        <is>
          <t>May</t>
        </is>
      </c>
      <c r="M14" s="41" t="n"/>
      <c r="N14" s="9" t="n"/>
      <c r="O14" s="9" t="n"/>
      <c r="P14" s="9" t="n"/>
      <c r="Q14" s="10" t="n">
        <v>46175</v>
      </c>
      <c r="R14" s="9" t="n"/>
      <c r="S14" s="10" t="n">
        <v>46175</v>
      </c>
      <c r="T14" s="10" t="n">
        <v>46175</v>
      </c>
      <c r="U14" s="9" t="n"/>
      <c r="V14" s="10" t="n">
        <v>46175</v>
      </c>
      <c r="W14" s="10" t="n">
        <v>46184</v>
      </c>
      <c r="X14" s="9" t="inlineStr">
        <is>
          <t>Kelvin Hu</t>
        </is>
      </c>
      <c r="Y14" s="45" t="inlineStr">
        <is>
          <t>Yes</t>
        </is>
      </c>
      <c r="Z14" s="10" t="n">
        <v>46184</v>
      </c>
      <c r="AA14" s="49" t="n"/>
      <c r="AB14" s="9" t="inlineStr">
        <is>
          <t>https://app.powerbi.com/groups/me/apps/93d01997-58e0-48d8-bcca-ad8377094e64/reports/bda83ba5-3e9d-4f8d-9496-bf14e91f7b20/ccfe9e7f0a40d49acb85?ctid=f98a6a53-25f3-4212-901c-c7787fcd3495&amp;experience=power-bi</t>
        </is>
      </c>
      <c r="AC14" s="46" t="inlineStr">
        <is>
          <t>No</t>
        </is>
      </c>
      <c r="AD14" s="9">
        <f>IF($B14="","",COUNTIF('Rework Log'!$A$3:$A$500,$B14))</f>
        <v/>
      </c>
      <c r="AE14" s="9">
        <f>IF(OR($B14="",$AM14=0),"",INDEX('Rework Log'!$C:$C,$AM14))</f>
        <v/>
      </c>
      <c r="AF14" s="10">
        <f>IF(OR($B14="",$AM14=0),"",INDEX('Rework Log'!$H:$H,$AM14))</f>
        <v/>
      </c>
      <c r="AG14" s="9">
        <f>IF(OR($B14="",$AM14=0),"",INDEX('Rework Log'!$G:$G,$AM14))</f>
        <v/>
      </c>
      <c r="AH14" s="47">
        <f>IF($B14="","",IF(W14&lt;&gt;"","DPO Approval",IF(T14&lt;&gt;"","QA",IF(Q14&lt;&gt;"","PBI Dev",IF(N14&lt;&gt;"","DB Dev","NOT STARTED")))))</f>
        <v/>
      </c>
      <c r="AI14" s="9">
        <f>IF($B14="","",IF(IF($C14="NOT STARTED",0,IF($C14="DB Dev",1,IF($C14="PBI Dev",2,IF($C14="QA",3,IF($C14="DPO Approval",4,IF($C14="RELEASED IN PROD",5,-1))))))&lt;IF($AH14="NOT STARTED",0,IF($AH14="DB Dev",1,IF($AH14="PBI Dev",2,IF($AH14="QA",3,IF($AH14="DPO Approval",4,IF($AH14="RELEASED IN PROD",5,-1)))))),"Yes - was already at "&amp;$AH14&amp;", now back at "&amp;$C14,"No"))</f>
        <v/>
      </c>
      <c r="AJ14" s="9">
        <f>IF($B14="","",IF(AND(T14&lt;&gt;"",N14&lt;&gt;"",T14&lt;N14),"QA target is before DB Dev target",IF(AND(T14&lt;&gt;"",Q14&lt;&gt;"",T14&lt;Q14),"QA target is before PBI Dev target",IF(AND(W14&lt;&gt;"",T14&lt;&gt;"",W14&lt;T14),"DPO Approval target is before QA target",IF(AND(Z14&lt;&gt;"",W14&lt;&gt;"",Z14&lt;W14),"Confirmed Deployed date is before DPO Approval target","")))))</f>
        <v/>
      </c>
      <c r="AK14" s="9">
        <f>IF($B14="","",IF(COUNTIF($B$2:$B$500,$B14)&gt;1,"Duplicate name - check row",""))</f>
        <v/>
      </c>
      <c r="AL14" s="48" t="n"/>
      <c r="AM14" s="9">
        <f>IF($B14="","",SUMPRODUCT(MAX(('Rework Log'!$A$3:$A$500=$B14)*ROW('Rework Log'!$A$3:$A$500))))</f>
        <v/>
      </c>
    </row>
    <row r="15">
      <c r="A15" s="9" t="inlineStr">
        <is>
          <t>Leaks</t>
        </is>
      </c>
      <c r="B15" s="9" t="inlineStr">
        <is>
          <t>RPT_04_Rechecks Completed less than 14 days</t>
        </is>
      </c>
      <c r="C15" s="9" t="inlineStr">
        <is>
          <t>RELEASED IN PROD</t>
        </is>
      </c>
      <c r="D15" s="9">
        <f>IF($B15="","",IF(LEFT($AC15,3)="Yes","Blocked - "&amp;MID($AC15,7,100),IF(C15="NOT STARTED",IF(K15="","No plan date set",IF(K15&lt;TODAY(),"Review - planned start passed","On track")),IF(C15="DB Dev",IF(N15="","No target set",IF(AND(N15&lt;TODAY(),P15=""),"Overdue","On track")),IF(C15="PBI Dev",IF(Q15="","No target set",IF(AND(Q15&lt;TODAY(),S15=""),"Overdue","On track")),IF(C15="QA",IF(T15="","No target set",IF(AND(T15&lt;TODAY(),V15=""),"Overdue","On track")),IF(C15="DPO Approval",IF(W15="","No target set",IF(W15&lt;TODAY(),"Overdue","On track")),IF(C15="RELEASED IN PROD","Delivered",""))))))))</f>
        <v/>
      </c>
      <c r="E15" s="9" t="n">
        <v>14</v>
      </c>
      <c r="F15" s="39" t="n"/>
      <c r="G15" s="9" t="inlineStr">
        <is>
          <t>Rupa</t>
        </is>
      </c>
      <c r="H15" s="9" t="inlineStr">
        <is>
          <t>Shraddha</t>
        </is>
      </c>
      <c r="I15" s="9" t="inlineStr">
        <is>
          <t>Preety</t>
        </is>
      </c>
      <c r="J15" s="9" t="n"/>
      <c r="K15" s="40" t="n">
        <v>46173</v>
      </c>
      <c r="L15" s="9" t="inlineStr">
        <is>
          <t>May</t>
        </is>
      </c>
      <c r="M15" s="41" t="n"/>
      <c r="N15" s="9" t="n"/>
      <c r="O15" s="9" t="n"/>
      <c r="P15" s="9" t="n"/>
      <c r="Q15" s="10" t="n">
        <v>46134</v>
      </c>
      <c r="R15" s="9" t="n"/>
      <c r="S15" s="10" t="n">
        <v>46134</v>
      </c>
      <c r="T15" s="10" t="n">
        <v>46134</v>
      </c>
      <c r="U15" s="9" t="n"/>
      <c r="V15" s="10" t="n">
        <v>46134</v>
      </c>
      <c r="W15" s="9" t="n"/>
      <c r="X15" s="9" t="inlineStr">
        <is>
          <t>Kelvin Hu</t>
        </is>
      </c>
      <c r="Y15" s="45" t="inlineStr">
        <is>
          <t>Yes</t>
        </is>
      </c>
      <c r="Z15" s="10" t="n">
        <v>46134</v>
      </c>
      <c r="AA15" s="49" t="inlineStr">
        <is>
          <t>https://app.powerbi.com/groups/me/apps/7767030c-f4c8-4488-b3cb-36a860cb6ff2/reports/de1ad11f-021b-4cc1-b465-67efd542031c/3122b8024291693794eb?ctid=f98a6a53-25f3-4212-901c-c7787fcd3495&amp;experience=power-bi</t>
        </is>
      </c>
      <c r="AB15" s="9" t="inlineStr">
        <is>
          <t>https://app.powerbi.com/groups/me/apps/5b29b0dd-a398-4801-84ce-f3a7d8435827/reports/0e063b20-0b38-4000-b436-fcbec11daa46/3122b8024291693794eb?experience=power-bi</t>
        </is>
      </c>
      <c r="AC15" s="46" t="inlineStr">
        <is>
          <t>No</t>
        </is>
      </c>
      <c r="AD15" s="9">
        <f>IF($B15="","",COUNTIF('Rework Log'!$A$3:$A$500,$B15))</f>
        <v/>
      </c>
      <c r="AE15" s="9">
        <f>IF(OR($B15="",$AM15=0),"",INDEX('Rework Log'!$C:$C,$AM15))</f>
        <v/>
      </c>
      <c r="AF15" s="10">
        <f>IF(OR($B15="",$AM15=0),"",INDEX('Rework Log'!$H:$H,$AM15))</f>
        <v/>
      </c>
      <c r="AG15" s="9">
        <f>IF(OR($B15="",$AM15=0),"",INDEX('Rework Log'!$G:$G,$AM15))</f>
        <v/>
      </c>
      <c r="AH15" s="47">
        <f>IF($B15="","",IF(W15&lt;&gt;"","DPO Approval",IF(T15&lt;&gt;"","QA",IF(Q15&lt;&gt;"","PBI Dev",IF(N15&lt;&gt;"","DB Dev","NOT STARTED")))))</f>
        <v/>
      </c>
      <c r="AI15" s="9">
        <f>IF($B15="","",IF(IF($C15="NOT STARTED",0,IF($C15="DB Dev",1,IF($C15="PBI Dev",2,IF($C15="QA",3,IF($C15="DPO Approval",4,IF($C15="RELEASED IN PROD",5,-1))))))&lt;IF($AH15="NOT STARTED",0,IF($AH15="DB Dev",1,IF($AH15="PBI Dev",2,IF($AH15="QA",3,IF($AH15="DPO Approval",4,IF($AH15="RELEASED IN PROD",5,-1)))))),"Yes - was already at "&amp;$AH15&amp;", now back at "&amp;$C15,"No"))</f>
        <v/>
      </c>
      <c r="AJ15" s="9">
        <f>IF($B15="","",IF(AND(T15&lt;&gt;"",N15&lt;&gt;"",T15&lt;N15),"QA target is before DB Dev target",IF(AND(T15&lt;&gt;"",Q15&lt;&gt;"",T15&lt;Q15),"QA target is before PBI Dev target",IF(AND(W15&lt;&gt;"",T15&lt;&gt;"",W15&lt;T15),"DPO Approval target is before QA target",IF(AND(Z15&lt;&gt;"",W15&lt;&gt;"",Z15&lt;W15),"Confirmed Deployed date is before DPO Approval target","")))))</f>
        <v/>
      </c>
      <c r="AK15" s="9">
        <f>IF($B15="","",IF(COUNTIF($B$2:$B$500,$B15)&gt;1,"Duplicate name - check row",""))</f>
        <v/>
      </c>
      <c r="AL15" s="48" t="n"/>
      <c r="AM15" s="9">
        <f>IF($B15="","",SUMPRODUCT(MAX(('Rework Log'!$A$3:$A$500=$B15)*ROW('Rework Log'!$A$3:$A$500))))</f>
        <v/>
      </c>
    </row>
    <row r="16">
      <c r="A16" s="9" t="inlineStr">
        <is>
          <t>Leaks</t>
        </is>
      </c>
      <c r="B16" s="9" t="inlineStr">
        <is>
          <t>RPT_04_SEI Leak Activity</t>
        </is>
      </c>
      <c r="C16" s="9" t="inlineStr">
        <is>
          <t>RELEASED IN PROD</t>
        </is>
      </c>
      <c r="D16" s="9">
        <f>IF($B16="","",IF(LEFT($AC16,3)="Yes","Blocked - "&amp;MID($AC16,7,100),IF(C16="NOT STARTED",IF(K16="","No plan date set",IF(K16&lt;TODAY(),"Review - planned start passed","On track")),IF(C16="DB Dev",IF(N16="","No target set",IF(AND(N16&lt;TODAY(),P16=""),"Overdue","On track")),IF(C16="PBI Dev",IF(Q16="","No target set",IF(AND(Q16&lt;TODAY(),S16=""),"Overdue","On track")),IF(C16="QA",IF(T16="","No target set",IF(AND(T16&lt;TODAY(),V16=""),"Overdue","On track")),IF(C16="DPO Approval",IF(W16="","No target set",IF(W16&lt;TODAY(),"Overdue","On track")),IF(C16="RELEASED IN PROD","Delivered",""))))))))</f>
        <v/>
      </c>
      <c r="E16" s="9" t="n">
        <v>15</v>
      </c>
      <c r="F16" s="39" t="n"/>
      <c r="G16" s="9" t="inlineStr">
        <is>
          <t>Siva</t>
        </is>
      </c>
      <c r="H16" s="9" t="inlineStr">
        <is>
          <t>Shraddha</t>
        </is>
      </c>
      <c r="I16" s="9" t="inlineStr">
        <is>
          <t>Preety</t>
        </is>
      </c>
      <c r="J16" s="9" t="n"/>
      <c r="K16" s="40" t="n">
        <v>46173</v>
      </c>
      <c r="L16" s="9" t="inlineStr">
        <is>
          <t>May</t>
        </is>
      </c>
      <c r="M16" s="41" t="n"/>
      <c r="N16" s="9" t="n"/>
      <c r="O16" s="9" t="n"/>
      <c r="P16" s="9" t="n"/>
      <c r="Q16" s="10" t="n">
        <v>46139</v>
      </c>
      <c r="R16" s="9" t="n"/>
      <c r="S16" s="10" t="n">
        <v>46139</v>
      </c>
      <c r="T16" s="10" t="n">
        <v>46139</v>
      </c>
      <c r="U16" s="9" t="n"/>
      <c r="V16" s="10" t="n">
        <v>46139</v>
      </c>
      <c r="W16" s="9" t="n"/>
      <c r="X16" s="9" t="inlineStr">
        <is>
          <t>Kelvin Hu</t>
        </is>
      </c>
      <c r="Y16" s="45" t="inlineStr">
        <is>
          <t>Yes</t>
        </is>
      </c>
      <c r="Z16" s="10" t="n">
        <v>46139</v>
      </c>
      <c r="AA16" s="49" t="inlineStr">
        <is>
          <t>https://app.powerbi.com/groups/me/apps/7767030c-f4c8-4488-b3cb-36a860cb6ff2/reports/c76693f4-bab2-46a1-ab2a-16752d7664fd/ea184ec020032ecbdd43?experience=power-bi</t>
        </is>
      </c>
      <c r="AB16" s="9" t="inlineStr">
        <is>
          <t>https://app.powerbi.com/groups/me/apps/5b29b0dd-a398-4801-84ce-f3a7d8435827/reports/9d9f5721-feb1-4ed3-91fd-18bc33ef38f1/ea184ec020032ecbdd43?experience=power-bi</t>
        </is>
      </c>
      <c r="AC16" s="46" t="inlineStr">
        <is>
          <t>No</t>
        </is>
      </c>
      <c r="AD16" s="9">
        <f>IF($B16="","",COUNTIF('Rework Log'!$A$3:$A$500,$B16))</f>
        <v/>
      </c>
      <c r="AE16" s="9">
        <f>IF(OR($B16="",$AM16=0),"",INDEX('Rework Log'!$C:$C,$AM16))</f>
        <v/>
      </c>
      <c r="AF16" s="10">
        <f>IF(OR($B16="",$AM16=0),"",INDEX('Rework Log'!$H:$H,$AM16))</f>
        <v/>
      </c>
      <c r="AG16" s="9">
        <f>IF(OR($B16="",$AM16=0),"",INDEX('Rework Log'!$G:$G,$AM16))</f>
        <v/>
      </c>
      <c r="AH16" s="47">
        <f>IF($B16="","",IF(W16&lt;&gt;"","DPO Approval",IF(T16&lt;&gt;"","QA",IF(Q16&lt;&gt;"","PBI Dev",IF(N16&lt;&gt;"","DB Dev","NOT STARTED")))))</f>
        <v/>
      </c>
      <c r="AI16" s="9">
        <f>IF($B16="","",IF(IF($C16="NOT STARTED",0,IF($C16="DB Dev",1,IF($C16="PBI Dev",2,IF($C16="QA",3,IF($C16="DPO Approval",4,IF($C16="RELEASED IN PROD",5,-1))))))&lt;IF($AH16="NOT STARTED",0,IF($AH16="DB Dev",1,IF($AH16="PBI Dev",2,IF($AH16="QA",3,IF($AH16="DPO Approval",4,IF($AH16="RELEASED IN PROD",5,-1)))))),"Yes - was already at "&amp;$AH16&amp;", now back at "&amp;$C16,"No"))</f>
        <v/>
      </c>
      <c r="AJ16" s="9">
        <f>IF($B16="","",IF(AND(T16&lt;&gt;"",N16&lt;&gt;"",T16&lt;N16),"QA target is before DB Dev target",IF(AND(T16&lt;&gt;"",Q16&lt;&gt;"",T16&lt;Q16),"QA target is before PBI Dev target",IF(AND(W16&lt;&gt;"",T16&lt;&gt;"",W16&lt;T16),"DPO Approval target is before QA target",IF(AND(Z16&lt;&gt;"",W16&lt;&gt;"",Z16&lt;W16),"Confirmed Deployed date is before DPO Approval target","")))))</f>
        <v/>
      </c>
      <c r="AK16" s="9">
        <f>IF($B16="","",IF(COUNTIF($B$2:$B$500,$B16)&gt;1,"Duplicate name - check row",""))</f>
        <v/>
      </c>
      <c r="AL16" s="48" t="n"/>
      <c r="AM16" s="9">
        <f>IF($B16="","",SUMPRODUCT(MAX(('Rework Log'!$A$3:$A$500=$B16)*ROW('Rework Log'!$A$3:$A$500))))</f>
        <v/>
      </c>
    </row>
    <row r="17">
      <c r="A17" s="9" t="inlineStr">
        <is>
          <t>Leaks</t>
        </is>
      </c>
      <c r="B17" s="9" t="inlineStr">
        <is>
          <t>RPT_04_CMS Leak Productivity</t>
        </is>
      </c>
      <c r="C17" s="9" t="inlineStr">
        <is>
          <t>RELEASED IN PROD</t>
        </is>
      </c>
      <c r="D17" s="9">
        <f>IF($B17="","",IF(LEFT($AC17,3)="Yes","Blocked - "&amp;MID($AC17,7,100),IF(C17="NOT STARTED",IF(K17="","No plan date set",IF(K17&lt;TODAY(),"Review - planned start passed","On track")),IF(C17="DB Dev",IF(N17="","No target set",IF(AND(N17&lt;TODAY(),P17=""),"Overdue","On track")),IF(C17="PBI Dev",IF(Q17="","No target set",IF(AND(Q17&lt;TODAY(),S17=""),"Overdue","On track")),IF(C17="QA",IF(T17="","No target set",IF(AND(T17&lt;TODAY(),V17=""),"Overdue","On track")),IF(C17="DPO Approval",IF(W17="","No target set",IF(W17&lt;TODAY(),"Overdue","On track")),IF(C17="RELEASED IN PROD","Delivered",""))))))))</f>
        <v/>
      </c>
      <c r="E17" s="9" t="n">
        <v>16</v>
      </c>
      <c r="F17" s="39" t="n"/>
      <c r="G17" s="9" t="inlineStr">
        <is>
          <t>Siddu</t>
        </is>
      </c>
      <c r="H17" s="9" t="inlineStr">
        <is>
          <t>Navya</t>
        </is>
      </c>
      <c r="I17" s="9" t="inlineStr">
        <is>
          <t>Preety</t>
        </is>
      </c>
      <c r="J17" s="9" t="n"/>
      <c r="K17" s="40" t="n">
        <v>46173</v>
      </c>
      <c r="L17" s="9" t="inlineStr">
        <is>
          <t>May</t>
        </is>
      </c>
      <c r="M17" s="41" t="n"/>
      <c r="N17" s="9" t="n"/>
      <c r="O17" s="9" t="n"/>
      <c r="P17" s="9" t="n"/>
      <c r="Q17" s="10" t="n">
        <v>46147</v>
      </c>
      <c r="R17" s="9" t="n"/>
      <c r="S17" s="10" t="n">
        <v>46147</v>
      </c>
      <c r="T17" s="10" t="n">
        <v>46147</v>
      </c>
      <c r="U17" s="9" t="n"/>
      <c r="V17" s="10" t="n">
        <v>46147</v>
      </c>
      <c r="W17" s="9" t="n"/>
      <c r="X17" s="9" t="inlineStr">
        <is>
          <t>Kelvin Hu</t>
        </is>
      </c>
      <c r="Y17" s="45" t="inlineStr">
        <is>
          <t>Yes</t>
        </is>
      </c>
      <c r="Z17" s="10" t="n">
        <v>46147</v>
      </c>
      <c r="AA17" s="49" t="inlineStr">
        <is>
          <t>https://app.powerbi.com/groups/me/apps/eedba83d-be9a-45f9-9504-7bfa41e6051a/reports/3440832e-c72e-45f2-b154-f6b1d66314fc/51a6cefeab19522827a6?experience=power-bi</t>
        </is>
      </c>
      <c r="AB17" s="9" t="inlineStr">
        <is>
          <t>https://app.powerbi.com/groups/me/apps/2c7180b1-0d3d-45be-979e-f7dc86b3557d/reports/18e31a06-f1af-4965-ad46-5a507f24ed56/51a6cefeab19522827a6?experience=power-bi</t>
        </is>
      </c>
      <c r="AC17" s="46" t="inlineStr">
        <is>
          <t>No</t>
        </is>
      </c>
      <c r="AD17" s="9">
        <f>IF($B17="","",COUNTIF('Rework Log'!$A$3:$A$500,$B17))</f>
        <v/>
      </c>
      <c r="AE17" s="9">
        <f>IF(OR($B17="",$AM17=0),"",INDEX('Rework Log'!$C:$C,$AM17))</f>
        <v/>
      </c>
      <c r="AF17" s="10">
        <f>IF(OR($B17="",$AM17=0),"",INDEX('Rework Log'!$H:$H,$AM17))</f>
        <v/>
      </c>
      <c r="AG17" s="9">
        <f>IF(OR($B17="",$AM17=0),"",INDEX('Rework Log'!$G:$G,$AM17))</f>
        <v/>
      </c>
      <c r="AH17" s="47">
        <f>IF($B17="","",IF(W17&lt;&gt;"","DPO Approval",IF(T17&lt;&gt;"","QA",IF(Q17&lt;&gt;"","PBI Dev",IF(N17&lt;&gt;"","DB Dev","NOT STARTED")))))</f>
        <v/>
      </c>
      <c r="AI17" s="9">
        <f>IF($B17="","",IF(IF($C17="NOT STARTED",0,IF($C17="DB Dev",1,IF($C17="PBI Dev",2,IF($C17="QA",3,IF($C17="DPO Approval",4,IF($C17="RELEASED IN PROD",5,-1))))))&lt;IF($AH17="NOT STARTED",0,IF($AH17="DB Dev",1,IF($AH17="PBI Dev",2,IF($AH17="QA",3,IF($AH17="DPO Approval",4,IF($AH17="RELEASED IN PROD",5,-1)))))),"Yes - was already at "&amp;$AH17&amp;", now back at "&amp;$C17,"No"))</f>
        <v/>
      </c>
      <c r="AJ17" s="9">
        <f>IF($B17="","",IF(AND(T17&lt;&gt;"",N17&lt;&gt;"",T17&lt;N17),"QA target is before DB Dev target",IF(AND(T17&lt;&gt;"",Q17&lt;&gt;"",T17&lt;Q17),"QA target is before PBI Dev target",IF(AND(W17&lt;&gt;"",T17&lt;&gt;"",W17&lt;T17),"DPO Approval target is before QA target",IF(AND(Z17&lt;&gt;"",W17&lt;&gt;"",Z17&lt;W17),"Confirmed Deployed date is before DPO Approval target","")))))</f>
        <v/>
      </c>
      <c r="AK17" s="9">
        <f>IF($B17="","",IF(COUNTIF($B$2:$B$500,$B17)&gt;1,"Duplicate name - check row",""))</f>
        <v/>
      </c>
      <c r="AL17" s="48" t="n"/>
      <c r="AM17" s="9">
        <f>IF($B17="","",SUMPRODUCT(MAX(('Rework Log'!$A$3:$A$500=$B17)*ROW('Rework Log'!$A$3:$A$500))))</f>
        <v/>
      </c>
    </row>
    <row r="18">
      <c r="A18" s="9" t="inlineStr">
        <is>
          <t>Leaks</t>
        </is>
      </c>
      <c r="B18" s="9" t="inlineStr">
        <is>
          <t>RPT_04_Main Break Corrosion and Leak Cluster</t>
        </is>
      </c>
      <c r="C18" s="9" t="inlineStr">
        <is>
          <t>RELEASED IN PROD</t>
        </is>
      </c>
      <c r="D18" s="9">
        <f>IF($B18="","",IF(LEFT($AC18,3)="Yes","Blocked - "&amp;MID($AC18,7,100),IF(C18="NOT STARTED",IF(K18="","No plan date set",IF(K18&lt;TODAY(),"Review - planned start passed","On track")),IF(C18="DB Dev",IF(N18="","No target set",IF(AND(N18&lt;TODAY(),P18=""),"Overdue","On track")),IF(C18="PBI Dev",IF(Q18="","No target set",IF(AND(Q18&lt;TODAY(),S18=""),"Overdue","On track")),IF(C18="QA",IF(T18="","No target set",IF(AND(T18&lt;TODAY(),V18=""),"Overdue","On track")),IF(C18="DPO Approval",IF(W18="","No target set",IF(W18&lt;TODAY(),"Overdue","On track")),IF(C18="RELEASED IN PROD","Delivered",""))))))))</f>
        <v/>
      </c>
      <c r="E18" s="9" t="n">
        <v>17</v>
      </c>
      <c r="F18" s="39" t="n"/>
      <c r="G18" s="9" t="inlineStr">
        <is>
          <t>Siddu</t>
        </is>
      </c>
      <c r="H18" s="9" t="inlineStr">
        <is>
          <t>Sarath</t>
        </is>
      </c>
      <c r="I18" s="9" t="inlineStr">
        <is>
          <t>Kelvin</t>
        </is>
      </c>
      <c r="J18" s="9" t="n"/>
      <c r="K18" s="40" t="n">
        <v>46173</v>
      </c>
      <c r="L18" s="9" t="inlineStr">
        <is>
          <t>May</t>
        </is>
      </c>
      <c r="M18" s="41" t="n"/>
      <c r="N18" s="9" t="n"/>
      <c r="O18" s="9" t="n"/>
      <c r="P18" s="9" t="n"/>
      <c r="Q18" s="10" t="n">
        <v>46175</v>
      </c>
      <c r="R18" s="9" t="n"/>
      <c r="S18" s="10" t="n">
        <v>46175</v>
      </c>
      <c r="T18" s="10" t="n">
        <v>46179</v>
      </c>
      <c r="U18" s="9" t="n"/>
      <c r="V18" s="10" t="n">
        <v>46179</v>
      </c>
      <c r="W18" s="9" t="n"/>
      <c r="X18" s="9" t="inlineStr">
        <is>
          <t>Kelvin Hu</t>
        </is>
      </c>
      <c r="Y18" s="45" t="inlineStr">
        <is>
          <t>Yes</t>
        </is>
      </c>
      <c r="Z18" s="10" t="n">
        <v>46179</v>
      </c>
      <c r="AA18" s="49" t="inlineStr">
        <is>
          <t>https://app.powerbi.com/groups/me/apps/eedba83d-be9a-45f9-9504-7bfa41e6051a/reports/efc0a204-1a7b-4be6-8334-c7582c9093b8/ReportSection81bc1123208781ca563a?experience=power-bi</t>
        </is>
      </c>
      <c r="AB18" s="9" t="n"/>
      <c r="AC18" s="46" t="inlineStr">
        <is>
          <t>No</t>
        </is>
      </c>
      <c r="AD18" s="9">
        <f>IF($B18="","",COUNTIF('Rework Log'!$A$3:$A$500,$B18))</f>
        <v/>
      </c>
      <c r="AE18" s="9">
        <f>IF(OR($B18="",$AM18=0),"",INDEX('Rework Log'!$C:$C,$AM18))</f>
        <v/>
      </c>
      <c r="AF18" s="10">
        <f>IF(OR($B18="",$AM18=0),"",INDEX('Rework Log'!$H:$H,$AM18))</f>
        <v/>
      </c>
      <c r="AG18" s="9">
        <f>IF(OR($B18="",$AM18=0),"",INDEX('Rework Log'!$G:$G,$AM18))</f>
        <v/>
      </c>
      <c r="AH18" s="47">
        <f>IF($B18="","",IF(W18&lt;&gt;"","DPO Approval",IF(T18&lt;&gt;"","QA",IF(Q18&lt;&gt;"","PBI Dev",IF(N18&lt;&gt;"","DB Dev","NOT STARTED")))))</f>
        <v/>
      </c>
      <c r="AI18" s="9">
        <f>IF($B18="","",IF(IF($C18="NOT STARTED",0,IF($C18="DB Dev",1,IF($C18="PBI Dev",2,IF($C18="QA",3,IF($C18="DPO Approval",4,IF($C18="RELEASED IN PROD",5,-1))))))&lt;IF($AH18="NOT STARTED",0,IF($AH18="DB Dev",1,IF($AH18="PBI Dev",2,IF($AH18="QA",3,IF($AH18="DPO Approval",4,IF($AH18="RELEASED IN PROD",5,-1)))))),"Yes - was already at "&amp;$AH18&amp;", now back at "&amp;$C18,"No"))</f>
        <v/>
      </c>
      <c r="AJ18" s="9">
        <f>IF($B18="","",IF(AND(T18&lt;&gt;"",N18&lt;&gt;"",T18&lt;N18),"QA target is before DB Dev target",IF(AND(T18&lt;&gt;"",Q18&lt;&gt;"",T18&lt;Q18),"QA target is before PBI Dev target",IF(AND(W18&lt;&gt;"",T18&lt;&gt;"",W18&lt;T18),"DPO Approval target is before QA target",IF(AND(Z18&lt;&gt;"",W18&lt;&gt;"",Z18&lt;W18),"Confirmed Deployed date is before DPO Approval target","")))))</f>
        <v/>
      </c>
      <c r="AK18" s="9">
        <f>IF($B18="","",IF(COUNTIF($B$2:$B$500,$B18)&gt;1,"Duplicate name - check row",""))</f>
        <v/>
      </c>
      <c r="AL18" s="48" t="n"/>
      <c r="AM18" s="9">
        <f>IF($B18="","",SUMPRODUCT(MAX(('Rework Log'!$A$3:$A$500=$B18)*ROW('Rework Log'!$A$3:$A$500))))</f>
        <v/>
      </c>
    </row>
    <row r="19">
      <c r="A19" s="9" t="inlineStr">
        <is>
          <t>Leaks</t>
        </is>
      </c>
      <c r="B19" s="9" t="inlineStr">
        <is>
          <t>RPT_04_Leak Summary Status</t>
        </is>
      </c>
      <c r="C19" s="9" t="inlineStr">
        <is>
          <t>RELEASED IN PROD</t>
        </is>
      </c>
      <c r="D19" s="9">
        <f>IF($B19="","",IF(LEFT($AC19,3)="Yes","Blocked - "&amp;MID($AC19,7,100),IF(C19="NOT STARTED",IF(K19="","No plan date set",IF(K19&lt;TODAY(),"Review - planned start passed","On track")),IF(C19="DB Dev",IF(N19="","No target set",IF(AND(N19&lt;TODAY(),P19=""),"Overdue","On track")),IF(C19="PBI Dev",IF(Q19="","No target set",IF(AND(Q19&lt;TODAY(),S19=""),"Overdue","On track")),IF(C19="QA",IF(T19="","No target set",IF(AND(T19&lt;TODAY(),V19=""),"Overdue","On track")),IF(C19="DPO Approval",IF(W19="","No target set",IF(W19&lt;TODAY(),"Overdue","On track")),IF(C19="RELEASED IN PROD","Delivered",""))))))))</f>
        <v/>
      </c>
      <c r="E19" s="9" t="n">
        <v>18</v>
      </c>
      <c r="F19" s="39" t="n"/>
      <c r="G19" s="9" t="inlineStr">
        <is>
          <t>Fetwi</t>
        </is>
      </c>
      <c r="H19" s="9" t="inlineStr">
        <is>
          <t>Navya</t>
        </is>
      </c>
      <c r="I19" s="9" t="inlineStr">
        <is>
          <t>Kelvin</t>
        </is>
      </c>
      <c r="J19" s="9" t="n"/>
      <c r="K19" s="40" t="n">
        <v>46173</v>
      </c>
      <c r="L19" s="9" t="inlineStr">
        <is>
          <t>May</t>
        </is>
      </c>
      <c r="M19" s="41" t="n"/>
      <c r="N19" s="9" t="n"/>
      <c r="O19" s="9" t="n"/>
      <c r="P19" s="9" t="n"/>
      <c r="Q19" s="10" t="n">
        <v>46143</v>
      </c>
      <c r="R19" s="9" t="n"/>
      <c r="S19" s="10" t="n">
        <v>46143</v>
      </c>
      <c r="T19" s="10" t="n">
        <v>46175</v>
      </c>
      <c r="U19" s="9" t="n"/>
      <c r="V19" s="10" t="n">
        <v>46175</v>
      </c>
      <c r="W19" s="10" t="n">
        <v>46184</v>
      </c>
      <c r="X19" s="9" t="inlineStr">
        <is>
          <t>Kelvin Hu</t>
        </is>
      </c>
      <c r="Y19" s="45" t="inlineStr">
        <is>
          <t>Yes</t>
        </is>
      </c>
      <c r="Z19" s="10" t="n">
        <v>46184</v>
      </c>
      <c r="AA19" s="49" t="inlineStr">
        <is>
          <t>https://app.powerbi.com/groups/me/apps/7767030c-f4c8-4488-b3cb-36a860cb6ff2/reports/184a9cdc-83f5-40b0-940d-d901ad9fb404/ReportSection6d915001f68ea4805272?ctid=f98a6a53-25f3-4212-901c-c7787fcd3495&amp;experience=power-bi</t>
        </is>
      </c>
      <c r="AB19" s="9" t="inlineStr">
        <is>
          <t>https://app.powerbi.com/groups/me/apps/5b29b0dd-a398-4801-84ce-f3a7d8435827/reports/f7af2903-2d63-497e-b262-100f5a3b500b/ReportSection6d915001f68ea4805272?ctid=f98a6a53-25f3-4212-901c-c7787fcd3495&amp;experience=power-bi</t>
        </is>
      </c>
      <c r="AC19" s="46" t="inlineStr">
        <is>
          <t>No</t>
        </is>
      </c>
      <c r="AD19" s="9">
        <f>IF($B19="","",COUNTIF('Rework Log'!$A$3:$A$500,$B19))</f>
        <v/>
      </c>
      <c r="AE19" s="9">
        <f>IF(OR($B19="",$AM19=0),"",INDEX('Rework Log'!$C:$C,$AM19))</f>
        <v/>
      </c>
      <c r="AF19" s="10">
        <f>IF(OR($B19="",$AM19=0),"",INDEX('Rework Log'!$H:$H,$AM19))</f>
        <v/>
      </c>
      <c r="AG19" s="9">
        <f>IF(OR($B19="",$AM19=0),"",INDEX('Rework Log'!$G:$G,$AM19))</f>
        <v/>
      </c>
      <c r="AH19" s="47">
        <f>IF($B19="","",IF(W19&lt;&gt;"","DPO Approval",IF(T19&lt;&gt;"","QA",IF(Q19&lt;&gt;"","PBI Dev",IF(N19&lt;&gt;"","DB Dev","NOT STARTED")))))</f>
        <v/>
      </c>
      <c r="AI19" s="9">
        <f>IF($B19="","",IF(IF($C19="NOT STARTED",0,IF($C19="DB Dev",1,IF($C19="PBI Dev",2,IF($C19="QA",3,IF($C19="DPO Approval",4,IF($C19="RELEASED IN PROD",5,-1))))))&lt;IF($AH19="NOT STARTED",0,IF($AH19="DB Dev",1,IF($AH19="PBI Dev",2,IF($AH19="QA",3,IF($AH19="DPO Approval",4,IF($AH19="RELEASED IN PROD",5,-1)))))),"Yes - was already at "&amp;$AH19&amp;", now back at "&amp;$C19,"No"))</f>
        <v/>
      </c>
      <c r="AJ19" s="9">
        <f>IF($B19="","",IF(AND(T19&lt;&gt;"",N19&lt;&gt;"",T19&lt;N19),"QA target is before DB Dev target",IF(AND(T19&lt;&gt;"",Q19&lt;&gt;"",T19&lt;Q19),"QA target is before PBI Dev target",IF(AND(W19&lt;&gt;"",T19&lt;&gt;"",W19&lt;T19),"DPO Approval target is before QA target",IF(AND(Z19&lt;&gt;"",W19&lt;&gt;"",Z19&lt;W19),"Confirmed Deployed date is before DPO Approval target","")))))</f>
        <v/>
      </c>
      <c r="AK19" s="9">
        <f>IF($B19="","",IF(COUNTIF($B$2:$B$500,$B19)&gt;1,"Duplicate name - check row",""))</f>
        <v/>
      </c>
      <c r="AL19" s="48" t="n"/>
      <c r="AM19" s="9">
        <f>IF($B19="","",SUMPRODUCT(MAX(('Rework Log'!$A$3:$A$500=$B19)*ROW('Rework Log'!$A$3:$A$500))))</f>
        <v/>
      </c>
    </row>
    <row r="20">
      <c r="A20" s="9" t="inlineStr">
        <is>
          <t>Leaks</t>
        </is>
      </c>
      <c r="B20" s="9" t="inlineStr">
        <is>
          <t>RPT_04_PSC Leak Printout</t>
        </is>
      </c>
      <c r="C20" s="9" t="inlineStr">
        <is>
          <t>RELEASED IN PROD</t>
        </is>
      </c>
      <c r="D20" s="9">
        <f>IF($B20="","",IF(LEFT($AC20,3)="Yes","Blocked - "&amp;MID($AC20,7,100),IF(C20="NOT STARTED",IF(K20="","No plan date set",IF(K20&lt;TODAY(),"Review - planned start passed","On track")),IF(C20="DB Dev",IF(N20="","No target set",IF(AND(N20&lt;TODAY(),P20=""),"Overdue","On track")),IF(C20="PBI Dev",IF(Q20="","No target set",IF(AND(Q20&lt;TODAY(),S20=""),"Overdue","On track")),IF(C20="QA",IF(T20="","No target set",IF(AND(T20&lt;TODAY(),V20=""),"Overdue","On track")),IF(C20="DPO Approval",IF(W20="","No target set",IF(W20&lt;TODAY(),"Overdue","On track")),IF(C20="RELEASED IN PROD","Delivered",""))))))))</f>
        <v/>
      </c>
      <c r="E20" s="9" t="n">
        <v>19</v>
      </c>
      <c r="F20" s="39" t="n"/>
      <c r="G20" s="9" t="inlineStr">
        <is>
          <t>Fetwi</t>
        </is>
      </c>
      <c r="H20" s="9" t="inlineStr">
        <is>
          <t>Shraddha</t>
        </is>
      </c>
      <c r="I20" s="9" t="inlineStr">
        <is>
          <t>Preety</t>
        </is>
      </c>
      <c r="J20" s="9" t="n"/>
      <c r="K20" s="40" t="n">
        <v>46173</v>
      </c>
      <c r="L20" s="9" t="inlineStr">
        <is>
          <t>May</t>
        </is>
      </c>
      <c r="M20" s="41" t="n"/>
      <c r="N20" s="10" t="n">
        <v>46175</v>
      </c>
      <c r="O20" s="9" t="n"/>
      <c r="P20" s="10" t="n">
        <v>46175</v>
      </c>
      <c r="Q20" s="10" t="n">
        <v>46178</v>
      </c>
      <c r="R20" s="9" t="n"/>
      <c r="S20" s="10" t="n">
        <v>46178</v>
      </c>
      <c r="T20" s="10" t="n">
        <v>46175</v>
      </c>
      <c r="U20" s="9" t="n"/>
      <c r="V20" s="10" t="n">
        <v>46175</v>
      </c>
      <c r="W20" s="10" t="n">
        <v>46192</v>
      </c>
      <c r="X20" s="9" t="inlineStr">
        <is>
          <t>Kelvin Hu</t>
        </is>
      </c>
      <c r="Y20" s="45" t="inlineStr">
        <is>
          <t>Yes</t>
        </is>
      </c>
      <c r="Z20" s="10" t="n">
        <v>46192</v>
      </c>
      <c r="AA20" s="49" t="inlineStr">
        <is>
          <t>https://app.powerbi.com/groups/me/apps/61b18507-2848-49b9-aacc-32c49ffe1e0b/rdlreports/84ee7713-075e-496c-8610-43022c6a55ab?ctid=f98a6a53-25f3-4212-901c-c7787fcd3495&amp;experience=power-bi</t>
        </is>
      </c>
      <c r="AB20" s="9" t="n"/>
      <c r="AC20" s="46" t="inlineStr">
        <is>
          <t>No</t>
        </is>
      </c>
      <c r="AD20" s="9">
        <f>IF($B20="","",COUNTIF('Rework Log'!$A$3:$A$500,$B20))</f>
        <v/>
      </c>
      <c r="AE20" s="9">
        <f>IF(OR($B20="",$AM20=0),"",INDEX('Rework Log'!$C:$C,$AM20))</f>
        <v/>
      </c>
      <c r="AF20" s="10">
        <f>IF(OR($B20="",$AM20=0),"",INDEX('Rework Log'!$H:$H,$AM20))</f>
        <v/>
      </c>
      <c r="AG20" s="9">
        <f>IF(OR($B20="",$AM20=0),"",INDEX('Rework Log'!$G:$G,$AM20))</f>
        <v/>
      </c>
      <c r="AH20" s="47">
        <f>IF($B20="","",IF(W20&lt;&gt;"","DPO Approval",IF(T20&lt;&gt;"","QA",IF(Q20&lt;&gt;"","PBI Dev",IF(N20&lt;&gt;"","DB Dev","NOT STARTED")))))</f>
        <v/>
      </c>
      <c r="AI20" s="9">
        <f>IF($B20="","",IF(IF($C20="NOT STARTED",0,IF($C20="DB Dev",1,IF($C20="PBI Dev",2,IF($C20="QA",3,IF($C20="DPO Approval",4,IF($C20="RELEASED IN PROD",5,-1))))))&lt;IF($AH20="NOT STARTED",0,IF($AH20="DB Dev",1,IF($AH20="PBI Dev",2,IF($AH20="QA",3,IF($AH20="DPO Approval",4,IF($AH20="RELEASED IN PROD",5,-1)))))),"Yes - was already at "&amp;$AH20&amp;", now back at "&amp;$C20,"No"))</f>
        <v/>
      </c>
      <c r="AJ20" s="9">
        <f>IF($B20="","",IF(AND(T20&lt;&gt;"",N20&lt;&gt;"",T20&lt;N20),"QA target is before DB Dev target",IF(AND(T20&lt;&gt;"",Q20&lt;&gt;"",T20&lt;Q20),"QA target is before PBI Dev target",IF(AND(W20&lt;&gt;"",T20&lt;&gt;"",W20&lt;T20),"DPO Approval target is before QA target",IF(AND(Z20&lt;&gt;"",W20&lt;&gt;"",Z20&lt;W20),"Confirmed Deployed date is before DPO Approval target","")))))</f>
        <v/>
      </c>
      <c r="AK20" s="9">
        <f>IF($B20="","",IF(COUNTIF($B$2:$B$500,$B20)&gt;1,"Duplicate name - check row",""))</f>
        <v/>
      </c>
      <c r="AL20" s="48" t="inlineStr">
        <is>
          <t>[Historical, May/June 2026]: Fetwi was investigating a slowness issue in this report.</t>
        </is>
      </c>
      <c r="AM20" s="9">
        <f>IF($B20="","",SUMPRODUCT(MAX(('Rework Log'!$A$3:$A$500=$B20)*ROW('Rework Log'!$A$3:$A$500))))</f>
        <v/>
      </c>
    </row>
    <row r="21">
      <c r="A21" s="9" t="inlineStr">
        <is>
          <t>Leaks</t>
        </is>
      </c>
      <c r="B21" s="9" t="inlineStr">
        <is>
          <t>RPT_04_Leak Control Report</t>
        </is>
      </c>
      <c r="C21" s="9" t="inlineStr">
        <is>
          <t>RELEASED IN PROD</t>
        </is>
      </c>
      <c r="D21" s="9">
        <f>IF($B21="","",IF(LEFT($AC21,3)="Yes","Blocked - "&amp;MID($AC21,7,100),IF(C21="NOT STARTED",IF(K21="","No plan date set",IF(K21&lt;TODAY(),"Review - planned start passed","On track")),IF(C21="DB Dev",IF(N21="","No target set",IF(AND(N21&lt;TODAY(),P21=""),"Overdue","On track")),IF(C21="PBI Dev",IF(Q21="","No target set",IF(AND(Q21&lt;TODAY(),S21=""),"Overdue","On track")),IF(C21="QA",IF(T21="","No target set",IF(AND(T21&lt;TODAY(),V21=""),"Overdue","On track")),IF(C21="DPO Approval",IF(W21="","No target set",IF(W21&lt;TODAY(),"Overdue","On track")),IF(C21="RELEASED IN PROD","Delivered",""))))))))</f>
        <v/>
      </c>
      <c r="E21" s="9" t="n">
        <v>20</v>
      </c>
      <c r="F21" s="39" t="n"/>
      <c r="G21" s="9" t="inlineStr">
        <is>
          <t>Geetha</t>
        </is>
      </c>
      <c r="H21" s="9" t="inlineStr">
        <is>
          <t>Navya</t>
        </is>
      </c>
      <c r="I21" s="9" t="inlineStr">
        <is>
          <t>Preety</t>
        </is>
      </c>
      <c r="J21" s="9" t="n"/>
      <c r="K21" s="40" t="n">
        <v>46203</v>
      </c>
      <c r="L21" s="9" t="inlineStr">
        <is>
          <t>June</t>
        </is>
      </c>
      <c r="M21" s="41" t="n"/>
      <c r="N21" s="10" t="n">
        <v>46148</v>
      </c>
      <c r="O21" s="9" t="n"/>
      <c r="P21" s="10" t="n">
        <v>46148</v>
      </c>
      <c r="Q21" s="10" t="n">
        <v>46183</v>
      </c>
      <c r="R21" s="9" t="n"/>
      <c r="S21" s="10" t="n">
        <v>46183</v>
      </c>
      <c r="T21" s="10" t="n">
        <v>46195</v>
      </c>
      <c r="U21" s="9" t="n"/>
      <c r="V21" s="10" t="n">
        <v>46195</v>
      </c>
      <c r="W21" s="9" t="n"/>
      <c r="X21" s="9" t="n"/>
      <c r="Y21" s="45" t="inlineStr">
        <is>
          <t>Yes</t>
        </is>
      </c>
      <c r="Z21" s="10" t="n">
        <v>46195</v>
      </c>
      <c r="AA21" s="49" t="n"/>
      <c r="AB21" s="9" t="n"/>
      <c r="AC21" s="46" t="inlineStr">
        <is>
          <t>No</t>
        </is>
      </c>
      <c r="AD21" s="9">
        <f>IF($B21="","",COUNTIF('Rework Log'!$A$3:$A$500,$B21))</f>
        <v/>
      </c>
      <c r="AE21" s="9">
        <f>IF(OR($B21="",$AM21=0),"",INDEX('Rework Log'!$C:$C,$AM21))</f>
        <v/>
      </c>
      <c r="AF21" s="10">
        <f>IF(OR($B21="",$AM21=0),"",INDEX('Rework Log'!$H:$H,$AM21))</f>
        <v/>
      </c>
      <c r="AG21" s="9">
        <f>IF(OR($B21="",$AM21=0),"",INDEX('Rework Log'!$G:$G,$AM21))</f>
        <v/>
      </c>
      <c r="AH21" s="47">
        <f>IF($B21="","",IF(W21&lt;&gt;"","DPO Approval",IF(T21&lt;&gt;"","QA",IF(Q21&lt;&gt;"","PBI Dev",IF(N21&lt;&gt;"","DB Dev","NOT STARTED")))))</f>
        <v/>
      </c>
      <c r="AI21" s="9">
        <f>IF($B21="","",IF(IF($C21="NOT STARTED",0,IF($C21="DB Dev",1,IF($C21="PBI Dev",2,IF($C21="QA",3,IF($C21="DPO Approval",4,IF($C21="RELEASED IN PROD",5,-1))))))&lt;IF($AH21="NOT STARTED",0,IF($AH21="DB Dev",1,IF($AH21="PBI Dev",2,IF($AH21="QA",3,IF($AH21="DPO Approval",4,IF($AH21="RELEASED IN PROD",5,-1)))))),"Yes - was already at "&amp;$AH21&amp;", now back at "&amp;$C21,"No"))</f>
        <v/>
      </c>
      <c r="AJ21" s="9">
        <f>IF($B21="","",IF(AND(T21&lt;&gt;"",N21&lt;&gt;"",T21&lt;N21),"QA target is before DB Dev target",IF(AND(T21&lt;&gt;"",Q21&lt;&gt;"",T21&lt;Q21),"QA target is before PBI Dev target",IF(AND(W21&lt;&gt;"",T21&lt;&gt;"",W21&lt;T21),"DPO Approval target is before QA target",IF(AND(Z21&lt;&gt;"",W21&lt;&gt;"",Z21&lt;W21),"Confirmed Deployed date is before DPO Approval target","")))))</f>
        <v/>
      </c>
      <c r="AK21" s="9">
        <f>IF($B21="","",IF(COUNTIF($B$2:$B$500,$B21)&gt;1,"Duplicate name - check row",""))</f>
        <v/>
      </c>
      <c r="AL21" s="48" t="n"/>
      <c r="AM21" s="9">
        <f>IF($B21="","",SUMPRODUCT(MAX(('Rework Log'!$A$3:$A$500=$B21)*ROW('Rework Log'!$A$3:$A$500))))</f>
        <v/>
      </c>
    </row>
    <row r="22">
      <c r="A22" s="9" t="inlineStr">
        <is>
          <t>Leaks</t>
        </is>
      </c>
      <c r="B22" s="9" t="inlineStr">
        <is>
          <t>RPT_04_Leak Life Cycle</t>
        </is>
      </c>
      <c r="C22" s="9" t="inlineStr">
        <is>
          <t>RELEASED IN PROD</t>
        </is>
      </c>
      <c r="D22" s="9">
        <f>IF($B22="","",IF(LEFT($AC22,3)="Yes","Blocked - "&amp;MID($AC22,7,100),IF(C22="NOT STARTED",IF(K22="","No plan date set",IF(K22&lt;TODAY(),"Review - planned start passed","On track")),IF(C22="DB Dev",IF(N22="","No target set",IF(AND(N22&lt;TODAY(),P22=""),"Overdue","On track")),IF(C22="PBI Dev",IF(Q22="","No target set",IF(AND(Q22&lt;TODAY(),S22=""),"Overdue","On track")),IF(C22="QA",IF(T22="","No target set",IF(AND(T22&lt;TODAY(),V22=""),"Overdue","On track")),IF(C22="DPO Approval",IF(W22="","No target set",IF(W22&lt;TODAY(),"Overdue","On track")),IF(C22="RELEASED IN PROD","Delivered",""))))))))</f>
        <v/>
      </c>
      <c r="E22" s="9" t="n">
        <v>21</v>
      </c>
      <c r="F22" s="39" t="n"/>
      <c r="G22" s="9" t="inlineStr">
        <is>
          <t>Geetha</t>
        </is>
      </c>
      <c r="H22" s="9" t="inlineStr">
        <is>
          <t>Shraddha</t>
        </is>
      </c>
      <c r="I22" s="9" t="inlineStr">
        <is>
          <t>Preety</t>
        </is>
      </c>
      <c r="J22" s="9" t="n"/>
      <c r="K22" s="40" t="n">
        <v>46203</v>
      </c>
      <c r="L22" s="9" t="inlineStr">
        <is>
          <t>June</t>
        </is>
      </c>
      <c r="M22" s="41" t="n"/>
      <c r="N22" s="10" t="n">
        <v>46162</v>
      </c>
      <c r="O22" s="9" t="n"/>
      <c r="P22" s="10" t="n">
        <v>46162</v>
      </c>
      <c r="Q22" s="10" t="n">
        <v>46182</v>
      </c>
      <c r="R22" s="9" t="n"/>
      <c r="S22" s="10" t="n">
        <v>46182</v>
      </c>
      <c r="T22" s="10" t="n">
        <v>46198</v>
      </c>
      <c r="U22" s="9" t="n"/>
      <c r="V22" s="10" t="n">
        <v>46198</v>
      </c>
      <c r="W22" s="9" t="n"/>
      <c r="X22" s="9" t="n"/>
      <c r="Y22" s="45" t="inlineStr">
        <is>
          <t>Yes</t>
        </is>
      </c>
      <c r="Z22" s="10" t="n">
        <v>46198</v>
      </c>
      <c r="AA22" s="49" t="n"/>
      <c r="AB22" s="9" t="n"/>
      <c r="AC22" s="46" t="inlineStr">
        <is>
          <t>No</t>
        </is>
      </c>
      <c r="AD22" s="9">
        <f>IF($B22="","",COUNTIF('Rework Log'!$A$3:$A$500,$B22))</f>
        <v/>
      </c>
      <c r="AE22" s="9">
        <f>IF(OR($B22="",$AM22=0),"",INDEX('Rework Log'!$C:$C,$AM22))</f>
        <v/>
      </c>
      <c r="AF22" s="10">
        <f>IF(OR($B22="",$AM22=0),"",INDEX('Rework Log'!$H:$H,$AM22))</f>
        <v/>
      </c>
      <c r="AG22" s="9">
        <f>IF(OR($B22="",$AM22=0),"",INDEX('Rework Log'!$G:$G,$AM22))</f>
        <v/>
      </c>
      <c r="AH22" s="47">
        <f>IF($B22="","",IF(W22&lt;&gt;"","DPO Approval",IF(T22&lt;&gt;"","QA",IF(Q22&lt;&gt;"","PBI Dev",IF(N22&lt;&gt;"","DB Dev","NOT STARTED")))))</f>
        <v/>
      </c>
      <c r="AI22" s="9">
        <f>IF($B22="","",IF(IF($C22="NOT STARTED",0,IF($C22="DB Dev",1,IF($C22="PBI Dev",2,IF($C22="QA",3,IF($C22="DPO Approval",4,IF($C22="RELEASED IN PROD",5,-1))))))&lt;IF($AH22="NOT STARTED",0,IF($AH22="DB Dev",1,IF($AH22="PBI Dev",2,IF($AH22="QA",3,IF($AH22="DPO Approval",4,IF($AH22="RELEASED IN PROD",5,-1)))))),"Yes - was already at "&amp;$AH22&amp;", now back at "&amp;$C22,"No"))</f>
        <v/>
      </c>
      <c r="AJ22" s="9">
        <f>IF($B22="","",IF(AND(T22&lt;&gt;"",N22&lt;&gt;"",T22&lt;N22),"QA target is before DB Dev target",IF(AND(T22&lt;&gt;"",Q22&lt;&gt;"",T22&lt;Q22),"QA target is before PBI Dev target",IF(AND(W22&lt;&gt;"",T22&lt;&gt;"",W22&lt;T22),"DPO Approval target is before QA target",IF(AND(Z22&lt;&gt;"",W22&lt;&gt;"",Z22&lt;W22),"Confirmed Deployed date is before DPO Approval target","")))))</f>
        <v/>
      </c>
      <c r="AK22" s="9">
        <f>IF($B22="","",IF(COUNTIF($B$2:$B$500,$B22)&gt;1,"Duplicate name - check row",""))</f>
        <v/>
      </c>
      <c r="AL22" s="48" t="inlineStr">
        <is>
          <t>[Historical, June 2026]: Waiting on Kelvin's approval to deploy to UAT.</t>
        </is>
      </c>
      <c r="AM22" s="9">
        <f>IF($B22="","",SUMPRODUCT(MAX(('Rework Log'!$A$3:$A$500=$B22)*ROW('Rework Log'!$A$3:$A$500))))</f>
        <v/>
      </c>
    </row>
    <row r="23">
      <c r="A23" s="9" t="inlineStr">
        <is>
          <t>Leaks</t>
        </is>
      </c>
      <c r="B23" s="9" t="inlineStr">
        <is>
          <t>RPT_04_Leak Life Cycle Legacy LMS LI</t>
        </is>
      </c>
      <c r="C23" s="9" t="inlineStr">
        <is>
          <t>RELEASED IN PROD</t>
        </is>
      </c>
      <c r="D23" s="9">
        <f>IF($B23="","",IF(LEFT($AC23,3)="Yes","Blocked - "&amp;MID($AC23,7,100),IF(C23="NOT STARTED",IF(K23="","No plan date set",IF(K23&lt;TODAY(),"Review - planned start passed","On track")),IF(C23="DB Dev",IF(N23="","No target set",IF(AND(N23&lt;TODAY(),P23=""),"Overdue","On track")),IF(C23="PBI Dev",IF(Q23="","No target set",IF(AND(Q23&lt;TODAY(),S23=""),"Overdue","On track")),IF(C23="QA",IF(T23="","No target set",IF(AND(T23&lt;TODAY(),V23=""),"Overdue","On track")),IF(C23="DPO Approval",IF(W23="","No target set",IF(W23&lt;TODAY(),"Overdue","On track")),IF(C23="RELEASED IN PROD","Delivered",""))))))))</f>
        <v/>
      </c>
      <c r="E23" s="9" t="n">
        <v>22</v>
      </c>
      <c r="F23" s="39" t="n"/>
      <c r="G23" s="9" t="inlineStr">
        <is>
          <t>Fetwi</t>
        </is>
      </c>
      <c r="H23" s="9" t="inlineStr">
        <is>
          <t>Navya</t>
        </is>
      </c>
      <c r="I23" s="9" t="inlineStr">
        <is>
          <t>Preety</t>
        </is>
      </c>
      <c r="J23" s="9" t="n"/>
      <c r="K23" s="40" t="n">
        <v>46203</v>
      </c>
      <c r="L23" s="9" t="inlineStr">
        <is>
          <t>June</t>
        </is>
      </c>
      <c r="M23" s="41" t="n"/>
      <c r="N23" s="10" t="n">
        <v>46168</v>
      </c>
      <c r="O23" s="9" t="n"/>
      <c r="P23" s="10" t="n">
        <v>46168</v>
      </c>
      <c r="Q23" s="10" t="n">
        <v>46183</v>
      </c>
      <c r="R23" s="9" t="n"/>
      <c r="S23" s="10" t="n">
        <v>46183</v>
      </c>
      <c r="T23" s="10" t="n">
        <v>46198</v>
      </c>
      <c r="U23" s="9" t="n"/>
      <c r="V23" s="10" t="n">
        <v>46198</v>
      </c>
      <c r="W23" s="9" t="n"/>
      <c r="X23" s="9" t="n"/>
      <c r="Y23" s="45" t="inlineStr">
        <is>
          <t>Yes</t>
        </is>
      </c>
      <c r="Z23" s="10" t="n">
        <v>46198</v>
      </c>
      <c r="AA23" s="49" t="n"/>
      <c r="AB23" s="9" t="n"/>
      <c r="AC23" s="46" t="inlineStr">
        <is>
          <t>No</t>
        </is>
      </c>
      <c r="AD23" s="9">
        <f>IF($B23="","",COUNTIF('Rework Log'!$A$3:$A$500,$B23))</f>
        <v/>
      </c>
      <c r="AE23" s="9">
        <f>IF(OR($B23="",$AM23=0),"",INDEX('Rework Log'!$C:$C,$AM23))</f>
        <v/>
      </c>
      <c r="AF23" s="10">
        <f>IF(OR($B23="",$AM23=0),"",INDEX('Rework Log'!$H:$H,$AM23))</f>
        <v/>
      </c>
      <c r="AG23" s="9">
        <f>IF(OR($B23="",$AM23=0),"",INDEX('Rework Log'!$G:$G,$AM23))</f>
        <v/>
      </c>
      <c r="AH23" s="47">
        <f>IF($B23="","",IF(W23&lt;&gt;"","DPO Approval",IF(T23&lt;&gt;"","QA",IF(Q23&lt;&gt;"","PBI Dev",IF(N23&lt;&gt;"","DB Dev","NOT STARTED")))))</f>
        <v/>
      </c>
      <c r="AI23" s="9">
        <f>IF($B23="","",IF(IF($C23="NOT STARTED",0,IF($C23="DB Dev",1,IF($C23="PBI Dev",2,IF($C23="QA",3,IF($C23="DPO Approval",4,IF($C23="RELEASED IN PROD",5,-1))))))&lt;IF($AH23="NOT STARTED",0,IF($AH23="DB Dev",1,IF($AH23="PBI Dev",2,IF($AH23="QA",3,IF($AH23="DPO Approval",4,IF($AH23="RELEASED IN PROD",5,-1)))))),"Yes - was already at "&amp;$AH23&amp;", now back at "&amp;$C23,"No"))</f>
        <v/>
      </c>
      <c r="AJ23" s="9">
        <f>IF($B23="","",IF(AND(T23&lt;&gt;"",N23&lt;&gt;"",T23&lt;N23),"QA target is before DB Dev target",IF(AND(T23&lt;&gt;"",Q23&lt;&gt;"",T23&lt;Q23),"QA target is before PBI Dev target",IF(AND(W23&lt;&gt;"",T23&lt;&gt;"",W23&lt;T23),"DPO Approval target is before QA target",IF(AND(Z23&lt;&gt;"",W23&lt;&gt;"",Z23&lt;W23),"Confirmed Deployed date is before DPO Approval target","")))))</f>
        <v/>
      </c>
      <c r="AK23" s="9">
        <f>IF($B23="","",IF(COUNTIF($B$2:$B$500,$B23)&gt;1,"Duplicate name - check row",""))</f>
        <v/>
      </c>
      <c r="AL23" s="48" t="n"/>
      <c r="AM23" s="9">
        <f>IF($B23="","",SUMPRODUCT(MAX(('Rework Log'!$A$3:$A$500=$B23)*ROW('Rework Log'!$A$3:$A$500))))</f>
        <v/>
      </c>
    </row>
    <row r="24">
      <c r="A24" s="9" t="inlineStr">
        <is>
          <t>Leaks</t>
        </is>
      </c>
      <c r="B24" s="9" t="inlineStr">
        <is>
          <t>RPT_04_Leak Increase Reads</t>
        </is>
      </c>
      <c r="C24" s="9" t="inlineStr">
        <is>
          <t>RELEASED IN PROD</t>
        </is>
      </c>
      <c r="D24" s="9">
        <f>IF($B24="","",IF(LEFT($AC24,3)="Yes","Blocked - "&amp;MID($AC24,7,100),IF(C24="NOT STARTED",IF(K24="","No plan date set",IF(K24&lt;TODAY(),"Review - planned start passed","On track")),IF(C24="DB Dev",IF(N24="","No target set",IF(AND(N24&lt;TODAY(),P24=""),"Overdue","On track")),IF(C24="PBI Dev",IF(Q24="","No target set",IF(AND(Q24&lt;TODAY(),S24=""),"Overdue","On track")),IF(C24="QA",IF(T24="","No target set",IF(AND(T24&lt;TODAY(),V24=""),"Overdue","On track")),IF(C24="DPO Approval",IF(W24="","No target set",IF(W24&lt;TODAY(),"Overdue","On track")),IF(C24="RELEASED IN PROD","Delivered",""))))))))</f>
        <v/>
      </c>
      <c r="E24" s="9" t="n">
        <v>23</v>
      </c>
      <c r="F24" s="39" t="n"/>
      <c r="G24" s="9" t="inlineStr">
        <is>
          <t>Fetwi</t>
        </is>
      </c>
      <c r="H24" s="9" t="inlineStr">
        <is>
          <t>Navya</t>
        </is>
      </c>
      <c r="I24" s="9" t="inlineStr">
        <is>
          <t>Preety</t>
        </is>
      </c>
      <c r="J24" s="9" t="n"/>
      <c r="K24" s="40" t="n">
        <v>46203</v>
      </c>
      <c r="L24" s="9" t="inlineStr">
        <is>
          <t>June</t>
        </is>
      </c>
      <c r="M24" s="41" t="n"/>
      <c r="N24" s="10" t="n">
        <v>46165</v>
      </c>
      <c r="O24" s="9" t="n"/>
      <c r="P24" s="10" t="n">
        <v>46165</v>
      </c>
      <c r="Q24" s="10" t="n">
        <v>46153</v>
      </c>
      <c r="R24" s="9" t="n"/>
      <c r="S24" s="10" t="n">
        <v>46153</v>
      </c>
      <c r="T24" s="10" t="n">
        <v>46154</v>
      </c>
      <c r="U24" s="9" t="n"/>
      <c r="V24" s="10" t="n">
        <v>46154</v>
      </c>
      <c r="W24" s="10" t="n">
        <v>46184</v>
      </c>
      <c r="X24" s="9" t="n"/>
      <c r="Y24" s="45" t="inlineStr">
        <is>
          <t>Yes</t>
        </is>
      </c>
      <c r="Z24" s="10" t="n">
        <v>46184</v>
      </c>
      <c r="AA24" s="49" t="inlineStr">
        <is>
          <t>https://app.powerbi.com/groups/me/apps/eedba83d-be9a-45f9-9504-7bfa41e6051a/reports/a410b442-fd2f-43d1-a053-40f2e4966d4d/ea184ec020032ecbdd43?ctid=f98a6a53-25f3-4212-901c-c7787fcd3495&amp;experience=power-bi</t>
        </is>
      </c>
      <c r="AB24" s="9" t="inlineStr">
        <is>
          <t>https://app.powerbi.com/groups/me/apps/2c7180b1-0d3d-45be-979e-f7dc86b3557d/reports/1cec238a-ce10-4ed5-8e56-50efa21bb327/ea184ec020032ecbdd43?ctid=f98a6a53-25f3-4212-901c-c7787fcd3495&amp;experience=power-bi</t>
        </is>
      </c>
      <c r="AC24" s="46" t="inlineStr">
        <is>
          <t>No</t>
        </is>
      </c>
      <c r="AD24" s="9">
        <f>IF($B24="","",COUNTIF('Rework Log'!$A$3:$A$500,$B24))</f>
        <v/>
      </c>
      <c r="AE24" s="9">
        <f>IF(OR($B24="",$AM24=0),"",INDEX('Rework Log'!$C:$C,$AM24))</f>
        <v/>
      </c>
      <c r="AF24" s="10">
        <f>IF(OR($B24="",$AM24=0),"",INDEX('Rework Log'!$H:$H,$AM24))</f>
        <v/>
      </c>
      <c r="AG24" s="9">
        <f>IF(OR($B24="",$AM24=0),"",INDEX('Rework Log'!$G:$G,$AM24))</f>
        <v/>
      </c>
      <c r="AH24" s="47">
        <f>IF($B24="","",IF(W24&lt;&gt;"","DPO Approval",IF(T24&lt;&gt;"","QA",IF(Q24&lt;&gt;"","PBI Dev",IF(N24&lt;&gt;"","DB Dev","NOT STARTED")))))</f>
        <v/>
      </c>
      <c r="AI24" s="9">
        <f>IF($B24="","",IF(IF($C24="NOT STARTED",0,IF($C24="DB Dev",1,IF($C24="PBI Dev",2,IF($C24="QA",3,IF($C24="DPO Approval",4,IF($C24="RELEASED IN PROD",5,-1))))))&lt;IF($AH24="NOT STARTED",0,IF($AH24="DB Dev",1,IF($AH24="PBI Dev",2,IF($AH24="QA",3,IF($AH24="DPO Approval",4,IF($AH24="RELEASED IN PROD",5,-1)))))),"Yes - was already at "&amp;$AH24&amp;", now back at "&amp;$C24,"No"))</f>
        <v/>
      </c>
      <c r="AJ24" s="9">
        <f>IF($B24="","",IF(AND(T24&lt;&gt;"",N24&lt;&gt;"",T24&lt;N24),"QA target is before DB Dev target",IF(AND(T24&lt;&gt;"",Q24&lt;&gt;"",T24&lt;Q24),"QA target is before PBI Dev target",IF(AND(W24&lt;&gt;"",T24&lt;&gt;"",W24&lt;T24),"DPO Approval target is before QA target",IF(AND(Z24&lt;&gt;"",W24&lt;&gt;"",Z24&lt;W24),"Confirmed Deployed date is before DPO Approval target","")))))</f>
        <v/>
      </c>
      <c r="AK24" s="9">
        <f>IF($B24="","",IF(COUNTIF($B$2:$B$500,$B24)&gt;1,"Duplicate name - check row",""))</f>
        <v/>
      </c>
      <c r="AL24" s="48" t="n"/>
      <c r="AM24" s="9">
        <f>IF($B24="","",SUMPRODUCT(MAX(('Rework Log'!$A$3:$A$500=$B24)*ROW('Rework Log'!$A$3:$A$500))))</f>
        <v/>
      </c>
    </row>
    <row r="25">
      <c r="A25" s="9" t="inlineStr">
        <is>
          <t>Leaks</t>
        </is>
      </c>
      <c r="B25" s="9" t="inlineStr">
        <is>
          <t>Leak 360 Dashboard</t>
        </is>
      </c>
      <c r="C25" s="9" t="inlineStr">
        <is>
          <t>QA</t>
        </is>
      </c>
      <c r="D25" s="9">
        <f>IF($B25="","",IF(LEFT($AC25,3)="Yes","Blocked - "&amp;MID($AC25,7,100),IF(C25="NOT STARTED",IF(K25="","No plan date set",IF(K25&lt;TODAY(),"Review - planned start passed","On track")),IF(C25="DB Dev",IF(N25="","No target set",IF(AND(N25&lt;TODAY(),P25=""),"Overdue","On track")),IF(C25="PBI Dev",IF(Q25="","No target set",IF(AND(Q25&lt;TODAY(),S25=""),"Overdue","On track")),IF(C25="QA",IF(T25="","No target set",IF(AND(T25&lt;TODAY(),V25=""),"Overdue","On track")),IF(C25="DPO Approval",IF(W25="","No target set",IF(W25&lt;TODAY(),"Overdue","On track")),IF(C25="RELEASED IN PROD","Delivered",""))))))))</f>
        <v/>
      </c>
      <c r="E25" s="9" t="n">
        <v>24</v>
      </c>
      <c r="F25" s="39" t="n"/>
      <c r="G25" s="9" t="inlineStr">
        <is>
          <t>Siva</t>
        </is>
      </c>
      <c r="H25" s="9" t="inlineStr">
        <is>
          <t>Sarath</t>
        </is>
      </c>
      <c r="I25" s="9" t="inlineStr">
        <is>
          <t>Kelvin</t>
        </is>
      </c>
      <c r="J25" s="9" t="n"/>
      <c r="K25" s="40" t="n">
        <v>46203</v>
      </c>
      <c r="L25" s="9" t="inlineStr">
        <is>
          <t>June</t>
        </is>
      </c>
      <c r="M25" s="41" t="n"/>
      <c r="N25" s="10" t="n">
        <v>46162</v>
      </c>
      <c r="O25" s="9" t="n"/>
      <c r="P25" s="10" t="n">
        <v>46162</v>
      </c>
      <c r="Q25" s="10" t="n">
        <v>46186</v>
      </c>
      <c r="R25" s="9" t="n"/>
      <c r="S25" s="10" t="n">
        <v>46186</v>
      </c>
      <c r="T25" s="10" t="n">
        <v>46227</v>
      </c>
      <c r="U25" s="9" t="n"/>
      <c r="V25" s="10" t="n"/>
      <c r="W25" s="9" t="n"/>
      <c r="X25" s="9" t="n"/>
      <c r="Y25" s="45" t="n"/>
      <c r="Z25" s="9" t="n"/>
      <c r="AA25" s="49" t="n"/>
      <c r="AB25" s="9" t="n"/>
      <c r="AC25" s="46" t="inlineStr">
        <is>
          <t>No</t>
        </is>
      </c>
      <c r="AD25" s="9">
        <f>IF($B25="","",COUNTIF('Rework Log'!$A$3:$A$500,$B25))</f>
        <v/>
      </c>
      <c r="AE25" s="9">
        <f>IF(OR($B25="",$AM25=0),"",INDEX('Rework Log'!$C:$C,$AM25))</f>
        <v/>
      </c>
      <c r="AF25" s="10">
        <f>IF(OR($B25="",$AM25=0),"",INDEX('Rework Log'!$H:$H,$AM25))</f>
        <v/>
      </c>
      <c r="AG25" s="9">
        <f>IF(OR($B25="",$AM25=0),"",INDEX('Rework Log'!$G:$G,$AM25))</f>
        <v/>
      </c>
      <c r="AH25" s="47">
        <f>IF($B25="","",IF(W25&lt;&gt;"","DPO Approval",IF(T25&lt;&gt;"","QA",IF(Q25&lt;&gt;"","PBI Dev",IF(N25&lt;&gt;"","DB Dev","NOT STARTED")))))</f>
        <v/>
      </c>
      <c r="AI25" s="9">
        <f>IF($B25="","",IF(IF($C25="NOT STARTED",0,IF($C25="DB Dev",1,IF($C25="PBI Dev",2,IF($C25="QA",3,IF($C25="DPO Approval",4,IF($C25="RELEASED IN PROD",5,-1))))))&lt;IF($AH25="NOT STARTED",0,IF($AH25="DB Dev",1,IF($AH25="PBI Dev",2,IF($AH25="QA",3,IF($AH25="DPO Approval",4,IF($AH25="RELEASED IN PROD",5,-1)))))),"Yes - was already at "&amp;$AH25&amp;", now back at "&amp;$C25,"No"))</f>
        <v/>
      </c>
      <c r="AJ25" s="9">
        <f>IF($B25="","",IF(AND(T25&lt;&gt;"",N25&lt;&gt;"",T25&lt;N25),"QA target is before DB Dev target",IF(AND(T25&lt;&gt;"",Q25&lt;&gt;"",T25&lt;Q25),"QA target is before PBI Dev target",IF(AND(W25&lt;&gt;"",T25&lt;&gt;"",W25&lt;T25),"DPO Approval target is before QA target",IF(AND(Z25&lt;&gt;"",W25&lt;&gt;"",Z25&lt;W25),"Confirmed Deployed date is before DPO Approval target","")))))</f>
        <v/>
      </c>
      <c r="AK25" s="9">
        <f>IF($B25="","",IF(COUNTIF($B$2:$B$500,$B25)&gt;1,"Duplicate name - check row",""))</f>
        <v/>
      </c>
      <c r="AL25" s="48" t="inlineStr">
        <is>
          <t>[Source confirms QA complete but gives no exact date - using QA Expected date as the closest evidence-backed proxy]</t>
        </is>
      </c>
      <c r="AM25" s="9">
        <f>IF($B25="","",SUMPRODUCT(MAX(('Rework Log'!$A$3:$A$500=$B25)*ROW('Rework Log'!$A$3:$A$500))))</f>
        <v/>
      </c>
    </row>
    <row r="26">
      <c r="A26" s="9" t="inlineStr">
        <is>
          <t>Leaks</t>
        </is>
      </c>
      <c r="B26" s="9" t="inlineStr">
        <is>
          <t>RPT_04_Leak Recheck Control</t>
        </is>
      </c>
      <c r="C26" s="9" t="inlineStr">
        <is>
          <t>RELEASED IN PROD</t>
        </is>
      </c>
      <c r="D26" s="9">
        <f>IF($B26="","",IF(LEFT($AC26,3)="Yes","Blocked - "&amp;MID($AC26,7,100),IF(C26="NOT STARTED",IF(K26="","No plan date set",IF(K26&lt;TODAY(),"Review - planned start passed","On track")),IF(C26="DB Dev",IF(N26="","No target set",IF(AND(N26&lt;TODAY(),P26=""),"Overdue","On track")),IF(C26="PBI Dev",IF(Q26="","No target set",IF(AND(Q26&lt;TODAY(),S26=""),"Overdue","On track")),IF(C26="QA",IF(T26="","No target set",IF(AND(T26&lt;TODAY(),V26=""),"Overdue","On track")),IF(C26="DPO Approval",IF(W26="","No target set",IF(W26&lt;TODAY(),"Overdue","On track")),IF(C26="RELEASED IN PROD","Delivered",""))))))))</f>
        <v/>
      </c>
      <c r="E26" s="9" t="n">
        <v>25</v>
      </c>
      <c r="F26" s="39" t="n"/>
      <c r="G26" s="9" t="inlineStr">
        <is>
          <t>Siva</t>
        </is>
      </c>
      <c r="H26" s="9" t="inlineStr">
        <is>
          <t>Shraddha</t>
        </is>
      </c>
      <c r="I26" s="9" t="inlineStr">
        <is>
          <t>Preety</t>
        </is>
      </c>
      <c r="J26" s="9" t="n"/>
      <c r="K26" s="40" t="n">
        <v>46203</v>
      </c>
      <c r="L26" s="9" t="inlineStr">
        <is>
          <t>June</t>
        </is>
      </c>
      <c r="M26" s="41" t="n"/>
      <c r="N26" s="10" t="n">
        <v>46162</v>
      </c>
      <c r="O26" s="9" t="n"/>
      <c r="P26" s="10" t="n">
        <v>46162</v>
      </c>
      <c r="Q26" s="10" t="n">
        <v>46164</v>
      </c>
      <c r="R26" s="9" t="n"/>
      <c r="S26" s="10" t="n">
        <v>46164</v>
      </c>
      <c r="T26" s="10" t="n">
        <v>46204</v>
      </c>
      <c r="U26" s="9" t="n"/>
      <c r="V26" s="10" t="n">
        <v>46204</v>
      </c>
      <c r="W26" s="9" t="n"/>
      <c r="X26" s="9" t="n"/>
      <c r="Y26" s="45" t="inlineStr">
        <is>
          <t>Yes</t>
        </is>
      </c>
      <c r="Z26" s="10" t="n">
        <v>46204</v>
      </c>
      <c r="AA26" s="49" t="n"/>
      <c r="AB26" s="9" t="n"/>
      <c r="AC26" s="46" t="inlineStr">
        <is>
          <t>No</t>
        </is>
      </c>
      <c r="AD26" s="9">
        <f>IF($B26="","",COUNTIF('Rework Log'!$A$3:$A$500,$B26))</f>
        <v/>
      </c>
      <c r="AE26" s="9">
        <f>IF(OR($B26="",$AM26=0),"",INDEX('Rework Log'!$C:$C,$AM26))</f>
        <v/>
      </c>
      <c r="AF26" s="10">
        <f>IF(OR($B26="",$AM26=0),"",INDEX('Rework Log'!$H:$H,$AM26))</f>
        <v/>
      </c>
      <c r="AG26" s="9">
        <f>IF(OR($B26="",$AM26=0),"",INDEX('Rework Log'!$G:$G,$AM26))</f>
        <v/>
      </c>
      <c r="AH26" s="47">
        <f>IF($B26="","",IF(W26&lt;&gt;"","DPO Approval",IF(T26&lt;&gt;"","QA",IF(Q26&lt;&gt;"","PBI Dev",IF(N26&lt;&gt;"","DB Dev","NOT STARTED")))))</f>
        <v/>
      </c>
      <c r="AI26" s="9">
        <f>IF($B26="","",IF(IF($C26="NOT STARTED",0,IF($C26="DB Dev",1,IF($C26="PBI Dev",2,IF($C26="QA",3,IF($C26="DPO Approval",4,IF($C26="RELEASED IN PROD",5,-1))))))&lt;IF($AH26="NOT STARTED",0,IF($AH26="DB Dev",1,IF($AH26="PBI Dev",2,IF($AH26="QA",3,IF($AH26="DPO Approval",4,IF($AH26="RELEASED IN PROD",5,-1)))))),"Yes - was already at "&amp;$AH26&amp;", now back at "&amp;$C26,"No"))</f>
        <v/>
      </c>
      <c r="AJ26" s="9">
        <f>IF($B26="","",IF(AND(T26&lt;&gt;"",N26&lt;&gt;"",T26&lt;N26),"QA target is before DB Dev target",IF(AND(T26&lt;&gt;"",Q26&lt;&gt;"",T26&lt;Q26),"QA target is before PBI Dev target",IF(AND(W26&lt;&gt;"",T26&lt;&gt;"",W26&lt;T26),"DPO Approval target is before QA target",IF(AND(Z26&lt;&gt;"",W26&lt;&gt;"",Z26&lt;W26),"Confirmed Deployed date is before DPO Approval target","")))))</f>
        <v/>
      </c>
      <c r="AK26" s="9">
        <f>IF($B26="","",IF(COUNTIF($B$2:$B$500,$B26)&gt;1,"Duplicate name - check row",""))</f>
        <v/>
      </c>
      <c r="AL26" s="48" t="inlineStr">
        <is>
          <t>[Source confirms QA complete but gives no exact date - using QA Expected date as the closest evidence-backed proxy]</t>
        </is>
      </c>
      <c r="AM26" s="9">
        <f>IF($B26="","",SUMPRODUCT(MAX(('Rework Log'!$A$3:$A$500=$B26)*ROW('Rework Log'!$A$3:$A$500))))</f>
        <v/>
      </c>
    </row>
    <row r="27">
      <c r="A27" s="9" t="inlineStr">
        <is>
          <t>Leaks</t>
        </is>
      </c>
      <c r="B27" s="9" t="inlineStr">
        <is>
          <t>RPT_04_Main_Replacement Report</t>
        </is>
      </c>
      <c r="C27" s="9" t="inlineStr">
        <is>
          <t>RELEASED IN PROD</t>
        </is>
      </c>
      <c r="D27" s="9">
        <f>IF($B27="","",IF(LEFT($AC27,3)="Yes","Blocked - "&amp;MID($AC27,7,100),IF(C27="NOT STARTED",IF(K27="","No plan date set",IF(K27&lt;TODAY(),"Review - planned start passed","On track")),IF(C27="DB Dev",IF(N27="","No target set",IF(AND(N27&lt;TODAY(),P27=""),"Overdue","On track")),IF(C27="PBI Dev",IF(Q27="","No target set",IF(AND(Q27&lt;TODAY(),S27=""),"Overdue","On track")),IF(C27="QA",IF(T27="","No target set",IF(AND(T27&lt;TODAY(),V27=""),"Overdue","On track")),IF(C27="DPO Approval",IF(W27="","No target set",IF(W27&lt;TODAY(),"Overdue","On track")),IF(C27="RELEASED IN PROD","Delivered",""))))))))</f>
        <v/>
      </c>
      <c r="E27" s="9" t="n">
        <v>26</v>
      </c>
      <c r="F27" s="39" t="n"/>
      <c r="G27" s="9" t="inlineStr">
        <is>
          <t>Sree</t>
        </is>
      </c>
      <c r="H27" s="9" t="inlineStr">
        <is>
          <t>Navya</t>
        </is>
      </c>
      <c r="I27" s="9" t="inlineStr">
        <is>
          <t>Kelvin</t>
        </is>
      </c>
      <c r="J27" s="9" t="n"/>
      <c r="K27" s="40" t="n">
        <v>46203</v>
      </c>
      <c r="L27" s="9" t="inlineStr">
        <is>
          <t>June</t>
        </is>
      </c>
      <c r="M27" s="41" t="n"/>
      <c r="N27" s="10" t="n">
        <v>46169</v>
      </c>
      <c r="O27" s="9" t="n"/>
      <c r="P27" s="10" t="n">
        <v>46169</v>
      </c>
      <c r="Q27" s="10" t="n">
        <v>46191</v>
      </c>
      <c r="R27" s="9" t="n"/>
      <c r="S27" s="10" t="n">
        <v>46191</v>
      </c>
      <c r="T27" s="10" t="n">
        <v>46196</v>
      </c>
      <c r="U27" s="9" t="n"/>
      <c r="V27" s="10" t="n">
        <v>46196</v>
      </c>
      <c r="W27" s="9" t="n"/>
      <c r="X27" s="9" t="n"/>
      <c r="Y27" s="45" t="inlineStr">
        <is>
          <t>Yes</t>
        </is>
      </c>
      <c r="Z27" s="10" t="n">
        <v>46196</v>
      </c>
      <c r="AA27" s="49" t="inlineStr">
        <is>
          <t>https://app.powerbi.com/Redirect?action=OpenApp&amp;appId=eedba83d-be9a-45f9-9504-7bfa41e6051a&amp;ctid=f98a6a53-25f3-4212-901c-c7787fcd3495&amp;experience=power-bi</t>
        </is>
      </c>
      <c r="AB27" s="9" t="inlineStr">
        <is>
          <t>https://app.powerbi.com/groups/me/apps/2c7180b1-0d3d-45be-979e-f7dc86b3557d/reports/3a63d51e-dbb3-4d03-8e38-924376751299/3122b8024291693794eb?ctid=f98a6a53-25f3-4212-901c-c7787fcd3495&amp;experience=power-bi</t>
        </is>
      </c>
      <c r="AC27" s="46" t="inlineStr">
        <is>
          <t>No</t>
        </is>
      </c>
      <c r="AD27" s="9">
        <f>IF($B27="","",COUNTIF('Rework Log'!$A$3:$A$500,$B27))</f>
        <v/>
      </c>
      <c r="AE27" s="9">
        <f>IF(OR($B27="",$AM27=0),"",INDEX('Rework Log'!$C:$C,$AM27))</f>
        <v/>
      </c>
      <c r="AF27" s="10">
        <f>IF(OR($B27="",$AM27=0),"",INDEX('Rework Log'!$H:$H,$AM27))</f>
        <v/>
      </c>
      <c r="AG27" s="9">
        <f>IF(OR($B27="",$AM27=0),"",INDEX('Rework Log'!$G:$G,$AM27))</f>
        <v/>
      </c>
      <c r="AH27" s="47">
        <f>IF($B27="","",IF(W27&lt;&gt;"","DPO Approval",IF(T27&lt;&gt;"","QA",IF(Q27&lt;&gt;"","PBI Dev",IF(N27&lt;&gt;"","DB Dev","NOT STARTED")))))</f>
        <v/>
      </c>
      <c r="AI27" s="9">
        <f>IF($B27="","",IF(IF($C27="NOT STARTED",0,IF($C27="DB Dev",1,IF($C27="PBI Dev",2,IF($C27="QA",3,IF($C27="DPO Approval",4,IF($C27="RELEASED IN PROD",5,-1))))))&lt;IF($AH27="NOT STARTED",0,IF($AH27="DB Dev",1,IF($AH27="PBI Dev",2,IF($AH27="QA",3,IF($AH27="DPO Approval",4,IF($AH27="RELEASED IN PROD",5,-1)))))),"Yes - was already at "&amp;$AH27&amp;", now back at "&amp;$C27,"No"))</f>
        <v/>
      </c>
      <c r="AJ27" s="9">
        <f>IF($B27="","",IF(AND(T27&lt;&gt;"",N27&lt;&gt;"",T27&lt;N27),"QA target is before DB Dev target",IF(AND(T27&lt;&gt;"",Q27&lt;&gt;"",T27&lt;Q27),"QA target is before PBI Dev target",IF(AND(W27&lt;&gt;"",T27&lt;&gt;"",W27&lt;T27),"DPO Approval target is before QA target",IF(AND(Z27&lt;&gt;"",W27&lt;&gt;"",Z27&lt;W27),"Confirmed Deployed date is before DPO Approval target","")))))</f>
        <v/>
      </c>
      <c r="AK27" s="9">
        <f>IF($B27="","",IF(COUNTIF($B$2:$B$500,$B27)&gt;1,"Duplicate name - check row",""))</f>
        <v/>
      </c>
      <c r="AL27" s="48" t="n"/>
      <c r="AM27" s="9">
        <f>IF($B27="","",SUMPRODUCT(MAX(('Rework Log'!$A$3:$A$500=$B27)*ROW('Rework Log'!$A$3:$A$500))))</f>
        <v/>
      </c>
    </row>
    <row r="28">
      <c r="A28" s="9" t="inlineStr">
        <is>
          <t>Leaks</t>
        </is>
      </c>
      <c r="B28" s="9" t="inlineStr">
        <is>
          <t>New Report: Leak Repair Exception</t>
        </is>
      </c>
      <c r="C28" s="9" t="inlineStr">
        <is>
          <t>RELEASED IN PROD</t>
        </is>
      </c>
      <c r="D28" s="9">
        <f>IF($B28="","",IF(LEFT($AC28,3)="Yes","Blocked - "&amp;MID($AC28,7,100),IF(C28="NOT STARTED",IF(K28="","No plan date set",IF(K28&lt;TODAY(),"Review - planned start passed","On track")),IF(C28="DB Dev",IF(N28="","No target set",IF(AND(N28&lt;TODAY(),P28=""),"Overdue","On track")),IF(C28="PBI Dev",IF(Q28="","No target set",IF(AND(Q28&lt;TODAY(),S28=""),"Overdue","On track")),IF(C28="QA",IF(T28="","No target set",IF(AND(T28&lt;TODAY(),V28=""),"Overdue","On track")),IF(C28="DPO Approval",IF(W28="","No target set",IF(W28&lt;TODAY(),"Overdue","On track")),IF(C28="RELEASED IN PROD","Delivered",""))))))))</f>
        <v/>
      </c>
      <c r="E28" s="9" t="n">
        <v>27</v>
      </c>
      <c r="F28" s="39" t="n"/>
      <c r="G28" s="9" t="inlineStr">
        <is>
          <t>Geetha</t>
        </is>
      </c>
      <c r="H28" s="9" t="inlineStr">
        <is>
          <t>Shraddha</t>
        </is>
      </c>
      <c r="I28" s="9" t="inlineStr">
        <is>
          <t>Kelvin</t>
        </is>
      </c>
      <c r="J28" s="9" t="n"/>
      <c r="K28" s="40" t="n">
        <v>46203</v>
      </c>
      <c r="L28" s="9" t="inlineStr">
        <is>
          <t>June</t>
        </is>
      </c>
      <c r="M28" s="41" t="n"/>
      <c r="N28" s="10" t="n">
        <v>46168</v>
      </c>
      <c r="O28" s="9" t="n"/>
      <c r="P28" s="10" t="n">
        <v>46168</v>
      </c>
      <c r="Q28" s="10" t="n">
        <v>46189</v>
      </c>
      <c r="R28" s="9" t="n"/>
      <c r="S28" s="10" t="n">
        <v>46189</v>
      </c>
      <c r="T28" s="10" t="n">
        <v>46189</v>
      </c>
      <c r="U28" s="9" t="n"/>
      <c r="V28" s="10" t="n">
        <v>46189</v>
      </c>
      <c r="W28" s="10" t="n">
        <v>46192</v>
      </c>
      <c r="X28" s="9" t="n"/>
      <c r="Y28" s="45" t="inlineStr">
        <is>
          <t>Yes</t>
        </is>
      </c>
      <c r="Z28" s="10" t="n">
        <v>46192</v>
      </c>
      <c r="AA28" s="49" t="inlineStr">
        <is>
          <t>https://app.powerbi.com/groups/me/apps/eedba83d-be9a-45f9-9504-7bfa41e6051a/reports/f32957e8-b826-44b0-8c00-67ff417ed57e/e94cbcb8509576e1c578?ctid=f98a6a53-25f3-4212-901c-c7787fcd3495&amp;experience=power-bi</t>
        </is>
      </c>
      <c r="AB28" s="9" t="n"/>
      <c r="AC28" s="46" t="inlineStr">
        <is>
          <t>No</t>
        </is>
      </c>
      <c r="AD28" s="9">
        <f>IF($B28="","",COUNTIF('Rework Log'!$A$3:$A$500,$B28))</f>
        <v/>
      </c>
      <c r="AE28" s="9">
        <f>IF(OR($B28="",$AM28=0),"",INDEX('Rework Log'!$C:$C,$AM28))</f>
        <v/>
      </c>
      <c r="AF28" s="10">
        <f>IF(OR($B28="",$AM28=0),"",INDEX('Rework Log'!$H:$H,$AM28))</f>
        <v/>
      </c>
      <c r="AG28" s="9">
        <f>IF(OR($B28="",$AM28=0),"",INDEX('Rework Log'!$G:$G,$AM28))</f>
        <v/>
      </c>
      <c r="AH28" s="47">
        <f>IF($B28="","",IF(W28&lt;&gt;"","DPO Approval",IF(T28&lt;&gt;"","QA",IF(Q28&lt;&gt;"","PBI Dev",IF(N28&lt;&gt;"","DB Dev","NOT STARTED")))))</f>
        <v/>
      </c>
      <c r="AI28" s="9">
        <f>IF($B28="","",IF(IF($C28="NOT STARTED",0,IF($C28="DB Dev",1,IF($C28="PBI Dev",2,IF($C28="QA",3,IF($C28="DPO Approval",4,IF($C28="RELEASED IN PROD",5,-1))))))&lt;IF($AH28="NOT STARTED",0,IF($AH28="DB Dev",1,IF($AH28="PBI Dev",2,IF($AH28="QA",3,IF($AH28="DPO Approval",4,IF($AH28="RELEASED IN PROD",5,-1)))))),"Yes - was already at "&amp;$AH28&amp;", now back at "&amp;$C28,"No"))</f>
        <v/>
      </c>
      <c r="AJ28" s="9">
        <f>IF($B28="","",IF(AND(T28&lt;&gt;"",N28&lt;&gt;"",T28&lt;N28),"QA target is before DB Dev target",IF(AND(T28&lt;&gt;"",Q28&lt;&gt;"",T28&lt;Q28),"QA target is before PBI Dev target",IF(AND(W28&lt;&gt;"",T28&lt;&gt;"",W28&lt;T28),"DPO Approval target is before QA target",IF(AND(Z28&lt;&gt;"",W28&lt;&gt;"",Z28&lt;W28),"Confirmed Deployed date is before DPO Approval target","")))))</f>
        <v/>
      </c>
      <c r="AK28" s="9">
        <f>IF($B28="","",IF(COUNTIF($B$2:$B$500,$B28)&gt;1,"Duplicate name - check row",""))</f>
        <v/>
      </c>
      <c r="AL28" s="48" t="n"/>
      <c r="AM28" s="9">
        <f>IF($B28="","",SUMPRODUCT(MAX(('Rework Log'!$A$3:$A$500=$B28)*ROW('Rework Log'!$A$3:$A$500))))</f>
        <v/>
      </c>
    </row>
    <row r="29">
      <c r="A29" s="9" t="inlineStr">
        <is>
          <t>Leaks</t>
        </is>
      </c>
      <c r="B29" s="9" t="inlineStr">
        <is>
          <t>New Report: (Leak reading sample point mismatch ) Creating a new report that...</t>
        </is>
      </c>
      <c r="C29" s="9" t="inlineStr">
        <is>
          <t>RELEASED IN PROD</t>
        </is>
      </c>
      <c r="D29" s="9">
        <f>IF($B29="","",IF(LEFT($AC29,3)="Yes","Blocked - "&amp;MID($AC29,7,100),IF(C29="NOT STARTED",IF(K29="","No plan date set",IF(K29&lt;TODAY(),"Review - planned start passed","On track")),IF(C29="DB Dev",IF(N29="","No target set",IF(AND(N29&lt;TODAY(),P29=""),"Overdue","On track")),IF(C29="PBI Dev",IF(Q29="","No target set",IF(AND(Q29&lt;TODAY(),S29=""),"Overdue","On track")),IF(C29="QA",IF(T29="","No target set",IF(AND(T29&lt;TODAY(),V29=""),"Overdue","On track")),IF(C29="DPO Approval",IF(W29="","No target set",IF(W29&lt;TODAY(),"Overdue","On track")),IF(C29="RELEASED IN PROD","Delivered",""))))))))</f>
        <v/>
      </c>
      <c r="E29" s="9" t="n"/>
      <c r="F29" s="39" t="n"/>
      <c r="G29" s="9" t="inlineStr">
        <is>
          <t>Siddu</t>
        </is>
      </c>
      <c r="H29" s="9" t="inlineStr">
        <is>
          <t>Shraddha</t>
        </is>
      </c>
      <c r="I29" s="9" t="n"/>
      <c r="J29" s="9" t="n"/>
      <c r="K29" s="40" t="n">
        <v>46203</v>
      </c>
      <c r="L29" s="9" t="inlineStr">
        <is>
          <t>June</t>
        </is>
      </c>
      <c r="M29" s="41" t="n"/>
      <c r="N29" s="10" t="n">
        <v>46169</v>
      </c>
      <c r="O29" s="9" t="n"/>
      <c r="P29" s="10" t="n">
        <v>46169</v>
      </c>
      <c r="Q29" s="10" t="n">
        <v>46195</v>
      </c>
      <c r="R29" s="9" t="n"/>
      <c r="S29" s="10" t="n">
        <v>46195</v>
      </c>
      <c r="T29" s="10" t="n">
        <v>46197</v>
      </c>
      <c r="U29" s="9" t="n"/>
      <c r="V29" s="10" t="n">
        <v>46197</v>
      </c>
      <c r="W29" s="9" t="n"/>
      <c r="X29" s="9" t="n"/>
      <c r="Y29" s="45" t="inlineStr">
        <is>
          <t>Yes</t>
        </is>
      </c>
      <c r="Z29" s="10" t="n">
        <v>46197</v>
      </c>
      <c r="AA29" s="49" t="n"/>
      <c r="AB29" s="9" t="n"/>
      <c r="AC29" s="46" t="inlineStr">
        <is>
          <t>No</t>
        </is>
      </c>
      <c r="AD29" s="9">
        <f>IF($B29="","",COUNTIF('Rework Log'!$A$3:$A$500,$B29))</f>
        <v/>
      </c>
      <c r="AE29" s="9">
        <f>IF(OR($B29="",$AM29=0),"",INDEX('Rework Log'!$C:$C,$AM29))</f>
        <v/>
      </c>
      <c r="AF29" s="10">
        <f>IF(OR($B29="",$AM29=0),"",INDEX('Rework Log'!$H:$H,$AM29))</f>
        <v/>
      </c>
      <c r="AG29" s="9">
        <f>IF(OR($B29="",$AM29=0),"",INDEX('Rework Log'!$G:$G,$AM29))</f>
        <v/>
      </c>
      <c r="AH29" s="47">
        <f>IF($B29="","",IF(W29&lt;&gt;"","DPO Approval",IF(T29&lt;&gt;"","QA",IF(Q29&lt;&gt;"","PBI Dev",IF(N29&lt;&gt;"","DB Dev","NOT STARTED")))))</f>
        <v/>
      </c>
      <c r="AI29" s="9">
        <f>IF($B29="","",IF(IF($C29="NOT STARTED",0,IF($C29="DB Dev",1,IF($C29="PBI Dev",2,IF($C29="QA",3,IF($C29="DPO Approval",4,IF($C29="RELEASED IN PROD",5,-1))))))&lt;IF($AH29="NOT STARTED",0,IF($AH29="DB Dev",1,IF($AH29="PBI Dev",2,IF($AH29="QA",3,IF($AH29="DPO Approval",4,IF($AH29="RELEASED IN PROD",5,-1)))))),"Yes - was already at "&amp;$AH29&amp;", now back at "&amp;$C29,"No"))</f>
        <v/>
      </c>
      <c r="AJ29" s="9">
        <f>IF($B29="","",IF(AND(T29&lt;&gt;"",N29&lt;&gt;"",T29&lt;N29),"QA target is before DB Dev target",IF(AND(T29&lt;&gt;"",Q29&lt;&gt;"",T29&lt;Q29),"QA target is before PBI Dev target",IF(AND(W29&lt;&gt;"",T29&lt;&gt;"",W29&lt;T29),"DPO Approval target is before QA target",IF(AND(Z29&lt;&gt;"",W29&lt;&gt;"",Z29&lt;W29),"Confirmed Deployed date is before DPO Approval target","")))))</f>
        <v/>
      </c>
      <c r="AK29" s="9">
        <f>IF($B29="","",IF(COUNTIF($B$2:$B$500,$B29)&gt;1,"Duplicate name - check row",""))</f>
        <v/>
      </c>
      <c r="AL29" s="48" t="inlineStr">
        <is>
          <t>[QA Actual date recovered from source text: "6/24/2026; QA Completed. Waiting for the view to be deployed to UAT"]</t>
        </is>
      </c>
      <c r="AM29" s="9">
        <f>IF($B29="","",SUMPRODUCT(MAX(('Rework Log'!$A$3:$A$500=$B29)*ROW('Rework Log'!$A$3:$A$500))))</f>
        <v/>
      </c>
    </row>
    <row r="30">
      <c r="A30" s="9" t="inlineStr">
        <is>
          <t>CMS</t>
        </is>
      </c>
      <c r="B30" s="9" t="inlineStr">
        <is>
          <t>RPT_02_CO Flue Warning Tag Control</t>
        </is>
      </c>
      <c r="C30" s="9" t="inlineStr">
        <is>
          <t>QA</t>
        </is>
      </c>
      <c r="D30" s="9">
        <f>IF($B30="","",IF(LEFT($AC30,3)="Yes","Blocked - "&amp;MID($AC30,7,100),IF(C30="NOT STARTED",IF(K30="","No plan date set",IF(K30&lt;TODAY(),"Review - planned start passed","On track")),IF(C30="DB Dev",IF(N30="","No target set",IF(AND(N30&lt;TODAY(),P30=""),"Overdue","On track")),IF(C30="PBI Dev",IF(Q30="","No target set",IF(AND(Q30&lt;TODAY(),S30=""),"Overdue","On track")),IF(C30="QA",IF(T30="","No target set",IF(AND(T30&lt;TODAY(),V30=""),"Overdue","On track")),IF(C30="DPO Approval",IF(W30="","No target set",IF(W30&lt;TODAY(),"Overdue","On track")),IF(C30="RELEASED IN PROD","Delivered",""))))))))</f>
        <v/>
      </c>
      <c r="E30" s="9" t="n">
        <v>1</v>
      </c>
      <c r="F30" s="39" t="inlineStr">
        <is>
          <t>Kushal</t>
        </is>
      </c>
      <c r="G30" s="9" t="inlineStr">
        <is>
          <t>Rupa</t>
        </is>
      </c>
      <c r="H30" s="9" t="inlineStr">
        <is>
          <t>Navya</t>
        </is>
      </c>
      <c r="I30" s="9" t="inlineStr">
        <is>
          <t>Kushal</t>
        </is>
      </c>
      <c r="J30" s="9" t="n"/>
      <c r="K30" s="40" t="n">
        <v>46234</v>
      </c>
      <c r="L30" s="9" t="inlineStr">
        <is>
          <t>July</t>
        </is>
      </c>
      <c r="M30" s="41" t="n"/>
      <c r="N30" s="9" t="n"/>
      <c r="O30" s="9" t="n"/>
      <c r="P30" s="9" t="n"/>
      <c r="Q30" s="10" t="n">
        <v>46223</v>
      </c>
      <c r="R30" s="9" t="n"/>
      <c r="S30" s="58" t="n">
        <v>46223</v>
      </c>
      <c r="T30" s="10" t="n">
        <v>46227</v>
      </c>
      <c r="U30" s="9" t="n"/>
      <c r="V30" s="10" t="n">
        <v>46227</v>
      </c>
      <c r="W30" s="9" t="n"/>
      <c r="X30" s="9" t="n"/>
      <c r="Y30" s="45" t="n"/>
      <c r="Z30" s="9" t="n"/>
      <c r="AA30" s="49" t="n"/>
      <c r="AB30" s="9" t="n"/>
      <c r="AC30" s="46" t="inlineStr">
        <is>
          <t>Yes – needs PBI Dev to fix</t>
        </is>
      </c>
      <c r="AD30" s="9">
        <f>IF($B30="","",COUNTIF('Rework Log'!$A$3:$A$500,$B30))</f>
        <v/>
      </c>
      <c r="AE30" s="9">
        <f>IF(OR($B30="",$AM30=0),"",INDEX('Rework Log'!$C:$C,$AM30))</f>
        <v/>
      </c>
      <c r="AF30" s="10">
        <f>IF(OR($B30="",$AM30=0),"",INDEX('Rework Log'!$H:$H,$AM30))</f>
        <v/>
      </c>
      <c r="AG30" s="9">
        <f>IF(OR($B30="",$AM30=0),"",INDEX('Rework Log'!$G:$G,$AM30))</f>
        <v/>
      </c>
      <c r="AH30" s="47">
        <f>IF($B30="","",IF(W30&lt;&gt;"","DPO Approval",IF(T30&lt;&gt;"","QA",IF(Q30&lt;&gt;"","PBI Dev",IF(N30&lt;&gt;"","DB Dev","NOT STARTED")))))</f>
        <v/>
      </c>
      <c r="AI30" s="9">
        <f>IF($B30="","",IF(IF($C30="NOT STARTED",0,IF($C30="DB Dev",1,IF($C30="PBI Dev",2,IF($C30="QA",3,IF($C30="DPO Approval",4,IF($C30="RELEASED IN PROD",5,-1))))))&lt;IF($AH30="NOT STARTED",0,IF($AH30="DB Dev",1,IF($AH30="PBI Dev",2,IF($AH30="QA",3,IF($AH30="DPO Approval",4,IF($AH30="RELEASED IN PROD",5,-1)))))),"Yes - was already at "&amp;$AH30&amp;", now back at "&amp;$C30,"No"))</f>
        <v/>
      </c>
      <c r="AJ30" s="9">
        <f>IF($B30="","",IF(AND(T30&lt;&gt;"",N30&lt;&gt;"",T30&lt;N30),"QA target is before DB Dev target",IF(AND(T30&lt;&gt;"",Q30&lt;&gt;"",T30&lt;Q30),"QA target is before PBI Dev target",IF(AND(W30&lt;&gt;"",T30&lt;&gt;"",W30&lt;T30),"DPO Approval target is before QA target",IF(AND(Z30&lt;&gt;"",W30&lt;&gt;"",Z30&lt;W30),"Confirmed Deployed date is before DPO Approval target","")))))</f>
        <v/>
      </c>
      <c r="AK30" s="9">
        <f>IF($B30="","",IF(COUNTIF($B$2:$B$500,$B30)&gt;1,"Duplicate name - check row",""))</f>
        <v/>
      </c>
      <c r="AL30" s="48" t="inlineStr">
        <is>
          <t>Blocked with  https://jira.prod.nationalgrid.com/browse/GDMP-2875</t>
        </is>
      </c>
      <c r="AM30" s="9">
        <f>IF($B30="","",SUMPRODUCT(MAX(('Rework Log'!$A$3:$A$500=$B30)*ROW('Rework Log'!$A$3:$A$500))))</f>
        <v/>
      </c>
    </row>
    <row r="31">
      <c r="A31" s="9" t="inlineStr">
        <is>
          <t>CMS</t>
        </is>
      </c>
      <c r="B31" s="9" t="inlineStr">
        <is>
          <t>RPT_02_Warning Tag HEFPA</t>
        </is>
      </c>
      <c r="C31" s="9" t="inlineStr">
        <is>
          <t>QA</t>
        </is>
      </c>
      <c r="D31" s="9">
        <f>IF($B31="","",IF(LEFT($AC31,3)="Yes","Blocked - "&amp;MID($AC31,7,100),IF(C31="NOT STARTED",IF(K31="","No plan date set",IF(K31&lt;TODAY(),"Review - planned start passed","On track")),IF(C31="DB Dev",IF(N31="","No target set",IF(AND(N31&lt;TODAY(),P31=""),"Overdue","On track")),IF(C31="PBI Dev",IF(Q31="","No target set",IF(AND(Q31&lt;TODAY(),S31=""),"Overdue","On track")),IF(C31="QA",IF(T31="","No target set",IF(AND(T31&lt;TODAY(),V31=""),"Overdue","On track")),IF(C31="DPO Approval",IF(W31="","No target set",IF(W31&lt;TODAY(),"Overdue","On track")),IF(C31="RELEASED IN PROD","Delivered",""))))))))</f>
        <v/>
      </c>
      <c r="E31" s="9" t="n">
        <v>2</v>
      </c>
      <c r="F31" s="39" t="inlineStr">
        <is>
          <t>Kushal</t>
        </is>
      </c>
      <c r="G31" s="9" t="inlineStr">
        <is>
          <t>Sree</t>
        </is>
      </c>
      <c r="H31" s="9" t="inlineStr">
        <is>
          <t>Shraddha</t>
        </is>
      </c>
      <c r="I31" s="9" t="inlineStr">
        <is>
          <t>Kushal</t>
        </is>
      </c>
      <c r="J31" s="9" t="n"/>
      <c r="K31" s="40" t="n">
        <v>46234</v>
      </c>
      <c r="L31" s="9" t="inlineStr">
        <is>
          <t>July</t>
        </is>
      </c>
      <c r="M31" s="41" t="n"/>
      <c r="N31" s="9" t="n"/>
      <c r="O31" s="9" t="n"/>
      <c r="P31" s="9" t="n"/>
      <c r="Q31" s="10" t="n">
        <v>46224</v>
      </c>
      <c r="R31" s="9" t="n"/>
      <c r="S31" s="10" t="n">
        <v>46224</v>
      </c>
      <c r="T31" s="10" t="n">
        <v>46227</v>
      </c>
      <c r="U31" s="9" t="n"/>
      <c r="V31" s="10" t="n">
        <v>46227</v>
      </c>
      <c r="W31" s="9" t="n"/>
      <c r="X31" s="9" t="n"/>
      <c r="Y31" s="45" t="n"/>
      <c r="Z31" s="9" t="n"/>
      <c r="AA31" s="49" t="n"/>
      <c r="AB31" s="9" t="n"/>
      <c r="AC31" s="46" t="inlineStr">
        <is>
          <t>Yes – other</t>
        </is>
      </c>
      <c r="AD31" s="9">
        <f>IF($B31="","",COUNTIF('Rework Log'!$A$3:$A$500,$B31))</f>
        <v/>
      </c>
      <c r="AE31" s="9">
        <f>IF(OR($B31="",$AM31=0),"",INDEX('Rework Log'!$C:$C,$AM31))</f>
        <v/>
      </c>
      <c r="AF31" s="10">
        <f>IF(OR($B31="",$AM31=0),"",INDEX('Rework Log'!$H:$H,$AM31))</f>
        <v/>
      </c>
      <c r="AG31" s="9">
        <f>IF(OR($B31="",$AM31=0),"",INDEX('Rework Log'!$G:$G,$AM31))</f>
        <v/>
      </c>
      <c r="AH31" s="47">
        <f>IF($B31="","",IF(W31&lt;&gt;"","DPO Approval",IF(T31&lt;&gt;"","QA",IF(Q31&lt;&gt;"","PBI Dev",IF(N31&lt;&gt;"","DB Dev","NOT STARTED")))))</f>
        <v/>
      </c>
      <c r="AI31" s="9">
        <f>IF($B31="","",IF(IF($C31="NOT STARTED",0,IF($C31="DB Dev",1,IF($C31="PBI Dev",2,IF($C31="QA",3,IF($C31="DPO Approval",4,IF($C31="RELEASED IN PROD",5,-1))))))&lt;IF($AH31="NOT STARTED",0,IF($AH31="DB Dev",1,IF($AH31="PBI Dev",2,IF($AH31="QA",3,IF($AH31="DPO Approval",4,IF($AH31="RELEASED IN PROD",5,-1)))))),"Yes - was already at "&amp;$AH31&amp;", now back at "&amp;$C31,"No"))</f>
        <v/>
      </c>
      <c r="AJ31" s="9">
        <f>IF($B31="","",IF(AND(T31&lt;&gt;"",N31&lt;&gt;"",T31&lt;N31),"QA target is before DB Dev target",IF(AND(T31&lt;&gt;"",Q31&lt;&gt;"",T31&lt;Q31),"QA target is before PBI Dev target",IF(AND(W31&lt;&gt;"",T31&lt;&gt;"",W31&lt;T31),"DPO Approval target is before QA target",IF(AND(Z31&lt;&gt;"",W31&lt;&gt;"",Z31&lt;W31),"Confirmed Deployed date is before DPO Approval target","")))))</f>
        <v/>
      </c>
      <c r="AK31" s="9">
        <f>IF($B31="","",IF(COUNTIF($B$2:$B$500,$B31)&gt;1,"Duplicate name - check row",""))</f>
        <v/>
      </c>
      <c r="AL31" s="48" t="inlineStr">
        <is>
          <t>Count Msimatches Found between ODS and GDM
[QA note, 07/2026]: Observing count mismatch, Sree looking into it (07/22/2026).</t>
        </is>
      </c>
      <c r="AM31" s="9">
        <f>IF($B31="","",SUMPRODUCT(MAX(('Rework Log'!$A$3:$A$500=$B31)*ROW('Rework Log'!$A$3:$A$500))))</f>
        <v/>
      </c>
    </row>
    <row r="32">
      <c r="A32" s="9" t="inlineStr">
        <is>
          <t>CMS</t>
        </is>
      </c>
      <c r="B32" s="9" t="inlineStr">
        <is>
          <t>RPT_02_Warning tag Printout</t>
        </is>
      </c>
      <c r="C32" s="9" t="inlineStr">
        <is>
          <t>QA</t>
        </is>
      </c>
      <c r="D32" s="9">
        <f>IF($B32="","",IF(LEFT($AC32,3)="Yes","Blocked - "&amp;MID($AC32,7,100),IF(C32="NOT STARTED",IF(K32="","No plan date set",IF(K32&lt;TODAY(),"Review - planned start passed","On track")),IF(C32="DB Dev",IF(N32="","No target set",IF(AND(N32&lt;TODAY(),P32=""),"Overdue","On track")),IF(C32="PBI Dev",IF(Q32="","No target set",IF(AND(Q32&lt;TODAY(),S32=""),"Overdue","On track")),IF(C32="QA",IF(T32="","No target set",IF(AND(T32&lt;TODAY(),V32=""),"Overdue","On track")),IF(C32="DPO Approval",IF(W32="","No target set",IF(W32&lt;TODAY(),"Overdue","On track")),IF(C32="RELEASED IN PROD","Delivered",""))))))))</f>
        <v/>
      </c>
      <c r="E32" s="9" t="n">
        <v>3</v>
      </c>
      <c r="F32" s="39" t="inlineStr">
        <is>
          <t>Kushal</t>
        </is>
      </c>
      <c r="G32" s="9" t="inlineStr">
        <is>
          <t>Sree</t>
        </is>
      </c>
      <c r="H32" s="9" t="inlineStr">
        <is>
          <t>Shraddha</t>
        </is>
      </c>
      <c r="I32" s="9" t="inlineStr">
        <is>
          <t>Kushal</t>
        </is>
      </c>
      <c r="J32" s="9" t="n"/>
      <c r="K32" s="40" t="n">
        <v>46234</v>
      </c>
      <c r="L32" s="9" t="inlineStr">
        <is>
          <t>July</t>
        </is>
      </c>
      <c r="M32" s="41" t="n"/>
      <c r="N32" s="9" t="n"/>
      <c r="O32" s="9" t="n"/>
      <c r="P32" s="9" t="n"/>
      <c r="Q32" s="10" t="n">
        <v>46230</v>
      </c>
      <c r="R32" s="9" t="n"/>
      <c r="S32" s="10" t="n"/>
      <c r="T32" s="10" t="n"/>
      <c r="U32" s="9" t="n"/>
      <c r="V32" s="10" t="n"/>
      <c r="W32" s="9" t="n"/>
      <c r="X32" s="9" t="n"/>
      <c r="Y32" s="45" t="n"/>
      <c r="Z32" s="9" t="n"/>
      <c r="AA32" s="49" t="n"/>
      <c r="AB32" s="9" t="n"/>
      <c r="AC32" s="46" t="inlineStr">
        <is>
          <t>No</t>
        </is>
      </c>
      <c r="AD32" s="9">
        <f>IF($B32="","",COUNTIF('Rework Log'!$A$3:$A$500,$B32))</f>
        <v/>
      </c>
      <c r="AE32" s="9">
        <f>IF(OR($B32="",$AM32=0),"",INDEX('Rework Log'!$C:$C,$AM32))</f>
        <v/>
      </c>
      <c r="AF32" s="10">
        <f>IF(OR($B32="",$AM32=0),"",INDEX('Rework Log'!$H:$H,$AM32))</f>
        <v/>
      </c>
      <c r="AG32" s="9">
        <f>IF(OR($B32="",$AM32=0),"",INDEX('Rework Log'!$G:$G,$AM32))</f>
        <v/>
      </c>
      <c r="AH32" s="47">
        <f>IF($B32="","",IF(W32&lt;&gt;"","DPO Approval",IF(T32&lt;&gt;"","QA",IF(Q32&lt;&gt;"","PBI Dev",IF(N32&lt;&gt;"","DB Dev","NOT STARTED")))))</f>
        <v/>
      </c>
      <c r="AI32" s="9">
        <f>IF($B32="","",IF(IF($C32="NOT STARTED",0,IF($C32="DB Dev",1,IF($C32="PBI Dev",2,IF($C32="QA",3,IF($C32="DPO Approval",4,IF($C32="RELEASED IN PROD",5,-1))))))&lt;IF($AH32="NOT STARTED",0,IF($AH32="DB Dev",1,IF($AH32="PBI Dev",2,IF($AH32="QA",3,IF($AH32="DPO Approval",4,IF($AH32="RELEASED IN PROD",5,-1)))))),"Yes - was already at "&amp;$AH32&amp;", now back at "&amp;$C32,"No"))</f>
        <v/>
      </c>
      <c r="AJ32" s="9">
        <f>IF($B32="","",IF(AND(T32&lt;&gt;"",N32&lt;&gt;"",T32&lt;N32),"QA target is before DB Dev target",IF(AND(T32&lt;&gt;"",Q32&lt;&gt;"",T32&lt;Q32),"QA target is before PBI Dev target",IF(AND(W32&lt;&gt;"",T32&lt;&gt;"",W32&lt;T32),"DPO Approval target is before QA target",IF(AND(Z32&lt;&gt;"",W32&lt;&gt;"",Z32&lt;W32),"Confirmed Deployed date is before DPO Approval target","")))))</f>
        <v/>
      </c>
      <c r="AK32" s="9">
        <f>IF($B32="","",IF(COUNTIF($B$2:$B$500,$B32)&gt;1,"Duplicate name - check row",""))</f>
        <v/>
      </c>
      <c r="AL32" s="48" t="inlineStr">
        <is>
          <t>Note: this report's stage dates are not in chronological order in the source tracker (e.g. a later stage dated before an earlier one) - please verify with the assigned developer.
[QA note, 07/2026]: Development is completed, waiting for the view to be deployed to QA.</t>
        </is>
      </c>
      <c r="AM32" s="9">
        <f>IF($B32="","",SUMPRODUCT(MAX(('Rework Log'!$A$3:$A$500=$B32)*ROW('Rework Log'!$A$3:$A$500))))</f>
        <v/>
      </c>
    </row>
    <row r="33">
      <c r="A33" s="9" t="inlineStr">
        <is>
          <t>CMS</t>
        </is>
      </c>
      <c r="B33" s="9" t="inlineStr">
        <is>
          <t>RPT_02_Corrosion</t>
        </is>
      </c>
      <c r="C33" s="9" t="inlineStr">
        <is>
          <t>QA</t>
        </is>
      </c>
      <c r="D33" s="9">
        <f>IF($B33="","",IF(LEFT($AC33,3)="Yes","Blocked - "&amp;MID($AC33,7,100),IF(C33="NOT STARTED",IF(K33="","No plan date set",IF(K33&lt;TODAY(),"Review - planned start passed","On track")),IF(C33="DB Dev",IF(N33="","No target set",IF(AND(N33&lt;TODAY(),P33=""),"Overdue","On track")),IF(C33="PBI Dev",IF(Q33="","No target set",IF(AND(Q33&lt;TODAY(),S33=""),"Overdue","On track")),IF(C33="QA",IF(T33="","No target set",IF(AND(T33&lt;TODAY(),V33=""),"Overdue","On track")),IF(C33="DPO Approval",IF(W33="","No target set",IF(W33&lt;TODAY(),"Overdue","On track")),IF(C33="RELEASED IN PROD","Delivered",""))))))))</f>
        <v/>
      </c>
      <c r="E33" s="9" t="n">
        <v>4</v>
      </c>
      <c r="F33" s="39" t="inlineStr">
        <is>
          <t>Kushal</t>
        </is>
      </c>
      <c r="G33" s="9" t="inlineStr">
        <is>
          <t>Siva</t>
        </is>
      </c>
      <c r="H33" s="9" t="inlineStr">
        <is>
          <t>Sarath</t>
        </is>
      </c>
      <c r="I33" s="9" t="inlineStr">
        <is>
          <t>Kushal</t>
        </is>
      </c>
      <c r="J33" s="9" t="n"/>
      <c r="K33" s="40" t="n">
        <v>46234</v>
      </c>
      <c r="L33" s="9" t="inlineStr">
        <is>
          <t>July</t>
        </is>
      </c>
      <c r="M33" s="41" t="n"/>
      <c r="N33" s="9" t="n"/>
      <c r="O33" s="9" t="n"/>
      <c r="P33" s="9" t="n"/>
      <c r="Q33" s="10" t="n">
        <v>46230</v>
      </c>
      <c r="R33" s="9" t="n"/>
      <c r="S33" s="10" t="n"/>
      <c r="T33" s="10" t="n"/>
      <c r="U33" s="9" t="n"/>
      <c r="V33" s="10" t="n"/>
      <c r="W33" s="9" t="n"/>
      <c r="X33" s="9" t="n"/>
      <c r="Y33" s="45" t="n"/>
      <c r="Z33" s="9" t="n"/>
      <c r="AA33" s="49" t="n"/>
      <c r="AB33" s="9" t="n"/>
      <c r="AC33" s="46" t="inlineStr">
        <is>
          <t>No</t>
        </is>
      </c>
      <c r="AD33" s="9">
        <f>IF($B33="","",COUNTIF('Rework Log'!$A$3:$A$500,$B33))</f>
        <v/>
      </c>
      <c r="AE33" s="9">
        <f>IF(OR($B33="",$AM33=0),"",INDEX('Rework Log'!$C:$C,$AM33))</f>
        <v/>
      </c>
      <c r="AF33" s="10">
        <f>IF(OR($B33="",$AM33=0),"",INDEX('Rework Log'!$H:$H,$AM33))</f>
        <v/>
      </c>
      <c r="AG33" s="9">
        <f>IF(OR($B33="",$AM33=0),"",INDEX('Rework Log'!$G:$G,$AM33))</f>
        <v/>
      </c>
      <c r="AH33" s="47">
        <f>IF($B33="","",IF(W33&lt;&gt;"","DPO Approval",IF(T33&lt;&gt;"","QA",IF(Q33&lt;&gt;"","PBI Dev",IF(N33&lt;&gt;"","DB Dev","NOT STARTED")))))</f>
        <v/>
      </c>
      <c r="AI33" s="9">
        <f>IF($B33="","",IF(IF($C33="NOT STARTED",0,IF($C33="DB Dev",1,IF($C33="PBI Dev",2,IF($C33="QA",3,IF($C33="DPO Approval",4,IF($C33="RELEASED IN PROD",5,-1))))))&lt;IF($AH33="NOT STARTED",0,IF($AH33="DB Dev",1,IF($AH33="PBI Dev",2,IF($AH33="QA",3,IF($AH33="DPO Approval",4,IF($AH33="RELEASED IN PROD",5,-1)))))),"Yes - was already at "&amp;$AH33&amp;", now back at "&amp;$C33,"No"))</f>
        <v/>
      </c>
      <c r="AJ33" s="9">
        <f>IF($B33="","",IF(AND(T33&lt;&gt;"",N33&lt;&gt;"",T33&lt;N33),"QA target is before DB Dev target",IF(AND(T33&lt;&gt;"",Q33&lt;&gt;"",T33&lt;Q33),"QA target is before PBI Dev target",IF(AND(W33&lt;&gt;"",T33&lt;&gt;"",W33&lt;T33),"DPO Approval target is before QA target",IF(AND(Z33&lt;&gt;"",W33&lt;&gt;"",Z33&lt;W33),"Confirmed Deployed date is before DPO Approval target","")))))</f>
        <v/>
      </c>
      <c r="AK33" s="9">
        <f>IF($B33="","",IF(COUNTIF($B$2:$B$500,$B33)&gt;1,"Duplicate name - check row",""))</f>
        <v/>
      </c>
      <c r="AL33" s="48" t="inlineStr">
        <is>
          <t>Note: this report's stage dates are not in chronological order in the source tracker (e.g. a later stage dated before an earlier one) - please verify with the assigned developer.</t>
        </is>
      </c>
      <c r="AM33" s="9">
        <f>IF($B33="","",SUMPRODUCT(MAX(('Rework Log'!$A$3:$A$500=$B33)*ROW('Rework Log'!$A$3:$A$500))))</f>
        <v/>
      </c>
    </row>
    <row r="34">
      <c r="A34" s="9" t="inlineStr">
        <is>
          <t>CMS</t>
        </is>
      </c>
      <c r="B34" s="9" t="inlineStr">
        <is>
          <t>RPT_02_House Pipe Test Comment Control</t>
        </is>
      </c>
      <c r="C34" s="9" t="inlineStr">
        <is>
          <t>QA</t>
        </is>
      </c>
      <c r="D34" s="9">
        <f>IF($B34="","",IF(LEFT($AC34,3)="Yes","Blocked - "&amp;MID($AC34,7,100),IF(C34="NOT STARTED",IF(K34="","No plan date set",IF(K34&lt;TODAY(),"Review - planned start passed","On track")),IF(C34="DB Dev",IF(N34="","No target set",IF(AND(N34&lt;TODAY(),P34=""),"Overdue","On track")),IF(C34="PBI Dev",IF(Q34="","No target set",IF(AND(Q34&lt;TODAY(),S34=""),"Overdue","On track")),IF(C34="QA",IF(T34="","No target set",IF(AND(T34&lt;TODAY(),V34=""),"Overdue","On track")),IF(C34="DPO Approval",IF(W34="","No target set",IF(W34&lt;TODAY(),"Overdue","On track")),IF(C34="RELEASED IN PROD","Delivered",""))))))))</f>
        <v/>
      </c>
      <c r="E34" s="9" t="n">
        <v>5</v>
      </c>
      <c r="F34" s="39" t="inlineStr">
        <is>
          <t>Kushal</t>
        </is>
      </c>
      <c r="G34" s="9" t="inlineStr">
        <is>
          <t>Geetha</t>
        </is>
      </c>
      <c r="H34" s="9" t="inlineStr">
        <is>
          <t>Shraddha</t>
        </is>
      </c>
      <c r="I34" s="9" t="inlineStr">
        <is>
          <t>Preety</t>
        </is>
      </c>
      <c r="J34" s="9" t="n"/>
      <c r="K34" s="40" t="n">
        <v>46234</v>
      </c>
      <c r="L34" s="9" t="inlineStr">
        <is>
          <t>July</t>
        </is>
      </c>
      <c r="M34" s="41" t="n"/>
      <c r="N34" s="9" t="n"/>
      <c r="O34" s="9" t="n"/>
      <c r="P34" s="9" t="n"/>
      <c r="Q34" s="10" t="n">
        <v>46218</v>
      </c>
      <c r="R34" s="9" t="n"/>
      <c r="S34" s="10" t="n">
        <v>46226</v>
      </c>
      <c r="T34" s="10" t="n">
        <v>46225</v>
      </c>
      <c r="U34" s="9" t="n"/>
      <c r="V34" s="10" t="n">
        <v>46225</v>
      </c>
      <c r="W34" s="9" t="n"/>
      <c r="X34" s="9" t="n"/>
      <c r="Y34" s="45" t="n"/>
      <c r="Z34" s="9" t="n"/>
      <c r="AA34" s="49" t="n"/>
      <c r="AB34" s="9" t="n"/>
      <c r="AC34" s="46" t="inlineStr">
        <is>
          <t>Yes – other</t>
        </is>
      </c>
      <c r="AD34" s="9">
        <f>IF($B34="","",COUNTIF('Rework Log'!$A$3:$A$500,$B34))</f>
        <v/>
      </c>
      <c r="AE34" s="9">
        <f>IF(OR($B34="",$AM34=0),"",INDEX('Rework Log'!$C:$C,$AM34))</f>
        <v/>
      </c>
      <c r="AF34" s="10">
        <f>IF(OR($B34="",$AM34=0),"",INDEX('Rework Log'!$H:$H,$AM34))</f>
        <v/>
      </c>
      <c r="AG34" s="9">
        <f>IF(OR($B34="",$AM34=0),"",INDEX('Rework Log'!$G:$G,$AM34))</f>
        <v/>
      </c>
      <c r="AH34" s="47">
        <f>IF($B34="","",IF(W34&lt;&gt;"","DPO Approval",IF(T34&lt;&gt;"","QA",IF(Q34&lt;&gt;"","PBI Dev",IF(N34&lt;&gt;"","DB Dev","NOT STARTED")))))</f>
        <v/>
      </c>
      <c r="AI34" s="9">
        <f>IF($B34="","",IF(IF($C34="NOT STARTED",0,IF($C34="DB Dev",1,IF($C34="PBI Dev",2,IF($C34="QA",3,IF($C34="DPO Approval",4,IF($C34="RELEASED IN PROD",5,-1))))))&lt;IF($AH34="NOT STARTED",0,IF($AH34="DB Dev",1,IF($AH34="PBI Dev",2,IF($AH34="QA",3,IF($AH34="DPO Approval",4,IF($AH34="RELEASED IN PROD",5,-1)))))),"Yes - was already at "&amp;$AH34&amp;", now back at "&amp;$C34,"No"))</f>
        <v/>
      </c>
      <c r="AJ34" s="9">
        <f>IF($B34="","",IF(AND(T34&lt;&gt;"",N34&lt;&gt;"",T34&lt;N34),"QA target is before DB Dev target",IF(AND(T34&lt;&gt;"",Q34&lt;&gt;"",T34&lt;Q34),"QA target is before PBI Dev target",IF(AND(W34&lt;&gt;"",T34&lt;&gt;"",W34&lt;T34),"DPO Approval target is before QA target",IF(AND(Z34&lt;&gt;"",W34&lt;&gt;"",Z34&lt;W34),"Confirmed Deployed date is before DPO Approval target","")))))</f>
        <v/>
      </c>
      <c r="AK34" s="9">
        <f>IF($B34="","",IF(COUNTIF($B$2:$B$500,$B34)&gt;1,"Duplicate name - check row",""))</f>
        <v/>
      </c>
      <c r="AL34" s="48" t="inlineStr">
        <is>
          <t>Blocked with  https://jira.prod.nationalgrid.com/browse/GDMP-2876  , 17/7 - view don't have data in QA
[QA note, 07/2026]: Ready for UAT review.
[QA Actual date recovered from source text: "22/7 -Completed"]</t>
        </is>
      </c>
      <c r="AM34" s="9">
        <f>IF($B34="","",SUMPRODUCT(MAX(('Rework Log'!$A$3:$A$500=$B34)*ROW('Rework Log'!$A$3:$A$500))))</f>
        <v/>
      </c>
    </row>
    <row r="35">
      <c r="A35" s="9" t="inlineStr">
        <is>
          <t>CMS</t>
        </is>
      </c>
      <c r="B35" s="9" t="inlineStr">
        <is>
          <t>RPT_02_Required Regulator Inspection Performed Control</t>
        </is>
      </c>
      <c r="C35" s="9" t="inlineStr">
        <is>
          <t>DB Dev</t>
        </is>
      </c>
      <c r="D35" s="9">
        <f>IF($B35="","",IF(LEFT($AC35,3)="Yes","Blocked - "&amp;MID($AC35,7,100),IF(C35="NOT STARTED",IF(K35="","No plan date set",IF(K35&lt;TODAY(),"Review - planned start passed","On track")),IF(C35="DB Dev",IF(N35="","No target set",IF(AND(N35&lt;TODAY(),P35=""),"Overdue","On track")),IF(C35="PBI Dev",IF(Q35="","No target set",IF(AND(Q35&lt;TODAY(),S35=""),"Overdue","On track")),IF(C35="QA",IF(T35="","No target set",IF(AND(T35&lt;TODAY(),V35=""),"Overdue","On track")),IF(C35="DPO Approval",IF(W35="","No target set",IF(W35&lt;TODAY(),"Overdue","On track")),IF(C35="RELEASED IN PROD","Delivered",""))))))))</f>
        <v/>
      </c>
      <c r="E35" s="9" t="n">
        <v>6</v>
      </c>
      <c r="F35" s="39" t="inlineStr">
        <is>
          <t>Bardia</t>
        </is>
      </c>
      <c r="G35" s="9" t="inlineStr">
        <is>
          <t>Siddu</t>
        </is>
      </c>
      <c r="H35" s="9" t="inlineStr">
        <is>
          <t>Navya</t>
        </is>
      </c>
      <c r="I35" s="9" t="inlineStr">
        <is>
          <t>Bardia</t>
        </is>
      </c>
      <c r="J35" s="9" t="n"/>
      <c r="K35" s="40" t="n">
        <v>46234</v>
      </c>
      <c r="L35" s="9" t="inlineStr">
        <is>
          <t>July</t>
        </is>
      </c>
      <c r="M35" s="41" t="n"/>
      <c r="N35" s="9" t="n"/>
      <c r="O35" s="9" t="n"/>
      <c r="P35" s="9" t="n"/>
      <c r="Q35" s="10" t="n">
        <v>46220</v>
      </c>
      <c r="R35" s="9" t="n"/>
      <c r="S35" s="58" t="n">
        <v>46220</v>
      </c>
      <c r="T35" s="10" t="n">
        <v>46225</v>
      </c>
      <c r="U35" s="9" t="n"/>
      <c r="V35" s="58" t="n">
        <v>46225</v>
      </c>
      <c r="W35" s="9" t="n"/>
      <c r="X35" s="9" t="n"/>
      <c r="Y35" s="45" t="n"/>
      <c r="Z35" s="9" t="n"/>
      <c r="AA35" s="49" t="n"/>
      <c r="AB35" s="9" t="n"/>
      <c r="AC35" s="46" t="inlineStr">
        <is>
          <t>Yes – needs DB Dev to fix</t>
        </is>
      </c>
      <c r="AD35" s="9">
        <f>IF($B35="","",COUNTIF('Rework Log'!$A$3:$A$500,$B35))</f>
        <v/>
      </c>
      <c r="AE35" s="9">
        <f>IF(OR($B35="",$AM35=0),"",INDEX('Rework Log'!$C:$C,$AM35))</f>
        <v/>
      </c>
      <c r="AF35" s="10">
        <f>IF(OR($B35="",$AM35=0),"",INDEX('Rework Log'!$H:$H,$AM35))</f>
        <v/>
      </c>
      <c r="AG35" s="9">
        <f>IF(OR($B35="",$AM35=0),"",INDEX('Rework Log'!$G:$G,$AM35))</f>
        <v/>
      </c>
      <c r="AH35" s="47">
        <f>IF($B35="","",IF(W35&lt;&gt;"","DPO Approval",IF(T35&lt;&gt;"","QA",IF(Q35&lt;&gt;"","PBI Dev",IF(N35&lt;&gt;"","DB Dev","NOT STARTED")))))</f>
        <v/>
      </c>
      <c r="AI35" s="9">
        <f>IF($B35="","",IF(IF($C35="NOT STARTED",0,IF($C35="DB Dev",1,IF($C35="PBI Dev",2,IF($C35="QA",3,IF($C35="DPO Approval",4,IF($C35="RELEASED IN PROD",5,-1))))))&lt;IF($AH35="NOT STARTED",0,IF($AH35="DB Dev",1,IF($AH35="PBI Dev",2,IF($AH35="QA",3,IF($AH35="DPO Approval",4,IF($AH35="RELEASED IN PROD",5,-1)))))),"Yes - was already at "&amp;$AH35&amp;", now back at "&amp;$C35,"No"))</f>
        <v/>
      </c>
      <c r="AJ35" s="9">
        <f>IF($B35="","",IF(AND(T35&lt;&gt;"",N35&lt;&gt;"",T35&lt;N35),"QA target is before DB Dev target",IF(AND(T35&lt;&gt;"",Q35&lt;&gt;"",T35&lt;Q35),"QA target is before PBI Dev target",IF(AND(W35&lt;&gt;"",T35&lt;&gt;"",W35&lt;T35),"DPO Approval target is before QA target",IF(AND(Z35&lt;&gt;"",W35&lt;&gt;"",Z35&lt;W35),"Confirmed Deployed date is before DPO Approval target","")))))</f>
        <v/>
      </c>
      <c r="AK35" s="9">
        <f>IF($B35="","",IF(COUNTIF($B$2:$B$500,$B35)&gt;1,"Duplicate name - check row",""))</f>
        <v/>
      </c>
      <c r="AL35" s="48" t="inlineStr">
        <is>
          <t>GDM_RPT.VW_REQUIRED_REGULATOR_INSPECTIONS_PERFORMED_CONTROL
[QA note, 07/2026]: Defects found and sent back for development.</t>
        </is>
      </c>
      <c r="AM35" s="9">
        <f>IF($B35="","",SUMPRODUCT(MAX(('Rework Log'!$A$3:$A$500=$B35)*ROW('Rework Log'!$A$3:$A$500))))</f>
        <v/>
      </c>
    </row>
    <row r="36">
      <c r="A36" s="9" t="inlineStr">
        <is>
          <t>CMS</t>
        </is>
      </c>
      <c r="B36" s="9" t="inlineStr">
        <is>
          <t>RPT_02_Service Regulator Inspections</t>
        </is>
      </c>
      <c r="C36" s="9" t="inlineStr">
        <is>
          <t>DB Dev</t>
        </is>
      </c>
      <c r="D36" s="9">
        <f>IF($B36="","",IF(LEFT($AC36,3)="Yes","Blocked - "&amp;MID($AC36,7,100),IF(C36="NOT STARTED",IF(K36="","No plan date set",IF(K36&lt;TODAY(),"Review - planned start passed","On track")),IF(C36="DB Dev",IF(N36="","No target set",IF(AND(N36&lt;TODAY(),P36=""),"Overdue","On track")),IF(C36="PBI Dev",IF(Q36="","No target set",IF(AND(Q36&lt;TODAY(),S36=""),"Overdue","On track")),IF(C36="QA",IF(T36="","No target set",IF(AND(T36&lt;TODAY(),V36=""),"Overdue","On track")),IF(C36="DPO Approval",IF(W36="","No target set",IF(W36&lt;TODAY(),"Overdue","On track")),IF(C36="RELEASED IN PROD","Delivered",""))))))))</f>
        <v/>
      </c>
      <c r="E36" s="9" t="n">
        <v>7</v>
      </c>
      <c r="F36" s="39" t="inlineStr">
        <is>
          <t>Bardia</t>
        </is>
      </c>
      <c r="G36" s="9" t="inlineStr">
        <is>
          <t>Sree</t>
        </is>
      </c>
      <c r="H36" s="9" t="inlineStr">
        <is>
          <t>Sarath</t>
        </is>
      </c>
      <c r="I36" s="9" t="inlineStr">
        <is>
          <t>Bardia</t>
        </is>
      </c>
      <c r="J36" s="9" t="n"/>
      <c r="K36" s="40" t="n">
        <v>46234</v>
      </c>
      <c r="L36" s="9" t="inlineStr">
        <is>
          <t>July</t>
        </is>
      </c>
      <c r="M36" s="41" t="n"/>
      <c r="N36" s="9" t="n"/>
      <c r="O36" s="9" t="n"/>
      <c r="P36" s="9" t="n"/>
      <c r="Q36" s="10" t="n">
        <v>46223</v>
      </c>
      <c r="R36" s="9" t="n"/>
      <c r="S36" s="10" t="n">
        <v>46223</v>
      </c>
      <c r="T36" s="10" t="n">
        <v>46225</v>
      </c>
      <c r="U36" s="9" t="n"/>
      <c r="V36" s="10" t="n">
        <v>46225</v>
      </c>
      <c r="W36" s="9" t="n"/>
      <c r="X36" s="9" t="n"/>
      <c r="Y36" s="45" t="n"/>
      <c r="Z36" s="9" t="n"/>
      <c r="AA36" s="49" t="n"/>
      <c r="AB36" s="9" t="n"/>
      <c r="AC36" s="46" t="inlineStr">
        <is>
          <t>Yes – other</t>
        </is>
      </c>
      <c r="AD36" s="9">
        <f>IF($B36="","",COUNTIF('Rework Log'!$A$3:$A$500,$B36))</f>
        <v/>
      </c>
      <c r="AE36" s="9">
        <f>IF(OR($B36="",$AM36=0),"",INDEX('Rework Log'!$C:$C,$AM36))</f>
        <v/>
      </c>
      <c r="AF36" s="10">
        <f>IF(OR($B36="",$AM36=0),"",INDEX('Rework Log'!$H:$H,$AM36))</f>
        <v/>
      </c>
      <c r="AG36" s="9">
        <f>IF(OR($B36="",$AM36=0),"",INDEX('Rework Log'!$G:$G,$AM36))</f>
        <v/>
      </c>
      <c r="AH36" s="47">
        <f>IF($B36="","",IF(W36&lt;&gt;"","DPO Approval",IF(T36&lt;&gt;"","QA",IF(Q36&lt;&gt;"","PBI Dev",IF(N36&lt;&gt;"","DB Dev","NOT STARTED")))))</f>
        <v/>
      </c>
      <c r="AI36" s="9">
        <f>IF($B36="","",IF(IF($C36="NOT STARTED",0,IF($C36="DB Dev",1,IF($C36="PBI Dev",2,IF($C36="QA",3,IF($C36="DPO Approval",4,IF($C36="RELEASED IN PROD",5,-1))))))&lt;IF($AH36="NOT STARTED",0,IF($AH36="DB Dev",1,IF($AH36="PBI Dev",2,IF($AH36="QA",3,IF($AH36="DPO Approval",4,IF($AH36="RELEASED IN PROD",5,-1)))))),"Yes - was already at "&amp;$AH36&amp;", now back at "&amp;$C36,"No"))</f>
        <v/>
      </c>
      <c r="AJ36" s="9">
        <f>IF($B36="","",IF(AND(T36&lt;&gt;"",N36&lt;&gt;"",T36&lt;N36),"QA target is before DB Dev target",IF(AND(T36&lt;&gt;"",Q36&lt;&gt;"",T36&lt;Q36),"QA target is before PBI Dev target",IF(AND(W36&lt;&gt;"",T36&lt;&gt;"",W36&lt;T36),"DPO Approval target is before QA target",IF(AND(Z36&lt;&gt;"",W36&lt;&gt;"",Z36&lt;W36),"Confirmed Deployed date is before DPO Approval target","")))))</f>
        <v/>
      </c>
      <c r="AK36" s="9">
        <f>IF($B36="","",IF(COUNTIF($B$2:$B$500,$B36)&gt;1,"Duplicate name - check row",""))</f>
        <v/>
      </c>
      <c r="AL36" s="48" t="inlineStr">
        <is>
          <t>select * from DEV_GDM_DEV_DB.GDM_RPT.VW_SERVICE_REGULATOR_INSPECTIONS
[QA note, 07/2026]: Defects found and sent back for development.</t>
        </is>
      </c>
      <c r="AM36" s="9">
        <f>IF($B36="","",SUMPRODUCT(MAX(('Rework Log'!$A$3:$A$500=$B36)*ROW('Rework Log'!$A$3:$A$500))))</f>
        <v/>
      </c>
    </row>
    <row r="37">
      <c r="A37" s="9" t="inlineStr">
        <is>
          <t>CMS</t>
        </is>
      </c>
      <c r="B37" s="9" t="inlineStr">
        <is>
          <t>RPT_02_Service Regulator Inspection Printout</t>
        </is>
      </c>
      <c r="C37" s="9" t="inlineStr">
        <is>
          <t>QA</t>
        </is>
      </c>
      <c r="D37" s="9">
        <f>IF($B37="","",IF(LEFT($AC37,3)="Yes","Blocked - "&amp;MID($AC37,7,100),IF(C37="NOT STARTED",IF(K37="","No plan date set",IF(K37&lt;TODAY(),"Review - planned start passed","On track")),IF(C37="DB Dev",IF(N37="","No target set",IF(AND(N37&lt;TODAY(),P37=""),"Overdue","On track")),IF(C37="PBI Dev",IF(Q37="","No target set",IF(AND(Q37&lt;TODAY(),S37=""),"Overdue","On track")),IF(C37="QA",IF(T37="","No target set",IF(AND(T37&lt;TODAY(),V37=""),"Overdue","On track")),IF(C37="DPO Approval",IF(W37="","No target set",IF(W37&lt;TODAY(),"Overdue","On track")),IF(C37="RELEASED IN PROD","Delivered",""))))))))</f>
        <v/>
      </c>
      <c r="E37" s="9" t="n">
        <v>8</v>
      </c>
      <c r="F37" s="39" t="inlineStr">
        <is>
          <t>Bardia</t>
        </is>
      </c>
      <c r="G37" s="9" t="inlineStr">
        <is>
          <t>Sree</t>
        </is>
      </c>
      <c r="H37" s="9" t="inlineStr">
        <is>
          <t>Sarath</t>
        </is>
      </c>
      <c r="I37" s="9" t="inlineStr">
        <is>
          <t>Bardia</t>
        </is>
      </c>
      <c r="J37" s="9" t="n"/>
      <c r="K37" s="40" t="n">
        <v>46234</v>
      </c>
      <c r="L37" s="9" t="inlineStr">
        <is>
          <t>July</t>
        </is>
      </c>
      <c r="M37" s="41" t="n"/>
      <c r="N37" s="9" t="n"/>
      <c r="O37" s="9" t="n"/>
      <c r="P37" s="9" t="n"/>
      <c r="Q37" s="10" t="n">
        <v>46224</v>
      </c>
      <c r="R37" s="9" t="n"/>
      <c r="S37" s="10" t="n"/>
      <c r="T37" s="10" t="n"/>
      <c r="U37" s="9" t="n"/>
      <c r="V37" s="10" t="n"/>
      <c r="W37" s="9" t="n"/>
      <c r="X37" s="9" t="n"/>
      <c r="Y37" s="45" t="n"/>
      <c r="Z37" s="9" t="n"/>
      <c r="AA37" s="49" t="n"/>
      <c r="AB37" s="9" t="n"/>
      <c r="AC37" s="46" t="inlineStr">
        <is>
          <t>No</t>
        </is>
      </c>
      <c r="AD37" s="9">
        <f>IF($B37="","",COUNTIF('Rework Log'!$A$3:$A$500,$B37))</f>
        <v/>
      </c>
      <c r="AE37" s="9">
        <f>IF(OR($B37="",$AM37=0),"",INDEX('Rework Log'!$C:$C,$AM37))</f>
        <v/>
      </c>
      <c r="AF37" s="10">
        <f>IF(OR($B37="",$AM37=0),"",INDEX('Rework Log'!$H:$H,$AM37))</f>
        <v/>
      </c>
      <c r="AG37" s="9">
        <f>IF(OR($B37="",$AM37=0),"",INDEX('Rework Log'!$G:$G,$AM37))</f>
        <v/>
      </c>
      <c r="AH37" s="47">
        <f>IF($B37="","",IF(W37&lt;&gt;"","DPO Approval",IF(T37&lt;&gt;"","QA",IF(Q37&lt;&gt;"","PBI Dev",IF(N37&lt;&gt;"","DB Dev","NOT STARTED")))))</f>
        <v/>
      </c>
      <c r="AI37" s="9">
        <f>IF($B37="","",IF(IF($C37="NOT STARTED",0,IF($C37="DB Dev",1,IF($C37="PBI Dev",2,IF($C37="QA",3,IF($C37="DPO Approval",4,IF($C37="RELEASED IN PROD",5,-1))))))&lt;IF($AH37="NOT STARTED",0,IF($AH37="DB Dev",1,IF($AH37="PBI Dev",2,IF($AH37="QA",3,IF($AH37="DPO Approval",4,IF($AH37="RELEASED IN PROD",5,-1)))))),"Yes - was already at "&amp;$AH37&amp;", now back at "&amp;$C37,"No"))</f>
        <v/>
      </c>
      <c r="AJ37" s="9">
        <f>IF($B37="","",IF(AND(T37&lt;&gt;"",N37&lt;&gt;"",T37&lt;N37),"QA target is before DB Dev target",IF(AND(T37&lt;&gt;"",Q37&lt;&gt;"",T37&lt;Q37),"QA target is before PBI Dev target",IF(AND(W37&lt;&gt;"",T37&lt;&gt;"",W37&lt;T37),"DPO Approval target is before QA target",IF(AND(Z37&lt;&gt;"",W37&lt;&gt;"",Z37&lt;W37),"Confirmed Deployed date is before DPO Approval target","")))))</f>
        <v/>
      </c>
      <c r="AK37" s="9">
        <f>IF($B37="","",IF(COUNTIF($B$2:$B$500,$B37)&gt;1,"Duplicate name - check row",""))</f>
        <v/>
      </c>
      <c r="AL37" s="48" t="inlineStr">
        <is>
          <t>this has a dependency on dt_wospecattributes , 15 attributes need to be addted eg NG_REGINVLVREM</t>
        </is>
      </c>
      <c r="AM37" s="9">
        <f>IF($B37="","",SUMPRODUCT(MAX(('Rework Log'!$A$3:$A$500=$B37)*ROW('Rework Log'!$A$3:$A$500))))</f>
        <v/>
      </c>
    </row>
    <row r="38">
      <c r="A38" s="9" t="inlineStr">
        <is>
          <t>CMS</t>
        </is>
      </c>
      <c r="B38" s="9" t="inlineStr">
        <is>
          <t>RPT_02_20 Year Regulator Inspection</t>
        </is>
      </c>
      <c r="C38" s="9" t="inlineStr">
        <is>
          <t>QA</t>
        </is>
      </c>
      <c r="D38" s="9">
        <f>IF($B38="","",IF(LEFT($AC38,3)="Yes","Blocked - "&amp;MID($AC38,7,100),IF(C38="NOT STARTED",IF(K38="","No plan date set",IF(K38&lt;TODAY(),"Review - planned start passed","On track")),IF(C38="DB Dev",IF(N38="","No target set",IF(AND(N38&lt;TODAY(),P38=""),"Overdue","On track")),IF(C38="PBI Dev",IF(Q38="","No target set",IF(AND(Q38&lt;TODAY(),S38=""),"Overdue","On track")),IF(C38="QA",IF(T38="","No target set",IF(AND(T38&lt;TODAY(),V38=""),"Overdue","On track")),IF(C38="DPO Approval",IF(W38="","No target set",IF(W38&lt;TODAY(),"Overdue","On track")),IF(C38="RELEASED IN PROD","Delivered",""))))))))</f>
        <v/>
      </c>
      <c r="E38" s="9" t="n">
        <v>9</v>
      </c>
      <c r="F38" s="39" t="inlineStr">
        <is>
          <t>Bardia</t>
        </is>
      </c>
      <c r="G38" s="9" t="inlineStr">
        <is>
          <t>Siddu</t>
        </is>
      </c>
      <c r="H38" s="9" t="inlineStr">
        <is>
          <t>Navya</t>
        </is>
      </c>
      <c r="I38" s="9" t="inlineStr">
        <is>
          <t>Bardia</t>
        </is>
      </c>
      <c r="J38" s="9" t="n"/>
      <c r="K38" s="40" t="n">
        <v>46234</v>
      </c>
      <c r="L38" s="9" t="inlineStr">
        <is>
          <t>July</t>
        </is>
      </c>
      <c r="M38" s="41" t="n"/>
      <c r="N38" s="9" t="n"/>
      <c r="O38" s="9" t="n"/>
      <c r="P38" s="9" t="n"/>
      <c r="Q38" s="10" t="n">
        <v>46230</v>
      </c>
      <c r="R38" s="9" t="n"/>
      <c r="S38" s="10" t="n"/>
      <c r="T38" s="10" t="n"/>
      <c r="U38" s="9" t="n"/>
      <c r="V38" s="10" t="n"/>
      <c r="W38" s="9" t="n"/>
      <c r="X38" s="9" t="n"/>
      <c r="Y38" s="45" t="n"/>
      <c r="Z38" s="9" t="n"/>
      <c r="AA38" s="49" t="n"/>
      <c r="AB38" s="9" t="n"/>
      <c r="AC38" s="46" t="inlineStr">
        <is>
          <t>No</t>
        </is>
      </c>
      <c r="AD38" s="9">
        <f>IF($B38="","",COUNTIF('Rework Log'!$A$3:$A$500,$B38))</f>
        <v/>
      </c>
      <c r="AE38" s="9">
        <f>IF(OR($B38="",$AM38=0),"",INDEX('Rework Log'!$C:$C,$AM38))</f>
        <v/>
      </c>
      <c r="AF38" s="10">
        <f>IF(OR($B38="",$AM38=0),"",INDEX('Rework Log'!$H:$H,$AM38))</f>
        <v/>
      </c>
      <c r="AG38" s="9">
        <f>IF(OR($B38="",$AM38=0),"",INDEX('Rework Log'!$G:$G,$AM38))</f>
        <v/>
      </c>
      <c r="AH38" s="47">
        <f>IF($B38="","",IF(W38&lt;&gt;"","DPO Approval",IF(T38&lt;&gt;"","QA",IF(Q38&lt;&gt;"","PBI Dev",IF(N38&lt;&gt;"","DB Dev","NOT STARTED")))))</f>
        <v/>
      </c>
      <c r="AI38" s="9">
        <f>IF($B38="","",IF(IF($C38="NOT STARTED",0,IF($C38="DB Dev",1,IF($C38="PBI Dev",2,IF($C38="QA",3,IF($C38="DPO Approval",4,IF($C38="RELEASED IN PROD",5,-1))))))&lt;IF($AH38="NOT STARTED",0,IF($AH38="DB Dev",1,IF($AH38="PBI Dev",2,IF($AH38="QA",3,IF($AH38="DPO Approval",4,IF($AH38="RELEASED IN PROD",5,-1)))))),"Yes - was already at "&amp;$AH38&amp;", now back at "&amp;$C38,"No"))</f>
        <v/>
      </c>
      <c r="AJ38" s="9">
        <f>IF($B38="","",IF(AND(T38&lt;&gt;"",N38&lt;&gt;"",T38&lt;N38),"QA target is before DB Dev target",IF(AND(T38&lt;&gt;"",Q38&lt;&gt;"",T38&lt;Q38),"QA target is before PBI Dev target",IF(AND(W38&lt;&gt;"",T38&lt;&gt;"",W38&lt;T38),"DPO Approval target is before QA target",IF(AND(Z38&lt;&gt;"",W38&lt;&gt;"",Z38&lt;W38),"Confirmed Deployed date is before DPO Approval target","")))))</f>
        <v/>
      </c>
      <c r="AK38" s="9">
        <f>IF($B38="","",IF(COUNTIF($B$2:$B$500,$B38)&gt;1,"Duplicate name - check row",""))</f>
        <v/>
      </c>
      <c r="AL38" s="48" t="inlineStr">
        <is>
          <t>GDM_RPT.VW_20_YEAR_REGULATOR_INSPECTION_COMPLETED, GDM_RPT.VW_20_YEAR_REGULATOR_INSPECTION_MANDATED</t>
        </is>
      </c>
      <c r="AM38" s="9">
        <f>IF($B38="","",SUMPRODUCT(MAX(('Rework Log'!$A$3:$A$500=$B38)*ROW('Rework Log'!$A$3:$A$500))))</f>
        <v/>
      </c>
    </row>
    <row r="39">
      <c r="A39" s="9" t="inlineStr">
        <is>
          <t>CMS</t>
        </is>
      </c>
      <c r="B39" s="9" t="inlineStr">
        <is>
          <t>RPT_02_Fixed Factor</t>
        </is>
      </c>
      <c r="C39" s="9" t="inlineStr">
        <is>
          <t>QA</t>
        </is>
      </c>
      <c r="D39" s="9">
        <f>IF($B39="","",IF(LEFT($AC39,3)="Yes","Blocked - "&amp;MID($AC39,7,100),IF(C39="NOT STARTED",IF(K39="","No plan date set",IF(K39&lt;TODAY(),"Review - planned start passed","On track")),IF(C39="DB Dev",IF(N39="","No target set",IF(AND(N39&lt;TODAY(),P39=""),"Overdue","On track")),IF(C39="PBI Dev",IF(Q39="","No target set",IF(AND(Q39&lt;TODAY(),S39=""),"Overdue","On track")),IF(C39="QA",IF(T39="","No target set",IF(AND(T39&lt;TODAY(),V39=""),"Overdue","On track")),IF(C39="DPO Approval",IF(W39="","No target set",IF(W39&lt;TODAY(),"Overdue","On track")),IF(C39="RELEASED IN PROD","Delivered",""))))))))</f>
        <v/>
      </c>
      <c r="E39" s="9" t="inlineStr">
        <is>
          <t>10,12</t>
        </is>
      </c>
      <c r="F39" s="39" t="inlineStr">
        <is>
          <t>Bardia</t>
        </is>
      </c>
      <c r="G39" s="9" t="inlineStr">
        <is>
          <t>Nick</t>
        </is>
      </c>
      <c r="H39" s="9" t="inlineStr">
        <is>
          <t>Navya</t>
        </is>
      </c>
      <c r="I39" s="9" t="inlineStr">
        <is>
          <t>Bardia</t>
        </is>
      </c>
      <c r="J39" s="9" t="n"/>
      <c r="K39" s="40" t="n">
        <v>46234</v>
      </c>
      <c r="L39" s="9" t="inlineStr">
        <is>
          <t>July</t>
        </is>
      </c>
      <c r="M39" s="41" t="n"/>
      <c r="N39" s="9" t="n"/>
      <c r="O39" s="9" t="n"/>
      <c r="P39" s="9" t="n"/>
      <c r="Q39" s="10" t="n">
        <v>46230</v>
      </c>
      <c r="R39" s="9" t="n"/>
      <c r="S39" s="10" t="n"/>
      <c r="T39" s="10" t="n"/>
      <c r="U39" s="9" t="n"/>
      <c r="V39" s="10" t="n"/>
      <c r="W39" s="9" t="n"/>
      <c r="X39" s="9" t="n"/>
      <c r="Y39" s="45" t="n"/>
      <c r="Z39" s="9" t="n"/>
      <c r="AA39" s="49" t="n"/>
      <c r="AB39" s="9" t="n"/>
      <c r="AC39" s="46" t="inlineStr">
        <is>
          <t>No</t>
        </is>
      </c>
      <c r="AD39" s="9">
        <f>IF($B39="","",COUNTIF('Rework Log'!$A$3:$A$500,$B39))</f>
        <v/>
      </c>
      <c r="AE39" s="9">
        <f>IF(OR($B39="",$AM39=0),"",INDEX('Rework Log'!$C:$C,$AM39))</f>
        <v/>
      </c>
      <c r="AF39" s="10">
        <f>IF(OR($B39="",$AM39=0),"",INDEX('Rework Log'!$H:$H,$AM39))</f>
        <v/>
      </c>
      <c r="AG39" s="9">
        <f>IF(OR($B39="",$AM39=0),"",INDEX('Rework Log'!$G:$G,$AM39))</f>
        <v/>
      </c>
      <c r="AH39" s="47">
        <f>IF($B39="","",IF(W39&lt;&gt;"","DPO Approval",IF(T39&lt;&gt;"","QA",IF(Q39&lt;&gt;"","PBI Dev",IF(N39&lt;&gt;"","DB Dev","NOT STARTED")))))</f>
        <v/>
      </c>
      <c r="AI39" s="9">
        <f>IF($B39="","",IF(IF($C39="NOT STARTED",0,IF($C39="DB Dev",1,IF($C39="PBI Dev",2,IF($C39="QA",3,IF($C39="DPO Approval",4,IF($C39="RELEASED IN PROD",5,-1))))))&lt;IF($AH39="NOT STARTED",0,IF($AH39="DB Dev",1,IF($AH39="PBI Dev",2,IF($AH39="QA",3,IF($AH39="DPO Approval",4,IF($AH39="RELEASED IN PROD",5,-1)))))),"Yes - was already at "&amp;$AH39&amp;", now back at "&amp;$C39,"No"))</f>
        <v/>
      </c>
      <c r="AJ39" s="9">
        <f>IF($B39="","",IF(AND(T39&lt;&gt;"",N39&lt;&gt;"",T39&lt;N39),"QA target is before DB Dev target",IF(AND(T39&lt;&gt;"",Q39&lt;&gt;"",T39&lt;Q39),"QA target is before PBI Dev target",IF(AND(W39&lt;&gt;"",T39&lt;&gt;"",W39&lt;T39),"DPO Approval target is before QA target",IF(AND(Z39&lt;&gt;"",W39&lt;&gt;"",Z39&lt;W39),"Confirmed Deployed date is before DPO Approval target","")))))</f>
        <v/>
      </c>
      <c r="AK39" s="9">
        <f>IF($B39="","",IF(COUNTIF($B$2:$B$500,$B39)&gt;1,"Duplicate name - check row",""))</f>
        <v/>
      </c>
      <c r="AL39" s="48" t="n"/>
      <c r="AM39" s="9">
        <f>IF($B39="","",SUMPRODUCT(MAX(('Rework Log'!$A$3:$A$500=$B39)*ROW('Rework Log'!$A$3:$A$500))))</f>
        <v/>
      </c>
    </row>
    <row r="40">
      <c r="A40" s="9" t="inlineStr">
        <is>
          <t>CMS</t>
        </is>
      </c>
      <c r="B40" s="9" t="inlineStr">
        <is>
          <t>RPT_02_Fixed Factor Printout</t>
        </is>
      </c>
      <c r="C40" s="9" t="inlineStr">
        <is>
          <t>QA</t>
        </is>
      </c>
      <c r="D40" s="9">
        <f>IF($B40="","",IF(LEFT($AC40,3)="Yes","Blocked - "&amp;MID($AC40,7,100),IF(C40="NOT STARTED",IF(K40="","No plan date set",IF(K40&lt;TODAY(),"Review - planned start passed","On track")),IF(C40="DB Dev",IF(N40="","No target set",IF(AND(N40&lt;TODAY(),P40=""),"Overdue","On track")),IF(C40="PBI Dev",IF(Q40="","No target set",IF(AND(Q40&lt;TODAY(),S40=""),"Overdue","On track")),IF(C40="QA",IF(T40="","No target set",IF(AND(T40&lt;TODAY(),V40=""),"Overdue","On track")),IF(C40="DPO Approval",IF(W40="","No target set",IF(W40&lt;TODAY(),"Overdue","On track")),IF(C40="RELEASED IN PROD","Delivered",""))))))))</f>
        <v/>
      </c>
      <c r="E40" s="9" t="n">
        <v>11</v>
      </c>
      <c r="F40" s="39" t="inlineStr">
        <is>
          <t>Bardia</t>
        </is>
      </c>
      <c r="G40" s="9" t="inlineStr">
        <is>
          <t>Nick</t>
        </is>
      </c>
      <c r="H40" s="9" t="inlineStr">
        <is>
          <t>Shraddha</t>
        </is>
      </c>
      <c r="I40" s="9" t="inlineStr">
        <is>
          <t>Preety</t>
        </is>
      </c>
      <c r="J40" s="9" t="n"/>
      <c r="K40" s="40" t="n">
        <v>46234</v>
      </c>
      <c r="L40" s="9" t="inlineStr">
        <is>
          <t>July</t>
        </is>
      </c>
      <c r="M40" s="41" t="n"/>
      <c r="N40" s="10" t="n">
        <v>46223</v>
      </c>
      <c r="O40" s="9" t="n"/>
      <c r="P40" s="10" t="n">
        <v>46223</v>
      </c>
      <c r="Q40" s="10" t="n">
        <v>46230</v>
      </c>
      <c r="R40" s="9" t="n"/>
      <c r="S40" s="10" t="n">
        <v>46226</v>
      </c>
      <c r="T40" s="10" t="n"/>
      <c r="U40" s="9" t="n"/>
      <c r="V40" s="10" t="n"/>
      <c r="W40" s="9" t="n"/>
      <c r="X40" s="9" t="n"/>
      <c r="Y40" s="45" t="n"/>
      <c r="Z40" s="9" t="n"/>
      <c r="AA40" s="49" t="n"/>
      <c r="AB40" s="9" t="n"/>
      <c r="AC40" s="46" t="inlineStr">
        <is>
          <t>No</t>
        </is>
      </c>
      <c r="AD40" s="9">
        <f>IF($B40="","",COUNTIF('Rework Log'!$A$3:$A$500,$B40))</f>
        <v/>
      </c>
      <c r="AE40" s="9">
        <f>IF(OR($B40="",$AM40=0),"",INDEX('Rework Log'!$C:$C,$AM40))</f>
        <v/>
      </c>
      <c r="AF40" s="10">
        <f>IF(OR($B40="",$AM40=0),"",INDEX('Rework Log'!$H:$H,$AM40))</f>
        <v/>
      </c>
      <c r="AG40" s="9">
        <f>IF(OR($B40="",$AM40=0),"",INDEX('Rework Log'!$G:$G,$AM40))</f>
        <v/>
      </c>
      <c r="AH40" s="47">
        <f>IF($B40="","",IF(W40&lt;&gt;"","DPO Approval",IF(T40&lt;&gt;"","QA",IF(Q40&lt;&gt;"","PBI Dev",IF(N40&lt;&gt;"","DB Dev","NOT STARTED")))))</f>
        <v/>
      </c>
      <c r="AI40" s="9">
        <f>IF($B40="","",IF(IF($C40="NOT STARTED",0,IF($C40="DB Dev",1,IF($C40="PBI Dev",2,IF($C40="QA",3,IF($C40="DPO Approval",4,IF($C40="RELEASED IN PROD",5,-1))))))&lt;IF($AH40="NOT STARTED",0,IF($AH40="DB Dev",1,IF($AH40="PBI Dev",2,IF($AH40="QA",3,IF($AH40="DPO Approval",4,IF($AH40="RELEASED IN PROD",5,-1)))))),"Yes - was already at "&amp;$AH40&amp;", now back at "&amp;$C40,"No"))</f>
        <v/>
      </c>
      <c r="AJ40" s="9">
        <f>IF($B40="","",IF(AND(T40&lt;&gt;"",N40&lt;&gt;"",T40&lt;N40),"QA target is before DB Dev target",IF(AND(T40&lt;&gt;"",Q40&lt;&gt;"",T40&lt;Q40),"QA target is before PBI Dev target",IF(AND(W40&lt;&gt;"",T40&lt;&gt;"",W40&lt;T40),"DPO Approval target is before QA target",IF(AND(Z40&lt;&gt;"",W40&lt;&gt;"",Z40&lt;W40),"Confirmed Deployed date is before DPO Approval target","")))))</f>
        <v/>
      </c>
      <c r="AK40" s="9">
        <f>IF($B40="","",IF(COUNTIF($B$2:$B$500,$B40)&gt;1,"Duplicate name - check row",""))</f>
        <v/>
      </c>
      <c r="AL40" s="48" t="inlineStr">
        <is>
          <t>[QA note, 07/2026]: Development is completed, QA validation in progress.</t>
        </is>
      </c>
      <c r="AM40" s="9">
        <f>IF($B40="","",SUMPRODUCT(MAX(('Rework Log'!$A$3:$A$500=$B40)*ROW('Rework Log'!$A$3:$A$500))))</f>
        <v/>
      </c>
    </row>
    <row r="41">
      <c r="A41" s="9" t="inlineStr">
        <is>
          <t>CMS</t>
        </is>
      </c>
      <c r="B41" s="9" t="inlineStr">
        <is>
          <t>RPT_02_Work Order Completion Printout</t>
        </is>
      </c>
      <c r="C41" s="9" t="inlineStr">
        <is>
          <t>QA</t>
        </is>
      </c>
      <c r="D41" s="9">
        <f>IF($B41="","",IF(LEFT($AC41,3)="Yes","Blocked - "&amp;MID($AC41,7,100),IF(C41="NOT STARTED",IF(K41="","No plan date set",IF(K41&lt;TODAY(),"Review - planned start passed","On track")),IF(C41="DB Dev",IF(N41="","No target set",IF(AND(N41&lt;TODAY(),P41=""),"Overdue","On track")),IF(C41="PBI Dev",IF(Q41="","No target set",IF(AND(Q41&lt;TODAY(),S41=""),"Overdue","On track")),IF(C41="QA",IF(T41="","No target set",IF(AND(T41&lt;TODAY(),V41=""),"Overdue","On track")),IF(C41="DPO Approval",IF(W41="","No target set",IF(W41&lt;TODAY(),"Overdue","On track")),IF(C41="RELEASED IN PROD","Delivered",""))))))))</f>
        <v/>
      </c>
      <c r="E41" s="9" t="n">
        <v>13</v>
      </c>
      <c r="F41" s="39" t="inlineStr">
        <is>
          <t>Kushal</t>
        </is>
      </c>
      <c r="G41" s="9" t="inlineStr">
        <is>
          <t>Rupa</t>
        </is>
      </c>
      <c r="H41" s="9" t="inlineStr">
        <is>
          <t>Sarath</t>
        </is>
      </c>
      <c r="I41" s="9" t="inlineStr">
        <is>
          <t>Preety</t>
        </is>
      </c>
      <c r="J41" s="9" t="n"/>
      <c r="K41" s="40" t="n">
        <v>46234</v>
      </c>
      <c r="L41" s="9" t="inlineStr">
        <is>
          <t>July</t>
        </is>
      </c>
      <c r="M41" s="41" t="n"/>
      <c r="N41" s="9" t="n"/>
      <c r="O41" s="9" t="n"/>
      <c r="P41" s="9" t="n"/>
      <c r="Q41" s="10" t="n">
        <v>46230</v>
      </c>
      <c r="R41" s="9" t="n"/>
      <c r="S41" s="10" t="n"/>
      <c r="T41" s="10" t="n"/>
      <c r="U41" s="9" t="n"/>
      <c r="V41" s="10" t="n"/>
      <c r="W41" s="9" t="n"/>
      <c r="X41" s="9" t="n"/>
      <c r="Y41" s="45" t="n"/>
      <c r="Z41" s="9" t="n"/>
      <c r="AA41" s="49" t="n"/>
      <c r="AB41" s="9" t="n"/>
      <c r="AC41" s="46" t="inlineStr">
        <is>
          <t>No</t>
        </is>
      </c>
      <c r="AD41" s="9">
        <f>IF($B41="","",COUNTIF('Rework Log'!$A$3:$A$500,$B41))</f>
        <v/>
      </c>
      <c r="AE41" s="9">
        <f>IF(OR($B41="",$AM41=0),"",INDEX('Rework Log'!$C:$C,$AM41))</f>
        <v/>
      </c>
      <c r="AF41" s="10">
        <f>IF(OR($B41="",$AM41=0),"",INDEX('Rework Log'!$H:$H,$AM41))</f>
        <v/>
      </c>
      <c r="AG41" s="9">
        <f>IF(OR($B41="",$AM41=0),"",INDEX('Rework Log'!$G:$G,$AM41))</f>
        <v/>
      </c>
      <c r="AH41" s="47">
        <f>IF($B41="","",IF(W41&lt;&gt;"","DPO Approval",IF(T41&lt;&gt;"","QA",IF(Q41&lt;&gt;"","PBI Dev",IF(N41&lt;&gt;"","DB Dev","NOT STARTED")))))</f>
        <v/>
      </c>
      <c r="AI41" s="9">
        <f>IF($B41="","",IF(IF($C41="NOT STARTED",0,IF($C41="DB Dev",1,IF($C41="PBI Dev",2,IF($C41="QA",3,IF($C41="DPO Approval",4,IF($C41="RELEASED IN PROD",5,-1))))))&lt;IF($AH41="NOT STARTED",0,IF($AH41="DB Dev",1,IF($AH41="PBI Dev",2,IF($AH41="QA",3,IF($AH41="DPO Approval",4,IF($AH41="RELEASED IN PROD",5,-1)))))),"Yes - was already at "&amp;$AH41&amp;", now back at "&amp;$C41,"No"))</f>
        <v/>
      </c>
      <c r="AJ41" s="9">
        <f>IF($B41="","",IF(AND(T41&lt;&gt;"",N41&lt;&gt;"",T41&lt;N41),"QA target is before DB Dev target",IF(AND(T41&lt;&gt;"",Q41&lt;&gt;"",T41&lt;Q41),"QA target is before PBI Dev target",IF(AND(W41&lt;&gt;"",T41&lt;&gt;"",W41&lt;T41),"DPO Approval target is before QA target",IF(AND(Z41&lt;&gt;"",W41&lt;&gt;"",Z41&lt;W41),"Confirmed Deployed date is before DPO Approval target","")))))</f>
        <v/>
      </c>
      <c r="AK41" s="9">
        <f>IF($B41="","",IF(COUNTIF($B$2:$B$500,$B41)&gt;1,"Duplicate name - check row",""))</f>
        <v/>
      </c>
      <c r="AL41" s="48" t="n"/>
      <c r="AM41" s="9">
        <f>IF($B41="","",SUMPRODUCT(MAX(('Rework Log'!$A$3:$A$500=$B41)*ROW('Rework Log'!$A$3:$A$500))))</f>
        <v/>
      </c>
    </row>
    <row r="42">
      <c r="A42" s="9" t="inlineStr">
        <is>
          <t>CMS</t>
        </is>
      </c>
      <c r="B42" s="9" t="inlineStr">
        <is>
          <t>RPT_02_GRO Control</t>
        </is>
      </c>
      <c r="C42" s="9" t="inlineStr">
        <is>
          <t>QA</t>
        </is>
      </c>
      <c r="D42" s="9">
        <f>IF($B42="","",IF(LEFT($AC42,3)="Yes","Blocked - "&amp;MID($AC42,7,100),IF(C42="NOT STARTED",IF(K42="","No plan date set",IF(K42&lt;TODAY(),"Review - planned start passed","On track")),IF(C42="DB Dev",IF(N42="","No target set",IF(AND(N42&lt;TODAY(),P42=""),"Overdue","On track")),IF(C42="PBI Dev",IF(Q42="","No target set",IF(AND(Q42&lt;TODAY(),S42=""),"Overdue","On track")),IF(C42="QA",IF(T42="","No target set",IF(AND(T42&lt;TODAY(),V42=""),"Overdue","On track")),IF(C42="DPO Approval",IF(W42="","No target set",IF(W42&lt;TODAY(),"Overdue","On track")),IF(C42="RELEASED IN PROD","Delivered",""))))))))</f>
        <v/>
      </c>
      <c r="E42" s="9" t="n">
        <v>14</v>
      </c>
      <c r="F42" s="39" t="inlineStr">
        <is>
          <t>Kushal</t>
        </is>
      </c>
      <c r="G42" s="9" t="inlineStr">
        <is>
          <t>Siva</t>
        </is>
      </c>
      <c r="H42" s="9" t="inlineStr">
        <is>
          <t>Navya</t>
        </is>
      </c>
      <c r="I42" s="9" t="inlineStr">
        <is>
          <t>Preety</t>
        </is>
      </c>
      <c r="J42" s="9" t="n"/>
      <c r="K42" s="40" t="n">
        <v>46234</v>
      </c>
      <c r="L42" s="9" t="inlineStr">
        <is>
          <t>July</t>
        </is>
      </c>
      <c r="M42" s="41" t="n"/>
      <c r="N42" s="9" t="n"/>
      <c r="O42" s="9" t="n"/>
      <c r="P42" s="9" t="n"/>
      <c r="Q42" s="10" t="n">
        <v>46230</v>
      </c>
      <c r="R42" s="9" t="n"/>
      <c r="S42" s="10" t="n"/>
      <c r="T42" s="10" t="n"/>
      <c r="U42" s="9" t="n"/>
      <c r="V42" s="10" t="n"/>
      <c r="W42" s="9" t="n"/>
      <c r="X42" s="9" t="n"/>
      <c r="Y42" s="45" t="n"/>
      <c r="Z42" s="9" t="n"/>
      <c r="AA42" s="49" t="n"/>
      <c r="AB42" s="9" t="n"/>
      <c r="AC42" s="46" t="inlineStr">
        <is>
          <t>No</t>
        </is>
      </c>
      <c r="AD42" s="9">
        <f>IF($B42="","",COUNTIF('Rework Log'!$A$3:$A$500,$B42))</f>
        <v/>
      </c>
      <c r="AE42" s="9">
        <f>IF(OR($B42="",$AM42=0),"",INDEX('Rework Log'!$C:$C,$AM42))</f>
        <v/>
      </c>
      <c r="AF42" s="10">
        <f>IF(OR($B42="",$AM42=0),"",INDEX('Rework Log'!$H:$H,$AM42))</f>
        <v/>
      </c>
      <c r="AG42" s="9">
        <f>IF(OR($B42="",$AM42=0),"",INDEX('Rework Log'!$G:$G,$AM42))</f>
        <v/>
      </c>
      <c r="AH42" s="47">
        <f>IF($B42="","",IF(W42&lt;&gt;"","DPO Approval",IF(T42&lt;&gt;"","QA",IF(Q42&lt;&gt;"","PBI Dev",IF(N42&lt;&gt;"","DB Dev","NOT STARTED")))))</f>
        <v/>
      </c>
      <c r="AI42" s="9">
        <f>IF($B42="","",IF(IF($C42="NOT STARTED",0,IF($C42="DB Dev",1,IF($C42="PBI Dev",2,IF($C42="QA",3,IF($C42="DPO Approval",4,IF($C42="RELEASED IN PROD",5,-1))))))&lt;IF($AH42="NOT STARTED",0,IF($AH42="DB Dev",1,IF($AH42="PBI Dev",2,IF($AH42="QA",3,IF($AH42="DPO Approval",4,IF($AH42="RELEASED IN PROD",5,-1)))))),"Yes - was already at "&amp;$AH42&amp;", now back at "&amp;$C42,"No"))</f>
        <v/>
      </c>
      <c r="AJ42" s="9">
        <f>IF($B42="","",IF(AND(T42&lt;&gt;"",N42&lt;&gt;"",T42&lt;N42),"QA target is before DB Dev target",IF(AND(T42&lt;&gt;"",Q42&lt;&gt;"",T42&lt;Q42),"QA target is before PBI Dev target",IF(AND(W42&lt;&gt;"",T42&lt;&gt;"",W42&lt;T42),"DPO Approval target is before QA target",IF(AND(Z42&lt;&gt;"",W42&lt;&gt;"",Z42&lt;W42),"Confirmed Deployed date is before DPO Approval target","")))))</f>
        <v/>
      </c>
      <c r="AK42" s="9">
        <f>IF($B42="","",IF(COUNTIF($B$2:$B$500,$B42)&gt;1,"Duplicate name - check row",""))</f>
        <v/>
      </c>
      <c r="AL42" s="48" t="n"/>
      <c r="AM42" s="9">
        <f>IF($B42="","",SUMPRODUCT(MAX(('Rework Log'!$A$3:$A$500=$B42)*ROW('Rework Log'!$A$3:$A$500))))</f>
        <v/>
      </c>
    </row>
    <row r="43">
      <c r="A43" s="9" t="inlineStr">
        <is>
          <t>CMS</t>
        </is>
      </c>
      <c r="B43" s="9" t="inlineStr">
        <is>
          <t>RPT_02_GRO Monitor</t>
        </is>
      </c>
      <c r="C43" s="9" t="inlineStr">
        <is>
          <t>QA</t>
        </is>
      </c>
      <c r="D43" s="9">
        <f>IF($B43="","",IF(LEFT($AC43,3)="Yes","Blocked - "&amp;MID($AC43,7,100),IF(C43="NOT STARTED",IF(K43="","No plan date set",IF(K43&lt;TODAY(),"Review - planned start passed","On track")),IF(C43="DB Dev",IF(N43="","No target set",IF(AND(N43&lt;TODAY(),P43=""),"Overdue","On track")),IF(C43="PBI Dev",IF(Q43="","No target set",IF(AND(Q43&lt;TODAY(),S43=""),"Overdue","On track")),IF(C43="QA",IF(T43="","No target set",IF(AND(T43&lt;TODAY(),V43=""),"Overdue","On track")),IF(C43="DPO Approval",IF(W43="","No target set",IF(W43&lt;TODAY(),"Overdue","On track")),IF(C43="RELEASED IN PROD","Delivered",""))))))))</f>
        <v/>
      </c>
      <c r="E43" s="9" t="n">
        <v>15</v>
      </c>
      <c r="F43" s="39" t="inlineStr">
        <is>
          <t>Bardia</t>
        </is>
      </c>
      <c r="G43" s="9" t="inlineStr">
        <is>
          <t>Rupa</t>
        </is>
      </c>
      <c r="H43" s="9" t="inlineStr">
        <is>
          <t>Shraddha</t>
        </is>
      </c>
      <c r="I43" s="9" t="inlineStr">
        <is>
          <t>Preety</t>
        </is>
      </c>
      <c r="J43" s="9" t="n"/>
      <c r="K43" s="40" t="n">
        <v>46234</v>
      </c>
      <c r="L43" s="9" t="inlineStr">
        <is>
          <t>July</t>
        </is>
      </c>
      <c r="M43" s="41" t="n"/>
      <c r="N43" s="9" t="n"/>
      <c r="O43" s="9" t="n"/>
      <c r="P43" s="9" t="n"/>
      <c r="Q43" s="10" t="n">
        <v>46230</v>
      </c>
      <c r="R43" s="9" t="n"/>
      <c r="S43" s="10" t="n"/>
      <c r="T43" s="10" t="n"/>
      <c r="U43" s="9" t="n"/>
      <c r="V43" s="10" t="n"/>
      <c r="W43" s="9" t="n"/>
      <c r="X43" s="9" t="n"/>
      <c r="Y43" s="45" t="n"/>
      <c r="Z43" s="9" t="n"/>
      <c r="AA43" s="49" t="n"/>
      <c r="AB43" s="9" t="n"/>
      <c r="AC43" s="46" t="inlineStr">
        <is>
          <t>No</t>
        </is>
      </c>
      <c r="AD43" s="9">
        <f>IF($B43="","",COUNTIF('Rework Log'!$A$3:$A$500,$B43))</f>
        <v/>
      </c>
      <c r="AE43" s="9">
        <f>IF(OR($B43="",$AM43=0),"",INDEX('Rework Log'!$C:$C,$AM43))</f>
        <v/>
      </c>
      <c r="AF43" s="10">
        <f>IF(OR($B43="",$AM43=0),"",INDEX('Rework Log'!$H:$H,$AM43))</f>
        <v/>
      </c>
      <c r="AG43" s="9">
        <f>IF(OR($B43="",$AM43=0),"",INDEX('Rework Log'!$G:$G,$AM43))</f>
        <v/>
      </c>
      <c r="AH43" s="47">
        <f>IF($B43="","",IF(W43&lt;&gt;"","DPO Approval",IF(T43&lt;&gt;"","QA",IF(Q43&lt;&gt;"","PBI Dev",IF(N43&lt;&gt;"","DB Dev","NOT STARTED")))))</f>
        <v/>
      </c>
      <c r="AI43" s="9">
        <f>IF($B43="","",IF(IF($C43="NOT STARTED",0,IF($C43="DB Dev",1,IF($C43="PBI Dev",2,IF($C43="QA",3,IF($C43="DPO Approval",4,IF($C43="RELEASED IN PROD",5,-1))))))&lt;IF($AH43="NOT STARTED",0,IF($AH43="DB Dev",1,IF($AH43="PBI Dev",2,IF($AH43="QA",3,IF($AH43="DPO Approval",4,IF($AH43="RELEASED IN PROD",5,-1)))))),"Yes - was already at "&amp;$AH43&amp;", now back at "&amp;$C43,"No"))</f>
        <v/>
      </c>
      <c r="AJ43" s="9">
        <f>IF($B43="","",IF(AND(T43&lt;&gt;"",N43&lt;&gt;"",T43&lt;N43),"QA target is before DB Dev target",IF(AND(T43&lt;&gt;"",Q43&lt;&gt;"",T43&lt;Q43),"QA target is before PBI Dev target",IF(AND(W43&lt;&gt;"",T43&lt;&gt;"",W43&lt;T43),"DPO Approval target is before QA target",IF(AND(Z43&lt;&gt;"",W43&lt;&gt;"",Z43&lt;W43),"Confirmed Deployed date is before DPO Approval target","")))))</f>
        <v/>
      </c>
      <c r="AK43" s="9">
        <f>IF($B43="","",IF(COUNTIF($B$2:$B$500,$B43)&gt;1,"Duplicate name - check row",""))</f>
        <v/>
      </c>
      <c r="AL43" s="48" t="n"/>
      <c r="AM43" s="9">
        <f>IF($B43="","",SUMPRODUCT(MAX(('Rework Log'!$A$3:$A$500=$B43)*ROW('Rework Log'!$A$3:$A$500))))</f>
        <v/>
      </c>
    </row>
    <row r="44">
      <c r="A44" s="9" t="inlineStr">
        <is>
          <t>CMS</t>
        </is>
      </c>
      <c r="B44" s="9" t="inlineStr">
        <is>
          <t>RPT_02_Public Buildings Inspection</t>
        </is>
      </c>
      <c r="C44" s="9" t="inlineStr">
        <is>
          <t>QA</t>
        </is>
      </c>
      <c r="D44" s="9">
        <f>IF($B44="","",IF(LEFT($AC44,3)="Yes","Blocked - "&amp;MID($AC44,7,100),IF(C44="NOT STARTED",IF(K44="","No plan date set",IF(K44&lt;TODAY(),"Review - planned start passed","On track")),IF(C44="DB Dev",IF(N44="","No target set",IF(AND(N44&lt;TODAY(),P44=""),"Overdue","On track")),IF(C44="PBI Dev",IF(Q44="","No target set",IF(AND(Q44&lt;TODAY(),S44=""),"Overdue","On track")),IF(C44="QA",IF(T44="","No target set",IF(AND(T44&lt;TODAY(),V44=""),"Overdue","On track")),IF(C44="DPO Approval",IF(W44="","No target set",IF(W44&lt;TODAY(),"Overdue","On track")),IF(C44="RELEASED IN PROD","Delivered",""))))))))</f>
        <v/>
      </c>
      <c r="E44" s="9" t="inlineStr">
        <is>
          <t>16,17,24, 28</t>
        </is>
      </c>
      <c r="F44" s="39" t="n"/>
      <c r="G44" s="9" t="inlineStr">
        <is>
          <t>Geetha</t>
        </is>
      </c>
      <c r="H44" s="9" t="n"/>
      <c r="I44" s="9" t="n"/>
      <c r="J44" s="9" t="n"/>
      <c r="K44" s="40" t="n">
        <v>46265</v>
      </c>
      <c r="L44" s="9" t="inlineStr">
        <is>
          <t>August</t>
        </is>
      </c>
      <c r="M44" s="41" t="n"/>
      <c r="N44" s="9" t="n"/>
      <c r="O44" s="9" t="n"/>
      <c r="P44" s="9" t="n"/>
      <c r="Q44" s="9" t="n"/>
      <c r="R44" s="9" t="n"/>
      <c r="S44" s="9" t="n"/>
      <c r="T44" s="9" t="n"/>
      <c r="U44" s="9" t="n"/>
      <c r="V44" s="9" t="n"/>
      <c r="W44" s="9" t="n"/>
      <c r="X44" s="9" t="n"/>
      <c r="Y44" s="45" t="n"/>
      <c r="Z44" s="9" t="n"/>
      <c r="AA44" s="49" t="n"/>
      <c r="AB44" s="9" t="n"/>
      <c r="AC44" s="46" t="inlineStr">
        <is>
          <t>No</t>
        </is>
      </c>
      <c r="AD44" s="9">
        <f>IF($B44="","",COUNTIF('Rework Log'!$A$3:$A$500,$B44))</f>
        <v/>
      </c>
      <c r="AE44" s="9">
        <f>IF(OR($B44="",$AM44=0),"",INDEX('Rework Log'!$C:$C,$AM44))</f>
        <v/>
      </c>
      <c r="AF44" s="10">
        <f>IF(OR($B44="",$AM44=0),"",INDEX('Rework Log'!$H:$H,$AM44))</f>
        <v/>
      </c>
      <c r="AG44" s="9">
        <f>IF(OR($B44="",$AM44=0),"",INDEX('Rework Log'!$G:$G,$AM44))</f>
        <v/>
      </c>
      <c r="AH44" s="47">
        <f>IF($B44="","",IF(W44&lt;&gt;"","DPO Approval",IF(T44&lt;&gt;"","QA",IF(Q44&lt;&gt;"","PBI Dev",IF(N44&lt;&gt;"","DB Dev","NOT STARTED")))))</f>
        <v/>
      </c>
      <c r="AI44" s="9">
        <f>IF($B44="","",IF(IF($C44="NOT STARTED",0,IF($C44="DB Dev",1,IF($C44="PBI Dev",2,IF($C44="QA",3,IF($C44="DPO Approval",4,IF($C44="RELEASED IN PROD",5,-1))))))&lt;IF($AH44="NOT STARTED",0,IF($AH44="DB Dev",1,IF($AH44="PBI Dev",2,IF($AH44="QA",3,IF($AH44="DPO Approval",4,IF($AH44="RELEASED IN PROD",5,-1)))))),"Yes - was already at "&amp;$AH44&amp;", now back at "&amp;$C44,"No"))</f>
        <v/>
      </c>
      <c r="AJ44" s="9">
        <f>IF($B44="","",IF(AND(T44&lt;&gt;"",N44&lt;&gt;"",T44&lt;N44),"QA target is before DB Dev target",IF(AND(T44&lt;&gt;"",Q44&lt;&gt;"",T44&lt;Q44),"QA target is before PBI Dev target",IF(AND(W44&lt;&gt;"",T44&lt;&gt;"",W44&lt;T44),"DPO Approval target is before QA target",IF(AND(Z44&lt;&gt;"",W44&lt;&gt;"",Z44&lt;W44),"Confirmed Deployed date is before DPO Approval target","")))))</f>
        <v/>
      </c>
      <c r="AK44" s="9">
        <f>IF($B44="","",IF(COUNTIF($B$2:$B$500,$B44)&gt;1,"Duplicate name - check row",""))</f>
        <v/>
      </c>
      <c r="AL44" s="48" t="n"/>
      <c r="AM44" s="9">
        <f>IF($B44="","",SUMPRODUCT(MAX(('Rework Log'!$A$3:$A$500=$B44)*ROW('Rework Log'!$A$3:$A$500))))</f>
        <v/>
      </c>
    </row>
    <row r="45">
      <c r="A45" s="9" t="inlineStr">
        <is>
          <t>CMS</t>
        </is>
      </c>
      <c r="B45" s="9" t="inlineStr">
        <is>
          <t>RPT_02_Investigate Wall Check and Service Check</t>
        </is>
      </c>
      <c r="C45" s="9" t="inlineStr">
        <is>
          <t>NOT STARTED</t>
        </is>
      </c>
      <c r="D45" s="9">
        <f>IF($B45="","",IF(LEFT($AC45,3)="Yes","Blocked - "&amp;MID($AC45,7,100),IF(C45="NOT STARTED",IF(K45="","No plan date set",IF(K45&lt;TODAY(),"Review - planned start passed","On track")),IF(C45="DB Dev",IF(N45="","No target set",IF(AND(N45&lt;TODAY(),P45=""),"Overdue","On track")),IF(C45="PBI Dev",IF(Q45="","No target set",IF(AND(Q45&lt;TODAY(),S45=""),"Overdue","On track")),IF(C45="QA",IF(T45="","No target set",IF(AND(T45&lt;TODAY(),V45=""),"Overdue","On track")),IF(C45="DPO Approval",IF(W45="","No target set",IF(W45&lt;TODAY(),"Overdue","On track")),IF(C45="RELEASED IN PROD","Delivered",""))))))))</f>
        <v/>
      </c>
      <c r="E45" s="9" t="n">
        <v>18</v>
      </c>
      <c r="F45" s="39" t="n"/>
      <c r="G45" s="9" t="inlineStr">
        <is>
          <t>Siva</t>
        </is>
      </c>
      <c r="H45" s="9" t="n"/>
      <c r="I45" s="9" t="n"/>
      <c r="J45" s="9" t="n"/>
      <c r="K45" s="40" t="n">
        <v>46265</v>
      </c>
      <c r="L45" s="9" t="inlineStr">
        <is>
          <t>August</t>
        </is>
      </c>
      <c r="M45" s="41" t="n"/>
      <c r="N45" s="9" t="n"/>
      <c r="O45" s="9" t="n"/>
      <c r="P45" s="9" t="n"/>
      <c r="Q45" s="9" t="n"/>
      <c r="R45" s="9" t="n"/>
      <c r="S45" s="9" t="n"/>
      <c r="T45" s="9" t="n"/>
      <c r="U45" s="9" t="n"/>
      <c r="V45" s="9" t="n"/>
      <c r="W45" s="9" t="n"/>
      <c r="X45" s="9" t="n"/>
      <c r="Y45" s="45" t="n"/>
      <c r="Z45" s="9" t="n"/>
      <c r="AA45" s="49" t="n"/>
      <c r="AB45" s="9" t="n"/>
      <c r="AC45" s="46" t="inlineStr">
        <is>
          <t>No</t>
        </is>
      </c>
      <c r="AD45" s="9">
        <f>IF($B45="","",COUNTIF('Rework Log'!$A$3:$A$500,$B45))</f>
        <v/>
      </c>
      <c r="AE45" s="9">
        <f>IF(OR($B45="",$AM45=0),"",INDEX('Rework Log'!$C:$C,$AM45))</f>
        <v/>
      </c>
      <c r="AF45" s="10">
        <f>IF(OR($B45="",$AM45=0),"",INDEX('Rework Log'!$H:$H,$AM45))</f>
        <v/>
      </c>
      <c r="AG45" s="9">
        <f>IF(OR($B45="",$AM45=0),"",INDEX('Rework Log'!$G:$G,$AM45))</f>
        <v/>
      </c>
      <c r="AH45" s="47">
        <f>IF($B45="","",IF(W45&lt;&gt;"","DPO Approval",IF(T45&lt;&gt;"","QA",IF(Q45&lt;&gt;"","PBI Dev",IF(N45&lt;&gt;"","DB Dev","NOT STARTED")))))</f>
        <v/>
      </c>
      <c r="AI45" s="9">
        <f>IF($B45="","",IF(IF($C45="NOT STARTED",0,IF($C45="DB Dev",1,IF($C45="PBI Dev",2,IF($C45="QA",3,IF($C45="DPO Approval",4,IF($C45="RELEASED IN PROD",5,-1))))))&lt;IF($AH45="NOT STARTED",0,IF($AH45="DB Dev",1,IF($AH45="PBI Dev",2,IF($AH45="QA",3,IF($AH45="DPO Approval",4,IF($AH45="RELEASED IN PROD",5,-1)))))),"Yes - was already at "&amp;$AH45&amp;", now back at "&amp;$C45,"No"))</f>
        <v/>
      </c>
      <c r="AJ45" s="9">
        <f>IF($B45="","",IF(AND(T45&lt;&gt;"",N45&lt;&gt;"",T45&lt;N45),"QA target is before DB Dev target",IF(AND(T45&lt;&gt;"",Q45&lt;&gt;"",T45&lt;Q45),"QA target is before PBI Dev target",IF(AND(W45&lt;&gt;"",T45&lt;&gt;"",W45&lt;T45),"DPO Approval target is before QA target",IF(AND(Z45&lt;&gt;"",W45&lt;&gt;"",Z45&lt;W45),"Confirmed Deployed date is before DPO Approval target","")))))</f>
        <v/>
      </c>
      <c r="AK45" s="9">
        <f>IF($B45="","",IF(COUNTIF($B$2:$B$500,$B45)&gt;1,"Duplicate name - check row",""))</f>
        <v/>
      </c>
      <c r="AL45" s="48" t="n"/>
      <c r="AM45" s="9">
        <f>IF($B45="","",SUMPRODUCT(MAX(('Rework Log'!$A$3:$A$500=$B45)*ROW('Rework Log'!$A$3:$A$500))))</f>
        <v/>
      </c>
    </row>
    <row r="46">
      <c r="A46" s="9" t="inlineStr">
        <is>
          <t>CMS</t>
        </is>
      </c>
      <c r="B46" s="9" t="inlineStr">
        <is>
          <t>RPT_02_Cut Out Orders</t>
        </is>
      </c>
      <c r="C46" s="9" t="inlineStr">
        <is>
          <t>NOT STARTED</t>
        </is>
      </c>
      <c r="D46" s="9">
        <f>IF($B46="","",IF(LEFT($AC46,3)="Yes","Blocked - "&amp;MID($AC46,7,100),IF(C46="NOT STARTED",IF(K46="","No plan date set",IF(K46&lt;TODAY(),"Review - planned start passed","On track")),IF(C46="DB Dev",IF(N46="","No target set",IF(AND(N46&lt;TODAY(),P46=""),"Overdue","On track")),IF(C46="PBI Dev",IF(Q46="","No target set",IF(AND(Q46&lt;TODAY(),S46=""),"Overdue","On track")),IF(C46="QA",IF(T46="","No target set",IF(AND(T46&lt;TODAY(),V46=""),"Overdue","On track")),IF(C46="DPO Approval",IF(W46="","No target set",IF(W46&lt;TODAY(),"Overdue","On track")),IF(C46="RELEASED IN PROD","Delivered",""))))))))</f>
        <v/>
      </c>
      <c r="E46" s="9" t="n">
        <v>19</v>
      </c>
      <c r="F46" s="39" t="n"/>
      <c r="G46" s="9" t="inlineStr">
        <is>
          <t>Fetwi</t>
        </is>
      </c>
      <c r="H46" s="9" t="n"/>
      <c r="I46" s="9" t="n"/>
      <c r="J46" s="9" t="n"/>
      <c r="K46" s="40" t="n">
        <v>46265</v>
      </c>
      <c r="L46" s="9" t="inlineStr">
        <is>
          <t>August</t>
        </is>
      </c>
      <c r="M46" s="41" t="n"/>
      <c r="N46" s="9" t="n"/>
      <c r="O46" s="9" t="n"/>
      <c r="P46" s="9" t="n"/>
      <c r="Q46" s="9" t="n"/>
      <c r="R46" s="9" t="n"/>
      <c r="S46" s="9" t="n"/>
      <c r="T46" s="9" t="n"/>
      <c r="U46" s="9" t="n"/>
      <c r="V46" s="9" t="n"/>
      <c r="W46" s="9" t="n"/>
      <c r="X46" s="9" t="n"/>
      <c r="Y46" s="45" t="n"/>
      <c r="Z46" s="9" t="n"/>
      <c r="AA46" s="49" t="n"/>
      <c r="AB46" s="9" t="n"/>
      <c r="AC46" s="46" t="inlineStr">
        <is>
          <t>No</t>
        </is>
      </c>
      <c r="AD46" s="9">
        <f>IF($B46="","",COUNTIF('Rework Log'!$A$3:$A$500,$B46))</f>
        <v/>
      </c>
      <c r="AE46" s="9">
        <f>IF(OR($B46="",$AM46=0),"",INDEX('Rework Log'!$C:$C,$AM46))</f>
        <v/>
      </c>
      <c r="AF46" s="10">
        <f>IF(OR($B46="",$AM46=0),"",INDEX('Rework Log'!$H:$H,$AM46))</f>
        <v/>
      </c>
      <c r="AG46" s="9">
        <f>IF(OR($B46="",$AM46=0),"",INDEX('Rework Log'!$G:$G,$AM46))</f>
        <v/>
      </c>
      <c r="AH46" s="47">
        <f>IF($B46="","",IF(W46&lt;&gt;"","DPO Approval",IF(T46&lt;&gt;"","QA",IF(Q46&lt;&gt;"","PBI Dev",IF(N46&lt;&gt;"","DB Dev","NOT STARTED")))))</f>
        <v/>
      </c>
      <c r="AI46" s="9">
        <f>IF($B46="","",IF(IF($C46="NOT STARTED",0,IF($C46="DB Dev",1,IF($C46="PBI Dev",2,IF($C46="QA",3,IF($C46="DPO Approval",4,IF($C46="RELEASED IN PROD",5,-1))))))&lt;IF($AH46="NOT STARTED",0,IF($AH46="DB Dev",1,IF($AH46="PBI Dev",2,IF($AH46="QA",3,IF($AH46="DPO Approval",4,IF($AH46="RELEASED IN PROD",5,-1)))))),"Yes - was already at "&amp;$AH46&amp;", now back at "&amp;$C46,"No"))</f>
        <v/>
      </c>
      <c r="AJ46" s="9">
        <f>IF($B46="","",IF(AND(T46&lt;&gt;"",N46&lt;&gt;"",T46&lt;N46),"QA target is before DB Dev target",IF(AND(T46&lt;&gt;"",Q46&lt;&gt;"",T46&lt;Q46),"QA target is before PBI Dev target",IF(AND(W46&lt;&gt;"",T46&lt;&gt;"",W46&lt;T46),"DPO Approval target is before QA target",IF(AND(Z46&lt;&gt;"",W46&lt;&gt;"",Z46&lt;W46),"Confirmed Deployed date is before DPO Approval target","")))))</f>
        <v/>
      </c>
      <c r="AK46" s="9">
        <f>IF($B46="","",IF(COUNTIF($B$2:$B$500,$B46)&gt;1,"Duplicate name - check row",""))</f>
        <v/>
      </c>
      <c r="AL46" s="48" t="n"/>
      <c r="AM46" s="9">
        <f>IF($B46="","",SUMPRODUCT(MAX(('Rework Log'!$A$3:$A$500=$B46)*ROW('Rework Log'!$A$3:$A$500))))</f>
        <v/>
      </c>
    </row>
    <row r="47">
      <c r="A47" s="9" t="inlineStr">
        <is>
          <t>CMS</t>
        </is>
      </c>
      <c r="B47" s="9" t="inlineStr">
        <is>
          <t>RPT_02_Gas Trouble</t>
        </is>
      </c>
      <c r="C47" s="9" t="inlineStr">
        <is>
          <t>QA</t>
        </is>
      </c>
      <c r="D47" s="9">
        <f>IF($B47="","",IF(LEFT($AC47,3)="Yes","Blocked - "&amp;MID($AC47,7,100),IF(C47="NOT STARTED",IF(K47="","No plan date set",IF(K47&lt;TODAY(),"Review - planned start passed","On track")),IF(C47="DB Dev",IF(N47="","No target set",IF(AND(N47&lt;TODAY(),P47=""),"Overdue","On track")),IF(C47="PBI Dev",IF(Q47="","No target set",IF(AND(Q47&lt;TODAY(),S47=""),"Overdue","On track")),IF(C47="QA",IF(T47="","No target set",IF(AND(T47&lt;TODAY(),V47=""),"Overdue","On track")),IF(C47="DPO Approval",IF(W47="","No target set",IF(W47&lt;TODAY(),"Overdue","On track")),IF(C47="RELEASED IN PROD","Delivered",""))))))))</f>
        <v/>
      </c>
      <c r="E47" s="9" t="n">
        <v>20</v>
      </c>
      <c r="F47" s="39" t="n"/>
      <c r="G47" s="9" t="inlineStr">
        <is>
          <t>Siddu</t>
        </is>
      </c>
      <c r="H47" s="9" t="n"/>
      <c r="I47" s="9" t="n"/>
      <c r="J47" s="9" t="n"/>
      <c r="K47" s="40" t="n">
        <v>46265</v>
      </c>
      <c r="L47" s="9" t="inlineStr">
        <is>
          <t>August</t>
        </is>
      </c>
      <c r="M47" s="41" t="n"/>
      <c r="N47" s="9" t="n"/>
      <c r="O47" s="9" t="n"/>
      <c r="P47" s="9" t="n"/>
      <c r="Q47" s="9" t="n"/>
      <c r="R47" s="9" t="n"/>
      <c r="S47" s="9" t="n"/>
      <c r="T47" s="9" t="n"/>
      <c r="U47" s="9" t="n"/>
      <c r="V47" s="9" t="n"/>
      <c r="W47" s="9" t="n"/>
      <c r="X47" s="9" t="n"/>
      <c r="Y47" s="45" t="n"/>
      <c r="Z47" s="9" t="n"/>
      <c r="AA47" s="49" t="n"/>
      <c r="AB47" s="9" t="n"/>
      <c r="AC47" s="46" t="inlineStr">
        <is>
          <t>No</t>
        </is>
      </c>
      <c r="AD47" s="9">
        <f>IF($B47="","",COUNTIF('Rework Log'!$A$3:$A$500,$B47))</f>
        <v/>
      </c>
      <c r="AE47" s="9">
        <f>IF(OR($B47="",$AM47=0),"",INDEX('Rework Log'!$C:$C,$AM47))</f>
        <v/>
      </c>
      <c r="AF47" s="10">
        <f>IF(OR($B47="",$AM47=0),"",INDEX('Rework Log'!$H:$H,$AM47))</f>
        <v/>
      </c>
      <c r="AG47" s="9">
        <f>IF(OR($B47="",$AM47=0),"",INDEX('Rework Log'!$G:$G,$AM47))</f>
        <v/>
      </c>
      <c r="AH47" s="47">
        <f>IF($B47="","",IF(W47&lt;&gt;"","DPO Approval",IF(T47&lt;&gt;"","QA",IF(Q47&lt;&gt;"","PBI Dev",IF(N47&lt;&gt;"","DB Dev","NOT STARTED")))))</f>
        <v/>
      </c>
      <c r="AI47" s="9">
        <f>IF($B47="","",IF(IF($C47="NOT STARTED",0,IF($C47="DB Dev",1,IF($C47="PBI Dev",2,IF($C47="QA",3,IF($C47="DPO Approval",4,IF($C47="RELEASED IN PROD",5,-1))))))&lt;IF($AH47="NOT STARTED",0,IF($AH47="DB Dev",1,IF($AH47="PBI Dev",2,IF($AH47="QA",3,IF($AH47="DPO Approval",4,IF($AH47="RELEASED IN PROD",5,-1)))))),"Yes - was already at "&amp;$AH47&amp;", now back at "&amp;$C47,"No"))</f>
        <v/>
      </c>
      <c r="AJ47" s="9">
        <f>IF($B47="","",IF(AND(T47&lt;&gt;"",N47&lt;&gt;"",T47&lt;N47),"QA target is before DB Dev target",IF(AND(T47&lt;&gt;"",Q47&lt;&gt;"",T47&lt;Q47),"QA target is before PBI Dev target",IF(AND(W47&lt;&gt;"",T47&lt;&gt;"",W47&lt;T47),"DPO Approval target is before QA target",IF(AND(Z47&lt;&gt;"",W47&lt;&gt;"",Z47&lt;W47),"Confirmed Deployed date is before DPO Approval target","")))))</f>
        <v/>
      </c>
      <c r="AK47" s="9">
        <f>IF($B47="","",IF(COUNTIF($B$2:$B$500,$B47)&gt;1,"Duplicate name - check row",""))</f>
        <v/>
      </c>
      <c r="AL47" s="48" t="n"/>
      <c r="AM47" s="9">
        <f>IF($B47="","",SUMPRODUCT(MAX(('Rework Log'!$A$3:$A$500=$B47)*ROW('Rework Log'!$A$3:$A$500))))</f>
        <v/>
      </c>
    </row>
    <row r="48">
      <c r="A48" s="9" t="inlineStr">
        <is>
          <t>CMS</t>
        </is>
      </c>
      <c r="B48" s="9" t="inlineStr">
        <is>
          <t>RPT_02_Wall Check Control</t>
        </is>
      </c>
      <c r="C48" s="9" t="inlineStr">
        <is>
          <t>NOT STARTED</t>
        </is>
      </c>
      <c r="D48" s="9">
        <f>IF($B48="","",IF(LEFT($AC48,3)="Yes","Blocked - "&amp;MID($AC48,7,100),IF(C48="NOT STARTED",IF(K48="","No plan date set",IF(K48&lt;TODAY(),"Review - planned start passed","On track")),IF(C48="DB Dev",IF(N48="","No target set",IF(AND(N48&lt;TODAY(),P48=""),"Overdue","On track")),IF(C48="PBI Dev",IF(Q48="","No target set",IF(AND(Q48&lt;TODAY(),S48=""),"Overdue","On track")),IF(C48="QA",IF(T48="","No target set",IF(AND(T48&lt;TODAY(),V48=""),"Overdue","On track")),IF(C48="DPO Approval",IF(W48="","No target set",IF(W48&lt;TODAY(),"Overdue","On track")),IF(C48="RELEASED IN PROD","Delivered",""))))))))</f>
        <v/>
      </c>
      <c r="E48" s="9" t="n">
        <v>21</v>
      </c>
      <c r="F48" s="39" t="n"/>
      <c r="G48" s="9" t="inlineStr">
        <is>
          <t>Nick</t>
        </is>
      </c>
      <c r="H48" s="9" t="n"/>
      <c r="I48" s="9" t="n"/>
      <c r="J48" s="9" t="n"/>
      <c r="K48" s="40" t="n">
        <v>46265</v>
      </c>
      <c r="L48" s="9" t="inlineStr">
        <is>
          <t>August</t>
        </is>
      </c>
      <c r="M48" s="41" t="n"/>
      <c r="N48" s="9" t="n"/>
      <c r="O48" s="9" t="n"/>
      <c r="P48" s="9" t="n"/>
      <c r="Q48" s="9" t="n"/>
      <c r="R48" s="9" t="n"/>
      <c r="S48" s="9" t="n"/>
      <c r="T48" s="9" t="n"/>
      <c r="U48" s="9" t="n"/>
      <c r="V48" s="9" t="n"/>
      <c r="W48" s="9" t="n"/>
      <c r="X48" s="9" t="n"/>
      <c r="Y48" s="45" t="n"/>
      <c r="Z48" s="9" t="n"/>
      <c r="AA48" s="49" t="n"/>
      <c r="AB48" s="9" t="n"/>
      <c r="AC48" s="46" t="inlineStr">
        <is>
          <t>No</t>
        </is>
      </c>
      <c r="AD48" s="9">
        <f>IF($B48="","",COUNTIF('Rework Log'!$A$3:$A$500,$B48))</f>
        <v/>
      </c>
      <c r="AE48" s="9">
        <f>IF(OR($B48="",$AM48=0),"",INDEX('Rework Log'!$C:$C,$AM48))</f>
        <v/>
      </c>
      <c r="AF48" s="10">
        <f>IF(OR($B48="",$AM48=0),"",INDEX('Rework Log'!$H:$H,$AM48))</f>
        <v/>
      </c>
      <c r="AG48" s="9">
        <f>IF(OR($B48="",$AM48=0),"",INDEX('Rework Log'!$G:$G,$AM48))</f>
        <v/>
      </c>
      <c r="AH48" s="47">
        <f>IF($B48="","",IF(W48&lt;&gt;"","DPO Approval",IF(T48&lt;&gt;"","QA",IF(Q48&lt;&gt;"","PBI Dev",IF(N48&lt;&gt;"","DB Dev","NOT STARTED")))))</f>
        <v/>
      </c>
      <c r="AI48" s="9">
        <f>IF($B48="","",IF(IF($C48="NOT STARTED",0,IF($C48="DB Dev",1,IF($C48="PBI Dev",2,IF($C48="QA",3,IF($C48="DPO Approval",4,IF($C48="RELEASED IN PROD",5,-1))))))&lt;IF($AH48="NOT STARTED",0,IF($AH48="DB Dev",1,IF($AH48="PBI Dev",2,IF($AH48="QA",3,IF($AH48="DPO Approval",4,IF($AH48="RELEASED IN PROD",5,-1)))))),"Yes - was already at "&amp;$AH48&amp;", now back at "&amp;$C48,"No"))</f>
        <v/>
      </c>
      <c r="AJ48" s="9">
        <f>IF($B48="","",IF(AND(T48&lt;&gt;"",N48&lt;&gt;"",T48&lt;N48),"QA target is before DB Dev target",IF(AND(T48&lt;&gt;"",Q48&lt;&gt;"",T48&lt;Q48),"QA target is before PBI Dev target",IF(AND(W48&lt;&gt;"",T48&lt;&gt;"",W48&lt;T48),"DPO Approval target is before QA target",IF(AND(Z48&lt;&gt;"",W48&lt;&gt;"",Z48&lt;W48),"Confirmed Deployed date is before DPO Approval target","")))))</f>
        <v/>
      </c>
      <c r="AK48" s="9">
        <f>IF($B48="","",IF(COUNTIF($B$2:$B$500,$B48)&gt;1,"Duplicate name - check row",""))</f>
        <v/>
      </c>
      <c r="AL48" s="48" t="n"/>
      <c r="AM48" s="9">
        <f>IF($B48="","",SUMPRODUCT(MAX(('Rework Log'!$A$3:$A$500=$B48)*ROW('Rework Log'!$A$3:$A$500))))</f>
        <v/>
      </c>
    </row>
    <row r="49">
      <c r="A49" s="9" t="inlineStr">
        <is>
          <t>CMS</t>
        </is>
      </c>
      <c r="B49" s="9" t="inlineStr">
        <is>
          <t>RPT_02_High Pressure Steel Inside Inspection</t>
        </is>
      </c>
      <c r="C49" s="9" t="inlineStr">
        <is>
          <t>NOT STARTED</t>
        </is>
      </c>
      <c r="D49" s="9">
        <f>IF($B49="","",IF(LEFT($AC49,3)="Yes","Blocked - "&amp;MID($AC49,7,100),IF(C49="NOT STARTED",IF(K49="","No plan date set",IF(K49&lt;TODAY(),"Review - planned start passed","On track")),IF(C49="DB Dev",IF(N49="","No target set",IF(AND(N49&lt;TODAY(),P49=""),"Overdue","On track")),IF(C49="PBI Dev",IF(Q49="","No target set",IF(AND(Q49&lt;TODAY(),S49=""),"Overdue","On track")),IF(C49="QA",IF(T49="","No target set",IF(AND(T49&lt;TODAY(),V49=""),"Overdue","On track")),IF(C49="DPO Approval",IF(W49="","No target set",IF(W49&lt;TODAY(),"Overdue","On track")),IF(C49="RELEASED IN PROD","Delivered",""))))))))</f>
        <v/>
      </c>
      <c r="E49" s="9" t="n">
        <v>22</v>
      </c>
      <c r="F49" s="39" t="n"/>
      <c r="G49" s="9" t="inlineStr">
        <is>
          <t>Siva</t>
        </is>
      </c>
      <c r="H49" s="9" t="n"/>
      <c r="I49" s="9" t="n"/>
      <c r="J49" s="9" t="n"/>
      <c r="K49" s="40" t="n">
        <v>46265</v>
      </c>
      <c r="L49" s="9" t="inlineStr">
        <is>
          <t>August</t>
        </is>
      </c>
      <c r="M49" s="41" t="n"/>
      <c r="N49" s="9" t="n"/>
      <c r="O49" s="9" t="n"/>
      <c r="P49" s="9" t="n"/>
      <c r="Q49" s="9" t="n"/>
      <c r="R49" s="9" t="n"/>
      <c r="S49" s="9" t="n"/>
      <c r="T49" s="9" t="n"/>
      <c r="U49" s="9" t="n"/>
      <c r="V49" s="9" t="n"/>
      <c r="W49" s="9" t="n"/>
      <c r="X49" s="9" t="n"/>
      <c r="Y49" s="45" t="n"/>
      <c r="Z49" s="9" t="n"/>
      <c r="AA49" s="49" t="n"/>
      <c r="AB49" s="9" t="n"/>
      <c r="AC49" s="46" t="inlineStr">
        <is>
          <t>No</t>
        </is>
      </c>
      <c r="AD49" s="9">
        <f>IF($B49="","",COUNTIF('Rework Log'!$A$3:$A$500,$B49))</f>
        <v/>
      </c>
      <c r="AE49" s="9">
        <f>IF(OR($B49="",$AM49=0),"",INDEX('Rework Log'!$C:$C,$AM49))</f>
        <v/>
      </c>
      <c r="AF49" s="10">
        <f>IF(OR($B49="",$AM49=0),"",INDEX('Rework Log'!$H:$H,$AM49))</f>
        <v/>
      </c>
      <c r="AG49" s="9">
        <f>IF(OR($B49="",$AM49=0),"",INDEX('Rework Log'!$G:$G,$AM49))</f>
        <v/>
      </c>
      <c r="AH49" s="47">
        <f>IF($B49="","",IF(W49&lt;&gt;"","DPO Approval",IF(T49&lt;&gt;"","QA",IF(Q49&lt;&gt;"","PBI Dev",IF(N49&lt;&gt;"","DB Dev","NOT STARTED")))))</f>
        <v/>
      </c>
      <c r="AI49" s="9">
        <f>IF($B49="","",IF(IF($C49="NOT STARTED",0,IF($C49="DB Dev",1,IF($C49="PBI Dev",2,IF($C49="QA",3,IF($C49="DPO Approval",4,IF($C49="RELEASED IN PROD",5,-1))))))&lt;IF($AH49="NOT STARTED",0,IF($AH49="DB Dev",1,IF($AH49="PBI Dev",2,IF($AH49="QA",3,IF($AH49="DPO Approval",4,IF($AH49="RELEASED IN PROD",5,-1)))))),"Yes - was already at "&amp;$AH49&amp;", now back at "&amp;$C49,"No"))</f>
        <v/>
      </c>
      <c r="AJ49" s="9">
        <f>IF($B49="","",IF(AND(T49&lt;&gt;"",N49&lt;&gt;"",T49&lt;N49),"QA target is before DB Dev target",IF(AND(T49&lt;&gt;"",Q49&lt;&gt;"",T49&lt;Q49),"QA target is before PBI Dev target",IF(AND(W49&lt;&gt;"",T49&lt;&gt;"",W49&lt;T49),"DPO Approval target is before QA target",IF(AND(Z49&lt;&gt;"",W49&lt;&gt;"",Z49&lt;W49),"Confirmed Deployed date is before DPO Approval target","")))))</f>
        <v/>
      </c>
      <c r="AK49" s="9">
        <f>IF($B49="","",IF(COUNTIF($B$2:$B$500,$B49)&gt;1,"Duplicate name - check row",""))</f>
        <v/>
      </c>
      <c r="AL49" s="48" t="n"/>
      <c r="AM49" s="9">
        <f>IF($B49="","",SUMPRODUCT(MAX(('Rework Log'!$A$3:$A$500=$B49)*ROW('Rework Log'!$A$3:$A$500))))</f>
        <v/>
      </c>
    </row>
    <row r="50">
      <c r="A50" s="9" t="inlineStr">
        <is>
          <t>CMS</t>
        </is>
      </c>
      <c r="B50" s="9" t="inlineStr">
        <is>
          <t>RPT_02_Large Gas Outage</t>
        </is>
      </c>
      <c r="C50" s="9" t="inlineStr">
        <is>
          <t>NOT STARTED</t>
        </is>
      </c>
      <c r="D50" s="9">
        <f>IF($B50="","",IF(LEFT($AC50,3)="Yes","Blocked - "&amp;MID($AC50,7,100),IF(C50="NOT STARTED",IF(K50="","No plan date set",IF(K50&lt;TODAY(),"Review - planned start passed","On track")),IF(C50="DB Dev",IF(N50="","No target set",IF(AND(N50&lt;TODAY(),P50=""),"Overdue","On track")),IF(C50="PBI Dev",IF(Q50="","No target set",IF(AND(Q50&lt;TODAY(),S50=""),"Overdue","On track")),IF(C50="QA",IF(T50="","No target set",IF(AND(T50&lt;TODAY(),V50=""),"Overdue","On track")),IF(C50="DPO Approval",IF(W50="","No target set",IF(W50&lt;TODAY(),"Overdue","On track")),IF(C50="RELEASED IN PROD","Delivered",""))))))))</f>
        <v/>
      </c>
      <c r="E50" s="9" t="n">
        <v>23</v>
      </c>
      <c r="F50" s="39" t="n"/>
      <c r="G50" s="9" t="inlineStr">
        <is>
          <t>Nick</t>
        </is>
      </c>
      <c r="H50" s="9" t="n"/>
      <c r="I50" s="9" t="n"/>
      <c r="J50" s="9" t="n"/>
      <c r="K50" s="40" t="n">
        <v>46265</v>
      </c>
      <c r="L50" s="9" t="inlineStr">
        <is>
          <t>August</t>
        </is>
      </c>
      <c r="M50" s="41" t="n"/>
      <c r="N50" s="9" t="n"/>
      <c r="O50" s="9" t="n"/>
      <c r="P50" s="9" t="n"/>
      <c r="Q50" s="9" t="n"/>
      <c r="R50" s="9" t="n"/>
      <c r="S50" s="9" t="n"/>
      <c r="T50" s="9" t="n"/>
      <c r="U50" s="9" t="n"/>
      <c r="V50" s="9" t="n"/>
      <c r="W50" s="9" t="n"/>
      <c r="X50" s="9" t="n"/>
      <c r="Y50" s="45" t="n"/>
      <c r="Z50" s="9" t="n"/>
      <c r="AA50" s="49" t="n"/>
      <c r="AB50" s="9" t="n"/>
      <c r="AC50" s="46" t="inlineStr">
        <is>
          <t>No</t>
        </is>
      </c>
      <c r="AD50" s="9">
        <f>IF($B50="","",COUNTIF('Rework Log'!$A$3:$A$500,$B50))</f>
        <v/>
      </c>
      <c r="AE50" s="9">
        <f>IF(OR($B50="",$AM50=0),"",INDEX('Rework Log'!$C:$C,$AM50))</f>
        <v/>
      </c>
      <c r="AF50" s="10">
        <f>IF(OR($B50="",$AM50=0),"",INDEX('Rework Log'!$H:$H,$AM50))</f>
        <v/>
      </c>
      <c r="AG50" s="9">
        <f>IF(OR($B50="",$AM50=0),"",INDEX('Rework Log'!$G:$G,$AM50))</f>
        <v/>
      </c>
      <c r="AH50" s="47">
        <f>IF($B50="","",IF(W50&lt;&gt;"","DPO Approval",IF(T50&lt;&gt;"","QA",IF(Q50&lt;&gt;"","PBI Dev",IF(N50&lt;&gt;"","DB Dev","NOT STARTED")))))</f>
        <v/>
      </c>
      <c r="AI50" s="9">
        <f>IF($B50="","",IF(IF($C50="NOT STARTED",0,IF($C50="DB Dev",1,IF($C50="PBI Dev",2,IF($C50="QA",3,IF($C50="DPO Approval",4,IF($C50="RELEASED IN PROD",5,-1))))))&lt;IF($AH50="NOT STARTED",0,IF($AH50="DB Dev",1,IF($AH50="PBI Dev",2,IF($AH50="QA",3,IF($AH50="DPO Approval",4,IF($AH50="RELEASED IN PROD",5,-1)))))),"Yes - was already at "&amp;$AH50&amp;", now back at "&amp;$C50,"No"))</f>
        <v/>
      </c>
      <c r="AJ50" s="9">
        <f>IF($B50="","",IF(AND(T50&lt;&gt;"",N50&lt;&gt;"",T50&lt;N50),"QA target is before DB Dev target",IF(AND(T50&lt;&gt;"",Q50&lt;&gt;"",T50&lt;Q50),"QA target is before PBI Dev target",IF(AND(W50&lt;&gt;"",T50&lt;&gt;"",W50&lt;T50),"DPO Approval target is before QA target",IF(AND(Z50&lt;&gt;"",W50&lt;&gt;"",Z50&lt;W50),"Confirmed Deployed date is before DPO Approval target","")))))</f>
        <v/>
      </c>
      <c r="AK50" s="9">
        <f>IF($B50="","",IF(COUNTIF($B$2:$B$500,$B50)&gt;1,"Duplicate name - check row",""))</f>
        <v/>
      </c>
      <c r="AL50" s="48" t="n"/>
      <c r="AM50" s="9">
        <f>IF($B50="","",SUMPRODUCT(MAX(('Rework Log'!$A$3:$A$500=$B50)*ROW('Rework Log'!$A$3:$A$500))))</f>
        <v/>
      </c>
    </row>
    <row r="51">
      <c r="A51" s="9" t="inlineStr">
        <is>
          <t>CMS</t>
        </is>
      </c>
      <c r="B51" s="9" t="inlineStr">
        <is>
          <t>RPT_02_Fitting Work</t>
        </is>
      </c>
      <c r="C51" s="9" t="inlineStr">
        <is>
          <t>NOT STARTED</t>
        </is>
      </c>
      <c r="D51" s="9">
        <f>IF($B51="","",IF(LEFT($AC51,3)="Yes","Blocked - "&amp;MID($AC51,7,100),IF(C51="NOT STARTED",IF(K51="","No plan date set",IF(K51&lt;TODAY(),"Review - planned start passed","On track")),IF(C51="DB Dev",IF(N51="","No target set",IF(AND(N51&lt;TODAY(),P51=""),"Overdue","On track")),IF(C51="PBI Dev",IF(Q51="","No target set",IF(AND(Q51&lt;TODAY(),S51=""),"Overdue","On track")),IF(C51="QA",IF(T51="","No target set",IF(AND(T51&lt;TODAY(),V51=""),"Overdue","On track")),IF(C51="DPO Approval",IF(W51="","No target set",IF(W51&lt;TODAY(),"Overdue","On track")),IF(C51="RELEASED IN PROD","Delivered",""))))))))</f>
        <v/>
      </c>
      <c r="E51" s="9" t="n">
        <v>25</v>
      </c>
      <c r="F51" s="39" t="n"/>
      <c r="G51" s="9" t="inlineStr">
        <is>
          <t>Fetwi</t>
        </is>
      </c>
      <c r="H51" s="9" t="n"/>
      <c r="I51" s="9" t="n"/>
      <c r="J51" s="9" t="n"/>
      <c r="K51" s="40" t="n">
        <v>46265</v>
      </c>
      <c r="L51" s="9" t="inlineStr">
        <is>
          <t>August</t>
        </is>
      </c>
      <c r="M51" s="41" t="n"/>
      <c r="N51" s="9" t="n"/>
      <c r="O51" s="9" t="n"/>
      <c r="P51" s="9" t="n"/>
      <c r="Q51" s="9" t="n"/>
      <c r="R51" s="9" t="n"/>
      <c r="S51" s="9" t="n"/>
      <c r="T51" s="9" t="n"/>
      <c r="U51" s="9" t="n"/>
      <c r="V51" s="9" t="n"/>
      <c r="W51" s="9" t="n"/>
      <c r="X51" s="9" t="n"/>
      <c r="Y51" s="45" t="n"/>
      <c r="Z51" s="9" t="n"/>
      <c r="AA51" s="49" t="n"/>
      <c r="AB51" s="9" t="n"/>
      <c r="AC51" s="46" t="inlineStr">
        <is>
          <t>No</t>
        </is>
      </c>
      <c r="AD51" s="9">
        <f>IF($B51="","",COUNTIF('Rework Log'!$A$3:$A$500,$B51))</f>
        <v/>
      </c>
      <c r="AE51" s="9">
        <f>IF(OR($B51="",$AM51=0),"",INDEX('Rework Log'!$C:$C,$AM51))</f>
        <v/>
      </c>
      <c r="AF51" s="10">
        <f>IF(OR($B51="",$AM51=0),"",INDEX('Rework Log'!$H:$H,$AM51))</f>
        <v/>
      </c>
      <c r="AG51" s="9">
        <f>IF(OR($B51="",$AM51=0),"",INDEX('Rework Log'!$G:$G,$AM51))</f>
        <v/>
      </c>
      <c r="AH51" s="47">
        <f>IF($B51="","",IF(W51&lt;&gt;"","DPO Approval",IF(T51&lt;&gt;"","QA",IF(Q51&lt;&gt;"","PBI Dev",IF(N51&lt;&gt;"","DB Dev","NOT STARTED")))))</f>
        <v/>
      </c>
      <c r="AI51" s="9">
        <f>IF($B51="","",IF(IF($C51="NOT STARTED",0,IF($C51="DB Dev",1,IF($C51="PBI Dev",2,IF($C51="QA",3,IF($C51="DPO Approval",4,IF($C51="RELEASED IN PROD",5,-1))))))&lt;IF($AH51="NOT STARTED",0,IF($AH51="DB Dev",1,IF($AH51="PBI Dev",2,IF($AH51="QA",3,IF($AH51="DPO Approval",4,IF($AH51="RELEASED IN PROD",5,-1)))))),"Yes - was already at "&amp;$AH51&amp;", now back at "&amp;$C51,"No"))</f>
        <v/>
      </c>
      <c r="AJ51" s="9">
        <f>IF($B51="","",IF(AND(T51&lt;&gt;"",N51&lt;&gt;"",T51&lt;N51),"QA target is before DB Dev target",IF(AND(T51&lt;&gt;"",Q51&lt;&gt;"",T51&lt;Q51),"QA target is before PBI Dev target",IF(AND(W51&lt;&gt;"",T51&lt;&gt;"",W51&lt;T51),"DPO Approval target is before QA target",IF(AND(Z51&lt;&gt;"",W51&lt;&gt;"",Z51&lt;W51),"Confirmed Deployed date is before DPO Approval target","")))))</f>
        <v/>
      </c>
      <c r="AK51" s="9">
        <f>IF($B51="","",IF(COUNTIF($B$2:$B$500,$B51)&gt;1,"Duplicate name - check row",""))</f>
        <v/>
      </c>
      <c r="AL51" s="48" t="n"/>
      <c r="AM51" s="9">
        <f>IF($B51="","",SUMPRODUCT(MAX(('Rework Log'!$A$3:$A$500=$B51)*ROW('Rework Log'!$A$3:$A$500))))</f>
        <v/>
      </c>
    </row>
    <row r="52">
      <c r="A52" s="9" t="inlineStr">
        <is>
          <t>CMS</t>
        </is>
      </c>
      <c r="B52" s="9" t="inlineStr">
        <is>
          <t>RPT_02_Field Collector Report</t>
        </is>
      </c>
      <c r="C52" s="9" t="inlineStr">
        <is>
          <t>NOT STARTED</t>
        </is>
      </c>
      <c r="D52" s="9">
        <f>IF($B52="","",IF(LEFT($AC52,3)="Yes","Blocked - "&amp;MID($AC52,7,100),IF(C52="NOT STARTED",IF(K52="","No plan date set",IF(K52&lt;TODAY(),"Review - planned start passed","On track")),IF(C52="DB Dev",IF(N52="","No target set",IF(AND(N52&lt;TODAY(),P52=""),"Overdue","On track")),IF(C52="PBI Dev",IF(Q52="","No target set",IF(AND(Q52&lt;TODAY(),S52=""),"Overdue","On track")),IF(C52="QA",IF(T52="","No target set",IF(AND(T52&lt;TODAY(),V52=""),"Overdue","On track")),IF(C52="DPO Approval",IF(W52="","No target set",IF(W52&lt;TODAY(),"Overdue","On track")),IF(C52="RELEASED IN PROD","Delivered",""))))))))</f>
        <v/>
      </c>
      <c r="E52" s="9" t="n">
        <v>26</v>
      </c>
      <c r="F52" s="39" t="n"/>
      <c r="G52" s="9" t="inlineStr">
        <is>
          <t>Siddu</t>
        </is>
      </c>
      <c r="H52" s="9" t="n"/>
      <c r="I52" s="9" t="n"/>
      <c r="J52" s="9" t="n"/>
      <c r="K52" s="40" t="n">
        <v>46265</v>
      </c>
      <c r="L52" s="9" t="inlineStr">
        <is>
          <t>August</t>
        </is>
      </c>
      <c r="M52" s="41" t="n"/>
      <c r="N52" s="9" t="n"/>
      <c r="O52" s="9" t="n"/>
      <c r="P52" s="9" t="n"/>
      <c r="Q52" s="9" t="n"/>
      <c r="R52" s="9" t="n"/>
      <c r="S52" s="9" t="n"/>
      <c r="T52" s="9" t="n"/>
      <c r="U52" s="9" t="n"/>
      <c r="V52" s="9" t="n"/>
      <c r="W52" s="9" t="n"/>
      <c r="X52" s="9" t="n"/>
      <c r="Y52" s="45" t="n"/>
      <c r="Z52" s="9" t="n"/>
      <c r="AA52" s="49" t="n"/>
      <c r="AB52" s="9" t="n"/>
      <c r="AC52" s="46" t="inlineStr">
        <is>
          <t>No</t>
        </is>
      </c>
      <c r="AD52" s="9">
        <f>IF($B52="","",COUNTIF('Rework Log'!$A$3:$A$500,$B52))</f>
        <v/>
      </c>
      <c r="AE52" s="9">
        <f>IF(OR($B52="",$AM52=0),"",INDEX('Rework Log'!$C:$C,$AM52))</f>
        <v/>
      </c>
      <c r="AF52" s="10">
        <f>IF(OR($B52="",$AM52=0),"",INDEX('Rework Log'!$H:$H,$AM52))</f>
        <v/>
      </c>
      <c r="AG52" s="9">
        <f>IF(OR($B52="",$AM52=0),"",INDEX('Rework Log'!$G:$G,$AM52))</f>
        <v/>
      </c>
      <c r="AH52" s="47">
        <f>IF($B52="","",IF(W52&lt;&gt;"","DPO Approval",IF(T52&lt;&gt;"","QA",IF(Q52&lt;&gt;"","PBI Dev",IF(N52&lt;&gt;"","DB Dev","NOT STARTED")))))</f>
        <v/>
      </c>
      <c r="AI52" s="9">
        <f>IF($B52="","",IF(IF($C52="NOT STARTED",0,IF($C52="DB Dev",1,IF($C52="PBI Dev",2,IF($C52="QA",3,IF($C52="DPO Approval",4,IF($C52="RELEASED IN PROD",5,-1))))))&lt;IF($AH52="NOT STARTED",0,IF($AH52="DB Dev",1,IF($AH52="PBI Dev",2,IF($AH52="QA",3,IF($AH52="DPO Approval",4,IF($AH52="RELEASED IN PROD",5,-1)))))),"Yes - was already at "&amp;$AH52&amp;", now back at "&amp;$C52,"No"))</f>
        <v/>
      </c>
      <c r="AJ52" s="9">
        <f>IF($B52="","",IF(AND(T52&lt;&gt;"",N52&lt;&gt;"",T52&lt;N52),"QA target is before DB Dev target",IF(AND(T52&lt;&gt;"",Q52&lt;&gt;"",T52&lt;Q52),"QA target is before PBI Dev target",IF(AND(W52&lt;&gt;"",T52&lt;&gt;"",W52&lt;T52),"DPO Approval target is before QA target",IF(AND(Z52&lt;&gt;"",W52&lt;&gt;"",Z52&lt;W52),"Confirmed Deployed date is before DPO Approval target","")))))</f>
        <v/>
      </c>
      <c r="AK52" s="9">
        <f>IF($B52="","",IF(COUNTIF($B$2:$B$500,$B52)&gt;1,"Duplicate name - check row",""))</f>
        <v/>
      </c>
      <c r="AL52" s="48" t="n"/>
      <c r="AM52" s="9">
        <f>IF($B52="","",SUMPRODUCT(MAX(('Rework Log'!$A$3:$A$500=$B52)*ROW('Rework Log'!$A$3:$A$500))))</f>
        <v/>
      </c>
    </row>
    <row r="53">
      <c r="A53" s="9" t="inlineStr">
        <is>
          <t>CMS</t>
        </is>
      </c>
      <c r="B53" s="9" t="inlineStr">
        <is>
          <t>RPT_02_Turn On for Non-Payment</t>
        </is>
      </c>
      <c r="C53" s="9" t="inlineStr">
        <is>
          <t>NOT STARTED</t>
        </is>
      </c>
      <c r="D53" s="9">
        <f>IF($B53="","",IF(LEFT($AC53,3)="Yes","Blocked - "&amp;MID($AC53,7,100),IF(C53="NOT STARTED",IF(K53="","No plan date set",IF(K53&lt;TODAY(),"Review - planned start passed","On track")),IF(C53="DB Dev",IF(N53="","No target set",IF(AND(N53&lt;TODAY(),P53=""),"Overdue","On track")),IF(C53="PBI Dev",IF(Q53="","No target set",IF(AND(Q53&lt;TODAY(),S53=""),"Overdue","On track")),IF(C53="QA",IF(T53="","No target set",IF(AND(T53&lt;TODAY(),V53=""),"Overdue","On track")),IF(C53="DPO Approval",IF(W53="","No target set",IF(W53&lt;TODAY(),"Overdue","On track")),IF(C53="RELEASED IN PROD","Delivered",""))))))))</f>
        <v/>
      </c>
      <c r="E53" s="9" t="n">
        <v>27</v>
      </c>
      <c r="F53" s="39" t="n"/>
      <c r="G53" s="9" t="inlineStr">
        <is>
          <t>Sree</t>
        </is>
      </c>
      <c r="H53" s="9" t="n"/>
      <c r="I53" s="9" t="n"/>
      <c r="J53" s="9" t="n"/>
      <c r="K53" s="40" t="n">
        <v>46265</v>
      </c>
      <c r="L53" s="9" t="inlineStr">
        <is>
          <t>August</t>
        </is>
      </c>
      <c r="M53" s="41" t="n"/>
      <c r="N53" s="9" t="n"/>
      <c r="O53" s="9" t="n"/>
      <c r="P53" s="9" t="n"/>
      <c r="Q53" s="9" t="n"/>
      <c r="R53" s="9" t="n"/>
      <c r="S53" s="9" t="n"/>
      <c r="T53" s="9" t="n"/>
      <c r="U53" s="9" t="n"/>
      <c r="V53" s="9" t="n"/>
      <c r="W53" s="9" t="n"/>
      <c r="X53" s="9" t="n"/>
      <c r="Y53" s="45" t="n"/>
      <c r="Z53" s="9" t="n"/>
      <c r="AA53" s="49" t="n"/>
      <c r="AB53" s="9" t="n"/>
      <c r="AC53" s="46" t="inlineStr">
        <is>
          <t>No</t>
        </is>
      </c>
      <c r="AD53" s="9">
        <f>IF($B53="","",COUNTIF('Rework Log'!$A$3:$A$500,$B53))</f>
        <v/>
      </c>
      <c r="AE53" s="9">
        <f>IF(OR($B53="",$AM53=0),"",INDEX('Rework Log'!$C:$C,$AM53))</f>
        <v/>
      </c>
      <c r="AF53" s="10">
        <f>IF(OR($B53="",$AM53=0),"",INDEX('Rework Log'!$H:$H,$AM53))</f>
        <v/>
      </c>
      <c r="AG53" s="9">
        <f>IF(OR($B53="",$AM53=0),"",INDEX('Rework Log'!$G:$G,$AM53))</f>
        <v/>
      </c>
      <c r="AH53" s="47">
        <f>IF($B53="","",IF(W53&lt;&gt;"","DPO Approval",IF(T53&lt;&gt;"","QA",IF(Q53&lt;&gt;"","PBI Dev",IF(N53&lt;&gt;"","DB Dev","NOT STARTED")))))</f>
        <v/>
      </c>
      <c r="AI53" s="9">
        <f>IF($B53="","",IF(IF($C53="NOT STARTED",0,IF($C53="DB Dev",1,IF($C53="PBI Dev",2,IF($C53="QA",3,IF($C53="DPO Approval",4,IF($C53="RELEASED IN PROD",5,-1))))))&lt;IF($AH53="NOT STARTED",0,IF($AH53="DB Dev",1,IF($AH53="PBI Dev",2,IF($AH53="QA",3,IF($AH53="DPO Approval",4,IF($AH53="RELEASED IN PROD",5,-1)))))),"Yes - was already at "&amp;$AH53&amp;", now back at "&amp;$C53,"No"))</f>
        <v/>
      </c>
      <c r="AJ53" s="9">
        <f>IF($B53="","",IF(AND(T53&lt;&gt;"",N53&lt;&gt;"",T53&lt;N53),"QA target is before DB Dev target",IF(AND(T53&lt;&gt;"",Q53&lt;&gt;"",T53&lt;Q53),"QA target is before PBI Dev target",IF(AND(W53&lt;&gt;"",T53&lt;&gt;"",W53&lt;T53),"DPO Approval target is before QA target",IF(AND(Z53&lt;&gt;"",W53&lt;&gt;"",Z53&lt;W53),"Confirmed Deployed date is before DPO Approval target","")))))</f>
        <v/>
      </c>
      <c r="AK53" s="9">
        <f>IF($B53="","",IF(COUNTIF($B$2:$B$500,$B53)&gt;1,"Duplicate name - check row",""))</f>
        <v/>
      </c>
      <c r="AL53" s="48" t="n"/>
      <c r="AM53" s="9">
        <f>IF($B53="","",SUMPRODUCT(MAX(('Rework Log'!$A$3:$A$500=$B53)*ROW('Rework Log'!$A$3:$A$500))))</f>
        <v/>
      </c>
    </row>
    <row r="54">
      <c r="A54" s="9" t="inlineStr">
        <is>
          <t>CMS</t>
        </is>
      </c>
      <c r="B54" s="9" t="inlineStr">
        <is>
          <t>RPT_02_Collector Payment Recap</t>
        </is>
      </c>
      <c r="C54" s="9" t="inlineStr">
        <is>
          <t>NOT STARTED</t>
        </is>
      </c>
      <c r="D54" s="9">
        <f>IF($B54="","",IF(LEFT($AC54,3)="Yes","Blocked - "&amp;MID($AC54,7,100),IF(C54="NOT STARTED",IF(K54="","No plan date set",IF(K54&lt;TODAY(),"Review - planned start passed","On track")),IF(C54="DB Dev",IF(N54="","No target set",IF(AND(N54&lt;TODAY(),P54=""),"Overdue","On track")),IF(C54="PBI Dev",IF(Q54="","No target set",IF(AND(Q54&lt;TODAY(),S54=""),"Overdue","On track")),IF(C54="QA",IF(T54="","No target set",IF(AND(T54&lt;TODAY(),V54=""),"Overdue","On track")),IF(C54="DPO Approval",IF(W54="","No target set",IF(W54&lt;TODAY(),"Overdue","On track")),IF(C54="RELEASED IN PROD","Delivered",""))))))))</f>
        <v/>
      </c>
      <c r="E54" s="9" t="n">
        <v>29</v>
      </c>
      <c r="F54" s="39" t="n"/>
      <c r="G54" s="9" t="inlineStr">
        <is>
          <t>Rupa</t>
        </is>
      </c>
      <c r="H54" s="9" t="n"/>
      <c r="I54" s="9" t="n"/>
      <c r="J54" s="9" t="n"/>
      <c r="K54" s="40" t="n">
        <v>46265</v>
      </c>
      <c r="L54" s="9" t="inlineStr">
        <is>
          <t>August</t>
        </is>
      </c>
      <c r="M54" s="41" t="n"/>
      <c r="N54" s="9" t="n"/>
      <c r="O54" s="9" t="n"/>
      <c r="P54" s="9" t="n"/>
      <c r="Q54" s="9" t="n"/>
      <c r="R54" s="9" t="n"/>
      <c r="S54" s="9" t="n"/>
      <c r="T54" s="9" t="n"/>
      <c r="U54" s="9" t="n"/>
      <c r="V54" s="9" t="n"/>
      <c r="W54" s="9" t="n"/>
      <c r="X54" s="9" t="n"/>
      <c r="Y54" s="45" t="n"/>
      <c r="Z54" s="9" t="n"/>
      <c r="AA54" s="49" t="n"/>
      <c r="AB54" s="9" t="n"/>
      <c r="AC54" s="46" t="inlineStr">
        <is>
          <t>No</t>
        </is>
      </c>
      <c r="AD54" s="9">
        <f>IF($B54="","",COUNTIF('Rework Log'!$A$3:$A$500,$B54))</f>
        <v/>
      </c>
      <c r="AE54" s="9">
        <f>IF(OR($B54="",$AM54=0),"",INDEX('Rework Log'!$C:$C,$AM54))</f>
        <v/>
      </c>
      <c r="AF54" s="10">
        <f>IF(OR($B54="",$AM54=0),"",INDEX('Rework Log'!$H:$H,$AM54))</f>
        <v/>
      </c>
      <c r="AG54" s="9">
        <f>IF(OR($B54="",$AM54=0),"",INDEX('Rework Log'!$G:$G,$AM54))</f>
        <v/>
      </c>
      <c r="AH54" s="47">
        <f>IF($B54="","",IF(W54&lt;&gt;"","DPO Approval",IF(T54&lt;&gt;"","QA",IF(Q54&lt;&gt;"","PBI Dev",IF(N54&lt;&gt;"","DB Dev","NOT STARTED")))))</f>
        <v/>
      </c>
      <c r="AI54" s="9">
        <f>IF($B54="","",IF(IF($C54="NOT STARTED",0,IF($C54="DB Dev",1,IF($C54="PBI Dev",2,IF($C54="QA",3,IF($C54="DPO Approval",4,IF($C54="RELEASED IN PROD",5,-1))))))&lt;IF($AH54="NOT STARTED",0,IF($AH54="DB Dev",1,IF($AH54="PBI Dev",2,IF($AH54="QA",3,IF($AH54="DPO Approval",4,IF($AH54="RELEASED IN PROD",5,-1)))))),"Yes - was already at "&amp;$AH54&amp;", now back at "&amp;$C54,"No"))</f>
        <v/>
      </c>
      <c r="AJ54" s="9">
        <f>IF($B54="","",IF(AND(T54&lt;&gt;"",N54&lt;&gt;"",T54&lt;N54),"QA target is before DB Dev target",IF(AND(T54&lt;&gt;"",Q54&lt;&gt;"",T54&lt;Q54),"QA target is before PBI Dev target",IF(AND(W54&lt;&gt;"",T54&lt;&gt;"",W54&lt;T54),"DPO Approval target is before QA target",IF(AND(Z54&lt;&gt;"",W54&lt;&gt;"",Z54&lt;W54),"Confirmed Deployed date is before DPO Approval target","")))))</f>
        <v/>
      </c>
      <c r="AK54" s="9">
        <f>IF($B54="","",IF(COUNTIF($B$2:$B$500,$B54)&gt;1,"Duplicate name - check row",""))</f>
        <v/>
      </c>
      <c r="AL54" s="48" t="n"/>
      <c r="AM54" s="9">
        <f>IF($B54="","",SUMPRODUCT(MAX(('Rework Log'!$A$3:$A$500=$B54)*ROW('Rework Log'!$A$3:$A$500))))</f>
        <v/>
      </c>
    </row>
    <row r="55">
      <c r="A55" s="9" t="inlineStr">
        <is>
          <t>CMS</t>
        </is>
      </c>
      <c r="B55" s="9" t="inlineStr">
        <is>
          <t>RPT_02_Incentive Management</t>
        </is>
      </c>
      <c r="C55" s="9" t="inlineStr">
        <is>
          <t>NOT STARTED</t>
        </is>
      </c>
      <c r="D55" s="9">
        <f>IF($B55="","",IF(LEFT($AC55,3)="Yes","Blocked - "&amp;MID($AC55,7,100),IF(C55="NOT STARTED",IF(K55="","No plan date set",IF(K55&lt;TODAY(),"Review - planned start passed","On track")),IF(C55="DB Dev",IF(N55="","No target set",IF(AND(N55&lt;TODAY(),P55=""),"Overdue","On track")),IF(C55="PBI Dev",IF(Q55="","No target set",IF(AND(Q55&lt;TODAY(),S55=""),"Overdue","On track")),IF(C55="QA",IF(T55="","No target set",IF(AND(T55&lt;TODAY(),V55=""),"Overdue","On track")),IF(C55="DPO Approval",IF(W55="","No target set",IF(W55&lt;TODAY(),"Overdue","On track")),IF(C55="RELEASED IN PROD","Delivered",""))))))))</f>
        <v/>
      </c>
      <c r="E55" s="9" t="n">
        <v>30</v>
      </c>
      <c r="F55" s="39" t="n"/>
      <c r="G55" s="9" t="n"/>
      <c r="H55" s="9" t="n"/>
      <c r="I55" s="9" t="n"/>
      <c r="J55" s="9" t="n"/>
      <c r="K55" s="40" t="n">
        <v>46265</v>
      </c>
      <c r="L55" s="9" t="inlineStr">
        <is>
          <t>August</t>
        </is>
      </c>
      <c r="M55" s="41" t="n"/>
      <c r="N55" s="9" t="n"/>
      <c r="O55" s="9" t="n"/>
      <c r="P55" s="9" t="n"/>
      <c r="Q55" s="9" t="n"/>
      <c r="R55" s="9" t="n"/>
      <c r="S55" s="9" t="n"/>
      <c r="T55" s="9" t="n"/>
      <c r="U55" s="9" t="n"/>
      <c r="V55" s="9" t="n"/>
      <c r="W55" s="9" t="n"/>
      <c r="X55" s="9" t="n"/>
      <c r="Y55" s="45" t="n"/>
      <c r="Z55" s="9" t="n"/>
      <c r="AA55" s="49" t="n"/>
      <c r="AB55" s="9" t="n"/>
      <c r="AC55" s="46" t="inlineStr">
        <is>
          <t>No</t>
        </is>
      </c>
      <c r="AD55" s="9">
        <f>IF($B55="","",COUNTIF('Rework Log'!$A$3:$A$500,$B55))</f>
        <v/>
      </c>
      <c r="AE55" s="9">
        <f>IF(OR($B55="",$AM55=0),"",INDEX('Rework Log'!$C:$C,$AM55))</f>
        <v/>
      </c>
      <c r="AF55" s="10">
        <f>IF(OR($B55="",$AM55=0),"",INDEX('Rework Log'!$H:$H,$AM55))</f>
        <v/>
      </c>
      <c r="AG55" s="9">
        <f>IF(OR($B55="",$AM55=0),"",INDEX('Rework Log'!$G:$G,$AM55))</f>
        <v/>
      </c>
      <c r="AH55" s="47">
        <f>IF($B55="","",IF(W55&lt;&gt;"","DPO Approval",IF(T55&lt;&gt;"","QA",IF(Q55&lt;&gt;"","PBI Dev",IF(N55&lt;&gt;"","DB Dev","NOT STARTED")))))</f>
        <v/>
      </c>
      <c r="AI55" s="9">
        <f>IF($B55="","",IF(IF($C55="NOT STARTED",0,IF($C55="DB Dev",1,IF($C55="PBI Dev",2,IF($C55="QA",3,IF($C55="DPO Approval",4,IF($C55="RELEASED IN PROD",5,-1))))))&lt;IF($AH55="NOT STARTED",0,IF($AH55="DB Dev",1,IF($AH55="PBI Dev",2,IF($AH55="QA",3,IF($AH55="DPO Approval",4,IF($AH55="RELEASED IN PROD",5,-1)))))),"Yes - was already at "&amp;$AH55&amp;", now back at "&amp;$C55,"No"))</f>
        <v/>
      </c>
      <c r="AJ55" s="9">
        <f>IF($B55="","",IF(AND(T55&lt;&gt;"",N55&lt;&gt;"",T55&lt;N55),"QA target is before DB Dev target",IF(AND(T55&lt;&gt;"",Q55&lt;&gt;"",T55&lt;Q55),"QA target is before PBI Dev target",IF(AND(W55&lt;&gt;"",T55&lt;&gt;"",W55&lt;T55),"DPO Approval target is before QA target",IF(AND(Z55&lt;&gt;"",W55&lt;&gt;"",Z55&lt;W55),"Confirmed Deployed date is before DPO Approval target","")))))</f>
        <v/>
      </c>
      <c r="AK55" s="9">
        <f>IF($B55="","",IF(COUNTIF($B$2:$B$500,$B55)&gt;1,"Duplicate name - check row",""))</f>
        <v/>
      </c>
      <c r="AL55" s="48" t="n"/>
      <c r="AM55" s="9">
        <f>IF($B55="","",SUMPRODUCT(MAX(('Rework Log'!$A$3:$A$500=$B55)*ROW('Rework Log'!$A$3:$A$500))))</f>
        <v/>
      </c>
    </row>
    <row r="56">
      <c r="A56" s="9" t="inlineStr">
        <is>
          <t>CMS</t>
        </is>
      </c>
      <c r="B56" s="9" t="inlineStr">
        <is>
          <t>RPT_02_UTC Report</t>
        </is>
      </c>
      <c r="C56" s="9" t="inlineStr">
        <is>
          <t>NOT STARTED</t>
        </is>
      </c>
      <c r="D56" s="9">
        <f>IF($B56="","",IF(LEFT($AC56,3)="Yes","Blocked - "&amp;MID($AC56,7,100),IF(C56="NOT STARTED",IF(K56="","No plan date set",IF(K56&lt;TODAY(),"Review - planned start passed","On track")),IF(C56="DB Dev",IF(N56="","No target set",IF(AND(N56&lt;TODAY(),P56=""),"Overdue","On track")),IF(C56="PBI Dev",IF(Q56="","No target set",IF(AND(Q56&lt;TODAY(),S56=""),"Overdue","On track")),IF(C56="QA",IF(T56="","No target set",IF(AND(T56&lt;TODAY(),V56=""),"Overdue","On track")),IF(C56="DPO Approval",IF(W56="","No target set",IF(W56&lt;TODAY(),"Overdue","On track")),IF(C56="RELEASED IN PROD","Delivered",""))))))))</f>
        <v/>
      </c>
      <c r="E56" s="9" t="n">
        <v>31</v>
      </c>
      <c r="F56" s="39" t="n"/>
      <c r="G56" s="9" t="n"/>
      <c r="H56" s="9" t="n"/>
      <c r="I56" s="9" t="n"/>
      <c r="J56" s="9" t="n"/>
      <c r="K56" s="40" t="n">
        <v>46295</v>
      </c>
      <c r="L56" s="9" t="inlineStr">
        <is>
          <t>September</t>
        </is>
      </c>
      <c r="M56" s="41" t="n"/>
      <c r="N56" s="9" t="n"/>
      <c r="O56" s="9" t="n"/>
      <c r="P56" s="9" t="n"/>
      <c r="Q56" s="9" t="n"/>
      <c r="R56" s="9" t="n"/>
      <c r="S56" s="9" t="n"/>
      <c r="T56" s="9" t="n"/>
      <c r="U56" s="9" t="n"/>
      <c r="V56" s="9" t="n"/>
      <c r="W56" s="9" t="n"/>
      <c r="X56" s="9" t="n"/>
      <c r="Y56" s="45" t="n"/>
      <c r="Z56" s="9" t="n"/>
      <c r="AA56" s="49" t="n"/>
      <c r="AB56" s="9" t="n"/>
      <c r="AC56" s="46" t="inlineStr">
        <is>
          <t>No</t>
        </is>
      </c>
      <c r="AD56" s="9">
        <f>IF($B56="","",COUNTIF('Rework Log'!$A$3:$A$500,$B56))</f>
        <v/>
      </c>
      <c r="AE56" s="9">
        <f>IF(OR($B56="",$AM56=0),"",INDEX('Rework Log'!$C:$C,$AM56))</f>
        <v/>
      </c>
      <c r="AF56" s="10">
        <f>IF(OR($B56="",$AM56=0),"",INDEX('Rework Log'!$H:$H,$AM56))</f>
        <v/>
      </c>
      <c r="AG56" s="9">
        <f>IF(OR($B56="",$AM56=0),"",INDEX('Rework Log'!$G:$G,$AM56))</f>
        <v/>
      </c>
      <c r="AH56" s="47">
        <f>IF($B56="","",IF(W56&lt;&gt;"","DPO Approval",IF(T56&lt;&gt;"","QA",IF(Q56&lt;&gt;"","PBI Dev",IF(N56&lt;&gt;"","DB Dev","NOT STARTED")))))</f>
        <v/>
      </c>
      <c r="AI56" s="9">
        <f>IF($B56="","",IF(IF($C56="NOT STARTED",0,IF($C56="DB Dev",1,IF($C56="PBI Dev",2,IF($C56="QA",3,IF($C56="DPO Approval",4,IF($C56="RELEASED IN PROD",5,-1))))))&lt;IF($AH56="NOT STARTED",0,IF($AH56="DB Dev",1,IF($AH56="PBI Dev",2,IF($AH56="QA",3,IF($AH56="DPO Approval",4,IF($AH56="RELEASED IN PROD",5,-1)))))),"Yes - was already at "&amp;$AH56&amp;", now back at "&amp;$C56,"No"))</f>
        <v/>
      </c>
      <c r="AJ56" s="9">
        <f>IF($B56="","",IF(AND(T56&lt;&gt;"",N56&lt;&gt;"",T56&lt;N56),"QA target is before DB Dev target",IF(AND(T56&lt;&gt;"",Q56&lt;&gt;"",T56&lt;Q56),"QA target is before PBI Dev target",IF(AND(W56&lt;&gt;"",T56&lt;&gt;"",W56&lt;T56),"DPO Approval target is before QA target",IF(AND(Z56&lt;&gt;"",W56&lt;&gt;"",Z56&lt;W56),"Confirmed Deployed date is before DPO Approval target","")))))</f>
        <v/>
      </c>
      <c r="AK56" s="9">
        <f>IF($B56="","",IF(COUNTIF($B$2:$B$500,$B56)&gt;1,"Duplicate name - check row",""))</f>
        <v/>
      </c>
      <c r="AL56" s="48" t="n"/>
      <c r="AM56" s="9">
        <f>IF($B56="","",SUMPRODUCT(MAX(('Rework Log'!$A$3:$A$500=$B56)*ROW('Rework Log'!$A$3:$A$500))))</f>
        <v/>
      </c>
    </row>
    <row r="57">
      <c r="A57" s="9" t="inlineStr">
        <is>
          <t>CMS</t>
        </is>
      </c>
      <c r="B57" s="9" t="inlineStr">
        <is>
          <t>RPT_02_Adjacent Property Checks</t>
        </is>
      </c>
      <c r="C57" s="9" t="inlineStr">
        <is>
          <t>NOT STARTED</t>
        </is>
      </c>
      <c r="D57" s="9">
        <f>IF($B57="","",IF(LEFT($AC57,3)="Yes","Blocked - "&amp;MID($AC57,7,100),IF(C57="NOT STARTED",IF(K57="","No plan date set",IF(K57&lt;TODAY(),"Review - planned start passed","On track")),IF(C57="DB Dev",IF(N57="","No target set",IF(AND(N57&lt;TODAY(),P57=""),"Overdue","On track")),IF(C57="PBI Dev",IF(Q57="","No target set",IF(AND(Q57&lt;TODAY(),S57=""),"Overdue","On track")),IF(C57="QA",IF(T57="","No target set",IF(AND(T57&lt;TODAY(),V57=""),"Overdue","On track")),IF(C57="DPO Approval",IF(W57="","No target set",IF(W57&lt;TODAY(),"Overdue","On track")),IF(C57="RELEASED IN PROD","Delivered",""))))))))</f>
        <v/>
      </c>
      <c r="E57" s="9" t="n">
        <v>32</v>
      </c>
      <c r="F57" s="39" t="n"/>
      <c r="G57" s="9" t="n"/>
      <c r="H57" s="9" t="n"/>
      <c r="I57" s="9" t="n"/>
      <c r="J57" s="9" t="n"/>
      <c r="K57" s="40" t="n">
        <v>46295</v>
      </c>
      <c r="L57" s="9" t="inlineStr">
        <is>
          <t>September</t>
        </is>
      </c>
      <c r="M57" s="41" t="n"/>
      <c r="N57" s="9" t="n"/>
      <c r="O57" s="9" t="n"/>
      <c r="P57" s="9" t="n"/>
      <c r="Q57" s="9" t="n"/>
      <c r="R57" s="9" t="n"/>
      <c r="S57" s="9" t="n"/>
      <c r="T57" s="9" t="n"/>
      <c r="U57" s="9" t="n"/>
      <c r="V57" s="9" t="n"/>
      <c r="W57" s="9" t="n"/>
      <c r="X57" s="9" t="n"/>
      <c r="Y57" s="45" t="n"/>
      <c r="Z57" s="9" t="n"/>
      <c r="AA57" s="49" t="n"/>
      <c r="AB57" s="9" t="n"/>
      <c r="AC57" s="46" t="inlineStr">
        <is>
          <t>No</t>
        </is>
      </c>
      <c r="AD57" s="9">
        <f>IF($B57="","",COUNTIF('Rework Log'!$A$3:$A$500,$B57))</f>
        <v/>
      </c>
      <c r="AE57" s="9">
        <f>IF(OR($B57="",$AM57=0),"",INDEX('Rework Log'!$C:$C,$AM57))</f>
        <v/>
      </c>
      <c r="AF57" s="10">
        <f>IF(OR($B57="",$AM57=0),"",INDEX('Rework Log'!$H:$H,$AM57))</f>
        <v/>
      </c>
      <c r="AG57" s="9">
        <f>IF(OR($B57="",$AM57=0),"",INDEX('Rework Log'!$G:$G,$AM57))</f>
        <v/>
      </c>
      <c r="AH57" s="47">
        <f>IF($B57="","",IF(W57&lt;&gt;"","DPO Approval",IF(T57&lt;&gt;"","QA",IF(Q57&lt;&gt;"","PBI Dev",IF(N57&lt;&gt;"","DB Dev","NOT STARTED")))))</f>
        <v/>
      </c>
      <c r="AI57" s="9">
        <f>IF($B57="","",IF(IF($C57="NOT STARTED",0,IF($C57="DB Dev",1,IF($C57="PBI Dev",2,IF($C57="QA",3,IF($C57="DPO Approval",4,IF($C57="RELEASED IN PROD",5,-1))))))&lt;IF($AH57="NOT STARTED",0,IF($AH57="DB Dev",1,IF($AH57="PBI Dev",2,IF($AH57="QA",3,IF($AH57="DPO Approval",4,IF($AH57="RELEASED IN PROD",5,-1)))))),"Yes - was already at "&amp;$AH57&amp;", now back at "&amp;$C57,"No"))</f>
        <v/>
      </c>
      <c r="AJ57" s="9">
        <f>IF($B57="","",IF(AND(T57&lt;&gt;"",N57&lt;&gt;"",T57&lt;N57),"QA target is before DB Dev target",IF(AND(T57&lt;&gt;"",Q57&lt;&gt;"",T57&lt;Q57),"QA target is before PBI Dev target",IF(AND(W57&lt;&gt;"",T57&lt;&gt;"",W57&lt;T57),"DPO Approval target is before QA target",IF(AND(Z57&lt;&gt;"",W57&lt;&gt;"",Z57&lt;W57),"Confirmed Deployed date is before DPO Approval target","")))))</f>
        <v/>
      </c>
      <c r="AK57" s="9">
        <f>IF($B57="","",IF(COUNTIF($B$2:$B$500,$B57)&gt;1,"Duplicate name - check row",""))</f>
        <v/>
      </c>
      <c r="AL57" s="48" t="n"/>
      <c r="AM57" s="9">
        <f>IF($B57="","",SUMPRODUCT(MAX(('Rework Log'!$A$3:$A$500=$B57)*ROW('Rework Log'!$A$3:$A$500))))</f>
        <v/>
      </c>
    </row>
    <row r="58">
      <c r="A58" s="9" t="inlineStr">
        <is>
          <t>CMS</t>
        </is>
      </c>
      <c r="B58" s="9" t="inlineStr">
        <is>
          <t>RPT_02_High Bill Investigations</t>
        </is>
      </c>
      <c r="C58" s="9" t="inlineStr">
        <is>
          <t>NOT STARTED</t>
        </is>
      </c>
      <c r="D58" s="9">
        <f>IF($B58="","",IF(LEFT($AC58,3)="Yes","Blocked - "&amp;MID($AC58,7,100),IF(C58="NOT STARTED",IF(K58="","No plan date set",IF(K58&lt;TODAY(),"Review - planned start passed","On track")),IF(C58="DB Dev",IF(N58="","No target set",IF(AND(N58&lt;TODAY(),P58=""),"Overdue","On track")),IF(C58="PBI Dev",IF(Q58="","No target set",IF(AND(Q58&lt;TODAY(),S58=""),"Overdue","On track")),IF(C58="QA",IF(T58="","No target set",IF(AND(T58&lt;TODAY(),V58=""),"Overdue","On track")),IF(C58="DPO Approval",IF(W58="","No target set",IF(W58&lt;TODAY(),"Overdue","On track")),IF(C58="RELEASED IN PROD","Delivered",""))))))))</f>
        <v/>
      </c>
      <c r="E58" s="9" t="n">
        <v>33</v>
      </c>
      <c r="F58" s="39" t="n"/>
      <c r="G58" s="9" t="n"/>
      <c r="H58" s="9" t="n"/>
      <c r="I58" s="9" t="n"/>
      <c r="J58" s="9" t="n"/>
      <c r="K58" s="40" t="n">
        <v>46295</v>
      </c>
      <c r="L58" s="9" t="inlineStr">
        <is>
          <t>September</t>
        </is>
      </c>
      <c r="M58" s="41" t="n"/>
      <c r="N58" s="9" t="n"/>
      <c r="O58" s="9" t="n"/>
      <c r="P58" s="9" t="n"/>
      <c r="Q58" s="9" t="n"/>
      <c r="R58" s="9" t="n"/>
      <c r="S58" s="9" t="n"/>
      <c r="T58" s="9" t="n"/>
      <c r="U58" s="9" t="n"/>
      <c r="V58" s="9" t="n"/>
      <c r="W58" s="9" t="n"/>
      <c r="X58" s="9" t="n"/>
      <c r="Y58" s="45" t="n"/>
      <c r="Z58" s="9" t="n"/>
      <c r="AA58" s="49" t="n"/>
      <c r="AB58" s="9" t="n"/>
      <c r="AC58" s="46" t="inlineStr">
        <is>
          <t>No</t>
        </is>
      </c>
      <c r="AD58" s="9">
        <f>IF($B58="","",COUNTIF('Rework Log'!$A$3:$A$500,$B58))</f>
        <v/>
      </c>
      <c r="AE58" s="9">
        <f>IF(OR($B58="",$AM58=0),"",INDEX('Rework Log'!$C:$C,$AM58))</f>
        <v/>
      </c>
      <c r="AF58" s="10">
        <f>IF(OR($B58="",$AM58=0),"",INDEX('Rework Log'!$H:$H,$AM58))</f>
        <v/>
      </c>
      <c r="AG58" s="9">
        <f>IF(OR($B58="",$AM58=0),"",INDEX('Rework Log'!$G:$G,$AM58))</f>
        <v/>
      </c>
      <c r="AH58" s="47">
        <f>IF($B58="","",IF(W58&lt;&gt;"","DPO Approval",IF(T58&lt;&gt;"","QA",IF(Q58&lt;&gt;"","PBI Dev",IF(N58&lt;&gt;"","DB Dev","NOT STARTED")))))</f>
        <v/>
      </c>
      <c r="AI58" s="9">
        <f>IF($B58="","",IF(IF($C58="NOT STARTED",0,IF($C58="DB Dev",1,IF($C58="PBI Dev",2,IF($C58="QA",3,IF($C58="DPO Approval",4,IF($C58="RELEASED IN PROD",5,-1))))))&lt;IF($AH58="NOT STARTED",0,IF($AH58="DB Dev",1,IF($AH58="PBI Dev",2,IF($AH58="QA",3,IF($AH58="DPO Approval",4,IF($AH58="RELEASED IN PROD",5,-1)))))),"Yes - was already at "&amp;$AH58&amp;", now back at "&amp;$C58,"No"))</f>
        <v/>
      </c>
      <c r="AJ58" s="9">
        <f>IF($B58="","",IF(AND(T58&lt;&gt;"",N58&lt;&gt;"",T58&lt;N58),"QA target is before DB Dev target",IF(AND(T58&lt;&gt;"",Q58&lt;&gt;"",T58&lt;Q58),"QA target is before PBI Dev target",IF(AND(W58&lt;&gt;"",T58&lt;&gt;"",W58&lt;T58),"DPO Approval target is before QA target",IF(AND(Z58&lt;&gt;"",W58&lt;&gt;"",Z58&lt;W58),"Confirmed Deployed date is before DPO Approval target","")))))</f>
        <v/>
      </c>
      <c r="AK58" s="9">
        <f>IF($B58="","",IF(COUNTIF($B$2:$B$500,$B58)&gt;1,"Duplicate name - check row",""))</f>
        <v/>
      </c>
      <c r="AL58" s="48" t="n"/>
      <c r="AM58" s="9">
        <f>IF($B58="","",SUMPRODUCT(MAX(('Rework Log'!$A$3:$A$500=$B58)*ROW('Rework Log'!$A$3:$A$500))))</f>
        <v/>
      </c>
    </row>
    <row r="59">
      <c r="A59" s="9" t="inlineStr">
        <is>
          <t>CMS</t>
        </is>
      </c>
      <c r="B59" s="9" t="inlineStr">
        <is>
          <t>RPT_02_Emergency Order Type</t>
        </is>
      </c>
      <c r="C59" s="9" t="inlineStr">
        <is>
          <t>NOT STARTED</t>
        </is>
      </c>
      <c r="D59" s="9">
        <f>IF($B59="","",IF(LEFT($AC59,3)="Yes","Blocked - "&amp;MID($AC59,7,100),IF(C59="NOT STARTED",IF(K59="","No plan date set",IF(K59&lt;TODAY(),"Review - planned start passed","On track")),IF(C59="DB Dev",IF(N59="","No target set",IF(AND(N59&lt;TODAY(),P59=""),"Overdue","On track")),IF(C59="PBI Dev",IF(Q59="","No target set",IF(AND(Q59&lt;TODAY(),S59=""),"Overdue","On track")),IF(C59="QA",IF(T59="","No target set",IF(AND(T59&lt;TODAY(),V59=""),"Overdue","On track")),IF(C59="DPO Approval",IF(W59="","No target set",IF(W59&lt;TODAY(),"Overdue","On track")),IF(C59="RELEASED IN PROD","Delivered",""))))))))</f>
        <v/>
      </c>
      <c r="E59" s="9" t="n">
        <v>34</v>
      </c>
      <c r="F59" s="39" t="n"/>
      <c r="G59" s="9" t="n"/>
      <c r="H59" s="9" t="n"/>
      <c r="I59" s="9" t="n"/>
      <c r="J59" s="9" t="n"/>
      <c r="K59" s="40" t="n">
        <v>46295</v>
      </c>
      <c r="L59" s="9" t="inlineStr">
        <is>
          <t>September</t>
        </is>
      </c>
      <c r="M59" s="41" t="n"/>
      <c r="N59" s="9" t="n"/>
      <c r="O59" s="9" t="n"/>
      <c r="P59" s="9" t="n"/>
      <c r="Q59" s="9" t="n"/>
      <c r="R59" s="9" t="n"/>
      <c r="S59" s="9" t="n"/>
      <c r="T59" s="9" t="n"/>
      <c r="U59" s="9" t="n"/>
      <c r="V59" s="9" t="n"/>
      <c r="W59" s="9" t="n"/>
      <c r="X59" s="9" t="n"/>
      <c r="Y59" s="45" t="n"/>
      <c r="Z59" s="9" t="n"/>
      <c r="AA59" s="49" t="n"/>
      <c r="AB59" s="9" t="n"/>
      <c r="AC59" s="46" t="inlineStr">
        <is>
          <t>No</t>
        </is>
      </c>
      <c r="AD59" s="9">
        <f>IF($B59="","",COUNTIF('Rework Log'!$A$3:$A$500,$B59))</f>
        <v/>
      </c>
      <c r="AE59" s="9">
        <f>IF(OR($B59="",$AM59=0),"",INDEX('Rework Log'!$C:$C,$AM59))</f>
        <v/>
      </c>
      <c r="AF59" s="10">
        <f>IF(OR($B59="",$AM59=0),"",INDEX('Rework Log'!$H:$H,$AM59))</f>
        <v/>
      </c>
      <c r="AG59" s="9">
        <f>IF(OR($B59="",$AM59=0),"",INDEX('Rework Log'!$G:$G,$AM59))</f>
        <v/>
      </c>
      <c r="AH59" s="47">
        <f>IF($B59="","",IF(W59&lt;&gt;"","DPO Approval",IF(T59&lt;&gt;"","QA",IF(Q59&lt;&gt;"","PBI Dev",IF(N59&lt;&gt;"","DB Dev","NOT STARTED")))))</f>
        <v/>
      </c>
      <c r="AI59" s="9">
        <f>IF($B59="","",IF(IF($C59="NOT STARTED",0,IF($C59="DB Dev",1,IF($C59="PBI Dev",2,IF($C59="QA",3,IF($C59="DPO Approval",4,IF($C59="RELEASED IN PROD",5,-1))))))&lt;IF($AH59="NOT STARTED",0,IF($AH59="DB Dev",1,IF($AH59="PBI Dev",2,IF($AH59="QA",3,IF($AH59="DPO Approval",4,IF($AH59="RELEASED IN PROD",5,-1)))))),"Yes - was already at "&amp;$AH59&amp;", now back at "&amp;$C59,"No"))</f>
        <v/>
      </c>
      <c r="AJ59" s="9">
        <f>IF($B59="","",IF(AND(T59&lt;&gt;"",N59&lt;&gt;"",T59&lt;N59),"QA target is before DB Dev target",IF(AND(T59&lt;&gt;"",Q59&lt;&gt;"",T59&lt;Q59),"QA target is before PBI Dev target",IF(AND(W59&lt;&gt;"",T59&lt;&gt;"",W59&lt;T59),"DPO Approval target is before QA target",IF(AND(Z59&lt;&gt;"",W59&lt;&gt;"",Z59&lt;W59),"Confirmed Deployed date is before DPO Approval target","")))))</f>
        <v/>
      </c>
      <c r="AK59" s="9">
        <f>IF($B59="","",IF(COUNTIF($B$2:$B$500,$B59)&gt;1,"Duplicate name - check row",""))</f>
        <v/>
      </c>
      <c r="AL59" s="48" t="n"/>
      <c r="AM59" s="9">
        <f>IF($B59="","",SUMPRODUCT(MAX(('Rework Log'!$A$3:$A$500=$B59)*ROW('Rework Log'!$A$3:$A$500))))</f>
        <v/>
      </c>
    </row>
    <row r="60">
      <c r="A60" s="9" t="inlineStr">
        <is>
          <t>CMS</t>
        </is>
      </c>
      <c r="B60" s="9" t="inlineStr">
        <is>
          <t>RPT_02_Cut Out Curb Box</t>
        </is>
      </c>
      <c r="C60" s="9" t="inlineStr">
        <is>
          <t>NOT STARTED</t>
        </is>
      </c>
      <c r="D60" s="9">
        <f>IF($B60="","",IF(LEFT($AC60,3)="Yes","Blocked - "&amp;MID($AC60,7,100),IF(C60="NOT STARTED",IF(K60="","No plan date set",IF(K60&lt;TODAY(),"Review - planned start passed","On track")),IF(C60="DB Dev",IF(N60="","No target set",IF(AND(N60&lt;TODAY(),P60=""),"Overdue","On track")),IF(C60="PBI Dev",IF(Q60="","No target set",IF(AND(Q60&lt;TODAY(),S60=""),"Overdue","On track")),IF(C60="QA",IF(T60="","No target set",IF(AND(T60&lt;TODAY(),V60=""),"Overdue","On track")),IF(C60="DPO Approval",IF(W60="","No target set",IF(W60&lt;TODAY(),"Overdue","On track")),IF(C60="RELEASED IN PROD","Delivered",""))))))))</f>
        <v/>
      </c>
      <c r="E60" s="9" t="n">
        <v>35</v>
      </c>
      <c r="F60" s="39" t="n"/>
      <c r="G60" s="9" t="n"/>
      <c r="H60" s="9" t="n"/>
      <c r="I60" s="9" t="n"/>
      <c r="J60" s="9" t="n"/>
      <c r="K60" s="40" t="n">
        <v>46295</v>
      </c>
      <c r="L60" s="9" t="inlineStr">
        <is>
          <t>September</t>
        </is>
      </c>
      <c r="M60" s="41" t="n"/>
      <c r="N60" s="9" t="n"/>
      <c r="O60" s="9" t="n"/>
      <c r="P60" s="9" t="n"/>
      <c r="Q60" s="9" t="n"/>
      <c r="R60" s="9" t="n"/>
      <c r="S60" s="9" t="n"/>
      <c r="T60" s="9" t="n"/>
      <c r="U60" s="9" t="n"/>
      <c r="V60" s="9" t="n"/>
      <c r="W60" s="9" t="n"/>
      <c r="X60" s="9" t="n"/>
      <c r="Y60" s="45" t="n"/>
      <c r="Z60" s="9" t="n"/>
      <c r="AA60" s="49" t="n"/>
      <c r="AB60" s="9" t="n"/>
      <c r="AC60" s="46" t="inlineStr">
        <is>
          <t>No</t>
        </is>
      </c>
      <c r="AD60" s="9">
        <f>IF($B60="","",COUNTIF('Rework Log'!$A$3:$A$500,$B60))</f>
        <v/>
      </c>
      <c r="AE60" s="9">
        <f>IF(OR($B60="",$AM60=0),"",INDEX('Rework Log'!$C:$C,$AM60))</f>
        <v/>
      </c>
      <c r="AF60" s="10">
        <f>IF(OR($B60="",$AM60=0),"",INDEX('Rework Log'!$H:$H,$AM60))</f>
        <v/>
      </c>
      <c r="AG60" s="9">
        <f>IF(OR($B60="",$AM60=0),"",INDEX('Rework Log'!$G:$G,$AM60))</f>
        <v/>
      </c>
      <c r="AH60" s="47">
        <f>IF($B60="","",IF(W60&lt;&gt;"","DPO Approval",IF(T60&lt;&gt;"","QA",IF(Q60&lt;&gt;"","PBI Dev",IF(N60&lt;&gt;"","DB Dev","NOT STARTED")))))</f>
        <v/>
      </c>
      <c r="AI60" s="9">
        <f>IF($B60="","",IF(IF($C60="NOT STARTED",0,IF($C60="DB Dev",1,IF($C60="PBI Dev",2,IF($C60="QA",3,IF($C60="DPO Approval",4,IF($C60="RELEASED IN PROD",5,-1))))))&lt;IF($AH60="NOT STARTED",0,IF($AH60="DB Dev",1,IF($AH60="PBI Dev",2,IF($AH60="QA",3,IF($AH60="DPO Approval",4,IF($AH60="RELEASED IN PROD",5,-1)))))),"Yes - was already at "&amp;$AH60&amp;", now back at "&amp;$C60,"No"))</f>
        <v/>
      </c>
      <c r="AJ60" s="9">
        <f>IF($B60="","",IF(AND(T60&lt;&gt;"",N60&lt;&gt;"",T60&lt;N60),"QA target is before DB Dev target",IF(AND(T60&lt;&gt;"",Q60&lt;&gt;"",T60&lt;Q60),"QA target is before PBI Dev target",IF(AND(W60&lt;&gt;"",T60&lt;&gt;"",W60&lt;T60),"DPO Approval target is before QA target",IF(AND(Z60&lt;&gt;"",W60&lt;&gt;"",Z60&lt;W60),"Confirmed Deployed date is before DPO Approval target","")))))</f>
        <v/>
      </c>
      <c r="AK60" s="9">
        <f>IF($B60="","",IF(COUNTIF($B$2:$B$500,$B60)&gt;1,"Duplicate name - check row",""))</f>
        <v/>
      </c>
      <c r="AL60" s="48" t="n"/>
      <c r="AM60" s="9">
        <f>IF($B60="","",SUMPRODUCT(MAX(('Rework Log'!$A$3:$A$500=$B60)*ROW('Rework Log'!$A$3:$A$500))))</f>
        <v/>
      </c>
    </row>
    <row r="61">
      <c r="A61" s="9" t="inlineStr">
        <is>
          <t>CMS</t>
        </is>
      </c>
      <c r="B61" s="9" t="inlineStr">
        <is>
          <t>RPT_02_New York Incident</t>
        </is>
      </c>
      <c r="C61" s="9" t="inlineStr">
        <is>
          <t>NOT STARTED</t>
        </is>
      </c>
      <c r="D61" s="9">
        <f>IF($B61="","",IF(LEFT($AC61,3)="Yes","Blocked - "&amp;MID($AC61,7,100),IF(C61="NOT STARTED",IF(K61="","No plan date set",IF(K61&lt;TODAY(),"Review - planned start passed","On track")),IF(C61="DB Dev",IF(N61="","No target set",IF(AND(N61&lt;TODAY(),P61=""),"Overdue","On track")),IF(C61="PBI Dev",IF(Q61="","No target set",IF(AND(Q61&lt;TODAY(),S61=""),"Overdue","On track")),IF(C61="QA",IF(T61="","No target set",IF(AND(T61&lt;TODAY(),V61=""),"Overdue","On track")),IF(C61="DPO Approval",IF(W61="","No target set",IF(W61&lt;TODAY(),"Overdue","On track")),IF(C61="RELEASED IN PROD","Delivered",""))))))))</f>
        <v/>
      </c>
      <c r="E61" s="9" t="n">
        <v>36</v>
      </c>
      <c r="F61" s="39" t="n"/>
      <c r="G61" s="9" t="n"/>
      <c r="H61" s="9" t="n"/>
      <c r="I61" s="9" t="n"/>
      <c r="J61" s="9" t="n"/>
      <c r="K61" s="40" t="n">
        <v>46295</v>
      </c>
      <c r="L61" s="9" t="inlineStr">
        <is>
          <t>September</t>
        </is>
      </c>
      <c r="M61" s="41" t="n"/>
      <c r="N61" s="9" t="n"/>
      <c r="O61" s="9" t="n"/>
      <c r="P61" s="9" t="n"/>
      <c r="Q61" s="9" t="n"/>
      <c r="R61" s="9" t="n"/>
      <c r="S61" s="9" t="n"/>
      <c r="T61" s="9" t="n"/>
      <c r="U61" s="9" t="n"/>
      <c r="V61" s="9" t="n"/>
      <c r="W61" s="9" t="n"/>
      <c r="X61" s="9" t="n"/>
      <c r="Y61" s="45" t="n"/>
      <c r="Z61" s="9" t="n"/>
      <c r="AA61" s="49" t="n"/>
      <c r="AB61" s="9" t="n"/>
      <c r="AC61" s="46" t="inlineStr">
        <is>
          <t>No</t>
        </is>
      </c>
      <c r="AD61" s="9">
        <f>IF($B61="","",COUNTIF('Rework Log'!$A$3:$A$500,$B61))</f>
        <v/>
      </c>
      <c r="AE61" s="9">
        <f>IF(OR($B61="",$AM61=0),"",INDEX('Rework Log'!$C:$C,$AM61))</f>
        <v/>
      </c>
      <c r="AF61" s="10">
        <f>IF(OR($B61="",$AM61=0),"",INDEX('Rework Log'!$H:$H,$AM61))</f>
        <v/>
      </c>
      <c r="AG61" s="9">
        <f>IF(OR($B61="",$AM61=0),"",INDEX('Rework Log'!$G:$G,$AM61))</f>
        <v/>
      </c>
      <c r="AH61" s="47">
        <f>IF($B61="","",IF(W61&lt;&gt;"","DPO Approval",IF(T61&lt;&gt;"","QA",IF(Q61&lt;&gt;"","PBI Dev",IF(N61&lt;&gt;"","DB Dev","NOT STARTED")))))</f>
        <v/>
      </c>
      <c r="AI61" s="9">
        <f>IF($B61="","",IF(IF($C61="NOT STARTED",0,IF($C61="DB Dev",1,IF($C61="PBI Dev",2,IF($C61="QA",3,IF($C61="DPO Approval",4,IF($C61="RELEASED IN PROD",5,-1))))))&lt;IF($AH61="NOT STARTED",0,IF($AH61="DB Dev",1,IF($AH61="PBI Dev",2,IF($AH61="QA",3,IF($AH61="DPO Approval",4,IF($AH61="RELEASED IN PROD",5,-1)))))),"Yes - was already at "&amp;$AH61&amp;", now back at "&amp;$C61,"No"))</f>
        <v/>
      </c>
      <c r="AJ61" s="9">
        <f>IF($B61="","",IF(AND(T61&lt;&gt;"",N61&lt;&gt;"",T61&lt;N61),"QA target is before DB Dev target",IF(AND(T61&lt;&gt;"",Q61&lt;&gt;"",T61&lt;Q61),"QA target is before PBI Dev target",IF(AND(W61&lt;&gt;"",T61&lt;&gt;"",W61&lt;T61),"DPO Approval target is before QA target",IF(AND(Z61&lt;&gt;"",W61&lt;&gt;"",Z61&lt;W61),"Confirmed Deployed date is before DPO Approval target","")))))</f>
        <v/>
      </c>
      <c r="AK61" s="9">
        <f>IF($B61="","",IF(COUNTIF($B$2:$B$500,$B61)&gt;1,"Duplicate name - check row",""))</f>
        <v/>
      </c>
      <c r="AL61" s="48" t="n"/>
      <c r="AM61" s="9">
        <f>IF($B61="","",SUMPRODUCT(MAX(('Rework Log'!$A$3:$A$500=$B61)*ROW('Rework Log'!$A$3:$A$500))))</f>
        <v/>
      </c>
    </row>
    <row r="62">
      <c r="A62" s="9" t="inlineStr">
        <is>
          <t>CMS</t>
        </is>
      </c>
      <c r="B62" s="9" t="inlineStr">
        <is>
          <t>RPT_02_Outside Repeat Leaks</t>
        </is>
      </c>
      <c r="C62" s="9" t="inlineStr">
        <is>
          <t>NOT STARTED</t>
        </is>
      </c>
      <c r="D62" s="9">
        <f>IF($B62="","",IF(LEFT($AC62,3)="Yes","Blocked - "&amp;MID($AC62,7,100),IF(C62="NOT STARTED",IF(K62="","No plan date set",IF(K62&lt;TODAY(),"Review - planned start passed","On track")),IF(C62="DB Dev",IF(N62="","No target set",IF(AND(N62&lt;TODAY(),P62=""),"Overdue","On track")),IF(C62="PBI Dev",IF(Q62="","No target set",IF(AND(Q62&lt;TODAY(),S62=""),"Overdue","On track")),IF(C62="QA",IF(T62="","No target set",IF(AND(T62&lt;TODAY(),V62=""),"Overdue","On track")),IF(C62="DPO Approval",IF(W62="","No target set",IF(W62&lt;TODAY(),"Overdue","On track")),IF(C62="RELEASED IN PROD","Delivered",""))))))))</f>
        <v/>
      </c>
      <c r="E62" s="9" t="n">
        <v>37</v>
      </c>
      <c r="F62" s="39" t="n"/>
      <c r="G62" s="9" t="n"/>
      <c r="H62" s="9" t="n"/>
      <c r="I62" s="9" t="n"/>
      <c r="J62" s="9" t="n"/>
      <c r="K62" s="40" t="n">
        <v>46295</v>
      </c>
      <c r="L62" s="9" t="inlineStr">
        <is>
          <t>September</t>
        </is>
      </c>
      <c r="M62" s="41" t="n"/>
      <c r="N62" s="9" t="n"/>
      <c r="O62" s="9" t="n"/>
      <c r="P62" s="9" t="n"/>
      <c r="Q62" s="9" t="n"/>
      <c r="R62" s="9" t="n"/>
      <c r="S62" s="9" t="n"/>
      <c r="T62" s="9" t="n"/>
      <c r="U62" s="9" t="n"/>
      <c r="V62" s="9" t="n"/>
      <c r="W62" s="9" t="n"/>
      <c r="X62" s="9" t="n"/>
      <c r="Y62" s="45" t="n"/>
      <c r="Z62" s="9" t="n"/>
      <c r="AA62" s="49" t="n"/>
      <c r="AB62" s="9" t="n"/>
      <c r="AC62" s="46" t="inlineStr">
        <is>
          <t>No</t>
        </is>
      </c>
      <c r="AD62" s="9">
        <f>IF($B62="","",COUNTIF('Rework Log'!$A$3:$A$500,$B62))</f>
        <v/>
      </c>
      <c r="AE62" s="9">
        <f>IF(OR($B62="",$AM62=0),"",INDEX('Rework Log'!$C:$C,$AM62))</f>
        <v/>
      </c>
      <c r="AF62" s="10">
        <f>IF(OR($B62="",$AM62=0),"",INDEX('Rework Log'!$H:$H,$AM62))</f>
        <v/>
      </c>
      <c r="AG62" s="9">
        <f>IF(OR($B62="",$AM62=0),"",INDEX('Rework Log'!$G:$G,$AM62))</f>
        <v/>
      </c>
      <c r="AH62" s="47">
        <f>IF($B62="","",IF(W62&lt;&gt;"","DPO Approval",IF(T62&lt;&gt;"","QA",IF(Q62&lt;&gt;"","PBI Dev",IF(N62&lt;&gt;"","DB Dev","NOT STARTED")))))</f>
        <v/>
      </c>
      <c r="AI62" s="9">
        <f>IF($B62="","",IF(IF($C62="NOT STARTED",0,IF($C62="DB Dev",1,IF($C62="PBI Dev",2,IF($C62="QA",3,IF($C62="DPO Approval",4,IF($C62="RELEASED IN PROD",5,-1))))))&lt;IF($AH62="NOT STARTED",0,IF($AH62="DB Dev",1,IF($AH62="PBI Dev",2,IF($AH62="QA",3,IF($AH62="DPO Approval",4,IF($AH62="RELEASED IN PROD",5,-1)))))),"Yes - was already at "&amp;$AH62&amp;", now back at "&amp;$C62,"No"))</f>
        <v/>
      </c>
      <c r="AJ62" s="9">
        <f>IF($B62="","",IF(AND(T62&lt;&gt;"",N62&lt;&gt;"",T62&lt;N62),"QA target is before DB Dev target",IF(AND(T62&lt;&gt;"",Q62&lt;&gt;"",T62&lt;Q62),"QA target is before PBI Dev target",IF(AND(W62&lt;&gt;"",T62&lt;&gt;"",W62&lt;T62),"DPO Approval target is before QA target",IF(AND(Z62&lt;&gt;"",W62&lt;&gt;"",Z62&lt;W62),"Confirmed Deployed date is before DPO Approval target","")))))</f>
        <v/>
      </c>
      <c r="AK62" s="9">
        <f>IF($B62="","",IF(COUNTIF($B$2:$B$500,$B62)&gt;1,"Duplicate name - check row",""))</f>
        <v/>
      </c>
      <c r="AL62" s="48" t="n"/>
      <c r="AM62" s="9">
        <f>IF($B62="","",SUMPRODUCT(MAX(('Rework Log'!$A$3:$A$500=$B62)*ROW('Rework Log'!$A$3:$A$500))))</f>
        <v/>
      </c>
    </row>
    <row r="63">
      <c r="A63" s="9" t="inlineStr">
        <is>
          <t>CMS</t>
        </is>
      </c>
      <c r="B63" s="9" t="inlineStr">
        <is>
          <t>RPT_02_Meter Change</t>
        </is>
      </c>
      <c r="C63" s="9" t="inlineStr">
        <is>
          <t>NOT STARTED</t>
        </is>
      </c>
      <c r="D63" s="9">
        <f>IF($B63="","",IF(LEFT($AC63,3)="Yes","Blocked - "&amp;MID($AC63,7,100),IF(C63="NOT STARTED",IF(K63="","No plan date set",IF(K63&lt;TODAY(),"Review - planned start passed","On track")),IF(C63="DB Dev",IF(N63="","No target set",IF(AND(N63&lt;TODAY(),P63=""),"Overdue","On track")),IF(C63="PBI Dev",IF(Q63="","No target set",IF(AND(Q63&lt;TODAY(),S63=""),"Overdue","On track")),IF(C63="QA",IF(T63="","No target set",IF(AND(T63&lt;TODAY(),V63=""),"Overdue","On track")),IF(C63="DPO Approval",IF(W63="","No target set",IF(W63&lt;TODAY(),"Overdue","On track")),IF(C63="RELEASED IN PROD","Delivered",""))))))))</f>
        <v/>
      </c>
      <c r="E63" s="9" t="n">
        <v>38</v>
      </c>
      <c r="F63" s="39" t="n"/>
      <c r="G63" s="9" t="n"/>
      <c r="H63" s="9" t="n"/>
      <c r="I63" s="9" t="n"/>
      <c r="J63" s="9" t="n"/>
      <c r="K63" s="40" t="n">
        <v>46295</v>
      </c>
      <c r="L63" s="9" t="inlineStr">
        <is>
          <t>September</t>
        </is>
      </c>
      <c r="M63" s="41" t="n"/>
      <c r="N63" s="9" t="n"/>
      <c r="O63" s="9" t="n"/>
      <c r="P63" s="9" t="n"/>
      <c r="Q63" s="9" t="n"/>
      <c r="R63" s="9" t="n"/>
      <c r="S63" s="9" t="n"/>
      <c r="T63" s="9" t="n"/>
      <c r="U63" s="9" t="n"/>
      <c r="V63" s="9" t="n"/>
      <c r="W63" s="9" t="n"/>
      <c r="X63" s="9" t="n"/>
      <c r="Y63" s="45" t="n"/>
      <c r="Z63" s="9" t="n"/>
      <c r="AA63" s="49" t="n"/>
      <c r="AB63" s="9" t="n"/>
      <c r="AC63" s="46" t="inlineStr">
        <is>
          <t>No</t>
        </is>
      </c>
      <c r="AD63" s="9">
        <f>IF($B63="","",COUNTIF('Rework Log'!$A$3:$A$500,$B63))</f>
        <v/>
      </c>
      <c r="AE63" s="9">
        <f>IF(OR($B63="",$AM63=0),"",INDEX('Rework Log'!$C:$C,$AM63))</f>
        <v/>
      </c>
      <c r="AF63" s="10">
        <f>IF(OR($B63="",$AM63=0),"",INDEX('Rework Log'!$H:$H,$AM63))</f>
        <v/>
      </c>
      <c r="AG63" s="9">
        <f>IF(OR($B63="",$AM63=0),"",INDEX('Rework Log'!$G:$G,$AM63))</f>
        <v/>
      </c>
      <c r="AH63" s="47">
        <f>IF($B63="","",IF(W63&lt;&gt;"","DPO Approval",IF(T63&lt;&gt;"","QA",IF(Q63&lt;&gt;"","PBI Dev",IF(N63&lt;&gt;"","DB Dev","NOT STARTED")))))</f>
        <v/>
      </c>
      <c r="AI63" s="9">
        <f>IF($B63="","",IF(IF($C63="NOT STARTED",0,IF($C63="DB Dev",1,IF($C63="PBI Dev",2,IF($C63="QA",3,IF($C63="DPO Approval",4,IF($C63="RELEASED IN PROD",5,-1))))))&lt;IF($AH63="NOT STARTED",0,IF($AH63="DB Dev",1,IF($AH63="PBI Dev",2,IF($AH63="QA",3,IF($AH63="DPO Approval",4,IF($AH63="RELEASED IN PROD",5,-1)))))),"Yes - was already at "&amp;$AH63&amp;", now back at "&amp;$C63,"No"))</f>
        <v/>
      </c>
      <c r="AJ63" s="9">
        <f>IF($B63="","",IF(AND(T63&lt;&gt;"",N63&lt;&gt;"",T63&lt;N63),"QA target is before DB Dev target",IF(AND(T63&lt;&gt;"",Q63&lt;&gt;"",T63&lt;Q63),"QA target is before PBI Dev target",IF(AND(W63&lt;&gt;"",T63&lt;&gt;"",W63&lt;T63),"DPO Approval target is before QA target",IF(AND(Z63&lt;&gt;"",W63&lt;&gt;"",Z63&lt;W63),"Confirmed Deployed date is before DPO Approval target","")))))</f>
        <v/>
      </c>
      <c r="AK63" s="9">
        <f>IF($B63="","",IF(COUNTIF($B$2:$B$500,$B63)&gt;1,"Duplicate name - check row",""))</f>
        <v/>
      </c>
      <c r="AL63" s="48" t="n"/>
      <c r="AM63" s="9">
        <f>IF($B63="","",SUMPRODUCT(MAX(('Rework Log'!$A$3:$A$500=$B63)*ROW('Rework Log'!$A$3:$A$500))))</f>
        <v/>
      </c>
    </row>
    <row r="64">
      <c r="A64" s="9" t="inlineStr">
        <is>
          <t>CMS</t>
        </is>
      </c>
      <c r="B64" s="9" t="inlineStr">
        <is>
          <t>RPT_02_Field Order Value</t>
        </is>
      </c>
      <c r="C64" s="9" t="inlineStr">
        <is>
          <t>NOT STARTED</t>
        </is>
      </c>
      <c r="D64" s="9">
        <f>IF($B64="","",IF(LEFT($AC64,3)="Yes","Blocked - "&amp;MID($AC64,7,100),IF(C64="NOT STARTED",IF(K64="","No plan date set",IF(K64&lt;TODAY(),"Review - planned start passed","On track")),IF(C64="DB Dev",IF(N64="","No target set",IF(AND(N64&lt;TODAY(),P64=""),"Overdue","On track")),IF(C64="PBI Dev",IF(Q64="","No target set",IF(AND(Q64&lt;TODAY(),S64=""),"Overdue","On track")),IF(C64="QA",IF(T64="","No target set",IF(AND(T64&lt;TODAY(),V64=""),"Overdue","On track")),IF(C64="DPO Approval",IF(W64="","No target set",IF(W64&lt;TODAY(),"Overdue","On track")),IF(C64="RELEASED IN PROD","Delivered",""))))))))</f>
        <v/>
      </c>
      <c r="E64" s="9" t="n">
        <v>39</v>
      </c>
      <c r="F64" s="39" t="n"/>
      <c r="G64" s="9" t="n"/>
      <c r="H64" s="9" t="n"/>
      <c r="I64" s="9" t="n"/>
      <c r="J64" s="9" t="n"/>
      <c r="K64" s="40" t="n">
        <v>46295</v>
      </c>
      <c r="L64" s="9" t="inlineStr">
        <is>
          <t>September</t>
        </is>
      </c>
      <c r="M64" s="41" t="n"/>
      <c r="N64" s="9" t="n"/>
      <c r="O64" s="9" t="n"/>
      <c r="P64" s="9" t="n"/>
      <c r="Q64" s="9" t="n"/>
      <c r="R64" s="9" t="n"/>
      <c r="S64" s="9" t="n"/>
      <c r="T64" s="9" t="n"/>
      <c r="U64" s="9" t="n"/>
      <c r="V64" s="9" t="n"/>
      <c r="W64" s="9" t="n"/>
      <c r="X64" s="9" t="n"/>
      <c r="Y64" s="45" t="n"/>
      <c r="Z64" s="9" t="n"/>
      <c r="AA64" s="49" t="n"/>
      <c r="AB64" s="9" t="n"/>
      <c r="AC64" s="46" t="inlineStr">
        <is>
          <t>No</t>
        </is>
      </c>
      <c r="AD64" s="9">
        <f>IF($B64="","",COUNTIF('Rework Log'!$A$3:$A$500,$B64))</f>
        <v/>
      </c>
      <c r="AE64" s="9">
        <f>IF(OR($B64="",$AM64=0),"",INDEX('Rework Log'!$C:$C,$AM64))</f>
        <v/>
      </c>
      <c r="AF64" s="10">
        <f>IF(OR($B64="",$AM64=0),"",INDEX('Rework Log'!$H:$H,$AM64))</f>
        <v/>
      </c>
      <c r="AG64" s="9">
        <f>IF(OR($B64="",$AM64=0),"",INDEX('Rework Log'!$G:$G,$AM64))</f>
        <v/>
      </c>
      <c r="AH64" s="47">
        <f>IF($B64="","",IF(W64&lt;&gt;"","DPO Approval",IF(T64&lt;&gt;"","QA",IF(Q64&lt;&gt;"","PBI Dev",IF(N64&lt;&gt;"","DB Dev","NOT STARTED")))))</f>
        <v/>
      </c>
      <c r="AI64" s="9">
        <f>IF($B64="","",IF(IF($C64="NOT STARTED",0,IF($C64="DB Dev",1,IF($C64="PBI Dev",2,IF($C64="QA",3,IF($C64="DPO Approval",4,IF($C64="RELEASED IN PROD",5,-1))))))&lt;IF($AH64="NOT STARTED",0,IF($AH64="DB Dev",1,IF($AH64="PBI Dev",2,IF($AH64="QA",3,IF($AH64="DPO Approval",4,IF($AH64="RELEASED IN PROD",5,-1)))))),"Yes - was already at "&amp;$AH64&amp;", now back at "&amp;$C64,"No"))</f>
        <v/>
      </c>
      <c r="AJ64" s="9">
        <f>IF($B64="","",IF(AND(T64&lt;&gt;"",N64&lt;&gt;"",T64&lt;N64),"QA target is before DB Dev target",IF(AND(T64&lt;&gt;"",Q64&lt;&gt;"",T64&lt;Q64),"QA target is before PBI Dev target",IF(AND(W64&lt;&gt;"",T64&lt;&gt;"",W64&lt;T64),"DPO Approval target is before QA target",IF(AND(Z64&lt;&gt;"",W64&lt;&gt;"",Z64&lt;W64),"Confirmed Deployed date is before DPO Approval target","")))))</f>
        <v/>
      </c>
      <c r="AK64" s="9">
        <f>IF($B64="","",IF(COUNTIF($B$2:$B$500,$B64)&gt;1,"Duplicate name - check row",""))</f>
        <v/>
      </c>
      <c r="AL64" s="48" t="n"/>
      <c r="AM64" s="9">
        <f>IF($B64="","",SUMPRODUCT(MAX(('Rework Log'!$A$3:$A$500=$B64)*ROW('Rework Log'!$A$3:$A$500))))</f>
        <v/>
      </c>
    </row>
    <row r="65">
      <c r="A65" s="9" t="inlineStr">
        <is>
          <t>CMS</t>
        </is>
      </c>
      <c r="B65" s="9" t="inlineStr">
        <is>
          <t>RPT_02_Same Day Reconnect</t>
        </is>
      </c>
      <c r="C65" s="9" t="inlineStr">
        <is>
          <t>NOT STARTED</t>
        </is>
      </c>
      <c r="D65" s="9">
        <f>IF($B65="","",IF(LEFT($AC65,3)="Yes","Blocked - "&amp;MID($AC65,7,100),IF(C65="NOT STARTED",IF(K65="","No plan date set",IF(K65&lt;TODAY(),"Review - planned start passed","On track")),IF(C65="DB Dev",IF(N65="","No target set",IF(AND(N65&lt;TODAY(),P65=""),"Overdue","On track")),IF(C65="PBI Dev",IF(Q65="","No target set",IF(AND(Q65&lt;TODAY(),S65=""),"Overdue","On track")),IF(C65="QA",IF(T65="","No target set",IF(AND(T65&lt;TODAY(),V65=""),"Overdue","On track")),IF(C65="DPO Approval",IF(W65="","No target set",IF(W65&lt;TODAY(),"Overdue","On track")),IF(C65="RELEASED IN PROD","Delivered",""))))))))</f>
        <v/>
      </c>
      <c r="E65" s="9" t="n">
        <v>40</v>
      </c>
      <c r="F65" s="39" t="n"/>
      <c r="G65" s="9" t="n"/>
      <c r="H65" s="9" t="n"/>
      <c r="I65" s="9" t="n"/>
      <c r="J65" s="9" t="n"/>
      <c r="K65" s="40" t="n">
        <v>46295</v>
      </c>
      <c r="L65" s="9" t="inlineStr">
        <is>
          <t>September</t>
        </is>
      </c>
      <c r="M65" s="41" t="n"/>
      <c r="N65" s="9" t="n"/>
      <c r="O65" s="9" t="n"/>
      <c r="P65" s="9" t="n"/>
      <c r="Q65" s="9" t="n"/>
      <c r="R65" s="9" t="n"/>
      <c r="S65" s="9" t="n"/>
      <c r="T65" s="9" t="n"/>
      <c r="U65" s="9" t="n"/>
      <c r="V65" s="9" t="n"/>
      <c r="W65" s="9" t="n"/>
      <c r="X65" s="9" t="n"/>
      <c r="Y65" s="45" t="n"/>
      <c r="Z65" s="9" t="n"/>
      <c r="AA65" s="49" t="n"/>
      <c r="AB65" s="9" t="n"/>
      <c r="AC65" s="46" t="inlineStr">
        <is>
          <t>No</t>
        </is>
      </c>
      <c r="AD65" s="9">
        <f>IF($B65="","",COUNTIF('Rework Log'!$A$3:$A$500,$B65))</f>
        <v/>
      </c>
      <c r="AE65" s="9">
        <f>IF(OR($B65="",$AM65=0),"",INDEX('Rework Log'!$C:$C,$AM65))</f>
        <v/>
      </c>
      <c r="AF65" s="10">
        <f>IF(OR($B65="",$AM65=0),"",INDEX('Rework Log'!$H:$H,$AM65))</f>
        <v/>
      </c>
      <c r="AG65" s="9">
        <f>IF(OR($B65="",$AM65=0),"",INDEX('Rework Log'!$G:$G,$AM65))</f>
        <v/>
      </c>
      <c r="AH65" s="47">
        <f>IF($B65="","",IF(W65&lt;&gt;"","DPO Approval",IF(T65&lt;&gt;"","QA",IF(Q65&lt;&gt;"","PBI Dev",IF(N65&lt;&gt;"","DB Dev","NOT STARTED")))))</f>
        <v/>
      </c>
      <c r="AI65" s="9">
        <f>IF($B65="","",IF(IF($C65="NOT STARTED",0,IF($C65="DB Dev",1,IF($C65="PBI Dev",2,IF($C65="QA",3,IF($C65="DPO Approval",4,IF($C65="RELEASED IN PROD",5,-1))))))&lt;IF($AH65="NOT STARTED",0,IF($AH65="DB Dev",1,IF($AH65="PBI Dev",2,IF($AH65="QA",3,IF($AH65="DPO Approval",4,IF($AH65="RELEASED IN PROD",5,-1)))))),"Yes - was already at "&amp;$AH65&amp;", now back at "&amp;$C65,"No"))</f>
        <v/>
      </c>
      <c r="AJ65" s="9">
        <f>IF($B65="","",IF(AND(T65&lt;&gt;"",N65&lt;&gt;"",T65&lt;N65),"QA target is before DB Dev target",IF(AND(T65&lt;&gt;"",Q65&lt;&gt;"",T65&lt;Q65),"QA target is before PBI Dev target",IF(AND(W65&lt;&gt;"",T65&lt;&gt;"",W65&lt;T65),"DPO Approval target is before QA target",IF(AND(Z65&lt;&gt;"",W65&lt;&gt;"",Z65&lt;W65),"Confirmed Deployed date is before DPO Approval target","")))))</f>
        <v/>
      </c>
      <c r="AK65" s="9">
        <f>IF($B65="","",IF(COUNTIF($B$2:$B$500,$B65)&gt;1,"Duplicate name - check row",""))</f>
        <v/>
      </c>
      <c r="AL65" s="48" t="n"/>
      <c r="AM65" s="9">
        <f>IF($B65="","",SUMPRODUCT(MAX(('Rework Log'!$A$3:$A$500=$B65)*ROW('Rework Log'!$A$3:$A$500))))</f>
        <v/>
      </c>
    </row>
    <row r="66">
      <c r="A66" s="9" t="inlineStr">
        <is>
          <t>CMS</t>
        </is>
      </c>
      <c r="B66" s="9" t="inlineStr">
        <is>
          <t>RPT_02_Site Specific Analysis</t>
        </is>
      </c>
      <c r="C66" s="9" t="inlineStr">
        <is>
          <t>NOT STARTED</t>
        </is>
      </c>
      <c r="D66" s="9">
        <f>IF($B66="","",IF(LEFT($AC66,3)="Yes","Blocked - "&amp;MID($AC66,7,100),IF(C66="NOT STARTED",IF(K66="","No plan date set",IF(K66&lt;TODAY(),"Review - planned start passed","On track")),IF(C66="DB Dev",IF(N66="","No target set",IF(AND(N66&lt;TODAY(),P66=""),"Overdue","On track")),IF(C66="PBI Dev",IF(Q66="","No target set",IF(AND(Q66&lt;TODAY(),S66=""),"Overdue","On track")),IF(C66="QA",IF(T66="","No target set",IF(AND(T66&lt;TODAY(),V66=""),"Overdue","On track")),IF(C66="DPO Approval",IF(W66="","No target set",IF(W66&lt;TODAY(),"Overdue","On track")),IF(C66="RELEASED IN PROD","Delivered",""))))))))</f>
        <v/>
      </c>
      <c r="E66" s="9" t="n">
        <v>41</v>
      </c>
      <c r="F66" s="39" t="n"/>
      <c r="G66" s="9" t="n"/>
      <c r="H66" s="9" t="n"/>
      <c r="I66" s="9" t="n"/>
      <c r="J66" s="9" t="n"/>
      <c r="K66" s="40" t="n">
        <v>46295</v>
      </c>
      <c r="L66" s="9" t="inlineStr">
        <is>
          <t>September</t>
        </is>
      </c>
      <c r="M66" s="41" t="n"/>
      <c r="N66" s="9" t="n"/>
      <c r="O66" s="9" t="n"/>
      <c r="P66" s="9" t="n"/>
      <c r="Q66" s="9" t="n"/>
      <c r="R66" s="9" t="n"/>
      <c r="S66" s="9" t="n"/>
      <c r="T66" s="9" t="n"/>
      <c r="U66" s="9" t="n"/>
      <c r="V66" s="9" t="n"/>
      <c r="W66" s="9" t="n"/>
      <c r="X66" s="9" t="n"/>
      <c r="Y66" s="45" t="n"/>
      <c r="Z66" s="9" t="n"/>
      <c r="AA66" s="49" t="n"/>
      <c r="AB66" s="9" t="n"/>
      <c r="AC66" s="46" t="inlineStr">
        <is>
          <t>No</t>
        </is>
      </c>
      <c r="AD66" s="9">
        <f>IF($B66="","",COUNTIF('Rework Log'!$A$3:$A$500,$B66))</f>
        <v/>
      </c>
      <c r="AE66" s="9">
        <f>IF(OR($B66="",$AM66=0),"",INDEX('Rework Log'!$C:$C,$AM66))</f>
        <v/>
      </c>
      <c r="AF66" s="10">
        <f>IF(OR($B66="",$AM66=0),"",INDEX('Rework Log'!$H:$H,$AM66))</f>
        <v/>
      </c>
      <c r="AG66" s="9">
        <f>IF(OR($B66="",$AM66=0),"",INDEX('Rework Log'!$G:$G,$AM66))</f>
        <v/>
      </c>
      <c r="AH66" s="47">
        <f>IF($B66="","",IF(W66&lt;&gt;"","DPO Approval",IF(T66&lt;&gt;"","QA",IF(Q66&lt;&gt;"","PBI Dev",IF(N66&lt;&gt;"","DB Dev","NOT STARTED")))))</f>
        <v/>
      </c>
      <c r="AI66" s="9">
        <f>IF($B66="","",IF(IF($C66="NOT STARTED",0,IF($C66="DB Dev",1,IF($C66="PBI Dev",2,IF($C66="QA",3,IF($C66="DPO Approval",4,IF($C66="RELEASED IN PROD",5,-1))))))&lt;IF($AH66="NOT STARTED",0,IF($AH66="DB Dev",1,IF($AH66="PBI Dev",2,IF($AH66="QA",3,IF($AH66="DPO Approval",4,IF($AH66="RELEASED IN PROD",5,-1)))))),"Yes - was already at "&amp;$AH66&amp;", now back at "&amp;$C66,"No"))</f>
        <v/>
      </c>
      <c r="AJ66" s="9">
        <f>IF($B66="","",IF(AND(T66&lt;&gt;"",N66&lt;&gt;"",T66&lt;N66),"QA target is before DB Dev target",IF(AND(T66&lt;&gt;"",Q66&lt;&gt;"",T66&lt;Q66),"QA target is before PBI Dev target",IF(AND(W66&lt;&gt;"",T66&lt;&gt;"",W66&lt;T66),"DPO Approval target is before QA target",IF(AND(Z66&lt;&gt;"",W66&lt;&gt;"",Z66&lt;W66),"Confirmed Deployed date is before DPO Approval target","")))))</f>
        <v/>
      </c>
      <c r="AK66" s="9">
        <f>IF($B66="","",IF(COUNTIF($B$2:$B$500,$B66)&gt;1,"Duplicate name - check row",""))</f>
        <v/>
      </c>
      <c r="AL66" s="48" t="n"/>
      <c r="AM66" s="9">
        <f>IF($B66="","",SUMPRODUCT(MAX(('Rework Log'!$A$3:$A$500=$B66)*ROW('Rework Log'!$A$3:$A$500))))</f>
        <v/>
      </c>
    </row>
    <row r="67">
      <c r="A67" s="9" t="inlineStr">
        <is>
          <t>CMS</t>
        </is>
      </c>
      <c r="B67" s="9" t="inlineStr">
        <is>
          <t>RPT_02_PSC Wire Down Response Time</t>
        </is>
      </c>
      <c r="C67" s="9" t="inlineStr">
        <is>
          <t>NOT STARTED</t>
        </is>
      </c>
      <c r="D67" s="9">
        <f>IF($B67="","",IF(LEFT($AC67,3)="Yes","Blocked - "&amp;MID($AC67,7,100),IF(C67="NOT STARTED",IF(K67="","No plan date set",IF(K67&lt;TODAY(),"Review - planned start passed","On track")),IF(C67="DB Dev",IF(N67="","No target set",IF(AND(N67&lt;TODAY(),P67=""),"Overdue","On track")),IF(C67="PBI Dev",IF(Q67="","No target set",IF(AND(Q67&lt;TODAY(),S67=""),"Overdue","On track")),IF(C67="QA",IF(T67="","No target set",IF(AND(T67&lt;TODAY(),V67=""),"Overdue","On track")),IF(C67="DPO Approval",IF(W67="","No target set",IF(W67&lt;TODAY(),"Overdue","On track")),IF(C67="RELEASED IN PROD","Delivered",""))))))))</f>
        <v/>
      </c>
      <c r="E67" s="9" t="n">
        <v>42</v>
      </c>
      <c r="F67" s="39" t="n"/>
      <c r="G67" s="9" t="n"/>
      <c r="H67" s="9" t="n"/>
      <c r="I67" s="9" t="n"/>
      <c r="J67" s="9" t="n"/>
      <c r="K67" s="40" t="n">
        <v>46295</v>
      </c>
      <c r="L67" s="9" t="inlineStr">
        <is>
          <t>September</t>
        </is>
      </c>
      <c r="M67" s="41" t="n"/>
      <c r="N67" s="9" t="n"/>
      <c r="O67" s="9" t="n"/>
      <c r="P67" s="9" t="n"/>
      <c r="Q67" s="9" t="n"/>
      <c r="R67" s="9" t="n"/>
      <c r="S67" s="9" t="n"/>
      <c r="T67" s="9" t="n"/>
      <c r="U67" s="9" t="n"/>
      <c r="V67" s="9" t="n"/>
      <c r="W67" s="9" t="n"/>
      <c r="X67" s="9" t="n"/>
      <c r="Y67" s="45" t="n"/>
      <c r="Z67" s="9" t="n"/>
      <c r="AA67" s="49" t="n"/>
      <c r="AB67" s="9" t="n"/>
      <c r="AC67" s="46" t="inlineStr">
        <is>
          <t>No</t>
        </is>
      </c>
      <c r="AD67" s="9">
        <f>IF($B67="","",COUNTIF('Rework Log'!$A$3:$A$500,$B67))</f>
        <v/>
      </c>
      <c r="AE67" s="9">
        <f>IF(OR($B67="",$AM67=0),"",INDEX('Rework Log'!$C:$C,$AM67))</f>
        <v/>
      </c>
      <c r="AF67" s="10">
        <f>IF(OR($B67="",$AM67=0),"",INDEX('Rework Log'!$H:$H,$AM67))</f>
        <v/>
      </c>
      <c r="AG67" s="9">
        <f>IF(OR($B67="",$AM67=0),"",INDEX('Rework Log'!$G:$G,$AM67))</f>
        <v/>
      </c>
      <c r="AH67" s="47">
        <f>IF($B67="","",IF(W67&lt;&gt;"","DPO Approval",IF(T67&lt;&gt;"","QA",IF(Q67&lt;&gt;"","PBI Dev",IF(N67&lt;&gt;"","DB Dev","NOT STARTED")))))</f>
        <v/>
      </c>
      <c r="AI67" s="9">
        <f>IF($B67="","",IF(IF($C67="NOT STARTED",0,IF($C67="DB Dev",1,IF($C67="PBI Dev",2,IF($C67="QA",3,IF($C67="DPO Approval",4,IF($C67="RELEASED IN PROD",5,-1))))))&lt;IF($AH67="NOT STARTED",0,IF($AH67="DB Dev",1,IF($AH67="PBI Dev",2,IF($AH67="QA",3,IF($AH67="DPO Approval",4,IF($AH67="RELEASED IN PROD",5,-1)))))),"Yes - was already at "&amp;$AH67&amp;", now back at "&amp;$C67,"No"))</f>
        <v/>
      </c>
      <c r="AJ67" s="9">
        <f>IF($B67="","",IF(AND(T67&lt;&gt;"",N67&lt;&gt;"",T67&lt;N67),"QA target is before DB Dev target",IF(AND(T67&lt;&gt;"",Q67&lt;&gt;"",T67&lt;Q67),"QA target is before PBI Dev target",IF(AND(W67&lt;&gt;"",T67&lt;&gt;"",W67&lt;T67),"DPO Approval target is before QA target",IF(AND(Z67&lt;&gt;"",W67&lt;&gt;"",Z67&lt;W67),"Confirmed Deployed date is before DPO Approval target","")))))</f>
        <v/>
      </c>
      <c r="AK67" s="9">
        <f>IF($B67="","",IF(COUNTIF($B$2:$B$500,$B67)&gt;1,"Duplicate name - check row",""))</f>
        <v/>
      </c>
      <c r="AL67" s="48" t="n"/>
      <c r="AM67" s="9">
        <f>IF($B67="","",SUMPRODUCT(MAX(('Rework Log'!$A$3:$A$500=$B67)*ROW('Rework Log'!$A$3:$A$500))))</f>
        <v/>
      </c>
    </row>
    <row r="68">
      <c r="A68" s="9" t="inlineStr">
        <is>
          <t>CMS</t>
        </is>
      </c>
      <c r="B68" s="9" t="inlineStr">
        <is>
          <t>RPT_02_Hazardous Above Ground Leak</t>
        </is>
      </c>
      <c r="C68" s="9" t="inlineStr">
        <is>
          <t>NOT STARTED</t>
        </is>
      </c>
      <c r="D68" s="9">
        <f>IF($B68="","",IF(LEFT($AC68,3)="Yes","Blocked - "&amp;MID($AC68,7,100),IF(C68="NOT STARTED",IF(K68="","No plan date set",IF(K68&lt;TODAY(),"Review - planned start passed","On track")),IF(C68="DB Dev",IF(N68="","No target set",IF(AND(N68&lt;TODAY(),P68=""),"Overdue","On track")),IF(C68="PBI Dev",IF(Q68="","No target set",IF(AND(Q68&lt;TODAY(),S68=""),"Overdue","On track")),IF(C68="QA",IF(T68="","No target set",IF(AND(T68&lt;TODAY(),V68=""),"Overdue","On track")),IF(C68="DPO Approval",IF(W68="","No target set",IF(W68&lt;TODAY(),"Overdue","On track")),IF(C68="RELEASED IN PROD","Delivered",""))))))))</f>
        <v/>
      </c>
      <c r="E68" s="9" t="n">
        <v>43</v>
      </c>
      <c r="F68" s="39" t="n"/>
      <c r="G68" s="9" t="n"/>
      <c r="H68" s="9" t="n"/>
      <c r="I68" s="9" t="n"/>
      <c r="J68" s="9" t="n"/>
      <c r="K68" s="40" t="n">
        <v>46295</v>
      </c>
      <c r="L68" s="9" t="inlineStr">
        <is>
          <t>September</t>
        </is>
      </c>
      <c r="M68" s="41" t="n"/>
      <c r="N68" s="9" t="n"/>
      <c r="O68" s="9" t="n"/>
      <c r="P68" s="9" t="n"/>
      <c r="Q68" s="9" t="n"/>
      <c r="R68" s="9" t="n"/>
      <c r="S68" s="9" t="n"/>
      <c r="T68" s="9" t="n"/>
      <c r="U68" s="9" t="n"/>
      <c r="V68" s="9" t="n"/>
      <c r="W68" s="9" t="n"/>
      <c r="X68" s="9" t="n"/>
      <c r="Y68" s="45" t="n"/>
      <c r="Z68" s="9" t="n"/>
      <c r="AA68" s="49" t="n"/>
      <c r="AB68" s="9" t="n"/>
      <c r="AC68" s="46" t="inlineStr">
        <is>
          <t>No</t>
        </is>
      </c>
      <c r="AD68" s="9">
        <f>IF($B68="","",COUNTIF('Rework Log'!$A$3:$A$500,$B68))</f>
        <v/>
      </c>
      <c r="AE68" s="9">
        <f>IF(OR($B68="",$AM68=0),"",INDEX('Rework Log'!$C:$C,$AM68))</f>
        <v/>
      </c>
      <c r="AF68" s="10">
        <f>IF(OR($B68="",$AM68=0),"",INDEX('Rework Log'!$H:$H,$AM68))</f>
        <v/>
      </c>
      <c r="AG68" s="9">
        <f>IF(OR($B68="",$AM68=0),"",INDEX('Rework Log'!$G:$G,$AM68))</f>
        <v/>
      </c>
      <c r="AH68" s="47">
        <f>IF($B68="","",IF(W68&lt;&gt;"","DPO Approval",IF(T68&lt;&gt;"","QA",IF(Q68&lt;&gt;"","PBI Dev",IF(N68&lt;&gt;"","DB Dev","NOT STARTED")))))</f>
        <v/>
      </c>
      <c r="AI68" s="9">
        <f>IF($B68="","",IF(IF($C68="NOT STARTED",0,IF($C68="DB Dev",1,IF($C68="PBI Dev",2,IF($C68="QA",3,IF($C68="DPO Approval",4,IF($C68="RELEASED IN PROD",5,-1))))))&lt;IF($AH68="NOT STARTED",0,IF($AH68="DB Dev",1,IF($AH68="PBI Dev",2,IF($AH68="QA",3,IF($AH68="DPO Approval",4,IF($AH68="RELEASED IN PROD",5,-1)))))),"Yes - was already at "&amp;$AH68&amp;", now back at "&amp;$C68,"No"))</f>
        <v/>
      </c>
      <c r="AJ68" s="9">
        <f>IF($B68="","",IF(AND(T68&lt;&gt;"",N68&lt;&gt;"",T68&lt;N68),"QA target is before DB Dev target",IF(AND(T68&lt;&gt;"",Q68&lt;&gt;"",T68&lt;Q68),"QA target is before PBI Dev target",IF(AND(W68&lt;&gt;"",T68&lt;&gt;"",W68&lt;T68),"DPO Approval target is before QA target",IF(AND(Z68&lt;&gt;"",W68&lt;&gt;"",Z68&lt;W68),"Confirmed Deployed date is before DPO Approval target","")))))</f>
        <v/>
      </c>
      <c r="AK68" s="9">
        <f>IF($B68="","",IF(COUNTIF($B$2:$B$500,$B68)&gt;1,"Duplicate name - check row",""))</f>
        <v/>
      </c>
      <c r="AL68" s="48" t="n"/>
      <c r="AM68" s="9">
        <f>IF($B68="","",SUMPRODUCT(MAX(('Rework Log'!$A$3:$A$500=$B68)*ROW('Rework Log'!$A$3:$A$500))))</f>
        <v/>
      </c>
    </row>
    <row r="69">
      <c r="A69" s="9" t="inlineStr">
        <is>
          <t>CMS</t>
        </is>
      </c>
      <c r="B69" s="9" t="inlineStr">
        <is>
          <t>RPT_02_AMI Contractor Completion Report</t>
        </is>
      </c>
      <c r="C69" s="9" t="inlineStr">
        <is>
          <t>NOT STARTED</t>
        </is>
      </c>
      <c r="D69" s="9">
        <f>IF($B69="","",IF(LEFT($AC69,3)="Yes","Blocked - "&amp;MID($AC69,7,100),IF(C69="NOT STARTED",IF(K69="","No plan date set",IF(K69&lt;TODAY(),"Review - planned start passed","On track")),IF(C69="DB Dev",IF(N69="","No target set",IF(AND(N69&lt;TODAY(),P69=""),"Overdue","On track")),IF(C69="PBI Dev",IF(Q69="","No target set",IF(AND(Q69&lt;TODAY(),S69=""),"Overdue","On track")),IF(C69="QA",IF(T69="","No target set",IF(AND(T69&lt;TODAY(),V69=""),"Overdue","On track")),IF(C69="DPO Approval",IF(W69="","No target set",IF(W69&lt;TODAY(),"Overdue","On track")),IF(C69="RELEASED IN PROD","Delivered",""))))))))</f>
        <v/>
      </c>
      <c r="E69" s="9" t="n">
        <v>44</v>
      </c>
      <c r="F69" s="39" t="n"/>
      <c r="G69" s="9" t="n"/>
      <c r="H69" s="9" t="n"/>
      <c r="I69" s="9" t="n"/>
      <c r="J69" s="9" t="n"/>
      <c r="K69" s="40" t="n">
        <v>46295</v>
      </c>
      <c r="L69" s="9" t="inlineStr">
        <is>
          <t>September</t>
        </is>
      </c>
      <c r="M69" s="41" t="n"/>
      <c r="N69" s="9" t="n"/>
      <c r="O69" s="9" t="n"/>
      <c r="P69" s="9" t="n"/>
      <c r="Q69" s="9" t="n"/>
      <c r="R69" s="9" t="n"/>
      <c r="S69" s="9" t="n"/>
      <c r="T69" s="9" t="n"/>
      <c r="U69" s="9" t="n"/>
      <c r="V69" s="9" t="n"/>
      <c r="W69" s="9" t="n"/>
      <c r="X69" s="9" t="n"/>
      <c r="Y69" s="45" t="n"/>
      <c r="Z69" s="9" t="n"/>
      <c r="AA69" s="49" t="n"/>
      <c r="AB69" s="9" t="n"/>
      <c r="AC69" s="46" t="inlineStr">
        <is>
          <t>No</t>
        </is>
      </c>
      <c r="AD69" s="9">
        <f>IF($B69="","",COUNTIF('Rework Log'!$A$3:$A$500,$B69))</f>
        <v/>
      </c>
      <c r="AE69" s="9">
        <f>IF(OR($B69="",$AM69=0),"",INDEX('Rework Log'!$C:$C,$AM69))</f>
        <v/>
      </c>
      <c r="AF69" s="10">
        <f>IF(OR($B69="",$AM69=0),"",INDEX('Rework Log'!$H:$H,$AM69))</f>
        <v/>
      </c>
      <c r="AG69" s="9">
        <f>IF(OR($B69="",$AM69=0),"",INDEX('Rework Log'!$G:$G,$AM69))</f>
        <v/>
      </c>
      <c r="AH69" s="47">
        <f>IF($B69="","",IF(W69&lt;&gt;"","DPO Approval",IF(T69&lt;&gt;"","QA",IF(Q69&lt;&gt;"","PBI Dev",IF(N69&lt;&gt;"","DB Dev","NOT STARTED")))))</f>
        <v/>
      </c>
      <c r="AI69" s="9">
        <f>IF($B69="","",IF(IF($C69="NOT STARTED",0,IF($C69="DB Dev",1,IF($C69="PBI Dev",2,IF($C69="QA",3,IF($C69="DPO Approval",4,IF($C69="RELEASED IN PROD",5,-1))))))&lt;IF($AH69="NOT STARTED",0,IF($AH69="DB Dev",1,IF($AH69="PBI Dev",2,IF($AH69="QA",3,IF($AH69="DPO Approval",4,IF($AH69="RELEASED IN PROD",5,-1)))))),"Yes - was already at "&amp;$AH69&amp;", now back at "&amp;$C69,"No"))</f>
        <v/>
      </c>
      <c r="AJ69" s="9">
        <f>IF($B69="","",IF(AND(T69&lt;&gt;"",N69&lt;&gt;"",T69&lt;N69),"QA target is before DB Dev target",IF(AND(T69&lt;&gt;"",Q69&lt;&gt;"",T69&lt;Q69),"QA target is before PBI Dev target",IF(AND(W69&lt;&gt;"",T69&lt;&gt;"",W69&lt;T69),"DPO Approval target is before QA target",IF(AND(Z69&lt;&gt;"",W69&lt;&gt;"",Z69&lt;W69),"Confirmed Deployed date is before DPO Approval target","")))))</f>
        <v/>
      </c>
      <c r="AK69" s="9">
        <f>IF($B69="","",IF(COUNTIF($B$2:$B$500,$B69)&gt;1,"Duplicate name - check row",""))</f>
        <v/>
      </c>
      <c r="AL69" s="48" t="n"/>
      <c r="AM69" s="9">
        <f>IF($B69="","",SUMPRODUCT(MAX(('Rework Log'!$A$3:$A$500=$B69)*ROW('Rework Log'!$A$3:$A$500))))</f>
        <v/>
      </c>
    </row>
    <row r="70">
      <c r="A70" s="9" t="inlineStr">
        <is>
          <t>CMS</t>
        </is>
      </c>
      <c r="B70" s="9" t="inlineStr">
        <is>
          <t>RPT_02_Collection Statistic</t>
        </is>
      </c>
      <c r="C70" s="9" t="inlineStr">
        <is>
          <t>NOT STARTED</t>
        </is>
      </c>
      <c r="D70" s="9">
        <f>IF($B70="","",IF(LEFT($AC70,3)="Yes","Blocked - "&amp;MID($AC70,7,100),IF(C70="NOT STARTED",IF(K70="","No plan date set",IF(K70&lt;TODAY(),"Review - planned start passed","On track")),IF(C70="DB Dev",IF(N70="","No target set",IF(AND(N70&lt;TODAY(),P70=""),"Overdue","On track")),IF(C70="PBI Dev",IF(Q70="","No target set",IF(AND(Q70&lt;TODAY(),S70=""),"Overdue","On track")),IF(C70="QA",IF(T70="","No target set",IF(AND(T70&lt;TODAY(),V70=""),"Overdue","On track")),IF(C70="DPO Approval",IF(W70="","No target set",IF(W70&lt;TODAY(),"Overdue","On track")),IF(C70="RELEASED IN PROD","Delivered",""))))))))</f>
        <v/>
      </c>
      <c r="E70" s="9" t="n">
        <v>45</v>
      </c>
      <c r="F70" s="39" t="n"/>
      <c r="G70" s="9" t="n"/>
      <c r="H70" s="9" t="n"/>
      <c r="I70" s="9" t="n"/>
      <c r="J70" s="9" t="n"/>
      <c r="K70" s="40" t="n">
        <v>46295</v>
      </c>
      <c r="L70" s="9" t="inlineStr">
        <is>
          <t>September</t>
        </is>
      </c>
      <c r="M70" s="41" t="n"/>
      <c r="N70" s="9" t="n"/>
      <c r="O70" s="9" t="n"/>
      <c r="P70" s="9" t="n"/>
      <c r="Q70" s="9" t="n"/>
      <c r="R70" s="9" t="n"/>
      <c r="S70" s="9" t="n"/>
      <c r="T70" s="9" t="n"/>
      <c r="U70" s="9" t="n"/>
      <c r="V70" s="9" t="n"/>
      <c r="W70" s="9" t="n"/>
      <c r="X70" s="9" t="n"/>
      <c r="Y70" s="45" t="n"/>
      <c r="Z70" s="9" t="n"/>
      <c r="AA70" s="49" t="n"/>
      <c r="AB70" s="9" t="n"/>
      <c r="AC70" s="46" t="inlineStr">
        <is>
          <t>No</t>
        </is>
      </c>
      <c r="AD70" s="9">
        <f>IF($B70="","",COUNTIF('Rework Log'!$A$3:$A$500,$B70))</f>
        <v/>
      </c>
      <c r="AE70" s="9">
        <f>IF(OR($B70="",$AM70=0),"",INDEX('Rework Log'!$C:$C,$AM70))</f>
        <v/>
      </c>
      <c r="AF70" s="10">
        <f>IF(OR($B70="",$AM70=0),"",INDEX('Rework Log'!$H:$H,$AM70))</f>
        <v/>
      </c>
      <c r="AG70" s="9">
        <f>IF(OR($B70="",$AM70=0),"",INDEX('Rework Log'!$G:$G,$AM70))</f>
        <v/>
      </c>
      <c r="AH70" s="47">
        <f>IF($B70="","",IF(W70&lt;&gt;"","DPO Approval",IF(T70&lt;&gt;"","QA",IF(Q70&lt;&gt;"","PBI Dev",IF(N70&lt;&gt;"","DB Dev","NOT STARTED")))))</f>
        <v/>
      </c>
      <c r="AI70" s="9">
        <f>IF($B70="","",IF(IF($C70="NOT STARTED",0,IF($C70="DB Dev",1,IF($C70="PBI Dev",2,IF($C70="QA",3,IF($C70="DPO Approval",4,IF($C70="RELEASED IN PROD",5,-1))))))&lt;IF($AH70="NOT STARTED",0,IF($AH70="DB Dev",1,IF($AH70="PBI Dev",2,IF($AH70="QA",3,IF($AH70="DPO Approval",4,IF($AH70="RELEASED IN PROD",5,-1)))))),"Yes - was already at "&amp;$AH70&amp;", now back at "&amp;$C70,"No"))</f>
        <v/>
      </c>
      <c r="AJ70" s="9">
        <f>IF($B70="","",IF(AND(T70&lt;&gt;"",N70&lt;&gt;"",T70&lt;N70),"QA target is before DB Dev target",IF(AND(T70&lt;&gt;"",Q70&lt;&gt;"",T70&lt;Q70),"QA target is before PBI Dev target",IF(AND(W70&lt;&gt;"",T70&lt;&gt;"",W70&lt;T70),"DPO Approval target is before QA target",IF(AND(Z70&lt;&gt;"",W70&lt;&gt;"",Z70&lt;W70),"Confirmed Deployed date is before DPO Approval target","")))))</f>
        <v/>
      </c>
      <c r="AK70" s="9">
        <f>IF($B70="","",IF(COUNTIF($B$2:$B$500,$B70)&gt;1,"Duplicate name - check row",""))</f>
        <v/>
      </c>
      <c r="AL70" s="48" t="n"/>
      <c r="AM70" s="9">
        <f>IF($B70="","",SUMPRODUCT(MAX(('Rework Log'!$A$3:$A$500=$B70)*ROW('Rework Log'!$A$3:$A$500))))</f>
        <v/>
      </c>
    </row>
    <row r="71">
      <c r="A71" s="9" t="inlineStr">
        <is>
          <t>CMS</t>
        </is>
      </c>
      <c r="B71" s="9" t="inlineStr">
        <is>
          <t>RPT_02_First and Last Job</t>
        </is>
      </c>
      <c r="C71" s="9" t="inlineStr">
        <is>
          <t>NOT STARTED</t>
        </is>
      </c>
      <c r="D71" s="9">
        <f>IF($B71="","",IF(LEFT($AC71,3)="Yes","Blocked - "&amp;MID($AC71,7,100),IF(C71="NOT STARTED",IF(K71="","No plan date set",IF(K71&lt;TODAY(),"Review - planned start passed","On track")),IF(C71="DB Dev",IF(N71="","No target set",IF(AND(N71&lt;TODAY(),P71=""),"Overdue","On track")),IF(C71="PBI Dev",IF(Q71="","No target set",IF(AND(Q71&lt;TODAY(),S71=""),"Overdue","On track")),IF(C71="QA",IF(T71="","No target set",IF(AND(T71&lt;TODAY(),V71=""),"Overdue","On track")),IF(C71="DPO Approval",IF(W71="","No target set",IF(W71&lt;TODAY(),"Overdue","On track")),IF(C71="RELEASED IN PROD","Delivered",""))))))))</f>
        <v/>
      </c>
      <c r="E71" s="9" t="n">
        <v>46</v>
      </c>
      <c r="F71" s="39" t="n"/>
      <c r="G71" s="9" t="n"/>
      <c r="H71" s="9" t="n"/>
      <c r="I71" s="9" t="n"/>
      <c r="J71" s="9" t="n"/>
      <c r="K71" s="40" t="n">
        <v>46295</v>
      </c>
      <c r="L71" s="9" t="inlineStr">
        <is>
          <t>September</t>
        </is>
      </c>
      <c r="M71" s="41" t="n"/>
      <c r="N71" s="9" t="n"/>
      <c r="O71" s="9" t="n"/>
      <c r="P71" s="9" t="n"/>
      <c r="Q71" s="9" t="n"/>
      <c r="R71" s="9" t="n"/>
      <c r="S71" s="9" t="n"/>
      <c r="T71" s="9" t="n"/>
      <c r="U71" s="9" t="n"/>
      <c r="V71" s="9" t="n"/>
      <c r="W71" s="9" t="n"/>
      <c r="X71" s="9" t="n"/>
      <c r="Y71" s="45" t="n"/>
      <c r="Z71" s="9" t="n"/>
      <c r="AA71" s="49" t="n"/>
      <c r="AB71" s="9" t="n"/>
      <c r="AC71" s="46" t="inlineStr">
        <is>
          <t>No</t>
        </is>
      </c>
      <c r="AD71" s="9">
        <f>IF($B71="","",COUNTIF('Rework Log'!$A$3:$A$500,$B71))</f>
        <v/>
      </c>
      <c r="AE71" s="9">
        <f>IF(OR($B71="",$AM71=0),"",INDEX('Rework Log'!$C:$C,$AM71))</f>
        <v/>
      </c>
      <c r="AF71" s="10">
        <f>IF(OR($B71="",$AM71=0),"",INDEX('Rework Log'!$H:$H,$AM71))</f>
        <v/>
      </c>
      <c r="AG71" s="9">
        <f>IF(OR($B71="",$AM71=0),"",INDEX('Rework Log'!$G:$G,$AM71))</f>
        <v/>
      </c>
      <c r="AH71" s="47">
        <f>IF($B71="","",IF(W71&lt;&gt;"","DPO Approval",IF(T71&lt;&gt;"","QA",IF(Q71&lt;&gt;"","PBI Dev",IF(N71&lt;&gt;"","DB Dev","NOT STARTED")))))</f>
        <v/>
      </c>
      <c r="AI71" s="9">
        <f>IF($B71="","",IF(IF($C71="NOT STARTED",0,IF($C71="DB Dev",1,IF($C71="PBI Dev",2,IF($C71="QA",3,IF($C71="DPO Approval",4,IF($C71="RELEASED IN PROD",5,-1))))))&lt;IF($AH71="NOT STARTED",0,IF($AH71="DB Dev",1,IF($AH71="PBI Dev",2,IF($AH71="QA",3,IF($AH71="DPO Approval",4,IF($AH71="RELEASED IN PROD",5,-1)))))),"Yes - was already at "&amp;$AH71&amp;", now back at "&amp;$C71,"No"))</f>
        <v/>
      </c>
      <c r="AJ71" s="9">
        <f>IF($B71="","",IF(AND(T71&lt;&gt;"",N71&lt;&gt;"",T71&lt;N71),"QA target is before DB Dev target",IF(AND(T71&lt;&gt;"",Q71&lt;&gt;"",T71&lt;Q71),"QA target is before PBI Dev target",IF(AND(W71&lt;&gt;"",T71&lt;&gt;"",W71&lt;T71),"DPO Approval target is before QA target",IF(AND(Z71&lt;&gt;"",W71&lt;&gt;"",Z71&lt;W71),"Confirmed Deployed date is before DPO Approval target","")))))</f>
        <v/>
      </c>
      <c r="AK71" s="9">
        <f>IF($B71="","",IF(COUNTIF($B$2:$B$500,$B71)&gt;1,"Duplicate name - check row",""))</f>
        <v/>
      </c>
      <c r="AL71" s="48" t="n"/>
      <c r="AM71" s="9">
        <f>IF($B71="","",SUMPRODUCT(MAX(('Rework Log'!$A$3:$A$500=$B71)*ROW('Rework Log'!$A$3:$A$500))))</f>
        <v/>
      </c>
    </row>
    <row r="72">
      <c r="A72" s="9" t="inlineStr">
        <is>
          <t>CMS</t>
        </is>
      </c>
      <c r="B72" s="9" t="inlineStr">
        <is>
          <t>RPT_02_Rate Class</t>
        </is>
      </c>
      <c r="C72" s="9" t="inlineStr">
        <is>
          <t>NOT STARTED</t>
        </is>
      </c>
      <c r="D72" s="9">
        <f>IF($B72="","",IF(LEFT($AC72,3)="Yes","Blocked - "&amp;MID($AC72,7,100),IF(C72="NOT STARTED",IF(K72="","No plan date set",IF(K72&lt;TODAY(),"Review - planned start passed","On track")),IF(C72="DB Dev",IF(N72="","No target set",IF(AND(N72&lt;TODAY(),P72=""),"Overdue","On track")),IF(C72="PBI Dev",IF(Q72="","No target set",IF(AND(Q72&lt;TODAY(),S72=""),"Overdue","On track")),IF(C72="QA",IF(T72="","No target set",IF(AND(T72&lt;TODAY(),V72=""),"Overdue","On track")),IF(C72="DPO Approval",IF(W72="","No target set",IF(W72&lt;TODAY(),"Overdue","On track")),IF(C72="RELEASED IN PROD","Delivered",""))))))))</f>
        <v/>
      </c>
      <c r="E72" s="9" t="n">
        <v>47</v>
      </c>
      <c r="F72" s="39" t="n"/>
      <c r="G72" s="9" t="n"/>
      <c r="H72" s="9" t="n"/>
      <c r="I72" s="9" t="n"/>
      <c r="J72" s="9" t="n"/>
      <c r="K72" s="40" t="n">
        <v>46295</v>
      </c>
      <c r="L72" s="9" t="inlineStr">
        <is>
          <t>September</t>
        </is>
      </c>
      <c r="M72" s="41" t="n"/>
      <c r="N72" s="9" t="n"/>
      <c r="O72" s="9" t="n"/>
      <c r="P72" s="9" t="n"/>
      <c r="Q72" s="9" t="n"/>
      <c r="R72" s="9" t="n"/>
      <c r="S72" s="9" t="n"/>
      <c r="T72" s="9" t="n"/>
      <c r="U72" s="9" t="n"/>
      <c r="V72" s="9" t="n"/>
      <c r="W72" s="9" t="n"/>
      <c r="X72" s="9" t="n"/>
      <c r="Y72" s="45" t="n"/>
      <c r="Z72" s="9" t="n"/>
      <c r="AA72" s="49" t="n"/>
      <c r="AB72" s="9" t="n"/>
      <c r="AC72" s="46" t="inlineStr">
        <is>
          <t>No</t>
        </is>
      </c>
      <c r="AD72" s="9">
        <f>IF($B72="","",COUNTIF('Rework Log'!$A$3:$A$500,$B72))</f>
        <v/>
      </c>
      <c r="AE72" s="9">
        <f>IF(OR($B72="",$AM72=0),"",INDEX('Rework Log'!$C:$C,$AM72))</f>
        <v/>
      </c>
      <c r="AF72" s="10">
        <f>IF(OR($B72="",$AM72=0),"",INDEX('Rework Log'!$H:$H,$AM72))</f>
        <v/>
      </c>
      <c r="AG72" s="9">
        <f>IF(OR($B72="",$AM72=0),"",INDEX('Rework Log'!$G:$G,$AM72))</f>
        <v/>
      </c>
      <c r="AH72" s="47">
        <f>IF($B72="","",IF(W72&lt;&gt;"","DPO Approval",IF(T72&lt;&gt;"","QA",IF(Q72&lt;&gt;"","PBI Dev",IF(N72&lt;&gt;"","DB Dev","NOT STARTED")))))</f>
        <v/>
      </c>
      <c r="AI72" s="9">
        <f>IF($B72="","",IF(IF($C72="NOT STARTED",0,IF($C72="DB Dev",1,IF($C72="PBI Dev",2,IF($C72="QA",3,IF($C72="DPO Approval",4,IF($C72="RELEASED IN PROD",5,-1))))))&lt;IF($AH72="NOT STARTED",0,IF($AH72="DB Dev",1,IF($AH72="PBI Dev",2,IF($AH72="QA",3,IF($AH72="DPO Approval",4,IF($AH72="RELEASED IN PROD",5,-1)))))),"Yes - was already at "&amp;$AH72&amp;", now back at "&amp;$C72,"No"))</f>
        <v/>
      </c>
      <c r="AJ72" s="9">
        <f>IF($B72="","",IF(AND(T72&lt;&gt;"",N72&lt;&gt;"",T72&lt;N72),"QA target is before DB Dev target",IF(AND(T72&lt;&gt;"",Q72&lt;&gt;"",T72&lt;Q72),"QA target is before PBI Dev target",IF(AND(W72&lt;&gt;"",T72&lt;&gt;"",W72&lt;T72),"DPO Approval target is before QA target",IF(AND(Z72&lt;&gt;"",W72&lt;&gt;"",Z72&lt;W72),"Confirmed Deployed date is before DPO Approval target","")))))</f>
        <v/>
      </c>
      <c r="AK72" s="9">
        <f>IF($B72="","",IF(COUNTIF($B$2:$B$500,$B72)&gt;1,"Duplicate name - check row",""))</f>
        <v/>
      </c>
      <c r="AL72" s="48" t="n"/>
      <c r="AM72" s="9">
        <f>IF($B72="","",SUMPRODUCT(MAX(('Rework Log'!$A$3:$A$500=$B72)*ROW('Rework Log'!$A$3:$A$500))))</f>
        <v/>
      </c>
    </row>
    <row r="73">
      <c r="A73" s="9" t="inlineStr">
        <is>
          <t>Leaks</t>
        </is>
      </c>
      <c r="B73" s="9" t="inlineStr">
        <is>
          <t>RPT_04_Leak Recheck Times</t>
        </is>
      </c>
      <c r="C73" s="9" t="inlineStr">
        <is>
          <t>NOT STARTED</t>
        </is>
      </c>
      <c r="D73" s="9">
        <f>IF($B73="","",IF(LEFT($AC73,3)="Yes","Blocked - "&amp;MID($AC73,7,100),IF(C73="NOT STARTED",IF(K73="","No plan date set",IF(K73&lt;TODAY(),"Review - planned start passed","On track")),IF(C73="DB Dev",IF(N73="","No target set",IF(AND(N73&lt;TODAY(),P73=""),"Overdue","On track")),IF(C73="PBI Dev",IF(Q73="","No target set",IF(AND(Q73&lt;TODAY(),S73=""),"Overdue","On track")),IF(C73="QA",IF(T73="","No target set",IF(AND(T73&lt;TODAY(),V73=""),"Overdue","On track")),IF(C73="DPO Approval",IF(W73="","No target set",IF(W73&lt;TODAY(),"Overdue","On track")),IF(C73="RELEASED IN PROD","Delivered",""))))))))</f>
        <v/>
      </c>
      <c r="E73" s="9" t="n">
        <v>48</v>
      </c>
      <c r="F73" s="39" t="n"/>
      <c r="G73" s="9" t="n"/>
      <c r="H73" s="9" t="n"/>
      <c r="I73" s="9" t="n"/>
      <c r="J73" s="9" t="n"/>
      <c r="K73" s="40" t="n">
        <v>46295</v>
      </c>
      <c r="L73" s="9" t="inlineStr">
        <is>
          <t>September</t>
        </is>
      </c>
      <c r="M73" s="41" t="n"/>
      <c r="N73" s="9" t="n"/>
      <c r="O73" s="9" t="n"/>
      <c r="P73" s="9" t="n"/>
      <c r="Q73" s="9" t="n"/>
      <c r="R73" s="9" t="n"/>
      <c r="S73" s="9" t="n"/>
      <c r="T73" s="9" t="n"/>
      <c r="U73" s="9" t="n"/>
      <c r="V73" s="9" t="n"/>
      <c r="W73" s="9" t="n"/>
      <c r="X73" s="9" t="n"/>
      <c r="Y73" s="45" t="n"/>
      <c r="Z73" s="9" t="n"/>
      <c r="AA73" s="49" t="n"/>
      <c r="AB73" s="9" t="n"/>
      <c r="AC73" s="46" t="inlineStr">
        <is>
          <t>No</t>
        </is>
      </c>
      <c r="AD73" s="9">
        <f>IF($B73="","",COUNTIF('Rework Log'!$A$3:$A$500,$B73))</f>
        <v/>
      </c>
      <c r="AE73" s="9">
        <f>IF(OR($B73="",$AM73=0),"",INDEX('Rework Log'!$C:$C,$AM73))</f>
        <v/>
      </c>
      <c r="AF73" s="10">
        <f>IF(OR($B73="",$AM73=0),"",INDEX('Rework Log'!$H:$H,$AM73))</f>
        <v/>
      </c>
      <c r="AG73" s="9">
        <f>IF(OR($B73="",$AM73=0),"",INDEX('Rework Log'!$G:$G,$AM73))</f>
        <v/>
      </c>
      <c r="AH73" s="47">
        <f>IF($B73="","",IF(W73&lt;&gt;"","DPO Approval",IF(T73&lt;&gt;"","QA",IF(Q73&lt;&gt;"","PBI Dev",IF(N73&lt;&gt;"","DB Dev","NOT STARTED")))))</f>
        <v/>
      </c>
      <c r="AI73" s="9">
        <f>IF($B73="","",IF(IF($C73="NOT STARTED",0,IF($C73="DB Dev",1,IF($C73="PBI Dev",2,IF($C73="QA",3,IF($C73="DPO Approval",4,IF($C73="RELEASED IN PROD",5,-1))))))&lt;IF($AH73="NOT STARTED",0,IF($AH73="DB Dev",1,IF($AH73="PBI Dev",2,IF($AH73="QA",3,IF($AH73="DPO Approval",4,IF($AH73="RELEASED IN PROD",5,-1)))))),"Yes - was already at "&amp;$AH73&amp;", now back at "&amp;$C73,"No"))</f>
        <v/>
      </c>
      <c r="AJ73" s="9">
        <f>IF($B73="","",IF(AND(T73&lt;&gt;"",N73&lt;&gt;"",T73&lt;N73),"QA target is before DB Dev target",IF(AND(T73&lt;&gt;"",Q73&lt;&gt;"",T73&lt;Q73),"QA target is before PBI Dev target",IF(AND(W73&lt;&gt;"",T73&lt;&gt;"",W73&lt;T73),"DPO Approval target is before QA target",IF(AND(Z73&lt;&gt;"",W73&lt;&gt;"",Z73&lt;W73),"Confirmed Deployed date is before DPO Approval target","")))))</f>
        <v/>
      </c>
      <c r="AK73" s="9">
        <f>IF($B73="","",IF(COUNTIF($B$2:$B$500,$B73)&gt;1,"Duplicate name - check row",""))</f>
        <v/>
      </c>
      <c r="AL73" s="48" t="n"/>
      <c r="AM73" s="9">
        <f>IF($B73="","",SUMPRODUCT(MAX(('Rework Log'!$A$3:$A$500=$B73)*ROW('Rework Log'!$A$3:$A$500))))</f>
        <v/>
      </c>
    </row>
    <row r="74">
      <c r="A74" s="1" t="n"/>
      <c r="B74" s="1" t="n"/>
      <c r="C74" s="1" t="n"/>
      <c r="D74" s="9">
        <f>IF($B74="","",IF(LEFT($AC74,3)="Yes","Blocked",IF(C74="NOT STARTED",IF(K74="","No plan date set",IF(K74&lt;TODAY(),"Review - planned start passed","On track")),IF(C74="DB Dev",IF(N74="","No target set",IF(AND(N74&lt;TODAY(),P74=""),"Overdue","On track")),IF(C74="PBI Dev",IF(Q74="","No target set",IF(AND(Q74&lt;TODAY(),S74=""),"Overdue","On track")),IF(C74="QA",IF(T74="","No target set",IF(AND(T74&lt;TODAY(),V74=""),"Overdue","On track")),IF(C74="DPO Approval",IF(W74="","No target set",IF(W74&lt;TODAY(),"Overdue","On track")),IF(C74="RELEASED IN PROD","Delivered",""))))))))</f>
        <v/>
      </c>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c r="AA74" s="1" t="n"/>
      <c r="AB74" s="1" t="n"/>
      <c r="AC74" s="1" t="n"/>
      <c r="AD74" s="9">
        <f>IF($B74="","",COUNTIF('Rework Log'!$A$3:$A$500,$B74))</f>
        <v/>
      </c>
      <c r="AE74" s="9">
        <f>IF(OR($B74="",$AM74=0),"",INDEX('Rework Log'!$C:$C,$AM74))</f>
        <v/>
      </c>
      <c r="AF74" s="9">
        <f>IF(OR($B74="",$AM74=0),"",INDEX('Rework Log'!$H:$H,$AM74))</f>
        <v/>
      </c>
      <c r="AG74" s="9">
        <f>IF(OR($B74="",$AM74=0),"",INDEX('Rework Log'!$G:$G,$AM74))</f>
        <v/>
      </c>
      <c r="AH74" s="9">
        <f>IF($B74="","",IF(W74&lt;&gt;"","DPO Approval",IF(T74&lt;&gt;"","QA",IF(Q74&lt;&gt;"","PBI Dev",IF(N74&lt;&gt;"","DB Dev","NOT STARTED")))))</f>
        <v/>
      </c>
      <c r="AI74" s="9">
        <f>IF($B74="","",IF(IF($C74="NOT STARTED",0,IF($C74="DB Dev",1,IF($C74="PBI Dev",2,IF($C74="QA",3,IF($C74="DPO Approval",4,IF($C74="RELEASED IN PROD",5,-1))))))&lt;IF($AH74="NOT STARTED",0,IF($AH74="DB Dev",1,IF($AH74="PBI Dev",2,IF($AH74="QA",3,IF($AH74="DPO Approval",4,IF($AH74="RELEASED IN PROD",5,-1)))))),"Yes - was already at "&amp;$AH74&amp;", now back at "&amp;$C74,"No"))</f>
        <v/>
      </c>
      <c r="AJ74" s="9">
        <f>IF($B74="","",IF(AND(T74&lt;&gt;"",N74&lt;&gt;"",T74&lt;N74),"QA target is before DB Dev target",IF(AND(T74&lt;&gt;"",Q74&lt;&gt;"",T74&lt;Q74),"QA target is before PBI Dev target",IF(AND(W74&lt;&gt;"",T74&lt;&gt;"",W74&lt;T74),"DPO Approval target is before QA target",IF(AND(Z74&lt;&gt;"",W74&lt;&gt;"",Z74&lt;W74),"Confirmed Deployed date is before DPO Approval target","")))))</f>
        <v/>
      </c>
      <c r="AK74" s="9">
        <f>IF($B74="","",IF(COUNTIF($B$2:$B$500,$B74)&gt;1,"Duplicate name - check row",""))</f>
        <v/>
      </c>
      <c r="AL74" s="1" t="n"/>
      <c r="AM74" s="9">
        <f>IF($B74="","",SUMPRODUCT(MAX(('Rework Log'!$A$3:$A$500=$B74)*ROW('Rework Log'!$A$3:$A$500))))</f>
        <v/>
      </c>
    </row>
    <row r="75">
      <c r="A75" s="1" t="n"/>
      <c r="B75" s="1" t="n"/>
      <c r="C75" s="1" t="n"/>
      <c r="D75" s="9">
        <f>IF($B75="","",IF(LEFT($AC75,3)="Yes","Blocked",IF(C75="NOT STARTED",IF(K75="","No plan date set",IF(K75&lt;TODAY(),"Review - planned start passed","On track")),IF(C75="DB Dev",IF(N75="","No target set",IF(AND(N75&lt;TODAY(),P75=""),"Overdue","On track")),IF(C75="PBI Dev",IF(Q75="","No target set",IF(AND(Q75&lt;TODAY(),S75=""),"Overdue","On track")),IF(C75="QA",IF(T75="","No target set",IF(AND(T75&lt;TODAY(),V75=""),"Overdue","On track")),IF(C75="DPO Approval",IF(W75="","No target set",IF(W75&lt;TODAY(),"Overdue","On track")),IF(C75="RELEASED IN PROD","Delivered",""))))))))</f>
        <v/>
      </c>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c r="AA75" s="1" t="n"/>
      <c r="AB75" s="1" t="n"/>
      <c r="AC75" s="1" t="n"/>
      <c r="AD75" s="9">
        <f>IF($B75="","",COUNTIF('Rework Log'!$A$3:$A$500,$B75))</f>
        <v/>
      </c>
      <c r="AE75" s="9">
        <f>IF(OR($B75="",$AM75=0),"",INDEX('Rework Log'!$C:$C,$AM75))</f>
        <v/>
      </c>
      <c r="AF75" s="9">
        <f>IF(OR($B75="",$AM75=0),"",INDEX('Rework Log'!$H:$H,$AM75))</f>
        <v/>
      </c>
      <c r="AG75" s="9">
        <f>IF(OR($B75="",$AM75=0),"",INDEX('Rework Log'!$G:$G,$AM75))</f>
        <v/>
      </c>
      <c r="AH75" s="9">
        <f>IF($B75="","",IF(W75&lt;&gt;"","DPO Approval",IF(T75&lt;&gt;"","QA",IF(Q75&lt;&gt;"","PBI Dev",IF(N75&lt;&gt;"","DB Dev","NOT STARTED")))))</f>
        <v/>
      </c>
      <c r="AI75" s="9">
        <f>IF($B75="","",IF(IF($C75="NOT STARTED",0,IF($C75="DB Dev",1,IF($C75="PBI Dev",2,IF($C75="QA",3,IF($C75="DPO Approval",4,IF($C75="RELEASED IN PROD",5,-1))))))&lt;IF($AH75="NOT STARTED",0,IF($AH75="DB Dev",1,IF($AH75="PBI Dev",2,IF($AH75="QA",3,IF($AH75="DPO Approval",4,IF($AH75="RELEASED IN PROD",5,-1)))))),"Yes - was already at "&amp;$AH75&amp;", now back at "&amp;$C75,"No"))</f>
        <v/>
      </c>
      <c r="AJ75" s="9">
        <f>IF($B75="","",IF(AND(T75&lt;&gt;"",N75&lt;&gt;"",T75&lt;N75),"QA target is before DB Dev target",IF(AND(T75&lt;&gt;"",Q75&lt;&gt;"",T75&lt;Q75),"QA target is before PBI Dev target",IF(AND(W75&lt;&gt;"",T75&lt;&gt;"",W75&lt;T75),"DPO Approval target is before QA target",IF(AND(Z75&lt;&gt;"",W75&lt;&gt;"",Z75&lt;W75),"Confirmed Deployed date is before DPO Approval target","")))))</f>
        <v/>
      </c>
      <c r="AK75" s="9">
        <f>IF($B75="","",IF(COUNTIF($B$2:$B$500,$B75)&gt;1,"Duplicate name - check row",""))</f>
        <v/>
      </c>
      <c r="AL75" s="1" t="n"/>
      <c r="AM75" s="9">
        <f>IF($B75="","",SUMPRODUCT(MAX(('Rework Log'!$A$3:$A$500=$B75)*ROW('Rework Log'!$A$3:$A$500))))</f>
        <v/>
      </c>
    </row>
    <row r="76">
      <c r="A76" s="1" t="n"/>
      <c r="B76" s="1" t="n"/>
      <c r="C76" s="1" t="n"/>
      <c r="D76" s="9">
        <f>IF($B76="","",IF(LEFT($AC76,3)="Yes","Blocked",IF(C76="NOT STARTED",IF(K76="","No plan date set",IF(K76&lt;TODAY(),"Review - planned start passed","On track")),IF(C76="DB Dev",IF(N76="","No target set",IF(AND(N76&lt;TODAY(),P76=""),"Overdue","On track")),IF(C76="PBI Dev",IF(Q76="","No target set",IF(AND(Q76&lt;TODAY(),S76=""),"Overdue","On track")),IF(C76="QA",IF(T76="","No target set",IF(AND(T76&lt;TODAY(),V76=""),"Overdue","On track")),IF(C76="DPO Approval",IF(W76="","No target set",IF(W76&lt;TODAY(),"Overdue","On track")),IF(C76="RELEASED IN PROD","Delivered",""))))))))</f>
        <v/>
      </c>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c r="AA76" s="1" t="n"/>
      <c r="AB76" s="1" t="n"/>
      <c r="AC76" s="1" t="n"/>
      <c r="AD76" s="9">
        <f>IF($B76="","",COUNTIF('Rework Log'!$A$3:$A$500,$B76))</f>
        <v/>
      </c>
      <c r="AE76" s="9">
        <f>IF(OR($B76="",$AM76=0),"",INDEX('Rework Log'!$C:$C,$AM76))</f>
        <v/>
      </c>
      <c r="AF76" s="9">
        <f>IF(OR($B76="",$AM76=0),"",INDEX('Rework Log'!$H:$H,$AM76))</f>
        <v/>
      </c>
      <c r="AG76" s="9">
        <f>IF(OR($B76="",$AM76=0),"",INDEX('Rework Log'!$G:$G,$AM76))</f>
        <v/>
      </c>
      <c r="AH76" s="9">
        <f>IF($B76="","",IF(W76&lt;&gt;"","DPO Approval",IF(T76&lt;&gt;"","QA",IF(Q76&lt;&gt;"","PBI Dev",IF(N76&lt;&gt;"","DB Dev","NOT STARTED")))))</f>
        <v/>
      </c>
      <c r="AI76" s="9">
        <f>IF($B76="","",IF(IF($C76="NOT STARTED",0,IF($C76="DB Dev",1,IF($C76="PBI Dev",2,IF($C76="QA",3,IF($C76="DPO Approval",4,IF($C76="RELEASED IN PROD",5,-1))))))&lt;IF($AH76="NOT STARTED",0,IF($AH76="DB Dev",1,IF($AH76="PBI Dev",2,IF($AH76="QA",3,IF($AH76="DPO Approval",4,IF($AH76="RELEASED IN PROD",5,-1)))))),"Yes - was already at "&amp;$AH76&amp;", now back at "&amp;$C76,"No"))</f>
        <v/>
      </c>
      <c r="AJ76" s="9">
        <f>IF($B76="","",IF(AND(T76&lt;&gt;"",N76&lt;&gt;"",T76&lt;N76),"QA target is before DB Dev target",IF(AND(T76&lt;&gt;"",Q76&lt;&gt;"",T76&lt;Q76),"QA target is before PBI Dev target",IF(AND(W76&lt;&gt;"",T76&lt;&gt;"",W76&lt;T76),"DPO Approval target is before QA target",IF(AND(Z76&lt;&gt;"",W76&lt;&gt;"",Z76&lt;W76),"Confirmed Deployed date is before DPO Approval target","")))))</f>
        <v/>
      </c>
      <c r="AK76" s="9">
        <f>IF($B76="","",IF(COUNTIF($B$2:$B$500,$B76)&gt;1,"Duplicate name - check row",""))</f>
        <v/>
      </c>
      <c r="AL76" s="1" t="n"/>
      <c r="AM76" s="9">
        <f>IF($B76="","",SUMPRODUCT(MAX(('Rework Log'!$A$3:$A$500=$B76)*ROW('Rework Log'!$A$3:$A$500))))</f>
        <v/>
      </c>
    </row>
    <row r="77">
      <c r="A77" s="1" t="n"/>
      <c r="B77" s="1" t="n"/>
      <c r="C77" s="1" t="n"/>
      <c r="D77" s="9">
        <f>IF($B77="","",IF(LEFT($AC77,3)="Yes","Blocked",IF(C77="NOT STARTED",IF(K77="","No plan date set",IF(K77&lt;TODAY(),"Review - planned start passed","On track")),IF(C77="DB Dev",IF(N77="","No target set",IF(AND(N77&lt;TODAY(),P77=""),"Overdue","On track")),IF(C77="PBI Dev",IF(Q77="","No target set",IF(AND(Q77&lt;TODAY(),S77=""),"Overdue","On track")),IF(C77="QA",IF(T77="","No target set",IF(AND(T77&lt;TODAY(),V77=""),"Overdue","On track")),IF(C77="DPO Approval",IF(W77="","No target set",IF(W77&lt;TODAY(),"Overdue","On track")),IF(C77="RELEASED IN PROD","Delivered",""))))))))</f>
        <v/>
      </c>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c r="AA77" s="1" t="n"/>
      <c r="AB77" s="1" t="n"/>
      <c r="AC77" s="1" t="n"/>
      <c r="AD77" s="9">
        <f>IF($B77="","",COUNTIF('Rework Log'!$A$3:$A$500,$B77))</f>
        <v/>
      </c>
      <c r="AE77" s="9">
        <f>IF(OR($B77="",$AM77=0),"",INDEX('Rework Log'!$C:$C,$AM77))</f>
        <v/>
      </c>
      <c r="AF77" s="9">
        <f>IF(OR($B77="",$AM77=0),"",INDEX('Rework Log'!$H:$H,$AM77))</f>
        <v/>
      </c>
      <c r="AG77" s="9">
        <f>IF(OR($B77="",$AM77=0),"",INDEX('Rework Log'!$G:$G,$AM77))</f>
        <v/>
      </c>
      <c r="AH77" s="9">
        <f>IF($B77="","",IF(W77&lt;&gt;"","DPO Approval",IF(T77&lt;&gt;"","QA",IF(Q77&lt;&gt;"","PBI Dev",IF(N77&lt;&gt;"","DB Dev","NOT STARTED")))))</f>
        <v/>
      </c>
      <c r="AI77" s="9">
        <f>IF($B77="","",IF(IF($C77="NOT STARTED",0,IF($C77="DB Dev",1,IF($C77="PBI Dev",2,IF($C77="QA",3,IF($C77="DPO Approval",4,IF($C77="RELEASED IN PROD",5,-1))))))&lt;IF($AH77="NOT STARTED",0,IF($AH77="DB Dev",1,IF($AH77="PBI Dev",2,IF($AH77="QA",3,IF($AH77="DPO Approval",4,IF($AH77="RELEASED IN PROD",5,-1)))))),"Yes - was already at "&amp;$AH77&amp;", now back at "&amp;$C77,"No"))</f>
        <v/>
      </c>
      <c r="AJ77" s="9">
        <f>IF($B77="","",IF(AND(T77&lt;&gt;"",N77&lt;&gt;"",T77&lt;N77),"QA target is before DB Dev target",IF(AND(T77&lt;&gt;"",Q77&lt;&gt;"",T77&lt;Q77),"QA target is before PBI Dev target",IF(AND(W77&lt;&gt;"",T77&lt;&gt;"",W77&lt;T77),"DPO Approval target is before QA target",IF(AND(Z77&lt;&gt;"",W77&lt;&gt;"",Z77&lt;W77),"Confirmed Deployed date is before DPO Approval target","")))))</f>
        <v/>
      </c>
      <c r="AK77" s="9">
        <f>IF($B77="","",IF(COUNTIF($B$2:$B$500,$B77)&gt;1,"Duplicate name - check row",""))</f>
        <v/>
      </c>
      <c r="AL77" s="1" t="n"/>
      <c r="AM77" s="9">
        <f>IF($B77="","",SUMPRODUCT(MAX(('Rework Log'!$A$3:$A$500=$B77)*ROW('Rework Log'!$A$3:$A$500))))</f>
        <v/>
      </c>
    </row>
    <row r="78">
      <c r="A78" s="1" t="n"/>
      <c r="B78" s="1" t="n"/>
      <c r="C78" s="1" t="n"/>
      <c r="D78" s="9">
        <f>IF($B78="","",IF(LEFT($AC78,3)="Yes","Blocked",IF(C78="NOT STARTED",IF(K78="","No plan date set",IF(K78&lt;TODAY(),"Review - planned start passed","On track")),IF(C78="DB Dev",IF(N78="","No target set",IF(AND(N78&lt;TODAY(),P78=""),"Overdue","On track")),IF(C78="PBI Dev",IF(Q78="","No target set",IF(AND(Q78&lt;TODAY(),S78=""),"Overdue","On track")),IF(C78="QA",IF(T78="","No target set",IF(AND(T78&lt;TODAY(),V78=""),"Overdue","On track")),IF(C78="DPO Approval",IF(W78="","No target set",IF(W78&lt;TODAY(),"Overdue","On track")),IF(C78="RELEASED IN PROD","Delivered",""))))))))</f>
        <v/>
      </c>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c r="AA78" s="1" t="n"/>
      <c r="AB78" s="1" t="n"/>
      <c r="AC78" s="1" t="n"/>
      <c r="AD78" s="9">
        <f>IF($B78="","",COUNTIF('Rework Log'!$A$3:$A$500,$B78))</f>
        <v/>
      </c>
      <c r="AE78" s="9">
        <f>IF(OR($B78="",$AM78=0),"",INDEX('Rework Log'!$C:$C,$AM78))</f>
        <v/>
      </c>
      <c r="AF78" s="9">
        <f>IF(OR($B78="",$AM78=0),"",INDEX('Rework Log'!$H:$H,$AM78))</f>
        <v/>
      </c>
      <c r="AG78" s="9">
        <f>IF(OR($B78="",$AM78=0),"",INDEX('Rework Log'!$G:$G,$AM78))</f>
        <v/>
      </c>
      <c r="AH78" s="9">
        <f>IF($B78="","",IF(W78&lt;&gt;"","DPO Approval",IF(T78&lt;&gt;"","QA",IF(Q78&lt;&gt;"","PBI Dev",IF(N78&lt;&gt;"","DB Dev","NOT STARTED")))))</f>
        <v/>
      </c>
      <c r="AI78" s="9">
        <f>IF($B78="","",IF(IF($C78="NOT STARTED",0,IF($C78="DB Dev",1,IF($C78="PBI Dev",2,IF($C78="QA",3,IF($C78="DPO Approval",4,IF($C78="RELEASED IN PROD",5,-1))))))&lt;IF($AH78="NOT STARTED",0,IF($AH78="DB Dev",1,IF($AH78="PBI Dev",2,IF($AH78="QA",3,IF($AH78="DPO Approval",4,IF($AH78="RELEASED IN PROD",5,-1)))))),"Yes - was already at "&amp;$AH78&amp;", now back at "&amp;$C78,"No"))</f>
        <v/>
      </c>
      <c r="AJ78" s="9">
        <f>IF($B78="","",IF(AND(T78&lt;&gt;"",N78&lt;&gt;"",T78&lt;N78),"QA target is before DB Dev target",IF(AND(T78&lt;&gt;"",Q78&lt;&gt;"",T78&lt;Q78),"QA target is before PBI Dev target",IF(AND(W78&lt;&gt;"",T78&lt;&gt;"",W78&lt;T78),"DPO Approval target is before QA target",IF(AND(Z78&lt;&gt;"",W78&lt;&gt;"",Z78&lt;W78),"Confirmed Deployed date is before DPO Approval target","")))))</f>
        <v/>
      </c>
      <c r="AK78" s="9">
        <f>IF($B78="","",IF(COUNTIF($B$2:$B$500,$B78)&gt;1,"Duplicate name - check row",""))</f>
        <v/>
      </c>
      <c r="AL78" s="1" t="n"/>
      <c r="AM78" s="9">
        <f>IF($B78="","",SUMPRODUCT(MAX(('Rework Log'!$A$3:$A$500=$B78)*ROW('Rework Log'!$A$3:$A$500))))</f>
        <v/>
      </c>
    </row>
    <row r="79">
      <c r="A79" s="1" t="n"/>
      <c r="B79" s="1" t="n"/>
      <c r="C79" s="1" t="n"/>
      <c r="D79" s="9">
        <f>IF($B79="","",IF(LEFT($AC79,3)="Yes","Blocked",IF(C79="NOT STARTED",IF(K79="","No plan date set",IF(K79&lt;TODAY(),"Review - planned start passed","On track")),IF(C79="DB Dev",IF(N79="","No target set",IF(AND(N79&lt;TODAY(),P79=""),"Overdue","On track")),IF(C79="PBI Dev",IF(Q79="","No target set",IF(AND(Q79&lt;TODAY(),S79=""),"Overdue","On track")),IF(C79="QA",IF(T79="","No target set",IF(AND(T79&lt;TODAY(),V79=""),"Overdue","On track")),IF(C79="DPO Approval",IF(W79="","No target set",IF(W79&lt;TODAY(),"Overdue","On track")),IF(C79="RELEASED IN PROD","Delivered",""))))))))</f>
        <v/>
      </c>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c r="AA79" s="1" t="n"/>
      <c r="AB79" s="1" t="n"/>
      <c r="AC79" s="1" t="n"/>
      <c r="AD79" s="9">
        <f>IF($B79="","",COUNTIF('Rework Log'!$A$3:$A$500,$B79))</f>
        <v/>
      </c>
      <c r="AE79" s="9">
        <f>IF(OR($B79="",$AM79=0),"",INDEX('Rework Log'!$C:$C,$AM79))</f>
        <v/>
      </c>
      <c r="AF79" s="9">
        <f>IF(OR($B79="",$AM79=0),"",INDEX('Rework Log'!$H:$H,$AM79))</f>
        <v/>
      </c>
      <c r="AG79" s="9">
        <f>IF(OR($B79="",$AM79=0),"",INDEX('Rework Log'!$G:$G,$AM79))</f>
        <v/>
      </c>
      <c r="AH79" s="9">
        <f>IF($B79="","",IF(W79&lt;&gt;"","DPO Approval",IF(T79&lt;&gt;"","QA",IF(Q79&lt;&gt;"","PBI Dev",IF(N79&lt;&gt;"","DB Dev","NOT STARTED")))))</f>
        <v/>
      </c>
      <c r="AI79" s="9">
        <f>IF($B79="","",IF(IF($C79="NOT STARTED",0,IF($C79="DB Dev",1,IF($C79="PBI Dev",2,IF($C79="QA",3,IF($C79="DPO Approval",4,IF($C79="RELEASED IN PROD",5,-1))))))&lt;IF($AH79="NOT STARTED",0,IF($AH79="DB Dev",1,IF($AH79="PBI Dev",2,IF($AH79="QA",3,IF($AH79="DPO Approval",4,IF($AH79="RELEASED IN PROD",5,-1)))))),"Yes - was already at "&amp;$AH79&amp;", now back at "&amp;$C79,"No"))</f>
        <v/>
      </c>
      <c r="AJ79" s="9">
        <f>IF($B79="","",IF(AND(T79&lt;&gt;"",N79&lt;&gt;"",T79&lt;N79),"QA target is before DB Dev target",IF(AND(T79&lt;&gt;"",Q79&lt;&gt;"",T79&lt;Q79),"QA target is before PBI Dev target",IF(AND(W79&lt;&gt;"",T79&lt;&gt;"",W79&lt;T79),"DPO Approval target is before QA target",IF(AND(Z79&lt;&gt;"",W79&lt;&gt;"",Z79&lt;W79),"Confirmed Deployed date is before DPO Approval target","")))))</f>
        <v/>
      </c>
      <c r="AK79" s="9">
        <f>IF($B79="","",IF(COUNTIF($B$2:$B$500,$B79)&gt;1,"Duplicate name - check row",""))</f>
        <v/>
      </c>
      <c r="AL79" s="1" t="n"/>
      <c r="AM79" s="9">
        <f>IF($B79="","",SUMPRODUCT(MAX(('Rework Log'!$A$3:$A$500=$B79)*ROW('Rework Log'!$A$3:$A$500))))</f>
        <v/>
      </c>
    </row>
    <row r="80">
      <c r="A80" s="1" t="n"/>
      <c r="B80" s="1" t="n"/>
      <c r="C80" s="1" t="n"/>
      <c r="D80" s="9">
        <f>IF($B80="","",IF(LEFT($AC80,3)="Yes","Blocked",IF(C80="NOT STARTED",IF(K80="","No plan date set",IF(K80&lt;TODAY(),"Review - planned start passed","On track")),IF(C80="DB Dev",IF(N80="","No target set",IF(AND(N80&lt;TODAY(),P80=""),"Overdue","On track")),IF(C80="PBI Dev",IF(Q80="","No target set",IF(AND(Q80&lt;TODAY(),S80=""),"Overdue","On track")),IF(C80="QA",IF(T80="","No target set",IF(AND(T80&lt;TODAY(),V80=""),"Overdue","On track")),IF(C80="DPO Approval",IF(W80="","No target set",IF(W80&lt;TODAY(),"Overdue","On track")),IF(C80="RELEASED IN PROD","Delivered",""))))))))</f>
        <v/>
      </c>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c r="AA80" s="1" t="n"/>
      <c r="AB80" s="1" t="n"/>
      <c r="AC80" s="1" t="n"/>
      <c r="AD80" s="9">
        <f>IF($B80="","",COUNTIF('Rework Log'!$A$3:$A$500,$B80))</f>
        <v/>
      </c>
      <c r="AE80" s="9">
        <f>IF(OR($B80="",$AM80=0),"",INDEX('Rework Log'!$C:$C,$AM80))</f>
        <v/>
      </c>
      <c r="AF80" s="9">
        <f>IF(OR($B80="",$AM80=0),"",INDEX('Rework Log'!$H:$H,$AM80))</f>
        <v/>
      </c>
      <c r="AG80" s="9">
        <f>IF(OR($B80="",$AM80=0),"",INDEX('Rework Log'!$G:$G,$AM80))</f>
        <v/>
      </c>
      <c r="AH80" s="9">
        <f>IF($B80="","",IF(W80&lt;&gt;"","DPO Approval",IF(T80&lt;&gt;"","QA",IF(Q80&lt;&gt;"","PBI Dev",IF(N80&lt;&gt;"","DB Dev","NOT STARTED")))))</f>
        <v/>
      </c>
      <c r="AI80" s="9">
        <f>IF($B80="","",IF(IF($C80="NOT STARTED",0,IF($C80="DB Dev",1,IF($C80="PBI Dev",2,IF($C80="QA",3,IF($C80="DPO Approval",4,IF($C80="RELEASED IN PROD",5,-1))))))&lt;IF($AH80="NOT STARTED",0,IF($AH80="DB Dev",1,IF($AH80="PBI Dev",2,IF($AH80="QA",3,IF($AH80="DPO Approval",4,IF($AH80="RELEASED IN PROD",5,-1)))))),"Yes - was already at "&amp;$AH80&amp;", now back at "&amp;$C80,"No"))</f>
        <v/>
      </c>
      <c r="AJ80" s="9">
        <f>IF($B80="","",IF(AND(T80&lt;&gt;"",N80&lt;&gt;"",T80&lt;N80),"QA target is before DB Dev target",IF(AND(T80&lt;&gt;"",Q80&lt;&gt;"",T80&lt;Q80),"QA target is before PBI Dev target",IF(AND(W80&lt;&gt;"",T80&lt;&gt;"",W80&lt;T80),"DPO Approval target is before QA target",IF(AND(Z80&lt;&gt;"",W80&lt;&gt;"",Z80&lt;W80),"Confirmed Deployed date is before DPO Approval target","")))))</f>
        <v/>
      </c>
      <c r="AK80" s="9">
        <f>IF($B80="","",IF(COUNTIF($B$2:$B$500,$B80)&gt;1,"Duplicate name - check row",""))</f>
        <v/>
      </c>
      <c r="AL80" s="1" t="n"/>
      <c r="AM80" s="9">
        <f>IF($B80="","",SUMPRODUCT(MAX(('Rework Log'!$A$3:$A$500=$B80)*ROW('Rework Log'!$A$3:$A$500))))</f>
        <v/>
      </c>
    </row>
    <row r="81">
      <c r="A81" s="1" t="n"/>
      <c r="B81" s="1" t="n"/>
      <c r="C81" s="1" t="n"/>
      <c r="D81" s="9">
        <f>IF($B81="","",IF(LEFT($AC81,3)="Yes","Blocked",IF(C81="NOT STARTED",IF(K81="","No plan date set",IF(K81&lt;TODAY(),"Review - planned start passed","On track")),IF(C81="DB Dev",IF(N81="","No target set",IF(AND(N81&lt;TODAY(),P81=""),"Overdue","On track")),IF(C81="PBI Dev",IF(Q81="","No target set",IF(AND(Q81&lt;TODAY(),S81=""),"Overdue","On track")),IF(C81="QA",IF(T81="","No target set",IF(AND(T81&lt;TODAY(),V81=""),"Overdue","On track")),IF(C81="DPO Approval",IF(W81="","No target set",IF(W81&lt;TODAY(),"Overdue","On track")),IF(C81="RELEASED IN PROD","Delivered",""))))))))</f>
        <v/>
      </c>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c r="AA81" s="1" t="n"/>
      <c r="AB81" s="1" t="n"/>
      <c r="AC81" s="1" t="n"/>
      <c r="AD81" s="9">
        <f>IF($B81="","",COUNTIF('Rework Log'!$A$3:$A$500,$B81))</f>
        <v/>
      </c>
      <c r="AE81" s="9">
        <f>IF(OR($B81="",$AM81=0),"",INDEX('Rework Log'!$C:$C,$AM81))</f>
        <v/>
      </c>
      <c r="AF81" s="9">
        <f>IF(OR($B81="",$AM81=0),"",INDEX('Rework Log'!$H:$H,$AM81))</f>
        <v/>
      </c>
      <c r="AG81" s="9">
        <f>IF(OR($B81="",$AM81=0),"",INDEX('Rework Log'!$G:$G,$AM81))</f>
        <v/>
      </c>
      <c r="AH81" s="9">
        <f>IF($B81="","",IF(W81&lt;&gt;"","DPO Approval",IF(T81&lt;&gt;"","QA",IF(Q81&lt;&gt;"","PBI Dev",IF(N81&lt;&gt;"","DB Dev","NOT STARTED")))))</f>
        <v/>
      </c>
      <c r="AI81" s="9">
        <f>IF($B81="","",IF(IF($C81="NOT STARTED",0,IF($C81="DB Dev",1,IF($C81="PBI Dev",2,IF($C81="QA",3,IF($C81="DPO Approval",4,IF($C81="RELEASED IN PROD",5,-1))))))&lt;IF($AH81="NOT STARTED",0,IF($AH81="DB Dev",1,IF($AH81="PBI Dev",2,IF($AH81="QA",3,IF($AH81="DPO Approval",4,IF($AH81="RELEASED IN PROD",5,-1)))))),"Yes - was already at "&amp;$AH81&amp;", now back at "&amp;$C81,"No"))</f>
        <v/>
      </c>
      <c r="AJ81" s="9">
        <f>IF($B81="","",IF(AND(T81&lt;&gt;"",N81&lt;&gt;"",T81&lt;N81),"QA target is before DB Dev target",IF(AND(T81&lt;&gt;"",Q81&lt;&gt;"",T81&lt;Q81),"QA target is before PBI Dev target",IF(AND(W81&lt;&gt;"",T81&lt;&gt;"",W81&lt;T81),"DPO Approval target is before QA target",IF(AND(Z81&lt;&gt;"",W81&lt;&gt;"",Z81&lt;W81),"Confirmed Deployed date is before DPO Approval target","")))))</f>
        <v/>
      </c>
      <c r="AK81" s="9">
        <f>IF($B81="","",IF(COUNTIF($B$2:$B$500,$B81)&gt;1,"Duplicate name - check row",""))</f>
        <v/>
      </c>
      <c r="AL81" s="1" t="n"/>
      <c r="AM81" s="9">
        <f>IF($B81="","",SUMPRODUCT(MAX(('Rework Log'!$A$3:$A$500=$B81)*ROW('Rework Log'!$A$3:$A$500))))</f>
        <v/>
      </c>
    </row>
    <row r="82">
      <c r="A82" s="1" t="n"/>
      <c r="B82" s="1" t="n"/>
      <c r="C82" s="1" t="n"/>
      <c r="D82" s="9">
        <f>IF($B82="","",IF(LEFT($AC82,3)="Yes","Blocked",IF(C82="NOT STARTED",IF(K82="","No plan date set",IF(K82&lt;TODAY(),"Review - planned start passed","On track")),IF(C82="DB Dev",IF(N82="","No target set",IF(AND(N82&lt;TODAY(),P82=""),"Overdue","On track")),IF(C82="PBI Dev",IF(Q82="","No target set",IF(AND(Q82&lt;TODAY(),S82=""),"Overdue","On track")),IF(C82="QA",IF(T82="","No target set",IF(AND(T82&lt;TODAY(),V82=""),"Overdue","On track")),IF(C82="DPO Approval",IF(W82="","No target set",IF(W82&lt;TODAY(),"Overdue","On track")),IF(C82="RELEASED IN PROD","Delivered",""))))))))</f>
        <v/>
      </c>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c r="AA82" s="1" t="n"/>
      <c r="AB82" s="1" t="n"/>
      <c r="AC82" s="1" t="n"/>
      <c r="AD82" s="9">
        <f>IF($B82="","",COUNTIF('Rework Log'!$A$3:$A$500,$B82))</f>
        <v/>
      </c>
      <c r="AE82" s="9">
        <f>IF(OR($B82="",$AM82=0),"",INDEX('Rework Log'!$C:$C,$AM82))</f>
        <v/>
      </c>
      <c r="AF82" s="9">
        <f>IF(OR($B82="",$AM82=0),"",INDEX('Rework Log'!$H:$H,$AM82))</f>
        <v/>
      </c>
      <c r="AG82" s="9">
        <f>IF(OR($B82="",$AM82=0),"",INDEX('Rework Log'!$G:$G,$AM82))</f>
        <v/>
      </c>
      <c r="AH82" s="9">
        <f>IF($B82="","",IF(W82&lt;&gt;"","DPO Approval",IF(T82&lt;&gt;"","QA",IF(Q82&lt;&gt;"","PBI Dev",IF(N82&lt;&gt;"","DB Dev","NOT STARTED")))))</f>
        <v/>
      </c>
      <c r="AI82" s="9">
        <f>IF($B82="","",IF(IF($C82="NOT STARTED",0,IF($C82="DB Dev",1,IF($C82="PBI Dev",2,IF($C82="QA",3,IF($C82="DPO Approval",4,IF($C82="RELEASED IN PROD",5,-1))))))&lt;IF($AH82="NOT STARTED",0,IF($AH82="DB Dev",1,IF($AH82="PBI Dev",2,IF($AH82="QA",3,IF($AH82="DPO Approval",4,IF($AH82="RELEASED IN PROD",5,-1)))))),"Yes - was already at "&amp;$AH82&amp;", now back at "&amp;$C82,"No"))</f>
        <v/>
      </c>
      <c r="AJ82" s="9">
        <f>IF($B82="","",IF(AND(T82&lt;&gt;"",N82&lt;&gt;"",T82&lt;N82),"QA target is before DB Dev target",IF(AND(T82&lt;&gt;"",Q82&lt;&gt;"",T82&lt;Q82),"QA target is before PBI Dev target",IF(AND(W82&lt;&gt;"",T82&lt;&gt;"",W82&lt;T82),"DPO Approval target is before QA target",IF(AND(Z82&lt;&gt;"",W82&lt;&gt;"",Z82&lt;W82),"Confirmed Deployed date is before DPO Approval target","")))))</f>
        <v/>
      </c>
      <c r="AK82" s="9">
        <f>IF($B82="","",IF(COUNTIF($B$2:$B$500,$B82)&gt;1,"Duplicate name - check row",""))</f>
        <v/>
      </c>
      <c r="AL82" s="1" t="n"/>
      <c r="AM82" s="9">
        <f>IF($B82="","",SUMPRODUCT(MAX(('Rework Log'!$A$3:$A$500=$B82)*ROW('Rework Log'!$A$3:$A$500))))</f>
        <v/>
      </c>
    </row>
    <row r="83">
      <c r="A83" s="1" t="n"/>
      <c r="B83" s="1" t="n"/>
      <c r="C83" s="1" t="n"/>
      <c r="D83" s="9">
        <f>IF($B83="","",IF(LEFT($AC83,3)="Yes","Blocked",IF(C83="NOT STARTED",IF(K83="","No plan date set",IF(K83&lt;TODAY(),"Review - planned start passed","On track")),IF(C83="DB Dev",IF(N83="","No target set",IF(AND(N83&lt;TODAY(),P83=""),"Overdue","On track")),IF(C83="PBI Dev",IF(Q83="","No target set",IF(AND(Q83&lt;TODAY(),S83=""),"Overdue","On track")),IF(C83="QA",IF(T83="","No target set",IF(AND(T83&lt;TODAY(),V83=""),"Overdue","On track")),IF(C83="DPO Approval",IF(W83="","No target set",IF(W83&lt;TODAY(),"Overdue","On track")),IF(C83="RELEASED IN PROD","Delivered",""))))))))</f>
        <v/>
      </c>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c r="AA83" s="1" t="n"/>
      <c r="AB83" s="1" t="n"/>
      <c r="AC83" s="1" t="n"/>
      <c r="AD83" s="9">
        <f>IF($B83="","",COUNTIF('Rework Log'!$A$3:$A$500,$B83))</f>
        <v/>
      </c>
      <c r="AE83" s="9">
        <f>IF(OR($B83="",$AM83=0),"",INDEX('Rework Log'!$C:$C,$AM83))</f>
        <v/>
      </c>
      <c r="AF83" s="9">
        <f>IF(OR($B83="",$AM83=0),"",INDEX('Rework Log'!$H:$H,$AM83))</f>
        <v/>
      </c>
      <c r="AG83" s="9">
        <f>IF(OR($B83="",$AM83=0),"",INDEX('Rework Log'!$G:$G,$AM83))</f>
        <v/>
      </c>
      <c r="AH83" s="9">
        <f>IF($B83="","",IF(W83&lt;&gt;"","DPO Approval",IF(T83&lt;&gt;"","QA",IF(Q83&lt;&gt;"","PBI Dev",IF(N83&lt;&gt;"","DB Dev","NOT STARTED")))))</f>
        <v/>
      </c>
      <c r="AI83" s="9">
        <f>IF($B83="","",IF(IF($C83="NOT STARTED",0,IF($C83="DB Dev",1,IF($C83="PBI Dev",2,IF($C83="QA",3,IF($C83="DPO Approval",4,IF($C83="RELEASED IN PROD",5,-1))))))&lt;IF($AH83="NOT STARTED",0,IF($AH83="DB Dev",1,IF($AH83="PBI Dev",2,IF($AH83="QA",3,IF($AH83="DPO Approval",4,IF($AH83="RELEASED IN PROD",5,-1)))))),"Yes - was already at "&amp;$AH83&amp;", now back at "&amp;$C83,"No"))</f>
        <v/>
      </c>
      <c r="AJ83" s="9">
        <f>IF($B83="","",IF(AND(T83&lt;&gt;"",N83&lt;&gt;"",T83&lt;N83),"QA target is before DB Dev target",IF(AND(T83&lt;&gt;"",Q83&lt;&gt;"",T83&lt;Q83),"QA target is before PBI Dev target",IF(AND(W83&lt;&gt;"",T83&lt;&gt;"",W83&lt;T83),"DPO Approval target is before QA target",IF(AND(Z83&lt;&gt;"",W83&lt;&gt;"",Z83&lt;W83),"Confirmed Deployed date is before DPO Approval target","")))))</f>
        <v/>
      </c>
      <c r="AK83" s="9">
        <f>IF($B83="","",IF(COUNTIF($B$2:$B$500,$B83)&gt;1,"Duplicate name - check row",""))</f>
        <v/>
      </c>
      <c r="AL83" s="1" t="n"/>
      <c r="AM83" s="9">
        <f>IF($B83="","",SUMPRODUCT(MAX(('Rework Log'!$A$3:$A$500=$B83)*ROW('Rework Log'!$A$3:$A$500))))</f>
        <v/>
      </c>
    </row>
    <row r="84">
      <c r="A84" s="1" t="n"/>
      <c r="B84" s="1" t="n"/>
      <c r="C84" s="1" t="n"/>
      <c r="D84" s="9">
        <f>IF($B84="","",IF(LEFT($AC84,3)="Yes","Blocked",IF(C84="NOT STARTED",IF(K84="","No plan date set",IF(K84&lt;TODAY(),"Review - planned start passed","On track")),IF(C84="DB Dev",IF(N84="","No target set",IF(AND(N84&lt;TODAY(),P84=""),"Overdue","On track")),IF(C84="PBI Dev",IF(Q84="","No target set",IF(AND(Q84&lt;TODAY(),S84=""),"Overdue","On track")),IF(C84="QA",IF(T84="","No target set",IF(AND(T84&lt;TODAY(),V84=""),"Overdue","On track")),IF(C84="DPO Approval",IF(W84="","No target set",IF(W84&lt;TODAY(),"Overdue","On track")),IF(C84="RELEASED IN PROD","Delivered",""))))))))</f>
        <v/>
      </c>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c r="AA84" s="1" t="n"/>
      <c r="AB84" s="1" t="n"/>
      <c r="AC84" s="1" t="n"/>
      <c r="AD84" s="9">
        <f>IF($B84="","",COUNTIF('Rework Log'!$A$3:$A$500,$B84))</f>
        <v/>
      </c>
      <c r="AE84" s="9">
        <f>IF(OR($B84="",$AM84=0),"",INDEX('Rework Log'!$C:$C,$AM84))</f>
        <v/>
      </c>
      <c r="AF84" s="9">
        <f>IF(OR($B84="",$AM84=0),"",INDEX('Rework Log'!$H:$H,$AM84))</f>
        <v/>
      </c>
      <c r="AG84" s="9">
        <f>IF(OR($B84="",$AM84=0),"",INDEX('Rework Log'!$G:$G,$AM84))</f>
        <v/>
      </c>
      <c r="AH84" s="9">
        <f>IF($B84="","",IF(W84&lt;&gt;"","DPO Approval",IF(T84&lt;&gt;"","QA",IF(Q84&lt;&gt;"","PBI Dev",IF(N84&lt;&gt;"","DB Dev","NOT STARTED")))))</f>
        <v/>
      </c>
      <c r="AI84" s="9">
        <f>IF($B84="","",IF(IF($C84="NOT STARTED",0,IF($C84="DB Dev",1,IF($C84="PBI Dev",2,IF($C84="QA",3,IF($C84="DPO Approval",4,IF($C84="RELEASED IN PROD",5,-1))))))&lt;IF($AH84="NOT STARTED",0,IF($AH84="DB Dev",1,IF($AH84="PBI Dev",2,IF($AH84="QA",3,IF($AH84="DPO Approval",4,IF($AH84="RELEASED IN PROD",5,-1)))))),"Yes - was already at "&amp;$AH84&amp;", now back at "&amp;$C84,"No"))</f>
        <v/>
      </c>
      <c r="AJ84" s="9">
        <f>IF($B84="","",IF(AND(T84&lt;&gt;"",N84&lt;&gt;"",T84&lt;N84),"QA target is before DB Dev target",IF(AND(T84&lt;&gt;"",Q84&lt;&gt;"",T84&lt;Q84),"QA target is before PBI Dev target",IF(AND(W84&lt;&gt;"",T84&lt;&gt;"",W84&lt;T84),"DPO Approval target is before QA target",IF(AND(Z84&lt;&gt;"",W84&lt;&gt;"",Z84&lt;W84),"Confirmed Deployed date is before DPO Approval target","")))))</f>
        <v/>
      </c>
      <c r="AK84" s="9">
        <f>IF($B84="","",IF(COUNTIF($B$2:$B$500,$B84)&gt;1,"Duplicate name - check row",""))</f>
        <v/>
      </c>
      <c r="AL84" s="1" t="n"/>
      <c r="AM84" s="9">
        <f>IF($B84="","",SUMPRODUCT(MAX(('Rework Log'!$A$3:$A$500=$B84)*ROW('Rework Log'!$A$3:$A$500))))</f>
        <v/>
      </c>
    </row>
    <row r="85">
      <c r="A85" s="1" t="n"/>
      <c r="B85" s="1" t="n"/>
      <c r="C85" s="1" t="n"/>
      <c r="D85" s="9">
        <f>IF($B85="","",IF(LEFT($AC85,3)="Yes","Blocked",IF(C85="NOT STARTED",IF(K85="","No plan date set",IF(K85&lt;TODAY(),"Review - planned start passed","On track")),IF(C85="DB Dev",IF(N85="","No target set",IF(AND(N85&lt;TODAY(),P85=""),"Overdue","On track")),IF(C85="PBI Dev",IF(Q85="","No target set",IF(AND(Q85&lt;TODAY(),S85=""),"Overdue","On track")),IF(C85="QA",IF(T85="","No target set",IF(AND(T85&lt;TODAY(),V85=""),"Overdue","On track")),IF(C85="DPO Approval",IF(W85="","No target set",IF(W85&lt;TODAY(),"Overdue","On track")),IF(C85="RELEASED IN PROD","Delivered",""))))))))</f>
        <v/>
      </c>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c r="AA85" s="1" t="n"/>
      <c r="AB85" s="1" t="n"/>
      <c r="AC85" s="1" t="n"/>
      <c r="AD85" s="9">
        <f>IF($B85="","",COUNTIF('Rework Log'!$A$3:$A$500,$B85))</f>
        <v/>
      </c>
      <c r="AE85" s="9">
        <f>IF(OR($B85="",$AM85=0),"",INDEX('Rework Log'!$C:$C,$AM85))</f>
        <v/>
      </c>
      <c r="AF85" s="9">
        <f>IF(OR($B85="",$AM85=0),"",INDEX('Rework Log'!$H:$H,$AM85))</f>
        <v/>
      </c>
      <c r="AG85" s="9">
        <f>IF(OR($B85="",$AM85=0),"",INDEX('Rework Log'!$G:$G,$AM85))</f>
        <v/>
      </c>
      <c r="AH85" s="9">
        <f>IF($B85="","",IF(W85&lt;&gt;"","DPO Approval",IF(T85&lt;&gt;"","QA",IF(Q85&lt;&gt;"","PBI Dev",IF(N85&lt;&gt;"","DB Dev","NOT STARTED")))))</f>
        <v/>
      </c>
      <c r="AI85" s="9">
        <f>IF($B85="","",IF(IF($C85="NOT STARTED",0,IF($C85="DB Dev",1,IF($C85="PBI Dev",2,IF($C85="QA",3,IF($C85="DPO Approval",4,IF($C85="RELEASED IN PROD",5,-1))))))&lt;IF($AH85="NOT STARTED",0,IF($AH85="DB Dev",1,IF($AH85="PBI Dev",2,IF($AH85="QA",3,IF($AH85="DPO Approval",4,IF($AH85="RELEASED IN PROD",5,-1)))))),"Yes - was already at "&amp;$AH85&amp;", now back at "&amp;$C85,"No"))</f>
        <v/>
      </c>
      <c r="AJ85" s="9">
        <f>IF($B85="","",IF(AND(T85&lt;&gt;"",N85&lt;&gt;"",T85&lt;N85),"QA target is before DB Dev target",IF(AND(T85&lt;&gt;"",Q85&lt;&gt;"",T85&lt;Q85),"QA target is before PBI Dev target",IF(AND(W85&lt;&gt;"",T85&lt;&gt;"",W85&lt;T85),"DPO Approval target is before QA target",IF(AND(Z85&lt;&gt;"",W85&lt;&gt;"",Z85&lt;W85),"Confirmed Deployed date is before DPO Approval target","")))))</f>
        <v/>
      </c>
      <c r="AK85" s="9">
        <f>IF($B85="","",IF(COUNTIF($B$2:$B$500,$B85)&gt;1,"Duplicate name - check row",""))</f>
        <v/>
      </c>
      <c r="AL85" s="1" t="n"/>
      <c r="AM85" s="9">
        <f>IF($B85="","",SUMPRODUCT(MAX(('Rework Log'!$A$3:$A$500=$B85)*ROW('Rework Log'!$A$3:$A$500))))</f>
        <v/>
      </c>
    </row>
    <row r="86">
      <c r="A86" s="1" t="n"/>
      <c r="B86" s="1" t="n"/>
      <c r="C86" s="1" t="n"/>
      <c r="D86" s="9">
        <f>IF($B86="","",IF(LEFT($AC86,3)="Yes","Blocked",IF(C86="NOT STARTED",IF(K86="","No plan date set",IF(K86&lt;TODAY(),"Review - planned start passed","On track")),IF(C86="DB Dev",IF(N86="","No target set",IF(AND(N86&lt;TODAY(),P86=""),"Overdue","On track")),IF(C86="PBI Dev",IF(Q86="","No target set",IF(AND(Q86&lt;TODAY(),S86=""),"Overdue","On track")),IF(C86="QA",IF(T86="","No target set",IF(AND(T86&lt;TODAY(),V86=""),"Overdue","On track")),IF(C86="DPO Approval",IF(W86="","No target set",IF(W86&lt;TODAY(),"Overdue","On track")),IF(C86="RELEASED IN PROD","Delivered",""))))))))</f>
        <v/>
      </c>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c r="AA86" s="1" t="n"/>
      <c r="AB86" s="1" t="n"/>
      <c r="AC86" s="1" t="n"/>
      <c r="AD86" s="9">
        <f>IF($B86="","",COUNTIF('Rework Log'!$A$3:$A$500,$B86))</f>
        <v/>
      </c>
      <c r="AE86" s="9">
        <f>IF(OR($B86="",$AM86=0),"",INDEX('Rework Log'!$C:$C,$AM86))</f>
        <v/>
      </c>
      <c r="AF86" s="9">
        <f>IF(OR($B86="",$AM86=0),"",INDEX('Rework Log'!$H:$H,$AM86))</f>
        <v/>
      </c>
      <c r="AG86" s="9">
        <f>IF(OR($B86="",$AM86=0),"",INDEX('Rework Log'!$G:$G,$AM86))</f>
        <v/>
      </c>
      <c r="AH86" s="9">
        <f>IF($B86="","",IF(W86&lt;&gt;"","DPO Approval",IF(T86&lt;&gt;"","QA",IF(Q86&lt;&gt;"","PBI Dev",IF(N86&lt;&gt;"","DB Dev","NOT STARTED")))))</f>
        <v/>
      </c>
      <c r="AI86" s="9">
        <f>IF($B86="","",IF(IF($C86="NOT STARTED",0,IF($C86="DB Dev",1,IF($C86="PBI Dev",2,IF($C86="QA",3,IF($C86="DPO Approval",4,IF($C86="RELEASED IN PROD",5,-1))))))&lt;IF($AH86="NOT STARTED",0,IF($AH86="DB Dev",1,IF($AH86="PBI Dev",2,IF($AH86="QA",3,IF($AH86="DPO Approval",4,IF($AH86="RELEASED IN PROD",5,-1)))))),"Yes - was already at "&amp;$AH86&amp;", now back at "&amp;$C86,"No"))</f>
        <v/>
      </c>
      <c r="AJ86" s="9">
        <f>IF($B86="","",IF(AND(T86&lt;&gt;"",N86&lt;&gt;"",T86&lt;N86),"QA target is before DB Dev target",IF(AND(T86&lt;&gt;"",Q86&lt;&gt;"",T86&lt;Q86),"QA target is before PBI Dev target",IF(AND(W86&lt;&gt;"",T86&lt;&gt;"",W86&lt;T86),"DPO Approval target is before QA target",IF(AND(Z86&lt;&gt;"",W86&lt;&gt;"",Z86&lt;W86),"Confirmed Deployed date is before DPO Approval target","")))))</f>
        <v/>
      </c>
      <c r="AK86" s="9">
        <f>IF($B86="","",IF(COUNTIF($B$2:$B$500,$B86)&gt;1,"Duplicate name - check row",""))</f>
        <v/>
      </c>
      <c r="AL86" s="1" t="n"/>
      <c r="AM86" s="9">
        <f>IF($B86="","",SUMPRODUCT(MAX(('Rework Log'!$A$3:$A$500=$B86)*ROW('Rework Log'!$A$3:$A$500))))</f>
        <v/>
      </c>
    </row>
    <row r="87">
      <c r="A87" s="1" t="n"/>
      <c r="B87" s="1" t="n"/>
      <c r="C87" s="1" t="n"/>
      <c r="D87" s="9">
        <f>IF($B87="","",IF(LEFT($AC87,3)="Yes","Blocked",IF(C87="NOT STARTED",IF(K87="","No plan date set",IF(K87&lt;TODAY(),"Review - planned start passed","On track")),IF(C87="DB Dev",IF(N87="","No target set",IF(AND(N87&lt;TODAY(),P87=""),"Overdue","On track")),IF(C87="PBI Dev",IF(Q87="","No target set",IF(AND(Q87&lt;TODAY(),S87=""),"Overdue","On track")),IF(C87="QA",IF(T87="","No target set",IF(AND(T87&lt;TODAY(),V87=""),"Overdue","On track")),IF(C87="DPO Approval",IF(W87="","No target set",IF(W87&lt;TODAY(),"Overdue","On track")),IF(C87="RELEASED IN PROD","Delivered",""))))))))</f>
        <v/>
      </c>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c r="AA87" s="1" t="n"/>
      <c r="AB87" s="1" t="n"/>
      <c r="AC87" s="1" t="n"/>
      <c r="AD87" s="9">
        <f>IF($B87="","",COUNTIF('Rework Log'!$A$3:$A$500,$B87))</f>
        <v/>
      </c>
      <c r="AE87" s="9">
        <f>IF(OR($B87="",$AM87=0),"",INDEX('Rework Log'!$C:$C,$AM87))</f>
        <v/>
      </c>
      <c r="AF87" s="9">
        <f>IF(OR($B87="",$AM87=0),"",INDEX('Rework Log'!$H:$H,$AM87))</f>
        <v/>
      </c>
      <c r="AG87" s="9">
        <f>IF(OR($B87="",$AM87=0),"",INDEX('Rework Log'!$G:$G,$AM87))</f>
        <v/>
      </c>
      <c r="AH87" s="9">
        <f>IF($B87="","",IF(W87&lt;&gt;"","DPO Approval",IF(T87&lt;&gt;"","QA",IF(Q87&lt;&gt;"","PBI Dev",IF(N87&lt;&gt;"","DB Dev","NOT STARTED")))))</f>
        <v/>
      </c>
      <c r="AI87" s="9">
        <f>IF($B87="","",IF(IF($C87="NOT STARTED",0,IF($C87="DB Dev",1,IF($C87="PBI Dev",2,IF($C87="QA",3,IF($C87="DPO Approval",4,IF($C87="RELEASED IN PROD",5,-1))))))&lt;IF($AH87="NOT STARTED",0,IF($AH87="DB Dev",1,IF($AH87="PBI Dev",2,IF($AH87="QA",3,IF($AH87="DPO Approval",4,IF($AH87="RELEASED IN PROD",5,-1)))))),"Yes - was already at "&amp;$AH87&amp;", now back at "&amp;$C87,"No"))</f>
        <v/>
      </c>
      <c r="AJ87" s="9">
        <f>IF($B87="","",IF(AND(T87&lt;&gt;"",N87&lt;&gt;"",T87&lt;N87),"QA target is before DB Dev target",IF(AND(T87&lt;&gt;"",Q87&lt;&gt;"",T87&lt;Q87),"QA target is before PBI Dev target",IF(AND(W87&lt;&gt;"",T87&lt;&gt;"",W87&lt;T87),"DPO Approval target is before QA target",IF(AND(Z87&lt;&gt;"",W87&lt;&gt;"",Z87&lt;W87),"Confirmed Deployed date is before DPO Approval target","")))))</f>
        <v/>
      </c>
      <c r="AK87" s="9">
        <f>IF($B87="","",IF(COUNTIF($B$2:$B$500,$B87)&gt;1,"Duplicate name - check row",""))</f>
        <v/>
      </c>
      <c r="AL87" s="1" t="n"/>
      <c r="AM87" s="9">
        <f>IF($B87="","",SUMPRODUCT(MAX(('Rework Log'!$A$3:$A$500=$B87)*ROW('Rework Log'!$A$3:$A$500))))</f>
        <v/>
      </c>
    </row>
    <row r="88">
      <c r="A88" s="1" t="n"/>
      <c r="B88" s="1" t="n"/>
      <c r="C88" s="1" t="n"/>
      <c r="D88" s="9">
        <f>IF($B88="","",IF(LEFT($AC88,3)="Yes","Blocked",IF(C88="NOT STARTED",IF(K88="","No plan date set",IF(K88&lt;TODAY(),"Review - planned start passed","On track")),IF(C88="DB Dev",IF(N88="","No target set",IF(AND(N88&lt;TODAY(),P88=""),"Overdue","On track")),IF(C88="PBI Dev",IF(Q88="","No target set",IF(AND(Q88&lt;TODAY(),S88=""),"Overdue","On track")),IF(C88="QA",IF(T88="","No target set",IF(AND(T88&lt;TODAY(),V88=""),"Overdue","On track")),IF(C88="DPO Approval",IF(W88="","No target set",IF(W88&lt;TODAY(),"Overdue","On track")),IF(C88="RELEASED IN PROD","Delivered",""))))))))</f>
        <v/>
      </c>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c r="AA88" s="1" t="n"/>
      <c r="AB88" s="1" t="n"/>
      <c r="AC88" s="1" t="n"/>
      <c r="AD88" s="9">
        <f>IF($B88="","",COUNTIF('Rework Log'!$A$3:$A$500,$B88))</f>
        <v/>
      </c>
      <c r="AE88" s="9">
        <f>IF(OR($B88="",$AM88=0),"",INDEX('Rework Log'!$C:$C,$AM88))</f>
        <v/>
      </c>
      <c r="AF88" s="9">
        <f>IF(OR($B88="",$AM88=0),"",INDEX('Rework Log'!$H:$H,$AM88))</f>
        <v/>
      </c>
      <c r="AG88" s="9">
        <f>IF(OR($B88="",$AM88=0),"",INDEX('Rework Log'!$G:$G,$AM88))</f>
        <v/>
      </c>
      <c r="AH88" s="9">
        <f>IF($B88="","",IF(W88&lt;&gt;"","DPO Approval",IF(T88&lt;&gt;"","QA",IF(Q88&lt;&gt;"","PBI Dev",IF(N88&lt;&gt;"","DB Dev","NOT STARTED")))))</f>
        <v/>
      </c>
      <c r="AI88" s="9">
        <f>IF($B88="","",IF(IF($C88="NOT STARTED",0,IF($C88="DB Dev",1,IF($C88="PBI Dev",2,IF($C88="QA",3,IF($C88="DPO Approval",4,IF($C88="RELEASED IN PROD",5,-1))))))&lt;IF($AH88="NOT STARTED",0,IF($AH88="DB Dev",1,IF($AH88="PBI Dev",2,IF($AH88="QA",3,IF($AH88="DPO Approval",4,IF($AH88="RELEASED IN PROD",5,-1)))))),"Yes - was already at "&amp;$AH88&amp;", now back at "&amp;$C88,"No"))</f>
        <v/>
      </c>
      <c r="AJ88" s="9">
        <f>IF($B88="","",IF(AND(T88&lt;&gt;"",N88&lt;&gt;"",T88&lt;N88),"QA target is before DB Dev target",IF(AND(T88&lt;&gt;"",Q88&lt;&gt;"",T88&lt;Q88),"QA target is before PBI Dev target",IF(AND(W88&lt;&gt;"",T88&lt;&gt;"",W88&lt;T88),"DPO Approval target is before QA target",IF(AND(Z88&lt;&gt;"",W88&lt;&gt;"",Z88&lt;W88),"Confirmed Deployed date is before DPO Approval target","")))))</f>
        <v/>
      </c>
      <c r="AK88" s="9">
        <f>IF($B88="","",IF(COUNTIF($B$2:$B$500,$B88)&gt;1,"Duplicate name - check row",""))</f>
        <v/>
      </c>
      <c r="AL88" s="1" t="n"/>
      <c r="AM88" s="9">
        <f>IF($B88="","",SUMPRODUCT(MAX(('Rework Log'!$A$3:$A$500=$B88)*ROW('Rework Log'!$A$3:$A$500))))</f>
        <v/>
      </c>
    </row>
    <row r="89">
      <c r="A89" s="1" t="n"/>
      <c r="B89" s="1" t="n"/>
      <c r="C89" s="1" t="n"/>
      <c r="D89" s="9">
        <f>IF($B89="","",IF(LEFT($AC89,3)="Yes","Blocked",IF(C89="NOT STARTED",IF(K89="","No plan date set",IF(K89&lt;TODAY(),"Review - planned start passed","On track")),IF(C89="DB Dev",IF(N89="","No target set",IF(AND(N89&lt;TODAY(),P89=""),"Overdue","On track")),IF(C89="PBI Dev",IF(Q89="","No target set",IF(AND(Q89&lt;TODAY(),S89=""),"Overdue","On track")),IF(C89="QA",IF(T89="","No target set",IF(AND(T89&lt;TODAY(),V89=""),"Overdue","On track")),IF(C89="DPO Approval",IF(W89="","No target set",IF(W89&lt;TODAY(),"Overdue","On track")),IF(C89="RELEASED IN PROD","Delivered",""))))))))</f>
        <v/>
      </c>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c r="AA89" s="1" t="n"/>
      <c r="AB89" s="1" t="n"/>
      <c r="AC89" s="1" t="n"/>
      <c r="AD89" s="9">
        <f>IF($B89="","",COUNTIF('Rework Log'!$A$3:$A$500,$B89))</f>
        <v/>
      </c>
      <c r="AE89" s="9">
        <f>IF(OR($B89="",$AM89=0),"",INDEX('Rework Log'!$C:$C,$AM89))</f>
        <v/>
      </c>
      <c r="AF89" s="9">
        <f>IF(OR($B89="",$AM89=0),"",INDEX('Rework Log'!$H:$H,$AM89))</f>
        <v/>
      </c>
      <c r="AG89" s="9">
        <f>IF(OR($B89="",$AM89=0),"",INDEX('Rework Log'!$G:$G,$AM89))</f>
        <v/>
      </c>
      <c r="AH89" s="9">
        <f>IF($B89="","",IF(W89&lt;&gt;"","DPO Approval",IF(T89&lt;&gt;"","QA",IF(Q89&lt;&gt;"","PBI Dev",IF(N89&lt;&gt;"","DB Dev","NOT STARTED")))))</f>
        <v/>
      </c>
      <c r="AI89" s="9">
        <f>IF($B89="","",IF(IF($C89="NOT STARTED",0,IF($C89="DB Dev",1,IF($C89="PBI Dev",2,IF($C89="QA",3,IF($C89="DPO Approval",4,IF($C89="RELEASED IN PROD",5,-1))))))&lt;IF($AH89="NOT STARTED",0,IF($AH89="DB Dev",1,IF($AH89="PBI Dev",2,IF($AH89="QA",3,IF($AH89="DPO Approval",4,IF($AH89="RELEASED IN PROD",5,-1)))))),"Yes - was already at "&amp;$AH89&amp;", now back at "&amp;$C89,"No"))</f>
        <v/>
      </c>
      <c r="AJ89" s="9">
        <f>IF($B89="","",IF(AND(T89&lt;&gt;"",N89&lt;&gt;"",T89&lt;N89),"QA target is before DB Dev target",IF(AND(T89&lt;&gt;"",Q89&lt;&gt;"",T89&lt;Q89),"QA target is before PBI Dev target",IF(AND(W89&lt;&gt;"",T89&lt;&gt;"",W89&lt;T89),"DPO Approval target is before QA target",IF(AND(Z89&lt;&gt;"",W89&lt;&gt;"",Z89&lt;W89),"Confirmed Deployed date is before DPO Approval target","")))))</f>
        <v/>
      </c>
      <c r="AK89" s="9">
        <f>IF($B89="","",IF(COUNTIF($B$2:$B$500,$B89)&gt;1,"Duplicate name - check row",""))</f>
        <v/>
      </c>
      <c r="AL89" s="1" t="n"/>
      <c r="AM89" s="9">
        <f>IF($B89="","",SUMPRODUCT(MAX(('Rework Log'!$A$3:$A$500=$B89)*ROW('Rework Log'!$A$3:$A$500))))</f>
        <v/>
      </c>
    </row>
    <row r="90">
      <c r="A90" s="1" t="n"/>
      <c r="B90" s="1" t="n"/>
      <c r="C90" s="1" t="n"/>
      <c r="D90" s="9">
        <f>IF($B90="","",IF(LEFT($AC90,3)="Yes","Blocked",IF(C90="NOT STARTED",IF(K90="","No plan date set",IF(K90&lt;TODAY(),"Review - planned start passed","On track")),IF(C90="DB Dev",IF(N90="","No target set",IF(AND(N90&lt;TODAY(),P90=""),"Overdue","On track")),IF(C90="PBI Dev",IF(Q90="","No target set",IF(AND(Q90&lt;TODAY(),S90=""),"Overdue","On track")),IF(C90="QA",IF(T90="","No target set",IF(AND(T90&lt;TODAY(),V90=""),"Overdue","On track")),IF(C90="DPO Approval",IF(W90="","No target set",IF(W90&lt;TODAY(),"Overdue","On track")),IF(C90="RELEASED IN PROD","Delivered",""))))))))</f>
        <v/>
      </c>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c r="AA90" s="1" t="n"/>
      <c r="AB90" s="1" t="n"/>
      <c r="AC90" s="1" t="n"/>
      <c r="AD90" s="9">
        <f>IF($B90="","",COUNTIF('Rework Log'!$A$3:$A$500,$B90))</f>
        <v/>
      </c>
      <c r="AE90" s="9">
        <f>IF(OR($B90="",$AM90=0),"",INDEX('Rework Log'!$C:$C,$AM90))</f>
        <v/>
      </c>
      <c r="AF90" s="9">
        <f>IF(OR($B90="",$AM90=0),"",INDEX('Rework Log'!$H:$H,$AM90))</f>
        <v/>
      </c>
      <c r="AG90" s="9">
        <f>IF(OR($B90="",$AM90=0),"",INDEX('Rework Log'!$G:$G,$AM90))</f>
        <v/>
      </c>
      <c r="AH90" s="9">
        <f>IF($B90="","",IF(W90&lt;&gt;"","DPO Approval",IF(T90&lt;&gt;"","QA",IF(Q90&lt;&gt;"","PBI Dev",IF(N90&lt;&gt;"","DB Dev","NOT STARTED")))))</f>
        <v/>
      </c>
      <c r="AI90" s="9">
        <f>IF($B90="","",IF(IF($C90="NOT STARTED",0,IF($C90="DB Dev",1,IF($C90="PBI Dev",2,IF($C90="QA",3,IF($C90="DPO Approval",4,IF($C90="RELEASED IN PROD",5,-1))))))&lt;IF($AH90="NOT STARTED",0,IF($AH90="DB Dev",1,IF($AH90="PBI Dev",2,IF($AH90="QA",3,IF($AH90="DPO Approval",4,IF($AH90="RELEASED IN PROD",5,-1)))))),"Yes - was already at "&amp;$AH90&amp;", now back at "&amp;$C90,"No"))</f>
        <v/>
      </c>
      <c r="AJ90" s="9">
        <f>IF($B90="","",IF(AND(T90&lt;&gt;"",N90&lt;&gt;"",T90&lt;N90),"QA target is before DB Dev target",IF(AND(T90&lt;&gt;"",Q90&lt;&gt;"",T90&lt;Q90),"QA target is before PBI Dev target",IF(AND(W90&lt;&gt;"",T90&lt;&gt;"",W90&lt;T90),"DPO Approval target is before QA target",IF(AND(Z90&lt;&gt;"",W90&lt;&gt;"",Z90&lt;W90),"Confirmed Deployed date is before DPO Approval target","")))))</f>
        <v/>
      </c>
      <c r="AK90" s="9">
        <f>IF($B90="","",IF(COUNTIF($B$2:$B$500,$B90)&gt;1,"Duplicate name - check row",""))</f>
        <v/>
      </c>
      <c r="AL90" s="1" t="n"/>
      <c r="AM90" s="9">
        <f>IF($B90="","",SUMPRODUCT(MAX(('Rework Log'!$A$3:$A$500=$B90)*ROW('Rework Log'!$A$3:$A$500))))</f>
        <v/>
      </c>
    </row>
    <row r="91">
      <c r="A91" s="1" t="n"/>
      <c r="B91" s="1" t="n"/>
      <c r="C91" s="1" t="n"/>
      <c r="D91" s="9">
        <f>IF($B91="","",IF(LEFT($AC91,3)="Yes","Blocked",IF(C91="NOT STARTED",IF(K91="","No plan date set",IF(K91&lt;TODAY(),"Review - planned start passed","On track")),IF(C91="DB Dev",IF(N91="","No target set",IF(AND(N91&lt;TODAY(),P91=""),"Overdue","On track")),IF(C91="PBI Dev",IF(Q91="","No target set",IF(AND(Q91&lt;TODAY(),S91=""),"Overdue","On track")),IF(C91="QA",IF(T91="","No target set",IF(AND(T91&lt;TODAY(),V91=""),"Overdue","On track")),IF(C91="DPO Approval",IF(W91="","No target set",IF(W91&lt;TODAY(),"Overdue","On track")),IF(C91="RELEASED IN PROD","Delivered",""))))))))</f>
        <v/>
      </c>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c r="AA91" s="1" t="n"/>
      <c r="AB91" s="1" t="n"/>
      <c r="AC91" s="1" t="n"/>
      <c r="AD91" s="9">
        <f>IF($B91="","",COUNTIF('Rework Log'!$A$3:$A$500,$B91))</f>
        <v/>
      </c>
      <c r="AE91" s="9">
        <f>IF(OR($B91="",$AM91=0),"",INDEX('Rework Log'!$C:$C,$AM91))</f>
        <v/>
      </c>
      <c r="AF91" s="9">
        <f>IF(OR($B91="",$AM91=0),"",INDEX('Rework Log'!$H:$H,$AM91))</f>
        <v/>
      </c>
      <c r="AG91" s="9">
        <f>IF(OR($B91="",$AM91=0),"",INDEX('Rework Log'!$G:$G,$AM91))</f>
        <v/>
      </c>
      <c r="AH91" s="9">
        <f>IF($B91="","",IF(W91&lt;&gt;"","DPO Approval",IF(T91&lt;&gt;"","QA",IF(Q91&lt;&gt;"","PBI Dev",IF(N91&lt;&gt;"","DB Dev","NOT STARTED")))))</f>
        <v/>
      </c>
      <c r="AI91" s="9">
        <f>IF($B91="","",IF(IF($C91="NOT STARTED",0,IF($C91="DB Dev",1,IF($C91="PBI Dev",2,IF($C91="QA",3,IF($C91="DPO Approval",4,IF($C91="RELEASED IN PROD",5,-1))))))&lt;IF($AH91="NOT STARTED",0,IF($AH91="DB Dev",1,IF($AH91="PBI Dev",2,IF($AH91="QA",3,IF($AH91="DPO Approval",4,IF($AH91="RELEASED IN PROD",5,-1)))))),"Yes - was already at "&amp;$AH91&amp;", now back at "&amp;$C91,"No"))</f>
        <v/>
      </c>
      <c r="AJ91" s="9">
        <f>IF($B91="","",IF(AND(T91&lt;&gt;"",N91&lt;&gt;"",T91&lt;N91),"QA target is before DB Dev target",IF(AND(T91&lt;&gt;"",Q91&lt;&gt;"",T91&lt;Q91),"QA target is before PBI Dev target",IF(AND(W91&lt;&gt;"",T91&lt;&gt;"",W91&lt;T91),"DPO Approval target is before QA target",IF(AND(Z91&lt;&gt;"",W91&lt;&gt;"",Z91&lt;W91),"Confirmed Deployed date is before DPO Approval target","")))))</f>
        <v/>
      </c>
      <c r="AK91" s="9">
        <f>IF($B91="","",IF(COUNTIF($B$2:$B$500,$B91)&gt;1,"Duplicate name - check row",""))</f>
        <v/>
      </c>
      <c r="AL91" s="1" t="n"/>
      <c r="AM91" s="9">
        <f>IF($B91="","",SUMPRODUCT(MAX(('Rework Log'!$A$3:$A$500=$B91)*ROW('Rework Log'!$A$3:$A$500))))</f>
        <v/>
      </c>
    </row>
    <row r="92">
      <c r="A92" s="1" t="n"/>
      <c r="B92" s="1" t="n"/>
      <c r="C92" s="1" t="n"/>
      <c r="D92" s="9">
        <f>IF($B92="","",IF(LEFT($AC92,3)="Yes","Blocked",IF(C92="NOT STARTED",IF(K92="","No plan date set",IF(K92&lt;TODAY(),"Review - planned start passed","On track")),IF(C92="DB Dev",IF(N92="","No target set",IF(AND(N92&lt;TODAY(),P92=""),"Overdue","On track")),IF(C92="PBI Dev",IF(Q92="","No target set",IF(AND(Q92&lt;TODAY(),S92=""),"Overdue","On track")),IF(C92="QA",IF(T92="","No target set",IF(AND(T92&lt;TODAY(),V92=""),"Overdue","On track")),IF(C92="DPO Approval",IF(W92="","No target set",IF(W92&lt;TODAY(),"Overdue","On track")),IF(C92="RELEASED IN PROD","Delivered",""))))))))</f>
        <v/>
      </c>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c r="AA92" s="1" t="n"/>
      <c r="AB92" s="1" t="n"/>
      <c r="AC92" s="1" t="n"/>
      <c r="AD92" s="9">
        <f>IF($B92="","",COUNTIF('Rework Log'!$A$3:$A$500,$B92))</f>
        <v/>
      </c>
      <c r="AE92" s="9">
        <f>IF(OR($B92="",$AM92=0),"",INDEX('Rework Log'!$C:$C,$AM92))</f>
        <v/>
      </c>
      <c r="AF92" s="9">
        <f>IF(OR($B92="",$AM92=0),"",INDEX('Rework Log'!$H:$H,$AM92))</f>
        <v/>
      </c>
      <c r="AG92" s="9">
        <f>IF(OR($B92="",$AM92=0),"",INDEX('Rework Log'!$G:$G,$AM92))</f>
        <v/>
      </c>
      <c r="AH92" s="9">
        <f>IF($B92="","",IF(W92&lt;&gt;"","DPO Approval",IF(T92&lt;&gt;"","QA",IF(Q92&lt;&gt;"","PBI Dev",IF(N92&lt;&gt;"","DB Dev","NOT STARTED")))))</f>
        <v/>
      </c>
      <c r="AI92" s="9">
        <f>IF($B92="","",IF(IF($C92="NOT STARTED",0,IF($C92="DB Dev",1,IF($C92="PBI Dev",2,IF($C92="QA",3,IF($C92="DPO Approval",4,IF($C92="RELEASED IN PROD",5,-1))))))&lt;IF($AH92="NOT STARTED",0,IF($AH92="DB Dev",1,IF($AH92="PBI Dev",2,IF($AH92="QA",3,IF($AH92="DPO Approval",4,IF($AH92="RELEASED IN PROD",5,-1)))))),"Yes - was already at "&amp;$AH92&amp;", now back at "&amp;$C92,"No"))</f>
        <v/>
      </c>
      <c r="AJ92" s="9">
        <f>IF($B92="","",IF(AND(T92&lt;&gt;"",N92&lt;&gt;"",T92&lt;N92),"QA target is before DB Dev target",IF(AND(T92&lt;&gt;"",Q92&lt;&gt;"",T92&lt;Q92),"QA target is before PBI Dev target",IF(AND(W92&lt;&gt;"",T92&lt;&gt;"",W92&lt;T92),"DPO Approval target is before QA target",IF(AND(Z92&lt;&gt;"",W92&lt;&gt;"",Z92&lt;W92),"Confirmed Deployed date is before DPO Approval target","")))))</f>
        <v/>
      </c>
      <c r="AK92" s="9">
        <f>IF($B92="","",IF(COUNTIF($B$2:$B$500,$B92)&gt;1,"Duplicate name - check row",""))</f>
        <v/>
      </c>
      <c r="AL92" s="1" t="n"/>
      <c r="AM92" s="9">
        <f>IF($B92="","",SUMPRODUCT(MAX(('Rework Log'!$A$3:$A$500=$B92)*ROW('Rework Log'!$A$3:$A$500))))</f>
        <v/>
      </c>
    </row>
    <row r="93">
      <c r="A93" s="1" t="n"/>
      <c r="B93" s="1" t="n"/>
      <c r="C93" s="1" t="n"/>
      <c r="D93" s="9">
        <f>IF($B93="","",IF(LEFT($AC93,3)="Yes","Blocked",IF(C93="NOT STARTED",IF(K93="","No plan date set",IF(K93&lt;TODAY(),"Review - planned start passed","On track")),IF(C93="DB Dev",IF(N93="","No target set",IF(AND(N93&lt;TODAY(),P93=""),"Overdue","On track")),IF(C93="PBI Dev",IF(Q93="","No target set",IF(AND(Q93&lt;TODAY(),S93=""),"Overdue","On track")),IF(C93="QA",IF(T93="","No target set",IF(AND(T93&lt;TODAY(),V93=""),"Overdue","On track")),IF(C93="DPO Approval",IF(W93="","No target set",IF(W93&lt;TODAY(),"Overdue","On track")),IF(C93="RELEASED IN PROD","Delivered",""))))))))</f>
        <v/>
      </c>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c r="AA93" s="1" t="n"/>
      <c r="AB93" s="1" t="n"/>
      <c r="AC93" s="1" t="n"/>
      <c r="AD93" s="9">
        <f>IF($B93="","",COUNTIF('Rework Log'!$A$3:$A$500,$B93))</f>
        <v/>
      </c>
      <c r="AE93" s="9">
        <f>IF(OR($B93="",$AM93=0),"",INDEX('Rework Log'!$C:$C,$AM93))</f>
        <v/>
      </c>
      <c r="AF93" s="9">
        <f>IF(OR($B93="",$AM93=0),"",INDEX('Rework Log'!$H:$H,$AM93))</f>
        <v/>
      </c>
      <c r="AG93" s="9">
        <f>IF(OR($B93="",$AM93=0),"",INDEX('Rework Log'!$G:$G,$AM93))</f>
        <v/>
      </c>
      <c r="AH93" s="9">
        <f>IF($B93="","",IF(W93&lt;&gt;"","DPO Approval",IF(T93&lt;&gt;"","QA",IF(Q93&lt;&gt;"","PBI Dev",IF(N93&lt;&gt;"","DB Dev","NOT STARTED")))))</f>
        <v/>
      </c>
      <c r="AI93" s="9">
        <f>IF($B93="","",IF(IF($C93="NOT STARTED",0,IF($C93="DB Dev",1,IF($C93="PBI Dev",2,IF($C93="QA",3,IF($C93="DPO Approval",4,IF($C93="RELEASED IN PROD",5,-1))))))&lt;IF($AH93="NOT STARTED",0,IF($AH93="DB Dev",1,IF($AH93="PBI Dev",2,IF($AH93="QA",3,IF($AH93="DPO Approval",4,IF($AH93="RELEASED IN PROD",5,-1)))))),"Yes - was already at "&amp;$AH93&amp;", now back at "&amp;$C93,"No"))</f>
        <v/>
      </c>
      <c r="AJ93" s="9">
        <f>IF($B93="","",IF(AND(T93&lt;&gt;"",N93&lt;&gt;"",T93&lt;N93),"QA target is before DB Dev target",IF(AND(T93&lt;&gt;"",Q93&lt;&gt;"",T93&lt;Q93),"QA target is before PBI Dev target",IF(AND(W93&lt;&gt;"",T93&lt;&gt;"",W93&lt;T93),"DPO Approval target is before QA target",IF(AND(Z93&lt;&gt;"",W93&lt;&gt;"",Z93&lt;W93),"Confirmed Deployed date is before DPO Approval target","")))))</f>
        <v/>
      </c>
      <c r="AK93" s="9">
        <f>IF($B93="","",IF(COUNTIF($B$2:$B$500,$B93)&gt;1,"Duplicate name - check row",""))</f>
        <v/>
      </c>
      <c r="AL93" s="1" t="n"/>
      <c r="AM93" s="9">
        <f>IF($B93="","",SUMPRODUCT(MAX(('Rework Log'!$A$3:$A$500=$B93)*ROW('Rework Log'!$A$3:$A$500))))</f>
        <v/>
      </c>
    </row>
    <row r="94">
      <c r="A94" s="1" t="n"/>
      <c r="B94" s="1" t="n"/>
      <c r="C94" s="1" t="n"/>
      <c r="D94" s="9">
        <f>IF($B94="","",IF(LEFT($AC94,3)="Yes","Blocked",IF(C94="NOT STARTED",IF(K94="","No plan date set",IF(K94&lt;TODAY(),"Review - planned start passed","On track")),IF(C94="DB Dev",IF(N94="","No target set",IF(AND(N94&lt;TODAY(),P94=""),"Overdue","On track")),IF(C94="PBI Dev",IF(Q94="","No target set",IF(AND(Q94&lt;TODAY(),S94=""),"Overdue","On track")),IF(C94="QA",IF(T94="","No target set",IF(AND(T94&lt;TODAY(),V94=""),"Overdue","On track")),IF(C94="DPO Approval",IF(W94="","No target set",IF(W94&lt;TODAY(),"Overdue","On track")),IF(C94="RELEASED IN PROD","Delivered",""))))))))</f>
        <v/>
      </c>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c r="AA94" s="1" t="n"/>
      <c r="AB94" s="1" t="n"/>
      <c r="AC94" s="1" t="n"/>
      <c r="AD94" s="9">
        <f>IF($B94="","",COUNTIF('Rework Log'!$A$3:$A$500,$B94))</f>
        <v/>
      </c>
      <c r="AE94" s="9">
        <f>IF(OR($B94="",$AM94=0),"",INDEX('Rework Log'!$C:$C,$AM94))</f>
        <v/>
      </c>
      <c r="AF94" s="9">
        <f>IF(OR($B94="",$AM94=0),"",INDEX('Rework Log'!$H:$H,$AM94))</f>
        <v/>
      </c>
      <c r="AG94" s="9">
        <f>IF(OR($B94="",$AM94=0),"",INDEX('Rework Log'!$G:$G,$AM94))</f>
        <v/>
      </c>
      <c r="AH94" s="9">
        <f>IF($B94="","",IF(W94&lt;&gt;"","DPO Approval",IF(T94&lt;&gt;"","QA",IF(Q94&lt;&gt;"","PBI Dev",IF(N94&lt;&gt;"","DB Dev","NOT STARTED")))))</f>
        <v/>
      </c>
      <c r="AI94" s="9">
        <f>IF($B94="","",IF(IF($C94="NOT STARTED",0,IF($C94="DB Dev",1,IF($C94="PBI Dev",2,IF($C94="QA",3,IF($C94="DPO Approval",4,IF($C94="RELEASED IN PROD",5,-1))))))&lt;IF($AH94="NOT STARTED",0,IF($AH94="DB Dev",1,IF($AH94="PBI Dev",2,IF($AH94="QA",3,IF($AH94="DPO Approval",4,IF($AH94="RELEASED IN PROD",5,-1)))))),"Yes - was already at "&amp;$AH94&amp;", now back at "&amp;$C94,"No"))</f>
        <v/>
      </c>
      <c r="AJ94" s="9">
        <f>IF($B94="","",IF(AND(T94&lt;&gt;"",N94&lt;&gt;"",T94&lt;N94),"QA target is before DB Dev target",IF(AND(T94&lt;&gt;"",Q94&lt;&gt;"",T94&lt;Q94),"QA target is before PBI Dev target",IF(AND(W94&lt;&gt;"",T94&lt;&gt;"",W94&lt;T94),"DPO Approval target is before QA target",IF(AND(Z94&lt;&gt;"",W94&lt;&gt;"",Z94&lt;W94),"Confirmed Deployed date is before DPO Approval target","")))))</f>
        <v/>
      </c>
      <c r="AK94" s="9">
        <f>IF($B94="","",IF(COUNTIF($B$2:$B$500,$B94)&gt;1,"Duplicate name - check row",""))</f>
        <v/>
      </c>
      <c r="AL94" s="1" t="n"/>
      <c r="AM94" s="9">
        <f>IF($B94="","",SUMPRODUCT(MAX(('Rework Log'!$A$3:$A$500=$B94)*ROW('Rework Log'!$A$3:$A$500))))</f>
        <v/>
      </c>
    </row>
    <row r="95">
      <c r="A95" s="1" t="n"/>
      <c r="B95" s="1" t="n"/>
      <c r="C95" s="1" t="n"/>
      <c r="D95" s="9">
        <f>IF($B95="","",IF(LEFT($AC95,3)="Yes","Blocked",IF(C95="NOT STARTED",IF(K95="","No plan date set",IF(K95&lt;TODAY(),"Review - planned start passed","On track")),IF(C95="DB Dev",IF(N95="","No target set",IF(AND(N95&lt;TODAY(),P95=""),"Overdue","On track")),IF(C95="PBI Dev",IF(Q95="","No target set",IF(AND(Q95&lt;TODAY(),S95=""),"Overdue","On track")),IF(C95="QA",IF(T95="","No target set",IF(AND(T95&lt;TODAY(),V95=""),"Overdue","On track")),IF(C95="DPO Approval",IF(W95="","No target set",IF(W95&lt;TODAY(),"Overdue","On track")),IF(C95="RELEASED IN PROD","Delivered",""))))))))</f>
        <v/>
      </c>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c r="AA95" s="1" t="n"/>
      <c r="AB95" s="1" t="n"/>
      <c r="AC95" s="1" t="n"/>
      <c r="AD95" s="9">
        <f>IF($B95="","",COUNTIF('Rework Log'!$A$3:$A$500,$B95))</f>
        <v/>
      </c>
      <c r="AE95" s="9">
        <f>IF(OR($B95="",$AM95=0),"",INDEX('Rework Log'!$C:$C,$AM95))</f>
        <v/>
      </c>
      <c r="AF95" s="9">
        <f>IF(OR($B95="",$AM95=0),"",INDEX('Rework Log'!$H:$H,$AM95))</f>
        <v/>
      </c>
      <c r="AG95" s="9">
        <f>IF(OR($B95="",$AM95=0),"",INDEX('Rework Log'!$G:$G,$AM95))</f>
        <v/>
      </c>
      <c r="AH95" s="9">
        <f>IF($B95="","",IF(W95&lt;&gt;"","DPO Approval",IF(T95&lt;&gt;"","QA",IF(Q95&lt;&gt;"","PBI Dev",IF(N95&lt;&gt;"","DB Dev","NOT STARTED")))))</f>
        <v/>
      </c>
      <c r="AI95" s="9">
        <f>IF($B95="","",IF(IF($C95="NOT STARTED",0,IF($C95="DB Dev",1,IF($C95="PBI Dev",2,IF($C95="QA",3,IF($C95="DPO Approval",4,IF($C95="RELEASED IN PROD",5,-1))))))&lt;IF($AH95="NOT STARTED",0,IF($AH95="DB Dev",1,IF($AH95="PBI Dev",2,IF($AH95="QA",3,IF($AH95="DPO Approval",4,IF($AH95="RELEASED IN PROD",5,-1)))))),"Yes - was already at "&amp;$AH95&amp;", now back at "&amp;$C95,"No"))</f>
        <v/>
      </c>
      <c r="AJ95" s="9">
        <f>IF($B95="","",IF(AND(T95&lt;&gt;"",N95&lt;&gt;"",T95&lt;N95),"QA target is before DB Dev target",IF(AND(T95&lt;&gt;"",Q95&lt;&gt;"",T95&lt;Q95),"QA target is before PBI Dev target",IF(AND(W95&lt;&gt;"",T95&lt;&gt;"",W95&lt;T95),"DPO Approval target is before QA target",IF(AND(Z95&lt;&gt;"",W95&lt;&gt;"",Z95&lt;W95),"Confirmed Deployed date is before DPO Approval target","")))))</f>
        <v/>
      </c>
      <c r="AK95" s="9">
        <f>IF($B95="","",IF(COUNTIF($B$2:$B$500,$B95)&gt;1,"Duplicate name - check row",""))</f>
        <v/>
      </c>
      <c r="AL95" s="1" t="n"/>
      <c r="AM95" s="9">
        <f>IF($B95="","",SUMPRODUCT(MAX(('Rework Log'!$A$3:$A$500=$B95)*ROW('Rework Log'!$A$3:$A$500))))</f>
        <v/>
      </c>
    </row>
    <row r="96">
      <c r="A96" s="1" t="n"/>
      <c r="B96" s="1" t="n"/>
      <c r="C96" s="1" t="n"/>
      <c r="D96" s="9">
        <f>IF($B96="","",IF(LEFT($AC96,3)="Yes","Blocked",IF(C96="NOT STARTED",IF(K96="","No plan date set",IF(K96&lt;TODAY(),"Review - planned start passed","On track")),IF(C96="DB Dev",IF(N96="","No target set",IF(AND(N96&lt;TODAY(),P96=""),"Overdue","On track")),IF(C96="PBI Dev",IF(Q96="","No target set",IF(AND(Q96&lt;TODAY(),S96=""),"Overdue","On track")),IF(C96="QA",IF(T96="","No target set",IF(AND(T96&lt;TODAY(),V96=""),"Overdue","On track")),IF(C96="DPO Approval",IF(W96="","No target set",IF(W96&lt;TODAY(),"Overdue","On track")),IF(C96="RELEASED IN PROD","Delivered",""))))))))</f>
        <v/>
      </c>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c r="AA96" s="1" t="n"/>
      <c r="AB96" s="1" t="n"/>
      <c r="AC96" s="1" t="n"/>
      <c r="AD96" s="9">
        <f>IF($B96="","",COUNTIF('Rework Log'!$A$3:$A$500,$B96))</f>
        <v/>
      </c>
      <c r="AE96" s="9">
        <f>IF(OR($B96="",$AM96=0),"",INDEX('Rework Log'!$C:$C,$AM96))</f>
        <v/>
      </c>
      <c r="AF96" s="9">
        <f>IF(OR($B96="",$AM96=0),"",INDEX('Rework Log'!$H:$H,$AM96))</f>
        <v/>
      </c>
      <c r="AG96" s="9">
        <f>IF(OR($B96="",$AM96=0),"",INDEX('Rework Log'!$G:$G,$AM96))</f>
        <v/>
      </c>
      <c r="AH96" s="9">
        <f>IF($B96="","",IF(W96&lt;&gt;"","DPO Approval",IF(T96&lt;&gt;"","QA",IF(Q96&lt;&gt;"","PBI Dev",IF(N96&lt;&gt;"","DB Dev","NOT STARTED")))))</f>
        <v/>
      </c>
      <c r="AI96" s="9">
        <f>IF($B96="","",IF(IF($C96="NOT STARTED",0,IF($C96="DB Dev",1,IF($C96="PBI Dev",2,IF($C96="QA",3,IF($C96="DPO Approval",4,IF($C96="RELEASED IN PROD",5,-1))))))&lt;IF($AH96="NOT STARTED",0,IF($AH96="DB Dev",1,IF($AH96="PBI Dev",2,IF($AH96="QA",3,IF($AH96="DPO Approval",4,IF($AH96="RELEASED IN PROD",5,-1)))))),"Yes - was already at "&amp;$AH96&amp;", now back at "&amp;$C96,"No"))</f>
        <v/>
      </c>
      <c r="AJ96" s="9">
        <f>IF($B96="","",IF(AND(T96&lt;&gt;"",N96&lt;&gt;"",T96&lt;N96),"QA target is before DB Dev target",IF(AND(T96&lt;&gt;"",Q96&lt;&gt;"",T96&lt;Q96),"QA target is before PBI Dev target",IF(AND(W96&lt;&gt;"",T96&lt;&gt;"",W96&lt;T96),"DPO Approval target is before QA target",IF(AND(Z96&lt;&gt;"",W96&lt;&gt;"",Z96&lt;W96),"Confirmed Deployed date is before DPO Approval target","")))))</f>
        <v/>
      </c>
      <c r="AK96" s="9">
        <f>IF($B96="","",IF(COUNTIF($B$2:$B$500,$B96)&gt;1,"Duplicate name - check row",""))</f>
        <v/>
      </c>
      <c r="AL96" s="1" t="n"/>
      <c r="AM96" s="9">
        <f>IF($B96="","",SUMPRODUCT(MAX(('Rework Log'!$A$3:$A$500=$B96)*ROW('Rework Log'!$A$3:$A$500))))</f>
        <v/>
      </c>
    </row>
    <row r="97">
      <c r="A97" s="1" t="n"/>
      <c r="B97" s="1" t="n"/>
      <c r="C97" s="1" t="n"/>
      <c r="D97" s="9">
        <f>IF($B97="","",IF(LEFT($AC97,3)="Yes","Blocked",IF(C97="NOT STARTED",IF(K97="","No plan date set",IF(K97&lt;TODAY(),"Review - planned start passed","On track")),IF(C97="DB Dev",IF(N97="","No target set",IF(AND(N97&lt;TODAY(),P97=""),"Overdue","On track")),IF(C97="PBI Dev",IF(Q97="","No target set",IF(AND(Q97&lt;TODAY(),S97=""),"Overdue","On track")),IF(C97="QA",IF(T97="","No target set",IF(AND(T97&lt;TODAY(),V97=""),"Overdue","On track")),IF(C97="DPO Approval",IF(W97="","No target set",IF(W97&lt;TODAY(),"Overdue","On track")),IF(C97="RELEASED IN PROD","Delivered",""))))))))</f>
        <v/>
      </c>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c r="AA97" s="1" t="n"/>
      <c r="AB97" s="1" t="n"/>
      <c r="AC97" s="1" t="n"/>
      <c r="AD97" s="9">
        <f>IF($B97="","",COUNTIF('Rework Log'!$A$3:$A$500,$B97))</f>
        <v/>
      </c>
      <c r="AE97" s="9">
        <f>IF(OR($B97="",$AM97=0),"",INDEX('Rework Log'!$C:$C,$AM97))</f>
        <v/>
      </c>
      <c r="AF97" s="9">
        <f>IF(OR($B97="",$AM97=0),"",INDEX('Rework Log'!$H:$H,$AM97))</f>
        <v/>
      </c>
      <c r="AG97" s="9">
        <f>IF(OR($B97="",$AM97=0),"",INDEX('Rework Log'!$G:$G,$AM97))</f>
        <v/>
      </c>
      <c r="AH97" s="9">
        <f>IF($B97="","",IF(W97&lt;&gt;"","DPO Approval",IF(T97&lt;&gt;"","QA",IF(Q97&lt;&gt;"","PBI Dev",IF(N97&lt;&gt;"","DB Dev","NOT STARTED")))))</f>
        <v/>
      </c>
      <c r="AI97" s="9">
        <f>IF($B97="","",IF(IF($C97="NOT STARTED",0,IF($C97="DB Dev",1,IF($C97="PBI Dev",2,IF($C97="QA",3,IF($C97="DPO Approval",4,IF($C97="RELEASED IN PROD",5,-1))))))&lt;IF($AH97="NOT STARTED",0,IF($AH97="DB Dev",1,IF($AH97="PBI Dev",2,IF($AH97="QA",3,IF($AH97="DPO Approval",4,IF($AH97="RELEASED IN PROD",5,-1)))))),"Yes - was already at "&amp;$AH97&amp;", now back at "&amp;$C97,"No"))</f>
        <v/>
      </c>
      <c r="AJ97" s="9">
        <f>IF($B97="","",IF(AND(T97&lt;&gt;"",N97&lt;&gt;"",T97&lt;N97),"QA target is before DB Dev target",IF(AND(T97&lt;&gt;"",Q97&lt;&gt;"",T97&lt;Q97),"QA target is before PBI Dev target",IF(AND(W97&lt;&gt;"",T97&lt;&gt;"",W97&lt;T97),"DPO Approval target is before QA target",IF(AND(Z97&lt;&gt;"",W97&lt;&gt;"",Z97&lt;W97),"Confirmed Deployed date is before DPO Approval target","")))))</f>
        <v/>
      </c>
      <c r="AK97" s="9">
        <f>IF($B97="","",IF(COUNTIF($B$2:$B$500,$B97)&gt;1,"Duplicate name - check row",""))</f>
        <v/>
      </c>
      <c r="AL97" s="1" t="n"/>
      <c r="AM97" s="9">
        <f>IF($B97="","",SUMPRODUCT(MAX(('Rework Log'!$A$3:$A$500=$B97)*ROW('Rework Log'!$A$3:$A$500))))</f>
        <v/>
      </c>
    </row>
    <row r="98">
      <c r="A98" s="1" t="n"/>
      <c r="B98" s="1" t="n"/>
      <c r="C98" s="1" t="n"/>
      <c r="D98" s="9">
        <f>IF($B98="","",IF(LEFT($AC98,3)="Yes","Blocked",IF(C98="NOT STARTED",IF(K98="","No plan date set",IF(K98&lt;TODAY(),"Review - planned start passed","On track")),IF(C98="DB Dev",IF(N98="","No target set",IF(AND(N98&lt;TODAY(),P98=""),"Overdue","On track")),IF(C98="PBI Dev",IF(Q98="","No target set",IF(AND(Q98&lt;TODAY(),S98=""),"Overdue","On track")),IF(C98="QA",IF(T98="","No target set",IF(AND(T98&lt;TODAY(),V98=""),"Overdue","On track")),IF(C98="DPO Approval",IF(W98="","No target set",IF(W98&lt;TODAY(),"Overdue","On track")),IF(C98="RELEASED IN PROD","Delivered",""))))))))</f>
        <v/>
      </c>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c r="AA98" s="1" t="n"/>
      <c r="AB98" s="1" t="n"/>
      <c r="AC98" s="1" t="n"/>
      <c r="AD98" s="9">
        <f>IF($B98="","",COUNTIF('Rework Log'!$A$3:$A$500,$B98))</f>
        <v/>
      </c>
      <c r="AE98" s="9">
        <f>IF(OR($B98="",$AM98=0),"",INDEX('Rework Log'!$C:$C,$AM98))</f>
        <v/>
      </c>
      <c r="AF98" s="9">
        <f>IF(OR($B98="",$AM98=0),"",INDEX('Rework Log'!$H:$H,$AM98))</f>
        <v/>
      </c>
      <c r="AG98" s="9">
        <f>IF(OR($B98="",$AM98=0),"",INDEX('Rework Log'!$G:$G,$AM98))</f>
        <v/>
      </c>
      <c r="AH98" s="9">
        <f>IF($B98="","",IF(W98&lt;&gt;"","DPO Approval",IF(T98&lt;&gt;"","QA",IF(Q98&lt;&gt;"","PBI Dev",IF(N98&lt;&gt;"","DB Dev","NOT STARTED")))))</f>
        <v/>
      </c>
      <c r="AI98" s="9">
        <f>IF($B98="","",IF(IF($C98="NOT STARTED",0,IF($C98="DB Dev",1,IF($C98="PBI Dev",2,IF($C98="QA",3,IF($C98="DPO Approval",4,IF($C98="RELEASED IN PROD",5,-1))))))&lt;IF($AH98="NOT STARTED",0,IF($AH98="DB Dev",1,IF($AH98="PBI Dev",2,IF($AH98="QA",3,IF($AH98="DPO Approval",4,IF($AH98="RELEASED IN PROD",5,-1)))))),"Yes - was already at "&amp;$AH98&amp;", now back at "&amp;$C98,"No"))</f>
        <v/>
      </c>
      <c r="AJ98" s="9">
        <f>IF($B98="","",IF(AND(T98&lt;&gt;"",N98&lt;&gt;"",T98&lt;N98),"QA target is before DB Dev target",IF(AND(T98&lt;&gt;"",Q98&lt;&gt;"",T98&lt;Q98),"QA target is before PBI Dev target",IF(AND(W98&lt;&gt;"",T98&lt;&gt;"",W98&lt;T98),"DPO Approval target is before QA target",IF(AND(Z98&lt;&gt;"",W98&lt;&gt;"",Z98&lt;W98),"Confirmed Deployed date is before DPO Approval target","")))))</f>
        <v/>
      </c>
      <c r="AK98" s="9">
        <f>IF($B98="","",IF(COUNTIF($B$2:$B$500,$B98)&gt;1,"Duplicate name - check row",""))</f>
        <v/>
      </c>
      <c r="AL98" s="1" t="n"/>
      <c r="AM98" s="9">
        <f>IF($B98="","",SUMPRODUCT(MAX(('Rework Log'!$A$3:$A$500=$B98)*ROW('Rework Log'!$A$3:$A$500))))</f>
        <v/>
      </c>
    </row>
    <row r="99">
      <c r="A99" s="1" t="n"/>
      <c r="B99" s="1" t="n"/>
      <c r="C99" s="1" t="n"/>
      <c r="D99" s="9">
        <f>IF($B99="","",IF(LEFT($AC99,3)="Yes","Blocked",IF(C99="NOT STARTED",IF(K99="","No plan date set",IF(K99&lt;TODAY(),"Review - planned start passed","On track")),IF(C99="DB Dev",IF(N99="","No target set",IF(AND(N99&lt;TODAY(),P99=""),"Overdue","On track")),IF(C99="PBI Dev",IF(Q99="","No target set",IF(AND(Q99&lt;TODAY(),S99=""),"Overdue","On track")),IF(C99="QA",IF(T99="","No target set",IF(AND(T99&lt;TODAY(),V99=""),"Overdue","On track")),IF(C99="DPO Approval",IF(W99="","No target set",IF(W99&lt;TODAY(),"Overdue","On track")),IF(C99="RELEASED IN PROD","Delivered",""))))))))</f>
        <v/>
      </c>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c r="AA99" s="1" t="n"/>
      <c r="AB99" s="1" t="n"/>
      <c r="AC99" s="1" t="n"/>
      <c r="AD99" s="9">
        <f>IF($B99="","",COUNTIF('Rework Log'!$A$3:$A$500,$B99))</f>
        <v/>
      </c>
      <c r="AE99" s="9">
        <f>IF(OR($B99="",$AM99=0),"",INDEX('Rework Log'!$C:$C,$AM99))</f>
        <v/>
      </c>
      <c r="AF99" s="9">
        <f>IF(OR($B99="",$AM99=0),"",INDEX('Rework Log'!$H:$H,$AM99))</f>
        <v/>
      </c>
      <c r="AG99" s="9">
        <f>IF(OR($B99="",$AM99=0),"",INDEX('Rework Log'!$G:$G,$AM99))</f>
        <v/>
      </c>
      <c r="AH99" s="9">
        <f>IF($B99="","",IF(W99&lt;&gt;"","DPO Approval",IF(T99&lt;&gt;"","QA",IF(Q99&lt;&gt;"","PBI Dev",IF(N99&lt;&gt;"","DB Dev","NOT STARTED")))))</f>
        <v/>
      </c>
      <c r="AI99" s="9">
        <f>IF($B99="","",IF(IF($C99="NOT STARTED",0,IF($C99="DB Dev",1,IF($C99="PBI Dev",2,IF($C99="QA",3,IF($C99="DPO Approval",4,IF($C99="RELEASED IN PROD",5,-1))))))&lt;IF($AH99="NOT STARTED",0,IF($AH99="DB Dev",1,IF($AH99="PBI Dev",2,IF($AH99="QA",3,IF($AH99="DPO Approval",4,IF($AH99="RELEASED IN PROD",5,-1)))))),"Yes - was already at "&amp;$AH99&amp;", now back at "&amp;$C99,"No"))</f>
        <v/>
      </c>
      <c r="AJ99" s="9">
        <f>IF($B99="","",IF(AND(T99&lt;&gt;"",N99&lt;&gt;"",T99&lt;N99),"QA target is before DB Dev target",IF(AND(T99&lt;&gt;"",Q99&lt;&gt;"",T99&lt;Q99),"QA target is before PBI Dev target",IF(AND(W99&lt;&gt;"",T99&lt;&gt;"",W99&lt;T99),"DPO Approval target is before QA target",IF(AND(Z99&lt;&gt;"",W99&lt;&gt;"",Z99&lt;W99),"Confirmed Deployed date is before DPO Approval target","")))))</f>
        <v/>
      </c>
      <c r="AK99" s="9">
        <f>IF($B99="","",IF(COUNTIF($B$2:$B$500,$B99)&gt;1,"Duplicate name - check row",""))</f>
        <v/>
      </c>
      <c r="AL99" s="1" t="n"/>
      <c r="AM99" s="9">
        <f>IF($B99="","",SUMPRODUCT(MAX(('Rework Log'!$A$3:$A$500=$B99)*ROW('Rework Log'!$A$3:$A$500))))</f>
        <v/>
      </c>
    </row>
    <row r="100">
      <c r="A100" s="1" t="n"/>
      <c r="B100" s="1" t="n"/>
      <c r="C100" s="1" t="n"/>
      <c r="D100" s="9">
        <f>IF($B100="","",IF(LEFT($AC100,3)="Yes","Blocked",IF(C100="NOT STARTED",IF(K100="","No plan date set",IF(K100&lt;TODAY(),"Review - planned start passed","On track")),IF(C100="DB Dev",IF(N100="","No target set",IF(AND(N100&lt;TODAY(),P100=""),"Overdue","On track")),IF(C100="PBI Dev",IF(Q100="","No target set",IF(AND(Q100&lt;TODAY(),S100=""),"Overdue","On track")),IF(C100="QA",IF(T100="","No target set",IF(AND(T100&lt;TODAY(),V100=""),"Overdue","On track")),IF(C100="DPO Approval",IF(W100="","No target set",IF(W100&lt;TODAY(),"Overdue","On track")),IF(C100="RELEASED IN PROD","Delivered",""))))))))</f>
        <v/>
      </c>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c r="AA100" s="1" t="n"/>
      <c r="AB100" s="1" t="n"/>
      <c r="AC100" s="1" t="n"/>
      <c r="AD100" s="9">
        <f>IF($B100="","",COUNTIF('Rework Log'!$A$3:$A$500,$B100))</f>
        <v/>
      </c>
      <c r="AE100" s="9">
        <f>IF(OR($B100="",$AM100=0),"",INDEX('Rework Log'!$C:$C,$AM100))</f>
        <v/>
      </c>
      <c r="AF100" s="9">
        <f>IF(OR($B100="",$AM100=0),"",INDEX('Rework Log'!$H:$H,$AM100))</f>
        <v/>
      </c>
      <c r="AG100" s="9">
        <f>IF(OR($B100="",$AM100=0),"",INDEX('Rework Log'!$G:$G,$AM100))</f>
        <v/>
      </c>
      <c r="AH100" s="9">
        <f>IF($B100="","",IF(W100&lt;&gt;"","DPO Approval",IF(T100&lt;&gt;"","QA",IF(Q100&lt;&gt;"","PBI Dev",IF(N100&lt;&gt;"","DB Dev","NOT STARTED")))))</f>
        <v/>
      </c>
      <c r="AI100" s="9">
        <f>IF($B100="","",IF(IF($C100="NOT STARTED",0,IF($C100="DB Dev",1,IF($C100="PBI Dev",2,IF($C100="QA",3,IF($C100="DPO Approval",4,IF($C100="RELEASED IN PROD",5,-1))))))&lt;IF($AH100="NOT STARTED",0,IF($AH100="DB Dev",1,IF($AH100="PBI Dev",2,IF($AH100="QA",3,IF($AH100="DPO Approval",4,IF($AH100="RELEASED IN PROD",5,-1)))))),"Yes - was already at "&amp;$AH100&amp;", now back at "&amp;$C100,"No"))</f>
        <v/>
      </c>
      <c r="AJ100" s="9">
        <f>IF($B100="","",IF(AND(T100&lt;&gt;"",N100&lt;&gt;"",T100&lt;N100),"QA target is before DB Dev target",IF(AND(T100&lt;&gt;"",Q100&lt;&gt;"",T100&lt;Q100),"QA target is before PBI Dev target",IF(AND(W100&lt;&gt;"",T100&lt;&gt;"",W100&lt;T100),"DPO Approval target is before QA target",IF(AND(Z100&lt;&gt;"",W100&lt;&gt;"",Z100&lt;W100),"Confirmed Deployed date is before DPO Approval target","")))))</f>
        <v/>
      </c>
      <c r="AK100" s="9">
        <f>IF($B100="","",IF(COUNTIF($B$2:$B$500,$B100)&gt;1,"Duplicate name - check row",""))</f>
        <v/>
      </c>
      <c r="AL100" s="1" t="n"/>
      <c r="AM100" s="9">
        <f>IF($B100="","",SUMPRODUCT(MAX(('Rework Log'!$A$3:$A$500=$B100)*ROW('Rework Log'!$A$3:$A$500))))</f>
        <v/>
      </c>
    </row>
    <row r="101">
      <c r="A101" s="1" t="n"/>
      <c r="B101" s="1" t="n"/>
      <c r="C101" s="1" t="n"/>
      <c r="D101" s="9">
        <f>IF($B101="","",IF(LEFT($AC101,3)="Yes","Blocked",IF(C101="NOT STARTED",IF(K101="","No plan date set",IF(K101&lt;TODAY(),"Review - planned start passed","On track")),IF(C101="DB Dev",IF(N101="","No target set",IF(AND(N101&lt;TODAY(),P101=""),"Overdue","On track")),IF(C101="PBI Dev",IF(Q101="","No target set",IF(AND(Q101&lt;TODAY(),S101=""),"Overdue","On track")),IF(C101="QA",IF(T101="","No target set",IF(AND(T101&lt;TODAY(),V101=""),"Overdue","On track")),IF(C101="DPO Approval",IF(W101="","No target set",IF(W101&lt;TODAY(),"Overdue","On track")),IF(C101="RELEASED IN PROD","Delivered",""))))))))</f>
        <v/>
      </c>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c r="AA101" s="1" t="n"/>
      <c r="AB101" s="1" t="n"/>
      <c r="AC101" s="1" t="n"/>
      <c r="AD101" s="9">
        <f>IF($B101="","",COUNTIF('Rework Log'!$A$3:$A$500,$B101))</f>
        <v/>
      </c>
      <c r="AE101" s="9">
        <f>IF(OR($B101="",$AM101=0),"",INDEX('Rework Log'!$C:$C,$AM101))</f>
        <v/>
      </c>
      <c r="AF101" s="9">
        <f>IF(OR($B101="",$AM101=0),"",INDEX('Rework Log'!$H:$H,$AM101))</f>
        <v/>
      </c>
      <c r="AG101" s="9">
        <f>IF(OR($B101="",$AM101=0),"",INDEX('Rework Log'!$G:$G,$AM101))</f>
        <v/>
      </c>
      <c r="AH101" s="9">
        <f>IF($B101="","",IF(W101&lt;&gt;"","DPO Approval",IF(T101&lt;&gt;"","QA",IF(Q101&lt;&gt;"","PBI Dev",IF(N101&lt;&gt;"","DB Dev","NOT STARTED")))))</f>
        <v/>
      </c>
      <c r="AI101" s="9">
        <f>IF($B101="","",IF(IF($C101="NOT STARTED",0,IF($C101="DB Dev",1,IF($C101="PBI Dev",2,IF($C101="QA",3,IF($C101="DPO Approval",4,IF($C101="RELEASED IN PROD",5,-1))))))&lt;IF($AH101="NOT STARTED",0,IF($AH101="DB Dev",1,IF($AH101="PBI Dev",2,IF($AH101="QA",3,IF($AH101="DPO Approval",4,IF($AH101="RELEASED IN PROD",5,-1)))))),"Yes - was already at "&amp;$AH101&amp;", now back at "&amp;$C101,"No"))</f>
        <v/>
      </c>
      <c r="AJ101" s="9">
        <f>IF($B101="","",IF(AND(T101&lt;&gt;"",N101&lt;&gt;"",T101&lt;N101),"QA target is before DB Dev target",IF(AND(T101&lt;&gt;"",Q101&lt;&gt;"",T101&lt;Q101),"QA target is before PBI Dev target",IF(AND(W101&lt;&gt;"",T101&lt;&gt;"",W101&lt;T101),"DPO Approval target is before QA target",IF(AND(Z101&lt;&gt;"",W101&lt;&gt;"",Z101&lt;W101),"Confirmed Deployed date is before DPO Approval target","")))))</f>
        <v/>
      </c>
      <c r="AK101" s="9">
        <f>IF($B101="","",IF(COUNTIF($B$2:$B$500,$B101)&gt;1,"Duplicate name - check row",""))</f>
        <v/>
      </c>
      <c r="AL101" s="1" t="n"/>
      <c r="AM101" s="9">
        <f>IF($B101="","",SUMPRODUCT(MAX(('Rework Log'!$A$3:$A$500=$B101)*ROW('Rework Log'!$A$3:$A$500))))</f>
        <v/>
      </c>
    </row>
    <row r="102">
      <c r="A102" s="1" t="n"/>
      <c r="B102" s="1" t="n"/>
      <c r="C102" s="1" t="n"/>
      <c r="D102" s="9">
        <f>IF($B102="","",IF(LEFT($AC102,3)="Yes","Blocked",IF(C102="NOT STARTED",IF(K102="","No plan date set",IF(K102&lt;TODAY(),"Review - planned start passed","On track")),IF(C102="DB Dev",IF(N102="","No target set",IF(AND(N102&lt;TODAY(),P102=""),"Overdue","On track")),IF(C102="PBI Dev",IF(Q102="","No target set",IF(AND(Q102&lt;TODAY(),S102=""),"Overdue","On track")),IF(C102="QA",IF(T102="","No target set",IF(AND(T102&lt;TODAY(),V102=""),"Overdue","On track")),IF(C102="DPO Approval",IF(W102="","No target set",IF(W102&lt;TODAY(),"Overdue","On track")),IF(C102="RELEASED IN PROD","Delivered",""))))))))</f>
        <v/>
      </c>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c r="AA102" s="1" t="n"/>
      <c r="AB102" s="1" t="n"/>
      <c r="AC102" s="1" t="n"/>
      <c r="AD102" s="9">
        <f>IF($B102="","",COUNTIF('Rework Log'!$A$3:$A$500,$B102))</f>
        <v/>
      </c>
      <c r="AE102" s="9">
        <f>IF(OR($B102="",$AM102=0),"",INDEX('Rework Log'!$C:$C,$AM102))</f>
        <v/>
      </c>
      <c r="AF102" s="9">
        <f>IF(OR($B102="",$AM102=0),"",INDEX('Rework Log'!$H:$H,$AM102))</f>
        <v/>
      </c>
      <c r="AG102" s="9">
        <f>IF(OR($B102="",$AM102=0),"",INDEX('Rework Log'!$G:$G,$AM102))</f>
        <v/>
      </c>
      <c r="AH102" s="9">
        <f>IF($B102="","",IF(W102&lt;&gt;"","DPO Approval",IF(T102&lt;&gt;"","QA",IF(Q102&lt;&gt;"","PBI Dev",IF(N102&lt;&gt;"","DB Dev","NOT STARTED")))))</f>
        <v/>
      </c>
      <c r="AI102" s="9">
        <f>IF($B102="","",IF(IF($C102="NOT STARTED",0,IF($C102="DB Dev",1,IF($C102="PBI Dev",2,IF($C102="QA",3,IF($C102="DPO Approval",4,IF($C102="RELEASED IN PROD",5,-1))))))&lt;IF($AH102="NOT STARTED",0,IF($AH102="DB Dev",1,IF($AH102="PBI Dev",2,IF($AH102="QA",3,IF($AH102="DPO Approval",4,IF($AH102="RELEASED IN PROD",5,-1)))))),"Yes - was already at "&amp;$AH102&amp;", now back at "&amp;$C102,"No"))</f>
        <v/>
      </c>
      <c r="AJ102" s="9">
        <f>IF($B102="","",IF(AND(T102&lt;&gt;"",N102&lt;&gt;"",T102&lt;N102),"QA target is before DB Dev target",IF(AND(T102&lt;&gt;"",Q102&lt;&gt;"",T102&lt;Q102),"QA target is before PBI Dev target",IF(AND(W102&lt;&gt;"",T102&lt;&gt;"",W102&lt;T102),"DPO Approval target is before QA target",IF(AND(Z102&lt;&gt;"",W102&lt;&gt;"",Z102&lt;W102),"Confirmed Deployed date is before DPO Approval target","")))))</f>
        <v/>
      </c>
      <c r="AK102" s="9">
        <f>IF($B102="","",IF(COUNTIF($B$2:$B$500,$B102)&gt;1,"Duplicate name - check row",""))</f>
        <v/>
      </c>
      <c r="AL102" s="1" t="n"/>
      <c r="AM102" s="9">
        <f>IF($B102="","",SUMPRODUCT(MAX(('Rework Log'!$A$3:$A$500=$B102)*ROW('Rework Log'!$A$3:$A$500))))</f>
        <v/>
      </c>
    </row>
    <row r="103">
      <c r="A103" s="1" t="n"/>
      <c r="B103" s="1" t="n"/>
      <c r="C103" s="1" t="n"/>
      <c r="D103" s="9">
        <f>IF($B103="","",IF(LEFT($AC103,3)="Yes","Blocked",IF(C103="NOT STARTED",IF(K103="","No plan date set",IF(K103&lt;TODAY(),"Review - planned start passed","On track")),IF(C103="DB Dev",IF(N103="","No target set",IF(AND(N103&lt;TODAY(),P103=""),"Overdue","On track")),IF(C103="PBI Dev",IF(Q103="","No target set",IF(AND(Q103&lt;TODAY(),S103=""),"Overdue","On track")),IF(C103="QA",IF(T103="","No target set",IF(AND(T103&lt;TODAY(),V103=""),"Overdue","On track")),IF(C103="DPO Approval",IF(W103="","No target set",IF(W103&lt;TODAY(),"Overdue","On track")),IF(C103="RELEASED IN PROD","Delivered",""))))))))</f>
        <v/>
      </c>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c r="AA103" s="1" t="n"/>
      <c r="AB103" s="1" t="n"/>
      <c r="AC103" s="1" t="n"/>
      <c r="AD103" s="9">
        <f>IF($B103="","",COUNTIF('Rework Log'!$A$3:$A$500,$B103))</f>
        <v/>
      </c>
      <c r="AE103" s="9">
        <f>IF(OR($B103="",$AM103=0),"",INDEX('Rework Log'!$C:$C,$AM103))</f>
        <v/>
      </c>
      <c r="AF103" s="9">
        <f>IF(OR($B103="",$AM103=0),"",INDEX('Rework Log'!$H:$H,$AM103))</f>
        <v/>
      </c>
      <c r="AG103" s="9">
        <f>IF(OR($B103="",$AM103=0),"",INDEX('Rework Log'!$G:$G,$AM103))</f>
        <v/>
      </c>
      <c r="AH103" s="9">
        <f>IF($B103="","",IF(W103&lt;&gt;"","DPO Approval",IF(T103&lt;&gt;"","QA",IF(Q103&lt;&gt;"","PBI Dev",IF(N103&lt;&gt;"","DB Dev","NOT STARTED")))))</f>
        <v/>
      </c>
      <c r="AI103" s="9">
        <f>IF($B103="","",IF(IF($C103="NOT STARTED",0,IF($C103="DB Dev",1,IF($C103="PBI Dev",2,IF($C103="QA",3,IF($C103="DPO Approval",4,IF($C103="RELEASED IN PROD",5,-1))))))&lt;IF($AH103="NOT STARTED",0,IF($AH103="DB Dev",1,IF($AH103="PBI Dev",2,IF($AH103="QA",3,IF($AH103="DPO Approval",4,IF($AH103="RELEASED IN PROD",5,-1)))))),"Yes - was already at "&amp;$AH103&amp;", now back at "&amp;$C103,"No"))</f>
        <v/>
      </c>
      <c r="AJ103" s="9">
        <f>IF($B103="","",IF(AND(T103&lt;&gt;"",N103&lt;&gt;"",T103&lt;N103),"QA target is before DB Dev target",IF(AND(T103&lt;&gt;"",Q103&lt;&gt;"",T103&lt;Q103),"QA target is before PBI Dev target",IF(AND(W103&lt;&gt;"",T103&lt;&gt;"",W103&lt;T103),"DPO Approval target is before QA target",IF(AND(Z103&lt;&gt;"",W103&lt;&gt;"",Z103&lt;W103),"Confirmed Deployed date is before DPO Approval target","")))))</f>
        <v/>
      </c>
      <c r="AK103" s="9">
        <f>IF($B103="","",IF(COUNTIF($B$2:$B$500,$B103)&gt;1,"Duplicate name - check row",""))</f>
        <v/>
      </c>
      <c r="AL103" s="1" t="n"/>
      <c r="AM103" s="9">
        <f>IF($B103="","",SUMPRODUCT(MAX(('Rework Log'!$A$3:$A$500=$B103)*ROW('Rework Log'!$A$3:$A$500))))</f>
        <v/>
      </c>
    </row>
    <row r="104">
      <c r="A104" s="1" t="n"/>
      <c r="B104" s="1" t="n"/>
      <c r="C104" s="1" t="n"/>
      <c r="D104" s="9">
        <f>IF($B104="","",IF(LEFT($AC104,3)="Yes","Blocked",IF(C104="NOT STARTED",IF(K104="","No plan date set",IF(K104&lt;TODAY(),"Review - planned start passed","On track")),IF(C104="DB Dev",IF(N104="","No target set",IF(AND(N104&lt;TODAY(),P104=""),"Overdue","On track")),IF(C104="PBI Dev",IF(Q104="","No target set",IF(AND(Q104&lt;TODAY(),S104=""),"Overdue","On track")),IF(C104="QA",IF(T104="","No target set",IF(AND(T104&lt;TODAY(),V104=""),"Overdue","On track")),IF(C104="DPO Approval",IF(W104="","No target set",IF(W104&lt;TODAY(),"Overdue","On track")),IF(C104="RELEASED IN PROD","Delivered",""))))))))</f>
        <v/>
      </c>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c r="AA104" s="1" t="n"/>
      <c r="AB104" s="1" t="n"/>
      <c r="AC104" s="1" t="n"/>
      <c r="AD104" s="9">
        <f>IF($B104="","",COUNTIF('Rework Log'!$A$3:$A$500,$B104))</f>
        <v/>
      </c>
      <c r="AE104" s="9">
        <f>IF(OR($B104="",$AM104=0),"",INDEX('Rework Log'!$C:$C,$AM104))</f>
        <v/>
      </c>
      <c r="AF104" s="9">
        <f>IF(OR($B104="",$AM104=0),"",INDEX('Rework Log'!$H:$H,$AM104))</f>
        <v/>
      </c>
      <c r="AG104" s="9">
        <f>IF(OR($B104="",$AM104=0),"",INDEX('Rework Log'!$G:$G,$AM104))</f>
        <v/>
      </c>
      <c r="AH104" s="9">
        <f>IF($B104="","",IF(W104&lt;&gt;"","DPO Approval",IF(T104&lt;&gt;"","QA",IF(Q104&lt;&gt;"","PBI Dev",IF(N104&lt;&gt;"","DB Dev","NOT STARTED")))))</f>
        <v/>
      </c>
      <c r="AI104" s="9">
        <f>IF($B104="","",IF(IF($C104="NOT STARTED",0,IF($C104="DB Dev",1,IF($C104="PBI Dev",2,IF($C104="QA",3,IF($C104="DPO Approval",4,IF($C104="RELEASED IN PROD",5,-1))))))&lt;IF($AH104="NOT STARTED",0,IF($AH104="DB Dev",1,IF($AH104="PBI Dev",2,IF($AH104="QA",3,IF($AH104="DPO Approval",4,IF($AH104="RELEASED IN PROD",5,-1)))))),"Yes - was already at "&amp;$AH104&amp;", now back at "&amp;$C104,"No"))</f>
        <v/>
      </c>
      <c r="AJ104" s="9">
        <f>IF($B104="","",IF(AND(T104&lt;&gt;"",N104&lt;&gt;"",T104&lt;N104),"QA target is before DB Dev target",IF(AND(T104&lt;&gt;"",Q104&lt;&gt;"",T104&lt;Q104),"QA target is before PBI Dev target",IF(AND(W104&lt;&gt;"",T104&lt;&gt;"",W104&lt;T104),"DPO Approval target is before QA target",IF(AND(Z104&lt;&gt;"",W104&lt;&gt;"",Z104&lt;W104),"Confirmed Deployed date is before DPO Approval target","")))))</f>
        <v/>
      </c>
      <c r="AK104" s="9">
        <f>IF($B104="","",IF(COUNTIF($B$2:$B$500,$B104)&gt;1,"Duplicate name - check row",""))</f>
        <v/>
      </c>
      <c r="AL104" s="1" t="n"/>
      <c r="AM104" s="9">
        <f>IF($B104="","",SUMPRODUCT(MAX(('Rework Log'!$A$3:$A$500=$B104)*ROW('Rework Log'!$A$3:$A$500))))</f>
        <v/>
      </c>
    </row>
    <row r="105">
      <c r="A105" s="1" t="n"/>
      <c r="B105" s="1" t="n"/>
      <c r="C105" s="1" t="n"/>
      <c r="D105" s="9">
        <f>IF($B105="","",IF(LEFT($AC105,3)="Yes","Blocked",IF(C105="NOT STARTED",IF(K105="","No plan date set",IF(K105&lt;TODAY(),"Review - planned start passed","On track")),IF(C105="DB Dev",IF(N105="","No target set",IF(AND(N105&lt;TODAY(),P105=""),"Overdue","On track")),IF(C105="PBI Dev",IF(Q105="","No target set",IF(AND(Q105&lt;TODAY(),S105=""),"Overdue","On track")),IF(C105="QA",IF(T105="","No target set",IF(AND(T105&lt;TODAY(),V105=""),"Overdue","On track")),IF(C105="DPO Approval",IF(W105="","No target set",IF(W105&lt;TODAY(),"Overdue","On track")),IF(C105="RELEASED IN PROD","Delivered",""))))))))</f>
        <v/>
      </c>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c r="AA105" s="1" t="n"/>
      <c r="AB105" s="1" t="n"/>
      <c r="AC105" s="1" t="n"/>
      <c r="AD105" s="9">
        <f>IF($B105="","",COUNTIF('Rework Log'!$A$3:$A$500,$B105))</f>
        <v/>
      </c>
      <c r="AE105" s="9">
        <f>IF(OR($B105="",$AM105=0),"",INDEX('Rework Log'!$C:$C,$AM105))</f>
        <v/>
      </c>
      <c r="AF105" s="9">
        <f>IF(OR($B105="",$AM105=0),"",INDEX('Rework Log'!$H:$H,$AM105))</f>
        <v/>
      </c>
      <c r="AG105" s="9">
        <f>IF(OR($B105="",$AM105=0),"",INDEX('Rework Log'!$G:$G,$AM105))</f>
        <v/>
      </c>
      <c r="AH105" s="9">
        <f>IF($B105="","",IF(W105&lt;&gt;"","DPO Approval",IF(T105&lt;&gt;"","QA",IF(Q105&lt;&gt;"","PBI Dev",IF(N105&lt;&gt;"","DB Dev","NOT STARTED")))))</f>
        <v/>
      </c>
      <c r="AI105" s="9">
        <f>IF($B105="","",IF(IF($C105="NOT STARTED",0,IF($C105="DB Dev",1,IF($C105="PBI Dev",2,IF($C105="QA",3,IF($C105="DPO Approval",4,IF($C105="RELEASED IN PROD",5,-1))))))&lt;IF($AH105="NOT STARTED",0,IF($AH105="DB Dev",1,IF($AH105="PBI Dev",2,IF($AH105="QA",3,IF($AH105="DPO Approval",4,IF($AH105="RELEASED IN PROD",5,-1)))))),"Yes - was already at "&amp;$AH105&amp;", now back at "&amp;$C105,"No"))</f>
        <v/>
      </c>
      <c r="AJ105" s="9">
        <f>IF($B105="","",IF(AND(T105&lt;&gt;"",N105&lt;&gt;"",T105&lt;N105),"QA target is before DB Dev target",IF(AND(T105&lt;&gt;"",Q105&lt;&gt;"",T105&lt;Q105),"QA target is before PBI Dev target",IF(AND(W105&lt;&gt;"",T105&lt;&gt;"",W105&lt;T105),"DPO Approval target is before QA target",IF(AND(Z105&lt;&gt;"",W105&lt;&gt;"",Z105&lt;W105),"Confirmed Deployed date is before DPO Approval target","")))))</f>
        <v/>
      </c>
      <c r="AK105" s="9">
        <f>IF($B105="","",IF(COUNTIF($B$2:$B$500,$B105)&gt;1,"Duplicate name - check row",""))</f>
        <v/>
      </c>
      <c r="AL105" s="1" t="n"/>
      <c r="AM105" s="9">
        <f>IF($B105="","",SUMPRODUCT(MAX(('Rework Log'!$A$3:$A$500=$B105)*ROW('Rework Log'!$A$3:$A$500))))</f>
        <v/>
      </c>
    </row>
    <row r="106">
      <c r="A106" s="1" t="n"/>
      <c r="B106" s="1" t="n"/>
      <c r="C106" s="1" t="n"/>
      <c r="D106" s="9">
        <f>IF($B106="","",IF(LEFT($AC106,3)="Yes","Blocked",IF(C106="NOT STARTED",IF(K106="","No plan date set",IF(K106&lt;TODAY(),"Review - planned start passed","On track")),IF(C106="DB Dev",IF(N106="","No target set",IF(AND(N106&lt;TODAY(),P106=""),"Overdue","On track")),IF(C106="PBI Dev",IF(Q106="","No target set",IF(AND(Q106&lt;TODAY(),S106=""),"Overdue","On track")),IF(C106="QA",IF(T106="","No target set",IF(AND(T106&lt;TODAY(),V106=""),"Overdue","On track")),IF(C106="DPO Approval",IF(W106="","No target set",IF(W106&lt;TODAY(),"Overdue","On track")),IF(C106="RELEASED IN PROD","Delivered",""))))))))</f>
        <v/>
      </c>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c r="AA106" s="1" t="n"/>
      <c r="AB106" s="1" t="n"/>
      <c r="AC106" s="1" t="n"/>
      <c r="AD106" s="9">
        <f>IF($B106="","",COUNTIF('Rework Log'!$A$3:$A$500,$B106))</f>
        <v/>
      </c>
      <c r="AE106" s="9">
        <f>IF(OR($B106="",$AM106=0),"",INDEX('Rework Log'!$C:$C,$AM106))</f>
        <v/>
      </c>
      <c r="AF106" s="9">
        <f>IF(OR($B106="",$AM106=0),"",INDEX('Rework Log'!$H:$H,$AM106))</f>
        <v/>
      </c>
      <c r="AG106" s="9">
        <f>IF(OR($B106="",$AM106=0),"",INDEX('Rework Log'!$G:$G,$AM106))</f>
        <v/>
      </c>
      <c r="AH106" s="9">
        <f>IF($B106="","",IF(W106&lt;&gt;"","DPO Approval",IF(T106&lt;&gt;"","QA",IF(Q106&lt;&gt;"","PBI Dev",IF(N106&lt;&gt;"","DB Dev","NOT STARTED")))))</f>
        <v/>
      </c>
      <c r="AI106" s="9">
        <f>IF($B106="","",IF(IF($C106="NOT STARTED",0,IF($C106="DB Dev",1,IF($C106="PBI Dev",2,IF($C106="QA",3,IF($C106="DPO Approval",4,IF($C106="RELEASED IN PROD",5,-1))))))&lt;IF($AH106="NOT STARTED",0,IF($AH106="DB Dev",1,IF($AH106="PBI Dev",2,IF($AH106="QA",3,IF($AH106="DPO Approval",4,IF($AH106="RELEASED IN PROD",5,-1)))))),"Yes - was already at "&amp;$AH106&amp;", now back at "&amp;$C106,"No"))</f>
        <v/>
      </c>
      <c r="AJ106" s="9">
        <f>IF($B106="","",IF(AND(T106&lt;&gt;"",N106&lt;&gt;"",T106&lt;N106),"QA target is before DB Dev target",IF(AND(T106&lt;&gt;"",Q106&lt;&gt;"",T106&lt;Q106),"QA target is before PBI Dev target",IF(AND(W106&lt;&gt;"",T106&lt;&gt;"",W106&lt;T106),"DPO Approval target is before QA target",IF(AND(Z106&lt;&gt;"",W106&lt;&gt;"",Z106&lt;W106),"Confirmed Deployed date is before DPO Approval target","")))))</f>
        <v/>
      </c>
      <c r="AK106" s="9">
        <f>IF($B106="","",IF(COUNTIF($B$2:$B$500,$B106)&gt;1,"Duplicate name - check row",""))</f>
        <v/>
      </c>
      <c r="AL106" s="1" t="n"/>
      <c r="AM106" s="9">
        <f>IF($B106="","",SUMPRODUCT(MAX(('Rework Log'!$A$3:$A$500=$B106)*ROW('Rework Log'!$A$3:$A$500))))</f>
        <v/>
      </c>
    </row>
    <row r="107">
      <c r="A107" s="1" t="n"/>
      <c r="B107" s="1" t="n"/>
      <c r="C107" s="1" t="n"/>
      <c r="D107" s="9">
        <f>IF($B107="","",IF(LEFT($AC107,3)="Yes","Blocked",IF(C107="NOT STARTED",IF(K107="","No plan date set",IF(K107&lt;TODAY(),"Review - planned start passed","On track")),IF(C107="DB Dev",IF(N107="","No target set",IF(AND(N107&lt;TODAY(),P107=""),"Overdue","On track")),IF(C107="PBI Dev",IF(Q107="","No target set",IF(AND(Q107&lt;TODAY(),S107=""),"Overdue","On track")),IF(C107="QA",IF(T107="","No target set",IF(AND(T107&lt;TODAY(),V107=""),"Overdue","On track")),IF(C107="DPO Approval",IF(W107="","No target set",IF(W107&lt;TODAY(),"Overdue","On track")),IF(C107="RELEASED IN PROD","Delivered",""))))))))</f>
        <v/>
      </c>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c r="AA107" s="1" t="n"/>
      <c r="AB107" s="1" t="n"/>
      <c r="AC107" s="1" t="n"/>
      <c r="AD107" s="9">
        <f>IF($B107="","",COUNTIF('Rework Log'!$A$3:$A$500,$B107))</f>
        <v/>
      </c>
      <c r="AE107" s="9">
        <f>IF(OR($B107="",$AM107=0),"",INDEX('Rework Log'!$C:$C,$AM107))</f>
        <v/>
      </c>
      <c r="AF107" s="9">
        <f>IF(OR($B107="",$AM107=0),"",INDEX('Rework Log'!$H:$H,$AM107))</f>
        <v/>
      </c>
      <c r="AG107" s="9">
        <f>IF(OR($B107="",$AM107=0),"",INDEX('Rework Log'!$G:$G,$AM107))</f>
        <v/>
      </c>
      <c r="AH107" s="9">
        <f>IF($B107="","",IF(W107&lt;&gt;"","DPO Approval",IF(T107&lt;&gt;"","QA",IF(Q107&lt;&gt;"","PBI Dev",IF(N107&lt;&gt;"","DB Dev","NOT STARTED")))))</f>
        <v/>
      </c>
      <c r="AI107" s="9">
        <f>IF($B107="","",IF(IF($C107="NOT STARTED",0,IF($C107="DB Dev",1,IF($C107="PBI Dev",2,IF($C107="QA",3,IF($C107="DPO Approval",4,IF($C107="RELEASED IN PROD",5,-1))))))&lt;IF($AH107="NOT STARTED",0,IF($AH107="DB Dev",1,IF($AH107="PBI Dev",2,IF($AH107="QA",3,IF($AH107="DPO Approval",4,IF($AH107="RELEASED IN PROD",5,-1)))))),"Yes - was already at "&amp;$AH107&amp;", now back at "&amp;$C107,"No"))</f>
        <v/>
      </c>
      <c r="AJ107" s="9">
        <f>IF($B107="","",IF(AND(T107&lt;&gt;"",N107&lt;&gt;"",T107&lt;N107),"QA target is before DB Dev target",IF(AND(T107&lt;&gt;"",Q107&lt;&gt;"",T107&lt;Q107),"QA target is before PBI Dev target",IF(AND(W107&lt;&gt;"",T107&lt;&gt;"",W107&lt;T107),"DPO Approval target is before QA target",IF(AND(Z107&lt;&gt;"",W107&lt;&gt;"",Z107&lt;W107),"Confirmed Deployed date is before DPO Approval target","")))))</f>
        <v/>
      </c>
      <c r="AK107" s="9">
        <f>IF($B107="","",IF(COUNTIF($B$2:$B$500,$B107)&gt;1,"Duplicate name - check row",""))</f>
        <v/>
      </c>
      <c r="AL107" s="1" t="n"/>
      <c r="AM107" s="9">
        <f>IF($B107="","",SUMPRODUCT(MAX(('Rework Log'!$A$3:$A$500=$B107)*ROW('Rework Log'!$A$3:$A$500))))</f>
        <v/>
      </c>
    </row>
    <row r="108">
      <c r="A108" s="1" t="n"/>
      <c r="B108" s="1" t="n"/>
      <c r="C108" s="1" t="n"/>
      <c r="D108" s="9">
        <f>IF($B108="","",IF(LEFT($AC108,3)="Yes","Blocked",IF(C108="NOT STARTED",IF(K108="","No plan date set",IF(K108&lt;TODAY(),"Review - planned start passed","On track")),IF(C108="DB Dev",IF(N108="","No target set",IF(AND(N108&lt;TODAY(),P108=""),"Overdue","On track")),IF(C108="PBI Dev",IF(Q108="","No target set",IF(AND(Q108&lt;TODAY(),S108=""),"Overdue","On track")),IF(C108="QA",IF(T108="","No target set",IF(AND(T108&lt;TODAY(),V108=""),"Overdue","On track")),IF(C108="DPO Approval",IF(W108="","No target set",IF(W108&lt;TODAY(),"Overdue","On track")),IF(C108="RELEASED IN PROD","Delivered",""))))))))</f>
        <v/>
      </c>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c r="AA108" s="1" t="n"/>
      <c r="AB108" s="1" t="n"/>
      <c r="AC108" s="1" t="n"/>
      <c r="AD108" s="9">
        <f>IF($B108="","",COUNTIF('Rework Log'!$A$3:$A$500,$B108))</f>
        <v/>
      </c>
      <c r="AE108" s="9">
        <f>IF(OR($B108="",$AM108=0),"",INDEX('Rework Log'!$C:$C,$AM108))</f>
        <v/>
      </c>
      <c r="AF108" s="9">
        <f>IF(OR($B108="",$AM108=0),"",INDEX('Rework Log'!$H:$H,$AM108))</f>
        <v/>
      </c>
      <c r="AG108" s="9">
        <f>IF(OR($B108="",$AM108=0),"",INDEX('Rework Log'!$G:$G,$AM108))</f>
        <v/>
      </c>
      <c r="AH108" s="9">
        <f>IF($B108="","",IF(W108&lt;&gt;"","DPO Approval",IF(T108&lt;&gt;"","QA",IF(Q108&lt;&gt;"","PBI Dev",IF(N108&lt;&gt;"","DB Dev","NOT STARTED")))))</f>
        <v/>
      </c>
      <c r="AI108" s="9">
        <f>IF($B108="","",IF(IF($C108="NOT STARTED",0,IF($C108="DB Dev",1,IF($C108="PBI Dev",2,IF($C108="QA",3,IF($C108="DPO Approval",4,IF($C108="RELEASED IN PROD",5,-1))))))&lt;IF($AH108="NOT STARTED",0,IF($AH108="DB Dev",1,IF($AH108="PBI Dev",2,IF($AH108="QA",3,IF($AH108="DPO Approval",4,IF($AH108="RELEASED IN PROD",5,-1)))))),"Yes - was already at "&amp;$AH108&amp;", now back at "&amp;$C108,"No"))</f>
        <v/>
      </c>
      <c r="AJ108" s="9">
        <f>IF($B108="","",IF(AND(T108&lt;&gt;"",N108&lt;&gt;"",T108&lt;N108),"QA target is before DB Dev target",IF(AND(T108&lt;&gt;"",Q108&lt;&gt;"",T108&lt;Q108),"QA target is before PBI Dev target",IF(AND(W108&lt;&gt;"",T108&lt;&gt;"",W108&lt;T108),"DPO Approval target is before QA target",IF(AND(Z108&lt;&gt;"",W108&lt;&gt;"",Z108&lt;W108),"Confirmed Deployed date is before DPO Approval target","")))))</f>
        <v/>
      </c>
      <c r="AK108" s="9">
        <f>IF($B108="","",IF(COUNTIF($B$2:$B$500,$B108)&gt;1,"Duplicate name - check row",""))</f>
        <v/>
      </c>
      <c r="AL108" s="1" t="n"/>
      <c r="AM108" s="9">
        <f>IF($B108="","",SUMPRODUCT(MAX(('Rework Log'!$A$3:$A$500=$B108)*ROW('Rework Log'!$A$3:$A$500))))</f>
        <v/>
      </c>
    </row>
    <row r="109">
      <c r="A109" s="1" t="n"/>
      <c r="B109" s="1" t="n"/>
      <c r="C109" s="1" t="n"/>
      <c r="D109" s="9">
        <f>IF($B109="","",IF(LEFT($AC109,3)="Yes","Blocked",IF(C109="NOT STARTED",IF(K109="","No plan date set",IF(K109&lt;TODAY(),"Review - planned start passed","On track")),IF(C109="DB Dev",IF(N109="","No target set",IF(AND(N109&lt;TODAY(),P109=""),"Overdue","On track")),IF(C109="PBI Dev",IF(Q109="","No target set",IF(AND(Q109&lt;TODAY(),S109=""),"Overdue","On track")),IF(C109="QA",IF(T109="","No target set",IF(AND(T109&lt;TODAY(),V109=""),"Overdue","On track")),IF(C109="DPO Approval",IF(W109="","No target set",IF(W109&lt;TODAY(),"Overdue","On track")),IF(C109="RELEASED IN PROD","Delivered",""))))))))</f>
        <v/>
      </c>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c r="AA109" s="1" t="n"/>
      <c r="AB109" s="1" t="n"/>
      <c r="AC109" s="1" t="n"/>
      <c r="AD109" s="9">
        <f>IF($B109="","",COUNTIF('Rework Log'!$A$3:$A$500,$B109))</f>
        <v/>
      </c>
      <c r="AE109" s="9">
        <f>IF(OR($B109="",$AM109=0),"",INDEX('Rework Log'!$C:$C,$AM109))</f>
        <v/>
      </c>
      <c r="AF109" s="9">
        <f>IF(OR($B109="",$AM109=0),"",INDEX('Rework Log'!$H:$H,$AM109))</f>
        <v/>
      </c>
      <c r="AG109" s="9">
        <f>IF(OR($B109="",$AM109=0),"",INDEX('Rework Log'!$G:$G,$AM109))</f>
        <v/>
      </c>
      <c r="AH109" s="9">
        <f>IF($B109="","",IF(W109&lt;&gt;"","DPO Approval",IF(T109&lt;&gt;"","QA",IF(Q109&lt;&gt;"","PBI Dev",IF(N109&lt;&gt;"","DB Dev","NOT STARTED")))))</f>
        <v/>
      </c>
      <c r="AI109" s="9">
        <f>IF($B109="","",IF(IF($C109="NOT STARTED",0,IF($C109="DB Dev",1,IF($C109="PBI Dev",2,IF($C109="QA",3,IF($C109="DPO Approval",4,IF($C109="RELEASED IN PROD",5,-1))))))&lt;IF($AH109="NOT STARTED",0,IF($AH109="DB Dev",1,IF($AH109="PBI Dev",2,IF($AH109="QA",3,IF($AH109="DPO Approval",4,IF($AH109="RELEASED IN PROD",5,-1)))))),"Yes - was already at "&amp;$AH109&amp;", now back at "&amp;$C109,"No"))</f>
        <v/>
      </c>
      <c r="AJ109" s="9">
        <f>IF($B109="","",IF(AND(T109&lt;&gt;"",N109&lt;&gt;"",T109&lt;N109),"QA target is before DB Dev target",IF(AND(T109&lt;&gt;"",Q109&lt;&gt;"",T109&lt;Q109),"QA target is before PBI Dev target",IF(AND(W109&lt;&gt;"",T109&lt;&gt;"",W109&lt;T109),"DPO Approval target is before QA target",IF(AND(Z109&lt;&gt;"",W109&lt;&gt;"",Z109&lt;W109),"Confirmed Deployed date is before DPO Approval target","")))))</f>
        <v/>
      </c>
      <c r="AK109" s="9">
        <f>IF($B109="","",IF(COUNTIF($B$2:$B$500,$B109)&gt;1,"Duplicate name - check row",""))</f>
        <v/>
      </c>
      <c r="AL109" s="1" t="n"/>
      <c r="AM109" s="9">
        <f>IF($B109="","",SUMPRODUCT(MAX(('Rework Log'!$A$3:$A$500=$B109)*ROW('Rework Log'!$A$3:$A$500))))</f>
        <v/>
      </c>
    </row>
    <row r="110">
      <c r="A110" s="1" t="n"/>
      <c r="B110" s="1" t="n"/>
      <c r="C110" s="1" t="n"/>
      <c r="D110" s="9">
        <f>IF($B110="","",IF(LEFT($AC110,3)="Yes","Blocked",IF(C110="NOT STARTED",IF(K110="","No plan date set",IF(K110&lt;TODAY(),"Review - planned start passed","On track")),IF(C110="DB Dev",IF(N110="","No target set",IF(AND(N110&lt;TODAY(),P110=""),"Overdue","On track")),IF(C110="PBI Dev",IF(Q110="","No target set",IF(AND(Q110&lt;TODAY(),S110=""),"Overdue","On track")),IF(C110="QA",IF(T110="","No target set",IF(AND(T110&lt;TODAY(),V110=""),"Overdue","On track")),IF(C110="DPO Approval",IF(W110="","No target set",IF(W110&lt;TODAY(),"Overdue","On track")),IF(C110="RELEASED IN PROD","Delivered",""))))))))</f>
        <v/>
      </c>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c r="AA110" s="1" t="n"/>
      <c r="AB110" s="1" t="n"/>
      <c r="AC110" s="1" t="n"/>
      <c r="AD110" s="9">
        <f>IF($B110="","",COUNTIF('Rework Log'!$A$3:$A$500,$B110))</f>
        <v/>
      </c>
      <c r="AE110" s="9">
        <f>IF(OR($B110="",$AM110=0),"",INDEX('Rework Log'!$C:$C,$AM110))</f>
        <v/>
      </c>
      <c r="AF110" s="9">
        <f>IF(OR($B110="",$AM110=0),"",INDEX('Rework Log'!$H:$H,$AM110))</f>
        <v/>
      </c>
      <c r="AG110" s="9">
        <f>IF(OR($B110="",$AM110=0),"",INDEX('Rework Log'!$G:$G,$AM110))</f>
        <v/>
      </c>
      <c r="AH110" s="9">
        <f>IF($B110="","",IF(W110&lt;&gt;"","DPO Approval",IF(T110&lt;&gt;"","QA",IF(Q110&lt;&gt;"","PBI Dev",IF(N110&lt;&gt;"","DB Dev","NOT STARTED")))))</f>
        <v/>
      </c>
      <c r="AI110" s="9">
        <f>IF($B110="","",IF(IF($C110="NOT STARTED",0,IF($C110="DB Dev",1,IF($C110="PBI Dev",2,IF($C110="QA",3,IF($C110="DPO Approval",4,IF($C110="RELEASED IN PROD",5,-1))))))&lt;IF($AH110="NOT STARTED",0,IF($AH110="DB Dev",1,IF($AH110="PBI Dev",2,IF($AH110="QA",3,IF($AH110="DPO Approval",4,IF($AH110="RELEASED IN PROD",5,-1)))))),"Yes - was already at "&amp;$AH110&amp;", now back at "&amp;$C110,"No"))</f>
        <v/>
      </c>
      <c r="AJ110" s="9">
        <f>IF($B110="","",IF(AND(T110&lt;&gt;"",N110&lt;&gt;"",T110&lt;N110),"QA target is before DB Dev target",IF(AND(T110&lt;&gt;"",Q110&lt;&gt;"",T110&lt;Q110),"QA target is before PBI Dev target",IF(AND(W110&lt;&gt;"",T110&lt;&gt;"",W110&lt;T110),"DPO Approval target is before QA target",IF(AND(Z110&lt;&gt;"",W110&lt;&gt;"",Z110&lt;W110),"Confirmed Deployed date is before DPO Approval target","")))))</f>
        <v/>
      </c>
      <c r="AK110" s="9">
        <f>IF($B110="","",IF(COUNTIF($B$2:$B$500,$B110)&gt;1,"Duplicate name - check row",""))</f>
        <v/>
      </c>
      <c r="AL110" s="1" t="n"/>
      <c r="AM110" s="9">
        <f>IF($B110="","",SUMPRODUCT(MAX(('Rework Log'!$A$3:$A$500=$B110)*ROW('Rework Log'!$A$3:$A$500))))</f>
        <v/>
      </c>
    </row>
    <row r="111">
      <c r="A111" s="1" t="n"/>
      <c r="B111" s="1" t="n"/>
      <c r="C111" s="1" t="n"/>
      <c r="D111" s="9">
        <f>IF($B111="","",IF(LEFT($AC111,3)="Yes","Blocked",IF(C111="NOT STARTED",IF(K111="","No plan date set",IF(K111&lt;TODAY(),"Review - planned start passed","On track")),IF(C111="DB Dev",IF(N111="","No target set",IF(AND(N111&lt;TODAY(),P111=""),"Overdue","On track")),IF(C111="PBI Dev",IF(Q111="","No target set",IF(AND(Q111&lt;TODAY(),S111=""),"Overdue","On track")),IF(C111="QA",IF(T111="","No target set",IF(AND(T111&lt;TODAY(),V111=""),"Overdue","On track")),IF(C111="DPO Approval",IF(W111="","No target set",IF(W111&lt;TODAY(),"Overdue","On track")),IF(C111="RELEASED IN PROD","Delivered",""))))))))</f>
        <v/>
      </c>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c r="AA111" s="1" t="n"/>
      <c r="AB111" s="1" t="n"/>
      <c r="AC111" s="1" t="n"/>
      <c r="AD111" s="9">
        <f>IF($B111="","",COUNTIF('Rework Log'!$A$3:$A$500,$B111))</f>
        <v/>
      </c>
      <c r="AE111" s="9">
        <f>IF(OR($B111="",$AM111=0),"",INDEX('Rework Log'!$C:$C,$AM111))</f>
        <v/>
      </c>
      <c r="AF111" s="9">
        <f>IF(OR($B111="",$AM111=0),"",INDEX('Rework Log'!$H:$H,$AM111))</f>
        <v/>
      </c>
      <c r="AG111" s="9">
        <f>IF(OR($B111="",$AM111=0),"",INDEX('Rework Log'!$G:$G,$AM111))</f>
        <v/>
      </c>
      <c r="AH111" s="9">
        <f>IF($B111="","",IF(W111&lt;&gt;"","DPO Approval",IF(T111&lt;&gt;"","QA",IF(Q111&lt;&gt;"","PBI Dev",IF(N111&lt;&gt;"","DB Dev","NOT STARTED")))))</f>
        <v/>
      </c>
      <c r="AI111" s="9">
        <f>IF($B111="","",IF(IF($C111="NOT STARTED",0,IF($C111="DB Dev",1,IF($C111="PBI Dev",2,IF($C111="QA",3,IF($C111="DPO Approval",4,IF($C111="RELEASED IN PROD",5,-1))))))&lt;IF($AH111="NOT STARTED",0,IF($AH111="DB Dev",1,IF($AH111="PBI Dev",2,IF($AH111="QA",3,IF($AH111="DPO Approval",4,IF($AH111="RELEASED IN PROD",5,-1)))))),"Yes - was already at "&amp;$AH111&amp;", now back at "&amp;$C111,"No"))</f>
        <v/>
      </c>
      <c r="AJ111" s="9">
        <f>IF($B111="","",IF(AND(T111&lt;&gt;"",N111&lt;&gt;"",T111&lt;N111),"QA target is before DB Dev target",IF(AND(T111&lt;&gt;"",Q111&lt;&gt;"",T111&lt;Q111),"QA target is before PBI Dev target",IF(AND(W111&lt;&gt;"",T111&lt;&gt;"",W111&lt;T111),"DPO Approval target is before QA target",IF(AND(Z111&lt;&gt;"",W111&lt;&gt;"",Z111&lt;W111),"Confirmed Deployed date is before DPO Approval target","")))))</f>
        <v/>
      </c>
      <c r="AK111" s="9">
        <f>IF($B111="","",IF(COUNTIF($B$2:$B$500,$B111)&gt;1,"Duplicate name - check row",""))</f>
        <v/>
      </c>
      <c r="AL111" s="1" t="n"/>
      <c r="AM111" s="9">
        <f>IF($B111="","",SUMPRODUCT(MAX(('Rework Log'!$A$3:$A$500=$B111)*ROW('Rework Log'!$A$3:$A$500))))</f>
        <v/>
      </c>
    </row>
    <row r="112">
      <c r="A112" s="1" t="n"/>
      <c r="B112" s="1" t="n"/>
      <c r="C112" s="1" t="n"/>
      <c r="D112" s="9">
        <f>IF($B112="","",IF(LEFT($AC112,3)="Yes","Blocked",IF(C112="NOT STARTED",IF(K112="","No plan date set",IF(K112&lt;TODAY(),"Review - planned start passed","On track")),IF(C112="DB Dev",IF(N112="","No target set",IF(AND(N112&lt;TODAY(),P112=""),"Overdue","On track")),IF(C112="PBI Dev",IF(Q112="","No target set",IF(AND(Q112&lt;TODAY(),S112=""),"Overdue","On track")),IF(C112="QA",IF(T112="","No target set",IF(AND(T112&lt;TODAY(),V112=""),"Overdue","On track")),IF(C112="DPO Approval",IF(W112="","No target set",IF(W112&lt;TODAY(),"Overdue","On track")),IF(C112="RELEASED IN PROD","Delivered",""))))))))</f>
        <v/>
      </c>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c r="AA112" s="1" t="n"/>
      <c r="AB112" s="1" t="n"/>
      <c r="AC112" s="1" t="n"/>
      <c r="AD112" s="9">
        <f>IF($B112="","",COUNTIF('Rework Log'!$A$3:$A$500,$B112))</f>
        <v/>
      </c>
      <c r="AE112" s="9">
        <f>IF(OR($B112="",$AM112=0),"",INDEX('Rework Log'!$C:$C,$AM112))</f>
        <v/>
      </c>
      <c r="AF112" s="9">
        <f>IF(OR($B112="",$AM112=0),"",INDEX('Rework Log'!$H:$H,$AM112))</f>
        <v/>
      </c>
      <c r="AG112" s="9">
        <f>IF(OR($B112="",$AM112=0),"",INDEX('Rework Log'!$G:$G,$AM112))</f>
        <v/>
      </c>
      <c r="AH112" s="9">
        <f>IF($B112="","",IF(W112&lt;&gt;"","DPO Approval",IF(T112&lt;&gt;"","QA",IF(Q112&lt;&gt;"","PBI Dev",IF(N112&lt;&gt;"","DB Dev","NOT STARTED")))))</f>
        <v/>
      </c>
      <c r="AI112" s="9">
        <f>IF($B112="","",IF(IF($C112="NOT STARTED",0,IF($C112="DB Dev",1,IF($C112="PBI Dev",2,IF($C112="QA",3,IF($C112="DPO Approval",4,IF($C112="RELEASED IN PROD",5,-1))))))&lt;IF($AH112="NOT STARTED",0,IF($AH112="DB Dev",1,IF($AH112="PBI Dev",2,IF($AH112="QA",3,IF($AH112="DPO Approval",4,IF($AH112="RELEASED IN PROD",5,-1)))))),"Yes - was already at "&amp;$AH112&amp;", now back at "&amp;$C112,"No"))</f>
        <v/>
      </c>
      <c r="AJ112" s="9">
        <f>IF($B112="","",IF(AND(T112&lt;&gt;"",N112&lt;&gt;"",T112&lt;N112),"QA target is before DB Dev target",IF(AND(T112&lt;&gt;"",Q112&lt;&gt;"",T112&lt;Q112),"QA target is before PBI Dev target",IF(AND(W112&lt;&gt;"",T112&lt;&gt;"",W112&lt;T112),"DPO Approval target is before QA target",IF(AND(Z112&lt;&gt;"",W112&lt;&gt;"",Z112&lt;W112),"Confirmed Deployed date is before DPO Approval target","")))))</f>
        <v/>
      </c>
      <c r="AK112" s="9">
        <f>IF($B112="","",IF(COUNTIF($B$2:$B$500,$B112)&gt;1,"Duplicate name - check row",""))</f>
        <v/>
      </c>
      <c r="AL112" s="1" t="n"/>
      <c r="AM112" s="9">
        <f>IF($B112="","",SUMPRODUCT(MAX(('Rework Log'!$A$3:$A$500=$B112)*ROW('Rework Log'!$A$3:$A$500))))</f>
        <v/>
      </c>
    </row>
    <row r="113">
      <c r="A113" s="1" t="n"/>
      <c r="B113" s="1" t="n"/>
      <c r="C113" s="1" t="n"/>
      <c r="D113" s="9">
        <f>IF($B113="","",IF(LEFT($AC113,3)="Yes","Blocked",IF(C113="NOT STARTED",IF(K113="","No plan date set",IF(K113&lt;TODAY(),"Review - planned start passed","On track")),IF(C113="DB Dev",IF(N113="","No target set",IF(AND(N113&lt;TODAY(),P113=""),"Overdue","On track")),IF(C113="PBI Dev",IF(Q113="","No target set",IF(AND(Q113&lt;TODAY(),S113=""),"Overdue","On track")),IF(C113="QA",IF(T113="","No target set",IF(AND(T113&lt;TODAY(),V113=""),"Overdue","On track")),IF(C113="DPO Approval",IF(W113="","No target set",IF(W113&lt;TODAY(),"Overdue","On track")),IF(C113="RELEASED IN PROD","Delivered",""))))))))</f>
        <v/>
      </c>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c r="AA113" s="1" t="n"/>
      <c r="AB113" s="1" t="n"/>
      <c r="AC113" s="1" t="n"/>
      <c r="AD113" s="9">
        <f>IF($B113="","",COUNTIF('Rework Log'!$A$3:$A$500,$B113))</f>
        <v/>
      </c>
      <c r="AE113" s="9">
        <f>IF(OR($B113="",$AM113=0),"",INDEX('Rework Log'!$C:$C,$AM113))</f>
        <v/>
      </c>
      <c r="AF113" s="9">
        <f>IF(OR($B113="",$AM113=0),"",INDEX('Rework Log'!$H:$H,$AM113))</f>
        <v/>
      </c>
      <c r="AG113" s="9">
        <f>IF(OR($B113="",$AM113=0),"",INDEX('Rework Log'!$G:$G,$AM113))</f>
        <v/>
      </c>
      <c r="AH113" s="9">
        <f>IF($B113="","",IF(W113&lt;&gt;"","DPO Approval",IF(T113&lt;&gt;"","QA",IF(Q113&lt;&gt;"","PBI Dev",IF(N113&lt;&gt;"","DB Dev","NOT STARTED")))))</f>
        <v/>
      </c>
      <c r="AI113" s="9">
        <f>IF($B113="","",IF(IF($C113="NOT STARTED",0,IF($C113="DB Dev",1,IF($C113="PBI Dev",2,IF($C113="QA",3,IF($C113="DPO Approval",4,IF($C113="RELEASED IN PROD",5,-1))))))&lt;IF($AH113="NOT STARTED",0,IF($AH113="DB Dev",1,IF($AH113="PBI Dev",2,IF($AH113="QA",3,IF($AH113="DPO Approval",4,IF($AH113="RELEASED IN PROD",5,-1)))))),"Yes - was already at "&amp;$AH113&amp;", now back at "&amp;$C113,"No"))</f>
        <v/>
      </c>
      <c r="AJ113" s="9">
        <f>IF($B113="","",IF(AND(T113&lt;&gt;"",N113&lt;&gt;"",T113&lt;N113),"QA target is before DB Dev target",IF(AND(T113&lt;&gt;"",Q113&lt;&gt;"",T113&lt;Q113),"QA target is before PBI Dev target",IF(AND(W113&lt;&gt;"",T113&lt;&gt;"",W113&lt;T113),"DPO Approval target is before QA target",IF(AND(Z113&lt;&gt;"",W113&lt;&gt;"",Z113&lt;W113),"Confirmed Deployed date is before DPO Approval target","")))))</f>
        <v/>
      </c>
      <c r="AK113" s="9">
        <f>IF($B113="","",IF(COUNTIF($B$2:$B$500,$B113)&gt;1,"Duplicate name - check row",""))</f>
        <v/>
      </c>
      <c r="AL113" s="1" t="n"/>
      <c r="AM113" s="9">
        <f>IF($B113="","",SUMPRODUCT(MAX(('Rework Log'!$A$3:$A$500=$B113)*ROW('Rework Log'!$A$3:$A$500))))</f>
        <v/>
      </c>
    </row>
    <row r="114">
      <c r="A114" s="1" t="n"/>
      <c r="B114" s="1" t="n"/>
      <c r="C114" s="1" t="n"/>
      <c r="D114" s="9">
        <f>IF($B114="","",IF(LEFT($AC114,3)="Yes","Blocked",IF(C114="NOT STARTED",IF(K114="","No plan date set",IF(K114&lt;TODAY(),"Review - planned start passed","On track")),IF(C114="DB Dev",IF(N114="","No target set",IF(AND(N114&lt;TODAY(),P114=""),"Overdue","On track")),IF(C114="PBI Dev",IF(Q114="","No target set",IF(AND(Q114&lt;TODAY(),S114=""),"Overdue","On track")),IF(C114="QA",IF(T114="","No target set",IF(AND(T114&lt;TODAY(),V114=""),"Overdue","On track")),IF(C114="DPO Approval",IF(W114="","No target set",IF(W114&lt;TODAY(),"Overdue","On track")),IF(C114="RELEASED IN PROD","Delivered",""))))))))</f>
        <v/>
      </c>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c r="AA114" s="1" t="n"/>
      <c r="AB114" s="1" t="n"/>
      <c r="AC114" s="1" t="n"/>
      <c r="AD114" s="9">
        <f>IF($B114="","",COUNTIF('Rework Log'!$A$3:$A$500,$B114))</f>
        <v/>
      </c>
      <c r="AE114" s="9">
        <f>IF(OR($B114="",$AM114=0),"",INDEX('Rework Log'!$C:$C,$AM114))</f>
        <v/>
      </c>
      <c r="AF114" s="9">
        <f>IF(OR($B114="",$AM114=0),"",INDEX('Rework Log'!$H:$H,$AM114))</f>
        <v/>
      </c>
      <c r="AG114" s="9">
        <f>IF(OR($B114="",$AM114=0),"",INDEX('Rework Log'!$G:$G,$AM114))</f>
        <v/>
      </c>
      <c r="AH114" s="9">
        <f>IF($B114="","",IF(W114&lt;&gt;"","DPO Approval",IF(T114&lt;&gt;"","QA",IF(Q114&lt;&gt;"","PBI Dev",IF(N114&lt;&gt;"","DB Dev","NOT STARTED")))))</f>
        <v/>
      </c>
      <c r="AI114" s="9">
        <f>IF($B114="","",IF(IF($C114="NOT STARTED",0,IF($C114="DB Dev",1,IF($C114="PBI Dev",2,IF($C114="QA",3,IF($C114="DPO Approval",4,IF($C114="RELEASED IN PROD",5,-1))))))&lt;IF($AH114="NOT STARTED",0,IF($AH114="DB Dev",1,IF($AH114="PBI Dev",2,IF($AH114="QA",3,IF($AH114="DPO Approval",4,IF($AH114="RELEASED IN PROD",5,-1)))))),"Yes - was already at "&amp;$AH114&amp;", now back at "&amp;$C114,"No"))</f>
        <v/>
      </c>
      <c r="AJ114" s="9">
        <f>IF($B114="","",IF(AND(T114&lt;&gt;"",N114&lt;&gt;"",T114&lt;N114),"QA target is before DB Dev target",IF(AND(T114&lt;&gt;"",Q114&lt;&gt;"",T114&lt;Q114),"QA target is before PBI Dev target",IF(AND(W114&lt;&gt;"",T114&lt;&gt;"",W114&lt;T114),"DPO Approval target is before QA target",IF(AND(Z114&lt;&gt;"",W114&lt;&gt;"",Z114&lt;W114),"Confirmed Deployed date is before DPO Approval target","")))))</f>
        <v/>
      </c>
      <c r="AK114" s="9">
        <f>IF($B114="","",IF(COUNTIF($B$2:$B$500,$B114)&gt;1,"Duplicate name - check row",""))</f>
        <v/>
      </c>
      <c r="AL114" s="1" t="n"/>
      <c r="AM114" s="9">
        <f>IF($B114="","",SUMPRODUCT(MAX(('Rework Log'!$A$3:$A$500=$B114)*ROW('Rework Log'!$A$3:$A$500))))</f>
        <v/>
      </c>
    </row>
    <row r="115">
      <c r="A115" s="1" t="n"/>
      <c r="B115" s="1" t="n"/>
      <c r="C115" s="1" t="n"/>
      <c r="D115" s="9">
        <f>IF($B115="","",IF(LEFT($AC115,3)="Yes","Blocked",IF(C115="NOT STARTED",IF(K115="","No plan date set",IF(K115&lt;TODAY(),"Review - planned start passed","On track")),IF(C115="DB Dev",IF(N115="","No target set",IF(AND(N115&lt;TODAY(),P115=""),"Overdue","On track")),IF(C115="PBI Dev",IF(Q115="","No target set",IF(AND(Q115&lt;TODAY(),S115=""),"Overdue","On track")),IF(C115="QA",IF(T115="","No target set",IF(AND(T115&lt;TODAY(),V115=""),"Overdue","On track")),IF(C115="DPO Approval",IF(W115="","No target set",IF(W115&lt;TODAY(),"Overdue","On track")),IF(C115="RELEASED IN PROD","Delivered",""))))))))</f>
        <v/>
      </c>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c r="AA115" s="1" t="n"/>
      <c r="AB115" s="1" t="n"/>
      <c r="AC115" s="1" t="n"/>
      <c r="AD115" s="9">
        <f>IF($B115="","",COUNTIF('Rework Log'!$A$3:$A$500,$B115))</f>
        <v/>
      </c>
      <c r="AE115" s="9">
        <f>IF(OR($B115="",$AM115=0),"",INDEX('Rework Log'!$C:$C,$AM115))</f>
        <v/>
      </c>
      <c r="AF115" s="9">
        <f>IF(OR($B115="",$AM115=0),"",INDEX('Rework Log'!$H:$H,$AM115))</f>
        <v/>
      </c>
      <c r="AG115" s="9">
        <f>IF(OR($B115="",$AM115=0),"",INDEX('Rework Log'!$G:$G,$AM115))</f>
        <v/>
      </c>
      <c r="AH115" s="9">
        <f>IF($B115="","",IF(W115&lt;&gt;"","DPO Approval",IF(T115&lt;&gt;"","QA",IF(Q115&lt;&gt;"","PBI Dev",IF(N115&lt;&gt;"","DB Dev","NOT STARTED")))))</f>
        <v/>
      </c>
      <c r="AI115" s="9">
        <f>IF($B115="","",IF(IF($C115="NOT STARTED",0,IF($C115="DB Dev",1,IF($C115="PBI Dev",2,IF($C115="QA",3,IF($C115="DPO Approval",4,IF($C115="RELEASED IN PROD",5,-1))))))&lt;IF($AH115="NOT STARTED",0,IF($AH115="DB Dev",1,IF($AH115="PBI Dev",2,IF($AH115="QA",3,IF($AH115="DPO Approval",4,IF($AH115="RELEASED IN PROD",5,-1)))))),"Yes - was already at "&amp;$AH115&amp;", now back at "&amp;$C115,"No"))</f>
        <v/>
      </c>
      <c r="AJ115" s="9">
        <f>IF($B115="","",IF(AND(T115&lt;&gt;"",N115&lt;&gt;"",T115&lt;N115),"QA target is before DB Dev target",IF(AND(T115&lt;&gt;"",Q115&lt;&gt;"",T115&lt;Q115),"QA target is before PBI Dev target",IF(AND(W115&lt;&gt;"",T115&lt;&gt;"",W115&lt;T115),"DPO Approval target is before QA target",IF(AND(Z115&lt;&gt;"",W115&lt;&gt;"",Z115&lt;W115),"Confirmed Deployed date is before DPO Approval target","")))))</f>
        <v/>
      </c>
      <c r="AK115" s="9">
        <f>IF($B115="","",IF(COUNTIF($B$2:$B$500,$B115)&gt;1,"Duplicate name - check row",""))</f>
        <v/>
      </c>
      <c r="AL115" s="1" t="n"/>
      <c r="AM115" s="9">
        <f>IF($B115="","",SUMPRODUCT(MAX(('Rework Log'!$A$3:$A$500=$B115)*ROW('Rework Log'!$A$3:$A$500))))</f>
        <v/>
      </c>
    </row>
    <row r="116">
      <c r="A116" s="1" t="n"/>
      <c r="B116" s="1" t="n"/>
      <c r="C116" s="1" t="n"/>
      <c r="D116" s="9">
        <f>IF($B116="","",IF(LEFT($AC116,3)="Yes","Blocked",IF(C116="NOT STARTED",IF(K116="","No plan date set",IF(K116&lt;TODAY(),"Review - planned start passed","On track")),IF(C116="DB Dev",IF(N116="","No target set",IF(AND(N116&lt;TODAY(),P116=""),"Overdue","On track")),IF(C116="PBI Dev",IF(Q116="","No target set",IF(AND(Q116&lt;TODAY(),S116=""),"Overdue","On track")),IF(C116="QA",IF(T116="","No target set",IF(AND(T116&lt;TODAY(),V116=""),"Overdue","On track")),IF(C116="DPO Approval",IF(W116="","No target set",IF(W116&lt;TODAY(),"Overdue","On track")),IF(C116="RELEASED IN PROD","Delivered",""))))))))</f>
        <v/>
      </c>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c r="AA116" s="1" t="n"/>
      <c r="AB116" s="1" t="n"/>
      <c r="AC116" s="1" t="n"/>
      <c r="AD116" s="9">
        <f>IF($B116="","",COUNTIF('Rework Log'!$A$3:$A$500,$B116))</f>
        <v/>
      </c>
      <c r="AE116" s="9">
        <f>IF(OR($B116="",$AM116=0),"",INDEX('Rework Log'!$C:$C,$AM116))</f>
        <v/>
      </c>
      <c r="AF116" s="9">
        <f>IF(OR($B116="",$AM116=0),"",INDEX('Rework Log'!$H:$H,$AM116))</f>
        <v/>
      </c>
      <c r="AG116" s="9">
        <f>IF(OR($B116="",$AM116=0),"",INDEX('Rework Log'!$G:$G,$AM116))</f>
        <v/>
      </c>
      <c r="AH116" s="9">
        <f>IF($B116="","",IF(W116&lt;&gt;"","DPO Approval",IF(T116&lt;&gt;"","QA",IF(Q116&lt;&gt;"","PBI Dev",IF(N116&lt;&gt;"","DB Dev","NOT STARTED")))))</f>
        <v/>
      </c>
      <c r="AI116" s="9">
        <f>IF($B116="","",IF(IF($C116="NOT STARTED",0,IF($C116="DB Dev",1,IF($C116="PBI Dev",2,IF($C116="QA",3,IF($C116="DPO Approval",4,IF($C116="RELEASED IN PROD",5,-1))))))&lt;IF($AH116="NOT STARTED",0,IF($AH116="DB Dev",1,IF($AH116="PBI Dev",2,IF($AH116="QA",3,IF($AH116="DPO Approval",4,IF($AH116="RELEASED IN PROD",5,-1)))))),"Yes - was already at "&amp;$AH116&amp;", now back at "&amp;$C116,"No"))</f>
        <v/>
      </c>
      <c r="AJ116" s="9">
        <f>IF($B116="","",IF(AND(T116&lt;&gt;"",N116&lt;&gt;"",T116&lt;N116),"QA target is before DB Dev target",IF(AND(T116&lt;&gt;"",Q116&lt;&gt;"",T116&lt;Q116),"QA target is before PBI Dev target",IF(AND(W116&lt;&gt;"",T116&lt;&gt;"",W116&lt;T116),"DPO Approval target is before QA target",IF(AND(Z116&lt;&gt;"",W116&lt;&gt;"",Z116&lt;W116),"Confirmed Deployed date is before DPO Approval target","")))))</f>
        <v/>
      </c>
      <c r="AK116" s="9">
        <f>IF($B116="","",IF(COUNTIF($B$2:$B$500,$B116)&gt;1,"Duplicate name - check row",""))</f>
        <v/>
      </c>
      <c r="AL116" s="1" t="n"/>
      <c r="AM116" s="9">
        <f>IF($B116="","",SUMPRODUCT(MAX(('Rework Log'!$A$3:$A$500=$B116)*ROW('Rework Log'!$A$3:$A$500))))</f>
        <v/>
      </c>
    </row>
    <row r="117">
      <c r="A117" s="1" t="n"/>
      <c r="B117" s="1" t="n"/>
      <c r="C117" s="1" t="n"/>
      <c r="D117" s="9">
        <f>IF($B117="","",IF(LEFT($AC117,3)="Yes","Blocked",IF(C117="NOT STARTED",IF(K117="","No plan date set",IF(K117&lt;TODAY(),"Review - planned start passed","On track")),IF(C117="DB Dev",IF(N117="","No target set",IF(AND(N117&lt;TODAY(),P117=""),"Overdue","On track")),IF(C117="PBI Dev",IF(Q117="","No target set",IF(AND(Q117&lt;TODAY(),S117=""),"Overdue","On track")),IF(C117="QA",IF(T117="","No target set",IF(AND(T117&lt;TODAY(),V117=""),"Overdue","On track")),IF(C117="DPO Approval",IF(W117="","No target set",IF(W117&lt;TODAY(),"Overdue","On track")),IF(C117="RELEASED IN PROD","Delivered",""))))))))</f>
        <v/>
      </c>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c r="AA117" s="1" t="n"/>
      <c r="AB117" s="1" t="n"/>
      <c r="AC117" s="1" t="n"/>
      <c r="AD117" s="9">
        <f>IF($B117="","",COUNTIF('Rework Log'!$A$3:$A$500,$B117))</f>
        <v/>
      </c>
      <c r="AE117" s="9">
        <f>IF(OR($B117="",$AM117=0),"",INDEX('Rework Log'!$C:$C,$AM117))</f>
        <v/>
      </c>
      <c r="AF117" s="9">
        <f>IF(OR($B117="",$AM117=0),"",INDEX('Rework Log'!$H:$H,$AM117))</f>
        <v/>
      </c>
      <c r="AG117" s="9">
        <f>IF(OR($B117="",$AM117=0),"",INDEX('Rework Log'!$G:$G,$AM117))</f>
        <v/>
      </c>
      <c r="AH117" s="9">
        <f>IF($B117="","",IF(W117&lt;&gt;"","DPO Approval",IF(T117&lt;&gt;"","QA",IF(Q117&lt;&gt;"","PBI Dev",IF(N117&lt;&gt;"","DB Dev","NOT STARTED")))))</f>
        <v/>
      </c>
      <c r="AI117" s="9">
        <f>IF($B117="","",IF(IF($C117="NOT STARTED",0,IF($C117="DB Dev",1,IF($C117="PBI Dev",2,IF($C117="QA",3,IF($C117="DPO Approval",4,IF($C117="RELEASED IN PROD",5,-1))))))&lt;IF($AH117="NOT STARTED",0,IF($AH117="DB Dev",1,IF($AH117="PBI Dev",2,IF($AH117="QA",3,IF($AH117="DPO Approval",4,IF($AH117="RELEASED IN PROD",5,-1)))))),"Yes - was already at "&amp;$AH117&amp;", now back at "&amp;$C117,"No"))</f>
        <v/>
      </c>
      <c r="AJ117" s="9">
        <f>IF($B117="","",IF(AND(T117&lt;&gt;"",N117&lt;&gt;"",T117&lt;N117),"QA target is before DB Dev target",IF(AND(T117&lt;&gt;"",Q117&lt;&gt;"",T117&lt;Q117),"QA target is before PBI Dev target",IF(AND(W117&lt;&gt;"",T117&lt;&gt;"",W117&lt;T117),"DPO Approval target is before QA target",IF(AND(Z117&lt;&gt;"",W117&lt;&gt;"",Z117&lt;W117),"Confirmed Deployed date is before DPO Approval target","")))))</f>
        <v/>
      </c>
      <c r="AK117" s="9">
        <f>IF($B117="","",IF(COUNTIF($B$2:$B$500,$B117)&gt;1,"Duplicate name - check row",""))</f>
        <v/>
      </c>
      <c r="AL117" s="1" t="n"/>
      <c r="AM117" s="9">
        <f>IF($B117="","",SUMPRODUCT(MAX(('Rework Log'!$A$3:$A$500=$B117)*ROW('Rework Log'!$A$3:$A$500))))</f>
        <v/>
      </c>
    </row>
    <row r="118">
      <c r="A118" s="1" t="n"/>
      <c r="B118" s="1" t="n"/>
      <c r="C118" s="1" t="n"/>
      <c r="D118" s="9">
        <f>IF($B118="","",IF(LEFT($AC118,3)="Yes","Blocked",IF(C118="NOT STARTED",IF(K118="","No plan date set",IF(K118&lt;TODAY(),"Review - planned start passed","On track")),IF(C118="DB Dev",IF(N118="","No target set",IF(AND(N118&lt;TODAY(),P118=""),"Overdue","On track")),IF(C118="PBI Dev",IF(Q118="","No target set",IF(AND(Q118&lt;TODAY(),S118=""),"Overdue","On track")),IF(C118="QA",IF(T118="","No target set",IF(AND(T118&lt;TODAY(),V118=""),"Overdue","On track")),IF(C118="DPO Approval",IF(W118="","No target set",IF(W118&lt;TODAY(),"Overdue","On track")),IF(C118="RELEASED IN PROD","Delivered",""))))))))</f>
        <v/>
      </c>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c r="AA118" s="1" t="n"/>
      <c r="AB118" s="1" t="n"/>
      <c r="AC118" s="1" t="n"/>
      <c r="AD118" s="9">
        <f>IF($B118="","",COUNTIF('Rework Log'!$A$3:$A$500,$B118))</f>
        <v/>
      </c>
      <c r="AE118" s="9">
        <f>IF(OR($B118="",$AM118=0),"",INDEX('Rework Log'!$C:$C,$AM118))</f>
        <v/>
      </c>
      <c r="AF118" s="9">
        <f>IF(OR($B118="",$AM118=0),"",INDEX('Rework Log'!$H:$H,$AM118))</f>
        <v/>
      </c>
      <c r="AG118" s="9">
        <f>IF(OR($B118="",$AM118=0),"",INDEX('Rework Log'!$G:$G,$AM118))</f>
        <v/>
      </c>
      <c r="AH118" s="9">
        <f>IF($B118="","",IF(W118&lt;&gt;"","DPO Approval",IF(T118&lt;&gt;"","QA",IF(Q118&lt;&gt;"","PBI Dev",IF(N118&lt;&gt;"","DB Dev","NOT STARTED")))))</f>
        <v/>
      </c>
      <c r="AI118" s="9">
        <f>IF($B118="","",IF(IF($C118="NOT STARTED",0,IF($C118="DB Dev",1,IF($C118="PBI Dev",2,IF($C118="QA",3,IF($C118="DPO Approval",4,IF($C118="RELEASED IN PROD",5,-1))))))&lt;IF($AH118="NOT STARTED",0,IF($AH118="DB Dev",1,IF($AH118="PBI Dev",2,IF($AH118="QA",3,IF($AH118="DPO Approval",4,IF($AH118="RELEASED IN PROD",5,-1)))))),"Yes - was already at "&amp;$AH118&amp;", now back at "&amp;$C118,"No"))</f>
        <v/>
      </c>
      <c r="AJ118" s="9">
        <f>IF($B118="","",IF(AND(T118&lt;&gt;"",N118&lt;&gt;"",T118&lt;N118),"QA target is before DB Dev target",IF(AND(T118&lt;&gt;"",Q118&lt;&gt;"",T118&lt;Q118),"QA target is before PBI Dev target",IF(AND(W118&lt;&gt;"",T118&lt;&gt;"",W118&lt;T118),"DPO Approval target is before QA target",IF(AND(Z118&lt;&gt;"",W118&lt;&gt;"",Z118&lt;W118),"Confirmed Deployed date is before DPO Approval target","")))))</f>
        <v/>
      </c>
      <c r="AK118" s="9">
        <f>IF($B118="","",IF(COUNTIF($B$2:$B$500,$B118)&gt;1,"Duplicate name - check row",""))</f>
        <v/>
      </c>
      <c r="AL118" s="1" t="n"/>
      <c r="AM118" s="9">
        <f>IF($B118="","",SUMPRODUCT(MAX(('Rework Log'!$A$3:$A$500=$B118)*ROW('Rework Log'!$A$3:$A$500))))</f>
        <v/>
      </c>
    </row>
    <row r="119">
      <c r="A119" s="1" t="n"/>
      <c r="B119" s="1" t="n"/>
      <c r="C119" s="1" t="n"/>
      <c r="D119" s="9">
        <f>IF($B119="","",IF(LEFT($AC119,3)="Yes","Blocked",IF(C119="NOT STARTED",IF(K119="","No plan date set",IF(K119&lt;TODAY(),"Review - planned start passed","On track")),IF(C119="DB Dev",IF(N119="","No target set",IF(AND(N119&lt;TODAY(),P119=""),"Overdue","On track")),IF(C119="PBI Dev",IF(Q119="","No target set",IF(AND(Q119&lt;TODAY(),S119=""),"Overdue","On track")),IF(C119="QA",IF(T119="","No target set",IF(AND(T119&lt;TODAY(),V119=""),"Overdue","On track")),IF(C119="DPO Approval",IF(W119="","No target set",IF(W119&lt;TODAY(),"Overdue","On track")),IF(C119="RELEASED IN PROD","Delivered",""))))))))</f>
        <v/>
      </c>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c r="AA119" s="1" t="n"/>
      <c r="AB119" s="1" t="n"/>
      <c r="AC119" s="1" t="n"/>
      <c r="AD119" s="9">
        <f>IF($B119="","",COUNTIF('Rework Log'!$A$3:$A$500,$B119))</f>
        <v/>
      </c>
      <c r="AE119" s="9">
        <f>IF(OR($B119="",$AM119=0),"",INDEX('Rework Log'!$C:$C,$AM119))</f>
        <v/>
      </c>
      <c r="AF119" s="9">
        <f>IF(OR($B119="",$AM119=0),"",INDEX('Rework Log'!$H:$H,$AM119))</f>
        <v/>
      </c>
      <c r="AG119" s="9">
        <f>IF(OR($B119="",$AM119=0),"",INDEX('Rework Log'!$G:$G,$AM119))</f>
        <v/>
      </c>
      <c r="AH119" s="9">
        <f>IF($B119="","",IF(W119&lt;&gt;"","DPO Approval",IF(T119&lt;&gt;"","QA",IF(Q119&lt;&gt;"","PBI Dev",IF(N119&lt;&gt;"","DB Dev","NOT STARTED")))))</f>
        <v/>
      </c>
      <c r="AI119" s="9">
        <f>IF($B119="","",IF(IF($C119="NOT STARTED",0,IF($C119="DB Dev",1,IF($C119="PBI Dev",2,IF($C119="QA",3,IF($C119="DPO Approval",4,IF($C119="RELEASED IN PROD",5,-1))))))&lt;IF($AH119="NOT STARTED",0,IF($AH119="DB Dev",1,IF($AH119="PBI Dev",2,IF($AH119="QA",3,IF($AH119="DPO Approval",4,IF($AH119="RELEASED IN PROD",5,-1)))))),"Yes - was already at "&amp;$AH119&amp;", now back at "&amp;$C119,"No"))</f>
        <v/>
      </c>
      <c r="AJ119" s="9">
        <f>IF($B119="","",IF(AND(T119&lt;&gt;"",N119&lt;&gt;"",T119&lt;N119),"QA target is before DB Dev target",IF(AND(T119&lt;&gt;"",Q119&lt;&gt;"",T119&lt;Q119),"QA target is before PBI Dev target",IF(AND(W119&lt;&gt;"",T119&lt;&gt;"",W119&lt;T119),"DPO Approval target is before QA target",IF(AND(Z119&lt;&gt;"",W119&lt;&gt;"",Z119&lt;W119),"Confirmed Deployed date is before DPO Approval target","")))))</f>
        <v/>
      </c>
      <c r="AK119" s="9">
        <f>IF($B119="","",IF(COUNTIF($B$2:$B$500,$B119)&gt;1,"Duplicate name - check row",""))</f>
        <v/>
      </c>
      <c r="AL119" s="1" t="n"/>
      <c r="AM119" s="9">
        <f>IF($B119="","",SUMPRODUCT(MAX(('Rework Log'!$A$3:$A$500=$B119)*ROW('Rework Log'!$A$3:$A$500))))</f>
        <v/>
      </c>
    </row>
    <row r="120">
      <c r="A120" s="1" t="n"/>
      <c r="B120" s="1" t="n"/>
      <c r="C120" s="1" t="n"/>
      <c r="D120" s="9">
        <f>IF($B120="","",IF(LEFT($AC120,3)="Yes","Blocked",IF(C120="NOT STARTED",IF(K120="","No plan date set",IF(K120&lt;TODAY(),"Review - planned start passed","On track")),IF(C120="DB Dev",IF(N120="","No target set",IF(AND(N120&lt;TODAY(),P120=""),"Overdue","On track")),IF(C120="PBI Dev",IF(Q120="","No target set",IF(AND(Q120&lt;TODAY(),S120=""),"Overdue","On track")),IF(C120="QA",IF(T120="","No target set",IF(AND(T120&lt;TODAY(),V120=""),"Overdue","On track")),IF(C120="DPO Approval",IF(W120="","No target set",IF(W120&lt;TODAY(),"Overdue","On track")),IF(C120="RELEASED IN PROD","Delivered",""))))))))</f>
        <v/>
      </c>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c r="AA120" s="1" t="n"/>
      <c r="AB120" s="1" t="n"/>
      <c r="AC120" s="1" t="n"/>
      <c r="AD120" s="9">
        <f>IF($B120="","",COUNTIF('Rework Log'!$A$3:$A$500,$B120))</f>
        <v/>
      </c>
      <c r="AE120" s="9">
        <f>IF(OR($B120="",$AM120=0),"",INDEX('Rework Log'!$C:$C,$AM120))</f>
        <v/>
      </c>
      <c r="AF120" s="9">
        <f>IF(OR($B120="",$AM120=0),"",INDEX('Rework Log'!$H:$H,$AM120))</f>
        <v/>
      </c>
      <c r="AG120" s="9">
        <f>IF(OR($B120="",$AM120=0),"",INDEX('Rework Log'!$G:$G,$AM120))</f>
        <v/>
      </c>
      <c r="AH120" s="9">
        <f>IF($B120="","",IF(W120&lt;&gt;"","DPO Approval",IF(T120&lt;&gt;"","QA",IF(Q120&lt;&gt;"","PBI Dev",IF(N120&lt;&gt;"","DB Dev","NOT STARTED")))))</f>
        <v/>
      </c>
      <c r="AI120" s="9">
        <f>IF($B120="","",IF(IF($C120="NOT STARTED",0,IF($C120="DB Dev",1,IF($C120="PBI Dev",2,IF($C120="QA",3,IF($C120="DPO Approval",4,IF($C120="RELEASED IN PROD",5,-1))))))&lt;IF($AH120="NOT STARTED",0,IF($AH120="DB Dev",1,IF($AH120="PBI Dev",2,IF($AH120="QA",3,IF($AH120="DPO Approval",4,IF($AH120="RELEASED IN PROD",5,-1)))))),"Yes - was already at "&amp;$AH120&amp;", now back at "&amp;$C120,"No"))</f>
        <v/>
      </c>
      <c r="AJ120" s="9">
        <f>IF($B120="","",IF(AND(T120&lt;&gt;"",N120&lt;&gt;"",T120&lt;N120),"QA target is before DB Dev target",IF(AND(T120&lt;&gt;"",Q120&lt;&gt;"",T120&lt;Q120),"QA target is before PBI Dev target",IF(AND(W120&lt;&gt;"",T120&lt;&gt;"",W120&lt;T120),"DPO Approval target is before QA target",IF(AND(Z120&lt;&gt;"",W120&lt;&gt;"",Z120&lt;W120),"Confirmed Deployed date is before DPO Approval target","")))))</f>
        <v/>
      </c>
      <c r="AK120" s="9">
        <f>IF($B120="","",IF(COUNTIF($B$2:$B$500,$B120)&gt;1,"Duplicate name - check row",""))</f>
        <v/>
      </c>
      <c r="AL120" s="1" t="n"/>
      <c r="AM120" s="9">
        <f>IF($B120="","",SUMPRODUCT(MAX(('Rework Log'!$A$3:$A$500=$B120)*ROW('Rework Log'!$A$3:$A$500))))</f>
        <v/>
      </c>
    </row>
    <row r="121">
      <c r="A121" s="1" t="n"/>
      <c r="B121" s="1" t="n"/>
      <c r="C121" s="1" t="n"/>
      <c r="D121" s="9">
        <f>IF($B121="","",IF(LEFT($AC121,3)="Yes","Blocked",IF(C121="NOT STARTED",IF(K121="","No plan date set",IF(K121&lt;TODAY(),"Review - planned start passed","On track")),IF(C121="DB Dev",IF(N121="","No target set",IF(AND(N121&lt;TODAY(),P121=""),"Overdue","On track")),IF(C121="PBI Dev",IF(Q121="","No target set",IF(AND(Q121&lt;TODAY(),S121=""),"Overdue","On track")),IF(C121="QA",IF(T121="","No target set",IF(AND(T121&lt;TODAY(),V121=""),"Overdue","On track")),IF(C121="DPO Approval",IF(W121="","No target set",IF(W121&lt;TODAY(),"Overdue","On track")),IF(C121="RELEASED IN PROD","Delivered",""))))))))</f>
        <v/>
      </c>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c r="AA121" s="1" t="n"/>
      <c r="AB121" s="1" t="n"/>
      <c r="AC121" s="1" t="n"/>
      <c r="AD121" s="9">
        <f>IF($B121="","",COUNTIF('Rework Log'!$A$3:$A$500,$B121))</f>
        <v/>
      </c>
      <c r="AE121" s="9">
        <f>IF(OR($B121="",$AM121=0),"",INDEX('Rework Log'!$C:$C,$AM121))</f>
        <v/>
      </c>
      <c r="AF121" s="9">
        <f>IF(OR($B121="",$AM121=0),"",INDEX('Rework Log'!$H:$H,$AM121))</f>
        <v/>
      </c>
      <c r="AG121" s="9">
        <f>IF(OR($B121="",$AM121=0),"",INDEX('Rework Log'!$G:$G,$AM121))</f>
        <v/>
      </c>
      <c r="AH121" s="9">
        <f>IF($B121="","",IF(W121&lt;&gt;"","DPO Approval",IF(T121&lt;&gt;"","QA",IF(Q121&lt;&gt;"","PBI Dev",IF(N121&lt;&gt;"","DB Dev","NOT STARTED")))))</f>
        <v/>
      </c>
      <c r="AI121" s="9">
        <f>IF($B121="","",IF(IF($C121="NOT STARTED",0,IF($C121="DB Dev",1,IF($C121="PBI Dev",2,IF($C121="QA",3,IF($C121="DPO Approval",4,IF($C121="RELEASED IN PROD",5,-1))))))&lt;IF($AH121="NOT STARTED",0,IF($AH121="DB Dev",1,IF($AH121="PBI Dev",2,IF($AH121="QA",3,IF($AH121="DPO Approval",4,IF($AH121="RELEASED IN PROD",5,-1)))))),"Yes - was already at "&amp;$AH121&amp;", now back at "&amp;$C121,"No"))</f>
        <v/>
      </c>
      <c r="AJ121" s="9">
        <f>IF($B121="","",IF(AND(T121&lt;&gt;"",N121&lt;&gt;"",T121&lt;N121),"QA target is before DB Dev target",IF(AND(T121&lt;&gt;"",Q121&lt;&gt;"",T121&lt;Q121),"QA target is before PBI Dev target",IF(AND(W121&lt;&gt;"",T121&lt;&gt;"",W121&lt;T121),"DPO Approval target is before QA target",IF(AND(Z121&lt;&gt;"",W121&lt;&gt;"",Z121&lt;W121),"Confirmed Deployed date is before DPO Approval target","")))))</f>
        <v/>
      </c>
      <c r="AK121" s="9">
        <f>IF($B121="","",IF(COUNTIF($B$2:$B$500,$B121)&gt;1,"Duplicate name - check row",""))</f>
        <v/>
      </c>
      <c r="AL121" s="1" t="n"/>
      <c r="AM121" s="9">
        <f>IF($B121="","",SUMPRODUCT(MAX(('Rework Log'!$A$3:$A$500=$B121)*ROW('Rework Log'!$A$3:$A$500))))</f>
        <v/>
      </c>
    </row>
    <row r="122">
      <c r="A122" s="1" t="n"/>
      <c r="B122" s="1" t="n"/>
      <c r="C122" s="1" t="n"/>
      <c r="D122" s="9">
        <f>IF($B122="","",IF(LEFT($AC122,3)="Yes","Blocked",IF(C122="NOT STARTED",IF(K122="","No plan date set",IF(K122&lt;TODAY(),"Review - planned start passed","On track")),IF(C122="DB Dev",IF(N122="","No target set",IF(AND(N122&lt;TODAY(),P122=""),"Overdue","On track")),IF(C122="PBI Dev",IF(Q122="","No target set",IF(AND(Q122&lt;TODAY(),S122=""),"Overdue","On track")),IF(C122="QA",IF(T122="","No target set",IF(AND(T122&lt;TODAY(),V122=""),"Overdue","On track")),IF(C122="DPO Approval",IF(W122="","No target set",IF(W122&lt;TODAY(),"Overdue","On track")),IF(C122="RELEASED IN PROD","Delivered",""))))))))</f>
        <v/>
      </c>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c r="AA122" s="1" t="n"/>
      <c r="AB122" s="1" t="n"/>
      <c r="AC122" s="1" t="n"/>
      <c r="AD122" s="9">
        <f>IF($B122="","",COUNTIF('Rework Log'!$A$3:$A$500,$B122))</f>
        <v/>
      </c>
      <c r="AE122" s="9">
        <f>IF(OR($B122="",$AM122=0),"",INDEX('Rework Log'!$C:$C,$AM122))</f>
        <v/>
      </c>
      <c r="AF122" s="9">
        <f>IF(OR($B122="",$AM122=0),"",INDEX('Rework Log'!$H:$H,$AM122))</f>
        <v/>
      </c>
      <c r="AG122" s="9">
        <f>IF(OR($B122="",$AM122=0),"",INDEX('Rework Log'!$G:$G,$AM122))</f>
        <v/>
      </c>
      <c r="AH122" s="9">
        <f>IF($B122="","",IF(W122&lt;&gt;"","DPO Approval",IF(T122&lt;&gt;"","QA",IF(Q122&lt;&gt;"","PBI Dev",IF(N122&lt;&gt;"","DB Dev","NOT STARTED")))))</f>
        <v/>
      </c>
      <c r="AI122" s="9">
        <f>IF($B122="","",IF(IF($C122="NOT STARTED",0,IF($C122="DB Dev",1,IF($C122="PBI Dev",2,IF($C122="QA",3,IF($C122="DPO Approval",4,IF($C122="RELEASED IN PROD",5,-1))))))&lt;IF($AH122="NOT STARTED",0,IF($AH122="DB Dev",1,IF($AH122="PBI Dev",2,IF($AH122="QA",3,IF($AH122="DPO Approval",4,IF($AH122="RELEASED IN PROD",5,-1)))))),"Yes - was already at "&amp;$AH122&amp;", now back at "&amp;$C122,"No"))</f>
        <v/>
      </c>
      <c r="AJ122" s="9">
        <f>IF($B122="","",IF(AND(T122&lt;&gt;"",N122&lt;&gt;"",T122&lt;N122),"QA target is before DB Dev target",IF(AND(T122&lt;&gt;"",Q122&lt;&gt;"",T122&lt;Q122),"QA target is before PBI Dev target",IF(AND(W122&lt;&gt;"",T122&lt;&gt;"",W122&lt;T122),"DPO Approval target is before QA target",IF(AND(Z122&lt;&gt;"",W122&lt;&gt;"",Z122&lt;W122),"Confirmed Deployed date is before DPO Approval target","")))))</f>
        <v/>
      </c>
      <c r="AK122" s="9">
        <f>IF($B122="","",IF(COUNTIF($B$2:$B$500,$B122)&gt;1,"Duplicate name - check row",""))</f>
        <v/>
      </c>
      <c r="AL122" s="1" t="n"/>
      <c r="AM122" s="9">
        <f>IF($B122="","",SUMPRODUCT(MAX(('Rework Log'!$A$3:$A$500=$B122)*ROW('Rework Log'!$A$3:$A$500))))</f>
        <v/>
      </c>
    </row>
    <row r="123">
      <c r="A123" s="1" t="n"/>
      <c r="B123" s="1" t="n"/>
      <c r="C123" s="1" t="n"/>
      <c r="D123" s="9">
        <f>IF($B123="","",IF(LEFT($AC123,3)="Yes","Blocked",IF(C123="NOT STARTED",IF(K123="","No plan date set",IF(K123&lt;TODAY(),"Review - planned start passed","On track")),IF(C123="DB Dev",IF(N123="","No target set",IF(AND(N123&lt;TODAY(),P123=""),"Overdue","On track")),IF(C123="PBI Dev",IF(Q123="","No target set",IF(AND(Q123&lt;TODAY(),S123=""),"Overdue","On track")),IF(C123="QA",IF(T123="","No target set",IF(AND(T123&lt;TODAY(),V123=""),"Overdue","On track")),IF(C123="DPO Approval",IF(W123="","No target set",IF(W123&lt;TODAY(),"Overdue","On track")),IF(C123="RELEASED IN PROD","Delivered",""))))))))</f>
        <v/>
      </c>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c r="AA123" s="1" t="n"/>
      <c r="AB123" s="1" t="n"/>
      <c r="AC123" s="1" t="n"/>
      <c r="AD123" s="9">
        <f>IF($B123="","",COUNTIF('Rework Log'!$A$3:$A$500,$B123))</f>
        <v/>
      </c>
      <c r="AE123" s="9">
        <f>IF(OR($B123="",$AM123=0),"",INDEX('Rework Log'!$C:$C,$AM123))</f>
        <v/>
      </c>
      <c r="AF123" s="9">
        <f>IF(OR($B123="",$AM123=0),"",INDEX('Rework Log'!$H:$H,$AM123))</f>
        <v/>
      </c>
      <c r="AG123" s="9">
        <f>IF(OR($B123="",$AM123=0),"",INDEX('Rework Log'!$G:$G,$AM123))</f>
        <v/>
      </c>
      <c r="AH123" s="9">
        <f>IF($B123="","",IF(W123&lt;&gt;"","DPO Approval",IF(T123&lt;&gt;"","QA",IF(Q123&lt;&gt;"","PBI Dev",IF(N123&lt;&gt;"","DB Dev","NOT STARTED")))))</f>
        <v/>
      </c>
      <c r="AI123" s="9">
        <f>IF($B123="","",IF(IF($C123="NOT STARTED",0,IF($C123="DB Dev",1,IF($C123="PBI Dev",2,IF($C123="QA",3,IF($C123="DPO Approval",4,IF($C123="RELEASED IN PROD",5,-1))))))&lt;IF($AH123="NOT STARTED",0,IF($AH123="DB Dev",1,IF($AH123="PBI Dev",2,IF($AH123="QA",3,IF($AH123="DPO Approval",4,IF($AH123="RELEASED IN PROD",5,-1)))))),"Yes - was already at "&amp;$AH123&amp;", now back at "&amp;$C123,"No"))</f>
        <v/>
      </c>
      <c r="AJ123" s="9">
        <f>IF($B123="","",IF(AND(T123&lt;&gt;"",N123&lt;&gt;"",T123&lt;N123),"QA target is before DB Dev target",IF(AND(T123&lt;&gt;"",Q123&lt;&gt;"",T123&lt;Q123),"QA target is before PBI Dev target",IF(AND(W123&lt;&gt;"",T123&lt;&gt;"",W123&lt;T123),"DPO Approval target is before QA target",IF(AND(Z123&lt;&gt;"",W123&lt;&gt;"",Z123&lt;W123),"Confirmed Deployed date is before DPO Approval target","")))))</f>
        <v/>
      </c>
      <c r="AK123" s="9">
        <f>IF($B123="","",IF(COUNTIF($B$2:$B$500,$B123)&gt;1,"Duplicate name - check row",""))</f>
        <v/>
      </c>
      <c r="AL123" s="1" t="n"/>
      <c r="AM123" s="9">
        <f>IF($B123="","",SUMPRODUCT(MAX(('Rework Log'!$A$3:$A$500=$B123)*ROW('Rework Log'!$A$3:$A$500))))</f>
        <v/>
      </c>
    </row>
    <row r="124">
      <c r="A124" s="1" t="n"/>
      <c r="B124" s="1" t="n"/>
      <c r="C124" s="1" t="n"/>
      <c r="D124" s="9">
        <f>IF($B124="","",IF(LEFT($AC124,3)="Yes","Blocked",IF(C124="NOT STARTED",IF(K124="","No plan date set",IF(K124&lt;TODAY(),"Review - planned start passed","On track")),IF(C124="DB Dev",IF(N124="","No target set",IF(AND(N124&lt;TODAY(),P124=""),"Overdue","On track")),IF(C124="PBI Dev",IF(Q124="","No target set",IF(AND(Q124&lt;TODAY(),S124=""),"Overdue","On track")),IF(C124="QA",IF(T124="","No target set",IF(AND(T124&lt;TODAY(),V124=""),"Overdue","On track")),IF(C124="DPO Approval",IF(W124="","No target set",IF(W124&lt;TODAY(),"Overdue","On track")),IF(C124="RELEASED IN PROD","Delivered",""))))))))</f>
        <v/>
      </c>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c r="AA124" s="1" t="n"/>
      <c r="AB124" s="1" t="n"/>
      <c r="AC124" s="1" t="n"/>
      <c r="AD124" s="9">
        <f>IF($B124="","",COUNTIF('Rework Log'!$A$3:$A$500,$B124))</f>
        <v/>
      </c>
      <c r="AE124" s="9">
        <f>IF(OR($B124="",$AM124=0),"",INDEX('Rework Log'!$C:$C,$AM124))</f>
        <v/>
      </c>
      <c r="AF124" s="9">
        <f>IF(OR($B124="",$AM124=0),"",INDEX('Rework Log'!$H:$H,$AM124))</f>
        <v/>
      </c>
      <c r="AG124" s="9">
        <f>IF(OR($B124="",$AM124=0),"",INDEX('Rework Log'!$G:$G,$AM124))</f>
        <v/>
      </c>
      <c r="AH124" s="9">
        <f>IF($B124="","",IF(W124&lt;&gt;"","DPO Approval",IF(T124&lt;&gt;"","QA",IF(Q124&lt;&gt;"","PBI Dev",IF(N124&lt;&gt;"","DB Dev","NOT STARTED")))))</f>
        <v/>
      </c>
      <c r="AI124" s="9">
        <f>IF($B124="","",IF(IF($C124="NOT STARTED",0,IF($C124="DB Dev",1,IF($C124="PBI Dev",2,IF($C124="QA",3,IF($C124="DPO Approval",4,IF($C124="RELEASED IN PROD",5,-1))))))&lt;IF($AH124="NOT STARTED",0,IF($AH124="DB Dev",1,IF($AH124="PBI Dev",2,IF($AH124="QA",3,IF($AH124="DPO Approval",4,IF($AH124="RELEASED IN PROD",5,-1)))))),"Yes - was already at "&amp;$AH124&amp;", now back at "&amp;$C124,"No"))</f>
        <v/>
      </c>
      <c r="AJ124" s="9">
        <f>IF($B124="","",IF(AND(T124&lt;&gt;"",N124&lt;&gt;"",T124&lt;N124),"QA target is before DB Dev target",IF(AND(T124&lt;&gt;"",Q124&lt;&gt;"",T124&lt;Q124),"QA target is before PBI Dev target",IF(AND(W124&lt;&gt;"",T124&lt;&gt;"",W124&lt;T124),"DPO Approval target is before QA target",IF(AND(Z124&lt;&gt;"",W124&lt;&gt;"",Z124&lt;W124),"Confirmed Deployed date is before DPO Approval target","")))))</f>
        <v/>
      </c>
      <c r="AK124" s="9">
        <f>IF($B124="","",IF(COUNTIF($B$2:$B$500,$B124)&gt;1,"Duplicate name - check row",""))</f>
        <v/>
      </c>
      <c r="AL124" s="1" t="n"/>
      <c r="AM124" s="9">
        <f>IF($B124="","",SUMPRODUCT(MAX(('Rework Log'!$A$3:$A$500=$B124)*ROW('Rework Log'!$A$3:$A$500))))</f>
        <v/>
      </c>
    </row>
    <row r="125">
      <c r="A125" s="1" t="n"/>
      <c r="B125" s="1" t="n"/>
      <c r="C125" s="1" t="n"/>
      <c r="D125" s="9">
        <f>IF($B125="","",IF(LEFT($AC125,3)="Yes","Blocked",IF(C125="NOT STARTED",IF(K125="","No plan date set",IF(K125&lt;TODAY(),"Review - planned start passed","On track")),IF(C125="DB Dev",IF(N125="","No target set",IF(AND(N125&lt;TODAY(),P125=""),"Overdue","On track")),IF(C125="PBI Dev",IF(Q125="","No target set",IF(AND(Q125&lt;TODAY(),S125=""),"Overdue","On track")),IF(C125="QA",IF(T125="","No target set",IF(AND(T125&lt;TODAY(),V125=""),"Overdue","On track")),IF(C125="DPO Approval",IF(W125="","No target set",IF(W125&lt;TODAY(),"Overdue","On track")),IF(C125="RELEASED IN PROD","Delivered",""))))))))</f>
        <v/>
      </c>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c r="AA125" s="1" t="n"/>
      <c r="AB125" s="1" t="n"/>
      <c r="AC125" s="1" t="n"/>
      <c r="AD125" s="9">
        <f>IF($B125="","",COUNTIF('Rework Log'!$A$3:$A$500,$B125))</f>
        <v/>
      </c>
      <c r="AE125" s="9">
        <f>IF(OR($B125="",$AM125=0),"",INDEX('Rework Log'!$C:$C,$AM125))</f>
        <v/>
      </c>
      <c r="AF125" s="9">
        <f>IF(OR($B125="",$AM125=0),"",INDEX('Rework Log'!$H:$H,$AM125))</f>
        <v/>
      </c>
      <c r="AG125" s="9">
        <f>IF(OR($B125="",$AM125=0),"",INDEX('Rework Log'!$G:$G,$AM125))</f>
        <v/>
      </c>
      <c r="AH125" s="9">
        <f>IF($B125="","",IF(W125&lt;&gt;"","DPO Approval",IF(T125&lt;&gt;"","QA",IF(Q125&lt;&gt;"","PBI Dev",IF(N125&lt;&gt;"","DB Dev","NOT STARTED")))))</f>
        <v/>
      </c>
      <c r="AI125" s="9">
        <f>IF($B125="","",IF(IF($C125="NOT STARTED",0,IF($C125="DB Dev",1,IF($C125="PBI Dev",2,IF($C125="QA",3,IF($C125="DPO Approval",4,IF($C125="RELEASED IN PROD",5,-1))))))&lt;IF($AH125="NOT STARTED",0,IF($AH125="DB Dev",1,IF($AH125="PBI Dev",2,IF($AH125="QA",3,IF($AH125="DPO Approval",4,IF($AH125="RELEASED IN PROD",5,-1)))))),"Yes - was already at "&amp;$AH125&amp;", now back at "&amp;$C125,"No"))</f>
        <v/>
      </c>
      <c r="AJ125" s="9">
        <f>IF($B125="","",IF(AND(T125&lt;&gt;"",N125&lt;&gt;"",T125&lt;N125),"QA target is before DB Dev target",IF(AND(T125&lt;&gt;"",Q125&lt;&gt;"",T125&lt;Q125),"QA target is before PBI Dev target",IF(AND(W125&lt;&gt;"",T125&lt;&gt;"",W125&lt;T125),"DPO Approval target is before QA target",IF(AND(Z125&lt;&gt;"",W125&lt;&gt;"",Z125&lt;W125),"Confirmed Deployed date is before DPO Approval target","")))))</f>
        <v/>
      </c>
      <c r="AK125" s="9">
        <f>IF($B125="","",IF(COUNTIF($B$2:$B$500,$B125)&gt;1,"Duplicate name - check row",""))</f>
        <v/>
      </c>
      <c r="AL125" s="1" t="n"/>
      <c r="AM125" s="9">
        <f>IF($B125="","",SUMPRODUCT(MAX(('Rework Log'!$A$3:$A$500=$B125)*ROW('Rework Log'!$A$3:$A$500))))</f>
        <v/>
      </c>
    </row>
    <row r="126">
      <c r="A126" s="1" t="n"/>
      <c r="B126" s="1" t="n"/>
      <c r="C126" s="1" t="n"/>
      <c r="D126" s="9">
        <f>IF($B126="","",IF(LEFT($AC126,3)="Yes","Blocked",IF(C126="NOT STARTED",IF(K126="","No plan date set",IF(K126&lt;TODAY(),"Review - planned start passed","On track")),IF(C126="DB Dev",IF(N126="","No target set",IF(AND(N126&lt;TODAY(),P126=""),"Overdue","On track")),IF(C126="PBI Dev",IF(Q126="","No target set",IF(AND(Q126&lt;TODAY(),S126=""),"Overdue","On track")),IF(C126="QA",IF(T126="","No target set",IF(AND(T126&lt;TODAY(),V126=""),"Overdue","On track")),IF(C126="DPO Approval",IF(W126="","No target set",IF(W126&lt;TODAY(),"Overdue","On track")),IF(C126="RELEASED IN PROD","Delivered",""))))))))</f>
        <v/>
      </c>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c r="AA126" s="1" t="n"/>
      <c r="AB126" s="1" t="n"/>
      <c r="AC126" s="1" t="n"/>
      <c r="AD126" s="9">
        <f>IF($B126="","",COUNTIF('Rework Log'!$A$3:$A$500,$B126))</f>
        <v/>
      </c>
      <c r="AE126" s="9">
        <f>IF(OR($B126="",$AM126=0),"",INDEX('Rework Log'!$C:$C,$AM126))</f>
        <v/>
      </c>
      <c r="AF126" s="9">
        <f>IF(OR($B126="",$AM126=0),"",INDEX('Rework Log'!$H:$H,$AM126))</f>
        <v/>
      </c>
      <c r="AG126" s="9">
        <f>IF(OR($B126="",$AM126=0),"",INDEX('Rework Log'!$G:$G,$AM126))</f>
        <v/>
      </c>
      <c r="AH126" s="9">
        <f>IF($B126="","",IF(W126&lt;&gt;"","DPO Approval",IF(T126&lt;&gt;"","QA",IF(Q126&lt;&gt;"","PBI Dev",IF(N126&lt;&gt;"","DB Dev","NOT STARTED")))))</f>
        <v/>
      </c>
      <c r="AI126" s="9">
        <f>IF($B126="","",IF(IF($C126="NOT STARTED",0,IF($C126="DB Dev",1,IF($C126="PBI Dev",2,IF($C126="QA",3,IF($C126="DPO Approval",4,IF($C126="RELEASED IN PROD",5,-1))))))&lt;IF($AH126="NOT STARTED",0,IF($AH126="DB Dev",1,IF($AH126="PBI Dev",2,IF($AH126="QA",3,IF($AH126="DPO Approval",4,IF($AH126="RELEASED IN PROD",5,-1)))))),"Yes - was already at "&amp;$AH126&amp;", now back at "&amp;$C126,"No"))</f>
        <v/>
      </c>
      <c r="AJ126" s="9">
        <f>IF($B126="","",IF(AND(T126&lt;&gt;"",N126&lt;&gt;"",T126&lt;N126),"QA target is before DB Dev target",IF(AND(T126&lt;&gt;"",Q126&lt;&gt;"",T126&lt;Q126),"QA target is before PBI Dev target",IF(AND(W126&lt;&gt;"",T126&lt;&gt;"",W126&lt;T126),"DPO Approval target is before QA target",IF(AND(Z126&lt;&gt;"",W126&lt;&gt;"",Z126&lt;W126),"Confirmed Deployed date is before DPO Approval target","")))))</f>
        <v/>
      </c>
      <c r="AK126" s="9">
        <f>IF($B126="","",IF(COUNTIF($B$2:$B$500,$B126)&gt;1,"Duplicate name - check row",""))</f>
        <v/>
      </c>
      <c r="AL126" s="1" t="n"/>
      <c r="AM126" s="9">
        <f>IF($B126="","",SUMPRODUCT(MAX(('Rework Log'!$A$3:$A$500=$B126)*ROW('Rework Log'!$A$3:$A$500))))</f>
        <v/>
      </c>
    </row>
    <row r="127">
      <c r="A127" s="1" t="n"/>
      <c r="B127" s="1" t="n"/>
      <c r="C127" s="1" t="n"/>
      <c r="D127" s="9">
        <f>IF($B127="","",IF(LEFT($AC127,3)="Yes","Blocked",IF(C127="NOT STARTED",IF(K127="","No plan date set",IF(K127&lt;TODAY(),"Review - planned start passed","On track")),IF(C127="DB Dev",IF(N127="","No target set",IF(AND(N127&lt;TODAY(),P127=""),"Overdue","On track")),IF(C127="PBI Dev",IF(Q127="","No target set",IF(AND(Q127&lt;TODAY(),S127=""),"Overdue","On track")),IF(C127="QA",IF(T127="","No target set",IF(AND(T127&lt;TODAY(),V127=""),"Overdue","On track")),IF(C127="DPO Approval",IF(W127="","No target set",IF(W127&lt;TODAY(),"Overdue","On track")),IF(C127="RELEASED IN PROD","Delivered",""))))))))</f>
        <v/>
      </c>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c r="AA127" s="1" t="n"/>
      <c r="AB127" s="1" t="n"/>
      <c r="AC127" s="1" t="n"/>
      <c r="AD127" s="9">
        <f>IF($B127="","",COUNTIF('Rework Log'!$A$3:$A$500,$B127))</f>
        <v/>
      </c>
      <c r="AE127" s="9">
        <f>IF(OR($B127="",$AM127=0),"",INDEX('Rework Log'!$C:$C,$AM127))</f>
        <v/>
      </c>
      <c r="AF127" s="9">
        <f>IF(OR($B127="",$AM127=0),"",INDEX('Rework Log'!$H:$H,$AM127))</f>
        <v/>
      </c>
      <c r="AG127" s="9">
        <f>IF(OR($B127="",$AM127=0),"",INDEX('Rework Log'!$G:$G,$AM127))</f>
        <v/>
      </c>
      <c r="AH127" s="9">
        <f>IF($B127="","",IF(W127&lt;&gt;"","DPO Approval",IF(T127&lt;&gt;"","QA",IF(Q127&lt;&gt;"","PBI Dev",IF(N127&lt;&gt;"","DB Dev","NOT STARTED")))))</f>
        <v/>
      </c>
      <c r="AI127" s="9">
        <f>IF($B127="","",IF(IF($C127="NOT STARTED",0,IF($C127="DB Dev",1,IF($C127="PBI Dev",2,IF($C127="QA",3,IF($C127="DPO Approval",4,IF($C127="RELEASED IN PROD",5,-1))))))&lt;IF($AH127="NOT STARTED",0,IF($AH127="DB Dev",1,IF($AH127="PBI Dev",2,IF($AH127="QA",3,IF($AH127="DPO Approval",4,IF($AH127="RELEASED IN PROD",5,-1)))))),"Yes - was already at "&amp;$AH127&amp;", now back at "&amp;$C127,"No"))</f>
        <v/>
      </c>
      <c r="AJ127" s="9">
        <f>IF($B127="","",IF(AND(T127&lt;&gt;"",N127&lt;&gt;"",T127&lt;N127),"QA target is before DB Dev target",IF(AND(T127&lt;&gt;"",Q127&lt;&gt;"",T127&lt;Q127),"QA target is before PBI Dev target",IF(AND(W127&lt;&gt;"",T127&lt;&gt;"",W127&lt;T127),"DPO Approval target is before QA target",IF(AND(Z127&lt;&gt;"",W127&lt;&gt;"",Z127&lt;W127),"Confirmed Deployed date is before DPO Approval target","")))))</f>
        <v/>
      </c>
      <c r="AK127" s="9">
        <f>IF($B127="","",IF(COUNTIF($B$2:$B$500,$B127)&gt;1,"Duplicate name - check row",""))</f>
        <v/>
      </c>
      <c r="AL127" s="1" t="n"/>
      <c r="AM127" s="9">
        <f>IF($B127="","",SUMPRODUCT(MAX(('Rework Log'!$A$3:$A$500=$B127)*ROW('Rework Log'!$A$3:$A$500))))</f>
        <v/>
      </c>
    </row>
    <row r="128">
      <c r="A128" s="1" t="n"/>
      <c r="B128" s="1" t="n"/>
      <c r="C128" s="1" t="n"/>
      <c r="D128" s="9">
        <f>IF($B128="","",IF(LEFT($AC128,3)="Yes","Blocked",IF(C128="NOT STARTED",IF(K128="","No plan date set",IF(K128&lt;TODAY(),"Review - planned start passed","On track")),IF(C128="DB Dev",IF(N128="","No target set",IF(AND(N128&lt;TODAY(),P128=""),"Overdue","On track")),IF(C128="PBI Dev",IF(Q128="","No target set",IF(AND(Q128&lt;TODAY(),S128=""),"Overdue","On track")),IF(C128="QA",IF(T128="","No target set",IF(AND(T128&lt;TODAY(),V128=""),"Overdue","On track")),IF(C128="DPO Approval",IF(W128="","No target set",IF(W128&lt;TODAY(),"Overdue","On track")),IF(C128="RELEASED IN PROD","Delivered",""))))))))</f>
        <v/>
      </c>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c r="AA128" s="1" t="n"/>
      <c r="AB128" s="1" t="n"/>
      <c r="AC128" s="1" t="n"/>
      <c r="AD128" s="9">
        <f>IF($B128="","",COUNTIF('Rework Log'!$A$3:$A$500,$B128))</f>
        <v/>
      </c>
      <c r="AE128" s="9">
        <f>IF(OR($B128="",$AM128=0),"",INDEX('Rework Log'!$C:$C,$AM128))</f>
        <v/>
      </c>
      <c r="AF128" s="9">
        <f>IF(OR($B128="",$AM128=0),"",INDEX('Rework Log'!$H:$H,$AM128))</f>
        <v/>
      </c>
      <c r="AG128" s="9">
        <f>IF(OR($B128="",$AM128=0),"",INDEX('Rework Log'!$G:$G,$AM128))</f>
        <v/>
      </c>
      <c r="AH128" s="9">
        <f>IF($B128="","",IF(W128&lt;&gt;"","DPO Approval",IF(T128&lt;&gt;"","QA",IF(Q128&lt;&gt;"","PBI Dev",IF(N128&lt;&gt;"","DB Dev","NOT STARTED")))))</f>
        <v/>
      </c>
      <c r="AI128" s="9">
        <f>IF($B128="","",IF(IF($C128="NOT STARTED",0,IF($C128="DB Dev",1,IF($C128="PBI Dev",2,IF($C128="QA",3,IF($C128="DPO Approval",4,IF($C128="RELEASED IN PROD",5,-1))))))&lt;IF($AH128="NOT STARTED",0,IF($AH128="DB Dev",1,IF($AH128="PBI Dev",2,IF($AH128="QA",3,IF($AH128="DPO Approval",4,IF($AH128="RELEASED IN PROD",5,-1)))))),"Yes - was already at "&amp;$AH128&amp;", now back at "&amp;$C128,"No"))</f>
        <v/>
      </c>
      <c r="AJ128" s="9">
        <f>IF($B128="","",IF(AND(T128&lt;&gt;"",N128&lt;&gt;"",T128&lt;N128),"QA target is before DB Dev target",IF(AND(T128&lt;&gt;"",Q128&lt;&gt;"",T128&lt;Q128),"QA target is before PBI Dev target",IF(AND(W128&lt;&gt;"",T128&lt;&gt;"",W128&lt;T128),"DPO Approval target is before QA target",IF(AND(Z128&lt;&gt;"",W128&lt;&gt;"",Z128&lt;W128),"Confirmed Deployed date is before DPO Approval target","")))))</f>
        <v/>
      </c>
      <c r="AK128" s="9">
        <f>IF($B128="","",IF(COUNTIF($B$2:$B$500,$B128)&gt;1,"Duplicate name - check row",""))</f>
        <v/>
      </c>
      <c r="AL128" s="1" t="n"/>
      <c r="AM128" s="9">
        <f>IF($B128="","",SUMPRODUCT(MAX(('Rework Log'!$A$3:$A$500=$B128)*ROW('Rework Log'!$A$3:$A$500))))</f>
        <v/>
      </c>
    </row>
    <row r="129">
      <c r="A129" s="1" t="n"/>
      <c r="B129" s="1" t="n"/>
      <c r="C129" s="1" t="n"/>
      <c r="D129" s="9">
        <f>IF($B129="","",IF(LEFT($AC129,3)="Yes","Blocked",IF(C129="NOT STARTED",IF(K129="","No plan date set",IF(K129&lt;TODAY(),"Review - planned start passed","On track")),IF(C129="DB Dev",IF(N129="","No target set",IF(AND(N129&lt;TODAY(),P129=""),"Overdue","On track")),IF(C129="PBI Dev",IF(Q129="","No target set",IF(AND(Q129&lt;TODAY(),S129=""),"Overdue","On track")),IF(C129="QA",IF(T129="","No target set",IF(AND(T129&lt;TODAY(),V129=""),"Overdue","On track")),IF(C129="DPO Approval",IF(W129="","No target set",IF(W129&lt;TODAY(),"Overdue","On track")),IF(C129="RELEASED IN PROD","Delivered",""))))))))</f>
        <v/>
      </c>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c r="AA129" s="1" t="n"/>
      <c r="AB129" s="1" t="n"/>
      <c r="AC129" s="1" t="n"/>
      <c r="AD129" s="9">
        <f>IF($B129="","",COUNTIF('Rework Log'!$A$3:$A$500,$B129))</f>
        <v/>
      </c>
      <c r="AE129" s="9">
        <f>IF(OR($B129="",$AM129=0),"",INDEX('Rework Log'!$C:$C,$AM129))</f>
        <v/>
      </c>
      <c r="AF129" s="9">
        <f>IF(OR($B129="",$AM129=0),"",INDEX('Rework Log'!$H:$H,$AM129))</f>
        <v/>
      </c>
      <c r="AG129" s="9">
        <f>IF(OR($B129="",$AM129=0),"",INDEX('Rework Log'!$G:$G,$AM129))</f>
        <v/>
      </c>
      <c r="AH129" s="9">
        <f>IF($B129="","",IF(W129&lt;&gt;"","DPO Approval",IF(T129&lt;&gt;"","QA",IF(Q129&lt;&gt;"","PBI Dev",IF(N129&lt;&gt;"","DB Dev","NOT STARTED")))))</f>
        <v/>
      </c>
      <c r="AI129" s="9">
        <f>IF($B129="","",IF(IF($C129="NOT STARTED",0,IF($C129="DB Dev",1,IF($C129="PBI Dev",2,IF($C129="QA",3,IF($C129="DPO Approval",4,IF($C129="RELEASED IN PROD",5,-1))))))&lt;IF($AH129="NOT STARTED",0,IF($AH129="DB Dev",1,IF($AH129="PBI Dev",2,IF($AH129="QA",3,IF($AH129="DPO Approval",4,IF($AH129="RELEASED IN PROD",5,-1)))))),"Yes - was already at "&amp;$AH129&amp;", now back at "&amp;$C129,"No"))</f>
        <v/>
      </c>
      <c r="AJ129" s="9">
        <f>IF($B129="","",IF(AND(T129&lt;&gt;"",N129&lt;&gt;"",T129&lt;N129),"QA target is before DB Dev target",IF(AND(T129&lt;&gt;"",Q129&lt;&gt;"",T129&lt;Q129),"QA target is before PBI Dev target",IF(AND(W129&lt;&gt;"",T129&lt;&gt;"",W129&lt;T129),"DPO Approval target is before QA target",IF(AND(Z129&lt;&gt;"",W129&lt;&gt;"",Z129&lt;W129),"Confirmed Deployed date is before DPO Approval target","")))))</f>
        <v/>
      </c>
      <c r="AK129" s="9">
        <f>IF($B129="","",IF(COUNTIF($B$2:$B$500,$B129)&gt;1,"Duplicate name - check row",""))</f>
        <v/>
      </c>
      <c r="AL129" s="1" t="n"/>
      <c r="AM129" s="9">
        <f>IF($B129="","",SUMPRODUCT(MAX(('Rework Log'!$A$3:$A$500=$B129)*ROW('Rework Log'!$A$3:$A$500))))</f>
        <v/>
      </c>
    </row>
    <row r="130">
      <c r="A130" s="1" t="n"/>
      <c r="B130" s="1" t="n"/>
      <c r="C130" s="1" t="n"/>
      <c r="D130" s="9">
        <f>IF($B130="","",IF(LEFT($AC130,3)="Yes","Blocked",IF(C130="NOT STARTED",IF(K130="","No plan date set",IF(K130&lt;TODAY(),"Review - planned start passed","On track")),IF(C130="DB Dev",IF(N130="","No target set",IF(AND(N130&lt;TODAY(),P130=""),"Overdue","On track")),IF(C130="PBI Dev",IF(Q130="","No target set",IF(AND(Q130&lt;TODAY(),S130=""),"Overdue","On track")),IF(C130="QA",IF(T130="","No target set",IF(AND(T130&lt;TODAY(),V130=""),"Overdue","On track")),IF(C130="DPO Approval",IF(W130="","No target set",IF(W130&lt;TODAY(),"Overdue","On track")),IF(C130="RELEASED IN PROD","Delivered",""))))))))</f>
        <v/>
      </c>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c r="AA130" s="1" t="n"/>
      <c r="AB130" s="1" t="n"/>
      <c r="AC130" s="1" t="n"/>
      <c r="AD130" s="9">
        <f>IF($B130="","",COUNTIF('Rework Log'!$A$3:$A$500,$B130))</f>
        <v/>
      </c>
      <c r="AE130" s="9">
        <f>IF(OR($B130="",$AM130=0),"",INDEX('Rework Log'!$C:$C,$AM130))</f>
        <v/>
      </c>
      <c r="AF130" s="9">
        <f>IF(OR($B130="",$AM130=0),"",INDEX('Rework Log'!$H:$H,$AM130))</f>
        <v/>
      </c>
      <c r="AG130" s="9">
        <f>IF(OR($B130="",$AM130=0),"",INDEX('Rework Log'!$G:$G,$AM130))</f>
        <v/>
      </c>
      <c r="AH130" s="9">
        <f>IF($B130="","",IF(W130&lt;&gt;"","DPO Approval",IF(T130&lt;&gt;"","QA",IF(Q130&lt;&gt;"","PBI Dev",IF(N130&lt;&gt;"","DB Dev","NOT STARTED")))))</f>
        <v/>
      </c>
      <c r="AI130" s="9">
        <f>IF($B130="","",IF(IF($C130="NOT STARTED",0,IF($C130="DB Dev",1,IF($C130="PBI Dev",2,IF($C130="QA",3,IF($C130="DPO Approval",4,IF($C130="RELEASED IN PROD",5,-1))))))&lt;IF($AH130="NOT STARTED",0,IF($AH130="DB Dev",1,IF($AH130="PBI Dev",2,IF($AH130="QA",3,IF($AH130="DPO Approval",4,IF($AH130="RELEASED IN PROD",5,-1)))))),"Yes - was already at "&amp;$AH130&amp;", now back at "&amp;$C130,"No"))</f>
        <v/>
      </c>
      <c r="AJ130" s="9">
        <f>IF($B130="","",IF(AND(T130&lt;&gt;"",N130&lt;&gt;"",T130&lt;N130),"QA target is before DB Dev target",IF(AND(T130&lt;&gt;"",Q130&lt;&gt;"",T130&lt;Q130),"QA target is before PBI Dev target",IF(AND(W130&lt;&gt;"",T130&lt;&gt;"",W130&lt;T130),"DPO Approval target is before QA target",IF(AND(Z130&lt;&gt;"",W130&lt;&gt;"",Z130&lt;W130),"Confirmed Deployed date is before DPO Approval target","")))))</f>
        <v/>
      </c>
      <c r="AK130" s="9">
        <f>IF($B130="","",IF(COUNTIF($B$2:$B$500,$B130)&gt;1,"Duplicate name - check row",""))</f>
        <v/>
      </c>
      <c r="AL130" s="1" t="n"/>
      <c r="AM130" s="9">
        <f>IF($B130="","",SUMPRODUCT(MAX(('Rework Log'!$A$3:$A$500=$B130)*ROW('Rework Log'!$A$3:$A$500))))</f>
        <v/>
      </c>
    </row>
    <row r="131">
      <c r="A131" s="1" t="n"/>
      <c r="B131" s="1" t="n"/>
      <c r="C131" s="1" t="n"/>
      <c r="D131" s="9">
        <f>IF($B131="","",IF(LEFT($AC131,3)="Yes","Blocked",IF(C131="NOT STARTED",IF(K131="","No plan date set",IF(K131&lt;TODAY(),"Review - planned start passed","On track")),IF(C131="DB Dev",IF(N131="","No target set",IF(AND(N131&lt;TODAY(),P131=""),"Overdue","On track")),IF(C131="PBI Dev",IF(Q131="","No target set",IF(AND(Q131&lt;TODAY(),S131=""),"Overdue","On track")),IF(C131="QA",IF(T131="","No target set",IF(AND(T131&lt;TODAY(),V131=""),"Overdue","On track")),IF(C131="DPO Approval",IF(W131="","No target set",IF(W131&lt;TODAY(),"Overdue","On track")),IF(C131="RELEASED IN PROD","Delivered",""))))))))</f>
        <v/>
      </c>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c r="AA131" s="1" t="n"/>
      <c r="AB131" s="1" t="n"/>
      <c r="AC131" s="1" t="n"/>
      <c r="AD131" s="9">
        <f>IF($B131="","",COUNTIF('Rework Log'!$A$3:$A$500,$B131))</f>
        <v/>
      </c>
      <c r="AE131" s="9">
        <f>IF(OR($B131="",$AM131=0),"",INDEX('Rework Log'!$C:$C,$AM131))</f>
        <v/>
      </c>
      <c r="AF131" s="9">
        <f>IF(OR($B131="",$AM131=0),"",INDEX('Rework Log'!$H:$H,$AM131))</f>
        <v/>
      </c>
      <c r="AG131" s="9">
        <f>IF(OR($B131="",$AM131=0),"",INDEX('Rework Log'!$G:$G,$AM131))</f>
        <v/>
      </c>
      <c r="AH131" s="9">
        <f>IF($B131="","",IF(W131&lt;&gt;"","DPO Approval",IF(T131&lt;&gt;"","QA",IF(Q131&lt;&gt;"","PBI Dev",IF(N131&lt;&gt;"","DB Dev","NOT STARTED")))))</f>
        <v/>
      </c>
      <c r="AI131" s="9">
        <f>IF($B131="","",IF(IF($C131="NOT STARTED",0,IF($C131="DB Dev",1,IF($C131="PBI Dev",2,IF($C131="QA",3,IF($C131="DPO Approval",4,IF($C131="RELEASED IN PROD",5,-1))))))&lt;IF($AH131="NOT STARTED",0,IF($AH131="DB Dev",1,IF($AH131="PBI Dev",2,IF($AH131="QA",3,IF($AH131="DPO Approval",4,IF($AH131="RELEASED IN PROD",5,-1)))))),"Yes - was already at "&amp;$AH131&amp;", now back at "&amp;$C131,"No"))</f>
        <v/>
      </c>
      <c r="AJ131" s="9">
        <f>IF($B131="","",IF(AND(T131&lt;&gt;"",N131&lt;&gt;"",T131&lt;N131),"QA target is before DB Dev target",IF(AND(T131&lt;&gt;"",Q131&lt;&gt;"",T131&lt;Q131),"QA target is before PBI Dev target",IF(AND(W131&lt;&gt;"",T131&lt;&gt;"",W131&lt;T131),"DPO Approval target is before QA target",IF(AND(Z131&lt;&gt;"",W131&lt;&gt;"",Z131&lt;W131),"Confirmed Deployed date is before DPO Approval target","")))))</f>
        <v/>
      </c>
      <c r="AK131" s="9">
        <f>IF($B131="","",IF(COUNTIF($B$2:$B$500,$B131)&gt;1,"Duplicate name - check row",""))</f>
        <v/>
      </c>
      <c r="AL131" s="1" t="n"/>
      <c r="AM131" s="9">
        <f>IF($B131="","",SUMPRODUCT(MAX(('Rework Log'!$A$3:$A$500=$B131)*ROW('Rework Log'!$A$3:$A$500))))</f>
        <v/>
      </c>
    </row>
    <row r="132">
      <c r="A132" s="1" t="n"/>
      <c r="B132" s="1" t="n"/>
      <c r="C132" s="1" t="n"/>
      <c r="D132" s="9">
        <f>IF($B132="","",IF(LEFT($AC132,3)="Yes","Blocked",IF(C132="NOT STARTED",IF(K132="","No plan date set",IF(K132&lt;TODAY(),"Review - planned start passed","On track")),IF(C132="DB Dev",IF(N132="","No target set",IF(AND(N132&lt;TODAY(),P132=""),"Overdue","On track")),IF(C132="PBI Dev",IF(Q132="","No target set",IF(AND(Q132&lt;TODAY(),S132=""),"Overdue","On track")),IF(C132="QA",IF(T132="","No target set",IF(AND(T132&lt;TODAY(),V132=""),"Overdue","On track")),IF(C132="DPO Approval",IF(W132="","No target set",IF(W132&lt;TODAY(),"Overdue","On track")),IF(C132="RELEASED IN PROD","Delivered",""))))))))</f>
        <v/>
      </c>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c r="AA132" s="1" t="n"/>
      <c r="AB132" s="1" t="n"/>
      <c r="AC132" s="1" t="n"/>
      <c r="AD132" s="9">
        <f>IF($B132="","",COUNTIF('Rework Log'!$A$3:$A$500,$B132))</f>
        <v/>
      </c>
      <c r="AE132" s="9">
        <f>IF(OR($B132="",$AM132=0),"",INDEX('Rework Log'!$C:$C,$AM132))</f>
        <v/>
      </c>
      <c r="AF132" s="9">
        <f>IF(OR($B132="",$AM132=0),"",INDEX('Rework Log'!$H:$H,$AM132))</f>
        <v/>
      </c>
      <c r="AG132" s="9">
        <f>IF(OR($B132="",$AM132=0),"",INDEX('Rework Log'!$G:$G,$AM132))</f>
        <v/>
      </c>
      <c r="AH132" s="9">
        <f>IF($B132="","",IF(W132&lt;&gt;"","DPO Approval",IF(T132&lt;&gt;"","QA",IF(Q132&lt;&gt;"","PBI Dev",IF(N132&lt;&gt;"","DB Dev","NOT STARTED")))))</f>
        <v/>
      </c>
      <c r="AI132" s="9">
        <f>IF($B132="","",IF(IF($C132="NOT STARTED",0,IF($C132="DB Dev",1,IF($C132="PBI Dev",2,IF($C132="QA",3,IF($C132="DPO Approval",4,IF($C132="RELEASED IN PROD",5,-1))))))&lt;IF($AH132="NOT STARTED",0,IF($AH132="DB Dev",1,IF($AH132="PBI Dev",2,IF($AH132="QA",3,IF($AH132="DPO Approval",4,IF($AH132="RELEASED IN PROD",5,-1)))))),"Yes - was already at "&amp;$AH132&amp;", now back at "&amp;$C132,"No"))</f>
        <v/>
      </c>
      <c r="AJ132" s="9">
        <f>IF($B132="","",IF(AND(T132&lt;&gt;"",N132&lt;&gt;"",T132&lt;N132),"QA target is before DB Dev target",IF(AND(T132&lt;&gt;"",Q132&lt;&gt;"",T132&lt;Q132),"QA target is before PBI Dev target",IF(AND(W132&lt;&gt;"",T132&lt;&gt;"",W132&lt;T132),"DPO Approval target is before QA target",IF(AND(Z132&lt;&gt;"",W132&lt;&gt;"",Z132&lt;W132),"Confirmed Deployed date is before DPO Approval target","")))))</f>
        <v/>
      </c>
      <c r="AK132" s="9">
        <f>IF($B132="","",IF(COUNTIF($B$2:$B$500,$B132)&gt;1,"Duplicate name - check row",""))</f>
        <v/>
      </c>
      <c r="AL132" s="1" t="n"/>
      <c r="AM132" s="9">
        <f>IF($B132="","",SUMPRODUCT(MAX(('Rework Log'!$A$3:$A$500=$B132)*ROW('Rework Log'!$A$3:$A$500))))</f>
        <v/>
      </c>
    </row>
    <row r="133">
      <c r="A133" s="1" t="n"/>
      <c r="B133" s="1" t="n"/>
      <c r="C133" s="1" t="n"/>
      <c r="D133" s="9">
        <f>IF($B133="","",IF(LEFT($AC133,3)="Yes","Blocked",IF(C133="NOT STARTED",IF(K133="","No plan date set",IF(K133&lt;TODAY(),"Review - planned start passed","On track")),IF(C133="DB Dev",IF(N133="","No target set",IF(AND(N133&lt;TODAY(),P133=""),"Overdue","On track")),IF(C133="PBI Dev",IF(Q133="","No target set",IF(AND(Q133&lt;TODAY(),S133=""),"Overdue","On track")),IF(C133="QA",IF(T133="","No target set",IF(AND(T133&lt;TODAY(),V133=""),"Overdue","On track")),IF(C133="DPO Approval",IF(W133="","No target set",IF(W133&lt;TODAY(),"Overdue","On track")),IF(C133="RELEASED IN PROD","Delivered",""))))))))</f>
        <v/>
      </c>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c r="AA133" s="1" t="n"/>
      <c r="AB133" s="1" t="n"/>
      <c r="AC133" s="1" t="n"/>
      <c r="AD133" s="9">
        <f>IF($B133="","",COUNTIF('Rework Log'!$A$3:$A$500,$B133))</f>
        <v/>
      </c>
      <c r="AE133" s="9">
        <f>IF(OR($B133="",$AM133=0),"",INDEX('Rework Log'!$C:$C,$AM133))</f>
        <v/>
      </c>
      <c r="AF133" s="9">
        <f>IF(OR($B133="",$AM133=0),"",INDEX('Rework Log'!$H:$H,$AM133))</f>
        <v/>
      </c>
      <c r="AG133" s="9">
        <f>IF(OR($B133="",$AM133=0),"",INDEX('Rework Log'!$G:$G,$AM133))</f>
        <v/>
      </c>
      <c r="AH133" s="9">
        <f>IF($B133="","",IF(W133&lt;&gt;"","DPO Approval",IF(T133&lt;&gt;"","QA",IF(Q133&lt;&gt;"","PBI Dev",IF(N133&lt;&gt;"","DB Dev","NOT STARTED")))))</f>
        <v/>
      </c>
      <c r="AI133" s="9">
        <f>IF($B133="","",IF(IF($C133="NOT STARTED",0,IF($C133="DB Dev",1,IF($C133="PBI Dev",2,IF($C133="QA",3,IF($C133="DPO Approval",4,IF($C133="RELEASED IN PROD",5,-1))))))&lt;IF($AH133="NOT STARTED",0,IF($AH133="DB Dev",1,IF($AH133="PBI Dev",2,IF($AH133="QA",3,IF($AH133="DPO Approval",4,IF($AH133="RELEASED IN PROD",5,-1)))))),"Yes - was already at "&amp;$AH133&amp;", now back at "&amp;$C133,"No"))</f>
        <v/>
      </c>
      <c r="AJ133" s="9">
        <f>IF($B133="","",IF(AND(T133&lt;&gt;"",N133&lt;&gt;"",T133&lt;N133),"QA target is before DB Dev target",IF(AND(T133&lt;&gt;"",Q133&lt;&gt;"",T133&lt;Q133),"QA target is before PBI Dev target",IF(AND(W133&lt;&gt;"",T133&lt;&gt;"",W133&lt;T133),"DPO Approval target is before QA target",IF(AND(Z133&lt;&gt;"",W133&lt;&gt;"",Z133&lt;W133),"Confirmed Deployed date is before DPO Approval target","")))))</f>
        <v/>
      </c>
      <c r="AK133" s="9">
        <f>IF($B133="","",IF(COUNTIF($B$2:$B$500,$B133)&gt;1,"Duplicate name - check row",""))</f>
        <v/>
      </c>
      <c r="AL133" s="1" t="n"/>
      <c r="AM133" s="9">
        <f>IF($B133="","",SUMPRODUCT(MAX(('Rework Log'!$A$3:$A$500=$B133)*ROW('Rework Log'!$A$3:$A$500))))</f>
        <v/>
      </c>
    </row>
    <row r="134">
      <c r="A134" s="1" t="n"/>
      <c r="B134" s="1" t="n"/>
      <c r="C134" s="1" t="n"/>
      <c r="D134" s="9">
        <f>IF($B134="","",IF(LEFT($AC134,3)="Yes","Blocked",IF(C134="NOT STARTED",IF(K134="","No plan date set",IF(K134&lt;TODAY(),"Review - planned start passed","On track")),IF(C134="DB Dev",IF(N134="","No target set",IF(AND(N134&lt;TODAY(),P134=""),"Overdue","On track")),IF(C134="PBI Dev",IF(Q134="","No target set",IF(AND(Q134&lt;TODAY(),S134=""),"Overdue","On track")),IF(C134="QA",IF(T134="","No target set",IF(AND(T134&lt;TODAY(),V134=""),"Overdue","On track")),IF(C134="DPO Approval",IF(W134="","No target set",IF(W134&lt;TODAY(),"Overdue","On track")),IF(C134="RELEASED IN PROD","Delivered",""))))))))</f>
        <v/>
      </c>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c r="AA134" s="1" t="n"/>
      <c r="AB134" s="1" t="n"/>
      <c r="AC134" s="1" t="n"/>
      <c r="AD134" s="9">
        <f>IF($B134="","",COUNTIF('Rework Log'!$A$3:$A$500,$B134))</f>
        <v/>
      </c>
      <c r="AE134" s="9">
        <f>IF(OR($B134="",$AM134=0),"",INDEX('Rework Log'!$C:$C,$AM134))</f>
        <v/>
      </c>
      <c r="AF134" s="9">
        <f>IF(OR($B134="",$AM134=0),"",INDEX('Rework Log'!$H:$H,$AM134))</f>
        <v/>
      </c>
      <c r="AG134" s="9">
        <f>IF(OR($B134="",$AM134=0),"",INDEX('Rework Log'!$G:$G,$AM134))</f>
        <v/>
      </c>
      <c r="AH134" s="9">
        <f>IF($B134="","",IF(W134&lt;&gt;"","DPO Approval",IF(T134&lt;&gt;"","QA",IF(Q134&lt;&gt;"","PBI Dev",IF(N134&lt;&gt;"","DB Dev","NOT STARTED")))))</f>
        <v/>
      </c>
      <c r="AI134" s="9">
        <f>IF($B134="","",IF(IF($C134="NOT STARTED",0,IF($C134="DB Dev",1,IF($C134="PBI Dev",2,IF($C134="QA",3,IF($C134="DPO Approval",4,IF($C134="RELEASED IN PROD",5,-1))))))&lt;IF($AH134="NOT STARTED",0,IF($AH134="DB Dev",1,IF($AH134="PBI Dev",2,IF($AH134="QA",3,IF($AH134="DPO Approval",4,IF($AH134="RELEASED IN PROD",5,-1)))))),"Yes - was already at "&amp;$AH134&amp;", now back at "&amp;$C134,"No"))</f>
        <v/>
      </c>
      <c r="AJ134" s="9">
        <f>IF($B134="","",IF(AND(T134&lt;&gt;"",N134&lt;&gt;"",T134&lt;N134),"QA target is before DB Dev target",IF(AND(T134&lt;&gt;"",Q134&lt;&gt;"",T134&lt;Q134),"QA target is before PBI Dev target",IF(AND(W134&lt;&gt;"",T134&lt;&gt;"",W134&lt;T134),"DPO Approval target is before QA target",IF(AND(Z134&lt;&gt;"",W134&lt;&gt;"",Z134&lt;W134),"Confirmed Deployed date is before DPO Approval target","")))))</f>
        <v/>
      </c>
      <c r="AK134" s="9">
        <f>IF($B134="","",IF(COUNTIF($B$2:$B$500,$B134)&gt;1,"Duplicate name - check row",""))</f>
        <v/>
      </c>
      <c r="AL134" s="1" t="n"/>
      <c r="AM134" s="9">
        <f>IF($B134="","",SUMPRODUCT(MAX(('Rework Log'!$A$3:$A$500=$B134)*ROW('Rework Log'!$A$3:$A$500))))</f>
        <v/>
      </c>
    </row>
    <row r="135">
      <c r="A135" s="1" t="n"/>
      <c r="B135" s="1" t="n"/>
      <c r="C135" s="1" t="n"/>
      <c r="D135" s="9">
        <f>IF($B135="","",IF(LEFT($AC135,3)="Yes","Blocked",IF(C135="NOT STARTED",IF(K135="","No plan date set",IF(K135&lt;TODAY(),"Review - planned start passed","On track")),IF(C135="DB Dev",IF(N135="","No target set",IF(AND(N135&lt;TODAY(),P135=""),"Overdue","On track")),IF(C135="PBI Dev",IF(Q135="","No target set",IF(AND(Q135&lt;TODAY(),S135=""),"Overdue","On track")),IF(C135="QA",IF(T135="","No target set",IF(AND(T135&lt;TODAY(),V135=""),"Overdue","On track")),IF(C135="DPO Approval",IF(W135="","No target set",IF(W135&lt;TODAY(),"Overdue","On track")),IF(C135="RELEASED IN PROD","Delivered",""))))))))</f>
        <v/>
      </c>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c r="AA135" s="1" t="n"/>
      <c r="AB135" s="1" t="n"/>
      <c r="AC135" s="1" t="n"/>
      <c r="AD135" s="9">
        <f>IF($B135="","",COUNTIF('Rework Log'!$A$3:$A$500,$B135))</f>
        <v/>
      </c>
      <c r="AE135" s="9">
        <f>IF(OR($B135="",$AM135=0),"",INDEX('Rework Log'!$C:$C,$AM135))</f>
        <v/>
      </c>
      <c r="AF135" s="9">
        <f>IF(OR($B135="",$AM135=0),"",INDEX('Rework Log'!$H:$H,$AM135))</f>
        <v/>
      </c>
      <c r="AG135" s="9">
        <f>IF(OR($B135="",$AM135=0),"",INDEX('Rework Log'!$G:$G,$AM135))</f>
        <v/>
      </c>
      <c r="AH135" s="9">
        <f>IF($B135="","",IF(W135&lt;&gt;"","DPO Approval",IF(T135&lt;&gt;"","QA",IF(Q135&lt;&gt;"","PBI Dev",IF(N135&lt;&gt;"","DB Dev","NOT STARTED")))))</f>
        <v/>
      </c>
      <c r="AI135" s="9">
        <f>IF($B135="","",IF(IF($C135="NOT STARTED",0,IF($C135="DB Dev",1,IF($C135="PBI Dev",2,IF($C135="QA",3,IF($C135="DPO Approval",4,IF($C135="RELEASED IN PROD",5,-1))))))&lt;IF($AH135="NOT STARTED",0,IF($AH135="DB Dev",1,IF($AH135="PBI Dev",2,IF($AH135="QA",3,IF($AH135="DPO Approval",4,IF($AH135="RELEASED IN PROD",5,-1)))))),"Yes - was already at "&amp;$AH135&amp;", now back at "&amp;$C135,"No"))</f>
        <v/>
      </c>
      <c r="AJ135" s="9">
        <f>IF($B135="","",IF(AND(T135&lt;&gt;"",N135&lt;&gt;"",T135&lt;N135),"QA target is before DB Dev target",IF(AND(T135&lt;&gt;"",Q135&lt;&gt;"",T135&lt;Q135),"QA target is before PBI Dev target",IF(AND(W135&lt;&gt;"",T135&lt;&gt;"",W135&lt;T135),"DPO Approval target is before QA target",IF(AND(Z135&lt;&gt;"",W135&lt;&gt;"",Z135&lt;W135),"Confirmed Deployed date is before DPO Approval target","")))))</f>
        <v/>
      </c>
      <c r="AK135" s="9">
        <f>IF($B135="","",IF(COUNTIF($B$2:$B$500,$B135)&gt;1,"Duplicate name - check row",""))</f>
        <v/>
      </c>
      <c r="AL135" s="1" t="n"/>
      <c r="AM135" s="9">
        <f>IF($B135="","",SUMPRODUCT(MAX(('Rework Log'!$A$3:$A$500=$B135)*ROW('Rework Log'!$A$3:$A$500))))</f>
        <v/>
      </c>
    </row>
    <row r="136">
      <c r="A136" s="1" t="n"/>
      <c r="B136" s="1" t="n"/>
      <c r="C136" s="1" t="n"/>
      <c r="D136" s="9">
        <f>IF($B136="","",IF(LEFT($AC136,3)="Yes","Blocked",IF(C136="NOT STARTED",IF(K136="","No plan date set",IF(K136&lt;TODAY(),"Review - planned start passed","On track")),IF(C136="DB Dev",IF(N136="","No target set",IF(AND(N136&lt;TODAY(),P136=""),"Overdue","On track")),IF(C136="PBI Dev",IF(Q136="","No target set",IF(AND(Q136&lt;TODAY(),S136=""),"Overdue","On track")),IF(C136="QA",IF(T136="","No target set",IF(AND(T136&lt;TODAY(),V136=""),"Overdue","On track")),IF(C136="DPO Approval",IF(W136="","No target set",IF(W136&lt;TODAY(),"Overdue","On track")),IF(C136="RELEASED IN PROD","Delivered",""))))))))</f>
        <v/>
      </c>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c r="AA136" s="1" t="n"/>
      <c r="AB136" s="1" t="n"/>
      <c r="AC136" s="1" t="n"/>
      <c r="AD136" s="9">
        <f>IF($B136="","",COUNTIF('Rework Log'!$A$3:$A$500,$B136))</f>
        <v/>
      </c>
      <c r="AE136" s="9">
        <f>IF(OR($B136="",$AM136=0),"",INDEX('Rework Log'!$C:$C,$AM136))</f>
        <v/>
      </c>
      <c r="AF136" s="9">
        <f>IF(OR($B136="",$AM136=0),"",INDEX('Rework Log'!$H:$H,$AM136))</f>
        <v/>
      </c>
      <c r="AG136" s="9">
        <f>IF(OR($B136="",$AM136=0),"",INDEX('Rework Log'!$G:$G,$AM136))</f>
        <v/>
      </c>
      <c r="AH136" s="9">
        <f>IF($B136="","",IF(W136&lt;&gt;"","DPO Approval",IF(T136&lt;&gt;"","QA",IF(Q136&lt;&gt;"","PBI Dev",IF(N136&lt;&gt;"","DB Dev","NOT STARTED")))))</f>
        <v/>
      </c>
      <c r="AI136" s="9">
        <f>IF($B136="","",IF(IF($C136="NOT STARTED",0,IF($C136="DB Dev",1,IF($C136="PBI Dev",2,IF($C136="QA",3,IF($C136="DPO Approval",4,IF($C136="RELEASED IN PROD",5,-1))))))&lt;IF($AH136="NOT STARTED",0,IF($AH136="DB Dev",1,IF($AH136="PBI Dev",2,IF($AH136="QA",3,IF($AH136="DPO Approval",4,IF($AH136="RELEASED IN PROD",5,-1)))))),"Yes - was already at "&amp;$AH136&amp;", now back at "&amp;$C136,"No"))</f>
        <v/>
      </c>
      <c r="AJ136" s="9">
        <f>IF($B136="","",IF(AND(T136&lt;&gt;"",N136&lt;&gt;"",T136&lt;N136),"QA target is before DB Dev target",IF(AND(T136&lt;&gt;"",Q136&lt;&gt;"",T136&lt;Q136),"QA target is before PBI Dev target",IF(AND(W136&lt;&gt;"",T136&lt;&gt;"",W136&lt;T136),"DPO Approval target is before QA target",IF(AND(Z136&lt;&gt;"",W136&lt;&gt;"",Z136&lt;W136),"Confirmed Deployed date is before DPO Approval target","")))))</f>
        <v/>
      </c>
      <c r="AK136" s="9">
        <f>IF($B136="","",IF(COUNTIF($B$2:$B$500,$B136)&gt;1,"Duplicate name - check row",""))</f>
        <v/>
      </c>
      <c r="AL136" s="1" t="n"/>
      <c r="AM136" s="9">
        <f>IF($B136="","",SUMPRODUCT(MAX(('Rework Log'!$A$3:$A$500=$B136)*ROW('Rework Log'!$A$3:$A$500))))</f>
        <v/>
      </c>
    </row>
    <row r="137">
      <c r="A137" s="1" t="n"/>
      <c r="B137" s="1" t="n"/>
      <c r="C137" s="1" t="n"/>
      <c r="D137" s="9">
        <f>IF($B137="","",IF(LEFT($AC137,3)="Yes","Blocked",IF(C137="NOT STARTED",IF(K137="","No plan date set",IF(K137&lt;TODAY(),"Review - planned start passed","On track")),IF(C137="DB Dev",IF(N137="","No target set",IF(AND(N137&lt;TODAY(),P137=""),"Overdue","On track")),IF(C137="PBI Dev",IF(Q137="","No target set",IF(AND(Q137&lt;TODAY(),S137=""),"Overdue","On track")),IF(C137="QA",IF(T137="","No target set",IF(AND(T137&lt;TODAY(),V137=""),"Overdue","On track")),IF(C137="DPO Approval",IF(W137="","No target set",IF(W137&lt;TODAY(),"Overdue","On track")),IF(C137="RELEASED IN PROD","Delivered",""))))))))</f>
        <v/>
      </c>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c r="AA137" s="1" t="n"/>
      <c r="AB137" s="1" t="n"/>
      <c r="AC137" s="1" t="n"/>
      <c r="AD137" s="9">
        <f>IF($B137="","",COUNTIF('Rework Log'!$A$3:$A$500,$B137))</f>
        <v/>
      </c>
      <c r="AE137" s="9">
        <f>IF(OR($B137="",$AM137=0),"",INDEX('Rework Log'!$C:$C,$AM137))</f>
        <v/>
      </c>
      <c r="AF137" s="9">
        <f>IF(OR($B137="",$AM137=0),"",INDEX('Rework Log'!$H:$H,$AM137))</f>
        <v/>
      </c>
      <c r="AG137" s="9">
        <f>IF(OR($B137="",$AM137=0),"",INDEX('Rework Log'!$G:$G,$AM137))</f>
        <v/>
      </c>
      <c r="AH137" s="9">
        <f>IF($B137="","",IF(W137&lt;&gt;"","DPO Approval",IF(T137&lt;&gt;"","QA",IF(Q137&lt;&gt;"","PBI Dev",IF(N137&lt;&gt;"","DB Dev","NOT STARTED")))))</f>
        <v/>
      </c>
      <c r="AI137" s="9">
        <f>IF($B137="","",IF(IF($C137="NOT STARTED",0,IF($C137="DB Dev",1,IF($C137="PBI Dev",2,IF($C137="QA",3,IF($C137="DPO Approval",4,IF($C137="RELEASED IN PROD",5,-1))))))&lt;IF($AH137="NOT STARTED",0,IF($AH137="DB Dev",1,IF($AH137="PBI Dev",2,IF($AH137="QA",3,IF($AH137="DPO Approval",4,IF($AH137="RELEASED IN PROD",5,-1)))))),"Yes - was already at "&amp;$AH137&amp;", now back at "&amp;$C137,"No"))</f>
        <v/>
      </c>
      <c r="AJ137" s="9">
        <f>IF($B137="","",IF(AND(T137&lt;&gt;"",N137&lt;&gt;"",T137&lt;N137),"QA target is before DB Dev target",IF(AND(T137&lt;&gt;"",Q137&lt;&gt;"",T137&lt;Q137),"QA target is before PBI Dev target",IF(AND(W137&lt;&gt;"",T137&lt;&gt;"",W137&lt;T137),"DPO Approval target is before QA target",IF(AND(Z137&lt;&gt;"",W137&lt;&gt;"",Z137&lt;W137),"Confirmed Deployed date is before DPO Approval target","")))))</f>
        <v/>
      </c>
      <c r="AK137" s="9">
        <f>IF($B137="","",IF(COUNTIF($B$2:$B$500,$B137)&gt;1,"Duplicate name - check row",""))</f>
        <v/>
      </c>
      <c r="AL137" s="1" t="n"/>
      <c r="AM137" s="9">
        <f>IF($B137="","",SUMPRODUCT(MAX(('Rework Log'!$A$3:$A$500=$B137)*ROW('Rework Log'!$A$3:$A$500))))</f>
        <v/>
      </c>
    </row>
    <row r="138">
      <c r="A138" s="1" t="n"/>
      <c r="B138" s="1" t="n"/>
      <c r="C138" s="1" t="n"/>
      <c r="D138" s="9">
        <f>IF($B138="","",IF(LEFT($AC138,3)="Yes","Blocked",IF(C138="NOT STARTED",IF(K138="","No plan date set",IF(K138&lt;TODAY(),"Review - planned start passed","On track")),IF(C138="DB Dev",IF(N138="","No target set",IF(AND(N138&lt;TODAY(),P138=""),"Overdue","On track")),IF(C138="PBI Dev",IF(Q138="","No target set",IF(AND(Q138&lt;TODAY(),S138=""),"Overdue","On track")),IF(C138="QA",IF(T138="","No target set",IF(AND(T138&lt;TODAY(),V138=""),"Overdue","On track")),IF(C138="DPO Approval",IF(W138="","No target set",IF(W138&lt;TODAY(),"Overdue","On track")),IF(C138="RELEASED IN PROD","Delivered",""))))))))</f>
        <v/>
      </c>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c r="AA138" s="1" t="n"/>
      <c r="AB138" s="1" t="n"/>
      <c r="AC138" s="1" t="n"/>
      <c r="AD138" s="9">
        <f>IF($B138="","",COUNTIF('Rework Log'!$A$3:$A$500,$B138))</f>
        <v/>
      </c>
      <c r="AE138" s="9">
        <f>IF(OR($B138="",$AM138=0),"",INDEX('Rework Log'!$C:$C,$AM138))</f>
        <v/>
      </c>
      <c r="AF138" s="9">
        <f>IF(OR($B138="",$AM138=0),"",INDEX('Rework Log'!$H:$H,$AM138))</f>
        <v/>
      </c>
      <c r="AG138" s="9">
        <f>IF(OR($B138="",$AM138=0),"",INDEX('Rework Log'!$G:$G,$AM138))</f>
        <v/>
      </c>
      <c r="AH138" s="9">
        <f>IF($B138="","",IF(W138&lt;&gt;"","DPO Approval",IF(T138&lt;&gt;"","QA",IF(Q138&lt;&gt;"","PBI Dev",IF(N138&lt;&gt;"","DB Dev","NOT STARTED")))))</f>
        <v/>
      </c>
      <c r="AI138" s="9">
        <f>IF($B138="","",IF(IF($C138="NOT STARTED",0,IF($C138="DB Dev",1,IF($C138="PBI Dev",2,IF($C138="QA",3,IF($C138="DPO Approval",4,IF($C138="RELEASED IN PROD",5,-1))))))&lt;IF($AH138="NOT STARTED",0,IF($AH138="DB Dev",1,IF($AH138="PBI Dev",2,IF($AH138="QA",3,IF($AH138="DPO Approval",4,IF($AH138="RELEASED IN PROD",5,-1)))))),"Yes - was already at "&amp;$AH138&amp;", now back at "&amp;$C138,"No"))</f>
        <v/>
      </c>
      <c r="AJ138" s="9">
        <f>IF($B138="","",IF(AND(T138&lt;&gt;"",N138&lt;&gt;"",T138&lt;N138),"QA target is before DB Dev target",IF(AND(T138&lt;&gt;"",Q138&lt;&gt;"",T138&lt;Q138),"QA target is before PBI Dev target",IF(AND(W138&lt;&gt;"",T138&lt;&gt;"",W138&lt;T138),"DPO Approval target is before QA target",IF(AND(Z138&lt;&gt;"",W138&lt;&gt;"",Z138&lt;W138),"Confirmed Deployed date is before DPO Approval target","")))))</f>
        <v/>
      </c>
      <c r="AK138" s="9">
        <f>IF($B138="","",IF(COUNTIF($B$2:$B$500,$B138)&gt;1,"Duplicate name - check row",""))</f>
        <v/>
      </c>
      <c r="AL138" s="1" t="n"/>
      <c r="AM138" s="9">
        <f>IF($B138="","",SUMPRODUCT(MAX(('Rework Log'!$A$3:$A$500=$B138)*ROW('Rework Log'!$A$3:$A$500))))</f>
        <v/>
      </c>
    </row>
    <row r="139">
      <c r="A139" s="1" t="n"/>
      <c r="B139" s="1" t="n"/>
      <c r="C139" s="1" t="n"/>
      <c r="D139" s="9">
        <f>IF($B139="","",IF(LEFT($AC139,3)="Yes","Blocked",IF(C139="NOT STARTED",IF(K139="","No plan date set",IF(K139&lt;TODAY(),"Review - planned start passed","On track")),IF(C139="DB Dev",IF(N139="","No target set",IF(AND(N139&lt;TODAY(),P139=""),"Overdue","On track")),IF(C139="PBI Dev",IF(Q139="","No target set",IF(AND(Q139&lt;TODAY(),S139=""),"Overdue","On track")),IF(C139="QA",IF(T139="","No target set",IF(AND(T139&lt;TODAY(),V139=""),"Overdue","On track")),IF(C139="DPO Approval",IF(W139="","No target set",IF(W139&lt;TODAY(),"Overdue","On track")),IF(C139="RELEASED IN PROD","Delivered",""))))))))</f>
        <v/>
      </c>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c r="AA139" s="1" t="n"/>
      <c r="AB139" s="1" t="n"/>
      <c r="AC139" s="1" t="n"/>
      <c r="AD139" s="9">
        <f>IF($B139="","",COUNTIF('Rework Log'!$A$3:$A$500,$B139))</f>
        <v/>
      </c>
      <c r="AE139" s="9">
        <f>IF(OR($B139="",$AM139=0),"",INDEX('Rework Log'!$C:$C,$AM139))</f>
        <v/>
      </c>
      <c r="AF139" s="9">
        <f>IF(OR($B139="",$AM139=0),"",INDEX('Rework Log'!$H:$H,$AM139))</f>
        <v/>
      </c>
      <c r="AG139" s="9">
        <f>IF(OR($B139="",$AM139=0),"",INDEX('Rework Log'!$G:$G,$AM139))</f>
        <v/>
      </c>
      <c r="AH139" s="9">
        <f>IF($B139="","",IF(W139&lt;&gt;"","DPO Approval",IF(T139&lt;&gt;"","QA",IF(Q139&lt;&gt;"","PBI Dev",IF(N139&lt;&gt;"","DB Dev","NOT STARTED")))))</f>
        <v/>
      </c>
      <c r="AI139" s="9">
        <f>IF($B139="","",IF(IF($C139="NOT STARTED",0,IF($C139="DB Dev",1,IF($C139="PBI Dev",2,IF($C139="QA",3,IF($C139="DPO Approval",4,IF($C139="RELEASED IN PROD",5,-1))))))&lt;IF($AH139="NOT STARTED",0,IF($AH139="DB Dev",1,IF($AH139="PBI Dev",2,IF($AH139="QA",3,IF($AH139="DPO Approval",4,IF($AH139="RELEASED IN PROD",5,-1)))))),"Yes - was already at "&amp;$AH139&amp;", now back at "&amp;$C139,"No"))</f>
        <v/>
      </c>
      <c r="AJ139" s="9">
        <f>IF($B139="","",IF(AND(T139&lt;&gt;"",N139&lt;&gt;"",T139&lt;N139),"QA target is before DB Dev target",IF(AND(T139&lt;&gt;"",Q139&lt;&gt;"",T139&lt;Q139),"QA target is before PBI Dev target",IF(AND(W139&lt;&gt;"",T139&lt;&gt;"",W139&lt;T139),"DPO Approval target is before QA target",IF(AND(Z139&lt;&gt;"",W139&lt;&gt;"",Z139&lt;W139),"Confirmed Deployed date is before DPO Approval target","")))))</f>
        <v/>
      </c>
      <c r="AK139" s="9">
        <f>IF($B139="","",IF(COUNTIF($B$2:$B$500,$B139)&gt;1,"Duplicate name - check row",""))</f>
        <v/>
      </c>
      <c r="AL139" s="1" t="n"/>
      <c r="AM139" s="9">
        <f>IF($B139="","",SUMPRODUCT(MAX(('Rework Log'!$A$3:$A$500=$B139)*ROW('Rework Log'!$A$3:$A$500))))</f>
        <v/>
      </c>
    </row>
    <row r="140">
      <c r="A140" s="1" t="n"/>
      <c r="B140" s="1" t="n"/>
      <c r="C140" s="1" t="n"/>
      <c r="D140" s="9">
        <f>IF($B140="","",IF(LEFT($AC140,3)="Yes","Blocked",IF(C140="NOT STARTED",IF(K140="","No plan date set",IF(K140&lt;TODAY(),"Review - planned start passed","On track")),IF(C140="DB Dev",IF(N140="","No target set",IF(AND(N140&lt;TODAY(),P140=""),"Overdue","On track")),IF(C140="PBI Dev",IF(Q140="","No target set",IF(AND(Q140&lt;TODAY(),S140=""),"Overdue","On track")),IF(C140="QA",IF(T140="","No target set",IF(AND(T140&lt;TODAY(),V140=""),"Overdue","On track")),IF(C140="DPO Approval",IF(W140="","No target set",IF(W140&lt;TODAY(),"Overdue","On track")),IF(C140="RELEASED IN PROD","Delivered",""))))))))</f>
        <v/>
      </c>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c r="AA140" s="1" t="n"/>
      <c r="AB140" s="1" t="n"/>
      <c r="AC140" s="1" t="n"/>
      <c r="AD140" s="9">
        <f>IF($B140="","",COUNTIF('Rework Log'!$A$3:$A$500,$B140))</f>
        <v/>
      </c>
      <c r="AE140" s="9">
        <f>IF(OR($B140="",$AM140=0),"",INDEX('Rework Log'!$C:$C,$AM140))</f>
        <v/>
      </c>
      <c r="AF140" s="9">
        <f>IF(OR($B140="",$AM140=0),"",INDEX('Rework Log'!$H:$H,$AM140))</f>
        <v/>
      </c>
      <c r="AG140" s="9">
        <f>IF(OR($B140="",$AM140=0),"",INDEX('Rework Log'!$G:$G,$AM140))</f>
        <v/>
      </c>
      <c r="AH140" s="9">
        <f>IF($B140="","",IF(W140&lt;&gt;"","DPO Approval",IF(T140&lt;&gt;"","QA",IF(Q140&lt;&gt;"","PBI Dev",IF(N140&lt;&gt;"","DB Dev","NOT STARTED")))))</f>
        <v/>
      </c>
      <c r="AI140" s="9">
        <f>IF($B140="","",IF(IF($C140="NOT STARTED",0,IF($C140="DB Dev",1,IF($C140="PBI Dev",2,IF($C140="QA",3,IF($C140="DPO Approval",4,IF($C140="RELEASED IN PROD",5,-1))))))&lt;IF($AH140="NOT STARTED",0,IF($AH140="DB Dev",1,IF($AH140="PBI Dev",2,IF($AH140="QA",3,IF($AH140="DPO Approval",4,IF($AH140="RELEASED IN PROD",5,-1)))))),"Yes - was already at "&amp;$AH140&amp;", now back at "&amp;$C140,"No"))</f>
        <v/>
      </c>
      <c r="AJ140" s="9">
        <f>IF($B140="","",IF(AND(T140&lt;&gt;"",N140&lt;&gt;"",T140&lt;N140),"QA target is before DB Dev target",IF(AND(T140&lt;&gt;"",Q140&lt;&gt;"",T140&lt;Q140),"QA target is before PBI Dev target",IF(AND(W140&lt;&gt;"",T140&lt;&gt;"",W140&lt;T140),"DPO Approval target is before QA target",IF(AND(Z140&lt;&gt;"",W140&lt;&gt;"",Z140&lt;W140),"Confirmed Deployed date is before DPO Approval target","")))))</f>
        <v/>
      </c>
      <c r="AK140" s="9">
        <f>IF($B140="","",IF(COUNTIF($B$2:$B$500,$B140)&gt;1,"Duplicate name - check row",""))</f>
        <v/>
      </c>
      <c r="AL140" s="1" t="n"/>
      <c r="AM140" s="9">
        <f>IF($B140="","",SUMPRODUCT(MAX(('Rework Log'!$A$3:$A$500=$B140)*ROW('Rework Log'!$A$3:$A$500))))</f>
        <v/>
      </c>
    </row>
    <row r="141">
      <c r="A141" s="1" t="n"/>
      <c r="B141" s="1" t="n"/>
      <c r="C141" s="1" t="n"/>
      <c r="D141" s="9">
        <f>IF($B141="","",IF(LEFT($AC141,3)="Yes","Blocked",IF(C141="NOT STARTED",IF(K141="","No plan date set",IF(K141&lt;TODAY(),"Review - planned start passed","On track")),IF(C141="DB Dev",IF(N141="","No target set",IF(AND(N141&lt;TODAY(),P141=""),"Overdue","On track")),IF(C141="PBI Dev",IF(Q141="","No target set",IF(AND(Q141&lt;TODAY(),S141=""),"Overdue","On track")),IF(C141="QA",IF(T141="","No target set",IF(AND(T141&lt;TODAY(),V141=""),"Overdue","On track")),IF(C141="DPO Approval",IF(W141="","No target set",IF(W141&lt;TODAY(),"Overdue","On track")),IF(C141="RELEASED IN PROD","Delivered",""))))))))</f>
        <v/>
      </c>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c r="AA141" s="1" t="n"/>
      <c r="AB141" s="1" t="n"/>
      <c r="AC141" s="1" t="n"/>
      <c r="AD141" s="9">
        <f>IF($B141="","",COUNTIF('Rework Log'!$A$3:$A$500,$B141))</f>
        <v/>
      </c>
      <c r="AE141" s="9">
        <f>IF(OR($B141="",$AM141=0),"",INDEX('Rework Log'!$C:$C,$AM141))</f>
        <v/>
      </c>
      <c r="AF141" s="9">
        <f>IF(OR($B141="",$AM141=0),"",INDEX('Rework Log'!$H:$H,$AM141))</f>
        <v/>
      </c>
      <c r="AG141" s="9">
        <f>IF(OR($B141="",$AM141=0),"",INDEX('Rework Log'!$G:$G,$AM141))</f>
        <v/>
      </c>
      <c r="AH141" s="9">
        <f>IF($B141="","",IF(W141&lt;&gt;"","DPO Approval",IF(T141&lt;&gt;"","QA",IF(Q141&lt;&gt;"","PBI Dev",IF(N141&lt;&gt;"","DB Dev","NOT STARTED")))))</f>
        <v/>
      </c>
      <c r="AI141" s="9">
        <f>IF($B141="","",IF(IF($C141="NOT STARTED",0,IF($C141="DB Dev",1,IF($C141="PBI Dev",2,IF($C141="QA",3,IF($C141="DPO Approval",4,IF($C141="RELEASED IN PROD",5,-1))))))&lt;IF($AH141="NOT STARTED",0,IF($AH141="DB Dev",1,IF($AH141="PBI Dev",2,IF($AH141="QA",3,IF($AH141="DPO Approval",4,IF($AH141="RELEASED IN PROD",5,-1)))))),"Yes - was already at "&amp;$AH141&amp;", now back at "&amp;$C141,"No"))</f>
        <v/>
      </c>
      <c r="AJ141" s="9">
        <f>IF($B141="","",IF(AND(T141&lt;&gt;"",N141&lt;&gt;"",T141&lt;N141),"QA target is before DB Dev target",IF(AND(T141&lt;&gt;"",Q141&lt;&gt;"",T141&lt;Q141),"QA target is before PBI Dev target",IF(AND(W141&lt;&gt;"",T141&lt;&gt;"",W141&lt;T141),"DPO Approval target is before QA target",IF(AND(Z141&lt;&gt;"",W141&lt;&gt;"",Z141&lt;W141),"Confirmed Deployed date is before DPO Approval target","")))))</f>
        <v/>
      </c>
      <c r="AK141" s="9">
        <f>IF($B141="","",IF(COUNTIF($B$2:$B$500,$B141)&gt;1,"Duplicate name - check row",""))</f>
        <v/>
      </c>
      <c r="AL141" s="1" t="n"/>
      <c r="AM141" s="9">
        <f>IF($B141="","",SUMPRODUCT(MAX(('Rework Log'!$A$3:$A$500=$B141)*ROW('Rework Log'!$A$3:$A$500))))</f>
        <v/>
      </c>
    </row>
    <row r="142">
      <c r="A142" s="1" t="n"/>
      <c r="B142" s="1" t="n"/>
      <c r="C142" s="1" t="n"/>
      <c r="D142" s="9">
        <f>IF($B142="","",IF(LEFT($AC142,3)="Yes","Blocked",IF(C142="NOT STARTED",IF(K142="","No plan date set",IF(K142&lt;TODAY(),"Review - planned start passed","On track")),IF(C142="DB Dev",IF(N142="","No target set",IF(AND(N142&lt;TODAY(),P142=""),"Overdue","On track")),IF(C142="PBI Dev",IF(Q142="","No target set",IF(AND(Q142&lt;TODAY(),S142=""),"Overdue","On track")),IF(C142="QA",IF(T142="","No target set",IF(AND(T142&lt;TODAY(),V142=""),"Overdue","On track")),IF(C142="DPO Approval",IF(W142="","No target set",IF(W142&lt;TODAY(),"Overdue","On track")),IF(C142="RELEASED IN PROD","Delivered",""))))))))</f>
        <v/>
      </c>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c r="AA142" s="1" t="n"/>
      <c r="AB142" s="1" t="n"/>
      <c r="AC142" s="1" t="n"/>
      <c r="AD142" s="9">
        <f>IF($B142="","",COUNTIF('Rework Log'!$A$3:$A$500,$B142))</f>
        <v/>
      </c>
      <c r="AE142" s="9">
        <f>IF(OR($B142="",$AM142=0),"",INDEX('Rework Log'!$C:$C,$AM142))</f>
        <v/>
      </c>
      <c r="AF142" s="9">
        <f>IF(OR($B142="",$AM142=0),"",INDEX('Rework Log'!$H:$H,$AM142))</f>
        <v/>
      </c>
      <c r="AG142" s="9">
        <f>IF(OR($B142="",$AM142=0),"",INDEX('Rework Log'!$G:$G,$AM142))</f>
        <v/>
      </c>
      <c r="AH142" s="9">
        <f>IF($B142="","",IF(W142&lt;&gt;"","DPO Approval",IF(T142&lt;&gt;"","QA",IF(Q142&lt;&gt;"","PBI Dev",IF(N142&lt;&gt;"","DB Dev","NOT STARTED")))))</f>
        <v/>
      </c>
      <c r="AI142" s="9">
        <f>IF($B142="","",IF(IF($C142="NOT STARTED",0,IF($C142="DB Dev",1,IF($C142="PBI Dev",2,IF($C142="QA",3,IF($C142="DPO Approval",4,IF($C142="RELEASED IN PROD",5,-1))))))&lt;IF($AH142="NOT STARTED",0,IF($AH142="DB Dev",1,IF($AH142="PBI Dev",2,IF($AH142="QA",3,IF($AH142="DPO Approval",4,IF($AH142="RELEASED IN PROD",5,-1)))))),"Yes - was already at "&amp;$AH142&amp;", now back at "&amp;$C142,"No"))</f>
        <v/>
      </c>
      <c r="AJ142" s="9">
        <f>IF($B142="","",IF(AND(T142&lt;&gt;"",N142&lt;&gt;"",T142&lt;N142),"QA target is before DB Dev target",IF(AND(T142&lt;&gt;"",Q142&lt;&gt;"",T142&lt;Q142),"QA target is before PBI Dev target",IF(AND(W142&lt;&gt;"",T142&lt;&gt;"",W142&lt;T142),"DPO Approval target is before QA target",IF(AND(Z142&lt;&gt;"",W142&lt;&gt;"",Z142&lt;W142),"Confirmed Deployed date is before DPO Approval target","")))))</f>
        <v/>
      </c>
      <c r="AK142" s="9">
        <f>IF($B142="","",IF(COUNTIF($B$2:$B$500,$B142)&gt;1,"Duplicate name - check row",""))</f>
        <v/>
      </c>
      <c r="AL142" s="1" t="n"/>
      <c r="AM142" s="9">
        <f>IF($B142="","",SUMPRODUCT(MAX(('Rework Log'!$A$3:$A$500=$B142)*ROW('Rework Log'!$A$3:$A$500))))</f>
        <v/>
      </c>
    </row>
    <row r="143">
      <c r="A143" s="1" t="n"/>
      <c r="B143" s="1" t="n"/>
      <c r="C143" s="1" t="n"/>
      <c r="D143" s="9">
        <f>IF($B143="","",IF(LEFT($AC143,3)="Yes","Blocked",IF(C143="NOT STARTED",IF(K143="","No plan date set",IF(K143&lt;TODAY(),"Review - planned start passed","On track")),IF(C143="DB Dev",IF(N143="","No target set",IF(AND(N143&lt;TODAY(),P143=""),"Overdue","On track")),IF(C143="PBI Dev",IF(Q143="","No target set",IF(AND(Q143&lt;TODAY(),S143=""),"Overdue","On track")),IF(C143="QA",IF(T143="","No target set",IF(AND(T143&lt;TODAY(),V143=""),"Overdue","On track")),IF(C143="DPO Approval",IF(W143="","No target set",IF(W143&lt;TODAY(),"Overdue","On track")),IF(C143="RELEASED IN PROD","Delivered",""))))))))</f>
        <v/>
      </c>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c r="AA143" s="1" t="n"/>
      <c r="AB143" s="1" t="n"/>
      <c r="AC143" s="1" t="n"/>
      <c r="AD143" s="9">
        <f>IF($B143="","",COUNTIF('Rework Log'!$A$3:$A$500,$B143))</f>
        <v/>
      </c>
      <c r="AE143" s="9">
        <f>IF(OR($B143="",$AM143=0),"",INDEX('Rework Log'!$C:$C,$AM143))</f>
        <v/>
      </c>
      <c r="AF143" s="9">
        <f>IF(OR($B143="",$AM143=0),"",INDEX('Rework Log'!$H:$H,$AM143))</f>
        <v/>
      </c>
      <c r="AG143" s="9">
        <f>IF(OR($B143="",$AM143=0),"",INDEX('Rework Log'!$G:$G,$AM143))</f>
        <v/>
      </c>
      <c r="AH143" s="9">
        <f>IF($B143="","",IF(W143&lt;&gt;"","DPO Approval",IF(T143&lt;&gt;"","QA",IF(Q143&lt;&gt;"","PBI Dev",IF(N143&lt;&gt;"","DB Dev","NOT STARTED")))))</f>
        <v/>
      </c>
      <c r="AI143" s="9">
        <f>IF($B143="","",IF(IF($C143="NOT STARTED",0,IF($C143="DB Dev",1,IF($C143="PBI Dev",2,IF($C143="QA",3,IF($C143="DPO Approval",4,IF($C143="RELEASED IN PROD",5,-1))))))&lt;IF($AH143="NOT STARTED",0,IF($AH143="DB Dev",1,IF($AH143="PBI Dev",2,IF($AH143="QA",3,IF($AH143="DPO Approval",4,IF($AH143="RELEASED IN PROD",5,-1)))))),"Yes - was already at "&amp;$AH143&amp;", now back at "&amp;$C143,"No"))</f>
        <v/>
      </c>
      <c r="AJ143" s="9">
        <f>IF($B143="","",IF(AND(T143&lt;&gt;"",N143&lt;&gt;"",T143&lt;N143),"QA target is before DB Dev target",IF(AND(T143&lt;&gt;"",Q143&lt;&gt;"",T143&lt;Q143),"QA target is before PBI Dev target",IF(AND(W143&lt;&gt;"",T143&lt;&gt;"",W143&lt;T143),"DPO Approval target is before QA target",IF(AND(Z143&lt;&gt;"",W143&lt;&gt;"",Z143&lt;W143),"Confirmed Deployed date is before DPO Approval target","")))))</f>
        <v/>
      </c>
      <c r="AK143" s="9">
        <f>IF($B143="","",IF(COUNTIF($B$2:$B$500,$B143)&gt;1,"Duplicate name - check row",""))</f>
        <v/>
      </c>
      <c r="AL143" s="1" t="n"/>
      <c r="AM143" s="9">
        <f>IF($B143="","",SUMPRODUCT(MAX(('Rework Log'!$A$3:$A$500=$B143)*ROW('Rework Log'!$A$3:$A$500))))</f>
        <v/>
      </c>
    </row>
    <row r="144">
      <c r="A144" s="1" t="n"/>
      <c r="B144" s="1" t="n"/>
      <c r="C144" s="1" t="n"/>
      <c r="D144" s="9">
        <f>IF($B144="","",IF(LEFT($AC144,3)="Yes","Blocked",IF(C144="NOT STARTED",IF(K144="","No plan date set",IF(K144&lt;TODAY(),"Review - planned start passed","On track")),IF(C144="DB Dev",IF(N144="","No target set",IF(AND(N144&lt;TODAY(),P144=""),"Overdue","On track")),IF(C144="PBI Dev",IF(Q144="","No target set",IF(AND(Q144&lt;TODAY(),S144=""),"Overdue","On track")),IF(C144="QA",IF(T144="","No target set",IF(AND(T144&lt;TODAY(),V144=""),"Overdue","On track")),IF(C144="DPO Approval",IF(W144="","No target set",IF(W144&lt;TODAY(),"Overdue","On track")),IF(C144="RELEASED IN PROD","Delivered",""))))))))</f>
        <v/>
      </c>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c r="AA144" s="1" t="n"/>
      <c r="AB144" s="1" t="n"/>
      <c r="AC144" s="1" t="n"/>
      <c r="AD144" s="9">
        <f>IF($B144="","",COUNTIF('Rework Log'!$A$3:$A$500,$B144))</f>
        <v/>
      </c>
      <c r="AE144" s="9">
        <f>IF(OR($B144="",$AM144=0),"",INDEX('Rework Log'!$C:$C,$AM144))</f>
        <v/>
      </c>
      <c r="AF144" s="9">
        <f>IF(OR($B144="",$AM144=0),"",INDEX('Rework Log'!$H:$H,$AM144))</f>
        <v/>
      </c>
      <c r="AG144" s="9">
        <f>IF(OR($B144="",$AM144=0),"",INDEX('Rework Log'!$G:$G,$AM144))</f>
        <v/>
      </c>
      <c r="AH144" s="9">
        <f>IF($B144="","",IF(W144&lt;&gt;"","DPO Approval",IF(T144&lt;&gt;"","QA",IF(Q144&lt;&gt;"","PBI Dev",IF(N144&lt;&gt;"","DB Dev","NOT STARTED")))))</f>
        <v/>
      </c>
      <c r="AI144" s="9">
        <f>IF($B144="","",IF(IF($C144="NOT STARTED",0,IF($C144="DB Dev",1,IF($C144="PBI Dev",2,IF($C144="QA",3,IF($C144="DPO Approval",4,IF($C144="RELEASED IN PROD",5,-1))))))&lt;IF($AH144="NOT STARTED",0,IF($AH144="DB Dev",1,IF($AH144="PBI Dev",2,IF($AH144="QA",3,IF($AH144="DPO Approval",4,IF($AH144="RELEASED IN PROD",5,-1)))))),"Yes - was already at "&amp;$AH144&amp;", now back at "&amp;$C144,"No"))</f>
        <v/>
      </c>
      <c r="AJ144" s="9">
        <f>IF($B144="","",IF(AND(T144&lt;&gt;"",N144&lt;&gt;"",T144&lt;N144),"QA target is before DB Dev target",IF(AND(T144&lt;&gt;"",Q144&lt;&gt;"",T144&lt;Q144),"QA target is before PBI Dev target",IF(AND(W144&lt;&gt;"",T144&lt;&gt;"",W144&lt;T144),"DPO Approval target is before QA target",IF(AND(Z144&lt;&gt;"",W144&lt;&gt;"",Z144&lt;W144),"Confirmed Deployed date is before DPO Approval target","")))))</f>
        <v/>
      </c>
      <c r="AK144" s="9">
        <f>IF($B144="","",IF(COUNTIF($B$2:$B$500,$B144)&gt;1,"Duplicate name - check row",""))</f>
        <v/>
      </c>
      <c r="AL144" s="1" t="n"/>
      <c r="AM144" s="9">
        <f>IF($B144="","",SUMPRODUCT(MAX(('Rework Log'!$A$3:$A$500=$B144)*ROW('Rework Log'!$A$3:$A$500))))</f>
        <v/>
      </c>
    </row>
    <row r="145">
      <c r="A145" s="1" t="n"/>
      <c r="B145" s="1" t="n"/>
      <c r="C145" s="1" t="n"/>
      <c r="D145" s="9">
        <f>IF($B145="","",IF(LEFT($AC145,3)="Yes","Blocked",IF(C145="NOT STARTED",IF(K145="","No plan date set",IF(K145&lt;TODAY(),"Review - planned start passed","On track")),IF(C145="DB Dev",IF(N145="","No target set",IF(AND(N145&lt;TODAY(),P145=""),"Overdue","On track")),IF(C145="PBI Dev",IF(Q145="","No target set",IF(AND(Q145&lt;TODAY(),S145=""),"Overdue","On track")),IF(C145="QA",IF(T145="","No target set",IF(AND(T145&lt;TODAY(),V145=""),"Overdue","On track")),IF(C145="DPO Approval",IF(W145="","No target set",IF(W145&lt;TODAY(),"Overdue","On track")),IF(C145="RELEASED IN PROD","Delivered",""))))))))</f>
        <v/>
      </c>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c r="AA145" s="1" t="n"/>
      <c r="AB145" s="1" t="n"/>
      <c r="AC145" s="1" t="n"/>
      <c r="AD145" s="9">
        <f>IF($B145="","",COUNTIF('Rework Log'!$A$3:$A$500,$B145))</f>
        <v/>
      </c>
      <c r="AE145" s="9">
        <f>IF(OR($B145="",$AM145=0),"",INDEX('Rework Log'!$C:$C,$AM145))</f>
        <v/>
      </c>
      <c r="AF145" s="9">
        <f>IF(OR($B145="",$AM145=0),"",INDEX('Rework Log'!$H:$H,$AM145))</f>
        <v/>
      </c>
      <c r="AG145" s="9">
        <f>IF(OR($B145="",$AM145=0),"",INDEX('Rework Log'!$G:$G,$AM145))</f>
        <v/>
      </c>
      <c r="AH145" s="9">
        <f>IF($B145="","",IF(W145&lt;&gt;"","DPO Approval",IF(T145&lt;&gt;"","QA",IF(Q145&lt;&gt;"","PBI Dev",IF(N145&lt;&gt;"","DB Dev","NOT STARTED")))))</f>
        <v/>
      </c>
      <c r="AI145" s="9">
        <f>IF($B145="","",IF(IF($C145="NOT STARTED",0,IF($C145="DB Dev",1,IF($C145="PBI Dev",2,IF($C145="QA",3,IF($C145="DPO Approval",4,IF($C145="RELEASED IN PROD",5,-1))))))&lt;IF($AH145="NOT STARTED",0,IF($AH145="DB Dev",1,IF($AH145="PBI Dev",2,IF($AH145="QA",3,IF($AH145="DPO Approval",4,IF($AH145="RELEASED IN PROD",5,-1)))))),"Yes - was already at "&amp;$AH145&amp;", now back at "&amp;$C145,"No"))</f>
        <v/>
      </c>
      <c r="AJ145" s="9">
        <f>IF($B145="","",IF(AND(T145&lt;&gt;"",N145&lt;&gt;"",T145&lt;N145),"QA target is before DB Dev target",IF(AND(T145&lt;&gt;"",Q145&lt;&gt;"",T145&lt;Q145),"QA target is before PBI Dev target",IF(AND(W145&lt;&gt;"",T145&lt;&gt;"",W145&lt;T145),"DPO Approval target is before QA target",IF(AND(Z145&lt;&gt;"",W145&lt;&gt;"",Z145&lt;W145),"Confirmed Deployed date is before DPO Approval target","")))))</f>
        <v/>
      </c>
      <c r="AK145" s="9">
        <f>IF($B145="","",IF(COUNTIF($B$2:$B$500,$B145)&gt;1,"Duplicate name - check row",""))</f>
        <v/>
      </c>
      <c r="AL145" s="1" t="n"/>
      <c r="AM145" s="9">
        <f>IF($B145="","",SUMPRODUCT(MAX(('Rework Log'!$A$3:$A$500=$B145)*ROW('Rework Log'!$A$3:$A$500))))</f>
        <v/>
      </c>
    </row>
    <row r="146">
      <c r="A146" s="1" t="n"/>
      <c r="B146" s="1" t="n"/>
      <c r="C146" s="1" t="n"/>
      <c r="D146" s="9">
        <f>IF($B146="","",IF(LEFT($AC146,3)="Yes","Blocked",IF(C146="NOT STARTED",IF(K146="","No plan date set",IF(K146&lt;TODAY(),"Review - planned start passed","On track")),IF(C146="DB Dev",IF(N146="","No target set",IF(AND(N146&lt;TODAY(),P146=""),"Overdue","On track")),IF(C146="PBI Dev",IF(Q146="","No target set",IF(AND(Q146&lt;TODAY(),S146=""),"Overdue","On track")),IF(C146="QA",IF(T146="","No target set",IF(AND(T146&lt;TODAY(),V146=""),"Overdue","On track")),IF(C146="DPO Approval",IF(W146="","No target set",IF(W146&lt;TODAY(),"Overdue","On track")),IF(C146="RELEASED IN PROD","Delivered",""))))))))</f>
        <v/>
      </c>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c r="AA146" s="1" t="n"/>
      <c r="AB146" s="1" t="n"/>
      <c r="AC146" s="1" t="n"/>
      <c r="AD146" s="9">
        <f>IF($B146="","",COUNTIF('Rework Log'!$A$3:$A$500,$B146))</f>
        <v/>
      </c>
      <c r="AE146" s="9">
        <f>IF(OR($B146="",$AM146=0),"",INDEX('Rework Log'!$C:$C,$AM146))</f>
        <v/>
      </c>
      <c r="AF146" s="9">
        <f>IF(OR($B146="",$AM146=0),"",INDEX('Rework Log'!$H:$H,$AM146))</f>
        <v/>
      </c>
      <c r="AG146" s="9">
        <f>IF(OR($B146="",$AM146=0),"",INDEX('Rework Log'!$G:$G,$AM146))</f>
        <v/>
      </c>
      <c r="AH146" s="9">
        <f>IF($B146="","",IF(W146&lt;&gt;"","DPO Approval",IF(T146&lt;&gt;"","QA",IF(Q146&lt;&gt;"","PBI Dev",IF(N146&lt;&gt;"","DB Dev","NOT STARTED")))))</f>
        <v/>
      </c>
      <c r="AI146" s="9">
        <f>IF($B146="","",IF(IF($C146="NOT STARTED",0,IF($C146="DB Dev",1,IF($C146="PBI Dev",2,IF($C146="QA",3,IF($C146="DPO Approval",4,IF($C146="RELEASED IN PROD",5,-1))))))&lt;IF($AH146="NOT STARTED",0,IF($AH146="DB Dev",1,IF($AH146="PBI Dev",2,IF($AH146="QA",3,IF($AH146="DPO Approval",4,IF($AH146="RELEASED IN PROD",5,-1)))))),"Yes - was already at "&amp;$AH146&amp;", now back at "&amp;$C146,"No"))</f>
        <v/>
      </c>
      <c r="AJ146" s="9">
        <f>IF($B146="","",IF(AND(T146&lt;&gt;"",N146&lt;&gt;"",T146&lt;N146),"QA target is before DB Dev target",IF(AND(T146&lt;&gt;"",Q146&lt;&gt;"",T146&lt;Q146),"QA target is before PBI Dev target",IF(AND(W146&lt;&gt;"",T146&lt;&gt;"",W146&lt;T146),"DPO Approval target is before QA target",IF(AND(Z146&lt;&gt;"",W146&lt;&gt;"",Z146&lt;W146),"Confirmed Deployed date is before DPO Approval target","")))))</f>
        <v/>
      </c>
      <c r="AK146" s="9">
        <f>IF($B146="","",IF(COUNTIF($B$2:$B$500,$B146)&gt;1,"Duplicate name - check row",""))</f>
        <v/>
      </c>
      <c r="AL146" s="1" t="n"/>
      <c r="AM146" s="9">
        <f>IF($B146="","",SUMPRODUCT(MAX(('Rework Log'!$A$3:$A$500=$B146)*ROW('Rework Log'!$A$3:$A$500))))</f>
        <v/>
      </c>
    </row>
    <row r="147">
      <c r="A147" s="1" t="n"/>
      <c r="B147" s="1" t="n"/>
      <c r="C147" s="1" t="n"/>
      <c r="D147" s="9">
        <f>IF($B147="","",IF(LEFT($AC147,3)="Yes","Blocked",IF(C147="NOT STARTED",IF(K147="","No plan date set",IF(K147&lt;TODAY(),"Review - planned start passed","On track")),IF(C147="DB Dev",IF(N147="","No target set",IF(AND(N147&lt;TODAY(),P147=""),"Overdue","On track")),IF(C147="PBI Dev",IF(Q147="","No target set",IF(AND(Q147&lt;TODAY(),S147=""),"Overdue","On track")),IF(C147="QA",IF(T147="","No target set",IF(AND(T147&lt;TODAY(),V147=""),"Overdue","On track")),IF(C147="DPO Approval",IF(W147="","No target set",IF(W147&lt;TODAY(),"Overdue","On track")),IF(C147="RELEASED IN PROD","Delivered",""))))))))</f>
        <v/>
      </c>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c r="AA147" s="1" t="n"/>
      <c r="AB147" s="1" t="n"/>
      <c r="AC147" s="1" t="n"/>
      <c r="AD147" s="9">
        <f>IF($B147="","",COUNTIF('Rework Log'!$A$3:$A$500,$B147))</f>
        <v/>
      </c>
      <c r="AE147" s="9">
        <f>IF(OR($B147="",$AM147=0),"",INDEX('Rework Log'!$C:$C,$AM147))</f>
        <v/>
      </c>
      <c r="AF147" s="9">
        <f>IF(OR($B147="",$AM147=0),"",INDEX('Rework Log'!$H:$H,$AM147))</f>
        <v/>
      </c>
      <c r="AG147" s="9">
        <f>IF(OR($B147="",$AM147=0),"",INDEX('Rework Log'!$G:$G,$AM147))</f>
        <v/>
      </c>
      <c r="AH147" s="9">
        <f>IF($B147="","",IF(W147&lt;&gt;"","DPO Approval",IF(T147&lt;&gt;"","QA",IF(Q147&lt;&gt;"","PBI Dev",IF(N147&lt;&gt;"","DB Dev","NOT STARTED")))))</f>
        <v/>
      </c>
      <c r="AI147" s="9">
        <f>IF($B147="","",IF(IF($C147="NOT STARTED",0,IF($C147="DB Dev",1,IF($C147="PBI Dev",2,IF($C147="QA",3,IF($C147="DPO Approval",4,IF($C147="RELEASED IN PROD",5,-1))))))&lt;IF($AH147="NOT STARTED",0,IF($AH147="DB Dev",1,IF($AH147="PBI Dev",2,IF($AH147="QA",3,IF($AH147="DPO Approval",4,IF($AH147="RELEASED IN PROD",5,-1)))))),"Yes - was already at "&amp;$AH147&amp;", now back at "&amp;$C147,"No"))</f>
        <v/>
      </c>
      <c r="AJ147" s="9">
        <f>IF($B147="","",IF(AND(T147&lt;&gt;"",N147&lt;&gt;"",T147&lt;N147),"QA target is before DB Dev target",IF(AND(T147&lt;&gt;"",Q147&lt;&gt;"",T147&lt;Q147),"QA target is before PBI Dev target",IF(AND(W147&lt;&gt;"",T147&lt;&gt;"",W147&lt;T147),"DPO Approval target is before QA target",IF(AND(Z147&lt;&gt;"",W147&lt;&gt;"",Z147&lt;W147),"Confirmed Deployed date is before DPO Approval target","")))))</f>
        <v/>
      </c>
      <c r="AK147" s="9">
        <f>IF($B147="","",IF(COUNTIF($B$2:$B$500,$B147)&gt;1,"Duplicate name - check row",""))</f>
        <v/>
      </c>
      <c r="AL147" s="1" t="n"/>
      <c r="AM147" s="9">
        <f>IF($B147="","",SUMPRODUCT(MAX(('Rework Log'!$A$3:$A$500=$B147)*ROW('Rework Log'!$A$3:$A$500))))</f>
        <v/>
      </c>
    </row>
    <row r="148">
      <c r="A148" s="1" t="n"/>
      <c r="B148" s="1" t="n"/>
      <c r="C148" s="1" t="n"/>
      <c r="D148" s="9">
        <f>IF($B148="","",IF(LEFT($AC148,3)="Yes","Blocked",IF(C148="NOT STARTED",IF(K148="","No plan date set",IF(K148&lt;TODAY(),"Review - planned start passed","On track")),IF(C148="DB Dev",IF(N148="","No target set",IF(AND(N148&lt;TODAY(),P148=""),"Overdue","On track")),IF(C148="PBI Dev",IF(Q148="","No target set",IF(AND(Q148&lt;TODAY(),S148=""),"Overdue","On track")),IF(C148="QA",IF(T148="","No target set",IF(AND(T148&lt;TODAY(),V148=""),"Overdue","On track")),IF(C148="DPO Approval",IF(W148="","No target set",IF(W148&lt;TODAY(),"Overdue","On track")),IF(C148="RELEASED IN PROD","Delivered",""))))))))</f>
        <v/>
      </c>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c r="AA148" s="1" t="n"/>
      <c r="AB148" s="1" t="n"/>
      <c r="AC148" s="1" t="n"/>
      <c r="AD148" s="9">
        <f>IF($B148="","",COUNTIF('Rework Log'!$A$3:$A$500,$B148))</f>
        <v/>
      </c>
      <c r="AE148" s="9">
        <f>IF(OR($B148="",$AM148=0),"",INDEX('Rework Log'!$C:$C,$AM148))</f>
        <v/>
      </c>
      <c r="AF148" s="9">
        <f>IF(OR($B148="",$AM148=0),"",INDEX('Rework Log'!$H:$H,$AM148))</f>
        <v/>
      </c>
      <c r="AG148" s="9">
        <f>IF(OR($B148="",$AM148=0),"",INDEX('Rework Log'!$G:$G,$AM148))</f>
        <v/>
      </c>
      <c r="AH148" s="9">
        <f>IF($B148="","",IF(W148&lt;&gt;"","DPO Approval",IF(T148&lt;&gt;"","QA",IF(Q148&lt;&gt;"","PBI Dev",IF(N148&lt;&gt;"","DB Dev","NOT STARTED")))))</f>
        <v/>
      </c>
      <c r="AI148" s="9">
        <f>IF($B148="","",IF(IF($C148="NOT STARTED",0,IF($C148="DB Dev",1,IF($C148="PBI Dev",2,IF($C148="QA",3,IF($C148="DPO Approval",4,IF($C148="RELEASED IN PROD",5,-1))))))&lt;IF($AH148="NOT STARTED",0,IF($AH148="DB Dev",1,IF($AH148="PBI Dev",2,IF($AH148="QA",3,IF($AH148="DPO Approval",4,IF($AH148="RELEASED IN PROD",5,-1)))))),"Yes - was already at "&amp;$AH148&amp;", now back at "&amp;$C148,"No"))</f>
        <v/>
      </c>
      <c r="AJ148" s="9">
        <f>IF($B148="","",IF(AND(T148&lt;&gt;"",N148&lt;&gt;"",T148&lt;N148),"QA target is before DB Dev target",IF(AND(T148&lt;&gt;"",Q148&lt;&gt;"",T148&lt;Q148),"QA target is before PBI Dev target",IF(AND(W148&lt;&gt;"",T148&lt;&gt;"",W148&lt;T148),"DPO Approval target is before QA target",IF(AND(Z148&lt;&gt;"",W148&lt;&gt;"",Z148&lt;W148),"Confirmed Deployed date is before DPO Approval target","")))))</f>
        <v/>
      </c>
      <c r="AK148" s="9">
        <f>IF($B148="","",IF(COUNTIF($B$2:$B$500,$B148)&gt;1,"Duplicate name - check row",""))</f>
        <v/>
      </c>
      <c r="AL148" s="1" t="n"/>
      <c r="AM148" s="9">
        <f>IF($B148="","",SUMPRODUCT(MAX(('Rework Log'!$A$3:$A$500=$B148)*ROW('Rework Log'!$A$3:$A$500))))</f>
        <v/>
      </c>
    </row>
    <row r="149">
      <c r="A149" s="1" t="n"/>
      <c r="B149" s="1" t="n"/>
      <c r="C149" s="1" t="n"/>
      <c r="D149" s="9">
        <f>IF($B149="","",IF(LEFT($AC149,3)="Yes","Blocked",IF(C149="NOT STARTED",IF(K149="","No plan date set",IF(K149&lt;TODAY(),"Review - planned start passed","On track")),IF(C149="DB Dev",IF(N149="","No target set",IF(AND(N149&lt;TODAY(),P149=""),"Overdue","On track")),IF(C149="PBI Dev",IF(Q149="","No target set",IF(AND(Q149&lt;TODAY(),S149=""),"Overdue","On track")),IF(C149="QA",IF(T149="","No target set",IF(AND(T149&lt;TODAY(),V149=""),"Overdue","On track")),IF(C149="DPO Approval",IF(W149="","No target set",IF(W149&lt;TODAY(),"Overdue","On track")),IF(C149="RELEASED IN PROD","Delivered",""))))))))</f>
        <v/>
      </c>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c r="AA149" s="1" t="n"/>
      <c r="AB149" s="1" t="n"/>
      <c r="AC149" s="1" t="n"/>
      <c r="AD149" s="9">
        <f>IF($B149="","",COUNTIF('Rework Log'!$A$3:$A$500,$B149))</f>
        <v/>
      </c>
      <c r="AE149" s="9">
        <f>IF(OR($B149="",$AM149=0),"",INDEX('Rework Log'!$C:$C,$AM149))</f>
        <v/>
      </c>
      <c r="AF149" s="9">
        <f>IF(OR($B149="",$AM149=0),"",INDEX('Rework Log'!$H:$H,$AM149))</f>
        <v/>
      </c>
      <c r="AG149" s="9">
        <f>IF(OR($B149="",$AM149=0),"",INDEX('Rework Log'!$G:$G,$AM149))</f>
        <v/>
      </c>
      <c r="AH149" s="9">
        <f>IF($B149="","",IF(W149&lt;&gt;"","DPO Approval",IF(T149&lt;&gt;"","QA",IF(Q149&lt;&gt;"","PBI Dev",IF(N149&lt;&gt;"","DB Dev","NOT STARTED")))))</f>
        <v/>
      </c>
      <c r="AI149" s="9">
        <f>IF($B149="","",IF(IF($C149="NOT STARTED",0,IF($C149="DB Dev",1,IF($C149="PBI Dev",2,IF($C149="QA",3,IF($C149="DPO Approval",4,IF($C149="RELEASED IN PROD",5,-1))))))&lt;IF($AH149="NOT STARTED",0,IF($AH149="DB Dev",1,IF($AH149="PBI Dev",2,IF($AH149="QA",3,IF($AH149="DPO Approval",4,IF($AH149="RELEASED IN PROD",5,-1)))))),"Yes - was already at "&amp;$AH149&amp;", now back at "&amp;$C149,"No"))</f>
        <v/>
      </c>
      <c r="AJ149" s="9">
        <f>IF($B149="","",IF(AND(T149&lt;&gt;"",N149&lt;&gt;"",T149&lt;N149),"QA target is before DB Dev target",IF(AND(T149&lt;&gt;"",Q149&lt;&gt;"",T149&lt;Q149),"QA target is before PBI Dev target",IF(AND(W149&lt;&gt;"",T149&lt;&gt;"",W149&lt;T149),"DPO Approval target is before QA target",IF(AND(Z149&lt;&gt;"",W149&lt;&gt;"",Z149&lt;W149),"Confirmed Deployed date is before DPO Approval target","")))))</f>
        <v/>
      </c>
      <c r="AK149" s="9">
        <f>IF($B149="","",IF(COUNTIF($B$2:$B$500,$B149)&gt;1,"Duplicate name - check row",""))</f>
        <v/>
      </c>
      <c r="AL149" s="1" t="n"/>
      <c r="AM149" s="9">
        <f>IF($B149="","",SUMPRODUCT(MAX(('Rework Log'!$A$3:$A$500=$B149)*ROW('Rework Log'!$A$3:$A$500))))</f>
        <v/>
      </c>
    </row>
    <row r="150">
      <c r="A150" s="1" t="n"/>
      <c r="B150" s="1" t="n"/>
      <c r="C150" s="1" t="n"/>
      <c r="D150" s="9">
        <f>IF($B150="","",IF(LEFT($AC150,3)="Yes","Blocked",IF(C150="NOT STARTED",IF(K150="","No plan date set",IF(K150&lt;TODAY(),"Review - planned start passed","On track")),IF(C150="DB Dev",IF(N150="","No target set",IF(AND(N150&lt;TODAY(),P150=""),"Overdue","On track")),IF(C150="PBI Dev",IF(Q150="","No target set",IF(AND(Q150&lt;TODAY(),S150=""),"Overdue","On track")),IF(C150="QA",IF(T150="","No target set",IF(AND(T150&lt;TODAY(),V150=""),"Overdue","On track")),IF(C150="DPO Approval",IF(W150="","No target set",IF(W150&lt;TODAY(),"Overdue","On track")),IF(C150="RELEASED IN PROD","Delivered",""))))))))</f>
        <v/>
      </c>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c r="AA150" s="1" t="n"/>
      <c r="AB150" s="1" t="n"/>
      <c r="AC150" s="1" t="n"/>
      <c r="AD150" s="9">
        <f>IF($B150="","",COUNTIF('Rework Log'!$A$3:$A$500,$B150))</f>
        <v/>
      </c>
      <c r="AE150" s="9">
        <f>IF(OR($B150="",$AM150=0),"",INDEX('Rework Log'!$C:$C,$AM150))</f>
        <v/>
      </c>
      <c r="AF150" s="9">
        <f>IF(OR($B150="",$AM150=0),"",INDEX('Rework Log'!$H:$H,$AM150))</f>
        <v/>
      </c>
      <c r="AG150" s="9">
        <f>IF(OR($B150="",$AM150=0),"",INDEX('Rework Log'!$G:$G,$AM150))</f>
        <v/>
      </c>
      <c r="AH150" s="9">
        <f>IF($B150="","",IF(W150&lt;&gt;"","DPO Approval",IF(T150&lt;&gt;"","QA",IF(Q150&lt;&gt;"","PBI Dev",IF(N150&lt;&gt;"","DB Dev","NOT STARTED")))))</f>
        <v/>
      </c>
      <c r="AI150" s="9">
        <f>IF($B150="","",IF(IF($C150="NOT STARTED",0,IF($C150="DB Dev",1,IF($C150="PBI Dev",2,IF($C150="QA",3,IF($C150="DPO Approval",4,IF($C150="RELEASED IN PROD",5,-1))))))&lt;IF($AH150="NOT STARTED",0,IF($AH150="DB Dev",1,IF($AH150="PBI Dev",2,IF($AH150="QA",3,IF($AH150="DPO Approval",4,IF($AH150="RELEASED IN PROD",5,-1)))))),"Yes - was already at "&amp;$AH150&amp;", now back at "&amp;$C150,"No"))</f>
        <v/>
      </c>
      <c r="AJ150" s="9">
        <f>IF($B150="","",IF(AND(T150&lt;&gt;"",N150&lt;&gt;"",T150&lt;N150),"QA target is before DB Dev target",IF(AND(T150&lt;&gt;"",Q150&lt;&gt;"",T150&lt;Q150),"QA target is before PBI Dev target",IF(AND(W150&lt;&gt;"",T150&lt;&gt;"",W150&lt;T150),"DPO Approval target is before QA target",IF(AND(Z150&lt;&gt;"",W150&lt;&gt;"",Z150&lt;W150),"Confirmed Deployed date is before DPO Approval target","")))))</f>
        <v/>
      </c>
      <c r="AK150" s="9">
        <f>IF($B150="","",IF(COUNTIF($B$2:$B$500,$B150)&gt;1,"Duplicate name - check row",""))</f>
        <v/>
      </c>
      <c r="AL150" s="1" t="n"/>
      <c r="AM150" s="9">
        <f>IF($B150="","",SUMPRODUCT(MAX(('Rework Log'!$A$3:$A$500=$B150)*ROW('Rework Log'!$A$3:$A$500))))</f>
        <v/>
      </c>
    </row>
    <row r="151">
      <c r="A151" s="1" t="n"/>
      <c r="B151" s="1" t="n"/>
      <c r="C151" s="1" t="n"/>
      <c r="D151" s="9">
        <f>IF($B151="","",IF(LEFT($AC151,3)="Yes","Blocked",IF(C151="NOT STARTED",IF(K151="","No plan date set",IF(K151&lt;TODAY(),"Review - planned start passed","On track")),IF(C151="DB Dev",IF(N151="","No target set",IF(AND(N151&lt;TODAY(),P151=""),"Overdue","On track")),IF(C151="PBI Dev",IF(Q151="","No target set",IF(AND(Q151&lt;TODAY(),S151=""),"Overdue","On track")),IF(C151="QA",IF(T151="","No target set",IF(AND(T151&lt;TODAY(),V151=""),"Overdue","On track")),IF(C151="DPO Approval",IF(W151="","No target set",IF(W151&lt;TODAY(),"Overdue","On track")),IF(C151="RELEASED IN PROD","Delivered",""))))))))</f>
        <v/>
      </c>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c r="AA151" s="1" t="n"/>
      <c r="AB151" s="1" t="n"/>
      <c r="AC151" s="1" t="n"/>
      <c r="AD151" s="9">
        <f>IF($B151="","",COUNTIF('Rework Log'!$A$3:$A$500,$B151))</f>
        <v/>
      </c>
      <c r="AE151" s="9">
        <f>IF(OR($B151="",$AM151=0),"",INDEX('Rework Log'!$C:$C,$AM151))</f>
        <v/>
      </c>
      <c r="AF151" s="9">
        <f>IF(OR($B151="",$AM151=0),"",INDEX('Rework Log'!$H:$H,$AM151))</f>
        <v/>
      </c>
      <c r="AG151" s="9">
        <f>IF(OR($B151="",$AM151=0),"",INDEX('Rework Log'!$G:$G,$AM151))</f>
        <v/>
      </c>
      <c r="AH151" s="9">
        <f>IF($B151="","",IF(W151&lt;&gt;"","DPO Approval",IF(T151&lt;&gt;"","QA",IF(Q151&lt;&gt;"","PBI Dev",IF(N151&lt;&gt;"","DB Dev","NOT STARTED")))))</f>
        <v/>
      </c>
      <c r="AI151" s="9">
        <f>IF($B151="","",IF(IF($C151="NOT STARTED",0,IF($C151="DB Dev",1,IF($C151="PBI Dev",2,IF($C151="QA",3,IF($C151="DPO Approval",4,IF($C151="RELEASED IN PROD",5,-1))))))&lt;IF($AH151="NOT STARTED",0,IF($AH151="DB Dev",1,IF($AH151="PBI Dev",2,IF($AH151="QA",3,IF($AH151="DPO Approval",4,IF($AH151="RELEASED IN PROD",5,-1)))))),"Yes - was already at "&amp;$AH151&amp;", now back at "&amp;$C151,"No"))</f>
        <v/>
      </c>
      <c r="AJ151" s="9">
        <f>IF($B151="","",IF(AND(T151&lt;&gt;"",N151&lt;&gt;"",T151&lt;N151),"QA target is before DB Dev target",IF(AND(T151&lt;&gt;"",Q151&lt;&gt;"",T151&lt;Q151),"QA target is before PBI Dev target",IF(AND(W151&lt;&gt;"",T151&lt;&gt;"",W151&lt;T151),"DPO Approval target is before QA target",IF(AND(Z151&lt;&gt;"",W151&lt;&gt;"",Z151&lt;W151),"Confirmed Deployed date is before DPO Approval target","")))))</f>
        <v/>
      </c>
      <c r="AK151" s="9">
        <f>IF($B151="","",IF(COUNTIF($B$2:$B$500,$B151)&gt;1,"Duplicate name - check row",""))</f>
        <v/>
      </c>
      <c r="AL151" s="1" t="n"/>
      <c r="AM151" s="9">
        <f>IF($B151="","",SUMPRODUCT(MAX(('Rework Log'!$A$3:$A$500=$B151)*ROW('Rework Log'!$A$3:$A$500))))</f>
        <v/>
      </c>
    </row>
    <row r="152">
      <c r="A152" s="1" t="n"/>
      <c r="B152" s="1" t="n"/>
      <c r="C152" s="1" t="n"/>
      <c r="D152" s="9">
        <f>IF($B152="","",IF(LEFT($AC152,3)="Yes","Blocked",IF(C152="NOT STARTED",IF(K152="","No plan date set",IF(K152&lt;TODAY(),"Review - planned start passed","On track")),IF(C152="DB Dev",IF(N152="","No target set",IF(AND(N152&lt;TODAY(),P152=""),"Overdue","On track")),IF(C152="PBI Dev",IF(Q152="","No target set",IF(AND(Q152&lt;TODAY(),S152=""),"Overdue","On track")),IF(C152="QA",IF(T152="","No target set",IF(AND(T152&lt;TODAY(),V152=""),"Overdue","On track")),IF(C152="DPO Approval",IF(W152="","No target set",IF(W152&lt;TODAY(),"Overdue","On track")),IF(C152="RELEASED IN PROD","Delivered",""))))))))</f>
        <v/>
      </c>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c r="AA152" s="1" t="n"/>
      <c r="AB152" s="1" t="n"/>
      <c r="AC152" s="1" t="n"/>
      <c r="AD152" s="9">
        <f>IF($B152="","",COUNTIF('Rework Log'!$A$3:$A$500,$B152))</f>
        <v/>
      </c>
      <c r="AE152" s="9">
        <f>IF(OR($B152="",$AM152=0),"",INDEX('Rework Log'!$C:$C,$AM152))</f>
        <v/>
      </c>
      <c r="AF152" s="9">
        <f>IF(OR($B152="",$AM152=0),"",INDEX('Rework Log'!$H:$H,$AM152))</f>
        <v/>
      </c>
      <c r="AG152" s="9">
        <f>IF(OR($B152="",$AM152=0),"",INDEX('Rework Log'!$G:$G,$AM152))</f>
        <v/>
      </c>
      <c r="AH152" s="9">
        <f>IF($B152="","",IF(W152&lt;&gt;"","DPO Approval",IF(T152&lt;&gt;"","QA",IF(Q152&lt;&gt;"","PBI Dev",IF(N152&lt;&gt;"","DB Dev","NOT STARTED")))))</f>
        <v/>
      </c>
      <c r="AI152" s="9">
        <f>IF($B152="","",IF(IF($C152="NOT STARTED",0,IF($C152="DB Dev",1,IF($C152="PBI Dev",2,IF($C152="QA",3,IF($C152="DPO Approval",4,IF($C152="RELEASED IN PROD",5,-1))))))&lt;IF($AH152="NOT STARTED",0,IF($AH152="DB Dev",1,IF($AH152="PBI Dev",2,IF($AH152="QA",3,IF($AH152="DPO Approval",4,IF($AH152="RELEASED IN PROD",5,-1)))))),"Yes - was already at "&amp;$AH152&amp;", now back at "&amp;$C152,"No"))</f>
        <v/>
      </c>
      <c r="AJ152" s="9">
        <f>IF($B152="","",IF(AND(T152&lt;&gt;"",N152&lt;&gt;"",T152&lt;N152),"QA target is before DB Dev target",IF(AND(T152&lt;&gt;"",Q152&lt;&gt;"",T152&lt;Q152),"QA target is before PBI Dev target",IF(AND(W152&lt;&gt;"",T152&lt;&gt;"",W152&lt;T152),"DPO Approval target is before QA target",IF(AND(Z152&lt;&gt;"",W152&lt;&gt;"",Z152&lt;W152),"Confirmed Deployed date is before DPO Approval target","")))))</f>
        <v/>
      </c>
      <c r="AK152" s="9">
        <f>IF($B152="","",IF(COUNTIF($B$2:$B$500,$B152)&gt;1,"Duplicate name - check row",""))</f>
        <v/>
      </c>
      <c r="AL152" s="1" t="n"/>
      <c r="AM152" s="9">
        <f>IF($B152="","",SUMPRODUCT(MAX(('Rework Log'!$A$3:$A$500=$B152)*ROW('Rework Log'!$A$3:$A$500))))</f>
        <v/>
      </c>
    </row>
    <row r="153">
      <c r="A153" s="1" t="n"/>
      <c r="B153" s="1" t="n"/>
      <c r="C153" s="1" t="n"/>
      <c r="D153" s="9">
        <f>IF($B153="","",IF(LEFT($AC153,3)="Yes","Blocked",IF(C153="NOT STARTED",IF(K153="","No plan date set",IF(K153&lt;TODAY(),"Review - planned start passed","On track")),IF(C153="DB Dev",IF(N153="","No target set",IF(AND(N153&lt;TODAY(),P153=""),"Overdue","On track")),IF(C153="PBI Dev",IF(Q153="","No target set",IF(AND(Q153&lt;TODAY(),S153=""),"Overdue","On track")),IF(C153="QA",IF(T153="","No target set",IF(AND(T153&lt;TODAY(),V153=""),"Overdue","On track")),IF(C153="DPO Approval",IF(W153="","No target set",IF(W153&lt;TODAY(),"Overdue","On track")),IF(C153="RELEASED IN PROD","Delivered",""))))))))</f>
        <v/>
      </c>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c r="AA153" s="1" t="n"/>
      <c r="AB153" s="1" t="n"/>
      <c r="AC153" s="1" t="n"/>
      <c r="AD153" s="9">
        <f>IF($B153="","",COUNTIF('Rework Log'!$A$3:$A$500,$B153))</f>
        <v/>
      </c>
      <c r="AE153" s="9">
        <f>IF(OR($B153="",$AM153=0),"",INDEX('Rework Log'!$C:$C,$AM153))</f>
        <v/>
      </c>
      <c r="AF153" s="9">
        <f>IF(OR($B153="",$AM153=0),"",INDEX('Rework Log'!$H:$H,$AM153))</f>
        <v/>
      </c>
      <c r="AG153" s="9">
        <f>IF(OR($B153="",$AM153=0),"",INDEX('Rework Log'!$G:$G,$AM153))</f>
        <v/>
      </c>
      <c r="AH153" s="9">
        <f>IF($B153="","",IF(W153&lt;&gt;"","DPO Approval",IF(T153&lt;&gt;"","QA",IF(Q153&lt;&gt;"","PBI Dev",IF(N153&lt;&gt;"","DB Dev","NOT STARTED")))))</f>
        <v/>
      </c>
      <c r="AI153" s="9">
        <f>IF($B153="","",IF(IF($C153="NOT STARTED",0,IF($C153="DB Dev",1,IF($C153="PBI Dev",2,IF($C153="QA",3,IF($C153="DPO Approval",4,IF($C153="RELEASED IN PROD",5,-1))))))&lt;IF($AH153="NOT STARTED",0,IF($AH153="DB Dev",1,IF($AH153="PBI Dev",2,IF($AH153="QA",3,IF($AH153="DPO Approval",4,IF($AH153="RELEASED IN PROD",5,-1)))))),"Yes - was already at "&amp;$AH153&amp;", now back at "&amp;$C153,"No"))</f>
        <v/>
      </c>
      <c r="AJ153" s="9">
        <f>IF($B153="","",IF(AND(T153&lt;&gt;"",N153&lt;&gt;"",T153&lt;N153),"QA target is before DB Dev target",IF(AND(T153&lt;&gt;"",Q153&lt;&gt;"",T153&lt;Q153),"QA target is before PBI Dev target",IF(AND(W153&lt;&gt;"",T153&lt;&gt;"",W153&lt;T153),"DPO Approval target is before QA target",IF(AND(Z153&lt;&gt;"",W153&lt;&gt;"",Z153&lt;W153),"Confirmed Deployed date is before DPO Approval target","")))))</f>
        <v/>
      </c>
      <c r="AK153" s="9">
        <f>IF($B153="","",IF(COUNTIF($B$2:$B$500,$B153)&gt;1,"Duplicate name - check row",""))</f>
        <v/>
      </c>
      <c r="AL153" s="1" t="n"/>
      <c r="AM153" s="9">
        <f>IF($B153="","",SUMPRODUCT(MAX(('Rework Log'!$A$3:$A$500=$B153)*ROW('Rework Log'!$A$3:$A$500))))</f>
        <v/>
      </c>
    </row>
    <row r="154">
      <c r="A154" s="1" t="n"/>
      <c r="B154" s="1" t="n"/>
      <c r="C154" s="1" t="n"/>
      <c r="D154" s="9">
        <f>IF($B154="","",IF(LEFT($AC154,3)="Yes","Blocked",IF(C154="NOT STARTED",IF(K154="","No plan date set",IF(K154&lt;TODAY(),"Review - planned start passed","On track")),IF(C154="DB Dev",IF(N154="","No target set",IF(AND(N154&lt;TODAY(),P154=""),"Overdue","On track")),IF(C154="PBI Dev",IF(Q154="","No target set",IF(AND(Q154&lt;TODAY(),S154=""),"Overdue","On track")),IF(C154="QA",IF(T154="","No target set",IF(AND(T154&lt;TODAY(),V154=""),"Overdue","On track")),IF(C154="DPO Approval",IF(W154="","No target set",IF(W154&lt;TODAY(),"Overdue","On track")),IF(C154="RELEASED IN PROD","Delivered",""))))))))</f>
        <v/>
      </c>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c r="AA154" s="1" t="n"/>
      <c r="AB154" s="1" t="n"/>
      <c r="AC154" s="1" t="n"/>
      <c r="AD154" s="9">
        <f>IF($B154="","",COUNTIF('Rework Log'!$A$3:$A$500,$B154))</f>
        <v/>
      </c>
      <c r="AE154" s="9">
        <f>IF(OR($B154="",$AM154=0),"",INDEX('Rework Log'!$C:$C,$AM154))</f>
        <v/>
      </c>
      <c r="AF154" s="9">
        <f>IF(OR($B154="",$AM154=0),"",INDEX('Rework Log'!$H:$H,$AM154))</f>
        <v/>
      </c>
      <c r="AG154" s="9">
        <f>IF(OR($B154="",$AM154=0),"",INDEX('Rework Log'!$G:$G,$AM154))</f>
        <v/>
      </c>
      <c r="AH154" s="9">
        <f>IF($B154="","",IF(W154&lt;&gt;"","DPO Approval",IF(T154&lt;&gt;"","QA",IF(Q154&lt;&gt;"","PBI Dev",IF(N154&lt;&gt;"","DB Dev","NOT STARTED")))))</f>
        <v/>
      </c>
      <c r="AI154" s="9">
        <f>IF($B154="","",IF(IF($C154="NOT STARTED",0,IF($C154="DB Dev",1,IF($C154="PBI Dev",2,IF($C154="QA",3,IF($C154="DPO Approval",4,IF($C154="RELEASED IN PROD",5,-1))))))&lt;IF($AH154="NOT STARTED",0,IF($AH154="DB Dev",1,IF($AH154="PBI Dev",2,IF($AH154="QA",3,IF($AH154="DPO Approval",4,IF($AH154="RELEASED IN PROD",5,-1)))))),"Yes - was already at "&amp;$AH154&amp;", now back at "&amp;$C154,"No"))</f>
        <v/>
      </c>
      <c r="AJ154" s="9">
        <f>IF($B154="","",IF(AND(T154&lt;&gt;"",N154&lt;&gt;"",T154&lt;N154),"QA target is before DB Dev target",IF(AND(T154&lt;&gt;"",Q154&lt;&gt;"",T154&lt;Q154),"QA target is before PBI Dev target",IF(AND(W154&lt;&gt;"",T154&lt;&gt;"",W154&lt;T154),"DPO Approval target is before QA target",IF(AND(Z154&lt;&gt;"",W154&lt;&gt;"",Z154&lt;W154),"Confirmed Deployed date is before DPO Approval target","")))))</f>
        <v/>
      </c>
      <c r="AK154" s="9">
        <f>IF($B154="","",IF(COUNTIF($B$2:$B$500,$B154)&gt;1,"Duplicate name - check row",""))</f>
        <v/>
      </c>
      <c r="AL154" s="1" t="n"/>
      <c r="AM154" s="9">
        <f>IF($B154="","",SUMPRODUCT(MAX(('Rework Log'!$A$3:$A$500=$B154)*ROW('Rework Log'!$A$3:$A$500))))</f>
        <v/>
      </c>
    </row>
    <row r="155">
      <c r="A155" s="1" t="n"/>
      <c r="B155" s="1" t="n"/>
      <c r="C155" s="1" t="n"/>
      <c r="D155" s="9">
        <f>IF($B155="","",IF(LEFT($AC155,3)="Yes","Blocked",IF(C155="NOT STARTED",IF(K155="","No plan date set",IF(K155&lt;TODAY(),"Review - planned start passed","On track")),IF(C155="DB Dev",IF(N155="","No target set",IF(AND(N155&lt;TODAY(),P155=""),"Overdue","On track")),IF(C155="PBI Dev",IF(Q155="","No target set",IF(AND(Q155&lt;TODAY(),S155=""),"Overdue","On track")),IF(C155="QA",IF(T155="","No target set",IF(AND(T155&lt;TODAY(),V155=""),"Overdue","On track")),IF(C155="DPO Approval",IF(W155="","No target set",IF(W155&lt;TODAY(),"Overdue","On track")),IF(C155="RELEASED IN PROD","Delivered",""))))))))</f>
        <v/>
      </c>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c r="AA155" s="1" t="n"/>
      <c r="AB155" s="1" t="n"/>
      <c r="AC155" s="1" t="n"/>
      <c r="AD155" s="9">
        <f>IF($B155="","",COUNTIF('Rework Log'!$A$3:$A$500,$B155))</f>
        <v/>
      </c>
      <c r="AE155" s="9">
        <f>IF(OR($B155="",$AM155=0),"",INDEX('Rework Log'!$C:$C,$AM155))</f>
        <v/>
      </c>
      <c r="AF155" s="9">
        <f>IF(OR($B155="",$AM155=0),"",INDEX('Rework Log'!$H:$H,$AM155))</f>
        <v/>
      </c>
      <c r="AG155" s="9">
        <f>IF(OR($B155="",$AM155=0),"",INDEX('Rework Log'!$G:$G,$AM155))</f>
        <v/>
      </c>
      <c r="AH155" s="9">
        <f>IF($B155="","",IF(W155&lt;&gt;"","DPO Approval",IF(T155&lt;&gt;"","QA",IF(Q155&lt;&gt;"","PBI Dev",IF(N155&lt;&gt;"","DB Dev","NOT STARTED")))))</f>
        <v/>
      </c>
      <c r="AI155" s="9">
        <f>IF($B155="","",IF(IF($C155="NOT STARTED",0,IF($C155="DB Dev",1,IF($C155="PBI Dev",2,IF($C155="QA",3,IF($C155="DPO Approval",4,IF($C155="RELEASED IN PROD",5,-1))))))&lt;IF($AH155="NOT STARTED",0,IF($AH155="DB Dev",1,IF($AH155="PBI Dev",2,IF($AH155="QA",3,IF($AH155="DPO Approval",4,IF($AH155="RELEASED IN PROD",5,-1)))))),"Yes - was already at "&amp;$AH155&amp;", now back at "&amp;$C155,"No"))</f>
        <v/>
      </c>
      <c r="AJ155" s="9">
        <f>IF($B155="","",IF(AND(T155&lt;&gt;"",N155&lt;&gt;"",T155&lt;N155),"QA target is before DB Dev target",IF(AND(T155&lt;&gt;"",Q155&lt;&gt;"",T155&lt;Q155),"QA target is before PBI Dev target",IF(AND(W155&lt;&gt;"",T155&lt;&gt;"",W155&lt;T155),"DPO Approval target is before QA target",IF(AND(Z155&lt;&gt;"",W155&lt;&gt;"",Z155&lt;W155),"Confirmed Deployed date is before DPO Approval target","")))))</f>
        <v/>
      </c>
      <c r="AK155" s="9">
        <f>IF($B155="","",IF(COUNTIF($B$2:$B$500,$B155)&gt;1,"Duplicate name - check row",""))</f>
        <v/>
      </c>
      <c r="AL155" s="1" t="n"/>
      <c r="AM155" s="9">
        <f>IF($B155="","",SUMPRODUCT(MAX(('Rework Log'!$A$3:$A$500=$B155)*ROW('Rework Log'!$A$3:$A$500))))</f>
        <v/>
      </c>
    </row>
    <row r="156">
      <c r="A156" s="1" t="n"/>
      <c r="B156" s="1" t="n"/>
      <c r="C156" s="1" t="n"/>
      <c r="D156" s="9">
        <f>IF($B156="","",IF(LEFT($AC156,3)="Yes","Blocked",IF(C156="NOT STARTED",IF(K156="","No plan date set",IF(K156&lt;TODAY(),"Review - planned start passed","On track")),IF(C156="DB Dev",IF(N156="","No target set",IF(AND(N156&lt;TODAY(),P156=""),"Overdue","On track")),IF(C156="PBI Dev",IF(Q156="","No target set",IF(AND(Q156&lt;TODAY(),S156=""),"Overdue","On track")),IF(C156="QA",IF(T156="","No target set",IF(AND(T156&lt;TODAY(),V156=""),"Overdue","On track")),IF(C156="DPO Approval",IF(W156="","No target set",IF(W156&lt;TODAY(),"Overdue","On track")),IF(C156="RELEASED IN PROD","Delivered",""))))))))</f>
        <v/>
      </c>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c r="AA156" s="1" t="n"/>
      <c r="AB156" s="1" t="n"/>
      <c r="AC156" s="1" t="n"/>
      <c r="AD156" s="9">
        <f>IF($B156="","",COUNTIF('Rework Log'!$A$3:$A$500,$B156))</f>
        <v/>
      </c>
      <c r="AE156" s="9">
        <f>IF(OR($B156="",$AM156=0),"",INDEX('Rework Log'!$C:$C,$AM156))</f>
        <v/>
      </c>
      <c r="AF156" s="9">
        <f>IF(OR($B156="",$AM156=0),"",INDEX('Rework Log'!$H:$H,$AM156))</f>
        <v/>
      </c>
      <c r="AG156" s="9">
        <f>IF(OR($B156="",$AM156=0),"",INDEX('Rework Log'!$G:$G,$AM156))</f>
        <v/>
      </c>
      <c r="AH156" s="9">
        <f>IF($B156="","",IF(W156&lt;&gt;"","DPO Approval",IF(T156&lt;&gt;"","QA",IF(Q156&lt;&gt;"","PBI Dev",IF(N156&lt;&gt;"","DB Dev","NOT STARTED")))))</f>
        <v/>
      </c>
      <c r="AI156" s="9">
        <f>IF($B156="","",IF(IF($C156="NOT STARTED",0,IF($C156="DB Dev",1,IF($C156="PBI Dev",2,IF($C156="QA",3,IF($C156="DPO Approval",4,IF($C156="RELEASED IN PROD",5,-1))))))&lt;IF($AH156="NOT STARTED",0,IF($AH156="DB Dev",1,IF($AH156="PBI Dev",2,IF($AH156="QA",3,IF($AH156="DPO Approval",4,IF($AH156="RELEASED IN PROD",5,-1)))))),"Yes - was already at "&amp;$AH156&amp;", now back at "&amp;$C156,"No"))</f>
        <v/>
      </c>
      <c r="AJ156" s="9">
        <f>IF($B156="","",IF(AND(T156&lt;&gt;"",N156&lt;&gt;"",T156&lt;N156),"QA target is before DB Dev target",IF(AND(T156&lt;&gt;"",Q156&lt;&gt;"",T156&lt;Q156),"QA target is before PBI Dev target",IF(AND(W156&lt;&gt;"",T156&lt;&gt;"",W156&lt;T156),"DPO Approval target is before QA target",IF(AND(Z156&lt;&gt;"",W156&lt;&gt;"",Z156&lt;W156),"Confirmed Deployed date is before DPO Approval target","")))))</f>
        <v/>
      </c>
      <c r="AK156" s="9">
        <f>IF($B156="","",IF(COUNTIF($B$2:$B$500,$B156)&gt;1,"Duplicate name - check row",""))</f>
        <v/>
      </c>
      <c r="AL156" s="1" t="n"/>
      <c r="AM156" s="9">
        <f>IF($B156="","",SUMPRODUCT(MAX(('Rework Log'!$A$3:$A$500=$B156)*ROW('Rework Log'!$A$3:$A$500))))</f>
        <v/>
      </c>
    </row>
    <row r="157">
      <c r="A157" s="1" t="n"/>
      <c r="B157" s="1" t="n"/>
      <c r="C157" s="1" t="n"/>
      <c r="D157" s="9">
        <f>IF($B157="","",IF(LEFT($AC157,3)="Yes","Blocked",IF(C157="NOT STARTED",IF(K157="","No plan date set",IF(K157&lt;TODAY(),"Review - planned start passed","On track")),IF(C157="DB Dev",IF(N157="","No target set",IF(AND(N157&lt;TODAY(),P157=""),"Overdue","On track")),IF(C157="PBI Dev",IF(Q157="","No target set",IF(AND(Q157&lt;TODAY(),S157=""),"Overdue","On track")),IF(C157="QA",IF(T157="","No target set",IF(AND(T157&lt;TODAY(),V157=""),"Overdue","On track")),IF(C157="DPO Approval",IF(W157="","No target set",IF(W157&lt;TODAY(),"Overdue","On track")),IF(C157="RELEASED IN PROD","Delivered",""))))))))</f>
        <v/>
      </c>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c r="AA157" s="1" t="n"/>
      <c r="AB157" s="1" t="n"/>
      <c r="AC157" s="1" t="n"/>
      <c r="AD157" s="9">
        <f>IF($B157="","",COUNTIF('Rework Log'!$A$3:$A$500,$B157))</f>
        <v/>
      </c>
      <c r="AE157" s="9">
        <f>IF(OR($B157="",$AM157=0),"",INDEX('Rework Log'!$C:$C,$AM157))</f>
        <v/>
      </c>
      <c r="AF157" s="9">
        <f>IF(OR($B157="",$AM157=0),"",INDEX('Rework Log'!$H:$H,$AM157))</f>
        <v/>
      </c>
      <c r="AG157" s="9">
        <f>IF(OR($B157="",$AM157=0),"",INDEX('Rework Log'!$G:$G,$AM157))</f>
        <v/>
      </c>
      <c r="AH157" s="9">
        <f>IF($B157="","",IF(W157&lt;&gt;"","DPO Approval",IF(T157&lt;&gt;"","QA",IF(Q157&lt;&gt;"","PBI Dev",IF(N157&lt;&gt;"","DB Dev","NOT STARTED")))))</f>
        <v/>
      </c>
      <c r="AI157" s="9">
        <f>IF($B157="","",IF(IF($C157="NOT STARTED",0,IF($C157="DB Dev",1,IF($C157="PBI Dev",2,IF($C157="QA",3,IF($C157="DPO Approval",4,IF($C157="RELEASED IN PROD",5,-1))))))&lt;IF($AH157="NOT STARTED",0,IF($AH157="DB Dev",1,IF($AH157="PBI Dev",2,IF($AH157="QA",3,IF($AH157="DPO Approval",4,IF($AH157="RELEASED IN PROD",5,-1)))))),"Yes - was already at "&amp;$AH157&amp;", now back at "&amp;$C157,"No"))</f>
        <v/>
      </c>
      <c r="AJ157" s="9">
        <f>IF($B157="","",IF(AND(T157&lt;&gt;"",N157&lt;&gt;"",T157&lt;N157),"QA target is before DB Dev target",IF(AND(T157&lt;&gt;"",Q157&lt;&gt;"",T157&lt;Q157),"QA target is before PBI Dev target",IF(AND(W157&lt;&gt;"",T157&lt;&gt;"",W157&lt;T157),"DPO Approval target is before QA target",IF(AND(Z157&lt;&gt;"",W157&lt;&gt;"",Z157&lt;W157),"Confirmed Deployed date is before DPO Approval target","")))))</f>
        <v/>
      </c>
      <c r="AK157" s="9">
        <f>IF($B157="","",IF(COUNTIF($B$2:$B$500,$B157)&gt;1,"Duplicate name - check row",""))</f>
        <v/>
      </c>
      <c r="AL157" s="1" t="n"/>
      <c r="AM157" s="9">
        <f>IF($B157="","",SUMPRODUCT(MAX(('Rework Log'!$A$3:$A$500=$B157)*ROW('Rework Log'!$A$3:$A$500))))</f>
        <v/>
      </c>
    </row>
    <row r="158">
      <c r="A158" s="1" t="n"/>
      <c r="B158" s="1" t="n"/>
      <c r="C158" s="1" t="n"/>
      <c r="D158" s="9">
        <f>IF($B158="","",IF(LEFT($AC158,3)="Yes","Blocked",IF(C158="NOT STARTED",IF(K158="","No plan date set",IF(K158&lt;TODAY(),"Review - planned start passed","On track")),IF(C158="DB Dev",IF(N158="","No target set",IF(AND(N158&lt;TODAY(),P158=""),"Overdue","On track")),IF(C158="PBI Dev",IF(Q158="","No target set",IF(AND(Q158&lt;TODAY(),S158=""),"Overdue","On track")),IF(C158="QA",IF(T158="","No target set",IF(AND(T158&lt;TODAY(),V158=""),"Overdue","On track")),IF(C158="DPO Approval",IF(W158="","No target set",IF(W158&lt;TODAY(),"Overdue","On track")),IF(C158="RELEASED IN PROD","Delivered",""))))))))</f>
        <v/>
      </c>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c r="AA158" s="1" t="n"/>
      <c r="AB158" s="1" t="n"/>
      <c r="AC158" s="1" t="n"/>
      <c r="AD158" s="9">
        <f>IF($B158="","",COUNTIF('Rework Log'!$A$3:$A$500,$B158))</f>
        <v/>
      </c>
      <c r="AE158" s="9">
        <f>IF(OR($B158="",$AM158=0),"",INDEX('Rework Log'!$C:$C,$AM158))</f>
        <v/>
      </c>
      <c r="AF158" s="9">
        <f>IF(OR($B158="",$AM158=0),"",INDEX('Rework Log'!$H:$H,$AM158))</f>
        <v/>
      </c>
      <c r="AG158" s="9">
        <f>IF(OR($B158="",$AM158=0),"",INDEX('Rework Log'!$G:$G,$AM158))</f>
        <v/>
      </c>
      <c r="AH158" s="9">
        <f>IF($B158="","",IF(W158&lt;&gt;"","DPO Approval",IF(T158&lt;&gt;"","QA",IF(Q158&lt;&gt;"","PBI Dev",IF(N158&lt;&gt;"","DB Dev","NOT STARTED")))))</f>
        <v/>
      </c>
      <c r="AI158" s="9">
        <f>IF($B158="","",IF(IF($C158="NOT STARTED",0,IF($C158="DB Dev",1,IF($C158="PBI Dev",2,IF($C158="QA",3,IF($C158="DPO Approval",4,IF($C158="RELEASED IN PROD",5,-1))))))&lt;IF($AH158="NOT STARTED",0,IF($AH158="DB Dev",1,IF($AH158="PBI Dev",2,IF($AH158="QA",3,IF($AH158="DPO Approval",4,IF($AH158="RELEASED IN PROD",5,-1)))))),"Yes - was already at "&amp;$AH158&amp;", now back at "&amp;$C158,"No"))</f>
        <v/>
      </c>
      <c r="AJ158" s="9">
        <f>IF($B158="","",IF(AND(T158&lt;&gt;"",N158&lt;&gt;"",T158&lt;N158),"QA target is before DB Dev target",IF(AND(T158&lt;&gt;"",Q158&lt;&gt;"",T158&lt;Q158),"QA target is before PBI Dev target",IF(AND(W158&lt;&gt;"",T158&lt;&gt;"",W158&lt;T158),"DPO Approval target is before QA target",IF(AND(Z158&lt;&gt;"",W158&lt;&gt;"",Z158&lt;W158),"Confirmed Deployed date is before DPO Approval target","")))))</f>
        <v/>
      </c>
      <c r="AK158" s="9">
        <f>IF($B158="","",IF(COUNTIF($B$2:$B$500,$B158)&gt;1,"Duplicate name - check row",""))</f>
        <v/>
      </c>
      <c r="AL158" s="1" t="n"/>
      <c r="AM158" s="9">
        <f>IF($B158="","",SUMPRODUCT(MAX(('Rework Log'!$A$3:$A$500=$B158)*ROW('Rework Log'!$A$3:$A$500))))</f>
        <v/>
      </c>
    </row>
    <row r="159">
      <c r="A159" s="1" t="n"/>
      <c r="B159" s="1" t="n"/>
      <c r="C159" s="1" t="n"/>
      <c r="D159" s="9">
        <f>IF($B159="","",IF(LEFT($AC159,3)="Yes","Blocked",IF(C159="NOT STARTED",IF(K159="","No plan date set",IF(K159&lt;TODAY(),"Review - planned start passed","On track")),IF(C159="DB Dev",IF(N159="","No target set",IF(AND(N159&lt;TODAY(),P159=""),"Overdue","On track")),IF(C159="PBI Dev",IF(Q159="","No target set",IF(AND(Q159&lt;TODAY(),S159=""),"Overdue","On track")),IF(C159="QA",IF(T159="","No target set",IF(AND(T159&lt;TODAY(),V159=""),"Overdue","On track")),IF(C159="DPO Approval",IF(W159="","No target set",IF(W159&lt;TODAY(),"Overdue","On track")),IF(C159="RELEASED IN PROD","Delivered",""))))))))</f>
        <v/>
      </c>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c r="AA159" s="1" t="n"/>
      <c r="AB159" s="1" t="n"/>
      <c r="AC159" s="1" t="n"/>
      <c r="AD159" s="9">
        <f>IF($B159="","",COUNTIF('Rework Log'!$A$3:$A$500,$B159))</f>
        <v/>
      </c>
      <c r="AE159" s="9">
        <f>IF(OR($B159="",$AM159=0),"",INDEX('Rework Log'!$C:$C,$AM159))</f>
        <v/>
      </c>
      <c r="AF159" s="9">
        <f>IF(OR($B159="",$AM159=0),"",INDEX('Rework Log'!$H:$H,$AM159))</f>
        <v/>
      </c>
      <c r="AG159" s="9">
        <f>IF(OR($B159="",$AM159=0),"",INDEX('Rework Log'!$G:$G,$AM159))</f>
        <v/>
      </c>
      <c r="AH159" s="9">
        <f>IF($B159="","",IF(W159&lt;&gt;"","DPO Approval",IF(T159&lt;&gt;"","QA",IF(Q159&lt;&gt;"","PBI Dev",IF(N159&lt;&gt;"","DB Dev","NOT STARTED")))))</f>
        <v/>
      </c>
      <c r="AI159" s="9">
        <f>IF($B159="","",IF(IF($C159="NOT STARTED",0,IF($C159="DB Dev",1,IF($C159="PBI Dev",2,IF($C159="QA",3,IF($C159="DPO Approval",4,IF($C159="RELEASED IN PROD",5,-1))))))&lt;IF($AH159="NOT STARTED",0,IF($AH159="DB Dev",1,IF($AH159="PBI Dev",2,IF($AH159="QA",3,IF($AH159="DPO Approval",4,IF($AH159="RELEASED IN PROD",5,-1)))))),"Yes - was already at "&amp;$AH159&amp;", now back at "&amp;$C159,"No"))</f>
        <v/>
      </c>
      <c r="AJ159" s="9">
        <f>IF($B159="","",IF(AND(T159&lt;&gt;"",N159&lt;&gt;"",T159&lt;N159),"QA target is before DB Dev target",IF(AND(T159&lt;&gt;"",Q159&lt;&gt;"",T159&lt;Q159),"QA target is before PBI Dev target",IF(AND(W159&lt;&gt;"",T159&lt;&gt;"",W159&lt;T159),"DPO Approval target is before QA target",IF(AND(Z159&lt;&gt;"",W159&lt;&gt;"",Z159&lt;W159),"Confirmed Deployed date is before DPO Approval target","")))))</f>
        <v/>
      </c>
      <c r="AK159" s="9">
        <f>IF($B159="","",IF(COUNTIF($B$2:$B$500,$B159)&gt;1,"Duplicate name - check row",""))</f>
        <v/>
      </c>
      <c r="AL159" s="1" t="n"/>
      <c r="AM159" s="9">
        <f>IF($B159="","",SUMPRODUCT(MAX(('Rework Log'!$A$3:$A$500=$B159)*ROW('Rework Log'!$A$3:$A$500))))</f>
        <v/>
      </c>
    </row>
    <row r="160">
      <c r="A160" s="1" t="n"/>
      <c r="B160" s="1" t="n"/>
      <c r="C160" s="1" t="n"/>
      <c r="D160" s="9">
        <f>IF($B160="","",IF(LEFT($AC160,3)="Yes","Blocked",IF(C160="NOT STARTED",IF(K160="","No plan date set",IF(K160&lt;TODAY(),"Review - planned start passed","On track")),IF(C160="DB Dev",IF(N160="","No target set",IF(AND(N160&lt;TODAY(),P160=""),"Overdue","On track")),IF(C160="PBI Dev",IF(Q160="","No target set",IF(AND(Q160&lt;TODAY(),S160=""),"Overdue","On track")),IF(C160="QA",IF(T160="","No target set",IF(AND(T160&lt;TODAY(),V160=""),"Overdue","On track")),IF(C160="DPO Approval",IF(W160="","No target set",IF(W160&lt;TODAY(),"Overdue","On track")),IF(C160="RELEASED IN PROD","Delivered",""))))))))</f>
        <v/>
      </c>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c r="AA160" s="1" t="n"/>
      <c r="AB160" s="1" t="n"/>
      <c r="AC160" s="1" t="n"/>
      <c r="AD160" s="9">
        <f>IF($B160="","",COUNTIF('Rework Log'!$A$3:$A$500,$B160))</f>
        <v/>
      </c>
      <c r="AE160" s="9">
        <f>IF(OR($B160="",$AM160=0),"",INDEX('Rework Log'!$C:$C,$AM160))</f>
        <v/>
      </c>
      <c r="AF160" s="9">
        <f>IF(OR($B160="",$AM160=0),"",INDEX('Rework Log'!$H:$H,$AM160))</f>
        <v/>
      </c>
      <c r="AG160" s="9">
        <f>IF(OR($B160="",$AM160=0),"",INDEX('Rework Log'!$G:$G,$AM160))</f>
        <v/>
      </c>
      <c r="AH160" s="9">
        <f>IF($B160="","",IF(W160&lt;&gt;"","DPO Approval",IF(T160&lt;&gt;"","QA",IF(Q160&lt;&gt;"","PBI Dev",IF(N160&lt;&gt;"","DB Dev","NOT STARTED")))))</f>
        <v/>
      </c>
      <c r="AI160" s="9">
        <f>IF($B160="","",IF(IF($C160="NOT STARTED",0,IF($C160="DB Dev",1,IF($C160="PBI Dev",2,IF($C160="QA",3,IF($C160="DPO Approval",4,IF($C160="RELEASED IN PROD",5,-1))))))&lt;IF($AH160="NOT STARTED",0,IF($AH160="DB Dev",1,IF($AH160="PBI Dev",2,IF($AH160="QA",3,IF($AH160="DPO Approval",4,IF($AH160="RELEASED IN PROD",5,-1)))))),"Yes - was already at "&amp;$AH160&amp;", now back at "&amp;$C160,"No"))</f>
        <v/>
      </c>
      <c r="AJ160" s="9">
        <f>IF($B160="","",IF(AND(T160&lt;&gt;"",N160&lt;&gt;"",T160&lt;N160),"QA target is before DB Dev target",IF(AND(T160&lt;&gt;"",Q160&lt;&gt;"",T160&lt;Q160),"QA target is before PBI Dev target",IF(AND(W160&lt;&gt;"",T160&lt;&gt;"",W160&lt;T160),"DPO Approval target is before QA target",IF(AND(Z160&lt;&gt;"",W160&lt;&gt;"",Z160&lt;W160),"Confirmed Deployed date is before DPO Approval target","")))))</f>
        <v/>
      </c>
      <c r="AK160" s="9">
        <f>IF($B160="","",IF(COUNTIF($B$2:$B$500,$B160)&gt;1,"Duplicate name - check row",""))</f>
        <v/>
      </c>
      <c r="AL160" s="1" t="n"/>
      <c r="AM160" s="9">
        <f>IF($B160="","",SUMPRODUCT(MAX(('Rework Log'!$A$3:$A$500=$B160)*ROW('Rework Log'!$A$3:$A$500))))</f>
        <v/>
      </c>
    </row>
    <row r="161">
      <c r="A161" s="1" t="n"/>
      <c r="B161" s="1" t="n"/>
      <c r="C161" s="1" t="n"/>
      <c r="D161" s="9">
        <f>IF($B161="","",IF(LEFT($AC161,3)="Yes","Blocked",IF(C161="NOT STARTED",IF(K161="","No plan date set",IF(K161&lt;TODAY(),"Review - planned start passed","On track")),IF(C161="DB Dev",IF(N161="","No target set",IF(AND(N161&lt;TODAY(),P161=""),"Overdue","On track")),IF(C161="PBI Dev",IF(Q161="","No target set",IF(AND(Q161&lt;TODAY(),S161=""),"Overdue","On track")),IF(C161="QA",IF(T161="","No target set",IF(AND(T161&lt;TODAY(),V161=""),"Overdue","On track")),IF(C161="DPO Approval",IF(W161="","No target set",IF(W161&lt;TODAY(),"Overdue","On track")),IF(C161="RELEASED IN PROD","Delivered",""))))))))</f>
        <v/>
      </c>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c r="AA161" s="1" t="n"/>
      <c r="AB161" s="1" t="n"/>
      <c r="AC161" s="1" t="n"/>
      <c r="AD161" s="9">
        <f>IF($B161="","",COUNTIF('Rework Log'!$A$3:$A$500,$B161))</f>
        <v/>
      </c>
      <c r="AE161" s="9">
        <f>IF(OR($B161="",$AM161=0),"",INDEX('Rework Log'!$C:$C,$AM161))</f>
        <v/>
      </c>
      <c r="AF161" s="9">
        <f>IF(OR($B161="",$AM161=0),"",INDEX('Rework Log'!$H:$H,$AM161))</f>
        <v/>
      </c>
      <c r="AG161" s="9">
        <f>IF(OR($B161="",$AM161=0),"",INDEX('Rework Log'!$G:$G,$AM161))</f>
        <v/>
      </c>
      <c r="AH161" s="9">
        <f>IF($B161="","",IF(W161&lt;&gt;"","DPO Approval",IF(T161&lt;&gt;"","QA",IF(Q161&lt;&gt;"","PBI Dev",IF(N161&lt;&gt;"","DB Dev","NOT STARTED")))))</f>
        <v/>
      </c>
      <c r="AI161" s="9">
        <f>IF($B161="","",IF(IF($C161="NOT STARTED",0,IF($C161="DB Dev",1,IF($C161="PBI Dev",2,IF($C161="QA",3,IF($C161="DPO Approval",4,IF($C161="RELEASED IN PROD",5,-1))))))&lt;IF($AH161="NOT STARTED",0,IF($AH161="DB Dev",1,IF($AH161="PBI Dev",2,IF($AH161="QA",3,IF($AH161="DPO Approval",4,IF($AH161="RELEASED IN PROD",5,-1)))))),"Yes - was already at "&amp;$AH161&amp;", now back at "&amp;$C161,"No"))</f>
        <v/>
      </c>
      <c r="AJ161" s="9">
        <f>IF($B161="","",IF(AND(T161&lt;&gt;"",N161&lt;&gt;"",T161&lt;N161),"QA target is before DB Dev target",IF(AND(T161&lt;&gt;"",Q161&lt;&gt;"",T161&lt;Q161),"QA target is before PBI Dev target",IF(AND(W161&lt;&gt;"",T161&lt;&gt;"",W161&lt;T161),"DPO Approval target is before QA target",IF(AND(Z161&lt;&gt;"",W161&lt;&gt;"",Z161&lt;W161),"Confirmed Deployed date is before DPO Approval target","")))))</f>
        <v/>
      </c>
      <c r="AK161" s="9">
        <f>IF($B161="","",IF(COUNTIF($B$2:$B$500,$B161)&gt;1,"Duplicate name - check row",""))</f>
        <v/>
      </c>
      <c r="AL161" s="1" t="n"/>
      <c r="AM161" s="9">
        <f>IF($B161="","",SUMPRODUCT(MAX(('Rework Log'!$A$3:$A$500=$B161)*ROW('Rework Log'!$A$3:$A$500))))</f>
        <v/>
      </c>
    </row>
    <row r="162">
      <c r="A162" s="1" t="n"/>
      <c r="B162" s="1" t="n"/>
      <c r="C162" s="1" t="n"/>
      <c r="D162" s="9">
        <f>IF($B162="","",IF(LEFT($AC162,3)="Yes","Blocked",IF(C162="NOT STARTED",IF(K162="","No plan date set",IF(K162&lt;TODAY(),"Review - planned start passed","On track")),IF(C162="DB Dev",IF(N162="","No target set",IF(AND(N162&lt;TODAY(),P162=""),"Overdue","On track")),IF(C162="PBI Dev",IF(Q162="","No target set",IF(AND(Q162&lt;TODAY(),S162=""),"Overdue","On track")),IF(C162="QA",IF(T162="","No target set",IF(AND(T162&lt;TODAY(),V162=""),"Overdue","On track")),IF(C162="DPO Approval",IF(W162="","No target set",IF(W162&lt;TODAY(),"Overdue","On track")),IF(C162="RELEASED IN PROD","Delivered",""))))))))</f>
        <v/>
      </c>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c r="AA162" s="1" t="n"/>
      <c r="AB162" s="1" t="n"/>
      <c r="AC162" s="1" t="n"/>
      <c r="AD162" s="9">
        <f>IF($B162="","",COUNTIF('Rework Log'!$A$3:$A$500,$B162))</f>
        <v/>
      </c>
      <c r="AE162" s="9">
        <f>IF(OR($B162="",$AM162=0),"",INDEX('Rework Log'!$C:$C,$AM162))</f>
        <v/>
      </c>
      <c r="AF162" s="9">
        <f>IF(OR($B162="",$AM162=0),"",INDEX('Rework Log'!$H:$H,$AM162))</f>
        <v/>
      </c>
      <c r="AG162" s="9">
        <f>IF(OR($B162="",$AM162=0),"",INDEX('Rework Log'!$G:$G,$AM162))</f>
        <v/>
      </c>
      <c r="AH162" s="9">
        <f>IF($B162="","",IF(W162&lt;&gt;"","DPO Approval",IF(T162&lt;&gt;"","QA",IF(Q162&lt;&gt;"","PBI Dev",IF(N162&lt;&gt;"","DB Dev","NOT STARTED")))))</f>
        <v/>
      </c>
      <c r="AI162" s="9">
        <f>IF($B162="","",IF(IF($C162="NOT STARTED",0,IF($C162="DB Dev",1,IF($C162="PBI Dev",2,IF($C162="QA",3,IF($C162="DPO Approval",4,IF($C162="RELEASED IN PROD",5,-1))))))&lt;IF($AH162="NOT STARTED",0,IF($AH162="DB Dev",1,IF($AH162="PBI Dev",2,IF($AH162="QA",3,IF($AH162="DPO Approval",4,IF($AH162="RELEASED IN PROD",5,-1)))))),"Yes - was already at "&amp;$AH162&amp;", now back at "&amp;$C162,"No"))</f>
        <v/>
      </c>
      <c r="AJ162" s="9">
        <f>IF($B162="","",IF(AND(T162&lt;&gt;"",N162&lt;&gt;"",T162&lt;N162),"QA target is before DB Dev target",IF(AND(T162&lt;&gt;"",Q162&lt;&gt;"",T162&lt;Q162),"QA target is before PBI Dev target",IF(AND(W162&lt;&gt;"",T162&lt;&gt;"",W162&lt;T162),"DPO Approval target is before QA target",IF(AND(Z162&lt;&gt;"",W162&lt;&gt;"",Z162&lt;W162),"Confirmed Deployed date is before DPO Approval target","")))))</f>
        <v/>
      </c>
      <c r="AK162" s="9">
        <f>IF($B162="","",IF(COUNTIF($B$2:$B$500,$B162)&gt;1,"Duplicate name - check row",""))</f>
        <v/>
      </c>
      <c r="AL162" s="1" t="n"/>
      <c r="AM162" s="9">
        <f>IF($B162="","",SUMPRODUCT(MAX(('Rework Log'!$A$3:$A$500=$B162)*ROW('Rework Log'!$A$3:$A$500))))</f>
        <v/>
      </c>
    </row>
    <row r="163">
      <c r="A163" s="1" t="n"/>
      <c r="B163" s="1" t="n"/>
      <c r="C163" s="1" t="n"/>
      <c r="D163" s="9">
        <f>IF($B163="","",IF(LEFT($AC163,3)="Yes","Blocked",IF(C163="NOT STARTED",IF(K163="","No plan date set",IF(K163&lt;TODAY(),"Review - planned start passed","On track")),IF(C163="DB Dev",IF(N163="","No target set",IF(AND(N163&lt;TODAY(),P163=""),"Overdue","On track")),IF(C163="PBI Dev",IF(Q163="","No target set",IF(AND(Q163&lt;TODAY(),S163=""),"Overdue","On track")),IF(C163="QA",IF(T163="","No target set",IF(AND(T163&lt;TODAY(),V163=""),"Overdue","On track")),IF(C163="DPO Approval",IF(W163="","No target set",IF(W163&lt;TODAY(),"Overdue","On track")),IF(C163="RELEASED IN PROD","Delivered",""))))))))</f>
        <v/>
      </c>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c r="AA163" s="1" t="n"/>
      <c r="AB163" s="1" t="n"/>
      <c r="AC163" s="1" t="n"/>
      <c r="AD163" s="9">
        <f>IF($B163="","",COUNTIF('Rework Log'!$A$3:$A$500,$B163))</f>
        <v/>
      </c>
      <c r="AE163" s="9">
        <f>IF(OR($B163="",$AM163=0),"",INDEX('Rework Log'!$C:$C,$AM163))</f>
        <v/>
      </c>
      <c r="AF163" s="9">
        <f>IF(OR($B163="",$AM163=0),"",INDEX('Rework Log'!$H:$H,$AM163))</f>
        <v/>
      </c>
      <c r="AG163" s="9">
        <f>IF(OR($B163="",$AM163=0),"",INDEX('Rework Log'!$G:$G,$AM163))</f>
        <v/>
      </c>
      <c r="AH163" s="9">
        <f>IF($B163="","",IF(W163&lt;&gt;"","DPO Approval",IF(T163&lt;&gt;"","QA",IF(Q163&lt;&gt;"","PBI Dev",IF(N163&lt;&gt;"","DB Dev","NOT STARTED")))))</f>
        <v/>
      </c>
      <c r="AI163" s="9">
        <f>IF($B163="","",IF(IF($C163="NOT STARTED",0,IF($C163="DB Dev",1,IF($C163="PBI Dev",2,IF($C163="QA",3,IF($C163="DPO Approval",4,IF($C163="RELEASED IN PROD",5,-1))))))&lt;IF($AH163="NOT STARTED",0,IF($AH163="DB Dev",1,IF($AH163="PBI Dev",2,IF($AH163="QA",3,IF($AH163="DPO Approval",4,IF($AH163="RELEASED IN PROD",5,-1)))))),"Yes - was already at "&amp;$AH163&amp;", now back at "&amp;$C163,"No"))</f>
        <v/>
      </c>
      <c r="AJ163" s="9">
        <f>IF($B163="","",IF(AND(T163&lt;&gt;"",N163&lt;&gt;"",T163&lt;N163),"QA target is before DB Dev target",IF(AND(T163&lt;&gt;"",Q163&lt;&gt;"",T163&lt;Q163),"QA target is before PBI Dev target",IF(AND(W163&lt;&gt;"",T163&lt;&gt;"",W163&lt;T163),"DPO Approval target is before QA target",IF(AND(Z163&lt;&gt;"",W163&lt;&gt;"",Z163&lt;W163),"Confirmed Deployed date is before DPO Approval target","")))))</f>
        <v/>
      </c>
      <c r="AK163" s="9">
        <f>IF($B163="","",IF(COUNTIF($B$2:$B$500,$B163)&gt;1,"Duplicate name - check row",""))</f>
        <v/>
      </c>
      <c r="AL163" s="1" t="n"/>
      <c r="AM163" s="9">
        <f>IF($B163="","",SUMPRODUCT(MAX(('Rework Log'!$A$3:$A$500=$B163)*ROW('Rework Log'!$A$3:$A$500))))</f>
        <v/>
      </c>
    </row>
    <row r="164">
      <c r="A164" s="1" t="n"/>
      <c r="B164" s="1" t="n"/>
      <c r="C164" s="1" t="n"/>
      <c r="D164" s="9">
        <f>IF($B164="","",IF(LEFT($AC164,3)="Yes","Blocked",IF(C164="NOT STARTED",IF(K164="","No plan date set",IF(K164&lt;TODAY(),"Review - planned start passed","On track")),IF(C164="DB Dev",IF(N164="","No target set",IF(AND(N164&lt;TODAY(),P164=""),"Overdue","On track")),IF(C164="PBI Dev",IF(Q164="","No target set",IF(AND(Q164&lt;TODAY(),S164=""),"Overdue","On track")),IF(C164="QA",IF(T164="","No target set",IF(AND(T164&lt;TODAY(),V164=""),"Overdue","On track")),IF(C164="DPO Approval",IF(W164="","No target set",IF(W164&lt;TODAY(),"Overdue","On track")),IF(C164="RELEASED IN PROD","Delivered",""))))))))</f>
        <v/>
      </c>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c r="AA164" s="1" t="n"/>
      <c r="AB164" s="1" t="n"/>
      <c r="AC164" s="1" t="n"/>
      <c r="AD164" s="9">
        <f>IF($B164="","",COUNTIF('Rework Log'!$A$3:$A$500,$B164))</f>
        <v/>
      </c>
      <c r="AE164" s="9">
        <f>IF(OR($B164="",$AM164=0),"",INDEX('Rework Log'!$C:$C,$AM164))</f>
        <v/>
      </c>
      <c r="AF164" s="9">
        <f>IF(OR($B164="",$AM164=0),"",INDEX('Rework Log'!$H:$H,$AM164))</f>
        <v/>
      </c>
      <c r="AG164" s="9">
        <f>IF(OR($B164="",$AM164=0),"",INDEX('Rework Log'!$G:$G,$AM164))</f>
        <v/>
      </c>
      <c r="AH164" s="9">
        <f>IF($B164="","",IF(W164&lt;&gt;"","DPO Approval",IF(T164&lt;&gt;"","QA",IF(Q164&lt;&gt;"","PBI Dev",IF(N164&lt;&gt;"","DB Dev","NOT STARTED")))))</f>
        <v/>
      </c>
      <c r="AI164" s="9">
        <f>IF($B164="","",IF(IF($C164="NOT STARTED",0,IF($C164="DB Dev",1,IF($C164="PBI Dev",2,IF($C164="QA",3,IF($C164="DPO Approval",4,IF($C164="RELEASED IN PROD",5,-1))))))&lt;IF($AH164="NOT STARTED",0,IF($AH164="DB Dev",1,IF($AH164="PBI Dev",2,IF($AH164="QA",3,IF($AH164="DPO Approval",4,IF($AH164="RELEASED IN PROD",5,-1)))))),"Yes - was already at "&amp;$AH164&amp;", now back at "&amp;$C164,"No"))</f>
        <v/>
      </c>
      <c r="AJ164" s="9">
        <f>IF($B164="","",IF(AND(T164&lt;&gt;"",N164&lt;&gt;"",T164&lt;N164),"QA target is before DB Dev target",IF(AND(T164&lt;&gt;"",Q164&lt;&gt;"",T164&lt;Q164),"QA target is before PBI Dev target",IF(AND(W164&lt;&gt;"",T164&lt;&gt;"",W164&lt;T164),"DPO Approval target is before QA target",IF(AND(Z164&lt;&gt;"",W164&lt;&gt;"",Z164&lt;W164),"Confirmed Deployed date is before DPO Approval target","")))))</f>
        <v/>
      </c>
      <c r="AK164" s="9">
        <f>IF($B164="","",IF(COUNTIF($B$2:$B$500,$B164)&gt;1,"Duplicate name - check row",""))</f>
        <v/>
      </c>
      <c r="AL164" s="1" t="n"/>
      <c r="AM164" s="9">
        <f>IF($B164="","",SUMPRODUCT(MAX(('Rework Log'!$A$3:$A$500=$B164)*ROW('Rework Log'!$A$3:$A$500))))</f>
        <v/>
      </c>
    </row>
    <row r="165">
      <c r="A165" s="1" t="n"/>
      <c r="B165" s="1" t="n"/>
      <c r="C165" s="1" t="n"/>
      <c r="D165" s="9">
        <f>IF($B165="","",IF(LEFT($AC165,3)="Yes","Blocked",IF(C165="NOT STARTED",IF(K165="","No plan date set",IF(K165&lt;TODAY(),"Review - planned start passed","On track")),IF(C165="DB Dev",IF(N165="","No target set",IF(AND(N165&lt;TODAY(),P165=""),"Overdue","On track")),IF(C165="PBI Dev",IF(Q165="","No target set",IF(AND(Q165&lt;TODAY(),S165=""),"Overdue","On track")),IF(C165="QA",IF(T165="","No target set",IF(AND(T165&lt;TODAY(),V165=""),"Overdue","On track")),IF(C165="DPO Approval",IF(W165="","No target set",IF(W165&lt;TODAY(),"Overdue","On track")),IF(C165="RELEASED IN PROD","Delivered",""))))))))</f>
        <v/>
      </c>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c r="AA165" s="1" t="n"/>
      <c r="AB165" s="1" t="n"/>
      <c r="AC165" s="1" t="n"/>
      <c r="AD165" s="9">
        <f>IF($B165="","",COUNTIF('Rework Log'!$A$3:$A$500,$B165))</f>
        <v/>
      </c>
      <c r="AE165" s="9">
        <f>IF(OR($B165="",$AM165=0),"",INDEX('Rework Log'!$C:$C,$AM165))</f>
        <v/>
      </c>
      <c r="AF165" s="9">
        <f>IF(OR($B165="",$AM165=0),"",INDEX('Rework Log'!$H:$H,$AM165))</f>
        <v/>
      </c>
      <c r="AG165" s="9">
        <f>IF(OR($B165="",$AM165=0),"",INDEX('Rework Log'!$G:$G,$AM165))</f>
        <v/>
      </c>
      <c r="AH165" s="9">
        <f>IF($B165="","",IF(W165&lt;&gt;"","DPO Approval",IF(T165&lt;&gt;"","QA",IF(Q165&lt;&gt;"","PBI Dev",IF(N165&lt;&gt;"","DB Dev","NOT STARTED")))))</f>
        <v/>
      </c>
      <c r="AI165" s="9">
        <f>IF($B165="","",IF(IF($C165="NOT STARTED",0,IF($C165="DB Dev",1,IF($C165="PBI Dev",2,IF($C165="QA",3,IF($C165="DPO Approval",4,IF($C165="RELEASED IN PROD",5,-1))))))&lt;IF($AH165="NOT STARTED",0,IF($AH165="DB Dev",1,IF($AH165="PBI Dev",2,IF($AH165="QA",3,IF($AH165="DPO Approval",4,IF($AH165="RELEASED IN PROD",5,-1)))))),"Yes - was already at "&amp;$AH165&amp;", now back at "&amp;$C165,"No"))</f>
        <v/>
      </c>
      <c r="AJ165" s="9">
        <f>IF($B165="","",IF(AND(T165&lt;&gt;"",N165&lt;&gt;"",T165&lt;N165),"QA target is before DB Dev target",IF(AND(T165&lt;&gt;"",Q165&lt;&gt;"",T165&lt;Q165),"QA target is before PBI Dev target",IF(AND(W165&lt;&gt;"",T165&lt;&gt;"",W165&lt;T165),"DPO Approval target is before QA target",IF(AND(Z165&lt;&gt;"",W165&lt;&gt;"",Z165&lt;W165),"Confirmed Deployed date is before DPO Approval target","")))))</f>
        <v/>
      </c>
      <c r="AK165" s="9">
        <f>IF($B165="","",IF(COUNTIF($B$2:$B$500,$B165)&gt;1,"Duplicate name - check row",""))</f>
        <v/>
      </c>
      <c r="AL165" s="1" t="n"/>
      <c r="AM165" s="9">
        <f>IF($B165="","",SUMPRODUCT(MAX(('Rework Log'!$A$3:$A$500=$B165)*ROW('Rework Log'!$A$3:$A$500))))</f>
        <v/>
      </c>
    </row>
    <row r="166">
      <c r="A166" s="1" t="n"/>
      <c r="B166" s="1" t="n"/>
      <c r="C166" s="1" t="n"/>
      <c r="D166" s="9">
        <f>IF($B166="","",IF(LEFT($AC166,3)="Yes","Blocked",IF(C166="NOT STARTED",IF(K166="","No plan date set",IF(K166&lt;TODAY(),"Review - planned start passed","On track")),IF(C166="DB Dev",IF(N166="","No target set",IF(AND(N166&lt;TODAY(),P166=""),"Overdue","On track")),IF(C166="PBI Dev",IF(Q166="","No target set",IF(AND(Q166&lt;TODAY(),S166=""),"Overdue","On track")),IF(C166="QA",IF(T166="","No target set",IF(AND(T166&lt;TODAY(),V166=""),"Overdue","On track")),IF(C166="DPO Approval",IF(W166="","No target set",IF(W166&lt;TODAY(),"Overdue","On track")),IF(C166="RELEASED IN PROD","Delivered",""))))))))</f>
        <v/>
      </c>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c r="AA166" s="1" t="n"/>
      <c r="AB166" s="1" t="n"/>
      <c r="AC166" s="1" t="n"/>
      <c r="AD166" s="9">
        <f>IF($B166="","",COUNTIF('Rework Log'!$A$3:$A$500,$B166))</f>
        <v/>
      </c>
      <c r="AE166" s="9">
        <f>IF(OR($B166="",$AM166=0),"",INDEX('Rework Log'!$C:$C,$AM166))</f>
        <v/>
      </c>
      <c r="AF166" s="9">
        <f>IF(OR($B166="",$AM166=0),"",INDEX('Rework Log'!$H:$H,$AM166))</f>
        <v/>
      </c>
      <c r="AG166" s="9">
        <f>IF(OR($B166="",$AM166=0),"",INDEX('Rework Log'!$G:$G,$AM166))</f>
        <v/>
      </c>
      <c r="AH166" s="9">
        <f>IF($B166="","",IF(W166&lt;&gt;"","DPO Approval",IF(T166&lt;&gt;"","QA",IF(Q166&lt;&gt;"","PBI Dev",IF(N166&lt;&gt;"","DB Dev","NOT STARTED")))))</f>
        <v/>
      </c>
      <c r="AI166" s="9">
        <f>IF($B166="","",IF(IF($C166="NOT STARTED",0,IF($C166="DB Dev",1,IF($C166="PBI Dev",2,IF($C166="QA",3,IF($C166="DPO Approval",4,IF($C166="RELEASED IN PROD",5,-1))))))&lt;IF($AH166="NOT STARTED",0,IF($AH166="DB Dev",1,IF($AH166="PBI Dev",2,IF($AH166="QA",3,IF($AH166="DPO Approval",4,IF($AH166="RELEASED IN PROD",5,-1)))))),"Yes - was already at "&amp;$AH166&amp;", now back at "&amp;$C166,"No"))</f>
        <v/>
      </c>
      <c r="AJ166" s="9">
        <f>IF($B166="","",IF(AND(T166&lt;&gt;"",N166&lt;&gt;"",T166&lt;N166),"QA target is before DB Dev target",IF(AND(T166&lt;&gt;"",Q166&lt;&gt;"",T166&lt;Q166),"QA target is before PBI Dev target",IF(AND(W166&lt;&gt;"",T166&lt;&gt;"",W166&lt;T166),"DPO Approval target is before QA target",IF(AND(Z166&lt;&gt;"",W166&lt;&gt;"",Z166&lt;W166),"Confirmed Deployed date is before DPO Approval target","")))))</f>
        <v/>
      </c>
      <c r="AK166" s="9">
        <f>IF($B166="","",IF(COUNTIF($B$2:$B$500,$B166)&gt;1,"Duplicate name - check row",""))</f>
        <v/>
      </c>
      <c r="AL166" s="1" t="n"/>
      <c r="AM166" s="9">
        <f>IF($B166="","",SUMPRODUCT(MAX(('Rework Log'!$A$3:$A$500=$B166)*ROW('Rework Log'!$A$3:$A$500))))</f>
        <v/>
      </c>
    </row>
    <row r="167">
      <c r="A167" s="1" t="n"/>
      <c r="B167" s="1" t="n"/>
      <c r="C167" s="1" t="n"/>
      <c r="D167" s="9">
        <f>IF($B167="","",IF(LEFT($AC167,3)="Yes","Blocked",IF(C167="NOT STARTED",IF(K167="","No plan date set",IF(K167&lt;TODAY(),"Review - planned start passed","On track")),IF(C167="DB Dev",IF(N167="","No target set",IF(AND(N167&lt;TODAY(),P167=""),"Overdue","On track")),IF(C167="PBI Dev",IF(Q167="","No target set",IF(AND(Q167&lt;TODAY(),S167=""),"Overdue","On track")),IF(C167="QA",IF(T167="","No target set",IF(AND(T167&lt;TODAY(),V167=""),"Overdue","On track")),IF(C167="DPO Approval",IF(W167="","No target set",IF(W167&lt;TODAY(),"Overdue","On track")),IF(C167="RELEASED IN PROD","Delivered",""))))))))</f>
        <v/>
      </c>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c r="AA167" s="1" t="n"/>
      <c r="AB167" s="1" t="n"/>
      <c r="AC167" s="1" t="n"/>
      <c r="AD167" s="9">
        <f>IF($B167="","",COUNTIF('Rework Log'!$A$3:$A$500,$B167))</f>
        <v/>
      </c>
      <c r="AE167" s="9">
        <f>IF(OR($B167="",$AM167=0),"",INDEX('Rework Log'!$C:$C,$AM167))</f>
        <v/>
      </c>
      <c r="AF167" s="9">
        <f>IF(OR($B167="",$AM167=0),"",INDEX('Rework Log'!$H:$H,$AM167))</f>
        <v/>
      </c>
      <c r="AG167" s="9">
        <f>IF(OR($B167="",$AM167=0),"",INDEX('Rework Log'!$G:$G,$AM167))</f>
        <v/>
      </c>
      <c r="AH167" s="9">
        <f>IF($B167="","",IF(W167&lt;&gt;"","DPO Approval",IF(T167&lt;&gt;"","QA",IF(Q167&lt;&gt;"","PBI Dev",IF(N167&lt;&gt;"","DB Dev","NOT STARTED")))))</f>
        <v/>
      </c>
      <c r="AI167" s="9">
        <f>IF($B167="","",IF(IF($C167="NOT STARTED",0,IF($C167="DB Dev",1,IF($C167="PBI Dev",2,IF($C167="QA",3,IF($C167="DPO Approval",4,IF($C167="RELEASED IN PROD",5,-1))))))&lt;IF($AH167="NOT STARTED",0,IF($AH167="DB Dev",1,IF($AH167="PBI Dev",2,IF($AH167="QA",3,IF($AH167="DPO Approval",4,IF($AH167="RELEASED IN PROD",5,-1)))))),"Yes - was already at "&amp;$AH167&amp;", now back at "&amp;$C167,"No"))</f>
        <v/>
      </c>
      <c r="AJ167" s="9">
        <f>IF($B167="","",IF(AND(T167&lt;&gt;"",N167&lt;&gt;"",T167&lt;N167),"QA target is before DB Dev target",IF(AND(T167&lt;&gt;"",Q167&lt;&gt;"",T167&lt;Q167),"QA target is before PBI Dev target",IF(AND(W167&lt;&gt;"",T167&lt;&gt;"",W167&lt;T167),"DPO Approval target is before QA target",IF(AND(Z167&lt;&gt;"",W167&lt;&gt;"",Z167&lt;W167),"Confirmed Deployed date is before DPO Approval target","")))))</f>
        <v/>
      </c>
      <c r="AK167" s="9">
        <f>IF($B167="","",IF(COUNTIF($B$2:$B$500,$B167)&gt;1,"Duplicate name - check row",""))</f>
        <v/>
      </c>
      <c r="AL167" s="1" t="n"/>
      <c r="AM167" s="9">
        <f>IF($B167="","",SUMPRODUCT(MAX(('Rework Log'!$A$3:$A$500=$B167)*ROW('Rework Log'!$A$3:$A$500))))</f>
        <v/>
      </c>
    </row>
    <row r="168">
      <c r="A168" s="1" t="n"/>
      <c r="B168" s="1" t="n"/>
      <c r="C168" s="1" t="n"/>
      <c r="D168" s="9">
        <f>IF($B168="","",IF(LEFT($AC168,3)="Yes","Blocked",IF(C168="NOT STARTED",IF(K168="","No plan date set",IF(K168&lt;TODAY(),"Review - planned start passed","On track")),IF(C168="DB Dev",IF(N168="","No target set",IF(AND(N168&lt;TODAY(),P168=""),"Overdue","On track")),IF(C168="PBI Dev",IF(Q168="","No target set",IF(AND(Q168&lt;TODAY(),S168=""),"Overdue","On track")),IF(C168="QA",IF(T168="","No target set",IF(AND(T168&lt;TODAY(),V168=""),"Overdue","On track")),IF(C168="DPO Approval",IF(W168="","No target set",IF(W168&lt;TODAY(),"Overdue","On track")),IF(C168="RELEASED IN PROD","Delivered",""))))))))</f>
        <v/>
      </c>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c r="AA168" s="1" t="n"/>
      <c r="AB168" s="1" t="n"/>
      <c r="AC168" s="1" t="n"/>
      <c r="AD168" s="9">
        <f>IF($B168="","",COUNTIF('Rework Log'!$A$3:$A$500,$B168))</f>
        <v/>
      </c>
      <c r="AE168" s="9">
        <f>IF(OR($B168="",$AM168=0),"",INDEX('Rework Log'!$C:$C,$AM168))</f>
        <v/>
      </c>
      <c r="AF168" s="9">
        <f>IF(OR($B168="",$AM168=0),"",INDEX('Rework Log'!$H:$H,$AM168))</f>
        <v/>
      </c>
      <c r="AG168" s="9">
        <f>IF(OR($B168="",$AM168=0),"",INDEX('Rework Log'!$G:$G,$AM168))</f>
        <v/>
      </c>
      <c r="AH168" s="9">
        <f>IF($B168="","",IF(W168&lt;&gt;"","DPO Approval",IF(T168&lt;&gt;"","QA",IF(Q168&lt;&gt;"","PBI Dev",IF(N168&lt;&gt;"","DB Dev","NOT STARTED")))))</f>
        <v/>
      </c>
      <c r="AI168" s="9">
        <f>IF($B168="","",IF(IF($C168="NOT STARTED",0,IF($C168="DB Dev",1,IF($C168="PBI Dev",2,IF($C168="QA",3,IF($C168="DPO Approval",4,IF($C168="RELEASED IN PROD",5,-1))))))&lt;IF($AH168="NOT STARTED",0,IF($AH168="DB Dev",1,IF($AH168="PBI Dev",2,IF($AH168="QA",3,IF($AH168="DPO Approval",4,IF($AH168="RELEASED IN PROD",5,-1)))))),"Yes - was already at "&amp;$AH168&amp;", now back at "&amp;$C168,"No"))</f>
        <v/>
      </c>
      <c r="AJ168" s="9">
        <f>IF($B168="","",IF(AND(T168&lt;&gt;"",N168&lt;&gt;"",T168&lt;N168),"QA target is before DB Dev target",IF(AND(T168&lt;&gt;"",Q168&lt;&gt;"",T168&lt;Q168),"QA target is before PBI Dev target",IF(AND(W168&lt;&gt;"",T168&lt;&gt;"",W168&lt;T168),"DPO Approval target is before QA target",IF(AND(Z168&lt;&gt;"",W168&lt;&gt;"",Z168&lt;W168),"Confirmed Deployed date is before DPO Approval target","")))))</f>
        <v/>
      </c>
      <c r="AK168" s="9">
        <f>IF($B168="","",IF(COUNTIF($B$2:$B$500,$B168)&gt;1,"Duplicate name - check row",""))</f>
        <v/>
      </c>
      <c r="AL168" s="1" t="n"/>
      <c r="AM168" s="9">
        <f>IF($B168="","",SUMPRODUCT(MAX(('Rework Log'!$A$3:$A$500=$B168)*ROW('Rework Log'!$A$3:$A$500))))</f>
        <v/>
      </c>
    </row>
    <row r="169">
      <c r="A169" s="1" t="n"/>
      <c r="B169" s="1" t="n"/>
      <c r="C169" s="1" t="n"/>
      <c r="D169" s="9">
        <f>IF($B169="","",IF(LEFT($AC169,3)="Yes","Blocked",IF(C169="NOT STARTED",IF(K169="","No plan date set",IF(K169&lt;TODAY(),"Review - planned start passed","On track")),IF(C169="DB Dev",IF(N169="","No target set",IF(AND(N169&lt;TODAY(),P169=""),"Overdue","On track")),IF(C169="PBI Dev",IF(Q169="","No target set",IF(AND(Q169&lt;TODAY(),S169=""),"Overdue","On track")),IF(C169="QA",IF(T169="","No target set",IF(AND(T169&lt;TODAY(),V169=""),"Overdue","On track")),IF(C169="DPO Approval",IF(W169="","No target set",IF(W169&lt;TODAY(),"Overdue","On track")),IF(C169="RELEASED IN PROD","Delivered",""))))))))</f>
        <v/>
      </c>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c r="AA169" s="1" t="n"/>
      <c r="AB169" s="1" t="n"/>
      <c r="AC169" s="1" t="n"/>
      <c r="AD169" s="9">
        <f>IF($B169="","",COUNTIF('Rework Log'!$A$3:$A$500,$B169))</f>
        <v/>
      </c>
      <c r="AE169" s="9">
        <f>IF(OR($B169="",$AM169=0),"",INDEX('Rework Log'!$C:$C,$AM169))</f>
        <v/>
      </c>
      <c r="AF169" s="9">
        <f>IF(OR($B169="",$AM169=0),"",INDEX('Rework Log'!$H:$H,$AM169))</f>
        <v/>
      </c>
      <c r="AG169" s="9">
        <f>IF(OR($B169="",$AM169=0),"",INDEX('Rework Log'!$G:$G,$AM169))</f>
        <v/>
      </c>
      <c r="AH169" s="9">
        <f>IF($B169="","",IF(W169&lt;&gt;"","DPO Approval",IF(T169&lt;&gt;"","QA",IF(Q169&lt;&gt;"","PBI Dev",IF(N169&lt;&gt;"","DB Dev","NOT STARTED")))))</f>
        <v/>
      </c>
      <c r="AI169" s="9">
        <f>IF($B169="","",IF(IF($C169="NOT STARTED",0,IF($C169="DB Dev",1,IF($C169="PBI Dev",2,IF($C169="QA",3,IF($C169="DPO Approval",4,IF($C169="RELEASED IN PROD",5,-1))))))&lt;IF($AH169="NOT STARTED",0,IF($AH169="DB Dev",1,IF($AH169="PBI Dev",2,IF($AH169="QA",3,IF($AH169="DPO Approval",4,IF($AH169="RELEASED IN PROD",5,-1)))))),"Yes - was already at "&amp;$AH169&amp;", now back at "&amp;$C169,"No"))</f>
        <v/>
      </c>
      <c r="AJ169" s="9">
        <f>IF($B169="","",IF(AND(T169&lt;&gt;"",N169&lt;&gt;"",T169&lt;N169),"QA target is before DB Dev target",IF(AND(T169&lt;&gt;"",Q169&lt;&gt;"",T169&lt;Q169),"QA target is before PBI Dev target",IF(AND(W169&lt;&gt;"",T169&lt;&gt;"",W169&lt;T169),"DPO Approval target is before QA target",IF(AND(Z169&lt;&gt;"",W169&lt;&gt;"",Z169&lt;W169),"Confirmed Deployed date is before DPO Approval target","")))))</f>
        <v/>
      </c>
      <c r="AK169" s="9">
        <f>IF($B169="","",IF(COUNTIF($B$2:$B$500,$B169)&gt;1,"Duplicate name - check row",""))</f>
        <v/>
      </c>
      <c r="AL169" s="1" t="n"/>
      <c r="AM169" s="9">
        <f>IF($B169="","",SUMPRODUCT(MAX(('Rework Log'!$A$3:$A$500=$B169)*ROW('Rework Log'!$A$3:$A$500))))</f>
        <v/>
      </c>
    </row>
    <row r="170">
      <c r="A170" s="1" t="n"/>
      <c r="B170" s="1" t="n"/>
      <c r="C170" s="1" t="n"/>
      <c r="D170" s="9">
        <f>IF($B170="","",IF(LEFT($AC170,3)="Yes","Blocked",IF(C170="NOT STARTED",IF(K170="","No plan date set",IF(K170&lt;TODAY(),"Review - planned start passed","On track")),IF(C170="DB Dev",IF(N170="","No target set",IF(AND(N170&lt;TODAY(),P170=""),"Overdue","On track")),IF(C170="PBI Dev",IF(Q170="","No target set",IF(AND(Q170&lt;TODAY(),S170=""),"Overdue","On track")),IF(C170="QA",IF(T170="","No target set",IF(AND(T170&lt;TODAY(),V170=""),"Overdue","On track")),IF(C170="DPO Approval",IF(W170="","No target set",IF(W170&lt;TODAY(),"Overdue","On track")),IF(C170="RELEASED IN PROD","Delivered",""))))))))</f>
        <v/>
      </c>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c r="AA170" s="1" t="n"/>
      <c r="AB170" s="1" t="n"/>
      <c r="AC170" s="1" t="n"/>
      <c r="AD170" s="9">
        <f>IF($B170="","",COUNTIF('Rework Log'!$A$3:$A$500,$B170))</f>
        <v/>
      </c>
      <c r="AE170" s="9">
        <f>IF(OR($B170="",$AM170=0),"",INDEX('Rework Log'!$C:$C,$AM170))</f>
        <v/>
      </c>
      <c r="AF170" s="9">
        <f>IF(OR($B170="",$AM170=0),"",INDEX('Rework Log'!$H:$H,$AM170))</f>
        <v/>
      </c>
      <c r="AG170" s="9">
        <f>IF(OR($B170="",$AM170=0),"",INDEX('Rework Log'!$G:$G,$AM170))</f>
        <v/>
      </c>
      <c r="AH170" s="9">
        <f>IF($B170="","",IF(W170&lt;&gt;"","DPO Approval",IF(T170&lt;&gt;"","QA",IF(Q170&lt;&gt;"","PBI Dev",IF(N170&lt;&gt;"","DB Dev","NOT STARTED")))))</f>
        <v/>
      </c>
      <c r="AI170" s="9">
        <f>IF($B170="","",IF(IF($C170="NOT STARTED",0,IF($C170="DB Dev",1,IF($C170="PBI Dev",2,IF($C170="QA",3,IF($C170="DPO Approval",4,IF($C170="RELEASED IN PROD",5,-1))))))&lt;IF($AH170="NOT STARTED",0,IF($AH170="DB Dev",1,IF($AH170="PBI Dev",2,IF($AH170="QA",3,IF($AH170="DPO Approval",4,IF($AH170="RELEASED IN PROD",5,-1)))))),"Yes - was already at "&amp;$AH170&amp;", now back at "&amp;$C170,"No"))</f>
        <v/>
      </c>
      <c r="AJ170" s="9">
        <f>IF($B170="","",IF(AND(T170&lt;&gt;"",N170&lt;&gt;"",T170&lt;N170),"QA target is before DB Dev target",IF(AND(T170&lt;&gt;"",Q170&lt;&gt;"",T170&lt;Q170),"QA target is before PBI Dev target",IF(AND(W170&lt;&gt;"",T170&lt;&gt;"",W170&lt;T170),"DPO Approval target is before QA target",IF(AND(Z170&lt;&gt;"",W170&lt;&gt;"",Z170&lt;W170),"Confirmed Deployed date is before DPO Approval target","")))))</f>
        <v/>
      </c>
      <c r="AK170" s="9">
        <f>IF($B170="","",IF(COUNTIF($B$2:$B$500,$B170)&gt;1,"Duplicate name - check row",""))</f>
        <v/>
      </c>
      <c r="AL170" s="1" t="n"/>
      <c r="AM170" s="9">
        <f>IF($B170="","",SUMPRODUCT(MAX(('Rework Log'!$A$3:$A$500=$B170)*ROW('Rework Log'!$A$3:$A$500))))</f>
        <v/>
      </c>
    </row>
    <row r="171">
      <c r="A171" s="1" t="n"/>
      <c r="B171" s="1" t="n"/>
      <c r="C171" s="1" t="n"/>
      <c r="D171" s="9">
        <f>IF($B171="","",IF(LEFT($AC171,3)="Yes","Blocked",IF(C171="NOT STARTED",IF(K171="","No plan date set",IF(K171&lt;TODAY(),"Review - planned start passed","On track")),IF(C171="DB Dev",IF(N171="","No target set",IF(AND(N171&lt;TODAY(),P171=""),"Overdue","On track")),IF(C171="PBI Dev",IF(Q171="","No target set",IF(AND(Q171&lt;TODAY(),S171=""),"Overdue","On track")),IF(C171="QA",IF(T171="","No target set",IF(AND(T171&lt;TODAY(),V171=""),"Overdue","On track")),IF(C171="DPO Approval",IF(W171="","No target set",IF(W171&lt;TODAY(),"Overdue","On track")),IF(C171="RELEASED IN PROD","Delivered",""))))))))</f>
        <v/>
      </c>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c r="AA171" s="1" t="n"/>
      <c r="AB171" s="1" t="n"/>
      <c r="AC171" s="1" t="n"/>
      <c r="AD171" s="9">
        <f>IF($B171="","",COUNTIF('Rework Log'!$A$3:$A$500,$B171))</f>
        <v/>
      </c>
      <c r="AE171" s="9">
        <f>IF(OR($B171="",$AM171=0),"",INDEX('Rework Log'!$C:$C,$AM171))</f>
        <v/>
      </c>
      <c r="AF171" s="9">
        <f>IF(OR($B171="",$AM171=0),"",INDEX('Rework Log'!$H:$H,$AM171))</f>
        <v/>
      </c>
      <c r="AG171" s="9">
        <f>IF(OR($B171="",$AM171=0),"",INDEX('Rework Log'!$G:$G,$AM171))</f>
        <v/>
      </c>
      <c r="AH171" s="9">
        <f>IF($B171="","",IF(W171&lt;&gt;"","DPO Approval",IF(T171&lt;&gt;"","QA",IF(Q171&lt;&gt;"","PBI Dev",IF(N171&lt;&gt;"","DB Dev","NOT STARTED")))))</f>
        <v/>
      </c>
      <c r="AI171" s="9">
        <f>IF($B171="","",IF(IF($C171="NOT STARTED",0,IF($C171="DB Dev",1,IF($C171="PBI Dev",2,IF($C171="QA",3,IF($C171="DPO Approval",4,IF($C171="RELEASED IN PROD",5,-1))))))&lt;IF($AH171="NOT STARTED",0,IF($AH171="DB Dev",1,IF($AH171="PBI Dev",2,IF($AH171="QA",3,IF($AH171="DPO Approval",4,IF($AH171="RELEASED IN PROD",5,-1)))))),"Yes - was already at "&amp;$AH171&amp;", now back at "&amp;$C171,"No"))</f>
        <v/>
      </c>
      <c r="AJ171" s="9">
        <f>IF($B171="","",IF(AND(T171&lt;&gt;"",N171&lt;&gt;"",T171&lt;N171),"QA target is before DB Dev target",IF(AND(T171&lt;&gt;"",Q171&lt;&gt;"",T171&lt;Q171),"QA target is before PBI Dev target",IF(AND(W171&lt;&gt;"",T171&lt;&gt;"",W171&lt;T171),"DPO Approval target is before QA target",IF(AND(Z171&lt;&gt;"",W171&lt;&gt;"",Z171&lt;W171),"Confirmed Deployed date is before DPO Approval target","")))))</f>
        <v/>
      </c>
      <c r="AK171" s="9">
        <f>IF($B171="","",IF(COUNTIF($B$2:$B$500,$B171)&gt;1,"Duplicate name - check row",""))</f>
        <v/>
      </c>
      <c r="AL171" s="1" t="n"/>
      <c r="AM171" s="9">
        <f>IF($B171="","",SUMPRODUCT(MAX(('Rework Log'!$A$3:$A$500=$B171)*ROW('Rework Log'!$A$3:$A$500))))</f>
        <v/>
      </c>
    </row>
    <row r="172">
      <c r="A172" s="1" t="n"/>
      <c r="B172" s="1" t="n"/>
      <c r="C172" s="1" t="n"/>
      <c r="D172" s="9">
        <f>IF($B172="","",IF(LEFT($AC172,3)="Yes","Blocked",IF(C172="NOT STARTED",IF(K172="","No plan date set",IF(K172&lt;TODAY(),"Review - planned start passed","On track")),IF(C172="DB Dev",IF(N172="","No target set",IF(AND(N172&lt;TODAY(),P172=""),"Overdue","On track")),IF(C172="PBI Dev",IF(Q172="","No target set",IF(AND(Q172&lt;TODAY(),S172=""),"Overdue","On track")),IF(C172="QA",IF(T172="","No target set",IF(AND(T172&lt;TODAY(),V172=""),"Overdue","On track")),IF(C172="DPO Approval",IF(W172="","No target set",IF(W172&lt;TODAY(),"Overdue","On track")),IF(C172="RELEASED IN PROD","Delivered",""))))))))</f>
        <v/>
      </c>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c r="AA172" s="1" t="n"/>
      <c r="AB172" s="1" t="n"/>
      <c r="AC172" s="1" t="n"/>
      <c r="AD172" s="9">
        <f>IF($B172="","",COUNTIF('Rework Log'!$A$3:$A$500,$B172))</f>
        <v/>
      </c>
      <c r="AE172" s="9">
        <f>IF(OR($B172="",$AM172=0),"",INDEX('Rework Log'!$C:$C,$AM172))</f>
        <v/>
      </c>
      <c r="AF172" s="9">
        <f>IF(OR($B172="",$AM172=0),"",INDEX('Rework Log'!$H:$H,$AM172))</f>
        <v/>
      </c>
      <c r="AG172" s="9">
        <f>IF(OR($B172="",$AM172=0),"",INDEX('Rework Log'!$G:$G,$AM172))</f>
        <v/>
      </c>
      <c r="AH172" s="9">
        <f>IF($B172="","",IF(W172&lt;&gt;"","DPO Approval",IF(T172&lt;&gt;"","QA",IF(Q172&lt;&gt;"","PBI Dev",IF(N172&lt;&gt;"","DB Dev","NOT STARTED")))))</f>
        <v/>
      </c>
      <c r="AI172" s="9">
        <f>IF($B172="","",IF(IF($C172="NOT STARTED",0,IF($C172="DB Dev",1,IF($C172="PBI Dev",2,IF($C172="QA",3,IF($C172="DPO Approval",4,IF($C172="RELEASED IN PROD",5,-1))))))&lt;IF($AH172="NOT STARTED",0,IF($AH172="DB Dev",1,IF($AH172="PBI Dev",2,IF($AH172="QA",3,IF($AH172="DPO Approval",4,IF($AH172="RELEASED IN PROD",5,-1)))))),"Yes - was already at "&amp;$AH172&amp;", now back at "&amp;$C172,"No"))</f>
        <v/>
      </c>
      <c r="AJ172" s="9">
        <f>IF($B172="","",IF(AND(T172&lt;&gt;"",N172&lt;&gt;"",T172&lt;N172),"QA target is before DB Dev target",IF(AND(T172&lt;&gt;"",Q172&lt;&gt;"",T172&lt;Q172),"QA target is before PBI Dev target",IF(AND(W172&lt;&gt;"",T172&lt;&gt;"",W172&lt;T172),"DPO Approval target is before QA target",IF(AND(Z172&lt;&gt;"",W172&lt;&gt;"",Z172&lt;W172),"Confirmed Deployed date is before DPO Approval target","")))))</f>
        <v/>
      </c>
      <c r="AK172" s="9">
        <f>IF($B172="","",IF(COUNTIF($B$2:$B$500,$B172)&gt;1,"Duplicate name - check row",""))</f>
        <v/>
      </c>
      <c r="AL172" s="1" t="n"/>
      <c r="AM172" s="9">
        <f>IF($B172="","",SUMPRODUCT(MAX(('Rework Log'!$A$3:$A$500=$B172)*ROW('Rework Log'!$A$3:$A$500))))</f>
        <v/>
      </c>
    </row>
    <row r="173">
      <c r="A173" s="1" t="n"/>
      <c r="B173" s="1" t="n"/>
      <c r="C173" s="1" t="n"/>
      <c r="D173" s="9">
        <f>IF($B173="","",IF(LEFT($AC173,3)="Yes","Blocked",IF(C173="NOT STARTED",IF(K173="","No plan date set",IF(K173&lt;TODAY(),"Review - planned start passed","On track")),IF(C173="DB Dev",IF(N173="","No target set",IF(AND(N173&lt;TODAY(),P173=""),"Overdue","On track")),IF(C173="PBI Dev",IF(Q173="","No target set",IF(AND(Q173&lt;TODAY(),S173=""),"Overdue","On track")),IF(C173="QA",IF(T173="","No target set",IF(AND(T173&lt;TODAY(),V173=""),"Overdue","On track")),IF(C173="DPO Approval",IF(W173="","No target set",IF(W173&lt;TODAY(),"Overdue","On track")),IF(C173="RELEASED IN PROD","Delivered",""))))))))</f>
        <v/>
      </c>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c r="AA173" s="1" t="n"/>
      <c r="AB173" s="1" t="n"/>
      <c r="AC173" s="1" t="n"/>
      <c r="AD173" s="9">
        <f>IF($B173="","",COUNTIF('Rework Log'!$A$3:$A$500,$B173))</f>
        <v/>
      </c>
      <c r="AE173" s="9">
        <f>IF(OR($B173="",$AM173=0),"",INDEX('Rework Log'!$C:$C,$AM173))</f>
        <v/>
      </c>
      <c r="AF173" s="9">
        <f>IF(OR($B173="",$AM173=0),"",INDEX('Rework Log'!$H:$H,$AM173))</f>
        <v/>
      </c>
      <c r="AG173" s="9">
        <f>IF(OR($B173="",$AM173=0),"",INDEX('Rework Log'!$G:$G,$AM173))</f>
        <v/>
      </c>
      <c r="AH173" s="9">
        <f>IF($B173="","",IF(W173&lt;&gt;"","DPO Approval",IF(T173&lt;&gt;"","QA",IF(Q173&lt;&gt;"","PBI Dev",IF(N173&lt;&gt;"","DB Dev","NOT STARTED")))))</f>
        <v/>
      </c>
      <c r="AI173" s="9">
        <f>IF($B173="","",IF(IF($C173="NOT STARTED",0,IF($C173="DB Dev",1,IF($C173="PBI Dev",2,IF($C173="QA",3,IF($C173="DPO Approval",4,IF($C173="RELEASED IN PROD",5,-1))))))&lt;IF($AH173="NOT STARTED",0,IF($AH173="DB Dev",1,IF($AH173="PBI Dev",2,IF($AH173="QA",3,IF($AH173="DPO Approval",4,IF($AH173="RELEASED IN PROD",5,-1)))))),"Yes - was already at "&amp;$AH173&amp;", now back at "&amp;$C173,"No"))</f>
        <v/>
      </c>
      <c r="AJ173" s="9">
        <f>IF($B173="","",IF(AND(T173&lt;&gt;"",N173&lt;&gt;"",T173&lt;N173),"QA target is before DB Dev target",IF(AND(T173&lt;&gt;"",Q173&lt;&gt;"",T173&lt;Q173),"QA target is before PBI Dev target",IF(AND(W173&lt;&gt;"",T173&lt;&gt;"",W173&lt;T173),"DPO Approval target is before QA target",IF(AND(Z173&lt;&gt;"",W173&lt;&gt;"",Z173&lt;W173),"Confirmed Deployed date is before DPO Approval target","")))))</f>
        <v/>
      </c>
      <c r="AK173" s="9">
        <f>IF($B173="","",IF(COUNTIF($B$2:$B$500,$B173)&gt;1,"Duplicate name - check row",""))</f>
        <v/>
      </c>
      <c r="AL173" s="1" t="n"/>
      <c r="AM173" s="9">
        <f>IF($B173="","",SUMPRODUCT(MAX(('Rework Log'!$A$3:$A$500=$B173)*ROW('Rework Log'!$A$3:$A$500))))</f>
        <v/>
      </c>
    </row>
    <row r="174">
      <c r="A174" s="1" t="n"/>
      <c r="B174" s="1" t="n"/>
      <c r="C174" s="1" t="n"/>
      <c r="D174" s="9">
        <f>IF($B174="","",IF(LEFT($AC174,3)="Yes","Blocked",IF(C174="NOT STARTED",IF(K174="","No plan date set",IF(K174&lt;TODAY(),"Review - planned start passed","On track")),IF(C174="DB Dev",IF(N174="","No target set",IF(AND(N174&lt;TODAY(),P174=""),"Overdue","On track")),IF(C174="PBI Dev",IF(Q174="","No target set",IF(AND(Q174&lt;TODAY(),S174=""),"Overdue","On track")),IF(C174="QA",IF(T174="","No target set",IF(AND(T174&lt;TODAY(),V174=""),"Overdue","On track")),IF(C174="DPO Approval",IF(W174="","No target set",IF(W174&lt;TODAY(),"Overdue","On track")),IF(C174="RELEASED IN PROD","Delivered",""))))))))</f>
        <v/>
      </c>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c r="AA174" s="1" t="n"/>
      <c r="AB174" s="1" t="n"/>
      <c r="AC174" s="1" t="n"/>
      <c r="AD174" s="9">
        <f>IF($B174="","",COUNTIF('Rework Log'!$A$3:$A$500,$B174))</f>
        <v/>
      </c>
      <c r="AE174" s="9">
        <f>IF(OR($B174="",$AM174=0),"",INDEX('Rework Log'!$C:$C,$AM174))</f>
        <v/>
      </c>
      <c r="AF174" s="9">
        <f>IF(OR($B174="",$AM174=0),"",INDEX('Rework Log'!$H:$H,$AM174))</f>
        <v/>
      </c>
      <c r="AG174" s="9">
        <f>IF(OR($B174="",$AM174=0),"",INDEX('Rework Log'!$G:$G,$AM174))</f>
        <v/>
      </c>
      <c r="AH174" s="9">
        <f>IF($B174="","",IF(W174&lt;&gt;"","DPO Approval",IF(T174&lt;&gt;"","QA",IF(Q174&lt;&gt;"","PBI Dev",IF(N174&lt;&gt;"","DB Dev","NOT STARTED")))))</f>
        <v/>
      </c>
      <c r="AI174" s="9">
        <f>IF($B174="","",IF(IF($C174="NOT STARTED",0,IF($C174="DB Dev",1,IF($C174="PBI Dev",2,IF($C174="QA",3,IF($C174="DPO Approval",4,IF($C174="RELEASED IN PROD",5,-1))))))&lt;IF($AH174="NOT STARTED",0,IF($AH174="DB Dev",1,IF($AH174="PBI Dev",2,IF($AH174="QA",3,IF($AH174="DPO Approval",4,IF($AH174="RELEASED IN PROD",5,-1)))))),"Yes - was already at "&amp;$AH174&amp;", now back at "&amp;$C174,"No"))</f>
        <v/>
      </c>
      <c r="AJ174" s="9">
        <f>IF($B174="","",IF(AND(T174&lt;&gt;"",N174&lt;&gt;"",T174&lt;N174),"QA target is before DB Dev target",IF(AND(T174&lt;&gt;"",Q174&lt;&gt;"",T174&lt;Q174),"QA target is before PBI Dev target",IF(AND(W174&lt;&gt;"",T174&lt;&gt;"",W174&lt;T174),"DPO Approval target is before QA target",IF(AND(Z174&lt;&gt;"",W174&lt;&gt;"",Z174&lt;W174),"Confirmed Deployed date is before DPO Approval target","")))))</f>
        <v/>
      </c>
      <c r="AK174" s="9">
        <f>IF($B174="","",IF(COUNTIF($B$2:$B$500,$B174)&gt;1,"Duplicate name - check row",""))</f>
        <v/>
      </c>
      <c r="AL174" s="1" t="n"/>
      <c r="AM174" s="9">
        <f>IF($B174="","",SUMPRODUCT(MAX(('Rework Log'!$A$3:$A$500=$B174)*ROW('Rework Log'!$A$3:$A$500))))</f>
        <v/>
      </c>
    </row>
    <row r="175">
      <c r="A175" s="1" t="n"/>
      <c r="B175" s="1" t="n"/>
      <c r="C175" s="1" t="n"/>
      <c r="D175" s="9">
        <f>IF($B175="","",IF(LEFT($AC175,3)="Yes","Blocked",IF(C175="NOT STARTED",IF(K175="","No plan date set",IF(K175&lt;TODAY(),"Review - planned start passed","On track")),IF(C175="DB Dev",IF(N175="","No target set",IF(AND(N175&lt;TODAY(),P175=""),"Overdue","On track")),IF(C175="PBI Dev",IF(Q175="","No target set",IF(AND(Q175&lt;TODAY(),S175=""),"Overdue","On track")),IF(C175="QA",IF(T175="","No target set",IF(AND(T175&lt;TODAY(),V175=""),"Overdue","On track")),IF(C175="DPO Approval",IF(W175="","No target set",IF(W175&lt;TODAY(),"Overdue","On track")),IF(C175="RELEASED IN PROD","Delivered",""))))))))</f>
        <v/>
      </c>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c r="AA175" s="1" t="n"/>
      <c r="AB175" s="1" t="n"/>
      <c r="AC175" s="1" t="n"/>
      <c r="AD175" s="9">
        <f>IF($B175="","",COUNTIF('Rework Log'!$A$3:$A$500,$B175))</f>
        <v/>
      </c>
      <c r="AE175" s="9">
        <f>IF(OR($B175="",$AM175=0),"",INDEX('Rework Log'!$C:$C,$AM175))</f>
        <v/>
      </c>
      <c r="AF175" s="9">
        <f>IF(OR($B175="",$AM175=0),"",INDEX('Rework Log'!$H:$H,$AM175))</f>
        <v/>
      </c>
      <c r="AG175" s="9">
        <f>IF(OR($B175="",$AM175=0),"",INDEX('Rework Log'!$G:$G,$AM175))</f>
        <v/>
      </c>
      <c r="AH175" s="9">
        <f>IF($B175="","",IF(W175&lt;&gt;"","DPO Approval",IF(T175&lt;&gt;"","QA",IF(Q175&lt;&gt;"","PBI Dev",IF(N175&lt;&gt;"","DB Dev","NOT STARTED")))))</f>
        <v/>
      </c>
      <c r="AI175" s="9">
        <f>IF($B175="","",IF(IF($C175="NOT STARTED",0,IF($C175="DB Dev",1,IF($C175="PBI Dev",2,IF($C175="QA",3,IF($C175="DPO Approval",4,IF($C175="RELEASED IN PROD",5,-1))))))&lt;IF($AH175="NOT STARTED",0,IF($AH175="DB Dev",1,IF($AH175="PBI Dev",2,IF($AH175="QA",3,IF($AH175="DPO Approval",4,IF($AH175="RELEASED IN PROD",5,-1)))))),"Yes - was already at "&amp;$AH175&amp;", now back at "&amp;$C175,"No"))</f>
        <v/>
      </c>
      <c r="AJ175" s="9">
        <f>IF($B175="","",IF(AND(T175&lt;&gt;"",N175&lt;&gt;"",T175&lt;N175),"QA target is before DB Dev target",IF(AND(T175&lt;&gt;"",Q175&lt;&gt;"",T175&lt;Q175),"QA target is before PBI Dev target",IF(AND(W175&lt;&gt;"",T175&lt;&gt;"",W175&lt;T175),"DPO Approval target is before QA target",IF(AND(Z175&lt;&gt;"",W175&lt;&gt;"",Z175&lt;W175),"Confirmed Deployed date is before DPO Approval target","")))))</f>
        <v/>
      </c>
      <c r="AK175" s="9">
        <f>IF($B175="","",IF(COUNTIF($B$2:$B$500,$B175)&gt;1,"Duplicate name - check row",""))</f>
        <v/>
      </c>
      <c r="AL175" s="1" t="n"/>
      <c r="AM175" s="9">
        <f>IF($B175="","",SUMPRODUCT(MAX(('Rework Log'!$A$3:$A$500=$B175)*ROW('Rework Log'!$A$3:$A$500))))</f>
        <v/>
      </c>
    </row>
    <row r="176">
      <c r="A176" s="1" t="n"/>
      <c r="B176" s="1" t="n"/>
      <c r="C176" s="1" t="n"/>
      <c r="D176" s="9">
        <f>IF($B176="","",IF(LEFT($AC176,3)="Yes","Blocked",IF(C176="NOT STARTED",IF(K176="","No plan date set",IF(K176&lt;TODAY(),"Review - planned start passed","On track")),IF(C176="DB Dev",IF(N176="","No target set",IF(AND(N176&lt;TODAY(),P176=""),"Overdue","On track")),IF(C176="PBI Dev",IF(Q176="","No target set",IF(AND(Q176&lt;TODAY(),S176=""),"Overdue","On track")),IF(C176="QA",IF(T176="","No target set",IF(AND(T176&lt;TODAY(),V176=""),"Overdue","On track")),IF(C176="DPO Approval",IF(W176="","No target set",IF(W176&lt;TODAY(),"Overdue","On track")),IF(C176="RELEASED IN PROD","Delivered",""))))))))</f>
        <v/>
      </c>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c r="AA176" s="1" t="n"/>
      <c r="AB176" s="1" t="n"/>
      <c r="AC176" s="1" t="n"/>
      <c r="AD176" s="9">
        <f>IF($B176="","",COUNTIF('Rework Log'!$A$3:$A$500,$B176))</f>
        <v/>
      </c>
      <c r="AE176" s="9">
        <f>IF(OR($B176="",$AM176=0),"",INDEX('Rework Log'!$C:$C,$AM176))</f>
        <v/>
      </c>
      <c r="AF176" s="9">
        <f>IF(OR($B176="",$AM176=0),"",INDEX('Rework Log'!$H:$H,$AM176))</f>
        <v/>
      </c>
      <c r="AG176" s="9">
        <f>IF(OR($B176="",$AM176=0),"",INDEX('Rework Log'!$G:$G,$AM176))</f>
        <v/>
      </c>
      <c r="AH176" s="9">
        <f>IF($B176="","",IF(W176&lt;&gt;"","DPO Approval",IF(T176&lt;&gt;"","QA",IF(Q176&lt;&gt;"","PBI Dev",IF(N176&lt;&gt;"","DB Dev","NOT STARTED")))))</f>
        <v/>
      </c>
      <c r="AI176" s="9">
        <f>IF($B176="","",IF(IF($C176="NOT STARTED",0,IF($C176="DB Dev",1,IF($C176="PBI Dev",2,IF($C176="QA",3,IF($C176="DPO Approval",4,IF($C176="RELEASED IN PROD",5,-1))))))&lt;IF($AH176="NOT STARTED",0,IF($AH176="DB Dev",1,IF($AH176="PBI Dev",2,IF($AH176="QA",3,IF($AH176="DPO Approval",4,IF($AH176="RELEASED IN PROD",5,-1)))))),"Yes - was already at "&amp;$AH176&amp;", now back at "&amp;$C176,"No"))</f>
        <v/>
      </c>
      <c r="AJ176" s="9">
        <f>IF($B176="","",IF(AND(T176&lt;&gt;"",N176&lt;&gt;"",T176&lt;N176),"QA target is before DB Dev target",IF(AND(T176&lt;&gt;"",Q176&lt;&gt;"",T176&lt;Q176),"QA target is before PBI Dev target",IF(AND(W176&lt;&gt;"",T176&lt;&gt;"",W176&lt;T176),"DPO Approval target is before QA target",IF(AND(Z176&lt;&gt;"",W176&lt;&gt;"",Z176&lt;W176),"Confirmed Deployed date is before DPO Approval target","")))))</f>
        <v/>
      </c>
      <c r="AK176" s="9">
        <f>IF($B176="","",IF(COUNTIF($B$2:$B$500,$B176)&gt;1,"Duplicate name - check row",""))</f>
        <v/>
      </c>
      <c r="AL176" s="1" t="n"/>
      <c r="AM176" s="9">
        <f>IF($B176="","",SUMPRODUCT(MAX(('Rework Log'!$A$3:$A$500=$B176)*ROW('Rework Log'!$A$3:$A$500))))</f>
        <v/>
      </c>
    </row>
    <row r="177">
      <c r="A177" s="1" t="n"/>
      <c r="B177" s="1" t="n"/>
      <c r="C177" s="1" t="n"/>
      <c r="D177" s="9">
        <f>IF($B177="","",IF(LEFT($AC177,3)="Yes","Blocked",IF(C177="NOT STARTED",IF(K177="","No plan date set",IF(K177&lt;TODAY(),"Review - planned start passed","On track")),IF(C177="DB Dev",IF(N177="","No target set",IF(AND(N177&lt;TODAY(),P177=""),"Overdue","On track")),IF(C177="PBI Dev",IF(Q177="","No target set",IF(AND(Q177&lt;TODAY(),S177=""),"Overdue","On track")),IF(C177="QA",IF(T177="","No target set",IF(AND(T177&lt;TODAY(),V177=""),"Overdue","On track")),IF(C177="DPO Approval",IF(W177="","No target set",IF(W177&lt;TODAY(),"Overdue","On track")),IF(C177="RELEASED IN PROD","Delivered",""))))))))</f>
        <v/>
      </c>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c r="AA177" s="1" t="n"/>
      <c r="AB177" s="1" t="n"/>
      <c r="AC177" s="1" t="n"/>
      <c r="AD177" s="9">
        <f>IF($B177="","",COUNTIF('Rework Log'!$A$3:$A$500,$B177))</f>
        <v/>
      </c>
      <c r="AE177" s="9">
        <f>IF(OR($B177="",$AM177=0),"",INDEX('Rework Log'!$C:$C,$AM177))</f>
        <v/>
      </c>
      <c r="AF177" s="9">
        <f>IF(OR($B177="",$AM177=0),"",INDEX('Rework Log'!$H:$H,$AM177))</f>
        <v/>
      </c>
      <c r="AG177" s="9">
        <f>IF(OR($B177="",$AM177=0),"",INDEX('Rework Log'!$G:$G,$AM177))</f>
        <v/>
      </c>
      <c r="AH177" s="9">
        <f>IF($B177="","",IF(W177&lt;&gt;"","DPO Approval",IF(T177&lt;&gt;"","QA",IF(Q177&lt;&gt;"","PBI Dev",IF(N177&lt;&gt;"","DB Dev","NOT STARTED")))))</f>
        <v/>
      </c>
      <c r="AI177" s="9">
        <f>IF($B177="","",IF(IF($C177="NOT STARTED",0,IF($C177="DB Dev",1,IF($C177="PBI Dev",2,IF($C177="QA",3,IF($C177="DPO Approval",4,IF($C177="RELEASED IN PROD",5,-1))))))&lt;IF($AH177="NOT STARTED",0,IF($AH177="DB Dev",1,IF($AH177="PBI Dev",2,IF($AH177="QA",3,IF($AH177="DPO Approval",4,IF($AH177="RELEASED IN PROD",5,-1)))))),"Yes - was already at "&amp;$AH177&amp;", now back at "&amp;$C177,"No"))</f>
        <v/>
      </c>
      <c r="AJ177" s="9">
        <f>IF($B177="","",IF(AND(T177&lt;&gt;"",N177&lt;&gt;"",T177&lt;N177),"QA target is before DB Dev target",IF(AND(T177&lt;&gt;"",Q177&lt;&gt;"",T177&lt;Q177),"QA target is before PBI Dev target",IF(AND(W177&lt;&gt;"",T177&lt;&gt;"",W177&lt;T177),"DPO Approval target is before QA target",IF(AND(Z177&lt;&gt;"",W177&lt;&gt;"",Z177&lt;W177),"Confirmed Deployed date is before DPO Approval target","")))))</f>
        <v/>
      </c>
      <c r="AK177" s="9">
        <f>IF($B177="","",IF(COUNTIF($B$2:$B$500,$B177)&gt;1,"Duplicate name - check row",""))</f>
        <v/>
      </c>
      <c r="AL177" s="1" t="n"/>
      <c r="AM177" s="9">
        <f>IF($B177="","",SUMPRODUCT(MAX(('Rework Log'!$A$3:$A$500=$B177)*ROW('Rework Log'!$A$3:$A$500))))</f>
        <v/>
      </c>
    </row>
    <row r="178">
      <c r="A178" s="1" t="n"/>
      <c r="B178" s="1" t="n"/>
      <c r="C178" s="1" t="n"/>
      <c r="D178" s="9">
        <f>IF($B178="","",IF(LEFT($AC178,3)="Yes","Blocked",IF(C178="NOT STARTED",IF(K178="","No plan date set",IF(K178&lt;TODAY(),"Review - planned start passed","On track")),IF(C178="DB Dev",IF(N178="","No target set",IF(AND(N178&lt;TODAY(),P178=""),"Overdue","On track")),IF(C178="PBI Dev",IF(Q178="","No target set",IF(AND(Q178&lt;TODAY(),S178=""),"Overdue","On track")),IF(C178="QA",IF(T178="","No target set",IF(AND(T178&lt;TODAY(),V178=""),"Overdue","On track")),IF(C178="DPO Approval",IF(W178="","No target set",IF(W178&lt;TODAY(),"Overdue","On track")),IF(C178="RELEASED IN PROD","Delivered",""))))))))</f>
        <v/>
      </c>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c r="AA178" s="1" t="n"/>
      <c r="AB178" s="1" t="n"/>
      <c r="AC178" s="1" t="n"/>
      <c r="AD178" s="9">
        <f>IF($B178="","",COUNTIF('Rework Log'!$A$3:$A$500,$B178))</f>
        <v/>
      </c>
      <c r="AE178" s="9">
        <f>IF(OR($B178="",$AM178=0),"",INDEX('Rework Log'!$C:$C,$AM178))</f>
        <v/>
      </c>
      <c r="AF178" s="9">
        <f>IF(OR($B178="",$AM178=0),"",INDEX('Rework Log'!$H:$H,$AM178))</f>
        <v/>
      </c>
      <c r="AG178" s="9">
        <f>IF(OR($B178="",$AM178=0),"",INDEX('Rework Log'!$G:$G,$AM178))</f>
        <v/>
      </c>
      <c r="AH178" s="9">
        <f>IF($B178="","",IF(W178&lt;&gt;"","DPO Approval",IF(T178&lt;&gt;"","QA",IF(Q178&lt;&gt;"","PBI Dev",IF(N178&lt;&gt;"","DB Dev","NOT STARTED")))))</f>
        <v/>
      </c>
      <c r="AI178" s="9">
        <f>IF($B178="","",IF(IF($C178="NOT STARTED",0,IF($C178="DB Dev",1,IF($C178="PBI Dev",2,IF($C178="QA",3,IF($C178="DPO Approval",4,IF($C178="RELEASED IN PROD",5,-1))))))&lt;IF($AH178="NOT STARTED",0,IF($AH178="DB Dev",1,IF($AH178="PBI Dev",2,IF($AH178="QA",3,IF($AH178="DPO Approval",4,IF($AH178="RELEASED IN PROD",5,-1)))))),"Yes - was already at "&amp;$AH178&amp;", now back at "&amp;$C178,"No"))</f>
        <v/>
      </c>
      <c r="AJ178" s="9">
        <f>IF($B178="","",IF(AND(T178&lt;&gt;"",N178&lt;&gt;"",T178&lt;N178),"QA target is before DB Dev target",IF(AND(T178&lt;&gt;"",Q178&lt;&gt;"",T178&lt;Q178),"QA target is before PBI Dev target",IF(AND(W178&lt;&gt;"",T178&lt;&gt;"",W178&lt;T178),"DPO Approval target is before QA target",IF(AND(Z178&lt;&gt;"",W178&lt;&gt;"",Z178&lt;W178),"Confirmed Deployed date is before DPO Approval target","")))))</f>
        <v/>
      </c>
      <c r="AK178" s="9">
        <f>IF($B178="","",IF(COUNTIF($B$2:$B$500,$B178)&gt;1,"Duplicate name - check row",""))</f>
        <v/>
      </c>
      <c r="AL178" s="1" t="n"/>
      <c r="AM178" s="9">
        <f>IF($B178="","",SUMPRODUCT(MAX(('Rework Log'!$A$3:$A$500=$B178)*ROW('Rework Log'!$A$3:$A$500))))</f>
        <v/>
      </c>
    </row>
    <row r="179">
      <c r="A179" s="1" t="n"/>
      <c r="B179" s="1" t="n"/>
      <c r="C179" s="1" t="n"/>
      <c r="D179" s="9">
        <f>IF($B179="","",IF(LEFT($AC179,3)="Yes","Blocked",IF(C179="NOT STARTED",IF(K179="","No plan date set",IF(K179&lt;TODAY(),"Review - planned start passed","On track")),IF(C179="DB Dev",IF(N179="","No target set",IF(AND(N179&lt;TODAY(),P179=""),"Overdue","On track")),IF(C179="PBI Dev",IF(Q179="","No target set",IF(AND(Q179&lt;TODAY(),S179=""),"Overdue","On track")),IF(C179="QA",IF(T179="","No target set",IF(AND(T179&lt;TODAY(),V179=""),"Overdue","On track")),IF(C179="DPO Approval",IF(W179="","No target set",IF(W179&lt;TODAY(),"Overdue","On track")),IF(C179="RELEASED IN PROD","Delivered",""))))))))</f>
        <v/>
      </c>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c r="AA179" s="1" t="n"/>
      <c r="AB179" s="1" t="n"/>
      <c r="AC179" s="1" t="n"/>
      <c r="AD179" s="9">
        <f>IF($B179="","",COUNTIF('Rework Log'!$A$3:$A$500,$B179))</f>
        <v/>
      </c>
      <c r="AE179" s="9">
        <f>IF(OR($B179="",$AM179=0),"",INDEX('Rework Log'!$C:$C,$AM179))</f>
        <v/>
      </c>
      <c r="AF179" s="9">
        <f>IF(OR($B179="",$AM179=0),"",INDEX('Rework Log'!$H:$H,$AM179))</f>
        <v/>
      </c>
      <c r="AG179" s="9">
        <f>IF(OR($B179="",$AM179=0),"",INDEX('Rework Log'!$G:$G,$AM179))</f>
        <v/>
      </c>
      <c r="AH179" s="9">
        <f>IF($B179="","",IF(W179&lt;&gt;"","DPO Approval",IF(T179&lt;&gt;"","QA",IF(Q179&lt;&gt;"","PBI Dev",IF(N179&lt;&gt;"","DB Dev","NOT STARTED")))))</f>
        <v/>
      </c>
      <c r="AI179" s="9">
        <f>IF($B179="","",IF(IF($C179="NOT STARTED",0,IF($C179="DB Dev",1,IF($C179="PBI Dev",2,IF($C179="QA",3,IF($C179="DPO Approval",4,IF($C179="RELEASED IN PROD",5,-1))))))&lt;IF($AH179="NOT STARTED",0,IF($AH179="DB Dev",1,IF($AH179="PBI Dev",2,IF($AH179="QA",3,IF($AH179="DPO Approval",4,IF($AH179="RELEASED IN PROD",5,-1)))))),"Yes - was already at "&amp;$AH179&amp;", now back at "&amp;$C179,"No"))</f>
        <v/>
      </c>
      <c r="AJ179" s="9">
        <f>IF($B179="","",IF(AND(T179&lt;&gt;"",N179&lt;&gt;"",T179&lt;N179),"QA target is before DB Dev target",IF(AND(T179&lt;&gt;"",Q179&lt;&gt;"",T179&lt;Q179),"QA target is before PBI Dev target",IF(AND(W179&lt;&gt;"",T179&lt;&gt;"",W179&lt;T179),"DPO Approval target is before QA target",IF(AND(Z179&lt;&gt;"",W179&lt;&gt;"",Z179&lt;W179),"Confirmed Deployed date is before DPO Approval target","")))))</f>
        <v/>
      </c>
      <c r="AK179" s="9">
        <f>IF($B179="","",IF(COUNTIF($B$2:$B$500,$B179)&gt;1,"Duplicate name - check row",""))</f>
        <v/>
      </c>
      <c r="AL179" s="1" t="n"/>
      <c r="AM179" s="9">
        <f>IF($B179="","",SUMPRODUCT(MAX(('Rework Log'!$A$3:$A$500=$B179)*ROW('Rework Log'!$A$3:$A$500))))</f>
        <v/>
      </c>
    </row>
    <row r="180">
      <c r="A180" s="1" t="n"/>
      <c r="B180" s="1" t="n"/>
      <c r="C180" s="1" t="n"/>
      <c r="D180" s="9">
        <f>IF($B180="","",IF(LEFT($AC180,3)="Yes","Blocked",IF(C180="NOT STARTED",IF(K180="","No plan date set",IF(K180&lt;TODAY(),"Review - planned start passed","On track")),IF(C180="DB Dev",IF(N180="","No target set",IF(AND(N180&lt;TODAY(),P180=""),"Overdue","On track")),IF(C180="PBI Dev",IF(Q180="","No target set",IF(AND(Q180&lt;TODAY(),S180=""),"Overdue","On track")),IF(C180="QA",IF(T180="","No target set",IF(AND(T180&lt;TODAY(),V180=""),"Overdue","On track")),IF(C180="DPO Approval",IF(W180="","No target set",IF(W180&lt;TODAY(),"Overdue","On track")),IF(C180="RELEASED IN PROD","Delivered",""))))))))</f>
        <v/>
      </c>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c r="AA180" s="1" t="n"/>
      <c r="AB180" s="1" t="n"/>
      <c r="AC180" s="1" t="n"/>
      <c r="AD180" s="9">
        <f>IF($B180="","",COUNTIF('Rework Log'!$A$3:$A$500,$B180))</f>
        <v/>
      </c>
      <c r="AE180" s="9">
        <f>IF(OR($B180="",$AM180=0),"",INDEX('Rework Log'!$C:$C,$AM180))</f>
        <v/>
      </c>
      <c r="AF180" s="9">
        <f>IF(OR($B180="",$AM180=0),"",INDEX('Rework Log'!$H:$H,$AM180))</f>
        <v/>
      </c>
      <c r="AG180" s="9">
        <f>IF(OR($B180="",$AM180=0),"",INDEX('Rework Log'!$G:$G,$AM180))</f>
        <v/>
      </c>
      <c r="AH180" s="9">
        <f>IF($B180="","",IF(W180&lt;&gt;"","DPO Approval",IF(T180&lt;&gt;"","QA",IF(Q180&lt;&gt;"","PBI Dev",IF(N180&lt;&gt;"","DB Dev","NOT STARTED")))))</f>
        <v/>
      </c>
      <c r="AI180" s="9">
        <f>IF($B180="","",IF(IF($C180="NOT STARTED",0,IF($C180="DB Dev",1,IF($C180="PBI Dev",2,IF($C180="QA",3,IF($C180="DPO Approval",4,IF($C180="RELEASED IN PROD",5,-1))))))&lt;IF($AH180="NOT STARTED",0,IF($AH180="DB Dev",1,IF($AH180="PBI Dev",2,IF($AH180="QA",3,IF($AH180="DPO Approval",4,IF($AH180="RELEASED IN PROD",5,-1)))))),"Yes - was already at "&amp;$AH180&amp;", now back at "&amp;$C180,"No"))</f>
        <v/>
      </c>
      <c r="AJ180" s="9">
        <f>IF($B180="","",IF(AND(T180&lt;&gt;"",N180&lt;&gt;"",T180&lt;N180),"QA target is before DB Dev target",IF(AND(T180&lt;&gt;"",Q180&lt;&gt;"",T180&lt;Q180),"QA target is before PBI Dev target",IF(AND(W180&lt;&gt;"",T180&lt;&gt;"",W180&lt;T180),"DPO Approval target is before QA target",IF(AND(Z180&lt;&gt;"",W180&lt;&gt;"",Z180&lt;W180),"Confirmed Deployed date is before DPO Approval target","")))))</f>
        <v/>
      </c>
      <c r="AK180" s="9">
        <f>IF($B180="","",IF(COUNTIF($B$2:$B$500,$B180)&gt;1,"Duplicate name - check row",""))</f>
        <v/>
      </c>
      <c r="AL180" s="1" t="n"/>
      <c r="AM180" s="9">
        <f>IF($B180="","",SUMPRODUCT(MAX(('Rework Log'!$A$3:$A$500=$B180)*ROW('Rework Log'!$A$3:$A$500))))</f>
        <v/>
      </c>
    </row>
    <row r="181">
      <c r="A181" s="1" t="n"/>
      <c r="B181" s="1" t="n"/>
      <c r="C181" s="1" t="n"/>
      <c r="D181" s="9">
        <f>IF($B181="","",IF(LEFT($AC181,3)="Yes","Blocked",IF(C181="NOT STARTED",IF(K181="","No plan date set",IF(K181&lt;TODAY(),"Review - planned start passed","On track")),IF(C181="DB Dev",IF(N181="","No target set",IF(AND(N181&lt;TODAY(),P181=""),"Overdue","On track")),IF(C181="PBI Dev",IF(Q181="","No target set",IF(AND(Q181&lt;TODAY(),S181=""),"Overdue","On track")),IF(C181="QA",IF(T181="","No target set",IF(AND(T181&lt;TODAY(),V181=""),"Overdue","On track")),IF(C181="DPO Approval",IF(W181="","No target set",IF(W181&lt;TODAY(),"Overdue","On track")),IF(C181="RELEASED IN PROD","Delivered",""))))))))</f>
        <v/>
      </c>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c r="AA181" s="1" t="n"/>
      <c r="AB181" s="1" t="n"/>
      <c r="AC181" s="1" t="n"/>
      <c r="AD181" s="9">
        <f>IF($B181="","",COUNTIF('Rework Log'!$A$3:$A$500,$B181))</f>
        <v/>
      </c>
      <c r="AE181" s="9">
        <f>IF(OR($B181="",$AM181=0),"",INDEX('Rework Log'!$C:$C,$AM181))</f>
        <v/>
      </c>
      <c r="AF181" s="9">
        <f>IF(OR($B181="",$AM181=0),"",INDEX('Rework Log'!$H:$H,$AM181))</f>
        <v/>
      </c>
      <c r="AG181" s="9">
        <f>IF(OR($B181="",$AM181=0),"",INDEX('Rework Log'!$G:$G,$AM181))</f>
        <v/>
      </c>
      <c r="AH181" s="9">
        <f>IF($B181="","",IF(W181&lt;&gt;"","DPO Approval",IF(T181&lt;&gt;"","QA",IF(Q181&lt;&gt;"","PBI Dev",IF(N181&lt;&gt;"","DB Dev","NOT STARTED")))))</f>
        <v/>
      </c>
      <c r="AI181" s="9">
        <f>IF($B181="","",IF(IF($C181="NOT STARTED",0,IF($C181="DB Dev",1,IF($C181="PBI Dev",2,IF($C181="QA",3,IF($C181="DPO Approval",4,IF($C181="RELEASED IN PROD",5,-1))))))&lt;IF($AH181="NOT STARTED",0,IF($AH181="DB Dev",1,IF($AH181="PBI Dev",2,IF($AH181="QA",3,IF($AH181="DPO Approval",4,IF($AH181="RELEASED IN PROD",5,-1)))))),"Yes - was already at "&amp;$AH181&amp;", now back at "&amp;$C181,"No"))</f>
        <v/>
      </c>
      <c r="AJ181" s="9">
        <f>IF($B181="","",IF(AND(T181&lt;&gt;"",N181&lt;&gt;"",T181&lt;N181),"QA target is before DB Dev target",IF(AND(T181&lt;&gt;"",Q181&lt;&gt;"",T181&lt;Q181),"QA target is before PBI Dev target",IF(AND(W181&lt;&gt;"",T181&lt;&gt;"",W181&lt;T181),"DPO Approval target is before QA target",IF(AND(Z181&lt;&gt;"",W181&lt;&gt;"",Z181&lt;W181),"Confirmed Deployed date is before DPO Approval target","")))))</f>
        <v/>
      </c>
      <c r="AK181" s="9">
        <f>IF($B181="","",IF(COUNTIF($B$2:$B$500,$B181)&gt;1,"Duplicate name - check row",""))</f>
        <v/>
      </c>
      <c r="AL181" s="1" t="n"/>
      <c r="AM181" s="9">
        <f>IF($B181="","",SUMPRODUCT(MAX(('Rework Log'!$A$3:$A$500=$B181)*ROW('Rework Log'!$A$3:$A$500))))</f>
        <v/>
      </c>
    </row>
    <row r="182">
      <c r="A182" s="1" t="n"/>
      <c r="B182" s="1" t="n"/>
      <c r="C182" s="1" t="n"/>
      <c r="D182" s="9">
        <f>IF($B182="","",IF(LEFT($AC182,3)="Yes","Blocked",IF(C182="NOT STARTED",IF(K182="","No plan date set",IF(K182&lt;TODAY(),"Review - planned start passed","On track")),IF(C182="DB Dev",IF(N182="","No target set",IF(AND(N182&lt;TODAY(),P182=""),"Overdue","On track")),IF(C182="PBI Dev",IF(Q182="","No target set",IF(AND(Q182&lt;TODAY(),S182=""),"Overdue","On track")),IF(C182="QA",IF(T182="","No target set",IF(AND(T182&lt;TODAY(),V182=""),"Overdue","On track")),IF(C182="DPO Approval",IF(W182="","No target set",IF(W182&lt;TODAY(),"Overdue","On track")),IF(C182="RELEASED IN PROD","Delivered",""))))))))</f>
        <v/>
      </c>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c r="AA182" s="1" t="n"/>
      <c r="AB182" s="1" t="n"/>
      <c r="AC182" s="1" t="n"/>
      <c r="AD182" s="9">
        <f>IF($B182="","",COUNTIF('Rework Log'!$A$3:$A$500,$B182))</f>
        <v/>
      </c>
      <c r="AE182" s="9">
        <f>IF(OR($B182="",$AM182=0),"",INDEX('Rework Log'!$C:$C,$AM182))</f>
        <v/>
      </c>
      <c r="AF182" s="9">
        <f>IF(OR($B182="",$AM182=0),"",INDEX('Rework Log'!$H:$H,$AM182))</f>
        <v/>
      </c>
      <c r="AG182" s="9">
        <f>IF(OR($B182="",$AM182=0),"",INDEX('Rework Log'!$G:$G,$AM182))</f>
        <v/>
      </c>
      <c r="AH182" s="9">
        <f>IF($B182="","",IF(W182&lt;&gt;"","DPO Approval",IF(T182&lt;&gt;"","QA",IF(Q182&lt;&gt;"","PBI Dev",IF(N182&lt;&gt;"","DB Dev","NOT STARTED")))))</f>
        <v/>
      </c>
      <c r="AI182" s="9">
        <f>IF($B182="","",IF(IF($C182="NOT STARTED",0,IF($C182="DB Dev",1,IF($C182="PBI Dev",2,IF($C182="QA",3,IF($C182="DPO Approval",4,IF($C182="RELEASED IN PROD",5,-1))))))&lt;IF($AH182="NOT STARTED",0,IF($AH182="DB Dev",1,IF($AH182="PBI Dev",2,IF($AH182="QA",3,IF($AH182="DPO Approval",4,IF($AH182="RELEASED IN PROD",5,-1)))))),"Yes - was already at "&amp;$AH182&amp;", now back at "&amp;$C182,"No"))</f>
        <v/>
      </c>
      <c r="AJ182" s="9">
        <f>IF($B182="","",IF(AND(T182&lt;&gt;"",N182&lt;&gt;"",T182&lt;N182),"QA target is before DB Dev target",IF(AND(T182&lt;&gt;"",Q182&lt;&gt;"",T182&lt;Q182),"QA target is before PBI Dev target",IF(AND(W182&lt;&gt;"",T182&lt;&gt;"",W182&lt;T182),"DPO Approval target is before QA target",IF(AND(Z182&lt;&gt;"",W182&lt;&gt;"",Z182&lt;W182),"Confirmed Deployed date is before DPO Approval target","")))))</f>
        <v/>
      </c>
      <c r="AK182" s="9">
        <f>IF($B182="","",IF(COUNTIF($B$2:$B$500,$B182)&gt;1,"Duplicate name - check row",""))</f>
        <v/>
      </c>
      <c r="AL182" s="1" t="n"/>
      <c r="AM182" s="9">
        <f>IF($B182="","",SUMPRODUCT(MAX(('Rework Log'!$A$3:$A$500=$B182)*ROW('Rework Log'!$A$3:$A$500))))</f>
        <v/>
      </c>
    </row>
    <row r="183">
      <c r="A183" s="1" t="n"/>
      <c r="B183" s="1" t="n"/>
      <c r="C183" s="1" t="n"/>
      <c r="D183" s="9">
        <f>IF($B183="","",IF(LEFT($AC183,3)="Yes","Blocked",IF(C183="NOT STARTED",IF(K183="","No plan date set",IF(K183&lt;TODAY(),"Review - planned start passed","On track")),IF(C183="DB Dev",IF(N183="","No target set",IF(AND(N183&lt;TODAY(),P183=""),"Overdue","On track")),IF(C183="PBI Dev",IF(Q183="","No target set",IF(AND(Q183&lt;TODAY(),S183=""),"Overdue","On track")),IF(C183="QA",IF(T183="","No target set",IF(AND(T183&lt;TODAY(),V183=""),"Overdue","On track")),IF(C183="DPO Approval",IF(W183="","No target set",IF(W183&lt;TODAY(),"Overdue","On track")),IF(C183="RELEASED IN PROD","Delivered",""))))))))</f>
        <v/>
      </c>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c r="AA183" s="1" t="n"/>
      <c r="AB183" s="1" t="n"/>
      <c r="AC183" s="1" t="n"/>
      <c r="AD183" s="9">
        <f>IF($B183="","",COUNTIF('Rework Log'!$A$3:$A$500,$B183))</f>
        <v/>
      </c>
      <c r="AE183" s="9">
        <f>IF(OR($B183="",$AM183=0),"",INDEX('Rework Log'!$C:$C,$AM183))</f>
        <v/>
      </c>
      <c r="AF183" s="9">
        <f>IF(OR($B183="",$AM183=0),"",INDEX('Rework Log'!$H:$H,$AM183))</f>
        <v/>
      </c>
      <c r="AG183" s="9">
        <f>IF(OR($B183="",$AM183=0),"",INDEX('Rework Log'!$G:$G,$AM183))</f>
        <v/>
      </c>
      <c r="AH183" s="9">
        <f>IF($B183="","",IF(W183&lt;&gt;"","DPO Approval",IF(T183&lt;&gt;"","QA",IF(Q183&lt;&gt;"","PBI Dev",IF(N183&lt;&gt;"","DB Dev","NOT STARTED")))))</f>
        <v/>
      </c>
      <c r="AI183" s="9">
        <f>IF($B183="","",IF(IF($C183="NOT STARTED",0,IF($C183="DB Dev",1,IF($C183="PBI Dev",2,IF($C183="QA",3,IF($C183="DPO Approval",4,IF($C183="RELEASED IN PROD",5,-1))))))&lt;IF($AH183="NOT STARTED",0,IF($AH183="DB Dev",1,IF($AH183="PBI Dev",2,IF($AH183="QA",3,IF($AH183="DPO Approval",4,IF($AH183="RELEASED IN PROD",5,-1)))))),"Yes - was already at "&amp;$AH183&amp;", now back at "&amp;$C183,"No"))</f>
        <v/>
      </c>
      <c r="AJ183" s="9">
        <f>IF($B183="","",IF(AND(T183&lt;&gt;"",N183&lt;&gt;"",T183&lt;N183),"QA target is before DB Dev target",IF(AND(T183&lt;&gt;"",Q183&lt;&gt;"",T183&lt;Q183),"QA target is before PBI Dev target",IF(AND(W183&lt;&gt;"",T183&lt;&gt;"",W183&lt;T183),"DPO Approval target is before QA target",IF(AND(Z183&lt;&gt;"",W183&lt;&gt;"",Z183&lt;W183),"Confirmed Deployed date is before DPO Approval target","")))))</f>
        <v/>
      </c>
      <c r="AK183" s="9">
        <f>IF($B183="","",IF(COUNTIF($B$2:$B$500,$B183)&gt;1,"Duplicate name - check row",""))</f>
        <v/>
      </c>
      <c r="AL183" s="1" t="n"/>
      <c r="AM183" s="9">
        <f>IF($B183="","",SUMPRODUCT(MAX(('Rework Log'!$A$3:$A$500=$B183)*ROW('Rework Log'!$A$3:$A$500))))</f>
        <v/>
      </c>
    </row>
    <row r="184">
      <c r="A184" s="1" t="n"/>
      <c r="B184" s="1" t="n"/>
      <c r="C184" s="1" t="n"/>
      <c r="D184" s="9">
        <f>IF($B184="","",IF(LEFT($AC184,3)="Yes","Blocked",IF(C184="NOT STARTED",IF(K184="","No plan date set",IF(K184&lt;TODAY(),"Review - planned start passed","On track")),IF(C184="DB Dev",IF(N184="","No target set",IF(AND(N184&lt;TODAY(),P184=""),"Overdue","On track")),IF(C184="PBI Dev",IF(Q184="","No target set",IF(AND(Q184&lt;TODAY(),S184=""),"Overdue","On track")),IF(C184="QA",IF(T184="","No target set",IF(AND(T184&lt;TODAY(),V184=""),"Overdue","On track")),IF(C184="DPO Approval",IF(W184="","No target set",IF(W184&lt;TODAY(),"Overdue","On track")),IF(C184="RELEASED IN PROD","Delivered",""))))))))</f>
        <v/>
      </c>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c r="AA184" s="1" t="n"/>
      <c r="AB184" s="1" t="n"/>
      <c r="AC184" s="1" t="n"/>
      <c r="AD184" s="9">
        <f>IF($B184="","",COUNTIF('Rework Log'!$A$3:$A$500,$B184))</f>
        <v/>
      </c>
      <c r="AE184" s="9">
        <f>IF(OR($B184="",$AM184=0),"",INDEX('Rework Log'!$C:$C,$AM184))</f>
        <v/>
      </c>
      <c r="AF184" s="9">
        <f>IF(OR($B184="",$AM184=0),"",INDEX('Rework Log'!$H:$H,$AM184))</f>
        <v/>
      </c>
      <c r="AG184" s="9">
        <f>IF(OR($B184="",$AM184=0),"",INDEX('Rework Log'!$G:$G,$AM184))</f>
        <v/>
      </c>
      <c r="AH184" s="9">
        <f>IF($B184="","",IF(W184&lt;&gt;"","DPO Approval",IF(T184&lt;&gt;"","QA",IF(Q184&lt;&gt;"","PBI Dev",IF(N184&lt;&gt;"","DB Dev","NOT STARTED")))))</f>
        <v/>
      </c>
      <c r="AI184" s="9">
        <f>IF($B184="","",IF(IF($C184="NOT STARTED",0,IF($C184="DB Dev",1,IF($C184="PBI Dev",2,IF($C184="QA",3,IF($C184="DPO Approval",4,IF($C184="RELEASED IN PROD",5,-1))))))&lt;IF($AH184="NOT STARTED",0,IF($AH184="DB Dev",1,IF($AH184="PBI Dev",2,IF($AH184="QA",3,IF($AH184="DPO Approval",4,IF($AH184="RELEASED IN PROD",5,-1)))))),"Yes - was already at "&amp;$AH184&amp;", now back at "&amp;$C184,"No"))</f>
        <v/>
      </c>
      <c r="AJ184" s="9">
        <f>IF($B184="","",IF(AND(T184&lt;&gt;"",N184&lt;&gt;"",T184&lt;N184),"QA target is before DB Dev target",IF(AND(T184&lt;&gt;"",Q184&lt;&gt;"",T184&lt;Q184),"QA target is before PBI Dev target",IF(AND(W184&lt;&gt;"",T184&lt;&gt;"",W184&lt;T184),"DPO Approval target is before QA target",IF(AND(Z184&lt;&gt;"",W184&lt;&gt;"",Z184&lt;W184),"Confirmed Deployed date is before DPO Approval target","")))))</f>
        <v/>
      </c>
      <c r="AK184" s="9">
        <f>IF($B184="","",IF(COUNTIF($B$2:$B$500,$B184)&gt;1,"Duplicate name - check row",""))</f>
        <v/>
      </c>
      <c r="AL184" s="1" t="n"/>
      <c r="AM184" s="9">
        <f>IF($B184="","",SUMPRODUCT(MAX(('Rework Log'!$A$3:$A$500=$B184)*ROW('Rework Log'!$A$3:$A$500))))</f>
        <v/>
      </c>
    </row>
    <row r="185">
      <c r="A185" s="1" t="n"/>
      <c r="B185" s="1" t="n"/>
      <c r="C185" s="1" t="n"/>
      <c r="D185" s="9">
        <f>IF($B185="","",IF(LEFT($AC185,3)="Yes","Blocked",IF(C185="NOT STARTED",IF(K185="","No plan date set",IF(K185&lt;TODAY(),"Review - planned start passed","On track")),IF(C185="DB Dev",IF(N185="","No target set",IF(AND(N185&lt;TODAY(),P185=""),"Overdue","On track")),IF(C185="PBI Dev",IF(Q185="","No target set",IF(AND(Q185&lt;TODAY(),S185=""),"Overdue","On track")),IF(C185="QA",IF(T185="","No target set",IF(AND(T185&lt;TODAY(),V185=""),"Overdue","On track")),IF(C185="DPO Approval",IF(W185="","No target set",IF(W185&lt;TODAY(),"Overdue","On track")),IF(C185="RELEASED IN PROD","Delivered",""))))))))</f>
        <v/>
      </c>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c r="AA185" s="1" t="n"/>
      <c r="AB185" s="1" t="n"/>
      <c r="AC185" s="1" t="n"/>
      <c r="AD185" s="9">
        <f>IF($B185="","",COUNTIF('Rework Log'!$A$3:$A$500,$B185))</f>
        <v/>
      </c>
      <c r="AE185" s="9">
        <f>IF(OR($B185="",$AM185=0),"",INDEX('Rework Log'!$C:$C,$AM185))</f>
        <v/>
      </c>
      <c r="AF185" s="9">
        <f>IF(OR($B185="",$AM185=0),"",INDEX('Rework Log'!$H:$H,$AM185))</f>
        <v/>
      </c>
      <c r="AG185" s="9">
        <f>IF(OR($B185="",$AM185=0),"",INDEX('Rework Log'!$G:$G,$AM185))</f>
        <v/>
      </c>
      <c r="AH185" s="9">
        <f>IF($B185="","",IF(W185&lt;&gt;"","DPO Approval",IF(T185&lt;&gt;"","QA",IF(Q185&lt;&gt;"","PBI Dev",IF(N185&lt;&gt;"","DB Dev","NOT STARTED")))))</f>
        <v/>
      </c>
      <c r="AI185" s="9">
        <f>IF($B185="","",IF(IF($C185="NOT STARTED",0,IF($C185="DB Dev",1,IF($C185="PBI Dev",2,IF($C185="QA",3,IF($C185="DPO Approval",4,IF($C185="RELEASED IN PROD",5,-1))))))&lt;IF($AH185="NOT STARTED",0,IF($AH185="DB Dev",1,IF($AH185="PBI Dev",2,IF($AH185="QA",3,IF($AH185="DPO Approval",4,IF($AH185="RELEASED IN PROD",5,-1)))))),"Yes - was already at "&amp;$AH185&amp;", now back at "&amp;$C185,"No"))</f>
        <v/>
      </c>
      <c r="AJ185" s="9">
        <f>IF($B185="","",IF(AND(T185&lt;&gt;"",N185&lt;&gt;"",T185&lt;N185),"QA target is before DB Dev target",IF(AND(T185&lt;&gt;"",Q185&lt;&gt;"",T185&lt;Q185),"QA target is before PBI Dev target",IF(AND(W185&lt;&gt;"",T185&lt;&gt;"",W185&lt;T185),"DPO Approval target is before QA target",IF(AND(Z185&lt;&gt;"",W185&lt;&gt;"",Z185&lt;W185),"Confirmed Deployed date is before DPO Approval target","")))))</f>
        <v/>
      </c>
      <c r="AK185" s="9">
        <f>IF($B185="","",IF(COUNTIF($B$2:$B$500,$B185)&gt;1,"Duplicate name - check row",""))</f>
        <v/>
      </c>
      <c r="AL185" s="1" t="n"/>
      <c r="AM185" s="9">
        <f>IF($B185="","",SUMPRODUCT(MAX(('Rework Log'!$A$3:$A$500=$B185)*ROW('Rework Log'!$A$3:$A$500))))</f>
        <v/>
      </c>
    </row>
    <row r="186">
      <c r="A186" s="1" t="n"/>
      <c r="B186" s="1" t="n"/>
      <c r="C186" s="1" t="n"/>
      <c r="D186" s="9">
        <f>IF($B186="","",IF(LEFT($AC186,3)="Yes","Blocked",IF(C186="NOT STARTED",IF(K186="","No plan date set",IF(K186&lt;TODAY(),"Review - planned start passed","On track")),IF(C186="DB Dev",IF(N186="","No target set",IF(AND(N186&lt;TODAY(),P186=""),"Overdue","On track")),IF(C186="PBI Dev",IF(Q186="","No target set",IF(AND(Q186&lt;TODAY(),S186=""),"Overdue","On track")),IF(C186="QA",IF(T186="","No target set",IF(AND(T186&lt;TODAY(),V186=""),"Overdue","On track")),IF(C186="DPO Approval",IF(W186="","No target set",IF(W186&lt;TODAY(),"Overdue","On track")),IF(C186="RELEASED IN PROD","Delivered",""))))))))</f>
        <v/>
      </c>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c r="AA186" s="1" t="n"/>
      <c r="AB186" s="1" t="n"/>
      <c r="AC186" s="1" t="n"/>
      <c r="AD186" s="9">
        <f>IF($B186="","",COUNTIF('Rework Log'!$A$3:$A$500,$B186))</f>
        <v/>
      </c>
      <c r="AE186" s="9">
        <f>IF(OR($B186="",$AM186=0),"",INDEX('Rework Log'!$C:$C,$AM186))</f>
        <v/>
      </c>
      <c r="AF186" s="9">
        <f>IF(OR($B186="",$AM186=0),"",INDEX('Rework Log'!$H:$H,$AM186))</f>
        <v/>
      </c>
      <c r="AG186" s="9">
        <f>IF(OR($B186="",$AM186=0),"",INDEX('Rework Log'!$G:$G,$AM186))</f>
        <v/>
      </c>
      <c r="AH186" s="9">
        <f>IF($B186="","",IF(W186&lt;&gt;"","DPO Approval",IF(T186&lt;&gt;"","QA",IF(Q186&lt;&gt;"","PBI Dev",IF(N186&lt;&gt;"","DB Dev","NOT STARTED")))))</f>
        <v/>
      </c>
      <c r="AI186" s="9">
        <f>IF($B186="","",IF(IF($C186="NOT STARTED",0,IF($C186="DB Dev",1,IF($C186="PBI Dev",2,IF($C186="QA",3,IF($C186="DPO Approval",4,IF($C186="RELEASED IN PROD",5,-1))))))&lt;IF($AH186="NOT STARTED",0,IF($AH186="DB Dev",1,IF($AH186="PBI Dev",2,IF($AH186="QA",3,IF($AH186="DPO Approval",4,IF($AH186="RELEASED IN PROD",5,-1)))))),"Yes - was already at "&amp;$AH186&amp;", now back at "&amp;$C186,"No"))</f>
        <v/>
      </c>
      <c r="AJ186" s="9">
        <f>IF($B186="","",IF(AND(T186&lt;&gt;"",N186&lt;&gt;"",T186&lt;N186),"QA target is before DB Dev target",IF(AND(T186&lt;&gt;"",Q186&lt;&gt;"",T186&lt;Q186),"QA target is before PBI Dev target",IF(AND(W186&lt;&gt;"",T186&lt;&gt;"",W186&lt;T186),"DPO Approval target is before QA target",IF(AND(Z186&lt;&gt;"",W186&lt;&gt;"",Z186&lt;W186),"Confirmed Deployed date is before DPO Approval target","")))))</f>
        <v/>
      </c>
      <c r="AK186" s="9">
        <f>IF($B186="","",IF(COUNTIF($B$2:$B$500,$B186)&gt;1,"Duplicate name - check row",""))</f>
        <v/>
      </c>
      <c r="AL186" s="1" t="n"/>
      <c r="AM186" s="9">
        <f>IF($B186="","",SUMPRODUCT(MAX(('Rework Log'!$A$3:$A$500=$B186)*ROW('Rework Log'!$A$3:$A$500))))</f>
        <v/>
      </c>
    </row>
    <row r="187">
      <c r="A187" s="1" t="n"/>
      <c r="B187" s="1" t="n"/>
      <c r="C187" s="1" t="n"/>
      <c r="D187" s="9">
        <f>IF($B187="","",IF(LEFT($AC187,3)="Yes","Blocked",IF(C187="NOT STARTED",IF(K187="","No plan date set",IF(K187&lt;TODAY(),"Review - planned start passed","On track")),IF(C187="DB Dev",IF(N187="","No target set",IF(AND(N187&lt;TODAY(),P187=""),"Overdue","On track")),IF(C187="PBI Dev",IF(Q187="","No target set",IF(AND(Q187&lt;TODAY(),S187=""),"Overdue","On track")),IF(C187="QA",IF(T187="","No target set",IF(AND(T187&lt;TODAY(),V187=""),"Overdue","On track")),IF(C187="DPO Approval",IF(W187="","No target set",IF(W187&lt;TODAY(),"Overdue","On track")),IF(C187="RELEASED IN PROD","Delivered",""))))))))</f>
        <v/>
      </c>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c r="AA187" s="1" t="n"/>
      <c r="AB187" s="1" t="n"/>
      <c r="AC187" s="1" t="n"/>
      <c r="AD187" s="9">
        <f>IF($B187="","",COUNTIF('Rework Log'!$A$3:$A$500,$B187))</f>
        <v/>
      </c>
      <c r="AE187" s="9">
        <f>IF(OR($B187="",$AM187=0),"",INDEX('Rework Log'!$C:$C,$AM187))</f>
        <v/>
      </c>
      <c r="AF187" s="9">
        <f>IF(OR($B187="",$AM187=0),"",INDEX('Rework Log'!$H:$H,$AM187))</f>
        <v/>
      </c>
      <c r="AG187" s="9">
        <f>IF(OR($B187="",$AM187=0),"",INDEX('Rework Log'!$G:$G,$AM187))</f>
        <v/>
      </c>
      <c r="AH187" s="9">
        <f>IF($B187="","",IF(W187&lt;&gt;"","DPO Approval",IF(T187&lt;&gt;"","QA",IF(Q187&lt;&gt;"","PBI Dev",IF(N187&lt;&gt;"","DB Dev","NOT STARTED")))))</f>
        <v/>
      </c>
      <c r="AI187" s="9">
        <f>IF($B187="","",IF(IF($C187="NOT STARTED",0,IF($C187="DB Dev",1,IF($C187="PBI Dev",2,IF($C187="QA",3,IF($C187="DPO Approval",4,IF($C187="RELEASED IN PROD",5,-1))))))&lt;IF($AH187="NOT STARTED",0,IF($AH187="DB Dev",1,IF($AH187="PBI Dev",2,IF($AH187="QA",3,IF($AH187="DPO Approval",4,IF($AH187="RELEASED IN PROD",5,-1)))))),"Yes - was already at "&amp;$AH187&amp;", now back at "&amp;$C187,"No"))</f>
        <v/>
      </c>
      <c r="AJ187" s="9">
        <f>IF($B187="","",IF(AND(T187&lt;&gt;"",N187&lt;&gt;"",T187&lt;N187),"QA target is before DB Dev target",IF(AND(T187&lt;&gt;"",Q187&lt;&gt;"",T187&lt;Q187),"QA target is before PBI Dev target",IF(AND(W187&lt;&gt;"",T187&lt;&gt;"",W187&lt;T187),"DPO Approval target is before QA target",IF(AND(Z187&lt;&gt;"",W187&lt;&gt;"",Z187&lt;W187),"Confirmed Deployed date is before DPO Approval target","")))))</f>
        <v/>
      </c>
      <c r="AK187" s="9">
        <f>IF($B187="","",IF(COUNTIF($B$2:$B$500,$B187)&gt;1,"Duplicate name - check row",""))</f>
        <v/>
      </c>
      <c r="AL187" s="1" t="n"/>
      <c r="AM187" s="9">
        <f>IF($B187="","",SUMPRODUCT(MAX(('Rework Log'!$A$3:$A$500=$B187)*ROW('Rework Log'!$A$3:$A$500))))</f>
        <v/>
      </c>
    </row>
    <row r="188">
      <c r="A188" s="1" t="n"/>
      <c r="B188" s="1" t="n"/>
      <c r="C188" s="1" t="n"/>
      <c r="D188" s="9">
        <f>IF($B188="","",IF(LEFT($AC188,3)="Yes","Blocked",IF(C188="NOT STARTED",IF(K188="","No plan date set",IF(K188&lt;TODAY(),"Review - planned start passed","On track")),IF(C188="DB Dev",IF(N188="","No target set",IF(AND(N188&lt;TODAY(),P188=""),"Overdue","On track")),IF(C188="PBI Dev",IF(Q188="","No target set",IF(AND(Q188&lt;TODAY(),S188=""),"Overdue","On track")),IF(C188="QA",IF(T188="","No target set",IF(AND(T188&lt;TODAY(),V188=""),"Overdue","On track")),IF(C188="DPO Approval",IF(W188="","No target set",IF(W188&lt;TODAY(),"Overdue","On track")),IF(C188="RELEASED IN PROD","Delivered",""))))))))</f>
        <v/>
      </c>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c r="AA188" s="1" t="n"/>
      <c r="AB188" s="1" t="n"/>
      <c r="AC188" s="1" t="n"/>
      <c r="AD188" s="9">
        <f>IF($B188="","",COUNTIF('Rework Log'!$A$3:$A$500,$B188))</f>
        <v/>
      </c>
      <c r="AE188" s="9">
        <f>IF(OR($B188="",$AM188=0),"",INDEX('Rework Log'!$C:$C,$AM188))</f>
        <v/>
      </c>
      <c r="AF188" s="9">
        <f>IF(OR($B188="",$AM188=0),"",INDEX('Rework Log'!$H:$H,$AM188))</f>
        <v/>
      </c>
      <c r="AG188" s="9">
        <f>IF(OR($B188="",$AM188=0),"",INDEX('Rework Log'!$G:$G,$AM188))</f>
        <v/>
      </c>
      <c r="AH188" s="9">
        <f>IF($B188="","",IF(W188&lt;&gt;"","DPO Approval",IF(T188&lt;&gt;"","QA",IF(Q188&lt;&gt;"","PBI Dev",IF(N188&lt;&gt;"","DB Dev","NOT STARTED")))))</f>
        <v/>
      </c>
      <c r="AI188" s="9">
        <f>IF($B188="","",IF(IF($C188="NOT STARTED",0,IF($C188="DB Dev",1,IF($C188="PBI Dev",2,IF($C188="QA",3,IF($C188="DPO Approval",4,IF($C188="RELEASED IN PROD",5,-1))))))&lt;IF($AH188="NOT STARTED",0,IF($AH188="DB Dev",1,IF($AH188="PBI Dev",2,IF($AH188="QA",3,IF($AH188="DPO Approval",4,IF($AH188="RELEASED IN PROD",5,-1)))))),"Yes - was already at "&amp;$AH188&amp;", now back at "&amp;$C188,"No"))</f>
        <v/>
      </c>
      <c r="AJ188" s="9">
        <f>IF($B188="","",IF(AND(T188&lt;&gt;"",N188&lt;&gt;"",T188&lt;N188),"QA target is before DB Dev target",IF(AND(T188&lt;&gt;"",Q188&lt;&gt;"",T188&lt;Q188),"QA target is before PBI Dev target",IF(AND(W188&lt;&gt;"",T188&lt;&gt;"",W188&lt;T188),"DPO Approval target is before QA target",IF(AND(Z188&lt;&gt;"",W188&lt;&gt;"",Z188&lt;W188),"Confirmed Deployed date is before DPO Approval target","")))))</f>
        <v/>
      </c>
      <c r="AK188" s="9">
        <f>IF($B188="","",IF(COUNTIF($B$2:$B$500,$B188)&gt;1,"Duplicate name - check row",""))</f>
        <v/>
      </c>
      <c r="AL188" s="1" t="n"/>
      <c r="AM188" s="9">
        <f>IF($B188="","",SUMPRODUCT(MAX(('Rework Log'!$A$3:$A$500=$B188)*ROW('Rework Log'!$A$3:$A$500))))</f>
        <v/>
      </c>
    </row>
    <row r="189">
      <c r="A189" s="1" t="n"/>
      <c r="B189" s="1" t="n"/>
      <c r="C189" s="1" t="n"/>
      <c r="D189" s="9">
        <f>IF($B189="","",IF(LEFT($AC189,3)="Yes","Blocked",IF(C189="NOT STARTED",IF(K189="","No plan date set",IF(K189&lt;TODAY(),"Review - planned start passed","On track")),IF(C189="DB Dev",IF(N189="","No target set",IF(AND(N189&lt;TODAY(),P189=""),"Overdue","On track")),IF(C189="PBI Dev",IF(Q189="","No target set",IF(AND(Q189&lt;TODAY(),S189=""),"Overdue","On track")),IF(C189="QA",IF(T189="","No target set",IF(AND(T189&lt;TODAY(),V189=""),"Overdue","On track")),IF(C189="DPO Approval",IF(W189="","No target set",IF(W189&lt;TODAY(),"Overdue","On track")),IF(C189="RELEASED IN PROD","Delivered",""))))))))</f>
        <v/>
      </c>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c r="AA189" s="1" t="n"/>
      <c r="AB189" s="1" t="n"/>
      <c r="AC189" s="1" t="n"/>
      <c r="AD189" s="9">
        <f>IF($B189="","",COUNTIF('Rework Log'!$A$3:$A$500,$B189))</f>
        <v/>
      </c>
      <c r="AE189" s="9">
        <f>IF(OR($B189="",$AM189=0),"",INDEX('Rework Log'!$C:$C,$AM189))</f>
        <v/>
      </c>
      <c r="AF189" s="9">
        <f>IF(OR($B189="",$AM189=0),"",INDEX('Rework Log'!$H:$H,$AM189))</f>
        <v/>
      </c>
      <c r="AG189" s="9">
        <f>IF(OR($B189="",$AM189=0),"",INDEX('Rework Log'!$G:$G,$AM189))</f>
        <v/>
      </c>
      <c r="AH189" s="9">
        <f>IF($B189="","",IF(W189&lt;&gt;"","DPO Approval",IF(T189&lt;&gt;"","QA",IF(Q189&lt;&gt;"","PBI Dev",IF(N189&lt;&gt;"","DB Dev","NOT STARTED")))))</f>
        <v/>
      </c>
      <c r="AI189" s="9">
        <f>IF($B189="","",IF(IF($C189="NOT STARTED",0,IF($C189="DB Dev",1,IF($C189="PBI Dev",2,IF($C189="QA",3,IF($C189="DPO Approval",4,IF($C189="RELEASED IN PROD",5,-1))))))&lt;IF($AH189="NOT STARTED",0,IF($AH189="DB Dev",1,IF($AH189="PBI Dev",2,IF($AH189="QA",3,IF($AH189="DPO Approval",4,IF($AH189="RELEASED IN PROD",5,-1)))))),"Yes - was already at "&amp;$AH189&amp;", now back at "&amp;$C189,"No"))</f>
        <v/>
      </c>
      <c r="AJ189" s="9">
        <f>IF($B189="","",IF(AND(T189&lt;&gt;"",N189&lt;&gt;"",T189&lt;N189),"QA target is before DB Dev target",IF(AND(T189&lt;&gt;"",Q189&lt;&gt;"",T189&lt;Q189),"QA target is before PBI Dev target",IF(AND(W189&lt;&gt;"",T189&lt;&gt;"",W189&lt;T189),"DPO Approval target is before QA target",IF(AND(Z189&lt;&gt;"",W189&lt;&gt;"",Z189&lt;W189),"Confirmed Deployed date is before DPO Approval target","")))))</f>
        <v/>
      </c>
      <c r="AK189" s="9">
        <f>IF($B189="","",IF(COUNTIF($B$2:$B$500,$B189)&gt;1,"Duplicate name - check row",""))</f>
        <v/>
      </c>
      <c r="AL189" s="1" t="n"/>
      <c r="AM189" s="9">
        <f>IF($B189="","",SUMPRODUCT(MAX(('Rework Log'!$A$3:$A$500=$B189)*ROW('Rework Log'!$A$3:$A$500))))</f>
        <v/>
      </c>
    </row>
    <row r="190">
      <c r="A190" s="1" t="n"/>
      <c r="B190" s="1" t="n"/>
      <c r="C190" s="1" t="n"/>
      <c r="D190" s="9">
        <f>IF($B190="","",IF(LEFT($AC190,3)="Yes","Blocked",IF(C190="NOT STARTED",IF(K190="","No plan date set",IF(K190&lt;TODAY(),"Review - planned start passed","On track")),IF(C190="DB Dev",IF(N190="","No target set",IF(AND(N190&lt;TODAY(),P190=""),"Overdue","On track")),IF(C190="PBI Dev",IF(Q190="","No target set",IF(AND(Q190&lt;TODAY(),S190=""),"Overdue","On track")),IF(C190="QA",IF(T190="","No target set",IF(AND(T190&lt;TODAY(),V190=""),"Overdue","On track")),IF(C190="DPO Approval",IF(W190="","No target set",IF(W190&lt;TODAY(),"Overdue","On track")),IF(C190="RELEASED IN PROD","Delivered",""))))))))</f>
        <v/>
      </c>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c r="AA190" s="1" t="n"/>
      <c r="AB190" s="1" t="n"/>
      <c r="AC190" s="1" t="n"/>
      <c r="AD190" s="9">
        <f>IF($B190="","",COUNTIF('Rework Log'!$A$3:$A$500,$B190))</f>
        <v/>
      </c>
      <c r="AE190" s="9">
        <f>IF(OR($B190="",$AM190=0),"",INDEX('Rework Log'!$C:$C,$AM190))</f>
        <v/>
      </c>
      <c r="AF190" s="9">
        <f>IF(OR($B190="",$AM190=0),"",INDEX('Rework Log'!$H:$H,$AM190))</f>
        <v/>
      </c>
      <c r="AG190" s="9">
        <f>IF(OR($B190="",$AM190=0),"",INDEX('Rework Log'!$G:$G,$AM190))</f>
        <v/>
      </c>
      <c r="AH190" s="9">
        <f>IF($B190="","",IF(W190&lt;&gt;"","DPO Approval",IF(T190&lt;&gt;"","QA",IF(Q190&lt;&gt;"","PBI Dev",IF(N190&lt;&gt;"","DB Dev","NOT STARTED")))))</f>
        <v/>
      </c>
      <c r="AI190" s="9">
        <f>IF($B190="","",IF(IF($C190="NOT STARTED",0,IF($C190="DB Dev",1,IF($C190="PBI Dev",2,IF($C190="QA",3,IF($C190="DPO Approval",4,IF($C190="RELEASED IN PROD",5,-1))))))&lt;IF($AH190="NOT STARTED",0,IF($AH190="DB Dev",1,IF($AH190="PBI Dev",2,IF($AH190="QA",3,IF($AH190="DPO Approval",4,IF($AH190="RELEASED IN PROD",5,-1)))))),"Yes - was already at "&amp;$AH190&amp;", now back at "&amp;$C190,"No"))</f>
        <v/>
      </c>
      <c r="AJ190" s="9">
        <f>IF($B190="","",IF(AND(T190&lt;&gt;"",N190&lt;&gt;"",T190&lt;N190),"QA target is before DB Dev target",IF(AND(T190&lt;&gt;"",Q190&lt;&gt;"",T190&lt;Q190),"QA target is before PBI Dev target",IF(AND(W190&lt;&gt;"",T190&lt;&gt;"",W190&lt;T190),"DPO Approval target is before QA target",IF(AND(Z190&lt;&gt;"",W190&lt;&gt;"",Z190&lt;W190),"Confirmed Deployed date is before DPO Approval target","")))))</f>
        <v/>
      </c>
      <c r="AK190" s="9">
        <f>IF($B190="","",IF(COUNTIF($B$2:$B$500,$B190)&gt;1,"Duplicate name - check row",""))</f>
        <v/>
      </c>
      <c r="AL190" s="1" t="n"/>
      <c r="AM190" s="9">
        <f>IF($B190="","",SUMPRODUCT(MAX(('Rework Log'!$A$3:$A$500=$B190)*ROW('Rework Log'!$A$3:$A$500))))</f>
        <v/>
      </c>
    </row>
    <row r="191">
      <c r="A191" s="1" t="n"/>
      <c r="B191" s="1" t="n"/>
      <c r="C191" s="1" t="n"/>
      <c r="D191" s="9">
        <f>IF($B191="","",IF(LEFT($AC191,3)="Yes","Blocked",IF(C191="NOT STARTED",IF(K191="","No plan date set",IF(K191&lt;TODAY(),"Review - planned start passed","On track")),IF(C191="DB Dev",IF(N191="","No target set",IF(AND(N191&lt;TODAY(),P191=""),"Overdue","On track")),IF(C191="PBI Dev",IF(Q191="","No target set",IF(AND(Q191&lt;TODAY(),S191=""),"Overdue","On track")),IF(C191="QA",IF(T191="","No target set",IF(AND(T191&lt;TODAY(),V191=""),"Overdue","On track")),IF(C191="DPO Approval",IF(W191="","No target set",IF(W191&lt;TODAY(),"Overdue","On track")),IF(C191="RELEASED IN PROD","Delivered",""))))))))</f>
        <v/>
      </c>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c r="AA191" s="1" t="n"/>
      <c r="AB191" s="1" t="n"/>
      <c r="AC191" s="1" t="n"/>
      <c r="AD191" s="9">
        <f>IF($B191="","",COUNTIF('Rework Log'!$A$3:$A$500,$B191))</f>
        <v/>
      </c>
      <c r="AE191" s="9">
        <f>IF(OR($B191="",$AM191=0),"",INDEX('Rework Log'!$C:$C,$AM191))</f>
        <v/>
      </c>
      <c r="AF191" s="9">
        <f>IF(OR($B191="",$AM191=0),"",INDEX('Rework Log'!$H:$H,$AM191))</f>
        <v/>
      </c>
      <c r="AG191" s="9">
        <f>IF(OR($B191="",$AM191=0),"",INDEX('Rework Log'!$G:$G,$AM191))</f>
        <v/>
      </c>
      <c r="AH191" s="9">
        <f>IF($B191="","",IF(W191&lt;&gt;"","DPO Approval",IF(T191&lt;&gt;"","QA",IF(Q191&lt;&gt;"","PBI Dev",IF(N191&lt;&gt;"","DB Dev","NOT STARTED")))))</f>
        <v/>
      </c>
      <c r="AI191" s="9">
        <f>IF($B191="","",IF(IF($C191="NOT STARTED",0,IF($C191="DB Dev",1,IF($C191="PBI Dev",2,IF($C191="QA",3,IF($C191="DPO Approval",4,IF($C191="RELEASED IN PROD",5,-1))))))&lt;IF($AH191="NOT STARTED",0,IF($AH191="DB Dev",1,IF($AH191="PBI Dev",2,IF($AH191="QA",3,IF($AH191="DPO Approval",4,IF($AH191="RELEASED IN PROD",5,-1)))))),"Yes - was already at "&amp;$AH191&amp;", now back at "&amp;$C191,"No"))</f>
        <v/>
      </c>
      <c r="AJ191" s="9">
        <f>IF($B191="","",IF(AND(T191&lt;&gt;"",N191&lt;&gt;"",T191&lt;N191),"QA target is before DB Dev target",IF(AND(T191&lt;&gt;"",Q191&lt;&gt;"",T191&lt;Q191),"QA target is before PBI Dev target",IF(AND(W191&lt;&gt;"",T191&lt;&gt;"",W191&lt;T191),"DPO Approval target is before QA target",IF(AND(Z191&lt;&gt;"",W191&lt;&gt;"",Z191&lt;W191),"Confirmed Deployed date is before DPO Approval target","")))))</f>
        <v/>
      </c>
      <c r="AK191" s="9">
        <f>IF($B191="","",IF(COUNTIF($B$2:$B$500,$B191)&gt;1,"Duplicate name - check row",""))</f>
        <v/>
      </c>
      <c r="AL191" s="1" t="n"/>
      <c r="AM191" s="9">
        <f>IF($B191="","",SUMPRODUCT(MAX(('Rework Log'!$A$3:$A$500=$B191)*ROW('Rework Log'!$A$3:$A$500))))</f>
        <v/>
      </c>
    </row>
    <row r="192">
      <c r="A192" s="1" t="n"/>
      <c r="B192" s="1" t="n"/>
      <c r="C192" s="1" t="n"/>
      <c r="D192" s="9">
        <f>IF($B192="","",IF(LEFT($AC192,3)="Yes","Blocked",IF(C192="NOT STARTED",IF(K192="","No plan date set",IF(K192&lt;TODAY(),"Review - planned start passed","On track")),IF(C192="DB Dev",IF(N192="","No target set",IF(AND(N192&lt;TODAY(),P192=""),"Overdue","On track")),IF(C192="PBI Dev",IF(Q192="","No target set",IF(AND(Q192&lt;TODAY(),S192=""),"Overdue","On track")),IF(C192="QA",IF(T192="","No target set",IF(AND(T192&lt;TODAY(),V192=""),"Overdue","On track")),IF(C192="DPO Approval",IF(W192="","No target set",IF(W192&lt;TODAY(),"Overdue","On track")),IF(C192="RELEASED IN PROD","Delivered",""))))))))</f>
        <v/>
      </c>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c r="AA192" s="1" t="n"/>
      <c r="AB192" s="1" t="n"/>
      <c r="AC192" s="1" t="n"/>
      <c r="AD192" s="9">
        <f>IF($B192="","",COUNTIF('Rework Log'!$A$3:$A$500,$B192))</f>
        <v/>
      </c>
      <c r="AE192" s="9">
        <f>IF(OR($B192="",$AM192=0),"",INDEX('Rework Log'!$C:$C,$AM192))</f>
        <v/>
      </c>
      <c r="AF192" s="9">
        <f>IF(OR($B192="",$AM192=0),"",INDEX('Rework Log'!$H:$H,$AM192))</f>
        <v/>
      </c>
      <c r="AG192" s="9">
        <f>IF(OR($B192="",$AM192=0),"",INDEX('Rework Log'!$G:$G,$AM192))</f>
        <v/>
      </c>
      <c r="AH192" s="9">
        <f>IF($B192="","",IF(W192&lt;&gt;"","DPO Approval",IF(T192&lt;&gt;"","QA",IF(Q192&lt;&gt;"","PBI Dev",IF(N192&lt;&gt;"","DB Dev","NOT STARTED")))))</f>
        <v/>
      </c>
      <c r="AI192" s="9">
        <f>IF($B192="","",IF(IF($C192="NOT STARTED",0,IF($C192="DB Dev",1,IF($C192="PBI Dev",2,IF($C192="QA",3,IF($C192="DPO Approval",4,IF($C192="RELEASED IN PROD",5,-1))))))&lt;IF($AH192="NOT STARTED",0,IF($AH192="DB Dev",1,IF($AH192="PBI Dev",2,IF($AH192="QA",3,IF($AH192="DPO Approval",4,IF($AH192="RELEASED IN PROD",5,-1)))))),"Yes - was already at "&amp;$AH192&amp;", now back at "&amp;$C192,"No"))</f>
        <v/>
      </c>
      <c r="AJ192" s="9">
        <f>IF($B192="","",IF(AND(T192&lt;&gt;"",N192&lt;&gt;"",T192&lt;N192),"QA target is before DB Dev target",IF(AND(T192&lt;&gt;"",Q192&lt;&gt;"",T192&lt;Q192),"QA target is before PBI Dev target",IF(AND(W192&lt;&gt;"",T192&lt;&gt;"",W192&lt;T192),"DPO Approval target is before QA target",IF(AND(Z192&lt;&gt;"",W192&lt;&gt;"",Z192&lt;W192),"Confirmed Deployed date is before DPO Approval target","")))))</f>
        <v/>
      </c>
      <c r="AK192" s="9">
        <f>IF($B192="","",IF(COUNTIF($B$2:$B$500,$B192)&gt;1,"Duplicate name - check row",""))</f>
        <v/>
      </c>
      <c r="AL192" s="1" t="n"/>
      <c r="AM192" s="9">
        <f>IF($B192="","",SUMPRODUCT(MAX(('Rework Log'!$A$3:$A$500=$B192)*ROW('Rework Log'!$A$3:$A$500))))</f>
        <v/>
      </c>
    </row>
    <row r="193">
      <c r="A193" s="1" t="n"/>
      <c r="B193" s="1" t="n"/>
      <c r="C193" s="1" t="n"/>
      <c r="D193" s="9">
        <f>IF($B193="","",IF(LEFT($AC193,3)="Yes","Blocked",IF(C193="NOT STARTED",IF(K193="","No plan date set",IF(K193&lt;TODAY(),"Review - planned start passed","On track")),IF(C193="DB Dev",IF(N193="","No target set",IF(AND(N193&lt;TODAY(),P193=""),"Overdue","On track")),IF(C193="PBI Dev",IF(Q193="","No target set",IF(AND(Q193&lt;TODAY(),S193=""),"Overdue","On track")),IF(C193="QA",IF(T193="","No target set",IF(AND(T193&lt;TODAY(),V193=""),"Overdue","On track")),IF(C193="DPO Approval",IF(W193="","No target set",IF(W193&lt;TODAY(),"Overdue","On track")),IF(C193="RELEASED IN PROD","Delivered",""))))))))</f>
        <v/>
      </c>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c r="AA193" s="1" t="n"/>
      <c r="AB193" s="1" t="n"/>
      <c r="AC193" s="1" t="n"/>
      <c r="AD193" s="9">
        <f>IF($B193="","",COUNTIF('Rework Log'!$A$3:$A$500,$B193))</f>
        <v/>
      </c>
      <c r="AE193" s="9">
        <f>IF(OR($B193="",$AM193=0),"",INDEX('Rework Log'!$C:$C,$AM193))</f>
        <v/>
      </c>
      <c r="AF193" s="9">
        <f>IF(OR($B193="",$AM193=0),"",INDEX('Rework Log'!$H:$H,$AM193))</f>
        <v/>
      </c>
      <c r="AG193" s="9">
        <f>IF(OR($B193="",$AM193=0),"",INDEX('Rework Log'!$G:$G,$AM193))</f>
        <v/>
      </c>
      <c r="AH193" s="9">
        <f>IF($B193="","",IF(W193&lt;&gt;"","DPO Approval",IF(T193&lt;&gt;"","QA",IF(Q193&lt;&gt;"","PBI Dev",IF(N193&lt;&gt;"","DB Dev","NOT STARTED")))))</f>
        <v/>
      </c>
      <c r="AI193" s="9">
        <f>IF($B193="","",IF(IF($C193="NOT STARTED",0,IF($C193="DB Dev",1,IF($C193="PBI Dev",2,IF($C193="QA",3,IF($C193="DPO Approval",4,IF($C193="RELEASED IN PROD",5,-1))))))&lt;IF($AH193="NOT STARTED",0,IF($AH193="DB Dev",1,IF($AH193="PBI Dev",2,IF($AH193="QA",3,IF($AH193="DPO Approval",4,IF($AH193="RELEASED IN PROD",5,-1)))))),"Yes - was already at "&amp;$AH193&amp;", now back at "&amp;$C193,"No"))</f>
        <v/>
      </c>
      <c r="AJ193" s="9">
        <f>IF($B193="","",IF(AND(T193&lt;&gt;"",N193&lt;&gt;"",T193&lt;N193),"QA target is before DB Dev target",IF(AND(T193&lt;&gt;"",Q193&lt;&gt;"",T193&lt;Q193),"QA target is before PBI Dev target",IF(AND(W193&lt;&gt;"",T193&lt;&gt;"",W193&lt;T193),"DPO Approval target is before QA target",IF(AND(Z193&lt;&gt;"",W193&lt;&gt;"",Z193&lt;W193),"Confirmed Deployed date is before DPO Approval target","")))))</f>
        <v/>
      </c>
      <c r="AK193" s="9">
        <f>IF($B193="","",IF(COUNTIF($B$2:$B$500,$B193)&gt;1,"Duplicate name - check row",""))</f>
        <v/>
      </c>
      <c r="AL193" s="1" t="n"/>
      <c r="AM193" s="9">
        <f>IF($B193="","",SUMPRODUCT(MAX(('Rework Log'!$A$3:$A$500=$B193)*ROW('Rework Log'!$A$3:$A$500))))</f>
        <v/>
      </c>
    </row>
    <row r="194">
      <c r="A194" s="1" t="n"/>
      <c r="B194" s="1" t="n"/>
      <c r="C194" s="1" t="n"/>
      <c r="D194" s="9">
        <f>IF($B194="","",IF(LEFT($AC194,3)="Yes","Blocked",IF(C194="NOT STARTED",IF(K194="","No plan date set",IF(K194&lt;TODAY(),"Review - planned start passed","On track")),IF(C194="DB Dev",IF(N194="","No target set",IF(AND(N194&lt;TODAY(),P194=""),"Overdue","On track")),IF(C194="PBI Dev",IF(Q194="","No target set",IF(AND(Q194&lt;TODAY(),S194=""),"Overdue","On track")),IF(C194="QA",IF(T194="","No target set",IF(AND(T194&lt;TODAY(),V194=""),"Overdue","On track")),IF(C194="DPO Approval",IF(W194="","No target set",IF(W194&lt;TODAY(),"Overdue","On track")),IF(C194="RELEASED IN PROD","Delivered",""))))))))</f>
        <v/>
      </c>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c r="AA194" s="1" t="n"/>
      <c r="AB194" s="1" t="n"/>
      <c r="AC194" s="1" t="n"/>
      <c r="AD194" s="9">
        <f>IF($B194="","",COUNTIF('Rework Log'!$A$3:$A$500,$B194))</f>
        <v/>
      </c>
      <c r="AE194" s="9">
        <f>IF(OR($B194="",$AM194=0),"",INDEX('Rework Log'!$C:$C,$AM194))</f>
        <v/>
      </c>
      <c r="AF194" s="9">
        <f>IF(OR($B194="",$AM194=0),"",INDEX('Rework Log'!$H:$H,$AM194))</f>
        <v/>
      </c>
      <c r="AG194" s="9">
        <f>IF(OR($B194="",$AM194=0),"",INDEX('Rework Log'!$G:$G,$AM194))</f>
        <v/>
      </c>
      <c r="AH194" s="9">
        <f>IF($B194="","",IF(W194&lt;&gt;"","DPO Approval",IF(T194&lt;&gt;"","QA",IF(Q194&lt;&gt;"","PBI Dev",IF(N194&lt;&gt;"","DB Dev","NOT STARTED")))))</f>
        <v/>
      </c>
      <c r="AI194" s="9">
        <f>IF($B194="","",IF(IF($C194="NOT STARTED",0,IF($C194="DB Dev",1,IF($C194="PBI Dev",2,IF($C194="QA",3,IF($C194="DPO Approval",4,IF($C194="RELEASED IN PROD",5,-1))))))&lt;IF($AH194="NOT STARTED",0,IF($AH194="DB Dev",1,IF($AH194="PBI Dev",2,IF($AH194="QA",3,IF($AH194="DPO Approval",4,IF($AH194="RELEASED IN PROD",5,-1)))))),"Yes - was already at "&amp;$AH194&amp;", now back at "&amp;$C194,"No"))</f>
        <v/>
      </c>
      <c r="AJ194" s="9">
        <f>IF($B194="","",IF(AND(T194&lt;&gt;"",N194&lt;&gt;"",T194&lt;N194),"QA target is before DB Dev target",IF(AND(T194&lt;&gt;"",Q194&lt;&gt;"",T194&lt;Q194),"QA target is before PBI Dev target",IF(AND(W194&lt;&gt;"",T194&lt;&gt;"",W194&lt;T194),"DPO Approval target is before QA target",IF(AND(Z194&lt;&gt;"",W194&lt;&gt;"",Z194&lt;W194),"Confirmed Deployed date is before DPO Approval target","")))))</f>
        <v/>
      </c>
      <c r="AK194" s="9">
        <f>IF($B194="","",IF(COUNTIF($B$2:$B$500,$B194)&gt;1,"Duplicate name - check row",""))</f>
        <v/>
      </c>
      <c r="AL194" s="1" t="n"/>
      <c r="AM194" s="9">
        <f>IF($B194="","",SUMPRODUCT(MAX(('Rework Log'!$A$3:$A$500=$B194)*ROW('Rework Log'!$A$3:$A$500))))</f>
        <v/>
      </c>
    </row>
    <row r="195">
      <c r="A195" s="1" t="n"/>
      <c r="B195" s="1" t="n"/>
      <c r="C195" s="1" t="n"/>
      <c r="D195" s="9">
        <f>IF($B195="","",IF(LEFT($AC195,3)="Yes","Blocked",IF(C195="NOT STARTED",IF(K195="","No plan date set",IF(K195&lt;TODAY(),"Review - planned start passed","On track")),IF(C195="DB Dev",IF(N195="","No target set",IF(AND(N195&lt;TODAY(),P195=""),"Overdue","On track")),IF(C195="PBI Dev",IF(Q195="","No target set",IF(AND(Q195&lt;TODAY(),S195=""),"Overdue","On track")),IF(C195="QA",IF(T195="","No target set",IF(AND(T195&lt;TODAY(),V195=""),"Overdue","On track")),IF(C195="DPO Approval",IF(W195="","No target set",IF(W195&lt;TODAY(),"Overdue","On track")),IF(C195="RELEASED IN PROD","Delivered",""))))))))</f>
        <v/>
      </c>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c r="AA195" s="1" t="n"/>
      <c r="AB195" s="1" t="n"/>
      <c r="AC195" s="1" t="n"/>
      <c r="AD195" s="9">
        <f>IF($B195="","",COUNTIF('Rework Log'!$A$3:$A$500,$B195))</f>
        <v/>
      </c>
      <c r="AE195" s="9">
        <f>IF(OR($B195="",$AM195=0),"",INDEX('Rework Log'!$C:$C,$AM195))</f>
        <v/>
      </c>
      <c r="AF195" s="9">
        <f>IF(OR($B195="",$AM195=0),"",INDEX('Rework Log'!$H:$H,$AM195))</f>
        <v/>
      </c>
      <c r="AG195" s="9">
        <f>IF(OR($B195="",$AM195=0),"",INDEX('Rework Log'!$G:$G,$AM195))</f>
        <v/>
      </c>
      <c r="AH195" s="9">
        <f>IF($B195="","",IF(W195&lt;&gt;"","DPO Approval",IF(T195&lt;&gt;"","QA",IF(Q195&lt;&gt;"","PBI Dev",IF(N195&lt;&gt;"","DB Dev","NOT STARTED")))))</f>
        <v/>
      </c>
      <c r="AI195" s="9">
        <f>IF($B195="","",IF(IF($C195="NOT STARTED",0,IF($C195="DB Dev",1,IF($C195="PBI Dev",2,IF($C195="QA",3,IF($C195="DPO Approval",4,IF($C195="RELEASED IN PROD",5,-1))))))&lt;IF($AH195="NOT STARTED",0,IF($AH195="DB Dev",1,IF($AH195="PBI Dev",2,IF($AH195="QA",3,IF($AH195="DPO Approval",4,IF($AH195="RELEASED IN PROD",5,-1)))))),"Yes - was already at "&amp;$AH195&amp;", now back at "&amp;$C195,"No"))</f>
        <v/>
      </c>
      <c r="AJ195" s="9">
        <f>IF($B195="","",IF(AND(T195&lt;&gt;"",N195&lt;&gt;"",T195&lt;N195),"QA target is before DB Dev target",IF(AND(T195&lt;&gt;"",Q195&lt;&gt;"",T195&lt;Q195),"QA target is before PBI Dev target",IF(AND(W195&lt;&gt;"",T195&lt;&gt;"",W195&lt;T195),"DPO Approval target is before QA target",IF(AND(Z195&lt;&gt;"",W195&lt;&gt;"",Z195&lt;W195),"Confirmed Deployed date is before DPO Approval target","")))))</f>
        <v/>
      </c>
      <c r="AK195" s="9">
        <f>IF($B195="","",IF(COUNTIF($B$2:$B$500,$B195)&gt;1,"Duplicate name - check row",""))</f>
        <v/>
      </c>
      <c r="AL195" s="1" t="n"/>
      <c r="AM195" s="9">
        <f>IF($B195="","",SUMPRODUCT(MAX(('Rework Log'!$A$3:$A$500=$B195)*ROW('Rework Log'!$A$3:$A$500))))</f>
        <v/>
      </c>
    </row>
    <row r="196">
      <c r="A196" s="1" t="n"/>
      <c r="B196" s="1" t="n"/>
      <c r="C196" s="1" t="n"/>
      <c r="D196" s="9">
        <f>IF($B196="","",IF(LEFT($AC196,3)="Yes","Blocked",IF(C196="NOT STARTED",IF(K196="","No plan date set",IF(K196&lt;TODAY(),"Review - planned start passed","On track")),IF(C196="DB Dev",IF(N196="","No target set",IF(AND(N196&lt;TODAY(),P196=""),"Overdue","On track")),IF(C196="PBI Dev",IF(Q196="","No target set",IF(AND(Q196&lt;TODAY(),S196=""),"Overdue","On track")),IF(C196="QA",IF(T196="","No target set",IF(AND(T196&lt;TODAY(),V196=""),"Overdue","On track")),IF(C196="DPO Approval",IF(W196="","No target set",IF(W196&lt;TODAY(),"Overdue","On track")),IF(C196="RELEASED IN PROD","Delivered",""))))))))</f>
        <v/>
      </c>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c r="AA196" s="1" t="n"/>
      <c r="AB196" s="1" t="n"/>
      <c r="AC196" s="1" t="n"/>
      <c r="AD196" s="9">
        <f>IF($B196="","",COUNTIF('Rework Log'!$A$3:$A$500,$B196))</f>
        <v/>
      </c>
      <c r="AE196" s="9">
        <f>IF(OR($B196="",$AM196=0),"",INDEX('Rework Log'!$C:$C,$AM196))</f>
        <v/>
      </c>
      <c r="AF196" s="9">
        <f>IF(OR($B196="",$AM196=0),"",INDEX('Rework Log'!$H:$H,$AM196))</f>
        <v/>
      </c>
      <c r="AG196" s="9">
        <f>IF(OR($B196="",$AM196=0),"",INDEX('Rework Log'!$G:$G,$AM196))</f>
        <v/>
      </c>
      <c r="AH196" s="9">
        <f>IF($B196="","",IF(W196&lt;&gt;"","DPO Approval",IF(T196&lt;&gt;"","QA",IF(Q196&lt;&gt;"","PBI Dev",IF(N196&lt;&gt;"","DB Dev","NOT STARTED")))))</f>
        <v/>
      </c>
      <c r="AI196" s="9">
        <f>IF($B196="","",IF(IF($C196="NOT STARTED",0,IF($C196="DB Dev",1,IF($C196="PBI Dev",2,IF($C196="QA",3,IF($C196="DPO Approval",4,IF($C196="RELEASED IN PROD",5,-1))))))&lt;IF($AH196="NOT STARTED",0,IF($AH196="DB Dev",1,IF($AH196="PBI Dev",2,IF($AH196="QA",3,IF($AH196="DPO Approval",4,IF($AH196="RELEASED IN PROD",5,-1)))))),"Yes - was already at "&amp;$AH196&amp;", now back at "&amp;$C196,"No"))</f>
        <v/>
      </c>
      <c r="AJ196" s="9">
        <f>IF($B196="","",IF(AND(T196&lt;&gt;"",N196&lt;&gt;"",T196&lt;N196),"QA target is before DB Dev target",IF(AND(T196&lt;&gt;"",Q196&lt;&gt;"",T196&lt;Q196),"QA target is before PBI Dev target",IF(AND(W196&lt;&gt;"",T196&lt;&gt;"",W196&lt;T196),"DPO Approval target is before QA target",IF(AND(Z196&lt;&gt;"",W196&lt;&gt;"",Z196&lt;W196),"Confirmed Deployed date is before DPO Approval target","")))))</f>
        <v/>
      </c>
      <c r="AK196" s="9">
        <f>IF($B196="","",IF(COUNTIF($B$2:$B$500,$B196)&gt;1,"Duplicate name - check row",""))</f>
        <v/>
      </c>
      <c r="AL196" s="1" t="n"/>
      <c r="AM196" s="9">
        <f>IF($B196="","",SUMPRODUCT(MAX(('Rework Log'!$A$3:$A$500=$B196)*ROW('Rework Log'!$A$3:$A$500))))</f>
        <v/>
      </c>
    </row>
    <row r="197">
      <c r="A197" s="1" t="n"/>
      <c r="B197" s="1" t="n"/>
      <c r="C197" s="1" t="n"/>
      <c r="D197" s="9">
        <f>IF($B197="","",IF(LEFT($AC197,3)="Yes","Blocked",IF(C197="NOT STARTED",IF(K197="","No plan date set",IF(K197&lt;TODAY(),"Review - planned start passed","On track")),IF(C197="DB Dev",IF(N197="","No target set",IF(AND(N197&lt;TODAY(),P197=""),"Overdue","On track")),IF(C197="PBI Dev",IF(Q197="","No target set",IF(AND(Q197&lt;TODAY(),S197=""),"Overdue","On track")),IF(C197="QA",IF(T197="","No target set",IF(AND(T197&lt;TODAY(),V197=""),"Overdue","On track")),IF(C197="DPO Approval",IF(W197="","No target set",IF(W197&lt;TODAY(),"Overdue","On track")),IF(C197="RELEASED IN PROD","Delivered",""))))))))</f>
        <v/>
      </c>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c r="AA197" s="1" t="n"/>
      <c r="AB197" s="1" t="n"/>
      <c r="AC197" s="1" t="n"/>
      <c r="AD197" s="9">
        <f>IF($B197="","",COUNTIF('Rework Log'!$A$3:$A$500,$B197))</f>
        <v/>
      </c>
      <c r="AE197" s="9">
        <f>IF(OR($B197="",$AM197=0),"",INDEX('Rework Log'!$C:$C,$AM197))</f>
        <v/>
      </c>
      <c r="AF197" s="9">
        <f>IF(OR($B197="",$AM197=0),"",INDEX('Rework Log'!$H:$H,$AM197))</f>
        <v/>
      </c>
      <c r="AG197" s="9">
        <f>IF(OR($B197="",$AM197=0),"",INDEX('Rework Log'!$G:$G,$AM197))</f>
        <v/>
      </c>
      <c r="AH197" s="9">
        <f>IF($B197="","",IF(W197&lt;&gt;"","DPO Approval",IF(T197&lt;&gt;"","QA",IF(Q197&lt;&gt;"","PBI Dev",IF(N197&lt;&gt;"","DB Dev","NOT STARTED")))))</f>
        <v/>
      </c>
      <c r="AI197" s="9">
        <f>IF($B197="","",IF(IF($C197="NOT STARTED",0,IF($C197="DB Dev",1,IF($C197="PBI Dev",2,IF($C197="QA",3,IF($C197="DPO Approval",4,IF($C197="RELEASED IN PROD",5,-1))))))&lt;IF($AH197="NOT STARTED",0,IF($AH197="DB Dev",1,IF($AH197="PBI Dev",2,IF($AH197="QA",3,IF($AH197="DPO Approval",4,IF($AH197="RELEASED IN PROD",5,-1)))))),"Yes - was already at "&amp;$AH197&amp;", now back at "&amp;$C197,"No"))</f>
        <v/>
      </c>
      <c r="AJ197" s="9">
        <f>IF($B197="","",IF(AND(T197&lt;&gt;"",N197&lt;&gt;"",T197&lt;N197),"QA target is before DB Dev target",IF(AND(T197&lt;&gt;"",Q197&lt;&gt;"",T197&lt;Q197),"QA target is before PBI Dev target",IF(AND(W197&lt;&gt;"",T197&lt;&gt;"",W197&lt;T197),"DPO Approval target is before QA target",IF(AND(Z197&lt;&gt;"",W197&lt;&gt;"",Z197&lt;W197),"Confirmed Deployed date is before DPO Approval target","")))))</f>
        <v/>
      </c>
      <c r="AK197" s="9">
        <f>IF($B197="","",IF(COUNTIF($B$2:$B$500,$B197)&gt;1,"Duplicate name - check row",""))</f>
        <v/>
      </c>
      <c r="AL197" s="1" t="n"/>
      <c r="AM197" s="9">
        <f>IF($B197="","",SUMPRODUCT(MAX(('Rework Log'!$A$3:$A$500=$B197)*ROW('Rework Log'!$A$3:$A$500))))</f>
        <v/>
      </c>
    </row>
    <row r="198">
      <c r="A198" s="1" t="n"/>
      <c r="B198" s="1" t="n"/>
      <c r="C198" s="1" t="n"/>
      <c r="D198" s="9">
        <f>IF($B198="","",IF(LEFT($AC198,3)="Yes","Blocked",IF(C198="NOT STARTED",IF(K198="","No plan date set",IF(K198&lt;TODAY(),"Review - planned start passed","On track")),IF(C198="DB Dev",IF(N198="","No target set",IF(AND(N198&lt;TODAY(),P198=""),"Overdue","On track")),IF(C198="PBI Dev",IF(Q198="","No target set",IF(AND(Q198&lt;TODAY(),S198=""),"Overdue","On track")),IF(C198="QA",IF(T198="","No target set",IF(AND(T198&lt;TODAY(),V198=""),"Overdue","On track")),IF(C198="DPO Approval",IF(W198="","No target set",IF(W198&lt;TODAY(),"Overdue","On track")),IF(C198="RELEASED IN PROD","Delivered",""))))))))</f>
        <v/>
      </c>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c r="AA198" s="1" t="n"/>
      <c r="AB198" s="1" t="n"/>
      <c r="AC198" s="1" t="n"/>
      <c r="AD198" s="9">
        <f>IF($B198="","",COUNTIF('Rework Log'!$A$3:$A$500,$B198))</f>
        <v/>
      </c>
      <c r="AE198" s="9">
        <f>IF(OR($B198="",$AM198=0),"",INDEX('Rework Log'!$C:$C,$AM198))</f>
        <v/>
      </c>
      <c r="AF198" s="9">
        <f>IF(OR($B198="",$AM198=0),"",INDEX('Rework Log'!$H:$H,$AM198))</f>
        <v/>
      </c>
      <c r="AG198" s="9">
        <f>IF(OR($B198="",$AM198=0),"",INDEX('Rework Log'!$G:$G,$AM198))</f>
        <v/>
      </c>
      <c r="AH198" s="9">
        <f>IF($B198="","",IF(W198&lt;&gt;"","DPO Approval",IF(T198&lt;&gt;"","QA",IF(Q198&lt;&gt;"","PBI Dev",IF(N198&lt;&gt;"","DB Dev","NOT STARTED")))))</f>
        <v/>
      </c>
      <c r="AI198" s="9">
        <f>IF($B198="","",IF(IF($C198="NOT STARTED",0,IF($C198="DB Dev",1,IF($C198="PBI Dev",2,IF($C198="QA",3,IF($C198="DPO Approval",4,IF($C198="RELEASED IN PROD",5,-1))))))&lt;IF($AH198="NOT STARTED",0,IF($AH198="DB Dev",1,IF($AH198="PBI Dev",2,IF($AH198="QA",3,IF($AH198="DPO Approval",4,IF($AH198="RELEASED IN PROD",5,-1)))))),"Yes - was already at "&amp;$AH198&amp;", now back at "&amp;$C198,"No"))</f>
        <v/>
      </c>
      <c r="AJ198" s="9">
        <f>IF($B198="","",IF(AND(T198&lt;&gt;"",N198&lt;&gt;"",T198&lt;N198),"QA target is before DB Dev target",IF(AND(T198&lt;&gt;"",Q198&lt;&gt;"",T198&lt;Q198),"QA target is before PBI Dev target",IF(AND(W198&lt;&gt;"",T198&lt;&gt;"",W198&lt;T198),"DPO Approval target is before QA target",IF(AND(Z198&lt;&gt;"",W198&lt;&gt;"",Z198&lt;W198),"Confirmed Deployed date is before DPO Approval target","")))))</f>
        <v/>
      </c>
      <c r="AK198" s="9">
        <f>IF($B198="","",IF(COUNTIF($B$2:$B$500,$B198)&gt;1,"Duplicate name - check row",""))</f>
        <v/>
      </c>
      <c r="AL198" s="1" t="n"/>
      <c r="AM198" s="9">
        <f>IF($B198="","",SUMPRODUCT(MAX(('Rework Log'!$A$3:$A$500=$B198)*ROW('Rework Log'!$A$3:$A$500))))</f>
        <v/>
      </c>
    </row>
    <row r="199">
      <c r="A199" s="1" t="n"/>
      <c r="B199" s="1" t="n"/>
      <c r="C199" s="1" t="n"/>
      <c r="D199" s="9">
        <f>IF($B199="","",IF(LEFT($AC199,3)="Yes","Blocked",IF(C199="NOT STARTED",IF(K199="","No plan date set",IF(K199&lt;TODAY(),"Review - planned start passed","On track")),IF(C199="DB Dev",IF(N199="","No target set",IF(AND(N199&lt;TODAY(),P199=""),"Overdue","On track")),IF(C199="PBI Dev",IF(Q199="","No target set",IF(AND(Q199&lt;TODAY(),S199=""),"Overdue","On track")),IF(C199="QA",IF(T199="","No target set",IF(AND(T199&lt;TODAY(),V199=""),"Overdue","On track")),IF(C199="DPO Approval",IF(W199="","No target set",IF(W199&lt;TODAY(),"Overdue","On track")),IF(C199="RELEASED IN PROD","Delivered",""))))))))</f>
        <v/>
      </c>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c r="AA199" s="1" t="n"/>
      <c r="AB199" s="1" t="n"/>
      <c r="AC199" s="1" t="n"/>
      <c r="AD199" s="9">
        <f>IF($B199="","",COUNTIF('Rework Log'!$A$3:$A$500,$B199))</f>
        <v/>
      </c>
      <c r="AE199" s="9">
        <f>IF(OR($B199="",$AM199=0),"",INDEX('Rework Log'!$C:$C,$AM199))</f>
        <v/>
      </c>
      <c r="AF199" s="9">
        <f>IF(OR($B199="",$AM199=0),"",INDEX('Rework Log'!$H:$H,$AM199))</f>
        <v/>
      </c>
      <c r="AG199" s="9">
        <f>IF(OR($B199="",$AM199=0),"",INDEX('Rework Log'!$G:$G,$AM199))</f>
        <v/>
      </c>
      <c r="AH199" s="9">
        <f>IF($B199="","",IF(W199&lt;&gt;"","DPO Approval",IF(T199&lt;&gt;"","QA",IF(Q199&lt;&gt;"","PBI Dev",IF(N199&lt;&gt;"","DB Dev","NOT STARTED")))))</f>
        <v/>
      </c>
      <c r="AI199" s="9">
        <f>IF($B199="","",IF(IF($C199="NOT STARTED",0,IF($C199="DB Dev",1,IF($C199="PBI Dev",2,IF($C199="QA",3,IF($C199="DPO Approval",4,IF($C199="RELEASED IN PROD",5,-1))))))&lt;IF($AH199="NOT STARTED",0,IF($AH199="DB Dev",1,IF($AH199="PBI Dev",2,IF($AH199="QA",3,IF($AH199="DPO Approval",4,IF($AH199="RELEASED IN PROD",5,-1)))))),"Yes - was already at "&amp;$AH199&amp;", now back at "&amp;$C199,"No"))</f>
        <v/>
      </c>
      <c r="AJ199" s="9">
        <f>IF($B199="","",IF(AND(T199&lt;&gt;"",N199&lt;&gt;"",T199&lt;N199),"QA target is before DB Dev target",IF(AND(T199&lt;&gt;"",Q199&lt;&gt;"",T199&lt;Q199),"QA target is before PBI Dev target",IF(AND(W199&lt;&gt;"",T199&lt;&gt;"",W199&lt;T199),"DPO Approval target is before QA target",IF(AND(Z199&lt;&gt;"",W199&lt;&gt;"",Z199&lt;W199),"Confirmed Deployed date is before DPO Approval target","")))))</f>
        <v/>
      </c>
      <c r="AK199" s="9">
        <f>IF($B199="","",IF(COUNTIF($B$2:$B$500,$B199)&gt;1,"Duplicate name - check row",""))</f>
        <v/>
      </c>
      <c r="AL199" s="1" t="n"/>
      <c r="AM199" s="9">
        <f>IF($B199="","",SUMPRODUCT(MAX(('Rework Log'!$A$3:$A$500=$B199)*ROW('Rework Log'!$A$3:$A$500))))</f>
        <v/>
      </c>
    </row>
    <row r="200">
      <c r="A200" s="1" t="n"/>
      <c r="B200" s="1" t="n"/>
      <c r="C200" s="1" t="n"/>
      <c r="D200" s="9">
        <f>IF($B200="","",IF(LEFT($AC200,3)="Yes","Blocked",IF(C200="NOT STARTED",IF(K200="","No plan date set",IF(K200&lt;TODAY(),"Review - planned start passed","On track")),IF(C200="DB Dev",IF(N200="","No target set",IF(AND(N200&lt;TODAY(),P200=""),"Overdue","On track")),IF(C200="PBI Dev",IF(Q200="","No target set",IF(AND(Q200&lt;TODAY(),S200=""),"Overdue","On track")),IF(C200="QA",IF(T200="","No target set",IF(AND(T200&lt;TODAY(),V200=""),"Overdue","On track")),IF(C200="DPO Approval",IF(W200="","No target set",IF(W200&lt;TODAY(),"Overdue","On track")),IF(C200="RELEASED IN PROD","Delivered",""))))))))</f>
        <v/>
      </c>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c r="AA200" s="1" t="n"/>
      <c r="AB200" s="1" t="n"/>
      <c r="AC200" s="1" t="n"/>
      <c r="AD200" s="9">
        <f>IF($B200="","",COUNTIF('Rework Log'!$A$3:$A$500,$B200))</f>
        <v/>
      </c>
      <c r="AE200" s="9">
        <f>IF(OR($B200="",$AM200=0),"",INDEX('Rework Log'!$C:$C,$AM200))</f>
        <v/>
      </c>
      <c r="AF200" s="9">
        <f>IF(OR($B200="",$AM200=0),"",INDEX('Rework Log'!$H:$H,$AM200))</f>
        <v/>
      </c>
      <c r="AG200" s="9">
        <f>IF(OR($B200="",$AM200=0),"",INDEX('Rework Log'!$G:$G,$AM200))</f>
        <v/>
      </c>
      <c r="AH200" s="9">
        <f>IF($B200="","",IF(W200&lt;&gt;"","DPO Approval",IF(T200&lt;&gt;"","QA",IF(Q200&lt;&gt;"","PBI Dev",IF(N200&lt;&gt;"","DB Dev","NOT STARTED")))))</f>
        <v/>
      </c>
      <c r="AI200" s="9">
        <f>IF($B200="","",IF(IF($C200="NOT STARTED",0,IF($C200="DB Dev",1,IF($C200="PBI Dev",2,IF($C200="QA",3,IF($C200="DPO Approval",4,IF($C200="RELEASED IN PROD",5,-1))))))&lt;IF($AH200="NOT STARTED",0,IF($AH200="DB Dev",1,IF($AH200="PBI Dev",2,IF($AH200="QA",3,IF($AH200="DPO Approval",4,IF($AH200="RELEASED IN PROD",5,-1)))))),"Yes - was already at "&amp;$AH200&amp;", now back at "&amp;$C200,"No"))</f>
        <v/>
      </c>
      <c r="AJ200" s="9">
        <f>IF($B200="","",IF(AND(T200&lt;&gt;"",N200&lt;&gt;"",T200&lt;N200),"QA target is before DB Dev target",IF(AND(T200&lt;&gt;"",Q200&lt;&gt;"",T200&lt;Q200),"QA target is before PBI Dev target",IF(AND(W200&lt;&gt;"",T200&lt;&gt;"",W200&lt;T200),"DPO Approval target is before QA target",IF(AND(Z200&lt;&gt;"",W200&lt;&gt;"",Z200&lt;W200),"Confirmed Deployed date is before DPO Approval target","")))))</f>
        <v/>
      </c>
      <c r="AK200" s="9">
        <f>IF($B200="","",IF(COUNTIF($B$2:$B$500,$B200)&gt;1,"Duplicate name - check row",""))</f>
        <v/>
      </c>
      <c r="AL200" s="1" t="n"/>
      <c r="AM200" s="9">
        <f>IF($B200="","",SUMPRODUCT(MAX(('Rework Log'!$A$3:$A$500=$B200)*ROW('Rework Log'!$A$3:$A$500))))</f>
        <v/>
      </c>
    </row>
    <row r="201">
      <c r="A201" s="1" t="n"/>
      <c r="B201" s="1" t="n"/>
      <c r="C201" s="1" t="n"/>
      <c r="D201" s="9">
        <f>IF($B201="","",IF(LEFT($AC201,3)="Yes","Blocked",IF(C201="NOT STARTED",IF(K201="","No plan date set",IF(K201&lt;TODAY(),"Review - planned start passed","On track")),IF(C201="DB Dev",IF(N201="","No target set",IF(AND(N201&lt;TODAY(),P201=""),"Overdue","On track")),IF(C201="PBI Dev",IF(Q201="","No target set",IF(AND(Q201&lt;TODAY(),S201=""),"Overdue","On track")),IF(C201="QA",IF(T201="","No target set",IF(AND(T201&lt;TODAY(),V201=""),"Overdue","On track")),IF(C201="DPO Approval",IF(W201="","No target set",IF(W201&lt;TODAY(),"Overdue","On track")),IF(C201="RELEASED IN PROD","Delivered",""))))))))</f>
        <v/>
      </c>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c r="AA201" s="1" t="n"/>
      <c r="AB201" s="1" t="n"/>
      <c r="AC201" s="1" t="n"/>
      <c r="AD201" s="9">
        <f>IF($B201="","",COUNTIF('Rework Log'!$A$3:$A$500,$B201))</f>
        <v/>
      </c>
      <c r="AE201" s="9">
        <f>IF(OR($B201="",$AM201=0),"",INDEX('Rework Log'!$C:$C,$AM201))</f>
        <v/>
      </c>
      <c r="AF201" s="9">
        <f>IF(OR($B201="",$AM201=0),"",INDEX('Rework Log'!$H:$H,$AM201))</f>
        <v/>
      </c>
      <c r="AG201" s="9">
        <f>IF(OR($B201="",$AM201=0),"",INDEX('Rework Log'!$G:$G,$AM201))</f>
        <v/>
      </c>
      <c r="AH201" s="9">
        <f>IF($B201="","",IF(W201&lt;&gt;"","DPO Approval",IF(T201&lt;&gt;"","QA",IF(Q201&lt;&gt;"","PBI Dev",IF(N201&lt;&gt;"","DB Dev","NOT STARTED")))))</f>
        <v/>
      </c>
      <c r="AI201" s="9">
        <f>IF($B201="","",IF(IF($C201="NOT STARTED",0,IF($C201="DB Dev",1,IF($C201="PBI Dev",2,IF($C201="QA",3,IF($C201="DPO Approval",4,IF($C201="RELEASED IN PROD",5,-1))))))&lt;IF($AH201="NOT STARTED",0,IF($AH201="DB Dev",1,IF($AH201="PBI Dev",2,IF($AH201="QA",3,IF($AH201="DPO Approval",4,IF($AH201="RELEASED IN PROD",5,-1)))))),"Yes - was already at "&amp;$AH201&amp;", now back at "&amp;$C201,"No"))</f>
        <v/>
      </c>
      <c r="AJ201" s="9">
        <f>IF($B201="","",IF(AND(T201&lt;&gt;"",N201&lt;&gt;"",T201&lt;N201),"QA target is before DB Dev target",IF(AND(T201&lt;&gt;"",Q201&lt;&gt;"",T201&lt;Q201),"QA target is before PBI Dev target",IF(AND(W201&lt;&gt;"",T201&lt;&gt;"",W201&lt;T201),"DPO Approval target is before QA target",IF(AND(Z201&lt;&gt;"",W201&lt;&gt;"",Z201&lt;W201),"Confirmed Deployed date is before DPO Approval target","")))))</f>
        <v/>
      </c>
      <c r="AK201" s="9">
        <f>IF($B201="","",IF(COUNTIF($B$2:$B$500,$B201)&gt;1,"Duplicate name - check row",""))</f>
        <v/>
      </c>
      <c r="AL201" s="1" t="n"/>
      <c r="AM201" s="9">
        <f>IF($B201="","",SUMPRODUCT(MAX(('Rework Log'!$A$3:$A$500=$B201)*ROW('Rework Log'!$A$3:$A$500))))</f>
        <v/>
      </c>
    </row>
    <row r="202">
      <c r="A202" s="1" t="n"/>
      <c r="B202" s="1" t="n"/>
      <c r="C202" s="1" t="n"/>
      <c r="D202" s="9">
        <f>IF($B202="","",IF(LEFT($AC202,3)="Yes","Blocked",IF(C202="NOT STARTED",IF(K202="","No plan date set",IF(K202&lt;TODAY(),"Review - planned start passed","On track")),IF(C202="DB Dev",IF(N202="","No target set",IF(AND(N202&lt;TODAY(),P202=""),"Overdue","On track")),IF(C202="PBI Dev",IF(Q202="","No target set",IF(AND(Q202&lt;TODAY(),S202=""),"Overdue","On track")),IF(C202="QA",IF(T202="","No target set",IF(AND(T202&lt;TODAY(),V202=""),"Overdue","On track")),IF(C202="DPO Approval",IF(W202="","No target set",IF(W202&lt;TODAY(),"Overdue","On track")),IF(C202="RELEASED IN PROD","Delivered",""))))))))</f>
        <v/>
      </c>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c r="AA202" s="1" t="n"/>
      <c r="AB202" s="1" t="n"/>
      <c r="AC202" s="1" t="n"/>
      <c r="AD202" s="9">
        <f>IF($B202="","",COUNTIF('Rework Log'!$A$3:$A$500,$B202))</f>
        <v/>
      </c>
      <c r="AE202" s="9">
        <f>IF(OR($B202="",$AM202=0),"",INDEX('Rework Log'!$C:$C,$AM202))</f>
        <v/>
      </c>
      <c r="AF202" s="9">
        <f>IF(OR($B202="",$AM202=0),"",INDEX('Rework Log'!$H:$H,$AM202))</f>
        <v/>
      </c>
      <c r="AG202" s="9">
        <f>IF(OR($B202="",$AM202=0),"",INDEX('Rework Log'!$G:$G,$AM202))</f>
        <v/>
      </c>
      <c r="AH202" s="9">
        <f>IF($B202="","",IF(W202&lt;&gt;"","DPO Approval",IF(T202&lt;&gt;"","QA",IF(Q202&lt;&gt;"","PBI Dev",IF(N202&lt;&gt;"","DB Dev","NOT STARTED")))))</f>
        <v/>
      </c>
      <c r="AI202" s="9">
        <f>IF($B202="","",IF(IF($C202="NOT STARTED",0,IF($C202="DB Dev",1,IF($C202="PBI Dev",2,IF($C202="QA",3,IF($C202="DPO Approval",4,IF($C202="RELEASED IN PROD",5,-1))))))&lt;IF($AH202="NOT STARTED",0,IF($AH202="DB Dev",1,IF($AH202="PBI Dev",2,IF($AH202="QA",3,IF($AH202="DPO Approval",4,IF($AH202="RELEASED IN PROD",5,-1)))))),"Yes - was already at "&amp;$AH202&amp;", now back at "&amp;$C202,"No"))</f>
        <v/>
      </c>
      <c r="AJ202" s="9">
        <f>IF($B202="","",IF(AND(T202&lt;&gt;"",N202&lt;&gt;"",T202&lt;N202),"QA target is before DB Dev target",IF(AND(T202&lt;&gt;"",Q202&lt;&gt;"",T202&lt;Q202),"QA target is before PBI Dev target",IF(AND(W202&lt;&gt;"",T202&lt;&gt;"",W202&lt;T202),"DPO Approval target is before QA target",IF(AND(Z202&lt;&gt;"",W202&lt;&gt;"",Z202&lt;W202),"Confirmed Deployed date is before DPO Approval target","")))))</f>
        <v/>
      </c>
      <c r="AK202" s="9">
        <f>IF($B202="","",IF(COUNTIF($B$2:$B$500,$B202)&gt;1,"Duplicate name - check row",""))</f>
        <v/>
      </c>
      <c r="AL202" s="1" t="n"/>
      <c r="AM202" s="9">
        <f>IF($B202="","",SUMPRODUCT(MAX(('Rework Log'!$A$3:$A$500=$B202)*ROW('Rework Log'!$A$3:$A$500))))</f>
        <v/>
      </c>
    </row>
    <row r="203">
      <c r="A203" s="1" t="n"/>
      <c r="B203" s="1" t="n"/>
      <c r="C203" s="1" t="n"/>
      <c r="D203" s="9">
        <f>IF($B203="","",IF(LEFT($AC203,3)="Yes","Blocked",IF(C203="NOT STARTED",IF(K203="","No plan date set",IF(K203&lt;TODAY(),"Review - planned start passed","On track")),IF(C203="DB Dev",IF(N203="","No target set",IF(AND(N203&lt;TODAY(),P203=""),"Overdue","On track")),IF(C203="PBI Dev",IF(Q203="","No target set",IF(AND(Q203&lt;TODAY(),S203=""),"Overdue","On track")),IF(C203="QA",IF(T203="","No target set",IF(AND(T203&lt;TODAY(),V203=""),"Overdue","On track")),IF(C203="DPO Approval",IF(W203="","No target set",IF(W203&lt;TODAY(),"Overdue","On track")),IF(C203="RELEASED IN PROD","Delivered",""))))))))</f>
        <v/>
      </c>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c r="AA203" s="1" t="n"/>
      <c r="AB203" s="1" t="n"/>
      <c r="AC203" s="1" t="n"/>
      <c r="AD203" s="9">
        <f>IF($B203="","",COUNTIF('Rework Log'!$A$3:$A$500,$B203))</f>
        <v/>
      </c>
      <c r="AE203" s="9">
        <f>IF(OR($B203="",$AM203=0),"",INDEX('Rework Log'!$C:$C,$AM203))</f>
        <v/>
      </c>
      <c r="AF203" s="9">
        <f>IF(OR($B203="",$AM203=0),"",INDEX('Rework Log'!$H:$H,$AM203))</f>
        <v/>
      </c>
      <c r="AG203" s="9">
        <f>IF(OR($B203="",$AM203=0),"",INDEX('Rework Log'!$G:$G,$AM203))</f>
        <v/>
      </c>
      <c r="AH203" s="9">
        <f>IF($B203="","",IF(W203&lt;&gt;"","DPO Approval",IF(T203&lt;&gt;"","QA",IF(Q203&lt;&gt;"","PBI Dev",IF(N203&lt;&gt;"","DB Dev","NOT STARTED")))))</f>
        <v/>
      </c>
      <c r="AI203" s="9">
        <f>IF($B203="","",IF(IF($C203="NOT STARTED",0,IF($C203="DB Dev",1,IF($C203="PBI Dev",2,IF($C203="QA",3,IF($C203="DPO Approval",4,IF($C203="RELEASED IN PROD",5,-1))))))&lt;IF($AH203="NOT STARTED",0,IF($AH203="DB Dev",1,IF($AH203="PBI Dev",2,IF($AH203="QA",3,IF($AH203="DPO Approval",4,IF($AH203="RELEASED IN PROD",5,-1)))))),"Yes - was already at "&amp;$AH203&amp;", now back at "&amp;$C203,"No"))</f>
        <v/>
      </c>
      <c r="AJ203" s="9">
        <f>IF($B203="","",IF(AND(T203&lt;&gt;"",N203&lt;&gt;"",T203&lt;N203),"QA target is before DB Dev target",IF(AND(T203&lt;&gt;"",Q203&lt;&gt;"",T203&lt;Q203),"QA target is before PBI Dev target",IF(AND(W203&lt;&gt;"",T203&lt;&gt;"",W203&lt;T203),"DPO Approval target is before QA target",IF(AND(Z203&lt;&gt;"",W203&lt;&gt;"",Z203&lt;W203),"Confirmed Deployed date is before DPO Approval target","")))))</f>
        <v/>
      </c>
      <c r="AK203" s="9">
        <f>IF($B203="","",IF(COUNTIF($B$2:$B$500,$B203)&gt;1,"Duplicate name - check row",""))</f>
        <v/>
      </c>
      <c r="AL203" s="1" t="n"/>
      <c r="AM203" s="9">
        <f>IF($B203="","",SUMPRODUCT(MAX(('Rework Log'!$A$3:$A$500=$B203)*ROW('Rework Log'!$A$3:$A$500))))</f>
        <v/>
      </c>
    </row>
    <row r="204">
      <c r="A204" s="1" t="n"/>
      <c r="B204" s="1" t="n"/>
      <c r="C204" s="1" t="n"/>
      <c r="D204" s="9">
        <f>IF($B204="","",IF(LEFT($AC204,3)="Yes","Blocked",IF(C204="NOT STARTED",IF(K204="","No plan date set",IF(K204&lt;TODAY(),"Review - planned start passed","On track")),IF(C204="DB Dev",IF(N204="","No target set",IF(AND(N204&lt;TODAY(),P204=""),"Overdue","On track")),IF(C204="PBI Dev",IF(Q204="","No target set",IF(AND(Q204&lt;TODAY(),S204=""),"Overdue","On track")),IF(C204="QA",IF(T204="","No target set",IF(AND(T204&lt;TODAY(),V204=""),"Overdue","On track")),IF(C204="DPO Approval",IF(W204="","No target set",IF(W204&lt;TODAY(),"Overdue","On track")),IF(C204="RELEASED IN PROD","Delivered",""))))))))</f>
        <v/>
      </c>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c r="AA204" s="1" t="n"/>
      <c r="AB204" s="1" t="n"/>
      <c r="AC204" s="1" t="n"/>
      <c r="AD204" s="9">
        <f>IF($B204="","",COUNTIF('Rework Log'!$A$3:$A$500,$B204))</f>
        <v/>
      </c>
      <c r="AE204" s="9">
        <f>IF(OR($B204="",$AM204=0),"",INDEX('Rework Log'!$C:$C,$AM204))</f>
        <v/>
      </c>
      <c r="AF204" s="9">
        <f>IF(OR($B204="",$AM204=0),"",INDEX('Rework Log'!$H:$H,$AM204))</f>
        <v/>
      </c>
      <c r="AG204" s="9">
        <f>IF(OR($B204="",$AM204=0),"",INDEX('Rework Log'!$G:$G,$AM204))</f>
        <v/>
      </c>
      <c r="AH204" s="9">
        <f>IF($B204="","",IF(W204&lt;&gt;"","DPO Approval",IF(T204&lt;&gt;"","QA",IF(Q204&lt;&gt;"","PBI Dev",IF(N204&lt;&gt;"","DB Dev","NOT STARTED")))))</f>
        <v/>
      </c>
      <c r="AI204" s="9">
        <f>IF($B204="","",IF(IF($C204="NOT STARTED",0,IF($C204="DB Dev",1,IF($C204="PBI Dev",2,IF($C204="QA",3,IF($C204="DPO Approval",4,IF($C204="RELEASED IN PROD",5,-1))))))&lt;IF($AH204="NOT STARTED",0,IF($AH204="DB Dev",1,IF($AH204="PBI Dev",2,IF($AH204="QA",3,IF($AH204="DPO Approval",4,IF($AH204="RELEASED IN PROD",5,-1)))))),"Yes - was already at "&amp;$AH204&amp;", now back at "&amp;$C204,"No"))</f>
        <v/>
      </c>
      <c r="AJ204" s="9">
        <f>IF($B204="","",IF(AND(T204&lt;&gt;"",N204&lt;&gt;"",T204&lt;N204),"QA target is before DB Dev target",IF(AND(T204&lt;&gt;"",Q204&lt;&gt;"",T204&lt;Q204),"QA target is before PBI Dev target",IF(AND(W204&lt;&gt;"",T204&lt;&gt;"",W204&lt;T204),"DPO Approval target is before QA target",IF(AND(Z204&lt;&gt;"",W204&lt;&gt;"",Z204&lt;W204),"Confirmed Deployed date is before DPO Approval target","")))))</f>
        <v/>
      </c>
      <c r="AK204" s="9">
        <f>IF($B204="","",IF(COUNTIF($B$2:$B$500,$B204)&gt;1,"Duplicate name - check row",""))</f>
        <v/>
      </c>
      <c r="AL204" s="1" t="n"/>
      <c r="AM204" s="9">
        <f>IF($B204="","",SUMPRODUCT(MAX(('Rework Log'!$A$3:$A$500=$B204)*ROW('Rework Log'!$A$3:$A$500))))</f>
        <v/>
      </c>
    </row>
    <row r="205">
      <c r="A205" s="1" t="n"/>
      <c r="B205" s="1" t="n"/>
      <c r="C205" s="1" t="n"/>
      <c r="D205" s="9">
        <f>IF($B205="","",IF(LEFT($AC205,3)="Yes","Blocked",IF(C205="NOT STARTED",IF(K205="","No plan date set",IF(K205&lt;TODAY(),"Review - planned start passed","On track")),IF(C205="DB Dev",IF(N205="","No target set",IF(AND(N205&lt;TODAY(),P205=""),"Overdue","On track")),IF(C205="PBI Dev",IF(Q205="","No target set",IF(AND(Q205&lt;TODAY(),S205=""),"Overdue","On track")),IF(C205="QA",IF(T205="","No target set",IF(AND(T205&lt;TODAY(),V205=""),"Overdue","On track")),IF(C205="DPO Approval",IF(W205="","No target set",IF(W205&lt;TODAY(),"Overdue","On track")),IF(C205="RELEASED IN PROD","Delivered",""))))))))</f>
        <v/>
      </c>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c r="AA205" s="1" t="n"/>
      <c r="AB205" s="1" t="n"/>
      <c r="AC205" s="1" t="n"/>
      <c r="AD205" s="9">
        <f>IF($B205="","",COUNTIF('Rework Log'!$A$3:$A$500,$B205))</f>
        <v/>
      </c>
      <c r="AE205" s="9">
        <f>IF(OR($B205="",$AM205=0),"",INDEX('Rework Log'!$C:$C,$AM205))</f>
        <v/>
      </c>
      <c r="AF205" s="9">
        <f>IF(OR($B205="",$AM205=0),"",INDEX('Rework Log'!$H:$H,$AM205))</f>
        <v/>
      </c>
      <c r="AG205" s="9">
        <f>IF(OR($B205="",$AM205=0),"",INDEX('Rework Log'!$G:$G,$AM205))</f>
        <v/>
      </c>
      <c r="AH205" s="9">
        <f>IF($B205="","",IF(W205&lt;&gt;"","DPO Approval",IF(T205&lt;&gt;"","QA",IF(Q205&lt;&gt;"","PBI Dev",IF(N205&lt;&gt;"","DB Dev","NOT STARTED")))))</f>
        <v/>
      </c>
      <c r="AI205" s="9">
        <f>IF($B205="","",IF(IF($C205="NOT STARTED",0,IF($C205="DB Dev",1,IF($C205="PBI Dev",2,IF($C205="QA",3,IF($C205="DPO Approval",4,IF($C205="RELEASED IN PROD",5,-1))))))&lt;IF($AH205="NOT STARTED",0,IF($AH205="DB Dev",1,IF($AH205="PBI Dev",2,IF($AH205="QA",3,IF($AH205="DPO Approval",4,IF($AH205="RELEASED IN PROD",5,-1)))))),"Yes - was already at "&amp;$AH205&amp;", now back at "&amp;$C205,"No"))</f>
        <v/>
      </c>
      <c r="AJ205" s="9">
        <f>IF($B205="","",IF(AND(T205&lt;&gt;"",N205&lt;&gt;"",T205&lt;N205),"QA target is before DB Dev target",IF(AND(T205&lt;&gt;"",Q205&lt;&gt;"",T205&lt;Q205),"QA target is before PBI Dev target",IF(AND(W205&lt;&gt;"",T205&lt;&gt;"",W205&lt;T205),"DPO Approval target is before QA target",IF(AND(Z205&lt;&gt;"",W205&lt;&gt;"",Z205&lt;W205),"Confirmed Deployed date is before DPO Approval target","")))))</f>
        <v/>
      </c>
      <c r="AK205" s="9">
        <f>IF($B205="","",IF(COUNTIF($B$2:$B$500,$B205)&gt;1,"Duplicate name - check row",""))</f>
        <v/>
      </c>
      <c r="AL205" s="1" t="n"/>
      <c r="AM205" s="9">
        <f>IF($B205="","",SUMPRODUCT(MAX(('Rework Log'!$A$3:$A$500=$B205)*ROW('Rework Log'!$A$3:$A$500))))</f>
        <v/>
      </c>
    </row>
    <row r="206">
      <c r="A206" s="1" t="n"/>
      <c r="B206" s="1" t="n"/>
      <c r="C206" s="1" t="n"/>
      <c r="D206" s="9">
        <f>IF($B206="","",IF(LEFT($AC206,3)="Yes","Blocked",IF(C206="NOT STARTED",IF(K206="","No plan date set",IF(K206&lt;TODAY(),"Review - planned start passed","On track")),IF(C206="DB Dev",IF(N206="","No target set",IF(AND(N206&lt;TODAY(),P206=""),"Overdue","On track")),IF(C206="PBI Dev",IF(Q206="","No target set",IF(AND(Q206&lt;TODAY(),S206=""),"Overdue","On track")),IF(C206="QA",IF(T206="","No target set",IF(AND(T206&lt;TODAY(),V206=""),"Overdue","On track")),IF(C206="DPO Approval",IF(W206="","No target set",IF(W206&lt;TODAY(),"Overdue","On track")),IF(C206="RELEASED IN PROD","Delivered",""))))))))</f>
        <v/>
      </c>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c r="AA206" s="1" t="n"/>
      <c r="AB206" s="1" t="n"/>
      <c r="AC206" s="1" t="n"/>
      <c r="AD206" s="9">
        <f>IF($B206="","",COUNTIF('Rework Log'!$A$3:$A$500,$B206))</f>
        <v/>
      </c>
      <c r="AE206" s="9">
        <f>IF(OR($B206="",$AM206=0),"",INDEX('Rework Log'!$C:$C,$AM206))</f>
        <v/>
      </c>
      <c r="AF206" s="9">
        <f>IF(OR($B206="",$AM206=0),"",INDEX('Rework Log'!$H:$H,$AM206))</f>
        <v/>
      </c>
      <c r="AG206" s="9">
        <f>IF(OR($B206="",$AM206=0),"",INDEX('Rework Log'!$G:$G,$AM206))</f>
        <v/>
      </c>
      <c r="AH206" s="9">
        <f>IF($B206="","",IF(W206&lt;&gt;"","DPO Approval",IF(T206&lt;&gt;"","QA",IF(Q206&lt;&gt;"","PBI Dev",IF(N206&lt;&gt;"","DB Dev","NOT STARTED")))))</f>
        <v/>
      </c>
      <c r="AI206" s="9">
        <f>IF($B206="","",IF(IF($C206="NOT STARTED",0,IF($C206="DB Dev",1,IF($C206="PBI Dev",2,IF($C206="QA",3,IF($C206="DPO Approval",4,IF($C206="RELEASED IN PROD",5,-1))))))&lt;IF($AH206="NOT STARTED",0,IF($AH206="DB Dev",1,IF($AH206="PBI Dev",2,IF($AH206="QA",3,IF($AH206="DPO Approval",4,IF($AH206="RELEASED IN PROD",5,-1)))))),"Yes - was already at "&amp;$AH206&amp;", now back at "&amp;$C206,"No"))</f>
        <v/>
      </c>
      <c r="AJ206" s="9">
        <f>IF($B206="","",IF(AND(T206&lt;&gt;"",N206&lt;&gt;"",T206&lt;N206),"QA target is before DB Dev target",IF(AND(T206&lt;&gt;"",Q206&lt;&gt;"",T206&lt;Q206),"QA target is before PBI Dev target",IF(AND(W206&lt;&gt;"",T206&lt;&gt;"",W206&lt;T206),"DPO Approval target is before QA target",IF(AND(Z206&lt;&gt;"",W206&lt;&gt;"",Z206&lt;W206),"Confirmed Deployed date is before DPO Approval target","")))))</f>
        <v/>
      </c>
      <c r="AK206" s="9">
        <f>IF($B206="","",IF(COUNTIF($B$2:$B$500,$B206)&gt;1,"Duplicate name - check row",""))</f>
        <v/>
      </c>
      <c r="AL206" s="1" t="n"/>
      <c r="AM206" s="9">
        <f>IF($B206="","",SUMPRODUCT(MAX(('Rework Log'!$A$3:$A$500=$B206)*ROW('Rework Log'!$A$3:$A$500))))</f>
        <v/>
      </c>
    </row>
    <row r="207">
      <c r="A207" s="1" t="n"/>
      <c r="B207" s="1" t="n"/>
      <c r="C207" s="1" t="n"/>
      <c r="D207" s="9">
        <f>IF($B207="","",IF(LEFT($AC207,3)="Yes","Blocked",IF(C207="NOT STARTED",IF(K207="","No plan date set",IF(K207&lt;TODAY(),"Review - planned start passed","On track")),IF(C207="DB Dev",IF(N207="","No target set",IF(AND(N207&lt;TODAY(),P207=""),"Overdue","On track")),IF(C207="PBI Dev",IF(Q207="","No target set",IF(AND(Q207&lt;TODAY(),S207=""),"Overdue","On track")),IF(C207="QA",IF(T207="","No target set",IF(AND(T207&lt;TODAY(),V207=""),"Overdue","On track")),IF(C207="DPO Approval",IF(W207="","No target set",IF(W207&lt;TODAY(),"Overdue","On track")),IF(C207="RELEASED IN PROD","Delivered",""))))))))</f>
        <v/>
      </c>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c r="AA207" s="1" t="n"/>
      <c r="AB207" s="1" t="n"/>
      <c r="AC207" s="1" t="n"/>
      <c r="AD207" s="9">
        <f>IF($B207="","",COUNTIF('Rework Log'!$A$3:$A$500,$B207))</f>
        <v/>
      </c>
      <c r="AE207" s="9">
        <f>IF(OR($B207="",$AM207=0),"",INDEX('Rework Log'!$C:$C,$AM207))</f>
        <v/>
      </c>
      <c r="AF207" s="9">
        <f>IF(OR($B207="",$AM207=0),"",INDEX('Rework Log'!$H:$H,$AM207))</f>
        <v/>
      </c>
      <c r="AG207" s="9">
        <f>IF(OR($B207="",$AM207=0),"",INDEX('Rework Log'!$G:$G,$AM207))</f>
        <v/>
      </c>
      <c r="AH207" s="9">
        <f>IF($B207="","",IF(W207&lt;&gt;"","DPO Approval",IF(T207&lt;&gt;"","QA",IF(Q207&lt;&gt;"","PBI Dev",IF(N207&lt;&gt;"","DB Dev","NOT STARTED")))))</f>
        <v/>
      </c>
      <c r="AI207" s="9">
        <f>IF($B207="","",IF(IF($C207="NOT STARTED",0,IF($C207="DB Dev",1,IF($C207="PBI Dev",2,IF($C207="QA",3,IF($C207="DPO Approval",4,IF($C207="RELEASED IN PROD",5,-1))))))&lt;IF($AH207="NOT STARTED",0,IF($AH207="DB Dev",1,IF($AH207="PBI Dev",2,IF($AH207="QA",3,IF($AH207="DPO Approval",4,IF($AH207="RELEASED IN PROD",5,-1)))))),"Yes - was already at "&amp;$AH207&amp;", now back at "&amp;$C207,"No"))</f>
        <v/>
      </c>
      <c r="AJ207" s="9">
        <f>IF($B207="","",IF(AND(T207&lt;&gt;"",N207&lt;&gt;"",T207&lt;N207),"QA target is before DB Dev target",IF(AND(T207&lt;&gt;"",Q207&lt;&gt;"",T207&lt;Q207),"QA target is before PBI Dev target",IF(AND(W207&lt;&gt;"",T207&lt;&gt;"",W207&lt;T207),"DPO Approval target is before QA target",IF(AND(Z207&lt;&gt;"",W207&lt;&gt;"",Z207&lt;W207),"Confirmed Deployed date is before DPO Approval target","")))))</f>
        <v/>
      </c>
      <c r="AK207" s="9">
        <f>IF($B207="","",IF(COUNTIF($B$2:$B$500,$B207)&gt;1,"Duplicate name - check row",""))</f>
        <v/>
      </c>
      <c r="AL207" s="1" t="n"/>
      <c r="AM207" s="9">
        <f>IF($B207="","",SUMPRODUCT(MAX(('Rework Log'!$A$3:$A$500=$B207)*ROW('Rework Log'!$A$3:$A$500))))</f>
        <v/>
      </c>
    </row>
    <row r="208">
      <c r="A208" s="1" t="n"/>
      <c r="B208" s="1" t="n"/>
      <c r="C208" s="1" t="n"/>
      <c r="D208" s="9">
        <f>IF($B208="","",IF(LEFT($AC208,3)="Yes","Blocked",IF(C208="NOT STARTED",IF(K208="","No plan date set",IF(K208&lt;TODAY(),"Review - planned start passed","On track")),IF(C208="DB Dev",IF(N208="","No target set",IF(AND(N208&lt;TODAY(),P208=""),"Overdue","On track")),IF(C208="PBI Dev",IF(Q208="","No target set",IF(AND(Q208&lt;TODAY(),S208=""),"Overdue","On track")),IF(C208="QA",IF(T208="","No target set",IF(AND(T208&lt;TODAY(),V208=""),"Overdue","On track")),IF(C208="DPO Approval",IF(W208="","No target set",IF(W208&lt;TODAY(),"Overdue","On track")),IF(C208="RELEASED IN PROD","Delivered",""))))))))</f>
        <v/>
      </c>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c r="AA208" s="1" t="n"/>
      <c r="AB208" s="1" t="n"/>
      <c r="AC208" s="1" t="n"/>
      <c r="AD208" s="9">
        <f>IF($B208="","",COUNTIF('Rework Log'!$A$3:$A$500,$B208))</f>
        <v/>
      </c>
      <c r="AE208" s="9">
        <f>IF(OR($B208="",$AM208=0),"",INDEX('Rework Log'!$C:$C,$AM208))</f>
        <v/>
      </c>
      <c r="AF208" s="9">
        <f>IF(OR($B208="",$AM208=0),"",INDEX('Rework Log'!$H:$H,$AM208))</f>
        <v/>
      </c>
      <c r="AG208" s="9">
        <f>IF(OR($B208="",$AM208=0),"",INDEX('Rework Log'!$G:$G,$AM208))</f>
        <v/>
      </c>
      <c r="AH208" s="9">
        <f>IF($B208="","",IF(W208&lt;&gt;"","DPO Approval",IF(T208&lt;&gt;"","QA",IF(Q208&lt;&gt;"","PBI Dev",IF(N208&lt;&gt;"","DB Dev","NOT STARTED")))))</f>
        <v/>
      </c>
      <c r="AI208" s="9">
        <f>IF($B208="","",IF(IF($C208="NOT STARTED",0,IF($C208="DB Dev",1,IF($C208="PBI Dev",2,IF($C208="QA",3,IF($C208="DPO Approval",4,IF($C208="RELEASED IN PROD",5,-1))))))&lt;IF($AH208="NOT STARTED",0,IF($AH208="DB Dev",1,IF($AH208="PBI Dev",2,IF($AH208="QA",3,IF($AH208="DPO Approval",4,IF($AH208="RELEASED IN PROD",5,-1)))))),"Yes - was already at "&amp;$AH208&amp;", now back at "&amp;$C208,"No"))</f>
        <v/>
      </c>
      <c r="AJ208" s="9">
        <f>IF($B208="","",IF(AND(T208&lt;&gt;"",N208&lt;&gt;"",T208&lt;N208),"QA target is before DB Dev target",IF(AND(T208&lt;&gt;"",Q208&lt;&gt;"",T208&lt;Q208),"QA target is before PBI Dev target",IF(AND(W208&lt;&gt;"",T208&lt;&gt;"",W208&lt;T208),"DPO Approval target is before QA target",IF(AND(Z208&lt;&gt;"",W208&lt;&gt;"",Z208&lt;W208),"Confirmed Deployed date is before DPO Approval target","")))))</f>
        <v/>
      </c>
      <c r="AK208" s="9">
        <f>IF($B208="","",IF(COUNTIF($B$2:$B$500,$B208)&gt;1,"Duplicate name - check row",""))</f>
        <v/>
      </c>
      <c r="AL208" s="1" t="n"/>
      <c r="AM208" s="9">
        <f>IF($B208="","",SUMPRODUCT(MAX(('Rework Log'!$A$3:$A$500=$B208)*ROW('Rework Log'!$A$3:$A$500))))</f>
        <v/>
      </c>
    </row>
    <row r="209">
      <c r="A209" s="1" t="n"/>
      <c r="B209" s="1" t="n"/>
      <c r="C209" s="1" t="n"/>
      <c r="D209" s="9">
        <f>IF($B209="","",IF(LEFT($AC209,3)="Yes","Blocked",IF(C209="NOT STARTED",IF(K209="","No plan date set",IF(K209&lt;TODAY(),"Review - planned start passed","On track")),IF(C209="DB Dev",IF(N209="","No target set",IF(AND(N209&lt;TODAY(),P209=""),"Overdue","On track")),IF(C209="PBI Dev",IF(Q209="","No target set",IF(AND(Q209&lt;TODAY(),S209=""),"Overdue","On track")),IF(C209="QA",IF(T209="","No target set",IF(AND(T209&lt;TODAY(),V209=""),"Overdue","On track")),IF(C209="DPO Approval",IF(W209="","No target set",IF(W209&lt;TODAY(),"Overdue","On track")),IF(C209="RELEASED IN PROD","Delivered",""))))))))</f>
        <v/>
      </c>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c r="AA209" s="1" t="n"/>
      <c r="AB209" s="1" t="n"/>
      <c r="AC209" s="1" t="n"/>
      <c r="AD209" s="9">
        <f>IF($B209="","",COUNTIF('Rework Log'!$A$3:$A$500,$B209))</f>
        <v/>
      </c>
      <c r="AE209" s="9">
        <f>IF(OR($B209="",$AM209=0),"",INDEX('Rework Log'!$C:$C,$AM209))</f>
        <v/>
      </c>
      <c r="AF209" s="9">
        <f>IF(OR($B209="",$AM209=0),"",INDEX('Rework Log'!$H:$H,$AM209))</f>
        <v/>
      </c>
      <c r="AG209" s="9">
        <f>IF(OR($B209="",$AM209=0),"",INDEX('Rework Log'!$G:$G,$AM209))</f>
        <v/>
      </c>
      <c r="AH209" s="9">
        <f>IF($B209="","",IF(W209&lt;&gt;"","DPO Approval",IF(T209&lt;&gt;"","QA",IF(Q209&lt;&gt;"","PBI Dev",IF(N209&lt;&gt;"","DB Dev","NOT STARTED")))))</f>
        <v/>
      </c>
      <c r="AI209" s="9">
        <f>IF($B209="","",IF(IF($C209="NOT STARTED",0,IF($C209="DB Dev",1,IF($C209="PBI Dev",2,IF($C209="QA",3,IF($C209="DPO Approval",4,IF($C209="RELEASED IN PROD",5,-1))))))&lt;IF($AH209="NOT STARTED",0,IF($AH209="DB Dev",1,IF($AH209="PBI Dev",2,IF($AH209="QA",3,IF($AH209="DPO Approval",4,IF($AH209="RELEASED IN PROD",5,-1)))))),"Yes - was already at "&amp;$AH209&amp;", now back at "&amp;$C209,"No"))</f>
        <v/>
      </c>
      <c r="AJ209" s="9">
        <f>IF($B209="","",IF(AND(T209&lt;&gt;"",N209&lt;&gt;"",T209&lt;N209),"QA target is before DB Dev target",IF(AND(T209&lt;&gt;"",Q209&lt;&gt;"",T209&lt;Q209),"QA target is before PBI Dev target",IF(AND(W209&lt;&gt;"",T209&lt;&gt;"",W209&lt;T209),"DPO Approval target is before QA target",IF(AND(Z209&lt;&gt;"",W209&lt;&gt;"",Z209&lt;W209),"Confirmed Deployed date is before DPO Approval target","")))))</f>
        <v/>
      </c>
      <c r="AK209" s="9">
        <f>IF($B209="","",IF(COUNTIF($B$2:$B$500,$B209)&gt;1,"Duplicate name - check row",""))</f>
        <v/>
      </c>
      <c r="AL209" s="1" t="n"/>
      <c r="AM209" s="9">
        <f>IF($B209="","",SUMPRODUCT(MAX(('Rework Log'!$A$3:$A$500=$B209)*ROW('Rework Log'!$A$3:$A$500))))</f>
        <v/>
      </c>
    </row>
    <row r="210">
      <c r="A210" s="1" t="n"/>
      <c r="B210" s="1" t="n"/>
      <c r="C210" s="1" t="n"/>
      <c r="D210" s="9">
        <f>IF($B210="","",IF(LEFT($AC210,3)="Yes","Blocked",IF(C210="NOT STARTED",IF(K210="","No plan date set",IF(K210&lt;TODAY(),"Review - planned start passed","On track")),IF(C210="DB Dev",IF(N210="","No target set",IF(AND(N210&lt;TODAY(),P210=""),"Overdue","On track")),IF(C210="PBI Dev",IF(Q210="","No target set",IF(AND(Q210&lt;TODAY(),S210=""),"Overdue","On track")),IF(C210="QA",IF(T210="","No target set",IF(AND(T210&lt;TODAY(),V210=""),"Overdue","On track")),IF(C210="DPO Approval",IF(W210="","No target set",IF(W210&lt;TODAY(),"Overdue","On track")),IF(C210="RELEASED IN PROD","Delivered",""))))))))</f>
        <v/>
      </c>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c r="AA210" s="1" t="n"/>
      <c r="AB210" s="1" t="n"/>
      <c r="AC210" s="1" t="n"/>
      <c r="AD210" s="9">
        <f>IF($B210="","",COUNTIF('Rework Log'!$A$3:$A$500,$B210))</f>
        <v/>
      </c>
      <c r="AE210" s="9">
        <f>IF(OR($B210="",$AM210=0),"",INDEX('Rework Log'!$C:$C,$AM210))</f>
        <v/>
      </c>
      <c r="AF210" s="9">
        <f>IF(OR($B210="",$AM210=0),"",INDEX('Rework Log'!$H:$H,$AM210))</f>
        <v/>
      </c>
      <c r="AG210" s="9">
        <f>IF(OR($B210="",$AM210=0),"",INDEX('Rework Log'!$G:$G,$AM210))</f>
        <v/>
      </c>
      <c r="AH210" s="9">
        <f>IF($B210="","",IF(W210&lt;&gt;"","DPO Approval",IF(T210&lt;&gt;"","QA",IF(Q210&lt;&gt;"","PBI Dev",IF(N210&lt;&gt;"","DB Dev","NOT STARTED")))))</f>
        <v/>
      </c>
      <c r="AI210" s="9">
        <f>IF($B210="","",IF(IF($C210="NOT STARTED",0,IF($C210="DB Dev",1,IF($C210="PBI Dev",2,IF($C210="QA",3,IF($C210="DPO Approval",4,IF($C210="RELEASED IN PROD",5,-1))))))&lt;IF($AH210="NOT STARTED",0,IF($AH210="DB Dev",1,IF($AH210="PBI Dev",2,IF($AH210="QA",3,IF($AH210="DPO Approval",4,IF($AH210="RELEASED IN PROD",5,-1)))))),"Yes - was already at "&amp;$AH210&amp;", now back at "&amp;$C210,"No"))</f>
        <v/>
      </c>
      <c r="AJ210" s="9">
        <f>IF($B210="","",IF(AND(T210&lt;&gt;"",N210&lt;&gt;"",T210&lt;N210),"QA target is before DB Dev target",IF(AND(T210&lt;&gt;"",Q210&lt;&gt;"",T210&lt;Q210),"QA target is before PBI Dev target",IF(AND(W210&lt;&gt;"",T210&lt;&gt;"",W210&lt;T210),"DPO Approval target is before QA target",IF(AND(Z210&lt;&gt;"",W210&lt;&gt;"",Z210&lt;W210),"Confirmed Deployed date is before DPO Approval target","")))))</f>
        <v/>
      </c>
      <c r="AK210" s="9">
        <f>IF($B210="","",IF(COUNTIF($B$2:$B$500,$B210)&gt;1,"Duplicate name - check row",""))</f>
        <v/>
      </c>
      <c r="AL210" s="1" t="n"/>
      <c r="AM210" s="9">
        <f>IF($B210="","",SUMPRODUCT(MAX(('Rework Log'!$A$3:$A$500=$B210)*ROW('Rework Log'!$A$3:$A$500))))</f>
        <v/>
      </c>
    </row>
    <row r="211">
      <c r="A211" s="1" t="n"/>
      <c r="B211" s="1" t="n"/>
      <c r="C211" s="1" t="n"/>
      <c r="D211" s="9">
        <f>IF($B211="","",IF(LEFT($AC211,3)="Yes","Blocked",IF(C211="NOT STARTED",IF(K211="","No plan date set",IF(K211&lt;TODAY(),"Review - planned start passed","On track")),IF(C211="DB Dev",IF(N211="","No target set",IF(AND(N211&lt;TODAY(),P211=""),"Overdue","On track")),IF(C211="PBI Dev",IF(Q211="","No target set",IF(AND(Q211&lt;TODAY(),S211=""),"Overdue","On track")),IF(C211="QA",IF(T211="","No target set",IF(AND(T211&lt;TODAY(),V211=""),"Overdue","On track")),IF(C211="DPO Approval",IF(W211="","No target set",IF(W211&lt;TODAY(),"Overdue","On track")),IF(C211="RELEASED IN PROD","Delivered",""))))))))</f>
        <v/>
      </c>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c r="AA211" s="1" t="n"/>
      <c r="AB211" s="1" t="n"/>
      <c r="AC211" s="1" t="n"/>
      <c r="AD211" s="9">
        <f>IF($B211="","",COUNTIF('Rework Log'!$A$3:$A$500,$B211))</f>
        <v/>
      </c>
      <c r="AE211" s="9">
        <f>IF(OR($B211="",$AM211=0),"",INDEX('Rework Log'!$C:$C,$AM211))</f>
        <v/>
      </c>
      <c r="AF211" s="9">
        <f>IF(OR($B211="",$AM211=0),"",INDEX('Rework Log'!$H:$H,$AM211))</f>
        <v/>
      </c>
      <c r="AG211" s="9">
        <f>IF(OR($B211="",$AM211=0),"",INDEX('Rework Log'!$G:$G,$AM211))</f>
        <v/>
      </c>
      <c r="AH211" s="9">
        <f>IF($B211="","",IF(W211&lt;&gt;"","DPO Approval",IF(T211&lt;&gt;"","QA",IF(Q211&lt;&gt;"","PBI Dev",IF(N211&lt;&gt;"","DB Dev","NOT STARTED")))))</f>
        <v/>
      </c>
      <c r="AI211" s="9">
        <f>IF($B211="","",IF(IF($C211="NOT STARTED",0,IF($C211="DB Dev",1,IF($C211="PBI Dev",2,IF($C211="QA",3,IF($C211="DPO Approval",4,IF($C211="RELEASED IN PROD",5,-1))))))&lt;IF($AH211="NOT STARTED",0,IF($AH211="DB Dev",1,IF($AH211="PBI Dev",2,IF($AH211="QA",3,IF($AH211="DPO Approval",4,IF($AH211="RELEASED IN PROD",5,-1)))))),"Yes - was already at "&amp;$AH211&amp;", now back at "&amp;$C211,"No"))</f>
        <v/>
      </c>
      <c r="AJ211" s="9">
        <f>IF($B211="","",IF(AND(T211&lt;&gt;"",N211&lt;&gt;"",T211&lt;N211),"QA target is before DB Dev target",IF(AND(T211&lt;&gt;"",Q211&lt;&gt;"",T211&lt;Q211),"QA target is before PBI Dev target",IF(AND(W211&lt;&gt;"",T211&lt;&gt;"",W211&lt;T211),"DPO Approval target is before QA target",IF(AND(Z211&lt;&gt;"",W211&lt;&gt;"",Z211&lt;W211),"Confirmed Deployed date is before DPO Approval target","")))))</f>
        <v/>
      </c>
      <c r="AK211" s="9">
        <f>IF($B211="","",IF(COUNTIF($B$2:$B$500,$B211)&gt;1,"Duplicate name - check row",""))</f>
        <v/>
      </c>
      <c r="AL211" s="1" t="n"/>
      <c r="AM211" s="9">
        <f>IF($B211="","",SUMPRODUCT(MAX(('Rework Log'!$A$3:$A$500=$B211)*ROW('Rework Log'!$A$3:$A$500))))</f>
        <v/>
      </c>
    </row>
    <row r="212">
      <c r="A212" s="1" t="n"/>
      <c r="B212" s="1" t="n"/>
      <c r="C212" s="1" t="n"/>
      <c r="D212" s="9">
        <f>IF($B212="","",IF(LEFT($AC212,3)="Yes","Blocked",IF(C212="NOT STARTED",IF(K212="","No plan date set",IF(K212&lt;TODAY(),"Review - planned start passed","On track")),IF(C212="DB Dev",IF(N212="","No target set",IF(AND(N212&lt;TODAY(),P212=""),"Overdue","On track")),IF(C212="PBI Dev",IF(Q212="","No target set",IF(AND(Q212&lt;TODAY(),S212=""),"Overdue","On track")),IF(C212="QA",IF(T212="","No target set",IF(AND(T212&lt;TODAY(),V212=""),"Overdue","On track")),IF(C212="DPO Approval",IF(W212="","No target set",IF(W212&lt;TODAY(),"Overdue","On track")),IF(C212="RELEASED IN PROD","Delivered",""))))))))</f>
        <v/>
      </c>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c r="AA212" s="1" t="n"/>
      <c r="AB212" s="1" t="n"/>
      <c r="AC212" s="1" t="n"/>
      <c r="AD212" s="9">
        <f>IF($B212="","",COUNTIF('Rework Log'!$A$3:$A$500,$B212))</f>
        <v/>
      </c>
      <c r="AE212" s="9">
        <f>IF(OR($B212="",$AM212=0),"",INDEX('Rework Log'!$C:$C,$AM212))</f>
        <v/>
      </c>
      <c r="AF212" s="9">
        <f>IF(OR($B212="",$AM212=0),"",INDEX('Rework Log'!$H:$H,$AM212))</f>
        <v/>
      </c>
      <c r="AG212" s="9">
        <f>IF(OR($B212="",$AM212=0),"",INDEX('Rework Log'!$G:$G,$AM212))</f>
        <v/>
      </c>
      <c r="AH212" s="9">
        <f>IF($B212="","",IF(W212&lt;&gt;"","DPO Approval",IF(T212&lt;&gt;"","QA",IF(Q212&lt;&gt;"","PBI Dev",IF(N212&lt;&gt;"","DB Dev","NOT STARTED")))))</f>
        <v/>
      </c>
      <c r="AI212" s="9">
        <f>IF($B212="","",IF(IF($C212="NOT STARTED",0,IF($C212="DB Dev",1,IF($C212="PBI Dev",2,IF($C212="QA",3,IF($C212="DPO Approval",4,IF($C212="RELEASED IN PROD",5,-1))))))&lt;IF($AH212="NOT STARTED",0,IF($AH212="DB Dev",1,IF($AH212="PBI Dev",2,IF($AH212="QA",3,IF($AH212="DPO Approval",4,IF($AH212="RELEASED IN PROD",5,-1)))))),"Yes - was already at "&amp;$AH212&amp;", now back at "&amp;$C212,"No"))</f>
        <v/>
      </c>
      <c r="AJ212" s="9">
        <f>IF($B212="","",IF(AND(T212&lt;&gt;"",N212&lt;&gt;"",T212&lt;N212),"QA target is before DB Dev target",IF(AND(T212&lt;&gt;"",Q212&lt;&gt;"",T212&lt;Q212),"QA target is before PBI Dev target",IF(AND(W212&lt;&gt;"",T212&lt;&gt;"",W212&lt;T212),"DPO Approval target is before QA target",IF(AND(Z212&lt;&gt;"",W212&lt;&gt;"",Z212&lt;W212),"Confirmed Deployed date is before DPO Approval target","")))))</f>
        <v/>
      </c>
      <c r="AK212" s="9">
        <f>IF($B212="","",IF(COUNTIF($B$2:$B$500,$B212)&gt;1,"Duplicate name - check row",""))</f>
        <v/>
      </c>
      <c r="AL212" s="1" t="n"/>
      <c r="AM212" s="9">
        <f>IF($B212="","",SUMPRODUCT(MAX(('Rework Log'!$A$3:$A$500=$B212)*ROW('Rework Log'!$A$3:$A$500))))</f>
        <v/>
      </c>
    </row>
    <row r="213">
      <c r="A213" s="1" t="n"/>
      <c r="B213" s="1" t="n"/>
      <c r="C213" s="1" t="n"/>
      <c r="D213" s="9">
        <f>IF($B213="","",IF(LEFT($AC213,3)="Yes","Blocked",IF(C213="NOT STARTED",IF(K213="","No plan date set",IF(K213&lt;TODAY(),"Review - planned start passed","On track")),IF(C213="DB Dev",IF(N213="","No target set",IF(AND(N213&lt;TODAY(),P213=""),"Overdue","On track")),IF(C213="PBI Dev",IF(Q213="","No target set",IF(AND(Q213&lt;TODAY(),S213=""),"Overdue","On track")),IF(C213="QA",IF(T213="","No target set",IF(AND(T213&lt;TODAY(),V213=""),"Overdue","On track")),IF(C213="DPO Approval",IF(W213="","No target set",IF(W213&lt;TODAY(),"Overdue","On track")),IF(C213="RELEASED IN PROD","Delivered",""))))))))</f>
        <v/>
      </c>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c r="AA213" s="1" t="n"/>
      <c r="AB213" s="1" t="n"/>
      <c r="AC213" s="1" t="n"/>
      <c r="AD213" s="9">
        <f>IF($B213="","",COUNTIF('Rework Log'!$A$3:$A$500,$B213))</f>
        <v/>
      </c>
      <c r="AE213" s="9">
        <f>IF(OR($B213="",$AM213=0),"",INDEX('Rework Log'!$C:$C,$AM213))</f>
        <v/>
      </c>
      <c r="AF213" s="9">
        <f>IF(OR($B213="",$AM213=0),"",INDEX('Rework Log'!$H:$H,$AM213))</f>
        <v/>
      </c>
      <c r="AG213" s="9">
        <f>IF(OR($B213="",$AM213=0),"",INDEX('Rework Log'!$G:$G,$AM213))</f>
        <v/>
      </c>
      <c r="AH213" s="9">
        <f>IF($B213="","",IF(W213&lt;&gt;"","DPO Approval",IF(T213&lt;&gt;"","QA",IF(Q213&lt;&gt;"","PBI Dev",IF(N213&lt;&gt;"","DB Dev","NOT STARTED")))))</f>
        <v/>
      </c>
      <c r="AI213" s="9">
        <f>IF($B213="","",IF(IF($C213="NOT STARTED",0,IF($C213="DB Dev",1,IF($C213="PBI Dev",2,IF($C213="QA",3,IF($C213="DPO Approval",4,IF($C213="RELEASED IN PROD",5,-1))))))&lt;IF($AH213="NOT STARTED",0,IF($AH213="DB Dev",1,IF($AH213="PBI Dev",2,IF($AH213="QA",3,IF($AH213="DPO Approval",4,IF($AH213="RELEASED IN PROD",5,-1)))))),"Yes - was already at "&amp;$AH213&amp;", now back at "&amp;$C213,"No"))</f>
        <v/>
      </c>
      <c r="AJ213" s="9">
        <f>IF($B213="","",IF(AND(T213&lt;&gt;"",N213&lt;&gt;"",T213&lt;N213),"QA target is before DB Dev target",IF(AND(T213&lt;&gt;"",Q213&lt;&gt;"",T213&lt;Q213),"QA target is before PBI Dev target",IF(AND(W213&lt;&gt;"",T213&lt;&gt;"",W213&lt;T213),"DPO Approval target is before QA target",IF(AND(Z213&lt;&gt;"",W213&lt;&gt;"",Z213&lt;W213),"Confirmed Deployed date is before DPO Approval target","")))))</f>
        <v/>
      </c>
      <c r="AK213" s="9">
        <f>IF($B213="","",IF(COUNTIF($B$2:$B$500,$B213)&gt;1,"Duplicate name - check row",""))</f>
        <v/>
      </c>
      <c r="AL213" s="1" t="n"/>
      <c r="AM213" s="9">
        <f>IF($B213="","",SUMPRODUCT(MAX(('Rework Log'!$A$3:$A$500=$B213)*ROW('Rework Log'!$A$3:$A$500))))</f>
        <v/>
      </c>
    </row>
    <row r="214">
      <c r="A214" s="1" t="n"/>
      <c r="B214" s="1" t="n"/>
      <c r="C214" s="1" t="n"/>
      <c r="D214" s="9">
        <f>IF($B214="","",IF(LEFT($AC214,3)="Yes","Blocked",IF(C214="NOT STARTED",IF(K214="","No plan date set",IF(K214&lt;TODAY(),"Review - planned start passed","On track")),IF(C214="DB Dev",IF(N214="","No target set",IF(AND(N214&lt;TODAY(),P214=""),"Overdue","On track")),IF(C214="PBI Dev",IF(Q214="","No target set",IF(AND(Q214&lt;TODAY(),S214=""),"Overdue","On track")),IF(C214="QA",IF(T214="","No target set",IF(AND(T214&lt;TODAY(),V214=""),"Overdue","On track")),IF(C214="DPO Approval",IF(W214="","No target set",IF(W214&lt;TODAY(),"Overdue","On track")),IF(C214="RELEASED IN PROD","Delivered",""))))))))</f>
        <v/>
      </c>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c r="AA214" s="1" t="n"/>
      <c r="AB214" s="1" t="n"/>
      <c r="AC214" s="1" t="n"/>
      <c r="AD214" s="9">
        <f>IF($B214="","",COUNTIF('Rework Log'!$A$3:$A$500,$B214))</f>
        <v/>
      </c>
      <c r="AE214" s="9">
        <f>IF(OR($B214="",$AM214=0),"",INDEX('Rework Log'!$C:$C,$AM214))</f>
        <v/>
      </c>
      <c r="AF214" s="9">
        <f>IF(OR($B214="",$AM214=0),"",INDEX('Rework Log'!$H:$H,$AM214))</f>
        <v/>
      </c>
      <c r="AG214" s="9">
        <f>IF(OR($B214="",$AM214=0),"",INDEX('Rework Log'!$G:$G,$AM214))</f>
        <v/>
      </c>
      <c r="AH214" s="9">
        <f>IF($B214="","",IF(W214&lt;&gt;"","DPO Approval",IF(T214&lt;&gt;"","QA",IF(Q214&lt;&gt;"","PBI Dev",IF(N214&lt;&gt;"","DB Dev","NOT STARTED")))))</f>
        <v/>
      </c>
      <c r="AI214" s="9">
        <f>IF($B214="","",IF(IF($C214="NOT STARTED",0,IF($C214="DB Dev",1,IF($C214="PBI Dev",2,IF($C214="QA",3,IF($C214="DPO Approval",4,IF($C214="RELEASED IN PROD",5,-1))))))&lt;IF($AH214="NOT STARTED",0,IF($AH214="DB Dev",1,IF($AH214="PBI Dev",2,IF($AH214="QA",3,IF($AH214="DPO Approval",4,IF($AH214="RELEASED IN PROD",5,-1)))))),"Yes - was already at "&amp;$AH214&amp;", now back at "&amp;$C214,"No"))</f>
        <v/>
      </c>
      <c r="AJ214" s="9">
        <f>IF($B214="","",IF(AND(T214&lt;&gt;"",N214&lt;&gt;"",T214&lt;N214),"QA target is before DB Dev target",IF(AND(T214&lt;&gt;"",Q214&lt;&gt;"",T214&lt;Q214),"QA target is before PBI Dev target",IF(AND(W214&lt;&gt;"",T214&lt;&gt;"",W214&lt;T214),"DPO Approval target is before QA target",IF(AND(Z214&lt;&gt;"",W214&lt;&gt;"",Z214&lt;W214),"Confirmed Deployed date is before DPO Approval target","")))))</f>
        <v/>
      </c>
      <c r="AK214" s="9">
        <f>IF($B214="","",IF(COUNTIF($B$2:$B$500,$B214)&gt;1,"Duplicate name - check row",""))</f>
        <v/>
      </c>
      <c r="AL214" s="1" t="n"/>
      <c r="AM214" s="9">
        <f>IF($B214="","",SUMPRODUCT(MAX(('Rework Log'!$A$3:$A$500=$B214)*ROW('Rework Log'!$A$3:$A$500))))</f>
        <v/>
      </c>
    </row>
    <row r="215">
      <c r="A215" s="1" t="n"/>
      <c r="B215" s="1" t="n"/>
      <c r="C215" s="1" t="n"/>
      <c r="D215" s="9">
        <f>IF($B215="","",IF(LEFT($AC215,3)="Yes","Blocked",IF(C215="NOT STARTED",IF(K215="","No plan date set",IF(K215&lt;TODAY(),"Review - planned start passed","On track")),IF(C215="DB Dev",IF(N215="","No target set",IF(AND(N215&lt;TODAY(),P215=""),"Overdue","On track")),IF(C215="PBI Dev",IF(Q215="","No target set",IF(AND(Q215&lt;TODAY(),S215=""),"Overdue","On track")),IF(C215="QA",IF(T215="","No target set",IF(AND(T215&lt;TODAY(),V215=""),"Overdue","On track")),IF(C215="DPO Approval",IF(W215="","No target set",IF(W215&lt;TODAY(),"Overdue","On track")),IF(C215="RELEASED IN PROD","Delivered",""))))))))</f>
        <v/>
      </c>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c r="AA215" s="1" t="n"/>
      <c r="AB215" s="1" t="n"/>
      <c r="AC215" s="1" t="n"/>
      <c r="AD215" s="9">
        <f>IF($B215="","",COUNTIF('Rework Log'!$A$3:$A$500,$B215))</f>
        <v/>
      </c>
      <c r="AE215" s="9">
        <f>IF(OR($B215="",$AM215=0),"",INDEX('Rework Log'!$C:$C,$AM215))</f>
        <v/>
      </c>
      <c r="AF215" s="9">
        <f>IF(OR($B215="",$AM215=0),"",INDEX('Rework Log'!$H:$H,$AM215))</f>
        <v/>
      </c>
      <c r="AG215" s="9">
        <f>IF(OR($B215="",$AM215=0),"",INDEX('Rework Log'!$G:$G,$AM215))</f>
        <v/>
      </c>
      <c r="AH215" s="9">
        <f>IF($B215="","",IF(W215&lt;&gt;"","DPO Approval",IF(T215&lt;&gt;"","QA",IF(Q215&lt;&gt;"","PBI Dev",IF(N215&lt;&gt;"","DB Dev","NOT STARTED")))))</f>
        <v/>
      </c>
      <c r="AI215" s="9">
        <f>IF($B215="","",IF(IF($C215="NOT STARTED",0,IF($C215="DB Dev",1,IF($C215="PBI Dev",2,IF($C215="QA",3,IF($C215="DPO Approval",4,IF($C215="RELEASED IN PROD",5,-1))))))&lt;IF($AH215="NOT STARTED",0,IF($AH215="DB Dev",1,IF($AH215="PBI Dev",2,IF($AH215="QA",3,IF($AH215="DPO Approval",4,IF($AH215="RELEASED IN PROD",5,-1)))))),"Yes - was already at "&amp;$AH215&amp;", now back at "&amp;$C215,"No"))</f>
        <v/>
      </c>
      <c r="AJ215" s="9">
        <f>IF($B215="","",IF(AND(T215&lt;&gt;"",N215&lt;&gt;"",T215&lt;N215),"QA target is before DB Dev target",IF(AND(T215&lt;&gt;"",Q215&lt;&gt;"",T215&lt;Q215),"QA target is before PBI Dev target",IF(AND(W215&lt;&gt;"",T215&lt;&gt;"",W215&lt;T215),"DPO Approval target is before QA target",IF(AND(Z215&lt;&gt;"",W215&lt;&gt;"",Z215&lt;W215),"Confirmed Deployed date is before DPO Approval target","")))))</f>
        <v/>
      </c>
      <c r="AK215" s="9">
        <f>IF($B215="","",IF(COUNTIF($B$2:$B$500,$B215)&gt;1,"Duplicate name - check row",""))</f>
        <v/>
      </c>
      <c r="AL215" s="1" t="n"/>
      <c r="AM215" s="9">
        <f>IF($B215="","",SUMPRODUCT(MAX(('Rework Log'!$A$3:$A$500=$B215)*ROW('Rework Log'!$A$3:$A$500))))</f>
        <v/>
      </c>
    </row>
    <row r="216">
      <c r="A216" s="1" t="n"/>
      <c r="B216" s="1" t="n"/>
      <c r="C216" s="1" t="n"/>
      <c r="D216" s="9">
        <f>IF($B216="","",IF(LEFT($AC216,3)="Yes","Blocked",IF(C216="NOT STARTED",IF(K216="","No plan date set",IF(K216&lt;TODAY(),"Review - planned start passed","On track")),IF(C216="DB Dev",IF(N216="","No target set",IF(AND(N216&lt;TODAY(),P216=""),"Overdue","On track")),IF(C216="PBI Dev",IF(Q216="","No target set",IF(AND(Q216&lt;TODAY(),S216=""),"Overdue","On track")),IF(C216="QA",IF(T216="","No target set",IF(AND(T216&lt;TODAY(),V216=""),"Overdue","On track")),IF(C216="DPO Approval",IF(W216="","No target set",IF(W216&lt;TODAY(),"Overdue","On track")),IF(C216="RELEASED IN PROD","Delivered",""))))))))</f>
        <v/>
      </c>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c r="AA216" s="1" t="n"/>
      <c r="AB216" s="1" t="n"/>
      <c r="AC216" s="1" t="n"/>
      <c r="AD216" s="9">
        <f>IF($B216="","",COUNTIF('Rework Log'!$A$3:$A$500,$B216))</f>
        <v/>
      </c>
      <c r="AE216" s="9">
        <f>IF(OR($B216="",$AM216=0),"",INDEX('Rework Log'!$C:$C,$AM216))</f>
        <v/>
      </c>
      <c r="AF216" s="9">
        <f>IF(OR($B216="",$AM216=0),"",INDEX('Rework Log'!$H:$H,$AM216))</f>
        <v/>
      </c>
      <c r="AG216" s="9">
        <f>IF(OR($B216="",$AM216=0),"",INDEX('Rework Log'!$G:$G,$AM216))</f>
        <v/>
      </c>
      <c r="AH216" s="9">
        <f>IF($B216="","",IF(W216&lt;&gt;"","DPO Approval",IF(T216&lt;&gt;"","QA",IF(Q216&lt;&gt;"","PBI Dev",IF(N216&lt;&gt;"","DB Dev","NOT STARTED")))))</f>
        <v/>
      </c>
      <c r="AI216" s="9">
        <f>IF($B216="","",IF(IF($C216="NOT STARTED",0,IF($C216="DB Dev",1,IF($C216="PBI Dev",2,IF($C216="QA",3,IF($C216="DPO Approval",4,IF($C216="RELEASED IN PROD",5,-1))))))&lt;IF($AH216="NOT STARTED",0,IF($AH216="DB Dev",1,IF($AH216="PBI Dev",2,IF($AH216="QA",3,IF($AH216="DPO Approval",4,IF($AH216="RELEASED IN PROD",5,-1)))))),"Yes - was already at "&amp;$AH216&amp;", now back at "&amp;$C216,"No"))</f>
        <v/>
      </c>
      <c r="AJ216" s="9">
        <f>IF($B216="","",IF(AND(T216&lt;&gt;"",N216&lt;&gt;"",T216&lt;N216),"QA target is before DB Dev target",IF(AND(T216&lt;&gt;"",Q216&lt;&gt;"",T216&lt;Q216),"QA target is before PBI Dev target",IF(AND(W216&lt;&gt;"",T216&lt;&gt;"",W216&lt;T216),"DPO Approval target is before QA target",IF(AND(Z216&lt;&gt;"",W216&lt;&gt;"",Z216&lt;W216),"Confirmed Deployed date is before DPO Approval target","")))))</f>
        <v/>
      </c>
      <c r="AK216" s="9">
        <f>IF($B216="","",IF(COUNTIF($B$2:$B$500,$B216)&gt;1,"Duplicate name - check row",""))</f>
        <v/>
      </c>
      <c r="AL216" s="1" t="n"/>
      <c r="AM216" s="9">
        <f>IF($B216="","",SUMPRODUCT(MAX(('Rework Log'!$A$3:$A$500=$B216)*ROW('Rework Log'!$A$3:$A$500))))</f>
        <v/>
      </c>
    </row>
    <row r="217">
      <c r="A217" s="1" t="n"/>
      <c r="B217" s="1" t="n"/>
      <c r="C217" s="1" t="n"/>
      <c r="D217" s="9">
        <f>IF($B217="","",IF(LEFT($AC217,3)="Yes","Blocked",IF(C217="NOT STARTED",IF(K217="","No plan date set",IF(K217&lt;TODAY(),"Review - planned start passed","On track")),IF(C217="DB Dev",IF(N217="","No target set",IF(AND(N217&lt;TODAY(),P217=""),"Overdue","On track")),IF(C217="PBI Dev",IF(Q217="","No target set",IF(AND(Q217&lt;TODAY(),S217=""),"Overdue","On track")),IF(C217="QA",IF(T217="","No target set",IF(AND(T217&lt;TODAY(),V217=""),"Overdue","On track")),IF(C217="DPO Approval",IF(W217="","No target set",IF(W217&lt;TODAY(),"Overdue","On track")),IF(C217="RELEASED IN PROD","Delivered",""))))))))</f>
        <v/>
      </c>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c r="AA217" s="1" t="n"/>
      <c r="AB217" s="1" t="n"/>
      <c r="AC217" s="1" t="n"/>
      <c r="AD217" s="9">
        <f>IF($B217="","",COUNTIF('Rework Log'!$A$3:$A$500,$B217))</f>
        <v/>
      </c>
      <c r="AE217" s="9">
        <f>IF(OR($B217="",$AM217=0),"",INDEX('Rework Log'!$C:$C,$AM217))</f>
        <v/>
      </c>
      <c r="AF217" s="9">
        <f>IF(OR($B217="",$AM217=0),"",INDEX('Rework Log'!$H:$H,$AM217))</f>
        <v/>
      </c>
      <c r="AG217" s="9">
        <f>IF(OR($B217="",$AM217=0),"",INDEX('Rework Log'!$G:$G,$AM217))</f>
        <v/>
      </c>
      <c r="AH217" s="9">
        <f>IF($B217="","",IF(W217&lt;&gt;"","DPO Approval",IF(T217&lt;&gt;"","QA",IF(Q217&lt;&gt;"","PBI Dev",IF(N217&lt;&gt;"","DB Dev","NOT STARTED")))))</f>
        <v/>
      </c>
      <c r="AI217" s="9">
        <f>IF($B217="","",IF(IF($C217="NOT STARTED",0,IF($C217="DB Dev",1,IF($C217="PBI Dev",2,IF($C217="QA",3,IF($C217="DPO Approval",4,IF($C217="RELEASED IN PROD",5,-1))))))&lt;IF($AH217="NOT STARTED",0,IF($AH217="DB Dev",1,IF($AH217="PBI Dev",2,IF($AH217="QA",3,IF($AH217="DPO Approval",4,IF($AH217="RELEASED IN PROD",5,-1)))))),"Yes - was already at "&amp;$AH217&amp;", now back at "&amp;$C217,"No"))</f>
        <v/>
      </c>
      <c r="AJ217" s="9">
        <f>IF($B217="","",IF(AND(T217&lt;&gt;"",N217&lt;&gt;"",T217&lt;N217),"QA target is before DB Dev target",IF(AND(T217&lt;&gt;"",Q217&lt;&gt;"",T217&lt;Q217),"QA target is before PBI Dev target",IF(AND(W217&lt;&gt;"",T217&lt;&gt;"",W217&lt;T217),"DPO Approval target is before QA target",IF(AND(Z217&lt;&gt;"",W217&lt;&gt;"",Z217&lt;W217),"Confirmed Deployed date is before DPO Approval target","")))))</f>
        <v/>
      </c>
      <c r="AK217" s="9">
        <f>IF($B217="","",IF(COUNTIF($B$2:$B$500,$B217)&gt;1,"Duplicate name - check row",""))</f>
        <v/>
      </c>
      <c r="AL217" s="1" t="n"/>
      <c r="AM217" s="9">
        <f>IF($B217="","",SUMPRODUCT(MAX(('Rework Log'!$A$3:$A$500=$B217)*ROW('Rework Log'!$A$3:$A$500))))</f>
        <v/>
      </c>
    </row>
    <row r="218">
      <c r="A218" s="1" t="n"/>
      <c r="B218" s="1" t="n"/>
      <c r="C218" s="1" t="n"/>
      <c r="D218" s="9">
        <f>IF($B218="","",IF(LEFT($AC218,3)="Yes","Blocked",IF(C218="NOT STARTED",IF(K218="","No plan date set",IF(K218&lt;TODAY(),"Review - planned start passed","On track")),IF(C218="DB Dev",IF(N218="","No target set",IF(AND(N218&lt;TODAY(),P218=""),"Overdue","On track")),IF(C218="PBI Dev",IF(Q218="","No target set",IF(AND(Q218&lt;TODAY(),S218=""),"Overdue","On track")),IF(C218="QA",IF(T218="","No target set",IF(AND(T218&lt;TODAY(),V218=""),"Overdue","On track")),IF(C218="DPO Approval",IF(W218="","No target set",IF(W218&lt;TODAY(),"Overdue","On track")),IF(C218="RELEASED IN PROD","Delivered",""))))))))</f>
        <v/>
      </c>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c r="AA218" s="1" t="n"/>
      <c r="AB218" s="1" t="n"/>
      <c r="AC218" s="1" t="n"/>
      <c r="AD218" s="9">
        <f>IF($B218="","",COUNTIF('Rework Log'!$A$3:$A$500,$B218))</f>
        <v/>
      </c>
      <c r="AE218" s="9">
        <f>IF(OR($B218="",$AM218=0),"",INDEX('Rework Log'!$C:$C,$AM218))</f>
        <v/>
      </c>
      <c r="AF218" s="9">
        <f>IF(OR($B218="",$AM218=0),"",INDEX('Rework Log'!$H:$H,$AM218))</f>
        <v/>
      </c>
      <c r="AG218" s="9">
        <f>IF(OR($B218="",$AM218=0),"",INDEX('Rework Log'!$G:$G,$AM218))</f>
        <v/>
      </c>
      <c r="AH218" s="9">
        <f>IF($B218="","",IF(W218&lt;&gt;"","DPO Approval",IF(T218&lt;&gt;"","QA",IF(Q218&lt;&gt;"","PBI Dev",IF(N218&lt;&gt;"","DB Dev","NOT STARTED")))))</f>
        <v/>
      </c>
      <c r="AI218" s="9">
        <f>IF($B218="","",IF(IF($C218="NOT STARTED",0,IF($C218="DB Dev",1,IF($C218="PBI Dev",2,IF($C218="QA",3,IF($C218="DPO Approval",4,IF($C218="RELEASED IN PROD",5,-1))))))&lt;IF($AH218="NOT STARTED",0,IF($AH218="DB Dev",1,IF($AH218="PBI Dev",2,IF($AH218="QA",3,IF($AH218="DPO Approval",4,IF($AH218="RELEASED IN PROD",5,-1)))))),"Yes - was already at "&amp;$AH218&amp;", now back at "&amp;$C218,"No"))</f>
        <v/>
      </c>
      <c r="AJ218" s="9">
        <f>IF($B218="","",IF(AND(T218&lt;&gt;"",N218&lt;&gt;"",T218&lt;N218),"QA target is before DB Dev target",IF(AND(T218&lt;&gt;"",Q218&lt;&gt;"",T218&lt;Q218),"QA target is before PBI Dev target",IF(AND(W218&lt;&gt;"",T218&lt;&gt;"",W218&lt;T218),"DPO Approval target is before QA target",IF(AND(Z218&lt;&gt;"",W218&lt;&gt;"",Z218&lt;W218),"Confirmed Deployed date is before DPO Approval target","")))))</f>
        <v/>
      </c>
      <c r="AK218" s="9">
        <f>IF($B218="","",IF(COUNTIF($B$2:$B$500,$B218)&gt;1,"Duplicate name - check row",""))</f>
        <v/>
      </c>
      <c r="AL218" s="1" t="n"/>
      <c r="AM218" s="9">
        <f>IF($B218="","",SUMPRODUCT(MAX(('Rework Log'!$A$3:$A$500=$B218)*ROW('Rework Log'!$A$3:$A$500))))</f>
        <v/>
      </c>
    </row>
    <row r="219">
      <c r="A219" s="1" t="n"/>
      <c r="B219" s="1" t="n"/>
      <c r="C219" s="1" t="n"/>
      <c r="D219" s="9">
        <f>IF($B219="","",IF(LEFT($AC219,3)="Yes","Blocked",IF(C219="NOT STARTED",IF(K219="","No plan date set",IF(K219&lt;TODAY(),"Review - planned start passed","On track")),IF(C219="DB Dev",IF(N219="","No target set",IF(AND(N219&lt;TODAY(),P219=""),"Overdue","On track")),IF(C219="PBI Dev",IF(Q219="","No target set",IF(AND(Q219&lt;TODAY(),S219=""),"Overdue","On track")),IF(C219="QA",IF(T219="","No target set",IF(AND(T219&lt;TODAY(),V219=""),"Overdue","On track")),IF(C219="DPO Approval",IF(W219="","No target set",IF(W219&lt;TODAY(),"Overdue","On track")),IF(C219="RELEASED IN PROD","Delivered",""))))))))</f>
        <v/>
      </c>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c r="AA219" s="1" t="n"/>
      <c r="AB219" s="1" t="n"/>
      <c r="AC219" s="1" t="n"/>
      <c r="AD219" s="9">
        <f>IF($B219="","",COUNTIF('Rework Log'!$A$3:$A$500,$B219))</f>
        <v/>
      </c>
      <c r="AE219" s="9">
        <f>IF(OR($B219="",$AM219=0),"",INDEX('Rework Log'!$C:$C,$AM219))</f>
        <v/>
      </c>
      <c r="AF219" s="9">
        <f>IF(OR($B219="",$AM219=0),"",INDEX('Rework Log'!$H:$H,$AM219))</f>
        <v/>
      </c>
      <c r="AG219" s="9">
        <f>IF(OR($B219="",$AM219=0),"",INDEX('Rework Log'!$G:$G,$AM219))</f>
        <v/>
      </c>
      <c r="AH219" s="9">
        <f>IF($B219="","",IF(W219&lt;&gt;"","DPO Approval",IF(T219&lt;&gt;"","QA",IF(Q219&lt;&gt;"","PBI Dev",IF(N219&lt;&gt;"","DB Dev","NOT STARTED")))))</f>
        <v/>
      </c>
      <c r="AI219" s="9">
        <f>IF($B219="","",IF(IF($C219="NOT STARTED",0,IF($C219="DB Dev",1,IF($C219="PBI Dev",2,IF($C219="QA",3,IF($C219="DPO Approval",4,IF($C219="RELEASED IN PROD",5,-1))))))&lt;IF($AH219="NOT STARTED",0,IF($AH219="DB Dev",1,IF($AH219="PBI Dev",2,IF($AH219="QA",3,IF($AH219="DPO Approval",4,IF($AH219="RELEASED IN PROD",5,-1)))))),"Yes - was already at "&amp;$AH219&amp;", now back at "&amp;$C219,"No"))</f>
        <v/>
      </c>
      <c r="AJ219" s="9">
        <f>IF($B219="","",IF(AND(T219&lt;&gt;"",N219&lt;&gt;"",T219&lt;N219),"QA target is before DB Dev target",IF(AND(T219&lt;&gt;"",Q219&lt;&gt;"",T219&lt;Q219),"QA target is before PBI Dev target",IF(AND(W219&lt;&gt;"",T219&lt;&gt;"",W219&lt;T219),"DPO Approval target is before QA target",IF(AND(Z219&lt;&gt;"",W219&lt;&gt;"",Z219&lt;W219),"Confirmed Deployed date is before DPO Approval target","")))))</f>
        <v/>
      </c>
      <c r="AK219" s="9">
        <f>IF($B219="","",IF(COUNTIF($B$2:$B$500,$B219)&gt;1,"Duplicate name - check row",""))</f>
        <v/>
      </c>
      <c r="AL219" s="1" t="n"/>
      <c r="AM219" s="9">
        <f>IF($B219="","",SUMPRODUCT(MAX(('Rework Log'!$A$3:$A$500=$B219)*ROW('Rework Log'!$A$3:$A$500))))</f>
        <v/>
      </c>
    </row>
    <row r="220">
      <c r="A220" s="1" t="n"/>
      <c r="B220" s="1" t="n"/>
      <c r="C220" s="1" t="n"/>
      <c r="D220" s="9">
        <f>IF($B220="","",IF(LEFT($AC220,3)="Yes","Blocked",IF(C220="NOT STARTED",IF(K220="","No plan date set",IF(K220&lt;TODAY(),"Review - planned start passed","On track")),IF(C220="DB Dev",IF(N220="","No target set",IF(AND(N220&lt;TODAY(),P220=""),"Overdue","On track")),IF(C220="PBI Dev",IF(Q220="","No target set",IF(AND(Q220&lt;TODAY(),S220=""),"Overdue","On track")),IF(C220="QA",IF(T220="","No target set",IF(AND(T220&lt;TODAY(),V220=""),"Overdue","On track")),IF(C220="DPO Approval",IF(W220="","No target set",IF(W220&lt;TODAY(),"Overdue","On track")),IF(C220="RELEASED IN PROD","Delivered",""))))))))</f>
        <v/>
      </c>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c r="AA220" s="1" t="n"/>
      <c r="AB220" s="1" t="n"/>
      <c r="AC220" s="1" t="n"/>
      <c r="AD220" s="9">
        <f>IF($B220="","",COUNTIF('Rework Log'!$A$3:$A$500,$B220))</f>
        <v/>
      </c>
      <c r="AE220" s="9">
        <f>IF(OR($B220="",$AM220=0),"",INDEX('Rework Log'!$C:$C,$AM220))</f>
        <v/>
      </c>
      <c r="AF220" s="9">
        <f>IF(OR($B220="",$AM220=0),"",INDEX('Rework Log'!$H:$H,$AM220))</f>
        <v/>
      </c>
      <c r="AG220" s="9">
        <f>IF(OR($B220="",$AM220=0),"",INDEX('Rework Log'!$G:$G,$AM220))</f>
        <v/>
      </c>
      <c r="AH220" s="9">
        <f>IF($B220="","",IF(W220&lt;&gt;"","DPO Approval",IF(T220&lt;&gt;"","QA",IF(Q220&lt;&gt;"","PBI Dev",IF(N220&lt;&gt;"","DB Dev","NOT STARTED")))))</f>
        <v/>
      </c>
      <c r="AI220" s="9">
        <f>IF($B220="","",IF(IF($C220="NOT STARTED",0,IF($C220="DB Dev",1,IF($C220="PBI Dev",2,IF($C220="QA",3,IF($C220="DPO Approval",4,IF($C220="RELEASED IN PROD",5,-1))))))&lt;IF($AH220="NOT STARTED",0,IF($AH220="DB Dev",1,IF($AH220="PBI Dev",2,IF($AH220="QA",3,IF($AH220="DPO Approval",4,IF($AH220="RELEASED IN PROD",5,-1)))))),"Yes - was already at "&amp;$AH220&amp;", now back at "&amp;$C220,"No"))</f>
        <v/>
      </c>
      <c r="AJ220" s="9">
        <f>IF($B220="","",IF(AND(T220&lt;&gt;"",N220&lt;&gt;"",T220&lt;N220),"QA target is before DB Dev target",IF(AND(T220&lt;&gt;"",Q220&lt;&gt;"",T220&lt;Q220),"QA target is before PBI Dev target",IF(AND(W220&lt;&gt;"",T220&lt;&gt;"",W220&lt;T220),"DPO Approval target is before QA target",IF(AND(Z220&lt;&gt;"",W220&lt;&gt;"",Z220&lt;W220),"Confirmed Deployed date is before DPO Approval target","")))))</f>
        <v/>
      </c>
      <c r="AK220" s="9">
        <f>IF($B220="","",IF(COUNTIF($B$2:$B$500,$B220)&gt;1,"Duplicate name - check row",""))</f>
        <v/>
      </c>
      <c r="AL220" s="1" t="n"/>
      <c r="AM220" s="9">
        <f>IF($B220="","",SUMPRODUCT(MAX(('Rework Log'!$A$3:$A$500=$B220)*ROW('Rework Log'!$A$3:$A$500))))</f>
        <v/>
      </c>
    </row>
    <row r="221">
      <c r="A221" s="1" t="n"/>
      <c r="B221" s="1" t="n"/>
      <c r="C221" s="1" t="n"/>
      <c r="D221" s="9">
        <f>IF($B221="","",IF(LEFT($AC221,3)="Yes","Blocked",IF(C221="NOT STARTED",IF(K221="","No plan date set",IF(K221&lt;TODAY(),"Review - planned start passed","On track")),IF(C221="DB Dev",IF(N221="","No target set",IF(AND(N221&lt;TODAY(),P221=""),"Overdue","On track")),IF(C221="PBI Dev",IF(Q221="","No target set",IF(AND(Q221&lt;TODAY(),S221=""),"Overdue","On track")),IF(C221="QA",IF(T221="","No target set",IF(AND(T221&lt;TODAY(),V221=""),"Overdue","On track")),IF(C221="DPO Approval",IF(W221="","No target set",IF(W221&lt;TODAY(),"Overdue","On track")),IF(C221="RELEASED IN PROD","Delivered",""))))))))</f>
        <v/>
      </c>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c r="AA221" s="1" t="n"/>
      <c r="AB221" s="1" t="n"/>
      <c r="AC221" s="1" t="n"/>
      <c r="AD221" s="9">
        <f>IF($B221="","",COUNTIF('Rework Log'!$A$3:$A$500,$B221))</f>
        <v/>
      </c>
      <c r="AE221" s="9">
        <f>IF(OR($B221="",$AM221=0),"",INDEX('Rework Log'!$C:$C,$AM221))</f>
        <v/>
      </c>
      <c r="AF221" s="9">
        <f>IF(OR($B221="",$AM221=0),"",INDEX('Rework Log'!$H:$H,$AM221))</f>
        <v/>
      </c>
      <c r="AG221" s="9">
        <f>IF(OR($B221="",$AM221=0),"",INDEX('Rework Log'!$G:$G,$AM221))</f>
        <v/>
      </c>
      <c r="AH221" s="9">
        <f>IF($B221="","",IF(W221&lt;&gt;"","DPO Approval",IF(T221&lt;&gt;"","QA",IF(Q221&lt;&gt;"","PBI Dev",IF(N221&lt;&gt;"","DB Dev","NOT STARTED")))))</f>
        <v/>
      </c>
      <c r="AI221" s="9">
        <f>IF($B221="","",IF(IF($C221="NOT STARTED",0,IF($C221="DB Dev",1,IF($C221="PBI Dev",2,IF($C221="QA",3,IF($C221="DPO Approval",4,IF($C221="RELEASED IN PROD",5,-1))))))&lt;IF($AH221="NOT STARTED",0,IF($AH221="DB Dev",1,IF($AH221="PBI Dev",2,IF($AH221="QA",3,IF($AH221="DPO Approval",4,IF($AH221="RELEASED IN PROD",5,-1)))))),"Yes - was already at "&amp;$AH221&amp;", now back at "&amp;$C221,"No"))</f>
        <v/>
      </c>
      <c r="AJ221" s="9">
        <f>IF($B221="","",IF(AND(T221&lt;&gt;"",N221&lt;&gt;"",T221&lt;N221),"QA target is before DB Dev target",IF(AND(T221&lt;&gt;"",Q221&lt;&gt;"",T221&lt;Q221),"QA target is before PBI Dev target",IF(AND(W221&lt;&gt;"",T221&lt;&gt;"",W221&lt;T221),"DPO Approval target is before QA target",IF(AND(Z221&lt;&gt;"",W221&lt;&gt;"",Z221&lt;W221),"Confirmed Deployed date is before DPO Approval target","")))))</f>
        <v/>
      </c>
      <c r="AK221" s="9">
        <f>IF($B221="","",IF(COUNTIF($B$2:$B$500,$B221)&gt;1,"Duplicate name - check row",""))</f>
        <v/>
      </c>
      <c r="AL221" s="1" t="n"/>
      <c r="AM221" s="9">
        <f>IF($B221="","",SUMPRODUCT(MAX(('Rework Log'!$A$3:$A$500=$B221)*ROW('Rework Log'!$A$3:$A$500))))</f>
        <v/>
      </c>
    </row>
    <row r="222">
      <c r="A222" s="1" t="n"/>
      <c r="B222" s="1" t="n"/>
      <c r="C222" s="1" t="n"/>
      <c r="D222" s="9">
        <f>IF($B222="","",IF(LEFT($AC222,3)="Yes","Blocked",IF(C222="NOT STARTED",IF(K222="","No plan date set",IF(K222&lt;TODAY(),"Review - planned start passed","On track")),IF(C222="DB Dev",IF(N222="","No target set",IF(AND(N222&lt;TODAY(),P222=""),"Overdue","On track")),IF(C222="PBI Dev",IF(Q222="","No target set",IF(AND(Q222&lt;TODAY(),S222=""),"Overdue","On track")),IF(C222="QA",IF(T222="","No target set",IF(AND(T222&lt;TODAY(),V222=""),"Overdue","On track")),IF(C222="DPO Approval",IF(W222="","No target set",IF(W222&lt;TODAY(),"Overdue","On track")),IF(C222="RELEASED IN PROD","Delivered",""))))))))</f>
        <v/>
      </c>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c r="AA222" s="1" t="n"/>
      <c r="AB222" s="1" t="n"/>
      <c r="AC222" s="1" t="n"/>
      <c r="AD222" s="9">
        <f>IF($B222="","",COUNTIF('Rework Log'!$A$3:$A$500,$B222))</f>
        <v/>
      </c>
      <c r="AE222" s="9">
        <f>IF(OR($B222="",$AM222=0),"",INDEX('Rework Log'!$C:$C,$AM222))</f>
        <v/>
      </c>
      <c r="AF222" s="9">
        <f>IF(OR($B222="",$AM222=0),"",INDEX('Rework Log'!$H:$H,$AM222))</f>
        <v/>
      </c>
      <c r="AG222" s="9">
        <f>IF(OR($B222="",$AM222=0),"",INDEX('Rework Log'!$G:$G,$AM222))</f>
        <v/>
      </c>
      <c r="AH222" s="9">
        <f>IF($B222="","",IF(W222&lt;&gt;"","DPO Approval",IF(T222&lt;&gt;"","QA",IF(Q222&lt;&gt;"","PBI Dev",IF(N222&lt;&gt;"","DB Dev","NOT STARTED")))))</f>
        <v/>
      </c>
      <c r="AI222" s="9">
        <f>IF($B222="","",IF(IF($C222="NOT STARTED",0,IF($C222="DB Dev",1,IF($C222="PBI Dev",2,IF($C222="QA",3,IF($C222="DPO Approval",4,IF($C222="RELEASED IN PROD",5,-1))))))&lt;IF($AH222="NOT STARTED",0,IF($AH222="DB Dev",1,IF($AH222="PBI Dev",2,IF($AH222="QA",3,IF($AH222="DPO Approval",4,IF($AH222="RELEASED IN PROD",5,-1)))))),"Yes - was already at "&amp;$AH222&amp;", now back at "&amp;$C222,"No"))</f>
        <v/>
      </c>
      <c r="AJ222" s="9">
        <f>IF($B222="","",IF(AND(T222&lt;&gt;"",N222&lt;&gt;"",T222&lt;N222),"QA target is before DB Dev target",IF(AND(T222&lt;&gt;"",Q222&lt;&gt;"",T222&lt;Q222),"QA target is before PBI Dev target",IF(AND(W222&lt;&gt;"",T222&lt;&gt;"",W222&lt;T222),"DPO Approval target is before QA target",IF(AND(Z222&lt;&gt;"",W222&lt;&gt;"",Z222&lt;W222),"Confirmed Deployed date is before DPO Approval target","")))))</f>
        <v/>
      </c>
      <c r="AK222" s="9">
        <f>IF($B222="","",IF(COUNTIF($B$2:$B$500,$B222)&gt;1,"Duplicate name - check row",""))</f>
        <v/>
      </c>
      <c r="AL222" s="1" t="n"/>
      <c r="AM222" s="9">
        <f>IF($B222="","",SUMPRODUCT(MAX(('Rework Log'!$A$3:$A$500=$B222)*ROW('Rework Log'!$A$3:$A$500))))</f>
        <v/>
      </c>
    </row>
    <row r="223">
      <c r="A223" s="1" t="n"/>
      <c r="B223" s="1" t="n"/>
      <c r="C223" s="1" t="n"/>
      <c r="D223" s="9">
        <f>IF($B223="","",IF(LEFT($AC223,3)="Yes","Blocked",IF(C223="NOT STARTED",IF(K223="","No plan date set",IF(K223&lt;TODAY(),"Review - planned start passed","On track")),IF(C223="DB Dev",IF(N223="","No target set",IF(AND(N223&lt;TODAY(),P223=""),"Overdue","On track")),IF(C223="PBI Dev",IF(Q223="","No target set",IF(AND(Q223&lt;TODAY(),S223=""),"Overdue","On track")),IF(C223="QA",IF(T223="","No target set",IF(AND(T223&lt;TODAY(),V223=""),"Overdue","On track")),IF(C223="DPO Approval",IF(W223="","No target set",IF(W223&lt;TODAY(),"Overdue","On track")),IF(C223="RELEASED IN PROD","Delivered",""))))))))</f>
        <v/>
      </c>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c r="AA223" s="1" t="n"/>
      <c r="AB223" s="1" t="n"/>
      <c r="AC223" s="1" t="n"/>
      <c r="AD223" s="9">
        <f>IF($B223="","",COUNTIF('Rework Log'!$A$3:$A$500,$B223))</f>
        <v/>
      </c>
      <c r="AE223" s="9">
        <f>IF(OR($B223="",$AM223=0),"",INDEX('Rework Log'!$C:$C,$AM223))</f>
        <v/>
      </c>
      <c r="AF223" s="9">
        <f>IF(OR($B223="",$AM223=0),"",INDEX('Rework Log'!$H:$H,$AM223))</f>
        <v/>
      </c>
      <c r="AG223" s="9">
        <f>IF(OR($B223="",$AM223=0),"",INDEX('Rework Log'!$G:$G,$AM223))</f>
        <v/>
      </c>
      <c r="AH223" s="9">
        <f>IF($B223="","",IF(W223&lt;&gt;"","DPO Approval",IF(T223&lt;&gt;"","QA",IF(Q223&lt;&gt;"","PBI Dev",IF(N223&lt;&gt;"","DB Dev","NOT STARTED")))))</f>
        <v/>
      </c>
      <c r="AI223" s="9">
        <f>IF($B223="","",IF(IF($C223="NOT STARTED",0,IF($C223="DB Dev",1,IF($C223="PBI Dev",2,IF($C223="QA",3,IF($C223="DPO Approval",4,IF($C223="RELEASED IN PROD",5,-1))))))&lt;IF($AH223="NOT STARTED",0,IF($AH223="DB Dev",1,IF($AH223="PBI Dev",2,IF($AH223="QA",3,IF($AH223="DPO Approval",4,IF($AH223="RELEASED IN PROD",5,-1)))))),"Yes - was already at "&amp;$AH223&amp;", now back at "&amp;$C223,"No"))</f>
        <v/>
      </c>
      <c r="AJ223" s="9">
        <f>IF($B223="","",IF(AND(T223&lt;&gt;"",N223&lt;&gt;"",T223&lt;N223),"QA target is before DB Dev target",IF(AND(T223&lt;&gt;"",Q223&lt;&gt;"",T223&lt;Q223),"QA target is before PBI Dev target",IF(AND(W223&lt;&gt;"",T223&lt;&gt;"",W223&lt;T223),"DPO Approval target is before QA target",IF(AND(Z223&lt;&gt;"",W223&lt;&gt;"",Z223&lt;W223),"Confirmed Deployed date is before DPO Approval target","")))))</f>
        <v/>
      </c>
      <c r="AK223" s="9">
        <f>IF($B223="","",IF(COUNTIF($B$2:$B$500,$B223)&gt;1,"Duplicate name - check row",""))</f>
        <v/>
      </c>
      <c r="AL223" s="1" t="n"/>
      <c r="AM223" s="9">
        <f>IF($B223="","",SUMPRODUCT(MAX(('Rework Log'!$A$3:$A$500=$B223)*ROW('Rework Log'!$A$3:$A$500))))</f>
        <v/>
      </c>
    </row>
    <row r="224">
      <c r="A224" s="1" t="n"/>
      <c r="B224" s="1" t="n"/>
      <c r="C224" s="1" t="n"/>
      <c r="D224" s="9">
        <f>IF($B224="","",IF(LEFT($AC224,3)="Yes","Blocked",IF(C224="NOT STARTED",IF(K224="","No plan date set",IF(K224&lt;TODAY(),"Review - planned start passed","On track")),IF(C224="DB Dev",IF(N224="","No target set",IF(AND(N224&lt;TODAY(),P224=""),"Overdue","On track")),IF(C224="PBI Dev",IF(Q224="","No target set",IF(AND(Q224&lt;TODAY(),S224=""),"Overdue","On track")),IF(C224="QA",IF(T224="","No target set",IF(AND(T224&lt;TODAY(),V224=""),"Overdue","On track")),IF(C224="DPO Approval",IF(W224="","No target set",IF(W224&lt;TODAY(),"Overdue","On track")),IF(C224="RELEASED IN PROD","Delivered",""))))))))</f>
        <v/>
      </c>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c r="AA224" s="1" t="n"/>
      <c r="AB224" s="1" t="n"/>
      <c r="AC224" s="1" t="n"/>
      <c r="AD224" s="9">
        <f>IF($B224="","",COUNTIF('Rework Log'!$A$3:$A$500,$B224))</f>
        <v/>
      </c>
      <c r="AE224" s="9">
        <f>IF(OR($B224="",$AM224=0),"",INDEX('Rework Log'!$C:$C,$AM224))</f>
        <v/>
      </c>
      <c r="AF224" s="9">
        <f>IF(OR($B224="",$AM224=0),"",INDEX('Rework Log'!$H:$H,$AM224))</f>
        <v/>
      </c>
      <c r="AG224" s="9">
        <f>IF(OR($B224="",$AM224=0),"",INDEX('Rework Log'!$G:$G,$AM224))</f>
        <v/>
      </c>
      <c r="AH224" s="9">
        <f>IF($B224="","",IF(W224&lt;&gt;"","DPO Approval",IF(T224&lt;&gt;"","QA",IF(Q224&lt;&gt;"","PBI Dev",IF(N224&lt;&gt;"","DB Dev","NOT STARTED")))))</f>
        <v/>
      </c>
      <c r="AI224" s="9">
        <f>IF($B224="","",IF(IF($C224="NOT STARTED",0,IF($C224="DB Dev",1,IF($C224="PBI Dev",2,IF($C224="QA",3,IF($C224="DPO Approval",4,IF($C224="RELEASED IN PROD",5,-1))))))&lt;IF($AH224="NOT STARTED",0,IF($AH224="DB Dev",1,IF($AH224="PBI Dev",2,IF($AH224="QA",3,IF($AH224="DPO Approval",4,IF($AH224="RELEASED IN PROD",5,-1)))))),"Yes - was already at "&amp;$AH224&amp;", now back at "&amp;$C224,"No"))</f>
        <v/>
      </c>
      <c r="AJ224" s="9">
        <f>IF($B224="","",IF(AND(T224&lt;&gt;"",N224&lt;&gt;"",T224&lt;N224),"QA target is before DB Dev target",IF(AND(T224&lt;&gt;"",Q224&lt;&gt;"",T224&lt;Q224),"QA target is before PBI Dev target",IF(AND(W224&lt;&gt;"",T224&lt;&gt;"",W224&lt;T224),"DPO Approval target is before QA target",IF(AND(Z224&lt;&gt;"",W224&lt;&gt;"",Z224&lt;W224),"Confirmed Deployed date is before DPO Approval target","")))))</f>
        <v/>
      </c>
      <c r="AK224" s="9">
        <f>IF($B224="","",IF(COUNTIF($B$2:$B$500,$B224)&gt;1,"Duplicate name - check row",""))</f>
        <v/>
      </c>
      <c r="AL224" s="1" t="n"/>
      <c r="AM224" s="9">
        <f>IF($B224="","",SUMPRODUCT(MAX(('Rework Log'!$A$3:$A$500=$B224)*ROW('Rework Log'!$A$3:$A$500))))</f>
        <v/>
      </c>
    </row>
    <row r="225">
      <c r="A225" s="1" t="n"/>
      <c r="B225" s="1" t="n"/>
      <c r="C225" s="1" t="n"/>
      <c r="D225" s="9">
        <f>IF($B225="","",IF(LEFT($AC225,3)="Yes","Blocked",IF(C225="NOT STARTED",IF(K225="","No plan date set",IF(K225&lt;TODAY(),"Review - planned start passed","On track")),IF(C225="DB Dev",IF(N225="","No target set",IF(AND(N225&lt;TODAY(),P225=""),"Overdue","On track")),IF(C225="PBI Dev",IF(Q225="","No target set",IF(AND(Q225&lt;TODAY(),S225=""),"Overdue","On track")),IF(C225="QA",IF(T225="","No target set",IF(AND(T225&lt;TODAY(),V225=""),"Overdue","On track")),IF(C225="DPO Approval",IF(W225="","No target set",IF(W225&lt;TODAY(),"Overdue","On track")),IF(C225="RELEASED IN PROD","Delivered",""))))))))</f>
        <v/>
      </c>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c r="AA225" s="1" t="n"/>
      <c r="AB225" s="1" t="n"/>
      <c r="AC225" s="1" t="n"/>
      <c r="AD225" s="9">
        <f>IF($B225="","",COUNTIF('Rework Log'!$A$3:$A$500,$B225))</f>
        <v/>
      </c>
      <c r="AE225" s="9">
        <f>IF(OR($B225="",$AM225=0),"",INDEX('Rework Log'!$C:$C,$AM225))</f>
        <v/>
      </c>
      <c r="AF225" s="9">
        <f>IF(OR($B225="",$AM225=0),"",INDEX('Rework Log'!$H:$H,$AM225))</f>
        <v/>
      </c>
      <c r="AG225" s="9">
        <f>IF(OR($B225="",$AM225=0),"",INDEX('Rework Log'!$G:$G,$AM225))</f>
        <v/>
      </c>
      <c r="AH225" s="9">
        <f>IF($B225="","",IF(W225&lt;&gt;"","DPO Approval",IF(T225&lt;&gt;"","QA",IF(Q225&lt;&gt;"","PBI Dev",IF(N225&lt;&gt;"","DB Dev","NOT STARTED")))))</f>
        <v/>
      </c>
      <c r="AI225" s="9">
        <f>IF($B225="","",IF(IF($C225="NOT STARTED",0,IF($C225="DB Dev",1,IF($C225="PBI Dev",2,IF($C225="QA",3,IF($C225="DPO Approval",4,IF($C225="RELEASED IN PROD",5,-1))))))&lt;IF($AH225="NOT STARTED",0,IF($AH225="DB Dev",1,IF($AH225="PBI Dev",2,IF($AH225="QA",3,IF($AH225="DPO Approval",4,IF($AH225="RELEASED IN PROD",5,-1)))))),"Yes - was already at "&amp;$AH225&amp;", now back at "&amp;$C225,"No"))</f>
        <v/>
      </c>
      <c r="AJ225" s="9">
        <f>IF($B225="","",IF(AND(T225&lt;&gt;"",N225&lt;&gt;"",T225&lt;N225),"QA target is before DB Dev target",IF(AND(T225&lt;&gt;"",Q225&lt;&gt;"",T225&lt;Q225),"QA target is before PBI Dev target",IF(AND(W225&lt;&gt;"",T225&lt;&gt;"",W225&lt;T225),"DPO Approval target is before QA target",IF(AND(Z225&lt;&gt;"",W225&lt;&gt;"",Z225&lt;W225),"Confirmed Deployed date is before DPO Approval target","")))))</f>
        <v/>
      </c>
      <c r="AK225" s="9">
        <f>IF($B225="","",IF(COUNTIF($B$2:$B$500,$B225)&gt;1,"Duplicate name - check row",""))</f>
        <v/>
      </c>
      <c r="AL225" s="1" t="n"/>
      <c r="AM225" s="9">
        <f>IF($B225="","",SUMPRODUCT(MAX(('Rework Log'!$A$3:$A$500=$B225)*ROW('Rework Log'!$A$3:$A$500))))</f>
        <v/>
      </c>
    </row>
    <row r="226">
      <c r="A226" s="1" t="n"/>
      <c r="B226" s="1" t="n"/>
      <c r="C226" s="1" t="n"/>
      <c r="D226" s="9">
        <f>IF($B226="","",IF(LEFT($AC226,3)="Yes","Blocked",IF(C226="NOT STARTED",IF(K226="","No plan date set",IF(K226&lt;TODAY(),"Review - planned start passed","On track")),IF(C226="DB Dev",IF(N226="","No target set",IF(AND(N226&lt;TODAY(),P226=""),"Overdue","On track")),IF(C226="PBI Dev",IF(Q226="","No target set",IF(AND(Q226&lt;TODAY(),S226=""),"Overdue","On track")),IF(C226="QA",IF(T226="","No target set",IF(AND(T226&lt;TODAY(),V226=""),"Overdue","On track")),IF(C226="DPO Approval",IF(W226="","No target set",IF(W226&lt;TODAY(),"Overdue","On track")),IF(C226="RELEASED IN PROD","Delivered",""))))))))</f>
        <v/>
      </c>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c r="AA226" s="1" t="n"/>
      <c r="AB226" s="1" t="n"/>
      <c r="AC226" s="1" t="n"/>
      <c r="AD226" s="9">
        <f>IF($B226="","",COUNTIF('Rework Log'!$A$3:$A$500,$B226))</f>
        <v/>
      </c>
      <c r="AE226" s="9">
        <f>IF(OR($B226="",$AM226=0),"",INDEX('Rework Log'!$C:$C,$AM226))</f>
        <v/>
      </c>
      <c r="AF226" s="9">
        <f>IF(OR($B226="",$AM226=0),"",INDEX('Rework Log'!$H:$H,$AM226))</f>
        <v/>
      </c>
      <c r="AG226" s="9">
        <f>IF(OR($B226="",$AM226=0),"",INDEX('Rework Log'!$G:$G,$AM226))</f>
        <v/>
      </c>
      <c r="AH226" s="9">
        <f>IF($B226="","",IF(W226&lt;&gt;"","DPO Approval",IF(T226&lt;&gt;"","QA",IF(Q226&lt;&gt;"","PBI Dev",IF(N226&lt;&gt;"","DB Dev","NOT STARTED")))))</f>
        <v/>
      </c>
      <c r="AI226" s="9">
        <f>IF($B226="","",IF(IF($C226="NOT STARTED",0,IF($C226="DB Dev",1,IF($C226="PBI Dev",2,IF($C226="QA",3,IF($C226="DPO Approval",4,IF($C226="RELEASED IN PROD",5,-1))))))&lt;IF($AH226="NOT STARTED",0,IF($AH226="DB Dev",1,IF($AH226="PBI Dev",2,IF($AH226="QA",3,IF($AH226="DPO Approval",4,IF($AH226="RELEASED IN PROD",5,-1)))))),"Yes - was already at "&amp;$AH226&amp;", now back at "&amp;$C226,"No"))</f>
        <v/>
      </c>
      <c r="AJ226" s="9">
        <f>IF($B226="","",IF(AND(T226&lt;&gt;"",N226&lt;&gt;"",T226&lt;N226),"QA target is before DB Dev target",IF(AND(T226&lt;&gt;"",Q226&lt;&gt;"",T226&lt;Q226),"QA target is before PBI Dev target",IF(AND(W226&lt;&gt;"",T226&lt;&gt;"",W226&lt;T226),"DPO Approval target is before QA target",IF(AND(Z226&lt;&gt;"",W226&lt;&gt;"",Z226&lt;W226),"Confirmed Deployed date is before DPO Approval target","")))))</f>
        <v/>
      </c>
      <c r="AK226" s="9">
        <f>IF($B226="","",IF(COUNTIF($B$2:$B$500,$B226)&gt;1,"Duplicate name - check row",""))</f>
        <v/>
      </c>
      <c r="AL226" s="1" t="n"/>
      <c r="AM226" s="9">
        <f>IF($B226="","",SUMPRODUCT(MAX(('Rework Log'!$A$3:$A$500=$B226)*ROW('Rework Log'!$A$3:$A$500))))</f>
        <v/>
      </c>
    </row>
    <row r="227">
      <c r="A227" s="1" t="n"/>
      <c r="B227" s="1" t="n"/>
      <c r="C227" s="1" t="n"/>
      <c r="D227" s="9">
        <f>IF($B227="","",IF(LEFT($AC227,3)="Yes","Blocked",IF(C227="NOT STARTED",IF(K227="","No plan date set",IF(K227&lt;TODAY(),"Review - planned start passed","On track")),IF(C227="DB Dev",IF(N227="","No target set",IF(AND(N227&lt;TODAY(),P227=""),"Overdue","On track")),IF(C227="PBI Dev",IF(Q227="","No target set",IF(AND(Q227&lt;TODAY(),S227=""),"Overdue","On track")),IF(C227="QA",IF(T227="","No target set",IF(AND(T227&lt;TODAY(),V227=""),"Overdue","On track")),IF(C227="DPO Approval",IF(W227="","No target set",IF(W227&lt;TODAY(),"Overdue","On track")),IF(C227="RELEASED IN PROD","Delivered",""))))))))</f>
        <v/>
      </c>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c r="AA227" s="1" t="n"/>
      <c r="AB227" s="1" t="n"/>
      <c r="AC227" s="1" t="n"/>
      <c r="AD227" s="9">
        <f>IF($B227="","",COUNTIF('Rework Log'!$A$3:$A$500,$B227))</f>
        <v/>
      </c>
      <c r="AE227" s="9">
        <f>IF(OR($B227="",$AM227=0),"",INDEX('Rework Log'!$C:$C,$AM227))</f>
        <v/>
      </c>
      <c r="AF227" s="9">
        <f>IF(OR($B227="",$AM227=0),"",INDEX('Rework Log'!$H:$H,$AM227))</f>
        <v/>
      </c>
      <c r="AG227" s="9">
        <f>IF(OR($B227="",$AM227=0),"",INDEX('Rework Log'!$G:$G,$AM227))</f>
        <v/>
      </c>
      <c r="AH227" s="9">
        <f>IF($B227="","",IF(W227&lt;&gt;"","DPO Approval",IF(T227&lt;&gt;"","QA",IF(Q227&lt;&gt;"","PBI Dev",IF(N227&lt;&gt;"","DB Dev","NOT STARTED")))))</f>
        <v/>
      </c>
      <c r="AI227" s="9">
        <f>IF($B227="","",IF(IF($C227="NOT STARTED",0,IF($C227="DB Dev",1,IF($C227="PBI Dev",2,IF($C227="QA",3,IF($C227="DPO Approval",4,IF($C227="RELEASED IN PROD",5,-1))))))&lt;IF($AH227="NOT STARTED",0,IF($AH227="DB Dev",1,IF($AH227="PBI Dev",2,IF($AH227="QA",3,IF($AH227="DPO Approval",4,IF($AH227="RELEASED IN PROD",5,-1)))))),"Yes - was already at "&amp;$AH227&amp;", now back at "&amp;$C227,"No"))</f>
        <v/>
      </c>
      <c r="AJ227" s="9">
        <f>IF($B227="","",IF(AND(T227&lt;&gt;"",N227&lt;&gt;"",T227&lt;N227),"QA target is before DB Dev target",IF(AND(T227&lt;&gt;"",Q227&lt;&gt;"",T227&lt;Q227),"QA target is before PBI Dev target",IF(AND(W227&lt;&gt;"",T227&lt;&gt;"",W227&lt;T227),"DPO Approval target is before QA target",IF(AND(Z227&lt;&gt;"",W227&lt;&gt;"",Z227&lt;W227),"Confirmed Deployed date is before DPO Approval target","")))))</f>
        <v/>
      </c>
      <c r="AK227" s="9">
        <f>IF($B227="","",IF(COUNTIF($B$2:$B$500,$B227)&gt;1,"Duplicate name - check row",""))</f>
        <v/>
      </c>
      <c r="AL227" s="1" t="n"/>
      <c r="AM227" s="9">
        <f>IF($B227="","",SUMPRODUCT(MAX(('Rework Log'!$A$3:$A$500=$B227)*ROW('Rework Log'!$A$3:$A$500))))</f>
        <v/>
      </c>
    </row>
    <row r="228">
      <c r="A228" s="1" t="n"/>
      <c r="B228" s="1" t="n"/>
      <c r="C228" s="1" t="n"/>
      <c r="D228" s="9">
        <f>IF($B228="","",IF(LEFT($AC228,3)="Yes","Blocked",IF(C228="NOT STARTED",IF(K228="","No plan date set",IF(K228&lt;TODAY(),"Review - planned start passed","On track")),IF(C228="DB Dev",IF(N228="","No target set",IF(AND(N228&lt;TODAY(),P228=""),"Overdue","On track")),IF(C228="PBI Dev",IF(Q228="","No target set",IF(AND(Q228&lt;TODAY(),S228=""),"Overdue","On track")),IF(C228="QA",IF(T228="","No target set",IF(AND(T228&lt;TODAY(),V228=""),"Overdue","On track")),IF(C228="DPO Approval",IF(W228="","No target set",IF(W228&lt;TODAY(),"Overdue","On track")),IF(C228="RELEASED IN PROD","Delivered",""))))))))</f>
        <v/>
      </c>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c r="AA228" s="1" t="n"/>
      <c r="AB228" s="1" t="n"/>
      <c r="AC228" s="1" t="n"/>
      <c r="AD228" s="9">
        <f>IF($B228="","",COUNTIF('Rework Log'!$A$3:$A$500,$B228))</f>
        <v/>
      </c>
      <c r="AE228" s="9">
        <f>IF(OR($B228="",$AM228=0),"",INDEX('Rework Log'!$C:$C,$AM228))</f>
        <v/>
      </c>
      <c r="AF228" s="9">
        <f>IF(OR($B228="",$AM228=0),"",INDEX('Rework Log'!$H:$H,$AM228))</f>
        <v/>
      </c>
      <c r="AG228" s="9">
        <f>IF(OR($B228="",$AM228=0),"",INDEX('Rework Log'!$G:$G,$AM228))</f>
        <v/>
      </c>
      <c r="AH228" s="9">
        <f>IF($B228="","",IF(W228&lt;&gt;"","DPO Approval",IF(T228&lt;&gt;"","QA",IF(Q228&lt;&gt;"","PBI Dev",IF(N228&lt;&gt;"","DB Dev","NOT STARTED")))))</f>
        <v/>
      </c>
      <c r="AI228" s="9">
        <f>IF($B228="","",IF(IF($C228="NOT STARTED",0,IF($C228="DB Dev",1,IF($C228="PBI Dev",2,IF($C228="QA",3,IF($C228="DPO Approval",4,IF($C228="RELEASED IN PROD",5,-1))))))&lt;IF($AH228="NOT STARTED",0,IF($AH228="DB Dev",1,IF($AH228="PBI Dev",2,IF($AH228="QA",3,IF($AH228="DPO Approval",4,IF($AH228="RELEASED IN PROD",5,-1)))))),"Yes - was already at "&amp;$AH228&amp;", now back at "&amp;$C228,"No"))</f>
        <v/>
      </c>
      <c r="AJ228" s="9">
        <f>IF($B228="","",IF(AND(T228&lt;&gt;"",N228&lt;&gt;"",T228&lt;N228),"QA target is before DB Dev target",IF(AND(T228&lt;&gt;"",Q228&lt;&gt;"",T228&lt;Q228),"QA target is before PBI Dev target",IF(AND(W228&lt;&gt;"",T228&lt;&gt;"",W228&lt;T228),"DPO Approval target is before QA target",IF(AND(Z228&lt;&gt;"",W228&lt;&gt;"",Z228&lt;W228),"Confirmed Deployed date is before DPO Approval target","")))))</f>
        <v/>
      </c>
      <c r="AK228" s="9">
        <f>IF($B228="","",IF(COUNTIF($B$2:$B$500,$B228)&gt;1,"Duplicate name - check row",""))</f>
        <v/>
      </c>
      <c r="AL228" s="1" t="n"/>
      <c r="AM228" s="9">
        <f>IF($B228="","",SUMPRODUCT(MAX(('Rework Log'!$A$3:$A$500=$B228)*ROW('Rework Log'!$A$3:$A$500))))</f>
        <v/>
      </c>
    </row>
    <row r="229">
      <c r="A229" s="1" t="n"/>
      <c r="B229" s="1" t="n"/>
      <c r="C229" s="1" t="n"/>
      <c r="D229" s="9">
        <f>IF($B229="","",IF(LEFT($AC229,3)="Yes","Blocked",IF(C229="NOT STARTED",IF(K229="","No plan date set",IF(K229&lt;TODAY(),"Review - planned start passed","On track")),IF(C229="DB Dev",IF(N229="","No target set",IF(AND(N229&lt;TODAY(),P229=""),"Overdue","On track")),IF(C229="PBI Dev",IF(Q229="","No target set",IF(AND(Q229&lt;TODAY(),S229=""),"Overdue","On track")),IF(C229="QA",IF(T229="","No target set",IF(AND(T229&lt;TODAY(),V229=""),"Overdue","On track")),IF(C229="DPO Approval",IF(W229="","No target set",IF(W229&lt;TODAY(),"Overdue","On track")),IF(C229="RELEASED IN PROD","Delivered",""))))))))</f>
        <v/>
      </c>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c r="AA229" s="1" t="n"/>
      <c r="AB229" s="1" t="n"/>
      <c r="AC229" s="1" t="n"/>
      <c r="AD229" s="9">
        <f>IF($B229="","",COUNTIF('Rework Log'!$A$3:$A$500,$B229))</f>
        <v/>
      </c>
      <c r="AE229" s="9">
        <f>IF(OR($B229="",$AM229=0),"",INDEX('Rework Log'!$C:$C,$AM229))</f>
        <v/>
      </c>
      <c r="AF229" s="9">
        <f>IF(OR($B229="",$AM229=0),"",INDEX('Rework Log'!$H:$H,$AM229))</f>
        <v/>
      </c>
      <c r="AG229" s="9">
        <f>IF(OR($B229="",$AM229=0),"",INDEX('Rework Log'!$G:$G,$AM229))</f>
        <v/>
      </c>
      <c r="AH229" s="9">
        <f>IF($B229="","",IF(W229&lt;&gt;"","DPO Approval",IF(T229&lt;&gt;"","QA",IF(Q229&lt;&gt;"","PBI Dev",IF(N229&lt;&gt;"","DB Dev","NOT STARTED")))))</f>
        <v/>
      </c>
      <c r="AI229" s="9">
        <f>IF($B229="","",IF(IF($C229="NOT STARTED",0,IF($C229="DB Dev",1,IF($C229="PBI Dev",2,IF($C229="QA",3,IF($C229="DPO Approval",4,IF($C229="RELEASED IN PROD",5,-1))))))&lt;IF($AH229="NOT STARTED",0,IF($AH229="DB Dev",1,IF($AH229="PBI Dev",2,IF($AH229="QA",3,IF($AH229="DPO Approval",4,IF($AH229="RELEASED IN PROD",5,-1)))))),"Yes - was already at "&amp;$AH229&amp;", now back at "&amp;$C229,"No"))</f>
        <v/>
      </c>
      <c r="AJ229" s="9">
        <f>IF($B229="","",IF(AND(T229&lt;&gt;"",N229&lt;&gt;"",T229&lt;N229),"QA target is before DB Dev target",IF(AND(T229&lt;&gt;"",Q229&lt;&gt;"",T229&lt;Q229),"QA target is before PBI Dev target",IF(AND(W229&lt;&gt;"",T229&lt;&gt;"",W229&lt;T229),"DPO Approval target is before QA target",IF(AND(Z229&lt;&gt;"",W229&lt;&gt;"",Z229&lt;W229),"Confirmed Deployed date is before DPO Approval target","")))))</f>
        <v/>
      </c>
      <c r="AK229" s="9">
        <f>IF($B229="","",IF(COUNTIF($B$2:$B$500,$B229)&gt;1,"Duplicate name - check row",""))</f>
        <v/>
      </c>
      <c r="AL229" s="1" t="n"/>
      <c r="AM229" s="9">
        <f>IF($B229="","",SUMPRODUCT(MAX(('Rework Log'!$A$3:$A$500=$B229)*ROW('Rework Log'!$A$3:$A$500))))</f>
        <v/>
      </c>
    </row>
    <row r="230">
      <c r="A230" s="1" t="n"/>
      <c r="B230" s="1" t="n"/>
      <c r="C230" s="1" t="n"/>
      <c r="D230" s="9">
        <f>IF($B230="","",IF(LEFT($AC230,3)="Yes","Blocked",IF(C230="NOT STARTED",IF(K230="","No plan date set",IF(K230&lt;TODAY(),"Review - planned start passed","On track")),IF(C230="DB Dev",IF(N230="","No target set",IF(AND(N230&lt;TODAY(),P230=""),"Overdue","On track")),IF(C230="PBI Dev",IF(Q230="","No target set",IF(AND(Q230&lt;TODAY(),S230=""),"Overdue","On track")),IF(C230="QA",IF(T230="","No target set",IF(AND(T230&lt;TODAY(),V230=""),"Overdue","On track")),IF(C230="DPO Approval",IF(W230="","No target set",IF(W230&lt;TODAY(),"Overdue","On track")),IF(C230="RELEASED IN PROD","Delivered",""))))))))</f>
        <v/>
      </c>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c r="AA230" s="1" t="n"/>
      <c r="AB230" s="1" t="n"/>
      <c r="AC230" s="1" t="n"/>
      <c r="AD230" s="9">
        <f>IF($B230="","",COUNTIF('Rework Log'!$A$3:$A$500,$B230))</f>
        <v/>
      </c>
      <c r="AE230" s="9">
        <f>IF(OR($B230="",$AM230=0),"",INDEX('Rework Log'!$C:$C,$AM230))</f>
        <v/>
      </c>
      <c r="AF230" s="9">
        <f>IF(OR($B230="",$AM230=0),"",INDEX('Rework Log'!$H:$H,$AM230))</f>
        <v/>
      </c>
      <c r="AG230" s="9">
        <f>IF(OR($B230="",$AM230=0),"",INDEX('Rework Log'!$G:$G,$AM230))</f>
        <v/>
      </c>
      <c r="AH230" s="9">
        <f>IF($B230="","",IF(W230&lt;&gt;"","DPO Approval",IF(T230&lt;&gt;"","QA",IF(Q230&lt;&gt;"","PBI Dev",IF(N230&lt;&gt;"","DB Dev","NOT STARTED")))))</f>
        <v/>
      </c>
      <c r="AI230" s="9">
        <f>IF($B230="","",IF(IF($C230="NOT STARTED",0,IF($C230="DB Dev",1,IF($C230="PBI Dev",2,IF($C230="QA",3,IF($C230="DPO Approval",4,IF($C230="RELEASED IN PROD",5,-1))))))&lt;IF($AH230="NOT STARTED",0,IF($AH230="DB Dev",1,IF($AH230="PBI Dev",2,IF($AH230="QA",3,IF($AH230="DPO Approval",4,IF($AH230="RELEASED IN PROD",5,-1)))))),"Yes - was already at "&amp;$AH230&amp;", now back at "&amp;$C230,"No"))</f>
        <v/>
      </c>
      <c r="AJ230" s="9">
        <f>IF($B230="","",IF(AND(T230&lt;&gt;"",N230&lt;&gt;"",T230&lt;N230),"QA target is before DB Dev target",IF(AND(T230&lt;&gt;"",Q230&lt;&gt;"",T230&lt;Q230),"QA target is before PBI Dev target",IF(AND(W230&lt;&gt;"",T230&lt;&gt;"",W230&lt;T230),"DPO Approval target is before QA target",IF(AND(Z230&lt;&gt;"",W230&lt;&gt;"",Z230&lt;W230),"Confirmed Deployed date is before DPO Approval target","")))))</f>
        <v/>
      </c>
      <c r="AK230" s="9">
        <f>IF($B230="","",IF(COUNTIF($B$2:$B$500,$B230)&gt;1,"Duplicate name - check row",""))</f>
        <v/>
      </c>
      <c r="AL230" s="1" t="n"/>
      <c r="AM230" s="9">
        <f>IF($B230="","",SUMPRODUCT(MAX(('Rework Log'!$A$3:$A$500=$B230)*ROW('Rework Log'!$A$3:$A$500))))</f>
        <v/>
      </c>
    </row>
    <row r="231">
      <c r="A231" s="1" t="n"/>
      <c r="B231" s="1" t="n"/>
      <c r="C231" s="1" t="n"/>
      <c r="D231" s="9">
        <f>IF($B231="","",IF(LEFT($AC231,3)="Yes","Blocked",IF(C231="NOT STARTED",IF(K231="","No plan date set",IF(K231&lt;TODAY(),"Review - planned start passed","On track")),IF(C231="DB Dev",IF(N231="","No target set",IF(AND(N231&lt;TODAY(),P231=""),"Overdue","On track")),IF(C231="PBI Dev",IF(Q231="","No target set",IF(AND(Q231&lt;TODAY(),S231=""),"Overdue","On track")),IF(C231="QA",IF(T231="","No target set",IF(AND(T231&lt;TODAY(),V231=""),"Overdue","On track")),IF(C231="DPO Approval",IF(W231="","No target set",IF(W231&lt;TODAY(),"Overdue","On track")),IF(C231="RELEASED IN PROD","Delivered",""))))))))</f>
        <v/>
      </c>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c r="AA231" s="1" t="n"/>
      <c r="AB231" s="1" t="n"/>
      <c r="AC231" s="1" t="n"/>
      <c r="AD231" s="9">
        <f>IF($B231="","",COUNTIF('Rework Log'!$A$3:$A$500,$B231))</f>
        <v/>
      </c>
      <c r="AE231" s="9">
        <f>IF(OR($B231="",$AM231=0),"",INDEX('Rework Log'!$C:$C,$AM231))</f>
        <v/>
      </c>
      <c r="AF231" s="9">
        <f>IF(OR($B231="",$AM231=0),"",INDEX('Rework Log'!$H:$H,$AM231))</f>
        <v/>
      </c>
      <c r="AG231" s="9">
        <f>IF(OR($B231="",$AM231=0),"",INDEX('Rework Log'!$G:$G,$AM231))</f>
        <v/>
      </c>
      <c r="AH231" s="9">
        <f>IF($B231="","",IF(W231&lt;&gt;"","DPO Approval",IF(T231&lt;&gt;"","QA",IF(Q231&lt;&gt;"","PBI Dev",IF(N231&lt;&gt;"","DB Dev","NOT STARTED")))))</f>
        <v/>
      </c>
      <c r="AI231" s="9">
        <f>IF($B231="","",IF(IF($C231="NOT STARTED",0,IF($C231="DB Dev",1,IF($C231="PBI Dev",2,IF($C231="QA",3,IF($C231="DPO Approval",4,IF($C231="RELEASED IN PROD",5,-1))))))&lt;IF($AH231="NOT STARTED",0,IF($AH231="DB Dev",1,IF($AH231="PBI Dev",2,IF($AH231="QA",3,IF($AH231="DPO Approval",4,IF($AH231="RELEASED IN PROD",5,-1)))))),"Yes - was already at "&amp;$AH231&amp;", now back at "&amp;$C231,"No"))</f>
        <v/>
      </c>
      <c r="AJ231" s="9">
        <f>IF($B231="","",IF(AND(T231&lt;&gt;"",N231&lt;&gt;"",T231&lt;N231),"QA target is before DB Dev target",IF(AND(T231&lt;&gt;"",Q231&lt;&gt;"",T231&lt;Q231),"QA target is before PBI Dev target",IF(AND(W231&lt;&gt;"",T231&lt;&gt;"",W231&lt;T231),"DPO Approval target is before QA target",IF(AND(Z231&lt;&gt;"",W231&lt;&gt;"",Z231&lt;W231),"Confirmed Deployed date is before DPO Approval target","")))))</f>
        <v/>
      </c>
      <c r="AK231" s="9">
        <f>IF($B231="","",IF(COUNTIF($B$2:$B$500,$B231)&gt;1,"Duplicate name - check row",""))</f>
        <v/>
      </c>
      <c r="AL231" s="1" t="n"/>
      <c r="AM231" s="9">
        <f>IF($B231="","",SUMPRODUCT(MAX(('Rework Log'!$A$3:$A$500=$B231)*ROW('Rework Log'!$A$3:$A$500))))</f>
        <v/>
      </c>
    </row>
    <row r="232">
      <c r="A232" s="1" t="n"/>
      <c r="B232" s="1" t="n"/>
      <c r="C232" s="1" t="n"/>
      <c r="D232" s="9">
        <f>IF($B232="","",IF(LEFT($AC232,3)="Yes","Blocked",IF(C232="NOT STARTED",IF(K232="","No plan date set",IF(K232&lt;TODAY(),"Review - planned start passed","On track")),IF(C232="DB Dev",IF(N232="","No target set",IF(AND(N232&lt;TODAY(),P232=""),"Overdue","On track")),IF(C232="PBI Dev",IF(Q232="","No target set",IF(AND(Q232&lt;TODAY(),S232=""),"Overdue","On track")),IF(C232="QA",IF(T232="","No target set",IF(AND(T232&lt;TODAY(),V232=""),"Overdue","On track")),IF(C232="DPO Approval",IF(W232="","No target set",IF(W232&lt;TODAY(),"Overdue","On track")),IF(C232="RELEASED IN PROD","Delivered",""))))))))</f>
        <v/>
      </c>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c r="AA232" s="1" t="n"/>
      <c r="AB232" s="1" t="n"/>
      <c r="AC232" s="1" t="n"/>
      <c r="AD232" s="9">
        <f>IF($B232="","",COUNTIF('Rework Log'!$A$3:$A$500,$B232))</f>
        <v/>
      </c>
      <c r="AE232" s="9">
        <f>IF(OR($B232="",$AM232=0),"",INDEX('Rework Log'!$C:$C,$AM232))</f>
        <v/>
      </c>
      <c r="AF232" s="9">
        <f>IF(OR($B232="",$AM232=0),"",INDEX('Rework Log'!$H:$H,$AM232))</f>
        <v/>
      </c>
      <c r="AG232" s="9">
        <f>IF(OR($B232="",$AM232=0),"",INDEX('Rework Log'!$G:$G,$AM232))</f>
        <v/>
      </c>
      <c r="AH232" s="9">
        <f>IF($B232="","",IF(W232&lt;&gt;"","DPO Approval",IF(T232&lt;&gt;"","QA",IF(Q232&lt;&gt;"","PBI Dev",IF(N232&lt;&gt;"","DB Dev","NOT STARTED")))))</f>
        <v/>
      </c>
      <c r="AI232" s="9">
        <f>IF($B232="","",IF(IF($C232="NOT STARTED",0,IF($C232="DB Dev",1,IF($C232="PBI Dev",2,IF($C232="QA",3,IF($C232="DPO Approval",4,IF($C232="RELEASED IN PROD",5,-1))))))&lt;IF($AH232="NOT STARTED",0,IF($AH232="DB Dev",1,IF($AH232="PBI Dev",2,IF($AH232="QA",3,IF($AH232="DPO Approval",4,IF($AH232="RELEASED IN PROD",5,-1)))))),"Yes - was already at "&amp;$AH232&amp;", now back at "&amp;$C232,"No"))</f>
        <v/>
      </c>
      <c r="AJ232" s="9">
        <f>IF($B232="","",IF(AND(T232&lt;&gt;"",N232&lt;&gt;"",T232&lt;N232),"QA target is before DB Dev target",IF(AND(T232&lt;&gt;"",Q232&lt;&gt;"",T232&lt;Q232),"QA target is before PBI Dev target",IF(AND(W232&lt;&gt;"",T232&lt;&gt;"",W232&lt;T232),"DPO Approval target is before QA target",IF(AND(Z232&lt;&gt;"",W232&lt;&gt;"",Z232&lt;W232),"Confirmed Deployed date is before DPO Approval target","")))))</f>
        <v/>
      </c>
      <c r="AK232" s="9">
        <f>IF($B232="","",IF(COUNTIF($B$2:$B$500,$B232)&gt;1,"Duplicate name - check row",""))</f>
        <v/>
      </c>
      <c r="AL232" s="1" t="n"/>
      <c r="AM232" s="9">
        <f>IF($B232="","",SUMPRODUCT(MAX(('Rework Log'!$A$3:$A$500=$B232)*ROW('Rework Log'!$A$3:$A$500))))</f>
        <v/>
      </c>
    </row>
    <row r="233">
      <c r="A233" s="1" t="n"/>
      <c r="B233" s="1" t="n"/>
      <c r="C233" s="1" t="n"/>
      <c r="D233" s="9">
        <f>IF($B233="","",IF(LEFT($AC233,3)="Yes","Blocked",IF(C233="NOT STARTED",IF(K233="","No plan date set",IF(K233&lt;TODAY(),"Review - planned start passed","On track")),IF(C233="DB Dev",IF(N233="","No target set",IF(AND(N233&lt;TODAY(),P233=""),"Overdue","On track")),IF(C233="PBI Dev",IF(Q233="","No target set",IF(AND(Q233&lt;TODAY(),S233=""),"Overdue","On track")),IF(C233="QA",IF(T233="","No target set",IF(AND(T233&lt;TODAY(),V233=""),"Overdue","On track")),IF(C233="DPO Approval",IF(W233="","No target set",IF(W233&lt;TODAY(),"Overdue","On track")),IF(C233="RELEASED IN PROD","Delivered",""))))))))</f>
        <v/>
      </c>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c r="AA233" s="1" t="n"/>
      <c r="AB233" s="1" t="n"/>
      <c r="AC233" s="1" t="n"/>
      <c r="AD233" s="9">
        <f>IF($B233="","",COUNTIF('Rework Log'!$A$3:$A$500,$B233))</f>
        <v/>
      </c>
      <c r="AE233" s="9">
        <f>IF(OR($B233="",$AM233=0),"",INDEX('Rework Log'!$C:$C,$AM233))</f>
        <v/>
      </c>
      <c r="AF233" s="9">
        <f>IF(OR($B233="",$AM233=0),"",INDEX('Rework Log'!$H:$H,$AM233))</f>
        <v/>
      </c>
      <c r="AG233" s="9">
        <f>IF(OR($B233="",$AM233=0),"",INDEX('Rework Log'!$G:$G,$AM233))</f>
        <v/>
      </c>
      <c r="AH233" s="9">
        <f>IF($B233="","",IF(W233&lt;&gt;"","DPO Approval",IF(T233&lt;&gt;"","QA",IF(Q233&lt;&gt;"","PBI Dev",IF(N233&lt;&gt;"","DB Dev","NOT STARTED")))))</f>
        <v/>
      </c>
      <c r="AI233" s="9">
        <f>IF($B233="","",IF(IF($C233="NOT STARTED",0,IF($C233="DB Dev",1,IF($C233="PBI Dev",2,IF($C233="QA",3,IF($C233="DPO Approval",4,IF($C233="RELEASED IN PROD",5,-1))))))&lt;IF($AH233="NOT STARTED",0,IF($AH233="DB Dev",1,IF($AH233="PBI Dev",2,IF($AH233="QA",3,IF($AH233="DPO Approval",4,IF($AH233="RELEASED IN PROD",5,-1)))))),"Yes - was already at "&amp;$AH233&amp;", now back at "&amp;$C233,"No"))</f>
        <v/>
      </c>
      <c r="AJ233" s="9">
        <f>IF($B233="","",IF(AND(T233&lt;&gt;"",N233&lt;&gt;"",T233&lt;N233),"QA target is before DB Dev target",IF(AND(T233&lt;&gt;"",Q233&lt;&gt;"",T233&lt;Q233),"QA target is before PBI Dev target",IF(AND(W233&lt;&gt;"",T233&lt;&gt;"",W233&lt;T233),"DPO Approval target is before QA target",IF(AND(Z233&lt;&gt;"",W233&lt;&gt;"",Z233&lt;W233),"Confirmed Deployed date is before DPO Approval target","")))))</f>
        <v/>
      </c>
      <c r="AK233" s="9">
        <f>IF($B233="","",IF(COUNTIF($B$2:$B$500,$B233)&gt;1,"Duplicate name - check row",""))</f>
        <v/>
      </c>
      <c r="AL233" s="1" t="n"/>
      <c r="AM233" s="9">
        <f>IF($B233="","",SUMPRODUCT(MAX(('Rework Log'!$A$3:$A$500=$B233)*ROW('Rework Log'!$A$3:$A$500))))</f>
        <v/>
      </c>
    </row>
    <row r="234">
      <c r="A234" s="1" t="n"/>
      <c r="B234" s="1" t="n"/>
      <c r="C234" s="1" t="n"/>
      <c r="D234" s="9">
        <f>IF($B234="","",IF(LEFT($AC234,3)="Yes","Blocked",IF(C234="NOT STARTED",IF(K234="","No plan date set",IF(K234&lt;TODAY(),"Review - planned start passed","On track")),IF(C234="DB Dev",IF(N234="","No target set",IF(AND(N234&lt;TODAY(),P234=""),"Overdue","On track")),IF(C234="PBI Dev",IF(Q234="","No target set",IF(AND(Q234&lt;TODAY(),S234=""),"Overdue","On track")),IF(C234="QA",IF(T234="","No target set",IF(AND(T234&lt;TODAY(),V234=""),"Overdue","On track")),IF(C234="DPO Approval",IF(W234="","No target set",IF(W234&lt;TODAY(),"Overdue","On track")),IF(C234="RELEASED IN PROD","Delivered",""))))))))</f>
        <v/>
      </c>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c r="AA234" s="1" t="n"/>
      <c r="AB234" s="1" t="n"/>
      <c r="AC234" s="1" t="n"/>
      <c r="AD234" s="9">
        <f>IF($B234="","",COUNTIF('Rework Log'!$A$3:$A$500,$B234))</f>
        <v/>
      </c>
      <c r="AE234" s="9">
        <f>IF(OR($B234="",$AM234=0),"",INDEX('Rework Log'!$C:$C,$AM234))</f>
        <v/>
      </c>
      <c r="AF234" s="9">
        <f>IF(OR($B234="",$AM234=0),"",INDEX('Rework Log'!$H:$H,$AM234))</f>
        <v/>
      </c>
      <c r="AG234" s="9">
        <f>IF(OR($B234="",$AM234=0),"",INDEX('Rework Log'!$G:$G,$AM234))</f>
        <v/>
      </c>
      <c r="AH234" s="9">
        <f>IF($B234="","",IF(W234&lt;&gt;"","DPO Approval",IF(T234&lt;&gt;"","QA",IF(Q234&lt;&gt;"","PBI Dev",IF(N234&lt;&gt;"","DB Dev","NOT STARTED")))))</f>
        <v/>
      </c>
      <c r="AI234" s="9">
        <f>IF($B234="","",IF(IF($C234="NOT STARTED",0,IF($C234="DB Dev",1,IF($C234="PBI Dev",2,IF($C234="QA",3,IF($C234="DPO Approval",4,IF($C234="RELEASED IN PROD",5,-1))))))&lt;IF($AH234="NOT STARTED",0,IF($AH234="DB Dev",1,IF($AH234="PBI Dev",2,IF($AH234="QA",3,IF($AH234="DPO Approval",4,IF($AH234="RELEASED IN PROD",5,-1)))))),"Yes - was already at "&amp;$AH234&amp;", now back at "&amp;$C234,"No"))</f>
        <v/>
      </c>
      <c r="AJ234" s="9">
        <f>IF($B234="","",IF(AND(T234&lt;&gt;"",N234&lt;&gt;"",T234&lt;N234),"QA target is before DB Dev target",IF(AND(T234&lt;&gt;"",Q234&lt;&gt;"",T234&lt;Q234),"QA target is before PBI Dev target",IF(AND(W234&lt;&gt;"",T234&lt;&gt;"",W234&lt;T234),"DPO Approval target is before QA target",IF(AND(Z234&lt;&gt;"",W234&lt;&gt;"",Z234&lt;W234),"Confirmed Deployed date is before DPO Approval target","")))))</f>
        <v/>
      </c>
      <c r="AK234" s="9">
        <f>IF($B234="","",IF(COUNTIF($B$2:$B$500,$B234)&gt;1,"Duplicate name - check row",""))</f>
        <v/>
      </c>
      <c r="AL234" s="1" t="n"/>
      <c r="AM234" s="9">
        <f>IF($B234="","",SUMPRODUCT(MAX(('Rework Log'!$A$3:$A$500=$B234)*ROW('Rework Log'!$A$3:$A$500))))</f>
        <v/>
      </c>
    </row>
    <row r="235">
      <c r="A235" s="1" t="n"/>
      <c r="B235" s="1" t="n"/>
      <c r="C235" s="1" t="n"/>
      <c r="D235" s="9">
        <f>IF($B235="","",IF(LEFT($AC235,3)="Yes","Blocked",IF(C235="NOT STARTED",IF(K235="","No plan date set",IF(K235&lt;TODAY(),"Review - planned start passed","On track")),IF(C235="DB Dev",IF(N235="","No target set",IF(AND(N235&lt;TODAY(),P235=""),"Overdue","On track")),IF(C235="PBI Dev",IF(Q235="","No target set",IF(AND(Q235&lt;TODAY(),S235=""),"Overdue","On track")),IF(C235="QA",IF(T235="","No target set",IF(AND(T235&lt;TODAY(),V235=""),"Overdue","On track")),IF(C235="DPO Approval",IF(W235="","No target set",IF(W235&lt;TODAY(),"Overdue","On track")),IF(C235="RELEASED IN PROD","Delivered",""))))))))</f>
        <v/>
      </c>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c r="AA235" s="1" t="n"/>
      <c r="AB235" s="1" t="n"/>
      <c r="AC235" s="1" t="n"/>
      <c r="AD235" s="9">
        <f>IF($B235="","",COUNTIF('Rework Log'!$A$3:$A$500,$B235))</f>
        <v/>
      </c>
      <c r="AE235" s="9">
        <f>IF(OR($B235="",$AM235=0),"",INDEX('Rework Log'!$C:$C,$AM235))</f>
        <v/>
      </c>
      <c r="AF235" s="9">
        <f>IF(OR($B235="",$AM235=0),"",INDEX('Rework Log'!$H:$H,$AM235))</f>
        <v/>
      </c>
      <c r="AG235" s="9">
        <f>IF(OR($B235="",$AM235=0),"",INDEX('Rework Log'!$G:$G,$AM235))</f>
        <v/>
      </c>
      <c r="AH235" s="9">
        <f>IF($B235="","",IF(W235&lt;&gt;"","DPO Approval",IF(T235&lt;&gt;"","QA",IF(Q235&lt;&gt;"","PBI Dev",IF(N235&lt;&gt;"","DB Dev","NOT STARTED")))))</f>
        <v/>
      </c>
      <c r="AI235" s="9">
        <f>IF($B235="","",IF(IF($C235="NOT STARTED",0,IF($C235="DB Dev",1,IF($C235="PBI Dev",2,IF($C235="QA",3,IF($C235="DPO Approval",4,IF($C235="RELEASED IN PROD",5,-1))))))&lt;IF($AH235="NOT STARTED",0,IF($AH235="DB Dev",1,IF($AH235="PBI Dev",2,IF($AH235="QA",3,IF($AH235="DPO Approval",4,IF($AH235="RELEASED IN PROD",5,-1)))))),"Yes - was already at "&amp;$AH235&amp;", now back at "&amp;$C235,"No"))</f>
        <v/>
      </c>
      <c r="AJ235" s="9">
        <f>IF($B235="","",IF(AND(T235&lt;&gt;"",N235&lt;&gt;"",T235&lt;N235),"QA target is before DB Dev target",IF(AND(T235&lt;&gt;"",Q235&lt;&gt;"",T235&lt;Q235),"QA target is before PBI Dev target",IF(AND(W235&lt;&gt;"",T235&lt;&gt;"",W235&lt;T235),"DPO Approval target is before QA target",IF(AND(Z235&lt;&gt;"",W235&lt;&gt;"",Z235&lt;W235),"Confirmed Deployed date is before DPO Approval target","")))))</f>
        <v/>
      </c>
      <c r="AK235" s="9">
        <f>IF($B235="","",IF(COUNTIF($B$2:$B$500,$B235)&gt;1,"Duplicate name - check row",""))</f>
        <v/>
      </c>
      <c r="AL235" s="1" t="n"/>
      <c r="AM235" s="9">
        <f>IF($B235="","",SUMPRODUCT(MAX(('Rework Log'!$A$3:$A$500=$B235)*ROW('Rework Log'!$A$3:$A$500))))</f>
        <v/>
      </c>
    </row>
    <row r="236">
      <c r="A236" s="1" t="n"/>
      <c r="B236" s="1" t="n"/>
      <c r="C236" s="1" t="n"/>
      <c r="D236" s="9">
        <f>IF($B236="","",IF(LEFT($AC236,3)="Yes","Blocked",IF(C236="NOT STARTED",IF(K236="","No plan date set",IF(K236&lt;TODAY(),"Review - planned start passed","On track")),IF(C236="DB Dev",IF(N236="","No target set",IF(AND(N236&lt;TODAY(),P236=""),"Overdue","On track")),IF(C236="PBI Dev",IF(Q236="","No target set",IF(AND(Q236&lt;TODAY(),S236=""),"Overdue","On track")),IF(C236="QA",IF(T236="","No target set",IF(AND(T236&lt;TODAY(),V236=""),"Overdue","On track")),IF(C236="DPO Approval",IF(W236="","No target set",IF(W236&lt;TODAY(),"Overdue","On track")),IF(C236="RELEASED IN PROD","Delivered",""))))))))</f>
        <v/>
      </c>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c r="AA236" s="1" t="n"/>
      <c r="AB236" s="1" t="n"/>
      <c r="AC236" s="1" t="n"/>
      <c r="AD236" s="9">
        <f>IF($B236="","",COUNTIF('Rework Log'!$A$3:$A$500,$B236))</f>
        <v/>
      </c>
      <c r="AE236" s="9">
        <f>IF(OR($B236="",$AM236=0),"",INDEX('Rework Log'!$C:$C,$AM236))</f>
        <v/>
      </c>
      <c r="AF236" s="9">
        <f>IF(OR($B236="",$AM236=0),"",INDEX('Rework Log'!$H:$H,$AM236))</f>
        <v/>
      </c>
      <c r="AG236" s="9">
        <f>IF(OR($B236="",$AM236=0),"",INDEX('Rework Log'!$G:$G,$AM236))</f>
        <v/>
      </c>
      <c r="AH236" s="9">
        <f>IF($B236="","",IF(W236&lt;&gt;"","DPO Approval",IF(T236&lt;&gt;"","QA",IF(Q236&lt;&gt;"","PBI Dev",IF(N236&lt;&gt;"","DB Dev","NOT STARTED")))))</f>
        <v/>
      </c>
      <c r="AI236" s="9">
        <f>IF($B236="","",IF(IF($C236="NOT STARTED",0,IF($C236="DB Dev",1,IF($C236="PBI Dev",2,IF($C236="QA",3,IF($C236="DPO Approval",4,IF($C236="RELEASED IN PROD",5,-1))))))&lt;IF($AH236="NOT STARTED",0,IF($AH236="DB Dev",1,IF($AH236="PBI Dev",2,IF($AH236="QA",3,IF($AH236="DPO Approval",4,IF($AH236="RELEASED IN PROD",5,-1)))))),"Yes - was already at "&amp;$AH236&amp;", now back at "&amp;$C236,"No"))</f>
        <v/>
      </c>
      <c r="AJ236" s="9">
        <f>IF($B236="","",IF(AND(T236&lt;&gt;"",N236&lt;&gt;"",T236&lt;N236),"QA target is before DB Dev target",IF(AND(T236&lt;&gt;"",Q236&lt;&gt;"",T236&lt;Q236),"QA target is before PBI Dev target",IF(AND(W236&lt;&gt;"",T236&lt;&gt;"",W236&lt;T236),"DPO Approval target is before QA target",IF(AND(Z236&lt;&gt;"",W236&lt;&gt;"",Z236&lt;W236),"Confirmed Deployed date is before DPO Approval target","")))))</f>
        <v/>
      </c>
      <c r="AK236" s="9">
        <f>IF($B236="","",IF(COUNTIF($B$2:$B$500,$B236)&gt;1,"Duplicate name - check row",""))</f>
        <v/>
      </c>
      <c r="AL236" s="1" t="n"/>
      <c r="AM236" s="9">
        <f>IF($B236="","",SUMPRODUCT(MAX(('Rework Log'!$A$3:$A$500=$B236)*ROW('Rework Log'!$A$3:$A$500))))</f>
        <v/>
      </c>
    </row>
    <row r="237">
      <c r="A237" s="1" t="n"/>
      <c r="B237" s="1" t="n"/>
      <c r="C237" s="1" t="n"/>
      <c r="D237" s="9">
        <f>IF($B237="","",IF(LEFT($AC237,3)="Yes","Blocked",IF(C237="NOT STARTED",IF(K237="","No plan date set",IF(K237&lt;TODAY(),"Review - planned start passed","On track")),IF(C237="DB Dev",IF(N237="","No target set",IF(AND(N237&lt;TODAY(),P237=""),"Overdue","On track")),IF(C237="PBI Dev",IF(Q237="","No target set",IF(AND(Q237&lt;TODAY(),S237=""),"Overdue","On track")),IF(C237="QA",IF(T237="","No target set",IF(AND(T237&lt;TODAY(),V237=""),"Overdue","On track")),IF(C237="DPO Approval",IF(W237="","No target set",IF(W237&lt;TODAY(),"Overdue","On track")),IF(C237="RELEASED IN PROD","Delivered",""))))))))</f>
        <v/>
      </c>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c r="AA237" s="1" t="n"/>
      <c r="AB237" s="1" t="n"/>
      <c r="AC237" s="1" t="n"/>
      <c r="AD237" s="9">
        <f>IF($B237="","",COUNTIF('Rework Log'!$A$3:$A$500,$B237))</f>
        <v/>
      </c>
      <c r="AE237" s="9">
        <f>IF(OR($B237="",$AM237=0),"",INDEX('Rework Log'!$C:$C,$AM237))</f>
        <v/>
      </c>
      <c r="AF237" s="9">
        <f>IF(OR($B237="",$AM237=0),"",INDEX('Rework Log'!$H:$H,$AM237))</f>
        <v/>
      </c>
      <c r="AG237" s="9">
        <f>IF(OR($B237="",$AM237=0),"",INDEX('Rework Log'!$G:$G,$AM237))</f>
        <v/>
      </c>
      <c r="AH237" s="9">
        <f>IF($B237="","",IF(W237&lt;&gt;"","DPO Approval",IF(T237&lt;&gt;"","QA",IF(Q237&lt;&gt;"","PBI Dev",IF(N237&lt;&gt;"","DB Dev","NOT STARTED")))))</f>
        <v/>
      </c>
      <c r="AI237" s="9">
        <f>IF($B237="","",IF(IF($C237="NOT STARTED",0,IF($C237="DB Dev",1,IF($C237="PBI Dev",2,IF($C237="QA",3,IF($C237="DPO Approval",4,IF($C237="RELEASED IN PROD",5,-1))))))&lt;IF($AH237="NOT STARTED",0,IF($AH237="DB Dev",1,IF($AH237="PBI Dev",2,IF($AH237="QA",3,IF($AH237="DPO Approval",4,IF($AH237="RELEASED IN PROD",5,-1)))))),"Yes - was already at "&amp;$AH237&amp;", now back at "&amp;$C237,"No"))</f>
        <v/>
      </c>
      <c r="AJ237" s="9">
        <f>IF($B237="","",IF(AND(T237&lt;&gt;"",N237&lt;&gt;"",T237&lt;N237),"QA target is before DB Dev target",IF(AND(T237&lt;&gt;"",Q237&lt;&gt;"",T237&lt;Q237),"QA target is before PBI Dev target",IF(AND(W237&lt;&gt;"",T237&lt;&gt;"",W237&lt;T237),"DPO Approval target is before QA target",IF(AND(Z237&lt;&gt;"",W237&lt;&gt;"",Z237&lt;W237),"Confirmed Deployed date is before DPO Approval target","")))))</f>
        <v/>
      </c>
      <c r="AK237" s="9">
        <f>IF($B237="","",IF(COUNTIF($B$2:$B$500,$B237)&gt;1,"Duplicate name - check row",""))</f>
        <v/>
      </c>
      <c r="AL237" s="1" t="n"/>
      <c r="AM237" s="9">
        <f>IF($B237="","",SUMPRODUCT(MAX(('Rework Log'!$A$3:$A$500=$B237)*ROW('Rework Log'!$A$3:$A$500))))</f>
        <v/>
      </c>
    </row>
    <row r="238">
      <c r="A238" s="1" t="n"/>
      <c r="B238" s="1" t="n"/>
      <c r="C238" s="1" t="n"/>
      <c r="D238" s="9">
        <f>IF($B238="","",IF(LEFT($AC238,3)="Yes","Blocked",IF(C238="NOT STARTED",IF(K238="","No plan date set",IF(K238&lt;TODAY(),"Review - planned start passed","On track")),IF(C238="DB Dev",IF(N238="","No target set",IF(AND(N238&lt;TODAY(),P238=""),"Overdue","On track")),IF(C238="PBI Dev",IF(Q238="","No target set",IF(AND(Q238&lt;TODAY(),S238=""),"Overdue","On track")),IF(C238="QA",IF(T238="","No target set",IF(AND(T238&lt;TODAY(),V238=""),"Overdue","On track")),IF(C238="DPO Approval",IF(W238="","No target set",IF(W238&lt;TODAY(),"Overdue","On track")),IF(C238="RELEASED IN PROD","Delivered",""))))))))</f>
        <v/>
      </c>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c r="AA238" s="1" t="n"/>
      <c r="AB238" s="1" t="n"/>
      <c r="AC238" s="1" t="n"/>
      <c r="AD238" s="9">
        <f>IF($B238="","",COUNTIF('Rework Log'!$A$3:$A$500,$B238))</f>
        <v/>
      </c>
      <c r="AE238" s="9">
        <f>IF(OR($B238="",$AM238=0),"",INDEX('Rework Log'!$C:$C,$AM238))</f>
        <v/>
      </c>
      <c r="AF238" s="9">
        <f>IF(OR($B238="",$AM238=0),"",INDEX('Rework Log'!$H:$H,$AM238))</f>
        <v/>
      </c>
      <c r="AG238" s="9">
        <f>IF(OR($B238="",$AM238=0),"",INDEX('Rework Log'!$G:$G,$AM238))</f>
        <v/>
      </c>
      <c r="AH238" s="9">
        <f>IF($B238="","",IF(W238&lt;&gt;"","DPO Approval",IF(T238&lt;&gt;"","QA",IF(Q238&lt;&gt;"","PBI Dev",IF(N238&lt;&gt;"","DB Dev","NOT STARTED")))))</f>
        <v/>
      </c>
      <c r="AI238" s="9">
        <f>IF($B238="","",IF(IF($C238="NOT STARTED",0,IF($C238="DB Dev",1,IF($C238="PBI Dev",2,IF($C238="QA",3,IF($C238="DPO Approval",4,IF($C238="RELEASED IN PROD",5,-1))))))&lt;IF($AH238="NOT STARTED",0,IF($AH238="DB Dev",1,IF($AH238="PBI Dev",2,IF($AH238="QA",3,IF($AH238="DPO Approval",4,IF($AH238="RELEASED IN PROD",5,-1)))))),"Yes - was already at "&amp;$AH238&amp;", now back at "&amp;$C238,"No"))</f>
        <v/>
      </c>
      <c r="AJ238" s="9">
        <f>IF($B238="","",IF(AND(T238&lt;&gt;"",N238&lt;&gt;"",T238&lt;N238),"QA target is before DB Dev target",IF(AND(T238&lt;&gt;"",Q238&lt;&gt;"",T238&lt;Q238),"QA target is before PBI Dev target",IF(AND(W238&lt;&gt;"",T238&lt;&gt;"",W238&lt;T238),"DPO Approval target is before QA target",IF(AND(Z238&lt;&gt;"",W238&lt;&gt;"",Z238&lt;W238),"Confirmed Deployed date is before DPO Approval target","")))))</f>
        <v/>
      </c>
      <c r="AK238" s="9">
        <f>IF($B238="","",IF(COUNTIF($B$2:$B$500,$B238)&gt;1,"Duplicate name - check row",""))</f>
        <v/>
      </c>
      <c r="AL238" s="1" t="n"/>
      <c r="AM238" s="9">
        <f>IF($B238="","",SUMPRODUCT(MAX(('Rework Log'!$A$3:$A$500=$B238)*ROW('Rework Log'!$A$3:$A$500))))</f>
        <v/>
      </c>
    </row>
    <row r="239">
      <c r="A239" s="1" t="n"/>
      <c r="B239" s="1" t="n"/>
      <c r="C239" s="1" t="n"/>
      <c r="D239" s="9">
        <f>IF($B239="","",IF(LEFT($AC239,3)="Yes","Blocked",IF(C239="NOT STARTED",IF(K239="","No plan date set",IF(K239&lt;TODAY(),"Review - planned start passed","On track")),IF(C239="DB Dev",IF(N239="","No target set",IF(AND(N239&lt;TODAY(),P239=""),"Overdue","On track")),IF(C239="PBI Dev",IF(Q239="","No target set",IF(AND(Q239&lt;TODAY(),S239=""),"Overdue","On track")),IF(C239="QA",IF(T239="","No target set",IF(AND(T239&lt;TODAY(),V239=""),"Overdue","On track")),IF(C239="DPO Approval",IF(W239="","No target set",IF(W239&lt;TODAY(),"Overdue","On track")),IF(C239="RELEASED IN PROD","Delivered",""))))))))</f>
        <v/>
      </c>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c r="AA239" s="1" t="n"/>
      <c r="AB239" s="1" t="n"/>
      <c r="AC239" s="1" t="n"/>
      <c r="AD239" s="9">
        <f>IF($B239="","",COUNTIF('Rework Log'!$A$3:$A$500,$B239))</f>
        <v/>
      </c>
      <c r="AE239" s="9">
        <f>IF(OR($B239="",$AM239=0),"",INDEX('Rework Log'!$C:$C,$AM239))</f>
        <v/>
      </c>
      <c r="AF239" s="9">
        <f>IF(OR($B239="",$AM239=0),"",INDEX('Rework Log'!$H:$H,$AM239))</f>
        <v/>
      </c>
      <c r="AG239" s="9">
        <f>IF(OR($B239="",$AM239=0),"",INDEX('Rework Log'!$G:$G,$AM239))</f>
        <v/>
      </c>
      <c r="AH239" s="9">
        <f>IF($B239="","",IF(W239&lt;&gt;"","DPO Approval",IF(T239&lt;&gt;"","QA",IF(Q239&lt;&gt;"","PBI Dev",IF(N239&lt;&gt;"","DB Dev","NOT STARTED")))))</f>
        <v/>
      </c>
      <c r="AI239" s="9">
        <f>IF($B239="","",IF(IF($C239="NOT STARTED",0,IF($C239="DB Dev",1,IF($C239="PBI Dev",2,IF($C239="QA",3,IF($C239="DPO Approval",4,IF($C239="RELEASED IN PROD",5,-1))))))&lt;IF($AH239="NOT STARTED",0,IF($AH239="DB Dev",1,IF($AH239="PBI Dev",2,IF($AH239="QA",3,IF($AH239="DPO Approval",4,IF($AH239="RELEASED IN PROD",5,-1)))))),"Yes - was already at "&amp;$AH239&amp;", now back at "&amp;$C239,"No"))</f>
        <v/>
      </c>
      <c r="AJ239" s="9">
        <f>IF($B239="","",IF(AND(T239&lt;&gt;"",N239&lt;&gt;"",T239&lt;N239),"QA target is before DB Dev target",IF(AND(T239&lt;&gt;"",Q239&lt;&gt;"",T239&lt;Q239),"QA target is before PBI Dev target",IF(AND(W239&lt;&gt;"",T239&lt;&gt;"",W239&lt;T239),"DPO Approval target is before QA target",IF(AND(Z239&lt;&gt;"",W239&lt;&gt;"",Z239&lt;W239),"Confirmed Deployed date is before DPO Approval target","")))))</f>
        <v/>
      </c>
      <c r="AK239" s="9">
        <f>IF($B239="","",IF(COUNTIF($B$2:$B$500,$B239)&gt;1,"Duplicate name - check row",""))</f>
        <v/>
      </c>
      <c r="AL239" s="1" t="n"/>
      <c r="AM239" s="9">
        <f>IF($B239="","",SUMPRODUCT(MAX(('Rework Log'!$A$3:$A$500=$B239)*ROW('Rework Log'!$A$3:$A$500))))</f>
        <v/>
      </c>
    </row>
    <row r="240">
      <c r="A240" s="1" t="n"/>
      <c r="B240" s="1" t="n"/>
      <c r="C240" s="1" t="n"/>
      <c r="D240" s="9">
        <f>IF($B240="","",IF(LEFT($AC240,3)="Yes","Blocked",IF(C240="NOT STARTED",IF(K240="","No plan date set",IF(K240&lt;TODAY(),"Review - planned start passed","On track")),IF(C240="DB Dev",IF(N240="","No target set",IF(AND(N240&lt;TODAY(),P240=""),"Overdue","On track")),IF(C240="PBI Dev",IF(Q240="","No target set",IF(AND(Q240&lt;TODAY(),S240=""),"Overdue","On track")),IF(C240="QA",IF(T240="","No target set",IF(AND(T240&lt;TODAY(),V240=""),"Overdue","On track")),IF(C240="DPO Approval",IF(W240="","No target set",IF(W240&lt;TODAY(),"Overdue","On track")),IF(C240="RELEASED IN PROD","Delivered",""))))))))</f>
        <v/>
      </c>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c r="AA240" s="1" t="n"/>
      <c r="AB240" s="1" t="n"/>
      <c r="AC240" s="1" t="n"/>
      <c r="AD240" s="9">
        <f>IF($B240="","",COUNTIF('Rework Log'!$A$3:$A$500,$B240))</f>
        <v/>
      </c>
      <c r="AE240" s="9">
        <f>IF(OR($B240="",$AM240=0),"",INDEX('Rework Log'!$C:$C,$AM240))</f>
        <v/>
      </c>
      <c r="AF240" s="9">
        <f>IF(OR($B240="",$AM240=0),"",INDEX('Rework Log'!$H:$H,$AM240))</f>
        <v/>
      </c>
      <c r="AG240" s="9">
        <f>IF(OR($B240="",$AM240=0),"",INDEX('Rework Log'!$G:$G,$AM240))</f>
        <v/>
      </c>
      <c r="AH240" s="9">
        <f>IF($B240="","",IF(W240&lt;&gt;"","DPO Approval",IF(T240&lt;&gt;"","QA",IF(Q240&lt;&gt;"","PBI Dev",IF(N240&lt;&gt;"","DB Dev","NOT STARTED")))))</f>
        <v/>
      </c>
      <c r="AI240" s="9">
        <f>IF($B240="","",IF(IF($C240="NOT STARTED",0,IF($C240="DB Dev",1,IF($C240="PBI Dev",2,IF($C240="QA",3,IF($C240="DPO Approval",4,IF($C240="RELEASED IN PROD",5,-1))))))&lt;IF($AH240="NOT STARTED",0,IF($AH240="DB Dev",1,IF($AH240="PBI Dev",2,IF($AH240="QA",3,IF($AH240="DPO Approval",4,IF($AH240="RELEASED IN PROD",5,-1)))))),"Yes - was already at "&amp;$AH240&amp;", now back at "&amp;$C240,"No"))</f>
        <v/>
      </c>
      <c r="AJ240" s="9">
        <f>IF($B240="","",IF(AND(T240&lt;&gt;"",N240&lt;&gt;"",T240&lt;N240),"QA target is before DB Dev target",IF(AND(T240&lt;&gt;"",Q240&lt;&gt;"",T240&lt;Q240),"QA target is before PBI Dev target",IF(AND(W240&lt;&gt;"",T240&lt;&gt;"",W240&lt;T240),"DPO Approval target is before QA target",IF(AND(Z240&lt;&gt;"",W240&lt;&gt;"",Z240&lt;W240),"Confirmed Deployed date is before DPO Approval target","")))))</f>
        <v/>
      </c>
      <c r="AK240" s="9">
        <f>IF($B240="","",IF(COUNTIF($B$2:$B$500,$B240)&gt;1,"Duplicate name - check row",""))</f>
        <v/>
      </c>
      <c r="AL240" s="1" t="n"/>
      <c r="AM240" s="9">
        <f>IF($B240="","",SUMPRODUCT(MAX(('Rework Log'!$A$3:$A$500=$B240)*ROW('Rework Log'!$A$3:$A$500))))</f>
        <v/>
      </c>
    </row>
    <row r="241">
      <c r="A241" s="1" t="n"/>
      <c r="B241" s="1" t="n"/>
      <c r="C241" s="1" t="n"/>
      <c r="D241" s="9">
        <f>IF($B241="","",IF(LEFT($AC241,3)="Yes","Blocked",IF(C241="NOT STARTED",IF(K241="","No plan date set",IF(K241&lt;TODAY(),"Review - planned start passed","On track")),IF(C241="DB Dev",IF(N241="","No target set",IF(AND(N241&lt;TODAY(),P241=""),"Overdue","On track")),IF(C241="PBI Dev",IF(Q241="","No target set",IF(AND(Q241&lt;TODAY(),S241=""),"Overdue","On track")),IF(C241="QA",IF(T241="","No target set",IF(AND(T241&lt;TODAY(),V241=""),"Overdue","On track")),IF(C241="DPO Approval",IF(W241="","No target set",IF(W241&lt;TODAY(),"Overdue","On track")),IF(C241="RELEASED IN PROD","Delivered",""))))))))</f>
        <v/>
      </c>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c r="AA241" s="1" t="n"/>
      <c r="AB241" s="1" t="n"/>
      <c r="AC241" s="1" t="n"/>
      <c r="AD241" s="9">
        <f>IF($B241="","",COUNTIF('Rework Log'!$A$3:$A$500,$B241))</f>
        <v/>
      </c>
      <c r="AE241" s="9">
        <f>IF(OR($B241="",$AM241=0),"",INDEX('Rework Log'!$C:$C,$AM241))</f>
        <v/>
      </c>
      <c r="AF241" s="9">
        <f>IF(OR($B241="",$AM241=0),"",INDEX('Rework Log'!$H:$H,$AM241))</f>
        <v/>
      </c>
      <c r="AG241" s="9">
        <f>IF(OR($B241="",$AM241=0),"",INDEX('Rework Log'!$G:$G,$AM241))</f>
        <v/>
      </c>
      <c r="AH241" s="9">
        <f>IF($B241="","",IF(W241&lt;&gt;"","DPO Approval",IF(T241&lt;&gt;"","QA",IF(Q241&lt;&gt;"","PBI Dev",IF(N241&lt;&gt;"","DB Dev","NOT STARTED")))))</f>
        <v/>
      </c>
      <c r="AI241" s="9">
        <f>IF($B241="","",IF(IF($C241="NOT STARTED",0,IF($C241="DB Dev",1,IF($C241="PBI Dev",2,IF($C241="QA",3,IF($C241="DPO Approval",4,IF($C241="RELEASED IN PROD",5,-1))))))&lt;IF($AH241="NOT STARTED",0,IF($AH241="DB Dev",1,IF($AH241="PBI Dev",2,IF($AH241="QA",3,IF($AH241="DPO Approval",4,IF($AH241="RELEASED IN PROD",5,-1)))))),"Yes - was already at "&amp;$AH241&amp;", now back at "&amp;$C241,"No"))</f>
        <v/>
      </c>
      <c r="AJ241" s="9">
        <f>IF($B241="","",IF(AND(T241&lt;&gt;"",N241&lt;&gt;"",T241&lt;N241),"QA target is before DB Dev target",IF(AND(T241&lt;&gt;"",Q241&lt;&gt;"",T241&lt;Q241),"QA target is before PBI Dev target",IF(AND(W241&lt;&gt;"",T241&lt;&gt;"",W241&lt;T241),"DPO Approval target is before QA target",IF(AND(Z241&lt;&gt;"",W241&lt;&gt;"",Z241&lt;W241),"Confirmed Deployed date is before DPO Approval target","")))))</f>
        <v/>
      </c>
      <c r="AK241" s="9">
        <f>IF($B241="","",IF(COUNTIF($B$2:$B$500,$B241)&gt;1,"Duplicate name - check row",""))</f>
        <v/>
      </c>
      <c r="AL241" s="1" t="n"/>
      <c r="AM241" s="9">
        <f>IF($B241="","",SUMPRODUCT(MAX(('Rework Log'!$A$3:$A$500=$B241)*ROW('Rework Log'!$A$3:$A$500))))</f>
        <v/>
      </c>
    </row>
    <row r="242">
      <c r="A242" s="1" t="n"/>
      <c r="B242" s="1" t="n"/>
      <c r="C242" s="1" t="n"/>
      <c r="D242" s="9">
        <f>IF($B242="","",IF(LEFT($AC242,3)="Yes","Blocked",IF(C242="NOT STARTED",IF(K242="","No plan date set",IF(K242&lt;TODAY(),"Review - planned start passed","On track")),IF(C242="DB Dev",IF(N242="","No target set",IF(AND(N242&lt;TODAY(),P242=""),"Overdue","On track")),IF(C242="PBI Dev",IF(Q242="","No target set",IF(AND(Q242&lt;TODAY(),S242=""),"Overdue","On track")),IF(C242="QA",IF(T242="","No target set",IF(AND(T242&lt;TODAY(),V242=""),"Overdue","On track")),IF(C242="DPO Approval",IF(W242="","No target set",IF(W242&lt;TODAY(),"Overdue","On track")),IF(C242="RELEASED IN PROD","Delivered",""))))))))</f>
        <v/>
      </c>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c r="AA242" s="1" t="n"/>
      <c r="AB242" s="1" t="n"/>
      <c r="AC242" s="1" t="n"/>
      <c r="AD242" s="9">
        <f>IF($B242="","",COUNTIF('Rework Log'!$A$3:$A$500,$B242))</f>
        <v/>
      </c>
      <c r="AE242" s="9">
        <f>IF(OR($B242="",$AM242=0),"",INDEX('Rework Log'!$C:$C,$AM242))</f>
        <v/>
      </c>
      <c r="AF242" s="9">
        <f>IF(OR($B242="",$AM242=0),"",INDEX('Rework Log'!$H:$H,$AM242))</f>
        <v/>
      </c>
      <c r="AG242" s="9">
        <f>IF(OR($B242="",$AM242=0),"",INDEX('Rework Log'!$G:$G,$AM242))</f>
        <v/>
      </c>
      <c r="AH242" s="9">
        <f>IF($B242="","",IF(W242&lt;&gt;"","DPO Approval",IF(T242&lt;&gt;"","QA",IF(Q242&lt;&gt;"","PBI Dev",IF(N242&lt;&gt;"","DB Dev","NOT STARTED")))))</f>
        <v/>
      </c>
      <c r="AI242" s="9">
        <f>IF($B242="","",IF(IF($C242="NOT STARTED",0,IF($C242="DB Dev",1,IF($C242="PBI Dev",2,IF($C242="QA",3,IF($C242="DPO Approval",4,IF($C242="RELEASED IN PROD",5,-1))))))&lt;IF($AH242="NOT STARTED",0,IF($AH242="DB Dev",1,IF($AH242="PBI Dev",2,IF($AH242="QA",3,IF($AH242="DPO Approval",4,IF($AH242="RELEASED IN PROD",5,-1)))))),"Yes - was already at "&amp;$AH242&amp;", now back at "&amp;$C242,"No"))</f>
        <v/>
      </c>
      <c r="AJ242" s="9">
        <f>IF($B242="","",IF(AND(T242&lt;&gt;"",N242&lt;&gt;"",T242&lt;N242),"QA target is before DB Dev target",IF(AND(T242&lt;&gt;"",Q242&lt;&gt;"",T242&lt;Q242),"QA target is before PBI Dev target",IF(AND(W242&lt;&gt;"",T242&lt;&gt;"",W242&lt;T242),"DPO Approval target is before QA target",IF(AND(Z242&lt;&gt;"",W242&lt;&gt;"",Z242&lt;W242),"Confirmed Deployed date is before DPO Approval target","")))))</f>
        <v/>
      </c>
      <c r="AK242" s="9">
        <f>IF($B242="","",IF(COUNTIF($B$2:$B$500,$B242)&gt;1,"Duplicate name - check row",""))</f>
        <v/>
      </c>
      <c r="AL242" s="1" t="n"/>
      <c r="AM242" s="9">
        <f>IF($B242="","",SUMPRODUCT(MAX(('Rework Log'!$A$3:$A$500=$B242)*ROW('Rework Log'!$A$3:$A$500))))</f>
        <v/>
      </c>
    </row>
    <row r="243">
      <c r="A243" s="1" t="n"/>
      <c r="B243" s="1" t="n"/>
      <c r="C243" s="1" t="n"/>
      <c r="D243" s="9">
        <f>IF($B243="","",IF(LEFT($AC243,3)="Yes","Blocked",IF(C243="NOT STARTED",IF(K243="","No plan date set",IF(K243&lt;TODAY(),"Review - planned start passed","On track")),IF(C243="DB Dev",IF(N243="","No target set",IF(AND(N243&lt;TODAY(),P243=""),"Overdue","On track")),IF(C243="PBI Dev",IF(Q243="","No target set",IF(AND(Q243&lt;TODAY(),S243=""),"Overdue","On track")),IF(C243="QA",IF(T243="","No target set",IF(AND(T243&lt;TODAY(),V243=""),"Overdue","On track")),IF(C243="DPO Approval",IF(W243="","No target set",IF(W243&lt;TODAY(),"Overdue","On track")),IF(C243="RELEASED IN PROD","Delivered",""))))))))</f>
        <v/>
      </c>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c r="AA243" s="1" t="n"/>
      <c r="AB243" s="1" t="n"/>
      <c r="AC243" s="1" t="n"/>
      <c r="AD243" s="9">
        <f>IF($B243="","",COUNTIF('Rework Log'!$A$3:$A$500,$B243))</f>
        <v/>
      </c>
      <c r="AE243" s="9">
        <f>IF(OR($B243="",$AM243=0),"",INDEX('Rework Log'!$C:$C,$AM243))</f>
        <v/>
      </c>
      <c r="AF243" s="9">
        <f>IF(OR($B243="",$AM243=0),"",INDEX('Rework Log'!$H:$H,$AM243))</f>
        <v/>
      </c>
      <c r="AG243" s="9">
        <f>IF(OR($B243="",$AM243=0),"",INDEX('Rework Log'!$G:$G,$AM243))</f>
        <v/>
      </c>
      <c r="AH243" s="9">
        <f>IF($B243="","",IF(W243&lt;&gt;"","DPO Approval",IF(T243&lt;&gt;"","QA",IF(Q243&lt;&gt;"","PBI Dev",IF(N243&lt;&gt;"","DB Dev","NOT STARTED")))))</f>
        <v/>
      </c>
      <c r="AI243" s="9">
        <f>IF($B243="","",IF(IF($C243="NOT STARTED",0,IF($C243="DB Dev",1,IF($C243="PBI Dev",2,IF($C243="QA",3,IF($C243="DPO Approval",4,IF($C243="RELEASED IN PROD",5,-1))))))&lt;IF($AH243="NOT STARTED",0,IF($AH243="DB Dev",1,IF($AH243="PBI Dev",2,IF($AH243="QA",3,IF($AH243="DPO Approval",4,IF($AH243="RELEASED IN PROD",5,-1)))))),"Yes - was already at "&amp;$AH243&amp;", now back at "&amp;$C243,"No"))</f>
        <v/>
      </c>
      <c r="AJ243" s="9">
        <f>IF($B243="","",IF(AND(T243&lt;&gt;"",N243&lt;&gt;"",T243&lt;N243),"QA target is before DB Dev target",IF(AND(T243&lt;&gt;"",Q243&lt;&gt;"",T243&lt;Q243),"QA target is before PBI Dev target",IF(AND(W243&lt;&gt;"",T243&lt;&gt;"",W243&lt;T243),"DPO Approval target is before QA target",IF(AND(Z243&lt;&gt;"",W243&lt;&gt;"",Z243&lt;W243),"Confirmed Deployed date is before DPO Approval target","")))))</f>
        <v/>
      </c>
      <c r="AK243" s="9">
        <f>IF($B243="","",IF(COUNTIF($B$2:$B$500,$B243)&gt;1,"Duplicate name - check row",""))</f>
        <v/>
      </c>
      <c r="AL243" s="1" t="n"/>
      <c r="AM243" s="9">
        <f>IF($B243="","",SUMPRODUCT(MAX(('Rework Log'!$A$3:$A$500=$B243)*ROW('Rework Log'!$A$3:$A$500))))</f>
        <v/>
      </c>
    </row>
    <row r="244">
      <c r="A244" s="1" t="n"/>
      <c r="B244" s="1" t="n"/>
      <c r="C244" s="1" t="n"/>
      <c r="D244" s="9">
        <f>IF($B244="","",IF(LEFT($AC244,3)="Yes","Blocked",IF(C244="NOT STARTED",IF(K244="","No plan date set",IF(K244&lt;TODAY(),"Review - planned start passed","On track")),IF(C244="DB Dev",IF(N244="","No target set",IF(AND(N244&lt;TODAY(),P244=""),"Overdue","On track")),IF(C244="PBI Dev",IF(Q244="","No target set",IF(AND(Q244&lt;TODAY(),S244=""),"Overdue","On track")),IF(C244="QA",IF(T244="","No target set",IF(AND(T244&lt;TODAY(),V244=""),"Overdue","On track")),IF(C244="DPO Approval",IF(W244="","No target set",IF(W244&lt;TODAY(),"Overdue","On track")),IF(C244="RELEASED IN PROD","Delivered",""))))))))</f>
        <v/>
      </c>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c r="AA244" s="1" t="n"/>
      <c r="AB244" s="1" t="n"/>
      <c r="AC244" s="1" t="n"/>
      <c r="AD244" s="9">
        <f>IF($B244="","",COUNTIF('Rework Log'!$A$3:$A$500,$B244))</f>
        <v/>
      </c>
      <c r="AE244" s="9">
        <f>IF(OR($B244="",$AM244=0),"",INDEX('Rework Log'!$C:$C,$AM244))</f>
        <v/>
      </c>
      <c r="AF244" s="9">
        <f>IF(OR($B244="",$AM244=0),"",INDEX('Rework Log'!$H:$H,$AM244))</f>
        <v/>
      </c>
      <c r="AG244" s="9">
        <f>IF(OR($B244="",$AM244=0),"",INDEX('Rework Log'!$G:$G,$AM244))</f>
        <v/>
      </c>
      <c r="AH244" s="9">
        <f>IF($B244="","",IF(W244&lt;&gt;"","DPO Approval",IF(T244&lt;&gt;"","QA",IF(Q244&lt;&gt;"","PBI Dev",IF(N244&lt;&gt;"","DB Dev","NOT STARTED")))))</f>
        <v/>
      </c>
      <c r="AI244" s="9">
        <f>IF($B244="","",IF(IF($C244="NOT STARTED",0,IF($C244="DB Dev",1,IF($C244="PBI Dev",2,IF($C244="QA",3,IF($C244="DPO Approval",4,IF($C244="RELEASED IN PROD",5,-1))))))&lt;IF($AH244="NOT STARTED",0,IF($AH244="DB Dev",1,IF($AH244="PBI Dev",2,IF($AH244="QA",3,IF($AH244="DPO Approval",4,IF($AH244="RELEASED IN PROD",5,-1)))))),"Yes - was already at "&amp;$AH244&amp;", now back at "&amp;$C244,"No"))</f>
        <v/>
      </c>
      <c r="AJ244" s="9">
        <f>IF($B244="","",IF(AND(T244&lt;&gt;"",N244&lt;&gt;"",T244&lt;N244),"QA target is before DB Dev target",IF(AND(T244&lt;&gt;"",Q244&lt;&gt;"",T244&lt;Q244),"QA target is before PBI Dev target",IF(AND(W244&lt;&gt;"",T244&lt;&gt;"",W244&lt;T244),"DPO Approval target is before QA target",IF(AND(Z244&lt;&gt;"",W244&lt;&gt;"",Z244&lt;W244),"Confirmed Deployed date is before DPO Approval target","")))))</f>
        <v/>
      </c>
      <c r="AK244" s="9">
        <f>IF($B244="","",IF(COUNTIF($B$2:$B$500,$B244)&gt;1,"Duplicate name - check row",""))</f>
        <v/>
      </c>
      <c r="AL244" s="1" t="n"/>
      <c r="AM244" s="9">
        <f>IF($B244="","",SUMPRODUCT(MAX(('Rework Log'!$A$3:$A$500=$B244)*ROW('Rework Log'!$A$3:$A$500))))</f>
        <v/>
      </c>
    </row>
    <row r="245">
      <c r="A245" s="1" t="n"/>
      <c r="B245" s="1" t="n"/>
      <c r="C245" s="1" t="n"/>
      <c r="D245" s="9">
        <f>IF($B245="","",IF(LEFT($AC245,3)="Yes","Blocked",IF(C245="NOT STARTED",IF(K245="","No plan date set",IF(K245&lt;TODAY(),"Review - planned start passed","On track")),IF(C245="DB Dev",IF(N245="","No target set",IF(AND(N245&lt;TODAY(),P245=""),"Overdue","On track")),IF(C245="PBI Dev",IF(Q245="","No target set",IF(AND(Q245&lt;TODAY(),S245=""),"Overdue","On track")),IF(C245="QA",IF(T245="","No target set",IF(AND(T245&lt;TODAY(),V245=""),"Overdue","On track")),IF(C245="DPO Approval",IF(W245="","No target set",IF(W245&lt;TODAY(),"Overdue","On track")),IF(C245="RELEASED IN PROD","Delivered",""))))))))</f>
        <v/>
      </c>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c r="AA245" s="1" t="n"/>
      <c r="AB245" s="1" t="n"/>
      <c r="AC245" s="1" t="n"/>
      <c r="AD245" s="9">
        <f>IF($B245="","",COUNTIF('Rework Log'!$A$3:$A$500,$B245))</f>
        <v/>
      </c>
      <c r="AE245" s="9">
        <f>IF(OR($B245="",$AM245=0),"",INDEX('Rework Log'!$C:$C,$AM245))</f>
        <v/>
      </c>
      <c r="AF245" s="9">
        <f>IF(OR($B245="",$AM245=0),"",INDEX('Rework Log'!$H:$H,$AM245))</f>
        <v/>
      </c>
      <c r="AG245" s="9">
        <f>IF(OR($B245="",$AM245=0),"",INDEX('Rework Log'!$G:$G,$AM245))</f>
        <v/>
      </c>
      <c r="AH245" s="9">
        <f>IF($B245="","",IF(W245&lt;&gt;"","DPO Approval",IF(T245&lt;&gt;"","QA",IF(Q245&lt;&gt;"","PBI Dev",IF(N245&lt;&gt;"","DB Dev","NOT STARTED")))))</f>
        <v/>
      </c>
      <c r="AI245" s="9">
        <f>IF($B245="","",IF(IF($C245="NOT STARTED",0,IF($C245="DB Dev",1,IF($C245="PBI Dev",2,IF($C245="QA",3,IF($C245="DPO Approval",4,IF($C245="RELEASED IN PROD",5,-1))))))&lt;IF($AH245="NOT STARTED",0,IF($AH245="DB Dev",1,IF($AH245="PBI Dev",2,IF($AH245="QA",3,IF($AH245="DPO Approval",4,IF($AH245="RELEASED IN PROD",5,-1)))))),"Yes - was already at "&amp;$AH245&amp;", now back at "&amp;$C245,"No"))</f>
        <v/>
      </c>
      <c r="AJ245" s="9">
        <f>IF($B245="","",IF(AND(T245&lt;&gt;"",N245&lt;&gt;"",T245&lt;N245),"QA target is before DB Dev target",IF(AND(T245&lt;&gt;"",Q245&lt;&gt;"",T245&lt;Q245),"QA target is before PBI Dev target",IF(AND(W245&lt;&gt;"",T245&lt;&gt;"",W245&lt;T245),"DPO Approval target is before QA target",IF(AND(Z245&lt;&gt;"",W245&lt;&gt;"",Z245&lt;W245),"Confirmed Deployed date is before DPO Approval target","")))))</f>
        <v/>
      </c>
      <c r="AK245" s="9">
        <f>IF($B245="","",IF(COUNTIF($B$2:$B$500,$B245)&gt;1,"Duplicate name - check row",""))</f>
        <v/>
      </c>
      <c r="AL245" s="1" t="n"/>
      <c r="AM245" s="9">
        <f>IF($B245="","",SUMPRODUCT(MAX(('Rework Log'!$A$3:$A$500=$B245)*ROW('Rework Log'!$A$3:$A$500))))</f>
        <v/>
      </c>
    </row>
    <row r="246">
      <c r="A246" s="1" t="n"/>
      <c r="B246" s="1" t="n"/>
      <c r="C246" s="1" t="n"/>
      <c r="D246" s="9">
        <f>IF($B246="","",IF(LEFT($AC246,3)="Yes","Blocked",IF(C246="NOT STARTED",IF(K246="","No plan date set",IF(K246&lt;TODAY(),"Review - planned start passed","On track")),IF(C246="DB Dev",IF(N246="","No target set",IF(AND(N246&lt;TODAY(),P246=""),"Overdue","On track")),IF(C246="PBI Dev",IF(Q246="","No target set",IF(AND(Q246&lt;TODAY(),S246=""),"Overdue","On track")),IF(C246="QA",IF(T246="","No target set",IF(AND(T246&lt;TODAY(),V246=""),"Overdue","On track")),IF(C246="DPO Approval",IF(W246="","No target set",IF(W246&lt;TODAY(),"Overdue","On track")),IF(C246="RELEASED IN PROD","Delivered",""))))))))</f>
        <v/>
      </c>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c r="AA246" s="1" t="n"/>
      <c r="AB246" s="1" t="n"/>
      <c r="AC246" s="1" t="n"/>
      <c r="AD246" s="9">
        <f>IF($B246="","",COUNTIF('Rework Log'!$A$3:$A$500,$B246))</f>
        <v/>
      </c>
      <c r="AE246" s="9">
        <f>IF(OR($B246="",$AM246=0),"",INDEX('Rework Log'!$C:$C,$AM246))</f>
        <v/>
      </c>
      <c r="AF246" s="9">
        <f>IF(OR($B246="",$AM246=0),"",INDEX('Rework Log'!$H:$H,$AM246))</f>
        <v/>
      </c>
      <c r="AG246" s="9">
        <f>IF(OR($B246="",$AM246=0),"",INDEX('Rework Log'!$G:$G,$AM246))</f>
        <v/>
      </c>
      <c r="AH246" s="9">
        <f>IF($B246="","",IF(W246&lt;&gt;"","DPO Approval",IF(T246&lt;&gt;"","QA",IF(Q246&lt;&gt;"","PBI Dev",IF(N246&lt;&gt;"","DB Dev","NOT STARTED")))))</f>
        <v/>
      </c>
      <c r="AI246" s="9">
        <f>IF($B246="","",IF(IF($C246="NOT STARTED",0,IF($C246="DB Dev",1,IF($C246="PBI Dev",2,IF($C246="QA",3,IF($C246="DPO Approval",4,IF($C246="RELEASED IN PROD",5,-1))))))&lt;IF($AH246="NOT STARTED",0,IF($AH246="DB Dev",1,IF($AH246="PBI Dev",2,IF($AH246="QA",3,IF($AH246="DPO Approval",4,IF($AH246="RELEASED IN PROD",5,-1)))))),"Yes - was already at "&amp;$AH246&amp;", now back at "&amp;$C246,"No"))</f>
        <v/>
      </c>
      <c r="AJ246" s="9">
        <f>IF($B246="","",IF(AND(T246&lt;&gt;"",N246&lt;&gt;"",T246&lt;N246),"QA target is before DB Dev target",IF(AND(T246&lt;&gt;"",Q246&lt;&gt;"",T246&lt;Q246),"QA target is before PBI Dev target",IF(AND(W246&lt;&gt;"",T246&lt;&gt;"",W246&lt;T246),"DPO Approval target is before QA target",IF(AND(Z246&lt;&gt;"",W246&lt;&gt;"",Z246&lt;W246),"Confirmed Deployed date is before DPO Approval target","")))))</f>
        <v/>
      </c>
      <c r="AK246" s="9">
        <f>IF($B246="","",IF(COUNTIF($B$2:$B$500,$B246)&gt;1,"Duplicate name - check row",""))</f>
        <v/>
      </c>
      <c r="AL246" s="1" t="n"/>
      <c r="AM246" s="9">
        <f>IF($B246="","",SUMPRODUCT(MAX(('Rework Log'!$A$3:$A$500=$B246)*ROW('Rework Log'!$A$3:$A$500))))</f>
        <v/>
      </c>
    </row>
    <row r="247">
      <c r="A247" s="1" t="n"/>
      <c r="B247" s="1" t="n"/>
      <c r="C247" s="1" t="n"/>
      <c r="D247" s="9">
        <f>IF($B247="","",IF(LEFT($AC247,3)="Yes","Blocked",IF(C247="NOT STARTED",IF(K247="","No plan date set",IF(K247&lt;TODAY(),"Review - planned start passed","On track")),IF(C247="DB Dev",IF(N247="","No target set",IF(AND(N247&lt;TODAY(),P247=""),"Overdue","On track")),IF(C247="PBI Dev",IF(Q247="","No target set",IF(AND(Q247&lt;TODAY(),S247=""),"Overdue","On track")),IF(C247="QA",IF(T247="","No target set",IF(AND(T247&lt;TODAY(),V247=""),"Overdue","On track")),IF(C247="DPO Approval",IF(W247="","No target set",IF(W247&lt;TODAY(),"Overdue","On track")),IF(C247="RELEASED IN PROD","Delivered",""))))))))</f>
        <v/>
      </c>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c r="AA247" s="1" t="n"/>
      <c r="AB247" s="1" t="n"/>
      <c r="AC247" s="1" t="n"/>
      <c r="AD247" s="9">
        <f>IF($B247="","",COUNTIF('Rework Log'!$A$3:$A$500,$B247))</f>
        <v/>
      </c>
      <c r="AE247" s="9">
        <f>IF(OR($B247="",$AM247=0),"",INDEX('Rework Log'!$C:$C,$AM247))</f>
        <v/>
      </c>
      <c r="AF247" s="9">
        <f>IF(OR($B247="",$AM247=0),"",INDEX('Rework Log'!$H:$H,$AM247))</f>
        <v/>
      </c>
      <c r="AG247" s="9">
        <f>IF(OR($B247="",$AM247=0),"",INDEX('Rework Log'!$G:$G,$AM247))</f>
        <v/>
      </c>
      <c r="AH247" s="9">
        <f>IF($B247="","",IF(W247&lt;&gt;"","DPO Approval",IF(T247&lt;&gt;"","QA",IF(Q247&lt;&gt;"","PBI Dev",IF(N247&lt;&gt;"","DB Dev","NOT STARTED")))))</f>
        <v/>
      </c>
      <c r="AI247" s="9">
        <f>IF($B247="","",IF(IF($C247="NOT STARTED",0,IF($C247="DB Dev",1,IF($C247="PBI Dev",2,IF($C247="QA",3,IF($C247="DPO Approval",4,IF($C247="RELEASED IN PROD",5,-1))))))&lt;IF($AH247="NOT STARTED",0,IF($AH247="DB Dev",1,IF($AH247="PBI Dev",2,IF($AH247="QA",3,IF($AH247="DPO Approval",4,IF($AH247="RELEASED IN PROD",5,-1)))))),"Yes - was already at "&amp;$AH247&amp;", now back at "&amp;$C247,"No"))</f>
        <v/>
      </c>
      <c r="AJ247" s="9">
        <f>IF($B247="","",IF(AND(T247&lt;&gt;"",N247&lt;&gt;"",T247&lt;N247),"QA target is before DB Dev target",IF(AND(T247&lt;&gt;"",Q247&lt;&gt;"",T247&lt;Q247),"QA target is before PBI Dev target",IF(AND(W247&lt;&gt;"",T247&lt;&gt;"",W247&lt;T247),"DPO Approval target is before QA target",IF(AND(Z247&lt;&gt;"",W247&lt;&gt;"",Z247&lt;W247),"Confirmed Deployed date is before DPO Approval target","")))))</f>
        <v/>
      </c>
      <c r="AK247" s="9">
        <f>IF($B247="","",IF(COUNTIF($B$2:$B$500,$B247)&gt;1,"Duplicate name - check row",""))</f>
        <v/>
      </c>
      <c r="AL247" s="1" t="n"/>
      <c r="AM247" s="9">
        <f>IF($B247="","",SUMPRODUCT(MAX(('Rework Log'!$A$3:$A$500=$B247)*ROW('Rework Log'!$A$3:$A$500))))</f>
        <v/>
      </c>
    </row>
    <row r="248">
      <c r="A248" s="1" t="n"/>
      <c r="B248" s="1" t="n"/>
      <c r="C248" s="1" t="n"/>
      <c r="D248" s="9">
        <f>IF($B248="","",IF(LEFT($AC248,3)="Yes","Blocked",IF(C248="NOT STARTED",IF(K248="","No plan date set",IF(K248&lt;TODAY(),"Review - planned start passed","On track")),IF(C248="DB Dev",IF(N248="","No target set",IF(AND(N248&lt;TODAY(),P248=""),"Overdue","On track")),IF(C248="PBI Dev",IF(Q248="","No target set",IF(AND(Q248&lt;TODAY(),S248=""),"Overdue","On track")),IF(C248="QA",IF(T248="","No target set",IF(AND(T248&lt;TODAY(),V248=""),"Overdue","On track")),IF(C248="DPO Approval",IF(W248="","No target set",IF(W248&lt;TODAY(),"Overdue","On track")),IF(C248="RELEASED IN PROD","Delivered",""))))))))</f>
        <v/>
      </c>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c r="AA248" s="1" t="n"/>
      <c r="AB248" s="1" t="n"/>
      <c r="AC248" s="1" t="n"/>
      <c r="AD248" s="9">
        <f>IF($B248="","",COUNTIF('Rework Log'!$A$3:$A$500,$B248))</f>
        <v/>
      </c>
      <c r="AE248" s="9">
        <f>IF(OR($B248="",$AM248=0),"",INDEX('Rework Log'!$C:$C,$AM248))</f>
        <v/>
      </c>
      <c r="AF248" s="9">
        <f>IF(OR($B248="",$AM248=0),"",INDEX('Rework Log'!$H:$H,$AM248))</f>
        <v/>
      </c>
      <c r="AG248" s="9">
        <f>IF(OR($B248="",$AM248=0),"",INDEX('Rework Log'!$G:$G,$AM248))</f>
        <v/>
      </c>
      <c r="AH248" s="9">
        <f>IF($B248="","",IF(W248&lt;&gt;"","DPO Approval",IF(T248&lt;&gt;"","QA",IF(Q248&lt;&gt;"","PBI Dev",IF(N248&lt;&gt;"","DB Dev","NOT STARTED")))))</f>
        <v/>
      </c>
      <c r="AI248" s="9">
        <f>IF($B248="","",IF(IF($C248="NOT STARTED",0,IF($C248="DB Dev",1,IF($C248="PBI Dev",2,IF($C248="QA",3,IF($C248="DPO Approval",4,IF($C248="RELEASED IN PROD",5,-1))))))&lt;IF($AH248="NOT STARTED",0,IF($AH248="DB Dev",1,IF($AH248="PBI Dev",2,IF($AH248="QA",3,IF($AH248="DPO Approval",4,IF($AH248="RELEASED IN PROD",5,-1)))))),"Yes - was already at "&amp;$AH248&amp;", now back at "&amp;$C248,"No"))</f>
        <v/>
      </c>
      <c r="AJ248" s="9">
        <f>IF($B248="","",IF(AND(T248&lt;&gt;"",N248&lt;&gt;"",T248&lt;N248),"QA target is before DB Dev target",IF(AND(T248&lt;&gt;"",Q248&lt;&gt;"",T248&lt;Q248),"QA target is before PBI Dev target",IF(AND(W248&lt;&gt;"",T248&lt;&gt;"",W248&lt;T248),"DPO Approval target is before QA target",IF(AND(Z248&lt;&gt;"",W248&lt;&gt;"",Z248&lt;W248),"Confirmed Deployed date is before DPO Approval target","")))))</f>
        <v/>
      </c>
      <c r="AK248" s="9">
        <f>IF($B248="","",IF(COUNTIF($B$2:$B$500,$B248)&gt;1,"Duplicate name - check row",""))</f>
        <v/>
      </c>
      <c r="AL248" s="1" t="n"/>
      <c r="AM248" s="9">
        <f>IF($B248="","",SUMPRODUCT(MAX(('Rework Log'!$A$3:$A$500=$B248)*ROW('Rework Log'!$A$3:$A$500))))</f>
        <v/>
      </c>
    </row>
    <row r="249">
      <c r="A249" s="1" t="n"/>
      <c r="B249" s="1" t="n"/>
      <c r="C249" s="1" t="n"/>
      <c r="D249" s="9">
        <f>IF($B249="","",IF(LEFT($AC249,3)="Yes","Blocked",IF(C249="NOT STARTED",IF(K249="","No plan date set",IF(K249&lt;TODAY(),"Review - planned start passed","On track")),IF(C249="DB Dev",IF(N249="","No target set",IF(AND(N249&lt;TODAY(),P249=""),"Overdue","On track")),IF(C249="PBI Dev",IF(Q249="","No target set",IF(AND(Q249&lt;TODAY(),S249=""),"Overdue","On track")),IF(C249="QA",IF(T249="","No target set",IF(AND(T249&lt;TODAY(),V249=""),"Overdue","On track")),IF(C249="DPO Approval",IF(W249="","No target set",IF(W249&lt;TODAY(),"Overdue","On track")),IF(C249="RELEASED IN PROD","Delivered",""))))))))</f>
        <v/>
      </c>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c r="AA249" s="1" t="n"/>
      <c r="AB249" s="1" t="n"/>
      <c r="AC249" s="1" t="n"/>
      <c r="AD249" s="9">
        <f>IF($B249="","",COUNTIF('Rework Log'!$A$3:$A$500,$B249))</f>
        <v/>
      </c>
      <c r="AE249" s="9">
        <f>IF(OR($B249="",$AM249=0),"",INDEX('Rework Log'!$C:$C,$AM249))</f>
        <v/>
      </c>
      <c r="AF249" s="9">
        <f>IF(OR($B249="",$AM249=0),"",INDEX('Rework Log'!$H:$H,$AM249))</f>
        <v/>
      </c>
      <c r="AG249" s="9">
        <f>IF(OR($B249="",$AM249=0),"",INDEX('Rework Log'!$G:$G,$AM249))</f>
        <v/>
      </c>
      <c r="AH249" s="9">
        <f>IF($B249="","",IF(W249&lt;&gt;"","DPO Approval",IF(T249&lt;&gt;"","QA",IF(Q249&lt;&gt;"","PBI Dev",IF(N249&lt;&gt;"","DB Dev","NOT STARTED")))))</f>
        <v/>
      </c>
      <c r="AI249" s="9">
        <f>IF($B249="","",IF(IF($C249="NOT STARTED",0,IF($C249="DB Dev",1,IF($C249="PBI Dev",2,IF($C249="QA",3,IF($C249="DPO Approval",4,IF($C249="RELEASED IN PROD",5,-1))))))&lt;IF($AH249="NOT STARTED",0,IF($AH249="DB Dev",1,IF($AH249="PBI Dev",2,IF($AH249="QA",3,IF($AH249="DPO Approval",4,IF($AH249="RELEASED IN PROD",5,-1)))))),"Yes - was already at "&amp;$AH249&amp;", now back at "&amp;$C249,"No"))</f>
        <v/>
      </c>
      <c r="AJ249" s="9">
        <f>IF($B249="","",IF(AND(T249&lt;&gt;"",N249&lt;&gt;"",T249&lt;N249),"QA target is before DB Dev target",IF(AND(T249&lt;&gt;"",Q249&lt;&gt;"",T249&lt;Q249),"QA target is before PBI Dev target",IF(AND(W249&lt;&gt;"",T249&lt;&gt;"",W249&lt;T249),"DPO Approval target is before QA target",IF(AND(Z249&lt;&gt;"",W249&lt;&gt;"",Z249&lt;W249),"Confirmed Deployed date is before DPO Approval target","")))))</f>
        <v/>
      </c>
      <c r="AK249" s="9">
        <f>IF($B249="","",IF(COUNTIF($B$2:$B$500,$B249)&gt;1,"Duplicate name - check row",""))</f>
        <v/>
      </c>
      <c r="AL249" s="1" t="n"/>
      <c r="AM249" s="9">
        <f>IF($B249="","",SUMPRODUCT(MAX(('Rework Log'!$A$3:$A$500=$B249)*ROW('Rework Log'!$A$3:$A$500))))</f>
        <v/>
      </c>
    </row>
    <row r="250">
      <c r="A250" s="1" t="n"/>
      <c r="B250" s="1" t="n"/>
      <c r="C250" s="1" t="n"/>
      <c r="D250" s="9">
        <f>IF($B250="","",IF(LEFT($AC250,3)="Yes","Blocked",IF(C250="NOT STARTED",IF(K250="","No plan date set",IF(K250&lt;TODAY(),"Review - planned start passed","On track")),IF(C250="DB Dev",IF(N250="","No target set",IF(AND(N250&lt;TODAY(),P250=""),"Overdue","On track")),IF(C250="PBI Dev",IF(Q250="","No target set",IF(AND(Q250&lt;TODAY(),S250=""),"Overdue","On track")),IF(C250="QA",IF(T250="","No target set",IF(AND(T250&lt;TODAY(),V250=""),"Overdue","On track")),IF(C250="DPO Approval",IF(W250="","No target set",IF(W250&lt;TODAY(),"Overdue","On track")),IF(C250="RELEASED IN PROD","Delivered",""))))))))</f>
        <v/>
      </c>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c r="AA250" s="1" t="n"/>
      <c r="AB250" s="1" t="n"/>
      <c r="AC250" s="1" t="n"/>
      <c r="AD250" s="9">
        <f>IF($B250="","",COUNTIF('Rework Log'!$A$3:$A$500,$B250))</f>
        <v/>
      </c>
      <c r="AE250" s="9">
        <f>IF(OR($B250="",$AM250=0),"",INDEX('Rework Log'!$C:$C,$AM250))</f>
        <v/>
      </c>
      <c r="AF250" s="9">
        <f>IF(OR($B250="",$AM250=0),"",INDEX('Rework Log'!$H:$H,$AM250))</f>
        <v/>
      </c>
      <c r="AG250" s="9">
        <f>IF(OR($B250="",$AM250=0),"",INDEX('Rework Log'!$G:$G,$AM250))</f>
        <v/>
      </c>
      <c r="AH250" s="9">
        <f>IF($B250="","",IF(W250&lt;&gt;"","DPO Approval",IF(T250&lt;&gt;"","QA",IF(Q250&lt;&gt;"","PBI Dev",IF(N250&lt;&gt;"","DB Dev","NOT STARTED")))))</f>
        <v/>
      </c>
      <c r="AI250" s="9">
        <f>IF($B250="","",IF(IF($C250="NOT STARTED",0,IF($C250="DB Dev",1,IF($C250="PBI Dev",2,IF($C250="QA",3,IF($C250="DPO Approval",4,IF($C250="RELEASED IN PROD",5,-1))))))&lt;IF($AH250="NOT STARTED",0,IF($AH250="DB Dev",1,IF($AH250="PBI Dev",2,IF($AH250="QA",3,IF($AH250="DPO Approval",4,IF($AH250="RELEASED IN PROD",5,-1)))))),"Yes - was already at "&amp;$AH250&amp;", now back at "&amp;$C250,"No"))</f>
        <v/>
      </c>
      <c r="AJ250" s="9">
        <f>IF($B250="","",IF(AND(T250&lt;&gt;"",N250&lt;&gt;"",T250&lt;N250),"QA target is before DB Dev target",IF(AND(T250&lt;&gt;"",Q250&lt;&gt;"",T250&lt;Q250),"QA target is before PBI Dev target",IF(AND(W250&lt;&gt;"",T250&lt;&gt;"",W250&lt;T250),"DPO Approval target is before QA target",IF(AND(Z250&lt;&gt;"",W250&lt;&gt;"",Z250&lt;W250),"Confirmed Deployed date is before DPO Approval target","")))))</f>
        <v/>
      </c>
      <c r="AK250" s="9">
        <f>IF($B250="","",IF(COUNTIF($B$2:$B$500,$B250)&gt;1,"Duplicate name - check row",""))</f>
        <v/>
      </c>
      <c r="AL250" s="1" t="n"/>
      <c r="AM250" s="9">
        <f>IF($B250="","",SUMPRODUCT(MAX(('Rework Log'!$A$3:$A$500=$B250)*ROW('Rework Log'!$A$3:$A$500))))</f>
        <v/>
      </c>
    </row>
    <row r="251">
      <c r="A251" s="1" t="n"/>
      <c r="B251" s="1" t="n"/>
      <c r="C251" s="1" t="n"/>
      <c r="D251" s="9">
        <f>IF($B251="","",IF(LEFT($AC251,3)="Yes","Blocked",IF(C251="NOT STARTED",IF(K251="","No plan date set",IF(K251&lt;TODAY(),"Review - planned start passed","On track")),IF(C251="DB Dev",IF(N251="","No target set",IF(AND(N251&lt;TODAY(),P251=""),"Overdue","On track")),IF(C251="PBI Dev",IF(Q251="","No target set",IF(AND(Q251&lt;TODAY(),S251=""),"Overdue","On track")),IF(C251="QA",IF(T251="","No target set",IF(AND(T251&lt;TODAY(),V251=""),"Overdue","On track")),IF(C251="DPO Approval",IF(W251="","No target set",IF(W251&lt;TODAY(),"Overdue","On track")),IF(C251="RELEASED IN PROD","Delivered",""))))))))</f>
        <v/>
      </c>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c r="AA251" s="1" t="n"/>
      <c r="AB251" s="1" t="n"/>
      <c r="AC251" s="1" t="n"/>
      <c r="AD251" s="9">
        <f>IF($B251="","",COUNTIF('Rework Log'!$A$3:$A$500,$B251))</f>
        <v/>
      </c>
      <c r="AE251" s="9">
        <f>IF(OR($B251="",$AM251=0),"",INDEX('Rework Log'!$C:$C,$AM251))</f>
        <v/>
      </c>
      <c r="AF251" s="9">
        <f>IF(OR($B251="",$AM251=0),"",INDEX('Rework Log'!$H:$H,$AM251))</f>
        <v/>
      </c>
      <c r="AG251" s="9">
        <f>IF(OR($B251="",$AM251=0),"",INDEX('Rework Log'!$G:$G,$AM251))</f>
        <v/>
      </c>
      <c r="AH251" s="9">
        <f>IF($B251="","",IF(W251&lt;&gt;"","DPO Approval",IF(T251&lt;&gt;"","QA",IF(Q251&lt;&gt;"","PBI Dev",IF(N251&lt;&gt;"","DB Dev","NOT STARTED")))))</f>
        <v/>
      </c>
      <c r="AI251" s="9">
        <f>IF($B251="","",IF(IF($C251="NOT STARTED",0,IF($C251="DB Dev",1,IF($C251="PBI Dev",2,IF($C251="QA",3,IF($C251="DPO Approval",4,IF($C251="RELEASED IN PROD",5,-1))))))&lt;IF($AH251="NOT STARTED",0,IF($AH251="DB Dev",1,IF($AH251="PBI Dev",2,IF($AH251="QA",3,IF($AH251="DPO Approval",4,IF($AH251="RELEASED IN PROD",5,-1)))))),"Yes - was already at "&amp;$AH251&amp;", now back at "&amp;$C251,"No"))</f>
        <v/>
      </c>
      <c r="AJ251" s="9">
        <f>IF($B251="","",IF(AND(T251&lt;&gt;"",N251&lt;&gt;"",T251&lt;N251),"QA target is before DB Dev target",IF(AND(T251&lt;&gt;"",Q251&lt;&gt;"",T251&lt;Q251),"QA target is before PBI Dev target",IF(AND(W251&lt;&gt;"",T251&lt;&gt;"",W251&lt;T251),"DPO Approval target is before QA target",IF(AND(Z251&lt;&gt;"",W251&lt;&gt;"",Z251&lt;W251),"Confirmed Deployed date is before DPO Approval target","")))))</f>
        <v/>
      </c>
      <c r="AK251" s="9">
        <f>IF($B251="","",IF(COUNTIF($B$2:$B$500,$B251)&gt;1,"Duplicate name - check row",""))</f>
        <v/>
      </c>
      <c r="AL251" s="1" t="n"/>
      <c r="AM251" s="9">
        <f>IF($B251="","",SUMPRODUCT(MAX(('Rework Log'!$A$3:$A$500=$B251)*ROW('Rework Log'!$A$3:$A$500))))</f>
        <v/>
      </c>
    </row>
    <row r="252">
      <c r="A252" s="1" t="n"/>
      <c r="B252" s="1" t="n"/>
      <c r="C252" s="1" t="n"/>
      <c r="D252" s="9">
        <f>IF($B252="","",IF(LEFT($AC252,3)="Yes","Blocked",IF(C252="NOT STARTED",IF(K252="","No plan date set",IF(K252&lt;TODAY(),"Review - planned start passed","On track")),IF(C252="DB Dev",IF(N252="","No target set",IF(AND(N252&lt;TODAY(),P252=""),"Overdue","On track")),IF(C252="PBI Dev",IF(Q252="","No target set",IF(AND(Q252&lt;TODAY(),S252=""),"Overdue","On track")),IF(C252="QA",IF(T252="","No target set",IF(AND(T252&lt;TODAY(),V252=""),"Overdue","On track")),IF(C252="DPO Approval",IF(W252="","No target set",IF(W252&lt;TODAY(),"Overdue","On track")),IF(C252="RELEASED IN PROD","Delivered",""))))))))</f>
        <v/>
      </c>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c r="AA252" s="1" t="n"/>
      <c r="AB252" s="1" t="n"/>
      <c r="AC252" s="1" t="n"/>
      <c r="AD252" s="9">
        <f>IF($B252="","",COUNTIF('Rework Log'!$A$3:$A$500,$B252))</f>
        <v/>
      </c>
      <c r="AE252" s="9">
        <f>IF(OR($B252="",$AM252=0),"",INDEX('Rework Log'!$C:$C,$AM252))</f>
        <v/>
      </c>
      <c r="AF252" s="9">
        <f>IF(OR($B252="",$AM252=0),"",INDEX('Rework Log'!$H:$H,$AM252))</f>
        <v/>
      </c>
      <c r="AG252" s="9">
        <f>IF(OR($B252="",$AM252=0),"",INDEX('Rework Log'!$G:$G,$AM252))</f>
        <v/>
      </c>
      <c r="AH252" s="9">
        <f>IF($B252="","",IF(W252&lt;&gt;"","DPO Approval",IF(T252&lt;&gt;"","QA",IF(Q252&lt;&gt;"","PBI Dev",IF(N252&lt;&gt;"","DB Dev","NOT STARTED")))))</f>
        <v/>
      </c>
      <c r="AI252" s="9">
        <f>IF($B252="","",IF(IF($C252="NOT STARTED",0,IF($C252="DB Dev",1,IF($C252="PBI Dev",2,IF($C252="QA",3,IF($C252="DPO Approval",4,IF($C252="RELEASED IN PROD",5,-1))))))&lt;IF($AH252="NOT STARTED",0,IF($AH252="DB Dev",1,IF($AH252="PBI Dev",2,IF($AH252="QA",3,IF($AH252="DPO Approval",4,IF($AH252="RELEASED IN PROD",5,-1)))))),"Yes - was already at "&amp;$AH252&amp;", now back at "&amp;$C252,"No"))</f>
        <v/>
      </c>
      <c r="AJ252" s="9">
        <f>IF($B252="","",IF(AND(T252&lt;&gt;"",N252&lt;&gt;"",T252&lt;N252),"QA target is before DB Dev target",IF(AND(T252&lt;&gt;"",Q252&lt;&gt;"",T252&lt;Q252),"QA target is before PBI Dev target",IF(AND(W252&lt;&gt;"",T252&lt;&gt;"",W252&lt;T252),"DPO Approval target is before QA target",IF(AND(Z252&lt;&gt;"",W252&lt;&gt;"",Z252&lt;W252),"Confirmed Deployed date is before DPO Approval target","")))))</f>
        <v/>
      </c>
      <c r="AK252" s="9">
        <f>IF($B252="","",IF(COUNTIF($B$2:$B$500,$B252)&gt;1,"Duplicate name - check row",""))</f>
        <v/>
      </c>
      <c r="AL252" s="1" t="n"/>
      <c r="AM252" s="9">
        <f>IF($B252="","",SUMPRODUCT(MAX(('Rework Log'!$A$3:$A$500=$B252)*ROW('Rework Log'!$A$3:$A$500))))</f>
        <v/>
      </c>
    </row>
    <row r="253">
      <c r="A253" s="1" t="n"/>
      <c r="B253" s="1" t="n"/>
      <c r="C253" s="1" t="n"/>
      <c r="D253" s="9">
        <f>IF($B253="","",IF(LEFT($AC253,3)="Yes","Blocked",IF(C253="NOT STARTED",IF(K253="","No plan date set",IF(K253&lt;TODAY(),"Review - planned start passed","On track")),IF(C253="DB Dev",IF(N253="","No target set",IF(AND(N253&lt;TODAY(),P253=""),"Overdue","On track")),IF(C253="PBI Dev",IF(Q253="","No target set",IF(AND(Q253&lt;TODAY(),S253=""),"Overdue","On track")),IF(C253="QA",IF(T253="","No target set",IF(AND(T253&lt;TODAY(),V253=""),"Overdue","On track")),IF(C253="DPO Approval",IF(W253="","No target set",IF(W253&lt;TODAY(),"Overdue","On track")),IF(C253="RELEASED IN PROD","Delivered",""))))))))</f>
        <v/>
      </c>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c r="AA253" s="1" t="n"/>
      <c r="AB253" s="1" t="n"/>
      <c r="AC253" s="1" t="n"/>
      <c r="AD253" s="9">
        <f>IF($B253="","",COUNTIF('Rework Log'!$A$3:$A$500,$B253))</f>
        <v/>
      </c>
      <c r="AE253" s="9">
        <f>IF(OR($B253="",$AM253=0),"",INDEX('Rework Log'!$C:$C,$AM253))</f>
        <v/>
      </c>
      <c r="AF253" s="9">
        <f>IF(OR($B253="",$AM253=0),"",INDEX('Rework Log'!$H:$H,$AM253))</f>
        <v/>
      </c>
      <c r="AG253" s="9">
        <f>IF(OR($B253="",$AM253=0),"",INDEX('Rework Log'!$G:$G,$AM253))</f>
        <v/>
      </c>
      <c r="AH253" s="9">
        <f>IF($B253="","",IF(W253&lt;&gt;"","DPO Approval",IF(T253&lt;&gt;"","QA",IF(Q253&lt;&gt;"","PBI Dev",IF(N253&lt;&gt;"","DB Dev","NOT STARTED")))))</f>
        <v/>
      </c>
      <c r="AI253" s="9">
        <f>IF($B253="","",IF(IF($C253="NOT STARTED",0,IF($C253="DB Dev",1,IF($C253="PBI Dev",2,IF($C253="QA",3,IF($C253="DPO Approval",4,IF($C253="RELEASED IN PROD",5,-1))))))&lt;IF($AH253="NOT STARTED",0,IF($AH253="DB Dev",1,IF($AH253="PBI Dev",2,IF($AH253="QA",3,IF($AH253="DPO Approval",4,IF($AH253="RELEASED IN PROD",5,-1)))))),"Yes - was already at "&amp;$AH253&amp;", now back at "&amp;$C253,"No"))</f>
        <v/>
      </c>
      <c r="AJ253" s="9">
        <f>IF($B253="","",IF(AND(T253&lt;&gt;"",N253&lt;&gt;"",T253&lt;N253),"QA target is before DB Dev target",IF(AND(T253&lt;&gt;"",Q253&lt;&gt;"",T253&lt;Q253),"QA target is before PBI Dev target",IF(AND(W253&lt;&gt;"",T253&lt;&gt;"",W253&lt;T253),"DPO Approval target is before QA target",IF(AND(Z253&lt;&gt;"",W253&lt;&gt;"",Z253&lt;W253),"Confirmed Deployed date is before DPO Approval target","")))))</f>
        <v/>
      </c>
      <c r="AK253" s="9">
        <f>IF($B253="","",IF(COUNTIF($B$2:$B$500,$B253)&gt;1,"Duplicate name - check row",""))</f>
        <v/>
      </c>
      <c r="AL253" s="1" t="n"/>
      <c r="AM253" s="9">
        <f>IF($B253="","",SUMPRODUCT(MAX(('Rework Log'!$A$3:$A$500=$B253)*ROW('Rework Log'!$A$3:$A$500))))</f>
        <v/>
      </c>
    </row>
    <row r="254">
      <c r="A254" s="1" t="n"/>
      <c r="B254" s="1" t="n"/>
      <c r="C254" s="1" t="n"/>
      <c r="D254" s="9">
        <f>IF($B254="","",IF(LEFT($AC254,3)="Yes","Blocked",IF(C254="NOT STARTED",IF(K254="","No plan date set",IF(K254&lt;TODAY(),"Review - planned start passed","On track")),IF(C254="DB Dev",IF(N254="","No target set",IF(AND(N254&lt;TODAY(),P254=""),"Overdue","On track")),IF(C254="PBI Dev",IF(Q254="","No target set",IF(AND(Q254&lt;TODAY(),S254=""),"Overdue","On track")),IF(C254="QA",IF(T254="","No target set",IF(AND(T254&lt;TODAY(),V254=""),"Overdue","On track")),IF(C254="DPO Approval",IF(W254="","No target set",IF(W254&lt;TODAY(),"Overdue","On track")),IF(C254="RELEASED IN PROD","Delivered",""))))))))</f>
        <v/>
      </c>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c r="AA254" s="1" t="n"/>
      <c r="AB254" s="1" t="n"/>
      <c r="AC254" s="1" t="n"/>
      <c r="AD254" s="9">
        <f>IF($B254="","",COUNTIF('Rework Log'!$A$3:$A$500,$B254))</f>
        <v/>
      </c>
      <c r="AE254" s="9">
        <f>IF(OR($B254="",$AM254=0),"",INDEX('Rework Log'!$C:$C,$AM254))</f>
        <v/>
      </c>
      <c r="AF254" s="9">
        <f>IF(OR($B254="",$AM254=0),"",INDEX('Rework Log'!$H:$H,$AM254))</f>
        <v/>
      </c>
      <c r="AG254" s="9">
        <f>IF(OR($B254="",$AM254=0),"",INDEX('Rework Log'!$G:$G,$AM254))</f>
        <v/>
      </c>
      <c r="AH254" s="9">
        <f>IF($B254="","",IF(W254&lt;&gt;"","DPO Approval",IF(T254&lt;&gt;"","QA",IF(Q254&lt;&gt;"","PBI Dev",IF(N254&lt;&gt;"","DB Dev","NOT STARTED")))))</f>
        <v/>
      </c>
      <c r="AI254" s="9">
        <f>IF($B254="","",IF(IF($C254="NOT STARTED",0,IF($C254="DB Dev",1,IF($C254="PBI Dev",2,IF($C254="QA",3,IF($C254="DPO Approval",4,IF($C254="RELEASED IN PROD",5,-1))))))&lt;IF($AH254="NOT STARTED",0,IF($AH254="DB Dev",1,IF($AH254="PBI Dev",2,IF($AH254="QA",3,IF($AH254="DPO Approval",4,IF($AH254="RELEASED IN PROD",5,-1)))))),"Yes - was already at "&amp;$AH254&amp;", now back at "&amp;$C254,"No"))</f>
        <v/>
      </c>
      <c r="AJ254" s="9">
        <f>IF($B254="","",IF(AND(T254&lt;&gt;"",N254&lt;&gt;"",T254&lt;N254),"QA target is before DB Dev target",IF(AND(T254&lt;&gt;"",Q254&lt;&gt;"",T254&lt;Q254),"QA target is before PBI Dev target",IF(AND(W254&lt;&gt;"",T254&lt;&gt;"",W254&lt;T254),"DPO Approval target is before QA target",IF(AND(Z254&lt;&gt;"",W254&lt;&gt;"",Z254&lt;W254),"Confirmed Deployed date is before DPO Approval target","")))))</f>
        <v/>
      </c>
      <c r="AK254" s="9">
        <f>IF($B254="","",IF(COUNTIF($B$2:$B$500,$B254)&gt;1,"Duplicate name - check row",""))</f>
        <v/>
      </c>
      <c r="AL254" s="1" t="n"/>
      <c r="AM254" s="9">
        <f>IF($B254="","",SUMPRODUCT(MAX(('Rework Log'!$A$3:$A$500=$B254)*ROW('Rework Log'!$A$3:$A$500))))</f>
        <v/>
      </c>
    </row>
    <row r="255">
      <c r="A255" s="1" t="n"/>
      <c r="B255" s="1" t="n"/>
      <c r="C255" s="1" t="n"/>
      <c r="D255" s="9">
        <f>IF($B255="","",IF(LEFT($AC255,3)="Yes","Blocked",IF(C255="NOT STARTED",IF(K255="","No plan date set",IF(K255&lt;TODAY(),"Review - planned start passed","On track")),IF(C255="DB Dev",IF(N255="","No target set",IF(AND(N255&lt;TODAY(),P255=""),"Overdue","On track")),IF(C255="PBI Dev",IF(Q255="","No target set",IF(AND(Q255&lt;TODAY(),S255=""),"Overdue","On track")),IF(C255="QA",IF(T255="","No target set",IF(AND(T255&lt;TODAY(),V255=""),"Overdue","On track")),IF(C255="DPO Approval",IF(W255="","No target set",IF(W255&lt;TODAY(),"Overdue","On track")),IF(C255="RELEASED IN PROD","Delivered",""))))))))</f>
        <v/>
      </c>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c r="AA255" s="1" t="n"/>
      <c r="AB255" s="1" t="n"/>
      <c r="AC255" s="1" t="n"/>
      <c r="AD255" s="9">
        <f>IF($B255="","",COUNTIF('Rework Log'!$A$3:$A$500,$B255))</f>
        <v/>
      </c>
      <c r="AE255" s="9">
        <f>IF(OR($B255="",$AM255=0),"",INDEX('Rework Log'!$C:$C,$AM255))</f>
        <v/>
      </c>
      <c r="AF255" s="9">
        <f>IF(OR($B255="",$AM255=0),"",INDEX('Rework Log'!$H:$H,$AM255))</f>
        <v/>
      </c>
      <c r="AG255" s="9">
        <f>IF(OR($B255="",$AM255=0),"",INDEX('Rework Log'!$G:$G,$AM255))</f>
        <v/>
      </c>
      <c r="AH255" s="9">
        <f>IF($B255="","",IF(W255&lt;&gt;"","DPO Approval",IF(T255&lt;&gt;"","QA",IF(Q255&lt;&gt;"","PBI Dev",IF(N255&lt;&gt;"","DB Dev","NOT STARTED")))))</f>
        <v/>
      </c>
      <c r="AI255" s="9">
        <f>IF($B255="","",IF(IF($C255="NOT STARTED",0,IF($C255="DB Dev",1,IF($C255="PBI Dev",2,IF($C255="QA",3,IF($C255="DPO Approval",4,IF($C255="RELEASED IN PROD",5,-1))))))&lt;IF($AH255="NOT STARTED",0,IF($AH255="DB Dev",1,IF($AH255="PBI Dev",2,IF($AH255="QA",3,IF($AH255="DPO Approval",4,IF($AH255="RELEASED IN PROD",5,-1)))))),"Yes - was already at "&amp;$AH255&amp;", now back at "&amp;$C255,"No"))</f>
        <v/>
      </c>
      <c r="AJ255" s="9">
        <f>IF($B255="","",IF(AND(T255&lt;&gt;"",N255&lt;&gt;"",T255&lt;N255),"QA target is before DB Dev target",IF(AND(T255&lt;&gt;"",Q255&lt;&gt;"",T255&lt;Q255),"QA target is before PBI Dev target",IF(AND(W255&lt;&gt;"",T255&lt;&gt;"",W255&lt;T255),"DPO Approval target is before QA target",IF(AND(Z255&lt;&gt;"",W255&lt;&gt;"",Z255&lt;W255),"Confirmed Deployed date is before DPO Approval target","")))))</f>
        <v/>
      </c>
      <c r="AK255" s="9">
        <f>IF($B255="","",IF(COUNTIF($B$2:$B$500,$B255)&gt;1,"Duplicate name - check row",""))</f>
        <v/>
      </c>
      <c r="AL255" s="1" t="n"/>
      <c r="AM255" s="9">
        <f>IF($B255="","",SUMPRODUCT(MAX(('Rework Log'!$A$3:$A$500=$B255)*ROW('Rework Log'!$A$3:$A$500))))</f>
        <v/>
      </c>
    </row>
    <row r="256">
      <c r="A256" s="1" t="n"/>
      <c r="B256" s="1" t="n"/>
      <c r="C256" s="1" t="n"/>
      <c r="D256" s="9">
        <f>IF($B256="","",IF(LEFT($AC256,3)="Yes","Blocked",IF(C256="NOT STARTED",IF(K256="","No plan date set",IF(K256&lt;TODAY(),"Review - planned start passed","On track")),IF(C256="DB Dev",IF(N256="","No target set",IF(AND(N256&lt;TODAY(),P256=""),"Overdue","On track")),IF(C256="PBI Dev",IF(Q256="","No target set",IF(AND(Q256&lt;TODAY(),S256=""),"Overdue","On track")),IF(C256="QA",IF(T256="","No target set",IF(AND(T256&lt;TODAY(),V256=""),"Overdue","On track")),IF(C256="DPO Approval",IF(W256="","No target set",IF(W256&lt;TODAY(),"Overdue","On track")),IF(C256="RELEASED IN PROD","Delivered",""))))))))</f>
        <v/>
      </c>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c r="AA256" s="1" t="n"/>
      <c r="AB256" s="1" t="n"/>
      <c r="AC256" s="1" t="n"/>
      <c r="AD256" s="9">
        <f>IF($B256="","",COUNTIF('Rework Log'!$A$3:$A$500,$B256))</f>
        <v/>
      </c>
      <c r="AE256" s="9">
        <f>IF(OR($B256="",$AM256=0),"",INDEX('Rework Log'!$C:$C,$AM256))</f>
        <v/>
      </c>
      <c r="AF256" s="9">
        <f>IF(OR($B256="",$AM256=0),"",INDEX('Rework Log'!$H:$H,$AM256))</f>
        <v/>
      </c>
      <c r="AG256" s="9">
        <f>IF(OR($B256="",$AM256=0),"",INDEX('Rework Log'!$G:$G,$AM256))</f>
        <v/>
      </c>
      <c r="AH256" s="9">
        <f>IF($B256="","",IF(W256&lt;&gt;"","DPO Approval",IF(T256&lt;&gt;"","QA",IF(Q256&lt;&gt;"","PBI Dev",IF(N256&lt;&gt;"","DB Dev","NOT STARTED")))))</f>
        <v/>
      </c>
      <c r="AI256" s="9">
        <f>IF($B256="","",IF(IF($C256="NOT STARTED",0,IF($C256="DB Dev",1,IF($C256="PBI Dev",2,IF($C256="QA",3,IF($C256="DPO Approval",4,IF($C256="RELEASED IN PROD",5,-1))))))&lt;IF($AH256="NOT STARTED",0,IF($AH256="DB Dev",1,IF($AH256="PBI Dev",2,IF($AH256="QA",3,IF($AH256="DPO Approval",4,IF($AH256="RELEASED IN PROD",5,-1)))))),"Yes - was already at "&amp;$AH256&amp;", now back at "&amp;$C256,"No"))</f>
        <v/>
      </c>
      <c r="AJ256" s="9">
        <f>IF($B256="","",IF(AND(T256&lt;&gt;"",N256&lt;&gt;"",T256&lt;N256),"QA target is before DB Dev target",IF(AND(T256&lt;&gt;"",Q256&lt;&gt;"",T256&lt;Q256),"QA target is before PBI Dev target",IF(AND(W256&lt;&gt;"",T256&lt;&gt;"",W256&lt;T256),"DPO Approval target is before QA target",IF(AND(Z256&lt;&gt;"",W256&lt;&gt;"",Z256&lt;W256),"Confirmed Deployed date is before DPO Approval target","")))))</f>
        <v/>
      </c>
      <c r="AK256" s="9">
        <f>IF($B256="","",IF(COUNTIF($B$2:$B$500,$B256)&gt;1,"Duplicate name - check row",""))</f>
        <v/>
      </c>
      <c r="AL256" s="1" t="n"/>
      <c r="AM256" s="9">
        <f>IF($B256="","",SUMPRODUCT(MAX(('Rework Log'!$A$3:$A$500=$B256)*ROW('Rework Log'!$A$3:$A$500))))</f>
        <v/>
      </c>
    </row>
    <row r="257">
      <c r="A257" s="1" t="n"/>
      <c r="B257" s="1" t="n"/>
      <c r="C257" s="1" t="n"/>
      <c r="D257" s="9">
        <f>IF($B257="","",IF(LEFT($AC257,3)="Yes","Blocked",IF(C257="NOT STARTED",IF(K257="","No plan date set",IF(K257&lt;TODAY(),"Review - planned start passed","On track")),IF(C257="DB Dev",IF(N257="","No target set",IF(AND(N257&lt;TODAY(),P257=""),"Overdue","On track")),IF(C257="PBI Dev",IF(Q257="","No target set",IF(AND(Q257&lt;TODAY(),S257=""),"Overdue","On track")),IF(C257="QA",IF(T257="","No target set",IF(AND(T257&lt;TODAY(),V257=""),"Overdue","On track")),IF(C257="DPO Approval",IF(W257="","No target set",IF(W257&lt;TODAY(),"Overdue","On track")),IF(C257="RELEASED IN PROD","Delivered",""))))))))</f>
        <v/>
      </c>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c r="AA257" s="1" t="n"/>
      <c r="AB257" s="1" t="n"/>
      <c r="AC257" s="1" t="n"/>
      <c r="AD257" s="9">
        <f>IF($B257="","",COUNTIF('Rework Log'!$A$3:$A$500,$B257))</f>
        <v/>
      </c>
      <c r="AE257" s="9">
        <f>IF(OR($B257="",$AM257=0),"",INDEX('Rework Log'!$C:$C,$AM257))</f>
        <v/>
      </c>
      <c r="AF257" s="9">
        <f>IF(OR($B257="",$AM257=0),"",INDEX('Rework Log'!$H:$H,$AM257))</f>
        <v/>
      </c>
      <c r="AG257" s="9">
        <f>IF(OR($B257="",$AM257=0),"",INDEX('Rework Log'!$G:$G,$AM257))</f>
        <v/>
      </c>
      <c r="AH257" s="9">
        <f>IF($B257="","",IF(W257&lt;&gt;"","DPO Approval",IF(T257&lt;&gt;"","QA",IF(Q257&lt;&gt;"","PBI Dev",IF(N257&lt;&gt;"","DB Dev","NOT STARTED")))))</f>
        <v/>
      </c>
      <c r="AI257" s="9">
        <f>IF($B257="","",IF(IF($C257="NOT STARTED",0,IF($C257="DB Dev",1,IF($C257="PBI Dev",2,IF($C257="QA",3,IF($C257="DPO Approval",4,IF($C257="RELEASED IN PROD",5,-1))))))&lt;IF($AH257="NOT STARTED",0,IF($AH257="DB Dev",1,IF($AH257="PBI Dev",2,IF($AH257="QA",3,IF($AH257="DPO Approval",4,IF($AH257="RELEASED IN PROD",5,-1)))))),"Yes - was already at "&amp;$AH257&amp;", now back at "&amp;$C257,"No"))</f>
        <v/>
      </c>
      <c r="AJ257" s="9">
        <f>IF($B257="","",IF(AND(T257&lt;&gt;"",N257&lt;&gt;"",T257&lt;N257),"QA target is before DB Dev target",IF(AND(T257&lt;&gt;"",Q257&lt;&gt;"",T257&lt;Q257),"QA target is before PBI Dev target",IF(AND(W257&lt;&gt;"",T257&lt;&gt;"",W257&lt;T257),"DPO Approval target is before QA target",IF(AND(Z257&lt;&gt;"",W257&lt;&gt;"",Z257&lt;W257),"Confirmed Deployed date is before DPO Approval target","")))))</f>
        <v/>
      </c>
      <c r="AK257" s="9">
        <f>IF($B257="","",IF(COUNTIF($B$2:$B$500,$B257)&gt;1,"Duplicate name - check row",""))</f>
        <v/>
      </c>
      <c r="AL257" s="1" t="n"/>
      <c r="AM257" s="9">
        <f>IF($B257="","",SUMPRODUCT(MAX(('Rework Log'!$A$3:$A$500=$B257)*ROW('Rework Log'!$A$3:$A$500))))</f>
        <v/>
      </c>
    </row>
    <row r="258">
      <c r="A258" s="1" t="n"/>
      <c r="B258" s="1" t="n"/>
      <c r="C258" s="1" t="n"/>
      <c r="D258" s="9">
        <f>IF($B258="","",IF(LEFT($AC258,3)="Yes","Blocked",IF(C258="NOT STARTED",IF(K258="","No plan date set",IF(K258&lt;TODAY(),"Review - planned start passed","On track")),IF(C258="DB Dev",IF(N258="","No target set",IF(AND(N258&lt;TODAY(),P258=""),"Overdue","On track")),IF(C258="PBI Dev",IF(Q258="","No target set",IF(AND(Q258&lt;TODAY(),S258=""),"Overdue","On track")),IF(C258="QA",IF(T258="","No target set",IF(AND(T258&lt;TODAY(),V258=""),"Overdue","On track")),IF(C258="DPO Approval",IF(W258="","No target set",IF(W258&lt;TODAY(),"Overdue","On track")),IF(C258="RELEASED IN PROD","Delivered",""))))))))</f>
        <v/>
      </c>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c r="AA258" s="1" t="n"/>
      <c r="AB258" s="1" t="n"/>
      <c r="AC258" s="1" t="n"/>
      <c r="AD258" s="9">
        <f>IF($B258="","",COUNTIF('Rework Log'!$A$3:$A$500,$B258))</f>
        <v/>
      </c>
      <c r="AE258" s="9">
        <f>IF(OR($B258="",$AM258=0),"",INDEX('Rework Log'!$C:$C,$AM258))</f>
        <v/>
      </c>
      <c r="AF258" s="9">
        <f>IF(OR($B258="",$AM258=0),"",INDEX('Rework Log'!$H:$H,$AM258))</f>
        <v/>
      </c>
      <c r="AG258" s="9">
        <f>IF(OR($B258="",$AM258=0),"",INDEX('Rework Log'!$G:$G,$AM258))</f>
        <v/>
      </c>
      <c r="AH258" s="9">
        <f>IF($B258="","",IF(W258&lt;&gt;"","DPO Approval",IF(T258&lt;&gt;"","QA",IF(Q258&lt;&gt;"","PBI Dev",IF(N258&lt;&gt;"","DB Dev","NOT STARTED")))))</f>
        <v/>
      </c>
      <c r="AI258" s="9">
        <f>IF($B258="","",IF(IF($C258="NOT STARTED",0,IF($C258="DB Dev",1,IF($C258="PBI Dev",2,IF($C258="QA",3,IF($C258="DPO Approval",4,IF($C258="RELEASED IN PROD",5,-1))))))&lt;IF($AH258="NOT STARTED",0,IF($AH258="DB Dev",1,IF($AH258="PBI Dev",2,IF($AH258="QA",3,IF($AH258="DPO Approval",4,IF($AH258="RELEASED IN PROD",5,-1)))))),"Yes - was already at "&amp;$AH258&amp;", now back at "&amp;$C258,"No"))</f>
        <v/>
      </c>
      <c r="AJ258" s="9">
        <f>IF($B258="","",IF(AND(T258&lt;&gt;"",N258&lt;&gt;"",T258&lt;N258),"QA target is before DB Dev target",IF(AND(T258&lt;&gt;"",Q258&lt;&gt;"",T258&lt;Q258),"QA target is before PBI Dev target",IF(AND(W258&lt;&gt;"",T258&lt;&gt;"",W258&lt;T258),"DPO Approval target is before QA target",IF(AND(Z258&lt;&gt;"",W258&lt;&gt;"",Z258&lt;W258),"Confirmed Deployed date is before DPO Approval target","")))))</f>
        <v/>
      </c>
      <c r="AK258" s="9">
        <f>IF($B258="","",IF(COUNTIF($B$2:$B$500,$B258)&gt;1,"Duplicate name - check row",""))</f>
        <v/>
      </c>
      <c r="AL258" s="1" t="n"/>
      <c r="AM258" s="9">
        <f>IF($B258="","",SUMPRODUCT(MAX(('Rework Log'!$A$3:$A$500=$B258)*ROW('Rework Log'!$A$3:$A$500))))</f>
        <v/>
      </c>
    </row>
    <row r="259">
      <c r="A259" s="1" t="n"/>
      <c r="B259" s="1" t="n"/>
      <c r="C259" s="1" t="n"/>
      <c r="D259" s="9">
        <f>IF($B259="","",IF(LEFT($AC259,3)="Yes","Blocked",IF(C259="NOT STARTED",IF(K259="","No plan date set",IF(K259&lt;TODAY(),"Review - planned start passed","On track")),IF(C259="DB Dev",IF(N259="","No target set",IF(AND(N259&lt;TODAY(),P259=""),"Overdue","On track")),IF(C259="PBI Dev",IF(Q259="","No target set",IF(AND(Q259&lt;TODAY(),S259=""),"Overdue","On track")),IF(C259="QA",IF(T259="","No target set",IF(AND(T259&lt;TODAY(),V259=""),"Overdue","On track")),IF(C259="DPO Approval",IF(W259="","No target set",IF(W259&lt;TODAY(),"Overdue","On track")),IF(C259="RELEASED IN PROD","Delivered",""))))))))</f>
        <v/>
      </c>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c r="AA259" s="1" t="n"/>
      <c r="AB259" s="1" t="n"/>
      <c r="AC259" s="1" t="n"/>
      <c r="AD259" s="9">
        <f>IF($B259="","",COUNTIF('Rework Log'!$A$3:$A$500,$B259))</f>
        <v/>
      </c>
      <c r="AE259" s="9">
        <f>IF(OR($B259="",$AM259=0),"",INDEX('Rework Log'!$C:$C,$AM259))</f>
        <v/>
      </c>
      <c r="AF259" s="9">
        <f>IF(OR($B259="",$AM259=0),"",INDEX('Rework Log'!$H:$H,$AM259))</f>
        <v/>
      </c>
      <c r="AG259" s="9">
        <f>IF(OR($B259="",$AM259=0),"",INDEX('Rework Log'!$G:$G,$AM259))</f>
        <v/>
      </c>
      <c r="AH259" s="9">
        <f>IF($B259="","",IF(W259&lt;&gt;"","DPO Approval",IF(T259&lt;&gt;"","QA",IF(Q259&lt;&gt;"","PBI Dev",IF(N259&lt;&gt;"","DB Dev","NOT STARTED")))))</f>
        <v/>
      </c>
      <c r="AI259" s="9">
        <f>IF($B259="","",IF(IF($C259="NOT STARTED",0,IF($C259="DB Dev",1,IF($C259="PBI Dev",2,IF($C259="QA",3,IF($C259="DPO Approval",4,IF($C259="RELEASED IN PROD",5,-1))))))&lt;IF($AH259="NOT STARTED",0,IF($AH259="DB Dev",1,IF($AH259="PBI Dev",2,IF($AH259="QA",3,IF($AH259="DPO Approval",4,IF($AH259="RELEASED IN PROD",5,-1)))))),"Yes - was already at "&amp;$AH259&amp;", now back at "&amp;$C259,"No"))</f>
        <v/>
      </c>
      <c r="AJ259" s="9">
        <f>IF($B259="","",IF(AND(T259&lt;&gt;"",N259&lt;&gt;"",T259&lt;N259),"QA target is before DB Dev target",IF(AND(T259&lt;&gt;"",Q259&lt;&gt;"",T259&lt;Q259),"QA target is before PBI Dev target",IF(AND(W259&lt;&gt;"",T259&lt;&gt;"",W259&lt;T259),"DPO Approval target is before QA target",IF(AND(Z259&lt;&gt;"",W259&lt;&gt;"",Z259&lt;W259),"Confirmed Deployed date is before DPO Approval target","")))))</f>
        <v/>
      </c>
      <c r="AK259" s="9">
        <f>IF($B259="","",IF(COUNTIF($B$2:$B$500,$B259)&gt;1,"Duplicate name - check row",""))</f>
        <v/>
      </c>
      <c r="AL259" s="1" t="n"/>
      <c r="AM259" s="9">
        <f>IF($B259="","",SUMPRODUCT(MAX(('Rework Log'!$A$3:$A$500=$B259)*ROW('Rework Log'!$A$3:$A$500))))</f>
        <v/>
      </c>
    </row>
    <row r="260">
      <c r="A260" s="1" t="n"/>
      <c r="B260" s="1" t="n"/>
      <c r="C260" s="1" t="n"/>
      <c r="D260" s="9">
        <f>IF($B260="","",IF(LEFT($AC260,3)="Yes","Blocked",IF(C260="NOT STARTED",IF(K260="","No plan date set",IF(K260&lt;TODAY(),"Review - planned start passed","On track")),IF(C260="DB Dev",IF(N260="","No target set",IF(AND(N260&lt;TODAY(),P260=""),"Overdue","On track")),IF(C260="PBI Dev",IF(Q260="","No target set",IF(AND(Q260&lt;TODAY(),S260=""),"Overdue","On track")),IF(C260="QA",IF(T260="","No target set",IF(AND(T260&lt;TODAY(),V260=""),"Overdue","On track")),IF(C260="DPO Approval",IF(W260="","No target set",IF(W260&lt;TODAY(),"Overdue","On track")),IF(C260="RELEASED IN PROD","Delivered",""))))))))</f>
        <v/>
      </c>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c r="AA260" s="1" t="n"/>
      <c r="AB260" s="1" t="n"/>
      <c r="AC260" s="1" t="n"/>
      <c r="AD260" s="9">
        <f>IF($B260="","",COUNTIF('Rework Log'!$A$3:$A$500,$B260))</f>
        <v/>
      </c>
      <c r="AE260" s="9">
        <f>IF(OR($B260="",$AM260=0),"",INDEX('Rework Log'!$C:$C,$AM260))</f>
        <v/>
      </c>
      <c r="AF260" s="9">
        <f>IF(OR($B260="",$AM260=0),"",INDEX('Rework Log'!$H:$H,$AM260))</f>
        <v/>
      </c>
      <c r="AG260" s="9">
        <f>IF(OR($B260="",$AM260=0),"",INDEX('Rework Log'!$G:$G,$AM260))</f>
        <v/>
      </c>
      <c r="AH260" s="9">
        <f>IF($B260="","",IF(W260&lt;&gt;"","DPO Approval",IF(T260&lt;&gt;"","QA",IF(Q260&lt;&gt;"","PBI Dev",IF(N260&lt;&gt;"","DB Dev","NOT STARTED")))))</f>
        <v/>
      </c>
      <c r="AI260" s="9">
        <f>IF($B260="","",IF(IF($C260="NOT STARTED",0,IF($C260="DB Dev",1,IF($C260="PBI Dev",2,IF($C260="QA",3,IF($C260="DPO Approval",4,IF($C260="RELEASED IN PROD",5,-1))))))&lt;IF($AH260="NOT STARTED",0,IF($AH260="DB Dev",1,IF($AH260="PBI Dev",2,IF($AH260="QA",3,IF($AH260="DPO Approval",4,IF($AH260="RELEASED IN PROD",5,-1)))))),"Yes - was already at "&amp;$AH260&amp;", now back at "&amp;$C260,"No"))</f>
        <v/>
      </c>
      <c r="AJ260" s="9">
        <f>IF($B260="","",IF(AND(T260&lt;&gt;"",N260&lt;&gt;"",T260&lt;N260),"QA target is before DB Dev target",IF(AND(T260&lt;&gt;"",Q260&lt;&gt;"",T260&lt;Q260),"QA target is before PBI Dev target",IF(AND(W260&lt;&gt;"",T260&lt;&gt;"",W260&lt;T260),"DPO Approval target is before QA target",IF(AND(Z260&lt;&gt;"",W260&lt;&gt;"",Z260&lt;W260),"Confirmed Deployed date is before DPO Approval target","")))))</f>
        <v/>
      </c>
      <c r="AK260" s="9">
        <f>IF($B260="","",IF(COUNTIF($B$2:$B$500,$B260)&gt;1,"Duplicate name - check row",""))</f>
        <v/>
      </c>
      <c r="AL260" s="1" t="n"/>
      <c r="AM260" s="9">
        <f>IF($B260="","",SUMPRODUCT(MAX(('Rework Log'!$A$3:$A$500=$B260)*ROW('Rework Log'!$A$3:$A$500))))</f>
        <v/>
      </c>
    </row>
    <row r="261">
      <c r="A261" s="1" t="n"/>
      <c r="B261" s="1" t="n"/>
      <c r="C261" s="1" t="n"/>
      <c r="D261" s="9">
        <f>IF($B261="","",IF(LEFT($AC261,3)="Yes","Blocked",IF(C261="NOT STARTED",IF(K261="","No plan date set",IF(K261&lt;TODAY(),"Review - planned start passed","On track")),IF(C261="DB Dev",IF(N261="","No target set",IF(AND(N261&lt;TODAY(),P261=""),"Overdue","On track")),IF(C261="PBI Dev",IF(Q261="","No target set",IF(AND(Q261&lt;TODAY(),S261=""),"Overdue","On track")),IF(C261="QA",IF(T261="","No target set",IF(AND(T261&lt;TODAY(),V261=""),"Overdue","On track")),IF(C261="DPO Approval",IF(W261="","No target set",IF(W261&lt;TODAY(),"Overdue","On track")),IF(C261="RELEASED IN PROD","Delivered",""))))))))</f>
        <v/>
      </c>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c r="AA261" s="1" t="n"/>
      <c r="AB261" s="1" t="n"/>
      <c r="AC261" s="1" t="n"/>
      <c r="AD261" s="9">
        <f>IF($B261="","",COUNTIF('Rework Log'!$A$3:$A$500,$B261))</f>
        <v/>
      </c>
      <c r="AE261" s="9">
        <f>IF(OR($B261="",$AM261=0),"",INDEX('Rework Log'!$C:$C,$AM261))</f>
        <v/>
      </c>
      <c r="AF261" s="9">
        <f>IF(OR($B261="",$AM261=0),"",INDEX('Rework Log'!$H:$H,$AM261))</f>
        <v/>
      </c>
      <c r="AG261" s="9">
        <f>IF(OR($B261="",$AM261=0),"",INDEX('Rework Log'!$G:$G,$AM261))</f>
        <v/>
      </c>
      <c r="AH261" s="9">
        <f>IF($B261="","",IF(W261&lt;&gt;"","DPO Approval",IF(T261&lt;&gt;"","QA",IF(Q261&lt;&gt;"","PBI Dev",IF(N261&lt;&gt;"","DB Dev","NOT STARTED")))))</f>
        <v/>
      </c>
      <c r="AI261" s="9">
        <f>IF($B261="","",IF(IF($C261="NOT STARTED",0,IF($C261="DB Dev",1,IF($C261="PBI Dev",2,IF($C261="QA",3,IF($C261="DPO Approval",4,IF($C261="RELEASED IN PROD",5,-1))))))&lt;IF($AH261="NOT STARTED",0,IF($AH261="DB Dev",1,IF($AH261="PBI Dev",2,IF($AH261="QA",3,IF($AH261="DPO Approval",4,IF($AH261="RELEASED IN PROD",5,-1)))))),"Yes - was already at "&amp;$AH261&amp;", now back at "&amp;$C261,"No"))</f>
        <v/>
      </c>
      <c r="AJ261" s="9">
        <f>IF($B261="","",IF(AND(T261&lt;&gt;"",N261&lt;&gt;"",T261&lt;N261),"QA target is before DB Dev target",IF(AND(T261&lt;&gt;"",Q261&lt;&gt;"",T261&lt;Q261),"QA target is before PBI Dev target",IF(AND(W261&lt;&gt;"",T261&lt;&gt;"",W261&lt;T261),"DPO Approval target is before QA target",IF(AND(Z261&lt;&gt;"",W261&lt;&gt;"",Z261&lt;W261),"Confirmed Deployed date is before DPO Approval target","")))))</f>
        <v/>
      </c>
      <c r="AK261" s="9">
        <f>IF($B261="","",IF(COUNTIF($B$2:$B$500,$B261)&gt;1,"Duplicate name - check row",""))</f>
        <v/>
      </c>
      <c r="AL261" s="1" t="n"/>
      <c r="AM261" s="9">
        <f>IF($B261="","",SUMPRODUCT(MAX(('Rework Log'!$A$3:$A$500=$B261)*ROW('Rework Log'!$A$3:$A$500))))</f>
        <v/>
      </c>
    </row>
    <row r="262">
      <c r="A262" s="1" t="n"/>
      <c r="B262" s="1" t="n"/>
      <c r="C262" s="1" t="n"/>
      <c r="D262" s="9">
        <f>IF($B262="","",IF(LEFT($AC262,3)="Yes","Blocked",IF(C262="NOT STARTED",IF(K262="","No plan date set",IF(K262&lt;TODAY(),"Review - planned start passed","On track")),IF(C262="DB Dev",IF(N262="","No target set",IF(AND(N262&lt;TODAY(),P262=""),"Overdue","On track")),IF(C262="PBI Dev",IF(Q262="","No target set",IF(AND(Q262&lt;TODAY(),S262=""),"Overdue","On track")),IF(C262="QA",IF(T262="","No target set",IF(AND(T262&lt;TODAY(),V262=""),"Overdue","On track")),IF(C262="DPO Approval",IF(W262="","No target set",IF(W262&lt;TODAY(),"Overdue","On track")),IF(C262="RELEASED IN PROD","Delivered",""))))))))</f>
        <v/>
      </c>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c r="AA262" s="1" t="n"/>
      <c r="AB262" s="1" t="n"/>
      <c r="AC262" s="1" t="n"/>
      <c r="AD262" s="9">
        <f>IF($B262="","",COUNTIF('Rework Log'!$A$3:$A$500,$B262))</f>
        <v/>
      </c>
      <c r="AE262" s="9">
        <f>IF(OR($B262="",$AM262=0),"",INDEX('Rework Log'!$C:$C,$AM262))</f>
        <v/>
      </c>
      <c r="AF262" s="9">
        <f>IF(OR($B262="",$AM262=0),"",INDEX('Rework Log'!$H:$H,$AM262))</f>
        <v/>
      </c>
      <c r="AG262" s="9">
        <f>IF(OR($B262="",$AM262=0),"",INDEX('Rework Log'!$G:$G,$AM262))</f>
        <v/>
      </c>
      <c r="AH262" s="9">
        <f>IF($B262="","",IF(W262&lt;&gt;"","DPO Approval",IF(T262&lt;&gt;"","QA",IF(Q262&lt;&gt;"","PBI Dev",IF(N262&lt;&gt;"","DB Dev","NOT STARTED")))))</f>
        <v/>
      </c>
      <c r="AI262" s="9">
        <f>IF($B262="","",IF(IF($C262="NOT STARTED",0,IF($C262="DB Dev",1,IF($C262="PBI Dev",2,IF($C262="QA",3,IF($C262="DPO Approval",4,IF($C262="RELEASED IN PROD",5,-1))))))&lt;IF($AH262="NOT STARTED",0,IF($AH262="DB Dev",1,IF($AH262="PBI Dev",2,IF($AH262="QA",3,IF($AH262="DPO Approval",4,IF($AH262="RELEASED IN PROD",5,-1)))))),"Yes - was already at "&amp;$AH262&amp;", now back at "&amp;$C262,"No"))</f>
        <v/>
      </c>
      <c r="AJ262" s="9">
        <f>IF($B262="","",IF(AND(T262&lt;&gt;"",N262&lt;&gt;"",T262&lt;N262),"QA target is before DB Dev target",IF(AND(T262&lt;&gt;"",Q262&lt;&gt;"",T262&lt;Q262),"QA target is before PBI Dev target",IF(AND(W262&lt;&gt;"",T262&lt;&gt;"",W262&lt;T262),"DPO Approval target is before QA target",IF(AND(Z262&lt;&gt;"",W262&lt;&gt;"",Z262&lt;W262),"Confirmed Deployed date is before DPO Approval target","")))))</f>
        <v/>
      </c>
      <c r="AK262" s="9">
        <f>IF($B262="","",IF(COUNTIF($B$2:$B$500,$B262)&gt;1,"Duplicate name - check row",""))</f>
        <v/>
      </c>
      <c r="AL262" s="1" t="n"/>
      <c r="AM262" s="9">
        <f>IF($B262="","",SUMPRODUCT(MAX(('Rework Log'!$A$3:$A$500=$B262)*ROW('Rework Log'!$A$3:$A$500))))</f>
        <v/>
      </c>
    </row>
    <row r="263">
      <c r="A263" s="1" t="n"/>
      <c r="B263" s="1" t="n"/>
      <c r="C263" s="1" t="n"/>
      <c r="D263" s="9">
        <f>IF($B263="","",IF(LEFT($AC263,3)="Yes","Blocked",IF(C263="NOT STARTED",IF(K263="","No plan date set",IF(K263&lt;TODAY(),"Review - planned start passed","On track")),IF(C263="DB Dev",IF(N263="","No target set",IF(AND(N263&lt;TODAY(),P263=""),"Overdue","On track")),IF(C263="PBI Dev",IF(Q263="","No target set",IF(AND(Q263&lt;TODAY(),S263=""),"Overdue","On track")),IF(C263="QA",IF(T263="","No target set",IF(AND(T263&lt;TODAY(),V263=""),"Overdue","On track")),IF(C263="DPO Approval",IF(W263="","No target set",IF(W263&lt;TODAY(),"Overdue","On track")),IF(C263="RELEASED IN PROD","Delivered",""))))))))</f>
        <v/>
      </c>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c r="AA263" s="1" t="n"/>
      <c r="AB263" s="1" t="n"/>
      <c r="AC263" s="1" t="n"/>
      <c r="AD263" s="9">
        <f>IF($B263="","",COUNTIF('Rework Log'!$A$3:$A$500,$B263))</f>
        <v/>
      </c>
      <c r="AE263" s="9">
        <f>IF(OR($B263="",$AM263=0),"",INDEX('Rework Log'!$C:$C,$AM263))</f>
        <v/>
      </c>
      <c r="AF263" s="9">
        <f>IF(OR($B263="",$AM263=0),"",INDEX('Rework Log'!$H:$H,$AM263))</f>
        <v/>
      </c>
      <c r="AG263" s="9">
        <f>IF(OR($B263="",$AM263=0),"",INDEX('Rework Log'!$G:$G,$AM263))</f>
        <v/>
      </c>
      <c r="AH263" s="9">
        <f>IF($B263="","",IF(W263&lt;&gt;"","DPO Approval",IF(T263&lt;&gt;"","QA",IF(Q263&lt;&gt;"","PBI Dev",IF(N263&lt;&gt;"","DB Dev","NOT STARTED")))))</f>
        <v/>
      </c>
      <c r="AI263" s="9">
        <f>IF($B263="","",IF(IF($C263="NOT STARTED",0,IF($C263="DB Dev",1,IF($C263="PBI Dev",2,IF($C263="QA",3,IF($C263="DPO Approval",4,IF($C263="RELEASED IN PROD",5,-1))))))&lt;IF($AH263="NOT STARTED",0,IF($AH263="DB Dev",1,IF($AH263="PBI Dev",2,IF($AH263="QA",3,IF($AH263="DPO Approval",4,IF($AH263="RELEASED IN PROD",5,-1)))))),"Yes - was already at "&amp;$AH263&amp;", now back at "&amp;$C263,"No"))</f>
        <v/>
      </c>
      <c r="AJ263" s="9">
        <f>IF($B263="","",IF(AND(T263&lt;&gt;"",N263&lt;&gt;"",T263&lt;N263),"QA target is before DB Dev target",IF(AND(T263&lt;&gt;"",Q263&lt;&gt;"",T263&lt;Q263),"QA target is before PBI Dev target",IF(AND(W263&lt;&gt;"",T263&lt;&gt;"",W263&lt;T263),"DPO Approval target is before QA target",IF(AND(Z263&lt;&gt;"",W263&lt;&gt;"",Z263&lt;W263),"Confirmed Deployed date is before DPO Approval target","")))))</f>
        <v/>
      </c>
      <c r="AK263" s="9">
        <f>IF($B263="","",IF(COUNTIF($B$2:$B$500,$B263)&gt;1,"Duplicate name - check row",""))</f>
        <v/>
      </c>
      <c r="AL263" s="1" t="n"/>
      <c r="AM263" s="9">
        <f>IF($B263="","",SUMPRODUCT(MAX(('Rework Log'!$A$3:$A$500=$B263)*ROW('Rework Log'!$A$3:$A$500))))</f>
        <v/>
      </c>
    </row>
    <row r="264">
      <c r="A264" s="1" t="n"/>
      <c r="B264" s="1" t="n"/>
      <c r="C264" s="1" t="n"/>
      <c r="D264" s="9">
        <f>IF($B264="","",IF(LEFT($AC264,3)="Yes","Blocked",IF(C264="NOT STARTED",IF(K264="","No plan date set",IF(K264&lt;TODAY(),"Review - planned start passed","On track")),IF(C264="DB Dev",IF(N264="","No target set",IF(AND(N264&lt;TODAY(),P264=""),"Overdue","On track")),IF(C264="PBI Dev",IF(Q264="","No target set",IF(AND(Q264&lt;TODAY(),S264=""),"Overdue","On track")),IF(C264="QA",IF(T264="","No target set",IF(AND(T264&lt;TODAY(),V264=""),"Overdue","On track")),IF(C264="DPO Approval",IF(W264="","No target set",IF(W264&lt;TODAY(),"Overdue","On track")),IF(C264="RELEASED IN PROD","Delivered",""))))))))</f>
        <v/>
      </c>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c r="AA264" s="1" t="n"/>
      <c r="AB264" s="1" t="n"/>
      <c r="AC264" s="1" t="n"/>
      <c r="AD264" s="9">
        <f>IF($B264="","",COUNTIF('Rework Log'!$A$3:$A$500,$B264))</f>
        <v/>
      </c>
      <c r="AE264" s="9">
        <f>IF(OR($B264="",$AM264=0),"",INDEX('Rework Log'!$C:$C,$AM264))</f>
        <v/>
      </c>
      <c r="AF264" s="9">
        <f>IF(OR($B264="",$AM264=0),"",INDEX('Rework Log'!$H:$H,$AM264))</f>
        <v/>
      </c>
      <c r="AG264" s="9">
        <f>IF(OR($B264="",$AM264=0),"",INDEX('Rework Log'!$G:$G,$AM264))</f>
        <v/>
      </c>
      <c r="AH264" s="9">
        <f>IF($B264="","",IF(W264&lt;&gt;"","DPO Approval",IF(T264&lt;&gt;"","QA",IF(Q264&lt;&gt;"","PBI Dev",IF(N264&lt;&gt;"","DB Dev","NOT STARTED")))))</f>
        <v/>
      </c>
      <c r="AI264" s="9">
        <f>IF($B264="","",IF(IF($C264="NOT STARTED",0,IF($C264="DB Dev",1,IF($C264="PBI Dev",2,IF($C264="QA",3,IF($C264="DPO Approval",4,IF($C264="RELEASED IN PROD",5,-1))))))&lt;IF($AH264="NOT STARTED",0,IF($AH264="DB Dev",1,IF($AH264="PBI Dev",2,IF($AH264="QA",3,IF($AH264="DPO Approval",4,IF($AH264="RELEASED IN PROD",5,-1)))))),"Yes - was already at "&amp;$AH264&amp;", now back at "&amp;$C264,"No"))</f>
        <v/>
      </c>
      <c r="AJ264" s="9">
        <f>IF($B264="","",IF(AND(T264&lt;&gt;"",N264&lt;&gt;"",T264&lt;N264),"QA target is before DB Dev target",IF(AND(T264&lt;&gt;"",Q264&lt;&gt;"",T264&lt;Q264),"QA target is before PBI Dev target",IF(AND(W264&lt;&gt;"",T264&lt;&gt;"",W264&lt;T264),"DPO Approval target is before QA target",IF(AND(Z264&lt;&gt;"",W264&lt;&gt;"",Z264&lt;W264),"Confirmed Deployed date is before DPO Approval target","")))))</f>
        <v/>
      </c>
      <c r="AK264" s="9">
        <f>IF($B264="","",IF(COUNTIF($B$2:$B$500,$B264)&gt;1,"Duplicate name - check row",""))</f>
        <v/>
      </c>
      <c r="AL264" s="1" t="n"/>
      <c r="AM264" s="9">
        <f>IF($B264="","",SUMPRODUCT(MAX(('Rework Log'!$A$3:$A$500=$B264)*ROW('Rework Log'!$A$3:$A$500))))</f>
        <v/>
      </c>
    </row>
    <row r="265">
      <c r="A265" s="1" t="n"/>
      <c r="B265" s="1" t="n"/>
      <c r="C265" s="1" t="n"/>
      <c r="D265" s="9">
        <f>IF($B265="","",IF(LEFT($AC265,3)="Yes","Blocked",IF(C265="NOT STARTED",IF(K265="","No plan date set",IF(K265&lt;TODAY(),"Review - planned start passed","On track")),IF(C265="DB Dev",IF(N265="","No target set",IF(AND(N265&lt;TODAY(),P265=""),"Overdue","On track")),IF(C265="PBI Dev",IF(Q265="","No target set",IF(AND(Q265&lt;TODAY(),S265=""),"Overdue","On track")),IF(C265="QA",IF(T265="","No target set",IF(AND(T265&lt;TODAY(),V265=""),"Overdue","On track")),IF(C265="DPO Approval",IF(W265="","No target set",IF(W265&lt;TODAY(),"Overdue","On track")),IF(C265="RELEASED IN PROD","Delivered",""))))))))</f>
        <v/>
      </c>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c r="AA265" s="1" t="n"/>
      <c r="AB265" s="1" t="n"/>
      <c r="AC265" s="1" t="n"/>
      <c r="AD265" s="9">
        <f>IF($B265="","",COUNTIF('Rework Log'!$A$3:$A$500,$B265))</f>
        <v/>
      </c>
      <c r="AE265" s="9">
        <f>IF(OR($B265="",$AM265=0),"",INDEX('Rework Log'!$C:$C,$AM265))</f>
        <v/>
      </c>
      <c r="AF265" s="9">
        <f>IF(OR($B265="",$AM265=0),"",INDEX('Rework Log'!$H:$H,$AM265))</f>
        <v/>
      </c>
      <c r="AG265" s="9">
        <f>IF(OR($B265="",$AM265=0),"",INDEX('Rework Log'!$G:$G,$AM265))</f>
        <v/>
      </c>
      <c r="AH265" s="9">
        <f>IF($B265="","",IF(W265&lt;&gt;"","DPO Approval",IF(T265&lt;&gt;"","QA",IF(Q265&lt;&gt;"","PBI Dev",IF(N265&lt;&gt;"","DB Dev","NOT STARTED")))))</f>
        <v/>
      </c>
      <c r="AI265" s="9">
        <f>IF($B265="","",IF(IF($C265="NOT STARTED",0,IF($C265="DB Dev",1,IF($C265="PBI Dev",2,IF($C265="QA",3,IF($C265="DPO Approval",4,IF($C265="RELEASED IN PROD",5,-1))))))&lt;IF($AH265="NOT STARTED",0,IF($AH265="DB Dev",1,IF($AH265="PBI Dev",2,IF($AH265="QA",3,IF($AH265="DPO Approval",4,IF($AH265="RELEASED IN PROD",5,-1)))))),"Yes - was already at "&amp;$AH265&amp;", now back at "&amp;$C265,"No"))</f>
        <v/>
      </c>
      <c r="AJ265" s="9">
        <f>IF($B265="","",IF(AND(T265&lt;&gt;"",N265&lt;&gt;"",T265&lt;N265),"QA target is before DB Dev target",IF(AND(T265&lt;&gt;"",Q265&lt;&gt;"",T265&lt;Q265),"QA target is before PBI Dev target",IF(AND(W265&lt;&gt;"",T265&lt;&gt;"",W265&lt;T265),"DPO Approval target is before QA target",IF(AND(Z265&lt;&gt;"",W265&lt;&gt;"",Z265&lt;W265),"Confirmed Deployed date is before DPO Approval target","")))))</f>
        <v/>
      </c>
      <c r="AK265" s="9">
        <f>IF($B265="","",IF(COUNTIF($B$2:$B$500,$B265)&gt;1,"Duplicate name - check row",""))</f>
        <v/>
      </c>
      <c r="AL265" s="1" t="n"/>
      <c r="AM265" s="9">
        <f>IF($B265="","",SUMPRODUCT(MAX(('Rework Log'!$A$3:$A$500=$B265)*ROW('Rework Log'!$A$3:$A$500))))</f>
        <v/>
      </c>
    </row>
    <row r="266">
      <c r="A266" s="1" t="n"/>
      <c r="B266" s="1" t="n"/>
      <c r="C266" s="1" t="n"/>
      <c r="D266" s="9">
        <f>IF($B266="","",IF(LEFT($AC266,3)="Yes","Blocked",IF(C266="NOT STARTED",IF(K266="","No plan date set",IF(K266&lt;TODAY(),"Review - planned start passed","On track")),IF(C266="DB Dev",IF(N266="","No target set",IF(AND(N266&lt;TODAY(),P266=""),"Overdue","On track")),IF(C266="PBI Dev",IF(Q266="","No target set",IF(AND(Q266&lt;TODAY(),S266=""),"Overdue","On track")),IF(C266="QA",IF(T266="","No target set",IF(AND(T266&lt;TODAY(),V266=""),"Overdue","On track")),IF(C266="DPO Approval",IF(W266="","No target set",IF(W266&lt;TODAY(),"Overdue","On track")),IF(C266="RELEASED IN PROD","Delivered",""))))))))</f>
        <v/>
      </c>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c r="AA266" s="1" t="n"/>
      <c r="AB266" s="1" t="n"/>
      <c r="AC266" s="1" t="n"/>
      <c r="AD266" s="9">
        <f>IF($B266="","",COUNTIF('Rework Log'!$A$3:$A$500,$B266))</f>
        <v/>
      </c>
      <c r="AE266" s="9">
        <f>IF(OR($B266="",$AM266=0),"",INDEX('Rework Log'!$C:$C,$AM266))</f>
        <v/>
      </c>
      <c r="AF266" s="9">
        <f>IF(OR($B266="",$AM266=0),"",INDEX('Rework Log'!$H:$H,$AM266))</f>
        <v/>
      </c>
      <c r="AG266" s="9">
        <f>IF(OR($B266="",$AM266=0),"",INDEX('Rework Log'!$G:$G,$AM266))</f>
        <v/>
      </c>
      <c r="AH266" s="9">
        <f>IF($B266="","",IF(W266&lt;&gt;"","DPO Approval",IF(T266&lt;&gt;"","QA",IF(Q266&lt;&gt;"","PBI Dev",IF(N266&lt;&gt;"","DB Dev","NOT STARTED")))))</f>
        <v/>
      </c>
      <c r="AI266" s="9">
        <f>IF($B266="","",IF(IF($C266="NOT STARTED",0,IF($C266="DB Dev",1,IF($C266="PBI Dev",2,IF($C266="QA",3,IF($C266="DPO Approval",4,IF($C266="RELEASED IN PROD",5,-1))))))&lt;IF($AH266="NOT STARTED",0,IF($AH266="DB Dev",1,IF($AH266="PBI Dev",2,IF($AH266="QA",3,IF($AH266="DPO Approval",4,IF($AH266="RELEASED IN PROD",5,-1)))))),"Yes - was already at "&amp;$AH266&amp;", now back at "&amp;$C266,"No"))</f>
        <v/>
      </c>
      <c r="AJ266" s="9">
        <f>IF($B266="","",IF(AND(T266&lt;&gt;"",N266&lt;&gt;"",T266&lt;N266),"QA target is before DB Dev target",IF(AND(T266&lt;&gt;"",Q266&lt;&gt;"",T266&lt;Q266),"QA target is before PBI Dev target",IF(AND(W266&lt;&gt;"",T266&lt;&gt;"",W266&lt;T266),"DPO Approval target is before QA target",IF(AND(Z266&lt;&gt;"",W266&lt;&gt;"",Z266&lt;W266),"Confirmed Deployed date is before DPO Approval target","")))))</f>
        <v/>
      </c>
      <c r="AK266" s="9">
        <f>IF($B266="","",IF(COUNTIF($B$2:$B$500,$B266)&gt;1,"Duplicate name - check row",""))</f>
        <v/>
      </c>
      <c r="AL266" s="1" t="n"/>
      <c r="AM266" s="9">
        <f>IF($B266="","",SUMPRODUCT(MAX(('Rework Log'!$A$3:$A$500=$B266)*ROW('Rework Log'!$A$3:$A$500))))</f>
        <v/>
      </c>
    </row>
    <row r="267">
      <c r="A267" s="1" t="n"/>
      <c r="B267" s="1" t="n"/>
      <c r="C267" s="1" t="n"/>
      <c r="D267" s="9">
        <f>IF($B267="","",IF(LEFT($AC267,3)="Yes","Blocked",IF(C267="NOT STARTED",IF(K267="","No plan date set",IF(K267&lt;TODAY(),"Review - planned start passed","On track")),IF(C267="DB Dev",IF(N267="","No target set",IF(AND(N267&lt;TODAY(),P267=""),"Overdue","On track")),IF(C267="PBI Dev",IF(Q267="","No target set",IF(AND(Q267&lt;TODAY(),S267=""),"Overdue","On track")),IF(C267="QA",IF(T267="","No target set",IF(AND(T267&lt;TODAY(),V267=""),"Overdue","On track")),IF(C267="DPO Approval",IF(W267="","No target set",IF(W267&lt;TODAY(),"Overdue","On track")),IF(C267="RELEASED IN PROD","Delivered",""))))))))</f>
        <v/>
      </c>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c r="AA267" s="1" t="n"/>
      <c r="AB267" s="1" t="n"/>
      <c r="AC267" s="1" t="n"/>
      <c r="AD267" s="9">
        <f>IF($B267="","",COUNTIF('Rework Log'!$A$3:$A$500,$B267))</f>
        <v/>
      </c>
      <c r="AE267" s="9">
        <f>IF(OR($B267="",$AM267=0),"",INDEX('Rework Log'!$C:$C,$AM267))</f>
        <v/>
      </c>
      <c r="AF267" s="9">
        <f>IF(OR($B267="",$AM267=0),"",INDEX('Rework Log'!$H:$H,$AM267))</f>
        <v/>
      </c>
      <c r="AG267" s="9">
        <f>IF(OR($B267="",$AM267=0),"",INDEX('Rework Log'!$G:$G,$AM267))</f>
        <v/>
      </c>
      <c r="AH267" s="9">
        <f>IF($B267="","",IF(W267&lt;&gt;"","DPO Approval",IF(T267&lt;&gt;"","QA",IF(Q267&lt;&gt;"","PBI Dev",IF(N267&lt;&gt;"","DB Dev","NOT STARTED")))))</f>
        <v/>
      </c>
      <c r="AI267" s="9">
        <f>IF($B267="","",IF(IF($C267="NOT STARTED",0,IF($C267="DB Dev",1,IF($C267="PBI Dev",2,IF($C267="QA",3,IF($C267="DPO Approval",4,IF($C267="RELEASED IN PROD",5,-1))))))&lt;IF($AH267="NOT STARTED",0,IF($AH267="DB Dev",1,IF($AH267="PBI Dev",2,IF($AH267="QA",3,IF($AH267="DPO Approval",4,IF($AH267="RELEASED IN PROD",5,-1)))))),"Yes - was already at "&amp;$AH267&amp;", now back at "&amp;$C267,"No"))</f>
        <v/>
      </c>
      <c r="AJ267" s="9">
        <f>IF($B267="","",IF(AND(T267&lt;&gt;"",N267&lt;&gt;"",T267&lt;N267),"QA target is before DB Dev target",IF(AND(T267&lt;&gt;"",Q267&lt;&gt;"",T267&lt;Q267),"QA target is before PBI Dev target",IF(AND(W267&lt;&gt;"",T267&lt;&gt;"",W267&lt;T267),"DPO Approval target is before QA target",IF(AND(Z267&lt;&gt;"",W267&lt;&gt;"",Z267&lt;W267),"Confirmed Deployed date is before DPO Approval target","")))))</f>
        <v/>
      </c>
      <c r="AK267" s="9">
        <f>IF($B267="","",IF(COUNTIF($B$2:$B$500,$B267)&gt;1,"Duplicate name - check row",""))</f>
        <v/>
      </c>
      <c r="AL267" s="1" t="n"/>
      <c r="AM267" s="9">
        <f>IF($B267="","",SUMPRODUCT(MAX(('Rework Log'!$A$3:$A$500=$B267)*ROW('Rework Log'!$A$3:$A$500))))</f>
        <v/>
      </c>
    </row>
    <row r="268">
      <c r="A268" s="1" t="n"/>
      <c r="B268" s="1" t="n"/>
      <c r="C268" s="1" t="n"/>
      <c r="D268" s="9">
        <f>IF($B268="","",IF(LEFT($AC268,3)="Yes","Blocked",IF(C268="NOT STARTED",IF(K268="","No plan date set",IF(K268&lt;TODAY(),"Review - planned start passed","On track")),IF(C268="DB Dev",IF(N268="","No target set",IF(AND(N268&lt;TODAY(),P268=""),"Overdue","On track")),IF(C268="PBI Dev",IF(Q268="","No target set",IF(AND(Q268&lt;TODAY(),S268=""),"Overdue","On track")),IF(C268="QA",IF(T268="","No target set",IF(AND(T268&lt;TODAY(),V268=""),"Overdue","On track")),IF(C268="DPO Approval",IF(W268="","No target set",IF(W268&lt;TODAY(),"Overdue","On track")),IF(C268="RELEASED IN PROD","Delivered",""))))))))</f>
        <v/>
      </c>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c r="AA268" s="1" t="n"/>
      <c r="AB268" s="1" t="n"/>
      <c r="AC268" s="1" t="n"/>
      <c r="AD268" s="9">
        <f>IF($B268="","",COUNTIF('Rework Log'!$A$3:$A$500,$B268))</f>
        <v/>
      </c>
      <c r="AE268" s="9">
        <f>IF(OR($B268="",$AM268=0),"",INDEX('Rework Log'!$C:$C,$AM268))</f>
        <v/>
      </c>
      <c r="AF268" s="9">
        <f>IF(OR($B268="",$AM268=0),"",INDEX('Rework Log'!$H:$H,$AM268))</f>
        <v/>
      </c>
      <c r="AG268" s="9">
        <f>IF(OR($B268="",$AM268=0),"",INDEX('Rework Log'!$G:$G,$AM268))</f>
        <v/>
      </c>
      <c r="AH268" s="9">
        <f>IF($B268="","",IF(W268&lt;&gt;"","DPO Approval",IF(T268&lt;&gt;"","QA",IF(Q268&lt;&gt;"","PBI Dev",IF(N268&lt;&gt;"","DB Dev","NOT STARTED")))))</f>
        <v/>
      </c>
      <c r="AI268" s="9">
        <f>IF($B268="","",IF(IF($C268="NOT STARTED",0,IF($C268="DB Dev",1,IF($C268="PBI Dev",2,IF($C268="QA",3,IF($C268="DPO Approval",4,IF($C268="RELEASED IN PROD",5,-1))))))&lt;IF($AH268="NOT STARTED",0,IF($AH268="DB Dev",1,IF($AH268="PBI Dev",2,IF($AH268="QA",3,IF($AH268="DPO Approval",4,IF($AH268="RELEASED IN PROD",5,-1)))))),"Yes - was already at "&amp;$AH268&amp;", now back at "&amp;$C268,"No"))</f>
        <v/>
      </c>
      <c r="AJ268" s="9">
        <f>IF($B268="","",IF(AND(T268&lt;&gt;"",N268&lt;&gt;"",T268&lt;N268),"QA target is before DB Dev target",IF(AND(T268&lt;&gt;"",Q268&lt;&gt;"",T268&lt;Q268),"QA target is before PBI Dev target",IF(AND(W268&lt;&gt;"",T268&lt;&gt;"",W268&lt;T268),"DPO Approval target is before QA target",IF(AND(Z268&lt;&gt;"",W268&lt;&gt;"",Z268&lt;W268),"Confirmed Deployed date is before DPO Approval target","")))))</f>
        <v/>
      </c>
      <c r="AK268" s="9">
        <f>IF($B268="","",IF(COUNTIF($B$2:$B$500,$B268)&gt;1,"Duplicate name - check row",""))</f>
        <v/>
      </c>
      <c r="AL268" s="1" t="n"/>
      <c r="AM268" s="9">
        <f>IF($B268="","",SUMPRODUCT(MAX(('Rework Log'!$A$3:$A$500=$B268)*ROW('Rework Log'!$A$3:$A$500))))</f>
        <v/>
      </c>
    </row>
    <row r="269">
      <c r="A269" s="1" t="n"/>
      <c r="B269" s="1" t="n"/>
      <c r="C269" s="1" t="n"/>
      <c r="D269" s="9">
        <f>IF($B269="","",IF(LEFT($AC269,3)="Yes","Blocked",IF(C269="NOT STARTED",IF(K269="","No plan date set",IF(K269&lt;TODAY(),"Review - planned start passed","On track")),IF(C269="DB Dev",IF(N269="","No target set",IF(AND(N269&lt;TODAY(),P269=""),"Overdue","On track")),IF(C269="PBI Dev",IF(Q269="","No target set",IF(AND(Q269&lt;TODAY(),S269=""),"Overdue","On track")),IF(C269="QA",IF(T269="","No target set",IF(AND(T269&lt;TODAY(),V269=""),"Overdue","On track")),IF(C269="DPO Approval",IF(W269="","No target set",IF(W269&lt;TODAY(),"Overdue","On track")),IF(C269="RELEASED IN PROD","Delivered",""))))))))</f>
        <v/>
      </c>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c r="AA269" s="1" t="n"/>
      <c r="AB269" s="1" t="n"/>
      <c r="AC269" s="1" t="n"/>
      <c r="AD269" s="9">
        <f>IF($B269="","",COUNTIF('Rework Log'!$A$3:$A$500,$B269))</f>
        <v/>
      </c>
      <c r="AE269" s="9">
        <f>IF(OR($B269="",$AM269=0),"",INDEX('Rework Log'!$C:$C,$AM269))</f>
        <v/>
      </c>
      <c r="AF269" s="9">
        <f>IF(OR($B269="",$AM269=0),"",INDEX('Rework Log'!$H:$H,$AM269))</f>
        <v/>
      </c>
      <c r="AG269" s="9">
        <f>IF(OR($B269="",$AM269=0),"",INDEX('Rework Log'!$G:$G,$AM269))</f>
        <v/>
      </c>
      <c r="AH269" s="9">
        <f>IF($B269="","",IF(W269&lt;&gt;"","DPO Approval",IF(T269&lt;&gt;"","QA",IF(Q269&lt;&gt;"","PBI Dev",IF(N269&lt;&gt;"","DB Dev","NOT STARTED")))))</f>
        <v/>
      </c>
      <c r="AI269" s="9">
        <f>IF($B269="","",IF(IF($C269="NOT STARTED",0,IF($C269="DB Dev",1,IF($C269="PBI Dev",2,IF($C269="QA",3,IF($C269="DPO Approval",4,IF($C269="RELEASED IN PROD",5,-1))))))&lt;IF($AH269="NOT STARTED",0,IF($AH269="DB Dev",1,IF($AH269="PBI Dev",2,IF($AH269="QA",3,IF($AH269="DPO Approval",4,IF($AH269="RELEASED IN PROD",5,-1)))))),"Yes - was already at "&amp;$AH269&amp;", now back at "&amp;$C269,"No"))</f>
        <v/>
      </c>
      <c r="AJ269" s="9">
        <f>IF($B269="","",IF(AND(T269&lt;&gt;"",N269&lt;&gt;"",T269&lt;N269),"QA target is before DB Dev target",IF(AND(T269&lt;&gt;"",Q269&lt;&gt;"",T269&lt;Q269),"QA target is before PBI Dev target",IF(AND(W269&lt;&gt;"",T269&lt;&gt;"",W269&lt;T269),"DPO Approval target is before QA target",IF(AND(Z269&lt;&gt;"",W269&lt;&gt;"",Z269&lt;W269),"Confirmed Deployed date is before DPO Approval target","")))))</f>
        <v/>
      </c>
      <c r="AK269" s="9">
        <f>IF($B269="","",IF(COUNTIF($B$2:$B$500,$B269)&gt;1,"Duplicate name - check row",""))</f>
        <v/>
      </c>
      <c r="AL269" s="1" t="n"/>
      <c r="AM269" s="9">
        <f>IF($B269="","",SUMPRODUCT(MAX(('Rework Log'!$A$3:$A$500=$B269)*ROW('Rework Log'!$A$3:$A$500))))</f>
        <v/>
      </c>
    </row>
    <row r="270">
      <c r="A270" s="1" t="n"/>
      <c r="B270" s="1" t="n"/>
      <c r="C270" s="1" t="n"/>
      <c r="D270" s="9">
        <f>IF($B270="","",IF(LEFT($AC270,3)="Yes","Blocked",IF(C270="NOT STARTED",IF(K270="","No plan date set",IF(K270&lt;TODAY(),"Review - planned start passed","On track")),IF(C270="DB Dev",IF(N270="","No target set",IF(AND(N270&lt;TODAY(),P270=""),"Overdue","On track")),IF(C270="PBI Dev",IF(Q270="","No target set",IF(AND(Q270&lt;TODAY(),S270=""),"Overdue","On track")),IF(C270="QA",IF(T270="","No target set",IF(AND(T270&lt;TODAY(),V270=""),"Overdue","On track")),IF(C270="DPO Approval",IF(W270="","No target set",IF(W270&lt;TODAY(),"Overdue","On track")),IF(C270="RELEASED IN PROD","Delivered",""))))))))</f>
        <v/>
      </c>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c r="AA270" s="1" t="n"/>
      <c r="AB270" s="1" t="n"/>
      <c r="AC270" s="1" t="n"/>
      <c r="AD270" s="9">
        <f>IF($B270="","",COUNTIF('Rework Log'!$A$3:$A$500,$B270))</f>
        <v/>
      </c>
      <c r="AE270" s="9">
        <f>IF(OR($B270="",$AM270=0),"",INDEX('Rework Log'!$C:$C,$AM270))</f>
        <v/>
      </c>
      <c r="AF270" s="9">
        <f>IF(OR($B270="",$AM270=0),"",INDEX('Rework Log'!$H:$H,$AM270))</f>
        <v/>
      </c>
      <c r="AG270" s="9">
        <f>IF(OR($B270="",$AM270=0),"",INDEX('Rework Log'!$G:$G,$AM270))</f>
        <v/>
      </c>
      <c r="AH270" s="9">
        <f>IF($B270="","",IF(W270&lt;&gt;"","DPO Approval",IF(T270&lt;&gt;"","QA",IF(Q270&lt;&gt;"","PBI Dev",IF(N270&lt;&gt;"","DB Dev","NOT STARTED")))))</f>
        <v/>
      </c>
      <c r="AI270" s="9">
        <f>IF($B270="","",IF(IF($C270="NOT STARTED",0,IF($C270="DB Dev",1,IF($C270="PBI Dev",2,IF($C270="QA",3,IF($C270="DPO Approval",4,IF($C270="RELEASED IN PROD",5,-1))))))&lt;IF($AH270="NOT STARTED",0,IF($AH270="DB Dev",1,IF($AH270="PBI Dev",2,IF($AH270="QA",3,IF($AH270="DPO Approval",4,IF($AH270="RELEASED IN PROD",5,-1)))))),"Yes - was already at "&amp;$AH270&amp;", now back at "&amp;$C270,"No"))</f>
        <v/>
      </c>
      <c r="AJ270" s="9">
        <f>IF($B270="","",IF(AND(T270&lt;&gt;"",N270&lt;&gt;"",T270&lt;N270),"QA target is before DB Dev target",IF(AND(T270&lt;&gt;"",Q270&lt;&gt;"",T270&lt;Q270),"QA target is before PBI Dev target",IF(AND(W270&lt;&gt;"",T270&lt;&gt;"",W270&lt;T270),"DPO Approval target is before QA target",IF(AND(Z270&lt;&gt;"",W270&lt;&gt;"",Z270&lt;W270),"Confirmed Deployed date is before DPO Approval target","")))))</f>
        <v/>
      </c>
      <c r="AK270" s="9">
        <f>IF($B270="","",IF(COUNTIF($B$2:$B$500,$B270)&gt;1,"Duplicate name - check row",""))</f>
        <v/>
      </c>
      <c r="AL270" s="1" t="n"/>
      <c r="AM270" s="9">
        <f>IF($B270="","",SUMPRODUCT(MAX(('Rework Log'!$A$3:$A$500=$B270)*ROW('Rework Log'!$A$3:$A$500))))</f>
        <v/>
      </c>
    </row>
    <row r="271">
      <c r="A271" s="1" t="n"/>
      <c r="B271" s="1" t="n"/>
      <c r="C271" s="1" t="n"/>
      <c r="D271" s="9">
        <f>IF($B271="","",IF(LEFT($AC271,3)="Yes","Blocked",IF(C271="NOT STARTED",IF(K271="","No plan date set",IF(K271&lt;TODAY(),"Review - planned start passed","On track")),IF(C271="DB Dev",IF(N271="","No target set",IF(AND(N271&lt;TODAY(),P271=""),"Overdue","On track")),IF(C271="PBI Dev",IF(Q271="","No target set",IF(AND(Q271&lt;TODAY(),S271=""),"Overdue","On track")),IF(C271="QA",IF(T271="","No target set",IF(AND(T271&lt;TODAY(),V271=""),"Overdue","On track")),IF(C271="DPO Approval",IF(W271="","No target set",IF(W271&lt;TODAY(),"Overdue","On track")),IF(C271="RELEASED IN PROD","Delivered",""))))))))</f>
        <v/>
      </c>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c r="AA271" s="1" t="n"/>
      <c r="AB271" s="1" t="n"/>
      <c r="AC271" s="1" t="n"/>
      <c r="AD271" s="9">
        <f>IF($B271="","",COUNTIF('Rework Log'!$A$3:$A$500,$B271))</f>
        <v/>
      </c>
      <c r="AE271" s="9">
        <f>IF(OR($B271="",$AM271=0),"",INDEX('Rework Log'!$C:$C,$AM271))</f>
        <v/>
      </c>
      <c r="AF271" s="9">
        <f>IF(OR($B271="",$AM271=0),"",INDEX('Rework Log'!$H:$H,$AM271))</f>
        <v/>
      </c>
      <c r="AG271" s="9">
        <f>IF(OR($B271="",$AM271=0),"",INDEX('Rework Log'!$G:$G,$AM271))</f>
        <v/>
      </c>
      <c r="AH271" s="9">
        <f>IF($B271="","",IF(W271&lt;&gt;"","DPO Approval",IF(T271&lt;&gt;"","QA",IF(Q271&lt;&gt;"","PBI Dev",IF(N271&lt;&gt;"","DB Dev","NOT STARTED")))))</f>
        <v/>
      </c>
      <c r="AI271" s="9">
        <f>IF($B271="","",IF(IF($C271="NOT STARTED",0,IF($C271="DB Dev",1,IF($C271="PBI Dev",2,IF($C271="QA",3,IF($C271="DPO Approval",4,IF($C271="RELEASED IN PROD",5,-1))))))&lt;IF($AH271="NOT STARTED",0,IF($AH271="DB Dev",1,IF($AH271="PBI Dev",2,IF($AH271="QA",3,IF($AH271="DPO Approval",4,IF($AH271="RELEASED IN PROD",5,-1)))))),"Yes - was already at "&amp;$AH271&amp;", now back at "&amp;$C271,"No"))</f>
        <v/>
      </c>
      <c r="AJ271" s="9">
        <f>IF($B271="","",IF(AND(T271&lt;&gt;"",N271&lt;&gt;"",T271&lt;N271),"QA target is before DB Dev target",IF(AND(T271&lt;&gt;"",Q271&lt;&gt;"",T271&lt;Q271),"QA target is before PBI Dev target",IF(AND(W271&lt;&gt;"",T271&lt;&gt;"",W271&lt;T271),"DPO Approval target is before QA target",IF(AND(Z271&lt;&gt;"",W271&lt;&gt;"",Z271&lt;W271),"Confirmed Deployed date is before DPO Approval target","")))))</f>
        <v/>
      </c>
      <c r="AK271" s="9">
        <f>IF($B271="","",IF(COUNTIF($B$2:$B$500,$B271)&gt;1,"Duplicate name - check row",""))</f>
        <v/>
      </c>
      <c r="AL271" s="1" t="n"/>
      <c r="AM271" s="9">
        <f>IF($B271="","",SUMPRODUCT(MAX(('Rework Log'!$A$3:$A$500=$B271)*ROW('Rework Log'!$A$3:$A$500))))</f>
        <v/>
      </c>
    </row>
    <row r="272">
      <c r="A272" s="1" t="n"/>
      <c r="B272" s="1" t="n"/>
      <c r="C272" s="1" t="n"/>
      <c r="D272" s="9">
        <f>IF($B272="","",IF(LEFT($AC272,3)="Yes","Blocked",IF(C272="NOT STARTED",IF(K272="","No plan date set",IF(K272&lt;TODAY(),"Review - planned start passed","On track")),IF(C272="DB Dev",IF(N272="","No target set",IF(AND(N272&lt;TODAY(),P272=""),"Overdue","On track")),IF(C272="PBI Dev",IF(Q272="","No target set",IF(AND(Q272&lt;TODAY(),S272=""),"Overdue","On track")),IF(C272="QA",IF(T272="","No target set",IF(AND(T272&lt;TODAY(),V272=""),"Overdue","On track")),IF(C272="DPO Approval",IF(W272="","No target set",IF(W272&lt;TODAY(),"Overdue","On track")),IF(C272="RELEASED IN PROD","Delivered",""))))))))</f>
        <v/>
      </c>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c r="AA272" s="1" t="n"/>
      <c r="AB272" s="1" t="n"/>
      <c r="AC272" s="1" t="n"/>
      <c r="AD272" s="9">
        <f>IF($B272="","",COUNTIF('Rework Log'!$A$3:$A$500,$B272))</f>
        <v/>
      </c>
      <c r="AE272" s="9">
        <f>IF(OR($B272="",$AM272=0),"",INDEX('Rework Log'!$C:$C,$AM272))</f>
        <v/>
      </c>
      <c r="AF272" s="9">
        <f>IF(OR($B272="",$AM272=0),"",INDEX('Rework Log'!$H:$H,$AM272))</f>
        <v/>
      </c>
      <c r="AG272" s="9">
        <f>IF(OR($B272="",$AM272=0),"",INDEX('Rework Log'!$G:$G,$AM272))</f>
        <v/>
      </c>
      <c r="AH272" s="9">
        <f>IF($B272="","",IF(W272&lt;&gt;"","DPO Approval",IF(T272&lt;&gt;"","QA",IF(Q272&lt;&gt;"","PBI Dev",IF(N272&lt;&gt;"","DB Dev","NOT STARTED")))))</f>
        <v/>
      </c>
      <c r="AI272" s="9">
        <f>IF($B272="","",IF(IF($C272="NOT STARTED",0,IF($C272="DB Dev",1,IF($C272="PBI Dev",2,IF($C272="QA",3,IF($C272="DPO Approval",4,IF($C272="RELEASED IN PROD",5,-1))))))&lt;IF($AH272="NOT STARTED",0,IF($AH272="DB Dev",1,IF($AH272="PBI Dev",2,IF($AH272="QA",3,IF($AH272="DPO Approval",4,IF($AH272="RELEASED IN PROD",5,-1)))))),"Yes - was already at "&amp;$AH272&amp;", now back at "&amp;$C272,"No"))</f>
        <v/>
      </c>
      <c r="AJ272" s="9">
        <f>IF($B272="","",IF(AND(T272&lt;&gt;"",N272&lt;&gt;"",T272&lt;N272),"QA target is before DB Dev target",IF(AND(T272&lt;&gt;"",Q272&lt;&gt;"",T272&lt;Q272),"QA target is before PBI Dev target",IF(AND(W272&lt;&gt;"",T272&lt;&gt;"",W272&lt;T272),"DPO Approval target is before QA target",IF(AND(Z272&lt;&gt;"",W272&lt;&gt;"",Z272&lt;W272),"Confirmed Deployed date is before DPO Approval target","")))))</f>
        <v/>
      </c>
      <c r="AK272" s="9">
        <f>IF($B272="","",IF(COUNTIF($B$2:$B$500,$B272)&gt;1,"Duplicate name - check row",""))</f>
        <v/>
      </c>
      <c r="AL272" s="1" t="n"/>
      <c r="AM272" s="9">
        <f>IF($B272="","",SUMPRODUCT(MAX(('Rework Log'!$A$3:$A$500=$B272)*ROW('Rework Log'!$A$3:$A$500))))</f>
        <v/>
      </c>
    </row>
    <row r="273">
      <c r="A273" s="1" t="n"/>
      <c r="B273" s="1" t="n"/>
      <c r="C273" s="1" t="n"/>
      <c r="D273" s="9">
        <f>IF($B273="","",IF(LEFT($AC273,3)="Yes","Blocked",IF(C273="NOT STARTED",IF(K273="","No plan date set",IF(K273&lt;TODAY(),"Review - planned start passed","On track")),IF(C273="DB Dev",IF(N273="","No target set",IF(AND(N273&lt;TODAY(),P273=""),"Overdue","On track")),IF(C273="PBI Dev",IF(Q273="","No target set",IF(AND(Q273&lt;TODAY(),S273=""),"Overdue","On track")),IF(C273="QA",IF(T273="","No target set",IF(AND(T273&lt;TODAY(),V273=""),"Overdue","On track")),IF(C273="DPO Approval",IF(W273="","No target set",IF(W273&lt;TODAY(),"Overdue","On track")),IF(C273="RELEASED IN PROD","Delivered",""))))))))</f>
        <v/>
      </c>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c r="AA273" s="1" t="n"/>
      <c r="AB273" s="1" t="n"/>
      <c r="AC273" s="1" t="n"/>
      <c r="AD273" s="9">
        <f>IF($B273="","",COUNTIF('Rework Log'!$A$3:$A$500,$B273))</f>
        <v/>
      </c>
      <c r="AE273" s="9">
        <f>IF(OR($B273="",$AM273=0),"",INDEX('Rework Log'!$C:$C,$AM273))</f>
        <v/>
      </c>
      <c r="AF273" s="9">
        <f>IF(OR($B273="",$AM273=0),"",INDEX('Rework Log'!$H:$H,$AM273))</f>
        <v/>
      </c>
      <c r="AG273" s="9">
        <f>IF(OR($B273="",$AM273=0),"",INDEX('Rework Log'!$G:$G,$AM273))</f>
        <v/>
      </c>
      <c r="AH273" s="9">
        <f>IF($B273="","",IF(W273&lt;&gt;"","DPO Approval",IF(T273&lt;&gt;"","QA",IF(Q273&lt;&gt;"","PBI Dev",IF(N273&lt;&gt;"","DB Dev","NOT STARTED")))))</f>
        <v/>
      </c>
      <c r="AI273" s="9">
        <f>IF($B273="","",IF(IF($C273="NOT STARTED",0,IF($C273="DB Dev",1,IF($C273="PBI Dev",2,IF($C273="QA",3,IF($C273="DPO Approval",4,IF($C273="RELEASED IN PROD",5,-1))))))&lt;IF($AH273="NOT STARTED",0,IF($AH273="DB Dev",1,IF($AH273="PBI Dev",2,IF($AH273="QA",3,IF($AH273="DPO Approval",4,IF($AH273="RELEASED IN PROD",5,-1)))))),"Yes - was already at "&amp;$AH273&amp;", now back at "&amp;$C273,"No"))</f>
        <v/>
      </c>
      <c r="AJ273" s="9">
        <f>IF($B273="","",IF(AND(T273&lt;&gt;"",N273&lt;&gt;"",T273&lt;N273),"QA target is before DB Dev target",IF(AND(T273&lt;&gt;"",Q273&lt;&gt;"",T273&lt;Q273),"QA target is before PBI Dev target",IF(AND(W273&lt;&gt;"",T273&lt;&gt;"",W273&lt;T273),"DPO Approval target is before QA target",IF(AND(Z273&lt;&gt;"",W273&lt;&gt;"",Z273&lt;W273),"Confirmed Deployed date is before DPO Approval target","")))))</f>
        <v/>
      </c>
      <c r="AK273" s="9">
        <f>IF($B273="","",IF(COUNTIF($B$2:$B$500,$B273)&gt;1,"Duplicate name - check row",""))</f>
        <v/>
      </c>
      <c r="AL273" s="1" t="n"/>
      <c r="AM273" s="9">
        <f>IF($B273="","",SUMPRODUCT(MAX(('Rework Log'!$A$3:$A$500=$B273)*ROW('Rework Log'!$A$3:$A$500))))</f>
        <v/>
      </c>
    </row>
    <row r="274">
      <c r="A274" s="1" t="n"/>
      <c r="B274" s="1" t="n"/>
      <c r="C274" s="1" t="n"/>
      <c r="D274" s="9">
        <f>IF($B274="","",IF(LEFT($AC274,3)="Yes","Blocked",IF(C274="NOT STARTED",IF(K274="","No plan date set",IF(K274&lt;TODAY(),"Review - planned start passed","On track")),IF(C274="DB Dev",IF(N274="","No target set",IF(AND(N274&lt;TODAY(),P274=""),"Overdue","On track")),IF(C274="PBI Dev",IF(Q274="","No target set",IF(AND(Q274&lt;TODAY(),S274=""),"Overdue","On track")),IF(C274="QA",IF(T274="","No target set",IF(AND(T274&lt;TODAY(),V274=""),"Overdue","On track")),IF(C274="DPO Approval",IF(W274="","No target set",IF(W274&lt;TODAY(),"Overdue","On track")),IF(C274="RELEASED IN PROD","Delivered",""))))))))</f>
        <v/>
      </c>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c r="AA274" s="1" t="n"/>
      <c r="AB274" s="1" t="n"/>
      <c r="AC274" s="1" t="n"/>
      <c r="AD274" s="9">
        <f>IF($B274="","",COUNTIF('Rework Log'!$A$3:$A$500,$B274))</f>
        <v/>
      </c>
      <c r="AE274" s="9">
        <f>IF(OR($B274="",$AM274=0),"",INDEX('Rework Log'!$C:$C,$AM274))</f>
        <v/>
      </c>
      <c r="AF274" s="9">
        <f>IF(OR($B274="",$AM274=0),"",INDEX('Rework Log'!$H:$H,$AM274))</f>
        <v/>
      </c>
      <c r="AG274" s="9">
        <f>IF(OR($B274="",$AM274=0),"",INDEX('Rework Log'!$G:$G,$AM274))</f>
        <v/>
      </c>
      <c r="AH274" s="9">
        <f>IF($B274="","",IF(W274&lt;&gt;"","DPO Approval",IF(T274&lt;&gt;"","QA",IF(Q274&lt;&gt;"","PBI Dev",IF(N274&lt;&gt;"","DB Dev","NOT STARTED")))))</f>
        <v/>
      </c>
      <c r="AI274" s="9">
        <f>IF($B274="","",IF(IF($C274="NOT STARTED",0,IF($C274="DB Dev",1,IF($C274="PBI Dev",2,IF($C274="QA",3,IF($C274="DPO Approval",4,IF($C274="RELEASED IN PROD",5,-1))))))&lt;IF($AH274="NOT STARTED",0,IF($AH274="DB Dev",1,IF($AH274="PBI Dev",2,IF($AH274="QA",3,IF($AH274="DPO Approval",4,IF($AH274="RELEASED IN PROD",5,-1)))))),"Yes - was already at "&amp;$AH274&amp;", now back at "&amp;$C274,"No"))</f>
        <v/>
      </c>
      <c r="AJ274" s="9">
        <f>IF($B274="","",IF(AND(T274&lt;&gt;"",N274&lt;&gt;"",T274&lt;N274),"QA target is before DB Dev target",IF(AND(T274&lt;&gt;"",Q274&lt;&gt;"",T274&lt;Q274),"QA target is before PBI Dev target",IF(AND(W274&lt;&gt;"",T274&lt;&gt;"",W274&lt;T274),"DPO Approval target is before QA target",IF(AND(Z274&lt;&gt;"",W274&lt;&gt;"",Z274&lt;W274),"Confirmed Deployed date is before DPO Approval target","")))))</f>
        <v/>
      </c>
      <c r="AK274" s="9">
        <f>IF($B274="","",IF(COUNTIF($B$2:$B$500,$B274)&gt;1,"Duplicate name - check row",""))</f>
        <v/>
      </c>
      <c r="AL274" s="1" t="n"/>
      <c r="AM274" s="9">
        <f>IF($B274="","",SUMPRODUCT(MAX(('Rework Log'!$A$3:$A$500=$B274)*ROW('Rework Log'!$A$3:$A$500))))</f>
        <v/>
      </c>
    </row>
    <row r="275">
      <c r="A275" s="1" t="n"/>
      <c r="B275" s="1" t="n"/>
      <c r="C275" s="1" t="n"/>
      <c r="D275" s="9">
        <f>IF($B275="","",IF(LEFT($AC275,3)="Yes","Blocked",IF(C275="NOT STARTED",IF(K275="","No plan date set",IF(K275&lt;TODAY(),"Review - planned start passed","On track")),IF(C275="DB Dev",IF(N275="","No target set",IF(AND(N275&lt;TODAY(),P275=""),"Overdue","On track")),IF(C275="PBI Dev",IF(Q275="","No target set",IF(AND(Q275&lt;TODAY(),S275=""),"Overdue","On track")),IF(C275="QA",IF(T275="","No target set",IF(AND(T275&lt;TODAY(),V275=""),"Overdue","On track")),IF(C275="DPO Approval",IF(W275="","No target set",IF(W275&lt;TODAY(),"Overdue","On track")),IF(C275="RELEASED IN PROD","Delivered",""))))))))</f>
        <v/>
      </c>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c r="AA275" s="1" t="n"/>
      <c r="AB275" s="1" t="n"/>
      <c r="AC275" s="1" t="n"/>
      <c r="AD275" s="9">
        <f>IF($B275="","",COUNTIF('Rework Log'!$A$3:$A$500,$B275))</f>
        <v/>
      </c>
      <c r="AE275" s="9">
        <f>IF(OR($B275="",$AM275=0),"",INDEX('Rework Log'!$C:$C,$AM275))</f>
        <v/>
      </c>
      <c r="AF275" s="9">
        <f>IF(OR($B275="",$AM275=0),"",INDEX('Rework Log'!$H:$H,$AM275))</f>
        <v/>
      </c>
      <c r="AG275" s="9">
        <f>IF(OR($B275="",$AM275=0),"",INDEX('Rework Log'!$G:$G,$AM275))</f>
        <v/>
      </c>
      <c r="AH275" s="9">
        <f>IF($B275="","",IF(W275&lt;&gt;"","DPO Approval",IF(T275&lt;&gt;"","QA",IF(Q275&lt;&gt;"","PBI Dev",IF(N275&lt;&gt;"","DB Dev","NOT STARTED")))))</f>
        <v/>
      </c>
      <c r="AI275" s="9">
        <f>IF($B275="","",IF(IF($C275="NOT STARTED",0,IF($C275="DB Dev",1,IF($C275="PBI Dev",2,IF($C275="QA",3,IF($C275="DPO Approval",4,IF($C275="RELEASED IN PROD",5,-1))))))&lt;IF($AH275="NOT STARTED",0,IF($AH275="DB Dev",1,IF($AH275="PBI Dev",2,IF($AH275="QA",3,IF($AH275="DPO Approval",4,IF($AH275="RELEASED IN PROD",5,-1)))))),"Yes - was already at "&amp;$AH275&amp;", now back at "&amp;$C275,"No"))</f>
        <v/>
      </c>
      <c r="AJ275" s="9">
        <f>IF($B275="","",IF(AND(T275&lt;&gt;"",N275&lt;&gt;"",T275&lt;N275),"QA target is before DB Dev target",IF(AND(T275&lt;&gt;"",Q275&lt;&gt;"",T275&lt;Q275),"QA target is before PBI Dev target",IF(AND(W275&lt;&gt;"",T275&lt;&gt;"",W275&lt;T275),"DPO Approval target is before QA target",IF(AND(Z275&lt;&gt;"",W275&lt;&gt;"",Z275&lt;W275),"Confirmed Deployed date is before DPO Approval target","")))))</f>
        <v/>
      </c>
      <c r="AK275" s="9">
        <f>IF($B275="","",IF(COUNTIF($B$2:$B$500,$B275)&gt;1,"Duplicate name - check row",""))</f>
        <v/>
      </c>
      <c r="AL275" s="1" t="n"/>
      <c r="AM275" s="9">
        <f>IF($B275="","",SUMPRODUCT(MAX(('Rework Log'!$A$3:$A$500=$B275)*ROW('Rework Log'!$A$3:$A$500))))</f>
        <v/>
      </c>
    </row>
    <row r="276">
      <c r="A276" s="1" t="n"/>
      <c r="B276" s="1" t="n"/>
      <c r="C276" s="1" t="n"/>
      <c r="D276" s="9">
        <f>IF($B276="","",IF(LEFT($AC276,3)="Yes","Blocked",IF(C276="NOT STARTED",IF(K276="","No plan date set",IF(K276&lt;TODAY(),"Review - planned start passed","On track")),IF(C276="DB Dev",IF(N276="","No target set",IF(AND(N276&lt;TODAY(),P276=""),"Overdue","On track")),IF(C276="PBI Dev",IF(Q276="","No target set",IF(AND(Q276&lt;TODAY(),S276=""),"Overdue","On track")),IF(C276="QA",IF(T276="","No target set",IF(AND(T276&lt;TODAY(),V276=""),"Overdue","On track")),IF(C276="DPO Approval",IF(W276="","No target set",IF(W276&lt;TODAY(),"Overdue","On track")),IF(C276="RELEASED IN PROD","Delivered",""))))))))</f>
        <v/>
      </c>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c r="AA276" s="1" t="n"/>
      <c r="AB276" s="1" t="n"/>
      <c r="AC276" s="1" t="n"/>
      <c r="AD276" s="9">
        <f>IF($B276="","",COUNTIF('Rework Log'!$A$3:$A$500,$B276))</f>
        <v/>
      </c>
      <c r="AE276" s="9">
        <f>IF(OR($B276="",$AM276=0),"",INDEX('Rework Log'!$C:$C,$AM276))</f>
        <v/>
      </c>
      <c r="AF276" s="9">
        <f>IF(OR($B276="",$AM276=0),"",INDEX('Rework Log'!$H:$H,$AM276))</f>
        <v/>
      </c>
      <c r="AG276" s="9">
        <f>IF(OR($B276="",$AM276=0),"",INDEX('Rework Log'!$G:$G,$AM276))</f>
        <v/>
      </c>
      <c r="AH276" s="9">
        <f>IF($B276="","",IF(W276&lt;&gt;"","DPO Approval",IF(T276&lt;&gt;"","QA",IF(Q276&lt;&gt;"","PBI Dev",IF(N276&lt;&gt;"","DB Dev","NOT STARTED")))))</f>
        <v/>
      </c>
      <c r="AI276" s="9">
        <f>IF($B276="","",IF(IF($C276="NOT STARTED",0,IF($C276="DB Dev",1,IF($C276="PBI Dev",2,IF($C276="QA",3,IF($C276="DPO Approval",4,IF($C276="RELEASED IN PROD",5,-1))))))&lt;IF($AH276="NOT STARTED",0,IF($AH276="DB Dev",1,IF($AH276="PBI Dev",2,IF($AH276="QA",3,IF($AH276="DPO Approval",4,IF($AH276="RELEASED IN PROD",5,-1)))))),"Yes - was already at "&amp;$AH276&amp;", now back at "&amp;$C276,"No"))</f>
        <v/>
      </c>
      <c r="AJ276" s="9">
        <f>IF($B276="","",IF(AND(T276&lt;&gt;"",N276&lt;&gt;"",T276&lt;N276),"QA target is before DB Dev target",IF(AND(T276&lt;&gt;"",Q276&lt;&gt;"",T276&lt;Q276),"QA target is before PBI Dev target",IF(AND(W276&lt;&gt;"",T276&lt;&gt;"",W276&lt;T276),"DPO Approval target is before QA target",IF(AND(Z276&lt;&gt;"",W276&lt;&gt;"",Z276&lt;W276),"Confirmed Deployed date is before DPO Approval target","")))))</f>
        <v/>
      </c>
      <c r="AK276" s="9">
        <f>IF($B276="","",IF(COUNTIF($B$2:$B$500,$B276)&gt;1,"Duplicate name - check row",""))</f>
        <v/>
      </c>
      <c r="AL276" s="1" t="n"/>
      <c r="AM276" s="9">
        <f>IF($B276="","",SUMPRODUCT(MAX(('Rework Log'!$A$3:$A$500=$B276)*ROW('Rework Log'!$A$3:$A$500))))</f>
        <v/>
      </c>
    </row>
    <row r="277">
      <c r="A277" s="1" t="n"/>
      <c r="B277" s="1" t="n"/>
      <c r="C277" s="1" t="n"/>
      <c r="D277" s="9">
        <f>IF($B277="","",IF(LEFT($AC277,3)="Yes","Blocked",IF(C277="NOT STARTED",IF(K277="","No plan date set",IF(K277&lt;TODAY(),"Review - planned start passed","On track")),IF(C277="DB Dev",IF(N277="","No target set",IF(AND(N277&lt;TODAY(),P277=""),"Overdue","On track")),IF(C277="PBI Dev",IF(Q277="","No target set",IF(AND(Q277&lt;TODAY(),S277=""),"Overdue","On track")),IF(C277="QA",IF(T277="","No target set",IF(AND(T277&lt;TODAY(),V277=""),"Overdue","On track")),IF(C277="DPO Approval",IF(W277="","No target set",IF(W277&lt;TODAY(),"Overdue","On track")),IF(C277="RELEASED IN PROD","Delivered",""))))))))</f>
        <v/>
      </c>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c r="AA277" s="1" t="n"/>
      <c r="AB277" s="1" t="n"/>
      <c r="AC277" s="1" t="n"/>
      <c r="AD277" s="9">
        <f>IF($B277="","",COUNTIF('Rework Log'!$A$3:$A$500,$B277))</f>
        <v/>
      </c>
      <c r="AE277" s="9">
        <f>IF(OR($B277="",$AM277=0),"",INDEX('Rework Log'!$C:$C,$AM277))</f>
        <v/>
      </c>
      <c r="AF277" s="9">
        <f>IF(OR($B277="",$AM277=0),"",INDEX('Rework Log'!$H:$H,$AM277))</f>
        <v/>
      </c>
      <c r="AG277" s="9">
        <f>IF(OR($B277="",$AM277=0),"",INDEX('Rework Log'!$G:$G,$AM277))</f>
        <v/>
      </c>
      <c r="AH277" s="9">
        <f>IF($B277="","",IF(W277&lt;&gt;"","DPO Approval",IF(T277&lt;&gt;"","QA",IF(Q277&lt;&gt;"","PBI Dev",IF(N277&lt;&gt;"","DB Dev","NOT STARTED")))))</f>
        <v/>
      </c>
      <c r="AI277" s="9">
        <f>IF($B277="","",IF(IF($C277="NOT STARTED",0,IF($C277="DB Dev",1,IF($C277="PBI Dev",2,IF($C277="QA",3,IF($C277="DPO Approval",4,IF($C277="RELEASED IN PROD",5,-1))))))&lt;IF($AH277="NOT STARTED",0,IF($AH277="DB Dev",1,IF($AH277="PBI Dev",2,IF($AH277="QA",3,IF($AH277="DPO Approval",4,IF($AH277="RELEASED IN PROD",5,-1)))))),"Yes - was already at "&amp;$AH277&amp;", now back at "&amp;$C277,"No"))</f>
        <v/>
      </c>
      <c r="AJ277" s="9">
        <f>IF($B277="","",IF(AND(T277&lt;&gt;"",N277&lt;&gt;"",T277&lt;N277),"QA target is before DB Dev target",IF(AND(T277&lt;&gt;"",Q277&lt;&gt;"",T277&lt;Q277),"QA target is before PBI Dev target",IF(AND(W277&lt;&gt;"",T277&lt;&gt;"",W277&lt;T277),"DPO Approval target is before QA target",IF(AND(Z277&lt;&gt;"",W277&lt;&gt;"",Z277&lt;W277),"Confirmed Deployed date is before DPO Approval target","")))))</f>
        <v/>
      </c>
      <c r="AK277" s="9">
        <f>IF($B277="","",IF(COUNTIF($B$2:$B$500,$B277)&gt;1,"Duplicate name - check row",""))</f>
        <v/>
      </c>
      <c r="AL277" s="1" t="n"/>
      <c r="AM277" s="9">
        <f>IF($B277="","",SUMPRODUCT(MAX(('Rework Log'!$A$3:$A$500=$B277)*ROW('Rework Log'!$A$3:$A$500))))</f>
        <v/>
      </c>
    </row>
    <row r="278">
      <c r="A278" s="1" t="n"/>
      <c r="B278" s="1" t="n"/>
      <c r="C278" s="1" t="n"/>
      <c r="D278" s="9">
        <f>IF($B278="","",IF(LEFT($AC278,3)="Yes","Blocked",IF(C278="NOT STARTED",IF(K278="","No plan date set",IF(K278&lt;TODAY(),"Review - planned start passed","On track")),IF(C278="DB Dev",IF(N278="","No target set",IF(AND(N278&lt;TODAY(),P278=""),"Overdue","On track")),IF(C278="PBI Dev",IF(Q278="","No target set",IF(AND(Q278&lt;TODAY(),S278=""),"Overdue","On track")),IF(C278="QA",IF(T278="","No target set",IF(AND(T278&lt;TODAY(),V278=""),"Overdue","On track")),IF(C278="DPO Approval",IF(W278="","No target set",IF(W278&lt;TODAY(),"Overdue","On track")),IF(C278="RELEASED IN PROD","Delivered",""))))))))</f>
        <v/>
      </c>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c r="AA278" s="1" t="n"/>
      <c r="AB278" s="1" t="n"/>
      <c r="AC278" s="1" t="n"/>
      <c r="AD278" s="9">
        <f>IF($B278="","",COUNTIF('Rework Log'!$A$3:$A$500,$B278))</f>
        <v/>
      </c>
      <c r="AE278" s="9">
        <f>IF(OR($B278="",$AM278=0),"",INDEX('Rework Log'!$C:$C,$AM278))</f>
        <v/>
      </c>
      <c r="AF278" s="9">
        <f>IF(OR($B278="",$AM278=0),"",INDEX('Rework Log'!$H:$H,$AM278))</f>
        <v/>
      </c>
      <c r="AG278" s="9">
        <f>IF(OR($B278="",$AM278=0),"",INDEX('Rework Log'!$G:$G,$AM278))</f>
        <v/>
      </c>
      <c r="AH278" s="9">
        <f>IF($B278="","",IF(W278&lt;&gt;"","DPO Approval",IF(T278&lt;&gt;"","QA",IF(Q278&lt;&gt;"","PBI Dev",IF(N278&lt;&gt;"","DB Dev","NOT STARTED")))))</f>
        <v/>
      </c>
      <c r="AI278" s="9">
        <f>IF($B278="","",IF(IF($C278="NOT STARTED",0,IF($C278="DB Dev",1,IF($C278="PBI Dev",2,IF($C278="QA",3,IF($C278="DPO Approval",4,IF($C278="RELEASED IN PROD",5,-1))))))&lt;IF($AH278="NOT STARTED",0,IF($AH278="DB Dev",1,IF($AH278="PBI Dev",2,IF($AH278="QA",3,IF($AH278="DPO Approval",4,IF($AH278="RELEASED IN PROD",5,-1)))))),"Yes - was already at "&amp;$AH278&amp;", now back at "&amp;$C278,"No"))</f>
        <v/>
      </c>
      <c r="AJ278" s="9">
        <f>IF($B278="","",IF(AND(T278&lt;&gt;"",N278&lt;&gt;"",T278&lt;N278),"QA target is before DB Dev target",IF(AND(T278&lt;&gt;"",Q278&lt;&gt;"",T278&lt;Q278),"QA target is before PBI Dev target",IF(AND(W278&lt;&gt;"",T278&lt;&gt;"",W278&lt;T278),"DPO Approval target is before QA target",IF(AND(Z278&lt;&gt;"",W278&lt;&gt;"",Z278&lt;W278),"Confirmed Deployed date is before DPO Approval target","")))))</f>
        <v/>
      </c>
      <c r="AK278" s="9">
        <f>IF($B278="","",IF(COUNTIF($B$2:$B$500,$B278)&gt;1,"Duplicate name - check row",""))</f>
        <v/>
      </c>
      <c r="AL278" s="1" t="n"/>
      <c r="AM278" s="9">
        <f>IF($B278="","",SUMPRODUCT(MAX(('Rework Log'!$A$3:$A$500=$B278)*ROW('Rework Log'!$A$3:$A$500))))</f>
        <v/>
      </c>
    </row>
    <row r="279">
      <c r="A279" s="1" t="n"/>
      <c r="B279" s="1" t="n"/>
      <c r="C279" s="1" t="n"/>
      <c r="D279" s="9">
        <f>IF($B279="","",IF(LEFT($AC279,3)="Yes","Blocked",IF(C279="NOT STARTED",IF(K279="","No plan date set",IF(K279&lt;TODAY(),"Review - planned start passed","On track")),IF(C279="DB Dev",IF(N279="","No target set",IF(AND(N279&lt;TODAY(),P279=""),"Overdue","On track")),IF(C279="PBI Dev",IF(Q279="","No target set",IF(AND(Q279&lt;TODAY(),S279=""),"Overdue","On track")),IF(C279="QA",IF(T279="","No target set",IF(AND(T279&lt;TODAY(),V279=""),"Overdue","On track")),IF(C279="DPO Approval",IF(W279="","No target set",IF(W279&lt;TODAY(),"Overdue","On track")),IF(C279="RELEASED IN PROD","Delivered",""))))))))</f>
        <v/>
      </c>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c r="AA279" s="1" t="n"/>
      <c r="AB279" s="1" t="n"/>
      <c r="AC279" s="1" t="n"/>
      <c r="AD279" s="9">
        <f>IF($B279="","",COUNTIF('Rework Log'!$A$3:$A$500,$B279))</f>
        <v/>
      </c>
      <c r="AE279" s="9">
        <f>IF(OR($B279="",$AM279=0),"",INDEX('Rework Log'!$C:$C,$AM279))</f>
        <v/>
      </c>
      <c r="AF279" s="9">
        <f>IF(OR($B279="",$AM279=0),"",INDEX('Rework Log'!$H:$H,$AM279))</f>
        <v/>
      </c>
      <c r="AG279" s="9">
        <f>IF(OR($B279="",$AM279=0),"",INDEX('Rework Log'!$G:$G,$AM279))</f>
        <v/>
      </c>
      <c r="AH279" s="9">
        <f>IF($B279="","",IF(W279&lt;&gt;"","DPO Approval",IF(T279&lt;&gt;"","QA",IF(Q279&lt;&gt;"","PBI Dev",IF(N279&lt;&gt;"","DB Dev","NOT STARTED")))))</f>
        <v/>
      </c>
      <c r="AI279" s="9">
        <f>IF($B279="","",IF(IF($C279="NOT STARTED",0,IF($C279="DB Dev",1,IF($C279="PBI Dev",2,IF($C279="QA",3,IF($C279="DPO Approval",4,IF($C279="RELEASED IN PROD",5,-1))))))&lt;IF($AH279="NOT STARTED",0,IF($AH279="DB Dev",1,IF($AH279="PBI Dev",2,IF($AH279="QA",3,IF($AH279="DPO Approval",4,IF($AH279="RELEASED IN PROD",5,-1)))))),"Yes - was already at "&amp;$AH279&amp;", now back at "&amp;$C279,"No"))</f>
        <v/>
      </c>
      <c r="AJ279" s="9">
        <f>IF($B279="","",IF(AND(T279&lt;&gt;"",N279&lt;&gt;"",T279&lt;N279),"QA target is before DB Dev target",IF(AND(T279&lt;&gt;"",Q279&lt;&gt;"",T279&lt;Q279),"QA target is before PBI Dev target",IF(AND(W279&lt;&gt;"",T279&lt;&gt;"",W279&lt;T279),"DPO Approval target is before QA target",IF(AND(Z279&lt;&gt;"",W279&lt;&gt;"",Z279&lt;W279),"Confirmed Deployed date is before DPO Approval target","")))))</f>
        <v/>
      </c>
      <c r="AK279" s="9">
        <f>IF($B279="","",IF(COUNTIF($B$2:$B$500,$B279)&gt;1,"Duplicate name - check row",""))</f>
        <v/>
      </c>
      <c r="AL279" s="1" t="n"/>
      <c r="AM279" s="9">
        <f>IF($B279="","",SUMPRODUCT(MAX(('Rework Log'!$A$3:$A$500=$B279)*ROW('Rework Log'!$A$3:$A$500))))</f>
        <v/>
      </c>
    </row>
    <row r="280">
      <c r="A280" s="1" t="n"/>
      <c r="B280" s="1" t="n"/>
      <c r="C280" s="1" t="n"/>
      <c r="D280" s="9">
        <f>IF($B280="","",IF(LEFT($AC280,3)="Yes","Blocked",IF(C280="NOT STARTED",IF(K280="","No plan date set",IF(K280&lt;TODAY(),"Review - planned start passed","On track")),IF(C280="DB Dev",IF(N280="","No target set",IF(AND(N280&lt;TODAY(),P280=""),"Overdue","On track")),IF(C280="PBI Dev",IF(Q280="","No target set",IF(AND(Q280&lt;TODAY(),S280=""),"Overdue","On track")),IF(C280="QA",IF(T280="","No target set",IF(AND(T280&lt;TODAY(),V280=""),"Overdue","On track")),IF(C280="DPO Approval",IF(W280="","No target set",IF(W280&lt;TODAY(),"Overdue","On track")),IF(C280="RELEASED IN PROD","Delivered",""))))))))</f>
        <v/>
      </c>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c r="AA280" s="1" t="n"/>
      <c r="AB280" s="1" t="n"/>
      <c r="AC280" s="1" t="n"/>
      <c r="AD280" s="9">
        <f>IF($B280="","",COUNTIF('Rework Log'!$A$3:$A$500,$B280))</f>
        <v/>
      </c>
      <c r="AE280" s="9">
        <f>IF(OR($B280="",$AM280=0),"",INDEX('Rework Log'!$C:$C,$AM280))</f>
        <v/>
      </c>
      <c r="AF280" s="9">
        <f>IF(OR($B280="",$AM280=0),"",INDEX('Rework Log'!$H:$H,$AM280))</f>
        <v/>
      </c>
      <c r="AG280" s="9">
        <f>IF(OR($B280="",$AM280=0),"",INDEX('Rework Log'!$G:$G,$AM280))</f>
        <v/>
      </c>
      <c r="AH280" s="9">
        <f>IF($B280="","",IF(W280&lt;&gt;"","DPO Approval",IF(T280&lt;&gt;"","QA",IF(Q280&lt;&gt;"","PBI Dev",IF(N280&lt;&gt;"","DB Dev","NOT STARTED")))))</f>
        <v/>
      </c>
      <c r="AI280" s="9">
        <f>IF($B280="","",IF(IF($C280="NOT STARTED",0,IF($C280="DB Dev",1,IF($C280="PBI Dev",2,IF($C280="QA",3,IF($C280="DPO Approval",4,IF($C280="RELEASED IN PROD",5,-1))))))&lt;IF($AH280="NOT STARTED",0,IF($AH280="DB Dev",1,IF($AH280="PBI Dev",2,IF($AH280="QA",3,IF($AH280="DPO Approval",4,IF($AH280="RELEASED IN PROD",5,-1)))))),"Yes - was already at "&amp;$AH280&amp;", now back at "&amp;$C280,"No"))</f>
        <v/>
      </c>
      <c r="AJ280" s="9">
        <f>IF($B280="","",IF(AND(T280&lt;&gt;"",N280&lt;&gt;"",T280&lt;N280),"QA target is before DB Dev target",IF(AND(T280&lt;&gt;"",Q280&lt;&gt;"",T280&lt;Q280),"QA target is before PBI Dev target",IF(AND(W280&lt;&gt;"",T280&lt;&gt;"",W280&lt;T280),"DPO Approval target is before QA target",IF(AND(Z280&lt;&gt;"",W280&lt;&gt;"",Z280&lt;W280),"Confirmed Deployed date is before DPO Approval target","")))))</f>
        <v/>
      </c>
      <c r="AK280" s="9">
        <f>IF($B280="","",IF(COUNTIF($B$2:$B$500,$B280)&gt;1,"Duplicate name - check row",""))</f>
        <v/>
      </c>
      <c r="AL280" s="1" t="n"/>
      <c r="AM280" s="9">
        <f>IF($B280="","",SUMPRODUCT(MAX(('Rework Log'!$A$3:$A$500=$B280)*ROW('Rework Log'!$A$3:$A$500))))</f>
        <v/>
      </c>
    </row>
    <row r="281">
      <c r="A281" s="1" t="n"/>
      <c r="B281" s="1" t="n"/>
      <c r="C281" s="1" t="n"/>
      <c r="D281" s="9">
        <f>IF($B281="","",IF(LEFT($AC281,3)="Yes","Blocked",IF(C281="NOT STARTED",IF(K281="","No plan date set",IF(K281&lt;TODAY(),"Review - planned start passed","On track")),IF(C281="DB Dev",IF(N281="","No target set",IF(AND(N281&lt;TODAY(),P281=""),"Overdue","On track")),IF(C281="PBI Dev",IF(Q281="","No target set",IF(AND(Q281&lt;TODAY(),S281=""),"Overdue","On track")),IF(C281="QA",IF(T281="","No target set",IF(AND(T281&lt;TODAY(),V281=""),"Overdue","On track")),IF(C281="DPO Approval",IF(W281="","No target set",IF(W281&lt;TODAY(),"Overdue","On track")),IF(C281="RELEASED IN PROD","Delivered",""))))))))</f>
        <v/>
      </c>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c r="AA281" s="1" t="n"/>
      <c r="AB281" s="1" t="n"/>
      <c r="AC281" s="1" t="n"/>
      <c r="AD281" s="9">
        <f>IF($B281="","",COUNTIF('Rework Log'!$A$3:$A$500,$B281))</f>
        <v/>
      </c>
      <c r="AE281" s="9">
        <f>IF(OR($B281="",$AM281=0),"",INDEX('Rework Log'!$C:$C,$AM281))</f>
        <v/>
      </c>
      <c r="AF281" s="9">
        <f>IF(OR($B281="",$AM281=0),"",INDEX('Rework Log'!$H:$H,$AM281))</f>
        <v/>
      </c>
      <c r="AG281" s="9">
        <f>IF(OR($B281="",$AM281=0),"",INDEX('Rework Log'!$G:$G,$AM281))</f>
        <v/>
      </c>
      <c r="AH281" s="9">
        <f>IF($B281="","",IF(W281&lt;&gt;"","DPO Approval",IF(T281&lt;&gt;"","QA",IF(Q281&lt;&gt;"","PBI Dev",IF(N281&lt;&gt;"","DB Dev","NOT STARTED")))))</f>
        <v/>
      </c>
      <c r="AI281" s="9">
        <f>IF($B281="","",IF(IF($C281="NOT STARTED",0,IF($C281="DB Dev",1,IF($C281="PBI Dev",2,IF($C281="QA",3,IF($C281="DPO Approval",4,IF($C281="RELEASED IN PROD",5,-1))))))&lt;IF($AH281="NOT STARTED",0,IF($AH281="DB Dev",1,IF($AH281="PBI Dev",2,IF($AH281="QA",3,IF($AH281="DPO Approval",4,IF($AH281="RELEASED IN PROD",5,-1)))))),"Yes - was already at "&amp;$AH281&amp;", now back at "&amp;$C281,"No"))</f>
        <v/>
      </c>
      <c r="AJ281" s="9">
        <f>IF($B281="","",IF(AND(T281&lt;&gt;"",N281&lt;&gt;"",T281&lt;N281),"QA target is before DB Dev target",IF(AND(T281&lt;&gt;"",Q281&lt;&gt;"",T281&lt;Q281),"QA target is before PBI Dev target",IF(AND(W281&lt;&gt;"",T281&lt;&gt;"",W281&lt;T281),"DPO Approval target is before QA target",IF(AND(Z281&lt;&gt;"",W281&lt;&gt;"",Z281&lt;W281),"Confirmed Deployed date is before DPO Approval target","")))))</f>
        <v/>
      </c>
      <c r="AK281" s="9">
        <f>IF($B281="","",IF(COUNTIF($B$2:$B$500,$B281)&gt;1,"Duplicate name - check row",""))</f>
        <v/>
      </c>
      <c r="AL281" s="1" t="n"/>
      <c r="AM281" s="9">
        <f>IF($B281="","",SUMPRODUCT(MAX(('Rework Log'!$A$3:$A$500=$B281)*ROW('Rework Log'!$A$3:$A$500))))</f>
        <v/>
      </c>
    </row>
    <row r="282">
      <c r="A282" s="1" t="n"/>
      <c r="B282" s="1" t="n"/>
      <c r="C282" s="1" t="n"/>
      <c r="D282" s="9">
        <f>IF($B282="","",IF(LEFT($AC282,3)="Yes","Blocked",IF(C282="NOT STARTED",IF(K282="","No plan date set",IF(K282&lt;TODAY(),"Review - planned start passed","On track")),IF(C282="DB Dev",IF(N282="","No target set",IF(AND(N282&lt;TODAY(),P282=""),"Overdue","On track")),IF(C282="PBI Dev",IF(Q282="","No target set",IF(AND(Q282&lt;TODAY(),S282=""),"Overdue","On track")),IF(C282="QA",IF(T282="","No target set",IF(AND(T282&lt;TODAY(),V282=""),"Overdue","On track")),IF(C282="DPO Approval",IF(W282="","No target set",IF(W282&lt;TODAY(),"Overdue","On track")),IF(C282="RELEASED IN PROD","Delivered",""))))))))</f>
        <v/>
      </c>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c r="AA282" s="1" t="n"/>
      <c r="AB282" s="1" t="n"/>
      <c r="AC282" s="1" t="n"/>
      <c r="AD282" s="9">
        <f>IF($B282="","",COUNTIF('Rework Log'!$A$3:$A$500,$B282))</f>
        <v/>
      </c>
      <c r="AE282" s="9">
        <f>IF(OR($B282="",$AM282=0),"",INDEX('Rework Log'!$C:$C,$AM282))</f>
        <v/>
      </c>
      <c r="AF282" s="9">
        <f>IF(OR($B282="",$AM282=0),"",INDEX('Rework Log'!$H:$H,$AM282))</f>
        <v/>
      </c>
      <c r="AG282" s="9">
        <f>IF(OR($B282="",$AM282=0),"",INDEX('Rework Log'!$G:$G,$AM282))</f>
        <v/>
      </c>
      <c r="AH282" s="9">
        <f>IF($B282="","",IF(W282&lt;&gt;"","DPO Approval",IF(T282&lt;&gt;"","QA",IF(Q282&lt;&gt;"","PBI Dev",IF(N282&lt;&gt;"","DB Dev","NOT STARTED")))))</f>
        <v/>
      </c>
      <c r="AI282" s="9">
        <f>IF($B282="","",IF(IF($C282="NOT STARTED",0,IF($C282="DB Dev",1,IF($C282="PBI Dev",2,IF($C282="QA",3,IF($C282="DPO Approval",4,IF($C282="RELEASED IN PROD",5,-1))))))&lt;IF($AH282="NOT STARTED",0,IF($AH282="DB Dev",1,IF($AH282="PBI Dev",2,IF($AH282="QA",3,IF($AH282="DPO Approval",4,IF($AH282="RELEASED IN PROD",5,-1)))))),"Yes - was already at "&amp;$AH282&amp;", now back at "&amp;$C282,"No"))</f>
        <v/>
      </c>
      <c r="AJ282" s="9">
        <f>IF($B282="","",IF(AND(T282&lt;&gt;"",N282&lt;&gt;"",T282&lt;N282),"QA target is before DB Dev target",IF(AND(T282&lt;&gt;"",Q282&lt;&gt;"",T282&lt;Q282),"QA target is before PBI Dev target",IF(AND(W282&lt;&gt;"",T282&lt;&gt;"",W282&lt;T282),"DPO Approval target is before QA target",IF(AND(Z282&lt;&gt;"",W282&lt;&gt;"",Z282&lt;W282),"Confirmed Deployed date is before DPO Approval target","")))))</f>
        <v/>
      </c>
      <c r="AK282" s="9">
        <f>IF($B282="","",IF(COUNTIF($B$2:$B$500,$B282)&gt;1,"Duplicate name - check row",""))</f>
        <v/>
      </c>
      <c r="AL282" s="1" t="n"/>
      <c r="AM282" s="9">
        <f>IF($B282="","",SUMPRODUCT(MAX(('Rework Log'!$A$3:$A$500=$B282)*ROW('Rework Log'!$A$3:$A$500))))</f>
        <v/>
      </c>
    </row>
    <row r="283">
      <c r="A283" s="1" t="n"/>
      <c r="B283" s="1" t="n"/>
      <c r="C283" s="1" t="n"/>
      <c r="D283" s="9">
        <f>IF($B283="","",IF(LEFT($AC283,3)="Yes","Blocked",IF(C283="NOT STARTED",IF(K283="","No plan date set",IF(K283&lt;TODAY(),"Review - planned start passed","On track")),IF(C283="DB Dev",IF(N283="","No target set",IF(AND(N283&lt;TODAY(),P283=""),"Overdue","On track")),IF(C283="PBI Dev",IF(Q283="","No target set",IF(AND(Q283&lt;TODAY(),S283=""),"Overdue","On track")),IF(C283="QA",IF(T283="","No target set",IF(AND(T283&lt;TODAY(),V283=""),"Overdue","On track")),IF(C283="DPO Approval",IF(W283="","No target set",IF(W283&lt;TODAY(),"Overdue","On track")),IF(C283="RELEASED IN PROD","Delivered",""))))))))</f>
        <v/>
      </c>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c r="AA283" s="1" t="n"/>
      <c r="AB283" s="1" t="n"/>
      <c r="AC283" s="1" t="n"/>
      <c r="AD283" s="9">
        <f>IF($B283="","",COUNTIF('Rework Log'!$A$3:$A$500,$B283))</f>
        <v/>
      </c>
      <c r="AE283" s="9">
        <f>IF(OR($B283="",$AM283=0),"",INDEX('Rework Log'!$C:$C,$AM283))</f>
        <v/>
      </c>
      <c r="AF283" s="9">
        <f>IF(OR($B283="",$AM283=0),"",INDEX('Rework Log'!$H:$H,$AM283))</f>
        <v/>
      </c>
      <c r="AG283" s="9">
        <f>IF(OR($B283="",$AM283=0),"",INDEX('Rework Log'!$G:$G,$AM283))</f>
        <v/>
      </c>
      <c r="AH283" s="9">
        <f>IF($B283="","",IF(W283&lt;&gt;"","DPO Approval",IF(T283&lt;&gt;"","QA",IF(Q283&lt;&gt;"","PBI Dev",IF(N283&lt;&gt;"","DB Dev","NOT STARTED")))))</f>
        <v/>
      </c>
      <c r="AI283" s="9">
        <f>IF($B283="","",IF(IF($C283="NOT STARTED",0,IF($C283="DB Dev",1,IF($C283="PBI Dev",2,IF($C283="QA",3,IF($C283="DPO Approval",4,IF($C283="RELEASED IN PROD",5,-1))))))&lt;IF($AH283="NOT STARTED",0,IF($AH283="DB Dev",1,IF($AH283="PBI Dev",2,IF($AH283="QA",3,IF($AH283="DPO Approval",4,IF($AH283="RELEASED IN PROD",5,-1)))))),"Yes - was already at "&amp;$AH283&amp;", now back at "&amp;$C283,"No"))</f>
        <v/>
      </c>
      <c r="AJ283" s="9">
        <f>IF($B283="","",IF(AND(T283&lt;&gt;"",N283&lt;&gt;"",T283&lt;N283),"QA target is before DB Dev target",IF(AND(T283&lt;&gt;"",Q283&lt;&gt;"",T283&lt;Q283),"QA target is before PBI Dev target",IF(AND(W283&lt;&gt;"",T283&lt;&gt;"",W283&lt;T283),"DPO Approval target is before QA target",IF(AND(Z283&lt;&gt;"",W283&lt;&gt;"",Z283&lt;W283),"Confirmed Deployed date is before DPO Approval target","")))))</f>
        <v/>
      </c>
      <c r="AK283" s="9">
        <f>IF($B283="","",IF(COUNTIF($B$2:$B$500,$B283)&gt;1,"Duplicate name - check row",""))</f>
        <v/>
      </c>
      <c r="AL283" s="1" t="n"/>
      <c r="AM283" s="9">
        <f>IF($B283="","",SUMPRODUCT(MAX(('Rework Log'!$A$3:$A$500=$B283)*ROW('Rework Log'!$A$3:$A$500))))</f>
        <v/>
      </c>
    </row>
    <row r="284">
      <c r="A284" s="1" t="n"/>
      <c r="B284" s="1" t="n"/>
      <c r="C284" s="1" t="n"/>
      <c r="D284" s="9">
        <f>IF($B284="","",IF(LEFT($AC284,3)="Yes","Blocked",IF(C284="NOT STARTED",IF(K284="","No plan date set",IF(K284&lt;TODAY(),"Review - planned start passed","On track")),IF(C284="DB Dev",IF(N284="","No target set",IF(AND(N284&lt;TODAY(),P284=""),"Overdue","On track")),IF(C284="PBI Dev",IF(Q284="","No target set",IF(AND(Q284&lt;TODAY(),S284=""),"Overdue","On track")),IF(C284="QA",IF(T284="","No target set",IF(AND(T284&lt;TODAY(),V284=""),"Overdue","On track")),IF(C284="DPO Approval",IF(W284="","No target set",IF(W284&lt;TODAY(),"Overdue","On track")),IF(C284="RELEASED IN PROD","Delivered",""))))))))</f>
        <v/>
      </c>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c r="AA284" s="1" t="n"/>
      <c r="AB284" s="1" t="n"/>
      <c r="AC284" s="1" t="n"/>
      <c r="AD284" s="9">
        <f>IF($B284="","",COUNTIF('Rework Log'!$A$3:$A$500,$B284))</f>
        <v/>
      </c>
      <c r="AE284" s="9">
        <f>IF(OR($B284="",$AM284=0),"",INDEX('Rework Log'!$C:$C,$AM284))</f>
        <v/>
      </c>
      <c r="AF284" s="9">
        <f>IF(OR($B284="",$AM284=0),"",INDEX('Rework Log'!$H:$H,$AM284))</f>
        <v/>
      </c>
      <c r="AG284" s="9">
        <f>IF(OR($B284="",$AM284=0),"",INDEX('Rework Log'!$G:$G,$AM284))</f>
        <v/>
      </c>
      <c r="AH284" s="9">
        <f>IF($B284="","",IF(W284&lt;&gt;"","DPO Approval",IF(T284&lt;&gt;"","QA",IF(Q284&lt;&gt;"","PBI Dev",IF(N284&lt;&gt;"","DB Dev","NOT STARTED")))))</f>
        <v/>
      </c>
      <c r="AI284" s="9">
        <f>IF($B284="","",IF(IF($C284="NOT STARTED",0,IF($C284="DB Dev",1,IF($C284="PBI Dev",2,IF($C284="QA",3,IF($C284="DPO Approval",4,IF($C284="RELEASED IN PROD",5,-1))))))&lt;IF($AH284="NOT STARTED",0,IF($AH284="DB Dev",1,IF($AH284="PBI Dev",2,IF($AH284="QA",3,IF($AH284="DPO Approval",4,IF($AH284="RELEASED IN PROD",5,-1)))))),"Yes - was already at "&amp;$AH284&amp;", now back at "&amp;$C284,"No"))</f>
        <v/>
      </c>
      <c r="AJ284" s="9">
        <f>IF($B284="","",IF(AND(T284&lt;&gt;"",N284&lt;&gt;"",T284&lt;N284),"QA target is before DB Dev target",IF(AND(T284&lt;&gt;"",Q284&lt;&gt;"",T284&lt;Q284),"QA target is before PBI Dev target",IF(AND(W284&lt;&gt;"",T284&lt;&gt;"",W284&lt;T284),"DPO Approval target is before QA target",IF(AND(Z284&lt;&gt;"",W284&lt;&gt;"",Z284&lt;W284),"Confirmed Deployed date is before DPO Approval target","")))))</f>
        <v/>
      </c>
      <c r="AK284" s="9">
        <f>IF($B284="","",IF(COUNTIF($B$2:$B$500,$B284)&gt;1,"Duplicate name - check row",""))</f>
        <v/>
      </c>
      <c r="AL284" s="1" t="n"/>
      <c r="AM284" s="9">
        <f>IF($B284="","",SUMPRODUCT(MAX(('Rework Log'!$A$3:$A$500=$B284)*ROW('Rework Log'!$A$3:$A$500))))</f>
        <v/>
      </c>
    </row>
    <row r="285">
      <c r="A285" s="1" t="n"/>
      <c r="B285" s="1" t="n"/>
      <c r="C285" s="1" t="n"/>
      <c r="D285" s="9">
        <f>IF($B285="","",IF(LEFT($AC285,3)="Yes","Blocked",IF(C285="NOT STARTED",IF(K285="","No plan date set",IF(K285&lt;TODAY(),"Review - planned start passed","On track")),IF(C285="DB Dev",IF(N285="","No target set",IF(AND(N285&lt;TODAY(),P285=""),"Overdue","On track")),IF(C285="PBI Dev",IF(Q285="","No target set",IF(AND(Q285&lt;TODAY(),S285=""),"Overdue","On track")),IF(C285="QA",IF(T285="","No target set",IF(AND(T285&lt;TODAY(),V285=""),"Overdue","On track")),IF(C285="DPO Approval",IF(W285="","No target set",IF(W285&lt;TODAY(),"Overdue","On track")),IF(C285="RELEASED IN PROD","Delivered",""))))))))</f>
        <v/>
      </c>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c r="AA285" s="1" t="n"/>
      <c r="AB285" s="1" t="n"/>
      <c r="AC285" s="1" t="n"/>
      <c r="AD285" s="9">
        <f>IF($B285="","",COUNTIF('Rework Log'!$A$3:$A$500,$B285))</f>
        <v/>
      </c>
      <c r="AE285" s="9">
        <f>IF(OR($B285="",$AM285=0),"",INDEX('Rework Log'!$C:$C,$AM285))</f>
        <v/>
      </c>
      <c r="AF285" s="9">
        <f>IF(OR($B285="",$AM285=0),"",INDEX('Rework Log'!$H:$H,$AM285))</f>
        <v/>
      </c>
      <c r="AG285" s="9">
        <f>IF(OR($B285="",$AM285=0),"",INDEX('Rework Log'!$G:$G,$AM285))</f>
        <v/>
      </c>
      <c r="AH285" s="9">
        <f>IF($B285="","",IF(W285&lt;&gt;"","DPO Approval",IF(T285&lt;&gt;"","QA",IF(Q285&lt;&gt;"","PBI Dev",IF(N285&lt;&gt;"","DB Dev","NOT STARTED")))))</f>
        <v/>
      </c>
      <c r="AI285" s="9">
        <f>IF($B285="","",IF(IF($C285="NOT STARTED",0,IF($C285="DB Dev",1,IF($C285="PBI Dev",2,IF($C285="QA",3,IF($C285="DPO Approval",4,IF($C285="RELEASED IN PROD",5,-1))))))&lt;IF($AH285="NOT STARTED",0,IF($AH285="DB Dev",1,IF($AH285="PBI Dev",2,IF($AH285="QA",3,IF($AH285="DPO Approval",4,IF($AH285="RELEASED IN PROD",5,-1)))))),"Yes - was already at "&amp;$AH285&amp;", now back at "&amp;$C285,"No"))</f>
        <v/>
      </c>
      <c r="AJ285" s="9">
        <f>IF($B285="","",IF(AND(T285&lt;&gt;"",N285&lt;&gt;"",T285&lt;N285),"QA target is before DB Dev target",IF(AND(T285&lt;&gt;"",Q285&lt;&gt;"",T285&lt;Q285),"QA target is before PBI Dev target",IF(AND(W285&lt;&gt;"",T285&lt;&gt;"",W285&lt;T285),"DPO Approval target is before QA target",IF(AND(Z285&lt;&gt;"",W285&lt;&gt;"",Z285&lt;W285),"Confirmed Deployed date is before DPO Approval target","")))))</f>
        <v/>
      </c>
      <c r="AK285" s="9">
        <f>IF($B285="","",IF(COUNTIF($B$2:$B$500,$B285)&gt;1,"Duplicate name - check row",""))</f>
        <v/>
      </c>
      <c r="AL285" s="1" t="n"/>
      <c r="AM285" s="9">
        <f>IF($B285="","",SUMPRODUCT(MAX(('Rework Log'!$A$3:$A$500=$B285)*ROW('Rework Log'!$A$3:$A$500))))</f>
        <v/>
      </c>
    </row>
    <row r="286">
      <c r="A286" s="1" t="n"/>
      <c r="B286" s="1" t="n"/>
      <c r="C286" s="1" t="n"/>
      <c r="D286" s="9">
        <f>IF($B286="","",IF(LEFT($AC286,3)="Yes","Blocked",IF(C286="NOT STARTED",IF(K286="","No plan date set",IF(K286&lt;TODAY(),"Review - planned start passed","On track")),IF(C286="DB Dev",IF(N286="","No target set",IF(AND(N286&lt;TODAY(),P286=""),"Overdue","On track")),IF(C286="PBI Dev",IF(Q286="","No target set",IF(AND(Q286&lt;TODAY(),S286=""),"Overdue","On track")),IF(C286="QA",IF(T286="","No target set",IF(AND(T286&lt;TODAY(),V286=""),"Overdue","On track")),IF(C286="DPO Approval",IF(W286="","No target set",IF(W286&lt;TODAY(),"Overdue","On track")),IF(C286="RELEASED IN PROD","Delivered",""))))))))</f>
        <v/>
      </c>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c r="AA286" s="1" t="n"/>
      <c r="AB286" s="1" t="n"/>
      <c r="AC286" s="1" t="n"/>
      <c r="AD286" s="9">
        <f>IF($B286="","",COUNTIF('Rework Log'!$A$3:$A$500,$B286))</f>
        <v/>
      </c>
      <c r="AE286" s="9">
        <f>IF(OR($B286="",$AM286=0),"",INDEX('Rework Log'!$C:$C,$AM286))</f>
        <v/>
      </c>
      <c r="AF286" s="9">
        <f>IF(OR($B286="",$AM286=0),"",INDEX('Rework Log'!$H:$H,$AM286))</f>
        <v/>
      </c>
      <c r="AG286" s="9">
        <f>IF(OR($B286="",$AM286=0),"",INDEX('Rework Log'!$G:$G,$AM286))</f>
        <v/>
      </c>
      <c r="AH286" s="9">
        <f>IF($B286="","",IF(W286&lt;&gt;"","DPO Approval",IF(T286&lt;&gt;"","QA",IF(Q286&lt;&gt;"","PBI Dev",IF(N286&lt;&gt;"","DB Dev","NOT STARTED")))))</f>
        <v/>
      </c>
      <c r="AI286" s="9">
        <f>IF($B286="","",IF(IF($C286="NOT STARTED",0,IF($C286="DB Dev",1,IF($C286="PBI Dev",2,IF($C286="QA",3,IF($C286="DPO Approval",4,IF($C286="RELEASED IN PROD",5,-1))))))&lt;IF($AH286="NOT STARTED",0,IF($AH286="DB Dev",1,IF($AH286="PBI Dev",2,IF($AH286="QA",3,IF($AH286="DPO Approval",4,IF($AH286="RELEASED IN PROD",5,-1)))))),"Yes - was already at "&amp;$AH286&amp;", now back at "&amp;$C286,"No"))</f>
        <v/>
      </c>
      <c r="AJ286" s="9">
        <f>IF($B286="","",IF(AND(T286&lt;&gt;"",N286&lt;&gt;"",T286&lt;N286),"QA target is before DB Dev target",IF(AND(T286&lt;&gt;"",Q286&lt;&gt;"",T286&lt;Q286),"QA target is before PBI Dev target",IF(AND(W286&lt;&gt;"",T286&lt;&gt;"",W286&lt;T286),"DPO Approval target is before QA target",IF(AND(Z286&lt;&gt;"",W286&lt;&gt;"",Z286&lt;W286),"Confirmed Deployed date is before DPO Approval target","")))))</f>
        <v/>
      </c>
      <c r="AK286" s="9">
        <f>IF($B286="","",IF(COUNTIF($B$2:$B$500,$B286)&gt;1,"Duplicate name - check row",""))</f>
        <v/>
      </c>
      <c r="AL286" s="1" t="n"/>
      <c r="AM286" s="9">
        <f>IF($B286="","",SUMPRODUCT(MAX(('Rework Log'!$A$3:$A$500=$B286)*ROW('Rework Log'!$A$3:$A$500))))</f>
        <v/>
      </c>
    </row>
    <row r="287">
      <c r="A287" s="1" t="n"/>
      <c r="B287" s="1" t="n"/>
      <c r="C287" s="1" t="n"/>
      <c r="D287" s="9">
        <f>IF($B287="","",IF(LEFT($AC287,3)="Yes","Blocked",IF(C287="NOT STARTED",IF(K287="","No plan date set",IF(K287&lt;TODAY(),"Review - planned start passed","On track")),IF(C287="DB Dev",IF(N287="","No target set",IF(AND(N287&lt;TODAY(),P287=""),"Overdue","On track")),IF(C287="PBI Dev",IF(Q287="","No target set",IF(AND(Q287&lt;TODAY(),S287=""),"Overdue","On track")),IF(C287="QA",IF(T287="","No target set",IF(AND(T287&lt;TODAY(),V287=""),"Overdue","On track")),IF(C287="DPO Approval",IF(W287="","No target set",IF(W287&lt;TODAY(),"Overdue","On track")),IF(C287="RELEASED IN PROD","Delivered",""))))))))</f>
        <v/>
      </c>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c r="AA287" s="1" t="n"/>
      <c r="AB287" s="1" t="n"/>
      <c r="AC287" s="1" t="n"/>
      <c r="AD287" s="9">
        <f>IF($B287="","",COUNTIF('Rework Log'!$A$3:$A$500,$B287))</f>
        <v/>
      </c>
      <c r="AE287" s="9">
        <f>IF(OR($B287="",$AM287=0),"",INDEX('Rework Log'!$C:$C,$AM287))</f>
        <v/>
      </c>
      <c r="AF287" s="9">
        <f>IF(OR($B287="",$AM287=0),"",INDEX('Rework Log'!$H:$H,$AM287))</f>
        <v/>
      </c>
      <c r="AG287" s="9">
        <f>IF(OR($B287="",$AM287=0),"",INDEX('Rework Log'!$G:$G,$AM287))</f>
        <v/>
      </c>
      <c r="AH287" s="9">
        <f>IF($B287="","",IF(W287&lt;&gt;"","DPO Approval",IF(T287&lt;&gt;"","QA",IF(Q287&lt;&gt;"","PBI Dev",IF(N287&lt;&gt;"","DB Dev","NOT STARTED")))))</f>
        <v/>
      </c>
      <c r="AI287" s="9">
        <f>IF($B287="","",IF(IF($C287="NOT STARTED",0,IF($C287="DB Dev",1,IF($C287="PBI Dev",2,IF($C287="QA",3,IF($C287="DPO Approval",4,IF($C287="RELEASED IN PROD",5,-1))))))&lt;IF($AH287="NOT STARTED",0,IF($AH287="DB Dev",1,IF($AH287="PBI Dev",2,IF($AH287="QA",3,IF($AH287="DPO Approval",4,IF($AH287="RELEASED IN PROD",5,-1)))))),"Yes - was already at "&amp;$AH287&amp;", now back at "&amp;$C287,"No"))</f>
        <v/>
      </c>
      <c r="AJ287" s="9">
        <f>IF($B287="","",IF(AND(T287&lt;&gt;"",N287&lt;&gt;"",T287&lt;N287),"QA target is before DB Dev target",IF(AND(T287&lt;&gt;"",Q287&lt;&gt;"",T287&lt;Q287),"QA target is before PBI Dev target",IF(AND(W287&lt;&gt;"",T287&lt;&gt;"",W287&lt;T287),"DPO Approval target is before QA target",IF(AND(Z287&lt;&gt;"",W287&lt;&gt;"",Z287&lt;W287),"Confirmed Deployed date is before DPO Approval target","")))))</f>
        <v/>
      </c>
      <c r="AK287" s="9">
        <f>IF($B287="","",IF(COUNTIF($B$2:$B$500,$B287)&gt;1,"Duplicate name - check row",""))</f>
        <v/>
      </c>
      <c r="AL287" s="1" t="n"/>
      <c r="AM287" s="9">
        <f>IF($B287="","",SUMPRODUCT(MAX(('Rework Log'!$A$3:$A$500=$B287)*ROW('Rework Log'!$A$3:$A$500))))</f>
        <v/>
      </c>
    </row>
    <row r="288">
      <c r="A288" s="1" t="n"/>
      <c r="B288" s="1" t="n"/>
      <c r="C288" s="1" t="n"/>
      <c r="D288" s="9">
        <f>IF($B288="","",IF(LEFT($AC288,3)="Yes","Blocked",IF(C288="NOT STARTED",IF(K288="","No plan date set",IF(K288&lt;TODAY(),"Review - planned start passed","On track")),IF(C288="DB Dev",IF(N288="","No target set",IF(AND(N288&lt;TODAY(),P288=""),"Overdue","On track")),IF(C288="PBI Dev",IF(Q288="","No target set",IF(AND(Q288&lt;TODAY(),S288=""),"Overdue","On track")),IF(C288="QA",IF(T288="","No target set",IF(AND(T288&lt;TODAY(),V288=""),"Overdue","On track")),IF(C288="DPO Approval",IF(W288="","No target set",IF(W288&lt;TODAY(),"Overdue","On track")),IF(C288="RELEASED IN PROD","Delivered",""))))))))</f>
        <v/>
      </c>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c r="AA288" s="1" t="n"/>
      <c r="AB288" s="1" t="n"/>
      <c r="AC288" s="1" t="n"/>
      <c r="AD288" s="9">
        <f>IF($B288="","",COUNTIF('Rework Log'!$A$3:$A$500,$B288))</f>
        <v/>
      </c>
      <c r="AE288" s="9">
        <f>IF(OR($B288="",$AM288=0),"",INDEX('Rework Log'!$C:$C,$AM288))</f>
        <v/>
      </c>
      <c r="AF288" s="9">
        <f>IF(OR($B288="",$AM288=0),"",INDEX('Rework Log'!$H:$H,$AM288))</f>
        <v/>
      </c>
      <c r="AG288" s="9">
        <f>IF(OR($B288="",$AM288=0),"",INDEX('Rework Log'!$G:$G,$AM288))</f>
        <v/>
      </c>
      <c r="AH288" s="9">
        <f>IF($B288="","",IF(W288&lt;&gt;"","DPO Approval",IF(T288&lt;&gt;"","QA",IF(Q288&lt;&gt;"","PBI Dev",IF(N288&lt;&gt;"","DB Dev","NOT STARTED")))))</f>
        <v/>
      </c>
      <c r="AI288" s="9">
        <f>IF($B288="","",IF(IF($C288="NOT STARTED",0,IF($C288="DB Dev",1,IF($C288="PBI Dev",2,IF($C288="QA",3,IF($C288="DPO Approval",4,IF($C288="RELEASED IN PROD",5,-1))))))&lt;IF($AH288="NOT STARTED",0,IF($AH288="DB Dev",1,IF($AH288="PBI Dev",2,IF($AH288="QA",3,IF($AH288="DPO Approval",4,IF($AH288="RELEASED IN PROD",5,-1)))))),"Yes - was already at "&amp;$AH288&amp;", now back at "&amp;$C288,"No"))</f>
        <v/>
      </c>
      <c r="AJ288" s="9">
        <f>IF($B288="","",IF(AND(T288&lt;&gt;"",N288&lt;&gt;"",T288&lt;N288),"QA target is before DB Dev target",IF(AND(T288&lt;&gt;"",Q288&lt;&gt;"",T288&lt;Q288),"QA target is before PBI Dev target",IF(AND(W288&lt;&gt;"",T288&lt;&gt;"",W288&lt;T288),"DPO Approval target is before QA target",IF(AND(Z288&lt;&gt;"",W288&lt;&gt;"",Z288&lt;W288),"Confirmed Deployed date is before DPO Approval target","")))))</f>
        <v/>
      </c>
      <c r="AK288" s="9">
        <f>IF($B288="","",IF(COUNTIF($B$2:$B$500,$B288)&gt;1,"Duplicate name - check row",""))</f>
        <v/>
      </c>
      <c r="AL288" s="1" t="n"/>
      <c r="AM288" s="9">
        <f>IF($B288="","",SUMPRODUCT(MAX(('Rework Log'!$A$3:$A$500=$B288)*ROW('Rework Log'!$A$3:$A$500))))</f>
        <v/>
      </c>
    </row>
    <row r="289">
      <c r="A289" s="1" t="n"/>
      <c r="B289" s="1" t="n"/>
      <c r="C289" s="1" t="n"/>
      <c r="D289" s="9">
        <f>IF($B289="","",IF(LEFT($AC289,3)="Yes","Blocked",IF(C289="NOT STARTED",IF(K289="","No plan date set",IF(K289&lt;TODAY(),"Review - planned start passed","On track")),IF(C289="DB Dev",IF(N289="","No target set",IF(AND(N289&lt;TODAY(),P289=""),"Overdue","On track")),IF(C289="PBI Dev",IF(Q289="","No target set",IF(AND(Q289&lt;TODAY(),S289=""),"Overdue","On track")),IF(C289="QA",IF(T289="","No target set",IF(AND(T289&lt;TODAY(),V289=""),"Overdue","On track")),IF(C289="DPO Approval",IF(W289="","No target set",IF(W289&lt;TODAY(),"Overdue","On track")),IF(C289="RELEASED IN PROD","Delivered",""))))))))</f>
        <v/>
      </c>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c r="AA289" s="1" t="n"/>
      <c r="AB289" s="1" t="n"/>
      <c r="AC289" s="1" t="n"/>
      <c r="AD289" s="9">
        <f>IF($B289="","",COUNTIF('Rework Log'!$A$3:$A$500,$B289))</f>
        <v/>
      </c>
      <c r="AE289" s="9">
        <f>IF(OR($B289="",$AM289=0),"",INDEX('Rework Log'!$C:$C,$AM289))</f>
        <v/>
      </c>
      <c r="AF289" s="9">
        <f>IF(OR($B289="",$AM289=0),"",INDEX('Rework Log'!$H:$H,$AM289))</f>
        <v/>
      </c>
      <c r="AG289" s="9">
        <f>IF(OR($B289="",$AM289=0),"",INDEX('Rework Log'!$G:$G,$AM289))</f>
        <v/>
      </c>
      <c r="AH289" s="9">
        <f>IF($B289="","",IF(W289&lt;&gt;"","DPO Approval",IF(T289&lt;&gt;"","QA",IF(Q289&lt;&gt;"","PBI Dev",IF(N289&lt;&gt;"","DB Dev","NOT STARTED")))))</f>
        <v/>
      </c>
      <c r="AI289" s="9">
        <f>IF($B289="","",IF(IF($C289="NOT STARTED",0,IF($C289="DB Dev",1,IF($C289="PBI Dev",2,IF($C289="QA",3,IF($C289="DPO Approval",4,IF($C289="RELEASED IN PROD",5,-1))))))&lt;IF($AH289="NOT STARTED",0,IF($AH289="DB Dev",1,IF($AH289="PBI Dev",2,IF($AH289="QA",3,IF($AH289="DPO Approval",4,IF($AH289="RELEASED IN PROD",5,-1)))))),"Yes - was already at "&amp;$AH289&amp;", now back at "&amp;$C289,"No"))</f>
        <v/>
      </c>
      <c r="AJ289" s="9">
        <f>IF($B289="","",IF(AND(T289&lt;&gt;"",N289&lt;&gt;"",T289&lt;N289),"QA target is before DB Dev target",IF(AND(T289&lt;&gt;"",Q289&lt;&gt;"",T289&lt;Q289),"QA target is before PBI Dev target",IF(AND(W289&lt;&gt;"",T289&lt;&gt;"",W289&lt;T289),"DPO Approval target is before QA target",IF(AND(Z289&lt;&gt;"",W289&lt;&gt;"",Z289&lt;W289),"Confirmed Deployed date is before DPO Approval target","")))))</f>
        <v/>
      </c>
      <c r="AK289" s="9">
        <f>IF($B289="","",IF(COUNTIF($B$2:$B$500,$B289)&gt;1,"Duplicate name - check row",""))</f>
        <v/>
      </c>
      <c r="AL289" s="1" t="n"/>
      <c r="AM289" s="9">
        <f>IF($B289="","",SUMPRODUCT(MAX(('Rework Log'!$A$3:$A$500=$B289)*ROW('Rework Log'!$A$3:$A$500))))</f>
        <v/>
      </c>
    </row>
    <row r="290">
      <c r="A290" s="1" t="n"/>
      <c r="B290" s="1" t="n"/>
      <c r="C290" s="1" t="n"/>
      <c r="D290" s="9">
        <f>IF($B290="","",IF(LEFT($AC290,3)="Yes","Blocked",IF(C290="NOT STARTED",IF(K290="","No plan date set",IF(K290&lt;TODAY(),"Review - planned start passed","On track")),IF(C290="DB Dev",IF(N290="","No target set",IF(AND(N290&lt;TODAY(),P290=""),"Overdue","On track")),IF(C290="PBI Dev",IF(Q290="","No target set",IF(AND(Q290&lt;TODAY(),S290=""),"Overdue","On track")),IF(C290="QA",IF(T290="","No target set",IF(AND(T290&lt;TODAY(),V290=""),"Overdue","On track")),IF(C290="DPO Approval",IF(W290="","No target set",IF(W290&lt;TODAY(),"Overdue","On track")),IF(C290="RELEASED IN PROD","Delivered",""))))))))</f>
        <v/>
      </c>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c r="AA290" s="1" t="n"/>
      <c r="AB290" s="1" t="n"/>
      <c r="AC290" s="1" t="n"/>
      <c r="AD290" s="9">
        <f>IF($B290="","",COUNTIF('Rework Log'!$A$3:$A$500,$B290))</f>
        <v/>
      </c>
      <c r="AE290" s="9">
        <f>IF(OR($B290="",$AM290=0),"",INDEX('Rework Log'!$C:$C,$AM290))</f>
        <v/>
      </c>
      <c r="AF290" s="9">
        <f>IF(OR($B290="",$AM290=0),"",INDEX('Rework Log'!$H:$H,$AM290))</f>
        <v/>
      </c>
      <c r="AG290" s="9">
        <f>IF(OR($B290="",$AM290=0),"",INDEX('Rework Log'!$G:$G,$AM290))</f>
        <v/>
      </c>
      <c r="AH290" s="9">
        <f>IF($B290="","",IF(W290&lt;&gt;"","DPO Approval",IF(T290&lt;&gt;"","QA",IF(Q290&lt;&gt;"","PBI Dev",IF(N290&lt;&gt;"","DB Dev","NOT STARTED")))))</f>
        <v/>
      </c>
      <c r="AI290" s="9">
        <f>IF($B290="","",IF(IF($C290="NOT STARTED",0,IF($C290="DB Dev",1,IF($C290="PBI Dev",2,IF($C290="QA",3,IF($C290="DPO Approval",4,IF($C290="RELEASED IN PROD",5,-1))))))&lt;IF($AH290="NOT STARTED",0,IF($AH290="DB Dev",1,IF($AH290="PBI Dev",2,IF($AH290="QA",3,IF($AH290="DPO Approval",4,IF($AH290="RELEASED IN PROD",5,-1)))))),"Yes - was already at "&amp;$AH290&amp;", now back at "&amp;$C290,"No"))</f>
        <v/>
      </c>
      <c r="AJ290" s="9">
        <f>IF($B290="","",IF(AND(T290&lt;&gt;"",N290&lt;&gt;"",T290&lt;N290),"QA target is before DB Dev target",IF(AND(T290&lt;&gt;"",Q290&lt;&gt;"",T290&lt;Q290),"QA target is before PBI Dev target",IF(AND(W290&lt;&gt;"",T290&lt;&gt;"",W290&lt;T290),"DPO Approval target is before QA target",IF(AND(Z290&lt;&gt;"",W290&lt;&gt;"",Z290&lt;W290),"Confirmed Deployed date is before DPO Approval target","")))))</f>
        <v/>
      </c>
      <c r="AK290" s="9">
        <f>IF($B290="","",IF(COUNTIF($B$2:$B$500,$B290)&gt;1,"Duplicate name - check row",""))</f>
        <v/>
      </c>
      <c r="AL290" s="1" t="n"/>
      <c r="AM290" s="9">
        <f>IF($B290="","",SUMPRODUCT(MAX(('Rework Log'!$A$3:$A$500=$B290)*ROW('Rework Log'!$A$3:$A$500))))</f>
        <v/>
      </c>
    </row>
    <row r="291">
      <c r="A291" s="1" t="n"/>
      <c r="B291" s="1" t="n"/>
      <c r="C291" s="1" t="n"/>
      <c r="D291" s="9">
        <f>IF($B291="","",IF(LEFT($AC291,3)="Yes","Blocked",IF(C291="NOT STARTED",IF(K291="","No plan date set",IF(K291&lt;TODAY(),"Review - planned start passed","On track")),IF(C291="DB Dev",IF(N291="","No target set",IF(AND(N291&lt;TODAY(),P291=""),"Overdue","On track")),IF(C291="PBI Dev",IF(Q291="","No target set",IF(AND(Q291&lt;TODAY(),S291=""),"Overdue","On track")),IF(C291="QA",IF(T291="","No target set",IF(AND(T291&lt;TODAY(),V291=""),"Overdue","On track")),IF(C291="DPO Approval",IF(W291="","No target set",IF(W291&lt;TODAY(),"Overdue","On track")),IF(C291="RELEASED IN PROD","Delivered",""))))))))</f>
        <v/>
      </c>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c r="AA291" s="1" t="n"/>
      <c r="AB291" s="1" t="n"/>
      <c r="AC291" s="1" t="n"/>
      <c r="AD291" s="9">
        <f>IF($B291="","",COUNTIF('Rework Log'!$A$3:$A$500,$B291))</f>
        <v/>
      </c>
      <c r="AE291" s="9">
        <f>IF(OR($B291="",$AM291=0),"",INDEX('Rework Log'!$C:$C,$AM291))</f>
        <v/>
      </c>
      <c r="AF291" s="9">
        <f>IF(OR($B291="",$AM291=0),"",INDEX('Rework Log'!$H:$H,$AM291))</f>
        <v/>
      </c>
      <c r="AG291" s="9">
        <f>IF(OR($B291="",$AM291=0),"",INDEX('Rework Log'!$G:$G,$AM291))</f>
        <v/>
      </c>
      <c r="AH291" s="9">
        <f>IF($B291="","",IF(W291&lt;&gt;"","DPO Approval",IF(T291&lt;&gt;"","QA",IF(Q291&lt;&gt;"","PBI Dev",IF(N291&lt;&gt;"","DB Dev","NOT STARTED")))))</f>
        <v/>
      </c>
      <c r="AI291" s="9">
        <f>IF($B291="","",IF(IF($C291="NOT STARTED",0,IF($C291="DB Dev",1,IF($C291="PBI Dev",2,IF($C291="QA",3,IF($C291="DPO Approval",4,IF($C291="RELEASED IN PROD",5,-1))))))&lt;IF($AH291="NOT STARTED",0,IF($AH291="DB Dev",1,IF($AH291="PBI Dev",2,IF($AH291="QA",3,IF($AH291="DPO Approval",4,IF($AH291="RELEASED IN PROD",5,-1)))))),"Yes - was already at "&amp;$AH291&amp;", now back at "&amp;$C291,"No"))</f>
        <v/>
      </c>
      <c r="AJ291" s="9">
        <f>IF($B291="","",IF(AND(T291&lt;&gt;"",N291&lt;&gt;"",T291&lt;N291),"QA target is before DB Dev target",IF(AND(T291&lt;&gt;"",Q291&lt;&gt;"",T291&lt;Q291),"QA target is before PBI Dev target",IF(AND(W291&lt;&gt;"",T291&lt;&gt;"",W291&lt;T291),"DPO Approval target is before QA target",IF(AND(Z291&lt;&gt;"",W291&lt;&gt;"",Z291&lt;W291),"Confirmed Deployed date is before DPO Approval target","")))))</f>
        <v/>
      </c>
      <c r="AK291" s="9">
        <f>IF($B291="","",IF(COUNTIF($B$2:$B$500,$B291)&gt;1,"Duplicate name - check row",""))</f>
        <v/>
      </c>
      <c r="AL291" s="1" t="n"/>
      <c r="AM291" s="9">
        <f>IF($B291="","",SUMPRODUCT(MAX(('Rework Log'!$A$3:$A$500=$B291)*ROW('Rework Log'!$A$3:$A$500))))</f>
        <v/>
      </c>
    </row>
    <row r="292">
      <c r="A292" s="1" t="n"/>
      <c r="B292" s="1" t="n"/>
      <c r="C292" s="1" t="n"/>
      <c r="D292" s="9">
        <f>IF($B292="","",IF(LEFT($AC292,3)="Yes","Blocked",IF(C292="NOT STARTED",IF(K292="","No plan date set",IF(K292&lt;TODAY(),"Review - planned start passed","On track")),IF(C292="DB Dev",IF(N292="","No target set",IF(AND(N292&lt;TODAY(),P292=""),"Overdue","On track")),IF(C292="PBI Dev",IF(Q292="","No target set",IF(AND(Q292&lt;TODAY(),S292=""),"Overdue","On track")),IF(C292="QA",IF(T292="","No target set",IF(AND(T292&lt;TODAY(),V292=""),"Overdue","On track")),IF(C292="DPO Approval",IF(W292="","No target set",IF(W292&lt;TODAY(),"Overdue","On track")),IF(C292="RELEASED IN PROD","Delivered",""))))))))</f>
        <v/>
      </c>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c r="AA292" s="1" t="n"/>
      <c r="AB292" s="1" t="n"/>
      <c r="AC292" s="1" t="n"/>
      <c r="AD292" s="9">
        <f>IF($B292="","",COUNTIF('Rework Log'!$A$3:$A$500,$B292))</f>
        <v/>
      </c>
      <c r="AE292" s="9">
        <f>IF(OR($B292="",$AM292=0),"",INDEX('Rework Log'!$C:$C,$AM292))</f>
        <v/>
      </c>
      <c r="AF292" s="9">
        <f>IF(OR($B292="",$AM292=0),"",INDEX('Rework Log'!$H:$H,$AM292))</f>
        <v/>
      </c>
      <c r="AG292" s="9">
        <f>IF(OR($B292="",$AM292=0),"",INDEX('Rework Log'!$G:$G,$AM292))</f>
        <v/>
      </c>
      <c r="AH292" s="9">
        <f>IF($B292="","",IF(W292&lt;&gt;"","DPO Approval",IF(T292&lt;&gt;"","QA",IF(Q292&lt;&gt;"","PBI Dev",IF(N292&lt;&gt;"","DB Dev","NOT STARTED")))))</f>
        <v/>
      </c>
      <c r="AI292" s="9">
        <f>IF($B292="","",IF(IF($C292="NOT STARTED",0,IF($C292="DB Dev",1,IF($C292="PBI Dev",2,IF($C292="QA",3,IF($C292="DPO Approval",4,IF($C292="RELEASED IN PROD",5,-1))))))&lt;IF($AH292="NOT STARTED",0,IF($AH292="DB Dev",1,IF($AH292="PBI Dev",2,IF($AH292="QA",3,IF($AH292="DPO Approval",4,IF($AH292="RELEASED IN PROD",5,-1)))))),"Yes - was already at "&amp;$AH292&amp;", now back at "&amp;$C292,"No"))</f>
        <v/>
      </c>
      <c r="AJ292" s="9">
        <f>IF($B292="","",IF(AND(T292&lt;&gt;"",N292&lt;&gt;"",T292&lt;N292),"QA target is before DB Dev target",IF(AND(T292&lt;&gt;"",Q292&lt;&gt;"",T292&lt;Q292),"QA target is before PBI Dev target",IF(AND(W292&lt;&gt;"",T292&lt;&gt;"",W292&lt;T292),"DPO Approval target is before QA target",IF(AND(Z292&lt;&gt;"",W292&lt;&gt;"",Z292&lt;W292),"Confirmed Deployed date is before DPO Approval target","")))))</f>
        <v/>
      </c>
      <c r="AK292" s="9">
        <f>IF($B292="","",IF(COUNTIF($B$2:$B$500,$B292)&gt;1,"Duplicate name - check row",""))</f>
        <v/>
      </c>
      <c r="AL292" s="1" t="n"/>
      <c r="AM292" s="9">
        <f>IF($B292="","",SUMPRODUCT(MAX(('Rework Log'!$A$3:$A$500=$B292)*ROW('Rework Log'!$A$3:$A$500))))</f>
        <v/>
      </c>
    </row>
    <row r="293">
      <c r="A293" s="1" t="n"/>
      <c r="B293" s="1" t="n"/>
      <c r="C293" s="1" t="n"/>
      <c r="D293" s="9">
        <f>IF($B293="","",IF(LEFT($AC293,3)="Yes","Blocked",IF(C293="NOT STARTED",IF(K293="","No plan date set",IF(K293&lt;TODAY(),"Review - planned start passed","On track")),IF(C293="DB Dev",IF(N293="","No target set",IF(AND(N293&lt;TODAY(),P293=""),"Overdue","On track")),IF(C293="PBI Dev",IF(Q293="","No target set",IF(AND(Q293&lt;TODAY(),S293=""),"Overdue","On track")),IF(C293="QA",IF(T293="","No target set",IF(AND(T293&lt;TODAY(),V293=""),"Overdue","On track")),IF(C293="DPO Approval",IF(W293="","No target set",IF(W293&lt;TODAY(),"Overdue","On track")),IF(C293="RELEASED IN PROD","Delivered",""))))))))</f>
        <v/>
      </c>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c r="AA293" s="1" t="n"/>
      <c r="AB293" s="1" t="n"/>
      <c r="AC293" s="1" t="n"/>
      <c r="AD293" s="9">
        <f>IF($B293="","",COUNTIF('Rework Log'!$A$3:$A$500,$B293))</f>
        <v/>
      </c>
      <c r="AE293" s="9">
        <f>IF(OR($B293="",$AM293=0),"",INDEX('Rework Log'!$C:$C,$AM293))</f>
        <v/>
      </c>
      <c r="AF293" s="9">
        <f>IF(OR($B293="",$AM293=0),"",INDEX('Rework Log'!$H:$H,$AM293))</f>
        <v/>
      </c>
      <c r="AG293" s="9">
        <f>IF(OR($B293="",$AM293=0),"",INDEX('Rework Log'!$G:$G,$AM293))</f>
        <v/>
      </c>
      <c r="AH293" s="9">
        <f>IF($B293="","",IF(W293&lt;&gt;"","DPO Approval",IF(T293&lt;&gt;"","QA",IF(Q293&lt;&gt;"","PBI Dev",IF(N293&lt;&gt;"","DB Dev","NOT STARTED")))))</f>
        <v/>
      </c>
      <c r="AI293" s="9">
        <f>IF($B293="","",IF(IF($C293="NOT STARTED",0,IF($C293="DB Dev",1,IF($C293="PBI Dev",2,IF($C293="QA",3,IF($C293="DPO Approval",4,IF($C293="RELEASED IN PROD",5,-1))))))&lt;IF($AH293="NOT STARTED",0,IF($AH293="DB Dev",1,IF($AH293="PBI Dev",2,IF($AH293="QA",3,IF($AH293="DPO Approval",4,IF($AH293="RELEASED IN PROD",5,-1)))))),"Yes - was already at "&amp;$AH293&amp;", now back at "&amp;$C293,"No"))</f>
        <v/>
      </c>
      <c r="AJ293" s="9">
        <f>IF($B293="","",IF(AND(T293&lt;&gt;"",N293&lt;&gt;"",T293&lt;N293),"QA target is before DB Dev target",IF(AND(T293&lt;&gt;"",Q293&lt;&gt;"",T293&lt;Q293),"QA target is before PBI Dev target",IF(AND(W293&lt;&gt;"",T293&lt;&gt;"",W293&lt;T293),"DPO Approval target is before QA target",IF(AND(Z293&lt;&gt;"",W293&lt;&gt;"",Z293&lt;W293),"Confirmed Deployed date is before DPO Approval target","")))))</f>
        <v/>
      </c>
      <c r="AK293" s="9">
        <f>IF($B293="","",IF(COUNTIF($B$2:$B$500,$B293)&gt;1,"Duplicate name - check row",""))</f>
        <v/>
      </c>
      <c r="AL293" s="1" t="n"/>
      <c r="AM293" s="9">
        <f>IF($B293="","",SUMPRODUCT(MAX(('Rework Log'!$A$3:$A$500=$B293)*ROW('Rework Log'!$A$3:$A$500))))</f>
        <v/>
      </c>
    </row>
    <row r="294">
      <c r="A294" s="1" t="n"/>
      <c r="B294" s="1" t="n"/>
      <c r="C294" s="1" t="n"/>
      <c r="D294" s="9">
        <f>IF($B294="","",IF(LEFT($AC294,3)="Yes","Blocked",IF(C294="NOT STARTED",IF(K294="","No plan date set",IF(K294&lt;TODAY(),"Review - planned start passed","On track")),IF(C294="DB Dev",IF(N294="","No target set",IF(AND(N294&lt;TODAY(),P294=""),"Overdue","On track")),IF(C294="PBI Dev",IF(Q294="","No target set",IF(AND(Q294&lt;TODAY(),S294=""),"Overdue","On track")),IF(C294="QA",IF(T294="","No target set",IF(AND(T294&lt;TODAY(),V294=""),"Overdue","On track")),IF(C294="DPO Approval",IF(W294="","No target set",IF(W294&lt;TODAY(),"Overdue","On track")),IF(C294="RELEASED IN PROD","Delivered",""))))))))</f>
        <v/>
      </c>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c r="AA294" s="1" t="n"/>
      <c r="AB294" s="1" t="n"/>
      <c r="AC294" s="1" t="n"/>
      <c r="AD294" s="9">
        <f>IF($B294="","",COUNTIF('Rework Log'!$A$3:$A$500,$B294))</f>
        <v/>
      </c>
      <c r="AE294" s="9">
        <f>IF(OR($B294="",$AM294=0),"",INDEX('Rework Log'!$C:$C,$AM294))</f>
        <v/>
      </c>
      <c r="AF294" s="9">
        <f>IF(OR($B294="",$AM294=0),"",INDEX('Rework Log'!$H:$H,$AM294))</f>
        <v/>
      </c>
      <c r="AG294" s="9">
        <f>IF(OR($B294="",$AM294=0),"",INDEX('Rework Log'!$G:$G,$AM294))</f>
        <v/>
      </c>
      <c r="AH294" s="9">
        <f>IF($B294="","",IF(W294&lt;&gt;"","DPO Approval",IF(T294&lt;&gt;"","QA",IF(Q294&lt;&gt;"","PBI Dev",IF(N294&lt;&gt;"","DB Dev","NOT STARTED")))))</f>
        <v/>
      </c>
      <c r="AI294" s="9">
        <f>IF($B294="","",IF(IF($C294="NOT STARTED",0,IF($C294="DB Dev",1,IF($C294="PBI Dev",2,IF($C294="QA",3,IF($C294="DPO Approval",4,IF($C294="RELEASED IN PROD",5,-1))))))&lt;IF($AH294="NOT STARTED",0,IF($AH294="DB Dev",1,IF($AH294="PBI Dev",2,IF($AH294="QA",3,IF($AH294="DPO Approval",4,IF($AH294="RELEASED IN PROD",5,-1)))))),"Yes - was already at "&amp;$AH294&amp;", now back at "&amp;$C294,"No"))</f>
        <v/>
      </c>
      <c r="AJ294" s="9">
        <f>IF($B294="","",IF(AND(T294&lt;&gt;"",N294&lt;&gt;"",T294&lt;N294),"QA target is before DB Dev target",IF(AND(T294&lt;&gt;"",Q294&lt;&gt;"",T294&lt;Q294),"QA target is before PBI Dev target",IF(AND(W294&lt;&gt;"",T294&lt;&gt;"",W294&lt;T294),"DPO Approval target is before QA target",IF(AND(Z294&lt;&gt;"",W294&lt;&gt;"",Z294&lt;W294),"Confirmed Deployed date is before DPO Approval target","")))))</f>
        <v/>
      </c>
      <c r="AK294" s="9">
        <f>IF($B294="","",IF(COUNTIF($B$2:$B$500,$B294)&gt;1,"Duplicate name - check row",""))</f>
        <v/>
      </c>
      <c r="AL294" s="1" t="n"/>
      <c r="AM294" s="9">
        <f>IF($B294="","",SUMPRODUCT(MAX(('Rework Log'!$A$3:$A$500=$B294)*ROW('Rework Log'!$A$3:$A$500))))</f>
        <v/>
      </c>
    </row>
    <row r="295">
      <c r="A295" s="1" t="n"/>
      <c r="B295" s="1" t="n"/>
      <c r="C295" s="1" t="n"/>
      <c r="D295" s="9">
        <f>IF($B295="","",IF(LEFT($AC295,3)="Yes","Blocked",IF(C295="NOT STARTED",IF(K295="","No plan date set",IF(K295&lt;TODAY(),"Review - planned start passed","On track")),IF(C295="DB Dev",IF(N295="","No target set",IF(AND(N295&lt;TODAY(),P295=""),"Overdue","On track")),IF(C295="PBI Dev",IF(Q295="","No target set",IF(AND(Q295&lt;TODAY(),S295=""),"Overdue","On track")),IF(C295="QA",IF(T295="","No target set",IF(AND(T295&lt;TODAY(),V295=""),"Overdue","On track")),IF(C295="DPO Approval",IF(W295="","No target set",IF(W295&lt;TODAY(),"Overdue","On track")),IF(C295="RELEASED IN PROD","Delivered",""))))))))</f>
        <v/>
      </c>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c r="AA295" s="1" t="n"/>
      <c r="AB295" s="1" t="n"/>
      <c r="AC295" s="1" t="n"/>
      <c r="AD295" s="9">
        <f>IF($B295="","",COUNTIF('Rework Log'!$A$3:$A$500,$B295))</f>
        <v/>
      </c>
      <c r="AE295" s="9">
        <f>IF(OR($B295="",$AM295=0),"",INDEX('Rework Log'!$C:$C,$AM295))</f>
        <v/>
      </c>
      <c r="AF295" s="9">
        <f>IF(OR($B295="",$AM295=0),"",INDEX('Rework Log'!$H:$H,$AM295))</f>
        <v/>
      </c>
      <c r="AG295" s="9">
        <f>IF(OR($B295="",$AM295=0),"",INDEX('Rework Log'!$G:$G,$AM295))</f>
        <v/>
      </c>
      <c r="AH295" s="9">
        <f>IF($B295="","",IF(W295&lt;&gt;"","DPO Approval",IF(T295&lt;&gt;"","QA",IF(Q295&lt;&gt;"","PBI Dev",IF(N295&lt;&gt;"","DB Dev","NOT STARTED")))))</f>
        <v/>
      </c>
      <c r="AI295" s="9">
        <f>IF($B295="","",IF(IF($C295="NOT STARTED",0,IF($C295="DB Dev",1,IF($C295="PBI Dev",2,IF($C295="QA",3,IF($C295="DPO Approval",4,IF($C295="RELEASED IN PROD",5,-1))))))&lt;IF($AH295="NOT STARTED",0,IF($AH295="DB Dev",1,IF($AH295="PBI Dev",2,IF($AH295="QA",3,IF($AH295="DPO Approval",4,IF($AH295="RELEASED IN PROD",5,-1)))))),"Yes - was already at "&amp;$AH295&amp;", now back at "&amp;$C295,"No"))</f>
        <v/>
      </c>
      <c r="AJ295" s="9">
        <f>IF($B295="","",IF(AND(T295&lt;&gt;"",N295&lt;&gt;"",T295&lt;N295),"QA target is before DB Dev target",IF(AND(T295&lt;&gt;"",Q295&lt;&gt;"",T295&lt;Q295),"QA target is before PBI Dev target",IF(AND(W295&lt;&gt;"",T295&lt;&gt;"",W295&lt;T295),"DPO Approval target is before QA target",IF(AND(Z295&lt;&gt;"",W295&lt;&gt;"",Z295&lt;W295),"Confirmed Deployed date is before DPO Approval target","")))))</f>
        <v/>
      </c>
      <c r="AK295" s="9">
        <f>IF($B295="","",IF(COUNTIF($B$2:$B$500,$B295)&gt;1,"Duplicate name - check row",""))</f>
        <v/>
      </c>
      <c r="AL295" s="1" t="n"/>
      <c r="AM295" s="9">
        <f>IF($B295="","",SUMPRODUCT(MAX(('Rework Log'!$A$3:$A$500=$B295)*ROW('Rework Log'!$A$3:$A$500))))</f>
        <v/>
      </c>
    </row>
    <row r="296">
      <c r="A296" s="1" t="n"/>
      <c r="B296" s="1" t="n"/>
      <c r="C296" s="1" t="n"/>
      <c r="D296" s="9">
        <f>IF($B296="","",IF(LEFT($AC296,3)="Yes","Blocked",IF(C296="NOT STARTED",IF(K296="","No plan date set",IF(K296&lt;TODAY(),"Review - planned start passed","On track")),IF(C296="DB Dev",IF(N296="","No target set",IF(AND(N296&lt;TODAY(),P296=""),"Overdue","On track")),IF(C296="PBI Dev",IF(Q296="","No target set",IF(AND(Q296&lt;TODAY(),S296=""),"Overdue","On track")),IF(C296="QA",IF(T296="","No target set",IF(AND(T296&lt;TODAY(),V296=""),"Overdue","On track")),IF(C296="DPO Approval",IF(W296="","No target set",IF(W296&lt;TODAY(),"Overdue","On track")),IF(C296="RELEASED IN PROD","Delivered",""))))))))</f>
        <v/>
      </c>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c r="AA296" s="1" t="n"/>
      <c r="AB296" s="1" t="n"/>
      <c r="AC296" s="1" t="n"/>
      <c r="AD296" s="9">
        <f>IF($B296="","",COUNTIF('Rework Log'!$A$3:$A$500,$B296))</f>
        <v/>
      </c>
      <c r="AE296" s="9">
        <f>IF(OR($B296="",$AM296=0),"",INDEX('Rework Log'!$C:$C,$AM296))</f>
        <v/>
      </c>
      <c r="AF296" s="9">
        <f>IF(OR($B296="",$AM296=0),"",INDEX('Rework Log'!$H:$H,$AM296))</f>
        <v/>
      </c>
      <c r="AG296" s="9">
        <f>IF(OR($B296="",$AM296=0),"",INDEX('Rework Log'!$G:$G,$AM296))</f>
        <v/>
      </c>
      <c r="AH296" s="9">
        <f>IF($B296="","",IF(W296&lt;&gt;"","DPO Approval",IF(T296&lt;&gt;"","QA",IF(Q296&lt;&gt;"","PBI Dev",IF(N296&lt;&gt;"","DB Dev","NOT STARTED")))))</f>
        <v/>
      </c>
      <c r="AI296" s="9">
        <f>IF($B296="","",IF(IF($C296="NOT STARTED",0,IF($C296="DB Dev",1,IF($C296="PBI Dev",2,IF($C296="QA",3,IF($C296="DPO Approval",4,IF($C296="RELEASED IN PROD",5,-1))))))&lt;IF($AH296="NOT STARTED",0,IF($AH296="DB Dev",1,IF($AH296="PBI Dev",2,IF($AH296="QA",3,IF($AH296="DPO Approval",4,IF($AH296="RELEASED IN PROD",5,-1)))))),"Yes - was already at "&amp;$AH296&amp;", now back at "&amp;$C296,"No"))</f>
        <v/>
      </c>
      <c r="AJ296" s="9">
        <f>IF($B296="","",IF(AND(T296&lt;&gt;"",N296&lt;&gt;"",T296&lt;N296),"QA target is before DB Dev target",IF(AND(T296&lt;&gt;"",Q296&lt;&gt;"",T296&lt;Q296),"QA target is before PBI Dev target",IF(AND(W296&lt;&gt;"",T296&lt;&gt;"",W296&lt;T296),"DPO Approval target is before QA target",IF(AND(Z296&lt;&gt;"",W296&lt;&gt;"",Z296&lt;W296),"Confirmed Deployed date is before DPO Approval target","")))))</f>
        <v/>
      </c>
      <c r="AK296" s="9">
        <f>IF($B296="","",IF(COUNTIF($B$2:$B$500,$B296)&gt;1,"Duplicate name - check row",""))</f>
        <v/>
      </c>
      <c r="AL296" s="1" t="n"/>
      <c r="AM296" s="9">
        <f>IF($B296="","",SUMPRODUCT(MAX(('Rework Log'!$A$3:$A$500=$B296)*ROW('Rework Log'!$A$3:$A$500))))</f>
        <v/>
      </c>
    </row>
    <row r="297">
      <c r="A297" s="1" t="n"/>
      <c r="B297" s="1" t="n"/>
      <c r="C297" s="1" t="n"/>
      <c r="D297" s="9">
        <f>IF($B297="","",IF(LEFT($AC297,3)="Yes","Blocked",IF(C297="NOT STARTED",IF(K297="","No plan date set",IF(K297&lt;TODAY(),"Review - planned start passed","On track")),IF(C297="DB Dev",IF(N297="","No target set",IF(AND(N297&lt;TODAY(),P297=""),"Overdue","On track")),IF(C297="PBI Dev",IF(Q297="","No target set",IF(AND(Q297&lt;TODAY(),S297=""),"Overdue","On track")),IF(C297="QA",IF(T297="","No target set",IF(AND(T297&lt;TODAY(),V297=""),"Overdue","On track")),IF(C297="DPO Approval",IF(W297="","No target set",IF(W297&lt;TODAY(),"Overdue","On track")),IF(C297="RELEASED IN PROD","Delivered",""))))))))</f>
        <v/>
      </c>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c r="AA297" s="1" t="n"/>
      <c r="AB297" s="1" t="n"/>
      <c r="AC297" s="1" t="n"/>
      <c r="AD297" s="9">
        <f>IF($B297="","",COUNTIF('Rework Log'!$A$3:$A$500,$B297))</f>
        <v/>
      </c>
      <c r="AE297" s="9">
        <f>IF(OR($B297="",$AM297=0),"",INDEX('Rework Log'!$C:$C,$AM297))</f>
        <v/>
      </c>
      <c r="AF297" s="9">
        <f>IF(OR($B297="",$AM297=0),"",INDEX('Rework Log'!$H:$H,$AM297))</f>
        <v/>
      </c>
      <c r="AG297" s="9">
        <f>IF(OR($B297="",$AM297=0),"",INDEX('Rework Log'!$G:$G,$AM297))</f>
        <v/>
      </c>
      <c r="AH297" s="9">
        <f>IF($B297="","",IF(W297&lt;&gt;"","DPO Approval",IF(T297&lt;&gt;"","QA",IF(Q297&lt;&gt;"","PBI Dev",IF(N297&lt;&gt;"","DB Dev","NOT STARTED")))))</f>
        <v/>
      </c>
      <c r="AI297" s="9">
        <f>IF($B297="","",IF(IF($C297="NOT STARTED",0,IF($C297="DB Dev",1,IF($C297="PBI Dev",2,IF($C297="QA",3,IF($C297="DPO Approval",4,IF($C297="RELEASED IN PROD",5,-1))))))&lt;IF($AH297="NOT STARTED",0,IF($AH297="DB Dev",1,IF($AH297="PBI Dev",2,IF($AH297="QA",3,IF($AH297="DPO Approval",4,IF($AH297="RELEASED IN PROD",5,-1)))))),"Yes - was already at "&amp;$AH297&amp;", now back at "&amp;$C297,"No"))</f>
        <v/>
      </c>
      <c r="AJ297" s="9">
        <f>IF($B297="","",IF(AND(T297&lt;&gt;"",N297&lt;&gt;"",T297&lt;N297),"QA target is before DB Dev target",IF(AND(T297&lt;&gt;"",Q297&lt;&gt;"",T297&lt;Q297),"QA target is before PBI Dev target",IF(AND(W297&lt;&gt;"",T297&lt;&gt;"",W297&lt;T297),"DPO Approval target is before QA target",IF(AND(Z297&lt;&gt;"",W297&lt;&gt;"",Z297&lt;W297),"Confirmed Deployed date is before DPO Approval target","")))))</f>
        <v/>
      </c>
      <c r="AK297" s="9">
        <f>IF($B297="","",IF(COUNTIF($B$2:$B$500,$B297)&gt;1,"Duplicate name - check row",""))</f>
        <v/>
      </c>
      <c r="AL297" s="1" t="n"/>
      <c r="AM297" s="9">
        <f>IF($B297="","",SUMPRODUCT(MAX(('Rework Log'!$A$3:$A$500=$B297)*ROW('Rework Log'!$A$3:$A$500))))</f>
        <v/>
      </c>
    </row>
    <row r="298">
      <c r="A298" s="1" t="n"/>
      <c r="B298" s="1" t="n"/>
      <c r="C298" s="1" t="n"/>
      <c r="D298" s="9">
        <f>IF($B298="","",IF(LEFT($AC298,3)="Yes","Blocked",IF(C298="NOT STARTED",IF(K298="","No plan date set",IF(K298&lt;TODAY(),"Review - planned start passed","On track")),IF(C298="DB Dev",IF(N298="","No target set",IF(AND(N298&lt;TODAY(),P298=""),"Overdue","On track")),IF(C298="PBI Dev",IF(Q298="","No target set",IF(AND(Q298&lt;TODAY(),S298=""),"Overdue","On track")),IF(C298="QA",IF(T298="","No target set",IF(AND(T298&lt;TODAY(),V298=""),"Overdue","On track")),IF(C298="DPO Approval",IF(W298="","No target set",IF(W298&lt;TODAY(),"Overdue","On track")),IF(C298="RELEASED IN PROD","Delivered",""))))))))</f>
        <v/>
      </c>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c r="AA298" s="1" t="n"/>
      <c r="AB298" s="1" t="n"/>
      <c r="AC298" s="1" t="n"/>
      <c r="AD298" s="9">
        <f>IF($B298="","",COUNTIF('Rework Log'!$A$3:$A$500,$B298))</f>
        <v/>
      </c>
      <c r="AE298" s="9">
        <f>IF(OR($B298="",$AM298=0),"",INDEX('Rework Log'!$C:$C,$AM298))</f>
        <v/>
      </c>
      <c r="AF298" s="9">
        <f>IF(OR($B298="",$AM298=0),"",INDEX('Rework Log'!$H:$H,$AM298))</f>
        <v/>
      </c>
      <c r="AG298" s="9">
        <f>IF(OR($B298="",$AM298=0),"",INDEX('Rework Log'!$G:$G,$AM298))</f>
        <v/>
      </c>
      <c r="AH298" s="9">
        <f>IF($B298="","",IF(W298&lt;&gt;"","DPO Approval",IF(T298&lt;&gt;"","QA",IF(Q298&lt;&gt;"","PBI Dev",IF(N298&lt;&gt;"","DB Dev","NOT STARTED")))))</f>
        <v/>
      </c>
      <c r="AI298" s="9">
        <f>IF($B298="","",IF(IF($C298="NOT STARTED",0,IF($C298="DB Dev",1,IF($C298="PBI Dev",2,IF($C298="QA",3,IF($C298="DPO Approval",4,IF($C298="RELEASED IN PROD",5,-1))))))&lt;IF($AH298="NOT STARTED",0,IF($AH298="DB Dev",1,IF($AH298="PBI Dev",2,IF($AH298="QA",3,IF($AH298="DPO Approval",4,IF($AH298="RELEASED IN PROD",5,-1)))))),"Yes - was already at "&amp;$AH298&amp;", now back at "&amp;$C298,"No"))</f>
        <v/>
      </c>
      <c r="AJ298" s="9">
        <f>IF($B298="","",IF(AND(T298&lt;&gt;"",N298&lt;&gt;"",T298&lt;N298),"QA target is before DB Dev target",IF(AND(T298&lt;&gt;"",Q298&lt;&gt;"",T298&lt;Q298),"QA target is before PBI Dev target",IF(AND(W298&lt;&gt;"",T298&lt;&gt;"",W298&lt;T298),"DPO Approval target is before QA target",IF(AND(Z298&lt;&gt;"",W298&lt;&gt;"",Z298&lt;W298),"Confirmed Deployed date is before DPO Approval target","")))))</f>
        <v/>
      </c>
      <c r="AK298" s="9">
        <f>IF($B298="","",IF(COUNTIF($B$2:$B$500,$B298)&gt;1,"Duplicate name - check row",""))</f>
        <v/>
      </c>
      <c r="AL298" s="1" t="n"/>
      <c r="AM298" s="9">
        <f>IF($B298="","",SUMPRODUCT(MAX(('Rework Log'!$A$3:$A$500=$B298)*ROW('Rework Log'!$A$3:$A$500))))</f>
        <v/>
      </c>
    </row>
    <row r="299">
      <c r="A299" s="1" t="n"/>
      <c r="B299" s="1" t="n"/>
      <c r="C299" s="1" t="n"/>
      <c r="D299" s="9">
        <f>IF($B299="","",IF(LEFT($AC299,3)="Yes","Blocked",IF(C299="NOT STARTED",IF(K299="","No plan date set",IF(K299&lt;TODAY(),"Review - planned start passed","On track")),IF(C299="DB Dev",IF(N299="","No target set",IF(AND(N299&lt;TODAY(),P299=""),"Overdue","On track")),IF(C299="PBI Dev",IF(Q299="","No target set",IF(AND(Q299&lt;TODAY(),S299=""),"Overdue","On track")),IF(C299="QA",IF(T299="","No target set",IF(AND(T299&lt;TODAY(),V299=""),"Overdue","On track")),IF(C299="DPO Approval",IF(W299="","No target set",IF(W299&lt;TODAY(),"Overdue","On track")),IF(C299="RELEASED IN PROD","Delivered",""))))))))</f>
        <v/>
      </c>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c r="AA299" s="1" t="n"/>
      <c r="AB299" s="1" t="n"/>
      <c r="AC299" s="1" t="n"/>
      <c r="AD299" s="9">
        <f>IF($B299="","",COUNTIF('Rework Log'!$A$3:$A$500,$B299))</f>
        <v/>
      </c>
      <c r="AE299" s="9">
        <f>IF(OR($B299="",$AM299=0),"",INDEX('Rework Log'!$C:$C,$AM299))</f>
        <v/>
      </c>
      <c r="AF299" s="9">
        <f>IF(OR($B299="",$AM299=0),"",INDEX('Rework Log'!$H:$H,$AM299))</f>
        <v/>
      </c>
      <c r="AG299" s="9">
        <f>IF(OR($B299="",$AM299=0),"",INDEX('Rework Log'!$G:$G,$AM299))</f>
        <v/>
      </c>
      <c r="AH299" s="9">
        <f>IF($B299="","",IF(W299&lt;&gt;"","DPO Approval",IF(T299&lt;&gt;"","QA",IF(Q299&lt;&gt;"","PBI Dev",IF(N299&lt;&gt;"","DB Dev","NOT STARTED")))))</f>
        <v/>
      </c>
      <c r="AI299" s="9">
        <f>IF($B299="","",IF(IF($C299="NOT STARTED",0,IF($C299="DB Dev",1,IF($C299="PBI Dev",2,IF($C299="QA",3,IF($C299="DPO Approval",4,IF($C299="RELEASED IN PROD",5,-1))))))&lt;IF($AH299="NOT STARTED",0,IF($AH299="DB Dev",1,IF($AH299="PBI Dev",2,IF($AH299="QA",3,IF($AH299="DPO Approval",4,IF($AH299="RELEASED IN PROD",5,-1)))))),"Yes - was already at "&amp;$AH299&amp;", now back at "&amp;$C299,"No"))</f>
        <v/>
      </c>
      <c r="AJ299" s="9">
        <f>IF($B299="","",IF(AND(T299&lt;&gt;"",N299&lt;&gt;"",T299&lt;N299),"QA target is before DB Dev target",IF(AND(T299&lt;&gt;"",Q299&lt;&gt;"",T299&lt;Q299),"QA target is before PBI Dev target",IF(AND(W299&lt;&gt;"",T299&lt;&gt;"",W299&lt;T299),"DPO Approval target is before QA target",IF(AND(Z299&lt;&gt;"",W299&lt;&gt;"",Z299&lt;W299),"Confirmed Deployed date is before DPO Approval target","")))))</f>
        <v/>
      </c>
      <c r="AK299" s="9">
        <f>IF($B299="","",IF(COUNTIF($B$2:$B$500,$B299)&gt;1,"Duplicate name - check row",""))</f>
        <v/>
      </c>
      <c r="AL299" s="1" t="n"/>
      <c r="AM299" s="9">
        <f>IF($B299="","",SUMPRODUCT(MAX(('Rework Log'!$A$3:$A$500=$B299)*ROW('Rework Log'!$A$3:$A$500))))</f>
        <v/>
      </c>
    </row>
    <row r="300">
      <c r="A300" s="1" t="n"/>
      <c r="B300" s="1" t="n"/>
      <c r="C300" s="1" t="n"/>
      <c r="D300" s="9">
        <f>IF($B300="","",IF(LEFT($AC300,3)="Yes","Blocked",IF(C300="NOT STARTED",IF(K300="","No plan date set",IF(K300&lt;TODAY(),"Review - planned start passed","On track")),IF(C300="DB Dev",IF(N300="","No target set",IF(AND(N300&lt;TODAY(),P300=""),"Overdue","On track")),IF(C300="PBI Dev",IF(Q300="","No target set",IF(AND(Q300&lt;TODAY(),S300=""),"Overdue","On track")),IF(C300="QA",IF(T300="","No target set",IF(AND(T300&lt;TODAY(),V300=""),"Overdue","On track")),IF(C300="DPO Approval",IF(W300="","No target set",IF(W300&lt;TODAY(),"Overdue","On track")),IF(C300="RELEASED IN PROD","Delivered",""))))))))</f>
        <v/>
      </c>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c r="AA300" s="1" t="n"/>
      <c r="AB300" s="1" t="n"/>
      <c r="AC300" s="1" t="n"/>
      <c r="AD300" s="9">
        <f>IF($B300="","",COUNTIF('Rework Log'!$A$3:$A$500,$B300))</f>
        <v/>
      </c>
      <c r="AE300" s="9">
        <f>IF(OR($B300="",$AM300=0),"",INDEX('Rework Log'!$C:$C,$AM300))</f>
        <v/>
      </c>
      <c r="AF300" s="9">
        <f>IF(OR($B300="",$AM300=0),"",INDEX('Rework Log'!$H:$H,$AM300))</f>
        <v/>
      </c>
      <c r="AG300" s="9">
        <f>IF(OR($B300="",$AM300=0),"",INDEX('Rework Log'!$G:$G,$AM300))</f>
        <v/>
      </c>
      <c r="AH300" s="9">
        <f>IF($B300="","",IF(W300&lt;&gt;"","DPO Approval",IF(T300&lt;&gt;"","QA",IF(Q300&lt;&gt;"","PBI Dev",IF(N300&lt;&gt;"","DB Dev","NOT STARTED")))))</f>
        <v/>
      </c>
      <c r="AI300" s="9">
        <f>IF($B300="","",IF(IF($C300="NOT STARTED",0,IF($C300="DB Dev",1,IF($C300="PBI Dev",2,IF($C300="QA",3,IF($C300="DPO Approval",4,IF($C300="RELEASED IN PROD",5,-1))))))&lt;IF($AH300="NOT STARTED",0,IF($AH300="DB Dev",1,IF($AH300="PBI Dev",2,IF($AH300="QA",3,IF($AH300="DPO Approval",4,IF($AH300="RELEASED IN PROD",5,-1)))))),"Yes - was already at "&amp;$AH300&amp;", now back at "&amp;$C300,"No"))</f>
        <v/>
      </c>
      <c r="AJ300" s="9">
        <f>IF($B300="","",IF(AND(T300&lt;&gt;"",N300&lt;&gt;"",T300&lt;N300),"QA target is before DB Dev target",IF(AND(T300&lt;&gt;"",Q300&lt;&gt;"",T300&lt;Q300),"QA target is before PBI Dev target",IF(AND(W300&lt;&gt;"",T300&lt;&gt;"",W300&lt;T300),"DPO Approval target is before QA target",IF(AND(Z300&lt;&gt;"",W300&lt;&gt;"",Z300&lt;W300),"Confirmed Deployed date is before DPO Approval target","")))))</f>
        <v/>
      </c>
      <c r="AK300" s="9">
        <f>IF($B300="","",IF(COUNTIF($B$2:$B$500,$B300)&gt;1,"Duplicate name - check row",""))</f>
        <v/>
      </c>
      <c r="AL300" s="1" t="n"/>
      <c r="AM300" s="9">
        <f>IF($B300="","",SUMPRODUCT(MAX(('Rework Log'!$A$3:$A$500=$B300)*ROW('Rework Log'!$A$3:$A$500))))</f>
        <v/>
      </c>
    </row>
    <row r="301">
      <c r="A301" s="1" t="n"/>
      <c r="B301" s="1" t="n"/>
      <c r="C301" s="1" t="n"/>
      <c r="D301" s="9">
        <f>IF($B301="","",IF(LEFT($AC301,3)="Yes","Blocked",IF(C301="NOT STARTED",IF(K301="","No plan date set",IF(K301&lt;TODAY(),"Review - planned start passed","On track")),IF(C301="DB Dev",IF(N301="","No target set",IF(AND(N301&lt;TODAY(),P301=""),"Overdue","On track")),IF(C301="PBI Dev",IF(Q301="","No target set",IF(AND(Q301&lt;TODAY(),S301=""),"Overdue","On track")),IF(C301="QA",IF(T301="","No target set",IF(AND(T301&lt;TODAY(),V301=""),"Overdue","On track")),IF(C301="DPO Approval",IF(W301="","No target set",IF(W301&lt;TODAY(),"Overdue","On track")),IF(C301="RELEASED IN PROD","Delivered",""))))))))</f>
        <v/>
      </c>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c r="AA301" s="1" t="n"/>
      <c r="AB301" s="1" t="n"/>
      <c r="AC301" s="1" t="n"/>
      <c r="AD301" s="9">
        <f>IF($B301="","",COUNTIF('Rework Log'!$A$3:$A$500,$B301))</f>
        <v/>
      </c>
      <c r="AE301" s="9">
        <f>IF(OR($B301="",$AM301=0),"",INDEX('Rework Log'!$C:$C,$AM301))</f>
        <v/>
      </c>
      <c r="AF301" s="9">
        <f>IF(OR($B301="",$AM301=0),"",INDEX('Rework Log'!$H:$H,$AM301))</f>
        <v/>
      </c>
      <c r="AG301" s="9">
        <f>IF(OR($B301="",$AM301=0),"",INDEX('Rework Log'!$G:$G,$AM301))</f>
        <v/>
      </c>
      <c r="AH301" s="9">
        <f>IF($B301="","",IF(W301&lt;&gt;"","DPO Approval",IF(T301&lt;&gt;"","QA",IF(Q301&lt;&gt;"","PBI Dev",IF(N301&lt;&gt;"","DB Dev","NOT STARTED")))))</f>
        <v/>
      </c>
      <c r="AI301" s="9">
        <f>IF($B301="","",IF(IF($C301="NOT STARTED",0,IF($C301="DB Dev",1,IF($C301="PBI Dev",2,IF($C301="QA",3,IF($C301="DPO Approval",4,IF($C301="RELEASED IN PROD",5,-1))))))&lt;IF($AH301="NOT STARTED",0,IF($AH301="DB Dev",1,IF($AH301="PBI Dev",2,IF($AH301="QA",3,IF($AH301="DPO Approval",4,IF($AH301="RELEASED IN PROD",5,-1)))))),"Yes - was already at "&amp;$AH301&amp;", now back at "&amp;$C301,"No"))</f>
        <v/>
      </c>
      <c r="AJ301" s="9">
        <f>IF($B301="","",IF(AND(T301&lt;&gt;"",N301&lt;&gt;"",T301&lt;N301),"QA target is before DB Dev target",IF(AND(T301&lt;&gt;"",Q301&lt;&gt;"",T301&lt;Q301),"QA target is before PBI Dev target",IF(AND(W301&lt;&gt;"",T301&lt;&gt;"",W301&lt;T301),"DPO Approval target is before QA target",IF(AND(Z301&lt;&gt;"",W301&lt;&gt;"",Z301&lt;W301),"Confirmed Deployed date is before DPO Approval target","")))))</f>
        <v/>
      </c>
      <c r="AK301" s="9">
        <f>IF($B301="","",IF(COUNTIF($B$2:$B$500,$B301)&gt;1,"Duplicate name - check row",""))</f>
        <v/>
      </c>
      <c r="AL301" s="1" t="n"/>
      <c r="AM301" s="9">
        <f>IF($B301="","",SUMPRODUCT(MAX(('Rework Log'!$A$3:$A$500=$B301)*ROW('Rework Log'!$A$3:$A$500))))</f>
        <v/>
      </c>
    </row>
    <row r="302">
      <c r="A302" s="1" t="n"/>
      <c r="B302" s="1" t="n"/>
      <c r="C302" s="1" t="n"/>
      <c r="D302" s="9">
        <f>IF($B302="","",IF(LEFT($AC302,3)="Yes","Blocked",IF(C302="NOT STARTED",IF(K302="","No plan date set",IF(K302&lt;TODAY(),"Review - planned start passed","On track")),IF(C302="DB Dev",IF(N302="","No target set",IF(AND(N302&lt;TODAY(),P302=""),"Overdue","On track")),IF(C302="PBI Dev",IF(Q302="","No target set",IF(AND(Q302&lt;TODAY(),S302=""),"Overdue","On track")),IF(C302="QA",IF(T302="","No target set",IF(AND(T302&lt;TODAY(),V302=""),"Overdue","On track")),IF(C302="DPO Approval",IF(W302="","No target set",IF(W302&lt;TODAY(),"Overdue","On track")),IF(C302="RELEASED IN PROD","Delivered",""))))))))</f>
        <v/>
      </c>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c r="AA302" s="1" t="n"/>
      <c r="AB302" s="1" t="n"/>
      <c r="AC302" s="1" t="n"/>
      <c r="AD302" s="9">
        <f>IF($B302="","",COUNTIF('Rework Log'!$A$3:$A$500,$B302))</f>
        <v/>
      </c>
      <c r="AE302" s="9">
        <f>IF(OR($B302="",$AM302=0),"",INDEX('Rework Log'!$C:$C,$AM302))</f>
        <v/>
      </c>
      <c r="AF302" s="9">
        <f>IF(OR($B302="",$AM302=0),"",INDEX('Rework Log'!$H:$H,$AM302))</f>
        <v/>
      </c>
      <c r="AG302" s="9">
        <f>IF(OR($B302="",$AM302=0),"",INDEX('Rework Log'!$G:$G,$AM302))</f>
        <v/>
      </c>
      <c r="AH302" s="9">
        <f>IF($B302="","",IF(W302&lt;&gt;"","DPO Approval",IF(T302&lt;&gt;"","QA",IF(Q302&lt;&gt;"","PBI Dev",IF(N302&lt;&gt;"","DB Dev","NOT STARTED")))))</f>
        <v/>
      </c>
      <c r="AI302" s="9">
        <f>IF($B302="","",IF(IF($C302="NOT STARTED",0,IF($C302="DB Dev",1,IF($C302="PBI Dev",2,IF($C302="QA",3,IF($C302="DPO Approval",4,IF($C302="RELEASED IN PROD",5,-1))))))&lt;IF($AH302="NOT STARTED",0,IF($AH302="DB Dev",1,IF($AH302="PBI Dev",2,IF($AH302="QA",3,IF($AH302="DPO Approval",4,IF($AH302="RELEASED IN PROD",5,-1)))))),"Yes - was already at "&amp;$AH302&amp;", now back at "&amp;$C302,"No"))</f>
        <v/>
      </c>
      <c r="AJ302" s="9">
        <f>IF($B302="","",IF(AND(T302&lt;&gt;"",N302&lt;&gt;"",T302&lt;N302),"QA target is before DB Dev target",IF(AND(T302&lt;&gt;"",Q302&lt;&gt;"",T302&lt;Q302),"QA target is before PBI Dev target",IF(AND(W302&lt;&gt;"",T302&lt;&gt;"",W302&lt;T302),"DPO Approval target is before QA target",IF(AND(Z302&lt;&gt;"",W302&lt;&gt;"",Z302&lt;W302),"Confirmed Deployed date is before DPO Approval target","")))))</f>
        <v/>
      </c>
      <c r="AK302" s="9">
        <f>IF($B302="","",IF(COUNTIF($B$2:$B$500,$B302)&gt;1,"Duplicate name - check row",""))</f>
        <v/>
      </c>
      <c r="AL302" s="1" t="n"/>
      <c r="AM302" s="9">
        <f>IF($B302="","",SUMPRODUCT(MAX(('Rework Log'!$A$3:$A$500=$B302)*ROW('Rework Log'!$A$3:$A$500))))</f>
        <v/>
      </c>
    </row>
    <row r="303">
      <c r="A303" s="1" t="n"/>
      <c r="B303" s="1" t="n"/>
      <c r="C303" s="1" t="n"/>
      <c r="D303" s="9">
        <f>IF($B303="","",IF(LEFT($AC303,3)="Yes","Blocked",IF(C303="NOT STARTED",IF(K303="","No plan date set",IF(K303&lt;TODAY(),"Review - planned start passed","On track")),IF(C303="DB Dev",IF(N303="","No target set",IF(AND(N303&lt;TODAY(),P303=""),"Overdue","On track")),IF(C303="PBI Dev",IF(Q303="","No target set",IF(AND(Q303&lt;TODAY(),S303=""),"Overdue","On track")),IF(C303="QA",IF(T303="","No target set",IF(AND(T303&lt;TODAY(),V303=""),"Overdue","On track")),IF(C303="DPO Approval",IF(W303="","No target set",IF(W303&lt;TODAY(),"Overdue","On track")),IF(C303="RELEASED IN PROD","Delivered",""))))))))</f>
        <v/>
      </c>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c r="AA303" s="1" t="n"/>
      <c r="AB303" s="1" t="n"/>
      <c r="AC303" s="1" t="n"/>
      <c r="AD303" s="9">
        <f>IF($B303="","",COUNTIF('Rework Log'!$A$3:$A$500,$B303))</f>
        <v/>
      </c>
      <c r="AE303" s="9">
        <f>IF(OR($B303="",$AM303=0),"",INDEX('Rework Log'!$C:$C,$AM303))</f>
        <v/>
      </c>
      <c r="AF303" s="9">
        <f>IF(OR($B303="",$AM303=0),"",INDEX('Rework Log'!$H:$H,$AM303))</f>
        <v/>
      </c>
      <c r="AG303" s="9">
        <f>IF(OR($B303="",$AM303=0),"",INDEX('Rework Log'!$G:$G,$AM303))</f>
        <v/>
      </c>
      <c r="AH303" s="9">
        <f>IF($B303="","",IF(W303&lt;&gt;"","DPO Approval",IF(T303&lt;&gt;"","QA",IF(Q303&lt;&gt;"","PBI Dev",IF(N303&lt;&gt;"","DB Dev","NOT STARTED")))))</f>
        <v/>
      </c>
      <c r="AI303" s="9">
        <f>IF($B303="","",IF(IF($C303="NOT STARTED",0,IF($C303="DB Dev",1,IF($C303="PBI Dev",2,IF($C303="QA",3,IF($C303="DPO Approval",4,IF($C303="RELEASED IN PROD",5,-1))))))&lt;IF($AH303="NOT STARTED",0,IF($AH303="DB Dev",1,IF($AH303="PBI Dev",2,IF($AH303="QA",3,IF($AH303="DPO Approval",4,IF($AH303="RELEASED IN PROD",5,-1)))))),"Yes - was already at "&amp;$AH303&amp;", now back at "&amp;$C303,"No"))</f>
        <v/>
      </c>
      <c r="AJ303" s="9">
        <f>IF($B303="","",IF(AND(T303&lt;&gt;"",N303&lt;&gt;"",T303&lt;N303),"QA target is before DB Dev target",IF(AND(T303&lt;&gt;"",Q303&lt;&gt;"",T303&lt;Q303),"QA target is before PBI Dev target",IF(AND(W303&lt;&gt;"",T303&lt;&gt;"",W303&lt;T303),"DPO Approval target is before QA target",IF(AND(Z303&lt;&gt;"",W303&lt;&gt;"",Z303&lt;W303),"Confirmed Deployed date is before DPO Approval target","")))))</f>
        <v/>
      </c>
      <c r="AK303" s="9">
        <f>IF($B303="","",IF(COUNTIF($B$2:$B$500,$B303)&gt;1,"Duplicate name - check row",""))</f>
        <v/>
      </c>
      <c r="AL303" s="1" t="n"/>
      <c r="AM303" s="9">
        <f>IF($B303="","",SUMPRODUCT(MAX(('Rework Log'!$A$3:$A$500=$B303)*ROW('Rework Log'!$A$3:$A$500))))</f>
        <v/>
      </c>
    </row>
    <row r="304">
      <c r="A304" s="1" t="n"/>
      <c r="B304" s="1" t="n"/>
      <c r="C304" s="1" t="n"/>
      <c r="D304" s="9">
        <f>IF($B304="","",IF(LEFT($AC304,3)="Yes","Blocked",IF(C304="NOT STARTED",IF(K304="","No plan date set",IF(K304&lt;TODAY(),"Review - planned start passed","On track")),IF(C304="DB Dev",IF(N304="","No target set",IF(AND(N304&lt;TODAY(),P304=""),"Overdue","On track")),IF(C304="PBI Dev",IF(Q304="","No target set",IF(AND(Q304&lt;TODAY(),S304=""),"Overdue","On track")),IF(C304="QA",IF(T304="","No target set",IF(AND(T304&lt;TODAY(),V304=""),"Overdue","On track")),IF(C304="DPO Approval",IF(W304="","No target set",IF(W304&lt;TODAY(),"Overdue","On track")),IF(C304="RELEASED IN PROD","Delivered",""))))))))</f>
        <v/>
      </c>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c r="AA304" s="1" t="n"/>
      <c r="AB304" s="1" t="n"/>
      <c r="AC304" s="1" t="n"/>
      <c r="AD304" s="9">
        <f>IF($B304="","",COUNTIF('Rework Log'!$A$3:$A$500,$B304))</f>
        <v/>
      </c>
      <c r="AE304" s="9">
        <f>IF(OR($B304="",$AM304=0),"",INDEX('Rework Log'!$C:$C,$AM304))</f>
        <v/>
      </c>
      <c r="AF304" s="9">
        <f>IF(OR($B304="",$AM304=0),"",INDEX('Rework Log'!$H:$H,$AM304))</f>
        <v/>
      </c>
      <c r="AG304" s="9">
        <f>IF(OR($B304="",$AM304=0),"",INDEX('Rework Log'!$G:$G,$AM304))</f>
        <v/>
      </c>
      <c r="AH304" s="9">
        <f>IF($B304="","",IF(W304&lt;&gt;"","DPO Approval",IF(T304&lt;&gt;"","QA",IF(Q304&lt;&gt;"","PBI Dev",IF(N304&lt;&gt;"","DB Dev","NOT STARTED")))))</f>
        <v/>
      </c>
      <c r="AI304" s="9">
        <f>IF($B304="","",IF(IF($C304="NOT STARTED",0,IF($C304="DB Dev",1,IF($C304="PBI Dev",2,IF($C304="QA",3,IF($C304="DPO Approval",4,IF($C304="RELEASED IN PROD",5,-1))))))&lt;IF($AH304="NOT STARTED",0,IF($AH304="DB Dev",1,IF($AH304="PBI Dev",2,IF($AH304="QA",3,IF($AH304="DPO Approval",4,IF($AH304="RELEASED IN PROD",5,-1)))))),"Yes - was already at "&amp;$AH304&amp;", now back at "&amp;$C304,"No"))</f>
        <v/>
      </c>
      <c r="AJ304" s="9">
        <f>IF($B304="","",IF(AND(T304&lt;&gt;"",N304&lt;&gt;"",T304&lt;N304),"QA target is before DB Dev target",IF(AND(T304&lt;&gt;"",Q304&lt;&gt;"",T304&lt;Q304),"QA target is before PBI Dev target",IF(AND(W304&lt;&gt;"",T304&lt;&gt;"",W304&lt;T304),"DPO Approval target is before QA target",IF(AND(Z304&lt;&gt;"",W304&lt;&gt;"",Z304&lt;W304),"Confirmed Deployed date is before DPO Approval target","")))))</f>
        <v/>
      </c>
      <c r="AK304" s="9">
        <f>IF($B304="","",IF(COUNTIF($B$2:$B$500,$B304)&gt;1,"Duplicate name - check row",""))</f>
        <v/>
      </c>
      <c r="AL304" s="1" t="n"/>
      <c r="AM304" s="9">
        <f>IF($B304="","",SUMPRODUCT(MAX(('Rework Log'!$A$3:$A$500=$B304)*ROW('Rework Log'!$A$3:$A$500))))</f>
        <v/>
      </c>
    </row>
    <row r="305">
      <c r="A305" s="1" t="n"/>
      <c r="B305" s="1" t="n"/>
      <c r="C305" s="1" t="n"/>
      <c r="D305" s="9">
        <f>IF($B305="","",IF(LEFT($AC305,3)="Yes","Blocked",IF(C305="NOT STARTED",IF(K305="","No plan date set",IF(K305&lt;TODAY(),"Review - planned start passed","On track")),IF(C305="DB Dev",IF(N305="","No target set",IF(AND(N305&lt;TODAY(),P305=""),"Overdue","On track")),IF(C305="PBI Dev",IF(Q305="","No target set",IF(AND(Q305&lt;TODAY(),S305=""),"Overdue","On track")),IF(C305="QA",IF(T305="","No target set",IF(AND(T305&lt;TODAY(),V305=""),"Overdue","On track")),IF(C305="DPO Approval",IF(W305="","No target set",IF(W305&lt;TODAY(),"Overdue","On track")),IF(C305="RELEASED IN PROD","Delivered",""))))))))</f>
        <v/>
      </c>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c r="AA305" s="1" t="n"/>
      <c r="AB305" s="1" t="n"/>
      <c r="AC305" s="1" t="n"/>
      <c r="AD305" s="9">
        <f>IF($B305="","",COUNTIF('Rework Log'!$A$3:$A$500,$B305))</f>
        <v/>
      </c>
      <c r="AE305" s="9">
        <f>IF(OR($B305="",$AM305=0),"",INDEX('Rework Log'!$C:$C,$AM305))</f>
        <v/>
      </c>
      <c r="AF305" s="9">
        <f>IF(OR($B305="",$AM305=0),"",INDEX('Rework Log'!$H:$H,$AM305))</f>
        <v/>
      </c>
      <c r="AG305" s="9">
        <f>IF(OR($B305="",$AM305=0),"",INDEX('Rework Log'!$G:$G,$AM305))</f>
        <v/>
      </c>
      <c r="AH305" s="9">
        <f>IF($B305="","",IF(W305&lt;&gt;"","DPO Approval",IF(T305&lt;&gt;"","QA",IF(Q305&lt;&gt;"","PBI Dev",IF(N305&lt;&gt;"","DB Dev","NOT STARTED")))))</f>
        <v/>
      </c>
      <c r="AI305" s="9">
        <f>IF($B305="","",IF(IF($C305="NOT STARTED",0,IF($C305="DB Dev",1,IF($C305="PBI Dev",2,IF($C305="QA",3,IF($C305="DPO Approval",4,IF($C305="RELEASED IN PROD",5,-1))))))&lt;IF($AH305="NOT STARTED",0,IF($AH305="DB Dev",1,IF($AH305="PBI Dev",2,IF($AH305="QA",3,IF($AH305="DPO Approval",4,IF($AH305="RELEASED IN PROD",5,-1)))))),"Yes - was already at "&amp;$AH305&amp;", now back at "&amp;$C305,"No"))</f>
        <v/>
      </c>
      <c r="AJ305" s="9">
        <f>IF($B305="","",IF(AND(T305&lt;&gt;"",N305&lt;&gt;"",T305&lt;N305),"QA target is before DB Dev target",IF(AND(T305&lt;&gt;"",Q305&lt;&gt;"",T305&lt;Q305),"QA target is before PBI Dev target",IF(AND(W305&lt;&gt;"",T305&lt;&gt;"",W305&lt;T305),"DPO Approval target is before QA target",IF(AND(Z305&lt;&gt;"",W305&lt;&gt;"",Z305&lt;W305),"Confirmed Deployed date is before DPO Approval target","")))))</f>
        <v/>
      </c>
      <c r="AK305" s="9">
        <f>IF($B305="","",IF(COUNTIF($B$2:$B$500,$B305)&gt;1,"Duplicate name - check row",""))</f>
        <v/>
      </c>
      <c r="AL305" s="1" t="n"/>
      <c r="AM305" s="9">
        <f>IF($B305="","",SUMPRODUCT(MAX(('Rework Log'!$A$3:$A$500=$B305)*ROW('Rework Log'!$A$3:$A$500))))</f>
        <v/>
      </c>
    </row>
    <row r="306">
      <c r="A306" s="1" t="n"/>
      <c r="B306" s="1" t="n"/>
      <c r="C306" s="1" t="n"/>
      <c r="D306" s="9">
        <f>IF($B306="","",IF(LEFT($AC306,3)="Yes","Blocked",IF(C306="NOT STARTED",IF(K306="","No plan date set",IF(K306&lt;TODAY(),"Review - planned start passed","On track")),IF(C306="DB Dev",IF(N306="","No target set",IF(AND(N306&lt;TODAY(),P306=""),"Overdue","On track")),IF(C306="PBI Dev",IF(Q306="","No target set",IF(AND(Q306&lt;TODAY(),S306=""),"Overdue","On track")),IF(C306="QA",IF(T306="","No target set",IF(AND(T306&lt;TODAY(),V306=""),"Overdue","On track")),IF(C306="DPO Approval",IF(W306="","No target set",IF(W306&lt;TODAY(),"Overdue","On track")),IF(C306="RELEASED IN PROD","Delivered",""))))))))</f>
        <v/>
      </c>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c r="AA306" s="1" t="n"/>
      <c r="AB306" s="1" t="n"/>
      <c r="AC306" s="1" t="n"/>
      <c r="AD306" s="9">
        <f>IF($B306="","",COUNTIF('Rework Log'!$A$3:$A$500,$B306))</f>
        <v/>
      </c>
      <c r="AE306" s="9">
        <f>IF(OR($B306="",$AM306=0),"",INDEX('Rework Log'!$C:$C,$AM306))</f>
        <v/>
      </c>
      <c r="AF306" s="9">
        <f>IF(OR($B306="",$AM306=0),"",INDEX('Rework Log'!$H:$H,$AM306))</f>
        <v/>
      </c>
      <c r="AG306" s="9">
        <f>IF(OR($B306="",$AM306=0),"",INDEX('Rework Log'!$G:$G,$AM306))</f>
        <v/>
      </c>
      <c r="AH306" s="9">
        <f>IF($B306="","",IF(W306&lt;&gt;"","DPO Approval",IF(T306&lt;&gt;"","QA",IF(Q306&lt;&gt;"","PBI Dev",IF(N306&lt;&gt;"","DB Dev","NOT STARTED")))))</f>
        <v/>
      </c>
      <c r="AI306" s="9">
        <f>IF($B306="","",IF(IF($C306="NOT STARTED",0,IF($C306="DB Dev",1,IF($C306="PBI Dev",2,IF($C306="QA",3,IF($C306="DPO Approval",4,IF($C306="RELEASED IN PROD",5,-1))))))&lt;IF($AH306="NOT STARTED",0,IF($AH306="DB Dev",1,IF($AH306="PBI Dev",2,IF($AH306="QA",3,IF($AH306="DPO Approval",4,IF($AH306="RELEASED IN PROD",5,-1)))))),"Yes - was already at "&amp;$AH306&amp;", now back at "&amp;$C306,"No"))</f>
        <v/>
      </c>
      <c r="AJ306" s="9">
        <f>IF($B306="","",IF(AND(T306&lt;&gt;"",N306&lt;&gt;"",T306&lt;N306),"QA target is before DB Dev target",IF(AND(T306&lt;&gt;"",Q306&lt;&gt;"",T306&lt;Q306),"QA target is before PBI Dev target",IF(AND(W306&lt;&gt;"",T306&lt;&gt;"",W306&lt;T306),"DPO Approval target is before QA target",IF(AND(Z306&lt;&gt;"",W306&lt;&gt;"",Z306&lt;W306),"Confirmed Deployed date is before DPO Approval target","")))))</f>
        <v/>
      </c>
      <c r="AK306" s="9">
        <f>IF($B306="","",IF(COUNTIF($B$2:$B$500,$B306)&gt;1,"Duplicate name - check row",""))</f>
        <v/>
      </c>
      <c r="AL306" s="1" t="n"/>
      <c r="AM306" s="9">
        <f>IF($B306="","",SUMPRODUCT(MAX(('Rework Log'!$A$3:$A$500=$B306)*ROW('Rework Log'!$A$3:$A$500))))</f>
        <v/>
      </c>
    </row>
    <row r="307">
      <c r="A307" s="1" t="n"/>
      <c r="B307" s="1" t="n"/>
      <c r="C307" s="1" t="n"/>
      <c r="D307" s="9">
        <f>IF($B307="","",IF(LEFT($AC307,3)="Yes","Blocked",IF(C307="NOT STARTED",IF(K307="","No plan date set",IF(K307&lt;TODAY(),"Review - planned start passed","On track")),IF(C307="DB Dev",IF(N307="","No target set",IF(AND(N307&lt;TODAY(),P307=""),"Overdue","On track")),IF(C307="PBI Dev",IF(Q307="","No target set",IF(AND(Q307&lt;TODAY(),S307=""),"Overdue","On track")),IF(C307="QA",IF(T307="","No target set",IF(AND(T307&lt;TODAY(),V307=""),"Overdue","On track")),IF(C307="DPO Approval",IF(W307="","No target set",IF(W307&lt;TODAY(),"Overdue","On track")),IF(C307="RELEASED IN PROD","Delivered",""))))))))</f>
        <v/>
      </c>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c r="AA307" s="1" t="n"/>
      <c r="AB307" s="1" t="n"/>
      <c r="AC307" s="1" t="n"/>
      <c r="AD307" s="9">
        <f>IF($B307="","",COUNTIF('Rework Log'!$A$3:$A$500,$B307))</f>
        <v/>
      </c>
      <c r="AE307" s="9">
        <f>IF(OR($B307="",$AM307=0),"",INDEX('Rework Log'!$C:$C,$AM307))</f>
        <v/>
      </c>
      <c r="AF307" s="9">
        <f>IF(OR($B307="",$AM307=0),"",INDEX('Rework Log'!$H:$H,$AM307))</f>
        <v/>
      </c>
      <c r="AG307" s="9">
        <f>IF(OR($B307="",$AM307=0),"",INDEX('Rework Log'!$G:$G,$AM307))</f>
        <v/>
      </c>
      <c r="AH307" s="9">
        <f>IF($B307="","",IF(W307&lt;&gt;"","DPO Approval",IF(T307&lt;&gt;"","QA",IF(Q307&lt;&gt;"","PBI Dev",IF(N307&lt;&gt;"","DB Dev","NOT STARTED")))))</f>
        <v/>
      </c>
      <c r="AI307" s="9">
        <f>IF($B307="","",IF(IF($C307="NOT STARTED",0,IF($C307="DB Dev",1,IF($C307="PBI Dev",2,IF($C307="QA",3,IF($C307="DPO Approval",4,IF($C307="RELEASED IN PROD",5,-1))))))&lt;IF($AH307="NOT STARTED",0,IF($AH307="DB Dev",1,IF($AH307="PBI Dev",2,IF($AH307="QA",3,IF($AH307="DPO Approval",4,IF($AH307="RELEASED IN PROD",5,-1)))))),"Yes - was already at "&amp;$AH307&amp;", now back at "&amp;$C307,"No"))</f>
        <v/>
      </c>
      <c r="AJ307" s="9">
        <f>IF($B307="","",IF(AND(T307&lt;&gt;"",N307&lt;&gt;"",T307&lt;N307),"QA target is before DB Dev target",IF(AND(T307&lt;&gt;"",Q307&lt;&gt;"",T307&lt;Q307),"QA target is before PBI Dev target",IF(AND(W307&lt;&gt;"",T307&lt;&gt;"",W307&lt;T307),"DPO Approval target is before QA target",IF(AND(Z307&lt;&gt;"",W307&lt;&gt;"",Z307&lt;W307),"Confirmed Deployed date is before DPO Approval target","")))))</f>
        <v/>
      </c>
      <c r="AK307" s="9">
        <f>IF($B307="","",IF(COUNTIF($B$2:$B$500,$B307)&gt;1,"Duplicate name - check row",""))</f>
        <v/>
      </c>
      <c r="AL307" s="1" t="n"/>
      <c r="AM307" s="9">
        <f>IF($B307="","",SUMPRODUCT(MAX(('Rework Log'!$A$3:$A$500=$B307)*ROW('Rework Log'!$A$3:$A$500))))</f>
        <v/>
      </c>
    </row>
    <row r="308">
      <c r="A308" s="1" t="n"/>
      <c r="B308" s="1" t="n"/>
      <c r="C308" s="1" t="n"/>
      <c r="D308" s="9">
        <f>IF($B308="","",IF(LEFT($AC308,3)="Yes","Blocked",IF(C308="NOT STARTED",IF(K308="","No plan date set",IF(K308&lt;TODAY(),"Review - planned start passed","On track")),IF(C308="DB Dev",IF(N308="","No target set",IF(AND(N308&lt;TODAY(),P308=""),"Overdue","On track")),IF(C308="PBI Dev",IF(Q308="","No target set",IF(AND(Q308&lt;TODAY(),S308=""),"Overdue","On track")),IF(C308="QA",IF(T308="","No target set",IF(AND(T308&lt;TODAY(),V308=""),"Overdue","On track")),IF(C308="DPO Approval",IF(W308="","No target set",IF(W308&lt;TODAY(),"Overdue","On track")),IF(C308="RELEASED IN PROD","Delivered",""))))))))</f>
        <v/>
      </c>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c r="AA308" s="1" t="n"/>
      <c r="AB308" s="1" t="n"/>
      <c r="AC308" s="1" t="n"/>
      <c r="AD308" s="9">
        <f>IF($B308="","",COUNTIF('Rework Log'!$A$3:$A$500,$B308))</f>
        <v/>
      </c>
      <c r="AE308" s="9">
        <f>IF(OR($B308="",$AM308=0),"",INDEX('Rework Log'!$C:$C,$AM308))</f>
        <v/>
      </c>
      <c r="AF308" s="9">
        <f>IF(OR($B308="",$AM308=0),"",INDEX('Rework Log'!$H:$H,$AM308))</f>
        <v/>
      </c>
      <c r="AG308" s="9">
        <f>IF(OR($B308="",$AM308=0),"",INDEX('Rework Log'!$G:$G,$AM308))</f>
        <v/>
      </c>
      <c r="AH308" s="9">
        <f>IF($B308="","",IF(W308&lt;&gt;"","DPO Approval",IF(T308&lt;&gt;"","QA",IF(Q308&lt;&gt;"","PBI Dev",IF(N308&lt;&gt;"","DB Dev","NOT STARTED")))))</f>
        <v/>
      </c>
      <c r="AI308" s="9">
        <f>IF($B308="","",IF(IF($C308="NOT STARTED",0,IF($C308="DB Dev",1,IF($C308="PBI Dev",2,IF($C308="QA",3,IF($C308="DPO Approval",4,IF($C308="RELEASED IN PROD",5,-1))))))&lt;IF($AH308="NOT STARTED",0,IF($AH308="DB Dev",1,IF($AH308="PBI Dev",2,IF($AH308="QA",3,IF($AH308="DPO Approval",4,IF($AH308="RELEASED IN PROD",5,-1)))))),"Yes - was already at "&amp;$AH308&amp;", now back at "&amp;$C308,"No"))</f>
        <v/>
      </c>
      <c r="AJ308" s="9">
        <f>IF($B308="","",IF(AND(T308&lt;&gt;"",N308&lt;&gt;"",T308&lt;N308),"QA target is before DB Dev target",IF(AND(T308&lt;&gt;"",Q308&lt;&gt;"",T308&lt;Q308),"QA target is before PBI Dev target",IF(AND(W308&lt;&gt;"",T308&lt;&gt;"",W308&lt;T308),"DPO Approval target is before QA target",IF(AND(Z308&lt;&gt;"",W308&lt;&gt;"",Z308&lt;W308),"Confirmed Deployed date is before DPO Approval target","")))))</f>
        <v/>
      </c>
      <c r="AK308" s="9">
        <f>IF($B308="","",IF(COUNTIF($B$2:$B$500,$B308)&gt;1,"Duplicate name - check row",""))</f>
        <v/>
      </c>
      <c r="AL308" s="1" t="n"/>
      <c r="AM308" s="9">
        <f>IF($B308="","",SUMPRODUCT(MAX(('Rework Log'!$A$3:$A$500=$B308)*ROW('Rework Log'!$A$3:$A$500))))</f>
        <v/>
      </c>
    </row>
    <row r="309">
      <c r="A309" s="1" t="n"/>
      <c r="B309" s="1" t="n"/>
      <c r="C309" s="1" t="n"/>
      <c r="D309" s="9">
        <f>IF($B309="","",IF(LEFT($AC309,3)="Yes","Blocked",IF(C309="NOT STARTED",IF(K309="","No plan date set",IF(K309&lt;TODAY(),"Review - planned start passed","On track")),IF(C309="DB Dev",IF(N309="","No target set",IF(AND(N309&lt;TODAY(),P309=""),"Overdue","On track")),IF(C309="PBI Dev",IF(Q309="","No target set",IF(AND(Q309&lt;TODAY(),S309=""),"Overdue","On track")),IF(C309="QA",IF(T309="","No target set",IF(AND(T309&lt;TODAY(),V309=""),"Overdue","On track")),IF(C309="DPO Approval",IF(W309="","No target set",IF(W309&lt;TODAY(),"Overdue","On track")),IF(C309="RELEASED IN PROD","Delivered",""))))))))</f>
        <v/>
      </c>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c r="AA309" s="1" t="n"/>
      <c r="AB309" s="1" t="n"/>
      <c r="AC309" s="1" t="n"/>
      <c r="AD309" s="9">
        <f>IF($B309="","",COUNTIF('Rework Log'!$A$3:$A$500,$B309))</f>
        <v/>
      </c>
      <c r="AE309" s="9">
        <f>IF(OR($B309="",$AM309=0),"",INDEX('Rework Log'!$C:$C,$AM309))</f>
        <v/>
      </c>
      <c r="AF309" s="9">
        <f>IF(OR($B309="",$AM309=0),"",INDEX('Rework Log'!$H:$H,$AM309))</f>
        <v/>
      </c>
      <c r="AG309" s="9">
        <f>IF(OR($B309="",$AM309=0),"",INDEX('Rework Log'!$G:$G,$AM309))</f>
        <v/>
      </c>
      <c r="AH309" s="9">
        <f>IF($B309="","",IF(W309&lt;&gt;"","DPO Approval",IF(T309&lt;&gt;"","QA",IF(Q309&lt;&gt;"","PBI Dev",IF(N309&lt;&gt;"","DB Dev","NOT STARTED")))))</f>
        <v/>
      </c>
      <c r="AI309" s="9">
        <f>IF($B309="","",IF(IF($C309="NOT STARTED",0,IF($C309="DB Dev",1,IF($C309="PBI Dev",2,IF($C309="QA",3,IF($C309="DPO Approval",4,IF($C309="RELEASED IN PROD",5,-1))))))&lt;IF($AH309="NOT STARTED",0,IF($AH309="DB Dev",1,IF($AH309="PBI Dev",2,IF($AH309="QA",3,IF($AH309="DPO Approval",4,IF($AH309="RELEASED IN PROD",5,-1)))))),"Yes - was already at "&amp;$AH309&amp;", now back at "&amp;$C309,"No"))</f>
        <v/>
      </c>
      <c r="AJ309" s="9">
        <f>IF($B309="","",IF(AND(T309&lt;&gt;"",N309&lt;&gt;"",T309&lt;N309),"QA target is before DB Dev target",IF(AND(T309&lt;&gt;"",Q309&lt;&gt;"",T309&lt;Q309),"QA target is before PBI Dev target",IF(AND(W309&lt;&gt;"",T309&lt;&gt;"",W309&lt;T309),"DPO Approval target is before QA target",IF(AND(Z309&lt;&gt;"",W309&lt;&gt;"",Z309&lt;W309),"Confirmed Deployed date is before DPO Approval target","")))))</f>
        <v/>
      </c>
      <c r="AK309" s="9">
        <f>IF($B309="","",IF(COUNTIF($B$2:$B$500,$B309)&gt;1,"Duplicate name - check row",""))</f>
        <v/>
      </c>
      <c r="AL309" s="1" t="n"/>
      <c r="AM309" s="9">
        <f>IF($B309="","",SUMPRODUCT(MAX(('Rework Log'!$A$3:$A$500=$B309)*ROW('Rework Log'!$A$3:$A$500))))</f>
        <v/>
      </c>
    </row>
    <row r="310">
      <c r="A310" s="1" t="n"/>
      <c r="B310" s="1" t="n"/>
      <c r="C310" s="1" t="n"/>
      <c r="D310" s="9">
        <f>IF($B310="","",IF(LEFT($AC310,3)="Yes","Blocked",IF(C310="NOT STARTED",IF(K310="","No plan date set",IF(K310&lt;TODAY(),"Review - planned start passed","On track")),IF(C310="DB Dev",IF(N310="","No target set",IF(AND(N310&lt;TODAY(),P310=""),"Overdue","On track")),IF(C310="PBI Dev",IF(Q310="","No target set",IF(AND(Q310&lt;TODAY(),S310=""),"Overdue","On track")),IF(C310="QA",IF(T310="","No target set",IF(AND(T310&lt;TODAY(),V310=""),"Overdue","On track")),IF(C310="DPO Approval",IF(W310="","No target set",IF(W310&lt;TODAY(),"Overdue","On track")),IF(C310="RELEASED IN PROD","Delivered",""))))))))</f>
        <v/>
      </c>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c r="AA310" s="1" t="n"/>
      <c r="AB310" s="1" t="n"/>
      <c r="AC310" s="1" t="n"/>
      <c r="AD310" s="9">
        <f>IF($B310="","",COUNTIF('Rework Log'!$A$3:$A$500,$B310))</f>
        <v/>
      </c>
      <c r="AE310" s="9">
        <f>IF(OR($B310="",$AM310=0),"",INDEX('Rework Log'!$C:$C,$AM310))</f>
        <v/>
      </c>
      <c r="AF310" s="9">
        <f>IF(OR($B310="",$AM310=0),"",INDEX('Rework Log'!$H:$H,$AM310))</f>
        <v/>
      </c>
      <c r="AG310" s="9">
        <f>IF(OR($B310="",$AM310=0),"",INDEX('Rework Log'!$G:$G,$AM310))</f>
        <v/>
      </c>
      <c r="AH310" s="9">
        <f>IF($B310="","",IF(W310&lt;&gt;"","DPO Approval",IF(T310&lt;&gt;"","QA",IF(Q310&lt;&gt;"","PBI Dev",IF(N310&lt;&gt;"","DB Dev","NOT STARTED")))))</f>
        <v/>
      </c>
      <c r="AI310" s="9">
        <f>IF($B310="","",IF(IF($C310="NOT STARTED",0,IF($C310="DB Dev",1,IF($C310="PBI Dev",2,IF($C310="QA",3,IF($C310="DPO Approval",4,IF($C310="RELEASED IN PROD",5,-1))))))&lt;IF($AH310="NOT STARTED",0,IF($AH310="DB Dev",1,IF($AH310="PBI Dev",2,IF($AH310="QA",3,IF($AH310="DPO Approval",4,IF($AH310="RELEASED IN PROD",5,-1)))))),"Yes - was already at "&amp;$AH310&amp;", now back at "&amp;$C310,"No"))</f>
        <v/>
      </c>
      <c r="AJ310" s="9">
        <f>IF($B310="","",IF(AND(T310&lt;&gt;"",N310&lt;&gt;"",T310&lt;N310),"QA target is before DB Dev target",IF(AND(T310&lt;&gt;"",Q310&lt;&gt;"",T310&lt;Q310),"QA target is before PBI Dev target",IF(AND(W310&lt;&gt;"",T310&lt;&gt;"",W310&lt;T310),"DPO Approval target is before QA target",IF(AND(Z310&lt;&gt;"",W310&lt;&gt;"",Z310&lt;W310),"Confirmed Deployed date is before DPO Approval target","")))))</f>
        <v/>
      </c>
      <c r="AK310" s="9">
        <f>IF($B310="","",IF(COUNTIF($B$2:$B$500,$B310)&gt;1,"Duplicate name - check row",""))</f>
        <v/>
      </c>
      <c r="AL310" s="1" t="n"/>
      <c r="AM310" s="9">
        <f>IF($B310="","",SUMPRODUCT(MAX(('Rework Log'!$A$3:$A$500=$B310)*ROW('Rework Log'!$A$3:$A$500))))</f>
        <v/>
      </c>
    </row>
    <row r="311">
      <c r="A311" s="1" t="n"/>
      <c r="B311" s="1" t="n"/>
      <c r="C311" s="1" t="n"/>
      <c r="D311" s="9">
        <f>IF($B311="","",IF(LEFT($AC311,3)="Yes","Blocked",IF(C311="NOT STARTED",IF(K311="","No plan date set",IF(K311&lt;TODAY(),"Review - planned start passed","On track")),IF(C311="DB Dev",IF(N311="","No target set",IF(AND(N311&lt;TODAY(),P311=""),"Overdue","On track")),IF(C311="PBI Dev",IF(Q311="","No target set",IF(AND(Q311&lt;TODAY(),S311=""),"Overdue","On track")),IF(C311="QA",IF(T311="","No target set",IF(AND(T311&lt;TODAY(),V311=""),"Overdue","On track")),IF(C311="DPO Approval",IF(W311="","No target set",IF(W311&lt;TODAY(),"Overdue","On track")),IF(C311="RELEASED IN PROD","Delivered",""))))))))</f>
        <v/>
      </c>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c r="AA311" s="1" t="n"/>
      <c r="AB311" s="1" t="n"/>
      <c r="AC311" s="1" t="n"/>
      <c r="AD311" s="9">
        <f>IF($B311="","",COUNTIF('Rework Log'!$A$3:$A$500,$B311))</f>
        <v/>
      </c>
      <c r="AE311" s="9">
        <f>IF(OR($B311="",$AM311=0),"",INDEX('Rework Log'!$C:$C,$AM311))</f>
        <v/>
      </c>
      <c r="AF311" s="9">
        <f>IF(OR($B311="",$AM311=0),"",INDEX('Rework Log'!$H:$H,$AM311))</f>
        <v/>
      </c>
      <c r="AG311" s="9">
        <f>IF(OR($B311="",$AM311=0),"",INDEX('Rework Log'!$G:$G,$AM311))</f>
        <v/>
      </c>
      <c r="AH311" s="9">
        <f>IF($B311="","",IF(W311&lt;&gt;"","DPO Approval",IF(T311&lt;&gt;"","QA",IF(Q311&lt;&gt;"","PBI Dev",IF(N311&lt;&gt;"","DB Dev","NOT STARTED")))))</f>
        <v/>
      </c>
      <c r="AI311" s="9">
        <f>IF($B311="","",IF(IF($C311="NOT STARTED",0,IF($C311="DB Dev",1,IF($C311="PBI Dev",2,IF($C311="QA",3,IF($C311="DPO Approval",4,IF($C311="RELEASED IN PROD",5,-1))))))&lt;IF($AH311="NOT STARTED",0,IF($AH311="DB Dev",1,IF($AH311="PBI Dev",2,IF($AH311="QA",3,IF($AH311="DPO Approval",4,IF($AH311="RELEASED IN PROD",5,-1)))))),"Yes - was already at "&amp;$AH311&amp;", now back at "&amp;$C311,"No"))</f>
        <v/>
      </c>
      <c r="AJ311" s="9">
        <f>IF($B311="","",IF(AND(T311&lt;&gt;"",N311&lt;&gt;"",T311&lt;N311),"QA target is before DB Dev target",IF(AND(T311&lt;&gt;"",Q311&lt;&gt;"",T311&lt;Q311),"QA target is before PBI Dev target",IF(AND(W311&lt;&gt;"",T311&lt;&gt;"",W311&lt;T311),"DPO Approval target is before QA target",IF(AND(Z311&lt;&gt;"",W311&lt;&gt;"",Z311&lt;W311),"Confirmed Deployed date is before DPO Approval target","")))))</f>
        <v/>
      </c>
      <c r="AK311" s="9">
        <f>IF($B311="","",IF(COUNTIF($B$2:$B$500,$B311)&gt;1,"Duplicate name - check row",""))</f>
        <v/>
      </c>
      <c r="AL311" s="1" t="n"/>
      <c r="AM311" s="9">
        <f>IF($B311="","",SUMPRODUCT(MAX(('Rework Log'!$A$3:$A$500=$B311)*ROW('Rework Log'!$A$3:$A$500))))</f>
        <v/>
      </c>
    </row>
    <row r="312">
      <c r="A312" s="1" t="n"/>
      <c r="B312" s="1" t="n"/>
      <c r="C312" s="1" t="n"/>
      <c r="D312" s="9">
        <f>IF($B312="","",IF(LEFT($AC312,3)="Yes","Blocked",IF(C312="NOT STARTED",IF(K312="","No plan date set",IF(K312&lt;TODAY(),"Review - planned start passed","On track")),IF(C312="DB Dev",IF(N312="","No target set",IF(AND(N312&lt;TODAY(),P312=""),"Overdue","On track")),IF(C312="PBI Dev",IF(Q312="","No target set",IF(AND(Q312&lt;TODAY(),S312=""),"Overdue","On track")),IF(C312="QA",IF(T312="","No target set",IF(AND(T312&lt;TODAY(),V312=""),"Overdue","On track")),IF(C312="DPO Approval",IF(W312="","No target set",IF(W312&lt;TODAY(),"Overdue","On track")),IF(C312="RELEASED IN PROD","Delivered",""))))))))</f>
        <v/>
      </c>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c r="AA312" s="1" t="n"/>
      <c r="AB312" s="1" t="n"/>
      <c r="AC312" s="1" t="n"/>
      <c r="AD312" s="9">
        <f>IF($B312="","",COUNTIF('Rework Log'!$A$3:$A$500,$B312))</f>
        <v/>
      </c>
      <c r="AE312" s="9">
        <f>IF(OR($B312="",$AM312=0),"",INDEX('Rework Log'!$C:$C,$AM312))</f>
        <v/>
      </c>
      <c r="AF312" s="9">
        <f>IF(OR($B312="",$AM312=0),"",INDEX('Rework Log'!$H:$H,$AM312))</f>
        <v/>
      </c>
      <c r="AG312" s="9">
        <f>IF(OR($B312="",$AM312=0),"",INDEX('Rework Log'!$G:$G,$AM312))</f>
        <v/>
      </c>
      <c r="AH312" s="9">
        <f>IF($B312="","",IF(W312&lt;&gt;"","DPO Approval",IF(T312&lt;&gt;"","QA",IF(Q312&lt;&gt;"","PBI Dev",IF(N312&lt;&gt;"","DB Dev","NOT STARTED")))))</f>
        <v/>
      </c>
      <c r="AI312" s="9">
        <f>IF($B312="","",IF(IF($C312="NOT STARTED",0,IF($C312="DB Dev",1,IF($C312="PBI Dev",2,IF($C312="QA",3,IF($C312="DPO Approval",4,IF($C312="RELEASED IN PROD",5,-1))))))&lt;IF($AH312="NOT STARTED",0,IF($AH312="DB Dev",1,IF($AH312="PBI Dev",2,IF($AH312="QA",3,IF($AH312="DPO Approval",4,IF($AH312="RELEASED IN PROD",5,-1)))))),"Yes - was already at "&amp;$AH312&amp;", now back at "&amp;$C312,"No"))</f>
        <v/>
      </c>
      <c r="AJ312" s="9">
        <f>IF($B312="","",IF(AND(T312&lt;&gt;"",N312&lt;&gt;"",T312&lt;N312),"QA target is before DB Dev target",IF(AND(T312&lt;&gt;"",Q312&lt;&gt;"",T312&lt;Q312),"QA target is before PBI Dev target",IF(AND(W312&lt;&gt;"",T312&lt;&gt;"",W312&lt;T312),"DPO Approval target is before QA target",IF(AND(Z312&lt;&gt;"",W312&lt;&gt;"",Z312&lt;W312),"Confirmed Deployed date is before DPO Approval target","")))))</f>
        <v/>
      </c>
      <c r="AK312" s="9">
        <f>IF($B312="","",IF(COUNTIF($B$2:$B$500,$B312)&gt;1,"Duplicate name - check row",""))</f>
        <v/>
      </c>
      <c r="AL312" s="1" t="n"/>
      <c r="AM312" s="9">
        <f>IF($B312="","",SUMPRODUCT(MAX(('Rework Log'!$A$3:$A$500=$B312)*ROW('Rework Log'!$A$3:$A$500))))</f>
        <v/>
      </c>
    </row>
    <row r="313">
      <c r="A313" s="1" t="n"/>
      <c r="B313" s="1" t="n"/>
      <c r="C313" s="1" t="n"/>
      <c r="D313" s="9">
        <f>IF($B313="","",IF(LEFT($AC313,3)="Yes","Blocked",IF(C313="NOT STARTED",IF(K313="","No plan date set",IF(K313&lt;TODAY(),"Review - planned start passed","On track")),IF(C313="DB Dev",IF(N313="","No target set",IF(AND(N313&lt;TODAY(),P313=""),"Overdue","On track")),IF(C313="PBI Dev",IF(Q313="","No target set",IF(AND(Q313&lt;TODAY(),S313=""),"Overdue","On track")),IF(C313="QA",IF(T313="","No target set",IF(AND(T313&lt;TODAY(),V313=""),"Overdue","On track")),IF(C313="DPO Approval",IF(W313="","No target set",IF(W313&lt;TODAY(),"Overdue","On track")),IF(C313="RELEASED IN PROD","Delivered",""))))))))</f>
        <v/>
      </c>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c r="AA313" s="1" t="n"/>
      <c r="AB313" s="1" t="n"/>
      <c r="AC313" s="1" t="n"/>
      <c r="AD313" s="9">
        <f>IF($B313="","",COUNTIF('Rework Log'!$A$3:$A$500,$B313))</f>
        <v/>
      </c>
      <c r="AE313" s="9">
        <f>IF(OR($B313="",$AM313=0),"",INDEX('Rework Log'!$C:$C,$AM313))</f>
        <v/>
      </c>
      <c r="AF313" s="9">
        <f>IF(OR($B313="",$AM313=0),"",INDEX('Rework Log'!$H:$H,$AM313))</f>
        <v/>
      </c>
      <c r="AG313" s="9">
        <f>IF(OR($B313="",$AM313=0),"",INDEX('Rework Log'!$G:$G,$AM313))</f>
        <v/>
      </c>
      <c r="AH313" s="9">
        <f>IF($B313="","",IF(W313&lt;&gt;"","DPO Approval",IF(T313&lt;&gt;"","QA",IF(Q313&lt;&gt;"","PBI Dev",IF(N313&lt;&gt;"","DB Dev","NOT STARTED")))))</f>
        <v/>
      </c>
      <c r="AI313" s="9">
        <f>IF($B313="","",IF(IF($C313="NOT STARTED",0,IF($C313="DB Dev",1,IF($C313="PBI Dev",2,IF($C313="QA",3,IF($C313="DPO Approval",4,IF($C313="RELEASED IN PROD",5,-1))))))&lt;IF($AH313="NOT STARTED",0,IF($AH313="DB Dev",1,IF($AH313="PBI Dev",2,IF($AH313="QA",3,IF($AH313="DPO Approval",4,IF($AH313="RELEASED IN PROD",5,-1)))))),"Yes - was already at "&amp;$AH313&amp;", now back at "&amp;$C313,"No"))</f>
        <v/>
      </c>
      <c r="AJ313" s="9">
        <f>IF($B313="","",IF(AND(T313&lt;&gt;"",N313&lt;&gt;"",T313&lt;N313),"QA target is before DB Dev target",IF(AND(T313&lt;&gt;"",Q313&lt;&gt;"",T313&lt;Q313),"QA target is before PBI Dev target",IF(AND(W313&lt;&gt;"",T313&lt;&gt;"",W313&lt;T313),"DPO Approval target is before QA target",IF(AND(Z313&lt;&gt;"",W313&lt;&gt;"",Z313&lt;W313),"Confirmed Deployed date is before DPO Approval target","")))))</f>
        <v/>
      </c>
      <c r="AK313" s="9">
        <f>IF($B313="","",IF(COUNTIF($B$2:$B$500,$B313)&gt;1,"Duplicate name - check row",""))</f>
        <v/>
      </c>
      <c r="AL313" s="1" t="n"/>
      <c r="AM313" s="9">
        <f>IF($B313="","",SUMPRODUCT(MAX(('Rework Log'!$A$3:$A$500=$B313)*ROW('Rework Log'!$A$3:$A$500))))</f>
        <v/>
      </c>
    </row>
    <row r="314">
      <c r="A314" s="1" t="n"/>
      <c r="B314" s="1" t="n"/>
      <c r="C314" s="1" t="n"/>
      <c r="D314" s="9">
        <f>IF($B314="","",IF(LEFT($AC314,3)="Yes","Blocked",IF(C314="NOT STARTED",IF(K314="","No plan date set",IF(K314&lt;TODAY(),"Review - planned start passed","On track")),IF(C314="DB Dev",IF(N314="","No target set",IF(AND(N314&lt;TODAY(),P314=""),"Overdue","On track")),IF(C314="PBI Dev",IF(Q314="","No target set",IF(AND(Q314&lt;TODAY(),S314=""),"Overdue","On track")),IF(C314="QA",IF(T314="","No target set",IF(AND(T314&lt;TODAY(),V314=""),"Overdue","On track")),IF(C314="DPO Approval",IF(W314="","No target set",IF(W314&lt;TODAY(),"Overdue","On track")),IF(C314="RELEASED IN PROD","Delivered",""))))))))</f>
        <v/>
      </c>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c r="AA314" s="1" t="n"/>
      <c r="AB314" s="1" t="n"/>
      <c r="AC314" s="1" t="n"/>
      <c r="AD314" s="9">
        <f>IF($B314="","",COUNTIF('Rework Log'!$A$3:$A$500,$B314))</f>
        <v/>
      </c>
      <c r="AE314" s="9">
        <f>IF(OR($B314="",$AM314=0),"",INDEX('Rework Log'!$C:$C,$AM314))</f>
        <v/>
      </c>
      <c r="AF314" s="9">
        <f>IF(OR($B314="",$AM314=0),"",INDEX('Rework Log'!$H:$H,$AM314))</f>
        <v/>
      </c>
      <c r="AG314" s="9">
        <f>IF(OR($B314="",$AM314=0),"",INDEX('Rework Log'!$G:$G,$AM314))</f>
        <v/>
      </c>
      <c r="AH314" s="9">
        <f>IF($B314="","",IF(W314&lt;&gt;"","DPO Approval",IF(T314&lt;&gt;"","QA",IF(Q314&lt;&gt;"","PBI Dev",IF(N314&lt;&gt;"","DB Dev","NOT STARTED")))))</f>
        <v/>
      </c>
      <c r="AI314" s="9">
        <f>IF($B314="","",IF(IF($C314="NOT STARTED",0,IF($C314="DB Dev",1,IF($C314="PBI Dev",2,IF($C314="QA",3,IF($C314="DPO Approval",4,IF($C314="RELEASED IN PROD",5,-1))))))&lt;IF($AH314="NOT STARTED",0,IF($AH314="DB Dev",1,IF($AH314="PBI Dev",2,IF($AH314="QA",3,IF($AH314="DPO Approval",4,IF($AH314="RELEASED IN PROD",5,-1)))))),"Yes - was already at "&amp;$AH314&amp;", now back at "&amp;$C314,"No"))</f>
        <v/>
      </c>
      <c r="AJ314" s="9">
        <f>IF($B314="","",IF(AND(T314&lt;&gt;"",N314&lt;&gt;"",T314&lt;N314),"QA target is before DB Dev target",IF(AND(T314&lt;&gt;"",Q314&lt;&gt;"",T314&lt;Q314),"QA target is before PBI Dev target",IF(AND(W314&lt;&gt;"",T314&lt;&gt;"",W314&lt;T314),"DPO Approval target is before QA target",IF(AND(Z314&lt;&gt;"",W314&lt;&gt;"",Z314&lt;W314),"Confirmed Deployed date is before DPO Approval target","")))))</f>
        <v/>
      </c>
      <c r="AK314" s="9">
        <f>IF($B314="","",IF(COUNTIF($B$2:$B$500,$B314)&gt;1,"Duplicate name - check row",""))</f>
        <v/>
      </c>
      <c r="AL314" s="1" t="n"/>
      <c r="AM314" s="9">
        <f>IF($B314="","",SUMPRODUCT(MAX(('Rework Log'!$A$3:$A$500=$B314)*ROW('Rework Log'!$A$3:$A$500))))</f>
        <v/>
      </c>
    </row>
    <row r="315">
      <c r="A315" s="1" t="n"/>
      <c r="B315" s="1" t="n"/>
      <c r="C315" s="1" t="n"/>
      <c r="D315" s="9">
        <f>IF($B315="","",IF(LEFT($AC315,3)="Yes","Blocked",IF(C315="NOT STARTED",IF(K315="","No plan date set",IF(K315&lt;TODAY(),"Review - planned start passed","On track")),IF(C315="DB Dev",IF(N315="","No target set",IF(AND(N315&lt;TODAY(),P315=""),"Overdue","On track")),IF(C315="PBI Dev",IF(Q315="","No target set",IF(AND(Q315&lt;TODAY(),S315=""),"Overdue","On track")),IF(C315="QA",IF(T315="","No target set",IF(AND(T315&lt;TODAY(),V315=""),"Overdue","On track")),IF(C315="DPO Approval",IF(W315="","No target set",IF(W315&lt;TODAY(),"Overdue","On track")),IF(C315="RELEASED IN PROD","Delivered",""))))))))</f>
        <v/>
      </c>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c r="AA315" s="1" t="n"/>
      <c r="AB315" s="1" t="n"/>
      <c r="AC315" s="1" t="n"/>
      <c r="AD315" s="9">
        <f>IF($B315="","",COUNTIF('Rework Log'!$A$3:$A$500,$B315))</f>
        <v/>
      </c>
      <c r="AE315" s="9">
        <f>IF(OR($B315="",$AM315=0),"",INDEX('Rework Log'!$C:$C,$AM315))</f>
        <v/>
      </c>
      <c r="AF315" s="9">
        <f>IF(OR($B315="",$AM315=0),"",INDEX('Rework Log'!$H:$H,$AM315))</f>
        <v/>
      </c>
      <c r="AG315" s="9">
        <f>IF(OR($B315="",$AM315=0),"",INDEX('Rework Log'!$G:$G,$AM315))</f>
        <v/>
      </c>
      <c r="AH315" s="9">
        <f>IF($B315="","",IF(W315&lt;&gt;"","DPO Approval",IF(T315&lt;&gt;"","QA",IF(Q315&lt;&gt;"","PBI Dev",IF(N315&lt;&gt;"","DB Dev","NOT STARTED")))))</f>
        <v/>
      </c>
      <c r="AI315" s="9">
        <f>IF($B315="","",IF(IF($C315="NOT STARTED",0,IF($C315="DB Dev",1,IF($C315="PBI Dev",2,IF($C315="QA",3,IF($C315="DPO Approval",4,IF($C315="RELEASED IN PROD",5,-1))))))&lt;IF($AH315="NOT STARTED",0,IF($AH315="DB Dev",1,IF($AH315="PBI Dev",2,IF($AH315="QA",3,IF($AH315="DPO Approval",4,IF($AH315="RELEASED IN PROD",5,-1)))))),"Yes - was already at "&amp;$AH315&amp;", now back at "&amp;$C315,"No"))</f>
        <v/>
      </c>
      <c r="AJ315" s="9">
        <f>IF($B315="","",IF(AND(T315&lt;&gt;"",N315&lt;&gt;"",T315&lt;N315),"QA target is before DB Dev target",IF(AND(T315&lt;&gt;"",Q315&lt;&gt;"",T315&lt;Q315),"QA target is before PBI Dev target",IF(AND(W315&lt;&gt;"",T315&lt;&gt;"",W315&lt;T315),"DPO Approval target is before QA target",IF(AND(Z315&lt;&gt;"",W315&lt;&gt;"",Z315&lt;W315),"Confirmed Deployed date is before DPO Approval target","")))))</f>
        <v/>
      </c>
      <c r="AK315" s="9">
        <f>IF($B315="","",IF(COUNTIF($B$2:$B$500,$B315)&gt;1,"Duplicate name - check row",""))</f>
        <v/>
      </c>
      <c r="AL315" s="1" t="n"/>
      <c r="AM315" s="9">
        <f>IF($B315="","",SUMPRODUCT(MAX(('Rework Log'!$A$3:$A$500=$B315)*ROW('Rework Log'!$A$3:$A$500))))</f>
        <v/>
      </c>
    </row>
    <row r="316">
      <c r="A316" s="1" t="n"/>
      <c r="B316" s="1" t="n"/>
      <c r="C316" s="1" t="n"/>
      <c r="D316" s="9">
        <f>IF($B316="","",IF(LEFT($AC316,3)="Yes","Blocked",IF(C316="NOT STARTED",IF(K316="","No plan date set",IF(K316&lt;TODAY(),"Review - planned start passed","On track")),IF(C316="DB Dev",IF(N316="","No target set",IF(AND(N316&lt;TODAY(),P316=""),"Overdue","On track")),IF(C316="PBI Dev",IF(Q316="","No target set",IF(AND(Q316&lt;TODAY(),S316=""),"Overdue","On track")),IF(C316="QA",IF(T316="","No target set",IF(AND(T316&lt;TODAY(),V316=""),"Overdue","On track")),IF(C316="DPO Approval",IF(W316="","No target set",IF(W316&lt;TODAY(),"Overdue","On track")),IF(C316="RELEASED IN PROD","Delivered",""))))))))</f>
        <v/>
      </c>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c r="AA316" s="1" t="n"/>
      <c r="AB316" s="1" t="n"/>
      <c r="AC316" s="1" t="n"/>
      <c r="AD316" s="9">
        <f>IF($B316="","",COUNTIF('Rework Log'!$A$3:$A$500,$B316))</f>
        <v/>
      </c>
      <c r="AE316" s="9">
        <f>IF(OR($B316="",$AM316=0),"",INDEX('Rework Log'!$C:$C,$AM316))</f>
        <v/>
      </c>
      <c r="AF316" s="9">
        <f>IF(OR($B316="",$AM316=0),"",INDEX('Rework Log'!$H:$H,$AM316))</f>
        <v/>
      </c>
      <c r="AG316" s="9">
        <f>IF(OR($B316="",$AM316=0),"",INDEX('Rework Log'!$G:$G,$AM316))</f>
        <v/>
      </c>
      <c r="AH316" s="9">
        <f>IF($B316="","",IF(W316&lt;&gt;"","DPO Approval",IF(T316&lt;&gt;"","QA",IF(Q316&lt;&gt;"","PBI Dev",IF(N316&lt;&gt;"","DB Dev","NOT STARTED")))))</f>
        <v/>
      </c>
      <c r="AI316" s="9">
        <f>IF($B316="","",IF(IF($C316="NOT STARTED",0,IF($C316="DB Dev",1,IF($C316="PBI Dev",2,IF($C316="QA",3,IF($C316="DPO Approval",4,IF($C316="RELEASED IN PROD",5,-1))))))&lt;IF($AH316="NOT STARTED",0,IF($AH316="DB Dev",1,IF($AH316="PBI Dev",2,IF($AH316="QA",3,IF($AH316="DPO Approval",4,IF($AH316="RELEASED IN PROD",5,-1)))))),"Yes - was already at "&amp;$AH316&amp;", now back at "&amp;$C316,"No"))</f>
        <v/>
      </c>
      <c r="AJ316" s="9">
        <f>IF($B316="","",IF(AND(T316&lt;&gt;"",N316&lt;&gt;"",T316&lt;N316),"QA target is before DB Dev target",IF(AND(T316&lt;&gt;"",Q316&lt;&gt;"",T316&lt;Q316),"QA target is before PBI Dev target",IF(AND(W316&lt;&gt;"",T316&lt;&gt;"",W316&lt;T316),"DPO Approval target is before QA target",IF(AND(Z316&lt;&gt;"",W316&lt;&gt;"",Z316&lt;W316),"Confirmed Deployed date is before DPO Approval target","")))))</f>
        <v/>
      </c>
      <c r="AK316" s="9">
        <f>IF($B316="","",IF(COUNTIF($B$2:$B$500,$B316)&gt;1,"Duplicate name - check row",""))</f>
        <v/>
      </c>
      <c r="AL316" s="1" t="n"/>
      <c r="AM316" s="9">
        <f>IF($B316="","",SUMPRODUCT(MAX(('Rework Log'!$A$3:$A$500=$B316)*ROW('Rework Log'!$A$3:$A$500))))</f>
        <v/>
      </c>
    </row>
    <row r="317">
      <c r="A317" s="1" t="n"/>
      <c r="B317" s="1" t="n"/>
      <c r="C317" s="1" t="n"/>
      <c r="D317" s="9">
        <f>IF($B317="","",IF(LEFT($AC317,3)="Yes","Blocked",IF(C317="NOT STARTED",IF(K317="","No plan date set",IF(K317&lt;TODAY(),"Review - planned start passed","On track")),IF(C317="DB Dev",IF(N317="","No target set",IF(AND(N317&lt;TODAY(),P317=""),"Overdue","On track")),IF(C317="PBI Dev",IF(Q317="","No target set",IF(AND(Q317&lt;TODAY(),S317=""),"Overdue","On track")),IF(C317="QA",IF(T317="","No target set",IF(AND(T317&lt;TODAY(),V317=""),"Overdue","On track")),IF(C317="DPO Approval",IF(W317="","No target set",IF(W317&lt;TODAY(),"Overdue","On track")),IF(C317="RELEASED IN PROD","Delivered",""))))))))</f>
        <v/>
      </c>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c r="AA317" s="1" t="n"/>
      <c r="AB317" s="1" t="n"/>
      <c r="AC317" s="1" t="n"/>
      <c r="AD317" s="9">
        <f>IF($B317="","",COUNTIF('Rework Log'!$A$3:$A$500,$B317))</f>
        <v/>
      </c>
      <c r="AE317" s="9">
        <f>IF(OR($B317="",$AM317=0),"",INDEX('Rework Log'!$C:$C,$AM317))</f>
        <v/>
      </c>
      <c r="AF317" s="9">
        <f>IF(OR($B317="",$AM317=0),"",INDEX('Rework Log'!$H:$H,$AM317))</f>
        <v/>
      </c>
      <c r="AG317" s="9">
        <f>IF(OR($B317="",$AM317=0),"",INDEX('Rework Log'!$G:$G,$AM317))</f>
        <v/>
      </c>
      <c r="AH317" s="9">
        <f>IF($B317="","",IF(W317&lt;&gt;"","DPO Approval",IF(T317&lt;&gt;"","QA",IF(Q317&lt;&gt;"","PBI Dev",IF(N317&lt;&gt;"","DB Dev","NOT STARTED")))))</f>
        <v/>
      </c>
      <c r="AI317" s="9">
        <f>IF($B317="","",IF(IF($C317="NOT STARTED",0,IF($C317="DB Dev",1,IF($C317="PBI Dev",2,IF($C317="QA",3,IF($C317="DPO Approval",4,IF($C317="RELEASED IN PROD",5,-1))))))&lt;IF($AH317="NOT STARTED",0,IF($AH317="DB Dev",1,IF($AH317="PBI Dev",2,IF($AH317="QA",3,IF($AH317="DPO Approval",4,IF($AH317="RELEASED IN PROD",5,-1)))))),"Yes - was already at "&amp;$AH317&amp;", now back at "&amp;$C317,"No"))</f>
        <v/>
      </c>
      <c r="AJ317" s="9">
        <f>IF($B317="","",IF(AND(T317&lt;&gt;"",N317&lt;&gt;"",T317&lt;N317),"QA target is before DB Dev target",IF(AND(T317&lt;&gt;"",Q317&lt;&gt;"",T317&lt;Q317),"QA target is before PBI Dev target",IF(AND(W317&lt;&gt;"",T317&lt;&gt;"",W317&lt;T317),"DPO Approval target is before QA target",IF(AND(Z317&lt;&gt;"",W317&lt;&gt;"",Z317&lt;W317),"Confirmed Deployed date is before DPO Approval target","")))))</f>
        <v/>
      </c>
      <c r="AK317" s="9">
        <f>IF($B317="","",IF(COUNTIF($B$2:$B$500,$B317)&gt;1,"Duplicate name - check row",""))</f>
        <v/>
      </c>
      <c r="AL317" s="1" t="n"/>
      <c r="AM317" s="9">
        <f>IF($B317="","",SUMPRODUCT(MAX(('Rework Log'!$A$3:$A$500=$B317)*ROW('Rework Log'!$A$3:$A$500))))</f>
        <v/>
      </c>
    </row>
    <row r="318">
      <c r="A318" s="1" t="n"/>
      <c r="B318" s="1" t="n"/>
      <c r="C318" s="1" t="n"/>
      <c r="D318" s="9">
        <f>IF($B318="","",IF(LEFT($AC318,3)="Yes","Blocked",IF(C318="NOT STARTED",IF(K318="","No plan date set",IF(K318&lt;TODAY(),"Review - planned start passed","On track")),IF(C318="DB Dev",IF(N318="","No target set",IF(AND(N318&lt;TODAY(),P318=""),"Overdue","On track")),IF(C318="PBI Dev",IF(Q318="","No target set",IF(AND(Q318&lt;TODAY(),S318=""),"Overdue","On track")),IF(C318="QA",IF(T318="","No target set",IF(AND(T318&lt;TODAY(),V318=""),"Overdue","On track")),IF(C318="DPO Approval",IF(W318="","No target set",IF(W318&lt;TODAY(),"Overdue","On track")),IF(C318="RELEASED IN PROD","Delivered",""))))))))</f>
        <v/>
      </c>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c r="AA318" s="1" t="n"/>
      <c r="AB318" s="1" t="n"/>
      <c r="AC318" s="1" t="n"/>
      <c r="AD318" s="9">
        <f>IF($B318="","",COUNTIF('Rework Log'!$A$3:$A$500,$B318))</f>
        <v/>
      </c>
      <c r="AE318" s="9">
        <f>IF(OR($B318="",$AM318=0),"",INDEX('Rework Log'!$C:$C,$AM318))</f>
        <v/>
      </c>
      <c r="AF318" s="9">
        <f>IF(OR($B318="",$AM318=0),"",INDEX('Rework Log'!$H:$H,$AM318))</f>
        <v/>
      </c>
      <c r="AG318" s="9">
        <f>IF(OR($B318="",$AM318=0),"",INDEX('Rework Log'!$G:$G,$AM318))</f>
        <v/>
      </c>
      <c r="AH318" s="9">
        <f>IF($B318="","",IF(W318&lt;&gt;"","DPO Approval",IF(T318&lt;&gt;"","QA",IF(Q318&lt;&gt;"","PBI Dev",IF(N318&lt;&gt;"","DB Dev","NOT STARTED")))))</f>
        <v/>
      </c>
      <c r="AI318" s="9">
        <f>IF($B318="","",IF(IF($C318="NOT STARTED",0,IF($C318="DB Dev",1,IF($C318="PBI Dev",2,IF($C318="QA",3,IF($C318="DPO Approval",4,IF($C318="RELEASED IN PROD",5,-1))))))&lt;IF($AH318="NOT STARTED",0,IF($AH318="DB Dev",1,IF($AH318="PBI Dev",2,IF($AH318="QA",3,IF($AH318="DPO Approval",4,IF($AH318="RELEASED IN PROD",5,-1)))))),"Yes - was already at "&amp;$AH318&amp;", now back at "&amp;$C318,"No"))</f>
        <v/>
      </c>
      <c r="AJ318" s="9">
        <f>IF($B318="","",IF(AND(T318&lt;&gt;"",N318&lt;&gt;"",T318&lt;N318),"QA target is before DB Dev target",IF(AND(T318&lt;&gt;"",Q318&lt;&gt;"",T318&lt;Q318),"QA target is before PBI Dev target",IF(AND(W318&lt;&gt;"",T318&lt;&gt;"",W318&lt;T318),"DPO Approval target is before QA target",IF(AND(Z318&lt;&gt;"",W318&lt;&gt;"",Z318&lt;W318),"Confirmed Deployed date is before DPO Approval target","")))))</f>
        <v/>
      </c>
      <c r="AK318" s="9">
        <f>IF($B318="","",IF(COUNTIF($B$2:$B$500,$B318)&gt;1,"Duplicate name - check row",""))</f>
        <v/>
      </c>
      <c r="AL318" s="1" t="n"/>
      <c r="AM318" s="9">
        <f>IF($B318="","",SUMPRODUCT(MAX(('Rework Log'!$A$3:$A$500=$B318)*ROW('Rework Log'!$A$3:$A$500))))</f>
        <v/>
      </c>
    </row>
    <row r="319">
      <c r="A319" s="1" t="n"/>
      <c r="B319" s="1" t="n"/>
      <c r="C319" s="1" t="n"/>
      <c r="D319" s="9">
        <f>IF($B319="","",IF(LEFT($AC319,3)="Yes","Blocked",IF(C319="NOT STARTED",IF(K319="","No plan date set",IF(K319&lt;TODAY(),"Review - planned start passed","On track")),IF(C319="DB Dev",IF(N319="","No target set",IF(AND(N319&lt;TODAY(),P319=""),"Overdue","On track")),IF(C319="PBI Dev",IF(Q319="","No target set",IF(AND(Q319&lt;TODAY(),S319=""),"Overdue","On track")),IF(C319="QA",IF(T319="","No target set",IF(AND(T319&lt;TODAY(),V319=""),"Overdue","On track")),IF(C319="DPO Approval",IF(W319="","No target set",IF(W319&lt;TODAY(),"Overdue","On track")),IF(C319="RELEASED IN PROD","Delivered",""))))))))</f>
        <v/>
      </c>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c r="AA319" s="1" t="n"/>
      <c r="AB319" s="1" t="n"/>
      <c r="AC319" s="1" t="n"/>
      <c r="AD319" s="9">
        <f>IF($B319="","",COUNTIF('Rework Log'!$A$3:$A$500,$B319))</f>
        <v/>
      </c>
      <c r="AE319" s="9">
        <f>IF(OR($B319="",$AM319=0),"",INDEX('Rework Log'!$C:$C,$AM319))</f>
        <v/>
      </c>
      <c r="AF319" s="9">
        <f>IF(OR($B319="",$AM319=0),"",INDEX('Rework Log'!$H:$H,$AM319))</f>
        <v/>
      </c>
      <c r="AG319" s="9">
        <f>IF(OR($B319="",$AM319=0),"",INDEX('Rework Log'!$G:$G,$AM319))</f>
        <v/>
      </c>
      <c r="AH319" s="9">
        <f>IF($B319="","",IF(W319&lt;&gt;"","DPO Approval",IF(T319&lt;&gt;"","QA",IF(Q319&lt;&gt;"","PBI Dev",IF(N319&lt;&gt;"","DB Dev","NOT STARTED")))))</f>
        <v/>
      </c>
      <c r="AI319" s="9">
        <f>IF($B319="","",IF(IF($C319="NOT STARTED",0,IF($C319="DB Dev",1,IF($C319="PBI Dev",2,IF($C319="QA",3,IF($C319="DPO Approval",4,IF($C319="RELEASED IN PROD",5,-1))))))&lt;IF($AH319="NOT STARTED",0,IF($AH319="DB Dev",1,IF($AH319="PBI Dev",2,IF($AH319="QA",3,IF($AH319="DPO Approval",4,IF($AH319="RELEASED IN PROD",5,-1)))))),"Yes - was already at "&amp;$AH319&amp;", now back at "&amp;$C319,"No"))</f>
        <v/>
      </c>
      <c r="AJ319" s="9">
        <f>IF($B319="","",IF(AND(T319&lt;&gt;"",N319&lt;&gt;"",T319&lt;N319),"QA target is before DB Dev target",IF(AND(T319&lt;&gt;"",Q319&lt;&gt;"",T319&lt;Q319),"QA target is before PBI Dev target",IF(AND(W319&lt;&gt;"",T319&lt;&gt;"",W319&lt;T319),"DPO Approval target is before QA target",IF(AND(Z319&lt;&gt;"",W319&lt;&gt;"",Z319&lt;W319),"Confirmed Deployed date is before DPO Approval target","")))))</f>
        <v/>
      </c>
      <c r="AK319" s="9">
        <f>IF($B319="","",IF(COUNTIF($B$2:$B$500,$B319)&gt;1,"Duplicate name - check row",""))</f>
        <v/>
      </c>
      <c r="AL319" s="1" t="n"/>
      <c r="AM319" s="9">
        <f>IF($B319="","",SUMPRODUCT(MAX(('Rework Log'!$A$3:$A$500=$B319)*ROW('Rework Log'!$A$3:$A$500))))</f>
        <v/>
      </c>
    </row>
    <row r="320">
      <c r="A320" s="1" t="n"/>
      <c r="B320" s="1" t="n"/>
      <c r="C320" s="1" t="n"/>
      <c r="D320" s="9">
        <f>IF($B320="","",IF(LEFT($AC320,3)="Yes","Blocked",IF(C320="NOT STARTED",IF(K320="","No plan date set",IF(K320&lt;TODAY(),"Review - planned start passed","On track")),IF(C320="DB Dev",IF(N320="","No target set",IF(AND(N320&lt;TODAY(),P320=""),"Overdue","On track")),IF(C320="PBI Dev",IF(Q320="","No target set",IF(AND(Q320&lt;TODAY(),S320=""),"Overdue","On track")),IF(C320="QA",IF(T320="","No target set",IF(AND(T320&lt;TODAY(),V320=""),"Overdue","On track")),IF(C320="DPO Approval",IF(W320="","No target set",IF(W320&lt;TODAY(),"Overdue","On track")),IF(C320="RELEASED IN PROD","Delivered",""))))))))</f>
        <v/>
      </c>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c r="AA320" s="1" t="n"/>
      <c r="AB320" s="1" t="n"/>
      <c r="AC320" s="1" t="n"/>
      <c r="AD320" s="9">
        <f>IF($B320="","",COUNTIF('Rework Log'!$A$3:$A$500,$B320))</f>
        <v/>
      </c>
      <c r="AE320" s="9">
        <f>IF(OR($B320="",$AM320=0),"",INDEX('Rework Log'!$C:$C,$AM320))</f>
        <v/>
      </c>
      <c r="AF320" s="9">
        <f>IF(OR($B320="",$AM320=0),"",INDEX('Rework Log'!$H:$H,$AM320))</f>
        <v/>
      </c>
      <c r="AG320" s="9">
        <f>IF(OR($B320="",$AM320=0),"",INDEX('Rework Log'!$G:$G,$AM320))</f>
        <v/>
      </c>
      <c r="AH320" s="9">
        <f>IF($B320="","",IF(W320&lt;&gt;"","DPO Approval",IF(T320&lt;&gt;"","QA",IF(Q320&lt;&gt;"","PBI Dev",IF(N320&lt;&gt;"","DB Dev","NOT STARTED")))))</f>
        <v/>
      </c>
      <c r="AI320" s="9">
        <f>IF($B320="","",IF(IF($C320="NOT STARTED",0,IF($C320="DB Dev",1,IF($C320="PBI Dev",2,IF($C320="QA",3,IF($C320="DPO Approval",4,IF($C320="RELEASED IN PROD",5,-1))))))&lt;IF($AH320="NOT STARTED",0,IF($AH320="DB Dev",1,IF($AH320="PBI Dev",2,IF($AH320="QA",3,IF($AH320="DPO Approval",4,IF($AH320="RELEASED IN PROD",5,-1)))))),"Yes - was already at "&amp;$AH320&amp;", now back at "&amp;$C320,"No"))</f>
        <v/>
      </c>
      <c r="AJ320" s="9">
        <f>IF($B320="","",IF(AND(T320&lt;&gt;"",N320&lt;&gt;"",T320&lt;N320),"QA target is before DB Dev target",IF(AND(T320&lt;&gt;"",Q320&lt;&gt;"",T320&lt;Q320),"QA target is before PBI Dev target",IF(AND(W320&lt;&gt;"",T320&lt;&gt;"",W320&lt;T320),"DPO Approval target is before QA target",IF(AND(Z320&lt;&gt;"",W320&lt;&gt;"",Z320&lt;W320),"Confirmed Deployed date is before DPO Approval target","")))))</f>
        <v/>
      </c>
      <c r="AK320" s="9">
        <f>IF($B320="","",IF(COUNTIF($B$2:$B$500,$B320)&gt;1,"Duplicate name - check row",""))</f>
        <v/>
      </c>
      <c r="AL320" s="1" t="n"/>
      <c r="AM320" s="9">
        <f>IF($B320="","",SUMPRODUCT(MAX(('Rework Log'!$A$3:$A$500=$B320)*ROW('Rework Log'!$A$3:$A$500))))</f>
        <v/>
      </c>
    </row>
    <row r="321">
      <c r="A321" s="1" t="n"/>
      <c r="B321" s="1" t="n"/>
      <c r="C321" s="1" t="n"/>
      <c r="D321" s="9">
        <f>IF($B321="","",IF(LEFT($AC321,3)="Yes","Blocked",IF(C321="NOT STARTED",IF(K321="","No plan date set",IF(K321&lt;TODAY(),"Review - planned start passed","On track")),IF(C321="DB Dev",IF(N321="","No target set",IF(AND(N321&lt;TODAY(),P321=""),"Overdue","On track")),IF(C321="PBI Dev",IF(Q321="","No target set",IF(AND(Q321&lt;TODAY(),S321=""),"Overdue","On track")),IF(C321="QA",IF(T321="","No target set",IF(AND(T321&lt;TODAY(),V321=""),"Overdue","On track")),IF(C321="DPO Approval",IF(W321="","No target set",IF(W321&lt;TODAY(),"Overdue","On track")),IF(C321="RELEASED IN PROD","Delivered",""))))))))</f>
        <v/>
      </c>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c r="AA321" s="1" t="n"/>
      <c r="AB321" s="1" t="n"/>
      <c r="AC321" s="1" t="n"/>
      <c r="AD321" s="9">
        <f>IF($B321="","",COUNTIF('Rework Log'!$A$3:$A$500,$B321))</f>
        <v/>
      </c>
      <c r="AE321" s="9">
        <f>IF(OR($B321="",$AM321=0),"",INDEX('Rework Log'!$C:$C,$AM321))</f>
        <v/>
      </c>
      <c r="AF321" s="9">
        <f>IF(OR($B321="",$AM321=0),"",INDEX('Rework Log'!$H:$H,$AM321))</f>
        <v/>
      </c>
      <c r="AG321" s="9">
        <f>IF(OR($B321="",$AM321=0),"",INDEX('Rework Log'!$G:$G,$AM321))</f>
        <v/>
      </c>
      <c r="AH321" s="9">
        <f>IF($B321="","",IF(W321&lt;&gt;"","DPO Approval",IF(T321&lt;&gt;"","QA",IF(Q321&lt;&gt;"","PBI Dev",IF(N321&lt;&gt;"","DB Dev","NOT STARTED")))))</f>
        <v/>
      </c>
      <c r="AI321" s="9">
        <f>IF($B321="","",IF(IF($C321="NOT STARTED",0,IF($C321="DB Dev",1,IF($C321="PBI Dev",2,IF($C321="QA",3,IF($C321="DPO Approval",4,IF($C321="RELEASED IN PROD",5,-1))))))&lt;IF($AH321="NOT STARTED",0,IF($AH321="DB Dev",1,IF($AH321="PBI Dev",2,IF($AH321="QA",3,IF($AH321="DPO Approval",4,IF($AH321="RELEASED IN PROD",5,-1)))))),"Yes - was already at "&amp;$AH321&amp;", now back at "&amp;$C321,"No"))</f>
        <v/>
      </c>
      <c r="AJ321" s="9">
        <f>IF($B321="","",IF(AND(T321&lt;&gt;"",N321&lt;&gt;"",T321&lt;N321),"QA target is before DB Dev target",IF(AND(T321&lt;&gt;"",Q321&lt;&gt;"",T321&lt;Q321),"QA target is before PBI Dev target",IF(AND(W321&lt;&gt;"",T321&lt;&gt;"",W321&lt;T321),"DPO Approval target is before QA target",IF(AND(Z321&lt;&gt;"",W321&lt;&gt;"",Z321&lt;W321),"Confirmed Deployed date is before DPO Approval target","")))))</f>
        <v/>
      </c>
      <c r="AK321" s="9">
        <f>IF($B321="","",IF(COUNTIF($B$2:$B$500,$B321)&gt;1,"Duplicate name - check row",""))</f>
        <v/>
      </c>
      <c r="AL321" s="1" t="n"/>
      <c r="AM321" s="9">
        <f>IF($B321="","",SUMPRODUCT(MAX(('Rework Log'!$A$3:$A$500=$B321)*ROW('Rework Log'!$A$3:$A$500))))</f>
        <v/>
      </c>
    </row>
    <row r="322">
      <c r="A322" s="1" t="n"/>
      <c r="B322" s="1" t="n"/>
      <c r="C322" s="1" t="n"/>
      <c r="D322" s="9">
        <f>IF($B322="","",IF(LEFT($AC322,3)="Yes","Blocked",IF(C322="NOT STARTED",IF(K322="","No plan date set",IF(K322&lt;TODAY(),"Review - planned start passed","On track")),IF(C322="DB Dev",IF(N322="","No target set",IF(AND(N322&lt;TODAY(),P322=""),"Overdue","On track")),IF(C322="PBI Dev",IF(Q322="","No target set",IF(AND(Q322&lt;TODAY(),S322=""),"Overdue","On track")),IF(C322="QA",IF(T322="","No target set",IF(AND(T322&lt;TODAY(),V322=""),"Overdue","On track")),IF(C322="DPO Approval",IF(W322="","No target set",IF(W322&lt;TODAY(),"Overdue","On track")),IF(C322="RELEASED IN PROD","Delivered",""))))))))</f>
        <v/>
      </c>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c r="AA322" s="1" t="n"/>
      <c r="AB322" s="1" t="n"/>
      <c r="AC322" s="1" t="n"/>
      <c r="AD322" s="9">
        <f>IF($B322="","",COUNTIF('Rework Log'!$A$3:$A$500,$B322))</f>
        <v/>
      </c>
      <c r="AE322" s="9">
        <f>IF(OR($B322="",$AM322=0),"",INDEX('Rework Log'!$C:$C,$AM322))</f>
        <v/>
      </c>
      <c r="AF322" s="9">
        <f>IF(OR($B322="",$AM322=0),"",INDEX('Rework Log'!$H:$H,$AM322))</f>
        <v/>
      </c>
      <c r="AG322" s="9">
        <f>IF(OR($B322="",$AM322=0),"",INDEX('Rework Log'!$G:$G,$AM322))</f>
        <v/>
      </c>
      <c r="AH322" s="9">
        <f>IF($B322="","",IF(W322&lt;&gt;"","DPO Approval",IF(T322&lt;&gt;"","QA",IF(Q322&lt;&gt;"","PBI Dev",IF(N322&lt;&gt;"","DB Dev","NOT STARTED")))))</f>
        <v/>
      </c>
      <c r="AI322" s="9">
        <f>IF($B322="","",IF(IF($C322="NOT STARTED",0,IF($C322="DB Dev",1,IF($C322="PBI Dev",2,IF($C322="QA",3,IF($C322="DPO Approval",4,IF($C322="RELEASED IN PROD",5,-1))))))&lt;IF($AH322="NOT STARTED",0,IF($AH322="DB Dev",1,IF($AH322="PBI Dev",2,IF($AH322="QA",3,IF($AH322="DPO Approval",4,IF($AH322="RELEASED IN PROD",5,-1)))))),"Yes - was already at "&amp;$AH322&amp;", now back at "&amp;$C322,"No"))</f>
        <v/>
      </c>
      <c r="AJ322" s="9">
        <f>IF($B322="","",IF(AND(T322&lt;&gt;"",N322&lt;&gt;"",T322&lt;N322),"QA target is before DB Dev target",IF(AND(T322&lt;&gt;"",Q322&lt;&gt;"",T322&lt;Q322),"QA target is before PBI Dev target",IF(AND(W322&lt;&gt;"",T322&lt;&gt;"",W322&lt;T322),"DPO Approval target is before QA target",IF(AND(Z322&lt;&gt;"",W322&lt;&gt;"",Z322&lt;W322),"Confirmed Deployed date is before DPO Approval target","")))))</f>
        <v/>
      </c>
      <c r="AK322" s="9">
        <f>IF($B322="","",IF(COUNTIF($B$2:$B$500,$B322)&gt;1,"Duplicate name - check row",""))</f>
        <v/>
      </c>
      <c r="AL322" s="1" t="n"/>
      <c r="AM322" s="9">
        <f>IF($B322="","",SUMPRODUCT(MAX(('Rework Log'!$A$3:$A$500=$B322)*ROW('Rework Log'!$A$3:$A$500))))</f>
        <v/>
      </c>
    </row>
    <row r="323">
      <c r="A323" s="1" t="n"/>
      <c r="B323" s="1" t="n"/>
      <c r="C323" s="1" t="n"/>
      <c r="D323" s="9">
        <f>IF($B323="","",IF(LEFT($AC323,3)="Yes","Blocked",IF(C323="NOT STARTED",IF(K323="","No plan date set",IF(K323&lt;TODAY(),"Review - planned start passed","On track")),IF(C323="DB Dev",IF(N323="","No target set",IF(AND(N323&lt;TODAY(),P323=""),"Overdue","On track")),IF(C323="PBI Dev",IF(Q323="","No target set",IF(AND(Q323&lt;TODAY(),S323=""),"Overdue","On track")),IF(C323="QA",IF(T323="","No target set",IF(AND(T323&lt;TODAY(),V323=""),"Overdue","On track")),IF(C323="DPO Approval",IF(W323="","No target set",IF(W323&lt;TODAY(),"Overdue","On track")),IF(C323="RELEASED IN PROD","Delivered",""))))))))</f>
        <v/>
      </c>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c r="AA323" s="1" t="n"/>
      <c r="AB323" s="1" t="n"/>
      <c r="AC323" s="1" t="n"/>
      <c r="AD323" s="9">
        <f>IF($B323="","",COUNTIF('Rework Log'!$A$3:$A$500,$B323))</f>
        <v/>
      </c>
      <c r="AE323" s="9">
        <f>IF(OR($B323="",$AM323=0),"",INDEX('Rework Log'!$C:$C,$AM323))</f>
        <v/>
      </c>
      <c r="AF323" s="9">
        <f>IF(OR($B323="",$AM323=0),"",INDEX('Rework Log'!$H:$H,$AM323))</f>
        <v/>
      </c>
      <c r="AG323" s="9">
        <f>IF(OR($B323="",$AM323=0),"",INDEX('Rework Log'!$G:$G,$AM323))</f>
        <v/>
      </c>
      <c r="AH323" s="9">
        <f>IF($B323="","",IF(W323&lt;&gt;"","DPO Approval",IF(T323&lt;&gt;"","QA",IF(Q323&lt;&gt;"","PBI Dev",IF(N323&lt;&gt;"","DB Dev","NOT STARTED")))))</f>
        <v/>
      </c>
      <c r="AI323" s="9">
        <f>IF($B323="","",IF(IF($C323="NOT STARTED",0,IF($C323="DB Dev",1,IF($C323="PBI Dev",2,IF($C323="QA",3,IF($C323="DPO Approval",4,IF($C323="RELEASED IN PROD",5,-1))))))&lt;IF($AH323="NOT STARTED",0,IF($AH323="DB Dev",1,IF($AH323="PBI Dev",2,IF($AH323="QA",3,IF($AH323="DPO Approval",4,IF($AH323="RELEASED IN PROD",5,-1)))))),"Yes - was already at "&amp;$AH323&amp;", now back at "&amp;$C323,"No"))</f>
        <v/>
      </c>
      <c r="AJ323" s="9">
        <f>IF($B323="","",IF(AND(T323&lt;&gt;"",N323&lt;&gt;"",T323&lt;N323),"QA target is before DB Dev target",IF(AND(T323&lt;&gt;"",Q323&lt;&gt;"",T323&lt;Q323),"QA target is before PBI Dev target",IF(AND(W323&lt;&gt;"",T323&lt;&gt;"",W323&lt;T323),"DPO Approval target is before QA target",IF(AND(Z323&lt;&gt;"",W323&lt;&gt;"",Z323&lt;W323),"Confirmed Deployed date is before DPO Approval target","")))))</f>
        <v/>
      </c>
      <c r="AK323" s="9">
        <f>IF($B323="","",IF(COUNTIF($B$2:$B$500,$B323)&gt;1,"Duplicate name - check row",""))</f>
        <v/>
      </c>
      <c r="AL323" s="1" t="n"/>
      <c r="AM323" s="9">
        <f>IF($B323="","",SUMPRODUCT(MAX(('Rework Log'!$A$3:$A$500=$B323)*ROW('Rework Log'!$A$3:$A$500))))</f>
        <v/>
      </c>
    </row>
    <row r="324">
      <c r="A324" s="1" t="n"/>
      <c r="B324" s="1" t="n"/>
      <c r="C324" s="1" t="n"/>
      <c r="D324" s="9">
        <f>IF($B324="","",IF(LEFT($AC324,3)="Yes","Blocked",IF(C324="NOT STARTED",IF(K324="","No plan date set",IF(K324&lt;TODAY(),"Review - planned start passed","On track")),IF(C324="DB Dev",IF(N324="","No target set",IF(AND(N324&lt;TODAY(),P324=""),"Overdue","On track")),IF(C324="PBI Dev",IF(Q324="","No target set",IF(AND(Q324&lt;TODAY(),S324=""),"Overdue","On track")),IF(C324="QA",IF(T324="","No target set",IF(AND(T324&lt;TODAY(),V324=""),"Overdue","On track")),IF(C324="DPO Approval",IF(W324="","No target set",IF(W324&lt;TODAY(),"Overdue","On track")),IF(C324="RELEASED IN PROD","Delivered",""))))))))</f>
        <v/>
      </c>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c r="AA324" s="1" t="n"/>
      <c r="AB324" s="1" t="n"/>
      <c r="AC324" s="1" t="n"/>
      <c r="AD324" s="9">
        <f>IF($B324="","",COUNTIF('Rework Log'!$A$3:$A$500,$B324))</f>
        <v/>
      </c>
      <c r="AE324" s="9">
        <f>IF(OR($B324="",$AM324=0),"",INDEX('Rework Log'!$C:$C,$AM324))</f>
        <v/>
      </c>
      <c r="AF324" s="9">
        <f>IF(OR($B324="",$AM324=0),"",INDEX('Rework Log'!$H:$H,$AM324))</f>
        <v/>
      </c>
      <c r="AG324" s="9">
        <f>IF(OR($B324="",$AM324=0),"",INDEX('Rework Log'!$G:$G,$AM324))</f>
        <v/>
      </c>
      <c r="AH324" s="9">
        <f>IF($B324="","",IF(W324&lt;&gt;"","DPO Approval",IF(T324&lt;&gt;"","QA",IF(Q324&lt;&gt;"","PBI Dev",IF(N324&lt;&gt;"","DB Dev","NOT STARTED")))))</f>
        <v/>
      </c>
      <c r="AI324" s="9">
        <f>IF($B324="","",IF(IF($C324="NOT STARTED",0,IF($C324="DB Dev",1,IF($C324="PBI Dev",2,IF($C324="QA",3,IF($C324="DPO Approval",4,IF($C324="RELEASED IN PROD",5,-1))))))&lt;IF($AH324="NOT STARTED",0,IF($AH324="DB Dev",1,IF($AH324="PBI Dev",2,IF($AH324="QA",3,IF($AH324="DPO Approval",4,IF($AH324="RELEASED IN PROD",5,-1)))))),"Yes - was already at "&amp;$AH324&amp;", now back at "&amp;$C324,"No"))</f>
        <v/>
      </c>
      <c r="AJ324" s="9">
        <f>IF($B324="","",IF(AND(T324&lt;&gt;"",N324&lt;&gt;"",T324&lt;N324),"QA target is before DB Dev target",IF(AND(T324&lt;&gt;"",Q324&lt;&gt;"",T324&lt;Q324),"QA target is before PBI Dev target",IF(AND(W324&lt;&gt;"",T324&lt;&gt;"",W324&lt;T324),"DPO Approval target is before QA target",IF(AND(Z324&lt;&gt;"",W324&lt;&gt;"",Z324&lt;W324),"Confirmed Deployed date is before DPO Approval target","")))))</f>
        <v/>
      </c>
      <c r="AK324" s="9">
        <f>IF($B324="","",IF(COUNTIF($B$2:$B$500,$B324)&gt;1,"Duplicate name - check row",""))</f>
        <v/>
      </c>
      <c r="AL324" s="1" t="n"/>
      <c r="AM324" s="9">
        <f>IF($B324="","",SUMPRODUCT(MAX(('Rework Log'!$A$3:$A$500=$B324)*ROW('Rework Log'!$A$3:$A$500))))</f>
        <v/>
      </c>
    </row>
    <row r="325">
      <c r="A325" s="1" t="n"/>
      <c r="B325" s="1" t="n"/>
      <c r="C325" s="1" t="n"/>
      <c r="D325" s="9">
        <f>IF($B325="","",IF(LEFT($AC325,3)="Yes","Blocked",IF(C325="NOT STARTED",IF(K325="","No plan date set",IF(K325&lt;TODAY(),"Review - planned start passed","On track")),IF(C325="DB Dev",IF(N325="","No target set",IF(AND(N325&lt;TODAY(),P325=""),"Overdue","On track")),IF(C325="PBI Dev",IF(Q325="","No target set",IF(AND(Q325&lt;TODAY(),S325=""),"Overdue","On track")),IF(C325="QA",IF(T325="","No target set",IF(AND(T325&lt;TODAY(),V325=""),"Overdue","On track")),IF(C325="DPO Approval",IF(W325="","No target set",IF(W325&lt;TODAY(),"Overdue","On track")),IF(C325="RELEASED IN PROD","Delivered",""))))))))</f>
        <v/>
      </c>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c r="AA325" s="1" t="n"/>
      <c r="AB325" s="1" t="n"/>
      <c r="AC325" s="1" t="n"/>
      <c r="AD325" s="9">
        <f>IF($B325="","",COUNTIF('Rework Log'!$A$3:$A$500,$B325))</f>
        <v/>
      </c>
      <c r="AE325" s="9">
        <f>IF(OR($B325="",$AM325=0),"",INDEX('Rework Log'!$C:$C,$AM325))</f>
        <v/>
      </c>
      <c r="AF325" s="9">
        <f>IF(OR($B325="",$AM325=0),"",INDEX('Rework Log'!$H:$H,$AM325))</f>
        <v/>
      </c>
      <c r="AG325" s="9">
        <f>IF(OR($B325="",$AM325=0),"",INDEX('Rework Log'!$G:$G,$AM325))</f>
        <v/>
      </c>
      <c r="AH325" s="9">
        <f>IF($B325="","",IF(W325&lt;&gt;"","DPO Approval",IF(T325&lt;&gt;"","QA",IF(Q325&lt;&gt;"","PBI Dev",IF(N325&lt;&gt;"","DB Dev","NOT STARTED")))))</f>
        <v/>
      </c>
      <c r="AI325" s="9">
        <f>IF($B325="","",IF(IF($C325="NOT STARTED",0,IF($C325="DB Dev",1,IF($C325="PBI Dev",2,IF($C325="QA",3,IF($C325="DPO Approval",4,IF($C325="RELEASED IN PROD",5,-1))))))&lt;IF($AH325="NOT STARTED",0,IF($AH325="DB Dev",1,IF($AH325="PBI Dev",2,IF($AH325="QA",3,IF($AH325="DPO Approval",4,IF($AH325="RELEASED IN PROD",5,-1)))))),"Yes - was already at "&amp;$AH325&amp;", now back at "&amp;$C325,"No"))</f>
        <v/>
      </c>
      <c r="AJ325" s="9">
        <f>IF($B325="","",IF(AND(T325&lt;&gt;"",N325&lt;&gt;"",T325&lt;N325),"QA target is before DB Dev target",IF(AND(T325&lt;&gt;"",Q325&lt;&gt;"",T325&lt;Q325),"QA target is before PBI Dev target",IF(AND(W325&lt;&gt;"",T325&lt;&gt;"",W325&lt;T325),"DPO Approval target is before QA target",IF(AND(Z325&lt;&gt;"",W325&lt;&gt;"",Z325&lt;W325),"Confirmed Deployed date is before DPO Approval target","")))))</f>
        <v/>
      </c>
      <c r="AK325" s="9">
        <f>IF($B325="","",IF(COUNTIF($B$2:$B$500,$B325)&gt;1,"Duplicate name - check row",""))</f>
        <v/>
      </c>
      <c r="AL325" s="1" t="n"/>
      <c r="AM325" s="9">
        <f>IF($B325="","",SUMPRODUCT(MAX(('Rework Log'!$A$3:$A$500=$B325)*ROW('Rework Log'!$A$3:$A$500))))</f>
        <v/>
      </c>
    </row>
    <row r="326">
      <c r="A326" s="1" t="n"/>
      <c r="B326" s="1" t="n"/>
      <c r="C326" s="1" t="n"/>
      <c r="D326" s="9">
        <f>IF($B326="","",IF(LEFT($AC326,3)="Yes","Blocked",IF(C326="NOT STARTED",IF(K326="","No plan date set",IF(K326&lt;TODAY(),"Review - planned start passed","On track")),IF(C326="DB Dev",IF(N326="","No target set",IF(AND(N326&lt;TODAY(),P326=""),"Overdue","On track")),IF(C326="PBI Dev",IF(Q326="","No target set",IF(AND(Q326&lt;TODAY(),S326=""),"Overdue","On track")),IF(C326="QA",IF(T326="","No target set",IF(AND(T326&lt;TODAY(),V326=""),"Overdue","On track")),IF(C326="DPO Approval",IF(W326="","No target set",IF(W326&lt;TODAY(),"Overdue","On track")),IF(C326="RELEASED IN PROD","Delivered",""))))))))</f>
        <v/>
      </c>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c r="AA326" s="1" t="n"/>
      <c r="AB326" s="1" t="n"/>
      <c r="AC326" s="1" t="n"/>
      <c r="AD326" s="9">
        <f>IF($B326="","",COUNTIF('Rework Log'!$A$3:$A$500,$B326))</f>
        <v/>
      </c>
      <c r="AE326" s="9">
        <f>IF(OR($B326="",$AM326=0),"",INDEX('Rework Log'!$C:$C,$AM326))</f>
        <v/>
      </c>
      <c r="AF326" s="9">
        <f>IF(OR($B326="",$AM326=0),"",INDEX('Rework Log'!$H:$H,$AM326))</f>
        <v/>
      </c>
      <c r="AG326" s="9">
        <f>IF(OR($B326="",$AM326=0),"",INDEX('Rework Log'!$G:$G,$AM326))</f>
        <v/>
      </c>
      <c r="AH326" s="9">
        <f>IF($B326="","",IF(W326&lt;&gt;"","DPO Approval",IF(T326&lt;&gt;"","QA",IF(Q326&lt;&gt;"","PBI Dev",IF(N326&lt;&gt;"","DB Dev","NOT STARTED")))))</f>
        <v/>
      </c>
      <c r="AI326" s="9">
        <f>IF($B326="","",IF(IF($C326="NOT STARTED",0,IF($C326="DB Dev",1,IF($C326="PBI Dev",2,IF($C326="QA",3,IF($C326="DPO Approval",4,IF($C326="RELEASED IN PROD",5,-1))))))&lt;IF($AH326="NOT STARTED",0,IF($AH326="DB Dev",1,IF($AH326="PBI Dev",2,IF($AH326="QA",3,IF($AH326="DPO Approval",4,IF($AH326="RELEASED IN PROD",5,-1)))))),"Yes - was already at "&amp;$AH326&amp;", now back at "&amp;$C326,"No"))</f>
        <v/>
      </c>
      <c r="AJ326" s="9">
        <f>IF($B326="","",IF(AND(T326&lt;&gt;"",N326&lt;&gt;"",T326&lt;N326),"QA target is before DB Dev target",IF(AND(T326&lt;&gt;"",Q326&lt;&gt;"",T326&lt;Q326),"QA target is before PBI Dev target",IF(AND(W326&lt;&gt;"",T326&lt;&gt;"",W326&lt;T326),"DPO Approval target is before QA target",IF(AND(Z326&lt;&gt;"",W326&lt;&gt;"",Z326&lt;W326),"Confirmed Deployed date is before DPO Approval target","")))))</f>
        <v/>
      </c>
      <c r="AK326" s="9">
        <f>IF($B326="","",IF(COUNTIF($B$2:$B$500,$B326)&gt;1,"Duplicate name - check row",""))</f>
        <v/>
      </c>
      <c r="AL326" s="1" t="n"/>
      <c r="AM326" s="9">
        <f>IF($B326="","",SUMPRODUCT(MAX(('Rework Log'!$A$3:$A$500=$B326)*ROW('Rework Log'!$A$3:$A$500))))</f>
        <v/>
      </c>
    </row>
    <row r="327">
      <c r="A327" s="1" t="n"/>
      <c r="B327" s="1" t="n"/>
      <c r="C327" s="1" t="n"/>
      <c r="D327" s="9">
        <f>IF($B327="","",IF(LEFT($AC327,3)="Yes","Blocked",IF(C327="NOT STARTED",IF(K327="","No plan date set",IF(K327&lt;TODAY(),"Review - planned start passed","On track")),IF(C327="DB Dev",IF(N327="","No target set",IF(AND(N327&lt;TODAY(),P327=""),"Overdue","On track")),IF(C327="PBI Dev",IF(Q327="","No target set",IF(AND(Q327&lt;TODAY(),S327=""),"Overdue","On track")),IF(C327="QA",IF(T327="","No target set",IF(AND(T327&lt;TODAY(),V327=""),"Overdue","On track")),IF(C327="DPO Approval",IF(W327="","No target set",IF(W327&lt;TODAY(),"Overdue","On track")),IF(C327="RELEASED IN PROD","Delivered",""))))))))</f>
        <v/>
      </c>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c r="AA327" s="1" t="n"/>
      <c r="AB327" s="1" t="n"/>
      <c r="AC327" s="1" t="n"/>
      <c r="AD327" s="9">
        <f>IF($B327="","",COUNTIF('Rework Log'!$A$3:$A$500,$B327))</f>
        <v/>
      </c>
      <c r="AE327" s="9">
        <f>IF(OR($B327="",$AM327=0),"",INDEX('Rework Log'!$C:$C,$AM327))</f>
        <v/>
      </c>
      <c r="AF327" s="9">
        <f>IF(OR($B327="",$AM327=0),"",INDEX('Rework Log'!$H:$H,$AM327))</f>
        <v/>
      </c>
      <c r="AG327" s="9">
        <f>IF(OR($B327="",$AM327=0),"",INDEX('Rework Log'!$G:$G,$AM327))</f>
        <v/>
      </c>
      <c r="AH327" s="9">
        <f>IF($B327="","",IF(W327&lt;&gt;"","DPO Approval",IF(T327&lt;&gt;"","QA",IF(Q327&lt;&gt;"","PBI Dev",IF(N327&lt;&gt;"","DB Dev","NOT STARTED")))))</f>
        <v/>
      </c>
      <c r="AI327" s="9">
        <f>IF($B327="","",IF(IF($C327="NOT STARTED",0,IF($C327="DB Dev",1,IF($C327="PBI Dev",2,IF($C327="QA",3,IF($C327="DPO Approval",4,IF($C327="RELEASED IN PROD",5,-1))))))&lt;IF($AH327="NOT STARTED",0,IF($AH327="DB Dev",1,IF($AH327="PBI Dev",2,IF($AH327="QA",3,IF($AH327="DPO Approval",4,IF($AH327="RELEASED IN PROD",5,-1)))))),"Yes - was already at "&amp;$AH327&amp;", now back at "&amp;$C327,"No"))</f>
        <v/>
      </c>
      <c r="AJ327" s="9">
        <f>IF($B327="","",IF(AND(T327&lt;&gt;"",N327&lt;&gt;"",T327&lt;N327),"QA target is before DB Dev target",IF(AND(T327&lt;&gt;"",Q327&lt;&gt;"",T327&lt;Q327),"QA target is before PBI Dev target",IF(AND(W327&lt;&gt;"",T327&lt;&gt;"",W327&lt;T327),"DPO Approval target is before QA target",IF(AND(Z327&lt;&gt;"",W327&lt;&gt;"",Z327&lt;W327),"Confirmed Deployed date is before DPO Approval target","")))))</f>
        <v/>
      </c>
      <c r="AK327" s="9">
        <f>IF($B327="","",IF(COUNTIF($B$2:$B$500,$B327)&gt;1,"Duplicate name - check row",""))</f>
        <v/>
      </c>
      <c r="AL327" s="1" t="n"/>
      <c r="AM327" s="9">
        <f>IF($B327="","",SUMPRODUCT(MAX(('Rework Log'!$A$3:$A$500=$B327)*ROW('Rework Log'!$A$3:$A$500))))</f>
        <v/>
      </c>
    </row>
    <row r="328">
      <c r="A328" s="1" t="n"/>
      <c r="B328" s="1" t="n"/>
      <c r="C328" s="1" t="n"/>
      <c r="D328" s="9">
        <f>IF($B328="","",IF(LEFT($AC328,3)="Yes","Blocked",IF(C328="NOT STARTED",IF(K328="","No plan date set",IF(K328&lt;TODAY(),"Review - planned start passed","On track")),IF(C328="DB Dev",IF(N328="","No target set",IF(AND(N328&lt;TODAY(),P328=""),"Overdue","On track")),IF(C328="PBI Dev",IF(Q328="","No target set",IF(AND(Q328&lt;TODAY(),S328=""),"Overdue","On track")),IF(C328="QA",IF(T328="","No target set",IF(AND(T328&lt;TODAY(),V328=""),"Overdue","On track")),IF(C328="DPO Approval",IF(W328="","No target set",IF(W328&lt;TODAY(),"Overdue","On track")),IF(C328="RELEASED IN PROD","Delivered",""))))))))</f>
        <v/>
      </c>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c r="AA328" s="1" t="n"/>
      <c r="AB328" s="1" t="n"/>
      <c r="AC328" s="1" t="n"/>
      <c r="AD328" s="9">
        <f>IF($B328="","",COUNTIF('Rework Log'!$A$3:$A$500,$B328))</f>
        <v/>
      </c>
      <c r="AE328" s="9">
        <f>IF(OR($B328="",$AM328=0),"",INDEX('Rework Log'!$C:$C,$AM328))</f>
        <v/>
      </c>
      <c r="AF328" s="9">
        <f>IF(OR($B328="",$AM328=0),"",INDEX('Rework Log'!$H:$H,$AM328))</f>
        <v/>
      </c>
      <c r="AG328" s="9">
        <f>IF(OR($B328="",$AM328=0),"",INDEX('Rework Log'!$G:$G,$AM328))</f>
        <v/>
      </c>
      <c r="AH328" s="9">
        <f>IF($B328="","",IF(W328&lt;&gt;"","DPO Approval",IF(T328&lt;&gt;"","QA",IF(Q328&lt;&gt;"","PBI Dev",IF(N328&lt;&gt;"","DB Dev","NOT STARTED")))))</f>
        <v/>
      </c>
      <c r="AI328" s="9">
        <f>IF($B328="","",IF(IF($C328="NOT STARTED",0,IF($C328="DB Dev",1,IF($C328="PBI Dev",2,IF($C328="QA",3,IF($C328="DPO Approval",4,IF($C328="RELEASED IN PROD",5,-1))))))&lt;IF($AH328="NOT STARTED",0,IF($AH328="DB Dev",1,IF($AH328="PBI Dev",2,IF($AH328="QA",3,IF($AH328="DPO Approval",4,IF($AH328="RELEASED IN PROD",5,-1)))))),"Yes - was already at "&amp;$AH328&amp;", now back at "&amp;$C328,"No"))</f>
        <v/>
      </c>
      <c r="AJ328" s="9">
        <f>IF($B328="","",IF(AND(T328&lt;&gt;"",N328&lt;&gt;"",T328&lt;N328),"QA target is before DB Dev target",IF(AND(T328&lt;&gt;"",Q328&lt;&gt;"",T328&lt;Q328),"QA target is before PBI Dev target",IF(AND(W328&lt;&gt;"",T328&lt;&gt;"",W328&lt;T328),"DPO Approval target is before QA target",IF(AND(Z328&lt;&gt;"",W328&lt;&gt;"",Z328&lt;W328),"Confirmed Deployed date is before DPO Approval target","")))))</f>
        <v/>
      </c>
      <c r="AK328" s="9">
        <f>IF($B328="","",IF(COUNTIF($B$2:$B$500,$B328)&gt;1,"Duplicate name - check row",""))</f>
        <v/>
      </c>
      <c r="AL328" s="1" t="n"/>
      <c r="AM328" s="9">
        <f>IF($B328="","",SUMPRODUCT(MAX(('Rework Log'!$A$3:$A$500=$B328)*ROW('Rework Log'!$A$3:$A$500))))</f>
        <v/>
      </c>
    </row>
    <row r="329">
      <c r="A329" s="1" t="n"/>
      <c r="B329" s="1" t="n"/>
      <c r="C329" s="1" t="n"/>
      <c r="D329" s="9">
        <f>IF($B329="","",IF(LEFT($AC329,3)="Yes","Blocked",IF(C329="NOT STARTED",IF(K329="","No plan date set",IF(K329&lt;TODAY(),"Review - planned start passed","On track")),IF(C329="DB Dev",IF(N329="","No target set",IF(AND(N329&lt;TODAY(),P329=""),"Overdue","On track")),IF(C329="PBI Dev",IF(Q329="","No target set",IF(AND(Q329&lt;TODAY(),S329=""),"Overdue","On track")),IF(C329="QA",IF(T329="","No target set",IF(AND(T329&lt;TODAY(),V329=""),"Overdue","On track")),IF(C329="DPO Approval",IF(W329="","No target set",IF(W329&lt;TODAY(),"Overdue","On track")),IF(C329="RELEASED IN PROD","Delivered",""))))))))</f>
        <v/>
      </c>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c r="AA329" s="1" t="n"/>
      <c r="AB329" s="1" t="n"/>
      <c r="AC329" s="1" t="n"/>
      <c r="AD329" s="9">
        <f>IF($B329="","",COUNTIF('Rework Log'!$A$3:$A$500,$B329))</f>
        <v/>
      </c>
      <c r="AE329" s="9">
        <f>IF(OR($B329="",$AM329=0),"",INDEX('Rework Log'!$C:$C,$AM329))</f>
        <v/>
      </c>
      <c r="AF329" s="9">
        <f>IF(OR($B329="",$AM329=0),"",INDEX('Rework Log'!$H:$H,$AM329))</f>
        <v/>
      </c>
      <c r="AG329" s="9">
        <f>IF(OR($B329="",$AM329=0),"",INDEX('Rework Log'!$G:$G,$AM329))</f>
        <v/>
      </c>
      <c r="AH329" s="9">
        <f>IF($B329="","",IF(W329&lt;&gt;"","DPO Approval",IF(T329&lt;&gt;"","QA",IF(Q329&lt;&gt;"","PBI Dev",IF(N329&lt;&gt;"","DB Dev","NOT STARTED")))))</f>
        <v/>
      </c>
      <c r="AI329" s="9">
        <f>IF($B329="","",IF(IF($C329="NOT STARTED",0,IF($C329="DB Dev",1,IF($C329="PBI Dev",2,IF($C329="QA",3,IF($C329="DPO Approval",4,IF($C329="RELEASED IN PROD",5,-1))))))&lt;IF($AH329="NOT STARTED",0,IF($AH329="DB Dev",1,IF($AH329="PBI Dev",2,IF($AH329="QA",3,IF($AH329="DPO Approval",4,IF($AH329="RELEASED IN PROD",5,-1)))))),"Yes - was already at "&amp;$AH329&amp;", now back at "&amp;$C329,"No"))</f>
        <v/>
      </c>
      <c r="AJ329" s="9">
        <f>IF($B329="","",IF(AND(T329&lt;&gt;"",N329&lt;&gt;"",T329&lt;N329),"QA target is before DB Dev target",IF(AND(T329&lt;&gt;"",Q329&lt;&gt;"",T329&lt;Q329),"QA target is before PBI Dev target",IF(AND(W329&lt;&gt;"",T329&lt;&gt;"",W329&lt;T329),"DPO Approval target is before QA target",IF(AND(Z329&lt;&gt;"",W329&lt;&gt;"",Z329&lt;W329),"Confirmed Deployed date is before DPO Approval target","")))))</f>
        <v/>
      </c>
      <c r="AK329" s="9">
        <f>IF($B329="","",IF(COUNTIF($B$2:$B$500,$B329)&gt;1,"Duplicate name - check row",""))</f>
        <v/>
      </c>
      <c r="AL329" s="1" t="n"/>
      <c r="AM329" s="9">
        <f>IF($B329="","",SUMPRODUCT(MAX(('Rework Log'!$A$3:$A$500=$B329)*ROW('Rework Log'!$A$3:$A$500))))</f>
        <v/>
      </c>
    </row>
    <row r="330">
      <c r="A330" s="1" t="n"/>
      <c r="B330" s="1" t="n"/>
      <c r="C330" s="1" t="n"/>
      <c r="D330" s="9">
        <f>IF($B330="","",IF(LEFT($AC330,3)="Yes","Blocked",IF(C330="NOT STARTED",IF(K330="","No plan date set",IF(K330&lt;TODAY(),"Review - planned start passed","On track")),IF(C330="DB Dev",IF(N330="","No target set",IF(AND(N330&lt;TODAY(),P330=""),"Overdue","On track")),IF(C330="PBI Dev",IF(Q330="","No target set",IF(AND(Q330&lt;TODAY(),S330=""),"Overdue","On track")),IF(C330="QA",IF(T330="","No target set",IF(AND(T330&lt;TODAY(),V330=""),"Overdue","On track")),IF(C330="DPO Approval",IF(W330="","No target set",IF(W330&lt;TODAY(),"Overdue","On track")),IF(C330="RELEASED IN PROD","Delivered",""))))))))</f>
        <v/>
      </c>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c r="AA330" s="1" t="n"/>
      <c r="AB330" s="1" t="n"/>
      <c r="AC330" s="1" t="n"/>
      <c r="AD330" s="9">
        <f>IF($B330="","",COUNTIF('Rework Log'!$A$3:$A$500,$B330))</f>
        <v/>
      </c>
      <c r="AE330" s="9">
        <f>IF(OR($B330="",$AM330=0),"",INDEX('Rework Log'!$C:$C,$AM330))</f>
        <v/>
      </c>
      <c r="AF330" s="9">
        <f>IF(OR($B330="",$AM330=0),"",INDEX('Rework Log'!$H:$H,$AM330))</f>
        <v/>
      </c>
      <c r="AG330" s="9">
        <f>IF(OR($B330="",$AM330=0),"",INDEX('Rework Log'!$G:$G,$AM330))</f>
        <v/>
      </c>
      <c r="AH330" s="9">
        <f>IF($B330="","",IF(W330&lt;&gt;"","DPO Approval",IF(T330&lt;&gt;"","QA",IF(Q330&lt;&gt;"","PBI Dev",IF(N330&lt;&gt;"","DB Dev","NOT STARTED")))))</f>
        <v/>
      </c>
      <c r="AI330" s="9">
        <f>IF($B330="","",IF(IF($C330="NOT STARTED",0,IF($C330="DB Dev",1,IF($C330="PBI Dev",2,IF($C330="QA",3,IF($C330="DPO Approval",4,IF($C330="RELEASED IN PROD",5,-1))))))&lt;IF($AH330="NOT STARTED",0,IF($AH330="DB Dev",1,IF($AH330="PBI Dev",2,IF($AH330="QA",3,IF($AH330="DPO Approval",4,IF($AH330="RELEASED IN PROD",5,-1)))))),"Yes - was already at "&amp;$AH330&amp;", now back at "&amp;$C330,"No"))</f>
        <v/>
      </c>
      <c r="AJ330" s="9">
        <f>IF($B330="","",IF(AND(T330&lt;&gt;"",N330&lt;&gt;"",T330&lt;N330),"QA target is before DB Dev target",IF(AND(T330&lt;&gt;"",Q330&lt;&gt;"",T330&lt;Q330),"QA target is before PBI Dev target",IF(AND(W330&lt;&gt;"",T330&lt;&gt;"",W330&lt;T330),"DPO Approval target is before QA target",IF(AND(Z330&lt;&gt;"",W330&lt;&gt;"",Z330&lt;W330),"Confirmed Deployed date is before DPO Approval target","")))))</f>
        <v/>
      </c>
      <c r="AK330" s="9">
        <f>IF($B330="","",IF(COUNTIF($B$2:$B$500,$B330)&gt;1,"Duplicate name - check row",""))</f>
        <v/>
      </c>
      <c r="AL330" s="1" t="n"/>
      <c r="AM330" s="9">
        <f>IF($B330="","",SUMPRODUCT(MAX(('Rework Log'!$A$3:$A$500=$B330)*ROW('Rework Log'!$A$3:$A$500))))</f>
        <v/>
      </c>
    </row>
    <row r="331">
      <c r="A331" s="1" t="n"/>
      <c r="B331" s="1" t="n"/>
      <c r="C331" s="1" t="n"/>
      <c r="D331" s="9">
        <f>IF($B331="","",IF(LEFT($AC331,3)="Yes","Blocked",IF(C331="NOT STARTED",IF(K331="","No plan date set",IF(K331&lt;TODAY(),"Review - planned start passed","On track")),IF(C331="DB Dev",IF(N331="","No target set",IF(AND(N331&lt;TODAY(),P331=""),"Overdue","On track")),IF(C331="PBI Dev",IF(Q331="","No target set",IF(AND(Q331&lt;TODAY(),S331=""),"Overdue","On track")),IF(C331="QA",IF(T331="","No target set",IF(AND(T331&lt;TODAY(),V331=""),"Overdue","On track")),IF(C331="DPO Approval",IF(W331="","No target set",IF(W331&lt;TODAY(),"Overdue","On track")),IF(C331="RELEASED IN PROD","Delivered",""))))))))</f>
        <v/>
      </c>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c r="AA331" s="1" t="n"/>
      <c r="AB331" s="1" t="n"/>
      <c r="AC331" s="1" t="n"/>
      <c r="AD331" s="9">
        <f>IF($B331="","",COUNTIF('Rework Log'!$A$3:$A$500,$B331))</f>
        <v/>
      </c>
      <c r="AE331" s="9">
        <f>IF(OR($B331="",$AM331=0),"",INDEX('Rework Log'!$C:$C,$AM331))</f>
        <v/>
      </c>
      <c r="AF331" s="9">
        <f>IF(OR($B331="",$AM331=0),"",INDEX('Rework Log'!$H:$H,$AM331))</f>
        <v/>
      </c>
      <c r="AG331" s="9">
        <f>IF(OR($B331="",$AM331=0),"",INDEX('Rework Log'!$G:$G,$AM331))</f>
        <v/>
      </c>
      <c r="AH331" s="9">
        <f>IF($B331="","",IF(W331&lt;&gt;"","DPO Approval",IF(T331&lt;&gt;"","QA",IF(Q331&lt;&gt;"","PBI Dev",IF(N331&lt;&gt;"","DB Dev","NOT STARTED")))))</f>
        <v/>
      </c>
      <c r="AI331" s="9">
        <f>IF($B331="","",IF(IF($C331="NOT STARTED",0,IF($C331="DB Dev",1,IF($C331="PBI Dev",2,IF($C331="QA",3,IF($C331="DPO Approval",4,IF($C331="RELEASED IN PROD",5,-1))))))&lt;IF($AH331="NOT STARTED",0,IF($AH331="DB Dev",1,IF($AH331="PBI Dev",2,IF($AH331="QA",3,IF($AH331="DPO Approval",4,IF($AH331="RELEASED IN PROD",5,-1)))))),"Yes - was already at "&amp;$AH331&amp;", now back at "&amp;$C331,"No"))</f>
        <v/>
      </c>
      <c r="AJ331" s="9">
        <f>IF($B331="","",IF(AND(T331&lt;&gt;"",N331&lt;&gt;"",T331&lt;N331),"QA target is before DB Dev target",IF(AND(T331&lt;&gt;"",Q331&lt;&gt;"",T331&lt;Q331),"QA target is before PBI Dev target",IF(AND(W331&lt;&gt;"",T331&lt;&gt;"",W331&lt;T331),"DPO Approval target is before QA target",IF(AND(Z331&lt;&gt;"",W331&lt;&gt;"",Z331&lt;W331),"Confirmed Deployed date is before DPO Approval target","")))))</f>
        <v/>
      </c>
      <c r="AK331" s="9">
        <f>IF($B331="","",IF(COUNTIF($B$2:$B$500,$B331)&gt;1,"Duplicate name - check row",""))</f>
        <v/>
      </c>
      <c r="AL331" s="1" t="n"/>
      <c r="AM331" s="9">
        <f>IF($B331="","",SUMPRODUCT(MAX(('Rework Log'!$A$3:$A$500=$B331)*ROW('Rework Log'!$A$3:$A$500))))</f>
        <v/>
      </c>
    </row>
    <row r="332">
      <c r="A332" s="1" t="n"/>
      <c r="B332" s="1" t="n"/>
      <c r="C332" s="1" t="n"/>
      <c r="D332" s="9">
        <f>IF($B332="","",IF(LEFT($AC332,3)="Yes","Blocked",IF(C332="NOT STARTED",IF(K332="","No plan date set",IF(K332&lt;TODAY(),"Review - planned start passed","On track")),IF(C332="DB Dev",IF(N332="","No target set",IF(AND(N332&lt;TODAY(),P332=""),"Overdue","On track")),IF(C332="PBI Dev",IF(Q332="","No target set",IF(AND(Q332&lt;TODAY(),S332=""),"Overdue","On track")),IF(C332="QA",IF(T332="","No target set",IF(AND(T332&lt;TODAY(),V332=""),"Overdue","On track")),IF(C332="DPO Approval",IF(W332="","No target set",IF(W332&lt;TODAY(),"Overdue","On track")),IF(C332="RELEASED IN PROD","Delivered",""))))))))</f>
        <v/>
      </c>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c r="AA332" s="1" t="n"/>
      <c r="AB332" s="1" t="n"/>
      <c r="AC332" s="1" t="n"/>
      <c r="AD332" s="9">
        <f>IF($B332="","",COUNTIF('Rework Log'!$A$3:$A$500,$B332))</f>
        <v/>
      </c>
      <c r="AE332" s="9">
        <f>IF(OR($B332="",$AM332=0),"",INDEX('Rework Log'!$C:$C,$AM332))</f>
        <v/>
      </c>
      <c r="AF332" s="9">
        <f>IF(OR($B332="",$AM332=0),"",INDEX('Rework Log'!$H:$H,$AM332))</f>
        <v/>
      </c>
      <c r="AG332" s="9">
        <f>IF(OR($B332="",$AM332=0),"",INDEX('Rework Log'!$G:$G,$AM332))</f>
        <v/>
      </c>
      <c r="AH332" s="9">
        <f>IF($B332="","",IF(W332&lt;&gt;"","DPO Approval",IF(T332&lt;&gt;"","QA",IF(Q332&lt;&gt;"","PBI Dev",IF(N332&lt;&gt;"","DB Dev","NOT STARTED")))))</f>
        <v/>
      </c>
      <c r="AI332" s="9">
        <f>IF($B332="","",IF(IF($C332="NOT STARTED",0,IF($C332="DB Dev",1,IF($C332="PBI Dev",2,IF($C332="QA",3,IF($C332="DPO Approval",4,IF($C332="RELEASED IN PROD",5,-1))))))&lt;IF($AH332="NOT STARTED",0,IF($AH332="DB Dev",1,IF($AH332="PBI Dev",2,IF($AH332="QA",3,IF($AH332="DPO Approval",4,IF($AH332="RELEASED IN PROD",5,-1)))))),"Yes - was already at "&amp;$AH332&amp;", now back at "&amp;$C332,"No"))</f>
        <v/>
      </c>
      <c r="AJ332" s="9">
        <f>IF($B332="","",IF(AND(T332&lt;&gt;"",N332&lt;&gt;"",T332&lt;N332),"QA target is before DB Dev target",IF(AND(T332&lt;&gt;"",Q332&lt;&gt;"",T332&lt;Q332),"QA target is before PBI Dev target",IF(AND(W332&lt;&gt;"",T332&lt;&gt;"",W332&lt;T332),"DPO Approval target is before QA target",IF(AND(Z332&lt;&gt;"",W332&lt;&gt;"",Z332&lt;W332),"Confirmed Deployed date is before DPO Approval target","")))))</f>
        <v/>
      </c>
      <c r="AK332" s="9">
        <f>IF($B332="","",IF(COUNTIF($B$2:$B$500,$B332)&gt;1,"Duplicate name - check row",""))</f>
        <v/>
      </c>
      <c r="AL332" s="1" t="n"/>
      <c r="AM332" s="9">
        <f>IF($B332="","",SUMPRODUCT(MAX(('Rework Log'!$A$3:$A$500=$B332)*ROW('Rework Log'!$A$3:$A$500))))</f>
        <v/>
      </c>
    </row>
    <row r="333">
      <c r="A333" s="1" t="n"/>
      <c r="B333" s="1" t="n"/>
      <c r="C333" s="1" t="n"/>
      <c r="D333" s="9">
        <f>IF($B333="","",IF(LEFT($AC333,3)="Yes","Blocked",IF(C333="NOT STARTED",IF(K333="","No plan date set",IF(K333&lt;TODAY(),"Review - planned start passed","On track")),IF(C333="DB Dev",IF(N333="","No target set",IF(AND(N333&lt;TODAY(),P333=""),"Overdue","On track")),IF(C333="PBI Dev",IF(Q333="","No target set",IF(AND(Q333&lt;TODAY(),S333=""),"Overdue","On track")),IF(C333="QA",IF(T333="","No target set",IF(AND(T333&lt;TODAY(),V333=""),"Overdue","On track")),IF(C333="DPO Approval",IF(W333="","No target set",IF(W333&lt;TODAY(),"Overdue","On track")),IF(C333="RELEASED IN PROD","Delivered",""))))))))</f>
        <v/>
      </c>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c r="AA333" s="1" t="n"/>
      <c r="AB333" s="1" t="n"/>
      <c r="AC333" s="1" t="n"/>
      <c r="AD333" s="9">
        <f>IF($B333="","",COUNTIF('Rework Log'!$A$3:$A$500,$B333))</f>
        <v/>
      </c>
      <c r="AE333" s="9">
        <f>IF(OR($B333="",$AM333=0),"",INDEX('Rework Log'!$C:$C,$AM333))</f>
        <v/>
      </c>
      <c r="AF333" s="9">
        <f>IF(OR($B333="",$AM333=0),"",INDEX('Rework Log'!$H:$H,$AM333))</f>
        <v/>
      </c>
      <c r="AG333" s="9">
        <f>IF(OR($B333="",$AM333=0),"",INDEX('Rework Log'!$G:$G,$AM333))</f>
        <v/>
      </c>
      <c r="AH333" s="9">
        <f>IF($B333="","",IF(W333&lt;&gt;"","DPO Approval",IF(T333&lt;&gt;"","QA",IF(Q333&lt;&gt;"","PBI Dev",IF(N333&lt;&gt;"","DB Dev","NOT STARTED")))))</f>
        <v/>
      </c>
      <c r="AI333" s="9">
        <f>IF($B333="","",IF(IF($C333="NOT STARTED",0,IF($C333="DB Dev",1,IF($C333="PBI Dev",2,IF($C333="QA",3,IF($C333="DPO Approval",4,IF($C333="RELEASED IN PROD",5,-1))))))&lt;IF($AH333="NOT STARTED",0,IF($AH333="DB Dev",1,IF($AH333="PBI Dev",2,IF($AH333="QA",3,IF($AH333="DPO Approval",4,IF($AH333="RELEASED IN PROD",5,-1)))))),"Yes - was already at "&amp;$AH333&amp;", now back at "&amp;$C333,"No"))</f>
        <v/>
      </c>
      <c r="AJ333" s="9">
        <f>IF($B333="","",IF(AND(T333&lt;&gt;"",N333&lt;&gt;"",T333&lt;N333),"QA target is before DB Dev target",IF(AND(T333&lt;&gt;"",Q333&lt;&gt;"",T333&lt;Q333),"QA target is before PBI Dev target",IF(AND(W333&lt;&gt;"",T333&lt;&gt;"",W333&lt;T333),"DPO Approval target is before QA target",IF(AND(Z333&lt;&gt;"",W333&lt;&gt;"",Z333&lt;W333),"Confirmed Deployed date is before DPO Approval target","")))))</f>
        <v/>
      </c>
      <c r="AK333" s="9">
        <f>IF($B333="","",IF(COUNTIF($B$2:$B$500,$B333)&gt;1,"Duplicate name - check row",""))</f>
        <v/>
      </c>
      <c r="AL333" s="1" t="n"/>
      <c r="AM333" s="9">
        <f>IF($B333="","",SUMPRODUCT(MAX(('Rework Log'!$A$3:$A$500=$B333)*ROW('Rework Log'!$A$3:$A$500))))</f>
        <v/>
      </c>
    </row>
    <row r="334">
      <c r="A334" s="1" t="n"/>
      <c r="B334" s="1" t="n"/>
      <c r="C334" s="1" t="n"/>
      <c r="D334" s="9">
        <f>IF($B334="","",IF(LEFT($AC334,3)="Yes","Blocked",IF(C334="NOT STARTED",IF(K334="","No plan date set",IF(K334&lt;TODAY(),"Review - planned start passed","On track")),IF(C334="DB Dev",IF(N334="","No target set",IF(AND(N334&lt;TODAY(),P334=""),"Overdue","On track")),IF(C334="PBI Dev",IF(Q334="","No target set",IF(AND(Q334&lt;TODAY(),S334=""),"Overdue","On track")),IF(C334="QA",IF(T334="","No target set",IF(AND(T334&lt;TODAY(),V334=""),"Overdue","On track")),IF(C334="DPO Approval",IF(W334="","No target set",IF(W334&lt;TODAY(),"Overdue","On track")),IF(C334="RELEASED IN PROD","Delivered",""))))))))</f>
        <v/>
      </c>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c r="AA334" s="1" t="n"/>
      <c r="AB334" s="1" t="n"/>
      <c r="AC334" s="1" t="n"/>
      <c r="AD334" s="9">
        <f>IF($B334="","",COUNTIF('Rework Log'!$A$3:$A$500,$B334))</f>
        <v/>
      </c>
      <c r="AE334" s="9">
        <f>IF(OR($B334="",$AM334=0),"",INDEX('Rework Log'!$C:$C,$AM334))</f>
        <v/>
      </c>
      <c r="AF334" s="9">
        <f>IF(OR($B334="",$AM334=0),"",INDEX('Rework Log'!$H:$H,$AM334))</f>
        <v/>
      </c>
      <c r="AG334" s="9">
        <f>IF(OR($B334="",$AM334=0),"",INDEX('Rework Log'!$G:$G,$AM334))</f>
        <v/>
      </c>
      <c r="AH334" s="9">
        <f>IF($B334="","",IF(W334&lt;&gt;"","DPO Approval",IF(T334&lt;&gt;"","QA",IF(Q334&lt;&gt;"","PBI Dev",IF(N334&lt;&gt;"","DB Dev","NOT STARTED")))))</f>
        <v/>
      </c>
      <c r="AI334" s="9">
        <f>IF($B334="","",IF(IF($C334="NOT STARTED",0,IF($C334="DB Dev",1,IF($C334="PBI Dev",2,IF($C334="QA",3,IF($C334="DPO Approval",4,IF($C334="RELEASED IN PROD",5,-1))))))&lt;IF($AH334="NOT STARTED",0,IF($AH334="DB Dev",1,IF($AH334="PBI Dev",2,IF($AH334="QA",3,IF($AH334="DPO Approval",4,IF($AH334="RELEASED IN PROD",5,-1)))))),"Yes - was already at "&amp;$AH334&amp;", now back at "&amp;$C334,"No"))</f>
        <v/>
      </c>
      <c r="AJ334" s="9">
        <f>IF($B334="","",IF(AND(T334&lt;&gt;"",N334&lt;&gt;"",T334&lt;N334),"QA target is before DB Dev target",IF(AND(T334&lt;&gt;"",Q334&lt;&gt;"",T334&lt;Q334),"QA target is before PBI Dev target",IF(AND(W334&lt;&gt;"",T334&lt;&gt;"",W334&lt;T334),"DPO Approval target is before QA target",IF(AND(Z334&lt;&gt;"",W334&lt;&gt;"",Z334&lt;W334),"Confirmed Deployed date is before DPO Approval target","")))))</f>
        <v/>
      </c>
      <c r="AK334" s="9">
        <f>IF($B334="","",IF(COUNTIF($B$2:$B$500,$B334)&gt;1,"Duplicate name - check row",""))</f>
        <v/>
      </c>
      <c r="AL334" s="1" t="n"/>
      <c r="AM334" s="9">
        <f>IF($B334="","",SUMPRODUCT(MAX(('Rework Log'!$A$3:$A$500=$B334)*ROW('Rework Log'!$A$3:$A$500))))</f>
        <v/>
      </c>
    </row>
    <row r="335">
      <c r="A335" s="1" t="n"/>
      <c r="B335" s="1" t="n"/>
      <c r="C335" s="1" t="n"/>
      <c r="D335" s="9">
        <f>IF($B335="","",IF(LEFT($AC335,3)="Yes","Blocked",IF(C335="NOT STARTED",IF(K335="","No plan date set",IF(K335&lt;TODAY(),"Review - planned start passed","On track")),IF(C335="DB Dev",IF(N335="","No target set",IF(AND(N335&lt;TODAY(),P335=""),"Overdue","On track")),IF(C335="PBI Dev",IF(Q335="","No target set",IF(AND(Q335&lt;TODAY(),S335=""),"Overdue","On track")),IF(C335="QA",IF(T335="","No target set",IF(AND(T335&lt;TODAY(),V335=""),"Overdue","On track")),IF(C335="DPO Approval",IF(W335="","No target set",IF(W335&lt;TODAY(),"Overdue","On track")),IF(C335="RELEASED IN PROD","Delivered",""))))))))</f>
        <v/>
      </c>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c r="AA335" s="1" t="n"/>
      <c r="AB335" s="1" t="n"/>
      <c r="AC335" s="1" t="n"/>
      <c r="AD335" s="9">
        <f>IF($B335="","",COUNTIF('Rework Log'!$A$3:$A$500,$B335))</f>
        <v/>
      </c>
      <c r="AE335" s="9">
        <f>IF(OR($B335="",$AM335=0),"",INDEX('Rework Log'!$C:$C,$AM335))</f>
        <v/>
      </c>
      <c r="AF335" s="9">
        <f>IF(OR($B335="",$AM335=0),"",INDEX('Rework Log'!$H:$H,$AM335))</f>
        <v/>
      </c>
      <c r="AG335" s="9">
        <f>IF(OR($B335="",$AM335=0),"",INDEX('Rework Log'!$G:$G,$AM335))</f>
        <v/>
      </c>
      <c r="AH335" s="9">
        <f>IF($B335="","",IF(W335&lt;&gt;"","DPO Approval",IF(T335&lt;&gt;"","QA",IF(Q335&lt;&gt;"","PBI Dev",IF(N335&lt;&gt;"","DB Dev","NOT STARTED")))))</f>
        <v/>
      </c>
      <c r="AI335" s="9">
        <f>IF($B335="","",IF(IF($C335="NOT STARTED",0,IF($C335="DB Dev",1,IF($C335="PBI Dev",2,IF($C335="QA",3,IF($C335="DPO Approval",4,IF($C335="RELEASED IN PROD",5,-1))))))&lt;IF($AH335="NOT STARTED",0,IF($AH335="DB Dev",1,IF($AH335="PBI Dev",2,IF($AH335="QA",3,IF($AH335="DPO Approval",4,IF($AH335="RELEASED IN PROD",5,-1)))))),"Yes - was already at "&amp;$AH335&amp;", now back at "&amp;$C335,"No"))</f>
        <v/>
      </c>
      <c r="AJ335" s="9">
        <f>IF($B335="","",IF(AND(T335&lt;&gt;"",N335&lt;&gt;"",T335&lt;N335),"QA target is before DB Dev target",IF(AND(T335&lt;&gt;"",Q335&lt;&gt;"",T335&lt;Q335),"QA target is before PBI Dev target",IF(AND(W335&lt;&gt;"",T335&lt;&gt;"",W335&lt;T335),"DPO Approval target is before QA target",IF(AND(Z335&lt;&gt;"",W335&lt;&gt;"",Z335&lt;W335),"Confirmed Deployed date is before DPO Approval target","")))))</f>
        <v/>
      </c>
      <c r="AK335" s="9">
        <f>IF($B335="","",IF(COUNTIF($B$2:$B$500,$B335)&gt;1,"Duplicate name - check row",""))</f>
        <v/>
      </c>
      <c r="AL335" s="1" t="n"/>
      <c r="AM335" s="9">
        <f>IF($B335="","",SUMPRODUCT(MAX(('Rework Log'!$A$3:$A$500=$B335)*ROW('Rework Log'!$A$3:$A$500))))</f>
        <v/>
      </c>
    </row>
    <row r="336">
      <c r="A336" s="1" t="n"/>
      <c r="B336" s="1" t="n"/>
      <c r="C336" s="1" t="n"/>
      <c r="D336" s="9">
        <f>IF($B336="","",IF(LEFT($AC336,3)="Yes","Blocked",IF(C336="NOT STARTED",IF(K336="","No plan date set",IF(K336&lt;TODAY(),"Review - planned start passed","On track")),IF(C336="DB Dev",IF(N336="","No target set",IF(AND(N336&lt;TODAY(),P336=""),"Overdue","On track")),IF(C336="PBI Dev",IF(Q336="","No target set",IF(AND(Q336&lt;TODAY(),S336=""),"Overdue","On track")),IF(C336="QA",IF(T336="","No target set",IF(AND(T336&lt;TODAY(),V336=""),"Overdue","On track")),IF(C336="DPO Approval",IF(W336="","No target set",IF(W336&lt;TODAY(),"Overdue","On track")),IF(C336="RELEASED IN PROD","Delivered",""))))))))</f>
        <v/>
      </c>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c r="AA336" s="1" t="n"/>
      <c r="AB336" s="1" t="n"/>
      <c r="AC336" s="1" t="n"/>
      <c r="AD336" s="9">
        <f>IF($B336="","",COUNTIF('Rework Log'!$A$3:$A$500,$B336))</f>
        <v/>
      </c>
      <c r="AE336" s="9">
        <f>IF(OR($B336="",$AM336=0),"",INDEX('Rework Log'!$C:$C,$AM336))</f>
        <v/>
      </c>
      <c r="AF336" s="9">
        <f>IF(OR($B336="",$AM336=0),"",INDEX('Rework Log'!$H:$H,$AM336))</f>
        <v/>
      </c>
      <c r="AG336" s="9">
        <f>IF(OR($B336="",$AM336=0),"",INDEX('Rework Log'!$G:$G,$AM336))</f>
        <v/>
      </c>
      <c r="AH336" s="9">
        <f>IF($B336="","",IF(W336&lt;&gt;"","DPO Approval",IF(T336&lt;&gt;"","QA",IF(Q336&lt;&gt;"","PBI Dev",IF(N336&lt;&gt;"","DB Dev","NOT STARTED")))))</f>
        <v/>
      </c>
      <c r="AI336" s="9">
        <f>IF($B336="","",IF(IF($C336="NOT STARTED",0,IF($C336="DB Dev",1,IF($C336="PBI Dev",2,IF($C336="QA",3,IF($C336="DPO Approval",4,IF($C336="RELEASED IN PROD",5,-1))))))&lt;IF($AH336="NOT STARTED",0,IF($AH336="DB Dev",1,IF($AH336="PBI Dev",2,IF($AH336="QA",3,IF($AH336="DPO Approval",4,IF($AH336="RELEASED IN PROD",5,-1)))))),"Yes - was already at "&amp;$AH336&amp;", now back at "&amp;$C336,"No"))</f>
        <v/>
      </c>
      <c r="AJ336" s="9">
        <f>IF($B336="","",IF(AND(T336&lt;&gt;"",N336&lt;&gt;"",T336&lt;N336),"QA target is before DB Dev target",IF(AND(T336&lt;&gt;"",Q336&lt;&gt;"",T336&lt;Q336),"QA target is before PBI Dev target",IF(AND(W336&lt;&gt;"",T336&lt;&gt;"",W336&lt;T336),"DPO Approval target is before QA target",IF(AND(Z336&lt;&gt;"",W336&lt;&gt;"",Z336&lt;W336),"Confirmed Deployed date is before DPO Approval target","")))))</f>
        <v/>
      </c>
      <c r="AK336" s="9">
        <f>IF($B336="","",IF(COUNTIF($B$2:$B$500,$B336)&gt;1,"Duplicate name - check row",""))</f>
        <v/>
      </c>
      <c r="AL336" s="1" t="n"/>
      <c r="AM336" s="9">
        <f>IF($B336="","",SUMPRODUCT(MAX(('Rework Log'!$A$3:$A$500=$B336)*ROW('Rework Log'!$A$3:$A$500))))</f>
        <v/>
      </c>
    </row>
    <row r="337">
      <c r="A337" s="1" t="n"/>
      <c r="B337" s="1" t="n"/>
      <c r="C337" s="1" t="n"/>
      <c r="D337" s="9">
        <f>IF($B337="","",IF(LEFT($AC337,3)="Yes","Blocked",IF(C337="NOT STARTED",IF(K337="","No plan date set",IF(K337&lt;TODAY(),"Review - planned start passed","On track")),IF(C337="DB Dev",IF(N337="","No target set",IF(AND(N337&lt;TODAY(),P337=""),"Overdue","On track")),IF(C337="PBI Dev",IF(Q337="","No target set",IF(AND(Q337&lt;TODAY(),S337=""),"Overdue","On track")),IF(C337="QA",IF(T337="","No target set",IF(AND(T337&lt;TODAY(),V337=""),"Overdue","On track")),IF(C337="DPO Approval",IF(W337="","No target set",IF(W337&lt;TODAY(),"Overdue","On track")),IF(C337="RELEASED IN PROD","Delivered",""))))))))</f>
        <v/>
      </c>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c r="AA337" s="1" t="n"/>
      <c r="AB337" s="1" t="n"/>
      <c r="AC337" s="1" t="n"/>
      <c r="AD337" s="9">
        <f>IF($B337="","",COUNTIF('Rework Log'!$A$3:$A$500,$B337))</f>
        <v/>
      </c>
      <c r="AE337" s="9">
        <f>IF(OR($B337="",$AM337=0),"",INDEX('Rework Log'!$C:$C,$AM337))</f>
        <v/>
      </c>
      <c r="AF337" s="9">
        <f>IF(OR($B337="",$AM337=0),"",INDEX('Rework Log'!$H:$H,$AM337))</f>
        <v/>
      </c>
      <c r="AG337" s="9">
        <f>IF(OR($B337="",$AM337=0),"",INDEX('Rework Log'!$G:$G,$AM337))</f>
        <v/>
      </c>
      <c r="AH337" s="9">
        <f>IF($B337="","",IF(W337&lt;&gt;"","DPO Approval",IF(T337&lt;&gt;"","QA",IF(Q337&lt;&gt;"","PBI Dev",IF(N337&lt;&gt;"","DB Dev","NOT STARTED")))))</f>
        <v/>
      </c>
      <c r="AI337" s="9">
        <f>IF($B337="","",IF(IF($C337="NOT STARTED",0,IF($C337="DB Dev",1,IF($C337="PBI Dev",2,IF($C337="QA",3,IF($C337="DPO Approval",4,IF($C337="RELEASED IN PROD",5,-1))))))&lt;IF($AH337="NOT STARTED",0,IF($AH337="DB Dev",1,IF($AH337="PBI Dev",2,IF($AH337="QA",3,IF($AH337="DPO Approval",4,IF($AH337="RELEASED IN PROD",5,-1)))))),"Yes - was already at "&amp;$AH337&amp;", now back at "&amp;$C337,"No"))</f>
        <v/>
      </c>
      <c r="AJ337" s="9">
        <f>IF($B337="","",IF(AND(T337&lt;&gt;"",N337&lt;&gt;"",T337&lt;N337),"QA target is before DB Dev target",IF(AND(T337&lt;&gt;"",Q337&lt;&gt;"",T337&lt;Q337),"QA target is before PBI Dev target",IF(AND(W337&lt;&gt;"",T337&lt;&gt;"",W337&lt;T337),"DPO Approval target is before QA target",IF(AND(Z337&lt;&gt;"",W337&lt;&gt;"",Z337&lt;W337),"Confirmed Deployed date is before DPO Approval target","")))))</f>
        <v/>
      </c>
      <c r="AK337" s="9">
        <f>IF($B337="","",IF(COUNTIF($B$2:$B$500,$B337)&gt;1,"Duplicate name - check row",""))</f>
        <v/>
      </c>
      <c r="AL337" s="1" t="n"/>
      <c r="AM337" s="9">
        <f>IF($B337="","",SUMPRODUCT(MAX(('Rework Log'!$A$3:$A$500=$B337)*ROW('Rework Log'!$A$3:$A$500))))</f>
        <v/>
      </c>
    </row>
    <row r="338">
      <c r="A338" s="1" t="n"/>
      <c r="B338" s="1" t="n"/>
      <c r="C338" s="1" t="n"/>
      <c r="D338" s="9">
        <f>IF($B338="","",IF(LEFT($AC338,3)="Yes","Blocked",IF(C338="NOT STARTED",IF(K338="","No plan date set",IF(K338&lt;TODAY(),"Review - planned start passed","On track")),IF(C338="DB Dev",IF(N338="","No target set",IF(AND(N338&lt;TODAY(),P338=""),"Overdue","On track")),IF(C338="PBI Dev",IF(Q338="","No target set",IF(AND(Q338&lt;TODAY(),S338=""),"Overdue","On track")),IF(C338="QA",IF(T338="","No target set",IF(AND(T338&lt;TODAY(),V338=""),"Overdue","On track")),IF(C338="DPO Approval",IF(W338="","No target set",IF(W338&lt;TODAY(),"Overdue","On track")),IF(C338="RELEASED IN PROD","Delivered",""))))))))</f>
        <v/>
      </c>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c r="AA338" s="1" t="n"/>
      <c r="AB338" s="1" t="n"/>
      <c r="AC338" s="1" t="n"/>
      <c r="AD338" s="9">
        <f>IF($B338="","",COUNTIF('Rework Log'!$A$3:$A$500,$B338))</f>
        <v/>
      </c>
      <c r="AE338" s="9">
        <f>IF(OR($B338="",$AM338=0),"",INDEX('Rework Log'!$C:$C,$AM338))</f>
        <v/>
      </c>
      <c r="AF338" s="9">
        <f>IF(OR($B338="",$AM338=0),"",INDEX('Rework Log'!$H:$H,$AM338))</f>
        <v/>
      </c>
      <c r="AG338" s="9">
        <f>IF(OR($B338="",$AM338=0),"",INDEX('Rework Log'!$G:$G,$AM338))</f>
        <v/>
      </c>
      <c r="AH338" s="9">
        <f>IF($B338="","",IF(W338&lt;&gt;"","DPO Approval",IF(T338&lt;&gt;"","QA",IF(Q338&lt;&gt;"","PBI Dev",IF(N338&lt;&gt;"","DB Dev","NOT STARTED")))))</f>
        <v/>
      </c>
      <c r="AI338" s="9">
        <f>IF($B338="","",IF(IF($C338="NOT STARTED",0,IF($C338="DB Dev",1,IF($C338="PBI Dev",2,IF($C338="QA",3,IF($C338="DPO Approval",4,IF($C338="RELEASED IN PROD",5,-1))))))&lt;IF($AH338="NOT STARTED",0,IF($AH338="DB Dev",1,IF($AH338="PBI Dev",2,IF($AH338="QA",3,IF($AH338="DPO Approval",4,IF($AH338="RELEASED IN PROD",5,-1)))))),"Yes - was already at "&amp;$AH338&amp;", now back at "&amp;$C338,"No"))</f>
        <v/>
      </c>
      <c r="AJ338" s="9">
        <f>IF($B338="","",IF(AND(T338&lt;&gt;"",N338&lt;&gt;"",T338&lt;N338),"QA target is before DB Dev target",IF(AND(T338&lt;&gt;"",Q338&lt;&gt;"",T338&lt;Q338),"QA target is before PBI Dev target",IF(AND(W338&lt;&gt;"",T338&lt;&gt;"",W338&lt;T338),"DPO Approval target is before QA target",IF(AND(Z338&lt;&gt;"",W338&lt;&gt;"",Z338&lt;W338),"Confirmed Deployed date is before DPO Approval target","")))))</f>
        <v/>
      </c>
      <c r="AK338" s="9">
        <f>IF($B338="","",IF(COUNTIF($B$2:$B$500,$B338)&gt;1,"Duplicate name - check row",""))</f>
        <v/>
      </c>
      <c r="AL338" s="1" t="n"/>
      <c r="AM338" s="9">
        <f>IF($B338="","",SUMPRODUCT(MAX(('Rework Log'!$A$3:$A$500=$B338)*ROW('Rework Log'!$A$3:$A$500))))</f>
        <v/>
      </c>
    </row>
    <row r="339">
      <c r="A339" s="1" t="n"/>
      <c r="B339" s="1" t="n"/>
      <c r="C339" s="1" t="n"/>
      <c r="D339" s="9">
        <f>IF($B339="","",IF(LEFT($AC339,3)="Yes","Blocked",IF(C339="NOT STARTED",IF(K339="","No plan date set",IF(K339&lt;TODAY(),"Review - planned start passed","On track")),IF(C339="DB Dev",IF(N339="","No target set",IF(AND(N339&lt;TODAY(),P339=""),"Overdue","On track")),IF(C339="PBI Dev",IF(Q339="","No target set",IF(AND(Q339&lt;TODAY(),S339=""),"Overdue","On track")),IF(C339="QA",IF(T339="","No target set",IF(AND(T339&lt;TODAY(),V339=""),"Overdue","On track")),IF(C339="DPO Approval",IF(W339="","No target set",IF(W339&lt;TODAY(),"Overdue","On track")),IF(C339="RELEASED IN PROD","Delivered",""))))))))</f>
        <v/>
      </c>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c r="AA339" s="1" t="n"/>
      <c r="AB339" s="1" t="n"/>
      <c r="AC339" s="1" t="n"/>
      <c r="AD339" s="9">
        <f>IF($B339="","",COUNTIF('Rework Log'!$A$3:$A$500,$B339))</f>
        <v/>
      </c>
      <c r="AE339" s="9">
        <f>IF(OR($B339="",$AM339=0),"",INDEX('Rework Log'!$C:$C,$AM339))</f>
        <v/>
      </c>
      <c r="AF339" s="9">
        <f>IF(OR($B339="",$AM339=0),"",INDEX('Rework Log'!$H:$H,$AM339))</f>
        <v/>
      </c>
      <c r="AG339" s="9">
        <f>IF(OR($B339="",$AM339=0),"",INDEX('Rework Log'!$G:$G,$AM339))</f>
        <v/>
      </c>
      <c r="AH339" s="9">
        <f>IF($B339="","",IF(W339&lt;&gt;"","DPO Approval",IF(T339&lt;&gt;"","QA",IF(Q339&lt;&gt;"","PBI Dev",IF(N339&lt;&gt;"","DB Dev","NOT STARTED")))))</f>
        <v/>
      </c>
      <c r="AI339" s="9">
        <f>IF($B339="","",IF(IF($C339="NOT STARTED",0,IF($C339="DB Dev",1,IF($C339="PBI Dev",2,IF($C339="QA",3,IF($C339="DPO Approval",4,IF($C339="RELEASED IN PROD",5,-1))))))&lt;IF($AH339="NOT STARTED",0,IF($AH339="DB Dev",1,IF($AH339="PBI Dev",2,IF($AH339="QA",3,IF($AH339="DPO Approval",4,IF($AH339="RELEASED IN PROD",5,-1)))))),"Yes - was already at "&amp;$AH339&amp;", now back at "&amp;$C339,"No"))</f>
        <v/>
      </c>
      <c r="AJ339" s="9">
        <f>IF($B339="","",IF(AND(T339&lt;&gt;"",N339&lt;&gt;"",T339&lt;N339),"QA target is before DB Dev target",IF(AND(T339&lt;&gt;"",Q339&lt;&gt;"",T339&lt;Q339),"QA target is before PBI Dev target",IF(AND(W339&lt;&gt;"",T339&lt;&gt;"",W339&lt;T339),"DPO Approval target is before QA target",IF(AND(Z339&lt;&gt;"",W339&lt;&gt;"",Z339&lt;W339),"Confirmed Deployed date is before DPO Approval target","")))))</f>
        <v/>
      </c>
      <c r="AK339" s="9">
        <f>IF($B339="","",IF(COUNTIF($B$2:$B$500,$B339)&gt;1,"Duplicate name - check row",""))</f>
        <v/>
      </c>
      <c r="AL339" s="1" t="n"/>
      <c r="AM339" s="9">
        <f>IF($B339="","",SUMPRODUCT(MAX(('Rework Log'!$A$3:$A$500=$B339)*ROW('Rework Log'!$A$3:$A$500))))</f>
        <v/>
      </c>
    </row>
    <row r="340">
      <c r="A340" s="1" t="n"/>
      <c r="B340" s="1" t="n"/>
      <c r="C340" s="1" t="n"/>
      <c r="D340" s="9">
        <f>IF($B340="","",IF(LEFT($AC340,3)="Yes","Blocked",IF(C340="NOT STARTED",IF(K340="","No plan date set",IF(K340&lt;TODAY(),"Review - planned start passed","On track")),IF(C340="DB Dev",IF(N340="","No target set",IF(AND(N340&lt;TODAY(),P340=""),"Overdue","On track")),IF(C340="PBI Dev",IF(Q340="","No target set",IF(AND(Q340&lt;TODAY(),S340=""),"Overdue","On track")),IF(C340="QA",IF(T340="","No target set",IF(AND(T340&lt;TODAY(),V340=""),"Overdue","On track")),IF(C340="DPO Approval",IF(W340="","No target set",IF(W340&lt;TODAY(),"Overdue","On track")),IF(C340="RELEASED IN PROD","Delivered",""))))))))</f>
        <v/>
      </c>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c r="AA340" s="1" t="n"/>
      <c r="AB340" s="1" t="n"/>
      <c r="AC340" s="1" t="n"/>
      <c r="AD340" s="9">
        <f>IF($B340="","",COUNTIF('Rework Log'!$A$3:$A$500,$B340))</f>
        <v/>
      </c>
      <c r="AE340" s="9">
        <f>IF(OR($B340="",$AM340=0),"",INDEX('Rework Log'!$C:$C,$AM340))</f>
        <v/>
      </c>
      <c r="AF340" s="9">
        <f>IF(OR($B340="",$AM340=0),"",INDEX('Rework Log'!$H:$H,$AM340))</f>
        <v/>
      </c>
      <c r="AG340" s="9">
        <f>IF(OR($B340="",$AM340=0),"",INDEX('Rework Log'!$G:$G,$AM340))</f>
        <v/>
      </c>
      <c r="AH340" s="9">
        <f>IF($B340="","",IF(W340&lt;&gt;"","DPO Approval",IF(T340&lt;&gt;"","QA",IF(Q340&lt;&gt;"","PBI Dev",IF(N340&lt;&gt;"","DB Dev","NOT STARTED")))))</f>
        <v/>
      </c>
      <c r="AI340" s="9">
        <f>IF($B340="","",IF(IF($C340="NOT STARTED",0,IF($C340="DB Dev",1,IF($C340="PBI Dev",2,IF($C340="QA",3,IF($C340="DPO Approval",4,IF($C340="RELEASED IN PROD",5,-1))))))&lt;IF($AH340="NOT STARTED",0,IF($AH340="DB Dev",1,IF($AH340="PBI Dev",2,IF($AH340="QA",3,IF($AH340="DPO Approval",4,IF($AH340="RELEASED IN PROD",5,-1)))))),"Yes - was already at "&amp;$AH340&amp;", now back at "&amp;$C340,"No"))</f>
        <v/>
      </c>
      <c r="AJ340" s="9">
        <f>IF($B340="","",IF(AND(T340&lt;&gt;"",N340&lt;&gt;"",T340&lt;N340),"QA target is before DB Dev target",IF(AND(T340&lt;&gt;"",Q340&lt;&gt;"",T340&lt;Q340),"QA target is before PBI Dev target",IF(AND(W340&lt;&gt;"",T340&lt;&gt;"",W340&lt;T340),"DPO Approval target is before QA target",IF(AND(Z340&lt;&gt;"",W340&lt;&gt;"",Z340&lt;W340),"Confirmed Deployed date is before DPO Approval target","")))))</f>
        <v/>
      </c>
      <c r="AK340" s="9">
        <f>IF($B340="","",IF(COUNTIF($B$2:$B$500,$B340)&gt;1,"Duplicate name - check row",""))</f>
        <v/>
      </c>
      <c r="AL340" s="1" t="n"/>
      <c r="AM340" s="9">
        <f>IF($B340="","",SUMPRODUCT(MAX(('Rework Log'!$A$3:$A$500=$B340)*ROW('Rework Log'!$A$3:$A$500))))</f>
        <v/>
      </c>
    </row>
    <row r="341">
      <c r="A341" s="1" t="n"/>
      <c r="B341" s="1" t="n"/>
      <c r="C341" s="1" t="n"/>
      <c r="D341" s="9">
        <f>IF($B341="","",IF(LEFT($AC341,3)="Yes","Blocked",IF(C341="NOT STARTED",IF(K341="","No plan date set",IF(K341&lt;TODAY(),"Review - planned start passed","On track")),IF(C341="DB Dev",IF(N341="","No target set",IF(AND(N341&lt;TODAY(),P341=""),"Overdue","On track")),IF(C341="PBI Dev",IF(Q341="","No target set",IF(AND(Q341&lt;TODAY(),S341=""),"Overdue","On track")),IF(C341="QA",IF(T341="","No target set",IF(AND(T341&lt;TODAY(),V341=""),"Overdue","On track")),IF(C341="DPO Approval",IF(W341="","No target set",IF(W341&lt;TODAY(),"Overdue","On track")),IF(C341="RELEASED IN PROD","Delivered",""))))))))</f>
        <v/>
      </c>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c r="AA341" s="1" t="n"/>
      <c r="AB341" s="1" t="n"/>
      <c r="AC341" s="1" t="n"/>
      <c r="AD341" s="9">
        <f>IF($B341="","",COUNTIF('Rework Log'!$A$3:$A$500,$B341))</f>
        <v/>
      </c>
      <c r="AE341" s="9">
        <f>IF(OR($B341="",$AM341=0),"",INDEX('Rework Log'!$C:$C,$AM341))</f>
        <v/>
      </c>
      <c r="AF341" s="9">
        <f>IF(OR($B341="",$AM341=0),"",INDEX('Rework Log'!$H:$H,$AM341))</f>
        <v/>
      </c>
      <c r="AG341" s="9">
        <f>IF(OR($B341="",$AM341=0),"",INDEX('Rework Log'!$G:$G,$AM341))</f>
        <v/>
      </c>
      <c r="AH341" s="9">
        <f>IF($B341="","",IF(W341&lt;&gt;"","DPO Approval",IF(T341&lt;&gt;"","QA",IF(Q341&lt;&gt;"","PBI Dev",IF(N341&lt;&gt;"","DB Dev","NOT STARTED")))))</f>
        <v/>
      </c>
      <c r="AI341" s="9">
        <f>IF($B341="","",IF(IF($C341="NOT STARTED",0,IF($C341="DB Dev",1,IF($C341="PBI Dev",2,IF($C341="QA",3,IF($C341="DPO Approval",4,IF($C341="RELEASED IN PROD",5,-1))))))&lt;IF($AH341="NOT STARTED",0,IF($AH341="DB Dev",1,IF($AH341="PBI Dev",2,IF($AH341="QA",3,IF($AH341="DPO Approval",4,IF($AH341="RELEASED IN PROD",5,-1)))))),"Yes - was already at "&amp;$AH341&amp;", now back at "&amp;$C341,"No"))</f>
        <v/>
      </c>
      <c r="AJ341" s="9">
        <f>IF($B341="","",IF(AND(T341&lt;&gt;"",N341&lt;&gt;"",T341&lt;N341),"QA target is before DB Dev target",IF(AND(T341&lt;&gt;"",Q341&lt;&gt;"",T341&lt;Q341),"QA target is before PBI Dev target",IF(AND(W341&lt;&gt;"",T341&lt;&gt;"",W341&lt;T341),"DPO Approval target is before QA target",IF(AND(Z341&lt;&gt;"",W341&lt;&gt;"",Z341&lt;W341),"Confirmed Deployed date is before DPO Approval target","")))))</f>
        <v/>
      </c>
      <c r="AK341" s="9">
        <f>IF($B341="","",IF(COUNTIF($B$2:$B$500,$B341)&gt;1,"Duplicate name - check row",""))</f>
        <v/>
      </c>
      <c r="AL341" s="1" t="n"/>
      <c r="AM341" s="9">
        <f>IF($B341="","",SUMPRODUCT(MAX(('Rework Log'!$A$3:$A$500=$B341)*ROW('Rework Log'!$A$3:$A$500))))</f>
        <v/>
      </c>
    </row>
    <row r="342">
      <c r="A342" s="1" t="n"/>
      <c r="B342" s="1" t="n"/>
      <c r="C342" s="1" t="n"/>
      <c r="D342" s="9">
        <f>IF($B342="","",IF(LEFT($AC342,3)="Yes","Blocked",IF(C342="NOT STARTED",IF(K342="","No plan date set",IF(K342&lt;TODAY(),"Review - planned start passed","On track")),IF(C342="DB Dev",IF(N342="","No target set",IF(AND(N342&lt;TODAY(),P342=""),"Overdue","On track")),IF(C342="PBI Dev",IF(Q342="","No target set",IF(AND(Q342&lt;TODAY(),S342=""),"Overdue","On track")),IF(C342="QA",IF(T342="","No target set",IF(AND(T342&lt;TODAY(),V342=""),"Overdue","On track")),IF(C342="DPO Approval",IF(W342="","No target set",IF(W342&lt;TODAY(),"Overdue","On track")),IF(C342="RELEASED IN PROD","Delivered",""))))))))</f>
        <v/>
      </c>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c r="AA342" s="1" t="n"/>
      <c r="AB342" s="1" t="n"/>
      <c r="AC342" s="1" t="n"/>
      <c r="AD342" s="9">
        <f>IF($B342="","",COUNTIF('Rework Log'!$A$3:$A$500,$B342))</f>
        <v/>
      </c>
      <c r="AE342" s="9">
        <f>IF(OR($B342="",$AM342=0),"",INDEX('Rework Log'!$C:$C,$AM342))</f>
        <v/>
      </c>
      <c r="AF342" s="9">
        <f>IF(OR($B342="",$AM342=0),"",INDEX('Rework Log'!$H:$H,$AM342))</f>
        <v/>
      </c>
      <c r="AG342" s="9">
        <f>IF(OR($B342="",$AM342=0),"",INDEX('Rework Log'!$G:$G,$AM342))</f>
        <v/>
      </c>
      <c r="AH342" s="9">
        <f>IF($B342="","",IF(W342&lt;&gt;"","DPO Approval",IF(T342&lt;&gt;"","QA",IF(Q342&lt;&gt;"","PBI Dev",IF(N342&lt;&gt;"","DB Dev","NOT STARTED")))))</f>
        <v/>
      </c>
      <c r="AI342" s="9">
        <f>IF($B342="","",IF(IF($C342="NOT STARTED",0,IF($C342="DB Dev",1,IF($C342="PBI Dev",2,IF($C342="QA",3,IF($C342="DPO Approval",4,IF($C342="RELEASED IN PROD",5,-1))))))&lt;IF($AH342="NOT STARTED",0,IF($AH342="DB Dev",1,IF($AH342="PBI Dev",2,IF($AH342="QA",3,IF($AH342="DPO Approval",4,IF($AH342="RELEASED IN PROD",5,-1)))))),"Yes - was already at "&amp;$AH342&amp;", now back at "&amp;$C342,"No"))</f>
        <v/>
      </c>
      <c r="AJ342" s="9">
        <f>IF($B342="","",IF(AND(T342&lt;&gt;"",N342&lt;&gt;"",T342&lt;N342),"QA target is before DB Dev target",IF(AND(T342&lt;&gt;"",Q342&lt;&gt;"",T342&lt;Q342),"QA target is before PBI Dev target",IF(AND(W342&lt;&gt;"",T342&lt;&gt;"",W342&lt;T342),"DPO Approval target is before QA target",IF(AND(Z342&lt;&gt;"",W342&lt;&gt;"",Z342&lt;W342),"Confirmed Deployed date is before DPO Approval target","")))))</f>
        <v/>
      </c>
      <c r="AK342" s="9">
        <f>IF($B342="","",IF(COUNTIF($B$2:$B$500,$B342)&gt;1,"Duplicate name - check row",""))</f>
        <v/>
      </c>
      <c r="AL342" s="1" t="n"/>
      <c r="AM342" s="9">
        <f>IF($B342="","",SUMPRODUCT(MAX(('Rework Log'!$A$3:$A$500=$B342)*ROW('Rework Log'!$A$3:$A$500))))</f>
        <v/>
      </c>
    </row>
    <row r="343">
      <c r="A343" s="1" t="n"/>
      <c r="B343" s="1" t="n"/>
      <c r="C343" s="1" t="n"/>
      <c r="D343" s="9">
        <f>IF($B343="","",IF(LEFT($AC343,3)="Yes","Blocked",IF(C343="NOT STARTED",IF(K343="","No plan date set",IF(K343&lt;TODAY(),"Review - planned start passed","On track")),IF(C343="DB Dev",IF(N343="","No target set",IF(AND(N343&lt;TODAY(),P343=""),"Overdue","On track")),IF(C343="PBI Dev",IF(Q343="","No target set",IF(AND(Q343&lt;TODAY(),S343=""),"Overdue","On track")),IF(C343="QA",IF(T343="","No target set",IF(AND(T343&lt;TODAY(),V343=""),"Overdue","On track")),IF(C343="DPO Approval",IF(W343="","No target set",IF(W343&lt;TODAY(),"Overdue","On track")),IF(C343="RELEASED IN PROD","Delivered",""))))))))</f>
        <v/>
      </c>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c r="AA343" s="1" t="n"/>
      <c r="AB343" s="1" t="n"/>
      <c r="AC343" s="1" t="n"/>
      <c r="AD343" s="9">
        <f>IF($B343="","",COUNTIF('Rework Log'!$A$3:$A$500,$B343))</f>
        <v/>
      </c>
      <c r="AE343" s="9">
        <f>IF(OR($B343="",$AM343=0),"",INDEX('Rework Log'!$C:$C,$AM343))</f>
        <v/>
      </c>
      <c r="AF343" s="9">
        <f>IF(OR($B343="",$AM343=0),"",INDEX('Rework Log'!$H:$H,$AM343))</f>
        <v/>
      </c>
      <c r="AG343" s="9">
        <f>IF(OR($B343="",$AM343=0),"",INDEX('Rework Log'!$G:$G,$AM343))</f>
        <v/>
      </c>
      <c r="AH343" s="9">
        <f>IF($B343="","",IF(W343&lt;&gt;"","DPO Approval",IF(T343&lt;&gt;"","QA",IF(Q343&lt;&gt;"","PBI Dev",IF(N343&lt;&gt;"","DB Dev","NOT STARTED")))))</f>
        <v/>
      </c>
      <c r="AI343" s="9">
        <f>IF($B343="","",IF(IF($C343="NOT STARTED",0,IF($C343="DB Dev",1,IF($C343="PBI Dev",2,IF($C343="QA",3,IF($C343="DPO Approval",4,IF($C343="RELEASED IN PROD",5,-1))))))&lt;IF($AH343="NOT STARTED",0,IF($AH343="DB Dev",1,IF($AH343="PBI Dev",2,IF($AH343="QA",3,IF($AH343="DPO Approval",4,IF($AH343="RELEASED IN PROD",5,-1)))))),"Yes - was already at "&amp;$AH343&amp;", now back at "&amp;$C343,"No"))</f>
        <v/>
      </c>
      <c r="AJ343" s="9">
        <f>IF($B343="","",IF(AND(T343&lt;&gt;"",N343&lt;&gt;"",T343&lt;N343),"QA target is before DB Dev target",IF(AND(T343&lt;&gt;"",Q343&lt;&gt;"",T343&lt;Q343),"QA target is before PBI Dev target",IF(AND(W343&lt;&gt;"",T343&lt;&gt;"",W343&lt;T343),"DPO Approval target is before QA target",IF(AND(Z343&lt;&gt;"",W343&lt;&gt;"",Z343&lt;W343),"Confirmed Deployed date is before DPO Approval target","")))))</f>
        <v/>
      </c>
      <c r="AK343" s="9">
        <f>IF($B343="","",IF(COUNTIF($B$2:$B$500,$B343)&gt;1,"Duplicate name - check row",""))</f>
        <v/>
      </c>
      <c r="AL343" s="1" t="n"/>
      <c r="AM343" s="9">
        <f>IF($B343="","",SUMPRODUCT(MAX(('Rework Log'!$A$3:$A$500=$B343)*ROW('Rework Log'!$A$3:$A$500))))</f>
        <v/>
      </c>
    </row>
    <row r="344">
      <c r="A344" s="1" t="n"/>
      <c r="B344" s="1" t="n"/>
      <c r="C344" s="1" t="n"/>
      <c r="D344" s="9">
        <f>IF($B344="","",IF(LEFT($AC344,3)="Yes","Blocked",IF(C344="NOT STARTED",IF(K344="","No plan date set",IF(K344&lt;TODAY(),"Review - planned start passed","On track")),IF(C344="DB Dev",IF(N344="","No target set",IF(AND(N344&lt;TODAY(),P344=""),"Overdue","On track")),IF(C344="PBI Dev",IF(Q344="","No target set",IF(AND(Q344&lt;TODAY(),S344=""),"Overdue","On track")),IF(C344="QA",IF(T344="","No target set",IF(AND(T344&lt;TODAY(),V344=""),"Overdue","On track")),IF(C344="DPO Approval",IF(W344="","No target set",IF(W344&lt;TODAY(),"Overdue","On track")),IF(C344="RELEASED IN PROD","Delivered",""))))))))</f>
        <v/>
      </c>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c r="AA344" s="1" t="n"/>
      <c r="AB344" s="1" t="n"/>
      <c r="AC344" s="1" t="n"/>
      <c r="AD344" s="9">
        <f>IF($B344="","",COUNTIF('Rework Log'!$A$3:$A$500,$B344))</f>
        <v/>
      </c>
      <c r="AE344" s="9">
        <f>IF(OR($B344="",$AM344=0),"",INDEX('Rework Log'!$C:$C,$AM344))</f>
        <v/>
      </c>
      <c r="AF344" s="9">
        <f>IF(OR($B344="",$AM344=0),"",INDEX('Rework Log'!$H:$H,$AM344))</f>
        <v/>
      </c>
      <c r="AG344" s="9">
        <f>IF(OR($B344="",$AM344=0),"",INDEX('Rework Log'!$G:$G,$AM344))</f>
        <v/>
      </c>
      <c r="AH344" s="9">
        <f>IF($B344="","",IF(W344&lt;&gt;"","DPO Approval",IF(T344&lt;&gt;"","QA",IF(Q344&lt;&gt;"","PBI Dev",IF(N344&lt;&gt;"","DB Dev","NOT STARTED")))))</f>
        <v/>
      </c>
      <c r="AI344" s="9">
        <f>IF($B344="","",IF(IF($C344="NOT STARTED",0,IF($C344="DB Dev",1,IF($C344="PBI Dev",2,IF($C344="QA",3,IF($C344="DPO Approval",4,IF($C344="RELEASED IN PROD",5,-1))))))&lt;IF($AH344="NOT STARTED",0,IF($AH344="DB Dev",1,IF($AH344="PBI Dev",2,IF($AH344="QA",3,IF($AH344="DPO Approval",4,IF($AH344="RELEASED IN PROD",5,-1)))))),"Yes - was already at "&amp;$AH344&amp;", now back at "&amp;$C344,"No"))</f>
        <v/>
      </c>
      <c r="AJ344" s="9">
        <f>IF($B344="","",IF(AND(T344&lt;&gt;"",N344&lt;&gt;"",T344&lt;N344),"QA target is before DB Dev target",IF(AND(T344&lt;&gt;"",Q344&lt;&gt;"",T344&lt;Q344),"QA target is before PBI Dev target",IF(AND(W344&lt;&gt;"",T344&lt;&gt;"",W344&lt;T344),"DPO Approval target is before QA target",IF(AND(Z344&lt;&gt;"",W344&lt;&gt;"",Z344&lt;W344),"Confirmed Deployed date is before DPO Approval target","")))))</f>
        <v/>
      </c>
      <c r="AK344" s="9">
        <f>IF($B344="","",IF(COUNTIF($B$2:$B$500,$B344)&gt;1,"Duplicate name - check row",""))</f>
        <v/>
      </c>
      <c r="AL344" s="1" t="n"/>
      <c r="AM344" s="9">
        <f>IF($B344="","",SUMPRODUCT(MAX(('Rework Log'!$A$3:$A$500=$B344)*ROW('Rework Log'!$A$3:$A$500))))</f>
        <v/>
      </c>
    </row>
    <row r="345">
      <c r="A345" s="1" t="n"/>
      <c r="B345" s="1" t="n"/>
      <c r="C345" s="1" t="n"/>
      <c r="D345" s="9">
        <f>IF($B345="","",IF(LEFT($AC345,3)="Yes","Blocked",IF(C345="NOT STARTED",IF(K345="","No plan date set",IF(K345&lt;TODAY(),"Review - planned start passed","On track")),IF(C345="DB Dev",IF(N345="","No target set",IF(AND(N345&lt;TODAY(),P345=""),"Overdue","On track")),IF(C345="PBI Dev",IF(Q345="","No target set",IF(AND(Q345&lt;TODAY(),S345=""),"Overdue","On track")),IF(C345="QA",IF(T345="","No target set",IF(AND(T345&lt;TODAY(),V345=""),"Overdue","On track")),IF(C345="DPO Approval",IF(W345="","No target set",IF(W345&lt;TODAY(),"Overdue","On track")),IF(C345="RELEASED IN PROD","Delivered",""))))))))</f>
        <v/>
      </c>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c r="AA345" s="1" t="n"/>
      <c r="AB345" s="1" t="n"/>
      <c r="AC345" s="1" t="n"/>
      <c r="AD345" s="9">
        <f>IF($B345="","",COUNTIF('Rework Log'!$A$3:$A$500,$B345))</f>
        <v/>
      </c>
      <c r="AE345" s="9">
        <f>IF(OR($B345="",$AM345=0),"",INDEX('Rework Log'!$C:$C,$AM345))</f>
        <v/>
      </c>
      <c r="AF345" s="9">
        <f>IF(OR($B345="",$AM345=0),"",INDEX('Rework Log'!$H:$H,$AM345))</f>
        <v/>
      </c>
      <c r="AG345" s="9">
        <f>IF(OR($B345="",$AM345=0),"",INDEX('Rework Log'!$G:$G,$AM345))</f>
        <v/>
      </c>
      <c r="AH345" s="9">
        <f>IF($B345="","",IF(W345&lt;&gt;"","DPO Approval",IF(T345&lt;&gt;"","QA",IF(Q345&lt;&gt;"","PBI Dev",IF(N345&lt;&gt;"","DB Dev","NOT STARTED")))))</f>
        <v/>
      </c>
      <c r="AI345" s="9">
        <f>IF($B345="","",IF(IF($C345="NOT STARTED",0,IF($C345="DB Dev",1,IF($C345="PBI Dev",2,IF($C345="QA",3,IF($C345="DPO Approval",4,IF($C345="RELEASED IN PROD",5,-1))))))&lt;IF($AH345="NOT STARTED",0,IF($AH345="DB Dev",1,IF($AH345="PBI Dev",2,IF($AH345="QA",3,IF($AH345="DPO Approval",4,IF($AH345="RELEASED IN PROD",5,-1)))))),"Yes - was already at "&amp;$AH345&amp;", now back at "&amp;$C345,"No"))</f>
        <v/>
      </c>
      <c r="AJ345" s="9">
        <f>IF($B345="","",IF(AND(T345&lt;&gt;"",N345&lt;&gt;"",T345&lt;N345),"QA target is before DB Dev target",IF(AND(T345&lt;&gt;"",Q345&lt;&gt;"",T345&lt;Q345),"QA target is before PBI Dev target",IF(AND(W345&lt;&gt;"",T345&lt;&gt;"",W345&lt;T345),"DPO Approval target is before QA target",IF(AND(Z345&lt;&gt;"",W345&lt;&gt;"",Z345&lt;W345),"Confirmed Deployed date is before DPO Approval target","")))))</f>
        <v/>
      </c>
      <c r="AK345" s="9">
        <f>IF($B345="","",IF(COUNTIF($B$2:$B$500,$B345)&gt;1,"Duplicate name - check row",""))</f>
        <v/>
      </c>
      <c r="AL345" s="1" t="n"/>
      <c r="AM345" s="9">
        <f>IF($B345="","",SUMPRODUCT(MAX(('Rework Log'!$A$3:$A$500=$B345)*ROW('Rework Log'!$A$3:$A$500))))</f>
        <v/>
      </c>
    </row>
    <row r="346">
      <c r="A346" s="1" t="n"/>
      <c r="B346" s="1" t="n"/>
      <c r="C346" s="1" t="n"/>
      <c r="D346" s="9">
        <f>IF($B346="","",IF(LEFT($AC346,3)="Yes","Blocked",IF(C346="NOT STARTED",IF(K346="","No plan date set",IF(K346&lt;TODAY(),"Review - planned start passed","On track")),IF(C346="DB Dev",IF(N346="","No target set",IF(AND(N346&lt;TODAY(),P346=""),"Overdue","On track")),IF(C346="PBI Dev",IF(Q346="","No target set",IF(AND(Q346&lt;TODAY(),S346=""),"Overdue","On track")),IF(C346="QA",IF(T346="","No target set",IF(AND(T346&lt;TODAY(),V346=""),"Overdue","On track")),IF(C346="DPO Approval",IF(W346="","No target set",IF(W346&lt;TODAY(),"Overdue","On track")),IF(C346="RELEASED IN PROD","Delivered",""))))))))</f>
        <v/>
      </c>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c r="AA346" s="1" t="n"/>
      <c r="AB346" s="1" t="n"/>
      <c r="AC346" s="1" t="n"/>
      <c r="AD346" s="9">
        <f>IF($B346="","",COUNTIF('Rework Log'!$A$3:$A$500,$B346))</f>
        <v/>
      </c>
      <c r="AE346" s="9">
        <f>IF(OR($B346="",$AM346=0),"",INDEX('Rework Log'!$C:$C,$AM346))</f>
        <v/>
      </c>
      <c r="AF346" s="9">
        <f>IF(OR($B346="",$AM346=0),"",INDEX('Rework Log'!$H:$H,$AM346))</f>
        <v/>
      </c>
      <c r="AG346" s="9">
        <f>IF(OR($B346="",$AM346=0),"",INDEX('Rework Log'!$G:$G,$AM346))</f>
        <v/>
      </c>
      <c r="AH346" s="9">
        <f>IF($B346="","",IF(W346&lt;&gt;"","DPO Approval",IF(T346&lt;&gt;"","QA",IF(Q346&lt;&gt;"","PBI Dev",IF(N346&lt;&gt;"","DB Dev","NOT STARTED")))))</f>
        <v/>
      </c>
      <c r="AI346" s="9">
        <f>IF($B346="","",IF(IF($C346="NOT STARTED",0,IF($C346="DB Dev",1,IF($C346="PBI Dev",2,IF($C346="QA",3,IF($C346="DPO Approval",4,IF($C346="RELEASED IN PROD",5,-1))))))&lt;IF($AH346="NOT STARTED",0,IF($AH346="DB Dev",1,IF($AH346="PBI Dev",2,IF($AH346="QA",3,IF($AH346="DPO Approval",4,IF($AH346="RELEASED IN PROD",5,-1)))))),"Yes - was already at "&amp;$AH346&amp;", now back at "&amp;$C346,"No"))</f>
        <v/>
      </c>
      <c r="AJ346" s="9">
        <f>IF($B346="","",IF(AND(T346&lt;&gt;"",N346&lt;&gt;"",T346&lt;N346),"QA target is before DB Dev target",IF(AND(T346&lt;&gt;"",Q346&lt;&gt;"",T346&lt;Q346),"QA target is before PBI Dev target",IF(AND(W346&lt;&gt;"",T346&lt;&gt;"",W346&lt;T346),"DPO Approval target is before QA target",IF(AND(Z346&lt;&gt;"",W346&lt;&gt;"",Z346&lt;W346),"Confirmed Deployed date is before DPO Approval target","")))))</f>
        <v/>
      </c>
      <c r="AK346" s="9">
        <f>IF($B346="","",IF(COUNTIF($B$2:$B$500,$B346)&gt;1,"Duplicate name - check row",""))</f>
        <v/>
      </c>
      <c r="AL346" s="1" t="n"/>
      <c r="AM346" s="9">
        <f>IF($B346="","",SUMPRODUCT(MAX(('Rework Log'!$A$3:$A$500=$B346)*ROW('Rework Log'!$A$3:$A$500))))</f>
        <v/>
      </c>
    </row>
    <row r="347">
      <c r="A347" s="1" t="n"/>
      <c r="B347" s="1" t="n"/>
      <c r="C347" s="1" t="n"/>
      <c r="D347" s="9">
        <f>IF($B347="","",IF(LEFT($AC347,3)="Yes","Blocked",IF(C347="NOT STARTED",IF(K347="","No plan date set",IF(K347&lt;TODAY(),"Review - planned start passed","On track")),IF(C347="DB Dev",IF(N347="","No target set",IF(AND(N347&lt;TODAY(),P347=""),"Overdue","On track")),IF(C347="PBI Dev",IF(Q347="","No target set",IF(AND(Q347&lt;TODAY(),S347=""),"Overdue","On track")),IF(C347="QA",IF(T347="","No target set",IF(AND(T347&lt;TODAY(),V347=""),"Overdue","On track")),IF(C347="DPO Approval",IF(W347="","No target set",IF(W347&lt;TODAY(),"Overdue","On track")),IF(C347="RELEASED IN PROD","Delivered",""))))))))</f>
        <v/>
      </c>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c r="AA347" s="1" t="n"/>
      <c r="AB347" s="1" t="n"/>
      <c r="AC347" s="1" t="n"/>
      <c r="AD347" s="9">
        <f>IF($B347="","",COUNTIF('Rework Log'!$A$3:$A$500,$B347))</f>
        <v/>
      </c>
      <c r="AE347" s="9">
        <f>IF(OR($B347="",$AM347=0),"",INDEX('Rework Log'!$C:$C,$AM347))</f>
        <v/>
      </c>
      <c r="AF347" s="9">
        <f>IF(OR($B347="",$AM347=0),"",INDEX('Rework Log'!$H:$H,$AM347))</f>
        <v/>
      </c>
      <c r="AG347" s="9">
        <f>IF(OR($B347="",$AM347=0),"",INDEX('Rework Log'!$G:$G,$AM347))</f>
        <v/>
      </c>
      <c r="AH347" s="9">
        <f>IF($B347="","",IF(W347&lt;&gt;"","DPO Approval",IF(T347&lt;&gt;"","QA",IF(Q347&lt;&gt;"","PBI Dev",IF(N347&lt;&gt;"","DB Dev","NOT STARTED")))))</f>
        <v/>
      </c>
      <c r="AI347" s="9">
        <f>IF($B347="","",IF(IF($C347="NOT STARTED",0,IF($C347="DB Dev",1,IF($C347="PBI Dev",2,IF($C347="QA",3,IF($C347="DPO Approval",4,IF($C347="RELEASED IN PROD",5,-1))))))&lt;IF($AH347="NOT STARTED",0,IF($AH347="DB Dev",1,IF($AH347="PBI Dev",2,IF($AH347="QA",3,IF($AH347="DPO Approval",4,IF($AH347="RELEASED IN PROD",5,-1)))))),"Yes - was already at "&amp;$AH347&amp;", now back at "&amp;$C347,"No"))</f>
        <v/>
      </c>
      <c r="AJ347" s="9">
        <f>IF($B347="","",IF(AND(T347&lt;&gt;"",N347&lt;&gt;"",T347&lt;N347),"QA target is before DB Dev target",IF(AND(T347&lt;&gt;"",Q347&lt;&gt;"",T347&lt;Q347),"QA target is before PBI Dev target",IF(AND(W347&lt;&gt;"",T347&lt;&gt;"",W347&lt;T347),"DPO Approval target is before QA target",IF(AND(Z347&lt;&gt;"",W347&lt;&gt;"",Z347&lt;W347),"Confirmed Deployed date is before DPO Approval target","")))))</f>
        <v/>
      </c>
      <c r="AK347" s="9">
        <f>IF($B347="","",IF(COUNTIF($B$2:$B$500,$B347)&gt;1,"Duplicate name - check row",""))</f>
        <v/>
      </c>
      <c r="AL347" s="1" t="n"/>
      <c r="AM347" s="9">
        <f>IF($B347="","",SUMPRODUCT(MAX(('Rework Log'!$A$3:$A$500=$B347)*ROW('Rework Log'!$A$3:$A$500))))</f>
        <v/>
      </c>
    </row>
    <row r="348">
      <c r="A348" s="1" t="n"/>
      <c r="B348" s="1" t="n"/>
      <c r="C348" s="1" t="n"/>
      <c r="D348" s="9">
        <f>IF($B348="","",IF(LEFT($AC348,3)="Yes","Blocked",IF(C348="NOT STARTED",IF(K348="","No plan date set",IF(K348&lt;TODAY(),"Review - planned start passed","On track")),IF(C348="DB Dev",IF(N348="","No target set",IF(AND(N348&lt;TODAY(),P348=""),"Overdue","On track")),IF(C348="PBI Dev",IF(Q348="","No target set",IF(AND(Q348&lt;TODAY(),S348=""),"Overdue","On track")),IF(C348="QA",IF(T348="","No target set",IF(AND(T348&lt;TODAY(),V348=""),"Overdue","On track")),IF(C348="DPO Approval",IF(W348="","No target set",IF(W348&lt;TODAY(),"Overdue","On track")),IF(C348="RELEASED IN PROD","Delivered",""))))))))</f>
        <v/>
      </c>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c r="AA348" s="1" t="n"/>
      <c r="AB348" s="1" t="n"/>
      <c r="AC348" s="1" t="n"/>
      <c r="AD348" s="9">
        <f>IF($B348="","",COUNTIF('Rework Log'!$A$3:$A$500,$B348))</f>
        <v/>
      </c>
      <c r="AE348" s="9">
        <f>IF(OR($B348="",$AM348=0),"",INDEX('Rework Log'!$C:$C,$AM348))</f>
        <v/>
      </c>
      <c r="AF348" s="9">
        <f>IF(OR($B348="",$AM348=0),"",INDEX('Rework Log'!$H:$H,$AM348))</f>
        <v/>
      </c>
      <c r="AG348" s="9">
        <f>IF(OR($B348="",$AM348=0),"",INDEX('Rework Log'!$G:$G,$AM348))</f>
        <v/>
      </c>
      <c r="AH348" s="9">
        <f>IF($B348="","",IF(W348&lt;&gt;"","DPO Approval",IF(T348&lt;&gt;"","QA",IF(Q348&lt;&gt;"","PBI Dev",IF(N348&lt;&gt;"","DB Dev","NOT STARTED")))))</f>
        <v/>
      </c>
      <c r="AI348" s="9">
        <f>IF($B348="","",IF(IF($C348="NOT STARTED",0,IF($C348="DB Dev",1,IF($C348="PBI Dev",2,IF($C348="QA",3,IF($C348="DPO Approval",4,IF($C348="RELEASED IN PROD",5,-1))))))&lt;IF($AH348="NOT STARTED",0,IF($AH348="DB Dev",1,IF($AH348="PBI Dev",2,IF($AH348="QA",3,IF($AH348="DPO Approval",4,IF($AH348="RELEASED IN PROD",5,-1)))))),"Yes - was already at "&amp;$AH348&amp;", now back at "&amp;$C348,"No"))</f>
        <v/>
      </c>
      <c r="AJ348" s="9">
        <f>IF($B348="","",IF(AND(T348&lt;&gt;"",N348&lt;&gt;"",T348&lt;N348),"QA target is before DB Dev target",IF(AND(T348&lt;&gt;"",Q348&lt;&gt;"",T348&lt;Q348),"QA target is before PBI Dev target",IF(AND(W348&lt;&gt;"",T348&lt;&gt;"",W348&lt;T348),"DPO Approval target is before QA target",IF(AND(Z348&lt;&gt;"",W348&lt;&gt;"",Z348&lt;W348),"Confirmed Deployed date is before DPO Approval target","")))))</f>
        <v/>
      </c>
      <c r="AK348" s="9">
        <f>IF($B348="","",IF(COUNTIF($B$2:$B$500,$B348)&gt;1,"Duplicate name - check row",""))</f>
        <v/>
      </c>
      <c r="AL348" s="1" t="n"/>
      <c r="AM348" s="9">
        <f>IF($B348="","",SUMPRODUCT(MAX(('Rework Log'!$A$3:$A$500=$B348)*ROW('Rework Log'!$A$3:$A$500))))</f>
        <v/>
      </c>
    </row>
    <row r="349">
      <c r="A349" s="1" t="n"/>
      <c r="B349" s="1" t="n"/>
      <c r="C349" s="1" t="n"/>
      <c r="D349" s="9">
        <f>IF($B349="","",IF(LEFT($AC349,3)="Yes","Blocked",IF(C349="NOT STARTED",IF(K349="","No plan date set",IF(K349&lt;TODAY(),"Review - planned start passed","On track")),IF(C349="DB Dev",IF(N349="","No target set",IF(AND(N349&lt;TODAY(),P349=""),"Overdue","On track")),IF(C349="PBI Dev",IF(Q349="","No target set",IF(AND(Q349&lt;TODAY(),S349=""),"Overdue","On track")),IF(C349="QA",IF(T349="","No target set",IF(AND(T349&lt;TODAY(),V349=""),"Overdue","On track")),IF(C349="DPO Approval",IF(W349="","No target set",IF(W349&lt;TODAY(),"Overdue","On track")),IF(C349="RELEASED IN PROD","Delivered",""))))))))</f>
        <v/>
      </c>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c r="AA349" s="1" t="n"/>
      <c r="AB349" s="1" t="n"/>
      <c r="AC349" s="1" t="n"/>
      <c r="AD349" s="9">
        <f>IF($B349="","",COUNTIF('Rework Log'!$A$3:$A$500,$B349))</f>
        <v/>
      </c>
      <c r="AE349" s="9">
        <f>IF(OR($B349="",$AM349=0),"",INDEX('Rework Log'!$C:$C,$AM349))</f>
        <v/>
      </c>
      <c r="AF349" s="9">
        <f>IF(OR($B349="",$AM349=0),"",INDEX('Rework Log'!$H:$H,$AM349))</f>
        <v/>
      </c>
      <c r="AG349" s="9">
        <f>IF(OR($B349="",$AM349=0),"",INDEX('Rework Log'!$G:$G,$AM349))</f>
        <v/>
      </c>
      <c r="AH349" s="9">
        <f>IF($B349="","",IF(W349&lt;&gt;"","DPO Approval",IF(T349&lt;&gt;"","QA",IF(Q349&lt;&gt;"","PBI Dev",IF(N349&lt;&gt;"","DB Dev","NOT STARTED")))))</f>
        <v/>
      </c>
      <c r="AI349" s="9">
        <f>IF($B349="","",IF(IF($C349="NOT STARTED",0,IF($C349="DB Dev",1,IF($C349="PBI Dev",2,IF($C349="QA",3,IF($C349="DPO Approval",4,IF($C349="RELEASED IN PROD",5,-1))))))&lt;IF($AH349="NOT STARTED",0,IF($AH349="DB Dev",1,IF($AH349="PBI Dev",2,IF($AH349="QA",3,IF($AH349="DPO Approval",4,IF($AH349="RELEASED IN PROD",5,-1)))))),"Yes - was already at "&amp;$AH349&amp;", now back at "&amp;$C349,"No"))</f>
        <v/>
      </c>
      <c r="AJ349" s="9">
        <f>IF($B349="","",IF(AND(T349&lt;&gt;"",N349&lt;&gt;"",T349&lt;N349),"QA target is before DB Dev target",IF(AND(T349&lt;&gt;"",Q349&lt;&gt;"",T349&lt;Q349),"QA target is before PBI Dev target",IF(AND(W349&lt;&gt;"",T349&lt;&gt;"",W349&lt;T349),"DPO Approval target is before QA target",IF(AND(Z349&lt;&gt;"",W349&lt;&gt;"",Z349&lt;W349),"Confirmed Deployed date is before DPO Approval target","")))))</f>
        <v/>
      </c>
      <c r="AK349" s="9">
        <f>IF($B349="","",IF(COUNTIF($B$2:$B$500,$B349)&gt;1,"Duplicate name - check row",""))</f>
        <v/>
      </c>
      <c r="AL349" s="1" t="n"/>
      <c r="AM349" s="9">
        <f>IF($B349="","",SUMPRODUCT(MAX(('Rework Log'!$A$3:$A$500=$B349)*ROW('Rework Log'!$A$3:$A$500))))</f>
        <v/>
      </c>
    </row>
    <row r="350">
      <c r="A350" s="1" t="n"/>
      <c r="B350" s="1" t="n"/>
      <c r="C350" s="1" t="n"/>
      <c r="D350" s="9">
        <f>IF($B350="","",IF(LEFT($AC350,3)="Yes","Blocked",IF(C350="NOT STARTED",IF(K350="","No plan date set",IF(K350&lt;TODAY(),"Review - planned start passed","On track")),IF(C350="DB Dev",IF(N350="","No target set",IF(AND(N350&lt;TODAY(),P350=""),"Overdue","On track")),IF(C350="PBI Dev",IF(Q350="","No target set",IF(AND(Q350&lt;TODAY(),S350=""),"Overdue","On track")),IF(C350="QA",IF(T350="","No target set",IF(AND(T350&lt;TODAY(),V350=""),"Overdue","On track")),IF(C350="DPO Approval",IF(W350="","No target set",IF(W350&lt;TODAY(),"Overdue","On track")),IF(C350="RELEASED IN PROD","Delivered",""))))))))</f>
        <v/>
      </c>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c r="AA350" s="1" t="n"/>
      <c r="AB350" s="1" t="n"/>
      <c r="AC350" s="1" t="n"/>
      <c r="AD350" s="9">
        <f>IF($B350="","",COUNTIF('Rework Log'!$A$3:$A$500,$B350))</f>
        <v/>
      </c>
      <c r="AE350" s="9">
        <f>IF(OR($B350="",$AM350=0),"",INDEX('Rework Log'!$C:$C,$AM350))</f>
        <v/>
      </c>
      <c r="AF350" s="9">
        <f>IF(OR($B350="",$AM350=0),"",INDEX('Rework Log'!$H:$H,$AM350))</f>
        <v/>
      </c>
      <c r="AG350" s="9">
        <f>IF(OR($B350="",$AM350=0),"",INDEX('Rework Log'!$G:$G,$AM350))</f>
        <v/>
      </c>
      <c r="AH350" s="9">
        <f>IF($B350="","",IF(W350&lt;&gt;"","DPO Approval",IF(T350&lt;&gt;"","QA",IF(Q350&lt;&gt;"","PBI Dev",IF(N350&lt;&gt;"","DB Dev","NOT STARTED")))))</f>
        <v/>
      </c>
      <c r="AI350" s="9">
        <f>IF($B350="","",IF(IF($C350="NOT STARTED",0,IF($C350="DB Dev",1,IF($C350="PBI Dev",2,IF($C350="QA",3,IF($C350="DPO Approval",4,IF($C350="RELEASED IN PROD",5,-1))))))&lt;IF($AH350="NOT STARTED",0,IF($AH350="DB Dev",1,IF($AH350="PBI Dev",2,IF($AH350="QA",3,IF($AH350="DPO Approval",4,IF($AH350="RELEASED IN PROD",5,-1)))))),"Yes - was already at "&amp;$AH350&amp;", now back at "&amp;$C350,"No"))</f>
        <v/>
      </c>
      <c r="AJ350" s="9">
        <f>IF($B350="","",IF(AND(T350&lt;&gt;"",N350&lt;&gt;"",T350&lt;N350),"QA target is before DB Dev target",IF(AND(T350&lt;&gt;"",Q350&lt;&gt;"",T350&lt;Q350),"QA target is before PBI Dev target",IF(AND(W350&lt;&gt;"",T350&lt;&gt;"",W350&lt;T350),"DPO Approval target is before QA target",IF(AND(Z350&lt;&gt;"",W350&lt;&gt;"",Z350&lt;W350),"Confirmed Deployed date is before DPO Approval target","")))))</f>
        <v/>
      </c>
      <c r="AK350" s="9">
        <f>IF($B350="","",IF(COUNTIF($B$2:$B$500,$B350)&gt;1,"Duplicate name - check row",""))</f>
        <v/>
      </c>
      <c r="AL350" s="1" t="n"/>
      <c r="AM350" s="9">
        <f>IF($B350="","",SUMPRODUCT(MAX(('Rework Log'!$A$3:$A$500=$B350)*ROW('Rework Log'!$A$3:$A$500))))</f>
        <v/>
      </c>
    </row>
    <row r="351">
      <c r="A351" s="1" t="n"/>
      <c r="B351" s="1" t="n"/>
      <c r="C351" s="1" t="n"/>
      <c r="D351" s="9">
        <f>IF($B351="","",IF(LEFT($AC351,3)="Yes","Blocked",IF(C351="NOT STARTED",IF(K351="","No plan date set",IF(K351&lt;TODAY(),"Review - planned start passed","On track")),IF(C351="DB Dev",IF(N351="","No target set",IF(AND(N351&lt;TODAY(),P351=""),"Overdue","On track")),IF(C351="PBI Dev",IF(Q351="","No target set",IF(AND(Q351&lt;TODAY(),S351=""),"Overdue","On track")),IF(C351="QA",IF(T351="","No target set",IF(AND(T351&lt;TODAY(),V351=""),"Overdue","On track")),IF(C351="DPO Approval",IF(W351="","No target set",IF(W351&lt;TODAY(),"Overdue","On track")),IF(C351="RELEASED IN PROD","Delivered",""))))))))</f>
        <v/>
      </c>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c r="AA351" s="1" t="n"/>
      <c r="AB351" s="1" t="n"/>
      <c r="AC351" s="1" t="n"/>
      <c r="AD351" s="9">
        <f>IF($B351="","",COUNTIF('Rework Log'!$A$3:$A$500,$B351))</f>
        <v/>
      </c>
      <c r="AE351" s="9">
        <f>IF(OR($B351="",$AM351=0),"",INDEX('Rework Log'!$C:$C,$AM351))</f>
        <v/>
      </c>
      <c r="AF351" s="9">
        <f>IF(OR($B351="",$AM351=0),"",INDEX('Rework Log'!$H:$H,$AM351))</f>
        <v/>
      </c>
      <c r="AG351" s="9">
        <f>IF(OR($B351="",$AM351=0),"",INDEX('Rework Log'!$G:$G,$AM351))</f>
        <v/>
      </c>
      <c r="AH351" s="9">
        <f>IF($B351="","",IF(W351&lt;&gt;"","DPO Approval",IF(T351&lt;&gt;"","QA",IF(Q351&lt;&gt;"","PBI Dev",IF(N351&lt;&gt;"","DB Dev","NOT STARTED")))))</f>
        <v/>
      </c>
      <c r="AI351" s="9">
        <f>IF($B351="","",IF(IF($C351="NOT STARTED",0,IF($C351="DB Dev",1,IF($C351="PBI Dev",2,IF($C351="QA",3,IF($C351="DPO Approval",4,IF($C351="RELEASED IN PROD",5,-1))))))&lt;IF($AH351="NOT STARTED",0,IF($AH351="DB Dev",1,IF($AH351="PBI Dev",2,IF($AH351="QA",3,IF($AH351="DPO Approval",4,IF($AH351="RELEASED IN PROD",5,-1)))))),"Yes - was already at "&amp;$AH351&amp;", now back at "&amp;$C351,"No"))</f>
        <v/>
      </c>
      <c r="AJ351" s="9">
        <f>IF($B351="","",IF(AND(T351&lt;&gt;"",N351&lt;&gt;"",T351&lt;N351),"QA target is before DB Dev target",IF(AND(T351&lt;&gt;"",Q351&lt;&gt;"",T351&lt;Q351),"QA target is before PBI Dev target",IF(AND(W351&lt;&gt;"",T351&lt;&gt;"",W351&lt;T351),"DPO Approval target is before QA target",IF(AND(Z351&lt;&gt;"",W351&lt;&gt;"",Z351&lt;W351),"Confirmed Deployed date is before DPO Approval target","")))))</f>
        <v/>
      </c>
      <c r="AK351" s="9">
        <f>IF($B351="","",IF(COUNTIF($B$2:$B$500,$B351)&gt;1,"Duplicate name - check row",""))</f>
        <v/>
      </c>
      <c r="AL351" s="1" t="n"/>
      <c r="AM351" s="9">
        <f>IF($B351="","",SUMPRODUCT(MAX(('Rework Log'!$A$3:$A$500=$B351)*ROW('Rework Log'!$A$3:$A$500))))</f>
        <v/>
      </c>
    </row>
    <row r="352">
      <c r="A352" s="1" t="n"/>
      <c r="B352" s="1" t="n"/>
      <c r="C352" s="1" t="n"/>
      <c r="D352" s="9">
        <f>IF($B352="","",IF(LEFT($AC352,3)="Yes","Blocked",IF(C352="NOT STARTED",IF(K352="","No plan date set",IF(K352&lt;TODAY(),"Review - planned start passed","On track")),IF(C352="DB Dev",IF(N352="","No target set",IF(AND(N352&lt;TODAY(),P352=""),"Overdue","On track")),IF(C352="PBI Dev",IF(Q352="","No target set",IF(AND(Q352&lt;TODAY(),S352=""),"Overdue","On track")),IF(C352="QA",IF(T352="","No target set",IF(AND(T352&lt;TODAY(),V352=""),"Overdue","On track")),IF(C352="DPO Approval",IF(W352="","No target set",IF(W352&lt;TODAY(),"Overdue","On track")),IF(C352="RELEASED IN PROD","Delivered",""))))))))</f>
        <v/>
      </c>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c r="AA352" s="1" t="n"/>
      <c r="AB352" s="1" t="n"/>
      <c r="AC352" s="1" t="n"/>
      <c r="AD352" s="9">
        <f>IF($B352="","",COUNTIF('Rework Log'!$A$3:$A$500,$B352))</f>
        <v/>
      </c>
      <c r="AE352" s="9">
        <f>IF(OR($B352="",$AM352=0),"",INDEX('Rework Log'!$C:$C,$AM352))</f>
        <v/>
      </c>
      <c r="AF352" s="9">
        <f>IF(OR($B352="",$AM352=0),"",INDEX('Rework Log'!$H:$H,$AM352))</f>
        <v/>
      </c>
      <c r="AG352" s="9">
        <f>IF(OR($B352="",$AM352=0),"",INDEX('Rework Log'!$G:$G,$AM352))</f>
        <v/>
      </c>
      <c r="AH352" s="9">
        <f>IF($B352="","",IF(W352&lt;&gt;"","DPO Approval",IF(T352&lt;&gt;"","QA",IF(Q352&lt;&gt;"","PBI Dev",IF(N352&lt;&gt;"","DB Dev","NOT STARTED")))))</f>
        <v/>
      </c>
      <c r="AI352" s="9">
        <f>IF($B352="","",IF(IF($C352="NOT STARTED",0,IF($C352="DB Dev",1,IF($C352="PBI Dev",2,IF($C352="QA",3,IF($C352="DPO Approval",4,IF($C352="RELEASED IN PROD",5,-1))))))&lt;IF($AH352="NOT STARTED",0,IF($AH352="DB Dev",1,IF($AH352="PBI Dev",2,IF($AH352="QA",3,IF($AH352="DPO Approval",4,IF($AH352="RELEASED IN PROD",5,-1)))))),"Yes - was already at "&amp;$AH352&amp;", now back at "&amp;$C352,"No"))</f>
        <v/>
      </c>
      <c r="AJ352" s="9">
        <f>IF($B352="","",IF(AND(T352&lt;&gt;"",N352&lt;&gt;"",T352&lt;N352),"QA target is before DB Dev target",IF(AND(T352&lt;&gt;"",Q352&lt;&gt;"",T352&lt;Q352),"QA target is before PBI Dev target",IF(AND(W352&lt;&gt;"",T352&lt;&gt;"",W352&lt;T352),"DPO Approval target is before QA target",IF(AND(Z352&lt;&gt;"",W352&lt;&gt;"",Z352&lt;W352),"Confirmed Deployed date is before DPO Approval target","")))))</f>
        <v/>
      </c>
      <c r="AK352" s="9">
        <f>IF($B352="","",IF(COUNTIF($B$2:$B$500,$B352)&gt;1,"Duplicate name - check row",""))</f>
        <v/>
      </c>
      <c r="AL352" s="1" t="n"/>
      <c r="AM352" s="9">
        <f>IF($B352="","",SUMPRODUCT(MAX(('Rework Log'!$A$3:$A$500=$B352)*ROW('Rework Log'!$A$3:$A$500))))</f>
        <v/>
      </c>
    </row>
    <row r="353">
      <c r="A353" s="1" t="n"/>
      <c r="B353" s="1" t="n"/>
      <c r="C353" s="1" t="n"/>
      <c r="D353" s="9">
        <f>IF($B353="","",IF(LEFT($AC353,3)="Yes","Blocked",IF(C353="NOT STARTED",IF(K353="","No plan date set",IF(K353&lt;TODAY(),"Review - planned start passed","On track")),IF(C353="DB Dev",IF(N353="","No target set",IF(AND(N353&lt;TODAY(),P353=""),"Overdue","On track")),IF(C353="PBI Dev",IF(Q353="","No target set",IF(AND(Q353&lt;TODAY(),S353=""),"Overdue","On track")),IF(C353="QA",IF(T353="","No target set",IF(AND(T353&lt;TODAY(),V353=""),"Overdue","On track")),IF(C353="DPO Approval",IF(W353="","No target set",IF(W353&lt;TODAY(),"Overdue","On track")),IF(C353="RELEASED IN PROD","Delivered",""))))))))</f>
        <v/>
      </c>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c r="AA353" s="1" t="n"/>
      <c r="AB353" s="1" t="n"/>
      <c r="AC353" s="1" t="n"/>
      <c r="AD353" s="9">
        <f>IF($B353="","",COUNTIF('Rework Log'!$A$3:$A$500,$B353))</f>
        <v/>
      </c>
      <c r="AE353" s="9">
        <f>IF(OR($B353="",$AM353=0),"",INDEX('Rework Log'!$C:$C,$AM353))</f>
        <v/>
      </c>
      <c r="AF353" s="9">
        <f>IF(OR($B353="",$AM353=0),"",INDEX('Rework Log'!$H:$H,$AM353))</f>
        <v/>
      </c>
      <c r="AG353" s="9">
        <f>IF(OR($B353="",$AM353=0),"",INDEX('Rework Log'!$G:$G,$AM353))</f>
        <v/>
      </c>
      <c r="AH353" s="9">
        <f>IF($B353="","",IF(W353&lt;&gt;"","DPO Approval",IF(T353&lt;&gt;"","QA",IF(Q353&lt;&gt;"","PBI Dev",IF(N353&lt;&gt;"","DB Dev","NOT STARTED")))))</f>
        <v/>
      </c>
      <c r="AI353" s="9">
        <f>IF($B353="","",IF(IF($C353="NOT STARTED",0,IF($C353="DB Dev",1,IF($C353="PBI Dev",2,IF($C353="QA",3,IF($C353="DPO Approval",4,IF($C353="RELEASED IN PROD",5,-1))))))&lt;IF($AH353="NOT STARTED",0,IF($AH353="DB Dev",1,IF($AH353="PBI Dev",2,IF($AH353="QA",3,IF($AH353="DPO Approval",4,IF($AH353="RELEASED IN PROD",5,-1)))))),"Yes - was already at "&amp;$AH353&amp;", now back at "&amp;$C353,"No"))</f>
        <v/>
      </c>
      <c r="AJ353" s="9">
        <f>IF($B353="","",IF(AND(T353&lt;&gt;"",N353&lt;&gt;"",T353&lt;N353),"QA target is before DB Dev target",IF(AND(T353&lt;&gt;"",Q353&lt;&gt;"",T353&lt;Q353),"QA target is before PBI Dev target",IF(AND(W353&lt;&gt;"",T353&lt;&gt;"",W353&lt;T353),"DPO Approval target is before QA target",IF(AND(Z353&lt;&gt;"",W353&lt;&gt;"",Z353&lt;W353),"Confirmed Deployed date is before DPO Approval target","")))))</f>
        <v/>
      </c>
      <c r="AK353" s="9">
        <f>IF($B353="","",IF(COUNTIF($B$2:$B$500,$B353)&gt;1,"Duplicate name - check row",""))</f>
        <v/>
      </c>
      <c r="AL353" s="1" t="n"/>
      <c r="AM353" s="9">
        <f>IF($B353="","",SUMPRODUCT(MAX(('Rework Log'!$A$3:$A$500=$B353)*ROW('Rework Log'!$A$3:$A$500))))</f>
        <v/>
      </c>
    </row>
    <row r="354">
      <c r="A354" s="1" t="n"/>
      <c r="B354" s="1" t="n"/>
      <c r="C354" s="1" t="n"/>
      <c r="D354" s="9">
        <f>IF($B354="","",IF(LEFT($AC354,3)="Yes","Blocked",IF(C354="NOT STARTED",IF(K354="","No plan date set",IF(K354&lt;TODAY(),"Review - planned start passed","On track")),IF(C354="DB Dev",IF(N354="","No target set",IF(AND(N354&lt;TODAY(),P354=""),"Overdue","On track")),IF(C354="PBI Dev",IF(Q354="","No target set",IF(AND(Q354&lt;TODAY(),S354=""),"Overdue","On track")),IF(C354="QA",IF(T354="","No target set",IF(AND(T354&lt;TODAY(),V354=""),"Overdue","On track")),IF(C354="DPO Approval",IF(W354="","No target set",IF(W354&lt;TODAY(),"Overdue","On track")),IF(C354="RELEASED IN PROD","Delivered",""))))))))</f>
        <v/>
      </c>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c r="AA354" s="1" t="n"/>
      <c r="AB354" s="1" t="n"/>
      <c r="AC354" s="1" t="n"/>
      <c r="AD354" s="9">
        <f>IF($B354="","",COUNTIF('Rework Log'!$A$3:$A$500,$B354))</f>
        <v/>
      </c>
      <c r="AE354" s="9">
        <f>IF(OR($B354="",$AM354=0),"",INDEX('Rework Log'!$C:$C,$AM354))</f>
        <v/>
      </c>
      <c r="AF354" s="9">
        <f>IF(OR($B354="",$AM354=0),"",INDEX('Rework Log'!$H:$H,$AM354))</f>
        <v/>
      </c>
      <c r="AG354" s="9">
        <f>IF(OR($B354="",$AM354=0),"",INDEX('Rework Log'!$G:$G,$AM354))</f>
        <v/>
      </c>
      <c r="AH354" s="9">
        <f>IF($B354="","",IF(W354&lt;&gt;"","DPO Approval",IF(T354&lt;&gt;"","QA",IF(Q354&lt;&gt;"","PBI Dev",IF(N354&lt;&gt;"","DB Dev","NOT STARTED")))))</f>
        <v/>
      </c>
      <c r="AI354" s="9">
        <f>IF($B354="","",IF(IF($C354="NOT STARTED",0,IF($C354="DB Dev",1,IF($C354="PBI Dev",2,IF($C354="QA",3,IF($C354="DPO Approval",4,IF($C354="RELEASED IN PROD",5,-1))))))&lt;IF($AH354="NOT STARTED",0,IF($AH354="DB Dev",1,IF($AH354="PBI Dev",2,IF($AH354="QA",3,IF($AH354="DPO Approval",4,IF($AH354="RELEASED IN PROD",5,-1)))))),"Yes - was already at "&amp;$AH354&amp;", now back at "&amp;$C354,"No"))</f>
        <v/>
      </c>
      <c r="AJ354" s="9">
        <f>IF($B354="","",IF(AND(T354&lt;&gt;"",N354&lt;&gt;"",T354&lt;N354),"QA target is before DB Dev target",IF(AND(T354&lt;&gt;"",Q354&lt;&gt;"",T354&lt;Q354),"QA target is before PBI Dev target",IF(AND(W354&lt;&gt;"",T354&lt;&gt;"",W354&lt;T354),"DPO Approval target is before QA target",IF(AND(Z354&lt;&gt;"",W354&lt;&gt;"",Z354&lt;W354),"Confirmed Deployed date is before DPO Approval target","")))))</f>
        <v/>
      </c>
      <c r="AK354" s="9">
        <f>IF($B354="","",IF(COUNTIF($B$2:$B$500,$B354)&gt;1,"Duplicate name - check row",""))</f>
        <v/>
      </c>
      <c r="AL354" s="1" t="n"/>
      <c r="AM354" s="9">
        <f>IF($B354="","",SUMPRODUCT(MAX(('Rework Log'!$A$3:$A$500=$B354)*ROW('Rework Log'!$A$3:$A$500))))</f>
        <v/>
      </c>
    </row>
    <row r="355">
      <c r="A355" s="1" t="n"/>
      <c r="B355" s="1" t="n"/>
      <c r="C355" s="1" t="n"/>
      <c r="D355" s="9">
        <f>IF($B355="","",IF(LEFT($AC355,3)="Yes","Blocked",IF(C355="NOT STARTED",IF(K355="","No plan date set",IF(K355&lt;TODAY(),"Review - planned start passed","On track")),IF(C355="DB Dev",IF(N355="","No target set",IF(AND(N355&lt;TODAY(),P355=""),"Overdue","On track")),IF(C355="PBI Dev",IF(Q355="","No target set",IF(AND(Q355&lt;TODAY(),S355=""),"Overdue","On track")),IF(C355="QA",IF(T355="","No target set",IF(AND(T355&lt;TODAY(),V355=""),"Overdue","On track")),IF(C355="DPO Approval",IF(W355="","No target set",IF(W355&lt;TODAY(),"Overdue","On track")),IF(C355="RELEASED IN PROD","Delivered",""))))))))</f>
        <v/>
      </c>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c r="AA355" s="1" t="n"/>
      <c r="AB355" s="1" t="n"/>
      <c r="AC355" s="1" t="n"/>
      <c r="AD355" s="9">
        <f>IF($B355="","",COUNTIF('Rework Log'!$A$3:$A$500,$B355))</f>
        <v/>
      </c>
      <c r="AE355" s="9">
        <f>IF(OR($B355="",$AM355=0),"",INDEX('Rework Log'!$C:$C,$AM355))</f>
        <v/>
      </c>
      <c r="AF355" s="9">
        <f>IF(OR($B355="",$AM355=0),"",INDEX('Rework Log'!$H:$H,$AM355))</f>
        <v/>
      </c>
      <c r="AG355" s="9">
        <f>IF(OR($B355="",$AM355=0),"",INDEX('Rework Log'!$G:$G,$AM355))</f>
        <v/>
      </c>
      <c r="AH355" s="9">
        <f>IF($B355="","",IF(W355&lt;&gt;"","DPO Approval",IF(T355&lt;&gt;"","QA",IF(Q355&lt;&gt;"","PBI Dev",IF(N355&lt;&gt;"","DB Dev","NOT STARTED")))))</f>
        <v/>
      </c>
      <c r="AI355" s="9">
        <f>IF($B355="","",IF(IF($C355="NOT STARTED",0,IF($C355="DB Dev",1,IF($C355="PBI Dev",2,IF($C355="QA",3,IF($C355="DPO Approval",4,IF($C355="RELEASED IN PROD",5,-1))))))&lt;IF($AH355="NOT STARTED",0,IF($AH355="DB Dev",1,IF($AH355="PBI Dev",2,IF($AH355="QA",3,IF($AH355="DPO Approval",4,IF($AH355="RELEASED IN PROD",5,-1)))))),"Yes - was already at "&amp;$AH355&amp;", now back at "&amp;$C355,"No"))</f>
        <v/>
      </c>
      <c r="AJ355" s="9">
        <f>IF($B355="","",IF(AND(T355&lt;&gt;"",N355&lt;&gt;"",T355&lt;N355),"QA target is before DB Dev target",IF(AND(T355&lt;&gt;"",Q355&lt;&gt;"",T355&lt;Q355),"QA target is before PBI Dev target",IF(AND(W355&lt;&gt;"",T355&lt;&gt;"",W355&lt;T355),"DPO Approval target is before QA target",IF(AND(Z355&lt;&gt;"",W355&lt;&gt;"",Z355&lt;W355),"Confirmed Deployed date is before DPO Approval target","")))))</f>
        <v/>
      </c>
      <c r="AK355" s="9">
        <f>IF($B355="","",IF(COUNTIF($B$2:$B$500,$B355)&gt;1,"Duplicate name - check row",""))</f>
        <v/>
      </c>
      <c r="AL355" s="1" t="n"/>
      <c r="AM355" s="9">
        <f>IF($B355="","",SUMPRODUCT(MAX(('Rework Log'!$A$3:$A$500=$B355)*ROW('Rework Log'!$A$3:$A$500))))</f>
        <v/>
      </c>
    </row>
    <row r="356">
      <c r="A356" s="1" t="n"/>
      <c r="B356" s="1" t="n"/>
      <c r="C356" s="1" t="n"/>
      <c r="D356" s="9">
        <f>IF($B356="","",IF(LEFT($AC356,3)="Yes","Blocked",IF(C356="NOT STARTED",IF(K356="","No plan date set",IF(K356&lt;TODAY(),"Review - planned start passed","On track")),IF(C356="DB Dev",IF(N356="","No target set",IF(AND(N356&lt;TODAY(),P356=""),"Overdue","On track")),IF(C356="PBI Dev",IF(Q356="","No target set",IF(AND(Q356&lt;TODAY(),S356=""),"Overdue","On track")),IF(C356="QA",IF(T356="","No target set",IF(AND(T356&lt;TODAY(),V356=""),"Overdue","On track")),IF(C356="DPO Approval",IF(W356="","No target set",IF(W356&lt;TODAY(),"Overdue","On track")),IF(C356="RELEASED IN PROD","Delivered",""))))))))</f>
        <v/>
      </c>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c r="AA356" s="1" t="n"/>
      <c r="AB356" s="1" t="n"/>
      <c r="AC356" s="1" t="n"/>
      <c r="AD356" s="9">
        <f>IF($B356="","",COUNTIF('Rework Log'!$A$3:$A$500,$B356))</f>
        <v/>
      </c>
      <c r="AE356" s="9">
        <f>IF(OR($B356="",$AM356=0),"",INDEX('Rework Log'!$C:$C,$AM356))</f>
        <v/>
      </c>
      <c r="AF356" s="9">
        <f>IF(OR($B356="",$AM356=0),"",INDEX('Rework Log'!$H:$H,$AM356))</f>
        <v/>
      </c>
      <c r="AG356" s="9">
        <f>IF(OR($B356="",$AM356=0),"",INDEX('Rework Log'!$G:$G,$AM356))</f>
        <v/>
      </c>
      <c r="AH356" s="9">
        <f>IF($B356="","",IF(W356&lt;&gt;"","DPO Approval",IF(T356&lt;&gt;"","QA",IF(Q356&lt;&gt;"","PBI Dev",IF(N356&lt;&gt;"","DB Dev","NOT STARTED")))))</f>
        <v/>
      </c>
      <c r="AI356" s="9">
        <f>IF($B356="","",IF(IF($C356="NOT STARTED",0,IF($C356="DB Dev",1,IF($C356="PBI Dev",2,IF($C356="QA",3,IF($C356="DPO Approval",4,IF($C356="RELEASED IN PROD",5,-1))))))&lt;IF($AH356="NOT STARTED",0,IF($AH356="DB Dev",1,IF($AH356="PBI Dev",2,IF($AH356="QA",3,IF($AH356="DPO Approval",4,IF($AH356="RELEASED IN PROD",5,-1)))))),"Yes - was already at "&amp;$AH356&amp;", now back at "&amp;$C356,"No"))</f>
        <v/>
      </c>
      <c r="AJ356" s="9">
        <f>IF($B356="","",IF(AND(T356&lt;&gt;"",N356&lt;&gt;"",T356&lt;N356),"QA target is before DB Dev target",IF(AND(T356&lt;&gt;"",Q356&lt;&gt;"",T356&lt;Q356),"QA target is before PBI Dev target",IF(AND(W356&lt;&gt;"",T356&lt;&gt;"",W356&lt;T356),"DPO Approval target is before QA target",IF(AND(Z356&lt;&gt;"",W356&lt;&gt;"",Z356&lt;W356),"Confirmed Deployed date is before DPO Approval target","")))))</f>
        <v/>
      </c>
      <c r="AK356" s="9">
        <f>IF($B356="","",IF(COUNTIF($B$2:$B$500,$B356)&gt;1,"Duplicate name - check row",""))</f>
        <v/>
      </c>
      <c r="AL356" s="1" t="n"/>
      <c r="AM356" s="9">
        <f>IF($B356="","",SUMPRODUCT(MAX(('Rework Log'!$A$3:$A$500=$B356)*ROW('Rework Log'!$A$3:$A$500))))</f>
        <v/>
      </c>
    </row>
    <row r="357">
      <c r="A357" s="1" t="n"/>
      <c r="B357" s="1" t="n"/>
      <c r="C357" s="1" t="n"/>
      <c r="D357" s="9">
        <f>IF($B357="","",IF(LEFT($AC357,3)="Yes","Blocked",IF(C357="NOT STARTED",IF(K357="","No plan date set",IF(K357&lt;TODAY(),"Review - planned start passed","On track")),IF(C357="DB Dev",IF(N357="","No target set",IF(AND(N357&lt;TODAY(),P357=""),"Overdue","On track")),IF(C357="PBI Dev",IF(Q357="","No target set",IF(AND(Q357&lt;TODAY(),S357=""),"Overdue","On track")),IF(C357="QA",IF(T357="","No target set",IF(AND(T357&lt;TODAY(),V357=""),"Overdue","On track")),IF(C357="DPO Approval",IF(W357="","No target set",IF(W357&lt;TODAY(),"Overdue","On track")),IF(C357="RELEASED IN PROD","Delivered",""))))))))</f>
        <v/>
      </c>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c r="AA357" s="1" t="n"/>
      <c r="AB357" s="1" t="n"/>
      <c r="AC357" s="1" t="n"/>
      <c r="AD357" s="9">
        <f>IF($B357="","",COUNTIF('Rework Log'!$A$3:$A$500,$B357))</f>
        <v/>
      </c>
      <c r="AE357" s="9">
        <f>IF(OR($B357="",$AM357=0),"",INDEX('Rework Log'!$C:$C,$AM357))</f>
        <v/>
      </c>
      <c r="AF357" s="9">
        <f>IF(OR($B357="",$AM357=0),"",INDEX('Rework Log'!$H:$H,$AM357))</f>
        <v/>
      </c>
      <c r="AG357" s="9">
        <f>IF(OR($B357="",$AM357=0),"",INDEX('Rework Log'!$G:$G,$AM357))</f>
        <v/>
      </c>
      <c r="AH357" s="9">
        <f>IF($B357="","",IF(W357&lt;&gt;"","DPO Approval",IF(T357&lt;&gt;"","QA",IF(Q357&lt;&gt;"","PBI Dev",IF(N357&lt;&gt;"","DB Dev","NOT STARTED")))))</f>
        <v/>
      </c>
      <c r="AI357" s="9">
        <f>IF($B357="","",IF(IF($C357="NOT STARTED",0,IF($C357="DB Dev",1,IF($C357="PBI Dev",2,IF($C357="QA",3,IF($C357="DPO Approval",4,IF($C357="RELEASED IN PROD",5,-1))))))&lt;IF($AH357="NOT STARTED",0,IF($AH357="DB Dev",1,IF($AH357="PBI Dev",2,IF($AH357="QA",3,IF($AH357="DPO Approval",4,IF($AH357="RELEASED IN PROD",5,-1)))))),"Yes - was already at "&amp;$AH357&amp;", now back at "&amp;$C357,"No"))</f>
        <v/>
      </c>
      <c r="AJ357" s="9">
        <f>IF($B357="","",IF(AND(T357&lt;&gt;"",N357&lt;&gt;"",T357&lt;N357),"QA target is before DB Dev target",IF(AND(T357&lt;&gt;"",Q357&lt;&gt;"",T357&lt;Q357),"QA target is before PBI Dev target",IF(AND(W357&lt;&gt;"",T357&lt;&gt;"",W357&lt;T357),"DPO Approval target is before QA target",IF(AND(Z357&lt;&gt;"",W357&lt;&gt;"",Z357&lt;W357),"Confirmed Deployed date is before DPO Approval target","")))))</f>
        <v/>
      </c>
      <c r="AK357" s="9">
        <f>IF($B357="","",IF(COUNTIF($B$2:$B$500,$B357)&gt;1,"Duplicate name - check row",""))</f>
        <v/>
      </c>
      <c r="AL357" s="1" t="n"/>
      <c r="AM357" s="9">
        <f>IF($B357="","",SUMPRODUCT(MAX(('Rework Log'!$A$3:$A$500=$B357)*ROW('Rework Log'!$A$3:$A$500))))</f>
        <v/>
      </c>
    </row>
    <row r="358">
      <c r="A358" s="1" t="n"/>
      <c r="B358" s="1" t="n"/>
      <c r="C358" s="1" t="n"/>
      <c r="D358" s="9">
        <f>IF($B358="","",IF(LEFT($AC358,3)="Yes","Blocked",IF(C358="NOT STARTED",IF(K358="","No plan date set",IF(K358&lt;TODAY(),"Review - planned start passed","On track")),IF(C358="DB Dev",IF(N358="","No target set",IF(AND(N358&lt;TODAY(),P358=""),"Overdue","On track")),IF(C358="PBI Dev",IF(Q358="","No target set",IF(AND(Q358&lt;TODAY(),S358=""),"Overdue","On track")),IF(C358="QA",IF(T358="","No target set",IF(AND(T358&lt;TODAY(),V358=""),"Overdue","On track")),IF(C358="DPO Approval",IF(W358="","No target set",IF(W358&lt;TODAY(),"Overdue","On track")),IF(C358="RELEASED IN PROD","Delivered",""))))))))</f>
        <v/>
      </c>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c r="AA358" s="1" t="n"/>
      <c r="AB358" s="1" t="n"/>
      <c r="AC358" s="1" t="n"/>
      <c r="AD358" s="9">
        <f>IF($B358="","",COUNTIF('Rework Log'!$A$3:$A$500,$B358))</f>
        <v/>
      </c>
      <c r="AE358" s="9">
        <f>IF(OR($B358="",$AM358=0),"",INDEX('Rework Log'!$C:$C,$AM358))</f>
        <v/>
      </c>
      <c r="AF358" s="9">
        <f>IF(OR($B358="",$AM358=0),"",INDEX('Rework Log'!$H:$H,$AM358))</f>
        <v/>
      </c>
      <c r="AG358" s="9">
        <f>IF(OR($B358="",$AM358=0),"",INDEX('Rework Log'!$G:$G,$AM358))</f>
        <v/>
      </c>
      <c r="AH358" s="9">
        <f>IF($B358="","",IF(W358&lt;&gt;"","DPO Approval",IF(T358&lt;&gt;"","QA",IF(Q358&lt;&gt;"","PBI Dev",IF(N358&lt;&gt;"","DB Dev","NOT STARTED")))))</f>
        <v/>
      </c>
      <c r="AI358" s="9">
        <f>IF($B358="","",IF(IF($C358="NOT STARTED",0,IF($C358="DB Dev",1,IF($C358="PBI Dev",2,IF($C358="QA",3,IF($C358="DPO Approval",4,IF($C358="RELEASED IN PROD",5,-1))))))&lt;IF($AH358="NOT STARTED",0,IF($AH358="DB Dev",1,IF($AH358="PBI Dev",2,IF($AH358="QA",3,IF($AH358="DPO Approval",4,IF($AH358="RELEASED IN PROD",5,-1)))))),"Yes - was already at "&amp;$AH358&amp;", now back at "&amp;$C358,"No"))</f>
        <v/>
      </c>
      <c r="AJ358" s="9">
        <f>IF($B358="","",IF(AND(T358&lt;&gt;"",N358&lt;&gt;"",T358&lt;N358),"QA target is before DB Dev target",IF(AND(T358&lt;&gt;"",Q358&lt;&gt;"",T358&lt;Q358),"QA target is before PBI Dev target",IF(AND(W358&lt;&gt;"",T358&lt;&gt;"",W358&lt;T358),"DPO Approval target is before QA target",IF(AND(Z358&lt;&gt;"",W358&lt;&gt;"",Z358&lt;W358),"Confirmed Deployed date is before DPO Approval target","")))))</f>
        <v/>
      </c>
      <c r="AK358" s="9">
        <f>IF($B358="","",IF(COUNTIF($B$2:$B$500,$B358)&gt;1,"Duplicate name - check row",""))</f>
        <v/>
      </c>
      <c r="AL358" s="1" t="n"/>
      <c r="AM358" s="9">
        <f>IF($B358="","",SUMPRODUCT(MAX(('Rework Log'!$A$3:$A$500=$B358)*ROW('Rework Log'!$A$3:$A$500))))</f>
        <v/>
      </c>
    </row>
    <row r="359">
      <c r="A359" s="1" t="n"/>
      <c r="B359" s="1" t="n"/>
      <c r="C359" s="1" t="n"/>
      <c r="D359" s="9">
        <f>IF($B359="","",IF(LEFT($AC359,3)="Yes","Blocked",IF(C359="NOT STARTED",IF(K359="","No plan date set",IF(K359&lt;TODAY(),"Review - planned start passed","On track")),IF(C359="DB Dev",IF(N359="","No target set",IF(AND(N359&lt;TODAY(),P359=""),"Overdue","On track")),IF(C359="PBI Dev",IF(Q359="","No target set",IF(AND(Q359&lt;TODAY(),S359=""),"Overdue","On track")),IF(C359="QA",IF(T359="","No target set",IF(AND(T359&lt;TODAY(),V359=""),"Overdue","On track")),IF(C359="DPO Approval",IF(W359="","No target set",IF(W359&lt;TODAY(),"Overdue","On track")),IF(C359="RELEASED IN PROD","Delivered",""))))))))</f>
        <v/>
      </c>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c r="AA359" s="1" t="n"/>
      <c r="AB359" s="1" t="n"/>
      <c r="AC359" s="1" t="n"/>
      <c r="AD359" s="9">
        <f>IF($B359="","",COUNTIF('Rework Log'!$A$3:$A$500,$B359))</f>
        <v/>
      </c>
      <c r="AE359" s="9">
        <f>IF(OR($B359="",$AM359=0),"",INDEX('Rework Log'!$C:$C,$AM359))</f>
        <v/>
      </c>
      <c r="AF359" s="9">
        <f>IF(OR($B359="",$AM359=0),"",INDEX('Rework Log'!$H:$H,$AM359))</f>
        <v/>
      </c>
      <c r="AG359" s="9">
        <f>IF(OR($B359="",$AM359=0),"",INDEX('Rework Log'!$G:$G,$AM359))</f>
        <v/>
      </c>
      <c r="AH359" s="9">
        <f>IF($B359="","",IF(W359&lt;&gt;"","DPO Approval",IF(T359&lt;&gt;"","QA",IF(Q359&lt;&gt;"","PBI Dev",IF(N359&lt;&gt;"","DB Dev","NOT STARTED")))))</f>
        <v/>
      </c>
      <c r="AI359" s="9">
        <f>IF($B359="","",IF(IF($C359="NOT STARTED",0,IF($C359="DB Dev",1,IF($C359="PBI Dev",2,IF($C359="QA",3,IF($C359="DPO Approval",4,IF($C359="RELEASED IN PROD",5,-1))))))&lt;IF($AH359="NOT STARTED",0,IF($AH359="DB Dev",1,IF($AH359="PBI Dev",2,IF($AH359="QA",3,IF($AH359="DPO Approval",4,IF($AH359="RELEASED IN PROD",5,-1)))))),"Yes - was already at "&amp;$AH359&amp;", now back at "&amp;$C359,"No"))</f>
        <v/>
      </c>
      <c r="AJ359" s="9">
        <f>IF($B359="","",IF(AND(T359&lt;&gt;"",N359&lt;&gt;"",T359&lt;N359),"QA target is before DB Dev target",IF(AND(T359&lt;&gt;"",Q359&lt;&gt;"",T359&lt;Q359),"QA target is before PBI Dev target",IF(AND(W359&lt;&gt;"",T359&lt;&gt;"",W359&lt;T359),"DPO Approval target is before QA target",IF(AND(Z359&lt;&gt;"",W359&lt;&gt;"",Z359&lt;W359),"Confirmed Deployed date is before DPO Approval target","")))))</f>
        <v/>
      </c>
      <c r="AK359" s="9">
        <f>IF($B359="","",IF(COUNTIF($B$2:$B$500,$B359)&gt;1,"Duplicate name - check row",""))</f>
        <v/>
      </c>
      <c r="AL359" s="1" t="n"/>
      <c r="AM359" s="9">
        <f>IF($B359="","",SUMPRODUCT(MAX(('Rework Log'!$A$3:$A$500=$B359)*ROW('Rework Log'!$A$3:$A$500))))</f>
        <v/>
      </c>
    </row>
    <row r="360">
      <c r="A360" s="1" t="n"/>
      <c r="B360" s="1" t="n"/>
      <c r="C360" s="1" t="n"/>
      <c r="D360" s="9">
        <f>IF($B360="","",IF(LEFT($AC360,3)="Yes","Blocked",IF(C360="NOT STARTED",IF(K360="","No plan date set",IF(K360&lt;TODAY(),"Review - planned start passed","On track")),IF(C360="DB Dev",IF(N360="","No target set",IF(AND(N360&lt;TODAY(),P360=""),"Overdue","On track")),IF(C360="PBI Dev",IF(Q360="","No target set",IF(AND(Q360&lt;TODAY(),S360=""),"Overdue","On track")),IF(C360="QA",IF(T360="","No target set",IF(AND(T360&lt;TODAY(),V360=""),"Overdue","On track")),IF(C360="DPO Approval",IF(W360="","No target set",IF(W360&lt;TODAY(),"Overdue","On track")),IF(C360="RELEASED IN PROD","Delivered",""))))))))</f>
        <v/>
      </c>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c r="AA360" s="1" t="n"/>
      <c r="AB360" s="1" t="n"/>
      <c r="AC360" s="1" t="n"/>
      <c r="AD360" s="9">
        <f>IF($B360="","",COUNTIF('Rework Log'!$A$3:$A$500,$B360))</f>
        <v/>
      </c>
      <c r="AE360" s="9">
        <f>IF(OR($B360="",$AM360=0),"",INDEX('Rework Log'!$C:$C,$AM360))</f>
        <v/>
      </c>
      <c r="AF360" s="9">
        <f>IF(OR($B360="",$AM360=0),"",INDEX('Rework Log'!$H:$H,$AM360))</f>
        <v/>
      </c>
      <c r="AG360" s="9">
        <f>IF(OR($B360="",$AM360=0),"",INDEX('Rework Log'!$G:$G,$AM360))</f>
        <v/>
      </c>
      <c r="AH360" s="9">
        <f>IF($B360="","",IF(W360&lt;&gt;"","DPO Approval",IF(T360&lt;&gt;"","QA",IF(Q360&lt;&gt;"","PBI Dev",IF(N360&lt;&gt;"","DB Dev","NOT STARTED")))))</f>
        <v/>
      </c>
      <c r="AI360" s="9">
        <f>IF($B360="","",IF(IF($C360="NOT STARTED",0,IF($C360="DB Dev",1,IF($C360="PBI Dev",2,IF($C360="QA",3,IF($C360="DPO Approval",4,IF($C360="RELEASED IN PROD",5,-1))))))&lt;IF($AH360="NOT STARTED",0,IF($AH360="DB Dev",1,IF($AH360="PBI Dev",2,IF($AH360="QA",3,IF($AH360="DPO Approval",4,IF($AH360="RELEASED IN PROD",5,-1)))))),"Yes - was already at "&amp;$AH360&amp;", now back at "&amp;$C360,"No"))</f>
        <v/>
      </c>
      <c r="AJ360" s="9">
        <f>IF($B360="","",IF(AND(T360&lt;&gt;"",N360&lt;&gt;"",T360&lt;N360),"QA target is before DB Dev target",IF(AND(T360&lt;&gt;"",Q360&lt;&gt;"",T360&lt;Q360),"QA target is before PBI Dev target",IF(AND(W360&lt;&gt;"",T360&lt;&gt;"",W360&lt;T360),"DPO Approval target is before QA target",IF(AND(Z360&lt;&gt;"",W360&lt;&gt;"",Z360&lt;W360),"Confirmed Deployed date is before DPO Approval target","")))))</f>
        <v/>
      </c>
      <c r="AK360" s="9">
        <f>IF($B360="","",IF(COUNTIF($B$2:$B$500,$B360)&gt;1,"Duplicate name - check row",""))</f>
        <v/>
      </c>
      <c r="AL360" s="1" t="n"/>
      <c r="AM360" s="9">
        <f>IF($B360="","",SUMPRODUCT(MAX(('Rework Log'!$A$3:$A$500=$B360)*ROW('Rework Log'!$A$3:$A$500))))</f>
        <v/>
      </c>
    </row>
    <row r="361">
      <c r="A361" s="1" t="n"/>
      <c r="B361" s="1" t="n"/>
      <c r="C361" s="1" t="n"/>
      <c r="D361" s="9">
        <f>IF($B361="","",IF(LEFT($AC361,3)="Yes","Blocked",IF(C361="NOT STARTED",IF(K361="","No plan date set",IF(K361&lt;TODAY(),"Review - planned start passed","On track")),IF(C361="DB Dev",IF(N361="","No target set",IF(AND(N361&lt;TODAY(),P361=""),"Overdue","On track")),IF(C361="PBI Dev",IF(Q361="","No target set",IF(AND(Q361&lt;TODAY(),S361=""),"Overdue","On track")),IF(C361="QA",IF(T361="","No target set",IF(AND(T361&lt;TODAY(),V361=""),"Overdue","On track")),IF(C361="DPO Approval",IF(W361="","No target set",IF(W361&lt;TODAY(),"Overdue","On track")),IF(C361="RELEASED IN PROD","Delivered",""))))))))</f>
        <v/>
      </c>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c r="AA361" s="1" t="n"/>
      <c r="AB361" s="1" t="n"/>
      <c r="AC361" s="1" t="n"/>
      <c r="AD361" s="9">
        <f>IF($B361="","",COUNTIF('Rework Log'!$A$3:$A$500,$B361))</f>
        <v/>
      </c>
      <c r="AE361" s="9">
        <f>IF(OR($B361="",$AM361=0),"",INDEX('Rework Log'!$C:$C,$AM361))</f>
        <v/>
      </c>
      <c r="AF361" s="9">
        <f>IF(OR($B361="",$AM361=0),"",INDEX('Rework Log'!$H:$H,$AM361))</f>
        <v/>
      </c>
      <c r="AG361" s="9">
        <f>IF(OR($B361="",$AM361=0),"",INDEX('Rework Log'!$G:$G,$AM361))</f>
        <v/>
      </c>
      <c r="AH361" s="9">
        <f>IF($B361="","",IF(W361&lt;&gt;"","DPO Approval",IF(T361&lt;&gt;"","QA",IF(Q361&lt;&gt;"","PBI Dev",IF(N361&lt;&gt;"","DB Dev","NOT STARTED")))))</f>
        <v/>
      </c>
      <c r="AI361" s="9">
        <f>IF($B361="","",IF(IF($C361="NOT STARTED",0,IF($C361="DB Dev",1,IF($C361="PBI Dev",2,IF($C361="QA",3,IF($C361="DPO Approval",4,IF($C361="RELEASED IN PROD",5,-1))))))&lt;IF($AH361="NOT STARTED",0,IF($AH361="DB Dev",1,IF($AH361="PBI Dev",2,IF($AH361="QA",3,IF($AH361="DPO Approval",4,IF($AH361="RELEASED IN PROD",5,-1)))))),"Yes - was already at "&amp;$AH361&amp;", now back at "&amp;$C361,"No"))</f>
        <v/>
      </c>
      <c r="AJ361" s="9">
        <f>IF($B361="","",IF(AND(T361&lt;&gt;"",N361&lt;&gt;"",T361&lt;N361),"QA target is before DB Dev target",IF(AND(T361&lt;&gt;"",Q361&lt;&gt;"",T361&lt;Q361),"QA target is before PBI Dev target",IF(AND(W361&lt;&gt;"",T361&lt;&gt;"",W361&lt;T361),"DPO Approval target is before QA target",IF(AND(Z361&lt;&gt;"",W361&lt;&gt;"",Z361&lt;W361),"Confirmed Deployed date is before DPO Approval target","")))))</f>
        <v/>
      </c>
      <c r="AK361" s="9">
        <f>IF($B361="","",IF(COUNTIF($B$2:$B$500,$B361)&gt;1,"Duplicate name - check row",""))</f>
        <v/>
      </c>
      <c r="AL361" s="1" t="n"/>
      <c r="AM361" s="9">
        <f>IF($B361="","",SUMPRODUCT(MAX(('Rework Log'!$A$3:$A$500=$B361)*ROW('Rework Log'!$A$3:$A$500))))</f>
        <v/>
      </c>
    </row>
    <row r="362">
      <c r="A362" s="1" t="n"/>
      <c r="B362" s="1" t="n"/>
      <c r="C362" s="1" t="n"/>
      <c r="D362" s="9">
        <f>IF($B362="","",IF(LEFT($AC362,3)="Yes","Blocked",IF(C362="NOT STARTED",IF(K362="","No plan date set",IF(K362&lt;TODAY(),"Review - planned start passed","On track")),IF(C362="DB Dev",IF(N362="","No target set",IF(AND(N362&lt;TODAY(),P362=""),"Overdue","On track")),IF(C362="PBI Dev",IF(Q362="","No target set",IF(AND(Q362&lt;TODAY(),S362=""),"Overdue","On track")),IF(C362="QA",IF(T362="","No target set",IF(AND(T362&lt;TODAY(),V362=""),"Overdue","On track")),IF(C362="DPO Approval",IF(W362="","No target set",IF(W362&lt;TODAY(),"Overdue","On track")),IF(C362="RELEASED IN PROD","Delivered",""))))))))</f>
        <v/>
      </c>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c r="AA362" s="1" t="n"/>
      <c r="AB362" s="1" t="n"/>
      <c r="AC362" s="1" t="n"/>
      <c r="AD362" s="9">
        <f>IF($B362="","",COUNTIF('Rework Log'!$A$3:$A$500,$B362))</f>
        <v/>
      </c>
      <c r="AE362" s="9">
        <f>IF(OR($B362="",$AM362=0),"",INDEX('Rework Log'!$C:$C,$AM362))</f>
        <v/>
      </c>
      <c r="AF362" s="9">
        <f>IF(OR($B362="",$AM362=0),"",INDEX('Rework Log'!$H:$H,$AM362))</f>
        <v/>
      </c>
      <c r="AG362" s="9">
        <f>IF(OR($B362="",$AM362=0),"",INDEX('Rework Log'!$G:$G,$AM362))</f>
        <v/>
      </c>
      <c r="AH362" s="9">
        <f>IF($B362="","",IF(W362&lt;&gt;"","DPO Approval",IF(T362&lt;&gt;"","QA",IF(Q362&lt;&gt;"","PBI Dev",IF(N362&lt;&gt;"","DB Dev","NOT STARTED")))))</f>
        <v/>
      </c>
      <c r="AI362" s="9">
        <f>IF($B362="","",IF(IF($C362="NOT STARTED",0,IF($C362="DB Dev",1,IF($C362="PBI Dev",2,IF($C362="QA",3,IF($C362="DPO Approval",4,IF($C362="RELEASED IN PROD",5,-1))))))&lt;IF($AH362="NOT STARTED",0,IF($AH362="DB Dev",1,IF($AH362="PBI Dev",2,IF($AH362="QA",3,IF($AH362="DPO Approval",4,IF($AH362="RELEASED IN PROD",5,-1)))))),"Yes - was already at "&amp;$AH362&amp;", now back at "&amp;$C362,"No"))</f>
        <v/>
      </c>
      <c r="AJ362" s="9">
        <f>IF($B362="","",IF(AND(T362&lt;&gt;"",N362&lt;&gt;"",T362&lt;N362),"QA target is before DB Dev target",IF(AND(T362&lt;&gt;"",Q362&lt;&gt;"",T362&lt;Q362),"QA target is before PBI Dev target",IF(AND(W362&lt;&gt;"",T362&lt;&gt;"",W362&lt;T362),"DPO Approval target is before QA target",IF(AND(Z362&lt;&gt;"",W362&lt;&gt;"",Z362&lt;W362),"Confirmed Deployed date is before DPO Approval target","")))))</f>
        <v/>
      </c>
      <c r="AK362" s="9">
        <f>IF($B362="","",IF(COUNTIF($B$2:$B$500,$B362)&gt;1,"Duplicate name - check row",""))</f>
        <v/>
      </c>
      <c r="AL362" s="1" t="n"/>
      <c r="AM362" s="9">
        <f>IF($B362="","",SUMPRODUCT(MAX(('Rework Log'!$A$3:$A$500=$B362)*ROW('Rework Log'!$A$3:$A$500))))</f>
        <v/>
      </c>
    </row>
    <row r="363">
      <c r="A363" s="1" t="n"/>
      <c r="B363" s="1" t="n"/>
      <c r="C363" s="1" t="n"/>
      <c r="D363" s="9">
        <f>IF($B363="","",IF(LEFT($AC363,3)="Yes","Blocked",IF(C363="NOT STARTED",IF(K363="","No plan date set",IF(K363&lt;TODAY(),"Review - planned start passed","On track")),IF(C363="DB Dev",IF(N363="","No target set",IF(AND(N363&lt;TODAY(),P363=""),"Overdue","On track")),IF(C363="PBI Dev",IF(Q363="","No target set",IF(AND(Q363&lt;TODAY(),S363=""),"Overdue","On track")),IF(C363="QA",IF(T363="","No target set",IF(AND(T363&lt;TODAY(),V363=""),"Overdue","On track")),IF(C363="DPO Approval",IF(W363="","No target set",IF(W363&lt;TODAY(),"Overdue","On track")),IF(C363="RELEASED IN PROD","Delivered",""))))))))</f>
        <v/>
      </c>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c r="AA363" s="1" t="n"/>
      <c r="AB363" s="1" t="n"/>
      <c r="AC363" s="1" t="n"/>
      <c r="AD363" s="9">
        <f>IF($B363="","",COUNTIF('Rework Log'!$A$3:$A$500,$B363))</f>
        <v/>
      </c>
      <c r="AE363" s="9">
        <f>IF(OR($B363="",$AM363=0),"",INDEX('Rework Log'!$C:$C,$AM363))</f>
        <v/>
      </c>
      <c r="AF363" s="9">
        <f>IF(OR($B363="",$AM363=0),"",INDEX('Rework Log'!$H:$H,$AM363))</f>
        <v/>
      </c>
      <c r="AG363" s="9">
        <f>IF(OR($B363="",$AM363=0),"",INDEX('Rework Log'!$G:$G,$AM363))</f>
        <v/>
      </c>
      <c r="AH363" s="9">
        <f>IF($B363="","",IF(W363&lt;&gt;"","DPO Approval",IF(T363&lt;&gt;"","QA",IF(Q363&lt;&gt;"","PBI Dev",IF(N363&lt;&gt;"","DB Dev","NOT STARTED")))))</f>
        <v/>
      </c>
      <c r="AI363" s="9">
        <f>IF($B363="","",IF(IF($C363="NOT STARTED",0,IF($C363="DB Dev",1,IF($C363="PBI Dev",2,IF($C363="QA",3,IF($C363="DPO Approval",4,IF($C363="RELEASED IN PROD",5,-1))))))&lt;IF($AH363="NOT STARTED",0,IF($AH363="DB Dev",1,IF($AH363="PBI Dev",2,IF($AH363="QA",3,IF($AH363="DPO Approval",4,IF($AH363="RELEASED IN PROD",5,-1)))))),"Yes - was already at "&amp;$AH363&amp;", now back at "&amp;$C363,"No"))</f>
        <v/>
      </c>
      <c r="AJ363" s="9">
        <f>IF($B363="","",IF(AND(T363&lt;&gt;"",N363&lt;&gt;"",T363&lt;N363),"QA target is before DB Dev target",IF(AND(T363&lt;&gt;"",Q363&lt;&gt;"",T363&lt;Q363),"QA target is before PBI Dev target",IF(AND(W363&lt;&gt;"",T363&lt;&gt;"",W363&lt;T363),"DPO Approval target is before QA target",IF(AND(Z363&lt;&gt;"",W363&lt;&gt;"",Z363&lt;W363),"Confirmed Deployed date is before DPO Approval target","")))))</f>
        <v/>
      </c>
      <c r="AK363" s="9">
        <f>IF($B363="","",IF(COUNTIF($B$2:$B$500,$B363)&gt;1,"Duplicate name - check row",""))</f>
        <v/>
      </c>
      <c r="AL363" s="1" t="n"/>
      <c r="AM363" s="9">
        <f>IF($B363="","",SUMPRODUCT(MAX(('Rework Log'!$A$3:$A$500=$B363)*ROW('Rework Log'!$A$3:$A$500))))</f>
        <v/>
      </c>
    </row>
    <row r="364">
      <c r="A364" s="1" t="n"/>
      <c r="B364" s="1" t="n"/>
      <c r="C364" s="1" t="n"/>
      <c r="D364" s="9">
        <f>IF($B364="","",IF(LEFT($AC364,3)="Yes","Blocked",IF(C364="NOT STARTED",IF(K364="","No plan date set",IF(K364&lt;TODAY(),"Review - planned start passed","On track")),IF(C364="DB Dev",IF(N364="","No target set",IF(AND(N364&lt;TODAY(),P364=""),"Overdue","On track")),IF(C364="PBI Dev",IF(Q364="","No target set",IF(AND(Q364&lt;TODAY(),S364=""),"Overdue","On track")),IF(C364="QA",IF(T364="","No target set",IF(AND(T364&lt;TODAY(),V364=""),"Overdue","On track")),IF(C364="DPO Approval",IF(W364="","No target set",IF(W364&lt;TODAY(),"Overdue","On track")),IF(C364="RELEASED IN PROD","Delivered",""))))))))</f>
        <v/>
      </c>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c r="AA364" s="1" t="n"/>
      <c r="AB364" s="1" t="n"/>
      <c r="AC364" s="1" t="n"/>
      <c r="AD364" s="9">
        <f>IF($B364="","",COUNTIF('Rework Log'!$A$3:$A$500,$B364))</f>
        <v/>
      </c>
      <c r="AE364" s="9">
        <f>IF(OR($B364="",$AM364=0),"",INDEX('Rework Log'!$C:$C,$AM364))</f>
        <v/>
      </c>
      <c r="AF364" s="9">
        <f>IF(OR($B364="",$AM364=0),"",INDEX('Rework Log'!$H:$H,$AM364))</f>
        <v/>
      </c>
      <c r="AG364" s="9">
        <f>IF(OR($B364="",$AM364=0),"",INDEX('Rework Log'!$G:$G,$AM364))</f>
        <v/>
      </c>
      <c r="AH364" s="9">
        <f>IF($B364="","",IF(W364&lt;&gt;"","DPO Approval",IF(T364&lt;&gt;"","QA",IF(Q364&lt;&gt;"","PBI Dev",IF(N364&lt;&gt;"","DB Dev","NOT STARTED")))))</f>
        <v/>
      </c>
      <c r="AI364" s="9">
        <f>IF($B364="","",IF(IF($C364="NOT STARTED",0,IF($C364="DB Dev",1,IF($C364="PBI Dev",2,IF($C364="QA",3,IF($C364="DPO Approval",4,IF($C364="RELEASED IN PROD",5,-1))))))&lt;IF($AH364="NOT STARTED",0,IF($AH364="DB Dev",1,IF($AH364="PBI Dev",2,IF($AH364="QA",3,IF($AH364="DPO Approval",4,IF($AH364="RELEASED IN PROD",5,-1)))))),"Yes - was already at "&amp;$AH364&amp;", now back at "&amp;$C364,"No"))</f>
        <v/>
      </c>
      <c r="AJ364" s="9">
        <f>IF($B364="","",IF(AND(T364&lt;&gt;"",N364&lt;&gt;"",T364&lt;N364),"QA target is before DB Dev target",IF(AND(T364&lt;&gt;"",Q364&lt;&gt;"",T364&lt;Q364),"QA target is before PBI Dev target",IF(AND(W364&lt;&gt;"",T364&lt;&gt;"",W364&lt;T364),"DPO Approval target is before QA target",IF(AND(Z364&lt;&gt;"",W364&lt;&gt;"",Z364&lt;W364),"Confirmed Deployed date is before DPO Approval target","")))))</f>
        <v/>
      </c>
      <c r="AK364" s="9">
        <f>IF($B364="","",IF(COUNTIF($B$2:$B$500,$B364)&gt;1,"Duplicate name - check row",""))</f>
        <v/>
      </c>
      <c r="AL364" s="1" t="n"/>
      <c r="AM364" s="9">
        <f>IF($B364="","",SUMPRODUCT(MAX(('Rework Log'!$A$3:$A$500=$B364)*ROW('Rework Log'!$A$3:$A$500))))</f>
        <v/>
      </c>
    </row>
    <row r="365">
      <c r="A365" s="1" t="n"/>
      <c r="B365" s="1" t="n"/>
      <c r="C365" s="1" t="n"/>
      <c r="D365" s="9">
        <f>IF($B365="","",IF(LEFT($AC365,3)="Yes","Blocked",IF(C365="NOT STARTED",IF(K365="","No plan date set",IF(K365&lt;TODAY(),"Review - planned start passed","On track")),IF(C365="DB Dev",IF(N365="","No target set",IF(AND(N365&lt;TODAY(),P365=""),"Overdue","On track")),IF(C365="PBI Dev",IF(Q365="","No target set",IF(AND(Q365&lt;TODAY(),S365=""),"Overdue","On track")),IF(C365="QA",IF(T365="","No target set",IF(AND(T365&lt;TODAY(),V365=""),"Overdue","On track")),IF(C365="DPO Approval",IF(W365="","No target set",IF(W365&lt;TODAY(),"Overdue","On track")),IF(C365="RELEASED IN PROD","Delivered",""))))))))</f>
        <v/>
      </c>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c r="AA365" s="1" t="n"/>
      <c r="AB365" s="1" t="n"/>
      <c r="AC365" s="1" t="n"/>
      <c r="AD365" s="9">
        <f>IF($B365="","",COUNTIF('Rework Log'!$A$3:$A$500,$B365))</f>
        <v/>
      </c>
      <c r="AE365" s="9">
        <f>IF(OR($B365="",$AM365=0),"",INDEX('Rework Log'!$C:$C,$AM365))</f>
        <v/>
      </c>
      <c r="AF365" s="9">
        <f>IF(OR($B365="",$AM365=0),"",INDEX('Rework Log'!$H:$H,$AM365))</f>
        <v/>
      </c>
      <c r="AG365" s="9">
        <f>IF(OR($B365="",$AM365=0),"",INDEX('Rework Log'!$G:$G,$AM365))</f>
        <v/>
      </c>
      <c r="AH365" s="9">
        <f>IF($B365="","",IF(W365&lt;&gt;"","DPO Approval",IF(T365&lt;&gt;"","QA",IF(Q365&lt;&gt;"","PBI Dev",IF(N365&lt;&gt;"","DB Dev","NOT STARTED")))))</f>
        <v/>
      </c>
      <c r="AI365" s="9">
        <f>IF($B365="","",IF(IF($C365="NOT STARTED",0,IF($C365="DB Dev",1,IF($C365="PBI Dev",2,IF($C365="QA",3,IF($C365="DPO Approval",4,IF($C365="RELEASED IN PROD",5,-1))))))&lt;IF($AH365="NOT STARTED",0,IF($AH365="DB Dev",1,IF($AH365="PBI Dev",2,IF($AH365="QA",3,IF($AH365="DPO Approval",4,IF($AH365="RELEASED IN PROD",5,-1)))))),"Yes - was already at "&amp;$AH365&amp;", now back at "&amp;$C365,"No"))</f>
        <v/>
      </c>
      <c r="AJ365" s="9">
        <f>IF($B365="","",IF(AND(T365&lt;&gt;"",N365&lt;&gt;"",T365&lt;N365),"QA target is before DB Dev target",IF(AND(T365&lt;&gt;"",Q365&lt;&gt;"",T365&lt;Q365),"QA target is before PBI Dev target",IF(AND(W365&lt;&gt;"",T365&lt;&gt;"",W365&lt;T365),"DPO Approval target is before QA target",IF(AND(Z365&lt;&gt;"",W365&lt;&gt;"",Z365&lt;W365),"Confirmed Deployed date is before DPO Approval target","")))))</f>
        <v/>
      </c>
      <c r="AK365" s="9">
        <f>IF($B365="","",IF(COUNTIF($B$2:$B$500,$B365)&gt;1,"Duplicate name - check row",""))</f>
        <v/>
      </c>
      <c r="AL365" s="1" t="n"/>
      <c r="AM365" s="9">
        <f>IF($B365="","",SUMPRODUCT(MAX(('Rework Log'!$A$3:$A$500=$B365)*ROW('Rework Log'!$A$3:$A$500))))</f>
        <v/>
      </c>
    </row>
    <row r="366">
      <c r="A366" s="1" t="n"/>
      <c r="B366" s="1" t="n"/>
      <c r="C366" s="1" t="n"/>
      <c r="D366" s="9">
        <f>IF($B366="","",IF(LEFT($AC366,3)="Yes","Blocked",IF(C366="NOT STARTED",IF(K366="","No plan date set",IF(K366&lt;TODAY(),"Review - planned start passed","On track")),IF(C366="DB Dev",IF(N366="","No target set",IF(AND(N366&lt;TODAY(),P366=""),"Overdue","On track")),IF(C366="PBI Dev",IF(Q366="","No target set",IF(AND(Q366&lt;TODAY(),S366=""),"Overdue","On track")),IF(C366="QA",IF(T366="","No target set",IF(AND(T366&lt;TODAY(),V366=""),"Overdue","On track")),IF(C366="DPO Approval",IF(W366="","No target set",IF(W366&lt;TODAY(),"Overdue","On track")),IF(C366="RELEASED IN PROD","Delivered",""))))))))</f>
        <v/>
      </c>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c r="AA366" s="1" t="n"/>
      <c r="AB366" s="1" t="n"/>
      <c r="AC366" s="1" t="n"/>
      <c r="AD366" s="9">
        <f>IF($B366="","",COUNTIF('Rework Log'!$A$3:$A$500,$B366))</f>
        <v/>
      </c>
      <c r="AE366" s="9">
        <f>IF(OR($B366="",$AM366=0),"",INDEX('Rework Log'!$C:$C,$AM366))</f>
        <v/>
      </c>
      <c r="AF366" s="9">
        <f>IF(OR($B366="",$AM366=0),"",INDEX('Rework Log'!$H:$H,$AM366))</f>
        <v/>
      </c>
      <c r="AG366" s="9">
        <f>IF(OR($B366="",$AM366=0),"",INDEX('Rework Log'!$G:$G,$AM366))</f>
        <v/>
      </c>
      <c r="AH366" s="9">
        <f>IF($B366="","",IF(W366&lt;&gt;"","DPO Approval",IF(T366&lt;&gt;"","QA",IF(Q366&lt;&gt;"","PBI Dev",IF(N366&lt;&gt;"","DB Dev","NOT STARTED")))))</f>
        <v/>
      </c>
      <c r="AI366" s="9">
        <f>IF($B366="","",IF(IF($C366="NOT STARTED",0,IF($C366="DB Dev",1,IF($C366="PBI Dev",2,IF($C366="QA",3,IF($C366="DPO Approval",4,IF($C366="RELEASED IN PROD",5,-1))))))&lt;IF($AH366="NOT STARTED",0,IF($AH366="DB Dev",1,IF($AH366="PBI Dev",2,IF($AH366="QA",3,IF($AH366="DPO Approval",4,IF($AH366="RELEASED IN PROD",5,-1)))))),"Yes - was already at "&amp;$AH366&amp;", now back at "&amp;$C366,"No"))</f>
        <v/>
      </c>
      <c r="AJ366" s="9">
        <f>IF($B366="","",IF(AND(T366&lt;&gt;"",N366&lt;&gt;"",T366&lt;N366),"QA target is before DB Dev target",IF(AND(T366&lt;&gt;"",Q366&lt;&gt;"",T366&lt;Q366),"QA target is before PBI Dev target",IF(AND(W366&lt;&gt;"",T366&lt;&gt;"",W366&lt;T366),"DPO Approval target is before QA target",IF(AND(Z366&lt;&gt;"",W366&lt;&gt;"",Z366&lt;W366),"Confirmed Deployed date is before DPO Approval target","")))))</f>
        <v/>
      </c>
      <c r="AK366" s="9">
        <f>IF($B366="","",IF(COUNTIF($B$2:$B$500,$B366)&gt;1,"Duplicate name - check row",""))</f>
        <v/>
      </c>
      <c r="AL366" s="1" t="n"/>
      <c r="AM366" s="9">
        <f>IF($B366="","",SUMPRODUCT(MAX(('Rework Log'!$A$3:$A$500=$B366)*ROW('Rework Log'!$A$3:$A$500))))</f>
        <v/>
      </c>
    </row>
    <row r="367">
      <c r="A367" s="1" t="n"/>
      <c r="B367" s="1" t="n"/>
      <c r="C367" s="1" t="n"/>
      <c r="D367" s="9">
        <f>IF($B367="","",IF(LEFT($AC367,3)="Yes","Blocked",IF(C367="NOT STARTED",IF(K367="","No plan date set",IF(K367&lt;TODAY(),"Review - planned start passed","On track")),IF(C367="DB Dev",IF(N367="","No target set",IF(AND(N367&lt;TODAY(),P367=""),"Overdue","On track")),IF(C367="PBI Dev",IF(Q367="","No target set",IF(AND(Q367&lt;TODAY(),S367=""),"Overdue","On track")),IF(C367="QA",IF(T367="","No target set",IF(AND(T367&lt;TODAY(),V367=""),"Overdue","On track")),IF(C367="DPO Approval",IF(W367="","No target set",IF(W367&lt;TODAY(),"Overdue","On track")),IF(C367="RELEASED IN PROD","Delivered",""))))))))</f>
        <v/>
      </c>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c r="AA367" s="1" t="n"/>
      <c r="AB367" s="1" t="n"/>
      <c r="AC367" s="1" t="n"/>
      <c r="AD367" s="9">
        <f>IF($B367="","",COUNTIF('Rework Log'!$A$3:$A$500,$B367))</f>
        <v/>
      </c>
      <c r="AE367" s="9">
        <f>IF(OR($B367="",$AM367=0),"",INDEX('Rework Log'!$C:$C,$AM367))</f>
        <v/>
      </c>
      <c r="AF367" s="9">
        <f>IF(OR($B367="",$AM367=0),"",INDEX('Rework Log'!$H:$H,$AM367))</f>
        <v/>
      </c>
      <c r="AG367" s="9">
        <f>IF(OR($B367="",$AM367=0),"",INDEX('Rework Log'!$G:$G,$AM367))</f>
        <v/>
      </c>
      <c r="AH367" s="9">
        <f>IF($B367="","",IF(W367&lt;&gt;"","DPO Approval",IF(T367&lt;&gt;"","QA",IF(Q367&lt;&gt;"","PBI Dev",IF(N367&lt;&gt;"","DB Dev","NOT STARTED")))))</f>
        <v/>
      </c>
      <c r="AI367" s="9">
        <f>IF($B367="","",IF(IF($C367="NOT STARTED",0,IF($C367="DB Dev",1,IF($C367="PBI Dev",2,IF($C367="QA",3,IF($C367="DPO Approval",4,IF($C367="RELEASED IN PROD",5,-1))))))&lt;IF($AH367="NOT STARTED",0,IF($AH367="DB Dev",1,IF($AH367="PBI Dev",2,IF($AH367="QA",3,IF($AH367="DPO Approval",4,IF($AH367="RELEASED IN PROD",5,-1)))))),"Yes - was already at "&amp;$AH367&amp;", now back at "&amp;$C367,"No"))</f>
        <v/>
      </c>
      <c r="AJ367" s="9">
        <f>IF($B367="","",IF(AND(T367&lt;&gt;"",N367&lt;&gt;"",T367&lt;N367),"QA target is before DB Dev target",IF(AND(T367&lt;&gt;"",Q367&lt;&gt;"",T367&lt;Q367),"QA target is before PBI Dev target",IF(AND(W367&lt;&gt;"",T367&lt;&gt;"",W367&lt;T367),"DPO Approval target is before QA target",IF(AND(Z367&lt;&gt;"",W367&lt;&gt;"",Z367&lt;W367),"Confirmed Deployed date is before DPO Approval target","")))))</f>
        <v/>
      </c>
      <c r="AK367" s="9">
        <f>IF($B367="","",IF(COUNTIF($B$2:$B$500,$B367)&gt;1,"Duplicate name - check row",""))</f>
        <v/>
      </c>
      <c r="AL367" s="1" t="n"/>
      <c r="AM367" s="9">
        <f>IF($B367="","",SUMPRODUCT(MAX(('Rework Log'!$A$3:$A$500=$B367)*ROW('Rework Log'!$A$3:$A$500))))</f>
        <v/>
      </c>
    </row>
    <row r="368">
      <c r="A368" s="1" t="n"/>
      <c r="B368" s="1" t="n"/>
      <c r="C368" s="1" t="n"/>
      <c r="D368" s="9">
        <f>IF($B368="","",IF(LEFT($AC368,3)="Yes","Blocked",IF(C368="NOT STARTED",IF(K368="","No plan date set",IF(K368&lt;TODAY(),"Review - planned start passed","On track")),IF(C368="DB Dev",IF(N368="","No target set",IF(AND(N368&lt;TODAY(),P368=""),"Overdue","On track")),IF(C368="PBI Dev",IF(Q368="","No target set",IF(AND(Q368&lt;TODAY(),S368=""),"Overdue","On track")),IF(C368="QA",IF(T368="","No target set",IF(AND(T368&lt;TODAY(),V368=""),"Overdue","On track")),IF(C368="DPO Approval",IF(W368="","No target set",IF(W368&lt;TODAY(),"Overdue","On track")),IF(C368="RELEASED IN PROD","Delivered",""))))))))</f>
        <v/>
      </c>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c r="AA368" s="1" t="n"/>
      <c r="AB368" s="1" t="n"/>
      <c r="AC368" s="1" t="n"/>
      <c r="AD368" s="9">
        <f>IF($B368="","",COUNTIF('Rework Log'!$A$3:$A$500,$B368))</f>
        <v/>
      </c>
      <c r="AE368" s="9">
        <f>IF(OR($B368="",$AM368=0),"",INDEX('Rework Log'!$C:$C,$AM368))</f>
        <v/>
      </c>
      <c r="AF368" s="9">
        <f>IF(OR($B368="",$AM368=0),"",INDEX('Rework Log'!$H:$H,$AM368))</f>
        <v/>
      </c>
      <c r="AG368" s="9">
        <f>IF(OR($B368="",$AM368=0),"",INDEX('Rework Log'!$G:$G,$AM368))</f>
        <v/>
      </c>
      <c r="AH368" s="9">
        <f>IF($B368="","",IF(W368&lt;&gt;"","DPO Approval",IF(T368&lt;&gt;"","QA",IF(Q368&lt;&gt;"","PBI Dev",IF(N368&lt;&gt;"","DB Dev","NOT STARTED")))))</f>
        <v/>
      </c>
      <c r="AI368" s="9">
        <f>IF($B368="","",IF(IF($C368="NOT STARTED",0,IF($C368="DB Dev",1,IF($C368="PBI Dev",2,IF($C368="QA",3,IF($C368="DPO Approval",4,IF($C368="RELEASED IN PROD",5,-1))))))&lt;IF($AH368="NOT STARTED",0,IF($AH368="DB Dev",1,IF($AH368="PBI Dev",2,IF($AH368="QA",3,IF($AH368="DPO Approval",4,IF($AH368="RELEASED IN PROD",5,-1)))))),"Yes - was already at "&amp;$AH368&amp;", now back at "&amp;$C368,"No"))</f>
        <v/>
      </c>
      <c r="AJ368" s="9">
        <f>IF($B368="","",IF(AND(T368&lt;&gt;"",N368&lt;&gt;"",T368&lt;N368),"QA target is before DB Dev target",IF(AND(T368&lt;&gt;"",Q368&lt;&gt;"",T368&lt;Q368),"QA target is before PBI Dev target",IF(AND(W368&lt;&gt;"",T368&lt;&gt;"",W368&lt;T368),"DPO Approval target is before QA target",IF(AND(Z368&lt;&gt;"",W368&lt;&gt;"",Z368&lt;W368),"Confirmed Deployed date is before DPO Approval target","")))))</f>
        <v/>
      </c>
      <c r="AK368" s="9">
        <f>IF($B368="","",IF(COUNTIF($B$2:$B$500,$B368)&gt;1,"Duplicate name - check row",""))</f>
        <v/>
      </c>
      <c r="AL368" s="1" t="n"/>
      <c r="AM368" s="9">
        <f>IF($B368="","",SUMPRODUCT(MAX(('Rework Log'!$A$3:$A$500=$B368)*ROW('Rework Log'!$A$3:$A$500))))</f>
        <v/>
      </c>
    </row>
    <row r="369">
      <c r="A369" s="1" t="n"/>
      <c r="B369" s="1" t="n"/>
      <c r="C369" s="1" t="n"/>
      <c r="D369" s="9">
        <f>IF($B369="","",IF(LEFT($AC369,3)="Yes","Blocked",IF(C369="NOT STARTED",IF(K369="","No plan date set",IF(K369&lt;TODAY(),"Review - planned start passed","On track")),IF(C369="DB Dev",IF(N369="","No target set",IF(AND(N369&lt;TODAY(),P369=""),"Overdue","On track")),IF(C369="PBI Dev",IF(Q369="","No target set",IF(AND(Q369&lt;TODAY(),S369=""),"Overdue","On track")),IF(C369="QA",IF(T369="","No target set",IF(AND(T369&lt;TODAY(),V369=""),"Overdue","On track")),IF(C369="DPO Approval",IF(W369="","No target set",IF(W369&lt;TODAY(),"Overdue","On track")),IF(C369="RELEASED IN PROD","Delivered",""))))))))</f>
        <v/>
      </c>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c r="AA369" s="1" t="n"/>
      <c r="AB369" s="1" t="n"/>
      <c r="AC369" s="1" t="n"/>
      <c r="AD369" s="9">
        <f>IF($B369="","",COUNTIF('Rework Log'!$A$3:$A$500,$B369))</f>
        <v/>
      </c>
      <c r="AE369" s="9">
        <f>IF(OR($B369="",$AM369=0),"",INDEX('Rework Log'!$C:$C,$AM369))</f>
        <v/>
      </c>
      <c r="AF369" s="9">
        <f>IF(OR($B369="",$AM369=0),"",INDEX('Rework Log'!$H:$H,$AM369))</f>
        <v/>
      </c>
      <c r="AG369" s="9">
        <f>IF(OR($B369="",$AM369=0),"",INDEX('Rework Log'!$G:$G,$AM369))</f>
        <v/>
      </c>
      <c r="AH369" s="9">
        <f>IF($B369="","",IF(W369&lt;&gt;"","DPO Approval",IF(T369&lt;&gt;"","QA",IF(Q369&lt;&gt;"","PBI Dev",IF(N369&lt;&gt;"","DB Dev","NOT STARTED")))))</f>
        <v/>
      </c>
      <c r="AI369" s="9">
        <f>IF($B369="","",IF(IF($C369="NOT STARTED",0,IF($C369="DB Dev",1,IF($C369="PBI Dev",2,IF($C369="QA",3,IF($C369="DPO Approval",4,IF($C369="RELEASED IN PROD",5,-1))))))&lt;IF($AH369="NOT STARTED",0,IF($AH369="DB Dev",1,IF($AH369="PBI Dev",2,IF($AH369="QA",3,IF($AH369="DPO Approval",4,IF($AH369="RELEASED IN PROD",5,-1)))))),"Yes - was already at "&amp;$AH369&amp;", now back at "&amp;$C369,"No"))</f>
        <v/>
      </c>
      <c r="AJ369" s="9">
        <f>IF($B369="","",IF(AND(T369&lt;&gt;"",N369&lt;&gt;"",T369&lt;N369),"QA target is before DB Dev target",IF(AND(T369&lt;&gt;"",Q369&lt;&gt;"",T369&lt;Q369),"QA target is before PBI Dev target",IF(AND(W369&lt;&gt;"",T369&lt;&gt;"",W369&lt;T369),"DPO Approval target is before QA target",IF(AND(Z369&lt;&gt;"",W369&lt;&gt;"",Z369&lt;W369),"Confirmed Deployed date is before DPO Approval target","")))))</f>
        <v/>
      </c>
      <c r="AK369" s="9">
        <f>IF($B369="","",IF(COUNTIF($B$2:$B$500,$B369)&gt;1,"Duplicate name - check row",""))</f>
        <v/>
      </c>
      <c r="AL369" s="1" t="n"/>
      <c r="AM369" s="9">
        <f>IF($B369="","",SUMPRODUCT(MAX(('Rework Log'!$A$3:$A$500=$B369)*ROW('Rework Log'!$A$3:$A$500))))</f>
        <v/>
      </c>
    </row>
    <row r="370">
      <c r="A370" s="1" t="n"/>
      <c r="B370" s="1" t="n"/>
      <c r="C370" s="1" t="n"/>
      <c r="D370" s="9">
        <f>IF($B370="","",IF(LEFT($AC370,3)="Yes","Blocked",IF(C370="NOT STARTED",IF(K370="","No plan date set",IF(K370&lt;TODAY(),"Review - planned start passed","On track")),IF(C370="DB Dev",IF(N370="","No target set",IF(AND(N370&lt;TODAY(),P370=""),"Overdue","On track")),IF(C370="PBI Dev",IF(Q370="","No target set",IF(AND(Q370&lt;TODAY(),S370=""),"Overdue","On track")),IF(C370="QA",IF(T370="","No target set",IF(AND(T370&lt;TODAY(),V370=""),"Overdue","On track")),IF(C370="DPO Approval",IF(W370="","No target set",IF(W370&lt;TODAY(),"Overdue","On track")),IF(C370="RELEASED IN PROD","Delivered",""))))))))</f>
        <v/>
      </c>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c r="AA370" s="1" t="n"/>
      <c r="AB370" s="1" t="n"/>
      <c r="AC370" s="1" t="n"/>
      <c r="AD370" s="9">
        <f>IF($B370="","",COUNTIF('Rework Log'!$A$3:$A$500,$B370))</f>
        <v/>
      </c>
      <c r="AE370" s="9">
        <f>IF(OR($B370="",$AM370=0),"",INDEX('Rework Log'!$C:$C,$AM370))</f>
        <v/>
      </c>
      <c r="AF370" s="9">
        <f>IF(OR($B370="",$AM370=0),"",INDEX('Rework Log'!$H:$H,$AM370))</f>
        <v/>
      </c>
      <c r="AG370" s="9">
        <f>IF(OR($B370="",$AM370=0),"",INDEX('Rework Log'!$G:$G,$AM370))</f>
        <v/>
      </c>
      <c r="AH370" s="9">
        <f>IF($B370="","",IF(W370&lt;&gt;"","DPO Approval",IF(T370&lt;&gt;"","QA",IF(Q370&lt;&gt;"","PBI Dev",IF(N370&lt;&gt;"","DB Dev","NOT STARTED")))))</f>
        <v/>
      </c>
      <c r="AI370" s="9">
        <f>IF($B370="","",IF(IF($C370="NOT STARTED",0,IF($C370="DB Dev",1,IF($C370="PBI Dev",2,IF($C370="QA",3,IF($C370="DPO Approval",4,IF($C370="RELEASED IN PROD",5,-1))))))&lt;IF($AH370="NOT STARTED",0,IF($AH370="DB Dev",1,IF($AH370="PBI Dev",2,IF($AH370="QA",3,IF($AH370="DPO Approval",4,IF($AH370="RELEASED IN PROD",5,-1)))))),"Yes - was already at "&amp;$AH370&amp;", now back at "&amp;$C370,"No"))</f>
        <v/>
      </c>
      <c r="AJ370" s="9">
        <f>IF($B370="","",IF(AND(T370&lt;&gt;"",N370&lt;&gt;"",T370&lt;N370),"QA target is before DB Dev target",IF(AND(T370&lt;&gt;"",Q370&lt;&gt;"",T370&lt;Q370),"QA target is before PBI Dev target",IF(AND(W370&lt;&gt;"",T370&lt;&gt;"",W370&lt;T370),"DPO Approval target is before QA target",IF(AND(Z370&lt;&gt;"",W370&lt;&gt;"",Z370&lt;W370),"Confirmed Deployed date is before DPO Approval target","")))))</f>
        <v/>
      </c>
      <c r="AK370" s="9">
        <f>IF($B370="","",IF(COUNTIF($B$2:$B$500,$B370)&gt;1,"Duplicate name - check row",""))</f>
        <v/>
      </c>
      <c r="AL370" s="1" t="n"/>
      <c r="AM370" s="9">
        <f>IF($B370="","",SUMPRODUCT(MAX(('Rework Log'!$A$3:$A$500=$B370)*ROW('Rework Log'!$A$3:$A$500))))</f>
        <v/>
      </c>
    </row>
    <row r="371">
      <c r="A371" s="1" t="n"/>
      <c r="B371" s="1" t="n"/>
      <c r="C371" s="1" t="n"/>
      <c r="D371" s="9">
        <f>IF($B371="","",IF(LEFT($AC371,3)="Yes","Blocked",IF(C371="NOT STARTED",IF(K371="","No plan date set",IF(K371&lt;TODAY(),"Review - planned start passed","On track")),IF(C371="DB Dev",IF(N371="","No target set",IF(AND(N371&lt;TODAY(),P371=""),"Overdue","On track")),IF(C371="PBI Dev",IF(Q371="","No target set",IF(AND(Q371&lt;TODAY(),S371=""),"Overdue","On track")),IF(C371="QA",IF(T371="","No target set",IF(AND(T371&lt;TODAY(),V371=""),"Overdue","On track")),IF(C371="DPO Approval",IF(W371="","No target set",IF(W371&lt;TODAY(),"Overdue","On track")),IF(C371="RELEASED IN PROD","Delivered",""))))))))</f>
        <v/>
      </c>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c r="AA371" s="1" t="n"/>
      <c r="AB371" s="1" t="n"/>
      <c r="AC371" s="1" t="n"/>
      <c r="AD371" s="9">
        <f>IF($B371="","",COUNTIF('Rework Log'!$A$3:$A$500,$B371))</f>
        <v/>
      </c>
      <c r="AE371" s="9">
        <f>IF(OR($B371="",$AM371=0),"",INDEX('Rework Log'!$C:$C,$AM371))</f>
        <v/>
      </c>
      <c r="AF371" s="9">
        <f>IF(OR($B371="",$AM371=0),"",INDEX('Rework Log'!$H:$H,$AM371))</f>
        <v/>
      </c>
      <c r="AG371" s="9">
        <f>IF(OR($B371="",$AM371=0),"",INDEX('Rework Log'!$G:$G,$AM371))</f>
        <v/>
      </c>
      <c r="AH371" s="9">
        <f>IF($B371="","",IF(W371&lt;&gt;"","DPO Approval",IF(T371&lt;&gt;"","QA",IF(Q371&lt;&gt;"","PBI Dev",IF(N371&lt;&gt;"","DB Dev","NOT STARTED")))))</f>
        <v/>
      </c>
      <c r="AI371" s="9">
        <f>IF($B371="","",IF(IF($C371="NOT STARTED",0,IF($C371="DB Dev",1,IF($C371="PBI Dev",2,IF($C371="QA",3,IF($C371="DPO Approval",4,IF($C371="RELEASED IN PROD",5,-1))))))&lt;IF($AH371="NOT STARTED",0,IF($AH371="DB Dev",1,IF($AH371="PBI Dev",2,IF($AH371="QA",3,IF($AH371="DPO Approval",4,IF($AH371="RELEASED IN PROD",5,-1)))))),"Yes - was already at "&amp;$AH371&amp;", now back at "&amp;$C371,"No"))</f>
        <v/>
      </c>
      <c r="AJ371" s="9">
        <f>IF($B371="","",IF(AND(T371&lt;&gt;"",N371&lt;&gt;"",T371&lt;N371),"QA target is before DB Dev target",IF(AND(T371&lt;&gt;"",Q371&lt;&gt;"",T371&lt;Q371),"QA target is before PBI Dev target",IF(AND(W371&lt;&gt;"",T371&lt;&gt;"",W371&lt;T371),"DPO Approval target is before QA target",IF(AND(Z371&lt;&gt;"",W371&lt;&gt;"",Z371&lt;W371),"Confirmed Deployed date is before DPO Approval target","")))))</f>
        <v/>
      </c>
      <c r="AK371" s="9">
        <f>IF($B371="","",IF(COUNTIF($B$2:$B$500,$B371)&gt;1,"Duplicate name - check row",""))</f>
        <v/>
      </c>
      <c r="AL371" s="1" t="n"/>
      <c r="AM371" s="9">
        <f>IF($B371="","",SUMPRODUCT(MAX(('Rework Log'!$A$3:$A$500=$B371)*ROW('Rework Log'!$A$3:$A$500))))</f>
        <v/>
      </c>
    </row>
    <row r="372">
      <c r="A372" s="1" t="n"/>
      <c r="B372" s="1" t="n"/>
      <c r="C372" s="1" t="n"/>
      <c r="D372" s="9">
        <f>IF($B372="","",IF(LEFT($AC372,3)="Yes","Blocked",IF(C372="NOT STARTED",IF(K372="","No plan date set",IF(K372&lt;TODAY(),"Review - planned start passed","On track")),IF(C372="DB Dev",IF(N372="","No target set",IF(AND(N372&lt;TODAY(),P372=""),"Overdue","On track")),IF(C372="PBI Dev",IF(Q372="","No target set",IF(AND(Q372&lt;TODAY(),S372=""),"Overdue","On track")),IF(C372="QA",IF(T372="","No target set",IF(AND(T372&lt;TODAY(),V372=""),"Overdue","On track")),IF(C372="DPO Approval",IF(W372="","No target set",IF(W372&lt;TODAY(),"Overdue","On track")),IF(C372="RELEASED IN PROD","Delivered",""))))))))</f>
        <v/>
      </c>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c r="AA372" s="1" t="n"/>
      <c r="AB372" s="1" t="n"/>
      <c r="AC372" s="1" t="n"/>
      <c r="AD372" s="9">
        <f>IF($B372="","",COUNTIF('Rework Log'!$A$3:$A$500,$B372))</f>
        <v/>
      </c>
      <c r="AE372" s="9">
        <f>IF(OR($B372="",$AM372=0),"",INDEX('Rework Log'!$C:$C,$AM372))</f>
        <v/>
      </c>
      <c r="AF372" s="9">
        <f>IF(OR($B372="",$AM372=0),"",INDEX('Rework Log'!$H:$H,$AM372))</f>
        <v/>
      </c>
      <c r="AG372" s="9">
        <f>IF(OR($B372="",$AM372=0),"",INDEX('Rework Log'!$G:$G,$AM372))</f>
        <v/>
      </c>
      <c r="AH372" s="9">
        <f>IF($B372="","",IF(W372&lt;&gt;"","DPO Approval",IF(T372&lt;&gt;"","QA",IF(Q372&lt;&gt;"","PBI Dev",IF(N372&lt;&gt;"","DB Dev","NOT STARTED")))))</f>
        <v/>
      </c>
      <c r="AI372" s="9">
        <f>IF($B372="","",IF(IF($C372="NOT STARTED",0,IF($C372="DB Dev",1,IF($C372="PBI Dev",2,IF($C372="QA",3,IF($C372="DPO Approval",4,IF($C372="RELEASED IN PROD",5,-1))))))&lt;IF($AH372="NOT STARTED",0,IF($AH372="DB Dev",1,IF($AH372="PBI Dev",2,IF($AH372="QA",3,IF($AH372="DPO Approval",4,IF($AH372="RELEASED IN PROD",5,-1)))))),"Yes - was already at "&amp;$AH372&amp;", now back at "&amp;$C372,"No"))</f>
        <v/>
      </c>
      <c r="AJ372" s="9">
        <f>IF($B372="","",IF(AND(T372&lt;&gt;"",N372&lt;&gt;"",T372&lt;N372),"QA target is before DB Dev target",IF(AND(T372&lt;&gt;"",Q372&lt;&gt;"",T372&lt;Q372),"QA target is before PBI Dev target",IF(AND(W372&lt;&gt;"",T372&lt;&gt;"",W372&lt;T372),"DPO Approval target is before QA target",IF(AND(Z372&lt;&gt;"",W372&lt;&gt;"",Z372&lt;W372),"Confirmed Deployed date is before DPO Approval target","")))))</f>
        <v/>
      </c>
      <c r="AK372" s="9">
        <f>IF($B372="","",IF(COUNTIF($B$2:$B$500,$B372)&gt;1,"Duplicate name - check row",""))</f>
        <v/>
      </c>
      <c r="AL372" s="1" t="n"/>
      <c r="AM372" s="9">
        <f>IF($B372="","",SUMPRODUCT(MAX(('Rework Log'!$A$3:$A$500=$B372)*ROW('Rework Log'!$A$3:$A$500))))</f>
        <v/>
      </c>
    </row>
    <row r="373">
      <c r="A373" s="1" t="n"/>
      <c r="B373" s="1" t="n"/>
      <c r="C373" s="1" t="n"/>
      <c r="D373" s="9">
        <f>IF($B373="","",IF(LEFT($AC373,3)="Yes","Blocked",IF(C373="NOT STARTED",IF(K373="","No plan date set",IF(K373&lt;TODAY(),"Review - planned start passed","On track")),IF(C373="DB Dev",IF(N373="","No target set",IF(AND(N373&lt;TODAY(),P373=""),"Overdue","On track")),IF(C373="PBI Dev",IF(Q373="","No target set",IF(AND(Q373&lt;TODAY(),S373=""),"Overdue","On track")),IF(C373="QA",IF(T373="","No target set",IF(AND(T373&lt;TODAY(),V373=""),"Overdue","On track")),IF(C373="DPO Approval",IF(W373="","No target set",IF(W373&lt;TODAY(),"Overdue","On track")),IF(C373="RELEASED IN PROD","Delivered",""))))))))</f>
        <v/>
      </c>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c r="AA373" s="1" t="n"/>
      <c r="AB373" s="1" t="n"/>
      <c r="AC373" s="1" t="n"/>
      <c r="AD373" s="9">
        <f>IF($B373="","",COUNTIF('Rework Log'!$A$3:$A$500,$B373))</f>
        <v/>
      </c>
      <c r="AE373" s="9">
        <f>IF(OR($B373="",$AM373=0),"",INDEX('Rework Log'!$C:$C,$AM373))</f>
        <v/>
      </c>
      <c r="AF373" s="9">
        <f>IF(OR($B373="",$AM373=0),"",INDEX('Rework Log'!$H:$H,$AM373))</f>
        <v/>
      </c>
      <c r="AG373" s="9">
        <f>IF(OR($B373="",$AM373=0),"",INDEX('Rework Log'!$G:$G,$AM373))</f>
        <v/>
      </c>
      <c r="AH373" s="9">
        <f>IF($B373="","",IF(W373&lt;&gt;"","DPO Approval",IF(T373&lt;&gt;"","QA",IF(Q373&lt;&gt;"","PBI Dev",IF(N373&lt;&gt;"","DB Dev","NOT STARTED")))))</f>
        <v/>
      </c>
      <c r="AI373" s="9">
        <f>IF($B373="","",IF(IF($C373="NOT STARTED",0,IF($C373="DB Dev",1,IF($C373="PBI Dev",2,IF($C373="QA",3,IF($C373="DPO Approval",4,IF($C373="RELEASED IN PROD",5,-1))))))&lt;IF($AH373="NOT STARTED",0,IF($AH373="DB Dev",1,IF($AH373="PBI Dev",2,IF($AH373="QA",3,IF($AH373="DPO Approval",4,IF($AH373="RELEASED IN PROD",5,-1)))))),"Yes - was already at "&amp;$AH373&amp;", now back at "&amp;$C373,"No"))</f>
        <v/>
      </c>
      <c r="AJ373" s="9">
        <f>IF($B373="","",IF(AND(T373&lt;&gt;"",N373&lt;&gt;"",T373&lt;N373),"QA target is before DB Dev target",IF(AND(T373&lt;&gt;"",Q373&lt;&gt;"",T373&lt;Q373),"QA target is before PBI Dev target",IF(AND(W373&lt;&gt;"",T373&lt;&gt;"",W373&lt;T373),"DPO Approval target is before QA target",IF(AND(Z373&lt;&gt;"",W373&lt;&gt;"",Z373&lt;W373),"Confirmed Deployed date is before DPO Approval target","")))))</f>
        <v/>
      </c>
      <c r="AK373" s="9">
        <f>IF($B373="","",IF(COUNTIF($B$2:$B$500,$B373)&gt;1,"Duplicate name - check row",""))</f>
        <v/>
      </c>
      <c r="AL373" s="1" t="n"/>
      <c r="AM373" s="9">
        <f>IF($B373="","",SUMPRODUCT(MAX(('Rework Log'!$A$3:$A$500=$B373)*ROW('Rework Log'!$A$3:$A$500))))</f>
        <v/>
      </c>
    </row>
    <row r="374">
      <c r="A374" s="1" t="n"/>
      <c r="B374" s="1" t="n"/>
      <c r="C374" s="1" t="n"/>
      <c r="D374" s="9">
        <f>IF($B374="","",IF(LEFT($AC374,3)="Yes","Blocked",IF(C374="NOT STARTED",IF(K374="","No plan date set",IF(K374&lt;TODAY(),"Review - planned start passed","On track")),IF(C374="DB Dev",IF(N374="","No target set",IF(AND(N374&lt;TODAY(),P374=""),"Overdue","On track")),IF(C374="PBI Dev",IF(Q374="","No target set",IF(AND(Q374&lt;TODAY(),S374=""),"Overdue","On track")),IF(C374="QA",IF(T374="","No target set",IF(AND(T374&lt;TODAY(),V374=""),"Overdue","On track")),IF(C374="DPO Approval",IF(W374="","No target set",IF(W374&lt;TODAY(),"Overdue","On track")),IF(C374="RELEASED IN PROD","Delivered",""))))))))</f>
        <v/>
      </c>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c r="AA374" s="1" t="n"/>
      <c r="AB374" s="1" t="n"/>
      <c r="AC374" s="1" t="n"/>
      <c r="AD374" s="9">
        <f>IF($B374="","",COUNTIF('Rework Log'!$A$3:$A$500,$B374))</f>
        <v/>
      </c>
      <c r="AE374" s="9">
        <f>IF(OR($B374="",$AM374=0),"",INDEX('Rework Log'!$C:$C,$AM374))</f>
        <v/>
      </c>
      <c r="AF374" s="9">
        <f>IF(OR($B374="",$AM374=0),"",INDEX('Rework Log'!$H:$H,$AM374))</f>
        <v/>
      </c>
      <c r="AG374" s="9">
        <f>IF(OR($B374="",$AM374=0),"",INDEX('Rework Log'!$G:$G,$AM374))</f>
        <v/>
      </c>
      <c r="AH374" s="9">
        <f>IF($B374="","",IF(W374&lt;&gt;"","DPO Approval",IF(T374&lt;&gt;"","QA",IF(Q374&lt;&gt;"","PBI Dev",IF(N374&lt;&gt;"","DB Dev","NOT STARTED")))))</f>
        <v/>
      </c>
      <c r="AI374" s="9">
        <f>IF($B374="","",IF(IF($C374="NOT STARTED",0,IF($C374="DB Dev",1,IF($C374="PBI Dev",2,IF($C374="QA",3,IF($C374="DPO Approval",4,IF($C374="RELEASED IN PROD",5,-1))))))&lt;IF($AH374="NOT STARTED",0,IF($AH374="DB Dev",1,IF($AH374="PBI Dev",2,IF($AH374="QA",3,IF($AH374="DPO Approval",4,IF($AH374="RELEASED IN PROD",5,-1)))))),"Yes - was already at "&amp;$AH374&amp;", now back at "&amp;$C374,"No"))</f>
        <v/>
      </c>
      <c r="AJ374" s="9">
        <f>IF($B374="","",IF(AND(T374&lt;&gt;"",N374&lt;&gt;"",T374&lt;N374),"QA target is before DB Dev target",IF(AND(T374&lt;&gt;"",Q374&lt;&gt;"",T374&lt;Q374),"QA target is before PBI Dev target",IF(AND(W374&lt;&gt;"",T374&lt;&gt;"",W374&lt;T374),"DPO Approval target is before QA target",IF(AND(Z374&lt;&gt;"",W374&lt;&gt;"",Z374&lt;W374),"Confirmed Deployed date is before DPO Approval target","")))))</f>
        <v/>
      </c>
      <c r="AK374" s="9">
        <f>IF($B374="","",IF(COUNTIF($B$2:$B$500,$B374)&gt;1,"Duplicate name - check row",""))</f>
        <v/>
      </c>
      <c r="AL374" s="1" t="n"/>
      <c r="AM374" s="9">
        <f>IF($B374="","",SUMPRODUCT(MAX(('Rework Log'!$A$3:$A$500=$B374)*ROW('Rework Log'!$A$3:$A$500))))</f>
        <v/>
      </c>
    </row>
    <row r="375">
      <c r="A375" s="1" t="n"/>
      <c r="B375" s="1" t="n"/>
      <c r="C375" s="1" t="n"/>
      <c r="D375" s="9">
        <f>IF($B375="","",IF(LEFT($AC375,3)="Yes","Blocked",IF(C375="NOT STARTED",IF(K375="","No plan date set",IF(K375&lt;TODAY(),"Review - planned start passed","On track")),IF(C375="DB Dev",IF(N375="","No target set",IF(AND(N375&lt;TODAY(),P375=""),"Overdue","On track")),IF(C375="PBI Dev",IF(Q375="","No target set",IF(AND(Q375&lt;TODAY(),S375=""),"Overdue","On track")),IF(C375="QA",IF(T375="","No target set",IF(AND(T375&lt;TODAY(),V375=""),"Overdue","On track")),IF(C375="DPO Approval",IF(W375="","No target set",IF(W375&lt;TODAY(),"Overdue","On track")),IF(C375="RELEASED IN PROD","Delivered",""))))))))</f>
        <v/>
      </c>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c r="AA375" s="1" t="n"/>
      <c r="AB375" s="1" t="n"/>
      <c r="AC375" s="1" t="n"/>
      <c r="AD375" s="9">
        <f>IF($B375="","",COUNTIF('Rework Log'!$A$3:$A$500,$B375))</f>
        <v/>
      </c>
      <c r="AE375" s="9">
        <f>IF(OR($B375="",$AM375=0),"",INDEX('Rework Log'!$C:$C,$AM375))</f>
        <v/>
      </c>
      <c r="AF375" s="9">
        <f>IF(OR($B375="",$AM375=0),"",INDEX('Rework Log'!$H:$H,$AM375))</f>
        <v/>
      </c>
      <c r="AG375" s="9">
        <f>IF(OR($B375="",$AM375=0),"",INDEX('Rework Log'!$G:$G,$AM375))</f>
        <v/>
      </c>
      <c r="AH375" s="9">
        <f>IF($B375="","",IF(W375&lt;&gt;"","DPO Approval",IF(T375&lt;&gt;"","QA",IF(Q375&lt;&gt;"","PBI Dev",IF(N375&lt;&gt;"","DB Dev","NOT STARTED")))))</f>
        <v/>
      </c>
      <c r="AI375" s="9">
        <f>IF($B375="","",IF(IF($C375="NOT STARTED",0,IF($C375="DB Dev",1,IF($C375="PBI Dev",2,IF($C375="QA",3,IF($C375="DPO Approval",4,IF($C375="RELEASED IN PROD",5,-1))))))&lt;IF($AH375="NOT STARTED",0,IF($AH375="DB Dev",1,IF($AH375="PBI Dev",2,IF($AH375="QA",3,IF($AH375="DPO Approval",4,IF($AH375="RELEASED IN PROD",5,-1)))))),"Yes - was already at "&amp;$AH375&amp;", now back at "&amp;$C375,"No"))</f>
        <v/>
      </c>
      <c r="AJ375" s="9">
        <f>IF($B375="","",IF(AND(T375&lt;&gt;"",N375&lt;&gt;"",T375&lt;N375),"QA target is before DB Dev target",IF(AND(T375&lt;&gt;"",Q375&lt;&gt;"",T375&lt;Q375),"QA target is before PBI Dev target",IF(AND(W375&lt;&gt;"",T375&lt;&gt;"",W375&lt;T375),"DPO Approval target is before QA target",IF(AND(Z375&lt;&gt;"",W375&lt;&gt;"",Z375&lt;W375),"Confirmed Deployed date is before DPO Approval target","")))))</f>
        <v/>
      </c>
      <c r="AK375" s="9">
        <f>IF($B375="","",IF(COUNTIF($B$2:$B$500,$B375)&gt;1,"Duplicate name - check row",""))</f>
        <v/>
      </c>
      <c r="AL375" s="1" t="n"/>
      <c r="AM375" s="9">
        <f>IF($B375="","",SUMPRODUCT(MAX(('Rework Log'!$A$3:$A$500=$B375)*ROW('Rework Log'!$A$3:$A$500))))</f>
        <v/>
      </c>
    </row>
    <row r="376">
      <c r="A376" s="1" t="n"/>
      <c r="B376" s="1" t="n"/>
      <c r="C376" s="1" t="n"/>
      <c r="D376" s="9">
        <f>IF($B376="","",IF(LEFT($AC376,3)="Yes","Blocked",IF(C376="NOT STARTED",IF(K376="","No plan date set",IF(K376&lt;TODAY(),"Review - planned start passed","On track")),IF(C376="DB Dev",IF(N376="","No target set",IF(AND(N376&lt;TODAY(),P376=""),"Overdue","On track")),IF(C376="PBI Dev",IF(Q376="","No target set",IF(AND(Q376&lt;TODAY(),S376=""),"Overdue","On track")),IF(C376="QA",IF(T376="","No target set",IF(AND(T376&lt;TODAY(),V376=""),"Overdue","On track")),IF(C376="DPO Approval",IF(W376="","No target set",IF(W376&lt;TODAY(),"Overdue","On track")),IF(C376="RELEASED IN PROD","Delivered",""))))))))</f>
        <v/>
      </c>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c r="AA376" s="1" t="n"/>
      <c r="AB376" s="1" t="n"/>
      <c r="AC376" s="1" t="n"/>
      <c r="AD376" s="9">
        <f>IF($B376="","",COUNTIF('Rework Log'!$A$3:$A$500,$B376))</f>
        <v/>
      </c>
      <c r="AE376" s="9">
        <f>IF(OR($B376="",$AM376=0),"",INDEX('Rework Log'!$C:$C,$AM376))</f>
        <v/>
      </c>
      <c r="AF376" s="9">
        <f>IF(OR($B376="",$AM376=0),"",INDEX('Rework Log'!$H:$H,$AM376))</f>
        <v/>
      </c>
      <c r="AG376" s="9">
        <f>IF(OR($B376="",$AM376=0),"",INDEX('Rework Log'!$G:$G,$AM376))</f>
        <v/>
      </c>
      <c r="AH376" s="9">
        <f>IF($B376="","",IF(W376&lt;&gt;"","DPO Approval",IF(T376&lt;&gt;"","QA",IF(Q376&lt;&gt;"","PBI Dev",IF(N376&lt;&gt;"","DB Dev","NOT STARTED")))))</f>
        <v/>
      </c>
      <c r="AI376" s="9">
        <f>IF($B376="","",IF(IF($C376="NOT STARTED",0,IF($C376="DB Dev",1,IF($C376="PBI Dev",2,IF($C376="QA",3,IF($C376="DPO Approval",4,IF($C376="RELEASED IN PROD",5,-1))))))&lt;IF($AH376="NOT STARTED",0,IF($AH376="DB Dev",1,IF($AH376="PBI Dev",2,IF($AH376="QA",3,IF($AH376="DPO Approval",4,IF($AH376="RELEASED IN PROD",5,-1)))))),"Yes - was already at "&amp;$AH376&amp;", now back at "&amp;$C376,"No"))</f>
        <v/>
      </c>
      <c r="AJ376" s="9">
        <f>IF($B376="","",IF(AND(T376&lt;&gt;"",N376&lt;&gt;"",T376&lt;N376),"QA target is before DB Dev target",IF(AND(T376&lt;&gt;"",Q376&lt;&gt;"",T376&lt;Q376),"QA target is before PBI Dev target",IF(AND(W376&lt;&gt;"",T376&lt;&gt;"",W376&lt;T376),"DPO Approval target is before QA target",IF(AND(Z376&lt;&gt;"",W376&lt;&gt;"",Z376&lt;W376),"Confirmed Deployed date is before DPO Approval target","")))))</f>
        <v/>
      </c>
      <c r="AK376" s="9">
        <f>IF($B376="","",IF(COUNTIF($B$2:$B$500,$B376)&gt;1,"Duplicate name - check row",""))</f>
        <v/>
      </c>
      <c r="AL376" s="1" t="n"/>
      <c r="AM376" s="9">
        <f>IF($B376="","",SUMPRODUCT(MAX(('Rework Log'!$A$3:$A$500=$B376)*ROW('Rework Log'!$A$3:$A$500))))</f>
        <v/>
      </c>
    </row>
    <row r="377">
      <c r="A377" s="1" t="n"/>
      <c r="B377" s="1" t="n"/>
      <c r="C377" s="1" t="n"/>
      <c r="D377" s="9">
        <f>IF($B377="","",IF(LEFT($AC377,3)="Yes","Blocked",IF(C377="NOT STARTED",IF(K377="","No plan date set",IF(K377&lt;TODAY(),"Review - planned start passed","On track")),IF(C377="DB Dev",IF(N377="","No target set",IF(AND(N377&lt;TODAY(),P377=""),"Overdue","On track")),IF(C377="PBI Dev",IF(Q377="","No target set",IF(AND(Q377&lt;TODAY(),S377=""),"Overdue","On track")),IF(C377="QA",IF(T377="","No target set",IF(AND(T377&lt;TODAY(),V377=""),"Overdue","On track")),IF(C377="DPO Approval",IF(W377="","No target set",IF(W377&lt;TODAY(),"Overdue","On track")),IF(C377="RELEASED IN PROD","Delivered",""))))))))</f>
        <v/>
      </c>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c r="AA377" s="1" t="n"/>
      <c r="AB377" s="1" t="n"/>
      <c r="AC377" s="1" t="n"/>
      <c r="AD377" s="9">
        <f>IF($B377="","",COUNTIF('Rework Log'!$A$3:$A$500,$B377))</f>
        <v/>
      </c>
      <c r="AE377" s="9">
        <f>IF(OR($B377="",$AM377=0),"",INDEX('Rework Log'!$C:$C,$AM377))</f>
        <v/>
      </c>
      <c r="AF377" s="9">
        <f>IF(OR($B377="",$AM377=0),"",INDEX('Rework Log'!$H:$H,$AM377))</f>
        <v/>
      </c>
      <c r="AG377" s="9">
        <f>IF(OR($B377="",$AM377=0),"",INDEX('Rework Log'!$G:$G,$AM377))</f>
        <v/>
      </c>
      <c r="AH377" s="9">
        <f>IF($B377="","",IF(W377&lt;&gt;"","DPO Approval",IF(T377&lt;&gt;"","QA",IF(Q377&lt;&gt;"","PBI Dev",IF(N377&lt;&gt;"","DB Dev","NOT STARTED")))))</f>
        <v/>
      </c>
      <c r="AI377" s="9">
        <f>IF($B377="","",IF(IF($C377="NOT STARTED",0,IF($C377="DB Dev",1,IF($C377="PBI Dev",2,IF($C377="QA",3,IF($C377="DPO Approval",4,IF($C377="RELEASED IN PROD",5,-1))))))&lt;IF($AH377="NOT STARTED",0,IF($AH377="DB Dev",1,IF($AH377="PBI Dev",2,IF($AH377="QA",3,IF($AH377="DPO Approval",4,IF($AH377="RELEASED IN PROD",5,-1)))))),"Yes - was already at "&amp;$AH377&amp;", now back at "&amp;$C377,"No"))</f>
        <v/>
      </c>
      <c r="AJ377" s="9">
        <f>IF($B377="","",IF(AND(T377&lt;&gt;"",N377&lt;&gt;"",T377&lt;N377),"QA target is before DB Dev target",IF(AND(T377&lt;&gt;"",Q377&lt;&gt;"",T377&lt;Q377),"QA target is before PBI Dev target",IF(AND(W377&lt;&gt;"",T377&lt;&gt;"",W377&lt;T377),"DPO Approval target is before QA target",IF(AND(Z377&lt;&gt;"",W377&lt;&gt;"",Z377&lt;W377),"Confirmed Deployed date is before DPO Approval target","")))))</f>
        <v/>
      </c>
      <c r="AK377" s="9">
        <f>IF($B377="","",IF(COUNTIF($B$2:$B$500,$B377)&gt;1,"Duplicate name - check row",""))</f>
        <v/>
      </c>
      <c r="AL377" s="1" t="n"/>
      <c r="AM377" s="9">
        <f>IF($B377="","",SUMPRODUCT(MAX(('Rework Log'!$A$3:$A$500=$B377)*ROW('Rework Log'!$A$3:$A$500))))</f>
        <v/>
      </c>
    </row>
    <row r="378">
      <c r="A378" s="1" t="n"/>
      <c r="B378" s="1" t="n"/>
      <c r="C378" s="1" t="n"/>
      <c r="D378" s="9">
        <f>IF($B378="","",IF(LEFT($AC378,3)="Yes","Blocked",IF(C378="NOT STARTED",IF(K378="","No plan date set",IF(K378&lt;TODAY(),"Review - planned start passed","On track")),IF(C378="DB Dev",IF(N378="","No target set",IF(AND(N378&lt;TODAY(),P378=""),"Overdue","On track")),IF(C378="PBI Dev",IF(Q378="","No target set",IF(AND(Q378&lt;TODAY(),S378=""),"Overdue","On track")),IF(C378="QA",IF(T378="","No target set",IF(AND(T378&lt;TODAY(),V378=""),"Overdue","On track")),IF(C378="DPO Approval",IF(W378="","No target set",IF(W378&lt;TODAY(),"Overdue","On track")),IF(C378="RELEASED IN PROD","Delivered",""))))))))</f>
        <v/>
      </c>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c r="AA378" s="1" t="n"/>
      <c r="AB378" s="1" t="n"/>
      <c r="AC378" s="1" t="n"/>
      <c r="AD378" s="9">
        <f>IF($B378="","",COUNTIF('Rework Log'!$A$3:$A$500,$B378))</f>
        <v/>
      </c>
      <c r="AE378" s="9">
        <f>IF(OR($B378="",$AM378=0),"",INDEX('Rework Log'!$C:$C,$AM378))</f>
        <v/>
      </c>
      <c r="AF378" s="9">
        <f>IF(OR($B378="",$AM378=0),"",INDEX('Rework Log'!$H:$H,$AM378))</f>
        <v/>
      </c>
      <c r="AG378" s="9">
        <f>IF(OR($B378="",$AM378=0),"",INDEX('Rework Log'!$G:$G,$AM378))</f>
        <v/>
      </c>
      <c r="AH378" s="9">
        <f>IF($B378="","",IF(W378&lt;&gt;"","DPO Approval",IF(T378&lt;&gt;"","QA",IF(Q378&lt;&gt;"","PBI Dev",IF(N378&lt;&gt;"","DB Dev","NOT STARTED")))))</f>
        <v/>
      </c>
      <c r="AI378" s="9">
        <f>IF($B378="","",IF(IF($C378="NOT STARTED",0,IF($C378="DB Dev",1,IF($C378="PBI Dev",2,IF($C378="QA",3,IF($C378="DPO Approval",4,IF($C378="RELEASED IN PROD",5,-1))))))&lt;IF($AH378="NOT STARTED",0,IF($AH378="DB Dev",1,IF($AH378="PBI Dev",2,IF($AH378="QA",3,IF($AH378="DPO Approval",4,IF($AH378="RELEASED IN PROD",5,-1)))))),"Yes - was already at "&amp;$AH378&amp;", now back at "&amp;$C378,"No"))</f>
        <v/>
      </c>
      <c r="AJ378" s="9">
        <f>IF($B378="","",IF(AND(T378&lt;&gt;"",N378&lt;&gt;"",T378&lt;N378),"QA target is before DB Dev target",IF(AND(T378&lt;&gt;"",Q378&lt;&gt;"",T378&lt;Q378),"QA target is before PBI Dev target",IF(AND(W378&lt;&gt;"",T378&lt;&gt;"",W378&lt;T378),"DPO Approval target is before QA target",IF(AND(Z378&lt;&gt;"",W378&lt;&gt;"",Z378&lt;W378),"Confirmed Deployed date is before DPO Approval target","")))))</f>
        <v/>
      </c>
      <c r="AK378" s="9">
        <f>IF($B378="","",IF(COUNTIF($B$2:$B$500,$B378)&gt;1,"Duplicate name - check row",""))</f>
        <v/>
      </c>
      <c r="AL378" s="1" t="n"/>
      <c r="AM378" s="9">
        <f>IF($B378="","",SUMPRODUCT(MAX(('Rework Log'!$A$3:$A$500=$B378)*ROW('Rework Log'!$A$3:$A$500))))</f>
        <v/>
      </c>
    </row>
    <row r="379">
      <c r="A379" s="1" t="n"/>
      <c r="B379" s="1" t="n"/>
      <c r="C379" s="1" t="n"/>
      <c r="D379" s="9">
        <f>IF($B379="","",IF(LEFT($AC379,3)="Yes","Blocked",IF(C379="NOT STARTED",IF(K379="","No plan date set",IF(K379&lt;TODAY(),"Review - planned start passed","On track")),IF(C379="DB Dev",IF(N379="","No target set",IF(AND(N379&lt;TODAY(),P379=""),"Overdue","On track")),IF(C379="PBI Dev",IF(Q379="","No target set",IF(AND(Q379&lt;TODAY(),S379=""),"Overdue","On track")),IF(C379="QA",IF(T379="","No target set",IF(AND(T379&lt;TODAY(),V379=""),"Overdue","On track")),IF(C379="DPO Approval",IF(W379="","No target set",IF(W379&lt;TODAY(),"Overdue","On track")),IF(C379="RELEASED IN PROD","Delivered",""))))))))</f>
        <v/>
      </c>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c r="AA379" s="1" t="n"/>
      <c r="AB379" s="1" t="n"/>
      <c r="AC379" s="1" t="n"/>
      <c r="AD379" s="9">
        <f>IF($B379="","",COUNTIF('Rework Log'!$A$3:$A$500,$B379))</f>
        <v/>
      </c>
      <c r="AE379" s="9">
        <f>IF(OR($B379="",$AM379=0),"",INDEX('Rework Log'!$C:$C,$AM379))</f>
        <v/>
      </c>
      <c r="AF379" s="9">
        <f>IF(OR($B379="",$AM379=0),"",INDEX('Rework Log'!$H:$H,$AM379))</f>
        <v/>
      </c>
      <c r="AG379" s="9">
        <f>IF(OR($B379="",$AM379=0),"",INDEX('Rework Log'!$G:$G,$AM379))</f>
        <v/>
      </c>
      <c r="AH379" s="9">
        <f>IF($B379="","",IF(W379&lt;&gt;"","DPO Approval",IF(T379&lt;&gt;"","QA",IF(Q379&lt;&gt;"","PBI Dev",IF(N379&lt;&gt;"","DB Dev","NOT STARTED")))))</f>
        <v/>
      </c>
      <c r="AI379" s="9">
        <f>IF($B379="","",IF(IF($C379="NOT STARTED",0,IF($C379="DB Dev",1,IF($C379="PBI Dev",2,IF($C379="QA",3,IF($C379="DPO Approval",4,IF($C379="RELEASED IN PROD",5,-1))))))&lt;IF($AH379="NOT STARTED",0,IF($AH379="DB Dev",1,IF($AH379="PBI Dev",2,IF($AH379="QA",3,IF($AH379="DPO Approval",4,IF($AH379="RELEASED IN PROD",5,-1)))))),"Yes - was already at "&amp;$AH379&amp;", now back at "&amp;$C379,"No"))</f>
        <v/>
      </c>
      <c r="AJ379" s="9">
        <f>IF($B379="","",IF(AND(T379&lt;&gt;"",N379&lt;&gt;"",T379&lt;N379),"QA target is before DB Dev target",IF(AND(T379&lt;&gt;"",Q379&lt;&gt;"",T379&lt;Q379),"QA target is before PBI Dev target",IF(AND(W379&lt;&gt;"",T379&lt;&gt;"",W379&lt;T379),"DPO Approval target is before QA target",IF(AND(Z379&lt;&gt;"",W379&lt;&gt;"",Z379&lt;W379),"Confirmed Deployed date is before DPO Approval target","")))))</f>
        <v/>
      </c>
      <c r="AK379" s="9">
        <f>IF($B379="","",IF(COUNTIF($B$2:$B$500,$B379)&gt;1,"Duplicate name - check row",""))</f>
        <v/>
      </c>
      <c r="AL379" s="1" t="n"/>
      <c r="AM379" s="9">
        <f>IF($B379="","",SUMPRODUCT(MAX(('Rework Log'!$A$3:$A$500=$B379)*ROW('Rework Log'!$A$3:$A$500))))</f>
        <v/>
      </c>
    </row>
    <row r="380">
      <c r="A380" s="1" t="n"/>
      <c r="B380" s="1" t="n"/>
      <c r="C380" s="1" t="n"/>
      <c r="D380" s="9">
        <f>IF($B380="","",IF(LEFT($AC380,3)="Yes","Blocked",IF(C380="NOT STARTED",IF(K380="","No plan date set",IF(K380&lt;TODAY(),"Review - planned start passed","On track")),IF(C380="DB Dev",IF(N380="","No target set",IF(AND(N380&lt;TODAY(),P380=""),"Overdue","On track")),IF(C380="PBI Dev",IF(Q380="","No target set",IF(AND(Q380&lt;TODAY(),S380=""),"Overdue","On track")),IF(C380="QA",IF(T380="","No target set",IF(AND(T380&lt;TODAY(),V380=""),"Overdue","On track")),IF(C380="DPO Approval",IF(W380="","No target set",IF(W380&lt;TODAY(),"Overdue","On track")),IF(C380="RELEASED IN PROD","Delivered",""))))))))</f>
        <v/>
      </c>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c r="AA380" s="1" t="n"/>
      <c r="AB380" s="1" t="n"/>
      <c r="AC380" s="1" t="n"/>
      <c r="AD380" s="9">
        <f>IF($B380="","",COUNTIF('Rework Log'!$A$3:$A$500,$B380))</f>
        <v/>
      </c>
      <c r="AE380" s="9">
        <f>IF(OR($B380="",$AM380=0),"",INDEX('Rework Log'!$C:$C,$AM380))</f>
        <v/>
      </c>
      <c r="AF380" s="9">
        <f>IF(OR($B380="",$AM380=0),"",INDEX('Rework Log'!$H:$H,$AM380))</f>
        <v/>
      </c>
      <c r="AG380" s="9">
        <f>IF(OR($B380="",$AM380=0),"",INDEX('Rework Log'!$G:$G,$AM380))</f>
        <v/>
      </c>
      <c r="AH380" s="9">
        <f>IF($B380="","",IF(W380&lt;&gt;"","DPO Approval",IF(T380&lt;&gt;"","QA",IF(Q380&lt;&gt;"","PBI Dev",IF(N380&lt;&gt;"","DB Dev","NOT STARTED")))))</f>
        <v/>
      </c>
      <c r="AI380" s="9">
        <f>IF($B380="","",IF(IF($C380="NOT STARTED",0,IF($C380="DB Dev",1,IF($C380="PBI Dev",2,IF($C380="QA",3,IF($C380="DPO Approval",4,IF($C380="RELEASED IN PROD",5,-1))))))&lt;IF($AH380="NOT STARTED",0,IF($AH380="DB Dev",1,IF($AH380="PBI Dev",2,IF($AH380="QA",3,IF($AH380="DPO Approval",4,IF($AH380="RELEASED IN PROD",5,-1)))))),"Yes - was already at "&amp;$AH380&amp;", now back at "&amp;$C380,"No"))</f>
        <v/>
      </c>
      <c r="AJ380" s="9">
        <f>IF($B380="","",IF(AND(T380&lt;&gt;"",N380&lt;&gt;"",T380&lt;N380),"QA target is before DB Dev target",IF(AND(T380&lt;&gt;"",Q380&lt;&gt;"",T380&lt;Q380),"QA target is before PBI Dev target",IF(AND(W380&lt;&gt;"",T380&lt;&gt;"",W380&lt;T380),"DPO Approval target is before QA target",IF(AND(Z380&lt;&gt;"",W380&lt;&gt;"",Z380&lt;W380),"Confirmed Deployed date is before DPO Approval target","")))))</f>
        <v/>
      </c>
      <c r="AK380" s="9">
        <f>IF($B380="","",IF(COUNTIF($B$2:$B$500,$B380)&gt;1,"Duplicate name - check row",""))</f>
        <v/>
      </c>
      <c r="AL380" s="1" t="n"/>
      <c r="AM380" s="9">
        <f>IF($B380="","",SUMPRODUCT(MAX(('Rework Log'!$A$3:$A$500=$B380)*ROW('Rework Log'!$A$3:$A$500))))</f>
        <v/>
      </c>
    </row>
    <row r="381">
      <c r="A381" s="1" t="n"/>
      <c r="B381" s="1" t="n"/>
      <c r="C381" s="1" t="n"/>
      <c r="D381" s="9">
        <f>IF($B381="","",IF(LEFT($AC381,3)="Yes","Blocked",IF(C381="NOT STARTED",IF(K381="","No plan date set",IF(K381&lt;TODAY(),"Review - planned start passed","On track")),IF(C381="DB Dev",IF(N381="","No target set",IF(AND(N381&lt;TODAY(),P381=""),"Overdue","On track")),IF(C381="PBI Dev",IF(Q381="","No target set",IF(AND(Q381&lt;TODAY(),S381=""),"Overdue","On track")),IF(C381="QA",IF(T381="","No target set",IF(AND(T381&lt;TODAY(),V381=""),"Overdue","On track")),IF(C381="DPO Approval",IF(W381="","No target set",IF(W381&lt;TODAY(),"Overdue","On track")),IF(C381="RELEASED IN PROD","Delivered",""))))))))</f>
        <v/>
      </c>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c r="AA381" s="1" t="n"/>
      <c r="AB381" s="1" t="n"/>
      <c r="AC381" s="1" t="n"/>
      <c r="AD381" s="9">
        <f>IF($B381="","",COUNTIF('Rework Log'!$A$3:$A$500,$B381))</f>
        <v/>
      </c>
      <c r="AE381" s="9">
        <f>IF(OR($B381="",$AM381=0),"",INDEX('Rework Log'!$C:$C,$AM381))</f>
        <v/>
      </c>
      <c r="AF381" s="9">
        <f>IF(OR($B381="",$AM381=0),"",INDEX('Rework Log'!$H:$H,$AM381))</f>
        <v/>
      </c>
      <c r="AG381" s="9">
        <f>IF(OR($B381="",$AM381=0),"",INDEX('Rework Log'!$G:$G,$AM381))</f>
        <v/>
      </c>
      <c r="AH381" s="9">
        <f>IF($B381="","",IF(W381&lt;&gt;"","DPO Approval",IF(T381&lt;&gt;"","QA",IF(Q381&lt;&gt;"","PBI Dev",IF(N381&lt;&gt;"","DB Dev","NOT STARTED")))))</f>
        <v/>
      </c>
      <c r="AI381" s="9">
        <f>IF($B381="","",IF(IF($C381="NOT STARTED",0,IF($C381="DB Dev",1,IF($C381="PBI Dev",2,IF($C381="QA",3,IF($C381="DPO Approval",4,IF($C381="RELEASED IN PROD",5,-1))))))&lt;IF($AH381="NOT STARTED",0,IF($AH381="DB Dev",1,IF($AH381="PBI Dev",2,IF($AH381="QA",3,IF($AH381="DPO Approval",4,IF($AH381="RELEASED IN PROD",5,-1)))))),"Yes - was already at "&amp;$AH381&amp;", now back at "&amp;$C381,"No"))</f>
        <v/>
      </c>
      <c r="AJ381" s="9">
        <f>IF($B381="","",IF(AND(T381&lt;&gt;"",N381&lt;&gt;"",T381&lt;N381),"QA target is before DB Dev target",IF(AND(T381&lt;&gt;"",Q381&lt;&gt;"",T381&lt;Q381),"QA target is before PBI Dev target",IF(AND(W381&lt;&gt;"",T381&lt;&gt;"",W381&lt;T381),"DPO Approval target is before QA target",IF(AND(Z381&lt;&gt;"",W381&lt;&gt;"",Z381&lt;W381),"Confirmed Deployed date is before DPO Approval target","")))))</f>
        <v/>
      </c>
      <c r="AK381" s="9">
        <f>IF($B381="","",IF(COUNTIF($B$2:$B$500,$B381)&gt;1,"Duplicate name - check row",""))</f>
        <v/>
      </c>
      <c r="AL381" s="1" t="n"/>
      <c r="AM381" s="9">
        <f>IF($B381="","",SUMPRODUCT(MAX(('Rework Log'!$A$3:$A$500=$B381)*ROW('Rework Log'!$A$3:$A$500))))</f>
        <v/>
      </c>
    </row>
    <row r="382">
      <c r="A382" s="1" t="n"/>
      <c r="B382" s="1" t="n"/>
      <c r="C382" s="1" t="n"/>
      <c r="D382" s="9">
        <f>IF($B382="","",IF(LEFT($AC382,3)="Yes","Blocked",IF(C382="NOT STARTED",IF(K382="","No plan date set",IF(K382&lt;TODAY(),"Review - planned start passed","On track")),IF(C382="DB Dev",IF(N382="","No target set",IF(AND(N382&lt;TODAY(),P382=""),"Overdue","On track")),IF(C382="PBI Dev",IF(Q382="","No target set",IF(AND(Q382&lt;TODAY(),S382=""),"Overdue","On track")),IF(C382="QA",IF(T382="","No target set",IF(AND(T382&lt;TODAY(),V382=""),"Overdue","On track")),IF(C382="DPO Approval",IF(W382="","No target set",IF(W382&lt;TODAY(),"Overdue","On track")),IF(C382="RELEASED IN PROD","Delivered",""))))))))</f>
        <v/>
      </c>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c r="AA382" s="1" t="n"/>
      <c r="AB382" s="1" t="n"/>
      <c r="AC382" s="1" t="n"/>
      <c r="AD382" s="9">
        <f>IF($B382="","",COUNTIF('Rework Log'!$A$3:$A$500,$B382))</f>
        <v/>
      </c>
      <c r="AE382" s="9">
        <f>IF(OR($B382="",$AM382=0),"",INDEX('Rework Log'!$C:$C,$AM382))</f>
        <v/>
      </c>
      <c r="AF382" s="9">
        <f>IF(OR($B382="",$AM382=0),"",INDEX('Rework Log'!$H:$H,$AM382))</f>
        <v/>
      </c>
      <c r="AG382" s="9">
        <f>IF(OR($B382="",$AM382=0),"",INDEX('Rework Log'!$G:$G,$AM382))</f>
        <v/>
      </c>
      <c r="AH382" s="9">
        <f>IF($B382="","",IF(W382&lt;&gt;"","DPO Approval",IF(T382&lt;&gt;"","QA",IF(Q382&lt;&gt;"","PBI Dev",IF(N382&lt;&gt;"","DB Dev","NOT STARTED")))))</f>
        <v/>
      </c>
      <c r="AI382" s="9">
        <f>IF($B382="","",IF(IF($C382="NOT STARTED",0,IF($C382="DB Dev",1,IF($C382="PBI Dev",2,IF($C382="QA",3,IF($C382="DPO Approval",4,IF($C382="RELEASED IN PROD",5,-1))))))&lt;IF($AH382="NOT STARTED",0,IF($AH382="DB Dev",1,IF($AH382="PBI Dev",2,IF($AH382="QA",3,IF($AH382="DPO Approval",4,IF($AH382="RELEASED IN PROD",5,-1)))))),"Yes - was already at "&amp;$AH382&amp;", now back at "&amp;$C382,"No"))</f>
        <v/>
      </c>
      <c r="AJ382" s="9">
        <f>IF($B382="","",IF(AND(T382&lt;&gt;"",N382&lt;&gt;"",T382&lt;N382),"QA target is before DB Dev target",IF(AND(T382&lt;&gt;"",Q382&lt;&gt;"",T382&lt;Q382),"QA target is before PBI Dev target",IF(AND(W382&lt;&gt;"",T382&lt;&gt;"",W382&lt;T382),"DPO Approval target is before QA target",IF(AND(Z382&lt;&gt;"",W382&lt;&gt;"",Z382&lt;W382),"Confirmed Deployed date is before DPO Approval target","")))))</f>
        <v/>
      </c>
      <c r="AK382" s="9">
        <f>IF($B382="","",IF(COUNTIF($B$2:$B$500,$B382)&gt;1,"Duplicate name - check row",""))</f>
        <v/>
      </c>
      <c r="AL382" s="1" t="n"/>
      <c r="AM382" s="9">
        <f>IF($B382="","",SUMPRODUCT(MAX(('Rework Log'!$A$3:$A$500=$B382)*ROW('Rework Log'!$A$3:$A$500))))</f>
        <v/>
      </c>
    </row>
    <row r="383">
      <c r="A383" s="1" t="n"/>
      <c r="B383" s="1" t="n"/>
      <c r="C383" s="1" t="n"/>
      <c r="D383" s="9">
        <f>IF($B383="","",IF(LEFT($AC383,3)="Yes","Blocked",IF(C383="NOT STARTED",IF(K383="","No plan date set",IF(K383&lt;TODAY(),"Review - planned start passed","On track")),IF(C383="DB Dev",IF(N383="","No target set",IF(AND(N383&lt;TODAY(),P383=""),"Overdue","On track")),IF(C383="PBI Dev",IF(Q383="","No target set",IF(AND(Q383&lt;TODAY(),S383=""),"Overdue","On track")),IF(C383="QA",IF(T383="","No target set",IF(AND(T383&lt;TODAY(),V383=""),"Overdue","On track")),IF(C383="DPO Approval",IF(W383="","No target set",IF(W383&lt;TODAY(),"Overdue","On track")),IF(C383="RELEASED IN PROD","Delivered",""))))))))</f>
        <v/>
      </c>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c r="AA383" s="1" t="n"/>
      <c r="AB383" s="1" t="n"/>
      <c r="AC383" s="1" t="n"/>
      <c r="AD383" s="9">
        <f>IF($B383="","",COUNTIF('Rework Log'!$A$3:$A$500,$B383))</f>
        <v/>
      </c>
      <c r="AE383" s="9">
        <f>IF(OR($B383="",$AM383=0),"",INDEX('Rework Log'!$C:$C,$AM383))</f>
        <v/>
      </c>
      <c r="AF383" s="9">
        <f>IF(OR($B383="",$AM383=0),"",INDEX('Rework Log'!$H:$H,$AM383))</f>
        <v/>
      </c>
      <c r="AG383" s="9">
        <f>IF(OR($B383="",$AM383=0),"",INDEX('Rework Log'!$G:$G,$AM383))</f>
        <v/>
      </c>
      <c r="AH383" s="9">
        <f>IF($B383="","",IF(W383&lt;&gt;"","DPO Approval",IF(T383&lt;&gt;"","QA",IF(Q383&lt;&gt;"","PBI Dev",IF(N383&lt;&gt;"","DB Dev","NOT STARTED")))))</f>
        <v/>
      </c>
      <c r="AI383" s="9">
        <f>IF($B383="","",IF(IF($C383="NOT STARTED",0,IF($C383="DB Dev",1,IF($C383="PBI Dev",2,IF($C383="QA",3,IF($C383="DPO Approval",4,IF($C383="RELEASED IN PROD",5,-1))))))&lt;IF($AH383="NOT STARTED",0,IF($AH383="DB Dev",1,IF($AH383="PBI Dev",2,IF($AH383="QA",3,IF($AH383="DPO Approval",4,IF($AH383="RELEASED IN PROD",5,-1)))))),"Yes - was already at "&amp;$AH383&amp;", now back at "&amp;$C383,"No"))</f>
        <v/>
      </c>
      <c r="AJ383" s="9">
        <f>IF($B383="","",IF(AND(T383&lt;&gt;"",N383&lt;&gt;"",T383&lt;N383),"QA target is before DB Dev target",IF(AND(T383&lt;&gt;"",Q383&lt;&gt;"",T383&lt;Q383),"QA target is before PBI Dev target",IF(AND(W383&lt;&gt;"",T383&lt;&gt;"",W383&lt;T383),"DPO Approval target is before QA target",IF(AND(Z383&lt;&gt;"",W383&lt;&gt;"",Z383&lt;W383),"Confirmed Deployed date is before DPO Approval target","")))))</f>
        <v/>
      </c>
      <c r="AK383" s="9">
        <f>IF($B383="","",IF(COUNTIF($B$2:$B$500,$B383)&gt;1,"Duplicate name - check row",""))</f>
        <v/>
      </c>
      <c r="AL383" s="1" t="n"/>
      <c r="AM383" s="9">
        <f>IF($B383="","",SUMPRODUCT(MAX(('Rework Log'!$A$3:$A$500=$B383)*ROW('Rework Log'!$A$3:$A$500))))</f>
        <v/>
      </c>
    </row>
    <row r="384">
      <c r="A384" s="1" t="n"/>
      <c r="B384" s="1" t="n"/>
      <c r="C384" s="1" t="n"/>
      <c r="D384" s="9">
        <f>IF($B384="","",IF(LEFT($AC384,3)="Yes","Blocked",IF(C384="NOT STARTED",IF(K384="","No plan date set",IF(K384&lt;TODAY(),"Review - planned start passed","On track")),IF(C384="DB Dev",IF(N384="","No target set",IF(AND(N384&lt;TODAY(),P384=""),"Overdue","On track")),IF(C384="PBI Dev",IF(Q384="","No target set",IF(AND(Q384&lt;TODAY(),S384=""),"Overdue","On track")),IF(C384="QA",IF(T384="","No target set",IF(AND(T384&lt;TODAY(),V384=""),"Overdue","On track")),IF(C384="DPO Approval",IF(W384="","No target set",IF(W384&lt;TODAY(),"Overdue","On track")),IF(C384="RELEASED IN PROD","Delivered",""))))))))</f>
        <v/>
      </c>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c r="AA384" s="1" t="n"/>
      <c r="AB384" s="1" t="n"/>
      <c r="AC384" s="1" t="n"/>
      <c r="AD384" s="9">
        <f>IF($B384="","",COUNTIF('Rework Log'!$A$3:$A$500,$B384))</f>
        <v/>
      </c>
      <c r="AE384" s="9">
        <f>IF(OR($B384="",$AM384=0),"",INDEX('Rework Log'!$C:$C,$AM384))</f>
        <v/>
      </c>
      <c r="AF384" s="9">
        <f>IF(OR($B384="",$AM384=0),"",INDEX('Rework Log'!$H:$H,$AM384))</f>
        <v/>
      </c>
      <c r="AG384" s="9">
        <f>IF(OR($B384="",$AM384=0),"",INDEX('Rework Log'!$G:$G,$AM384))</f>
        <v/>
      </c>
      <c r="AH384" s="9">
        <f>IF($B384="","",IF(W384&lt;&gt;"","DPO Approval",IF(T384&lt;&gt;"","QA",IF(Q384&lt;&gt;"","PBI Dev",IF(N384&lt;&gt;"","DB Dev","NOT STARTED")))))</f>
        <v/>
      </c>
      <c r="AI384" s="9">
        <f>IF($B384="","",IF(IF($C384="NOT STARTED",0,IF($C384="DB Dev",1,IF($C384="PBI Dev",2,IF($C384="QA",3,IF($C384="DPO Approval",4,IF($C384="RELEASED IN PROD",5,-1))))))&lt;IF($AH384="NOT STARTED",0,IF($AH384="DB Dev",1,IF($AH384="PBI Dev",2,IF($AH384="QA",3,IF($AH384="DPO Approval",4,IF($AH384="RELEASED IN PROD",5,-1)))))),"Yes - was already at "&amp;$AH384&amp;", now back at "&amp;$C384,"No"))</f>
        <v/>
      </c>
      <c r="AJ384" s="9">
        <f>IF($B384="","",IF(AND(T384&lt;&gt;"",N384&lt;&gt;"",T384&lt;N384),"QA target is before DB Dev target",IF(AND(T384&lt;&gt;"",Q384&lt;&gt;"",T384&lt;Q384),"QA target is before PBI Dev target",IF(AND(W384&lt;&gt;"",T384&lt;&gt;"",W384&lt;T384),"DPO Approval target is before QA target",IF(AND(Z384&lt;&gt;"",W384&lt;&gt;"",Z384&lt;W384),"Confirmed Deployed date is before DPO Approval target","")))))</f>
        <v/>
      </c>
      <c r="AK384" s="9">
        <f>IF($B384="","",IF(COUNTIF($B$2:$B$500,$B384)&gt;1,"Duplicate name - check row",""))</f>
        <v/>
      </c>
      <c r="AL384" s="1" t="n"/>
      <c r="AM384" s="9">
        <f>IF($B384="","",SUMPRODUCT(MAX(('Rework Log'!$A$3:$A$500=$B384)*ROW('Rework Log'!$A$3:$A$500))))</f>
        <v/>
      </c>
    </row>
    <row r="385">
      <c r="A385" s="1" t="n"/>
      <c r="B385" s="1" t="n"/>
      <c r="C385" s="1" t="n"/>
      <c r="D385" s="9">
        <f>IF($B385="","",IF(LEFT($AC385,3)="Yes","Blocked",IF(C385="NOT STARTED",IF(K385="","No plan date set",IF(K385&lt;TODAY(),"Review - planned start passed","On track")),IF(C385="DB Dev",IF(N385="","No target set",IF(AND(N385&lt;TODAY(),P385=""),"Overdue","On track")),IF(C385="PBI Dev",IF(Q385="","No target set",IF(AND(Q385&lt;TODAY(),S385=""),"Overdue","On track")),IF(C385="QA",IF(T385="","No target set",IF(AND(T385&lt;TODAY(),V385=""),"Overdue","On track")),IF(C385="DPO Approval",IF(W385="","No target set",IF(W385&lt;TODAY(),"Overdue","On track")),IF(C385="RELEASED IN PROD","Delivered",""))))))))</f>
        <v/>
      </c>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c r="AA385" s="1" t="n"/>
      <c r="AB385" s="1" t="n"/>
      <c r="AC385" s="1" t="n"/>
      <c r="AD385" s="9">
        <f>IF($B385="","",COUNTIF('Rework Log'!$A$3:$A$500,$B385))</f>
        <v/>
      </c>
      <c r="AE385" s="9">
        <f>IF(OR($B385="",$AM385=0),"",INDEX('Rework Log'!$C:$C,$AM385))</f>
        <v/>
      </c>
      <c r="AF385" s="9">
        <f>IF(OR($B385="",$AM385=0),"",INDEX('Rework Log'!$H:$H,$AM385))</f>
        <v/>
      </c>
      <c r="AG385" s="9">
        <f>IF(OR($B385="",$AM385=0),"",INDEX('Rework Log'!$G:$G,$AM385))</f>
        <v/>
      </c>
      <c r="AH385" s="9">
        <f>IF($B385="","",IF(W385&lt;&gt;"","DPO Approval",IF(T385&lt;&gt;"","QA",IF(Q385&lt;&gt;"","PBI Dev",IF(N385&lt;&gt;"","DB Dev","NOT STARTED")))))</f>
        <v/>
      </c>
      <c r="AI385" s="9">
        <f>IF($B385="","",IF(IF($C385="NOT STARTED",0,IF($C385="DB Dev",1,IF($C385="PBI Dev",2,IF($C385="QA",3,IF($C385="DPO Approval",4,IF($C385="RELEASED IN PROD",5,-1))))))&lt;IF($AH385="NOT STARTED",0,IF($AH385="DB Dev",1,IF($AH385="PBI Dev",2,IF($AH385="QA",3,IF($AH385="DPO Approval",4,IF($AH385="RELEASED IN PROD",5,-1)))))),"Yes - was already at "&amp;$AH385&amp;", now back at "&amp;$C385,"No"))</f>
        <v/>
      </c>
      <c r="AJ385" s="9">
        <f>IF($B385="","",IF(AND(T385&lt;&gt;"",N385&lt;&gt;"",T385&lt;N385),"QA target is before DB Dev target",IF(AND(T385&lt;&gt;"",Q385&lt;&gt;"",T385&lt;Q385),"QA target is before PBI Dev target",IF(AND(W385&lt;&gt;"",T385&lt;&gt;"",W385&lt;T385),"DPO Approval target is before QA target",IF(AND(Z385&lt;&gt;"",W385&lt;&gt;"",Z385&lt;W385),"Confirmed Deployed date is before DPO Approval target","")))))</f>
        <v/>
      </c>
      <c r="AK385" s="9">
        <f>IF($B385="","",IF(COUNTIF($B$2:$B$500,$B385)&gt;1,"Duplicate name - check row",""))</f>
        <v/>
      </c>
      <c r="AL385" s="1" t="n"/>
      <c r="AM385" s="9">
        <f>IF($B385="","",SUMPRODUCT(MAX(('Rework Log'!$A$3:$A$500=$B385)*ROW('Rework Log'!$A$3:$A$500))))</f>
        <v/>
      </c>
    </row>
    <row r="386">
      <c r="A386" s="1" t="n"/>
      <c r="B386" s="1" t="n"/>
      <c r="C386" s="1" t="n"/>
      <c r="D386" s="9">
        <f>IF($B386="","",IF(LEFT($AC386,3)="Yes","Blocked",IF(C386="NOT STARTED",IF(K386="","No plan date set",IF(K386&lt;TODAY(),"Review - planned start passed","On track")),IF(C386="DB Dev",IF(N386="","No target set",IF(AND(N386&lt;TODAY(),P386=""),"Overdue","On track")),IF(C386="PBI Dev",IF(Q386="","No target set",IF(AND(Q386&lt;TODAY(),S386=""),"Overdue","On track")),IF(C386="QA",IF(T386="","No target set",IF(AND(T386&lt;TODAY(),V386=""),"Overdue","On track")),IF(C386="DPO Approval",IF(W386="","No target set",IF(W386&lt;TODAY(),"Overdue","On track")),IF(C386="RELEASED IN PROD","Delivered",""))))))))</f>
        <v/>
      </c>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c r="AA386" s="1" t="n"/>
      <c r="AB386" s="1" t="n"/>
      <c r="AC386" s="1" t="n"/>
      <c r="AD386" s="9">
        <f>IF($B386="","",COUNTIF('Rework Log'!$A$3:$A$500,$B386))</f>
        <v/>
      </c>
      <c r="AE386" s="9">
        <f>IF(OR($B386="",$AM386=0),"",INDEX('Rework Log'!$C:$C,$AM386))</f>
        <v/>
      </c>
      <c r="AF386" s="9">
        <f>IF(OR($B386="",$AM386=0),"",INDEX('Rework Log'!$H:$H,$AM386))</f>
        <v/>
      </c>
      <c r="AG386" s="9">
        <f>IF(OR($B386="",$AM386=0),"",INDEX('Rework Log'!$G:$G,$AM386))</f>
        <v/>
      </c>
      <c r="AH386" s="9">
        <f>IF($B386="","",IF(W386&lt;&gt;"","DPO Approval",IF(T386&lt;&gt;"","QA",IF(Q386&lt;&gt;"","PBI Dev",IF(N386&lt;&gt;"","DB Dev","NOT STARTED")))))</f>
        <v/>
      </c>
      <c r="AI386" s="9">
        <f>IF($B386="","",IF(IF($C386="NOT STARTED",0,IF($C386="DB Dev",1,IF($C386="PBI Dev",2,IF($C386="QA",3,IF($C386="DPO Approval",4,IF($C386="RELEASED IN PROD",5,-1))))))&lt;IF($AH386="NOT STARTED",0,IF($AH386="DB Dev",1,IF($AH386="PBI Dev",2,IF($AH386="QA",3,IF($AH386="DPO Approval",4,IF($AH386="RELEASED IN PROD",5,-1)))))),"Yes - was already at "&amp;$AH386&amp;", now back at "&amp;$C386,"No"))</f>
        <v/>
      </c>
      <c r="AJ386" s="9">
        <f>IF($B386="","",IF(AND(T386&lt;&gt;"",N386&lt;&gt;"",T386&lt;N386),"QA target is before DB Dev target",IF(AND(T386&lt;&gt;"",Q386&lt;&gt;"",T386&lt;Q386),"QA target is before PBI Dev target",IF(AND(W386&lt;&gt;"",T386&lt;&gt;"",W386&lt;T386),"DPO Approval target is before QA target",IF(AND(Z386&lt;&gt;"",W386&lt;&gt;"",Z386&lt;W386),"Confirmed Deployed date is before DPO Approval target","")))))</f>
        <v/>
      </c>
      <c r="AK386" s="9">
        <f>IF($B386="","",IF(COUNTIF($B$2:$B$500,$B386)&gt;1,"Duplicate name - check row",""))</f>
        <v/>
      </c>
      <c r="AL386" s="1" t="n"/>
      <c r="AM386" s="9">
        <f>IF($B386="","",SUMPRODUCT(MAX(('Rework Log'!$A$3:$A$500=$B386)*ROW('Rework Log'!$A$3:$A$500))))</f>
        <v/>
      </c>
    </row>
    <row r="387">
      <c r="A387" s="1" t="n"/>
      <c r="B387" s="1" t="n"/>
      <c r="C387" s="1" t="n"/>
      <c r="D387" s="9">
        <f>IF($B387="","",IF(LEFT($AC387,3)="Yes","Blocked",IF(C387="NOT STARTED",IF(K387="","No plan date set",IF(K387&lt;TODAY(),"Review - planned start passed","On track")),IF(C387="DB Dev",IF(N387="","No target set",IF(AND(N387&lt;TODAY(),P387=""),"Overdue","On track")),IF(C387="PBI Dev",IF(Q387="","No target set",IF(AND(Q387&lt;TODAY(),S387=""),"Overdue","On track")),IF(C387="QA",IF(T387="","No target set",IF(AND(T387&lt;TODAY(),V387=""),"Overdue","On track")),IF(C387="DPO Approval",IF(W387="","No target set",IF(W387&lt;TODAY(),"Overdue","On track")),IF(C387="RELEASED IN PROD","Delivered",""))))))))</f>
        <v/>
      </c>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c r="AA387" s="1" t="n"/>
      <c r="AB387" s="1" t="n"/>
      <c r="AC387" s="1" t="n"/>
      <c r="AD387" s="9">
        <f>IF($B387="","",COUNTIF('Rework Log'!$A$3:$A$500,$B387))</f>
        <v/>
      </c>
      <c r="AE387" s="9">
        <f>IF(OR($B387="",$AM387=0),"",INDEX('Rework Log'!$C:$C,$AM387))</f>
        <v/>
      </c>
      <c r="AF387" s="9">
        <f>IF(OR($B387="",$AM387=0),"",INDEX('Rework Log'!$H:$H,$AM387))</f>
        <v/>
      </c>
      <c r="AG387" s="9">
        <f>IF(OR($B387="",$AM387=0),"",INDEX('Rework Log'!$G:$G,$AM387))</f>
        <v/>
      </c>
      <c r="AH387" s="9">
        <f>IF($B387="","",IF(W387&lt;&gt;"","DPO Approval",IF(T387&lt;&gt;"","QA",IF(Q387&lt;&gt;"","PBI Dev",IF(N387&lt;&gt;"","DB Dev","NOT STARTED")))))</f>
        <v/>
      </c>
      <c r="AI387" s="9">
        <f>IF($B387="","",IF(IF($C387="NOT STARTED",0,IF($C387="DB Dev",1,IF($C387="PBI Dev",2,IF($C387="QA",3,IF($C387="DPO Approval",4,IF($C387="RELEASED IN PROD",5,-1))))))&lt;IF($AH387="NOT STARTED",0,IF($AH387="DB Dev",1,IF($AH387="PBI Dev",2,IF($AH387="QA",3,IF($AH387="DPO Approval",4,IF($AH387="RELEASED IN PROD",5,-1)))))),"Yes - was already at "&amp;$AH387&amp;", now back at "&amp;$C387,"No"))</f>
        <v/>
      </c>
      <c r="AJ387" s="9">
        <f>IF($B387="","",IF(AND(T387&lt;&gt;"",N387&lt;&gt;"",T387&lt;N387),"QA target is before DB Dev target",IF(AND(T387&lt;&gt;"",Q387&lt;&gt;"",T387&lt;Q387),"QA target is before PBI Dev target",IF(AND(W387&lt;&gt;"",T387&lt;&gt;"",W387&lt;T387),"DPO Approval target is before QA target",IF(AND(Z387&lt;&gt;"",W387&lt;&gt;"",Z387&lt;W387),"Confirmed Deployed date is before DPO Approval target","")))))</f>
        <v/>
      </c>
      <c r="AK387" s="9">
        <f>IF($B387="","",IF(COUNTIF($B$2:$B$500,$B387)&gt;1,"Duplicate name - check row",""))</f>
        <v/>
      </c>
      <c r="AL387" s="1" t="n"/>
      <c r="AM387" s="9">
        <f>IF($B387="","",SUMPRODUCT(MAX(('Rework Log'!$A$3:$A$500=$B387)*ROW('Rework Log'!$A$3:$A$500))))</f>
        <v/>
      </c>
    </row>
    <row r="388">
      <c r="A388" s="1" t="n"/>
      <c r="B388" s="1" t="n"/>
      <c r="C388" s="1" t="n"/>
      <c r="D388" s="9">
        <f>IF($B388="","",IF(LEFT($AC388,3)="Yes","Blocked",IF(C388="NOT STARTED",IF(K388="","No plan date set",IF(K388&lt;TODAY(),"Review - planned start passed","On track")),IF(C388="DB Dev",IF(N388="","No target set",IF(AND(N388&lt;TODAY(),P388=""),"Overdue","On track")),IF(C388="PBI Dev",IF(Q388="","No target set",IF(AND(Q388&lt;TODAY(),S388=""),"Overdue","On track")),IF(C388="QA",IF(T388="","No target set",IF(AND(T388&lt;TODAY(),V388=""),"Overdue","On track")),IF(C388="DPO Approval",IF(W388="","No target set",IF(W388&lt;TODAY(),"Overdue","On track")),IF(C388="RELEASED IN PROD","Delivered",""))))))))</f>
        <v/>
      </c>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c r="AA388" s="1" t="n"/>
      <c r="AB388" s="1" t="n"/>
      <c r="AC388" s="1" t="n"/>
      <c r="AD388" s="9">
        <f>IF($B388="","",COUNTIF('Rework Log'!$A$3:$A$500,$B388))</f>
        <v/>
      </c>
      <c r="AE388" s="9">
        <f>IF(OR($B388="",$AM388=0),"",INDEX('Rework Log'!$C:$C,$AM388))</f>
        <v/>
      </c>
      <c r="AF388" s="9">
        <f>IF(OR($B388="",$AM388=0),"",INDEX('Rework Log'!$H:$H,$AM388))</f>
        <v/>
      </c>
      <c r="AG388" s="9">
        <f>IF(OR($B388="",$AM388=0),"",INDEX('Rework Log'!$G:$G,$AM388))</f>
        <v/>
      </c>
      <c r="AH388" s="9">
        <f>IF($B388="","",IF(W388&lt;&gt;"","DPO Approval",IF(T388&lt;&gt;"","QA",IF(Q388&lt;&gt;"","PBI Dev",IF(N388&lt;&gt;"","DB Dev","NOT STARTED")))))</f>
        <v/>
      </c>
      <c r="AI388" s="9">
        <f>IF($B388="","",IF(IF($C388="NOT STARTED",0,IF($C388="DB Dev",1,IF($C388="PBI Dev",2,IF($C388="QA",3,IF($C388="DPO Approval",4,IF($C388="RELEASED IN PROD",5,-1))))))&lt;IF($AH388="NOT STARTED",0,IF($AH388="DB Dev",1,IF($AH388="PBI Dev",2,IF($AH388="QA",3,IF($AH388="DPO Approval",4,IF($AH388="RELEASED IN PROD",5,-1)))))),"Yes - was already at "&amp;$AH388&amp;", now back at "&amp;$C388,"No"))</f>
        <v/>
      </c>
      <c r="AJ388" s="9">
        <f>IF($B388="","",IF(AND(T388&lt;&gt;"",N388&lt;&gt;"",T388&lt;N388),"QA target is before DB Dev target",IF(AND(T388&lt;&gt;"",Q388&lt;&gt;"",T388&lt;Q388),"QA target is before PBI Dev target",IF(AND(W388&lt;&gt;"",T388&lt;&gt;"",W388&lt;T388),"DPO Approval target is before QA target",IF(AND(Z388&lt;&gt;"",W388&lt;&gt;"",Z388&lt;W388),"Confirmed Deployed date is before DPO Approval target","")))))</f>
        <v/>
      </c>
      <c r="AK388" s="9">
        <f>IF($B388="","",IF(COUNTIF($B$2:$B$500,$B388)&gt;1,"Duplicate name - check row",""))</f>
        <v/>
      </c>
      <c r="AL388" s="1" t="n"/>
      <c r="AM388" s="9">
        <f>IF($B388="","",SUMPRODUCT(MAX(('Rework Log'!$A$3:$A$500=$B388)*ROW('Rework Log'!$A$3:$A$500))))</f>
        <v/>
      </c>
    </row>
    <row r="389">
      <c r="A389" s="1" t="n"/>
      <c r="B389" s="1" t="n"/>
      <c r="C389" s="1" t="n"/>
      <c r="D389" s="9">
        <f>IF($B389="","",IF(LEFT($AC389,3)="Yes","Blocked",IF(C389="NOT STARTED",IF(K389="","No plan date set",IF(K389&lt;TODAY(),"Review - planned start passed","On track")),IF(C389="DB Dev",IF(N389="","No target set",IF(AND(N389&lt;TODAY(),P389=""),"Overdue","On track")),IF(C389="PBI Dev",IF(Q389="","No target set",IF(AND(Q389&lt;TODAY(),S389=""),"Overdue","On track")),IF(C389="QA",IF(T389="","No target set",IF(AND(T389&lt;TODAY(),V389=""),"Overdue","On track")),IF(C389="DPO Approval",IF(W389="","No target set",IF(W389&lt;TODAY(),"Overdue","On track")),IF(C389="RELEASED IN PROD","Delivered",""))))))))</f>
        <v/>
      </c>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c r="AA389" s="1" t="n"/>
      <c r="AB389" s="1" t="n"/>
      <c r="AC389" s="1" t="n"/>
      <c r="AD389" s="9">
        <f>IF($B389="","",COUNTIF('Rework Log'!$A$3:$A$500,$B389))</f>
        <v/>
      </c>
      <c r="AE389" s="9">
        <f>IF(OR($B389="",$AM389=0),"",INDEX('Rework Log'!$C:$C,$AM389))</f>
        <v/>
      </c>
      <c r="AF389" s="9">
        <f>IF(OR($B389="",$AM389=0),"",INDEX('Rework Log'!$H:$H,$AM389))</f>
        <v/>
      </c>
      <c r="AG389" s="9">
        <f>IF(OR($B389="",$AM389=0),"",INDEX('Rework Log'!$G:$G,$AM389))</f>
        <v/>
      </c>
      <c r="AH389" s="9">
        <f>IF($B389="","",IF(W389&lt;&gt;"","DPO Approval",IF(T389&lt;&gt;"","QA",IF(Q389&lt;&gt;"","PBI Dev",IF(N389&lt;&gt;"","DB Dev","NOT STARTED")))))</f>
        <v/>
      </c>
      <c r="AI389" s="9">
        <f>IF($B389="","",IF(IF($C389="NOT STARTED",0,IF($C389="DB Dev",1,IF($C389="PBI Dev",2,IF($C389="QA",3,IF($C389="DPO Approval",4,IF($C389="RELEASED IN PROD",5,-1))))))&lt;IF($AH389="NOT STARTED",0,IF($AH389="DB Dev",1,IF($AH389="PBI Dev",2,IF($AH389="QA",3,IF($AH389="DPO Approval",4,IF($AH389="RELEASED IN PROD",5,-1)))))),"Yes - was already at "&amp;$AH389&amp;", now back at "&amp;$C389,"No"))</f>
        <v/>
      </c>
      <c r="AJ389" s="9">
        <f>IF($B389="","",IF(AND(T389&lt;&gt;"",N389&lt;&gt;"",T389&lt;N389),"QA target is before DB Dev target",IF(AND(T389&lt;&gt;"",Q389&lt;&gt;"",T389&lt;Q389),"QA target is before PBI Dev target",IF(AND(W389&lt;&gt;"",T389&lt;&gt;"",W389&lt;T389),"DPO Approval target is before QA target",IF(AND(Z389&lt;&gt;"",W389&lt;&gt;"",Z389&lt;W389),"Confirmed Deployed date is before DPO Approval target","")))))</f>
        <v/>
      </c>
      <c r="AK389" s="9">
        <f>IF($B389="","",IF(COUNTIF($B$2:$B$500,$B389)&gt;1,"Duplicate name - check row",""))</f>
        <v/>
      </c>
      <c r="AL389" s="1" t="n"/>
      <c r="AM389" s="9">
        <f>IF($B389="","",SUMPRODUCT(MAX(('Rework Log'!$A$3:$A$500=$B389)*ROW('Rework Log'!$A$3:$A$500))))</f>
        <v/>
      </c>
    </row>
    <row r="390">
      <c r="A390" s="1" t="n"/>
      <c r="B390" s="1" t="n"/>
      <c r="C390" s="1" t="n"/>
      <c r="D390" s="9">
        <f>IF($B390="","",IF(LEFT($AC390,3)="Yes","Blocked",IF(C390="NOT STARTED",IF(K390="","No plan date set",IF(K390&lt;TODAY(),"Review - planned start passed","On track")),IF(C390="DB Dev",IF(N390="","No target set",IF(AND(N390&lt;TODAY(),P390=""),"Overdue","On track")),IF(C390="PBI Dev",IF(Q390="","No target set",IF(AND(Q390&lt;TODAY(),S390=""),"Overdue","On track")),IF(C390="QA",IF(T390="","No target set",IF(AND(T390&lt;TODAY(),V390=""),"Overdue","On track")),IF(C390="DPO Approval",IF(W390="","No target set",IF(W390&lt;TODAY(),"Overdue","On track")),IF(C390="RELEASED IN PROD","Delivered",""))))))))</f>
        <v/>
      </c>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c r="AA390" s="1" t="n"/>
      <c r="AB390" s="1" t="n"/>
      <c r="AC390" s="1" t="n"/>
      <c r="AD390" s="9">
        <f>IF($B390="","",COUNTIF('Rework Log'!$A$3:$A$500,$B390))</f>
        <v/>
      </c>
      <c r="AE390" s="9">
        <f>IF(OR($B390="",$AM390=0),"",INDEX('Rework Log'!$C:$C,$AM390))</f>
        <v/>
      </c>
      <c r="AF390" s="9">
        <f>IF(OR($B390="",$AM390=0),"",INDEX('Rework Log'!$H:$H,$AM390))</f>
        <v/>
      </c>
      <c r="AG390" s="9">
        <f>IF(OR($B390="",$AM390=0),"",INDEX('Rework Log'!$G:$G,$AM390))</f>
        <v/>
      </c>
      <c r="AH390" s="9">
        <f>IF($B390="","",IF(W390&lt;&gt;"","DPO Approval",IF(T390&lt;&gt;"","QA",IF(Q390&lt;&gt;"","PBI Dev",IF(N390&lt;&gt;"","DB Dev","NOT STARTED")))))</f>
        <v/>
      </c>
      <c r="AI390" s="9">
        <f>IF($B390="","",IF(IF($C390="NOT STARTED",0,IF($C390="DB Dev",1,IF($C390="PBI Dev",2,IF($C390="QA",3,IF($C390="DPO Approval",4,IF($C390="RELEASED IN PROD",5,-1))))))&lt;IF($AH390="NOT STARTED",0,IF($AH390="DB Dev",1,IF($AH390="PBI Dev",2,IF($AH390="QA",3,IF($AH390="DPO Approval",4,IF($AH390="RELEASED IN PROD",5,-1)))))),"Yes - was already at "&amp;$AH390&amp;", now back at "&amp;$C390,"No"))</f>
        <v/>
      </c>
      <c r="AJ390" s="9">
        <f>IF($B390="","",IF(AND(T390&lt;&gt;"",N390&lt;&gt;"",T390&lt;N390),"QA target is before DB Dev target",IF(AND(T390&lt;&gt;"",Q390&lt;&gt;"",T390&lt;Q390),"QA target is before PBI Dev target",IF(AND(W390&lt;&gt;"",T390&lt;&gt;"",W390&lt;T390),"DPO Approval target is before QA target",IF(AND(Z390&lt;&gt;"",W390&lt;&gt;"",Z390&lt;W390),"Confirmed Deployed date is before DPO Approval target","")))))</f>
        <v/>
      </c>
      <c r="AK390" s="9">
        <f>IF($B390="","",IF(COUNTIF($B$2:$B$500,$B390)&gt;1,"Duplicate name - check row",""))</f>
        <v/>
      </c>
      <c r="AL390" s="1" t="n"/>
      <c r="AM390" s="9">
        <f>IF($B390="","",SUMPRODUCT(MAX(('Rework Log'!$A$3:$A$500=$B390)*ROW('Rework Log'!$A$3:$A$500))))</f>
        <v/>
      </c>
    </row>
    <row r="391">
      <c r="A391" s="1" t="n"/>
      <c r="B391" s="1" t="n"/>
      <c r="C391" s="1" t="n"/>
      <c r="D391" s="9">
        <f>IF($B391="","",IF(LEFT($AC391,3)="Yes","Blocked",IF(C391="NOT STARTED",IF(K391="","No plan date set",IF(K391&lt;TODAY(),"Review - planned start passed","On track")),IF(C391="DB Dev",IF(N391="","No target set",IF(AND(N391&lt;TODAY(),P391=""),"Overdue","On track")),IF(C391="PBI Dev",IF(Q391="","No target set",IF(AND(Q391&lt;TODAY(),S391=""),"Overdue","On track")),IF(C391="QA",IF(T391="","No target set",IF(AND(T391&lt;TODAY(),V391=""),"Overdue","On track")),IF(C391="DPO Approval",IF(W391="","No target set",IF(W391&lt;TODAY(),"Overdue","On track")),IF(C391="RELEASED IN PROD","Delivered",""))))))))</f>
        <v/>
      </c>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c r="AA391" s="1" t="n"/>
      <c r="AB391" s="1" t="n"/>
      <c r="AC391" s="1" t="n"/>
      <c r="AD391" s="9">
        <f>IF($B391="","",COUNTIF('Rework Log'!$A$3:$A$500,$B391))</f>
        <v/>
      </c>
      <c r="AE391" s="9">
        <f>IF(OR($B391="",$AM391=0),"",INDEX('Rework Log'!$C:$C,$AM391))</f>
        <v/>
      </c>
      <c r="AF391" s="9">
        <f>IF(OR($B391="",$AM391=0),"",INDEX('Rework Log'!$H:$H,$AM391))</f>
        <v/>
      </c>
      <c r="AG391" s="9">
        <f>IF(OR($B391="",$AM391=0),"",INDEX('Rework Log'!$G:$G,$AM391))</f>
        <v/>
      </c>
      <c r="AH391" s="9">
        <f>IF($B391="","",IF(W391&lt;&gt;"","DPO Approval",IF(T391&lt;&gt;"","QA",IF(Q391&lt;&gt;"","PBI Dev",IF(N391&lt;&gt;"","DB Dev","NOT STARTED")))))</f>
        <v/>
      </c>
      <c r="AI391" s="9">
        <f>IF($B391="","",IF(IF($C391="NOT STARTED",0,IF($C391="DB Dev",1,IF($C391="PBI Dev",2,IF($C391="QA",3,IF($C391="DPO Approval",4,IF($C391="RELEASED IN PROD",5,-1))))))&lt;IF($AH391="NOT STARTED",0,IF($AH391="DB Dev",1,IF($AH391="PBI Dev",2,IF($AH391="QA",3,IF($AH391="DPO Approval",4,IF($AH391="RELEASED IN PROD",5,-1)))))),"Yes - was already at "&amp;$AH391&amp;", now back at "&amp;$C391,"No"))</f>
        <v/>
      </c>
      <c r="AJ391" s="9">
        <f>IF($B391="","",IF(AND(T391&lt;&gt;"",N391&lt;&gt;"",T391&lt;N391),"QA target is before DB Dev target",IF(AND(T391&lt;&gt;"",Q391&lt;&gt;"",T391&lt;Q391),"QA target is before PBI Dev target",IF(AND(W391&lt;&gt;"",T391&lt;&gt;"",W391&lt;T391),"DPO Approval target is before QA target",IF(AND(Z391&lt;&gt;"",W391&lt;&gt;"",Z391&lt;W391),"Confirmed Deployed date is before DPO Approval target","")))))</f>
        <v/>
      </c>
      <c r="AK391" s="9">
        <f>IF($B391="","",IF(COUNTIF($B$2:$B$500,$B391)&gt;1,"Duplicate name - check row",""))</f>
        <v/>
      </c>
      <c r="AL391" s="1" t="n"/>
      <c r="AM391" s="9">
        <f>IF($B391="","",SUMPRODUCT(MAX(('Rework Log'!$A$3:$A$500=$B391)*ROW('Rework Log'!$A$3:$A$500))))</f>
        <v/>
      </c>
    </row>
    <row r="392">
      <c r="A392" s="1" t="n"/>
      <c r="B392" s="1" t="n"/>
      <c r="C392" s="1" t="n"/>
      <c r="D392" s="9">
        <f>IF($B392="","",IF(LEFT($AC392,3)="Yes","Blocked",IF(C392="NOT STARTED",IF(K392="","No plan date set",IF(K392&lt;TODAY(),"Review - planned start passed","On track")),IF(C392="DB Dev",IF(N392="","No target set",IF(AND(N392&lt;TODAY(),P392=""),"Overdue","On track")),IF(C392="PBI Dev",IF(Q392="","No target set",IF(AND(Q392&lt;TODAY(),S392=""),"Overdue","On track")),IF(C392="QA",IF(T392="","No target set",IF(AND(T392&lt;TODAY(),V392=""),"Overdue","On track")),IF(C392="DPO Approval",IF(W392="","No target set",IF(W392&lt;TODAY(),"Overdue","On track")),IF(C392="RELEASED IN PROD","Delivered",""))))))))</f>
        <v/>
      </c>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c r="AA392" s="1" t="n"/>
      <c r="AB392" s="1" t="n"/>
      <c r="AC392" s="1" t="n"/>
      <c r="AD392" s="9">
        <f>IF($B392="","",COUNTIF('Rework Log'!$A$3:$A$500,$B392))</f>
        <v/>
      </c>
      <c r="AE392" s="9">
        <f>IF(OR($B392="",$AM392=0),"",INDEX('Rework Log'!$C:$C,$AM392))</f>
        <v/>
      </c>
      <c r="AF392" s="9">
        <f>IF(OR($B392="",$AM392=0),"",INDEX('Rework Log'!$H:$H,$AM392))</f>
        <v/>
      </c>
      <c r="AG392" s="9">
        <f>IF(OR($B392="",$AM392=0),"",INDEX('Rework Log'!$G:$G,$AM392))</f>
        <v/>
      </c>
      <c r="AH392" s="9">
        <f>IF($B392="","",IF(W392&lt;&gt;"","DPO Approval",IF(T392&lt;&gt;"","QA",IF(Q392&lt;&gt;"","PBI Dev",IF(N392&lt;&gt;"","DB Dev","NOT STARTED")))))</f>
        <v/>
      </c>
      <c r="AI392" s="9">
        <f>IF($B392="","",IF(IF($C392="NOT STARTED",0,IF($C392="DB Dev",1,IF($C392="PBI Dev",2,IF($C392="QA",3,IF($C392="DPO Approval",4,IF($C392="RELEASED IN PROD",5,-1))))))&lt;IF($AH392="NOT STARTED",0,IF($AH392="DB Dev",1,IF($AH392="PBI Dev",2,IF($AH392="QA",3,IF($AH392="DPO Approval",4,IF($AH392="RELEASED IN PROD",5,-1)))))),"Yes - was already at "&amp;$AH392&amp;", now back at "&amp;$C392,"No"))</f>
        <v/>
      </c>
      <c r="AJ392" s="9">
        <f>IF($B392="","",IF(AND(T392&lt;&gt;"",N392&lt;&gt;"",T392&lt;N392),"QA target is before DB Dev target",IF(AND(T392&lt;&gt;"",Q392&lt;&gt;"",T392&lt;Q392),"QA target is before PBI Dev target",IF(AND(W392&lt;&gt;"",T392&lt;&gt;"",W392&lt;T392),"DPO Approval target is before QA target",IF(AND(Z392&lt;&gt;"",W392&lt;&gt;"",Z392&lt;W392),"Confirmed Deployed date is before DPO Approval target","")))))</f>
        <v/>
      </c>
      <c r="AK392" s="9">
        <f>IF($B392="","",IF(COUNTIF($B$2:$B$500,$B392)&gt;1,"Duplicate name - check row",""))</f>
        <v/>
      </c>
      <c r="AL392" s="1" t="n"/>
      <c r="AM392" s="9">
        <f>IF($B392="","",SUMPRODUCT(MAX(('Rework Log'!$A$3:$A$500=$B392)*ROW('Rework Log'!$A$3:$A$500))))</f>
        <v/>
      </c>
    </row>
    <row r="393">
      <c r="A393" s="1" t="n"/>
      <c r="B393" s="1" t="n"/>
      <c r="C393" s="1" t="n"/>
      <c r="D393" s="9">
        <f>IF($B393="","",IF(LEFT($AC393,3)="Yes","Blocked",IF(C393="NOT STARTED",IF(K393="","No plan date set",IF(K393&lt;TODAY(),"Review - planned start passed","On track")),IF(C393="DB Dev",IF(N393="","No target set",IF(AND(N393&lt;TODAY(),P393=""),"Overdue","On track")),IF(C393="PBI Dev",IF(Q393="","No target set",IF(AND(Q393&lt;TODAY(),S393=""),"Overdue","On track")),IF(C393="QA",IF(T393="","No target set",IF(AND(T393&lt;TODAY(),V393=""),"Overdue","On track")),IF(C393="DPO Approval",IF(W393="","No target set",IF(W393&lt;TODAY(),"Overdue","On track")),IF(C393="RELEASED IN PROD","Delivered",""))))))))</f>
        <v/>
      </c>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c r="AA393" s="1" t="n"/>
      <c r="AB393" s="1" t="n"/>
      <c r="AC393" s="1" t="n"/>
      <c r="AD393" s="9">
        <f>IF($B393="","",COUNTIF('Rework Log'!$A$3:$A$500,$B393))</f>
        <v/>
      </c>
      <c r="AE393" s="9">
        <f>IF(OR($B393="",$AM393=0),"",INDEX('Rework Log'!$C:$C,$AM393))</f>
        <v/>
      </c>
      <c r="AF393" s="9">
        <f>IF(OR($B393="",$AM393=0),"",INDEX('Rework Log'!$H:$H,$AM393))</f>
        <v/>
      </c>
      <c r="AG393" s="9">
        <f>IF(OR($B393="",$AM393=0),"",INDEX('Rework Log'!$G:$G,$AM393))</f>
        <v/>
      </c>
      <c r="AH393" s="9">
        <f>IF($B393="","",IF(W393&lt;&gt;"","DPO Approval",IF(T393&lt;&gt;"","QA",IF(Q393&lt;&gt;"","PBI Dev",IF(N393&lt;&gt;"","DB Dev","NOT STARTED")))))</f>
        <v/>
      </c>
      <c r="AI393" s="9">
        <f>IF($B393="","",IF(IF($C393="NOT STARTED",0,IF($C393="DB Dev",1,IF($C393="PBI Dev",2,IF($C393="QA",3,IF($C393="DPO Approval",4,IF($C393="RELEASED IN PROD",5,-1))))))&lt;IF($AH393="NOT STARTED",0,IF($AH393="DB Dev",1,IF($AH393="PBI Dev",2,IF($AH393="QA",3,IF($AH393="DPO Approval",4,IF($AH393="RELEASED IN PROD",5,-1)))))),"Yes - was already at "&amp;$AH393&amp;", now back at "&amp;$C393,"No"))</f>
        <v/>
      </c>
      <c r="AJ393" s="9">
        <f>IF($B393="","",IF(AND(T393&lt;&gt;"",N393&lt;&gt;"",T393&lt;N393),"QA target is before DB Dev target",IF(AND(T393&lt;&gt;"",Q393&lt;&gt;"",T393&lt;Q393),"QA target is before PBI Dev target",IF(AND(W393&lt;&gt;"",T393&lt;&gt;"",W393&lt;T393),"DPO Approval target is before QA target",IF(AND(Z393&lt;&gt;"",W393&lt;&gt;"",Z393&lt;W393),"Confirmed Deployed date is before DPO Approval target","")))))</f>
        <v/>
      </c>
      <c r="AK393" s="9">
        <f>IF($B393="","",IF(COUNTIF($B$2:$B$500,$B393)&gt;1,"Duplicate name - check row",""))</f>
        <v/>
      </c>
      <c r="AL393" s="1" t="n"/>
      <c r="AM393" s="9">
        <f>IF($B393="","",SUMPRODUCT(MAX(('Rework Log'!$A$3:$A$500=$B393)*ROW('Rework Log'!$A$3:$A$500))))</f>
        <v/>
      </c>
    </row>
    <row r="394">
      <c r="A394" s="1" t="n"/>
      <c r="B394" s="1" t="n"/>
      <c r="C394" s="1" t="n"/>
      <c r="D394" s="9">
        <f>IF($B394="","",IF(LEFT($AC394,3)="Yes","Blocked",IF(C394="NOT STARTED",IF(K394="","No plan date set",IF(K394&lt;TODAY(),"Review - planned start passed","On track")),IF(C394="DB Dev",IF(N394="","No target set",IF(AND(N394&lt;TODAY(),P394=""),"Overdue","On track")),IF(C394="PBI Dev",IF(Q394="","No target set",IF(AND(Q394&lt;TODAY(),S394=""),"Overdue","On track")),IF(C394="QA",IF(T394="","No target set",IF(AND(T394&lt;TODAY(),V394=""),"Overdue","On track")),IF(C394="DPO Approval",IF(W394="","No target set",IF(W394&lt;TODAY(),"Overdue","On track")),IF(C394="RELEASED IN PROD","Delivered",""))))))))</f>
        <v/>
      </c>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c r="AA394" s="1" t="n"/>
      <c r="AB394" s="1" t="n"/>
      <c r="AC394" s="1" t="n"/>
      <c r="AD394" s="9">
        <f>IF($B394="","",COUNTIF('Rework Log'!$A$3:$A$500,$B394))</f>
        <v/>
      </c>
      <c r="AE394" s="9">
        <f>IF(OR($B394="",$AM394=0),"",INDEX('Rework Log'!$C:$C,$AM394))</f>
        <v/>
      </c>
      <c r="AF394" s="9">
        <f>IF(OR($B394="",$AM394=0),"",INDEX('Rework Log'!$H:$H,$AM394))</f>
        <v/>
      </c>
      <c r="AG394" s="9">
        <f>IF(OR($B394="",$AM394=0),"",INDEX('Rework Log'!$G:$G,$AM394))</f>
        <v/>
      </c>
      <c r="AH394" s="9">
        <f>IF($B394="","",IF(W394&lt;&gt;"","DPO Approval",IF(T394&lt;&gt;"","QA",IF(Q394&lt;&gt;"","PBI Dev",IF(N394&lt;&gt;"","DB Dev","NOT STARTED")))))</f>
        <v/>
      </c>
      <c r="AI394" s="9">
        <f>IF($B394="","",IF(IF($C394="NOT STARTED",0,IF($C394="DB Dev",1,IF($C394="PBI Dev",2,IF($C394="QA",3,IF($C394="DPO Approval",4,IF($C394="RELEASED IN PROD",5,-1))))))&lt;IF($AH394="NOT STARTED",0,IF($AH394="DB Dev",1,IF($AH394="PBI Dev",2,IF($AH394="QA",3,IF($AH394="DPO Approval",4,IF($AH394="RELEASED IN PROD",5,-1)))))),"Yes - was already at "&amp;$AH394&amp;", now back at "&amp;$C394,"No"))</f>
        <v/>
      </c>
      <c r="AJ394" s="9">
        <f>IF($B394="","",IF(AND(T394&lt;&gt;"",N394&lt;&gt;"",T394&lt;N394),"QA target is before DB Dev target",IF(AND(T394&lt;&gt;"",Q394&lt;&gt;"",T394&lt;Q394),"QA target is before PBI Dev target",IF(AND(W394&lt;&gt;"",T394&lt;&gt;"",W394&lt;T394),"DPO Approval target is before QA target",IF(AND(Z394&lt;&gt;"",W394&lt;&gt;"",Z394&lt;W394),"Confirmed Deployed date is before DPO Approval target","")))))</f>
        <v/>
      </c>
      <c r="AK394" s="9">
        <f>IF($B394="","",IF(COUNTIF($B$2:$B$500,$B394)&gt;1,"Duplicate name - check row",""))</f>
        <v/>
      </c>
      <c r="AL394" s="1" t="n"/>
      <c r="AM394" s="9">
        <f>IF($B394="","",SUMPRODUCT(MAX(('Rework Log'!$A$3:$A$500=$B394)*ROW('Rework Log'!$A$3:$A$500))))</f>
        <v/>
      </c>
    </row>
    <row r="395">
      <c r="A395" s="1" t="n"/>
      <c r="B395" s="1" t="n"/>
      <c r="C395" s="1" t="n"/>
      <c r="D395" s="9">
        <f>IF($B395="","",IF(LEFT($AC395,3)="Yes","Blocked",IF(C395="NOT STARTED",IF(K395="","No plan date set",IF(K395&lt;TODAY(),"Review - planned start passed","On track")),IF(C395="DB Dev",IF(N395="","No target set",IF(AND(N395&lt;TODAY(),P395=""),"Overdue","On track")),IF(C395="PBI Dev",IF(Q395="","No target set",IF(AND(Q395&lt;TODAY(),S395=""),"Overdue","On track")),IF(C395="QA",IF(T395="","No target set",IF(AND(T395&lt;TODAY(),V395=""),"Overdue","On track")),IF(C395="DPO Approval",IF(W395="","No target set",IF(W395&lt;TODAY(),"Overdue","On track")),IF(C395="RELEASED IN PROD","Delivered",""))))))))</f>
        <v/>
      </c>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c r="AA395" s="1" t="n"/>
      <c r="AB395" s="1" t="n"/>
      <c r="AC395" s="1" t="n"/>
      <c r="AD395" s="9">
        <f>IF($B395="","",COUNTIF('Rework Log'!$A$3:$A$500,$B395))</f>
        <v/>
      </c>
      <c r="AE395" s="9">
        <f>IF(OR($B395="",$AM395=0),"",INDEX('Rework Log'!$C:$C,$AM395))</f>
        <v/>
      </c>
      <c r="AF395" s="9">
        <f>IF(OR($B395="",$AM395=0),"",INDEX('Rework Log'!$H:$H,$AM395))</f>
        <v/>
      </c>
      <c r="AG395" s="9">
        <f>IF(OR($B395="",$AM395=0),"",INDEX('Rework Log'!$G:$G,$AM395))</f>
        <v/>
      </c>
      <c r="AH395" s="9">
        <f>IF($B395="","",IF(W395&lt;&gt;"","DPO Approval",IF(T395&lt;&gt;"","QA",IF(Q395&lt;&gt;"","PBI Dev",IF(N395&lt;&gt;"","DB Dev","NOT STARTED")))))</f>
        <v/>
      </c>
      <c r="AI395" s="9">
        <f>IF($B395="","",IF(IF($C395="NOT STARTED",0,IF($C395="DB Dev",1,IF($C395="PBI Dev",2,IF($C395="QA",3,IF($C395="DPO Approval",4,IF($C395="RELEASED IN PROD",5,-1))))))&lt;IF($AH395="NOT STARTED",0,IF($AH395="DB Dev",1,IF($AH395="PBI Dev",2,IF($AH395="QA",3,IF($AH395="DPO Approval",4,IF($AH395="RELEASED IN PROD",5,-1)))))),"Yes - was already at "&amp;$AH395&amp;", now back at "&amp;$C395,"No"))</f>
        <v/>
      </c>
      <c r="AJ395" s="9">
        <f>IF($B395="","",IF(AND(T395&lt;&gt;"",N395&lt;&gt;"",T395&lt;N395),"QA target is before DB Dev target",IF(AND(T395&lt;&gt;"",Q395&lt;&gt;"",T395&lt;Q395),"QA target is before PBI Dev target",IF(AND(W395&lt;&gt;"",T395&lt;&gt;"",W395&lt;T395),"DPO Approval target is before QA target",IF(AND(Z395&lt;&gt;"",W395&lt;&gt;"",Z395&lt;W395),"Confirmed Deployed date is before DPO Approval target","")))))</f>
        <v/>
      </c>
      <c r="AK395" s="9">
        <f>IF($B395="","",IF(COUNTIF($B$2:$B$500,$B395)&gt;1,"Duplicate name - check row",""))</f>
        <v/>
      </c>
      <c r="AL395" s="1" t="n"/>
      <c r="AM395" s="9">
        <f>IF($B395="","",SUMPRODUCT(MAX(('Rework Log'!$A$3:$A$500=$B395)*ROW('Rework Log'!$A$3:$A$500))))</f>
        <v/>
      </c>
    </row>
    <row r="396">
      <c r="A396" s="1" t="n"/>
      <c r="B396" s="1" t="n"/>
      <c r="C396" s="1" t="n"/>
      <c r="D396" s="9">
        <f>IF($B396="","",IF(LEFT($AC396,3)="Yes","Blocked",IF(C396="NOT STARTED",IF(K396="","No plan date set",IF(K396&lt;TODAY(),"Review - planned start passed","On track")),IF(C396="DB Dev",IF(N396="","No target set",IF(AND(N396&lt;TODAY(),P396=""),"Overdue","On track")),IF(C396="PBI Dev",IF(Q396="","No target set",IF(AND(Q396&lt;TODAY(),S396=""),"Overdue","On track")),IF(C396="QA",IF(T396="","No target set",IF(AND(T396&lt;TODAY(),V396=""),"Overdue","On track")),IF(C396="DPO Approval",IF(W396="","No target set",IF(W396&lt;TODAY(),"Overdue","On track")),IF(C396="RELEASED IN PROD","Delivered",""))))))))</f>
        <v/>
      </c>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c r="AA396" s="1" t="n"/>
      <c r="AB396" s="1" t="n"/>
      <c r="AC396" s="1" t="n"/>
      <c r="AD396" s="9">
        <f>IF($B396="","",COUNTIF('Rework Log'!$A$3:$A$500,$B396))</f>
        <v/>
      </c>
      <c r="AE396" s="9">
        <f>IF(OR($B396="",$AM396=0),"",INDEX('Rework Log'!$C:$C,$AM396))</f>
        <v/>
      </c>
      <c r="AF396" s="9">
        <f>IF(OR($B396="",$AM396=0),"",INDEX('Rework Log'!$H:$H,$AM396))</f>
        <v/>
      </c>
      <c r="AG396" s="9">
        <f>IF(OR($B396="",$AM396=0),"",INDEX('Rework Log'!$G:$G,$AM396))</f>
        <v/>
      </c>
      <c r="AH396" s="9">
        <f>IF($B396="","",IF(W396&lt;&gt;"","DPO Approval",IF(T396&lt;&gt;"","QA",IF(Q396&lt;&gt;"","PBI Dev",IF(N396&lt;&gt;"","DB Dev","NOT STARTED")))))</f>
        <v/>
      </c>
      <c r="AI396" s="9">
        <f>IF($B396="","",IF(IF($C396="NOT STARTED",0,IF($C396="DB Dev",1,IF($C396="PBI Dev",2,IF($C396="QA",3,IF($C396="DPO Approval",4,IF($C396="RELEASED IN PROD",5,-1))))))&lt;IF($AH396="NOT STARTED",0,IF($AH396="DB Dev",1,IF($AH396="PBI Dev",2,IF($AH396="QA",3,IF($AH396="DPO Approval",4,IF($AH396="RELEASED IN PROD",5,-1)))))),"Yes - was already at "&amp;$AH396&amp;", now back at "&amp;$C396,"No"))</f>
        <v/>
      </c>
      <c r="AJ396" s="9">
        <f>IF($B396="","",IF(AND(T396&lt;&gt;"",N396&lt;&gt;"",T396&lt;N396),"QA target is before DB Dev target",IF(AND(T396&lt;&gt;"",Q396&lt;&gt;"",T396&lt;Q396),"QA target is before PBI Dev target",IF(AND(W396&lt;&gt;"",T396&lt;&gt;"",W396&lt;T396),"DPO Approval target is before QA target",IF(AND(Z396&lt;&gt;"",W396&lt;&gt;"",Z396&lt;W396),"Confirmed Deployed date is before DPO Approval target","")))))</f>
        <v/>
      </c>
      <c r="AK396" s="9">
        <f>IF($B396="","",IF(COUNTIF($B$2:$B$500,$B396)&gt;1,"Duplicate name - check row",""))</f>
        <v/>
      </c>
      <c r="AL396" s="1" t="n"/>
      <c r="AM396" s="9">
        <f>IF($B396="","",SUMPRODUCT(MAX(('Rework Log'!$A$3:$A$500=$B396)*ROW('Rework Log'!$A$3:$A$500))))</f>
        <v/>
      </c>
    </row>
    <row r="397">
      <c r="A397" s="1" t="n"/>
      <c r="B397" s="1" t="n"/>
      <c r="C397" s="1" t="n"/>
      <c r="D397" s="9">
        <f>IF($B397="","",IF(LEFT($AC397,3)="Yes","Blocked",IF(C397="NOT STARTED",IF(K397="","No plan date set",IF(K397&lt;TODAY(),"Review - planned start passed","On track")),IF(C397="DB Dev",IF(N397="","No target set",IF(AND(N397&lt;TODAY(),P397=""),"Overdue","On track")),IF(C397="PBI Dev",IF(Q397="","No target set",IF(AND(Q397&lt;TODAY(),S397=""),"Overdue","On track")),IF(C397="QA",IF(T397="","No target set",IF(AND(T397&lt;TODAY(),V397=""),"Overdue","On track")),IF(C397="DPO Approval",IF(W397="","No target set",IF(W397&lt;TODAY(),"Overdue","On track")),IF(C397="RELEASED IN PROD","Delivered",""))))))))</f>
        <v/>
      </c>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c r="AA397" s="1" t="n"/>
      <c r="AB397" s="1" t="n"/>
      <c r="AC397" s="1" t="n"/>
      <c r="AD397" s="9">
        <f>IF($B397="","",COUNTIF('Rework Log'!$A$3:$A$500,$B397))</f>
        <v/>
      </c>
      <c r="AE397" s="9">
        <f>IF(OR($B397="",$AM397=0),"",INDEX('Rework Log'!$C:$C,$AM397))</f>
        <v/>
      </c>
      <c r="AF397" s="9">
        <f>IF(OR($B397="",$AM397=0),"",INDEX('Rework Log'!$H:$H,$AM397))</f>
        <v/>
      </c>
      <c r="AG397" s="9">
        <f>IF(OR($B397="",$AM397=0),"",INDEX('Rework Log'!$G:$G,$AM397))</f>
        <v/>
      </c>
      <c r="AH397" s="9">
        <f>IF($B397="","",IF(W397&lt;&gt;"","DPO Approval",IF(T397&lt;&gt;"","QA",IF(Q397&lt;&gt;"","PBI Dev",IF(N397&lt;&gt;"","DB Dev","NOT STARTED")))))</f>
        <v/>
      </c>
      <c r="AI397" s="9">
        <f>IF($B397="","",IF(IF($C397="NOT STARTED",0,IF($C397="DB Dev",1,IF($C397="PBI Dev",2,IF($C397="QA",3,IF($C397="DPO Approval",4,IF($C397="RELEASED IN PROD",5,-1))))))&lt;IF($AH397="NOT STARTED",0,IF($AH397="DB Dev",1,IF($AH397="PBI Dev",2,IF($AH397="QA",3,IF($AH397="DPO Approval",4,IF($AH397="RELEASED IN PROD",5,-1)))))),"Yes - was already at "&amp;$AH397&amp;", now back at "&amp;$C397,"No"))</f>
        <v/>
      </c>
      <c r="AJ397" s="9">
        <f>IF($B397="","",IF(AND(T397&lt;&gt;"",N397&lt;&gt;"",T397&lt;N397),"QA target is before DB Dev target",IF(AND(T397&lt;&gt;"",Q397&lt;&gt;"",T397&lt;Q397),"QA target is before PBI Dev target",IF(AND(W397&lt;&gt;"",T397&lt;&gt;"",W397&lt;T397),"DPO Approval target is before QA target",IF(AND(Z397&lt;&gt;"",W397&lt;&gt;"",Z397&lt;W397),"Confirmed Deployed date is before DPO Approval target","")))))</f>
        <v/>
      </c>
      <c r="AK397" s="9">
        <f>IF($B397="","",IF(COUNTIF($B$2:$B$500,$B397)&gt;1,"Duplicate name - check row",""))</f>
        <v/>
      </c>
      <c r="AL397" s="1" t="n"/>
      <c r="AM397" s="9">
        <f>IF($B397="","",SUMPRODUCT(MAX(('Rework Log'!$A$3:$A$500=$B397)*ROW('Rework Log'!$A$3:$A$500))))</f>
        <v/>
      </c>
    </row>
    <row r="398">
      <c r="A398" s="1" t="n"/>
      <c r="B398" s="1" t="n"/>
      <c r="C398" s="1" t="n"/>
      <c r="D398" s="9">
        <f>IF($B398="","",IF(LEFT($AC398,3)="Yes","Blocked",IF(C398="NOT STARTED",IF(K398="","No plan date set",IF(K398&lt;TODAY(),"Review - planned start passed","On track")),IF(C398="DB Dev",IF(N398="","No target set",IF(AND(N398&lt;TODAY(),P398=""),"Overdue","On track")),IF(C398="PBI Dev",IF(Q398="","No target set",IF(AND(Q398&lt;TODAY(),S398=""),"Overdue","On track")),IF(C398="QA",IF(T398="","No target set",IF(AND(T398&lt;TODAY(),V398=""),"Overdue","On track")),IF(C398="DPO Approval",IF(W398="","No target set",IF(W398&lt;TODAY(),"Overdue","On track")),IF(C398="RELEASED IN PROD","Delivered",""))))))))</f>
        <v/>
      </c>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c r="AA398" s="1" t="n"/>
      <c r="AB398" s="1" t="n"/>
      <c r="AC398" s="1" t="n"/>
      <c r="AD398" s="9">
        <f>IF($B398="","",COUNTIF('Rework Log'!$A$3:$A$500,$B398))</f>
        <v/>
      </c>
      <c r="AE398" s="9">
        <f>IF(OR($B398="",$AM398=0),"",INDEX('Rework Log'!$C:$C,$AM398))</f>
        <v/>
      </c>
      <c r="AF398" s="9">
        <f>IF(OR($B398="",$AM398=0),"",INDEX('Rework Log'!$H:$H,$AM398))</f>
        <v/>
      </c>
      <c r="AG398" s="9">
        <f>IF(OR($B398="",$AM398=0),"",INDEX('Rework Log'!$G:$G,$AM398))</f>
        <v/>
      </c>
      <c r="AH398" s="9">
        <f>IF($B398="","",IF(W398&lt;&gt;"","DPO Approval",IF(T398&lt;&gt;"","QA",IF(Q398&lt;&gt;"","PBI Dev",IF(N398&lt;&gt;"","DB Dev","NOT STARTED")))))</f>
        <v/>
      </c>
      <c r="AI398" s="9">
        <f>IF($B398="","",IF(IF($C398="NOT STARTED",0,IF($C398="DB Dev",1,IF($C398="PBI Dev",2,IF($C398="QA",3,IF($C398="DPO Approval",4,IF($C398="RELEASED IN PROD",5,-1))))))&lt;IF($AH398="NOT STARTED",0,IF($AH398="DB Dev",1,IF($AH398="PBI Dev",2,IF($AH398="QA",3,IF($AH398="DPO Approval",4,IF($AH398="RELEASED IN PROD",5,-1)))))),"Yes - was already at "&amp;$AH398&amp;", now back at "&amp;$C398,"No"))</f>
        <v/>
      </c>
      <c r="AJ398" s="9">
        <f>IF($B398="","",IF(AND(T398&lt;&gt;"",N398&lt;&gt;"",T398&lt;N398),"QA target is before DB Dev target",IF(AND(T398&lt;&gt;"",Q398&lt;&gt;"",T398&lt;Q398),"QA target is before PBI Dev target",IF(AND(W398&lt;&gt;"",T398&lt;&gt;"",W398&lt;T398),"DPO Approval target is before QA target",IF(AND(Z398&lt;&gt;"",W398&lt;&gt;"",Z398&lt;W398),"Confirmed Deployed date is before DPO Approval target","")))))</f>
        <v/>
      </c>
      <c r="AK398" s="9">
        <f>IF($B398="","",IF(COUNTIF($B$2:$B$500,$B398)&gt;1,"Duplicate name - check row",""))</f>
        <v/>
      </c>
      <c r="AL398" s="1" t="n"/>
      <c r="AM398" s="9">
        <f>IF($B398="","",SUMPRODUCT(MAX(('Rework Log'!$A$3:$A$500=$B398)*ROW('Rework Log'!$A$3:$A$500))))</f>
        <v/>
      </c>
    </row>
    <row r="399">
      <c r="A399" s="1" t="n"/>
      <c r="B399" s="1" t="n"/>
      <c r="C399" s="1" t="n"/>
      <c r="D399" s="9">
        <f>IF($B399="","",IF(LEFT($AC399,3)="Yes","Blocked",IF(C399="NOT STARTED",IF(K399="","No plan date set",IF(K399&lt;TODAY(),"Review - planned start passed","On track")),IF(C399="DB Dev",IF(N399="","No target set",IF(AND(N399&lt;TODAY(),P399=""),"Overdue","On track")),IF(C399="PBI Dev",IF(Q399="","No target set",IF(AND(Q399&lt;TODAY(),S399=""),"Overdue","On track")),IF(C399="QA",IF(T399="","No target set",IF(AND(T399&lt;TODAY(),V399=""),"Overdue","On track")),IF(C399="DPO Approval",IF(W399="","No target set",IF(W399&lt;TODAY(),"Overdue","On track")),IF(C399="RELEASED IN PROD","Delivered",""))))))))</f>
        <v/>
      </c>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c r="AA399" s="1" t="n"/>
      <c r="AB399" s="1" t="n"/>
      <c r="AC399" s="1" t="n"/>
      <c r="AD399" s="9">
        <f>IF($B399="","",COUNTIF('Rework Log'!$A$3:$A$500,$B399))</f>
        <v/>
      </c>
      <c r="AE399" s="9">
        <f>IF(OR($B399="",$AM399=0),"",INDEX('Rework Log'!$C:$C,$AM399))</f>
        <v/>
      </c>
      <c r="AF399" s="9">
        <f>IF(OR($B399="",$AM399=0),"",INDEX('Rework Log'!$H:$H,$AM399))</f>
        <v/>
      </c>
      <c r="AG399" s="9">
        <f>IF(OR($B399="",$AM399=0),"",INDEX('Rework Log'!$G:$G,$AM399))</f>
        <v/>
      </c>
      <c r="AH399" s="9">
        <f>IF($B399="","",IF(W399&lt;&gt;"","DPO Approval",IF(T399&lt;&gt;"","QA",IF(Q399&lt;&gt;"","PBI Dev",IF(N399&lt;&gt;"","DB Dev","NOT STARTED")))))</f>
        <v/>
      </c>
      <c r="AI399" s="9">
        <f>IF($B399="","",IF(IF($C399="NOT STARTED",0,IF($C399="DB Dev",1,IF($C399="PBI Dev",2,IF($C399="QA",3,IF($C399="DPO Approval",4,IF($C399="RELEASED IN PROD",5,-1))))))&lt;IF($AH399="NOT STARTED",0,IF($AH399="DB Dev",1,IF($AH399="PBI Dev",2,IF($AH399="QA",3,IF($AH399="DPO Approval",4,IF($AH399="RELEASED IN PROD",5,-1)))))),"Yes - was already at "&amp;$AH399&amp;", now back at "&amp;$C399,"No"))</f>
        <v/>
      </c>
      <c r="AJ399" s="9">
        <f>IF($B399="","",IF(AND(T399&lt;&gt;"",N399&lt;&gt;"",T399&lt;N399),"QA target is before DB Dev target",IF(AND(T399&lt;&gt;"",Q399&lt;&gt;"",T399&lt;Q399),"QA target is before PBI Dev target",IF(AND(W399&lt;&gt;"",T399&lt;&gt;"",W399&lt;T399),"DPO Approval target is before QA target",IF(AND(Z399&lt;&gt;"",W399&lt;&gt;"",Z399&lt;W399),"Confirmed Deployed date is before DPO Approval target","")))))</f>
        <v/>
      </c>
      <c r="AK399" s="9">
        <f>IF($B399="","",IF(COUNTIF($B$2:$B$500,$B399)&gt;1,"Duplicate name - check row",""))</f>
        <v/>
      </c>
      <c r="AL399" s="1" t="n"/>
      <c r="AM399" s="9">
        <f>IF($B399="","",SUMPRODUCT(MAX(('Rework Log'!$A$3:$A$500=$B399)*ROW('Rework Log'!$A$3:$A$500))))</f>
        <v/>
      </c>
    </row>
    <row r="400">
      <c r="A400" s="1" t="n"/>
      <c r="B400" s="1" t="n"/>
      <c r="C400" s="1" t="n"/>
      <c r="D400" s="9">
        <f>IF($B400="","",IF(LEFT($AC400,3)="Yes","Blocked",IF(C400="NOT STARTED",IF(K400="","No plan date set",IF(K400&lt;TODAY(),"Review - planned start passed","On track")),IF(C400="DB Dev",IF(N400="","No target set",IF(AND(N400&lt;TODAY(),P400=""),"Overdue","On track")),IF(C400="PBI Dev",IF(Q400="","No target set",IF(AND(Q400&lt;TODAY(),S400=""),"Overdue","On track")),IF(C400="QA",IF(T400="","No target set",IF(AND(T400&lt;TODAY(),V400=""),"Overdue","On track")),IF(C400="DPO Approval",IF(W400="","No target set",IF(W400&lt;TODAY(),"Overdue","On track")),IF(C400="RELEASED IN PROD","Delivered",""))))))))</f>
        <v/>
      </c>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c r="AA400" s="1" t="n"/>
      <c r="AB400" s="1" t="n"/>
      <c r="AC400" s="1" t="n"/>
      <c r="AD400" s="9">
        <f>IF($B400="","",COUNTIF('Rework Log'!$A$3:$A$500,$B400))</f>
        <v/>
      </c>
      <c r="AE400" s="9">
        <f>IF(OR($B400="",$AM400=0),"",INDEX('Rework Log'!$C:$C,$AM400))</f>
        <v/>
      </c>
      <c r="AF400" s="9">
        <f>IF(OR($B400="",$AM400=0),"",INDEX('Rework Log'!$H:$H,$AM400))</f>
        <v/>
      </c>
      <c r="AG400" s="9">
        <f>IF(OR($B400="",$AM400=0),"",INDEX('Rework Log'!$G:$G,$AM400))</f>
        <v/>
      </c>
      <c r="AH400" s="9">
        <f>IF($B400="","",IF(W400&lt;&gt;"","DPO Approval",IF(T400&lt;&gt;"","QA",IF(Q400&lt;&gt;"","PBI Dev",IF(N400&lt;&gt;"","DB Dev","NOT STARTED")))))</f>
        <v/>
      </c>
      <c r="AI400" s="9">
        <f>IF($B400="","",IF(IF($C400="NOT STARTED",0,IF($C400="DB Dev",1,IF($C400="PBI Dev",2,IF($C400="QA",3,IF($C400="DPO Approval",4,IF($C400="RELEASED IN PROD",5,-1))))))&lt;IF($AH400="NOT STARTED",0,IF($AH400="DB Dev",1,IF($AH400="PBI Dev",2,IF($AH400="QA",3,IF($AH400="DPO Approval",4,IF($AH400="RELEASED IN PROD",5,-1)))))),"Yes - was already at "&amp;$AH400&amp;", now back at "&amp;$C400,"No"))</f>
        <v/>
      </c>
      <c r="AJ400" s="9">
        <f>IF($B400="","",IF(AND(T400&lt;&gt;"",N400&lt;&gt;"",T400&lt;N400),"QA target is before DB Dev target",IF(AND(T400&lt;&gt;"",Q400&lt;&gt;"",T400&lt;Q400),"QA target is before PBI Dev target",IF(AND(W400&lt;&gt;"",T400&lt;&gt;"",W400&lt;T400),"DPO Approval target is before QA target",IF(AND(Z400&lt;&gt;"",W400&lt;&gt;"",Z400&lt;W400),"Confirmed Deployed date is before DPO Approval target","")))))</f>
        <v/>
      </c>
      <c r="AK400" s="9">
        <f>IF($B400="","",IF(COUNTIF($B$2:$B$500,$B400)&gt;1,"Duplicate name - check row",""))</f>
        <v/>
      </c>
      <c r="AL400" s="1" t="n"/>
      <c r="AM400" s="9">
        <f>IF($B400="","",SUMPRODUCT(MAX(('Rework Log'!$A$3:$A$500=$B400)*ROW('Rework Log'!$A$3:$A$500))))</f>
        <v/>
      </c>
    </row>
    <row r="401">
      <c r="A401" s="1" t="n"/>
      <c r="B401" s="1" t="n"/>
      <c r="C401" s="1" t="n"/>
      <c r="D401" s="9">
        <f>IF($B401="","",IF(LEFT($AC401,3)="Yes","Blocked",IF(C401="NOT STARTED",IF(K401="","No plan date set",IF(K401&lt;TODAY(),"Review - planned start passed","On track")),IF(C401="DB Dev",IF(N401="","No target set",IF(AND(N401&lt;TODAY(),P401=""),"Overdue","On track")),IF(C401="PBI Dev",IF(Q401="","No target set",IF(AND(Q401&lt;TODAY(),S401=""),"Overdue","On track")),IF(C401="QA",IF(T401="","No target set",IF(AND(T401&lt;TODAY(),V401=""),"Overdue","On track")),IF(C401="DPO Approval",IF(W401="","No target set",IF(W401&lt;TODAY(),"Overdue","On track")),IF(C401="RELEASED IN PROD","Delivered",""))))))))</f>
        <v/>
      </c>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c r="AA401" s="1" t="n"/>
      <c r="AB401" s="1" t="n"/>
      <c r="AC401" s="1" t="n"/>
      <c r="AD401" s="9">
        <f>IF($B401="","",COUNTIF('Rework Log'!$A$3:$A$500,$B401))</f>
        <v/>
      </c>
      <c r="AE401" s="9">
        <f>IF(OR($B401="",$AM401=0),"",INDEX('Rework Log'!$C:$C,$AM401))</f>
        <v/>
      </c>
      <c r="AF401" s="9">
        <f>IF(OR($B401="",$AM401=0),"",INDEX('Rework Log'!$H:$H,$AM401))</f>
        <v/>
      </c>
      <c r="AG401" s="9">
        <f>IF(OR($B401="",$AM401=0),"",INDEX('Rework Log'!$G:$G,$AM401))</f>
        <v/>
      </c>
      <c r="AH401" s="9">
        <f>IF($B401="","",IF(W401&lt;&gt;"","DPO Approval",IF(T401&lt;&gt;"","QA",IF(Q401&lt;&gt;"","PBI Dev",IF(N401&lt;&gt;"","DB Dev","NOT STARTED")))))</f>
        <v/>
      </c>
      <c r="AI401" s="9">
        <f>IF($B401="","",IF(IF($C401="NOT STARTED",0,IF($C401="DB Dev",1,IF($C401="PBI Dev",2,IF($C401="QA",3,IF($C401="DPO Approval",4,IF($C401="RELEASED IN PROD",5,-1))))))&lt;IF($AH401="NOT STARTED",0,IF($AH401="DB Dev",1,IF($AH401="PBI Dev",2,IF($AH401="QA",3,IF($AH401="DPO Approval",4,IF($AH401="RELEASED IN PROD",5,-1)))))),"Yes - was already at "&amp;$AH401&amp;", now back at "&amp;$C401,"No"))</f>
        <v/>
      </c>
      <c r="AJ401" s="9">
        <f>IF($B401="","",IF(AND(T401&lt;&gt;"",N401&lt;&gt;"",T401&lt;N401),"QA target is before DB Dev target",IF(AND(T401&lt;&gt;"",Q401&lt;&gt;"",T401&lt;Q401),"QA target is before PBI Dev target",IF(AND(W401&lt;&gt;"",T401&lt;&gt;"",W401&lt;T401),"DPO Approval target is before QA target",IF(AND(Z401&lt;&gt;"",W401&lt;&gt;"",Z401&lt;W401),"Confirmed Deployed date is before DPO Approval target","")))))</f>
        <v/>
      </c>
      <c r="AK401" s="9">
        <f>IF($B401="","",IF(COUNTIF($B$2:$B$500,$B401)&gt;1,"Duplicate name - check row",""))</f>
        <v/>
      </c>
      <c r="AL401" s="1" t="n"/>
      <c r="AM401" s="9">
        <f>IF($B401="","",SUMPRODUCT(MAX(('Rework Log'!$A$3:$A$500=$B401)*ROW('Rework Log'!$A$3:$A$500))))</f>
        <v/>
      </c>
    </row>
    <row r="402">
      <c r="A402" s="1" t="n"/>
      <c r="B402" s="1" t="n"/>
      <c r="C402" s="1" t="n"/>
      <c r="D402" s="9">
        <f>IF($B402="","",IF(LEFT($AC402,3)="Yes","Blocked",IF(C402="NOT STARTED",IF(K402="","No plan date set",IF(K402&lt;TODAY(),"Review - planned start passed","On track")),IF(C402="DB Dev",IF(N402="","No target set",IF(AND(N402&lt;TODAY(),P402=""),"Overdue","On track")),IF(C402="PBI Dev",IF(Q402="","No target set",IF(AND(Q402&lt;TODAY(),S402=""),"Overdue","On track")),IF(C402="QA",IF(T402="","No target set",IF(AND(T402&lt;TODAY(),V402=""),"Overdue","On track")),IF(C402="DPO Approval",IF(W402="","No target set",IF(W402&lt;TODAY(),"Overdue","On track")),IF(C402="RELEASED IN PROD","Delivered",""))))))))</f>
        <v/>
      </c>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c r="AA402" s="1" t="n"/>
      <c r="AB402" s="1" t="n"/>
      <c r="AC402" s="1" t="n"/>
      <c r="AD402" s="9">
        <f>IF($B402="","",COUNTIF('Rework Log'!$A$3:$A$500,$B402))</f>
        <v/>
      </c>
      <c r="AE402" s="9">
        <f>IF(OR($B402="",$AM402=0),"",INDEX('Rework Log'!$C:$C,$AM402))</f>
        <v/>
      </c>
      <c r="AF402" s="9">
        <f>IF(OR($B402="",$AM402=0),"",INDEX('Rework Log'!$H:$H,$AM402))</f>
        <v/>
      </c>
      <c r="AG402" s="9">
        <f>IF(OR($B402="",$AM402=0),"",INDEX('Rework Log'!$G:$G,$AM402))</f>
        <v/>
      </c>
      <c r="AH402" s="9">
        <f>IF($B402="","",IF(W402&lt;&gt;"","DPO Approval",IF(T402&lt;&gt;"","QA",IF(Q402&lt;&gt;"","PBI Dev",IF(N402&lt;&gt;"","DB Dev","NOT STARTED")))))</f>
        <v/>
      </c>
      <c r="AI402" s="9">
        <f>IF($B402="","",IF(IF($C402="NOT STARTED",0,IF($C402="DB Dev",1,IF($C402="PBI Dev",2,IF($C402="QA",3,IF($C402="DPO Approval",4,IF($C402="RELEASED IN PROD",5,-1))))))&lt;IF($AH402="NOT STARTED",0,IF($AH402="DB Dev",1,IF($AH402="PBI Dev",2,IF($AH402="QA",3,IF($AH402="DPO Approval",4,IF($AH402="RELEASED IN PROD",5,-1)))))),"Yes - was already at "&amp;$AH402&amp;", now back at "&amp;$C402,"No"))</f>
        <v/>
      </c>
      <c r="AJ402" s="9">
        <f>IF($B402="","",IF(AND(T402&lt;&gt;"",N402&lt;&gt;"",T402&lt;N402),"QA target is before DB Dev target",IF(AND(T402&lt;&gt;"",Q402&lt;&gt;"",T402&lt;Q402),"QA target is before PBI Dev target",IF(AND(W402&lt;&gt;"",T402&lt;&gt;"",W402&lt;T402),"DPO Approval target is before QA target",IF(AND(Z402&lt;&gt;"",W402&lt;&gt;"",Z402&lt;W402),"Confirmed Deployed date is before DPO Approval target","")))))</f>
        <v/>
      </c>
      <c r="AK402" s="9">
        <f>IF($B402="","",IF(COUNTIF($B$2:$B$500,$B402)&gt;1,"Duplicate name - check row",""))</f>
        <v/>
      </c>
      <c r="AL402" s="1" t="n"/>
      <c r="AM402" s="9">
        <f>IF($B402="","",SUMPRODUCT(MAX(('Rework Log'!$A$3:$A$500=$B402)*ROW('Rework Log'!$A$3:$A$500))))</f>
        <v/>
      </c>
    </row>
    <row r="403">
      <c r="A403" s="1" t="n"/>
      <c r="B403" s="1" t="n"/>
      <c r="C403" s="1" t="n"/>
      <c r="D403" s="9">
        <f>IF($B403="","",IF(LEFT($AC403,3)="Yes","Blocked",IF(C403="NOT STARTED",IF(K403="","No plan date set",IF(K403&lt;TODAY(),"Review - planned start passed","On track")),IF(C403="DB Dev",IF(N403="","No target set",IF(AND(N403&lt;TODAY(),P403=""),"Overdue","On track")),IF(C403="PBI Dev",IF(Q403="","No target set",IF(AND(Q403&lt;TODAY(),S403=""),"Overdue","On track")),IF(C403="QA",IF(T403="","No target set",IF(AND(T403&lt;TODAY(),V403=""),"Overdue","On track")),IF(C403="DPO Approval",IF(W403="","No target set",IF(W403&lt;TODAY(),"Overdue","On track")),IF(C403="RELEASED IN PROD","Delivered",""))))))))</f>
        <v/>
      </c>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c r="AA403" s="1" t="n"/>
      <c r="AB403" s="1" t="n"/>
      <c r="AC403" s="1" t="n"/>
      <c r="AD403" s="9">
        <f>IF($B403="","",COUNTIF('Rework Log'!$A$3:$A$500,$B403))</f>
        <v/>
      </c>
      <c r="AE403" s="9">
        <f>IF(OR($B403="",$AM403=0),"",INDEX('Rework Log'!$C:$C,$AM403))</f>
        <v/>
      </c>
      <c r="AF403" s="9">
        <f>IF(OR($B403="",$AM403=0),"",INDEX('Rework Log'!$H:$H,$AM403))</f>
        <v/>
      </c>
      <c r="AG403" s="9">
        <f>IF(OR($B403="",$AM403=0),"",INDEX('Rework Log'!$G:$G,$AM403))</f>
        <v/>
      </c>
      <c r="AH403" s="9">
        <f>IF($B403="","",IF(W403&lt;&gt;"","DPO Approval",IF(T403&lt;&gt;"","QA",IF(Q403&lt;&gt;"","PBI Dev",IF(N403&lt;&gt;"","DB Dev","NOT STARTED")))))</f>
        <v/>
      </c>
      <c r="AI403" s="9">
        <f>IF($B403="","",IF(IF($C403="NOT STARTED",0,IF($C403="DB Dev",1,IF($C403="PBI Dev",2,IF($C403="QA",3,IF($C403="DPO Approval",4,IF($C403="RELEASED IN PROD",5,-1))))))&lt;IF($AH403="NOT STARTED",0,IF($AH403="DB Dev",1,IF($AH403="PBI Dev",2,IF($AH403="QA",3,IF($AH403="DPO Approval",4,IF($AH403="RELEASED IN PROD",5,-1)))))),"Yes - was already at "&amp;$AH403&amp;", now back at "&amp;$C403,"No"))</f>
        <v/>
      </c>
      <c r="AJ403" s="9">
        <f>IF($B403="","",IF(AND(T403&lt;&gt;"",N403&lt;&gt;"",T403&lt;N403),"QA target is before DB Dev target",IF(AND(T403&lt;&gt;"",Q403&lt;&gt;"",T403&lt;Q403),"QA target is before PBI Dev target",IF(AND(W403&lt;&gt;"",T403&lt;&gt;"",W403&lt;T403),"DPO Approval target is before QA target",IF(AND(Z403&lt;&gt;"",W403&lt;&gt;"",Z403&lt;W403),"Confirmed Deployed date is before DPO Approval target","")))))</f>
        <v/>
      </c>
      <c r="AK403" s="9">
        <f>IF($B403="","",IF(COUNTIF($B$2:$B$500,$B403)&gt;1,"Duplicate name - check row",""))</f>
        <v/>
      </c>
      <c r="AL403" s="1" t="n"/>
      <c r="AM403" s="9">
        <f>IF($B403="","",SUMPRODUCT(MAX(('Rework Log'!$A$3:$A$500=$B403)*ROW('Rework Log'!$A$3:$A$500))))</f>
        <v/>
      </c>
    </row>
    <row r="404">
      <c r="A404" s="1" t="n"/>
      <c r="B404" s="1" t="n"/>
      <c r="C404" s="1" t="n"/>
      <c r="D404" s="9">
        <f>IF($B404="","",IF(LEFT($AC404,3)="Yes","Blocked",IF(C404="NOT STARTED",IF(K404="","No plan date set",IF(K404&lt;TODAY(),"Review - planned start passed","On track")),IF(C404="DB Dev",IF(N404="","No target set",IF(AND(N404&lt;TODAY(),P404=""),"Overdue","On track")),IF(C404="PBI Dev",IF(Q404="","No target set",IF(AND(Q404&lt;TODAY(),S404=""),"Overdue","On track")),IF(C404="QA",IF(T404="","No target set",IF(AND(T404&lt;TODAY(),V404=""),"Overdue","On track")),IF(C404="DPO Approval",IF(W404="","No target set",IF(W404&lt;TODAY(),"Overdue","On track")),IF(C404="RELEASED IN PROD","Delivered",""))))))))</f>
        <v/>
      </c>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c r="AA404" s="1" t="n"/>
      <c r="AB404" s="1" t="n"/>
      <c r="AC404" s="1" t="n"/>
      <c r="AD404" s="9">
        <f>IF($B404="","",COUNTIF('Rework Log'!$A$3:$A$500,$B404))</f>
        <v/>
      </c>
      <c r="AE404" s="9">
        <f>IF(OR($B404="",$AM404=0),"",INDEX('Rework Log'!$C:$C,$AM404))</f>
        <v/>
      </c>
      <c r="AF404" s="9">
        <f>IF(OR($B404="",$AM404=0),"",INDEX('Rework Log'!$H:$H,$AM404))</f>
        <v/>
      </c>
      <c r="AG404" s="9">
        <f>IF(OR($B404="",$AM404=0),"",INDEX('Rework Log'!$G:$G,$AM404))</f>
        <v/>
      </c>
      <c r="AH404" s="9">
        <f>IF($B404="","",IF(W404&lt;&gt;"","DPO Approval",IF(T404&lt;&gt;"","QA",IF(Q404&lt;&gt;"","PBI Dev",IF(N404&lt;&gt;"","DB Dev","NOT STARTED")))))</f>
        <v/>
      </c>
      <c r="AI404" s="9">
        <f>IF($B404="","",IF(IF($C404="NOT STARTED",0,IF($C404="DB Dev",1,IF($C404="PBI Dev",2,IF($C404="QA",3,IF($C404="DPO Approval",4,IF($C404="RELEASED IN PROD",5,-1))))))&lt;IF($AH404="NOT STARTED",0,IF($AH404="DB Dev",1,IF($AH404="PBI Dev",2,IF($AH404="QA",3,IF($AH404="DPO Approval",4,IF($AH404="RELEASED IN PROD",5,-1)))))),"Yes - was already at "&amp;$AH404&amp;", now back at "&amp;$C404,"No"))</f>
        <v/>
      </c>
      <c r="AJ404" s="9">
        <f>IF($B404="","",IF(AND(T404&lt;&gt;"",N404&lt;&gt;"",T404&lt;N404),"QA target is before DB Dev target",IF(AND(T404&lt;&gt;"",Q404&lt;&gt;"",T404&lt;Q404),"QA target is before PBI Dev target",IF(AND(W404&lt;&gt;"",T404&lt;&gt;"",W404&lt;T404),"DPO Approval target is before QA target",IF(AND(Z404&lt;&gt;"",W404&lt;&gt;"",Z404&lt;W404),"Confirmed Deployed date is before DPO Approval target","")))))</f>
        <v/>
      </c>
      <c r="AK404" s="9">
        <f>IF($B404="","",IF(COUNTIF($B$2:$B$500,$B404)&gt;1,"Duplicate name - check row",""))</f>
        <v/>
      </c>
      <c r="AL404" s="1" t="n"/>
      <c r="AM404" s="9">
        <f>IF($B404="","",SUMPRODUCT(MAX(('Rework Log'!$A$3:$A$500=$B404)*ROW('Rework Log'!$A$3:$A$500))))</f>
        <v/>
      </c>
    </row>
    <row r="405">
      <c r="A405" s="1" t="n"/>
      <c r="B405" s="1" t="n"/>
      <c r="C405" s="1" t="n"/>
      <c r="D405" s="9">
        <f>IF($B405="","",IF(LEFT($AC405,3)="Yes","Blocked",IF(C405="NOT STARTED",IF(K405="","No plan date set",IF(K405&lt;TODAY(),"Review - planned start passed","On track")),IF(C405="DB Dev",IF(N405="","No target set",IF(AND(N405&lt;TODAY(),P405=""),"Overdue","On track")),IF(C405="PBI Dev",IF(Q405="","No target set",IF(AND(Q405&lt;TODAY(),S405=""),"Overdue","On track")),IF(C405="QA",IF(T405="","No target set",IF(AND(T405&lt;TODAY(),V405=""),"Overdue","On track")),IF(C405="DPO Approval",IF(W405="","No target set",IF(W405&lt;TODAY(),"Overdue","On track")),IF(C405="RELEASED IN PROD","Delivered",""))))))))</f>
        <v/>
      </c>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c r="AA405" s="1" t="n"/>
      <c r="AB405" s="1" t="n"/>
      <c r="AC405" s="1" t="n"/>
      <c r="AD405" s="9">
        <f>IF($B405="","",COUNTIF('Rework Log'!$A$3:$A$500,$B405))</f>
        <v/>
      </c>
      <c r="AE405" s="9">
        <f>IF(OR($B405="",$AM405=0),"",INDEX('Rework Log'!$C:$C,$AM405))</f>
        <v/>
      </c>
      <c r="AF405" s="9">
        <f>IF(OR($B405="",$AM405=0),"",INDEX('Rework Log'!$H:$H,$AM405))</f>
        <v/>
      </c>
      <c r="AG405" s="9">
        <f>IF(OR($B405="",$AM405=0),"",INDEX('Rework Log'!$G:$G,$AM405))</f>
        <v/>
      </c>
      <c r="AH405" s="9">
        <f>IF($B405="","",IF(W405&lt;&gt;"","DPO Approval",IF(T405&lt;&gt;"","QA",IF(Q405&lt;&gt;"","PBI Dev",IF(N405&lt;&gt;"","DB Dev","NOT STARTED")))))</f>
        <v/>
      </c>
      <c r="AI405" s="9">
        <f>IF($B405="","",IF(IF($C405="NOT STARTED",0,IF($C405="DB Dev",1,IF($C405="PBI Dev",2,IF($C405="QA",3,IF($C405="DPO Approval",4,IF($C405="RELEASED IN PROD",5,-1))))))&lt;IF($AH405="NOT STARTED",0,IF($AH405="DB Dev",1,IF($AH405="PBI Dev",2,IF($AH405="QA",3,IF($AH405="DPO Approval",4,IF($AH405="RELEASED IN PROD",5,-1)))))),"Yes - was already at "&amp;$AH405&amp;", now back at "&amp;$C405,"No"))</f>
        <v/>
      </c>
      <c r="AJ405" s="9">
        <f>IF($B405="","",IF(AND(T405&lt;&gt;"",N405&lt;&gt;"",T405&lt;N405),"QA target is before DB Dev target",IF(AND(T405&lt;&gt;"",Q405&lt;&gt;"",T405&lt;Q405),"QA target is before PBI Dev target",IF(AND(W405&lt;&gt;"",T405&lt;&gt;"",W405&lt;T405),"DPO Approval target is before QA target",IF(AND(Z405&lt;&gt;"",W405&lt;&gt;"",Z405&lt;W405),"Confirmed Deployed date is before DPO Approval target","")))))</f>
        <v/>
      </c>
      <c r="AK405" s="9">
        <f>IF($B405="","",IF(COUNTIF($B$2:$B$500,$B405)&gt;1,"Duplicate name - check row",""))</f>
        <v/>
      </c>
      <c r="AL405" s="1" t="n"/>
      <c r="AM405" s="9">
        <f>IF($B405="","",SUMPRODUCT(MAX(('Rework Log'!$A$3:$A$500=$B405)*ROW('Rework Log'!$A$3:$A$500))))</f>
        <v/>
      </c>
    </row>
    <row r="406">
      <c r="A406" s="1" t="n"/>
      <c r="B406" s="1" t="n"/>
      <c r="C406" s="1" t="n"/>
      <c r="D406" s="9">
        <f>IF($B406="","",IF(LEFT($AC406,3)="Yes","Blocked",IF(C406="NOT STARTED",IF(K406="","No plan date set",IF(K406&lt;TODAY(),"Review - planned start passed","On track")),IF(C406="DB Dev",IF(N406="","No target set",IF(AND(N406&lt;TODAY(),P406=""),"Overdue","On track")),IF(C406="PBI Dev",IF(Q406="","No target set",IF(AND(Q406&lt;TODAY(),S406=""),"Overdue","On track")),IF(C406="QA",IF(T406="","No target set",IF(AND(T406&lt;TODAY(),V406=""),"Overdue","On track")),IF(C406="DPO Approval",IF(W406="","No target set",IF(W406&lt;TODAY(),"Overdue","On track")),IF(C406="RELEASED IN PROD","Delivered",""))))))))</f>
        <v/>
      </c>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c r="AA406" s="1" t="n"/>
      <c r="AB406" s="1" t="n"/>
      <c r="AC406" s="1" t="n"/>
      <c r="AD406" s="9">
        <f>IF($B406="","",COUNTIF('Rework Log'!$A$3:$A$500,$B406))</f>
        <v/>
      </c>
      <c r="AE406" s="9">
        <f>IF(OR($B406="",$AM406=0),"",INDEX('Rework Log'!$C:$C,$AM406))</f>
        <v/>
      </c>
      <c r="AF406" s="9">
        <f>IF(OR($B406="",$AM406=0),"",INDEX('Rework Log'!$H:$H,$AM406))</f>
        <v/>
      </c>
      <c r="AG406" s="9">
        <f>IF(OR($B406="",$AM406=0),"",INDEX('Rework Log'!$G:$G,$AM406))</f>
        <v/>
      </c>
      <c r="AH406" s="9">
        <f>IF($B406="","",IF(W406&lt;&gt;"","DPO Approval",IF(T406&lt;&gt;"","QA",IF(Q406&lt;&gt;"","PBI Dev",IF(N406&lt;&gt;"","DB Dev","NOT STARTED")))))</f>
        <v/>
      </c>
      <c r="AI406" s="9">
        <f>IF($B406="","",IF(IF($C406="NOT STARTED",0,IF($C406="DB Dev",1,IF($C406="PBI Dev",2,IF($C406="QA",3,IF($C406="DPO Approval",4,IF($C406="RELEASED IN PROD",5,-1))))))&lt;IF($AH406="NOT STARTED",0,IF($AH406="DB Dev",1,IF($AH406="PBI Dev",2,IF($AH406="QA",3,IF($AH406="DPO Approval",4,IF($AH406="RELEASED IN PROD",5,-1)))))),"Yes - was already at "&amp;$AH406&amp;", now back at "&amp;$C406,"No"))</f>
        <v/>
      </c>
      <c r="AJ406" s="9">
        <f>IF($B406="","",IF(AND(T406&lt;&gt;"",N406&lt;&gt;"",T406&lt;N406),"QA target is before DB Dev target",IF(AND(T406&lt;&gt;"",Q406&lt;&gt;"",T406&lt;Q406),"QA target is before PBI Dev target",IF(AND(W406&lt;&gt;"",T406&lt;&gt;"",W406&lt;T406),"DPO Approval target is before QA target",IF(AND(Z406&lt;&gt;"",W406&lt;&gt;"",Z406&lt;W406),"Confirmed Deployed date is before DPO Approval target","")))))</f>
        <v/>
      </c>
      <c r="AK406" s="9">
        <f>IF($B406="","",IF(COUNTIF($B$2:$B$500,$B406)&gt;1,"Duplicate name - check row",""))</f>
        <v/>
      </c>
      <c r="AL406" s="1" t="n"/>
      <c r="AM406" s="9">
        <f>IF($B406="","",SUMPRODUCT(MAX(('Rework Log'!$A$3:$A$500=$B406)*ROW('Rework Log'!$A$3:$A$500))))</f>
        <v/>
      </c>
    </row>
    <row r="407">
      <c r="A407" s="1" t="n"/>
      <c r="B407" s="1" t="n"/>
      <c r="C407" s="1" t="n"/>
      <c r="D407" s="9">
        <f>IF($B407="","",IF(LEFT($AC407,3)="Yes","Blocked",IF(C407="NOT STARTED",IF(K407="","No plan date set",IF(K407&lt;TODAY(),"Review - planned start passed","On track")),IF(C407="DB Dev",IF(N407="","No target set",IF(AND(N407&lt;TODAY(),P407=""),"Overdue","On track")),IF(C407="PBI Dev",IF(Q407="","No target set",IF(AND(Q407&lt;TODAY(),S407=""),"Overdue","On track")),IF(C407="QA",IF(T407="","No target set",IF(AND(T407&lt;TODAY(),V407=""),"Overdue","On track")),IF(C407="DPO Approval",IF(W407="","No target set",IF(W407&lt;TODAY(),"Overdue","On track")),IF(C407="RELEASED IN PROD","Delivered",""))))))))</f>
        <v/>
      </c>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c r="AA407" s="1" t="n"/>
      <c r="AB407" s="1" t="n"/>
      <c r="AC407" s="1" t="n"/>
      <c r="AD407" s="9">
        <f>IF($B407="","",COUNTIF('Rework Log'!$A$3:$A$500,$B407))</f>
        <v/>
      </c>
      <c r="AE407" s="9">
        <f>IF(OR($B407="",$AM407=0),"",INDEX('Rework Log'!$C:$C,$AM407))</f>
        <v/>
      </c>
      <c r="AF407" s="9">
        <f>IF(OR($B407="",$AM407=0),"",INDEX('Rework Log'!$H:$H,$AM407))</f>
        <v/>
      </c>
      <c r="AG407" s="9">
        <f>IF(OR($B407="",$AM407=0),"",INDEX('Rework Log'!$G:$G,$AM407))</f>
        <v/>
      </c>
      <c r="AH407" s="9">
        <f>IF($B407="","",IF(W407&lt;&gt;"","DPO Approval",IF(T407&lt;&gt;"","QA",IF(Q407&lt;&gt;"","PBI Dev",IF(N407&lt;&gt;"","DB Dev","NOT STARTED")))))</f>
        <v/>
      </c>
      <c r="AI407" s="9">
        <f>IF($B407="","",IF(IF($C407="NOT STARTED",0,IF($C407="DB Dev",1,IF($C407="PBI Dev",2,IF($C407="QA",3,IF($C407="DPO Approval",4,IF($C407="RELEASED IN PROD",5,-1))))))&lt;IF($AH407="NOT STARTED",0,IF($AH407="DB Dev",1,IF($AH407="PBI Dev",2,IF($AH407="QA",3,IF($AH407="DPO Approval",4,IF($AH407="RELEASED IN PROD",5,-1)))))),"Yes - was already at "&amp;$AH407&amp;", now back at "&amp;$C407,"No"))</f>
        <v/>
      </c>
      <c r="AJ407" s="9">
        <f>IF($B407="","",IF(AND(T407&lt;&gt;"",N407&lt;&gt;"",T407&lt;N407),"QA target is before DB Dev target",IF(AND(T407&lt;&gt;"",Q407&lt;&gt;"",T407&lt;Q407),"QA target is before PBI Dev target",IF(AND(W407&lt;&gt;"",T407&lt;&gt;"",W407&lt;T407),"DPO Approval target is before QA target",IF(AND(Z407&lt;&gt;"",W407&lt;&gt;"",Z407&lt;W407),"Confirmed Deployed date is before DPO Approval target","")))))</f>
        <v/>
      </c>
      <c r="AK407" s="9">
        <f>IF($B407="","",IF(COUNTIF($B$2:$B$500,$B407)&gt;1,"Duplicate name - check row",""))</f>
        <v/>
      </c>
      <c r="AL407" s="1" t="n"/>
      <c r="AM407" s="9">
        <f>IF($B407="","",SUMPRODUCT(MAX(('Rework Log'!$A$3:$A$500=$B407)*ROW('Rework Log'!$A$3:$A$500))))</f>
        <v/>
      </c>
    </row>
    <row r="408">
      <c r="A408" s="1" t="n"/>
      <c r="B408" s="1" t="n"/>
      <c r="C408" s="1" t="n"/>
      <c r="D408" s="9">
        <f>IF($B408="","",IF(LEFT($AC408,3)="Yes","Blocked",IF(C408="NOT STARTED",IF(K408="","No plan date set",IF(K408&lt;TODAY(),"Review - planned start passed","On track")),IF(C408="DB Dev",IF(N408="","No target set",IF(AND(N408&lt;TODAY(),P408=""),"Overdue","On track")),IF(C408="PBI Dev",IF(Q408="","No target set",IF(AND(Q408&lt;TODAY(),S408=""),"Overdue","On track")),IF(C408="QA",IF(T408="","No target set",IF(AND(T408&lt;TODAY(),V408=""),"Overdue","On track")),IF(C408="DPO Approval",IF(W408="","No target set",IF(W408&lt;TODAY(),"Overdue","On track")),IF(C408="RELEASED IN PROD","Delivered",""))))))))</f>
        <v/>
      </c>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c r="AA408" s="1" t="n"/>
      <c r="AB408" s="1" t="n"/>
      <c r="AC408" s="1" t="n"/>
      <c r="AD408" s="9">
        <f>IF($B408="","",COUNTIF('Rework Log'!$A$3:$A$500,$B408))</f>
        <v/>
      </c>
      <c r="AE408" s="9">
        <f>IF(OR($B408="",$AM408=0),"",INDEX('Rework Log'!$C:$C,$AM408))</f>
        <v/>
      </c>
      <c r="AF408" s="9">
        <f>IF(OR($B408="",$AM408=0),"",INDEX('Rework Log'!$H:$H,$AM408))</f>
        <v/>
      </c>
      <c r="AG408" s="9">
        <f>IF(OR($B408="",$AM408=0),"",INDEX('Rework Log'!$G:$G,$AM408))</f>
        <v/>
      </c>
      <c r="AH408" s="9">
        <f>IF($B408="","",IF(W408&lt;&gt;"","DPO Approval",IF(T408&lt;&gt;"","QA",IF(Q408&lt;&gt;"","PBI Dev",IF(N408&lt;&gt;"","DB Dev","NOT STARTED")))))</f>
        <v/>
      </c>
      <c r="AI408" s="9">
        <f>IF($B408="","",IF(IF($C408="NOT STARTED",0,IF($C408="DB Dev",1,IF($C408="PBI Dev",2,IF($C408="QA",3,IF($C408="DPO Approval",4,IF($C408="RELEASED IN PROD",5,-1))))))&lt;IF($AH408="NOT STARTED",0,IF($AH408="DB Dev",1,IF($AH408="PBI Dev",2,IF($AH408="QA",3,IF($AH408="DPO Approval",4,IF($AH408="RELEASED IN PROD",5,-1)))))),"Yes - was already at "&amp;$AH408&amp;", now back at "&amp;$C408,"No"))</f>
        <v/>
      </c>
      <c r="AJ408" s="9">
        <f>IF($B408="","",IF(AND(T408&lt;&gt;"",N408&lt;&gt;"",T408&lt;N408),"QA target is before DB Dev target",IF(AND(T408&lt;&gt;"",Q408&lt;&gt;"",T408&lt;Q408),"QA target is before PBI Dev target",IF(AND(W408&lt;&gt;"",T408&lt;&gt;"",W408&lt;T408),"DPO Approval target is before QA target",IF(AND(Z408&lt;&gt;"",W408&lt;&gt;"",Z408&lt;W408),"Confirmed Deployed date is before DPO Approval target","")))))</f>
        <v/>
      </c>
      <c r="AK408" s="9">
        <f>IF($B408="","",IF(COUNTIF($B$2:$B$500,$B408)&gt;1,"Duplicate name - check row",""))</f>
        <v/>
      </c>
      <c r="AL408" s="1" t="n"/>
      <c r="AM408" s="9">
        <f>IF($B408="","",SUMPRODUCT(MAX(('Rework Log'!$A$3:$A$500=$B408)*ROW('Rework Log'!$A$3:$A$500))))</f>
        <v/>
      </c>
    </row>
    <row r="409">
      <c r="A409" s="1" t="n"/>
      <c r="B409" s="1" t="n"/>
      <c r="C409" s="1" t="n"/>
      <c r="D409" s="9">
        <f>IF($B409="","",IF(LEFT($AC409,3)="Yes","Blocked",IF(C409="NOT STARTED",IF(K409="","No plan date set",IF(K409&lt;TODAY(),"Review - planned start passed","On track")),IF(C409="DB Dev",IF(N409="","No target set",IF(AND(N409&lt;TODAY(),P409=""),"Overdue","On track")),IF(C409="PBI Dev",IF(Q409="","No target set",IF(AND(Q409&lt;TODAY(),S409=""),"Overdue","On track")),IF(C409="QA",IF(T409="","No target set",IF(AND(T409&lt;TODAY(),V409=""),"Overdue","On track")),IF(C409="DPO Approval",IF(W409="","No target set",IF(W409&lt;TODAY(),"Overdue","On track")),IF(C409="RELEASED IN PROD","Delivered",""))))))))</f>
        <v/>
      </c>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c r="AA409" s="1" t="n"/>
      <c r="AB409" s="1" t="n"/>
      <c r="AC409" s="1" t="n"/>
      <c r="AD409" s="9">
        <f>IF($B409="","",COUNTIF('Rework Log'!$A$3:$A$500,$B409))</f>
        <v/>
      </c>
      <c r="AE409" s="9">
        <f>IF(OR($B409="",$AM409=0),"",INDEX('Rework Log'!$C:$C,$AM409))</f>
        <v/>
      </c>
      <c r="AF409" s="9">
        <f>IF(OR($B409="",$AM409=0),"",INDEX('Rework Log'!$H:$H,$AM409))</f>
        <v/>
      </c>
      <c r="AG409" s="9">
        <f>IF(OR($B409="",$AM409=0),"",INDEX('Rework Log'!$G:$G,$AM409))</f>
        <v/>
      </c>
      <c r="AH409" s="9">
        <f>IF($B409="","",IF(W409&lt;&gt;"","DPO Approval",IF(T409&lt;&gt;"","QA",IF(Q409&lt;&gt;"","PBI Dev",IF(N409&lt;&gt;"","DB Dev","NOT STARTED")))))</f>
        <v/>
      </c>
      <c r="AI409" s="9">
        <f>IF($B409="","",IF(IF($C409="NOT STARTED",0,IF($C409="DB Dev",1,IF($C409="PBI Dev",2,IF($C409="QA",3,IF($C409="DPO Approval",4,IF($C409="RELEASED IN PROD",5,-1))))))&lt;IF($AH409="NOT STARTED",0,IF($AH409="DB Dev",1,IF($AH409="PBI Dev",2,IF($AH409="QA",3,IF($AH409="DPO Approval",4,IF($AH409="RELEASED IN PROD",5,-1)))))),"Yes - was already at "&amp;$AH409&amp;", now back at "&amp;$C409,"No"))</f>
        <v/>
      </c>
      <c r="AJ409" s="9">
        <f>IF($B409="","",IF(AND(T409&lt;&gt;"",N409&lt;&gt;"",T409&lt;N409),"QA target is before DB Dev target",IF(AND(T409&lt;&gt;"",Q409&lt;&gt;"",T409&lt;Q409),"QA target is before PBI Dev target",IF(AND(W409&lt;&gt;"",T409&lt;&gt;"",W409&lt;T409),"DPO Approval target is before QA target",IF(AND(Z409&lt;&gt;"",W409&lt;&gt;"",Z409&lt;W409),"Confirmed Deployed date is before DPO Approval target","")))))</f>
        <v/>
      </c>
      <c r="AK409" s="9">
        <f>IF($B409="","",IF(COUNTIF($B$2:$B$500,$B409)&gt;1,"Duplicate name - check row",""))</f>
        <v/>
      </c>
      <c r="AL409" s="1" t="n"/>
      <c r="AM409" s="9">
        <f>IF($B409="","",SUMPRODUCT(MAX(('Rework Log'!$A$3:$A$500=$B409)*ROW('Rework Log'!$A$3:$A$500))))</f>
        <v/>
      </c>
    </row>
    <row r="410">
      <c r="A410" s="1" t="n"/>
      <c r="B410" s="1" t="n"/>
      <c r="C410" s="1" t="n"/>
      <c r="D410" s="9">
        <f>IF($B410="","",IF(LEFT($AC410,3)="Yes","Blocked",IF(C410="NOT STARTED",IF(K410="","No plan date set",IF(K410&lt;TODAY(),"Review - planned start passed","On track")),IF(C410="DB Dev",IF(N410="","No target set",IF(AND(N410&lt;TODAY(),P410=""),"Overdue","On track")),IF(C410="PBI Dev",IF(Q410="","No target set",IF(AND(Q410&lt;TODAY(),S410=""),"Overdue","On track")),IF(C410="QA",IF(T410="","No target set",IF(AND(T410&lt;TODAY(),V410=""),"Overdue","On track")),IF(C410="DPO Approval",IF(W410="","No target set",IF(W410&lt;TODAY(),"Overdue","On track")),IF(C410="RELEASED IN PROD","Delivered",""))))))))</f>
        <v/>
      </c>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c r="AA410" s="1" t="n"/>
      <c r="AB410" s="1" t="n"/>
      <c r="AC410" s="1" t="n"/>
      <c r="AD410" s="9">
        <f>IF($B410="","",COUNTIF('Rework Log'!$A$3:$A$500,$B410))</f>
        <v/>
      </c>
      <c r="AE410" s="9">
        <f>IF(OR($B410="",$AM410=0),"",INDEX('Rework Log'!$C:$C,$AM410))</f>
        <v/>
      </c>
      <c r="AF410" s="9">
        <f>IF(OR($B410="",$AM410=0),"",INDEX('Rework Log'!$H:$H,$AM410))</f>
        <v/>
      </c>
      <c r="AG410" s="9">
        <f>IF(OR($B410="",$AM410=0),"",INDEX('Rework Log'!$G:$G,$AM410))</f>
        <v/>
      </c>
      <c r="AH410" s="9">
        <f>IF($B410="","",IF(W410&lt;&gt;"","DPO Approval",IF(T410&lt;&gt;"","QA",IF(Q410&lt;&gt;"","PBI Dev",IF(N410&lt;&gt;"","DB Dev","NOT STARTED")))))</f>
        <v/>
      </c>
      <c r="AI410" s="9">
        <f>IF($B410="","",IF(IF($C410="NOT STARTED",0,IF($C410="DB Dev",1,IF($C410="PBI Dev",2,IF($C410="QA",3,IF($C410="DPO Approval",4,IF($C410="RELEASED IN PROD",5,-1))))))&lt;IF($AH410="NOT STARTED",0,IF($AH410="DB Dev",1,IF($AH410="PBI Dev",2,IF($AH410="QA",3,IF($AH410="DPO Approval",4,IF($AH410="RELEASED IN PROD",5,-1)))))),"Yes - was already at "&amp;$AH410&amp;", now back at "&amp;$C410,"No"))</f>
        <v/>
      </c>
      <c r="AJ410" s="9">
        <f>IF($B410="","",IF(AND(T410&lt;&gt;"",N410&lt;&gt;"",T410&lt;N410),"QA target is before DB Dev target",IF(AND(T410&lt;&gt;"",Q410&lt;&gt;"",T410&lt;Q410),"QA target is before PBI Dev target",IF(AND(W410&lt;&gt;"",T410&lt;&gt;"",W410&lt;T410),"DPO Approval target is before QA target",IF(AND(Z410&lt;&gt;"",W410&lt;&gt;"",Z410&lt;W410),"Confirmed Deployed date is before DPO Approval target","")))))</f>
        <v/>
      </c>
      <c r="AK410" s="9">
        <f>IF($B410="","",IF(COUNTIF($B$2:$B$500,$B410)&gt;1,"Duplicate name - check row",""))</f>
        <v/>
      </c>
      <c r="AL410" s="1" t="n"/>
      <c r="AM410" s="9">
        <f>IF($B410="","",SUMPRODUCT(MAX(('Rework Log'!$A$3:$A$500=$B410)*ROW('Rework Log'!$A$3:$A$500))))</f>
        <v/>
      </c>
    </row>
    <row r="411">
      <c r="A411" s="1" t="n"/>
      <c r="B411" s="1" t="n"/>
      <c r="C411" s="1" t="n"/>
      <c r="D411" s="9">
        <f>IF($B411="","",IF(LEFT($AC411,3)="Yes","Blocked",IF(C411="NOT STARTED",IF(K411="","No plan date set",IF(K411&lt;TODAY(),"Review - planned start passed","On track")),IF(C411="DB Dev",IF(N411="","No target set",IF(AND(N411&lt;TODAY(),P411=""),"Overdue","On track")),IF(C411="PBI Dev",IF(Q411="","No target set",IF(AND(Q411&lt;TODAY(),S411=""),"Overdue","On track")),IF(C411="QA",IF(T411="","No target set",IF(AND(T411&lt;TODAY(),V411=""),"Overdue","On track")),IF(C411="DPO Approval",IF(W411="","No target set",IF(W411&lt;TODAY(),"Overdue","On track")),IF(C411="RELEASED IN PROD","Delivered",""))))))))</f>
        <v/>
      </c>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c r="AA411" s="1" t="n"/>
      <c r="AB411" s="1" t="n"/>
      <c r="AC411" s="1" t="n"/>
      <c r="AD411" s="9">
        <f>IF($B411="","",COUNTIF('Rework Log'!$A$3:$A$500,$B411))</f>
        <v/>
      </c>
      <c r="AE411" s="9">
        <f>IF(OR($B411="",$AM411=0),"",INDEX('Rework Log'!$C:$C,$AM411))</f>
        <v/>
      </c>
      <c r="AF411" s="9">
        <f>IF(OR($B411="",$AM411=0),"",INDEX('Rework Log'!$H:$H,$AM411))</f>
        <v/>
      </c>
      <c r="AG411" s="9">
        <f>IF(OR($B411="",$AM411=0),"",INDEX('Rework Log'!$G:$G,$AM411))</f>
        <v/>
      </c>
      <c r="AH411" s="9">
        <f>IF($B411="","",IF(W411&lt;&gt;"","DPO Approval",IF(T411&lt;&gt;"","QA",IF(Q411&lt;&gt;"","PBI Dev",IF(N411&lt;&gt;"","DB Dev","NOT STARTED")))))</f>
        <v/>
      </c>
      <c r="AI411" s="9">
        <f>IF($B411="","",IF(IF($C411="NOT STARTED",0,IF($C411="DB Dev",1,IF($C411="PBI Dev",2,IF($C411="QA",3,IF($C411="DPO Approval",4,IF($C411="RELEASED IN PROD",5,-1))))))&lt;IF($AH411="NOT STARTED",0,IF($AH411="DB Dev",1,IF($AH411="PBI Dev",2,IF($AH411="QA",3,IF($AH411="DPO Approval",4,IF($AH411="RELEASED IN PROD",5,-1)))))),"Yes - was already at "&amp;$AH411&amp;", now back at "&amp;$C411,"No"))</f>
        <v/>
      </c>
      <c r="AJ411" s="9">
        <f>IF($B411="","",IF(AND(T411&lt;&gt;"",N411&lt;&gt;"",T411&lt;N411),"QA target is before DB Dev target",IF(AND(T411&lt;&gt;"",Q411&lt;&gt;"",T411&lt;Q411),"QA target is before PBI Dev target",IF(AND(W411&lt;&gt;"",T411&lt;&gt;"",W411&lt;T411),"DPO Approval target is before QA target",IF(AND(Z411&lt;&gt;"",W411&lt;&gt;"",Z411&lt;W411),"Confirmed Deployed date is before DPO Approval target","")))))</f>
        <v/>
      </c>
      <c r="AK411" s="9">
        <f>IF($B411="","",IF(COUNTIF($B$2:$B$500,$B411)&gt;1,"Duplicate name - check row",""))</f>
        <v/>
      </c>
      <c r="AL411" s="1" t="n"/>
      <c r="AM411" s="9">
        <f>IF($B411="","",SUMPRODUCT(MAX(('Rework Log'!$A$3:$A$500=$B411)*ROW('Rework Log'!$A$3:$A$500))))</f>
        <v/>
      </c>
    </row>
    <row r="412">
      <c r="A412" s="1" t="n"/>
      <c r="B412" s="1" t="n"/>
      <c r="C412" s="1" t="n"/>
      <c r="D412" s="9">
        <f>IF($B412="","",IF(LEFT($AC412,3)="Yes","Blocked",IF(C412="NOT STARTED",IF(K412="","No plan date set",IF(K412&lt;TODAY(),"Review - planned start passed","On track")),IF(C412="DB Dev",IF(N412="","No target set",IF(AND(N412&lt;TODAY(),P412=""),"Overdue","On track")),IF(C412="PBI Dev",IF(Q412="","No target set",IF(AND(Q412&lt;TODAY(),S412=""),"Overdue","On track")),IF(C412="QA",IF(T412="","No target set",IF(AND(T412&lt;TODAY(),V412=""),"Overdue","On track")),IF(C412="DPO Approval",IF(W412="","No target set",IF(W412&lt;TODAY(),"Overdue","On track")),IF(C412="RELEASED IN PROD","Delivered",""))))))))</f>
        <v/>
      </c>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c r="AA412" s="1" t="n"/>
      <c r="AB412" s="1" t="n"/>
      <c r="AC412" s="1" t="n"/>
      <c r="AD412" s="9">
        <f>IF($B412="","",COUNTIF('Rework Log'!$A$3:$A$500,$B412))</f>
        <v/>
      </c>
      <c r="AE412" s="9">
        <f>IF(OR($B412="",$AM412=0),"",INDEX('Rework Log'!$C:$C,$AM412))</f>
        <v/>
      </c>
      <c r="AF412" s="9">
        <f>IF(OR($B412="",$AM412=0),"",INDEX('Rework Log'!$H:$H,$AM412))</f>
        <v/>
      </c>
      <c r="AG412" s="9">
        <f>IF(OR($B412="",$AM412=0),"",INDEX('Rework Log'!$G:$G,$AM412))</f>
        <v/>
      </c>
      <c r="AH412" s="9">
        <f>IF($B412="","",IF(W412&lt;&gt;"","DPO Approval",IF(T412&lt;&gt;"","QA",IF(Q412&lt;&gt;"","PBI Dev",IF(N412&lt;&gt;"","DB Dev","NOT STARTED")))))</f>
        <v/>
      </c>
      <c r="AI412" s="9">
        <f>IF($B412="","",IF(IF($C412="NOT STARTED",0,IF($C412="DB Dev",1,IF($C412="PBI Dev",2,IF($C412="QA",3,IF($C412="DPO Approval",4,IF($C412="RELEASED IN PROD",5,-1))))))&lt;IF($AH412="NOT STARTED",0,IF($AH412="DB Dev",1,IF($AH412="PBI Dev",2,IF($AH412="QA",3,IF($AH412="DPO Approval",4,IF($AH412="RELEASED IN PROD",5,-1)))))),"Yes - was already at "&amp;$AH412&amp;", now back at "&amp;$C412,"No"))</f>
        <v/>
      </c>
      <c r="AJ412" s="9">
        <f>IF($B412="","",IF(AND(T412&lt;&gt;"",N412&lt;&gt;"",T412&lt;N412),"QA target is before DB Dev target",IF(AND(T412&lt;&gt;"",Q412&lt;&gt;"",T412&lt;Q412),"QA target is before PBI Dev target",IF(AND(W412&lt;&gt;"",T412&lt;&gt;"",W412&lt;T412),"DPO Approval target is before QA target",IF(AND(Z412&lt;&gt;"",W412&lt;&gt;"",Z412&lt;W412),"Confirmed Deployed date is before DPO Approval target","")))))</f>
        <v/>
      </c>
      <c r="AK412" s="9">
        <f>IF($B412="","",IF(COUNTIF($B$2:$B$500,$B412)&gt;1,"Duplicate name - check row",""))</f>
        <v/>
      </c>
      <c r="AL412" s="1" t="n"/>
      <c r="AM412" s="9">
        <f>IF($B412="","",SUMPRODUCT(MAX(('Rework Log'!$A$3:$A$500=$B412)*ROW('Rework Log'!$A$3:$A$500))))</f>
        <v/>
      </c>
    </row>
    <row r="413">
      <c r="A413" s="1" t="n"/>
      <c r="B413" s="1" t="n"/>
      <c r="C413" s="1" t="n"/>
      <c r="D413" s="9">
        <f>IF($B413="","",IF(LEFT($AC413,3)="Yes","Blocked",IF(C413="NOT STARTED",IF(K413="","No plan date set",IF(K413&lt;TODAY(),"Review - planned start passed","On track")),IF(C413="DB Dev",IF(N413="","No target set",IF(AND(N413&lt;TODAY(),P413=""),"Overdue","On track")),IF(C413="PBI Dev",IF(Q413="","No target set",IF(AND(Q413&lt;TODAY(),S413=""),"Overdue","On track")),IF(C413="QA",IF(T413="","No target set",IF(AND(T413&lt;TODAY(),V413=""),"Overdue","On track")),IF(C413="DPO Approval",IF(W413="","No target set",IF(W413&lt;TODAY(),"Overdue","On track")),IF(C413="RELEASED IN PROD","Delivered",""))))))))</f>
        <v/>
      </c>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c r="AA413" s="1" t="n"/>
      <c r="AB413" s="1" t="n"/>
      <c r="AC413" s="1" t="n"/>
      <c r="AD413" s="9">
        <f>IF($B413="","",COUNTIF('Rework Log'!$A$3:$A$500,$B413))</f>
        <v/>
      </c>
      <c r="AE413" s="9">
        <f>IF(OR($B413="",$AM413=0),"",INDEX('Rework Log'!$C:$C,$AM413))</f>
        <v/>
      </c>
      <c r="AF413" s="9">
        <f>IF(OR($B413="",$AM413=0),"",INDEX('Rework Log'!$H:$H,$AM413))</f>
        <v/>
      </c>
      <c r="AG413" s="9">
        <f>IF(OR($B413="",$AM413=0),"",INDEX('Rework Log'!$G:$G,$AM413))</f>
        <v/>
      </c>
      <c r="AH413" s="9">
        <f>IF($B413="","",IF(W413&lt;&gt;"","DPO Approval",IF(T413&lt;&gt;"","QA",IF(Q413&lt;&gt;"","PBI Dev",IF(N413&lt;&gt;"","DB Dev","NOT STARTED")))))</f>
        <v/>
      </c>
      <c r="AI413" s="9">
        <f>IF($B413="","",IF(IF($C413="NOT STARTED",0,IF($C413="DB Dev",1,IF($C413="PBI Dev",2,IF($C413="QA",3,IF($C413="DPO Approval",4,IF($C413="RELEASED IN PROD",5,-1))))))&lt;IF($AH413="NOT STARTED",0,IF($AH413="DB Dev",1,IF($AH413="PBI Dev",2,IF($AH413="QA",3,IF($AH413="DPO Approval",4,IF($AH413="RELEASED IN PROD",5,-1)))))),"Yes - was already at "&amp;$AH413&amp;", now back at "&amp;$C413,"No"))</f>
        <v/>
      </c>
      <c r="AJ413" s="9">
        <f>IF($B413="","",IF(AND(T413&lt;&gt;"",N413&lt;&gt;"",T413&lt;N413),"QA target is before DB Dev target",IF(AND(T413&lt;&gt;"",Q413&lt;&gt;"",T413&lt;Q413),"QA target is before PBI Dev target",IF(AND(W413&lt;&gt;"",T413&lt;&gt;"",W413&lt;T413),"DPO Approval target is before QA target",IF(AND(Z413&lt;&gt;"",W413&lt;&gt;"",Z413&lt;W413),"Confirmed Deployed date is before DPO Approval target","")))))</f>
        <v/>
      </c>
      <c r="AK413" s="9">
        <f>IF($B413="","",IF(COUNTIF($B$2:$B$500,$B413)&gt;1,"Duplicate name - check row",""))</f>
        <v/>
      </c>
      <c r="AL413" s="1" t="n"/>
      <c r="AM413" s="9">
        <f>IF($B413="","",SUMPRODUCT(MAX(('Rework Log'!$A$3:$A$500=$B413)*ROW('Rework Log'!$A$3:$A$500))))</f>
        <v/>
      </c>
    </row>
    <row r="414">
      <c r="A414" s="1" t="n"/>
      <c r="B414" s="1" t="n"/>
      <c r="C414" s="1" t="n"/>
      <c r="D414" s="9">
        <f>IF($B414="","",IF(LEFT($AC414,3)="Yes","Blocked",IF(C414="NOT STARTED",IF(K414="","No plan date set",IF(K414&lt;TODAY(),"Review - planned start passed","On track")),IF(C414="DB Dev",IF(N414="","No target set",IF(AND(N414&lt;TODAY(),P414=""),"Overdue","On track")),IF(C414="PBI Dev",IF(Q414="","No target set",IF(AND(Q414&lt;TODAY(),S414=""),"Overdue","On track")),IF(C414="QA",IF(T414="","No target set",IF(AND(T414&lt;TODAY(),V414=""),"Overdue","On track")),IF(C414="DPO Approval",IF(W414="","No target set",IF(W414&lt;TODAY(),"Overdue","On track")),IF(C414="RELEASED IN PROD","Delivered",""))))))))</f>
        <v/>
      </c>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c r="AA414" s="1" t="n"/>
      <c r="AB414" s="1" t="n"/>
      <c r="AC414" s="1" t="n"/>
      <c r="AD414" s="9">
        <f>IF($B414="","",COUNTIF('Rework Log'!$A$3:$A$500,$B414))</f>
        <v/>
      </c>
      <c r="AE414" s="9">
        <f>IF(OR($B414="",$AM414=0),"",INDEX('Rework Log'!$C:$C,$AM414))</f>
        <v/>
      </c>
      <c r="AF414" s="9">
        <f>IF(OR($B414="",$AM414=0),"",INDEX('Rework Log'!$H:$H,$AM414))</f>
        <v/>
      </c>
      <c r="AG414" s="9">
        <f>IF(OR($B414="",$AM414=0),"",INDEX('Rework Log'!$G:$G,$AM414))</f>
        <v/>
      </c>
      <c r="AH414" s="9">
        <f>IF($B414="","",IF(W414&lt;&gt;"","DPO Approval",IF(T414&lt;&gt;"","QA",IF(Q414&lt;&gt;"","PBI Dev",IF(N414&lt;&gt;"","DB Dev","NOT STARTED")))))</f>
        <v/>
      </c>
      <c r="AI414" s="9">
        <f>IF($B414="","",IF(IF($C414="NOT STARTED",0,IF($C414="DB Dev",1,IF($C414="PBI Dev",2,IF($C414="QA",3,IF($C414="DPO Approval",4,IF($C414="RELEASED IN PROD",5,-1))))))&lt;IF($AH414="NOT STARTED",0,IF($AH414="DB Dev",1,IF($AH414="PBI Dev",2,IF($AH414="QA",3,IF($AH414="DPO Approval",4,IF($AH414="RELEASED IN PROD",5,-1)))))),"Yes - was already at "&amp;$AH414&amp;", now back at "&amp;$C414,"No"))</f>
        <v/>
      </c>
      <c r="AJ414" s="9">
        <f>IF($B414="","",IF(AND(T414&lt;&gt;"",N414&lt;&gt;"",T414&lt;N414),"QA target is before DB Dev target",IF(AND(T414&lt;&gt;"",Q414&lt;&gt;"",T414&lt;Q414),"QA target is before PBI Dev target",IF(AND(W414&lt;&gt;"",T414&lt;&gt;"",W414&lt;T414),"DPO Approval target is before QA target",IF(AND(Z414&lt;&gt;"",W414&lt;&gt;"",Z414&lt;W414),"Confirmed Deployed date is before DPO Approval target","")))))</f>
        <v/>
      </c>
      <c r="AK414" s="9">
        <f>IF($B414="","",IF(COUNTIF($B$2:$B$500,$B414)&gt;1,"Duplicate name - check row",""))</f>
        <v/>
      </c>
      <c r="AL414" s="1" t="n"/>
      <c r="AM414" s="9">
        <f>IF($B414="","",SUMPRODUCT(MAX(('Rework Log'!$A$3:$A$500=$B414)*ROW('Rework Log'!$A$3:$A$500))))</f>
        <v/>
      </c>
    </row>
    <row r="415">
      <c r="A415" s="1" t="n"/>
      <c r="B415" s="1" t="n"/>
      <c r="C415" s="1" t="n"/>
      <c r="D415" s="9">
        <f>IF($B415="","",IF(LEFT($AC415,3)="Yes","Blocked",IF(C415="NOT STARTED",IF(K415="","No plan date set",IF(K415&lt;TODAY(),"Review - planned start passed","On track")),IF(C415="DB Dev",IF(N415="","No target set",IF(AND(N415&lt;TODAY(),P415=""),"Overdue","On track")),IF(C415="PBI Dev",IF(Q415="","No target set",IF(AND(Q415&lt;TODAY(),S415=""),"Overdue","On track")),IF(C415="QA",IF(T415="","No target set",IF(AND(T415&lt;TODAY(),V415=""),"Overdue","On track")),IF(C415="DPO Approval",IF(W415="","No target set",IF(W415&lt;TODAY(),"Overdue","On track")),IF(C415="RELEASED IN PROD","Delivered",""))))))))</f>
        <v/>
      </c>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c r="AA415" s="1" t="n"/>
      <c r="AB415" s="1" t="n"/>
      <c r="AC415" s="1" t="n"/>
      <c r="AD415" s="9">
        <f>IF($B415="","",COUNTIF('Rework Log'!$A$3:$A$500,$B415))</f>
        <v/>
      </c>
      <c r="AE415" s="9">
        <f>IF(OR($B415="",$AM415=0),"",INDEX('Rework Log'!$C:$C,$AM415))</f>
        <v/>
      </c>
      <c r="AF415" s="9">
        <f>IF(OR($B415="",$AM415=0),"",INDEX('Rework Log'!$H:$H,$AM415))</f>
        <v/>
      </c>
      <c r="AG415" s="9">
        <f>IF(OR($B415="",$AM415=0),"",INDEX('Rework Log'!$G:$G,$AM415))</f>
        <v/>
      </c>
      <c r="AH415" s="9">
        <f>IF($B415="","",IF(W415&lt;&gt;"","DPO Approval",IF(T415&lt;&gt;"","QA",IF(Q415&lt;&gt;"","PBI Dev",IF(N415&lt;&gt;"","DB Dev","NOT STARTED")))))</f>
        <v/>
      </c>
      <c r="AI415" s="9">
        <f>IF($B415="","",IF(IF($C415="NOT STARTED",0,IF($C415="DB Dev",1,IF($C415="PBI Dev",2,IF($C415="QA",3,IF($C415="DPO Approval",4,IF($C415="RELEASED IN PROD",5,-1))))))&lt;IF($AH415="NOT STARTED",0,IF($AH415="DB Dev",1,IF($AH415="PBI Dev",2,IF($AH415="QA",3,IF($AH415="DPO Approval",4,IF($AH415="RELEASED IN PROD",5,-1)))))),"Yes - was already at "&amp;$AH415&amp;", now back at "&amp;$C415,"No"))</f>
        <v/>
      </c>
      <c r="AJ415" s="9">
        <f>IF($B415="","",IF(AND(T415&lt;&gt;"",N415&lt;&gt;"",T415&lt;N415),"QA target is before DB Dev target",IF(AND(T415&lt;&gt;"",Q415&lt;&gt;"",T415&lt;Q415),"QA target is before PBI Dev target",IF(AND(W415&lt;&gt;"",T415&lt;&gt;"",W415&lt;T415),"DPO Approval target is before QA target",IF(AND(Z415&lt;&gt;"",W415&lt;&gt;"",Z415&lt;W415),"Confirmed Deployed date is before DPO Approval target","")))))</f>
        <v/>
      </c>
      <c r="AK415" s="9">
        <f>IF($B415="","",IF(COUNTIF($B$2:$B$500,$B415)&gt;1,"Duplicate name - check row",""))</f>
        <v/>
      </c>
      <c r="AL415" s="1" t="n"/>
      <c r="AM415" s="9">
        <f>IF($B415="","",SUMPRODUCT(MAX(('Rework Log'!$A$3:$A$500=$B415)*ROW('Rework Log'!$A$3:$A$500))))</f>
        <v/>
      </c>
    </row>
    <row r="416">
      <c r="A416" s="1" t="n"/>
      <c r="B416" s="1" t="n"/>
      <c r="C416" s="1" t="n"/>
      <c r="D416" s="9">
        <f>IF($B416="","",IF(LEFT($AC416,3)="Yes","Blocked",IF(C416="NOT STARTED",IF(K416="","No plan date set",IF(K416&lt;TODAY(),"Review - planned start passed","On track")),IF(C416="DB Dev",IF(N416="","No target set",IF(AND(N416&lt;TODAY(),P416=""),"Overdue","On track")),IF(C416="PBI Dev",IF(Q416="","No target set",IF(AND(Q416&lt;TODAY(),S416=""),"Overdue","On track")),IF(C416="QA",IF(T416="","No target set",IF(AND(T416&lt;TODAY(),V416=""),"Overdue","On track")),IF(C416="DPO Approval",IF(W416="","No target set",IF(W416&lt;TODAY(),"Overdue","On track")),IF(C416="RELEASED IN PROD","Delivered",""))))))))</f>
        <v/>
      </c>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c r="AA416" s="1" t="n"/>
      <c r="AB416" s="1" t="n"/>
      <c r="AC416" s="1" t="n"/>
      <c r="AD416" s="9">
        <f>IF($B416="","",COUNTIF('Rework Log'!$A$3:$A$500,$B416))</f>
        <v/>
      </c>
      <c r="AE416" s="9">
        <f>IF(OR($B416="",$AM416=0),"",INDEX('Rework Log'!$C:$C,$AM416))</f>
        <v/>
      </c>
      <c r="AF416" s="9">
        <f>IF(OR($B416="",$AM416=0),"",INDEX('Rework Log'!$H:$H,$AM416))</f>
        <v/>
      </c>
      <c r="AG416" s="9">
        <f>IF(OR($B416="",$AM416=0),"",INDEX('Rework Log'!$G:$G,$AM416))</f>
        <v/>
      </c>
      <c r="AH416" s="9">
        <f>IF($B416="","",IF(W416&lt;&gt;"","DPO Approval",IF(T416&lt;&gt;"","QA",IF(Q416&lt;&gt;"","PBI Dev",IF(N416&lt;&gt;"","DB Dev","NOT STARTED")))))</f>
        <v/>
      </c>
      <c r="AI416" s="9">
        <f>IF($B416="","",IF(IF($C416="NOT STARTED",0,IF($C416="DB Dev",1,IF($C416="PBI Dev",2,IF($C416="QA",3,IF($C416="DPO Approval",4,IF($C416="RELEASED IN PROD",5,-1))))))&lt;IF($AH416="NOT STARTED",0,IF($AH416="DB Dev",1,IF($AH416="PBI Dev",2,IF($AH416="QA",3,IF($AH416="DPO Approval",4,IF($AH416="RELEASED IN PROD",5,-1)))))),"Yes - was already at "&amp;$AH416&amp;", now back at "&amp;$C416,"No"))</f>
        <v/>
      </c>
      <c r="AJ416" s="9">
        <f>IF($B416="","",IF(AND(T416&lt;&gt;"",N416&lt;&gt;"",T416&lt;N416),"QA target is before DB Dev target",IF(AND(T416&lt;&gt;"",Q416&lt;&gt;"",T416&lt;Q416),"QA target is before PBI Dev target",IF(AND(W416&lt;&gt;"",T416&lt;&gt;"",W416&lt;T416),"DPO Approval target is before QA target",IF(AND(Z416&lt;&gt;"",W416&lt;&gt;"",Z416&lt;W416),"Confirmed Deployed date is before DPO Approval target","")))))</f>
        <v/>
      </c>
      <c r="AK416" s="9">
        <f>IF($B416="","",IF(COUNTIF($B$2:$B$500,$B416)&gt;1,"Duplicate name - check row",""))</f>
        <v/>
      </c>
      <c r="AL416" s="1" t="n"/>
      <c r="AM416" s="9">
        <f>IF($B416="","",SUMPRODUCT(MAX(('Rework Log'!$A$3:$A$500=$B416)*ROW('Rework Log'!$A$3:$A$500))))</f>
        <v/>
      </c>
    </row>
    <row r="417">
      <c r="A417" s="1" t="n"/>
      <c r="B417" s="1" t="n"/>
      <c r="C417" s="1" t="n"/>
      <c r="D417" s="9">
        <f>IF($B417="","",IF(LEFT($AC417,3)="Yes","Blocked",IF(C417="NOT STARTED",IF(K417="","No plan date set",IF(K417&lt;TODAY(),"Review - planned start passed","On track")),IF(C417="DB Dev",IF(N417="","No target set",IF(AND(N417&lt;TODAY(),P417=""),"Overdue","On track")),IF(C417="PBI Dev",IF(Q417="","No target set",IF(AND(Q417&lt;TODAY(),S417=""),"Overdue","On track")),IF(C417="QA",IF(T417="","No target set",IF(AND(T417&lt;TODAY(),V417=""),"Overdue","On track")),IF(C417="DPO Approval",IF(W417="","No target set",IF(W417&lt;TODAY(),"Overdue","On track")),IF(C417="RELEASED IN PROD","Delivered",""))))))))</f>
        <v/>
      </c>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c r="AA417" s="1" t="n"/>
      <c r="AB417" s="1" t="n"/>
      <c r="AC417" s="1" t="n"/>
      <c r="AD417" s="9">
        <f>IF($B417="","",COUNTIF('Rework Log'!$A$3:$A$500,$B417))</f>
        <v/>
      </c>
      <c r="AE417" s="9">
        <f>IF(OR($B417="",$AM417=0),"",INDEX('Rework Log'!$C:$C,$AM417))</f>
        <v/>
      </c>
      <c r="AF417" s="9">
        <f>IF(OR($B417="",$AM417=0),"",INDEX('Rework Log'!$H:$H,$AM417))</f>
        <v/>
      </c>
      <c r="AG417" s="9">
        <f>IF(OR($B417="",$AM417=0),"",INDEX('Rework Log'!$G:$G,$AM417))</f>
        <v/>
      </c>
      <c r="AH417" s="9">
        <f>IF($B417="","",IF(W417&lt;&gt;"","DPO Approval",IF(T417&lt;&gt;"","QA",IF(Q417&lt;&gt;"","PBI Dev",IF(N417&lt;&gt;"","DB Dev","NOT STARTED")))))</f>
        <v/>
      </c>
      <c r="AI417" s="9">
        <f>IF($B417="","",IF(IF($C417="NOT STARTED",0,IF($C417="DB Dev",1,IF($C417="PBI Dev",2,IF($C417="QA",3,IF($C417="DPO Approval",4,IF($C417="RELEASED IN PROD",5,-1))))))&lt;IF($AH417="NOT STARTED",0,IF($AH417="DB Dev",1,IF($AH417="PBI Dev",2,IF($AH417="QA",3,IF($AH417="DPO Approval",4,IF($AH417="RELEASED IN PROD",5,-1)))))),"Yes - was already at "&amp;$AH417&amp;", now back at "&amp;$C417,"No"))</f>
        <v/>
      </c>
      <c r="AJ417" s="9">
        <f>IF($B417="","",IF(AND(T417&lt;&gt;"",N417&lt;&gt;"",T417&lt;N417),"QA target is before DB Dev target",IF(AND(T417&lt;&gt;"",Q417&lt;&gt;"",T417&lt;Q417),"QA target is before PBI Dev target",IF(AND(W417&lt;&gt;"",T417&lt;&gt;"",W417&lt;T417),"DPO Approval target is before QA target",IF(AND(Z417&lt;&gt;"",W417&lt;&gt;"",Z417&lt;W417),"Confirmed Deployed date is before DPO Approval target","")))))</f>
        <v/>
      </c>
      <c r="AK417" s="9">
        <f>IF($B417="","",IF(COUNTIF($B$2:$B$500,$B417)&gt;1,"Duplicate name - check row",""))</f>
        <v/>
      </c>
      <c r="AL417" s="1" t="n"/>
      <c r="AM417" s="9">
        <f>IF($B417="","",SUMPRODUCT(MAX(('Rework Log'!$A$3:$A$500=$B417)*ROW('Rework Log'!$A$3:$A$500))))</f>
        <v/>
      </c>
    </row>
    <row r="418">
      <c r="A418" s="1" t="n"/>
      <c r="B418" s="1" t="n"/>
      <c r="C418" s="1" t="n"/>
      <c r="D418" s="9">
        <f>IF($B418="","",IF(LEFT($AC418,3)="Yes","Blocked",IF(C418="NOT STARTED",IF(K418="","No plan date set",IF(K418&lt;TODAY(),"Review - planned start passed","On track")),IF(C418="DB Dev",IF(N418="","No target set",IF(AND(N418&lt;TODAY(),P418=""),"Overdue","On track")),IF(C418="PBI Dev",IF(Q418="","No target set",IF(AND(Q418&lt;TODAY(),S418=""),"Overdue","On track")),IF(C418="QA",IF(T418="","No target set",IF(AND(T418&lt;TODAY(),V418=""),"Overdue","On track")),IF(C418="DPO Approval",IF(W418="","No target set",IF(W418&lt;TODAY(),"Overdue","On track")),IF(C418="RELEASED IN PROD","Delivered",""))))))))</f>
        <v/>
      </c>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c r="AA418" s="1" t="n"/>
      <c r="AB418" s="1" t="n"/>
      <c r="AC418" s="1" t="n"/>
      <c r="AD418" s="9">
        <f>IF($B418="","",COUNTIF('Rework Log'!$A$3:$A$500,$B418))</f>
        <v/>
      </c>
      <c r="AE418" s="9">
        <f>IF(OR($B418="",$AM418=0),"",INDEX('Rework Log'!$C:$C,$AM418))</f>
        <v/>
      </c>
      <c r="AF418" s="9">
        <f>IF(OR($B418="",$AM418=0),"",INDEX('Rework Log'!$H:$H,$AM418))</f>
        <v/>
      </c>
      <c r="AG418" s="9">
        <f>IF(OR($B418="",$AM418=0),"",INDEX('Rework Log'!$G:$G,$AM418))</f>
        <v/>
      </c>
      <c r="AH418" s="9">
        <f>IF($B418="","",IF(W418&lt;&gt;"","DPO Approval",IF(T418&lt;&gt;"","QA",IF(Q418&lt;&gt;"","PBI Dev",IF(N418&lt;&gt;"","DB Dev","NOT STARTED")))))</f>
        <v/>
      </c>
      <c r="AI418" s="9">
        <f>IF($B418="","",IF(IF($C418="NOT STARTED",0,IF($C418="DB Dev",1,IF($C418="PBI Dev",2,IF($C418="QA",3,IF($C418="DPO Approval",4,IF($C418="RELEASED IN PROD",5,-1))))))&lt;IF($AH418="NOT STARTED",0,IF($AH418="DB Dev",1,IF($AH418="PBI Dev",2,IF($AH418="QA",3,IF($AH418="DPO Approval",4,IF($AH418="RELEASED IN PROD",5,-1)))))),"Yes - was already at "&amp;$AH418&amp;", now back at "&amp;$C418,"No"))</f>
        <v/>
      </c>
      <c r="AJ418" s="9">
        <f>IF($B418="","",IF(AND(T418&lt;&gt;"",N418&lt;&gt;"",T418&lt;N418),"QA target is before DB Dev target",IF(AND(T418&lt;&gt;"",Q418&lt;&gt;"",T418&lt;Q418),"QA target is before PBI Dev target",IF(AND(W418&lt;&gt;"",T418&lt;&gt;"",W418&lt;T418),"DPO Approval target is before QA target",IF(AND(Z418&lt;&gt;"",W418&lt;&gt;"",Z418&lt;W418),"Confirmed Deployed date is before DPO Approval target","")))))</f>
        <v/>
      </c>
      <c r="AK418" s="9">
        <f>IF($B418="","",IF(COUNTIF($B$2:$B$500,$B418)&gt;1,"Duplicate name - check row",""))</f>
        <v/>
      </c>
      <c r="AL418" s="1" t="n"/>
      <c r="AM418" s="9">
        <f>IF($B418="","",SUMPRODUCT(MAX(('Rework Log'!$A$3:$A$500=$B418)*ROW('Rework Log'!$A$3:$A$500))))</f>
        <v/>
      </c>
    </row>
    <row r="419">
      <c r="A419" s="1" t="n"/>
      <c r="B419" s="1" t="n"/>
      <c r="C419" s="1" t="n"/>
      <c r="D419" s="9">
        <f>IF($B419="","",IF(LEFT($AC419,3)="Yes","Blocked",IF(C419="NOT STARTED",IF(K419="","No plan date set",IF(K419&lt;TODAY(),"Review - planned start passed","On track")),IF(C419="DB Dev",IF(N419="","No target set",IF(AND(N419&lt;TODAY(),P419=""),"Overdue","On track")),IF(C419="PBI Dev",IF(Q419="","No target set",IF(AND(Q419&lt;TODAY(),S419=""),"Overdue","On track")),IF(C419="QA",IF(T419="","No target set",IF(AND(T419&lt;TODAY(),V419=""),"Overdue","On track")),IF(C419="DPO Approval",IF(W419="","No target set",IF(W419&lt;TODAY(),"Overdue","On track")),IF(C419="RELEASED IN PROD","Delivered",""))))))))</f>
        <v/>
      </c>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c r="AA419" s="1" t="n"/>
      <c r="AB419" s="1" t="n"/>
      <c r="AC419" s="1" t="n"/>
      <c r="AD419" s="9">
        <f>IF($B419="","",COUNTIF('Rework Log'!$A$3:$A$500,$B419))</f>
        <v/>
      </c>
      <c r="AE419" s="9">
        <f>IF(OR($B419="",$AM419=0),"",INDEX('Rework Log'!$C:$C,$AM419))</f>
        <v/>
      </c>
      <c r="AF419" s="9">
        <f>IF(OR($B419="",$AM419=0),"",INDEX('Rework Log'!$H:$H,$AM419))</f>
        <v/>
      </c>
      <c r="AG419" s="9">
        <f>IF(OR($B419="",$AM419=0),"",INDEX('Rework Log'!$G:$G,$AM419))</f>
        <v/>
      </c>
      <c r="AH419" s="9">
        <f>IF($B419="","",IF(W419&lt;&gt;"","DPO Approval",IF(T419&lt;&gt;"","QA",IF(Q419&lt;&gt;"","PBI Dev",IF(N419&lt;&gt;"","DB Dev","NOT STARTED")))))</f>
        <v/>
      </c>
      <c r="AI419" s="9">
        <f>IF($B419="","",IF(IF($C419="NOT STARTED",0,IF($C419="DB Dev",1,IF($C419="PBI Dev",2,IF($C419="QA",3,IF($C419="DPO Approval",4,IF($C419="RELEASED IN PROD",5,-1))))))&lt;IF($AH419="NOT STARTED",0,IF($AH419="DB Dev",1,IF($AH419="PBI Dev",2,IF($AH419="QA",3,IF($AH419="DPO Approval",4,IF($AH419="RELEASED IN PROD",5,-1)))))),"Yes - was already at "&amp;$AH419&amp;", now back at "&amp;$C419,"No"))</f>
        <v/>
      </c>
      <c r="AJ419" s="9">
        <f>IF($B419="","",IF(AND(T419&lt;&gt;"",N419&lt;&gt;"",T419&lt;N419),"QA target is before DB Dev target",IF(AND(T419&lt;&gt;"",Q419&lt;&gt;"",T419&lt;Q419),"QA target is before PBI Dev target",IF(AND(W419&lt;&gt;"",T419&lt;&gt;"",W419&lt;T419),"DPO Approval target is before QA target",IF(AND(Z419&lt;&gt;"",W419&lt;&gt;"",Z419&lt;W419),"Confirmed Deployed date is before DPO Approval target","")))))</f>
        <v/>
      </c>
      <c r="AK419" s="9">
        <f>IF($B419="","",IF(COUNTIF($B$2:$B$500,$B419)&gt;1,"Duplicate name - check row",""))</f>
        <v/>
      </c>
      <c r="AL419" s="1" t="n"/>
      <c r="AM419" s="9">
        <f>IF($B419="","",SUMPRODUCT(MAX(('Rework Log'!$A$3:$A$500=$B419)*ROW('Rework Log'!$A$3:$A$500))))</f>
        <v/>
      </c>
    </row>
    <row r="420">
      <c r="A420" s="1" t="n"/>
      <c r="B420" s="1" t="n"/>
      <c r="C420" s="1" t="n"/>
      <c r="D420" s="9">
        <f>IF($B420="","",IF(LEFT($AC420,3)="Yes","Blocked",IF(C420="NOT STARTED",IF(K420="","No plan date set",IF(K420&lt;TODAY(),"Review - planned start passed","On track")),IF(C420="DB Dev",IF(N420="","No target set",IF(AND(N420&lt;TODAY(),P420=""),"Overdue","On track")),IF(C420="PBI Dev",IF(Q420="","No target set",IF(AND(Q420&lt;TODAY(),S420=""),"Overdue","On track")),IF(C420="QA",IF(T420="","No target set",IF(AND(T420&lt;TODAY(),V420=""),"Overdue","On track")),IF(C420="DPO Approval",IF(W420="","No target set",IF(W420&lt;TODAY(),"Overdue","On track")),IF(C420="RELEASED IN PROD","Delivered",""))))))))</f>
        <v/>
      </c>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c r="AA420" s="1" t="n"/>
      <c r="AB420" s="1" t="n"/>
      <c r="AC420" s="1" t="n"/>
      <c r="AD420" s="9">
        <f>IF($B420="","",COUNTIF('Rework Log'!$A$3:$A$500,$B420))</f>
        <v/>
      </c>
      <c r="AE420" s="9">
        <f>IF(OR($B420="",$AM420=0),"",INDEX('Rework Log'!$C:$C,$AM420))</f>
        <v/>
      </c>
      <c r="AF420" s="9">
        <f>IF(OR($B420="",$AM420=0),"",INDEX('Rework Log'!$H:$H,$AM420))</f>
        <v/>
      </c>
      <c r="AG420" s="9">
        <f>IF(OR($B420="",$AM420=0),"",INDEX('Rework Log'!$G:$G,$AM420))</f>
        <v/>
      </c>
      <c r="AH420" s="9">
        <f>IF($B420="","",IF(W420&lt;&gt;"","DPO Approval",IF(T420&lt;&gt;"","QA",IF(Q420&lt;&gt;"","PBI Dev",IF(N420&lt;&gt;"","DB Dev","NOT STARTED")))))</f>
        <v/>
      </c>
      <c r="AI420" s="9">
        <f>IF($B420="","",IF(IF($C420="NOT STARTED",0,IF($C420="DB Dev",1,IF($C420="PBI Dev",2,IF($C420="QA",3,IF($C420="DPO Approval",4,IF($C420="RELEASED IN PROD",5,-1))))))&lt;IF($AH420="NOT STARTED",0,IF($AH420="DB Dev",1,IF($AH420="PBI Dev",2,IF($AH420="QA",3,IF($AH420="DPO Approval",4,IF($AH420="RELEASED IN PROD",5,-1)))))),"Yes - was already at "&amp;$AH420&amp;", now back at "&amp;$C420,"No"))</f>
        <v/>
      </c>
      <c r="AJ420" s="9">
        <f>IF($B420="","",IF(AND(T420&lt;&gt;"",N420&lt;&gt;"",T420&lt;N420),"QA target is before DB Dev target",IF(AND(T420&lt;&gt;"",Q420&lt;&gt;"",T420&lt;Q420),"QA target is before PBI Dev target",IF(AND(W420&lt;&gt;"",T420&lt;&gt;"",W420&lt;T420),"DPO Approval target is before QA target",IF(AND(Z420&lt;&gt;"",W420&lt;&gt;"",Z420&lt;W420),"Confirmed Deployed date is before DPO Approval target","")))))</f>
        <v/>
      </c>
      <c r="AK420" s="9">
        <f>IF($B420="","",IF(COUNTIF($B$2:$B$500,$B420)&gt;1,"Duplicate name - check row",""))</f>
        <v/>
      </c>
      <c r="AL420" s="1" t="n"/>
      <c r="AM420" s="9">
        <f>IF($B420="","",SUMPRODUCT(MAX(('Rework Log'!$A$3:$A$500=$B420)*ROW('Rework Log'!$A$3:$A$500))))</f>
        <v/>
      </c>
    </row>
    <row r="421">
      <c r="A421" s="1" t="n"/>
      <c r="B421" s="1" t="n"/>
      <c r="C421" s="1" t="n"/>
      <c r="D421" s="9">
        <f>IF($B421="","",IF(LEFT($AC421,3)="Yes","Blocked",IF(C421="NOT STARTED",IF(K421="","No plan date set",IF(K421&lt;TODAY(),"Review - planned start passed","On track")),IF(C421="DB Dev",IF(N421="","No target set",IF(AND(N421&lt;TODAY(),P421=""),"Overdue","On track")),IF(C421="PBI Dev",IF(Q421="","No target set",IF(AND(Q421&lt;TODAY(),S421=""),"Overdue","On track")),IF(C421="QA",IF(T421="","No target set",IF(AND(T421&lt;TODAY(),V421=""),"Overdue","On track")),IF(C421="DPO Approval",IF(W421="","No target set",IF(W421&lt;TODAY(),"Overdue","On track")),IF(C421="RELEASED IN PROD","Delivered",""))))))))</f>
        <v/>
      </c>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c r="AA421" s="1" t="n"/>
      <c r="AB421" s="1" t="n"/>
      <c r="AC421" s="1" t="n"/>
      <c r="AD421" s="9">
        <f>IF($B421="","",COUNTIF('Rework Log'!$A$3:$A$500,$B421))</f>
        <v/>
      </c>
      <c r="AE421" s="9">
        <f>IF(OR($B421="",$AM421=0),"",INDEX('Rework Log'!$C:$C,$AM421))</f>
        <v/>
      </c>
      <c r="AF421" s="9">
        <f>IF(OR($B421="",$AM421=0),"",INDEX('Rework Log'!$H:$H,$AM421))</f>
        <v/>
      </c>
      <c r="AG421" s="9">
        <f>IF(OR($B421="",$AM421=0),"",INDEX('Rework Log'!$G:$G,$AM421))</f>
        <v/>
      </c>
      <c r="AH421" s="9">
        <f>IF($B421="","",IF(W421&lt;&gt;"","DPO Approval",IF(T421&lt;&gt;"","QA",IF(Q421&lt;&gt;"","PBI Dev",IF(N421&lt;&gt;"","DB Dev","NOT STARTED")))))</f>
        <v/>
      </c>
      <c r="AI421" s="9">
        <f>IF($B421="","",IF(IF($C421="NOT STARTED",0,IF($C421="DB Dev",1,IF($C421="PBI Dev",2,IF($C421="QA",3,IF($C421="DPO Approval",4,IF($C421="RELEASED IN PROD",5,-1))))))&lt;IF($AH421="NOT STARTED",0,IF($AH421="DB Dev",1,IF($AH421="PBI Dev",2,IF($AH421="QA",3,IF($AH421="DPO Approval",4,IF($AH421="RELEASED IN PROD",5,-1)))))),"Yes - was already at "&amp;$AH421&amp;", now back at "&amp;$C421,"No"))</f>
        <v/>
      </c>
      <c r="AJ421" s="9">
        <f>IF($B421="","",IF(AND(T421&lt;&gt;"",N421&lt;&gt;"",T421&lt;N421),"QA target is before DB Dev target",IF(AND(T421&lt;&gt;"",Q421&lt;&gt;"",T421&lt;Q421),"QA target is before PBI Dev target",IF(AND(W421&lt;&gt;"",T421&lt;&gt;"",W421&lt;T421),"DPO Approval target is before QA target",IF(AND(Z421&lt;&gt;"",W421&lt;&gt;"",Z421&lt;W421),"Confirmed Deployed date is before DPO Approval target","")))))</f>
        <v/>
      </c>
      <c r="AK421" s="9">
        <f>IF($B421="","",IF(COUNTIF($B$2:$B$500,$B421)&gt;1,"Duplicate name - check row",""))</f>
        <v/>
      </c>
      <c r="AL421" s="1" t="n"/>
      <c r="AM421" s="9">
        <f>IF($B421="","",SUMPRODUCT(MAX(('Rework Log'!$A$3:$A$500=$B421)*ROW('Rework Log'!$A$3:$A$500))))</f>
        <v/>
      </c>
    </row>
    <row r="422">
      <c r="A422" s="1" t="n"/>
      <c r="B422" s="1" t="n"/>
      <c r="C422" s="1" t="n"/>
      <c r="D422" s="9">
        <f>IF($B422="","",IF(LEFT($AC422,3)="Yes","Blocked",IF(C422="NOT STARTED",IF(K422="","No plan date set",IF(K422&lt;TODAY(),"Review - planned start passed","On track")),IF(C422="DB Dev",IF(N422="","No target set",IF(AND(N422&lt;TODAY(),P422=""),"Overdue","On track")),IF(C422="PBI Dev",IF(Q422="","No target set",IF(AND(Q422&lt;TODAY(),S422=""),"Overdue","On track")),IF(C422="QA",IF(T422="","No target set",IF(AND(T422&lt;TODAY(),V422=""),"Overdue","On track")),IF(C422="DPO Approval",IF(W422="","No target set",IF(W422&lt;TODAY(),"Overdue","On track")),IF(C422="RELEASED IN PROD","Delivered",""))))))))</f>
        <v/>
      </c>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c r="AA422" s="1" t="n"/>
      <c r="AB422" s="1" t="n"/>
      <c r="AC422" s="1" t="n"/>
      <c r="AD422" s="9">
        <f>IF($B422="","",COUNTIF('Rework Log'!$A$3:$A$500,$B422))</f>
        <v/>
      </c>
      <c r="AE422" s="9">
        <f>IF(OR($B422="",$AM422=0),"",INDEX('Rework Log'!$C:$C,$AM422))</f>
        <v/>
      </c>
      <c r="AF422" s="9">
        <f>IF(OR($B422="",$AM422=0),"",INDEX('Rework Log'!$H:$H,$AM422))</f>
        <v/>
      </c>
      <c r="AG422" s="9">
        <f>IF(OR($B422="",$AM422=0),"",INDEX('Rework Log'!$G:$G,$AM422))</f>
        <v/>
      </c>
      <c r="AH422" s="9">
        <f>IF($B422="","",IF(W422&lt;&gt;"","DPO Approval",IF(T422&lt;&gt;"","QA",IF(Q422&lt;&gt;"","PBI Dev",IF(N422&lt;&gt;"","DB Dev","NOT STARTED")))))</f>
        <v/>
      </c>
      <c r="AI422" s="9">
        <f>IF($B422="","",IF(IF($C422="NOT STARTED",0,IF($C422="DB Dev",1,IF($C422="PBI Dev",2,IF($C422="QA",3,IF($C422="DPO Approval",4,IF($C422="RELEASED IN PROD",5,-1))))))&lt;IF($AH422="NOT STARTED",0,IF($AH422="DB Dev",1,IF($AH422="PBI Dev",2,IF($AH422="QA",3,IF($AH422="DPO Approval",4,IF($AH422="RELEASED IN PROD",5,-1)))))),"Yes - was already at "&amp;$AH422&amp;", now back at "&amp;$C422,"No"))</f>
        <v/>
      </c>
      <c r="AJ422" s="9">
        <f>IF($B422="","",IF(AND(T422&lt;&gt;"",N422&lt;&gt;"",T422&lt;N422),"QA target is before DB Dev target",IF(AND(T422&lt;&gt;"",Q422&lt;&gt;"",T422&lt;Q422),"QA target is before PBI Dev target",IF(AND(W422&lt;&gt;"",T422&lt;&gt;"",W422&lt;T422),"DPO Approval target is before QA target",IF(AND(Z422&lt;&gt;"",W422&lt;&gt;"",Z422&lt;W422),"Confirmed Deployed date is before DPO Approval target","")))))</f>
        <v/>
      </c>
      <c r="AK422" s="9">
        <f>IF($B422="","",IF(COUNTIF($B$2:$B$500,$B422)&gt;1,"Duplicate name - check row",""))</f>
        <v/>
      </c>
      <c r="AL422" s="1" t="n"/>
      <c r="AM422" s="9">
        <f>IF($B422="","",SUMPRODUCT(MAX(('Rework Log'!$A$3:$A$500=$B422)*ROW('Rework Log'!$A$3:$A$500))))</f>
        <v/>
      </c>
    </row>
    <row r="423">
      <c r="A423" s="1" t="n"/>
      <c r="B423" s="1" t="n"/>
      <c r="C423" s="1" t="n"/>
      <c r="D423" s="9">
        <f>IF($B423="","",IF(LEFT($AC423,3)="Yes","Blocked",IF(C423="NOT STARTED",IF(K423="","No plan date set",IF(K423&lt;TODAY(),"Review - planned start passed","On track")),IF(C423="DB Dev",IF(N423="","No target set",IF(AND(N423&lt;TODAY(),P423=""),"Overdue","On track")),IF(C423="PBI Dev",IF(Q423="","No target set",IF(AND(Q423&lt;TODAY(),S423=""),"Overdue","On track")),IF(C423="QA",IF(T423="","No target set",IF(AND(T423&lt;TODAY(),V423=""),"Overdue","On track")),IF(C423="DPO Approval",IF(W423="","No target set",IF(W423&lt;TODAY(),"Overdue","On track")),IF(C423="RELEASED IN PROD","Delivered",""))))))))</f>
        <v/>
      </c>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c r="AA423" s="1" t="n"/>
      <c r="AB423" s="1" t="n"/>
      <c r="AC423" s="1" t="n"/>
      <c r="AD423" s="9">
        <f>IF($B423="","",COUNTIF('Rework Log'!$A$3:$A$500,$B423))</f>
        <v/>
      </c>
      <c r="AE423" s="9">
        <f>IF(OR($B423="",$AM423=0),"",INDEX('Rework Log'!$C:$C,$AM423))</f>
        <v/>
      </c>
      <c r="AF423" s="9">
        <f>IF(OR($B423="",$AM423=0),"",INDEX('Rework Log'!$H:$H,$AM423))</f>
        <v/>
      </c>
      <c r="AG423" s="9">
        <f>IF(OR($B423="",$AM423=0),"",INDEX('Rework Log'!$G:$G,$AM423))</f>
        <v/>
      </c>
      <c r="AH423" s="9">
        <f>IF($B423="","",IF(W423&lt;&gt;"","DPO Approval",IF(T423&lt;&gt;"","QA",IF(Q423&lt;&gt;"","PBI Dev",IF(N423&lt;&gt;"","DB Dev","NOT STARTED")))))</f>
        <v/>
      </c>
      <c r="AI423" s="9">
        <f>IF($B423="","",IF(IF($C423="NOT STARTED",0,IF($C423="DB Dev",1,IF($C423="PBI Dev",2,IF($C423="QA",3,IF($C423="DPO Approval",4,IF($C423="RELEASED IN PROD",5,-1))))))&lt;IF($AH423="NOT STARTED",0,IF($AH423="DB Dev",1,IF($AH423="PBI Dev",2,IF($AH423="QA",3,IF($AH423="DPO Approval",4,IF($AH423="RELEASED IN PROD",5,-1)))))),"Yes - was already at "&amp;$AH423&amp;", now back at "&amp;$C423,"No"))</f>
        <v/>
      </c>
      <c r="AJ423" s="9">
        <f>IF($B423="","",IF(AND(T423&lt;&gt;"",N423&lt;&gt;"",T423&lt;N423),"QA target is before DB Dev target",IF(AND(T423&lt;&gt;"",Q423&lt;&gt;"",T423&lt;Q423),"QA target is before PBI Dev target",IF(AND(W423&lt;&gt;"",T423&lt;&gt;"",W423&lt;T423),"DPO Approval target is before QA target",IF(AND(Z423&lt;&gt;"",W423&lt;&gt;"",Z423&lt;W423),"Confirmed Deployed date is before DPO Approval target","")))))</f>
        <v/>
      </c>
      <c r="AK423" s="9">
        <f>IF($B423="","",IF(COUNTIF($B$2:$B$500,$B423)&gt;1,"Duplicate name - check row",""))</f>
        <v/>
      </c>
      <c r="AL423" s="1" t="n"/>
      <c r="AM423" s="9">
        <f>IF($B423="","",SUMPRODUCT(MAX(('Rework Log'!$A$3:$A$500=$B423)*ROW('Rework Log'!$A$3:$A$500))))</f>
        <v/>
      </c>
    </row>
    <row r="424">
      <c r="A424" s="1" t="n"/>
      <c r="B424" s="1" t="n"/>
      <c r="C424" s="1" t="n"/>
      <c r="D424" s="9">
        <f>IF($B424="","",IF(LEFT($AC424,3)="Yes","Blocked",IF(C424="NOT STARTED",IF(K424="","No plan date set",IF(K424&lt;TODAY(),"Review - planned start passed","On track")),IF(C424="DB Dev",IF(N424="","No target set",IF(AND(N424&lt;TODAY(),P424=""),"Overdue","On track")),IF(C424="PBI Dev",IF(Q424="","No target set",IF(AND(Q424&lt;TODAY(),S424=""),"Overdue","On track")),IF(C424="QA",IF(T424="","No target set",IF(AND(T424&lt;TODAY(),V424=""),"Overdue","On track")),IF(C424="DPO Approval",IF(W424="","No target set",IF(W424&lt;TODAY(),"Overdue","On track")),IF(C424="RELEASED IN PROD","Delivered",""))))))))</f>
        <v/>
      </c>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c r="AA424" s="1" t="n"/>
      <c r="AB424" s="1" t="n"/>
      <c r="AC424" s="1" t="n"/>
      <c r="AD424" s="9">
        <f>IF($B424="","",COUNTIF('Rework Log'!$A$3:$A$500,$B424))</f>
        <v/>
      </c>
      <c r="AE424" s="9">
        <f>IF(OR($B424="",$AM424=0),"",INDEX('Rework Log'!$C:$C,$AM424))</f>
        <v/>
      </c>
      <c r="AF424" s="9">
        <f>IF(OR($B424="",$AM424=0),"",INDEX('Rework Log'!$H:$H,$AM424))</f>
        <v/>
      </c>
      <c r="AG424" s="9">
        <f>IF(OR($B424="",$AM424=0),"",INDEX('Rework Log'!$G:$G,$AM424))</f>
        <v/>
      </c>
      <c r="AH424" s="9">
        <f>IF($B424="","",IF(W424&lt;&gt;"","DPO Approval",IF(T424&lt;&gt;"","QA",IF(Q424&lt;&gt;"","PBI Dev",IF(N424&lt;&gt;"","DB Dev","NOT STARTED")))))</f>
        <v/>
      </c>
      <c r="AI424" s="9">
        <f>IF($B424="","",IF(IF($C424="NOT STARTED",0,IF($C424="DB Dev",1,IF($C424="PBI Dev",2,IF($C424="QA",3,IF($C424="DPO Approval",4,IF($C424="RELEASED IN PROD",5,-1))))))&lt;IF($AH424="NOT STARTED",0,IF($AH424="DB Dev",1,IF($AH424="PBI Dev",2,IF($AH424="QA",3,IF($AH424="DPO Approval",4,IF($AH424="RELEASED IN PROD",5,-1)))))),"Yes - was already at "&amp;$AH424&amp;", now back at "&amp;$C424,"No"))</f>
        <v/>
      </c>
      <c r="AJ424" s="9">
        <f>IF($B424="","",IF(AND(T424&lt;&gt;"",N424&lt;&gt;"",T424&lt;N424),"QA target is before DB Dev target",IF(AND(T424&lt;&gt;"",Q424&lt;&gt;"",T424&lt;Q424),"QA target is before PBI Dev target",IF(AND(W424&lt;&gt;"",T424&lt;&gt;"",W424&lt;T424),"DPO Approval target is before QA target",IF(AND(Z424&lt;&gt;"",W424&lt;&gt;"",Z424&lt;W424),"Confirmed Deployed date is before DPO Approval target","")))))</f>
        <v/>
      </c>
      <c r="AK424" s="9">
        <f>IF($B424="","",IF(COUNTIF($B$2:$B$500,$B424)&gt;1,"Duplicate name - check row",""))</f>
        <v/>
      </c>
      <c r="AL424" s="1" t="n"/>
      <c r="AM424" s="9">
        <f>IF($B424="","",SUMPRODUCT(MAX(('Rework Log'!$A$3:$A$500=$B424)*ROW('Rework Log'!$A$3:$A$500))))</f>
        <v/>
      </c>
    </row>
    <row r="425">
      <c r="A425" s="1" t="n"/>
      <c r="B425" s="1" t="n"/>
      <c r="C425" s="1" t="n"/>
      <c r="D425" s="9">
        <f>IF($B425="","",IF(LEFT($AC425,3)="Yes","Blocked",IF(C425="NOT STARTED",IF(K425="","No plan date set",IF(K425&lt;TODAY(),"Review - planned start passed","On track")),IF(C425="DB Dev",IF(N425="","No target set",IF(AND(N425&lt;TODAY(),P425=""),"Overdue","On track")),IF(C425="PBI Dev",IF(Q425="","No target set",IF(AND(Q425&lt;TODAY(),S425=""),"Overdue","On track")),IF(C425="QA",IF(T425="","No target set",IF(AND(T425&lt;TODAY(),V425=""),"Overdue","On track")),IF(C425="DPO Approval",IF(W425="","No target set",IF(W425&lt;TODAY(),"Overdue","On track")),IF(C425="RELEASED IN PROD","Delivered",""))))))))</f>
        <v/>
      </c>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c r="AA425" s="1" t="n"/>
      <c r="AB425" s="1" t="n"/>
      <c r="AC425" s="1" t="n"/>
      <c r="AD425" s="9">
        <f>IF($B425="","",COUNTIF('Rework Log'!$A$3:$A$500,$B425))</f>
        <v/>
      </c>
      <c r="AE425" s="9">
        <f>IF(OR($B425="",$AM425=0),"",INDEX('Rework Log'!$C:$C,$AM425))</f>
        <v/>
      </c>
      <c r="AF425" s="9">
        <f>IF(OR($B425="",$AM425=0),"",INDEX('Rework Log'!$H:$H,$AM425))</f>
        <v/>
      </c>
      <c r="AG425" s="9">
        <f>IF(OR($B425="",$AM425=0),"",INDEX('Rework Log'!$G:$G,$AM425))</f>
        <v/>
      </c>
      <c r="AH425" s="9">
        <f>IF($B425="","",IF(W425&lt;&gt;"","DPO Approval",IF(T425&lt;&gt;"","QA",IF(Q425&lt;&gt;"","PBI Dev",IF(N425&lt;&gt;"","DB Dev","NOT STARTED")))))</f>
        <v/>
      </c>
      <c r="AI425" s="9">
        <f>IF($B425="","",IF(IF($C425="NOT STARTED",0,IF($C425="DB Dev",1,IF($C425="PBI Dev",2,IF($C425="QA",3,IF($C425="DPO Approval",4,IF($C425="RELEASED IN PROD",5,-1))))))&lt;IF($AH425="NOT STARTED",0,IF($AH425="DB Dev",1,IF($AH425="PBI Dev",2,IF($AH425="QA",3,IF($AH425="DPO Approval",4,IF($AH425="RELEASED IN PROD",5,-1)))))),"Yes - was already at "&amp;$AH425&amp;", now back at "&amp;$C425,"No"))</f>
        <v/>
      </c>
      <c r="AJ425" s="9">
        <f>IF($B425="","",IF(AND(T425&lt;&gt;"",N425&lt;&gt;"",T425&lt;N425),"QA target is before DB Dev target",IF(AND(T425&lt;&gt;"",Q425&lt;&gt;"",T425&lt;Q425),"QA target is before PBI Dev target",IF(AND(W425&lt;&gt;"",T425&lt;&gt;"",W425&lt;T425),"DPO Approval target is before QA target",IF(AND(Z425&lt;&gt;"",W425&lt;&gt;"",Z425&lt;W425),"Confirmed Deployed date is before DPO Approval target","")))))</f>
        <v/>
      </c>
      <c r="AK425" s="9">
        <f>IF($B425="","",IF(COUNTIF($B$2:$B$500,$B425)&gt;1,"Duplicate name - check row",""))</f>
        <v/>
      </c>
      <c r="AL425" s="1" t="n"/>
      <c r="AM425" s="9">
        <f>IF($B425="","",SUMPRODUCT(MAX(('Rework Log'!$A$3:$A$500=$B425)*ROW('Rework Log'!$A$3:$A$500))))</f>
        <v/>
      </c>
    </row>
    <row r="426">
      <c r="A426" s="1" t="n"/>
      <c r="B426" s="1" t="n"/>
      <c r="C426" s="1" t="n"/>
      <c r="D426" s="9">
        <f>IF($B426="","",IF(LEFT($AC426,3)="Yes","Blocked",IF(C426="NOT STARTED",IF(K426="","No plan date set",IF(K426&lt;TODAY(),"Review - planned start passed","On track")),IF(C426="DB Dev",IF(N426="","No target set",IF(AND(N426&lt;TODAY(),P426=""),"Overdue","On track")),IF(C426="PBI Dev",IF(Q426="","No target set",IF(AND(Q426&lt;TODAY(),S426=""),"Overdue","On track")),IF(C426="QA",IF(T426="","No target set",IF(AND(T426&lt;TODAY(),V426=""),"Overdue","On track")),IF(C426="DPO Approval",IF(W426="","No target set",IF(W426&lt;TODAY(),"Overdue","On track")),IF(C426="RELEASED IN PROD","Delivered",""))))))))</f>
        <v/>
      </c>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c r="AA426" s="1" t="n"/>
      <c r="AB426" s="1" t="n"/>
      <c r="AC426" s="1" t="n"/>
      <c r="AD426" s="9">
        <f>IF($B426="","",COUNTIF('Rework Log'!$A$3:$A$500,$B426))</f>
        <v/>
      </c>
      <c r="AE426" s="9">
        <f>IF(OR($B426="",$AM426=0),"",INDEX('Rework Log'!$C:$C,$AM426))</f>
        <v/>
      </c>
      <c r="AF426" s="9">
        <f>IF(OR($B426="",$AM426=0),"",INDEX('Rework Log'!$H:$H,$AM426))</f>
        <v/>
      </c>
      <c r="AG426" s="9">
        <f>IF(OR($B426="",$AM426=0),"",INDEX('Rework Log'!$G:$G,$AM426))</f>
        <v/>
      </c>
      <c r="AH426" s="9">
        <f>IF($B426="","",IF(W426&lt;&gt;"","DPO Approval",IF(T426&lt;&gt;"","QA",IF(Q426&lt;&gt;"","PBI Dev",IF(N426&lt;&gt;"","DB Dev","NOT STARTED")))))</f>
        <v/>
      </c>
      <c r="AI426" s="9">
        <f>IF($B426="","",IF(IF($C426="NOT STARTED",0,IF($C426="DB Dev",1,IF($C426="PBI Dev",2,IF($C426="QA",3,IF($C426="DPO Approval",4,IF($C426="RELEASED IN PROD",5,-1))))))&lt;IF($AH426="NOT STARTED",0,IF($AH426="DB Dev",1,IF($AH426="PBI Dev",2,IF($AH426="QA",3,IF($AH426="DPO Approval",4,IF($AH426="RELEASED IN PROD",5,-1)))))),"Yes - was already at "&amp;$AH426&amp;", now back at "&amp;$C426,"No"))</f>
        <v/>
      </c>
      <c r="AJ426" s="9">
        <f>IF($B426="","",IF(AND(T426&lt;&gt;"",N426&lt;&gt;"",T426&lt;N426),"QA target is before DB Dev target",IF(AND(T426&lt;&gt;"",Q426&lt;&gt;"",T426&lt;Q426),"QA target is before PBI Dev target",IF(AND(W426&lt;&gt;"",T426&lt;&gt;"",W426&lt;T426),"DPO Approval target is before QA target",IF(AND(Z426&lt;&gt;"",W426&lt;&gt;"",Z426&lt;W426),"Confirmed Deployed date is before DPO Approval target","")))))</f>
        <v/>
      </c>
      <c r="AK426" s="9">
        <f>IF($B426="","",IF(COUNTIF($B$2:$B$500,$B426)&gt;1,"Duplicate name - check row",""))</f>
        <v/>
      </c>
      <c r="AL426" s="1" t="n"/>
      <c r="AM426" s="9">
        <f>IF($B426="","",SUMPRODUCT(MAX(('Rework Log'!$A$3:$A$500=$B426)*ROW('Rework Log'!$A$3:$A$500))))</f>
        <v/>
      </c>
    </row>
    <row r="427">
      <c r="A427" s="1" t="n"/>
      <c r="B427" s="1" t="n"/>
      <c r="C427" s="1" t="n"/>
      <c r="D427" s="9">
        <f>IF($B427="","",IF(LEFT($AC427,3)="Yes","Blocked",IF(C427="NOT STARTED",IF(K427="","No plan date set",IF(K427&lt;TODAY(),"Review - planned start passed","On track")),IF(C427="DB Dev",IF(N427="","No target set",IF(AND(N427&lt;TODAY(),P427=""),"Overdue","On track")),IF(C427="PBI Dev",IF(Q427="","No target set",IF(AND(Q427&lt;TODAY(),S427=""),"Overdue","On track")),IF(C427="QA",IF(T427="","No target set",IF(AND(T427&lt;TODAY(),V427=""),"Overdue","On track")),IF(C427="DPO Approval",IF(W427="","No target set",IF(W427&lt;TODAY(),"Overdue","On track")),IF(C427="RELEASED IN PROD","Delivered",""))))))))</f>
        <v/>
      </c>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c r="AA427" s="1" t="n"/>
      <c r="AB427" s="1" t="n"/>
      <c r="AC427" s="1" t="n"/>
      <c r="AD427" s="9">
        <f>IF($B427="","",COUNTIF('Rework Log'!$A$3:$A$500,$B427))</f>
        <v/>
      </c>
      <c r="AE427" s="9">
        <f>IF(OR($B427="",$AM427=0),"",INDEX('Rework Log'!$C:$C,$AM427))</f>
        <v/>
      </c>
      <c r="AF427" s="9">
        <f>IF(OR($B427="",$AM427=0),"",INDEX('Rework Log'!$H:$H,$AM427))</f>
        <v/>
      </c>
      <c r="AG427" s="9">
        <f>IF(OR($B427="",$AM427=0),"",INDEX('Rework Log'!$G:$G,$AM427))</f>
        <v/>
      </c>
      <c r="AH427" s="9">
        <f>IF($B427="","",IF(W427&lt;&gt;"","DPO Approval",IF(T427&lt;&gt;"","QA",IF(Q427&lt;&gt;"","PBI Dev",IF(N427&lt;&gt;"","DB Dev","NOT STARTED")))))</f>
        <v/>
      </c>
      <c r="AI427" s="9">
        <f>IF($B427="","",IF(IF($C427="NOT STARTED",0,IF($C427="DB Dev",1,IF($C427="PBI Dev",2,IF($C427="QA",3,IF($C427="DPO Approval",4,IF($C427="RELEASED IN PROD",5,-1))))))&lt;IF($AH427="NOT STARTED",0,IF($AH427="DB Dev",1,IF($AH427="PBI Dev",2,IF($AH427="QA",3,IF($AH427="DPO Approval",4,IF($AH427="RELEASED IN PROD",5,-1)))))),"Yes - was already at "&amp;$AH427&amp;", now back at "&amp;$C427,"No"))</f>
        <v/>
      </c>
      <c r="AJ427" s="9">
        <f>IF($B427="","",IF(AND(T427&lt;&gt;"",N427&lt;&gt;"",T427&lt;N427),"QA target is before DB Dev target",IF(AND(T427&lt;&gt;"",Q427&lt;&gt;"",T427&lt;Q427),"QA target is before PBI Dev target",IF(AND(W427&lt;&gt;"",T427&lt;&gt;"",W427&lt;T427),"DPO Approval target is before QA target",IF(AND(Z427&lt;&gt;"",W427&lt;&gt;"",Z427&lt;W427),"Confirmed Deployed date is before DPO Approval target","")))))</f>
        <v/>
      </c>
      <c r="AK427" s="9">
        <f>IF($B427="","",IF(COUNTIF($B$2:$B$500,$B427)&gt;1,"Duplicate name - check row",""))</f>
        <v/>
      </c>
      <c r="AL427" s="1" t="n"/>
      <c r="AM427" s="9">
        <f>IF($B427="","",SUMPRODUCT(MAX(('Rework Log'!$A$3:$A$500=$B427)*ROW('Rework Log'!$A$3:$A$500))))</f>
        <v/>
      </c>
    </row>
    <row r="428">
      <c r="A428" s="1" t="n"/>
      <c r="B428" s="1" t="n"/>
      <c r="C428" s="1" t="n"/>
      <c r="D428" s="9">
        <f>IF($B428="","",IF(LEFT($AC428,3)="Yes","Blocked",IF(C428="NOT STARTED",IF(K428="","No plan date set",IF(K428&lt;TODAY(),"Review - planned start passed","On track")),IF(C428="DB Dev",IF(N428="","No target set",IF(AND(N428&lt;TODAY(),P428=""),"Overdue","On track")),IF(C428="PBI Dev",IF(Q428="","No target set",IF(AND(Q428&lt;TODAY(),S428=""),"Overdue","On track")),IF(C428="QA",IF(T428="","No target set",IF(AND(T428&lt;TODAY(),V428=""),"Overdue","On track")),IF(C428="DPO Approval",IF(W428="","No target set",IF(W428&lt;TODAY(),"Overdue","On track")),IF(C428="RELEASED IN PROD","Delivered",""))))))))</f>
        <v/>
      </c>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c r="AA428" s="1" t="n"/>
      <c r="AB428" s="1" t="n"/>
      <c r="AC428" s="1" t="n"/>
      <c r="AD428" s="9">
        <f>IF($B428="","",COUNTIF('Rework Log'!$A$3:$A$500,$B428))</f>
        <v/>
      </c>
      <c r="AE428" s="9">
        <f>IF(OR($B428="",$AM428=0),"",INDEX('Rework Log'!$C:$C,$AM428))</f>
        <v/>
      </c>
      <c r="AF428" s="9">
        <f>IF(OR($B428="",$AM428=0),"",INDEX('Rework Log'!$H:$H,$AM428))</f>
        <v/>
      </c>
      <c r="AG428" s="9">
        <f>IF(OR($B428="",$AM428=0),"",INDEX('Rework Log'!$G:$G,$AM428))</f>
        <v/>
      </c>
      <c r="AH428" s="9">
        <f>IF($B428="","",IF(W428&lt;&gt;"","DPO Approval",IF(T428&lt;&gt;"","QA",IF(Q428&lt;&gt;"","PBI Dev",IF(N428&lt;&gt;"","DB Dev","NOT STARTED")))))</f>
        <v/>
      </c>
      <c r="AI428" s="9">
        <f>IF($B428="","",IF(IF($C428="NOT STARTED",0,IF($C428="DB Dev",1,IF($C428="PBI Dev",2,IF($C428="QA",3,IF($C428="DPO Approval",4,IF($C428="RELEASED IN PROD",5,-1))))))&lt;IF($AH428="NOT STARTED",0,IF($AH428="DB Dev",1,IF($AH428="PBI Dev",2,IF($AH428="QA",3,IF($AH428="DPO Approval",4,IF($AH428="RELEASED IN PROD",5,-1)))))),"Yes - was already at "&amp;$AH428&amp;", now back at "&amp;$C428,"No"))</f>
        <v/>
      </c>
      <c r="AJ428" s="9">
        <f>IF($B428="","",IF(AND(T428&lt;&gt;"",N428&lt;&gt;"",T428&lt;N428),"QA target is before DB Dev target",IF(AND(T428&lt;&gt;"",Q428&lt;&gt;"",T428&lt;Q428),"QA target is before PBI Dev target",IF(AND(W428&lt;&gt;"",T428&lt;&gt;"",W428&lt;T428),"DPO Approval target is before QA target",IF(AND(Z428&lt;&gt;"",W428&lt;&gt;"",Z428&lt;W428),"Confirmed Deployed date is before DPO Approval target","")))))</f>
        <v/>
      </c>
      <c r="AK428" s="9">
        <f>IF($B428="","",IF(COUNTIF($B$2:$B$500,$B428)&gt;1,"Duplicate name - check row",""))</f>
        <v/>
      </c>
      <c r="AL428" s="1" t="n"/>
      <c r="AM428" s="9">
        <f>IF($B428="","",SUMPRODUCT(MAX(('Rework Log'!$A$3:$A$500=$B428)*ROW('Rework Log'!$A$3:$A$500))))</f>
        <v/>
      </c>
    </row>
    <row r="429">
      <c r="A429" s="1" t="n"/>
      <c r="B429" s="1" t="n"/>
      <c r="C429" s="1" t="n"/>
      <c r="D429" s="9">
        <f>IF($B429="","",IF(LEFT($AC429,3)="Yes","Blocked",IF(C429="NOT STARTED",IF(K429="","No plan date set",IF(K429&lt;TODAY(),"Review - planned start passed","On track")),IF(C429="DB Dev",IF(N429="","No target set",IF(AND(N429&lt;TODAY(),P429=""),"Overdue","On track")),IF(C429="PBI Dev",IF(Q429="","No target set",IF(AND(Q429&lt;TODAY(),S429=""),"Overdue","On track")),IF(C429="QA",IF(T429="","No target set",IF(AND(T429&lt;TODAY(),V429=""),"Overdue","On track")),IF(C429="DPO Approval",IF(W429="","No target set",IF(W429&lt;TODAY(),"Overdue","On track")),IF(C429="RELEASED IN PROD","Delivered",""))))))))</f>
        <v/>
      </c>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c r="AA429" s="1" t="n"/>
      <c r="AB429" s="1" t="n"/>
      <c r="AC429" s="1" t="n"/>
      <c r="AD429" s="9">
        <f>IF($B429="","",COUNTIF('Rework Log'!$A$3:$A$500,$B429))</f>
        <v/>
      </c>
      <c r="AE429" s="9">
        <f>IF(OR($B429="",$AM429=0),"",INDEX('Rework Log'!$C:$C,$AM429))</f>
        <v/>
      </c>
      <c r="AF429" s="9">
        <f>IF(OR($B429="",$AM429=0),"",INDEX('Rework Log'!$H:$H,$AM429))</f>
        <v/>
      </c>
      <c r="AG429" s="9">
        <f>IF(OR($B429="",$AM429=0),"",INDEX('Rework Log'!$G:$G,$AM429))</f>
        <v/>
      </c>
      <c r="AH429" s="9">
        <f>IF($B429="","",IF(W429&lt;&gt;"","DPO Approval",IF(T429&lt;&gt;"","QA",IF(Q429&lt;&gt;"","PBI Dev",IF(N429&lt;&gt;"","DB Dev","NOT STARTED")))))</f>
        <v/>
      </c>
      <c r="AI429" s="9">
        <f>IF($B429="","",IF(IF($C429="NOT STARTED",0,IF($C429="DB Dev",1,IF($C429="PBI Dev",2,IF($C429="QA",3,IF($C429="DPO Approval",4,IF($C429="RELEASED IN PROD",5,-1))))))&lt;IF($AH429="NOT STARTED",0,IF($AH429="DB Dev",1,IF($AH429="PBI Dev",2,IF($AH429="QA",3,IF($AH429="DPO Approval",4,IF($AH429="RELEASED IN PROD",5,-1)))))),"Yes - was already at "&amp;$AH429&amp;", now back at "&amp;$C429,"No"))</f>
        <v/>
      </c>
      <c r="AJ429" s="9">
        <f>IF($B429="","",IF(AND(T429&lt;&gt;"",N429&lt;&gt;"",T429&lt;N429),"QA target is before DB Dev target",IF(AND(T429&lt;&gt;"",Q429&lt;&gt;"",T429&lt;Q429),"QA target is before PBI Dev target",IF(AND(W429&lt;&gt;"",T429&lt;&gt;"",W429&lt;T429),"DPO Approval target is before QA target",IF(AND(Z429&lt;&gt;"",W429&lt;&gt;"",Z429&lt;W429),"Confirmed Deployed date is before DPO Approval target","")))))</f>
        <v/>
      </c>
      <c r="AK429" s="9">
        <f>IF($B429="","",IF(COUNTIF($B$2:$B$500,$B429)&gt;1,"Duplicate name - check row",""))</f>
        <v/>
      </c>
      <c r="AL429" s="1" t="n"/>
      <c r="AM429" s="9">
        <f>IF($B429="","",SUMPRODUCT(MAX(('Rework Log'!$A$3:$A$500=$B429)*ROW('Rework Log'!$A$3:$A$500))))</f>
        <v/>
      </c>
    </row>
    <row r="430">
      <c r="A430" s="1" t="n"/>
      <c r="B430" s="1" t="n"/>
      <c r="C430" s="1" t="n"/>
      <c r="D430" s="9">
        <f>IF($B430="","",IF(LEFT($AC430,3)="Yes","Blocked",IF(C430="NOT STARTED",IF(K430="","No plan date set",IF(K430&lt;TODAY(),"Review - planned start passed","On track")),IF(C430="DB Dev",IF(N430="","No target set",IF(AND(N430&lt;TODAY(),P430=""),"Overdue","On track")),IF(C430="PBI Dev",IF(Q430="","No target set",IF(AND(Q430&lt;TODAY(),S430=""),"Overdue","On track")),IF(C430="QA",IF(T430="","No target set",IF(AND(T430&lt;TODAY(),V430=""),"Overdue","On track")),IF(C430="DPO Approval",IF(W430="","No target set",IF(W430&lt;TODAY(),"Overdue","On track")),IF(C430="RELEASED IN PROD","Delivered",""))))))))</f>
        <v/>
      </c>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c r="AA430" s="1" t="n"/>
      <c r="AB430" s="1" t="n"/>
      <c r="AC430" s="1" t="n"/>
      <c r="AD430" s="9">
        <f>IF($B430="","",COUNTIF('Rework Log'!$A$3:$A$500,$B430))</f>
        <v/>
      </c>
      <c r="AE430" s="9">
        <f>IF(OR($B430="",$AM430=0),"",INDEX('Rework Log'!$C:$C,$AM430))</f>
        <v/>
      </c>
      <c r="AF430" s="9">
        <f>IF(OR($B430="",$AM430=0),"",INDEX('Rework Log'!$H:$H,$AM430))</f>
        <v/>
      </c>
      <c r="AG430" s="9">
        <f>IF(OR($B430="",$AM430=0),"",INDEX('Rework Log'!$G:$G,$AM430))</f>
        <v/>
      </c>
      <c r="AH430" s="9">
        <f>IF($B430="","",IF(W430&lt;&gt;"","DPO Approval",IF(T430&lt;&gt;"","QA",IF(Q430&lt;&gt;"","PBI Dev",IF(N430&lt;&gt;"","DB Dev","NOT STARTED")))))</f>
        <v/>
      </c>
      <c r="AI430" s="9">
        <f>IF($B430="","",IF(IF($C430="NOT STARTED",0,IF($C430="DB Dev",1,IF($C430="PBI Dev",2,IF($C430="QA",3,IF($C430="DPO Approval",4,IF($C430="RELEASED IN PROD",5,-1))))))&lt;IF($AH430="NOT STARTED",0,IF($AH430="DB Dev",1,IF($AH430="PBI Dev",2,IF($AH430="QA",3,IF($AH430="DPO Approval",4,IF($AH430="RELEASED IN PROD",5,-1)))))),"Yes - was already at "&amp;$AH430&amp;", now back at "&amp;$C430,"No"))</f>
        <v/>
      </c>
      <c r="AJ430" s="9">
        <f>IF($B430="","",IF(AND(T430&lt;&gt;"",N430&lt;&gt;"",T430&lt;N430),"QA target is before DB Dev target",IF(AND(T430&lt;&gt;"",Q430&lt;&gt;"",T430&lt;Q430),"QA target is before PBI Dev target",IF(AND(W430&lt;&gt;"",T430&lt;&gt;"",W430&lt;T430),"DPO Approval target is before QA target",IF(AND(Z430&lt;&gt;"",W430&lt;&gt;"",Z430&lt;W430),"Confirmed Deployed date is before DPO Approval target","")))))</f>
        <v/>
      </c>
      <c r="AK430" s="9">
        <f>IF($B430="","",IF(COUNTIF($B$2:$B$500,$B430)&gt;1,"Duplicate name - check row",""))</f>
        <v/>
      </c>
      <c r="AL430" s="1" t="n"/>
      <c r="AM430" s="9">
        <f>IF($B430="","",SUMPRODUCT(MAX(('Rework Log'!$A$3:$A$500=$B430)*ROW('Rework Log'!$A$3:$A$500))))</f>
        <v/>
      </c>
    </row>
    <row r="431">
      <c r="A431" s="1" t="n"/>
      <c r="B431" s="1" t="n"/>
      <c r="C431" s="1" t="n"/>
      <c r="D431" s="9">
        <f>IF($B431="","",IF(LEFT($AC431,3)="Yes","Blocked",IF(C431="NOT STARTED",IF(K431="","No plan date set",IF(K431&lt;TODAY(),"Review - planned start passed","On track")),IF(C431="DB Dev",IF(N431="","No target set",IF(AND(N431&lt;TODAY(),P431=""),"Overdue","On track")),IF(C431="PBI Dev",IF(Q431="","No target set",IF(AND(Q431&lt;TODAY(),S431=""),"Overdue","On track")),IF(C431="QA",IF(T431="","No target set",IF(AND(T431&lt;TODAY(),V431=""),"Overdue","On track")),IF(C431="DPO Approval",IF(W431="","No target set",IF(W431&lt;TODAY(),"Overdue","On track")),IF(C431="RELEASED IN PROD","Delivered",""))))))))</f>
        <v/>
      </c>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c r="AA431" s="1" t="n"/>
      <c r="AB431" s="1" t="n"/>
      <c r="AC431" s="1" t="n"/>
      <c r="AD431" s="9">
        <f>IF($B431="","",COUNTIF('Rework Log'!$A$3:$A$500,$B431))</f>
        <v/>
      </c>
      <c r="AE431" s="9">
        <f>IF(OR($B431="",$AM431=0),"",INDEX('Rework Log'!$C:$C,$AM431))</f>
        <v/>
      </c>
      <c r="AF431" s="9">
        <f>IF(OR($B431="",$AM431=0),"",INDEX('Rework Log'!$H:$H,$AM431))</f>
        <v/>
      </c>
      <c r="AG431" s="9">
        <f>IF(OR($B431="",$AM431=0),"",INDEX('Rework Log'!$G:$G,$AM431))</f>
        <v/>
      </c>
      <c r="AH431" s="9">
        <f>IF($B431="","",IF(W431&lt;&gt;"","DPO Approval",IF(T431&lt;&gt;"","QA",IF(Q431&lt;&gt;"","PBI Dev",IF(N431&lt;&gt;"","DB Dev","NOT STARTED")))))</f>
        <v/>
      </c>
      <c r="AI431" s="9">
        <f>IF($B431="","",IF(IF($C431="NOT STARTED",0,IF($C431="DB Dev",1,IF($C431="PBI Dev",2,IF($C431="QA",3,IF($C431="DPO Approval",4,IF($C431="RELEASED IN PROD",5,-1))))))&lt;IF($AH431="NOT STARTED",0,IF($AH431="DB Dev",1,IF($AH431="PBI Dev",2,IF($AH431="QA",3,IF($AH431="DPO Approval",4,IF($AH431="RELEASED IN PROD",5,-1)))))),"Yes - was already at "&amp;$AH431&amp;", now back at "&amp;$C431,"No"))</f>
        <v/>
      </c>
      <c r="AJ431" s="9">
        <f>IF($B431="","",IF(AND(T431&lt;&gt;"",N431&lt;&gt;"",T431&lt;N431),"QA target is before DB Dev target",IF(AND(T431&lt;&gt;"",Q431&lt;&gt;"",T431&lt;Q431),"QA target is before PBI Dev target",IF(AND(W431&lt;&gt;"",T431&lt;&gt;"",W431&lt;T431),"DPO Approval target is before QA target",IF(AND(Z431&lt;&gt;"",W431&lt;&gt;"",Z431&lt;W431),"Confirmed Deployed date is before DPO Approval target","")))))</f>
        <v/>
      </c>
      <c r="AK431" s="9">
        <f>IF($B431="","",IF(COUNTIF($B$2:$B$500,$B431)&gt;1,"Duplicate name - check row",""))</f>
        <v/>
      </c>
      <c r="AL431" s="1" t="n"/>
      <c r="AM431" s="9">
        <f>IF($B431="","",SUMPRODUCT(MAX(('Rework Log'!$A$3:$A$500=$B431)*ROW('Rework Log'!$A$3:$A$500))))</f>
        <v/>
      </c>
    </row>
    <row r="432">
      <c r="A432" s="1" t="n"/>
      <c r="B432" s="1" t="n"/>
      <c r="C432" s="1" t="n"/>
      <c r="D432" s="9">
        <f>IF($B432="","",IF(LEFT($AC432,3)="Yes","Blocked",IF(C432="NOT STARTED",IF(K432="","No plan date set",IF(K432&lt;TODAY(),"Review - planned start passed","On track")),IF(C432="DB Dev",IF(N432="","No target set",IF(AND(N432&lt;TODAY(),P432=""),"Overdue","On track")),IF(C432="PBI Dev",IF(Q432="","No target set",IF(AND(Q432&lt;TODAY(),S432=""),"Overdue","On track")),IF(C432="QA",IF(T432="","No target set",IF(AND(T432&lt;TODAY(),V432=""),"Overdue","On track")),IF(C432="DPO Approval",IF(W432="","No target set",IF(W432&lt;TODAY(),"Overdue","On track")),IF(C432="RELEASED IN PROD","Delivered",""))))))))</f>
        <v/>
      </c>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c r="AA432" s="1" t="n"/>
      <c r="AB432" s="1" t="n"/>
      <c r="AC432" s="1" t="n"/>
      <c r="AD432" s="9">
        <f>IF($B432="","",COUNTIF('Rework Log'!$A$3:$A$500,$B432))</f>
        <v/>
      </c>
      <c r="AE432" s="9">
        <f>IF(OR($B432="",$AM432=0),"",INDEX('Rework Log'!$C:$C,$AM432))</f>
        <v/>
      </c>
      <c r="AF432" s="9">
        <f>IF(OR($B432="",$AM432=0),"",INDEX('Rework Log'!$H:$H,$AM432))</f>
        <v/>
      </c>
      <c r="AG432" s="9">
        <f>IF(OR($B432="",$AM432=0),"",INDEX('Rework Log'!$G:$G,$AM432))</f>
        <v/>
      </c>
      <c r="AH432" s="9">
        <f>IF($B432="","",IF(W432&lt;&gt;"","DPO Approval",IF(T432&lt;&gt;"","QA",IF(Q432&lt;&gt;"","PBI Dev",IF(N432&lt;&gt;"","DB Dev","NOT STARTED")))))</f>
        <v/>
      </c>
      <c r="AI432" s="9">
        <f>IF($B432="","",IF(IF($C432="NOT STARTED",0,IF($C432="DB Dev",1,IF($C432="PBI Dev",2,IF($C432="QA",3,IF($C432="DPO Approval",4,IF($C432="RELEASED IN PROD",5,-1))))))&lt;IF($AH432="NOT STARTED",0,IF($AH432="DB Dev",1,IF($AH432="PBI Dev",2,IF($AH432="QA",3,IF($AH432="DPO Approval",4,IF($AH432="RELEASED IN PROD",5,-1)))))),"Yes - was already at "&amp;$AH432&amp;", now back at "&amp;$C432,"No"))</f>
        <v/>
      </c>
      <c r="AJ432" s="9">
        <f>IF($B432="","",IF(AND(T432&lt;&gt;"",N432&lt;&gt;"",T432&lt;N432),"QA target is before DB Dev target",IF(AND(T432&lt;&gt;"",Q432&lt;&gt;"",T432&lt;Q432),"QA target is before PBI Dev target",IF(AND(W432&lt;&gt;"",T432&lt;&gt;"",W432&lt;T432),"DPO Approval target is before QA target",IF(AND(Z432&lt;&gt;"",W432&lt;&gt;"",Z432&lt;W432),"Confirmed Deployed date is before DPO Approval target","")))))</f>
        <v/>
      </c>
      <c r="AK432" s="9">
        <f>IF($B432="","",IF(COUNTIF($B$2:$B$500,$B432)&gt;1,"Duplicate name - check row",""))</f>
        <v/>
      </c>
      <c r="AL432" s="1" t="n"/>
      <c r="AM432" s="9">
        <f>IF($B432="","",SUMPRODUCT(MAX(('Rework Log'!$A$3:$A$500=$B432)*ROW('Rework Log'!$A$3:$A$500))))</f>
        <v/>
      </c>
    </row>
    <row r="433">
      <c r="A433" s="1" t="n"/>
      <c r="B433" s="1" t="n"/>
      <c r="C433" s="1" t="n"/>
      <c r="D433" s="9">
        <f>IF($B433="","",IF(LEFT($AC433,3)="Yes","Blocked",IF(C433="NOT STARTED",IF(K433="","No plan date set",IF(K433&lt;TODAY(),"Review - planned start passed","On track")),IF(C433="DB Dev",IF(N433="","No target set",IF(AND(N433&lt;TODAY(),P433=""),"Overdue","On track")),IF(C433="PBI Dev",IF(Q433="","No target set",IF(AND(Q433&lt;TODAY(),S433=""),"Overdue","On track")),IF(C433="QA",IF(T433="","No target set",IF(AND(T433&lt;TODAY(),V433=""),"Overdue","On track")),IF(C433="DPO Approval",IF(W433="","No target set",IF(W433&lt;TODAY(),"Overdue","On track")),IF(C433="RELEASED IN PROD","Delivered",""))))))))</f>
        <v/>
      </c>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c r="AA433" s="1" t="n"/>
      <c r="AB433" s="1" t="n"/>
      <c r="AC433" s="1" t="n"/>
      <c r="AD433" s="9">
        <f>IF($B433="","",COUNTIF('Rework Log'!$A$3:$A$500,$B433))</f>
        <v/>
      </c>
      <c r="AE433" s="9">
        <f>IF(OR($B433="",$AM433=0),"",INDEX('Rework Log'!$C:$C,$AM433))</f>
        <v/>
      </c>
      <c r="AF433" s="9">
        <f>IF(OR($B433="",$AM433=0),"",INDEX('Rework Log'!$H:$H,$AM433))</f>
        <v/>
      </c>
      <c r="AG433" s="9">
        <f>IF(OR($B433="",$AM433=0),"",INDEX('Rework Log'!$G:$G,$AM433))</f>
        <v/>
      </c>
      <c r="AH433" s="9">
        <f>IF($B433="","",IF(W433&lt;&gt;"","DPO Approval",IF(T433&lt;&gt;"","QA",IF(Q433&lt;&gt;"","PBI Dev",IF(N433&lt;&gt;"","DB Dev","NOT STARTED")))))</f>
        <v/>
      </c>
      <c r="AI433" s="9">
        <f>IF($B433="","",IF(IF($C433="NOT STARTED",0,IF($C433="DB Dev",1,IF($C433="PBI Dev",2,IF($C433="QA",3,IF($C433="DPO Approval",4,IF($C433="RELEASED IN PROD",5,-1))))))&lt;IF($AH433="NOT STARTED",0,IF($AH433="DB Dev",1,IF($AH433="PBI Dev",2,IF($AH433="QA",3,IF($AH433="DPO Approval",4,IF($AH433="RELEASED IN PROD",5,-1)))))),"Yes - was already at "&amp;$AH433&amp;", now back at "&amp;$C433,"No"))</f>
        <v/>
      </c>
      <c r="AJ433" s="9">
        <f>IF($B433="","",IF(AND(T433&lt;&gt;"",N433&lt;&gt;"",T433&lt;N433),"QA target is before DB Dev target",IF(AND(T433&lt;&gt;"",Q433&lt;&gt;"",T433&lt;Q433),"QA target is before PBI Dev target",IF(AND(W433&lt;&gt;"",T433&lt;&gt;"",W433&lt;T433),"DPO Approval target is before QA target",IF(AND(Z433&lt;&gt;"",W433&lt;&gt;"",Z433&lt;W433),"Confirmed Deployed date is before DPO Approval target","")))))</f>
        <v/>
      </c>
      <c r="AK433" s="9">
        <f>IF($B433="","",IF(COUNTIF($B$2:$B$500,$B433)&gt;1,"Duplicate name - check row",""))</f>
        <v/>
      </c>
      <c r="AL433" s="1" t="n"/>
      <c r="AM433" s="9">
        <f>IF($B433="","",SUMPRODUCT(MAX(('Rework Log'!$A$3:$A$500=$B433)*ROW('Rework Log'!$A$3:$A$500))))</f>
        <v/>
      </c>
    </row>
    <row r="434">
      <c r="A434" s="1" t="n"/>
      <c r="B434" s="1" t="n"/>
      <c r="C434" s="1" t="n"/>
      <c r="D434" s="9">
        <f>IF($B434="","",IF(LEFT($AC434,3)="Yes","Blocked",IF(C434="NOT STARTED",IF(K434="","No plan date set",IF(K434&lt;TODAY(),"Review - planned start passed","On track")),IF(C434="DB Dev",IF(N434="","No target set",IF(AND(N434&lt;TODAY(),P434=""),"Overdue","On track")),IF(C434="PBI Dev",IF(Q434="","No target set",IF(AND(Q434&lt;TODAY(),S434=""),"Overdue","On track")),IF(C434="QA",IF(T434="","No target set",IF(AND(T434&lt;TODAY(),V434=""),"Overdue","On track")),IF(C434="DPO Approval",IF(W434="","No target set",IF(W434&lt;TODAY(),"Overdue","On track")),IF(C434="RELEASED IN PROD","Delivered",""))))))))</f>
        <v/>
      </c>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c r="AA434" s="1" t="n"/>
      <c r="AB434" s="1" t="n"/>
      <c r="AC434" s="1" t="n"/>
      <c r="AD434" s="9">
        <f>IF($B434="","",COUNTIF('Rework Log'!$A$3:$A$500,$B434))</f>
        <v/>
      </c>
      <c r="AE434" s="9">
        <f>IF(OR($B434="",$AM434=0),"",INDEX('Rework Log'!$C:$C,$AM434))</f>
        <v/>
      </c>
      <c r="AF434" s="9">
        <f>IF(OR($B434="",$AM434=0),"",INDEX('Rework Log'!$H:$H,$AM434))</f>
        <v/>
      </c>
      <c r="AG434" s="9">
        <f>IF(OR($B434="",$AM434=0),"",INDEX('Rework Log'!$G:$G,$AM434))</f>
        <v/>
      </c>
      <c r="AH434" s="9">
        <f>IF($B434="","",IF(W434&lt;&gt;"","DPO Approval",IF(T434&lt;&gt;"","QA",IF(Q434&lt;&gt;"","PBI Dev",IF(N434&lt;&gt;"","DB Dev","NOT STARTED")))))</f>
        <v/>
      </c>
      <c r="AI434" s="9">
        <f>IF($B434="","",IF(IF($C434="NOT STARTED",0,IF($C434="DB Dev",1,IF($C434="PBI Dev",2,IF($C434="QA",3,IF($C434="DPO Approval",4,IF($C434="RELEASED IN PROD",5,-1))))))&lt;IF($AH434="NOT STARTED",0,IF($AH434="DB Dev",1,IF($AH434="PBI Dev",2,IF($AH434="QA",3,IF($AH434="DPO Approval",4,IF($AH434="RELEASED IN PROD",5,-1)))))),"Yes - was already at "&amp;$AH434&amp;", now back at "&amp;$C434,"No"))</f>
        <v/>
      </c>
      <c r="AJ434" s="9">
        <f>IF($B434="","",IF(AND(T434&lt;&gt;"",N434&lt;&gt;"",T434&lt;N434),"QA target is before DB Dev target",IF(AND(T434&lt;&gt;"",Q434&lt;&gt;"",T434&lt;Q434),"QA target is before PBI Dev target",IF(AND(W434&lt;&gt;"",T434&lt;&gt;"",W434&lt;T434),"DPO Approval target is before QA target",IF(AND(Z434&lt;&gt;"",W434&lt;&gt;"",Z434&lt;W434),"Confirmed Deployed date is before DPO Approval target","")))))</f>
        <v/>
      </c>
      <c r="AK434" s="9">
        <f>IF($B434="","",IF(COUNTIF($B$2:$B$500,$B434)&gt;1,"Duplicate name - check row",""))</f>
        <v/>
      </c>
      <c r="AL434" s="1" t="n"/>
      <c r="AM434" s="9">
        <f>IF($B434="","",SUMPRODUCT(MAX(('Rework Log'!$A$3:$A$500=$B434)*ROW('Rework Log'!$A$3:$A$500))))</f>
        <v/>
      </c>
    </row>
    <row r="435">
      <c r="A435" s="1" t="n"/>
      <c r="B435" s="1" t="n"/>
      <c r="C435" s="1" t="n"/>
      <c r="D435" s="9">
        <f>IF($B435="","",IF(LEFT($AC435,3)="Yes","Blocked",IF(C435="NOT STARTED",IF(K435="","No plan date set",IF(K435&lt;TODAY(),"Review - planned start passed","On track")),IF(C435="DB Dev",IF(N435="","No target set",IF(AND(N435&lt;TODAY(),P435=""),"Overdue","On track")),IF(C435="PBI Dev",IF(Q435="","No target set",IF(AND(Q435&lt;TODAY(),S435=""),"Overdue","On track")),IF(C435="QA",IF(T435="","No target set",IF(AND(T435&lt;TODAY(),V435=""),"Overdue","On track")),IF(C435="DPO Approval",IF(W435="","No target set",IF(W435&lt;TODAY(),"Overdue","On track")),IF(C435="RELEASED IN PROD","Delivered",""))))))))</f>
        <v/>
      </c>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c r="AA435" s="1" t="n"/>
      <c r="AB435" s="1" t="n"/>
      <c r="AC435" s="1" t="n"/>
      <c r="AD435" s="9">
        <f>IF($B435="","",COUNTIF('Rework Log'!$A$3:$A$500,$B435))</f>
        <v/>
      </c>
      <c r="AE435" s="9">
        <f>IF(OR($B435="",$AM435=0),"",INDEX('Rework Log'!$C:$C,$AM435))</f>
        <v/>
      </c>
      <c r="AF435" s="9">
        <f>IF(OR($B435="",$AM435=0),"",INDEX('Rework Log'!$H:$H,$AM435))</f>
        <v/>
      </c>
      <c r="AG435" s="9">
        <f>IF(OR($B435="",$AM435=0),"",INDEX('Rework Log'!$G:$G,$AM435))</f>
        <v/>
      </c>
      <c r="AH435" s="9">
        <f>IF($B435="","",IF(W435&lt;&gt;"","DPO Approval",IF(T435&lt;&gt;"","QA",IF(Q435&lt;&gt;"","PBI Dev",IF(N435&lt;&gt;"","DB Dev","NOT STARTED")))))</f>
        <v/>
      </c>
      <c r="AI435" s="9">
        <f>IF($B435="","",IF(IF($C435="NOT STARTED",0,IF($C435="DB Dev",1,IF($C435="PBI Dev",2,IF($C435="QA",3,IF($C435="DPO Approval",4,IF($C435="RELEASED IN PROD",5,-1))))))&lt;IF($AH435="NOT STARTED",0,IF($AH435="DB Dev",1,IF($AH435="PBI Dev",2,IF($AH435="QA",3,IF($AH435="DPO Approval",4,IF($AH435="RELEASED IN PROD",5,-1)))))),"Yes - was already at "&amp;$AH435&amp;", now back at "&amp;$C435,"No"))</f>
        <v/>
      </c>
      <c r="AJ435" s="9">
        <f>IF($B435="","",IF(AND(T435&lt;&gt;"",N435&lt;&gt;"",T435&lt;N435),"QA target is before DB Dev target",IF(AND(T435&lt;&gt;"",Q435&lt;&gt;"",T435&lt;Q435),"QA target is before PBI Dev target",IF(AND(W435&lt;&gt;"",T435&lt;&gt;"",W435&lt;T435),"DPO Approval target is before QA target",IF(AND(Z435&lt;&gt;"",W435&lt;&gt;"",Z435&lt;W435),"Confirmed Deployed date is before DPO Approval target","")))))</f>
        <v/>
      </c>
      <c r="AK435" s="9">
        <f>IF($B435="","",IF(COUNTIF($B$2:$B$500,$B435)&gt;1,"Duplicate name - check row",""))</f>
        <v/>
      </c>
      <c r="AL435" s="1" t="n"/>
      <c r="AM435" s="9">
        <f>IF($B435="","",SUMPRODUCT(MAX(('Rework Log'!$A$3:$A$500=$B435)*ROW('Rework Log'!$A$3:$A$500))))</f>
        <v/>
      </c>
    </row>
    <row r="436">
      <c r="A436" s="1" t="n"/>
      <c r="B436" s="1" t="n"/>
      <c r="C436" s="1" t="n"/>
      <c r="D436" s="9">
        <f>IF($B436="","",IF(LEFT($AC436,3)="Yes","Blocked",IF(C436="NOT STARTED",IF(K436="","No plan date set",IF(K436&lt;TODAY(),"Review - planned start passed","On track")),IF(C436="DB Dev",IF(N436="","No target set",IF(AND(N436&lt;TODAY(),P436=""),"Overdue","On track")),IF(C436="PBI Dev",IF(Q436="","No target set",IF(AND(Q436&lt;TODAY(),S436=""),"Overdue","On track")),IF(C436="QA",IF(T436="","No target set",IF(AND(T436&lt;TODAY(),V436=""),"Overdue","On track")),IF(C436="DPO Approval",IF(W436="","No target set",IF(W436&lt;TODAY(),"Overdue","On track")),IF(C436="RELEASED IN PROD","Delivered",""))))))))</f>
        <v/>
      </c>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c r="AA436" s="1" t="n"/>
      <c r="AB436" s="1" t="n"/>
      <c r="AC436" s="1" t="n"/>
      <c r="AD436" s="9">
        <f>IF($B436="","",COUNTIF('Rework Log'!$A$3:$A$500,$B436))</f>
        <v/>
      </c>
      <c r="AE436" s="9">
        <f>IF(OR($B436="",$AM436=0),"",INDEX('Rework Log'!$C:$C,$AM436))</f>
        <v/>
      </c>
      <c r="AF436" s="9">
        <f>IF(OR($B436="",$AM436=0),"",INDEX('Rework Log'!$H:$H,$AM436))</f>
        <v/>
      </c>
      <c r="AG436" s="9">
        <f>IF(OR($B436="",$AM436=0),"",INDEX('Rework Log'!$G:$G,$AM436))</f>
        <v/>
      </c>
      <c r="AH436" s="9">
        <f>IF($B436="","",IF(W436&lt;&gt;"","DPO Approval",IF(T436&lt;&gt;"","QA",IF(Q436&lt;&gt;"","PBI Dev",IF(N436&lt;&gt;"","DB Dev","NOT STARTED")))))</f>
        <v/>
      </c>
      <c r="AI436" s="9">
        <f>IF($B436="","",IF(IF($C436="NOT STARTED",0,IF($C436="DB Dev",1,IF($C436="PBI Dev",2,IF($C436="QA",3,IF($C436="DPO Approval",4,IF($C436="RELEASED IN PROD",5,-1))))))&lt;IF($AH436="NOT STARTED",0,IF($AH436="DB Dev",1,IF($AH436="PBI Dev",2,IF($AH436="QA",3,IF($AH436="DPO Approval",4,IF($AH436="RELEASED IN PROD",5,-1)))))),"Yes - was already at "&amp;$AH436&amp;", now back at "&amp;$C436,"No"))</f>
        <v/>
      </c>
      <c r="AJ436" s="9">
        <f>IF($B436="","",IF(AND(T436&lt;&gt;"",N436&lt;&gt;"",T436&lt;N436),"QA target is before DB Dev target",IF(AND(T436&lt;&gt;"",Q436&lt;&gt;"",T436&lt;Q436),"QA target is before PBI Dev target",IF(AND(W436&lt;&gt;"",T436&lt;&gt;"",W436&lt;T436),"DPO Approval target is before QA target",IF(AND(Z436&lt;&gt;"",W436&lt;&gt;"",Z436&lt;W436),"Confirmed Deployed date is before DPO Approval target","")))))</f>
        <v/>
      </c>
      <c r="AK436" s="9">
        <f>IF($B436="","",IF(COUNTIF($B$2:$B$500,$B436)&gt;1,"Duplicate name - check row",""))</f>
        <v/>
      </c>
      <c r="AL436" s="1" t="n"/>
      <c r="AM436" s="9">
        <f>IF($B436="","",SUMPRODUCT(MAX(('Rework Log'!$A$3:$A$500=$B436)*ROW('Rework Log'!$A$3:$A$500))))</f>
        <v/>
      </c>
    </row>
    <row r="437">
      <c r="A437" s="1" t="n"/>
      <c r="B437" s="1" t="n"/>
      <c r="C437" s="1" t="n"/>
      <c r="D437" s="9">
        <f>IF($B437="","",IF(LEFT($AC437,3)="Yes","Blocked",IF(C437="NOT STARTED",IF(K437="","No plan date set",IF(K437&lt;TODAY(),"Review - planned start passed","On track")),IF(C437="DB Dev",IF(N437="","No target set",IF(AND(N437&lt;TODAY(),P437=""),"Overdue","On track")),IF(C437="PBI Dev",IF(Q437="","No target set",IF(AND(Q437&lt;TODAY(),S437=""),"Overdue","On track")),IF(C437="QA",IF(T437="","No target set",IF(AND(T437&lt;TODAY(),V437=""),"Overdue","On track")),IF(C437="DPO Approval",IF(W437="","No target set",IF(W437&lt;TODAY(),"Overdue","On track")),IF(C437="RELEASED IN PROD","Delivered",""))))))))</f>
        <v/>
      </c>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c r="AA437" s="1" t="n"/>
      <c r="AB437" s="1" t="n"/>
      <c r="AC437" s="1" t="n"/>
      <c r="AD437" s="9">
        <f>IF($B437="","",COUNTIF('Rework Log'!$A$3:$A$500,$B437))</f>
        <v/>
      </c>
      <c r="AE437" s="9">
        <f>IF(OR($B437="",$AM437=0),"",INDEX('Rework Log'!$C:$C,$AM437))</f>
        <v/>
      </c>
      <c r="AF437" s="9">
        <f>IF(OR($B437="",$AM437=0),"",INDEX('Rework Log'!$H:$H,$AM437))</f>
        <v/>
      </c>
      <c r="AG437" s="9">
        <f>IF(OR($B437="",$AM437=0),"",INDEX('Rework Log'!$G:$G,$AM437))</f>
        <v/>
      </c>
      <c r="AH437" s="9">
        <f>IF($B437="","",IF(W437&lt;&gt;"","DPO Approval",IF(T437&lt;&gt;"","QA",IF(Q437&lt;&gt;"","PBI Dev",IF(N437&lt;&gt;"","DB Dev","NOT STARTED")))))</f>
        <v/>
      </c>
      <c r="AI437" s="9">
        <f>IF($B437="","",IF(IF($C437="NOT STARTED",0,IF($C437="DB Dev",1,IF($C437="PBI Dev",2,IF($C437="QA",3,IF($C437="DPO Approval",4,IF($C437="RELEASED IN PROD",5,-1))))))&lt;IF($AH437="NOT STARTED",0,IF($AH437="DB Dev",1,IF($AH437="PBI Dev",2,IF($AH437="QA",3,IF($AH437="DPO Approval",4,IF($AH437="RELEASED IN PROD",5,-1)))))),"Yes - was already at "&amp;$AH437&amp;", now back at "&amp;$C437,"No"))</f>
        <v/>
      </c>
      <c r="AJ437" s="9">
        <f>IF($B437="","",IF(AND(T437&lt;&gt;"",N437&lt;&gt;"",T437&lt;N437),"QA target is before DB Dev target",IF(AND(T437&lt;&gt;"",Q437&lt;&gt;"",T437&lt;Q437),"QA target is before PBI Dev target",IF(AND(W437&lt;&gt;"",T437&lt;&gt;"",W437&lt;T437),"DPO Approval target is before QA target",IF(AND(Z437&lt;&gt;"",W437&lt;&gt;"",Z437&lt;W437),"Confirmed Deployed date is before DPO Approval target","")))))</f>
        <v/>
      </c>
      <c r="AK437" s="9">
        <f>IF($B437="","",IF(COUNTIF($B$2:$B$500,$B437)&gt;1,"Duplicate name - check row",""))</f>
        <v/>
      </c>
      <c r="AL437" s="1" t="n"/>
      <c r="AM437" s="9">
        <f>IF($B437="","",SUMPRODUCT(MAX(('Rework Log'!$A$3:$A$500=$B437)*ROW('Rework Log'!$A$3:$A$500))))</f>
        <v/>
      </c>
    </row>
    <row r="438">
      <c r="A438" s="1" t="n"/>
      <c r="B438" s="1" t="n"/>
      <c r="C438" s="1" t="n"/>
      <c r="D438" s="9">
        <f>IF($B438="","",IF(LEFT($AC438,3)="Yes","Blocked",IF(C438="NOT STARTED",IF(K438="","No plan date set",IF(K438&lt;TODAY(),"Review - planned start passed","On track")),IF(C438="DB Dev",IF(N438="","No target set",IF(AND(N438&lt;TODAY(),P438=""),"Overdue","On track")),IF(C438="PBI Dev",IF(Q438="","No target set",IF(AND(Q438&lt;TODAY(),S438=""),"Overdue","On track")),IF(C438="QA",IF(T438="","No target set",IF(AND(T438&lt;TODAY(),V438=""),"Overdue","On track")),IF(C438="DPO Approval",IF(W438="","No target set",IF(W438&lt;TODAY(),"Overdue","On track")),IF(C438="RELEASED IN PROD","Delivered",""))))))))</f>
        <v/>
      </c>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c r="AA438" s="1" t="n"/>
      <c r="AB438" s="1" t="n"/>
      <c r="AC438" s="1" t="n"/>
      <c r="AD438" s="9">
        <f>IF($B438="","",COUNTIF('Rework Log'!$A$3:$A$500,$B438))</f>
        <v/>
      </c>
      <c r="AE438" s="9">
        <f>IF(OR($B438="",$AM438=0),"",INDEX('Rework Log'!$C:$C,$AM438))</f>
        <v/>
      </c>
      <c r="AF438" s="9">
        <f>IF(OR($B438="",$AM438=0),"",INDEX('Rework Log'!$H:$H,$AM438))</f>
        <v/>
      </c>
      <c r="AG438" s="9">
        <f>IF(OR($B438="",$AM438=0),"",INDEX('Rework Log'!$G:$G,$AM438))</f>
        <v/>
      </c>
      <c r="AH438" s="9">
        <f>IF($B438="","",IF(W438&lt;&gt;"","DPO Approval",IF(T438&lt;&gt;"","QA",IF(Q438&lt;&gt;"","PBI Dev",IF(N438&lt;&gt;"","DB Dev","NOT STARTED")))))</f>
        <v/>
      </c>
      <c r="AI438" s="9">
        <f>IF($B438="","",IF(IF($C438="NOT STARTED",0,IF($C438="DB Dev",1,IF($C438="PBI Dev",2,IF($C438="QA",3,IF($C438="DPO Approval",4,IF($C438="RELEASED IN PROD",5,-1))))))&lt;IF($AH438="NOT STARTED",0,IF($AH438="DB Dev",1,IF($AH438="PBI Dev",2,IF($AH438="QA",3,IF($AH438="DPO Approval",4,IF($AH438="RELEASED IN PROD",5,-1)))))),"Yes - was already at "&amp;$AH438&amp;", now back at "&amp;$C438,"No"))</f>
        <v/>
      </c>
      <c r="AJ438" s="9">
        <f>IF($B438="","",IF(AND(T438&lt;&gt;"",N438&lt;&gt;"",T438&lt;N438),"QA target is before DB Dev target",IF(AND(T438&lt;&gt;"",Q438&lt;&gt;"",T438&lt;Q438),"QA target is before PBI Dev target",IF(AND(W438&lt;&gt;"",T438&lt;&gt;"",W438&lt;T438),"DPO Approval target is before QA target",IF(AND(Z438&lt;&gt;"",W438&lt;&gt;"",Z438&lt;W438),"Confirmed Deployed date is before DPO Approval target","")))))</f>
        <v/>
      </c>
      <c r="AK438" s="9">
        <f>IF($B438="","",IF(COUNTIF($B$2:$B$500,$B438)&gt;1,"Duplicate name - check row",""))</f>
        <v/>
      </c>
      <c r="AL438" s="1" t="n"/>
      <c r="AM438" s="9">
        <f>IF($B438="","",SUMPRODUCT(MAX(('Rework Log'!$A$3:$A$500=$B438)*ROW('Rework Log'!$A$3:$A$500))))</f>
        <v/>
      </c>
    </row>
    <row r="439">
      <c r="A439" s="1" t="n"/>
      <c r="B439" s="1" t="n"/>
      <c r="C439" s="1" t="n"/>
      <c r="D439" s="9">
        <f>IF($B439="","",IF(LEFT($AC439,3)="Yes","Blocked",IF(C439="NOT STARTED",IF(K439="","No plan date set",IF(K439&lt;TODAY(),"Review - planned start passed","On track")),IF(C439="DB Dev",IF(N439="","No target set",IF(AND(N439&lt;TODAY(),P439=""),"Overdue","On track")),IF(C439="PBI Dev",IF(Q439="","No target set",IF(AND(Q439&lt;TODAY(),S439=""),"Overdue","On track")),IF(C439="QA",IF(T439="","No target set",IF(AND(T439&lt;TODAY(),V439=""),"Overdue","On track")),IF(C439="DPO Approval",IF(W439="","No target set",IF(W439&lt;TODAY(),"Overdue","On track")),IF(C439="RELEASED IN PROD","Delivered",""))))))))</f>
        <v/>
      </c>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c r="AA439" s="1" t="n"/>
      <c r="AB439" s="1" t="n"/>
      <c r="AC439" s="1" t="n"/>
      <c r="AD439" s="9">
        <f>IF($B439="","",COUNTIF('Rework Log'!$A$3:$A$500,$B439))</f>
        <v/>
      </c>
      <c r="AE439" s="9">
        <f>IF(OR($B439="",$AM439=0),"",INDEX('Rework Log'!$C:$C,$AM439))</f>
        <v/>
      </c>
      <c r="AF439" s="9">
        <f>IF(OR($B439="",$AM439=0),"",INDEX('Rework Log'!$H:$H,$AM439))</f>
        <v/>
      </c>
      <c r="AG439" s="9">
        <f>IF(OR($B439="",$AM439=0),"",INDEX('Rework Log'!$G:$G,$AM439))</f>
        <v/>
      </c>
      <c r="AH439" s="9">
        <f>IF($B439="","",IF(W439&lt;&gt;"","DPO Approval",IF(T439&lt;&gt;"","QA",IF(Q439&lt;&gt;"","PBI Dev",IF(N439&lt;&gt;"","DB Dev","NOT STARTED")))))</f>
        <v/>
      </c>
      <c r="AI439" s="9">
        <f>IF($B439="","",IF(IF($C439="NOT STARTED",0,IF($C439="DB Dev",1,IF($C439="PBI Dev",2,IF($C439="QA",3,IF($C439="DPO Approval",4,IF($C439="RELEASED IN PROD",5,-1))))))&lt;IF($AH439="NOT STARTED",0,IF($AH439="DB Dev",1,IF($AH439="PBI Dev",2,IF($AH439="QA",3,IF($AH439="DPO Approval",4,IF($AH439="RELEASED IN PROD",5,-1)))))),"Yes - was already at "&amp;$AH439&amp;", now back at "&amp;$C439,"No"))</f>
        <v/>
      </c>
      <c r="AJ439" s="9">
        <f>IF($B439="","",IF(AND(T439&lt;&gt;"",N439&lt;&gt;"",T439&lt;N439),"QA target is before DB Dev target",IF(AND(T439&lt;&gt;"",Q439&lt;&gt;"",T439&lt;Q439),"QA target is before PBI Dev target",IF(AND(W439&lt;&gt;"",T439&lt;&gt;"",W439&lt;T439),"DPO Approval target is before QA target",IF(AND(Z439&lt;&gt;"",W439&lt;&gt;"",Z439&lt;W439),"Confirmed Deployed date is before DPO Approval target","")))))</f>
        <v/>
      </c>
      <c r="AK439" s="9">
        <f>IF($B439="","",IF(COUNTIF($B$2:$B$500,$B439)&gt;1,"Duplicate name - check row",""))</f>
        <v/>
      </c>
      <c r="AL439" s="1" t="n"/>
      <c r="AM439" s="9">
        <f>IF($B439="","",SUMPRODUCT(MAX(('Rework Log'!$A$3:$A$500=$B439)*ROW('Rework Log'!$A$3:$A$500))))</f>
        <v/>
      </c>
    </row>
    <row r="440">
      <c r="A440" s="1" t="n"/>
      <c r="B440" s="1" t="n"/>
      <c r="C440" s="1" t="n"/>
      <c r="D440" s="9">
        <f>IF($B440="","",IF(LEFT($AC440,3)="Yes","Blocked",IF(C440="NOT STARTED",IF(K440="","No plan date set",IF(K440&lt;TODAY(),"Review - planned start passed","On track")),IF(C440="DB Dev",IF(N440="","No target set",IF(AND(N440&lt;TODAY(),P440=""),"Overdue","On track")),IF(C440="PBI Dev",IF(Q440="","No target set",IF(AND(Q440&lt;TODAY(),S440=""),"Overdue","On track")),IF(C440="QA",IF(T440="","No target set",IF(AND(T440&lt;TODAY(),V440=""),"Overdue","On track")),IF(C440="DPO Approval",IF(W440="","No target set",IF(W440&lt;TODAY(),"Overdue","On track")),IF(C440="RELEASED IN PROD","Delivered",""))))))))</f>
        <v/>
      </c>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c r="AA440" s="1" t="n"/>
      <c r="AB440" s="1" t="n"/>
      <c r="AC440" s="1" t="n"/>
      <c r="AD440" s="9">
        <f>IF($B440="","",COUNTIF('Rework Log'!$A$3:$A$500,$B440))</f>
        <v/>
      </c>
      <c r="AE440" s="9">
        <f>IF(OR($B440="",$AM440=0),"",INDEX('Rework Log'!$C:$C,$AM440))</f>
        <v/>
      </c>
      <c r="AF440" s="9">
        <f>IF(OR($B440="",$AM440=0),"",INDEX('Rework Log'!$H:$H,$AM440))</f>
        <v/>
      </c>
      <c r="AG440" s="9">
        <f>IF(OR($B440="",$AM440=0),"",INDEX('Rework Log'!$G:$G,$AM440))</f>
        <v/>
      </c>
      <c r="AH440" s="9">
        <f>IF($B440="","",IF(W440&lt;&gt;"","DPO Approval",IF(T440&lt;&gt;"","QA",IF(Q440&lt;&gt;"","PBI Dev",IF(N440&lt;&gt;"","DB Dev","NOT STARTED")))))</f>
        <v/>
      </c>
      <c r="AI440" s="9">
        <f>IF($B440="","",IF(IF($C440="NOT STARTED",0,IF($C440="DB Dev",1,IF($C440="PBI Dev",2,IF($C440="QA",3,IF($C440="DPO Approval",4,IF($C440="RELEASED IN PROD",5,-1))))))&lt;IF($AH440="NOT STARTED",0,IF($AH440="DB Dev",1,IF($AH440="PBI Dev",2,IF($AH440="QA",3,IF($AH440="DPO Approval",4,IF($AH440="RELEASED IN PROD",5,-1)))))),"Yes - was already at "&amp;$AH440&amp;", now back at "&amp;$C440,"No"))</f>
        <v/>
      </c>
      <c r="AJ440" s="9">
        <f>IF($B440="","",IF(AND(T440&lt;&gt;"",N440&lt;&gt;"",T440&lt;N440),"QA target is before DB Dev target",IF(AND(T440&lt;&gt;"",Q440&lt;&gt;"",T440&lt;Q440),"QA target is before PBI Dev target",IF(AND(W440&lt;&gt;"",T440&lt;&gt;"",W440&lt;T440),"DPO Approval target is before QA target",IF(AND(Z440&lt;&gt;"",W440&lt;&gt;"",Z440&lt;W440),"Confirmed Deployed date is before DPO Approval target","")))))</f>
        <v/>
      </c>
      <c r="AK440" s="9">
        <f>IF($B440="","",IF(COUNTIF($B$2:$B$500,$B440)&gt;1,"Duplicate name - check row",""))</f>
        <v/>
      </c>
      <c r="AL440" s="1" t="n"/>
      <c r="AM440" s="9">
        <f>IF($B440="","",SUMPRODUCT(MAX(('Rework Log'!$A$3:$A$500=$B440)*ROW('Rework Log'!$A$3:$A$500))))</f>
        <v/>
      </c>
    </row>
    <row r="441">
      <c r="A441" s="1" t="n"/>
      <c r="B441" s="1" t="n"/>
      <c r="C441" s="1" t="n"/>
      <c r="D441" s="9">
        <f>IF($B441="","",IF(LEFT($AC441,3)="Yes","Blocked",IF(C441="NOT STARTED",IF(K441="","No plan date set",IF(K441&lt;TODAY(),"Review - planned start passed","On track")),IF(C441="DB Dev",IF(N441="","No target set",IF(AND(N441&lt;TODAY(),P441=""),"Overdue","On track")),IF(C441="PBI Dev",IF(Q441="","No target set",IF(AND(Q441&lt;TODAY(),S441=""),"Overdue","On track")),IF(C441="QA",IF(T441="","No target set",IF(AND(T441&lt;TODAY(),V441=""),"Overdue","On track")),IF(C441="DPO Approval",IF(W441="","No target set",IF(W441&lt;TODAY(),"Overdue","On track")),IF(C441="RELEASED IN PROD","Delivered",""))))))))</f>
        <v/>
      </c>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c r="AA441" s="1" t="n"/>
      <c r="AB441" s="1" t="n"/>
      <c r="AC441" s="1" t="n"/>
      <c r="AD441" s="9">
        <f>IF($B441="","",COUNTIF('Rework Log'!$A$3:$A$500,$B441))</f>
        <v/>
      </c>
      <c r="AE441" s="9">
        <f>IF(OR($B441="",$AM441=0),"",INDEX('Rework Log'!$C:$C,$AM441))</f>
        <v/>
      </c>
      <c r="AF441" s="9">
        <f>IF(OR($B441="",$AM441=0),"",INDEX('Rework Log'!$H:$H,$AM441))</f>
        <v/>
      </c>
      <c r="AG441" s="9">
        <f>IF(OR($B441="",$AM441=0),"",INDEX('Rework Log'!$G:$G,$AM441))</f>
        <v/>
      </c>
      <c r="AH441" s="9">
        <f>IF($B441="","",IF(W441&lt;&gt;"","DPO Approval",IF(T441&lt;&gt;"","QA",IF(Q441&lt;&gt;"","PBI Dev",IF(N441&lt;&gt;"","DB Dev","NOT STARTED")))))</f>
        <v/>
      </c>
      <c r="AI441" s="9">
        <f>IF($B441="","",IF(IF($C441="NOT STARTED",0,IF($C441="DB Dev",1,IF($C441="PBI Dev",2,IF($C441="QA",3,IF($C441="DPO Approval",4,IF($C441="RELEASED IN PROD",5,-1))))))&lt;IF($AH441="NOT STARTED",0,IF($AH441="DB Dev",1,IF($AH441="PBI Dev",2,IF($AH441="QA",3,IF($AH441="DPO Approval",4,IF($AH441="RELEASED IN PROD",5,-1)))))),"Yes - was already at "&amp;$AH441&amp;", now back at "&amp;$C441,"No"))</f>
        <v/>
      </c>
      <c r="AJ441" s="9">
        <f>IF($B441="","",IF(AND(T441&lt;&gt;"",N441&lt;&gt;"",T441&lt;N441),"QA target is before DB Dev target",IF(AND(T441&lt;&gt;"",Q441&lt;&gt;"",T441&lt;Q441),"QA target is before PBI Dev target",IF(AND(W441&lt;&gt;"",T441&lt;&gt;"",W441&lt;T441),"DPO Approval target is before QA target",IF(AND(Z441&lt;&gt;"",W441&lt;&gt;"",Z441&lt;W441),"Confirmed Deployed date is before DPO Approval target","")))))</f>
        <v/>
      </c>
      <c r="AK441" s="9">
        <f>IF($B441="","",IF(COUNTIF($B$2:$B$500,$B441)&gt;1,"Duplicate name - check row",""))</f>
        <v/>
      </c>
      <c r="AL441" s="1" t="n"/>
      <c r="AM441" s="9">
        <f>IF($B441="","",SUMPRODUCT(MAX(('Rework Log'!$A$3:$A$500=$B441)*ROW('Rework Log'!$A$3:$A$500))))</f>
        <v/>
      </c>
    </row>
    <row r="442">
      <c r="A442" s="1" t="n"/>
      <c r="B442" s="1" t="n"/>
      <c r="C442" s="1" t="n"/>
      <c r="D442" s="9">
        <f>IF($B442="","",IF(LEFT($AC442,3)="Yes","Blocked",IF(C442="NOT STARTED",IF(K442="","No plan date set",IF(K442&lt;TODAY(),"Review - planned start passed","On track")),IF(C442="DB Dev",IF(N442="","No target set",IF(AND(N442&lt;TODAY(),P442=""),"Overdue","On track")),IF(C442="PBI Dev",IF(Q442="","No target set",IF(AND(Q442&lt;TODAY(),S442=""),"Overdue","On track")),IF(C442="QA",IF(T442="","No target set",IF(AND(T442&lt;TODAY(),V442=""),"Overdue","On track")),IF(C442="DPO Approval",IF(W442="","No target set",IF(W442&lt;TODAY(),"Overdue","On track")),IF(C442="RELEASED IN PROD","Delivered",""))))))))</f>
        <v/>
      </c>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c r="AA442" s="1" t="n"/>
      <c r="AB442" s="1" t="n"/>
      <c r="AC442" s="1" t="n"/>
      <c r="AD442" s="9">
        <f>IF($B442="","",COUNTIF('Rework Log'!$A$3:$A$500,$B442))</f>
        <v/>
      </c>
      <c r="AE442" s="9">
        <f>IF(OR($B442="",$AM442=0),"",INDEX('Rework Log'!$C:$C,$AM442))</f>
        <v/>
      </c>
      <c r="AF442" s="9">
        <f>IF(OR($B442="",$AM442=0),"",INDEX('Rework Log'!$H:$H,$AM442))</f>
        <v/>
      </c>
      <c r="AG442" s="9">
        <f>IF(OR($B442="",$AM442=0),"",INDEX('Rework Log'!$G:$G,$AM442))</f>
        <v/>
      </c>
      <c r="AH442" s="9">
        <f>IF($B442="","",IF(W442&lt;&gt;"","DPO Approval",IF(T442&lt;&gt;"","QA",IF(Q442&lt;&gt;"","PBI Dev",IF(N442&lt;&gt;"","DB Dev","NOT STARTED")))))</f>
        <v/>
      </c>
      <c r="AI442" s="9">
        <f>IF($B442="","",IF(IF($C442="NOT STARTED",0,IF($C442="DB Dev",1,IF($C442="PBI Dev",2,IF($C442="QA",3,IF($C442="DPO Approval",4,IF($C442="RELEASED IN PROD",5,-1))))))&lt;IF($AH442="NOT STARTED",0,IF($AH442="DB Dev",1,IF($AH442="PBI Dev",2,IF($AH442="QA",3,IF($AH442="DPO Approval",4,IF($AH442="RELEASED IN PROD",5,-1)))))),"Yes - was already at "&amp;$AH442&amp;", now back at "&amp;$C442,"No"))</f>
        <v/>
      </c>
      <c r="AJ442" s="9">
        <f>IF($B442="","",IF(AND(T442&lt;&gt;"",N442&lt;&gt;"",T442&lt;N442),"QA target is before DB Dev target",IF(AND(T442&lt;&gt;"",Q442&lt;&gt;"",T442&lt;Q442),"QA target is before PBI Dev target",IF(AND(W442&lt;&gt;"",T442&lt;&gt;"",W442&lt;T442),"DPO Approval target is before QA target",IF(AND(Z442&lt;&gt;"",W442&lt;&gt;"",Z442&lt;W442),"Confirmed Deployed date is before DPO Approval target","")))))</f>
        <v/>
      </c>
      <c r="AK442" s="9">
        <f>IF($B442="","",IF(COUNTIF($B$2:$B$500,$B442)&gt;1,"Duplicate name - check row",""))</f>
        <v/>
      </c>
      <c r="AL442" s="1" t="n"/>
      <c r="AM442" s="9">
        <f>IF($B442="","",SUMPRODUCT(MAX(('Rework Log'!$A$3:$A$500=$B442)*ROW('Rework Log'!$A$3:$A$500))))</f>
        <v/>
      </c>
    </row>
    <row r="443">
      <c r="A443" s="1" t="n"/>
      <c r="B443" s="1" t="n"/>
      <c r="C443" s="1" t="n"/>
      <c r="D443" s="9">
        <f>IF($B443="","",IF(LEFT($AC443,3)="Yes","Blocked",IF(C443="NOT STARTED",IF(K443="","No plan date set",IF(K443&lt;TODAY(),"Review - planned start passed","On track")),IF(C443="DB Dev",IF(N443="","No target set",IF(AND(N443&lt;TODAY(),P443=""),"Overdue","On track")),IF(C443="PBI Dev",IF(Q443="","No target set",IF(AND(Q443&lt;TODAY(),S443=""),"Overdue","On track")),IF(C443="QA",IF(T443="","No target set",IF(AND(T443&lt;TODAY(),V443=""),"Overdue","On track")),IF(C443="DPO Approval",IF(W443="","No target set",IF(W443&lt;TODAY(),"Overdue","On track")),IF(C443="RELEASED IN PROD","Delivered",""))))))))</f>
        <v/>
      </c>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c r="AA443" s="1" t="n"/>
      <c r="AB443" s="1" t="n"/>
      <c r="AC443" s="1" t="n"/>
      <c r="AD443" s="9">
        <f>IF($B443="","",COUNTIF('Rework Log'!$A$3:$A$500,$B443))</f>
        <v/>
      </c>
      <c r="AE443" s="9">
        <f>IF(OR($B443="",$AM443=0),"",INDEX('Rework Log'!$C:$C,$AM443))</f>
        <v/>
      </c>
      <c r="AF443" s="9">
        <f>IF(OR($B443="",$AM443=0),"",INDEX('Rework Log'!$H:$H,$AM443))</f>
        <v/>
      </c>
      <c r="AG443" s="9">
        <f>IF(OR($B443="",$AM443=0),"",INDEX('Rework Log'!$G:$G,$AM443))</f>
        <v/>
      </c>
      <c r="AH443" s="9">
        <f>IF($B443="","",IF(W443&lt;&gt;"","DPO Approval",IF(T443&lt;&gt;"","QA",IF(Q443&lt;&gt;"","PBI Dev",IF(N443&lt;&gt;"","DB Dev","NOT STARTED")))))</f>
        <v/>
      </c>
      <c r="AI443" s="9">
        <f>IF($B443="","",IF(IF($C443="NOT STARTED",0,IF($C443="DB Dev",1,IF($C443="PBI Dev",2,IF($C443="QA",3,IF($C443="DPO Approval",4,IF($C443="RELEASED IN PROD",5,-1))))))&lt;IF($AH443="NOT STARTED",0,IF($AH443="DB Dev",1,IF($AH443="PBI Dev",2,IF($AH443="QA",3,IF($AH443="DPO Approval",4,IF($AH443="RELEASED IN PROD",5,-1)))))),"Yes - was already at "&amp;$AH443&amp;", now back at "&amp;$C443,"No"))</f>
        <v/>
      </c>
      <c r="AJ443" s="9">
        <f>IF($B443="","",IF(AND(T443&lt;&gt;"",N443&lt;&gt;"",T443&lt;N443),"QA target is before DB Dev target",IF(AND(T443&lt;&gt;"",Q443&lt;&gt;"",T443&lt;Q443),"QA target is before PBI Dev target",IF(AND(W443&lt;&gt;"",T443&lt;&gt;"",W443&lt;T443),"DPO Approval target is before QA target",IF(AND(Z443&lt;&gt;"",W443&lt;&gt;"",Z443&lt;W443),"Confirmed Deployed date is before DPO Approval target","")))))</f>
        <v/>
      </c>
      <c r="AK443" s="9">
        <f>IF($B443="","",IF(COUNTIF($B$2:$B$500,$B443)&gt;1,"Duplicate name - check row",""))</f>
        <v/>
      </c>
      <c r="AL443" s="1" t="n"/>
      <c r="AM443" s="9">
        <f>IF($B443="","",SUMPRODUCT(MAX(('Rework Log'!$A$3:$A$500=$B443)*ROW('Rework Log'!$A$3:$A$500))))</f>
        <v/>
      </c>
    </row>
    <row r="444">
      <c r="A444" s="1" t="n"/>
      <c r="B444" s="1" t="n"/>
      <c r="C444" s="1" t="n"/>
      <c r="D444" s="9">
        <f>IF($B444="","",IF(LEFT($AC444,3)="Yes","Blocked",IF(C444="NOT STARTED",IF(K444="","No plan date set",IF(K444&lt;TODAY(),"Review - planned start passed","On track")),IF(C444="DB Dev",IF(N444="","No target set",IF(AND(N444&lt;TODAY(),P444=""),"Overdue","On track")),IF(C444="PBI Dev",IF(Q444="","No target set",IF(AND(Q444&lt;TODAY(),S444=""),"Overdue","On track")),IF(C444="QA",IF(T444="","No target set",IF(AND(T444&lt;TODAY(),V444=""),"Overdue","On track")),IF(C444="DPO Approval",IF(W444="","No target set",IF(W444&lt;TODAY(),"Overdue","On track")),IF(C444="RELEASED IN PROD","Delivered",""))))))))</f>
        <v/>
      </c>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c r="AA444" s="1" t="n"/>
      <c r="AB444" s="1" t="n"/>
      <c r="AC444" s="1" t="n"/>
      <c r="AD444" s="9">
        <f>IF($B444="","",COUNTIF('Rework Log'!$A$3:$A$500,$B444))</f>
        <v/>
      </c>
      <c r="AE444" s="9">
        <f>IF(OR($B444="",$AM444=0),"",INDEX('Rework Log'!$C:$C,$AM444))</f>
        <v/>
      </c>
      <c r="AF444" s="9">
        <f>IF(OR($B444="",$AM444=0),"",INDEX('Rework Log'!$H:$H,$AM444))</f>
        <v/>
      </c>
      <c r="AG444" s="9">
        <f>IF(OR($B444="",$AM444=0),"",INDEX('Rework Log'!$G:$G,$AM444))</f>
        <v/>
      </c>
      <c r="AH444" s="9">
        <f>IF($B444="","",IF(W444&lt;&gt;"","DPO Approval",IF(T444&lt;&gt;"","QA",IF(Q444&lt;&gt;"","PBI Dev",IF(N444&lt;&gt;"","DB Dev","NOT STARTED")))))</f>
        <v/>
      </c>
      <c r="AI444" s="9">
        <f>IF($B444="","",IF(IF($C444="NOT STARTED",0,IF($C444="DB Dev",1,IF($C444="PBI Dev",2,IF($C444="QA",3,IF($C444="DPO Approval",4,IF($C444="RELEASED IN PROD",5,-1))))))&lt;IF($AH444="NOT STARTED",0,IF($AH444="DB Dev",1,IF($AH444="PBI Dev",2,IF($AH444="QA",3,IF($AH444="DPO Approval",4,IF($AH444="RELEASED IN PROD",5,-1)))))),"Yes - was already at "&amp;$AH444&amp;", now back at "&amp;$C444,"No"))</f>
        <v/>
      </c>
      <c r="AJ444" s="9">
        <f>IF($B444="","",IF(AND(T444&lt;&gt;"",N444&lt;&gt;"",T444&lt;N444),"QA target is before DB Dev target",IF(AND(T444&lt;&gt;"",Q444&lt;&gt;"",T444&lt;Q444),"QA target is before PBI Dev target",IF(AND(W444&lt;&gt;"",T444&lt;&gt;"",W444&lt;T444),"DPO Approval target is before QA target",IF(AND(Z444&lt;&gt;"",W444&lt;&gt;"",Z444&lt;W444),"Confirmed Deployed date is before DPO Approval target","")))))</f>
        <v/>
      </c>
      <c r="AK444" s="9">
        <f>IF($B444="","",IF(COUNTIF($B$2:$B$500,$B444)&gt;1,"Duplicate name - check row",""))</f>
        <v/>
      </c>
      <c r="AL444" s="1" t="n"/>
      <c r="AM444" s="9">
        <f>IF($B444="","",SUMPRODUCT(MAX(('Rework Log'!$A$3:$A$500=$B444)*ROW('Rework Log'!$A$3:$A$500))))</f>
        <v/>
      </c>
    </row>
    <row r="445">
      <c r="A445" s="1" t="n"/>
      <c r="B445" s="1" t="n"/>
      <c r="C445" s="1" t="n"/>
      <c r="D445" s="9">
        <f>IF($B445="","",IF(LEFT($AC445,3)="Yes","Blocked",IF(C445="NOT STARTED",IF(K445="","No plan date set",IF(K445&lt;TODAY(),"Review - planned start passed","On track")),IF(C445="DB Dev",IF(N445="","No target set",IF(AND(N445&lt;TODAY(),P445=""),"Overdue","On track")),IF(C445="PBI Dev",IF(Q445="","No target set",IF(AND(Q445&lt;TODAY(),S445=""),"Overdue","On track")),IF(C445="QA",IF(T445="","No target set",IF(AND(T445&lt;TODAY(),V445=""),"Overdue","On track")),IF(C445="DPO Approval",IF(W445="","No target set",IF(W445&lt;TODAY(),"Overdue","On track")),IF(C445="RELEASED IN PROD","Delivered",""))))))))</f>
        <v/>
      </c>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c r="AA445" s="1" t="n"/>
      <c r="AB445" s="1" t="n"/>
      <c r="AC445" s="1" t="n"/>
      <c r="AD445" s="9">
        <f>IF($B445="","",COUNTIF('Rework Log'!$A$3:$A$500,$B445))</f>
        <v/>
      </c>
      <c r="AE445" s="9">
        <f>IF(OR($B445="",$AM445=0),"",INDEX('Rework Log'!$C:$C,$AM445))</f>
        <v/>
      </c>
      <c r="AF445" s="9">
        <f>IF(OR($B445="",$AM445=0),"",INDEX('Rework Log'!$H:$H,$AM445))</f>
        <v/>
      </c>
      <c r="AG445" s="9">
        <f>IF(OR($B445="",$AM445=0),"",INDEX('Rework Log'!$G:$G,$AM445))</f>
        <v/>
      </c>
      <c r="AH445" s="9">
        <f>IF($B445="","",IF(W445&lt;&gt;"","DPO Approval",IF(T445&lt;&gt;"","QA",IF(Q445&lt;&gt;"","PBI Dev",IF(N445&lt;&gt;"","DB Dev","NOT STARTED")))))</f>
        <v/>
      </c>
      <c r="AI445" s="9">
        <f>IF($B445="","",IF(IF($C445="NOT STARTED",0,IF($C445="DB Dev",1,IF($C445="PBI Dev",2,IF($C445="QA",3,IF($C445="DPO Approval",4,IF($C445="RELEASED IN PROD",5,-1))))))&lt;IF($AH445="NOT STARTED",0,IF($AH445="DB Dev",1,IF($AH445="PBI Dev",2,IF($AH445="QA",3,IF($AH445="DPO Approval",4,IF($AH445="RELEASED IN PROD",5,-1)))))),"Yes - was already at "&amp;$AH445&amp;", now back at "&amp;$C445,"No"))</f>
        <v/>
      </c>
      <c r="AJ445" s="9">
        <f>IF($B445="","",IF(AND(T445&lt;&gt;"",N445&lt;&gt;"",T445&lt;N445),"QA target is before DB Dev target",IF(AND(T445&lt;&gt;"",Q445&lt;&gt;"",T445&lt;Q445),"QA target is before PBI Dev target",IF(AND(W445&lt;&gt;"",T445&lt;&gt;"",W445&lt;T445),"DPO Approval target is before QA target",IF(AND(Z445&lt;&gt;"",W445&lt;&gt;"",Z445&lt;W445),"Confirmed Deployed date is before DPO Approval target","")))))</f>
        <v/>
      </c>
      <c r="AK445" s="9">
        <f>IF($B445="","",IF(COUNTIF($B$2:$B$500,$B445)&gt;1,"Duplicate name - check row",""))</f>
        <v/>
      </c>
      <c r="AL445" s="1" t="n"/>
      <c r="AM445" s="9">
        <f>IF($B445="","",SUMPRODUCT(MAX(('Rework Log'!$A$3:$A$500=$B445)*ROW('Rework Log'!$A$3:$A$500))))</f>
        <v/>
      </c>
    </row>
    <row r="446">
      <c r="A446" s="1" t="n"/>
      <c r="B446" s="1" t="n"/>
      <c r="C446" s="1" t="n"/>
      <c r="D446" s="9">
        <f>IF($B446="","",IF(LEFT($AC446,3)="Yes","Blocked",IF(C446="NOT STARTED",IF(K446="","No plan date set",IF(K446&lt;TODAY(),"Review - planned start passed","On track")),IF(C446="DB Dev",IF(N446="","No target set",IF(AND(N446&lt;TODAY(),P446=""),"Overdue","On track")),IF(C446="PBI Dev",IF(Q446="","No target set",IF(AND(Q446&lt;TODAY(),S446=""),"Overdue","On track")),IF(C446="QA",IF(T446="","No target set",IF(AND(T446&lt;TODAY(),V446=""),"Overdue","On track")),IF(C446="DPO Approval",IF(W446="","No target set",IF(W446&lt;TODAY(),"Overdue","On track")),IF(C446="RELEASED IN PROD","Delivered",""))))))))</f>
        <v/>
      </c>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c r="AA446" s="1" t="n"/>
      <c r="AB446" s="1" t="n"/>
      <c r="AC446" s="1" t="n"/>
      <c r="AD446" s="9">
        <f>IF($B446="","",COUNTIF('Rework Log'!$A$3:$A$500,$B446))</f>
        <v/>
      </c>
      <c r="AE446" s="9">
        <f>IF(OR($B446="",$AM446=0),"",INDEX('Rework Log'!$C:$C,$AM446))</f>
        <v/>
      </c>
      <c r="AF446" s="9">
        <f>IF(OR($B446="",$AM446=0),"",INDEX('Rework Log'!$H:$H,$AM446))</f>
        <v/>
      </c>
      <c r="AG446" s="9">
        <f>IF(OR($B446="",$AM446=0),"",INDEX('Rework Log'!$G:$G,$AM446))</f>
        <v/>
      </c>
      <c r="AH446" s="9">
        <f>IF($B446="","",IF(W446&lt;&gt;"","DPO Approval",IF(T446&lt;&gt;"","QA",IF(Q446&lt;&gt;"","PBI Dev",IF(N446&lt;&gt;"","DB Dev","NOT STARTED")))))</f>
        <v/>
      </c>
      <c r="AI446" s="9">
        <f>IF($B446="","",IF(IF($C446="NOT STARTED",0,IF($C446="DB Dev",1,IF($C446="PBI Dev",2,IF($C446="QA",3,IF($C446="DPO Approval",4,IF($C446="RELEASED IN PROD",5,-1))))))&lt;IF($AH446="NOT STARTED",0,IF($AH446="DB Dev",1,IF($AH446="PBI Dev",2,IF($AH446="QA",3,IF($AH446="DPO Approval",4,IF($AH446="RELEASED IN PROD",5,-1)))))),"Yes - was already at "&amp;$AH446&amp;", now back at "&amp;$C446,"No"))</f>
        <v/>
      </c>
      <c r="AJ446" s="9">
        <f>IF($B446="","",IF(AND(T446&lt;&gt;"",N446&lt;&gt;"",T446&lt;N446),"QA target is before DB Dev target",IF(AND(T446&lt;&gt;"",Q446&lt;&gt;"",T446&lt;Q446),"QA target is before PBI Dev target",IF(AND(W446&lt;&gt;"",T446&lt;&gt;"",W446&lt;T446),"DPO Approval target is before QA target",IF(AND(Z446&lt;&gt;"",W446&lt;&gt;"",Z446&lt;W446),"Confirmed Deployed date is before DPO Approval target","")))))</f>
        <v/>
      </c>
      <c r="AK446" s="9">
        <f>IF($B446="","",IF(COUNTIF($B$2:$B$500,$B446)&gt;1,"Duplicate name - check row",""))</f>
        <v/>
      </c>
      <c r="AL446" s="1" t="n"/>
      <c r="AM446" s="9">
        <f>IF($B446="","",SUMPRODUCT(MAX(('Rework Log'!$A$3:$A$500=$B446)*ROW('Rework Log'!$A$3:$A$500))))</f>
        <v/>
      </c>
    </row>
    <row r="447">
      <c r="A447" s="1" t="n"/>
      <c r="B447" s="1" t="n"/>
      <c r="C447" s="1" t="n"/>
      <c r="D447" s="9">
        <f>IF($B447="","",IF(LEFT($AC447,3)="Yes","Blocked",IF(C447="NOT STARTED",IF(K447="","No plan date set",IF(K447&lt;TODAY(),"Review - planned start passed","On track")),IF(C447="DB Dev",IF(N447="","No target set",IF(AND(N447&lt;TODAY(),P447=""),"Overdue","On track")),IF(C447="PBI Dev",IF(Q447="","No target set",IF(AND(Q447&lt;TODAY(),S447=""),"Overdue","On track")),IF(C447="QA",IF(T447="","No target set",IF(AND(T447&lt;TODAY(),V447=""),"Overdue","On track")),IF(C447="DPO Approval",IF(W447="","No target set",IF(W447&lt;TODAY(),"Overdue","On track")),IF(C447="RELEASED IN PROD","Delivered",""))))))))</f>
        <v/>
      </c>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c r="AA447" s="1" t="n"/>
      <c r="AB447" s="1" t="n"/>
      <c r="AC447" s="1" t="n"/>
      <c r="AD447" s="9">
        <f>IF($B447="","",COUNTIF('Rework Log'!$A$3:$A$500,$B447))</f>
        <v/>
      </c>
      <c r="AE447" s="9">
        <f>IF(OR($B447="",$AM447=0),"",INDEX('Rework Log'!$C:$C,$AM447))</f>
        <v/>
      </c>
      <c r="AF447" s="9">
        <f>IF(OR($B447="",$AM447=0),"",INDEX('Rework Log'!$H:$H,$AM447))</f>
        <v/>
      </c>
      <c r="AG447" s="9">
        <f>IF(OR($B447="",$AM447=0),"",INDEX('Rework Log'!$G:$G,$AM447))</f>
        <v/>
      </c>
      <c r="AH447" s="9">
        <f>IF($B447="","",IF(W447&lt;&gt;"","DPO Approval",IF(T447&lt;&gt;"","QA",IF(Q447&lt;&gt;"","PBI Dev",IF(N447&lt;&gt;"","DB Dev","NOT STARTED")))))</f>
        <v/>
      </c>
      <c r="AI447" s="9">
        <f>IF($B447="","",IF(IF($C447="NOT STARTED",0,IF($C447="DB Dev",1,IF($C447="PBI Dev",2,IF($C447="QA",3,IF($C447="DPO Approval",4,IF($C447="RELEASED IN PROD",5,-1))))))&lt;IF($AH447="NOT STARTED",0,IF($AH447="DB Dev",1,IF($AH447="PBI Dev",2,IF($AH447="QA",3,IF($AH447="DPO Approval",4,IF($AH447="RELEASED IN PROD",5,-1)))))),"Yes - was already at "&amp;$AH447&amp;", now back at "&amp;$C447,"No"))</f>
        <v/>
      </c>
      <c r="AJ447" s="9">
        <f>IF($B447="","",IF(AND(T447&lt;&gt;"",N447&lt;&gt;"",T447&lt;N447),"QA target is before DB Dev target",IF(AND(T447&lt;&gt;"",Q447&lt;&gt;"",T447&lt;Q447),"QA target is before PBI Dev target",IF(AND(W447&lt;&gt;"",T447&lt;&gt;"",W447&lt;T447),"DPO Approval target is before QA target",IF(AND(Z447&lt;&gt;"",W447&lt;&gt;"",Z447&lt;W447),"Confirmed Deployed date is before DPO Approval target","")))))</f>
        <v/>
      </c>
      <c r="AK447" s="9">
        <f>IF($B447="","",IF(COUNTIF($B$2:$B$500,$B447)&gt;1,"Duplicate name - check row",""))</f>
        <v/>
      </c>
      <c r="AL447" s="1" t="n"/>
      <c r="AM447" s="9">
        <f>IF($B447="","",SUMPRODUCT(MAX(('Rework Log'!$A$3:$A$500=$B447)*ROW('Rework Log'!$A$3:$A$500))))</f>
        <v/>
      </c>
    </row>
    <row r="448">
      <c r="A448" s="1" t="n"/>
      <c r="B448" s="1" t="n"/>
      <c r="C448" s="1" t="n"/>
      <c r="D448" s="9">
        <f>IF($B448="","",IF(LEFT($AC448,3)="Yes","Blocked",IF(C448="NOT STARTED",IF(K448="","No plan date set",IF(K448&lt;TODAY(),"Review - planned start passed","On track")),IF(C448="DB Dev",IF(N448="","No target set",IF(AND(N448&lt;TODAY(),P448=""),"Overdue","On track")),IF(C448="PBI Dev",IF(Q448="","No target set",IF(AND(Q448&lt;TODAY(),S448=""),"Overdue","On track")),IF(C448="QA",IF(T448="","No target set",IF(AND(T448&lt;TODAY(),V448=""),"Overdue","On track")),IF(C448="DPO Approval",IF(W448="","No target set",IF(W448&lt;TODAY(),"Overdue","On track")),IF(C448="RELEASED IN PROD","Delivered",""))))))))</f>
        <v/>
      </c>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c r="AA448" s="1" t="n"/>
      <c r="AB448" s="1" t="n"/>
      <c r="AC448" s="1" t="n"/>
      <c r="AD448" s="9">
        <f>IF($B448="","",COUNTIF('Rework Log'!$A$3:$A$500,$B448))</f>
        <v/>
      </c>
      <c r="AE448" s="9">
        <f>IF(OR($B448="",$AM448=0),"",INDEX('Rework Log'!$C:$C,$AM448))</f>
        <v/>
      </c>
      <c r="AF448" s="9">
        <f>IF(OR($B448="",$AM448=0),"",INDEX('Rework Log'!$H:$H,$AM448))</f>
        <v/>
      </c>
      <c r="AG448" s="9">
        <f>IF(OR($B448="",$AM448=0),"",INDEX('Rework Log'!$G:$G,$AM448))</f>
        <v/>
      </c>
      <c r="AH448" s="9">
        <f>IF($B448="","",IF(W448&lt;&gt;"","DPO Approval",IF(T448&lt;&gt;"","QA",IF(Q448&lt;&gt;"","PBI Dev",IF(N448&lt;&gt;"","DB Dev","NOT STARTED")))))</f>
        <v/>
      </c>
      <c r="AI448" s="9">
        <f>IF($B448="","",IF(IF($C448="NOT STARTED",0,IF($C448="DB Dev",1,IF($C448="PBI Dev",2,IF($C448="QA",3,IF($C448="DPO Approval",4,IF($C448="RELEASED IN PROD",5,-1))))))&lt;IF($AH448="NOT STARTED",0,IF($AH448="DB Dev",1,IF($AH448="PBI Dev",2,IF($AH448="QA",3,IF($AH448="DPO Approval",4,IF($AH448="RELEASED IN PROD",5,-1)))))),"Yes - was already at "&amp;$AH448&amp;", now back at "&amp;$C448,"No"))</f>
        <v/>
      </c>
      <c r="AJ448" s="9">
        <f>IF($B448="","",IF(AND(T448&lt;&gt;"",N448&lt;&gt;"",T448&lt;N448),"QA target is before DB Dev target",IF(AND(T448&lt;&gt;"",Q448&lt;&gt;"",T448&lt;Q448),"QA target is before PBI Dev target",IF(AND(W448&lt;&gt;"",T448&lt;&gt;"",W448&lt;T448),"DPO Approval target is before QA target",IF(AND(Z448&lt;&gt;"",W448&lt;&gt;"",Z448&lt;W448),"Confirmed Deployed date is before DPO Approval target","")))))</f>
        <v/>
      </c>
      <c r="AK448" s="9">
        <f>IF($B448="","",IF(COUNTIF($B$2:$B$500,$B448)&gt;1,"Duplicate name - check row",""))</f>
        <v/>
      </c>
      <c r="AL448" s="1" t="n"/>
      <c r="AM448" s="9">
        <f>IF($B448="","",SUMPRODUCT(MAX(('Rework Log'!$A$3:$A$500=$B448)*ROW('Rework Log'!$A$3:$A$500))))</f>
        <v/>
      </c>
    </row>
    <row r="449">
      <c r="A449" s="1" t="n"/>
      <c r="B449" s="1" t="n"/>
      <c r="C449" s="1" t="n"/>
      <c r="D449" s="9">
        <f>IF($B449="","",IF(LEFT($AC449,3)="Yes","Blocked",IF(C449="NOT STARTED",IF(K449="","No plan date set",IF(K449&lt;TODAY(),"Review - planned start passed","On track")),IF(C449="DB Dev",IF(N449="","No target set",IF(AND(N449&lt;TODAY(),P449=""),"Overdue","On track")),IF(C449="PBI Dev",IF(Q449="","No target set",IF(AND(Q449&lt;TODAY(),S449=""),"Overdue","On track")),IF(C449="QA",IF(T449="","No target set",IF(AND(T449&lt;TODAY(),V449=""),"Overdue","On track")),IF(C449="DPO Approval",IF(W449="","No target set",IF(W449&lt;TODAY(),"Overdue","On track")),IF(C449="RELEASED IN PROD","Delivered",""))))))))</f>
        <v/>
      </c>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c r="AA449" s="1" t="n"/>
      <c r="AB449" s="1" t="n"/>
      <c r="AC449" s="1" t="n"/>
      <c r="AD449" s="9">
        <f>IF($B449="","",COUNTIF('Rework Log'!$A$3:$A$500,$B449))</f>
        <v/>
      </c>
      <c r="AE449" s="9">
        <f>IF(OR($B449="",$AM449=0),"",INDEX('Rework Log'!$C:$C,$AM449))</f>
        <v/>
      </c>
      <c r="AF449" s="9">
        <f>IF(OR($B449="",$AM449=0),"",INDEX('Rework Log'!$H:$H,$AM449))</f>
        <v/>
      </c>
      <c r="AG449" s="9">
        <f>IF(OR($B449="",$AM449=0),"",INDEX('Rework Log'!$G:$G,$AM449))</f>
        <v/>
      </c>
      <c r="AH449" s="9">
        <f>IF($B449="","",IF(W449&lt;&gt;"","DPO Approval",IF(T449&lt;&gt;"","QA",IF(Q449&lt;&gt;"","PBI Dev",IF(N449&lt;&gt;"","DB Dev","NOT STARTED")))))</f>
        <v/>
      </c>
      <c r="AI449" s="9">
        <f>IF($B449="","",IF(IF($C449="NOT STARTED",0,IF($C449="DB Dev",1,IF($C449="PBI Dev",2,IF($C449="QA",3,IF($C449="DPO Approval",4,IF($C449="RELEASED IN PROD",5,-1))))))&lt;IF($AH449="NOT STARTED",0,IF($AH449="DB Dev",1,IF($AH449="PBI Dev",2,IF($AH449="QA",3,IF($AH449="DPO Approval",4,IF($AH449="RELEASED IN PROD",5,-1)))))),"Yes - was already at "&amp;$AH449&amp;", now back at "&amp;$C449,"No"))</f>
        <v/>
      </c>
      <c r="AJ449" s="9">
        <f>IF($B449="","",IF(AND(T449&lt;&gt;"",N449&lt;&gt;"",T449&lt;N449),"QA target is before DB Dev target",IF(AND(T449&lt;&gt;"",Q449&lt;&gt;"",T449&lt;Q449),"QA target is before PBI Dev target",IF(AND(W449&lt;&gt;"",T449&lt;&gt;"",W449&lt;T449),"DPO Approval target is before QA target",IF(AND(Z449&lt;&gt;"",W449&lt;&gt;"",Z449&lt;W449),"Confirmed Deployed date is before DPO Approval target","")))))</f>
        <v/>
      </c>
      <c r="AK449" s="9">
        <f>IF($B449="","",IF(COUNTIF($B$2:$B$500,$B449)&gt;1,"Duplicate name - check row",""))</f>
        <v/>
      </c>
      <c r="AL449" s="1" t="n"/>
      <c r="AM449" s="9">
        <f>IF($B449="","",SUMPRODUCT(MAX(('Rework Log'!$A$3:$A$500=$B449)*ROW('Rework Log'!$A$3:$A$500))))</f>
        <v/>
      </c>
    </row>
    <row r="450">
      <c r="A450" s="1" t="n"/>
      <c r="B450" s="1" t="n"/>
      <c r="C450" s="1" t="n"/>
      <c r="D450" s="9">
        <f>IF($B450="","",IF(LEFT($AC450,3)="Yes","Blocked",IF(C450="NOT STARTED",IF(K450="","No plan date set",IF(K450&lt;TODAY(),"Review - planned start passed","On track")),IF(C450="DB Dev",IF(N450="","No target set",IF(AND(N450&lt;TODAY(),P450=""),"Overdue","On track")),IF(C450="PBI Dev",IF(Q450="","No target set",IF(AND(Q450&lt;TODAY(),S450=""),"Overdue","On track")),IF(C450="QA",IF(T450="","No target set",IF(AND(T450&lt;TODAY(),V450=""),"Overdue","On track")),IF(C450="DPO Approval",IF(W450="","No target set",IF(W450&lt;TODAY(),"Overdue","On track")),IF(C450="RELEASED IN PROD","Delivered",""))))))))</f>
        <v/>
      </c>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c r="AA450" s="1" t="n"/>
      <c r="AB450" s="1" t="n"/>
      <c r="AC450" s="1" t="n"/>
      <c r="AD450" s="9">
        <f>IF($B450="","",COUNTIF('Rework Log'!$A$3:$A$500,$B450))</f>
        <v/>
      </c>
      <c r="AE450" s="9">
        <f>IF(OR($B450="",$AM450=0),"",INDEX('Rework Log'!$C:$C,$AM450))</f>
        <v/>
      </c>
      <c r="AF450" s="9">
        <f>IF(OR($B450="",$AM450=0),"",INDEX('Rework Log'!$H:$H,$AM450))</f>
        <v/>
      </c>
      <c r="AG450" s="9">
        <f>IF(OR($B450="",$AM450=0),"",INDEX('Rework Log'!$G:$G,$AM450))</f>
        <v/>
      </c>
      <c r="AH450" s="9">
        <f>IF($B450="","",IF(W450&lt;&gt;"","DPO Approval",IF(T450&lt;&gt;"","QA",IF(Q450&lt;&gt;"","PBI Dev",IF(N450&lt;&gt;"","DB Dev","NOT STARTED")))))</f>
        <v/>
      </c>
      <c r="AI450" s="9">
        <f>IF($B450="","",IF(IF($C450="NOT STARTED",0,IF($C450="DB Dev",1,IF($C450="PBI Dev",2,IF($C450="QA",3,IF($C450="DPO Approval",4,IF($C450="RELEASED IN PROD",5,-1))))))&lt;IF($AH450="NOT STARTED",0,IF($AH450="DB Dev",1,IF($AH450="PBI Dev",2,IF($AH450="QA",3,IF($AH450="DPO Approval",4,IF($AH450="RELEASED IN PROD",5,-1)))))),"Yes - was already at "&amp;$AH450&amp;", now back at "&amp;$C450,"No"))</f>
        <v/>
      </c>
      <c r="AJ450" s="9">
        <f>IF($B450="","",IF(AND(T450&lt;&gt;"",N450&lt;&gt;"",T450&lt;N450),"QA target is before DB Dev target",IF(AND(T450&lt;&gt;"",Q450&lt;&gt;"",T450&lt;Q450),"QA target is before PBI Dev target",IF(AND(W450&lt;&gt;"",T450&lt;&gt;"",W450&lt;T450),"DPO Approval target is before QA target",IF(AND(Z450&lt;&gt;"",W450&lt;&gt;"",Z450&lt;W450),"Confirmed Deployed date is before DPO Approval target","")))))</f>
        <v/>
      </c>
      <c r="AK450" s="9">
        <f>IF($B450="","",IF(COUNTIF($B$2:$B$500,$B450)&gt;1,"Duplicate name - check row",""))</f>
        <v/>
      </c>
      <c r="AL450" s="1" t="n"/>
      <c r="AM450" s="9">
        <f>IF($B450="","",SUMPRODUCT(MAX(('Rework Log'!$A$3:$A$500=$B450)*ROW('Rework Log'!$A$3:$A$500))))</f>
        <v/>
      </c>
    </row>
    <row r="451">
      <c r="A451" s="1" t="n"/>
      <c r="B451" s="1" t="n"/>
      <c r="C451" s="1" t="n"/>
      <c r="D451" s="9">
        <f>IF($B451="","",IF(LEFT($AC451,3)="Yes","Blocked",IF(C451="NOT STARTED",IF(K451="","No plan date set",IF(K451&lt;TODAY(),"Review - planned start passed","On track")),IF(C451="DB Dev",IF(N451="","No target set",IF(AND(N451&lt;TODAY(),P451=""),"Overdue","On track")),IF(C451="PBI Dev",IF(Q451="","No target set",IF(AND(Q451&lt;TODAY(),S451=""),"Overdue","On track")),IF(C451="QA",IF(T451="","No target set",IF(AND(T451&lt;TODAY(),V451=""),"Overdue","On track")),IF(C451="DPO Approval",IF(W451="","No target set",IF(W451&lt;TODAY(),"Overdue","On track")),IF(C451="RELEASED IN PROD","Delivered",""))))))))</f>
        <v/>
      </c>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c r="AA451" s="1" t="n"/>
      <c r="AB451" s="1" t="n"/>
      <c r="AC451" s="1" t="n"/>
      <c r="AD451" s="9">
        <f>IF($B451="","",COUNTIF('Rework Log'!$A$3:$A$500,$B451))</f>
        <v/>
      </c>
      <c r="AE451" s="9">
        <f>IF(OR($B451="",$AM451=0),"",INDEX('Rework Log'!$C:$C,$AM451))</f>
        <v/>
      </c>
      <c r="AF451" s="9">
        <f>IF(OR($B451="",$AM451=0),"",INDEX('Rework Log'!$H:$H,$AM451))</f>
        <v/>
      </c>
      <c r="AG451" s="9">
        <f>IF(OR($B451="",$AM451=0),"",INDEX('Rework Log'!$G:$G,$AM451))</f>
        <v/>
      </c>
      <c r="AH451" s="9">
        <f>IF($B451="","",IF(W451&lt;&gt;"","DPO Approval",IF(T451&lt;&gt;"","QA",IF(Q451&lt;&gt;"","PBI Dev",IF(N451&lt;&gt;"","DB Dev","NOT STARTED")))))</f>
        <v/>
      </c>
      <c r="AI451" s="9">
        <f>IF($B451="","",IF(IF($C451="NOT STARTED",0,IF($C451="DB Dev",1,IF($C451="PBI Dev",2,IF($C451="QA",3,IF($C451="DPO Approval",4,IF($C451="RELEASED IN PROD",5,-1))))))&lt;IF($AH451="NOT STARTED",0,IF($AH451="DB Dev",1,IF($AH451="PBI Dev",2,IF($AH451="QA",3,IF($AH451="DPO Approval",4,IF($AH451="RELEASED IN PROD",5,-1)))))),"Yes - was already at "&amp;$AH451&amp;", now back at "&amp;$C451,"No"))</f>
        <v/>
      </c>
      <c r="AJ451" s="9">
        <f>IF($B451="","",IF(AND(T451&lt;&gt;"",N451&lt;&gt;"",T451&lt;N451),"QA target is before DB Dev target",IF(AND(T451&lt;&gt;"",Q451&lt;&gt;"",T451&lt;Q451),"QA target is before PBI Dev target",IF(AND(W451&lt;&gt;"",T451&lt;&gt;"",W451&lt;T451),"DPO Approval target is before QA target",IF(AND(Z451&lt;&gt;"",W451&lt;&gt;"",Z451&lt;W451),"Confirmed Deployed date is before DPO Approval target","")))))</f>
        <v/>
      </c>
      <c r="AK451" s="9">
        <f>IF($B451="","",IF(COUNTIF($B$2:$B$500,$B451)&gt;1,"Duplicate name - check row",""))</f>
        <v/>
      </c>
      <c r="AL451" s="1" t="n"/>
      <c r="AM451" s="9">
        <f>IF($B451="","",SUMPRODUCT(MAX(('Rework Log'!$A$3:$A$500=$B451)*ROW('Rework Log'!$A$3:$A$500))))</f>
        <v/>
      </c>
    </row>
    <row r="452">
      <c r="A452" s="1" t="n"/>
      <c r="B452" s="1" t="n"/>
      <c r="C452" s="1" t="n"/>
      <c r="D452" s="9">
        <f>IF($B452="","",IF(LEFT($AC452,3)="Yes","Blocked",IF(C452="NOT STARTED",IF(K452="","No plan date set",IF(K452&lt;TODAY(),"Review - planned start passed","On track")),IF(C452="DB Dev",IF(N452="","No target set",IF(AND(N452&lt;TODAY(),P452=""),"Overdue","On track")),IF(C452="PBI Dev",IF(Q452="","No target set",IF(AND(Q452&lt;TODAY(),S452=""),"Overdue","On track")),IF(C452="QA",IF(T452="","No target set",IF(AND(T452&lt;TODAY(),V452=""),"Overdue","On track")),IF(C452="DPO Approval",IF(W452="","No target set",IF(W452&lt;TODAY(),"Overdue","On track")),IF(C452="RELEASED IN PROD","Delivered",""))))))))</f>
        <v/>
      </c>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c r="AA452" s="1" t="n"/>
      <c r="AB452" s="1" t="n"/>
      <c r="AC452" s="1" t="n"/>
      <c r="AD452" s="9">
        <f>IF($B452="","",COUNTIF('Rework Log'!$A$3:$A$500,$B452))</f>
        <v/>
      </c>
      <c r="AE452" s="9">
        <f>IF(OR($B452="",$AM452=0),"",INDEX('Rework Log'!$C:$C,$AM452))</f>
        <v/>
      </c>
      <c r="AF452" s="9">
        <f>IF(OR($B452="",$AM452=0),"",INDEX('Rework Log'!$H:$H,$AM452))</f>
        <v/>
      </c>
      <c r="AG452" s="9">
        <f>IF(OR($B452="",$AM452=0),"",INDEX('Rework Log'!$G:$G,$AM452))</f>
        <v/>
      </c>
      <c r="AH452" s="9">
        <f>IF($B452="","",IF(W452&lt;&gt;"","DPO Approval",IF(T452&lt;&gt;"","QA",IF(Q452&lt;&gt;"","PBI Dev",IF(N452&lt;&gt;"","DB Dev","NOT STARTED")))))</f>
        <v/>
      </c>
      <c r="AI452" s="9">
        <f>IF($B452="","",IF(IF($C452="NOT STARTED",0,IF($C452="DB Dev",1,IF($C452="PBI Dev",2,IF($C452="QA",3,IF($C452="DPO Approval",4,IF($C452="RELEASED IN PROD",5,-1))))))&lt;IF($AH452="NOT STARTED",0,IF($AH452="DB Dev",1,IF($AH452="PBI Dev",2,IF($AH452="QA",3,IF($AH452="DPO Approval",4,IF($AH452="RELEASED IN PROD",5,-1)))))),"Yes - was already at "&amp;$AH452&amp;", now back at "&amp;$C452,"No"))</f>
        <v/>
      </c>
      <c r="AJ452" s="9">
        <f>IF($B452="","",IF(AND(T452&lt;&gt;"",N452&lt;&gt;"",T452&lt;N452),"QA target is before DB Dev target",IF(AND(T452&lt;&gt;"",Q452&lt;&gt;"",T452&lt;Q452),"QA target is before PBI Dev target",IF(AND(W452&lt;&gt;"",T452&lt;&gt;"",W452&lt;T452),"DPO Approval target is before QA target",IF(AND(Z452&lt;&gt;"",W452&lt;&gt;"",Z452&lt;W452),"Confirmed Deployed date is before DPO Approval target","")))))</f>
        <v/>
      </c>
      <c r="AK452" s="9">
        <f>IF($B452="","",IF(COUNTIF($B$2:$B$500,$B452)&gt;1,"Duplicate name - check row",""))</f>
        <v/>
      </c>
      <c r="AL452" s="1" t="n"/>
      <c r="AM452" s="9">
        <f>IF($B452="","",SUMPRODUCT(MAX(('Rework Log'!$A$3:$A$500=$B452)*ROW('Rework Log'!$A$3:$A$500))))</f>
        <v/>
      </c>
    </row>
    <row r="453">
      <c r="A453" s="1" t="n"/>
      <c r="B453" s="1" t="n"/>
      <c r="C453" s="1" t="n"/>
      <c r="D453" s="9">
        <f>IF($B453="","",IF(LEFT($AC453,3)="Yes","Blocked",IF(C453="NOT STARTED",IF(K453="","No plan date set",IF(K453&lt;TODAY(),"Review - planned start passed","On track")),IF(C453="DB Dev",IF(N453="","No target set",IF(AND(N453&lt;TODAY(),P453=""),"Overdue","On track")),IF(C453="PBI Dev",IF(Q453="","No target set",IF(AND(Q453&lt;TODAY(),S453=""),"Overdue","On track")),IF(C453="QA",IF(T453="","No target set",IF(AND(T453&lt;TODAY(),V453=""),"Overdue","On track")),IF(C453="DPO Approval",IF(W453="","No target set",IF(W453&lt;TODAY(),"Overdue","On track")),IF(C453="RELEASED IN PROD","Delivered",""))))))))</f>
        <v/>
      </c>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c r="AA453" s="1" t="n"/>
      <c r="AB453" s="1" t="n"/>
      <c r="AC453" s="1" t="n"/>
      <c r="AD453" s="9">
        <f>IF($B453="","",COUNTIF('Rework Log'!$A$3:$A$500,$B453))</f>
        <v/>
      </c>
      <c r="AE453" s="9">
        <f>IF(OR($B453="",$AM453=0),"",INDEX('Rework Log'!$C:$C,$AM453))</f>
        <v/>
      </c>
      <c r="AF453" s="9">
        <f>IF(OR($B453="",$AM453=0),"",INDEX('Rework Log'!$H:$H,$AM453))</f>
        <v/>
      </c>
      <c r="AG453" s="9">
        <f>IF(OR($B453="",$AM453=0),"",INDEX('Rework Log'!$G:$G,$AM453))</f>
        <v/>
      </c>
      <c r="AH453" s="9">
        <f>IF($B453="","",IF(W453&lt;&gt;"","DPO Approval",IF(T453&lt;&gt;"","QA",IF(Q453&lt;&gt;"","PBI Dev",IF(N453&lt;&gt;"","DB Dev","NOT STARTED")))))</f>
        <v/>
      </c>
      <c r="AI453" s="9">
        <f>IF($B453="","",IF(IF($C453="NOT STARTED",0,IF($C453="DB Dev",1,IF($C453="PBI Dev",2,IF($C453="QA",3,IF($C453="DPO Approval",4,IF($C453="RELEASED IN PROD",5,-1))))))&lt;IF($AH453="NOT STARTED",0,IF($AH453="DB Dev",1,IF($AH453="PBI Dev",2,IF($AH453="QA",3,IF($AH453="DPO Approval",4,IF($AH453="RELEASED IN PROD",5,-1)))))),"Yes - was already at "&amp;$AH453&amp;", now back at "&amp;$C453,"No"))</f>
        <v/>
      </c>
      <c r="AJ453" s="9">
        <f>IF($B453="","",IF(AND(T453&lt;&gt;"",N453&lt;&gt;"",T453&lt;N453),"QA target is before DB Dev target",IF(AND(T453&lt;&gt;"",Q453&lt;&gt;"",T453&lt;Q453),"QA target is before PBI Dev target",IF(AND(W453&lt;&gt;"",T453&lt;&gt;"",W453&lt;T453),"DPO Approval target is before QA target",IF(AND(Z453&lt;&gt;"",W453&lt;&gt;"",Z453&lt;W453),"Confirmed Deployed date is before DPO Approval target","")))))</f>
        <v/>
      </c>
      <c r="AK453" s="9">
        <f>IF($B453="","",IF(COUNTIF($B$2:$B$500,$B453)&gt;1,"Duplicate name - check row",""))</f>
        <v/>
      </c>
      <c r="AL453" s="1" t="n"/>
      <c r="AM453" s="9">
        <f>IF($B453="","",SUMPRODUCT(MAX(('Rework Log'!$A$3:$A$500=$B453)*ROW('Rework Log'!$A$3:$A$500))))</f>
        <v/>
      </c>
    </row>
    <row r="454">
      <c r="A454" s="1" t="n"/>
      <c r="B454" s="1" t="n"/>
      <c r="C454" s="1" t="n"/>
      <c r="D454" s="9">
        <f>IF($B454="","",IF(LEFT($AC454,3)="Yes","Blocked",IF(C454="NOT STARTED",IF(K454="","No plan date set",IF(K454&lt;TODAY(),"Review - planned start passed","On track")),IF(C454="DB Dev",IF(N454="","No target set",IF(AND(N454&lt;TODAY(),P454=""),"Overdue","On track")),IF(C454="PBI Dev",IF(Q454="","No target set",IF(AND(Q454&lt;TODAY(),S454=""),"Overdue","On track")),IF(C454="QA",IF(T454="","No target set",IF(AND(T454&lt;TODAY(),V454=""),"Overdue","On track")),IF(C454="DPO Approval",IF(W454="","No target set",IF(W454&lt;TODAY(),"Overdue","On track")),IF(C454="RELEASED IN PROD","Delivered",""))))))))</f>
        <v/>
      </c>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c r="AA454" s="1" t="n"/>
      <c r="AB454" s="1" t="n"/>
      <c r="AC454" s="1" t="n"/>
      <c r="AD454" s="9">
        <f>IF($B454="","",COUNTIF('Rework Log'!$A$3:$A$500,$B454))</f>
        <v/>
      </c>
      <c r="AE454" s="9">
        <f>IF(OR($B454="",$AM454=0),"",INDEX('Rework Log'!$C:$C,$AM454))</f>
        <v/>
      </c>
      <c r="AF454" s="9">
        <f>IF(OR($B454="",$AM454=0),"",INDEX('Rework Log'!$H:$H,$AM454))</f>
        <v/>
      </c>
      <c r="AG454" s="9">
        <f>IF(OR($B454="",$AM454=0),"",INDEX('Rework Log'!$G:$G,$AM454))</f>
        <v/>
      </c>
      <c r="AH454" s="9">
        <f>IF($B454="","",IF(W454&lt;&gt;"","DPO Approval",IF(T454&lt;&gt;"","QA",IF(Q454&lt;&gt;"","PBI Dev",IF(N454&lt;&gt;"","DB Dev","NOT STARTED")))))</f>
        <v/>
      </c>
      <c r="AI454" s="9">
        <f>IF($B454="","",IF(IF($C454="NOT STARTED",0,IF($C454="DB Dev",1,IF($C454="PBI Dev",2,IF($C454="QA",3,IF($C454="DPO Approval",4,IF($C454="RELEASED IN PROD",5,-1))))))&lt;IF($AH454="NOT STARTED",0,IF($AH454="DB Dev",1,IF($AH454="PBI Dev",2,IF($AH454="QA",3,IF($AH454="DPO Approval",4,IF($AH454="RELEASED IN PROD",5,-1)))))),"Yes - was already at "&amp;$AH454&amp;", now back at "&amp;$C454,"No"))</f>
        <v/>
      </c>
      <c r="AJ454" s="9">
        <f>IF($B454="","",IF(AND(T454&lt;&gt;"",N454&lt;&gt;"",T454&lt;N454),"QA target is before DB Dev target",IF(AND(T454&lt;&gt;"",Q454&lt;&gt;"",T454&lt;Q454),"QA target is before PBI Dev target",IF(AND(W454&lt;&gt;"",T454&lt;&gt;"",W454&lt;T454),"DPO Approval target is before QA target",IF(AND(Z454&lt;&gt;"",W454&lt;&gt;"",Z454&lt;W454),"Confirmed Deployed date is before DPO Approval target","")))))</f>
        <v/>
      </c>
      <c r="AK454" s="9">
        <f>IF($B454="","",IF(COUNTIF($B$2:$B$500,$B454)&gt;1,"Duplicate name - check row",""))</f>
        <v/>
      </c>
      <c r="AL454" s="1" t="n"/>
      <c r="AM454" s="9">
        <f>IF($B454="","",SUMPRODUCT(MAX(('Rework Log'!$A$3:$A$500=$B454)*ROW('Rework Log'!$A$3:$A$500))))</f>
        <v/>
      </c>
    </row>
    <row r="455">
      <c r="A455" s="1" t="n"/>
      <c r="B455" s="1" t="n"/>
      <c r="C455" s="1" t="n"/>
      <c r="D455" s="9">
        <f>IF($B455="","",IF(LEFT($AC455,3)="Yes","Blocked",IF(C455="NOT STARTED",IF(K455="","No plan date set",IF(K455&lt;TODAY(),"Review - planned start passed","On track")),IF(C455="DB Dev",IF(N455="","No target set",IF(AND(N455&lt;TODAY(),P455=""),"Overdue","On track")),IF(C455="PBI Dev",IF(Q455="","No target set",IF(AND(Q455&lt;TODAY(),S455=""),"Overdue","On track")),IF(C455="QA",IF(T455="","No target set",IF(AND(T455&lt;TODAY(),V455=""),"Overdue","On track")),IF(C455="DPO Approval",IF(W455="","No target set",IF(W455&lt;TODAY(),"Overdue","On track")),IF(C455="RELEASED IN PROD","Delivered",""))))))))</f>
        <v/>
      </c>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c r="AA455" s="1" t="n"/>
      <c r="AB455" s="1" t="n"/>
      <c r="AC455" s="1" t="n"/>
      <c r="AD455" s="9">
        <f>IF($B455="","",COUNTIF('Rework Log'!$A$3:$A$500,$B455))</f>
        <v/>
      </c>
      <c r="AE455" s="9">
        <f>IF(OR($B455="",$AM455=0),"",INDEX('Rework Log'!$C:$C,$AM455))</f>
        <v/>
      </c>
      <c r="AF455" s="9">
        <f>IF(OR($B455="",$AM455=0),"",INDEX('Rework Log'!$H:$H,$AM455))</f>
        <v/>
      </c>
      <c r="AG455" s="9">
        <f>IF(OR($B455="",$AM455=0),"",INDEX('Rework Log'!$G:$G,$AM455))</f>
        <v/>
      </c>
      <c r="AH455" s="9">
        <f>IF($B455="","",IF(W455&lt;&gt;"","DPO Approval",IF(T455&lt;&gt;"","QA",IF(Q455&lt;&gt;"","PBI Dev",IF(N455&lt;&gt;"","DB Dev","NOT STARTED")))))</f>
        <v/>
      </c>
      <c r="AI455" s="9">
        <f>IF($B455="","",IF(IF($C455="NOT STARTED",0,IF($C455="DB Dev",1,IF($C455="PBI Dev",2,IF($C455="QA",3,IF($C455="DPO Approval",4,IF($C455="RELEASED IN PROD",5,-1))))))&lt;IF($AH455="NOT STARTED",0,IF($AH455="DB Dev",1,IF($AH455="PBI Dev",2,IF($AH455="QA",3,IF($AH455="DPO Approval",4,IF($AH455="RELEASED IN PROD",5,-1)))))),"Yes - was already at "&amp;$AH455&amp;", now back at "&amp;$C455,"No"))</f>
        <v/>
      </c>
      <c r="AJ455" s="9">
        <f>IF($B455="","",IF(AND(T455&lt;&gt;"",N455&lt;&gt;"",T455&lt;N455),"QA target is before DB Dev target",IF(AND(T455&lt;&gt;"",Q455&lt;&gt;"",T455&lt;Q455),"QA target is before PBI Dev target",IF(AND(W455&lt;&gt;"",T455&lt;&gt;"",W455&lt;T455),"DPO Approval target is before QA target",IF(AND(Z455&lt;&gt;"",W455&lt;&gt;"",Z455&lt;W455),"Confirmed Deployed date is before DPO Approval target","")))))</f>
        <v/>
      </c>
      <c r="AK455" s="9">
        <f>IF($B455="","",IF(COUNTIF($B$2:$B$500,$B455)&gt;1,"Duplicate name - check row",""))</f>
        <v/>
      </c>
      <c r="AL455" s="1" t="n"/>
      <c r="AM455" s="9">
        <f>IF($B455="","",SUMPRODUCT(MAX(('Rework Log'!$A$3:$A$500=$B455)*ROW('Rework Log'!$A$3:$A$500))))</f>
        <v/>
      </c>
    </row>
    <row r="456">
      <c r="A456" s="1" t="n"/>
      <c r="B456" s="1" t="n"/>
      <c r="C456" s="1" t="n"/>
      <c r="D456" s="9">
        <f>IF($B456="","",IF(LEFT($AC456,3)="Yes","Blocked",IF(C456="NOT STARTED",IF(K456="","No plan date set",IF(K456&lt;TODAY(),"Review - planned start passed","On track")),IF(C456="DB Dev",IF(N456="","No target set",IF(AND(N456&lt;TODAY(),P456=""),"Overdue","On track")),IF(C456="PBI Dev",IF(Q456="","No target set",IF(AND(Q456&lt;TODAY(),S456=""),"Overdue","On track")),IF(C456="QA",IF(T456="","No target set",IF(AND(T456&lt;TODAY(),V456=""),"Overdue","On track")),IF(C456="DPO Approval",IF(W456="","No target set",IF(W456&lt;TODAY(),"Overdue","On track")),IF(C456="RELEASED IN PROD","Delivered",""))))))))</f>
        <v/>
      </c>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c r="AA456" s="1" t="n"/>
      <c r="AB456" s="1" t="n"/>
      <c r="AC456" s="1" t="n"/>
      <c r="AD456" s="9">
        <f>IF($B456="","",COUNTIF('Rework Log'!$A$3:$A$500,$B456))</f>
        <v/>
      </c>
      <c r="AE456" s="9">
        <f>IF(OR($B456="",$AM456=0),"",INDEX('Rework Log'!$C:$C,$AM456))</f>
        <v/>
      </c>
      <c r="AF456" s="9">
        <f>IF(OR($B456="",$AM456=0),"",INDEX('Rework Log'!$H:$H,$AM456))</f>
        <v/>
      </c>
      <c r="AG456" s="9">
        <f>IF(OR($B456="",$AM456=0),"",INDEX('Rework Log'!$G:$G,$AM456))</f>
        <v/>
      </c>
      <c r="AH456" s="9">
        <f>IF($B456="","",IF(W456&lt;&gt;"","DPO Approval",IF(T456&lt;&gt;"","QA",IF(Q456&lt;&gt;"","PBI Dev",IF(N456&lt;&gt;"","DB Dev","NOT STARTED")))))</f>
        <v/>
      </c>
      <c r="AI456" s="9">
        <f>IF($B456="","",IF(IF($C456="NOT STARTED",0,IF($C456="DB Dev",1,IF($C456="PBI Dev",2,IF($C456="QA",3,IF($C456="DPO Approval",4,IF($C456="RELEASED IN PROD",5,-1))))))&lt;IF($AH456="NOT STARTED",0,IF($AH456="DB Dev",1,IF($AH456="PBI Dev",2,IF($AH456="QA",3,IF($AH456="DPO Approval",4,IF($AH456="RELEASED IN PROD",5,-1)))))),"Yes - was already at "&amp;$AH456&amp;", now back at "&amp;$C456,"No"))</f>
        <v/>
      </c>
      <c r="AJ456" s="9">
        <f>IF($B456="","",IF(AND(T456&lt;&gt;"",N456&lt;&gt;"",T456&lt;N456),"QA target is before DB Dev target",IF(AND(T456&lt;&gt;"",Q456&lt;&gt;"",T456&lt;Q456),"QA target is before PBI Dev target",IF(AND(W456&lt;&gt;"",T456&lt;&gt;"",W456&lt;T456),"DPO Approval target is before QA target",IF(AND(Z456&lt;&gt;"",W456&lt;&gt;"",Z456&lt;W456),"Confirmed Deployed date is before DPO Approval target","")))))</f>
        <v/>
      </c>
      <c r="AK456" s="9">
        <f>IF($B456="","",IF(COUNTIF($B$2:$B$500,$B456)&gt;1,"Duplicate name - check row",""))</f>
        <v/>
      </c>
      <c r="AL456" s="1" t="n"/>
      <c r="AM456" s="9">
        <f>IF($B456="","",SUMPRODUCT(MAX(('Rework Log'!$A$3:$A$500=$B456)*ROW('Rework Log'!$A$3:$A$500))))</f>
        <v/>
      </c>
    </row>
    <row r="457">
      <c r="A457" s="1" t="n"/>
      <c r="B457" s="1" t="n"/>
      <c r="C457" s="1" t="n"/>
      <c r="D457" s="9">
        <f>IF($B457="","",IF(LEFT($AC457,3)="Yes","Blocked",IF(C457="NOT STARTED",IF(K457="","No plan date set",IF(K457&lt;TODAY(),"Review - planned start passed","On track")),IF(C457="DB Dev",IF(N457="","No target set",IF(AND(N457&lt;TODAY(),P457=""),"Overdue","On track")),IF(C457="PBI Dev",IF(Q457="","No target set",IF(AND(Q457&lt;TODAY(),S457=""),"Overdue","On track")),IF(C457="QA",IF(T457="","No target set",IF(AND(T457&lt;TODAY(),V457=""),"Overdue","On track")),IF(C457="DPO Approval",IF(W457="","No target set",IF(W457&lt;TODAY(),"Overdue","On track")),IF(C457="RELEASED IN PROD","Delivered",""))))))))</f>
        <v/>
      </c>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c r="AA457" s="1" t="n"/>
      <c r="AB457" s="1" t="n"/>
      <c r="AC457" s="1" t="n"/>
      <c r="AD457" s="9">
        <f>IF($B457="","",COUNTIF('Rework Log'!$A$3:$A$500,$B457))</f>
        <v/>
      </c>
      <c r="AE457" s="9">
        <f>IF(OR($B457="",$AM457=0),"",INDEX('Rework Log'!$C:$C,$AM457))</f>
        <v/>
      </c>
      <c r="AF457" s="9">
        <f>IF(OR($B457="",$AM457=0),"",INDEX('Rework Log'!$H:$H,$AM457))</f>
        <v/>
      </c>
      <c r="AG457" s="9">
        <f>IF(OR($B457="",$AM457=0),"",INDEX('Rework Log'!$G:$G,$AM457))</f>
        <v/>
      </c>
      <c r="AH457" s="9">
        <f>IF($B457="","",IF(W457&lt;&gt;"","DPO Approval",IF(T457&lt;&gt;"","QA",IF(Q457&lt;&gt;"","PBI Dev",IF(N457&lt;&gt;"","DB Dev","NOT STARTED")))))</f>
        <v/>
      </c>
      <c r="AI457" s="9">
        <f>IF($B457="","",IF(IF($C457="NOT STARTED",0,IF($C457="DB Dev",1,IF($C457="PBI Dev",2,IF($C457="QA",3,IF($C457="DPO Approval",4,IF($C457="RELEASED IN PROD",5,-1))))))&lt;IF($AH457="NOT STARTED",0,IF($AH457="DB Dev",1,IF($AH457="PBI Dev",2,IF($AH457="QA",3,IF($AH457="DPO Approval",4,IF($AH457="RELEASED IN PROD",5,-1)))))),"Yes - was already at "&amp;$AH457&amp;", now back at "&amp;$C457,"No"))</f>
        <v/>
      </c>
      <c r="AJ457" s="9">
        <f>IF($B457="","",IF(AND(T457&lt;&gt;"",N457&lt;&gt;"",T457&lt;N457),"QA target is before DB Dev target",IF(AND(T457&lt;&gt;"",Q457&lt;&gt;"",T457&lt;Q457),"QA target is before PBI Dev target",IF(AND(W457&lt;&gt;"",T457&lt;&gt;"",W457&lt;T457),"DPO Approval target is before QA target",IF(AND(Z457&lt;&gt;"",W457&lt;&gt;"",Z457&lt;W457),"Confirmed Deployed date is before DPO Approval target","")))))</f>
        <v/>
      </c>
      <c r="AK457" s="9">
        <f>IF($B457="","",IF(COUNTIF($B$2:$B$500,$B457)&gt;1,"Duplicate name - check row",""))</f>
        <v/>
      </c>
      <c r="AL457" s="1" t="n"/>
      <c r="AM457" s="9">
        <f>IF($B457="","",SUMPRODUCT(MAX(('Rework Log'!$A$3:$A$500=$B457)*ROW('Rework Log'!$A$3:$A$500))))</f>
        <v/>
      </c>
    </row>
    <row r="458">
      <c r="A458" s="1" t="n"/>
      <c r="B458" s="1" t="n"/>
      <c r="C458" s="1" t="n"/>
      <c r="D458" s="9">
        <f>IF($B458="","",IF(LEFT($AC458,3)="Yes","Blocked",IF(C458="NOT STARTED",IF(K458="","No plan date set",IF(K458&lt;TODAY(),"Review - planned start passed","On track")),IF(C458="DB Dev",IF(N458="","No target set",IF(AND(N458&lt;TODAY(),P458=""),"Overdue","On track")),IF(C458="PBI Dev",IF(Q458="","No target set",IF(AND(Q458&lt;TODAY(),S458=""),"Overdue","On track")),IF(C458="QA",IF(T458="","No target set",IF(AND(T458&lt;TODAY(),V458=""),"Overdue","On track")),IF(C458="DPO Approval",IF(W458="","No target set",IF(W458&lt;TODAY(),"Overdue","On track")),IF(C458="RELEASED IN PROD","Delivered",""))))))))</f>
        <v/>
      </c>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c r="AA458" s="1" t="n"/>
      <c r="AB458" s="1" t="n"/>
      <c r="AC458" s="1" t="n"/>
      <c r="AD458" s="9">
        <f>IF($B458="","",COUNTIF('Rework Log'!$A$3:$A$500,$B458))</f>
        <v/>
      </c>
      <c r="AE458" s="9">
        <f>IF(OR($B458="",$AM458=0),"",INDEX('Rework Log'!$C:$C,$AM458))</f>
        <v/>
      </c>
      <c r="AF458" s="9">
        <f>IF(OR($B458="",$AM458=0),"",INDEX('Rework Log'!$H:$H,$AM458))</f>
        <v/>
      </c>
      <c r="AG458" s="9">
        <f>IF(OR($B458="",$AM458=0),"",INDEX('Rework Log'!$G:$G,$AM458))</f>
        <v/>
      </c>
      <c r="AH458" s="9">
        <f>IF($B458="","",IF(W458&lt;&gt;"","DPO Approval",IF(T458&lt;&gt;"","QA",IF(Q458&lt;&gt;"","PBI Dev",IF(N458&lt;&gt;"","DB Dev","NOT STARTED")))))</f>
        <v/>
      </c>
      <c r="AI458" s="9">
        <f>IF($B458="","",IF(IF($C458="NOT STARTED",0,IF($C458="DB Dev",1,IF($C458="PBI Dev",2,IF($C458="QA",3,IF($C458="DPO Approval",4,IF($C458="RELEASED IN PROD",5,-1))))))&lt;IF($AH458="NOT STARTED",0,IF($AH458="DB Dev",1,IF($AH458="PBI Dev",2,IF($AH458="QA",3,IF($AH458="DPO Approval",4,IF($AH458="RELEASED IN PROD",5,-1)))))),"Yes - was already at "&amp;$AH458&amp;", now back at "&amp;$C458,"No"))</f>
        <v/>
      </c>
      <c r="AJ458" s="9">
        <f>IF($B458="","",IF(AND(T458&lt;&gt;"",N458&lt;&gt;"",T458&lt;N458),"QA target is before DB Dev target",IF(AND(T458&lt;&gt;"",Q458&lt;&gt;"",T458&lt;Q458),"QA target is before PBI Dev target",IF(AND(W458&lt;&gt;"",T458&lt;&gt;"",W458&lt;T458),"DPO Approval target is before QA target",IF(AND(Z458&lt;&gt;"",W458&lt;&gt;"",Z458&lt;W458),"Confirmed Deployed date is before DPO Approval target","")))))</f>
        <v/>
      </c>
      <c r="AK458" s="9">
        <f>IF($B458="","",IF(COUNTIF($B$2:$B$500,$B458)&gt;1,"Duplicate name - check row",""))</f>
        <v/>
      </c>
      <c r="AL458" s="1" t="n"/>
      <c r="AM458" s="9">
        <f>IF($B458="","",SUMPRODUCT(MAX(('Rework Log'!$A$3:$A$500=$B458)*ROW('Rework Log'!$A$3:$A$500))))</f>
        <v/>
      </c>
    </row>
    <row r="459">
      <c r="A459" s="1" t="n"/>
      <c r="B459" s="1" t="n"/>
      <c r="C459" s="1" t="n"/>
      <c r="D459" s="9">
        <f>IF($B459="","",IF(LEFT($AC459,3)="Yes","Blocked",IF(C459="NOT STARTED",IF(K459="","No plan date set",IF(K459&lt;TODAY(),"Review - planned start passed","On track")),IF(C459="DB Dev",IF(N459="","No target set",IF(AND(N459&lt;TODAY(),P459=""),"Overdue","On track")),IF(C459="PBI Dev",IF(Q459="","No target set",IF(AND(Q459&lt;TODAY(),S459=""),"Overdue","On track")),IF(C459="QA",IF(T459="","No target set",IF(AND(T459&lt;TODAY(),V459=""),"Overdue","On track")),IF(C459="DPO Approval",IF(W459="","No target set",IF(W459&lt;TODAY(),"Overdue","On track")),IF(C459="RELEASED IN PROD","Delivered",""))))))))</f>
        <v/>
      </c>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c r="AA459" s="1" t="n"/>
      <c r="AB459" s="1" t="n"/>
      <c r="AC459" s="1" t="n"/>
      <c r="AD459" s="9">
        <f>IF($B459="","",COUNTIF('Rework Log'!$A$3:$A$500,$B459))</f>
        <v/>
      </c>
      <c r="AE459" s="9">
        <f>IF(OR($B459="",$AM459=0),"",INDEX('Rework Log'!$C:$C,$AM459))</f>
        <v/>
      </c>
      <c r="AF459" s="9">
        <f>IF(OR($B459="",$AM459=0),"",INDEX('Rework Log'!$H:$H,$AM459))</f>
        <v/>
      </c>
      <c r="AG459" s="9">
        <f>IF(OR($B459="",$AM459=0),"",INDEX('Rework Log'!$G:$G,$AM459))</f>
        <v/>
      </c>
      <c r="AH459" s="9">
        <f>IF($B459="","",IF(W459&lt;&gt;"","DPO Approval",IF(T459&lt;&gt;"","QA",IF(Q459&lt;&gt;"","PBI Dev",IF(N459&lt;&gt;"","DB Dev","NOT STARTED")))))</f>
        <v/>
      </c>
      <c r="AI459" s="9">
        <f>IF($B459="","",IF(IF($C459="NOT STARTED",0,IF($C459="DB Dev",1,IF($C459="PBI Dev",2,IF($C459="QA",3,IF($C459="DPO Approval",4,IF($C459="RELEASED IN PROD",5,-1))))))&lt;IF($AH459="NOT STARTED",0,IF($AH459="DB Dev",1,IF($AH459="PBI Dev",2,IF($AH459="QA",3,IF($AH459="DPO Approval",4,IF($AH459="RELEASED IN PROD",5,-1)))))),"Yes - was already at "&amp;$AH459&amp;", now back at "&amp;$C459,"No"))</f>
        <v/>
      </c>
      <c r="AJ459" s="9">
        <f>IF($B459="","",IF(AND(T459&lt;&gt;"",N459&lt;&gt;"",T459&lt;N459),"QA target is before DB Dev target",IF(AND(T459&lt;&gt;"",Q459&lt;&gt;"",T459&lt;Q459),"QA target is before PBI Dev target",IF(AND(W459&lt;&gt;"",T459&lt;&gt;"",W459&lt;T459),"DPO Approval target is before QA target",IF(AND(Z459&lt;&gt;"",W459&lt;&gt;"",Z459&lt;W459),"Confirmed Deployed date is before DPO Approval target","")))))</f>
        <v/>
      </c>
      <c r="AK459" s="9">
        <f>IF($B459="","",IF(COUNTIF($B$2:$B$500,$B459)&gt;1,"Duplicate name - check row",""))</f>
        <v/>
      </c>
      <c r="AL459" s="1" t="n"/>
      <c r="AM459" s="9">
        <f>IF($B459="","",SUMPRODUCT(MAX(('Rework Log'!$A$3:$A$500=$B459)*ROW('Rework Log'!$A$3:$A$500))))</f>
        <v/>
      </c>
    </row>
    <row r="460">
      <c r="A460" s="1" t="n"/>
      <c r="B460" s="1" t="n"/>
      <c r="C460" s="1" t="n"/>
      <c r="D460" s="9">
        <f>IF($B460="","",IF(LEFT($AC460,3)="Yes","Blocked",IF(C460="NOT STARTED",IF(K460="","No plan date set",IF(K460&lt;TODAY(),"Review - planned start passed","On track")),IF(C460="DB Dev",IF(N460="","No target set",IF(AND(N460&lt;TODAY(),P460=""),"Overdue","On track")),IF(C460="PBI Dev",IF(Q460="","No target set",IF(AND(Q460&lt;TODAY(),S460=""),"Overdue","On track")),IF(C460="QA",IF(T460="","No target set",IF(AND(T460&lt;TODAY(),V460=""),"Overdue","On track")),IF(C460="DPO Approval",IF(W460="","No target set",IF(W460&lt;TODAY(),"Overdue","On track")),IF(C460="RELEASED IN PROD","Delivered",""))))))))</f>
        <v/>
      </c>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c r="AA460" s="1" t="n"/>
      <c r="AB460" s="1" t="n"/>
      <c r="AC460" s="1" t="n"/>
      <c r="AD460" s="9">
        <f>IF($B460="","",COUNTIF('Rework Log'!$A$3:$A$500,$B460))</f>
        <v/>
      </c>
      <c r="AE460" s="9">
        <f>IF(OR($B460="",$AM460=0),"",INDEX('Rework Log'!$C:$C,$AM460))</f>
        <v/>
      </c>
      <c r="AF460" s="9">
        <f>IF(OR($B460="",$AM460=0),"",INDEX('Rework Log'!$H:$H,$AM460))</f>
        <v/>
      </c>
      <c r="AG460" s="9">
        <f>IF(OR($B460="",$AM460=0),"",INDEX('Rework Log'!$G:$G,$AM460))</f>
        <v/>
      </c>
      <c r="AH460" s="9">
        <f>IF($B460="","",IF(W460&lt;&gt;"","DPO Approval",IF(T460&lt;&gt;"","QA",IF(Q460&lt;&gt;"","PBI Dev",IF(N460&lt;&gt;"","DB Dev","NOT STARTED")))))</f>
        <v/>
      </c>
      <c r="AI460" s="9">
        <f>IF($B460="","",IF(IF($C460="NOT STARTED",0,IF($C460="DB Dev",1,IF($C460="PBI Dev",2,IF($C460="QA",3,IF($C460="DPO Approval",4,IF($C460="RELEASED IN PROD",5,-1))))))&lt;IF($AH460="NOT STARTED",0,IF($AH460="DB Dev",1,IF($AH460="PBI Dev",2,IF($AH460="QA",3,IF($AH460="DPO Approval",4,IF($AH460="RELEASED IN PROD",5,-1)))))),"Yes - was already at "&amp;$AH460&amp;", now back at "&amp;$C460,"No"))</f>
        <v/>
      </c>
      <c r="AJ460" s="9">
        <f>IF($B460="","",IF(AND(T460&lt;&gt;"",N460&lt;&gt;"",T460&lt;N460),"QA target is before DB Dev target",IF(AND(T460&lt;&gt;"",Q460&lt;&gt;"",T460&lt;Q460),"QA target is before PBI Dev target",IF(AND(W460&lt;&gt;"",T460&lt;&gt;"",W460&lt;T460),"DPO Approval target is before QA target",IF(AND(Z460&lt;&gt;"",W460&lt;&gt;"",Z460&lt;W460),"Confirmed Deployed date is before DPO Approval target","")))))</f>
        <v/>
      </c>
      <c r="AK460" s="9">
        <f>IF($B460="","",IF(COUNTIF($B$2:$B$500,$B460)&gt;1,"Duplicate name - check row",""))</f>
        <v/>
      </c>
      <c r="AL460" s="1" t="n"/>
      <c r="AM460" s="9">
        <f>IF($B460="","",SUMPRODUCT(MAX(('Rework Log'!$A$3:$A$500=$B460)*ROW('Rework Log'!$A$3:$A$500))))</f>
        <v/>
      </c>
    </row>
    <row r="461">
      <c r="A461" s="1" t="n"/>
      <c r="B461" s="1" t="n"/>
      <c r="C461" s="1" t="n"/>
      <c r="D461" s="9">
        <f>IF($B461="","",IF(LEFT($AC461,3)="Yes","Blocked",IF(C461="NOT STARTED",IF(K461="","No plan date set",IF(K461&lt;TODAY(),"Review - planned start passed","On track")),IF(C461="DB Dev",IF(N461="","No target set",IF(AND(N461&lt;TODAY(),P461=""),"Overdue","On track")),IF(C461="PBI Dev",IF(Q461="","No target set",IF(AND(Q461&lt;TODAY(),S461=""),"Overdue","On track")),IF(C461="QA",IF(T461="","No target set",IF(AND(T461&lt;TODAY(),V461=""),"Overdue","On track")),IF(C461="DPO Approval",IF(W461="","No target set",IF(W461&lt;TODAY(),"Overdue","On track")),IF(C461="RELEASED IN PROD","Delivered",""))))))))</f>
        <v/>
      </c>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c r="AA461" s="1" t="n"/>
      <c r="AB461" s="1" t="n"/>
      <c r="AC461" s="1" t="n"/>
      <c r="AD461" s="9">
        <f>IF($B461="","",COUNTIF('Rework Log'!$A$3:$A$500,$B461))</f>
        <v/>
      </c>
      <c r="AE461" s="9">
        <f>IF(OR($B461="",$AM461=0),"",INDEX('Rework Log'!$C:$C,$AM461))</f>
        <v/>
      </c>
      <c r="AF461" s="9">
        <f>IF(OR($B461="",$AM461=0),"",INDEX('Rework Log'!$H:$H,$AM461))</f>
        <v/>
      </c>
      <c r="AG461" s="9">
        <f>IF(OR($B461="",$AM461=0),"",INDEX('Rework Log'!$G:$G,$AM461))</f>
        <v/>
      </c>
      <c r="AH461" s="9">
        <f>IF($B461="","",IF(W461&lt;&gt;"","DPO Approval",IF(T461&lt;&gt;"","QA",IF(Q461&lt;&gt;"","PBI Dev",IF(N461&lt;&gt;"","DB Dev","NOT STARTED")))))</f>
        <v/>
      </c>
      <c r="AI461" s="9">
        <f>IF($B461="","",IF(IF($C461="NOT STARTED",0,IF($C461="DB Dev",1,IF($C461="PBI Dev",2,IF($C461="QA",3,IF($C461="DPO Approval",4,IF($C461="RELEASED IN PROD",5,-1))))))&lt;IF($AH461="NOT STARTED",0,IF($AH461="DB Dev",1,IF($AH461="PBI Dev",2,IF($AH461="QA",3,IF($AH461="DPO Approval",4,IF($AH461="RELEASED IN PROD",5,-1)))))),"Yes - was already at "&amp;$AH461&amp;", now back at "&amp;$C461,"No"))</f>
        <v/>
      </c>
      <c r="AJ461" s="9">
        <f>IF($B461="","",IF(AND(T461&lt;&gt;"",N461&lt;&gt;"",T461&lt;N461),"QA target is before DB Dev target",IF(AND(T461&lt;&gt;"",Q461&lt;&gt;"",T461&lt;Q461),"QA target is before PBI Dev target",IF(AND(W461&lt;&gt;"",T461&lt;&gt;"",W461&lt;T461),"DPO Approval target is before QA target",IF(AND(Z461&lt;&gt;"",W461&lt;&gt;"",Z461&lt;W461),"Confirmed Deployed date is before DPO Approval target","")))))</f>
        <v/>
      </c>
      <c r="AK461" s="9">
        <f>IF($B461="","",IF(COUNTIF($B$2:$B$500,$B461)&gt;1,"Duplicate name - check row",""))</f>
        <v/>
      </c>
      <c r="AL461" s="1" t="n"/>
      <c r="AM461" s="9">
        <f>IF($B461="","",SUMPRODUCT(MAX(('Rework Log'!$A$3:$A$500=$B461)*ROW('Rework Log'!$A$3:$A$500))))</f>
        <v/>
      </c>
    </row>
    <row r="462">
      <c r="A462" s="1" t="n"/>
      <c r="B462" s="1" t="n"/>
      <c r="C462" s="1" t="n"/>
      <c r="D462" s="9">
        <f>IF($B462="","",IF(LEFT($AC462,3)="Yes","Blocked",IF(C462="NOT STARTED",IF(K462="","No plan date set",IF(K462&lt;TODAY(),"Review - planned start passed","On track")),IF(C462="DB Dev",IF(N462="","No target set",IF(AND(N462&lt;TODAY(),P462=""),"Overdue","On track")),IF(C462="PBI Dev",IF(Q462="","No target set",IF(AND(Q462&lt;TODAY(),S462=""),"Overdue","On track")),IF(C462="QA",IF(T462="","No target set",IF(AND(T462&lt;TODAY(),V462=""),"Overdue","On track")),IF(C462="DPO Approval",IF(W462="","No target set",IF(W462&lt;TODAY(),"Overdue","On track")),IF(C462="RELEASED IN PROD","Delivered",""))))))))</f>
        <v/>
      </c>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c r="AA462" s="1" t="n"/>
      <c r="AB462" s="1" t="n"/>
      <c r="AC462" s="1" t="n"/>
      <c r="AD462" s="9">
        <f>IF($B462="","",COUNTIF('Rework Log'!$A$3:$A$500,$B462))</f>
        <v/>
      </c>
      <c r="AE462" s="9">
        <f>IF(OR($B462="",$AM462=0),"",INDEX('Rework Log'!$C:$C,$AM462))</f>
        <v/>
      </c>
      <c r="AF462" s="9">
        <f>IF(OR($B462="",$AM462=0),"",INDEX('Rework Log'!$H:$H,$AM462))</f>
        <v/>
      </c>
      <c r="AG462" s="9">
        <f>IF(OR($B462="",$AM462=0),"",INDEX('Rework Log'!$G:$G,$AM462))</f>
        <v/>
      </c>
      <c r="AH462" s="9">
        <f>IF($B462="","",IF(W462&lt;&gt;"","DPO Approval",IF(T462&lt;&gt;"","QA",IF(Q462&lt;&gt;"","PBI Dev",IF(N462&lt;&gt;"","DB Dev","NOT STARTED")))))</f>
        <v/>
      </c>
      <c r="AI462" s="9">
        <f>IF($B462="","",IF(IF($C462="NOT STARTED",0,IF($C462="DB Dev",1,IF($C462="PBI Dev",2,IF($C462="QA",3,IF($C462="DPO Approval",4,IF($C462="RELEASED IN PROD",5,-1))))))&lt;IF($AH462="NOT STARTED",0,IF($AH462="DB Dev",1,IF($AH462="PBI Dev",2,IF($AH462="QA",3,IF($AH462="DPO Approval",4,IF($AH462="RELEASED IN PROD",5,-1)))))),"Yes - was already at "&amp;$AH462&amp;", now back at "&amp;$C462,"No"))</f>
        <v/>
      </c>
      <c r="AJ462" s="9">
        <f>IF($B462="","",IF(AND(T462&lt;&gt;"",N462&lt;&gt;"",T462&lt;N462),"QA target is before DB Dev target",IF(AND(T462&lt;&gt;"",Q462&lt;&gt;"",T462&lt;Q462),"QA target is before PBI Dev target",IF(AND(W462&lt;&gt;"",T462&lt;&gt;"",W462&lt;T462),"DPO Approval target is before QA target",IF(AND(Z462&lt;&gt;"",W462&lt;&gt;"",Z462&lt;W462),"Confirmed Deployed date is before DPO Approval target","")))))</f>
        <v/>
      </c>
      <c r="AK462" s="9">
        <f>IF($B462="","",IF(COUNTIF($B$2:$B$500,$B462)&gt;1,"Duplicate name - check row",""))</f>
        <v/>
      </c>
      <c r="AL462" s="1" t="n"/>
      <c r="AM462" s="9">
        <f>IF($B462="","",SUMPRODUCT(MAX(('Rework Log'!$A$3:$A$500=$B462)*ROW('Rework Log'!$A$3:$A$500))))</f>
        <v/>
      </c>
    </row>
    <row r="463">
      <c r="A463" s="1" t="n"/>
      <c r="B463" s="1" t="n"/>
      <c r="C463" s="1" t="n"/>
      <c r="D463" s="9">
        <f>IF($B463="","",IF(LEFT($AC463,3)="Yes","Blocked",IF(C463="NOT STARTED",IF(K463="","No plan date set",IF(K463&lt;TODAY(),"Review - planned start passed","On track")),IF(C463="DB Dev",IF(N463="","No target set",IF(AND(N463&lt;TODAY(),P463=""),"Overdue","On track")),IF(C463="PBI Dev",IF(Q463="","No target set",IF(AND(Q463&lt;TODAY(),S463=""),"Overdue","On track")),IF(C463="QA",IF(T463="","No target set",IF(AND(T463&lt;TODAY(),V463=""),"Overdue","On track")),IF(C463="DPO Approval",IF(W463="","No target set",IF(W463&lt;TODAY(),"Overdue","On track")),IF(C463="RELEASED IN PROD","Delivered",""))))))))</f>
        <v/>
      </c>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c r="AA463" s="1" t="n"/>
      <c r="AB463" s="1" t="n"/>
      <c r="AC463" s="1" t="n"/>
      <c r="AD463" s="9">
        <f>IF($B463="","",COUNTIF('Rework Log'!$A$3:$A$500,$B463))</f>
        <v/>
      </c>
      <c r="AE463" s="9">
        <f>IF(OR($B463="",$AM463=0),"",INDEX('Rework Log'!$C:$C,$AM463))</f>
        <v/>
      </c>
      <c r="AF463" s="9">
        <f>IF(OR($B463="",$AM463=0),"",INDEX('Rework Log'!$H:$H,$AM463))</f>
        <v/>
      </c>
      <c r="AG463" s="9">
        <f>IF(OR($B463="",$AM463=0),"",INDEX('Rework Log'!$G:$G,$AM463))</f>
        <v/>
      </c>
      <c r="AH463" s="9">
        <f>IF($B463="","",IF(W463&lt;&gt;"","DPO Approval",IF(T463&lt;&gt;"","QA",IF(Q463&lt;&gt;"","PBI Dev",IF(N463&lt;&gt;"","DB Dev","NOT STARTED")))))</f>
        <v/>
      </c>
      <c r="AI463" s="9">
        <f>IF($B463="","",IF(IF($C463="NOT STARTED",0,IF($C463="DB Dev",1,IF($C463="PBI Dev",2,IF($C463="QA",3,IF($C463="DPO Approval",4,IF($C463="RELEASED IN PROD",5,-1))))))&lt;IF($AH463="NOT STARTED",0,IF($AH463="DB Dev",1,IF($AH463="PBI Dev",2,IF($AH463="QA",3,IF($AH463="DPO Approval",4,IF($AH463="RELEASED IN PROD",5,-1)))))),"Yes - was already at "&amp;$AH463&amp;", now back at "&amp;$C463,"No"))</f>
        <v/>
      </c>
      <c r="AJ463" s="9">
        <f>IF($B463="","",IF(AND(T463&lt;&gt;"",N463&lt;&gt;"",T463&lt;N463),"QA target is before DB Dev target",IF(AND(T463&lt;&gt;"",Q463&lt;&gt;"",T463&lt;Q463),"QA target is before PBI Dev target",IF(AND(W463&lt;&gt;"",T463&lt;&gt;"",W463&lt;T463),"DPO Approval target is before QA target",IF(AND(Z463&lt;&gt;"",W463&lt;&gt;"",Z463&lt;W463),"Confirmed Deployed date is before DPO Approval target","")))))</f>
        <v/>
      </c>
      <c r="AK463" s="9">
        <f>IF($B463="","",IF(COUNTIF($B$2:$B$500,$B463)&gt;1,"Duplicate name - check row",""))</f>
        <v/>
      </c>
      <c r="AL463" s="1" t="n"/>
      <c r="AM463" s="9">
        <f>IF($B463="","",SUMPRODUCT(MAX(('Rework Log'!$A$3:$A$500=$B463)*ROW('Rework Log'!$A$3:$A$500))))</f>
        <v/>
      </c>
    </row>
    <row r="464">
      <c r="A464" s="1" t="n"/>
      <c r="B464" s="1" t="n"/>
      <c r="C464" s="1" t="n"/>
      <c r="D464" s="9">
        <f>IF($B464="","",IF(LEFT($AC464,3)="Yes","Blocked",IF(C464="NOT STARTED",IF(K464="","No plan date set",IF(K464&lt;TODAY(),"Review - planned start passed","On track")),IF(C464="DB Dev",IF(N464="","No target set",IF(AND(N464&lt;TODAY(),P464=""),"Overdue","On track")),IF(C464="PBI Dev",IF(Q464="","No target set",IF(AND(Q464&lt;TODAY(),S464=""),"Overdue","On track")),IF(C464="QA",IF(T464="","No target set",IF(AND(T464&lt;TODAY(),V464=""),"Overdue","On track")),IF(C464="DPO Approval",IF(W464="","No target set",IF(W464&lt;TODAY(),"Overdue","On track")),IF(C464="RELEASED IN PROD","Delivered",""))))))))</f>
        <v/>
      </c>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c r="AA464" s="1" t="n"/>
      <c r="AB464" s="1" t="n"/>
      <c r="AC464" s="1" t="n"/>
      <c r="AD464" s="9">
        <f>IF($B464="","",COUNTIF('Rework Log'!$A$3:$A$500,$B464))</f>
        <v/>
      </c>
      <c r="AE464" s="9">
        <f>IF(OR($B464="",$AM464=0),"",INDEX('Rework Log'!$C:$C,$AM464))</f>
        <v/>
      </c>
      <c r="AF464" s="9">
        <f>IF(OR($B464="",$AM464=0),"",INDEX('Rework Log'!$H:$H,$AM464))</f>
        <v/>
      </c>
      <c r="AG464" s="9">
        <f>IF(OR($B464="",$AM464=0),"",INDEX('Rework Log'!$G:$G,$AM464))</f>
        <v/>
      </c>
      <c r="AH464" s="9">
        <f>IF($B464="","",IF(W464&lt;&gt;"","DPO Approval",IF(T464&lt;&gt;"","QA",IF(Q464&lt;&gt;"","PBI Dev",IF(N464&lt;&gt;"","DB Dev","NOT STARTED")))))</f>
        <v/>
      </c>
      <c r="AI464" s="9">
        <f>IF($B464="","",IF(IF($C464="NOT STARTED",0,IF($C464="DB Dev",1,IF($C464="PBI Dev",2,IF($C464="QA",3,IF($C464="DPO Approval",4,IF($C464="RELEASED IN PROD",5,-1))))))&lt;IF($AH464="NOT STARTED",0,IF($AH464="DB Dev",1,IF($AH464="PBI Dev",2,IF($AH464="QA",3,IF($AH464="DPO Approval",4,IF($AH464="RELEASED IN PROD",5,-1)))))),"Yes - was already at "&amp;$AH464&amp;", now back at "&amp;$C464,"No"))</f>
        <v/>
      </c>
      <c r="AJ464" s="9">
        <f>IF($B464="","",IF(AND(T464&lt;&gt;"",N464&lt;&gt;"",T464&lt;N464),"QA target is before DB Dev target",IF(AND(T464&lt;&gt;"",Q464&lt;&gt;"",T464&lt;Q464),"QA target is before PBI Dev target",IF(AND(W464&lt;&gt;"",T464&lt;&gt;"",W464&lt;T464),"DPO Approval target is before QA target",IF(AND(Z464&lt;&gt;"",W464&lt;&gt;"",Z464&lt;W464),"Confirmed Deployed date is before DPO Approval target","")))))</f>
        <v/>
      </c>
      <c r="AK464" s="9">
        <f>IF($B464="","",IF(COUNTIF($B$2:$B$500,$B464)&gt;1,"Duplicate name - check row",""))</f>
        <v/>
      </c>
      <c r="AL464" s="1" t="n"/>
      <c r="AM464" s="9">
        <f>IF($B464="","",SUMPRODUCT(MAX(('Rework Log'!$A$3:$A$500=$B464)*ROW('Rework Log'!$A$3:$A$500))))</f>
        <v/>
      </c>
    </row>
    <row r="465">
      <c r="A465" s="1" t="n"/>
      <c r="B465" s="1" t="n"/>
      <c r="C465" s="1" t="n"/>
      <c r="D465" s="9">
        <f>IF($B465="","",IF(LEFT($AC465,3)="Yes","Blocked",IF(C465="NOT STARTED",IF(K465="","No plan date set",IF(K465&lt;TODAY(),"Review - planned start passed","On track")),IF(C465="DB Dev",IF(N465="","No target set",IF(AND(N465&lt;TODAY(),P465=""),"Overdue","On track")),IF(C465="PBI Dev",IF(Q465="","No target set",IF(AND(Q465&lt;TODAY(),S465=""),"Overdue","On track")),IF(C465="QA",IF(T465="","No target set",IF(AND(T465&lt;TODAY(),V465=""),"Overdue","On track")),IF(C465="DPO Approval",IF(W465="","No target set",IF(W465&lt;TODAY(),"Overdue","On track")),IF(C465="RELEASED IN PROD","Delivered",""))))))))</f>
        <v/>
      </c>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c r="AA465" s="1" t="n"/>
      <c r="AB465" s="1" t="n"/>
      <c r="AC465" s="1" t="n"/>
      <c r="AD465" s="9">
        <f>IF($B465="","",COUNTIF('Rework Log'!$A$3:$A$500,$B465))</f>
        <v/>
      </c>
      <c r="AE465" s="9">
        <f>IF(OR($B465="",$AM465=0),"",INDEX('Rework Log'!$C:$C,$AM465))</f>
        <v/>
      </c>
      <c r="AF465" s="9">
        <f>IF(OR($B465="",$AM465=0),"",INDEX('Rework Log'!$H:$H,$AM465))</f>
        <v/>
      </c>
      <c r="AG465" s="9">
        <f>IF(OR($B465="",$AM465=0),"",INDEX('Rework Log'!$G:$G,$AM465))</f>
        <v/>
      </c>
      <c r="AH465" s="9">
        <f>IF($B465="","",IF(W465&lt;&gt;"","DPO Approval",IF(T465&lt;&gt;"","QA",IF(Q465&lt;&gt;"","PBI Dev",IF(N465&lt;&gt;"","DB Dev","NOT STARTED")))))</f>
        <v/>
      </c>
      <c r="AI465" s="9">
        <f>IF($B465="","",IF(IF($C465="NOT STARTED",0,IF($C465="DB Dev",1,IF($C465="PBI Dev",2,IF($C465="QA",3,IF($C465="DPO Approval",4,IF($C465="RELEASED IN PROD",5,-1))))))&lt;IF($AH465="NOT STARTED",0,IF($AH465="DB Dev",1,IF($AH465="PBI Dev",2,IF($AH465="QA",3,IF($AH465="DPO Approval",4,IF($AH465="RELEASED IN PROD",5,-1)))))),"Yes - was already at "&amp;$AH465&amp;", now back at "&amp;$C465,"No"))</f>
        <v/>
      </c>
      <c r="AJ465" s="9">
        <f>IF($B465="","",IF(AND(T465&lt;&gt;"",N465&lt;&gt;"",T465&lt;N465),"QA target is before DB Dev target",IF(AND(T465&lt;&gt;"",Q465&lt;&gt;"",T465&lt;Q465),"QA target is before PBI Dev target",IF(AND(W465&lt;&gt;"",T465&lt;&gt;"",W465&lt;T465),"DPO Approval target is before QA target",IF(AND(Z465&lt;&gt;"",W465&lt;&gt;"",Z465&lt;W465),"Confirmed Deployed date is before DPO Approval target","")))))</f>
        <v/>
      </c>
      <c r="AK465" s="9">
        <f>IF($B465="","",IF(COUNTIF($B$2:$B$500,$B465)&gt;1,"Duplicate name - check row",""))</f>
        <v/>
      </c>
      <c r="AL465" s="1" t="n"/>
      <c r="AM465" s="9">
        <f>IF($B465="","",SUMPRODUCT(MAX(('Rework Log'!$A$3:$A$500=$B465)*ROW('Rework Log'!$A$3:$A$500))))</f>
        <v/>
      </c>
    </row>
    <row r="466">
      <c r="A466" s="1" t="n"/>
      <c r="B466" s="1" t="n"/>
      <c r="C466" s="1" t="n"/>
      <c r="D466" s="9">
        <f>IF($B466="","",IF(LEFT($AC466,3)="Yes","Blocked",IF(C466="NOT STARTED",IF(K466="","No plan date set",IF(K466&lt;TODAY(),"Review - planned start passed","On track")),IF(C466="DB Dev",IF(N466="","No target set",IF(AND(N466&lt;TODAY(),P466=""),"Overdue","On track")),IF(C466="PBI Dev",IF(Q466="","No target set",IF(AND(Q466&lt;TODAY(),S466=""),"Overdue","On track")),IF(C466="QA",IF(T466="","No target set",IF(AND(T466&lt;TODAY(),V466=""),"Overdue","On track")),IF(C466="DPO Approval",IF(W466="","No target set",IF(W466&lt;TODAY(),"Overdue","On track")),IF(C466="RELEASED IN PROD","Delivered",""))))))))</f>
        <v/>
      </c>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c r="AA466" s="1" t="n"/>
      <c r="AB466" s="1" t="n"/>
      <c r="AC466" s="1" t="n"/>
      <c r="AD466" s="9">
        <f>IF($B466="","",COUNTIF('Rework Log'!$A$3:$A$500,$B466))</f>
        <v/>
      </c>
      <c r="AE466" s="9">
        <f>IF(OR($B466="",$AM466=0),"",INDEX('Rework Log'!$C:$C,$AM466))</f>
        <v/>
      </c>
      <c r="AF466" s="9">
        <f>IF(OR($B466="",$AM466=0),"",INDEX('Rework Log'!$H:$H,$AM466))</f>
        <v/>
      </c>
      <c r="AG466" s="9">
        <f>IF(OR($B466="",$AM466=0),"",INDEX('Rework Log'!$G:$G,$AM466))</f>
        <v/>
      </c>
      <c r="AH466" s="9">
        <f>IF($B466="","",IF(W466&lt;&gt;"","DPO Approval",IF(T466&lt;&gt;"","QA",IF(Q466&lt;&gt;"","PBI Dev",IF(N466&lt;&gt;"","DB Dev","NOT STARTED")))))</f>
        <v/>
      </c>
      <c r="AI466" s="9">
        <f>IF($B466="","",IF(IF($C466="NOT STARTED",0,IF($C466="DB Dev",1,IF($C466="PBI Dev",2,IF($C466="QA",3,IF($C466="DPO Approval",4,IF($C466="RELEASED IN PROD",5,-1))))))&lt;IF($AH466="NOT STARTED",0,IF($AH466="DB Dev",1,IF($AH466="PBI Dev",2,IF($AH466="QA",3,IF($AH466="DPO Approval",4,IF($AH466="RELEASED IN PROD",5,-1)))))),"Yes - was already at "&amp;$AH466&amp;", now back at "&amp;$C466,"No"))</f>
        <v/>
      </c>
      <c r="AJ466" s="9">
        <f>IF($B466="","",IF(AND(T466&lt;&gt;"",N466&lt;&gt;"",T466&lt;N466),"QA target is before DB Dev target",IF(AND(T466&lt;&gt;"",Q466&lt;&gt;"",T466&lt;Q466),"QA target is before PBI Dev target",IF(AND(W466&lt;&gt;"",T466&lt;&gt;"",W466&lt;T466),"DPO Approval target is before QA target",IF(AND(Z466&lt;&gt;"",W466&lt;&gt;"",Z466&lt;W466),"Confirmed Deployed date is before DPO Approval target","")))))</f>
        <v/>
      </c>
      <c r="AK466" s="9">
        <f>IF($B466="","",IF(COUNTIF($B$2:$B$500,$B466)&gt;1,"Duplicate name - check row",""))</f>
        <v/>
      </c>
      <c r="AL466" s="1" t="n"/>
      <c r="AM466" s="9">
        <f>IF($B466="","",SUMPRODUCT(MAX(('Rework Log'!$A$3:$A$500=$B466)*ROW('Rework Log'!$A$3:$A$500))))</f>
        <v/>
      </c>
    </row>
    <row r="467">
      <c r="A467" s="1" t="n"/>
      <c r="B467" s="1" t="n"/>
      <c r="C467" s="1" t="n"/>
      <c r="D467" s="9">
        <f>IF($B467="","",IF(LEFT($AC467,3)="Yes","Blocked",IF(C467="NOT STARTED",IF(K467="","No plan date set",IF(K467&lt;TODAY(),"Review - planned start passed","On track")),IF(C467="DB Dev",IF(N467="","No target set",IF(AND(N467&lt;TODAY(),P467=""),"Overdue","On track")),IF(C467="PBI Dev",IF(Q467="","No target set",IF(AND(Q467&lt;TODAY(),S467=""),"Overdue","On track")),IF(C467="QA",IF(T467="","No target set",IF(AND(T467&lt;TODAY(),V467=""),"Overdue","On track")),IF(C467="DPO Approval",IF(W467="","No target set",IF(W467&lt;TODAY(),"Overdue","On track")),IF(C467="RELEASED IN PROD","Delivered",""))))))))</f>
        <v/>
      </c>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c r="AA467" s="1" t="n"/>
      <c r="AB467" s="1" t="n"/>
      <c r="AC467" s="1" t="n"/>
      <c r="AD467" s="9">
        <f>IF($B467="","",COUNTIF('Rework Log'!$A$3:$A$500,$B467))</f>
        <v/>
      </c>
      <c r="AE467" s="9">
        <f>IF(OR($B467="",$AM467=0),"",INDEX('Rework Log'!$C:$C,$AM467))</f>
        <v/>
      </c>
      <c r="AF467" s="9">
        <f>IF(OR($B467="",$AM467=0),"",INDEX('Rework Log'!$H:$H,$AM467))</f>
        <v/>
      </c>
      <c r="AG467" s="9">
        <f>IF(OR($B467="",$AM467=0),"",INDEX('Rework Log'!$G:$G,$AM467))</f>
        <v/>
      </c>
      <c r="AH467" s="9">
        <f>IF($B467="","",IF(W467&lt;&gt;"","DPO Approval",IF(T467&lt;&gt;"","QA",IF(Q467&lt;&gt;"","PBI Dev",IF(N467&lt;&gt;"","DB Dev","NOT STARTED")))))</f>
        <v/>
      </c>
      <c r="AI467" s="9">
        <f>IF($B467="","",IF(IF($C467="NOT STARTED",0,IF($C467="DB Dev",1,IF($C467="PBI Dev",2,IF($C467="QA",3,IF($C467="DPO Approval",4,IF($C467="RELEASED IN PROD",5,-1))))))&lt;IF($AH467="NOT STARTED",0,IF($AH467="DB Dev",1,IF($AH467="PBI Dev",2,IF($AH467="QA",3,IF($AH467="DPO Approval",4,IF($AH467="RELEASED IN PROD",5,-1)))))),"Yes - was already at "&amp;$AH467&amp;", now back at "&amp;$C467,"No"))</f>
        <v/>
      </c>
      <c r="AJ467" s="9">
        <f>IF($B467="","",IF(AND(T467&lt;&gt;"",N467&lt;&gt;"",T467&lt;N467),"QA target is before DB Dev target",IF(AND(T467&lt;&gt;"",Q467&lt;&gt;"",T467&lt;Q467),"QA target is before PBI Dev target",IF(AND(W467&lt;&gt;"",T467&lt;&gt;"",W467&lt;T467),"DPO Approval target is before QA target",IF(AND(Z467&lt;&gt;"",W467&lt;&gt;"",Z467&lt;W467),"Confirmed Deployed date is before DPO Approval target","")))))</f>
        <v/>
      </c>
      <c r="AK467" s="9">
        <f>IF($B467="","",IF(COUNTIF($B$2:$B$500,$B467)&gt;1,"Duplicate name - check row",""))</f>
        <v/>
      </c>
      <c r="AL467" s="1" t="n"/>
      <c r="AM467" s="9">
        <f>IF($B467="","",SUMPRODUCT(MAX(('Rework Log'!$A$3:$A$500=$B467)*ROW('Rework Log'!$A$3:$A$500))))</f>
        <v/>
      </c>
    </row>
    <row r="468">
      <c r="A468" s="1" t="n"/>
      <c r="B468" s="1" t="n"/>
      <c r="C468" s="1" t="n"/>
      <c r="D468" s="9">
        <f>IF($B468="","",IF(LEFT($AC468,3)="Yes","Blocked",IF(C468="NOT STARTED",IF(K468="","No plan date set",IF(K468&lt;TODAY(),"Review - planned start passed","On track")),IF(C468="DB Dev",IF(N468="","No target set",IF(AND(N468&lt;TODAY(),P468=""),"Overdue","On track")),IF(C468="PBI Dev",IF(Q468="","No target set",IF(AND(Q468&lt;TODAY(),S468=""),"Overdue","On track")),IF(C468="QA",IF(T468="","No target set",IF(AND(T468&lt;TODAY(),V468=""),"Overdue","On track")),IF(C468="DPO Approval",IF(W468="","No target set",IF(W468&lt;TODAY(),"Overdue","On track")),IF(C468="RELEASED IN PROD","Delivered",""))))))))</f>
        <v/>
      </c>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c r="AA468" s="1" t="n"/>
      <c r="AB468" s="1" t="n"/>
      <c r="AC468" s="1" t="n"/>
      <c r="AD468" s="9">
        <f>IF($B468="","",COUNTIF('Rework Log'!$A$3:$A$500,$B468))</f>
        <v/>
      </c>
      <c r="AE468" s="9">
        <f>IF(OR($B468="",$AM468=0),"",INDEX('Rework Log'!$C:$C,$AM468))</f>
        <v/>
      </c>
      <c r="AF468" s="9">
        <f>IF(OR($B468="",$AM468=0),"",INDEX('Rework Log'!$H:$H,$AM468))</f>
        <v/>
      </c>
      <c r="AG468" s="9">
        <f>IF(OR($B468="",$AM468=0),"",INDEX('Rework Log'!$G:$G,$AM468))</f>
        <v/>
      </c>
      <c r="AH468" s="9">
        <f>IF($B468="","",IF(W468&lt;&gt;"","DPO Approval",IF(T468&lt;&gt;"","QA",IF(Q468&lt;&gt;"","PBI Dev",IF(N468&lt;&gt;"","DB Dev","NOT STARTED")))))</f>
        <v/>
      </c>
      <c r="AI468" s="9">
        <f>IF($B468="","",IF(IF($C468="NOT STARTED",0,IF($C468="DB Dev",1,IF($C468="PBI Dev",2,IF($C468="QA",3,IF($C468="DPO Approval",4,IF($C468="RELEASED IN PROD",5,-1))))))&lt;IF($AH468="NOT STARTED",0,IF($AH468="DB Dev",1,IF($AH468="PBI Dev",2,IF($AH468="QA",3,IF($AH468="DPO Approval",4,IF($AH468="RELEASED IN PROD",5,-1)))))),"Yes - was already at "&amp;$AH468&amp;", now back at "&amp;$C468,"No"))</f>
        <v/>
      </c>
      <c r="AJ468" s="9">
        <f>IF($B468="","",IF(AND(T468&lt;&gt;"",N468&lt;&gt;"",T468&lt;N468),"QA target is before DB Dev target",IF(AND(T468&lt;&gt;"",Q468&lt;&gt;"",T468&lt;Q468),"QA target is before PBI Dev target",IF(AND(W468&lt;&gt;"",T468&lt;&gt;"",W468&lt;T468),"DPO Approval target is before QA target",IF(AND(Z468&lt;&gt;"",W468&lt;&gt;"",Z468&lt;W468),"Confirmed Deployed date is before DPO Approval target","")))))</f>
        <v/>
      </c>
      <c r="AK468" s="9">
        <f>IF($B468="","",IF(COUNTIF($B$2:$B$500,$B468)&gt;1,"Duplicate name - check row",""))</f>
        <v/>
      </c>
      <c r="AL468" s="1" t="n"/>
      <c r="AM468" s="9">
        <f>IF($B468="","",SUMPRODUCT(MAX(('Rework Log'!$A$3:$A$500=$B468)*ROW('Rework Log'!$A$3:$A$500))))</f>
        <v/>
      </c>
    </row>
    <row r="469">
      <c r="A469" s="1" t="n"/>
      <c r="B469" s="1" t="n"/>
      <c r="C469" s="1" t="n"/>
      <c r="D469" s="9">
        <f>IF($B469="","",IF(LEFT($AC469,3)="Yes","Blocked",IF(C469="NOT STARTED",IF(K469="","No plan date set",IF(K469&lt;TODAY(),"Review - planned start passed","On track")),IF(C469="DB Dev",IF(N469="","No target set",IF(AND(N469&lt;TODAY(),P469=""),"Overdue","On track")),IF(C469="PBI Dev",IF(Q469="","No target set",IF(AND(Q469&lt;TODAY(),S469=""),"Overdue","On track")),IF(C469="QA",IF(T469="","No target set",IF(AND(T469&lt;TODAY(),V469=""),"Overdue","On track")),IF(C469="DPO Approval",IF(W469="","No target set",IF(W469&lt;TODAY(),"Overdue","On track")),IF(C469="RELEASED IN PROD","Delivered",""))))))))</f>
        <v/>
      </c>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c r="AA469" s="1" t="n"/>
      <c r="AB469" s="1" t="n"/>
      <c r="AC469" s="1" t="n"/>
      <c r="AD469" s="9">
        <f>IF($B469="","",COUNTIF('Rework Log'!$A$3:$A$500,$B469))</f>
        <v/>
      </c>
      <c r="AE469" s="9">
        <f>IF(OR($B469="",$AM469=0),"",INDEX('Rework Log'!$C:$C,$AM469))</f>
        <v/>
      </c>
      <c r="AF469" s="9">
        <f>IF(OR($B469="",$AM469=0),"",INDEX('Rework Log'!$H:$H,$AM469))</f>
        <v/>
      </c>
      <c r="AG469" s="9">
        <f>IF(OR($B469="",$AM469=0),"",INDEX('Rework Log'!$G:$G,$AM469))</f>
        <v/>
      </c>
      <c r="AH469" s="9">
        <f>IF($B469="","",IF(W469&lt;&gt;"","DPO Approval",IF(T469&lt;&gt;"","QA",IF(Q469&lt;&gt;"","PBI Dev",IF(N469&lt;&gt;"","DB Dev","NOT STARTED")))))</f>
        <v/>
      </c>
      <c r="AI469" s="9">
        <f>IF($B469="","",IF(IF($C469="NOT STARTED",0,IF($C469="DB Dev",1,IF($C469="PBI Dev",2,IF($C469="QA",3,IF($C469="DPO Approval",4,IF($C469="RELEASED IN PROD",5,-1))))))&lt;IF($AH469="NOT STARTED",0,IF($AH469="DB Dev",1,IF($AH469="PBI Dev",2,IF($AH469="QA",3,IF($AH469="DPO Approval",4,IF($AH469="RELEASED IN PROD",5,-1)))))),"Yes - was already at "&amp;$AH469&amp;", now back at "&amp;$C469,"No"))</f>
        <v/>
      </c>
      <c r="AJ469" s="9">
        <f>IF($B469="","",IF(AND(T469&lt;&gt;"",N469&lt;&gt;"",T469&lt;N469),"QA target is before DB Dev target",IF(AND(T469&lt;&gt;"",Q469&lt;&gt;"",T469&lt;Q469),"QA target is before PBI Dev target",IF(AND(W469&lt;&gt;"",T469&lt;&gt;"",W469&lt;T469),"DPO Approval target is before QA target",IF(AND(Z469&lt;&gt;"",W469&lt;&gt;"",Z469&lt;W469),"Confirmed Deployed date is before DPO Approval target","")))))</f>
        <v/>
      </c>
      <c r="AK469" s="9">
        <f>IF($B469="","",IF(COUNTIF($B$2:$B$500,$B469)&gt;1,"Duplicate name - check row",""))</f>
        <v/>
      </c>
      <c r="AL469" s="1" t="n"/>
      <c r="AM469" s="9">
        <f>IF($B469="","",SUMPRODUCT(MAX(('Rework Log'!$A$3:$A$500=$B469)*ROW('Rework Log'!$A$3:$A$500))))</f>
        <v/>
      </c>
    </row>
    <row r="470">
      <c r="A470" s="1" t="n"/>
      <c r="B470" s="1" t="n"/>
      <c r="C470" s="1" t="n"/>
      <c r="D470" s="9">
        <f>IF($B470="","",IF(LEFT($AC470,3)="Yes","Blocked",IF(C470="NOT STARTED",IF(K470="","No plan date set",IF(K470&lt;TODAY(),"Review - planned start passed","On track")),IF(C470="DB Dev",IF(N470="","No target set",IF(AND(N470&lt;TODAY(),P470=""),"Overdue","On track")),IF(C470="PBI Dev",IF(Q470="","No target set",IF(AND(Q470&lt;TODAY(),S470=""),"Overdue","On track")),IF(C470="QA",IF(T470="","No target set",IF(AND(T470&lt;TODAY(),V470=""),"Overdue","On track")),IF(C470="DPO Approval",IF(W470="","No target set",IF(W470&lt;TODAY(),"Overdue","On track")),IF(C470="RELEASED IN PROD","Delivered",""))))))))</f>
        <v/>
      </c>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c r="AA470" s="1" t="n"/>
      <c r="AB470" s="1" t="n"/>
      <c r="AC470" s="1" t="n"/>
      <c r="AD470" s="9">
        <f>IF($B470="","",COUNTIF('Rework Log'!$A$3:$A$500,$B470))</f>
        <v/>
      </c>
      <c r="AE470" s="9">
        <f>IF(OR($B470="",$AM470=0),"",INDEX('Rework Log'!$C:$C,$AM470))</f>
        <v/>
      </c>
      <c r="AF470" s="9">
        <f>IF(OR($B470="",$AM470=0),"",INDEX('Rework Log'!$H:$H,$AM470))</f>
        <v/>
      </c>
      <c r="AG470" s="9">
        <f>IF(OR($B470="",$AM470=0),"",INDEX('Rework Log'!$G:$G,$AM470))</f>
        <v/>
      </c>
      <c r="AH470" s="9">
        <f>IF($B470="","",IF(W470&lt;&gt;"","DPO Approval",IF(T470&lt;&gt;"","QA",IF(Q470&lt;&gt;"","PBI Dev",IF(N470&lt;&gt;"","DB Dev","NOT STARTED")))))</f>
        <v/>
      </c>
      <c r="AI470" s="9">
        <f>IF($B470="","",IF(IF($C470="NOT STARTED",0,IF($C470="DB Dev",1,IF($C470="PBI Dev",2,IF($C470="QA",3,IF($C470="DPO Approval",4,IF($C470="RELEASED IN PROD",5,-1))))))&lt;IF($AH470="NOT STARTED",0,IF($AH470="DB Dev",1,IF($AH470="PBI Dev",2,IF($AH470="QA",3,IF($AH470="DPO Approval",4,IF($AH470="RELEASED IN PROD",5,-1)))))),"Yes - was already at "&amp;$AH470&amp;", now back at "&amp;$C470,"No"))</f>
        <v/>
      </c>
      <c r="AJ470" s="9">
        <f>IF($B470="","",IF(AND(T470&lt;&gt;"",N470&lt;&gt;"",T470&lt;N470),"QA target is before DB Dev target",IF(AND(T470&lt;&gt;"",Q470&lt;&gt;"",T470&lt;Q470),"QA target is before PBI Dev target",IF(AND(W470&lt;&gt;"",T470&lt;&gt;"",W470&lt;T470),"DPO Approval target is before QA target",IF(AND(Z470&lt;&gt;"",W470&lt;&gt;"",Z470&lt;W470),"Confirmed Deployed date is before DPO Approval target","")))))</f>
        <v/>
      </c>
      <c r="AK470" s="9">
        <f>IF($B470="","",IF(COUNTIF($B$2:$B$500,$B470)&gt;1,"Duplicate name - check row",""))</f>
        <v/>
      </c>
      <c r="AL470" s="1" t="n"/>
      <c r="AM470" s="9">
        <f>IF($B470="","",SUMPRODUCT(MAX(('Rework Log'!$A$3:$A$500=$B470)*ROW('Rework Log'!$A$3:$A$500))))</f>
        <v/>
      </c>
    </row>
    <row r="471">
      <c r="A471" s="1" t="n"/>
      <c r="B471" s="1" t="n"/>
      <c r="C471" s="1" t="n"/>
      <c r="D471" s="9">
        <f>IF($B471="","",IF(LEFT($AC471,3)="Yes","Blocked",IF(C471="NOT STARTED",IF(K471="","No plan date set",IF(K471&lt;TODAY(),"Review - planned start passed","On track")),IF(C471="DB Dev",IF(N471="","No target set",IF(AND(N471&lt;TODAY(),P471=""),"Overdue","On track")),IF(C471="PBI Dev",IF(Q471="","No target set",IF(AND(Q471&lt;TODAY(),S471=""),"Overdue","On track")),IF(C471="QA",IF(T471="","No target set",IF(AND(T471&lt;TODAY(),V471=""),"Overdue","On track")),IF(C471="DPO Approval",IF(W471="","No target set",IF(W471&lt;TODAY(),"Overdue","On track")),IF(C471="RELEASED IN PROD","Delivered",""))))))))</f>
        <v/>
      </c>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c r="AA471" s="1" t="n"/>
      <c r="AB471" s="1" t="n"/>
      <c r="AC471" s="1" t="n"/>
      <c r="AD471" s="9">
        <f>IF($B471="","",COUNTIF('Rework Log'!$A$3:$A$500,$B471))</f>
        <v/>
      </c>
      <c r="AE471" s="9">
        <f>IF(OR($B471="",$AM471=0),"",INDEX('Rework Log'!$C:$C,$AM471))</f>
        <v/>
      </c>
      <c r="AF471" s="9">
        <f>IF(OR($B471="",$AM471=0),"",INDEX('Rework Log'!$H:$H,$AM471))</f>
        <v/>
      </c>
      <c r="AG471" s="9">
        <f>IF(OR($B471="",$AM471=0),"",INDEX('Rework Log'!$G:$G,$AM471))</f>
        <v/>
      </c>
      <c r="AH471" s="9">
        <f>IF($B471="","",IF(W471&lt;&gt;"","DPO Approval",IF(T471&lt;&gt;"","QA",IF(Q471&lt;&gt;"","PBI Dev",IF(N471&lt;&gt;"","DB Dev","NOT STARTED")))))</f>
        <v/>
      </c>
      <c r="AI471" s="9">
        <f>IF($B471="","",IF(IF($C471="NOT STARTED",0,IF($C471="DB Dev",1,IF($C471="PBI Dev",2,IF($C471="QA",3,IF($C471="DPO Approval",4,IF($C471="RELEASED IN PROD",5,-1))))))&lt;IF($AH471="NOT STARTED",0,IF($AH471="DB Dev",1,IF($AH471="PBI Dev",2,IF($AH471="QA",3,IF($AH471="DPO Approval",4,IF($AH471="RELEASED IN PROD",5,-1)))))),"Yes - was already at "&amp;$AH471&amp;", now back at "&amp;$C471,"No"))</f>
        <v/>
      </c>
      <c r="AJ471" s="9">
        <f>IF($B471="","",IF(AND(T471&lt;&gt;"",N471&lt;&gt;"",T471&lt;N471),"QA target is before DB Dev target",IF(AND(T471&lt;&gt;"",Q471&lt;&gt;"",T471&lt;Q471),"QA target is before PBI Dev target",IF(AND(W471&lt;&gt;"",T471&lt;&gt;"",W471&lt;T471),"DPO Approval target is before QA target",IF(AND(Z471&lt;&gt;"",W471&lt;&gt;"",Z471&lt;W471),"Confirmed Deployed date is before DPO Approval target","")))))</f>
        <v/>
      </c>
      <c r="AK471" s="9">
        <f>IF($B471="","",IF(COUNTIF($B$2:$B$500,$B471)&gt;1,"Duplicate name - check row",""))</f>
        <v/>
      </c>
      <c r="AL471" s="1" t="n"/>
      <c r="AM471" s="9">
        <f>IF($B471="","",SUMPRODUCT(MAX(('Rework Log'!$A$3:$A$500=$B471)*ROW('Rework Log'!$A$3:$A$500))))</f>
        <v/>
      </c>
    </row>
    <row r="472">
      <c r="A472" s="1" t="n"/>
      <c r="B472" s="1" t="n"/>
      <c r="C472" s="1" t="n"/>
      <c r="D472" s="9">
        <f>IF($B472="","",IF(LEFT($AC472,3)="Yes","Blocked",IF(C472="NOT STARTED",IF(K472="","No plan date set",IF(K472&lt;TODAY(),"Review - planned start passed","On track")),IF(C472="DB Dev",IF(N472="","No target set",IF(AND(N472&lt;TODAY(),P472=""),"Overdue","On track")),IF(C472="PBI Dev",IF(Q472="","No target set",IF(AND(Q472&lt;TODAY(),S472=""),"Overdue","On track")),IF(C472="QA",IF(T472="","No target set",IF(AND(T472&lt;TODAY(),V472=""),"Overdue","On track")),IF(C472="DPO Approval",IF(W472="","No target set",IF(W472&lt;TODAY(),"Overdue","On track")),IF(C472="RELEASED IN PROD","Delivered",""))))))))</f>
        <v/>
      </c>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c r="AA472" s="1" t="n"/>
      <c r="AB472" s="1" t="n"/>
      <c r="AC472" s="1" t="n"/>
      <c r="AD472" s="9">
        <f>IF($B472="","",COUNTIF('Rework Log'!$A$3:$A$500,$B472))</f>
        <v/>
      </c>
      <c r="AE472" s="9">
        <f>IF(OR($B472="",$AM472=0),"",INDEX('Rework Log'!$C:$C,$AM472))</f>
        <v/>
      </c>
      <c r="AF472" s="9">
        <f>IF(OR($B472="",$AM472=0),"",INDEX('Rework Log'!$H:$H,$AM472))</f>
        <v/>
      </c>
      <c r="AG472" s="9">
        <f>IF(OR($B472="",$AM472=0),"",INDEX('Rework Log'!$G:$G,$AM472))</f>
        <v/>
      </c>
      <c r="AH472" s="9">
        <f>IF($B472="","",IF(W472&lt;&gt;"","DPO Approval",IF(T472&lt;&gt;"","QA",IF(Q472&lt;&gt;"","PBI Dev",IF(N472&lt;&gt;"","DB Dev","NOT STARTED")))))</f>
        <v/>
      </c>
      <c r="AI472" s="9">
        <f>IF($B472="","",IF(IF($C472="NOT STARTED",0,IF($C472="DB Dev",1,IF($C472="PBI Dev",2,IF($C472="QA",3,IF($C472="DPO Approval",4,IF($C472="RELEASED IN PROD",5,-1))))))&lt;IF($AH472="NOT STARTED",0,IF($AH472="DB Dev",1,IF($AH472="PBI Dev",2,IF($AH472="QA",3,IF($AH472="DPO Approval",4,IF($AH472="RELEASED IN PROD",5,-1)))))),"Yes - was already at "&amp;$AH472&amp;", now back at "&amp;$C472,"No"))</f>
        <v/>
      </c>
      <c r="AJ472" s="9">
        <f>IF($B472="","",IF(AND(T472&lt;&gt;"",N472&lt;&gt;"",T472&lt;N472),"QA target is before DB Dev target",IF(AND(T472&lt;&gt;"",Q472&lt;&gt;"",T472&lt;Q472),"QA target is before PBI Dev target",IF(AND(W472&lt;&gt;"",T472&lt;&gt;"",W472&lt;T472),"DPO Approval target is before QA target",IF(AND(Z472&lt;&gt;"",W472&lt;&gt;"",Z472&lt;W472),"Confirmed Deployed date is before DPO Approval target","")))))</f>
        <v/>
      </c>
      <c r="AK472" s="9">
        <f>IF($B472="","",IF(COUNTIF($B$2:$B$500,$B472)&gt;1,"Duplicate name - check row",""))</f>
        <v/>
      </c>
      <c r="AL472" s="1" t="n"/>
      <c r="AM472" s="9">
        <f>IF($B472="","",SUMPRODUCT(MAX(('Rework Log'!$A$3:$A$500=$B472)*ROW('Rework Log'!$A$3:$A$500))))</f>
        <v/>
      </c>
    </row>
    <row r="473">
      <c r="A473" s="1" t="n"/>
      <c r="B473" s="1" t="n"/>
      <c r="C473" s="1" t="n"/>
      <c r="D473" s="9">
        <f>IF($B473="","",IF(LEFT($AC473,3)="Yes","Blocked",IF(C473="NOT STARTED",IF(K473="","No plan date set",IF(K473&lt;TODAY(),"Review - planned start passed","On track")),IF(C473="DB Dev",IF(N473="","No target set",IF(AND(N473&lt;TODAY(),P473=""),"Overdue","On track")),IF(C473="PBI Dev",IF(Q473="","No target set",IF(AND(Q473&lt;TODAY(),S473=""),"Overdue","On track")),IF(C473="QA",IF(T473="","No target set",IF(AND(T473&lt;TODAY(),V473=""),"Overdue","On track")),IF(C473="DPO Approval",IF(W473="","No target set",IF(W473&lt;TODAY(),"Overdue","On track")),IF(C473="RELEASED IN PROD","Delivered",""))))))))</f>
        <v/>
      </c>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c r="AA473" s="1" t="n"/>
      <c r="AB473" s="1" t="n"/>
      <c r="AC473" s="1" t="n"/>
      <c r="AD473" s="9">
        <f>IF($B473="","",COUNTIF('Rework Log'!$A$3:$A$500,$B473))</f>
        <v/>
      </c>
      <c r="AE473" s="9">
        <f>IF(OR($B473="",$AM473=0),"",INDEX('Rework Log'!$C:$C,$AM473))</f>
        <v/>
      </c>
      <c r="AF473" s="9">
        <f>IF(OR($B473="",$AM473=0),"",INDEX('Rework Log'!$H:$H,$AM473))</f>
        <v/>
      </c>
      <c r="AG473" s="9">
        <f>IF(OR($B473="",$AM473=0),"",INDEX('Rework Log'!$G:$G,$AM473))</f>
        <v/>
      </c>
      <c r="AH473" s="9">
        <f>IF($B473="","",IF(W473&lt;&gt;"","DPO Approval",IF(T473&lt;&gt;"","QA",IF(Q473&lt;&gt;"","PBI Dev",IF(N473&lt;&gt;"","DB Dev","NOT STARTED")))))</f>
        <v/>
      </c>
      <c r="AI473" s="9">
        <f>IF($B473="","",IF(IF($C473="NOT STARTED",0,IF($C473="DB Dev",1,IF($C473="PBI Dev",2,IF($C473="QA",3,IF($C473="DPO Approval",4,IF($C473="RELEASED IN PROD",5,-1))))))&lt;IF($AH473="NOT STARTED",0,IF($AH473="DB Dev",1,IF($AH473="PBI Dev",2,IF($AH473="QA",3,IF($AH473="DPO Approval",4,IF($AH473="RELEASED IN PROD",5,-1)))))),"Yes - was already at "&amp;$AH473&amp;", now back at "&amp;$C473,"No"))</f>
        <v/>
      </c>
      <c r="AJ473" s="9">
        <f>IF($B473="","",IF(AND(T473&lt;&gt;"",N473&lt;&gt;"",T473&lt;N473),"QA target is before DB Dev target",IF(AND(T473&lt;&gt;"",Q473&lt;&gt;"",T473&lt;Q473),"QA target is before PBI Dev target",IF(AND(W473&lt;&gt;"",T473&lt;&gt;"",W473&lt;T473),"DPO Approval target is before QA target",IF(AND(Z473&lt;&gt;"",W473&lt;&gt;"",Z473&lt;W473),"Confirmed Deployed date is before DPO Approval target","")))))</f>
        <v/>
      </c>
      <c r="AK473" s="9">
        <f>IF($B473="","",IF(COUNTIF($B$2:$B$500,$B473)&gt;1,"Duplicate name - check row",""))</f>
        <v/>
      </c>
      <c r="AL473" s="1" t="n"/>
      <c r="AM473" s="9">
        <f>IF($B473="","",SUMPRODUCT(MAX(('Rework Log'!$A$3:$A$500=$B473)*ROW('Rework Log'!$A$3:$A$500))))</f>
        <v/>
      </c>
    </row>
    <row r="474">
      <c r="A474" s="1" t="n"/>
      <c r="B474" s="1" t="n"/>
      <c r="C474" s="1" t="n"/>
      <c r="D474" s="9">
        <f>IF($B474="","",IF(LEFT($AC474,3)="Yes","Blocked",IF(C474="NOT STARTED",IF(K474="","No plan date set",IF(K474&lt;TODAY(),"Review - planned start passed","On track")),IF(C474="DB Dev",IF(N474="","No target set",IF(AND(N474&lt;TODAY(),P474=""),"Overdue","On track")),IF(C474="PBI Dev",IF(Q474="","No target set",IF(AND(Q474&lt;TODAY(),S474=""),"Overdue","On track")),IF(C474="QA",IF(T474="","No target set",IF(AND(T474&lt;TODAY(),V474=""),"Overdue","On track")),IF(C474="DPO Approval",IF(W474="","No target set",IF(W474&lt;TODAY(),"Overdue","On track")),IF(C474="RELEASED IN PROD","Delivered",""))))))))</f>
        <v/>
      </c>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c r="AA474" s="1" t="n"/>
      <c r="AB474" s="1" t="n"/>
      <c r="AC474" s="1" t="n"/>
      <c r="AD474" s="9">
        <f>IF($B474="","",COUNTIF('Rework Log'!$A$3:$A$500,$B474))</f>
        <v/>
      </c>
      <c r="AE474" s="9">
        <f>IF(OR($B474="",$AM474=0),"",INDEX('Rework Log'!$C:$C,$AM474))</f>
        <v/>
      </c>
      <c r="AF474" s="9">
        <f>IF(OR($B474="",$AM474=0),"",INDEX('Rework Log'!$H:$H,$AM474))</f>
        <v/>
      </c>
      <c r="AG474" s="9">
        <f>IF(OR($B474="",$AM474=0),"",INDEX('Rework Log'!$G:$G,$AM474))</f>
        <v/>
      </c>
      <c r="AH474" s="9">
        <f>IF($B474="","",IF(W474&lt;&gt;"","DPO Approval",IF(T474&lt;&gt;"","QA",IF(Q474&lt;&gt;"","PBI Dev",IF(N474&lt;&gt;"","DB Dev","NOT STARTED")))))</f>
        <v/>
      </c>
      <c r="AI474" s="9">
        <f>IF($B474="","",IF(IF($C474="NOT STARTED",0,IF($C474="DB Dev",1,IF($C474="PBI Dev",2,IF($C474="QA",3,IF($C474="DPO Approval",4,IF($C474="RELEASED IN PROD",5,-1))))))&lt;IF($AH474="NOT STARTED",0,IF($AH474="DB Dev",1,IF($AH474="PBI Dev",2,IF($AH474="QA",3,IF($AH474="DPO Approval",4,IF($AH474="RELEASED IN PROD",5,-1)))))),"Yes - was already at "&amp;$AH474&amp;", now back at "&amp;$C474,"No"))</f>
        <v/>
      </c>
      <c r="AJ474" s="9">
        <f>IF($B474="","",IF(AND(T474&lt;&gt;"",N474&lt;&gt;"",T474&lt;N474),"QA target is before DB Dev target",IF(AND(T474&lt;&gt;"",Q474&lt;&gt;"",T474&lt;Q474),"QA target is before PBI Dev target",IF(AND(W474&lt;&gt;"",T474&lt;&gt;"",W474&lt;T474),"DPO Approval target is before QA target",IF(AND(Z474&lt;&gt;"",W474&lt;&gt;"",Z474&lt;W474),"Confirmed Deployed date is before DPO Approval target","")))))</f>
        <v/>
      </c>
      <c r="AK474" s="9">
        <f>IF($B474="","",IF(COUNTIF($B$2:$B$500,$B474)&gt;1,"Duplicate name - check row",""))</f>
        <v/>
      </c>
      <c r="AL474" s="1" t="n"/>
      <c r="AM474" s="9">
        <f>IF($B474="","",SUMPRODUCT(MAX(('Rework Log'!$A$3:$A$500=$B474)*ROW('Rework Log'!$A$3:$A$500))))</f>
        <v/>
      </c>
    </row>
    <row r="475">
      <c r="A475" s="1" t="n"/>
      <c r="B475" s="1" t="n"/>
      <c r="C475" s="1" t="n"/>
      <c r="D475" s="9">
        <f>IF($B475="","",IF(LEFT($AC475,3)="Yes","Blocked",IF(C475="NOT STARTED",IF(K475="","No plan date set",IF(K475&lt;TODAY(),"Review - planned start passed","On track")),IF(C475="DB Dev",IF(N475="","No target set",IF(AND(N475&lt;TODAY(),P475=""),"Overdue","On track")),IF(C475="PBI Dev",IF(Q475="","No target set",IF(AND(Q475&lt;TODAY(),S475=""),"Overdue","On track")),IF(C475="QA",IF(T475="","No target set",IF(AND(T475&lt;TODAY(),V475=""),"Overdue","On track")),IF(C475="DPO Approval",IF(W475="","No target set",IF(W475&lt;TODAY(),"Overdue","On track")),IF(C475="RELEASED IN PROD","Delivered",""))))))))</f>
        <v/>
      </c>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c r="AA475" s="1" t="n"/>
      <c r="AB475" s="1" t="n"/>
      <c r="AC475" s="1" t="n"/>
      <c r="AD475" s="9">
        <f>IF($B475="","",COUNTIF('Rework Log'!$A$3:$A$500,$B475))</f>
        <v/>
      </c>
      <c r="AE475" s="9">
        <f>IF(OR($B475="",$AM475=0),"",INDEX('Rework Log'!$C:$C,$AM475))</f>
        <v/>
      </c>
      <c r="AF475" s="9">
        <f>IF(OR($B475="",$AM475=0),"",INDEX('Rework Log'!$H:$H,$AM475))</f>
        <v/>
      </c>
      <c r="AG475" s="9">
        <f>IF(OR($B475="",$AM475=0),"",INDEX('Rework Log'!$G:$G,$AM475))</f>
        <v/>
      </c>
      <c r="AH475" s="9">
        <f>IF($B475="","",IF(W475&lt;&gt;"","DPO Approval",IF(T475&lt;&gt;"","QA",IF(Q475&lt;&gt;"","PBI Dev",IF(N475&lt;&gt;"","DB Dev","NOT STARTED")))))</f>
        <v/>
      </c>
      <c r="AI475" s="9">
        <f>IF($B475="","",IF(IF($C475="NOT STARTED",0,IF($C475="DB Dev",1,IF($C475="PBI Dev",2,IF($C475="QA",3,IF($C475="DPO Approval",4,IF($C475="RELEASED IN PROD",5,-1))))))&lt;IF($AH475="NOT STARTED",0,IF($AH475="DB Dev",1,IF($AH475="PBI Dev",2,IF($AH475="QA",3,IF($AH475="DPO Approval",4,IF($AH475="RELEASED IN PROD",5,-1)))))),"Yes - was already at "&amp;$AH475&amp;", now back at "&amp;$C475,"No"))</f>
        <v/>
      </c>
      <c r="AJ475" s="9">
        <f>IF($B475="","",IF(AND(T475&lt;&gt;"",N475&lt;&gt;"",T475&lt;N475),"QA target is before DB Dev target",IF(AND(T475&lt;&gt;"",Q475&lt;&gt;"",T475&lt;Q475),"QA target is before PBI Dev target",IF(AND(W475&lt;&gt;"",T475&lt;&gt;"",W475&lt;T475),"DPO Approval target is before QA target",IF(AND(Z475&lt;&gt;"",W475&lt;&gt;"",Z475&lt;W475),"Confirmed Deployed date is before DPO Approval target","")))))</f>
        <v/>
      </c>
      <c r="AK475" s="9">
        <f>IF($B475="","",IF(COUNTIF($B$2:$B$500,$B475)&gt;1,"Duplicate name - check row",""))</f>
        <v/>
      </c>
      <c r="AL475" s="1" t="n"/>
      <c r="AM475" s="9">
        <f>IF($B475="","",SUMPRODUCT(MAX(('Rework Log'!$A$3:$A$500=$B475)*ROW('Rework Log'!$A$3:$A$500))))</f>
        <v/>
      </c>
    </row>
    <row r="476">
      <c r="A476" s="1" t="n"/>
      <c r="B476" s="1" t="n"/>
      <c r="C476" s="1" t="n"/>
      <c r="D476" s="9">
        <f>IF($B476="","",IF(LEFT($AC476,3)="Yes","Blocked",IF(C476="NOT STARTED",IF(K476="","No plan date set",IF(K476&lt;TODAY(),"Review - planned start passed","On track")),IF(C476="DB Dev",IF(N476="","No target set",IF(AND(N476&lt;TODAY(),P476=""),"Overdue","On track")),IF(C476="PBI Dev",IF(Q476="","No target set",IF(AND(Q476&lt;TODAY(),S476=""),"Overdue","On track")),IF(C476="QA",IF(T476="","No target set",IF(AND(T476&lt;TODAY(),V476=""),"Overdue","On track")),IF(C476="DPO Approval",IF(W476="","No target set",IF(W476&lt;TODAY(),"Overdue","On track")),IF(C476="RELEASED IN PROD","Delivered",""))))))))</f>
        <v/>
      </c>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c r="AA476" s="1" t="n"/>
      <c r="AB476" s="1" t="n"/>
      <c r="AC476" s="1" t="n"/>
      <c r="AD476" s="9">
        <f>IF($B476="","",COUNTIF('Rework Log'!$A$3:$A$500,$B476))</f>
        <v/>
      </c>
      <c r="AE476" s="9">
        <f>IF(OR($B476="",$AM476=0),"",INDEX('Rework Log'!$C:$C,$AM476))</f>
        <v/>
      </c>
      <c r="AF476" s="9">
        <f>IF(OR($B476="",$AM476=0),"",INDEX('Rework Log'!$H:$H,$AM476))</f>
        <v/>
      </c>
      <c r="AG476" s="9">
        <f>IF(OR($B476="",$AM476=0),"",INDEX('Rework Log'!$G:$G,$AM476))</f>
        <v/>
      </c>
      <c r="AH476" s="9">
        <f>IF($B476="","",IF(W476&lt;&gt;"","DPO Approval",IF(T476&lt;&gt;"","QA",IF(Q476&lt;&gt;"","PBI Dev",IF(N476&lt;&gt;"","DB Dev","NOT STARTED")))))</f>
        <v/>
      </c>
      <c r="AI476" s="9">
        <f>IF($B476="","",IF(IF($C476="NOT STARTED",0,IF($C476="DB Dev",1,IF($C476="PBI Dev",2,IF($C476="QA",3,IF($C476="DPO Approval",4,IF($C476="RELEASED IN PROD",5,-1))))))&lt;IF($AH476="NOT STARTED",0,IF($AH476="DB Dev",1,IF($AH476="PBI Dev",2,IF($AH476="QA",3,IF($AH476="DPO Approval",4,IF($AH476="RELEASED IN PROD",5,-1)))))),"Yes - was already at "&amp;$AH476&amp;", now back at "&amp;$C476,"No"))</f>
        <v/>
      </c>
      <c r="AJ476" s="9">
        <f>IF($B476="","",IF(AND(T476&lt;&gt;"",N476&lt;&gt;"",T476&lt;N476),"QA target is before DB Dev target",IF(AND(T476&lt;&gt;"",Q476&lt;&gt;"",T476&lt;Q476),"QA target is before PBI Dev target",IF(AND(W476&lt;&gt;"",T476&lt;&gt;"",W476&lt;T476),"DPO Approval target is before QA target",IF(AND(Z476&lt;&gt;"",W476&lt;&gt;"",Z476&lt;W476),"Confirmed Deployed date is before DPO Approval target","")))))</f>
        <v/>
      </c>
      <c r="AK476" s="9">
        <f>IF($B476="","",IF(COUNTIF($B$2:$B$500,$B476)&gt;1,"Duplicate name - check row",""))</f>
        <v/>
      </c>
      <c r="AL476" s="1" t="n"/>
      <c r="AM476" s="9">
        <f>IF($B476="","",SUMPRODUCT(MAX(('Rework Log'!$A$3:$A$500=$B476)*ROW('Rework Log'!$A$3:$A$500))))</f>
        <v/>
      </c>
    </row>
    <row r="477">
      <c r="A477" s="1" t="n"/>
      <c r="B477" s="1" t="n"/>
      <c r="C477" s="1" t="n"/>
      <c r="D477" s="9">
        <f>IF($B477="","",IF(LEFT($AC477,3)="Yes","Blocked",IF(C477="NOT STARTED",IF(K477="","No plan date set",IF(K477&lt;TODAY(),"Review - planned start passed","On track")),IF(C477="DB Dev",IF(N477="","No target set",IF(AND(N477&lt;TODAY(),P477=""),"Overdue","On track")),IF(C477="PBI Dev",IF(Q477="","No target set",IF(AND(Q477&lt;TODAY(),S477=""),"Overdue","On track")),IF(C477="QA",IF(T477="","No target set",IF(AND(T477&lt;TODAY(),V477=""),"Overdue","On track")),IF(C477="DPO Approval",IF(W477="","No target set",IF(W477&lt;TODAY(),"Overdue","On track")),IF(C477="RELEASED IN PROD","Delivered",""))))))))</f>
        <v/>
      </c>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c r="AA477" s="1" t="n"/>
      <c r="AB477" s="1" t="n"/>
      <c r="AC477" s="1" t="n"/>
      <c r="AD477" s="9">
        <f>IF($B477="","",COUNTIF('Rework Log'!$A$3:$A$500,$B477))</f>
        <v/>
      </c>
      <c r="AE477" s="9">
        <f>IF(OR($B477="",$AM477=0),"",INDEX('Rework Log'!$C:$C,$AM477))</f>
        <v/>
      </c>
      <c r="AF477" s="9">
        <f>IF(OR($B477="",$AM477=0),"",INDEX('Rework Log'!$H:$H,$AM477))</f>
        <v/>
      </c>
      <c r="AG477" s="9">
        <f>IF(OR($B477="",$AM477=0),"",INDEX('Rework Log'!$G:$G,$AM477))</f>
        <v/>
      </c>
      <c r="AH477" s="9">
        <f>IF($B477="","",IF(W477&lt;&gt;"","DPO Approval",IF(T477&lt;&gt;"","QA",IF(Q477&lt;&gt;"","PBI Dev",IF(N477&lt;&gt;"","DB Dev","NOT STARTED")))))</f>
        <v/>
      </c>
      <c r="AI477" s="9">
        <f>IF($B477="","",IF(IF($C477="NOT STARTED",0,IF($C477="DB Dev",1,IF($C477="PBI Dev",2,IF($C477="QA",3,IF($C477="DPO Approval",4,IF($C477="RELEASED IN PROD",5,-1))))))&lt;IF($AH477="NOT STARTED",0,IF($AH477="DB Dev",1,IF($AH477="PBI Dev",2,IF($AH477="QA",3,IF($AH477="DPO Approval",4,IF($AH477="RELEASED IN PROD",5,-1)))))),"Yes - was already at "&amp;$AH477&amp;", now back at "&amp;$C477,"No"))</f>
        <v/>
      </c>
      <c r="AJ477" s="9">
        <f>IF($B477="","",IF(AND(T477&lt;&gt;"",N477&lt;&gt;"",T477&lt;N477),"QA target is before DB Dev target",IF(AND(T477&lt;&gt;"",Q477&lt;&gt;"",T477&lt;Q477),"QA target is before PBI Dev target",IF(AND(W477&lt;&gt;"",T477&lt;&gt;"",W477&lt;T477),"DPO Approval target is before QA target",IF(AND(Z477&lt;&gt;"",W477&lt;&gt;"",Z477&lt;W477),"Confirmed Deployed date is before DPO Approval target","")))))</f>
        <v/>
      </c>
      <c r="AK477" s="9">
        <f>IF($B477="","",IF(COUNTIF($B$2:$B$500,$B477)&gt;1,"Duplicate name - check row",""))</f>
        <v/>
      </c>
      <c r="AL477" s="1" t="n"/>
      <c r="AM477" s="9">
        <f>IF($B477="","",SUMPRODUCT(MAX(('Rework Log'!$A$3:$A$500=$B477)*ROW('Rework Log'!$A$3:$A$500))))</f>
        <v/>
      </c>
    </row>
    <row r="478">
      <c r="A478" s="1" t="n"/>
      <c r="B478" s="1" t="n"/>
      <c r="C478" s="1" t="n"/>
      <c r="D478" s="9">
        <f>IF($B478="","",IF(LEFT($AC478,3)="Yes","Blocked",IF(C478="NOT STARTED",IF(K478="","No plan date set",IF(K478&lt;TODAY(),"Review - planned start passed","On track")),IF(C478="DB Dev",IF(N478="","No target set",IF(AND(N478&lt;TODAY(),P478=""),"Overdue","On track")),IF(C478="PBI Dev",IF(Q478="","No target set",IF(AND(Q478&lt;TODAY(),S478=""),"Overdue","On track")),IF(C478="QA",IF(T478="","No target set",IF(AND(T478&lt;TODAY(),V478=""),"Overdue","On track")),IF(C478="DPO Approval",IF(W478="","No target set",IF(W478&lt;TODAY(),"Overdue","On track")),IF(C478="RELEASED IN PROD","Delivered",""))))))))</f>
        <v/>
      </c>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c r="AA478" s="1" t="n"/>
      <c r="AB478" s="1" t="n"/>
      <c r="AC478" s="1" t="n"/>
      <c r="AD478" s="9">
        <f>IF($B478="","",COUNTIF('Rework Log'!$A$3:$A$500,$B478))</f>
        <v/>
      </c>
      <c r="AE478" s="9">
        <f>IF(OR($B478="",$AM478=0),"",INDEX('Rework Log'!$C:$C,$AM478))</f>
        <v/>
      </c>
      <c r="AF478" s="9">
        <f>IF(OR($B478="",$AM478=0),"",INDEX('Rework Log'!$H:$H,$AM478))</f>
        <v/>
      </c>
      <c r="AG478" s="9">
        <f>IF(OR($B478="",$AM478=0),"",INDEX('Rework Log'!$G:$G,$AM478))</f>
        <v/>
      </c>
      <c r="AH478" s="9">
        <f>IF($B478="","",IF(W478&lt;&gt;"","DPO Approval",IF(T478&lt;&gt;"","QA",IF(Q478&lt;&gt;"","PBI Dev",IF(N478&lt;&gt;"","DB Dev","NOT STARTED")))))</f>
        <v/>
      </c>
      <c r="AI478" s="9">
        <f>IF($B478="","",IF(IF($C478="NOT STARTED",0,IF($C478="DB Dev",1,IF($C478="PBI Dev",2,IF($C478="QA",3,IF($C478="DPO Approval",4,IF($C478="RELEASED IN PROD",5,-1))))))&lt;IF($AH478="NOT STARTED",0,IF($AH478="DB Dev",1,IF($AH478="PBI Dev",2,IF($AH478="QA",3,IF($AH478="DPO Approval",4,IF($AH478="RELEASED IN PROD",5,-1)))))),"Yes - was already at "&amp;$AH478&amp;", now back at "&amp;$C478,"No"))</f>
        <v/>
      </c>
      <c r="AJ478" s="9">
        <f>IF($B478="","",IF(AND(T478&lt;&gt;"",N478&lt;&gt;"",T478&lt;N478),"QA target is before DB Dev target",IF(AND(T478&lt;&gt;"",Q478&lt;&gt;"",T478&lt;Q478),"QA target is before PBI Dev target",IF(AND(W478&lt;&gt;"",T478&lt;&gt;"",W478&lt;T478),"DPO Approval target is before QA target",IF(AND(Z478&lt;&gt;"",W478&lt;&gt;"",Z478&lt;W478),"Confirmed Deployed date is before DPO Approval target","")))))</f>
        <v/>
      </c>
      <c r="AK478" s="9">
        <f>IF($B478="","",IF(COUNTIF($B$2:$B$500,$B478)&gt;1,"Duplicate name - check row",""))</f>
        <v/>
      </c>
      <c r="AL478" s="1" t="n"/>
      <c r="AM478" s="9">
        <f>IF($B478="","",SUMPRODUCT(MAX(('Rework Log'!$A$3:$A$500=$B478)*ROW('Rework Log'!$A$3:$A$500))))</f>
        <v/>
      </c>
    </row>
    <row r="479">
      <c r="A479" s="1" t="n"/>
      <c r="B479" s="1" t="n"/>
      <c r="C479" s="1" t="n"/>
      <c r="D479" s="9">
        <f>IF($B479="","",IF(LEFT($AC479,3)="Yes","Blocked",IF(C479="NOT STARTED",IF(K479="","No plan date set",IF(K479&lt;TODAY(),"Review - planned start passed","On track")),IF(C479="DB Dev",IF(N479="","No target set",IF(AND(N479&lt;TODAY(),P479=""),"Overdue","On track")),IF(C479="PBI Dev",IF(Q479="","No target set",IF(AND(Q479&lt;TODAY(),S479=""),"Overdue","On track")),IF(C479="QA",IF(T479="","No target set",IF(AND(T479&lt;TODAY(),V479=""),"Overdue","On track")),IF(C479="DPO Approval",IF(W479="","No target set",IF(W479&lt;TODAY(),"Overdue","On track")),IF(C479="RELEASED IN PROD","Delivered",""))))))))</f>
        <v/>
      </c>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c r="AA479" s="1" t="n"/>
      <c r="AB479" s="1" t="n"/>
      <c r="AC479" s="1" t="n"/>
      <c r="AD479" s="9">
        <f>IF($B479="","",COUNTIF('Rework Log'!$A$3:$A$500,$B479))</f>
        <v/>
      </c>
      <c r="AE479" s="9">
        <f>IF(OR($B479="",$AM479=0),"",INDEX('Rework Log'!$C:$C,$AM479))</f>
        <v/>
      </c>
      <c r="AF479" s="9">
        <f>IF(OR($B479="",$AM479=0),"",INDEX('Rework Log'!$H:$H,$AM479))</f>
        <v/>
      </c>
      <c r="AG479" s="9">
        <f>IF(OR($B479="",$AM479=0),"",INDEX('Rework Log'!$G:$G,$AM479))</f>
        <v/>
      </c>
      <c r="AH479" s="9">
        <f>IF($B479="","",IF(W479&lt;&gt;"","DPO Approval",IF(T479&lt;&gt;"","QA",IF(Q479&lt;&gt;"","PBI Dev",IF(N479&lt;&gt;"","DB Dev","NOT STARTED")))))</f>
        <v/>
      </c>
      <c r="AI479" s="9">
        <f>IF($B479="","",IF(IF($C479="NOT STARTED",0,IF($C479="DB Dev",1,IF($C479="PBI Dev",2,IF($C479="QA",3,IF($C479="DPO Approval",4,IF($C479="RELEASED IN PROD",5,-1))))))&lt;IF($AH479="NOT STARTED",0,IF($AH479="DB Dev",1,IF($AH479="PBI Dev",2,IF($AH479="QA",3,IF($AH479="DPO Approval",4,IF($AH479="RELEASED IN PROD",5,-1)))))),"Yes - was already at "&amp;$AH479&amp;", now back at "&amp;$C479,"No"))</f>
        <v/>
      </c>
      <c r="AJ479" s="9">
        <f>IF($B479="","",IF(AND(T479&lt;&gt;"",N479&lt;&gt;"",T479&lt;N479),"QA target is before DB Dev target",IF(AND(T479&lt;&gt;"",Q479&lt;&gt;"",T479&lt;Q479),"QA target is before PBI Dev target",IF(AND(W479&lt;&gt;"",T479&lt;&gt;"",W479&lt;T479),"DPO Approval target is before QA target",IF(AND(Z479&lt;&gt;"",W479&lt;&gt;"",Z479&lt;W479),"Confirmed Deployed date is before DPO Approval target","")))))</f>
        <v/>
      </c>
      <c r="AK479" s="9">
        <f>IF($B479="","",IF(COUNTIF($B$2:$B$500,$B479)&gt;1,"Duplicate name - check row",""))</f>
        <v/>
      </c>
      <c r="AL479" s="1" t="n"/>
      <c r="AM479" s="9">
        <f>IF($B479="","",SUMPRODUCT(MAX(('Rework Log'!$A$3:$A$500=$B479)*ROW('Rework Log'!$A$3:$A$500))))</f>
        <v/>
      </c>
    </row>
    <row r="480">
      <c r="A480" s="1" t="n"/>
      <c r="B480" s="1" t="n"/>
      <c r="C480" s="1" t="n"/>
      <c r="D480" s="9">
        <f>IF($B480="","",IF(LEFT($AC480,3)="Yes","Blocked",IF(C480="NOT STARTED",IF(K480="","No plan date set",IF(K480&lt;TODAY(),"Review - planned start passed","On track")),IF(C480="DB Dev",IF(N480="","No target set",IF(AND(N480&lt;TODAY(),P480=""),"Overdue","On track")),IF(C480="PBI Dev",IF(Q480="","No target set",IF(AND(Q480&lt;TODAY(),S480=""),"Overdue","On track")),IF(C480="QA",IF(T480="","No target set",IF(AND(T480&lt;TODAY(),V480=""),"Overdue","On track")),IF(C480="DPO Approval",IF(W480="","No target set",IF(W480&lt;TODAY(),"Overdue","On track")),IF(C480="RELEASED IN PROD","Delivered",""))))))))</f>
        <v/>
      </c>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c r="AA480" s="1" t="n"/>
      <c r="AB480" s="1" t="n"/>
      <c r="AC480" s="1" t="n"/>
      <c r="AD480" s="9">
        <f>IF($B480="","",COUNTIF('Rework Log'!$A$3:$A$500,$B480))</f>
        <v/>
      </c>
      <c r="AE480" s="9">
        <f>IF(OR($B480="",$AM480=0),"",INDEX('Rework Log'!$C:$C,$AM480))</f>
        <v/>
      </c>
      <c r="AF480" s="9">
        <f>IF(OR($B480="",$AM480=0),"",INDEX('Rework Log'!$H:$H,$AM480))</f>
        <v/>
      </c>
      <c r="AG480" s="9">
        <f>IF(OR($B480="",$AM480=0),"",INDEX('Rework Log'!$G:$G,$AM480))</f>
        <v/>
      </c>
      <c r="AH480" s="9">
        <f>IF($B480="","",IF(W480&lt;&gt;"","DPO Approval",IF(T480&lt;&gt;"","QA",IF(Q480&lt;&gt;"","PBI Dev",IF(N480&lt;&gt;"","DB Dev","NOT STARTED")))))</f>
        <v/>
      </c>
      <c r="AI480" s="9">
        <f>IF($B480="","",IF(IF($C480="NOT STARTED",0,IF($C480="DB Dev",1,IF($C480="PBI Dev",2,IF($C480="QA",3,IF($C480="DPO Approval",4,IF($C480="RELEASED IN PROD",5,-1))))))&lt;IF($AH480="NOT STARTED",0,IF($AH480="DB Dev",1,IF($AH480="PBI Dev",2,IF($AH480="QA",3,IF($AH480="DPO Approval",4,IF($AH480="RELEASED IN PROD",5,-1)))))),"Yes - was already at "&amp;$AH480&amp;", now back at "&amp;$C480,"No"))</f>
        <v/>
      </c>
      <c r="AJ480" s="9">
        <f>IF($B480="","",IF(AND(T480&lt;&gt;"",N480&lt;&gt;"",T480&lt;N480),"QA target is before DB Dev target",IF(AND(T480&lt;&gt;"",Q480&lt;&gt;"",T480&lt;Q480),"QA target is before PBI Dev target",IF(AND(W480&lt;&gt;"",T480&lt;&gt;"",W480&lt;T480),"DPO Approval target is before QA target",IF(AND(Z480&lt;&gt;"",W480&lt;&gt;"",Z480&lt;W480),"Confirmed Deployed date is before DPO Approval target","")))))</f>
        <v/>
      </c>
      <c r="AK480" s="9">
        <f>IF($B480="","",IF(COUNTIF($B$2:$B$500,$B480)&gt;1,"Duplicate name - check row",""))</f>
        <v/>
      </c>
      <c r="AL480" s="1" t="n"/>
      <c r="AM480" s="9">
        <f>IF($B480="","",SUMPRODUCT(MAX(('Rework Log'!$A$3:$A$500=$B480)*ROW('Rework Log'!$A$3:$A$500))))</f>
        <v/>
      </c>
    </row>
    <row r="481">
      <c r="A481" s="1" t="n"/>
      <c r="B481" s="1" t="n"/>
      <c r="C481" s="1" t="n"/>
      <c r="D481" s="9">
        <f>IF($B481="","",IF(LEFT($AC481,3)="Yes","Blocked",IF(C481="NOT STARTED",IF(K481="","No plan date set",IF(K481&lt;TODAY(),"Review - planned start passed","On track")),IF(C481="DB Dev",IF(N481="","No target set",IF(AND(N481&lt;TODAY(),P481=""),"Overdue","On track")),IF(C481="PBI Dev",IF(Q481="","No target set",IF(AND(Q481&lt;TODAY(),S481=""),"Overdue","On track")),IF(C481="QA",IF(T481="","No target set",IF(AND(T481&lt;TODAY(),V481=""),"Overdue","On track")),IF(C481="DPO Approval",IF(W481="","No target set",IF(W481&lt;TODAY(),"Overdue","On track")),IF(C481="RELEASED IN PROD","Delivered",""))))))))</f>
        <v/>
      </c>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c r="AA481" s="1" t="n"/>
      <c r="AB481" s="1" t="n"/>
      <c r="AC481" s="1" t="n"/>
      <c r="AD481" s="9">
        <f>IF($B481="","",COUNTIF('Rework Log'!$A$3:$A$500,$B481))</f>
        <v/>
      </c>
      <c r="AE481" s="9">
        <f>IF(OR($B481="",$AM481=0),"",INDEX('Rework Log'!$C:$C,$AM481))</f>
        <v/>
      </c>
      <c r="AF481" s="9">
        <f>IF(OR($B481="",$AM481=0),"",INDEX('Rework Log'!$H:$H,$AM481))</f>
        <v/>
      </c>
      <c r="AG481" s="9">
        <f>IF(OR($B481="",$AM481=0),"",INDEX('Rework Log'!$G:$G,$AM481))</f>
        <v/>
      </c>
      <c r="AH481" s="9">
        <f>IF($B481="","",IF(W481&lt;&gt;"","DPO Approval",IF(T481&lt;&gt;"","QA",IF(Q481&lt;&gt;"","PBI Dev",IF(N481&lt;&gt;"","DB Dev","NOT STARTED")))))</f>
        <v/>
      </c>
      <c r="AI481" s="9">
        <f>IF($B481="","",IF(IF($C481="NOT STARTED",0,IF($C481="DB Dev",1,IF($C481="PBI Dev",2,IF($C481="QA",3,IF($C481="DPO Approval",4,IF($C481="RELEASED IN PROD",5,-1))))))&lt;IF($AH481="NOT STARTED",0,IF($AH481="DB Dev",1,IF($AH481="PBI Dev",2,IF($AH481="QA",3,IF($AH481="DPO Approval",4,IF($AH481="RELEASED IN PROD",5,-1)))))),"Yes - was already at "&amp;$AH481&amp;", now back at "&amp;$C481,"No"))</f>
        <v/>
      </c>
      <c r="AJ481" s="9">
        <f>IF($B481="","",IF(AND(T481&lt;&gt;"",N481&lt;&gt;"",T481&lt;N481),"QA target is before DB Dev target",IF(AND(T481&lt;&gt;"",Q481&lt;&gt;"",T481&lt;Q481),"QA target is before PBI Dev target",IF(AND(W481&lt;&gt;"",T481&lt;&gt;"",W481&lt;T481),"DPO Approval target is before QA target",IF(AND(Z481&lt;&gt;"",W481&lt;&gt;"",Z481&lt;W481),"Confirmed Deployed date is before DPO Approval target","")))))</f>
        <v/>
      </c>
      <c r="AK481" s="9">
        <f>IF($B481="","",IF(COUNTIF($B$2:$B$500,$B481)&gt;1,"Duplicate name - check row",""))</f>
        <v/>
      </c>
      <c r="AL481" s="1" t="n"/>
      <c r="AM481" s="9">
        <f>IF($B481="","",SUMPRODUCT(MAX(('Rework Log'!$A$3:$A$500=$B481)*ROW('Rework Log'!$A$3:$A$500))))</f>
        <v/>
      </c>
    </row>
    <row r="482">
      <c r="A482" s="1" t="n"/>
      <c r="B482" s="1" t="n"/>
      <c r="C482" s="1" t="n"/>
      <c r="D482" s="9">
        <f>IF($B482="","",IF(LEFT($AC482,3)="Yes","Blocked",IF(C482="NOT STARTED",IF(K482="","No plan date set",IF(K482&lt;TODAY(),"Review - planned start passed","On track")),IF(C482="DB Dev",IF(N482="","No target set",IF(AND(N482&lt;TODAY(),P482=""),"Overdue","On track")),IF(C482="PBI Dev",IF(Q482="","No target set",IF(AND(Q482&lt;TODAY(),S482=""),"Overdue","On track")),IF(C482="QA",IF(T482="","No target set",IF(AND(T482&lt;TODAY(),V482=""),"Overdue","On track")),IF(C482="DPO Approval",IF(W482="","No target set",IF(W482&lt;TODAY(),"Overdue","On track")),IF(C482="RELEASED IN PROD","Delivered",""))))))))</f>
        <v/>
      </c>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c r="AA482" s="1" t="n"/>
      <c r="AB482" s="1" t="n"/>
      <c r="AC482" s="1" t="n"/>
      <c r="AD482" s="9">
        <f>IF($B482="","",COUNTIF('Rework Log'!$A$3:$A$500,$B482))</f>
        <v/>
      </c>
      <c r="AE482" s="9">
        <f>IF(OR($B482="",$AM482=0),"",INDEX('Rework Log'!$C:$C,$AM482))</f>
        <v/>
      </c>
      <c r="AF482" s="9">
        <f>IF(OR($B482="",$AM482=0),"",INDEX('Rework Log'!$H:$H,$AM482))</f>
        <v/>
      </c>
      <c r="AG482" s="9">
        <f>IF(OR($B482="",$AM482=0),"",INDEX('Rework Log'!$G:$G,$AM482))</f>
        <v/>
      </c>
      <c r="AH482" s="9">
        <f>IF($B482="","",IF(W482&lt;&gt;"","DPO Approval",IF(T482&lt;&gt;"","QA",IF(Q482&lt;&gt;"","PBI Dev",IF(N482&lt;&gt;"","DB Dev","NOT STARTED")))))</f>
        <v/>
      </c>
      <c r="AI482" s="9">
        <f>IF($B482="","",IF(IF($C482="NOT STARTED",0,IF($C482="DB Dev",1,IF($C482="PBI Dev",2,IF($C482="QA",3,IF($C482="DPO Approval",4,IF($C482="RELEASED IN PROD",5,-1))))))&lt;IF($AH482="NOT STARTED",0,IF($AH482="DB Dev",1,IF($AH482="PBI Dev",2,IF($AH482="QA",3,IF($AH482="DPO Approval",4,IF($AH482="RELEASED IN PROD",5,-1)))))),"Yes - was already at "&amp;$AH482&amp;", now back at "&amp;$C482,"No"))</f>
        <v/>
      </c>
      <c r="AJ482" s="9">
        <f>IF($B482="","",IF(AND(T482&lt;&gt;"",N482&lt;&gt;"",T482&lt;N482),"QA target is before DB Dev target",IF(AND(T482&lt;&gt;"",Q482&lt;&gt;"",T482&lt;Q482),"QA target is before PBI Dev target",IF(AND(W482&lt;&gt;"",T482&lt;&gt;"",W482&lt;T482),"DPO Approval target is before QA target",IF(AND(Z482&lt;&gt;"",W482&lt;&gt;"",Z482&lt;W482),"Confirmed Deployed date is before DPO Approval target","")))))</f>
        <v/>
      </c>
      <c r="AK482" s="9">
        <f>IF($B482="","",IF(COUNTIF($B$2:$B$500,$B482)&gt;1,"Duplicate name - check row",""))</f>
        <v/>
      </c>
      <c r="AL482" s="1" t="n"/>
      <c r="AM482" s="9">
        <f>IF($B482="","",SUMPRODUCT(MAX(('Rework Log'!$A$3:$A$500=$B482)*ROW('Rework Log'!$A$3:$A$500))))</f>
        <v/>
      </c>
    </row>
    <row r="483">
      <c r="A483" s="1" t="n"/>
      <c r="B483" s="1" t="n"/>
      <c r="C483" s="1" t="n"/>
      <c r="D483" s="9">
        <f>IF($B483="","",IF(LEFT($AC483,3)="Yes","Blocked",IF(C483="NOT STARTED",IF(K483="","No plan date set",IF(K483&lt;TODAY(),"Review - planned start passed","On track")),IF(C483="DB Dev",IF(N483="","No target set",IF(AND(N483&lt;TODAY(),P483=""),"Overdue","On track")),IF(C483="PBI Dev",IF(Q483="","No target set",IF(AND(Q483&lt;TODAY(),S483=""),"Overdue","On track")),IF(C483="QA",IF(T483="","No target set",IF(AND(T483&lt;TODAY(),V483=""),"Overdue","On track")),IF(C483="DPO Approval",IF(W483="","No target set",IF(W483&lt;TODAY(),"Overdue","On track")),IF(C483="RELEASED IN PROD","Delivered",""))))))))</f>
        <v/>
      </c>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c r="AA483" s="1" t="n"/>
      <c r="AB483" s="1" t="n"/>
      <c r="AC483" s="1" t="n"/>
      <c r="AD483" s="9">
        <f>IF($B483="","",COUNTIF('Rework Log'!$A$3:$A$500,$B483))</f>
        <v/>
      </c>
      <c r="AE483" s="9">
        <f>IF(OR($B483="",$AM483=0),"",INDEX('Rework Log'!$C:$C,$AM483))</f>
        <v/>
      </c>
      <c r="AF483" s="9">
        <f>IF(OR($B483="",$AM483=0),"",INDEX('Rework Log'!$H:$H,$AM483))</f>
        <v/>
      </c>
      <c r="AG483" s="9">
        <f>IF(OR($B483="",$AM483=0),"",INDEX('Rework Log'!$G:$G,$AM483))</f>
        <v/>
      </c>
      <c r="AH483" s="9">
        <f>IF($B483="","",IF(W483&lt;&gt;"","DPO Approval",IF(T483&lt;&gt;"","QA",IF(Q483&lt;&gt;"","PBI Dev",IF(N483&lt;&gt;"","DB Dev","NOT STARTED")))))</f>
        <v/>
      </c>
      <c r="AI483" s="9">
        <f>IF($B483="","",IF(IF($C483="NOT STARTED",0,IF($C483="DB Dev",1,IF($C483="PBI Dev",2,IF($C483="QA",3,IF($C483="DPO Approval",4,IF($C483="RELEASED IN PROD",5,-1))))))&lt;IF($AH483="NOT STARTED",0,IF($AH483="DB Dev",1,IF($AH483="PBI Dev",2,IF($AH483="QA",3,IF($AH483="DPO Approval",4,IF($AH483="RELEASED IN PROD",5,-1)))))),"Yes - was already at "&amp;$AH483&amp;", now back at "&amp;$C483,"No"))</f>
        <v/>
      </c>
      <c r="AJ483" s="9">
        <f>IF($B483="","",IF(AND(T483&lt;&gt;"",N483&lt;&gt;"",T483&lt;N483),"QA target is before DB Dev target",IF(AND(T483&lt;&gt;"",Q483&lt;&gt;"",T483&lt;Q483),"QA target is before PBI Dev target",IF(AND(W483&lt;&gt;"",T483&lt;&gt;"",W483&lt;T483),"DPO Approval target is before QA target",IF(AND(Z483&lt;&gt;"",W483&lt;&gt;"",Z483&lt;W483),"Confirmed Deployed date is before DPO Approval target","")))))</f>
        <v/>
      </c>
      <c r="AK483" s="9">
        <f>IF($B483="","",IF(COUNTIF($B$2:$B$500,$B483)&gt;1,"Duplicate name - check row",""))</f>
        <v/>
      </c>
      <c r="AL483" s="1" t="n"/>
      <c r="AM483" s="9">
        <f>IF($B483="","",SUMPRODUCT(MAX(('Rework Log'!$A$3:$A$500=$B483)*ROW('Rework Log'!$A$3:$A$500))))</f>
        <v/>
      </c>
    </row>
    <row r="484">
      <c r="A484" s="1" t="n"/>
      <c r="B484" s="1" t="n"/>
      <c r="C484" s="1" t="n"/>
      <c r="D484" s="9">
        <f>IF($B484="","",IF(LEFT($AC484,3)="Yes","Blocked",IF(C484="NOT STARTED",IF(K484="","No plan date set",IF(K484&lt;TODAY(),"Review - planned start passed","On track")),IF(C484="DB Dev",IF(N484="","No target set",IF(AND(N484&lt;TODAY(),P484=""),"Overdue","On track")),IF(C484="PBI Dev",IF(Q484="","No target set",IF(AND(Q484&lt;TODAY(),S484=""),"Overdue","On track")),IF(C484="QA",IF(T484="","No target set",IF(AND(T484&lt;TODAY(),V484=""),"Overdue","On track")),IF(C484="DPO Approval",IF(W484="","No target set",IF(W484&lt;TODAY(),"Overdue","On track")),IF(C484="RELEASED IN PROD","Delivered",""))))))))</f>
        <v/>
      </c>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c r="AA484" s="1" t="n"/>
      <c r="AB484" s="1" t="n"/>
      <c r="AC484" s="1" t="n"/>
      <c r="AD484" s="9">
        <f>IF($B484="","",COUNTIF('Rework Log'!$A$3:$A$500,$B484))</f>
        <v/>
      </c>
      <c r="AE484" s="9">
        <f>IF(OR($B484="",$AM484=0),"",INDEX('Rework Log'!$C:$C,$AM484))</f>
        <v/>
      </c>
      <c r="AF484" s="9">
        <f>IF(OR($B484="",$AM484=0),"",INDEX('Rework Log'!$H:$H,$AM484))</f>
        <v/>
      </c>
      <c r="AG484" s="9">
        <f>IF(OR($B484="",$AM484=0),"",INDEX('Rework Log'!$G:$G,$AM484))</f>
        <v/>
      </c>
      <c r="AH484" s="9">
        <f>IF($B484="","",IF(W484&lt;&gt;"","DPO Approval",IF(T484&lt;&gt;"","QA",IF(Q484&lt;&gt;"","PBI Dev",IF(N484&lt;&gt;"","DB Dev","NOT STARTED")))))</f>
        <v/>
      </c>
      <c r="AI484" s="9">
        <f>IF($B484="","",IF(IF($C484="NOT STARTED",0,IF($C484="DB Dev",1,IF($C484="PBI Dev",2,IF($C484="QA",3,IF($C484="DPO Approval",4,IF($C484="RELEASED IN PROD",5,-1))))))&lt;IF($AH484="NOT STARTED",0,IF($AH484="DB Dev",1,IF($AH484="PBI Dev",2,IF($AH484="QA",3,IF($AH484="DPO Approval",4,IF($AH484="RELEASED IN PROD",5,-1)))))),"Yes - was already at "&amp;$AH484&amp;", now back at "&amp;$C484,"No"))</f>
        <v/>
      </c>
      <c r="AJ484" s="9">
        <f>IF($B484="","",IF(AND(T484&lt;&gt;"",N484&lt;&gt;"",T484&lt;N484),"QA target is before DB Dev target",IF(AND(T484&lt;&gt;"",Q484&lt;&gt;"",T484&lt;Q484),"QA target is before PBI Dev target",IF(AND(W484&lt;&gt;"",T484&lt;&gt;"",W484&lt;T484),"DPO Approval target is before QA target",IF(AND(Z484&lt;&gt;"",W484&lt;&gt;"",Z484&lt;W484),"Confirmed Deployed date is before DPO Approval target","")))))</f>
        <v/>
      </c>
      <c r="AK484" s="9">
        <f>IF($B484="","",IF(COUNTIF($B$2:$B$500,$B484)&gt;1,"Duplicate name - check row",""))</f>
        <v/>
      </c>
      <c r="AL484" s="1" t="n"/>
      <c r="AM484" s="9">
        <f>IF($B484="","",SUMPRODUCT(MAX(('Rework Log'!$A$3:$A$500=$B484)*ROW('Rework Log'!$A$3:$A$500))))</f>
        <v/>
      </c>
    </row>
    <row r="485">
      <c r="A485" s="1" t="n"/>
      <c r="B485" s="1" t="n"/>
      <c r="C485" s="1" t="n"/>
      <c r="D485" s="9">
        <f>IF($B485="","",IF(LEFT($AC485,3)="Yes","Blocked",IF(C485="NOT STARTED",IF(K485="","No plan date set",IF(K485&lt;TODAY(),"Review - planned start passed","On track")),IF(C485="DB Dev",IF(N485="","No target set",IF(AND(N485&lt;TODAY(),P485=""),"Overdue","On track")),IF(C485="PBI Dev",IF(Q485="","No target set",IF(AND(Q485&lt;TODAY(),S485=""),"Overdue","On track")),IF(C485="QA",IF(T485="","No target set",IF(AND(T485&lt;TODAY(),V485=""),"Overdue","On track")),IF(C485="DPO Approval",IF(W485="","No target set",IF(W485&lt;TODAY(),"Overdue","On track")),IF(C485="RELEASED IN PROD","Delivered",""))))))))</f>
        <v/>
      </c>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c r="AA485" s="1" t="n"/>
      <c r="AB485" s="1" t="n"/>
      <c r="AC485" s="1" t="n"/>
      <c r="AD485" s="9">
        <f>IF($B485="","",COUNTIF('Rework Log'!$A$3:$A$500,$B485))</f>
        <v/>
      </c>
      <c r="AE485" s="9">
        <f>IF(OR($B485="",$AM485=0),"",INDEX('Rework Log'!$C:$C,$AM485))</f>
        <v/>
      </c>
      <c r="AF485" s="9">
        <f>IF(OR($B485="",$AM485=0),"",INDEX('Rework Log'!$H:$H,$AM485))</f>
        <v/>
      </c>
      <c r="AG485" s="9">
        <f>IF(OR($B485="",$AM485=0),"",INDEX('Rework Log'!$G:$G,$AM485))</f>
        <v/>
      </c>
      <c r="AH485" s="9">
        <f>IF($B485="","",IF(W485&lt;&gt;"","DPO Approval",IF(T485&lt;&gt;"","QA",IF(Q485&lt;&gt;"","PBI Dev",IF(N485&lt;&gt;"","DB Dev","NOT STARTED")))))</f>
        <v/>
      </c>
      <c r="AI485" s="9">
        <f>IF($B485="","",IF(IF($C485="NOT STARTED",0,IF($C485="DB Dev",1,IF($C485="PBI Dev",2,IF($C485="QA",3,IF($C485="DPO Approval",4,IF($C485="RELEASED IN PROD",5,-1))))))&lt;IF($AH485="NOT STARTED",0,IF($AH485="DB Dev",1,IF($AH485="PBI Dev",2,IF($AH485="QA",3,IF($AH485="DPO Approval",4,IF($AH485="RELEASED IN PROD",5,-1)))))),"Yes - was already at "&amp;$AH485&amp;", now back at "&amp;$C485,"No"))</f>
        <v/>
      </c>
      <c r="AJ485" s="9">
        <f>IF($B485="","",IF(AND(T485&lt;&gt;"",N485&lt;&gt;"",T485&lt;N485),"QA target is before DB Dev target",IF(AND(T485&lt;&gt;"",Q485&lt;&gt;"",T485&lt;Q485),"QA target is before PBI Dev target",IF(AND(W485&lt;&gt;"",T485&lt;&gt;"",W485&lt;T485),"DPO Approval target is before QA target",IF(AND(Z485&lt;&gt;"",W485&lt;&gt;"",Z485&lt;W485),"Confirmed Deployed date is before DPO Approval target","")))))</f>
        <v/>
      </c>
      <c r="AK485" s="9">
        <f>IF($B485="","",IF(COUNTIF($B$2:$B$500,$B485)&gt;1,"Duplicate name - check row",""))</f>
        <v/>
      </c>
      <c r="AL485" s="1" t="n"/>
      <c r="AM485" s="9">
        <f>IF($B485="","",SUMPRODUCT(MAX(('Rework Log'!$A$3:$A$500=$B485)*ROW('Rework Log'!$A$3:$A$500))))</f>
        <v/>
      </c>
    </row>
    <row r="486">
      <c r="A486" s="1" t="n"/>
      <c r="B486" s="1" t="n"/>
      <c r="C486" s="1" t="n"/>
      <c r="D486" s="9">
        <f>IF($B486="","",IF(LEFT($AC486,3)="Yes","Blocked",IF(C486="NOT STARTED",IF(K486="","No plan date set",IF(K486&lt;TODAY(),"Review - planned start passed","On track")),IF(C486="DB Dev",IF(N486="","No target set",IF(AND(N486&lt;TODAY(),P486=""),"Overdue","On track")),IF(C486="PBI Dev",IF(Q486="","No target set",IF(AND(Q486&lt;TODAY(),S486=""),"Overdue","On track")),IF(C486="QA",IF(T486="","No target set",IF(AND(T486&lt;TODAY(),V486=""),"Overdue","On track")),IF(C486="DPO Approval",IF(W486="","No target set",IF(W486&lt;TODAY(),"Overdue","On track")),IF(C486="RELEASED IN PROD","Delivered",""))))))))</f>
        <v/>
      </c>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c r="AA486" s="1" t="n"/>
      <c r="AB486" s="1" t="n"/>
      <c r="AC486" s="1" t="n"/>
      <c r="AD486" s="9">
        <f>IF($B486="","",COUNTIF('Rework Log'!$A$3:$A$500,$B486))</f>
        <v/>
      </c>
      <c r="AE486" s="9">
        <f>IF(OR($B486="",$AM486=0),"",INDEX('Rework Log'!$C:$C,$AM486))</f>
        <v/>
      </c>
      <c r="AF486" s="9">
        <f>IF(OR($B486="",$AM486=0),"",INDEX('Rework Log'!$H:$H,$AM486))</f>
        <v/>
      </c>
      <c r="AG486" s="9">
        <f>IF(OR($B486="",$AM486=0),"",INDEX('Rework Log'!$G:$G,$AM486))</f>
        <v/>
      </c>
      <c r="AH486" s="9">
        <f>IF($B486="","",IF(W486&lt;&gt;"","DPO Approval",IF(T486&lt;&gt;"","QA",IF(Q486&lt;&gt;"","PBI Dev",IF(N486&lt;&gt;"","DB Dev","NOT STARTED")))))</f>
        <v/>
      </c>
      <c r="AI486" s="9">
        <f>IF($B486="","",IF(IF($C486="NOT STARTED",0,IF($C486="DB Dev",1,IF($C486="PBI Dev",2,IF($C486="QA",3,IF($C486="DPO Approval",4,IF($C486="RELEASED IN PROD",5,-1))))))&lt;IF($AH486="NOT STARTED",0,IF($AH486="DB Dev",1,IF($AH486="PBI Dev",2,IF($AH486="QA",3,IF($AH486="DPO Approval",4,IF($AH486="RELEASED IN PROD",5,-1)))))),"Yes - was already at "&amp;$AH486&amp;", now back at "&amp;$C486,"No"))</f>
        <v/>
      </c>
      <c r="AJ486" s="9">
        <f>IF($B486="","",IF(AND(T486&lt;&gt;"",N486&lt;&gt;"",T486&lt;N486),"QA target is before DB Dev target",IF(AND(T486&lt;&gt;"",Q486&lt;&gt;"",T486&lt;Q486),"QA target is before PBI Dev target",IF(AND(W486&lt;&gt;"",T486&lt;&gt;"",W486&lt;T486),"DPO Approval target is before QA target",IF(AND(Z486&lt;&gt;"",W486&lt;&gt;"",Z486&lt;W486),"Confirmed Deployed date is before DPO Approval target","")))))</f>
        <v/>
      </c>
      <c r="AK486" s="9">
        <f>IF($B486="","",IF(COUNTIF($B$2:$B$500,$B486)&gt;1,"Duplicate name - check row",""))</f>
        <v/>
      </c>
      <c r="AL486" s="1" t="n"/>
      <c r="AM486" s="9">
        <f>IF($B486="","",SUMPRODUCT(MAX(('Rework Log'!$A$3:$A$500=$B486)*ROW('Rework Log'!$A$3:$A$500))))</f>
        <v/>
      </c>
    </row>
    <row r="487">
      <c r="A487" s="1" t="n"/>
      <c r="B487" s="1" t="n"/>
      <c r="C487" s="1" t="n"/>
      <c r="D487" s="9">
        <f>IF($B487="","",IF(LEFT($AC487,3)="Yes","Blocked",IF(C487="NOT STARTED",IF(K487="","No plan date set",IF(K487&lt;TODAY(),"Review - planned start passed","On track")),IF(C487="DB Dev",IF(N487="","No target set",IF(AND(N487&lt;TODAY(),P487=""),"Overdue","On track")),IF(C487="PBI Dev",IF(Q487="","No target set",IF(AND(Q487&lt;TODAY(),S487=""),"Overdue","On track")),IF(C487="QA",IF(T487="","No target set",IF(AND(T487&lt;TODAY(),V487=""),"Overdue","On track")),IF(C487="DPO Approval",IF(W487="","No target set",IF(W487&lt;TODAY(),"Overdue","On track")),IF(C487="RELEASED IN PROD","Delivered",""))))))))</f>
        <v/>
      </c>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c r="AA487" s="1" t="n"/>
      <c r="AB487" s="1" t="n"/>
      <c r="AC487" s="1" t="n"/>
      <c r="AD487" s="9">
        <f>IF($B487="","",COUNTIF('Rework Log'!$A$3:$A$500,$B487))</f>
        <v/>
      </c>
      <c r="AE487" s="9">
        <f>IF(OR($B487="",$AM487=0),"",INDEX('Rework Log'!$C:$C,$AM487))</f>
        <v/>
      </c>
      <c r="AF487" s="9">
        <f>IF(OR($B487="",$AM487=0),"",INDEX('Rework Log'!$H:$H,$AM487))</f>
        <v/>
      </c>
      <c r="AG487" s="9">
        <f>IF(OR($B487="",$AM487=0),"",INDEX('Rework Log'!$G:$G,$AM487))</f>
        <v/>
      </c>
      <c r="AH487" s="9">
        <f>IF($B487="","",IF(W487&lt;&gt;"","DPO Approval",IF(T487&lt;&gt;"","QA",IF(Q487&lt;&gt;"","PBI Dev",IF(N487&lt;&gt;"","DB Dev","NOT STARTED")))))</f>
        <v/>
      </c>
      <c r="AI487" s="9">
        <f>IF($B487="","",IF(IF($C487="NOT STARTED",0,IF($C487="DB Dev",1,IF($C487="PBI Dev",2,IF($C487="QA",3,IF($C487="DPO Approval",4,IF($C487="RELEASED IN PROD",5,-1))))))&lt;IF($AH487="NOT STARTED",0,IF($AH487="DB Dev",1,IF($AH487="PBI Dev",2,IF($AH487="QA",3,IF($AH487="DPO Approval",4,IF($AH487="RELEASED IN PROD",5,-1)))))),"Yes - was already at "&amp;$AH487&amp;", now back at "&amp;$C487,"No"))</f>
        <v/>
      </c>
      <c r="AJ487" s="9">
        <f>IF($B487="","",IF(AND(T487&lt;&gt;"",N487&lt;&gt;"",T487&lt;N487),"QA target is before DB Dev target",IF(AND(T487&lt;&gt;"",Q487&lt;&gt;"",T487&lt;Q487),"QA target is before PBI Dev target",IF(AND(W487&lt;&gt;"",T487&lt;&gt;"",W487&lt;T487),"DPO Approval target is before QA target",IF(AND(Z487&lt;&gt;"",W487&lt;&gt;"",Z487&lt;W487),"Confirmed Deployed date is before DPO Approval target","")))))</f>
        <v/>
      </c>
      <c r="AK487" s="9">
        <f>IF($B487="","",IF(COUNTIF($B$2:$B$500,$B487)&gt;1,"Duplicate name - check row",""))</f>
        <v/>
      </c>
      <c r="AL487" s="1" t="n"/>
      <c r="AM487" s="9">
        <f>IF($B487="","",SUMPRODUCT(MAX(('Rework Log'!$A$3:$A$500=$B487)*ROW('Rework Log'!$A$3:$A$500))))</f>
        <v/>
      </c>
    </row>
    <row r="488">
      <c r="A488" s="1" t="n"/>
      <c r="B488" s="1" t="n"/>
      <c r="C488" s="1" t="n"/>
      <c r="D488" s="9">
        <f>IF($B488="","",IF(LEFT($AC488,3)="Yes","Blocked",IF(C488="NOT STARTED",IF(K488="","No plan date set",IF(K488&lt;TODAY(),"Review - planned start passed","On track")),IF(C488="DB Dev",IF(N488="","No target set",IF(AND(N488&lt;TODAY(),P488=""),"Overdue","On track")),IF(C488="PBI Dev",IF(Q488="","No target set",IF(AND(Q488&lt;TODAY(),S488=""),"Overdue","On track")),IF(C488="QA",IF(T488="","No target set",IF(AND(T488&lt;TODAY(),V488=""),"Overdue","On track")),IF(C488="DPO Approval",IF(W488="","No target set",IF(W488&lt;TODAY(),"Overdue","On track")),IF(C488="RELEASED IN PROD","Delivered",""))))))))</f>
        <v/>
      </c>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c r="AA488" s="1" t="n"/>
      <c r="AB488" s="1" t="n"/>
      <c r="AC488" s="1" t="n"/>
      <c r="AD488" s="9">
        <f>IF($B488="","",COUNTIF('Rework Log'!$A$3:$A$500,$B488))</f>
        <v/>
      </c>
      <c r="AE488" s="9">
        <f>IF(OR($B488="",$AM488=0),"",INDEX('Rework Log'!$C:$C,$AM488))</f>
        <v/>
      </c>
      <c r="AF488" s="9">
        <f>IF(OR($B488="",$AM488=0),"",INDEX('Rework Log'!$H:$H,$AM488))</f>
        <v/>
      </c>
      <c r="AG488" s="9">
        <f>IF(OR($B488="",$AM488=0),"",INDEX('Rework Log'!$G:$G,$AM488))</f>
        <v/>
      </c>
      <c r="AH488" s="9">
        <f>IF($B488="","",IF(W488&lt;&gt;"","DPO Approval",IF(T488&lt;&gt;"","QA",IF(Q488&lt;&gt;"","PBI Dev",IF(N488&lt;&gt;"","DB Dev","NOT STARTED")))))</f>
        <v/>
      </c>
      <c r="AI488" s="9">
        <f>IF($B488="","",IF(IF($C488="NOT STARTED",0,IF($C488="DB Dev",1,IF($C488="PBI Dev",2,IF($C488="QA",3,IF($C488="DPO Approval",4,IF($C488="RELEASED IN PROD",5,-1))))))&lt;IF($AH488="NOT STARTED",0,IF($AH488="DB Dev",1,IF($AH488="PBI Dev",2,IF($AH488="QA",3,IF($AH488="DPO Approval",4,IF($AH488="RELEASED IN PROD",5,-1)))))),"Yes - was already at "&amp;$AH488&amp;", now back at "&amp;$C488,"No"))</f>
        <v/>
      </c>
      <c r="AJ488" s="9">
        <f>IF($B488="","",IF(AND(T488&lt;&gt;"",N488&lt;&gt;"",T488&lt;N488),"QA target is before DB Dev target",IF(AND(T488&lt;&gt;"",Q488&lt;&gt;"",T488&lt;Q488),"QA target is before PBI Dev target",IF(AND(W488&lt;&gt;"",T488&lt;&gt;"",W488&lt;T488),"DPO Approval target is before QA target",IF(AND(Z488&lt;&gt;"",W488&lt;&gt;"",Z488&lt;W488),"Confirmed Deployed date is before DPO Approval target","")))))</f>
        <v/>
      </c>
      <c r="AK488" s="9">
        <f>IF($B488="","",IF(COUNTIF($B$2:$B$500,$B488)&gt;1,"Duplicate name - check row",""))</f>
        <v/>
      </c>
      <c r="AL488" s="1" t="n"/>
      <c r="AM488" s="9">
        <f>IF($B488="","",SUMPRODUCT(MAX(('Rework Log'!$A$3:$A$500=$B488)*ROW('Rework Log'!$A$3:$A$500))))</f>
        <v/>
      </c>
    </row>
    <row r="489">
      <c r="A489" s="1" t="n"/>
      <c r="B489" s="1" t="n"/>
      <c r="C489" s="1" t="n"/>
      <c r="D489" s="9">
        <f>IF($B489="","",IF(LEFT($AC489,3)="Yes","Blocked",IF(C489="NOT STARTED",IF(K489="","No plan date set",IF(K489&lt;TODAY(),"Review - planned start passed","On track")),IF(C489="DB Dev",IF(N489="","No target set",IF(AND(N489&lt;TODAY(),P489=""),"Overdue","On track")),IF(C489="PBI Dev",IF(Q489="","No target set",IF(AND(Q489&lt;TODAY(),S489=""),"Overdue","On track")),IF(C489="QA",IF(T489="","No target set",IF(AND(T489&lt;TODAY(),V489=""),"Overdue","On track")),IF(C489="DPO Approval",IF(W489="","No target set",IF(W489&lt;TODAY(),"Overdue","On track")),IF(C489="RELEASED IN PROD","Delivered",""))))))))</f>
        <v/>
      </c>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c r="AA489" s="1" t="n"/>
      <c r="AB489" s="1" t="n"/>
      <c r="AC489" s="1" t="n"/>
      <c r="AD489" s="9">
        <f>IF($B489="","",COUNTIF('Rework Log'!$A$3:$A$500,$B489))</f>
        <v/>
      </c>
      <c r="AE489" s="9">
        <f>IF(OR($B489="",$AM489=0),"",INDEX('Rework Log'!$C:$C,$AM489))</f>
        <v/>
      </c>
      <c r="AF489" s="9">
        <f>IF(OR($B489="",$AM489=0),"",INDEX('Rework Log'!$H:$H,$AM489))</f>
        <v/>
      </c>
      <c r="AG489" s="9">
        <f>IF(OR($B489="",$AM489=0),"",INDEX('Rework Log'!$G:$G,$AM489))</f>
        <v/>
      </c>
      <c r="AH489" s="9">
        <f>IF($B489="","",IF(W489&lt;&gt;"","DPO Approval",IF(T489&lt;&gt;"","QA",IF(Q489&lt;&gt;"","PBI Dev",IF(N489&lt;&gt;"","DB Dev","NOT STARTED")))))</f>
        <v/>
      </c>
      <c r="AI489" s="9">
        <f>IF($B489="","",IF(IF($C489="NOT STARTED",0,IF($C489="DB Dev",1,IF($C489="PBI Dev",2,IF($C489="QA",3,IF($C489="DPO Approval",4,IF($C489="RELEASED IN PROD",5,-1))))))&lt;IF($AH489="NOT STARTED",0,IF($AH489="DB Dev",1,IF($AH489="PBI Dev",2,IF($AH489="QA",3,IF($AH489="DPO Approval",4,IF($AH489="RELEASED IN PROD",5,-1)))))),"Yes - was already at "&amp;$AH489&amp;", now back at "&amp;$C489,"No"))</f>
        <v/>
      </c>
      <c r="AJ489" s="9">
        <f>IF($B489="","",IF(AND(T489&lt;&gt;"",N489&lt;&gt;"",T489&lt;N489),"QA target is before DB Dev target",IF(AND(T489&lt;&gt;"",Q489&lt;&gt;"",T489&lt;Q489),"QA target is before PBI Dev target",IF(AND(W489&lt;&gt;"",T489&lt;&gt;"",W489&lt;T489),"DPO Approval target is before QA target",IF(AND(Z489&lt;&gt;"",W489&lt;&gt;"",Z489&lt;W489),"Confirmed Deployed date is before DPO Approval target","")))))</f>
        <v/>
      </c>
      <c r="AK489" s="9">
        <f>IF($B489="","",IF(COUNTIF($B$2:$B$500,$B489)&gt;1,"Duplicate name - check row",""))</f>
        <v/>
      </c>
      <c r="AL489" s="1" t="n"/>
      <c r="AM489" s="9">
        <f>IF($B489="","",SUMPRODUCT(MAX(('Rework Log'!$A$3:$A$500=$B489)*ROW('Rework Log'!$A$3:$A$500))))</f>
        <v/>
      </c>
    </row>
    <row r="490">
      <c r="A490" s="1" t="n"/>
      <c r="B490" s="1" t="n"/>
      <c r="C490" s="1" t="n"/>
      <c r="D490" s="9">
        <f>IF($B490="","",IF(LEFT($AC490,3)="Yes","Blocked",IF(C490="NOT STARTED",IF(K490="","No plan date set",IF(K490&lt;TODAY(),"Review - planned start passed","On track")),IF(C490="DB Dev",IF(N490="","No target set",IF(AND(N490&lt;TODAY(),P490=""),"Overdue","On track")),IF(C490="PBI Dev",IF(Q490="","No target set",IF(AND(Q490&lt;TODAY(),S490=""),"Overdue","On track")),IF(C490="QA",IF(T490="","No target set",IF(AND(T490&lt;TODAY(),V490=""),"Overdue","On track")),IF(C490="DPO Approval",IF(W490="","No target set",IF(W490&lt;TODAY(),"Overdue","On track")),IF(C490="RELEASED IN PROD","Delivered",""))))))))</f>
        <v/>
      </c>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c r="AA490" s="1" t="n"/>
      <c r="AB490" s="1" t="n"/>
      <c r="AC490" s="1" t="n"/>
      <c r="AD490" s="9">
        <f>IF($B490="","",COUNTIF('Rework Log'!$A$3:$A$500,$B490))</f>
        <v/>
      </c>
      <c r="AE490" s="9">
        <f>IF(OR($B490="",$AM490=0),"",INDEX('Rework Log'!$C:$C,$AM490))</f>
        <v/>
      </c>
      <c r="AF490" s="9">
        <f>IF(OR($B490="",$AM490=0),"",INDEX('Rework Log'!$H:$H,$AM490))</f>
        <v/>
      </c>
      <c r="AG490" s="9">
        <f>IF(OR($B490="",$AM490=0),"",INDEX('Rework Log'!$G:$G,$AM490))</f>
        <v/>
      </c>
      <c r="AH490" s="9">
        <f>IF($B490="","",IF(W490&lt;&gt;"","DPO Approval",IF(T490&lt;&gt;"","QA",IF(Q490&lt;&gt;"","PBI Dev",IF(N490&lt;&gt;"","DB Dev","NOT STARTED")))))</f>
        <v/>
      </c>
      <c r="AI490" s="9">
        <f>IF($B490="","",IF(IF($C490="NOT STARTED",0,IF($C490="DB Dev",1,IF($C490="PBI Dev",2,IF($C490="QA",3,IF($C490="DPO Approval",4,IF($C490="RELEASED IN PROD",5,-1))))))&lt;IF($AH490="NOT STARTED",0,IF($AH490="DB Dev",1,IF($AH490="PBI Dev",2,IF($AH490="QA",3,IF($AH490="DPO Approval",4,IF($AH490="RELEASED IN PROD",5,-1)))))),"Yes - was already at "&amp;$AH490&amp;", now back at "&amp;$C490,"No"))</f>
        <v/>
      </c>
      <c r="AJ490" s="9">
        <f>IF($B490="","",IF(AND(T490&lt;&gt;"",N490&lt;&gt;"",T490&lt;N490),"QA target is before DB Dev target",IF(AND(T490&lt;&gt;"",Q490&lt;&gt;"",T490&lt;Q490),"QA target is before PBI Dev target",IF(AND(W490&lt;&gt;"",T490&lt;&gt;"",W490&lt;T490),"DPO Approval target is before QA target",IF(AND(Z490&lt;&gt;"",W490&lt;&gt;"",Z490&lt;W490),"Confirmed Deployed date is before DPO Approval target","")))))</f>
        <v/>
      </c>
      <c r="AK490" s="9">
        <f>IF($B490="","",IF(COUNTIF($B$2:$B$500,$B490)&gt;1,"Duplicate name - check row",""))</f>
        <v/>
      </c>
      <c r="AL490" s="1" t="n"/>
      <c r="AM490" s="9">
        <f>IF($B490="","",SUMPRODUCT(MAX(('Rework Log'!$A$3:$A$500=$B490)*ROW('Rework Log'!$A$3:$A$500))))</f>
        <v/>
      </c>
    </row>
    <row r="491">
      <c r="A491" s="1" t="n"/>
      <c r="B491" s="1" t="n"/>
      <c r="C491" s="1" t="n"/>
      <c r="D491" s="9">
        <f>IF($B491="","",IF(LEFT($AC491,3)="Yes","Blocked",IF(C491="NOT STARTED",IF(K491="","No plan date set",IF(K491&lt;TODAY(),"Review - planned start passed","On track")),IF(C491="DB Dev",IF(N491="","No target set",IF(AND(N491&lt;TODAY(),P491=""),"Overdue","On track")),IF(C491="PBI Dev",IF(Q491="","No target set",IF(AND(Q491&lt;TODAY(),S491=""),"Overdue","On track")),IF(C491="QA",IF(T491="","No target set",IF(AND(T491&lt;TODAY(),V491=""),"Overdue","On track")),IF(C491="DPO Approval",IF(W491="","No target set",IF(W491&lt;TODAY(),"Overdue","On track")),IF(C491="RELEASED IN PROD","Delivered",""))))))))</f>
        <v/>
      </c>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c r="AA491" s="1" t="n"/>
      <c r="AB491" s="1" t="n"/>
      <c r="AC491" s="1" t="n"/>
      <c r="AD491" s="9">
        <f>IF($B491="","",COUNTIF('Rework Log'!$A$3:$A$500,$B491))</f>
        <v/>
      </c>
      <c r="AE491" s="9">
        <f>IF(OR($B491="",$AM491=0),"",INDEX('Rework Log'!$C:$C,$AM491))</f>
        <v/>
      </c>
      <c r="AF491" s="9">
        <f>IF(OR($B491="",$AM491=0),"",INDEX('Rework Log'!$H:$H,$AM491))</f>
        <v/>
      </c>
      <c r="AG491" s="9">
        <f>IF(OR($B491="",$AM491=0),"",INDEX('Rework Log'!$G:$G,$AM491))</f>
        <v/>
      </c>
      <c r="AH491" s="9">
        <f>IF($B491="","",IF(W491&lt;&gt;"","DPO Approval",IF(T491&lt;&gt;"","QA",IF(Q491&lt;&gt;"","PBI Dev",IF(N491&lt;&gt;"","DB Dev","NOT STARTED")))))</f>
        <v/>
      </c>
      <c r="AI491" s="9">
        <f>IF($B491="","",IF(IF($C491="NOT STARTED",0,IF($C491="DB Dev",1,IF($C491="PBI Dev",2,IF($C491="QA",3,IF($C491="DPO Approval",4,IF($C491="RELEASED IN PROD",5,-1))))))&lt;IF($AH491="NOT STARTED",0,IF($AH491="DB Dev",1,IF($AH491="PBI Dev",2,IF($AH491="QA",3,IF($AH491="DPO Approval",4,IF($AH491="RELEASED IN PROD",5,-1)))))),"Yes - was already at "&amp;$AH491&amp;", now back at "&amp;$C491,"No"))</f>
        <v/>
      </c>
      <c r="AJ491" s="9">
        <f>IF($B491="","",IF(AND(T491&lt;&gt;"",N491&lt;&gt;"",T491&lt;N491),"QA target is before DB Dev target",IF(AND(T491&lt;&gt;"",Q491&lt;&gt;"",T491&lt;Q491),"QA target is before PBI Dev target",IF(AND(W491&lt;&gt;"",T491&lt;&gt;"",W491&lt;T491),"DPO Approval target is before QA target",IF(AND(Z491&lt;&gt;"",W491&lt;&gt;"",Z491&lt;W491),"Confirmed Deployed date is before DPO Approval target","")))))</f>
        <v/>
      </c>
      <c r="AK491" s="9">
        <f>IF($B491="","",IF(COUNTIF($B$2:$B$500,$B491)&gt;1,"Duplicate name - check row",""))</f>
        <v/>
      </c>
      <c r="AL491" s="1" t="n"/>
      <c r="AM491" s="9">
        <f>IF($B491="","",SUMPRODUCT(MAX(('Rework Log'!$A$3:$A$500=$B491)*ROW('Rework Log'!$A$3:$A$500))))</f>
        <v/>
      </c>
    </row>
    <row r="492">
      <c r="A492" s="1" t="n"/>
      <c r="B492" s="1" t="n"/>
      <c r="C492" s="1" t="n"/>
      <c r="D492" s="9">
        <f>IF($B492="","",IF(LEFT($AC492,3)="Yes","Blocked",IF(C492="NOT STARTED",IF(K492="","No plan date set",IF(K492&lt;TODAY(),"Review - planned start passed","On track")),IF(C492="DB Dev",IF(N492="","No target set",IF(AND(N492&lt;TODAY(),P492=""),"Overdue","On track")),IF(C492="PBI Dev",IF(Q492="","No target set",IF(AND(Q492&lt;TODAY(),S492=""),"Overdue","On track")),IF(C492="QA",IF(T492="","No target set",IF(AND(T492&lt;TODAY(),V492=""),"Overdue","On track")),IF(C492="DPO Approval",IF(W492="","No target set",IF(W492&lt;TODAY(),"Overdue","On track")),IF(C492="RELEASED IN PROD","Delivered",""))))))))</f>
        <v/>
      </c>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c r="AA492" s="1" t="n"/>
      <c r="AB492" s="1" t="n"/>
      <c r="AC492" s="1" t="n"/>
      <c r="AD492" s="9">
        <f>IF($B492="","",COUNTIF('Rework Log'!$A$3:$A$500,$B492))</f>
        <v/>
      </c>
      <c r="AE492" s="9">
        <f>IF(OR($B492="",$AM492=0),"",INDEX('Rework Log'!$C:$C,$AM492))</f>
        <v/>
      </c>
      <c r="AF492" s="9">
        <f>IF(OR($B492="",$AM492=0),"",INDEX('Rework Log'!$H:$H,$AM492))</f>
        <v/>
      </c>
      <c r="AG492" s="9">
        <f>IF(OR($B492="",$AM492=0),"",INDEX('Rework Log'!$G:$G,$AM492))</f>
        <v/>
      </c>
      <c r="AH492" s="9">
        <f>IF($B492="","",IF(W492&lt;&gt;"","DPO Approval",IF(T492&lt;&gt;"","QA",IF(Q492&lt;&gt;"","PBI Dev",IF(N492&lt;&gt;"","DB Dev","NOT STARTED")))))</f>
        <v/>
      </c>
      <c r="AI492" s="9">
        <f>IF($B492="","",IF(IF($C492="NOT STARTED",0,IF($C492="DB Dev",1,IF($C492="PBI Dev",2,IF($C492="QA",3,IF($C492="DPO Approval",4,IF($C492="RELEASED IN PROD",5,-1))))))&lt;IF($AH492="NOT STARTED",0,IF($AH492="DB Dev",1,IF($AH492="PBI Dev",2,IF($AH492="QA",3,IF($AH492="DPO Approval",4,IF($AH492="RELEASED IN PROD",5,-1)))))),"Yes - was already at "&amp;$AH492&amp;", now back at "&amp;$C492,"No"))</f>
        <v/>
      </c>
      <c r="AJ492" s="9">
        <f>IF($B492="","",IF(AND(T492&lt;&gt;"",N492&lt;&gt;"",T492&lt;N492),"QA target is before DB Dev target",IF(AND(T492&lt;&gt;"",Q492&lt;&gt;"",T492&lt;Q492),"QA target is before PBI Dev target",IF(AND(W492&lt;&gt;"",T492&lt;&gt;"",W492&lt;T492),"DPO Approval target is before QA target",IF(AND(Z492&lt;&gt;"",W492&lt;&gt;"",Z492&lt;W492),"Confirmed Deployed date is before DPO Approval target","")))))</f>
        <v/>
      </c>
      <c r="AK492" s="9">
        <f>IF($B492="","",IF(COUNTIF($B$2:$B$500,$B492)&gt;1,"Duplicate name - check row",""))</f>
        <v/>
      </c>
      <c r="AL492" s="1" t="n"/>
      <c r="AM492" s="9">
        <f>IF($B492="","",SUMPRODUCT(MAX(('Rework Log'!$A$3:$A$500=$B492)*ROW('Rework Log'!$A$3:$A$500))))</f>
        <v/>
      </c>
    </row>
    <row r="493">
      <c r="A493" s="1" t="n"/>
      <c r="B493" s="1" t="n"/>
      <c r="C493" s="1" t="n"/>
      <c r="D493" s="9">
        <f>IF($B493="","",IF(LEFT($AC493,3)="Yes","Blocked",IF(C493="NOT STARTED",IF(K493="","No plan date set",IF(K493&lt;TODAY(),"Review - planned start passed","On track")),IF(C493="DB Dev",IF(N493="","No target set",IF(AND(N493&lt;TODAY(),P493=""),"Overdue","On track")),IF(C493="PBI Dev",IF(Q493="","No target set",IF(AND(Q493&lt;TODAY(),S493=""),"Overdue","On track")),IF(C493="QA",IF(T493="","No target set",IF(AND(T493&lt;TODAY(),V493=""),"Overdue","On track")),IF(C493="DPO Approval",IF(W493="","No target set",IF(W493&lt;TODAY(),"Overdue","On track")),IF(C493="RELEASED IN PROD","Delivered",""))))))))</f>
        <v/>
      </c>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c r="AA493" s="1" t="n"/>
      <c r="AB493" s="1" t="n"/>
      <c r="AC493" s="1" t="n"/>
      <c r="AD493" s="9">
        <f>IF($B493="","",COUNTIF('Rework Log'!$A$3:$A$500,$B493))</f>
        <v/>
      </c>
      <c r="AE493" s="9">
        <f>IF(OR($B493="",$AM493=0),"",INDEX('Rework Log'!$C:$C,$AM493))</f>
        <v/>
      </c>
      <c r="AF493" s="9">
        <f>IF(OR($B493="",$AM493=0),"",INDEX('Rework Log'!$H:$H,$AM493))</f>
        <v/>
      </c>
      <c r="AG493" s="9">
        <f>IF(OR($B493="",$AM493=0),"",INDEX('Rework Log'!$G:$G,$AM493))</f>
        <v/>
      </c>
      <c r="AH493" s="9">
        <f>IF($B493="","",IF(W493&lt;&gt;"","DPO Approval",IF(T493&lt;&gt;"","QA",IF(Q493&lt;&gt;"","PBI Dev",IF(N493&lt;&gt;"","DB Dev","NOT STARTED")))))</f>
        <v/>
      </c>
      <c r="AI493" s="9">
        <f>IF($B493="","",IF(IF($C493="NOT STARTED",0,IF($C493="DB Dev",1,IF($C493="PBI Dev",2,IF($C493="QA",3,IF($C493="DPO Approval",4,IF($C493="RELEASED IN PROD",5,-1))))))&lt;IF($AH493="NOT STARTED",0,IF($AH493="DB Dev",1,IF($AH493="PBI Dev",2,IF($AH493="QA",3,IF($AH493="DPO Approval",4,IF($AH493="RELEASED IN PROD",5,-1)))))),"Yes - was already at "&amp;$AH493&amp;", now back at "&amp;$C493,"No"))</f>
        <v/>
      </c>
      <c r="AJ493" s="9">
        <f>IF($B493="","",IF(AND(T493&lt;&gt;"",N493&lt;&gt;"",T493&lt;N493),"QA target is before DB Dev target",IF(AND(T493&lt;&gt;"",Q493&lt;&gt;"",T493&lt;Q493),"QA target is before PBI Dev target",IF(AND(W493&lt;&gt;"",T493&lt;&gt;"",W493&lt;T493),"DPO Approval target is before QA target",IF(AND(Z493&lt;&gt;"",W493&lt;&gt;"",Z493&lt;W493),"Confirmed Deployed date is before DPO Approval target","")))))</f>
        <v/>
      </c>
      <c r="AK493" s="9">
        <f>IF($B493="","",IF(COUNTIF($B$2:$B$500,$B493)&gt;1,"Duplicate name - check row",""))</f>
        <v/>
      </c>
      <c r="AL493" s="1" t="n"/>
      <c r="AM493" s="9">
        <f>IF($B493="","",SUMPRODUCT(MAX(('Rework Log'!$A$3:$A$500=$B493)*ROW('Rework Log'!$A$3:$A$500))))</f>
        <v/>
      </c>
    </row>
    <row r="494">
      <c r="A494" s="1" t="n"/>
      <c r="B494" s="1" t="n"/>
      <c r="C494" s="1" t="n"/>
      <c r="D494" s="9">
        <f>IF($B494="","",IF(LEFT($AC494,3)="Yes","Blocked",IF(C494="NOT STARTED",IF(K494="","No plan date set",IF(K494&lt;TODAY(),"Review - planned start passed","On track")),IF(C494="DB Dev",IF(N494="","No target set",IF(AND(N494&lt;TODAY(),P494=""),"Overdue","On track")),IF(C494="PBI Dev",IF(Q494="","No target set",IF(AND(Q494&lt;TODAY(),S494=""),"Overdue","On track")),IF(C494="QA",IF(T494="","No target set",IF(AND(T494&lt;TODAY(),V494=""),"Overdue","On track")),IF(C494="DPO Approval",IF(W494="","No target set",IF(W494&lt;TODAY(),"Overdue","On track")),IF(C494="RELEASED IN PROD","Delivered",""))))))))</f>
        <v/>
      </c>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c r="AA494" s="1" t="n"/>
      <c r="AB494" s="1" t="n"/>
      <c r="AC494" s="1" t="n"/>
      <c r="AD494" s="9">
        <f>IF($B494="","",COUNTIF('Rework Log'!$A$3:$A$500,$B494))</f>
        <v/>
      </c>
      <c r="AE494" s="9">
        <f>IF(OR($B494="",$AM494=0),"",INDEX('Rework Log'!$C:$C,$AM494))</f>
        <v/>
      </c>
      <c r="AF494" s="9">
        <f>IF(OR($B494="",$AM494=0),"",INDEX('Rework Log'!$H:$H,$AM494))</f>
        <v/>
      </c>
      <c r="AG494" s="9">
        <f>IF(OR($B494="",$AM494=0),"",INDEX('Rework Log'!$G:$G,$AM494))</f>
        <v/>
      </c>
      <c r="AH494" s="9">
        <f>IF($B494="","",IF(W494&lt;&gt;"","DPO Approval",IF(T494&lt;&gt;"","QA",IF(Q494&lt;&gt;"","PBI Dev",IF(N494&lt;&gt;"","DB Dev","NOT STARTED")))))</f>
        <v/>
      </c>
      <c r="AI494" s="9">
        <f>IF($B494="","",IF(IF($C494="NOT STARTED",0,IF($C494="DB Dev",1,IF($C494="PBI Dev",2,IF($C494="QA",3,IF($C494="DPO Approval",4,IF($C494="RELEASED IN PROD",5,-1))))))&lt;IF($AH494="NOT STARTED",0,IF($AH494="DB Dev",1,IF($AH494="PBI Dev",2,IF($AH494="QA",3,IF($AH494="DPO Approval",4,IF($AH494="RELEASED IN PROD",5,-1)))))),"Yes - was already at "&amp;$AH494&amp;", now back at "&amp;$C494,"No"))</f>
        <v/>
      </c>
      <c r="AJ494" s="9">
        <f>IF($B494="","",IF(AND(T494&lt;&gt;"",N494&lt;&gt;"",T494&lt;N494),"QA target is before DB Dev target",IF(AND(T494&lt;&gt;"",Q494&lt;&gt;"",T494&lt;Q494),"QA target is before PBI Dev target",IF(AND(W494&lt;&gt;"",T494&lt;&gt;"",W494&lt;T494),"DPO Approval target is before QA target",IF(AND(Z494&lt;&gt;"",W494&lt;&gt;"",Z494&lt;W494),"Confirmed Deployed date is before DPO Approval target","")))))</f>
        <v/>
      </c>
      <c r="AK494" s="9">
        <f>IF($B494="","",IF(COUNTIF($B$2:$B$500,$B494)&gt;1,"Duplicate name - check row",""))</f>
        <v/>
      </c>
      <c r="AL494" s="1" t="n"/>
      <c r="AM494" s="9">
        <f>IF($B494="","",SUMPRODUCT(MAX(('Rework Log'!$A$3:$A$500=$B494)*ROW('Rework Log'!$A$3:$A$500))))</f>
        <v/>
      </c>
    </row>
    <row r="495">
      <c r="A495" s="1" t="n"/>
      <c r="B495" s="1" t="n"/>
      <c r="C495" s="1" t="n"/>
      <c r="D495" s="9">
        <f>IF($B495="","",IF(LEFT($AC495,3)="Yes","Blocked",IF(C495="NOT STARTED",IF(K495="","No plan date set",IF(K495&lt;TODAY(),"Review - planned start passed","On track")),IF(C495="DB Dev",IF(N495="","No target set",IF(AND(N495&lt;TODAY(),P495=""),"Overdue","On track")),IF(C495="PBI Dev",IF(Q495="","No target set",IF(AND(Q495&lt;TODAY(),S495=""),"Overdue","On track")),IF(C495="QA",IF(T495="","No target set",IF(AND(T495&lt;TODAY(),V495=""),"Overdue","On track")),IF(C495="DPO Approval",IF(W495="","No target set",IF(W495&lt;TODAY(),"Overdue","On track")),IF(C495="RELEASED IN PROD","Delivered",""))))))))</f>
        <v/>
      </c>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c r="AA495" s="1" t="n"/>
      <c r="AB495" s="1" t="n"/>
      <c r="AC495" s="1" t="n"/>
      <c r="AD495" s="9">
        <f>IF($B495="","",COUNTIF('Rework Log'!$A$3:$A$500,$B495))</f>
        <v/>
      </c>
      <c r="AE495" s="9">
        <f>IF(OR($B495="",$AM495=0),"",INDEX('Rework Log'!$C:$C,$AM495))</f>
        <v/>
      </c>
      <c r="AF495" s="9">
        <f>IF(OR($B495="",$AM495=0),"",INDEX('Rework Log'!$H:$H,$AM495))</f>
        <v/>
      </c>
      <c r="AG495" s="9">
        <f>IF(OR($B495="",$AM495=0),"",INDEX('Rework Log'!$G:$G,$AM495))</f>
        <v/>
      </c>
      <c r="AH495" s="9">
        <f>IF($B495="","",IF(W495&lt;&gt;"","DPO Approval",IF(T495&lt;&gt;"","QA",IF(Q495&lt;&gt;"","PBI Dev",IF(N495&lt;&gt;"","DB Dev","NOT STARTED")))))</f>
        <v/>
      </c>
      <c r="AI495" s="9">
        <f>IF($B495="","",IF(IF($C495="NOT STARTED",0,IF($C495="DB Dev",1,IF($C495="PBI Dev",2,IF($C495="QA",3,IF($C495="DPO Approval",4,IF($C495="RELEASED IN PROD",5,-1))))))&lt;IF($AH495="NOT STARTED",0,IF($AH495="DB Dev",1,IF($AH495="PBI Dev",2,IF($AH495="QA",3,IF($AH495="DPO Approval",4,IF($AH495="RELEASED IN PROD",5,-1)))))),"Yes - was already at "&amp;$AH495&amp;", now back at "&amp;$C495,"No"))</f>
        <v/>
      </c>
      <c r="AJ495" s="9">
        <f>IF($B495="","",IF(AND(T495&lt;&gt;"",N495&lt;&gt;"",T495&lt;N495),"QA target is before DB Dev target",IF(AND(T495&lt;&gt;"",Q495&lt;&gt;"",T495&lt;Q495),"QA target is before PBI Dev target",IF(AND(W495&lt;&gt;"",T495&lt;&gt;"",W495&lt;T495),"DPO Approval target is before QA target",IF(AND(Z495&lt;&gt;"",W495&lt;&gt;"",Z495&lt;W495),"Confirmed Deployed date is before DPO Approval target","")))))</f>
        <v/>
      </c>
      <c r="AK495" s="9">
        <f>IF($B495="","",IF(COUNTIF($B$2:$B$500,$B495)&gt;1,"Duplicate name - check row",""))</f>
        <v/>
      </c>
      <c r="AL495" s="1" t="n"/>
      <c r="AM495" s="9">
        <f>IF($B495="","",SUMPRODUCT(MAX(('Rework Log'!$A$3:$A$500=$B495)*ROW('Rework Log'!$A$3:$A$500))))</f>
        <v/>
      </c>
    </row>
    <row r="496">
      <c r="A496" s="1" t="n"/>
      <c r="B496" s="1" t="n"/>
      <c r="C496" s="1" t="n"/>
      <c r="D496" s="9">
        <f>IF($B496="","",IF(LEFT($AC496,3)="Yes","Blocked",IF(C496="NOT STARTED",IF(K496="","No plan date set",IF(K496&lt;TODAY(),"Review - planned start passed","On track")),IF(C496="DB Dev",IF(N496="","No target set",IF(AND(N496&lt;TODAY(),P496=""),"Overdue","On track")),IF(C496="PBI Dev",IF(Q496="","No target set",IF(AND(Q496&lt;TODAY(),S496=""),"Overdue","On track")),IF(C496="QA",IF(T496="","No target set",IF(AND(T496&lt;TODAY(),V496=""),"Overdue","On track")),IF(C496="DPO Approval",IF(W496="","No target set",IF(W496&lt;TODAY(),"Overdue","On track")),IF(C496="RELEASED IN PROD","Delivered",""))))))))</f>
        <v/>
      </c>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c r="AA496" s="1" t="n"/>
      <c r="AB496" s="1" t="n"/>
      <c r="AC496" s="1" t="n"/>
      <c r="AD496" s="9">
        <f>IF($B496="","",COUNTIF('Rework Log'!$A$3:$A$500,$B496))</f>
        <v/>
      </c>
      <c r="AE496" s="9">
        <f>IF(OR($B496="",$AM496=0),"",INDEX('Rework Log'!$C:$C,$AM496))</f>
        <v/>
      </c>
      <c r="AF496" s="9">
        <f>IF(OR($B496="",$AM496=0),"",INDEX('Rework Log'!$H:$H,$AM496))</f>
        <v/>
      </c>
      <c r="AG496" s="9">
        <f>IF(OR($B496="",$AM496=0),"",INDEX('Rework Log'!$G:$G,$AM496))</f>
        <v/>
      </c>
      <c r="AH496" s="9">
        <f>IF($B496="","",IF(W496&lt;&gt;"","DPO Approval",IF(T496&lt;&gt;"","QA",IF(Q496&lt;&gt;"","PBI Dev",IF(N496&lt;&gt;"","DB Dev","NOT STARTED")))))</f>
        <v/>
      </c>
      <c r="AI496" s="9">
        <f>IF($B496="","",IF(IF($C496="NOT STARTED",0,IF($C496="DB Dev",1,IF($C496="PBI Dev",2,IF($C496="QA",3,IF($C496="DPO Approval",4,IF($C496="RELEASED IN PROD",5,-1))))))&lt;IF($AH496="NOT STARTED",0,IF($AH496="DB Dev",1,IF($AH496="PBI Dev",2,IF($AH496="QA",3,IF($AH496="DPO Approval",4,IF($AH496="RELEASED IN PROD",5,-1)))))),"Yes - was already at "&amp;$AH496&amp;", now back at "&amp;$C496,"No"))</f>
        <v/>
      </c>
      <c r="AJ496" s="9">
        <f>IF($B496="","",IF(AND(T496&lt;&gt;"",N496&lt;&gt;"",T496&lt;N496),"QA target is before DB Dev target",IF(AND(T496&lt;&gt;"",Q496&lt;&gt;"",T496&lt;Q496),"QA target is before PBI Dev target",IF(AND(W496&lt;&gt;"",T496&lt;&gt;"",W496&lt;T496),"DPO Approval target is before QA target",IF(AND(Z496&lt;&gt;"",W496&lt;&gt;"",Z496&lt;W496),"Confirmed Deployed date is before DPO Approval target","")))))</f>
        <v/>
      </c>
      <c r="AK496" s="9">
        <f>IF($B496="","",IF(COUNTIF($B$2:$B$500,$B496)&gt;1,"Duplicate name - check row",""))</f>
        <v/>
      </c>
      <c r="AL496" s="1" t="n"/>
      <c r="AM496" s="9">
        <f>IF($B496="","",SUMPRODUCT(MAX(('Rework Log'!$A$3:$A$500=$B496)*ROW('Rework Log'!$A$3:$A$500))))</f>
        <v/>
      </c>
    </row>
    <row r="497">
      <c r="A497" s="1" t="n"/>
      <c r="B497" s="1" t="n"/>
      <c r="C497" s="1" t="n"/>
      <c r="D497" s="9">
        <f>IF($B497="","",IF(LEFT($AC497,3)="Yes","Blocked",IF(C497="NOT STARTED",IF(K497="","No plan date set",IF(K497&lt;TODAY(),"Review - planned start passed","On track")),IF(C497="DB Dev",IF(N497="","No target set",IF(AND(N497&lt;TODAY(),P497=""),"Overdue","On track")),IF(C497="PBI Dev",IF(Q497="","No target set",IF(AND(Q497&lt;TODAY(),S497=""),"Overdue","On track")),IF(C497="QA",IF(T497="","No target set",IF(AND(T497&lt;TODAY(),V497=""),"Overdue","On track")),IF(C497="DPO Approval",IF(W497="","No target set",IF(W497&lt;TODAY(),"Overdue","On track")),IF(C497="RELEASED IN PROD","Delivered",""))))))))</f>
        <v/>
      </c>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c r="AA497" s="1" t="n"/>
      <c r="AB497" s="1" t="n"/>
      <c r="AC497" s="1" t="n"/>
      <c r="AD497" s="9">
        <f>IF($B497="","",COUNTIF('Rework Log'!$A$3:$A$500,$B497))</f>
        <v/>
      </c>
      <c r="AE497" s="9">
        <f>IF(OR($B497="",$AM497=0),"",INDEX('Rework Log'!$C:$C,$AM497))</f>
        <v/>
      </c>
      <c r="AF497" s="9">
        <f>IF(OR($B497="",$AM497=0),"",INDEX('Rework Log'!$H:$H,$AM497))</f>
        <v/>
      </c>
      <c r="AG497" s="9">
        <f>IF(OR($B497="",$AM497=0),"",INDEX('Rework Log'!$G:$G,$AM497))</f>
        <v/>
      </c>
      <c r="AH497" s="9">
        <f>IF($B497="","",IF(W497&lt;&gt;"","DPO Approval",IF(T497&lt;&gt;"","QA",IF(Q497&lt;&gt;"","PBI Dev",IF(N497&lt;&gt;"","DB Dev","NOT STARTED")))))</f>
        <v/>
      </c>
      <c r="AI497" s="9">
        <f>IF($B497="","",IF(IF($C497="NOT STARTED",0,IF($C497="DB Dev",1,IF($C497="PBI Dev",2,IF($C497="QA",3,IF($C497="DPO Approval",4,IF($C497="RELEASED IN PROD",5,-1))))))&lt;IF($AH497="NOT STARTED",0,IF($AH497="DB Dev",1,IF($AH497="PBI Dev",2,IF($AH497="QA",3,IF($AH497="DPO Approval",4,IF($AH497="RELEASED IN PROD",5,-1)))))),"Yes - was already at "&amp;$AH497&amp;", now back at "&amp;$C497,"No"))</f>
        <v/>
      </c>
      <c r="AJ497" s="9">
        <f>IF($B497="","",IF(AND(T497&lt;&gt;"",N497&lt;&gt;"",T497&lt;N497),"QA target is before DB Dev target",IF(AND(T497&lt;&gt;"",Q497&lt;&gt;"",T497&lt;Q497),"QA target is before PBI Dev target",IF(AND(W497&lt;&gt;"",T497&lt;&gt;"",W497&lt;T497),"DPO Approval target is before QA target",IF(AND(Z497&lt;&gt;"",W497&lt;&gt;"",Z497&lt;W497),"Confirmed Deployed date is before DPO Approval target","")))))</f>
        <v/>
      </c>
      <c r="AK497" s="9">
        <f>IF($B497="","",IF(COUNTIF($B$2:$B$500,$B497)&gt;1,"Duplicate name - check row",""))</f>
        <v/>
      </c>
      <c r="AL497" s="1" t="n"/>
      <c r="AM497" s="9">
        <f>IF($B497="","",SUMPRODUCT(MAX(('Rework Log'!$A$3:$A$500=$B497)*ROW('Rework Log'!$A$3:$A$500))))</f>
        <v/>
      </c>
    </row>
    <row r="498">
      <c r="A498" s="1" t="n"/>
      <c r="B498" s="1" t="n"/>
      <c r="C498" s="1" t="n"/>
      <c r="D498" s="9">
        <f>IF($B498="","",IF(LEFT($AC498,3)="Yes","Blocked",IF(C498="NOT STARTED",IF(K498="","No plan date set",IF(K498&lt;TODAY(),"Review - planned start passed","On track")),IF(C498="DB Dev",IF(N498="","No target set",IF(AND(N498&lt;TODAY(),P498=""),"Overdue","On track")),IF(C498="PBI Dev",IF(Q498="","No target set",IF(AND(Q498&lt;TODAY(),S498=""),"Overdue","On track")),IF(C498="QA",IF(T498="","No target set",IF(AND(T498&lt;TODAY(),V498=""),"Overdue","On track")),IF(C498="DPO Approval",IF(W498="","No target set",IF(W498&lt;TODAY(),"Overdue","On track")),IF(C498="RELEASED IN PROD","Delivered",""))))))))</f>
        <v/>
      </c>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c r="AA498" s="1" t="n"/>
      <c r="AB498" s="1" t="n"/>
      <c r="AC498" s="1" t="n"/>
      <c r="AD498" s="9">
        <f>IF($B498="","",COUNTIF('Rework Log'!$A$3:$A$500,$B498))</f>
        <v/>
      </c>
      <c r="AE498" s="9">
        <f>IF(OR($B498="",$AM498=0),"",INDEX('Rework Log'!$C:$C,$AM498))</f>
        <v/>
      </c>
      <c r="AF498" s="9">
        <f>IF(OR($B498="",$AM498=0),"",INDEX('Rework Log'!$H:$H,$AM498))</f>
        <v/>
      </c>
      <c r="AG498" s="9">
        <f>IF(OR($B498="",$AM498=0),"",INDEX('Rework Log'!$G:$G,$AM498))</f>
        <v/>
      </c>
      <c r="AH498" s="9">
        <f>IF($B498="","",IF(W498&lt;&gt;"","DPO Approval",IF(T498&lt;&gt;"","QA",IF(Q498&lt;&gt;"","PBI Dev",IF(N498&lt;&gt;"","DB Dev","NOT STARTED")))))</f>
        <v/>
      </c>
      <c r="AI498" s="9">
        <f>IF($B498="","",IF(IF($C498="NOT STARTED",0,IF($C498="DB Dev",1,IF($C498="PBI Dev",2,IF($C498="QA",3,IF($C498="DPO Approval",4,IF($C498="RELEASED IN PROD",5,-1))))))&lt;IF($AH498="NOT STARTED",0,IF($AH498="DB Dev",1,IF($AH498="PBI Dev",2,IF($AH498="QA",3,IF($AH498="DPO Approval",4,IF($AH498="RELEASED IN PROD",5,-1)))))),"Yes - was already at "&amp;$AH498&amp;", now back at "&amp;$C498,"No"))</f>
        <v/>
      </c>
      <c r="AJ498" s="9">
        <f>IF($B498="","",IF(AND(T498&lt;&gt;"",N498&lt;&gt;"",T498&lt;N498),"QA target is before DB Dev target",IF(AND(T498&lt;&gt;"",Q498&lt;&gt;"",T498&lt;Q498),"QA target is before PBI Dev target",IF(AND(W498&lt;&gt;"",T498&lt;&gt;"",W498&lt;T498),"DPO Approval target is before QA target",IF(AND(Z498&lt;&gt;"",W498&lt;&gt;"",Z498&lt;W498),"Confirmed Deployed date is before DPO Approval target","")))))</f>
        <v/>
      </c>
      <c r="AK498" s="9">
        <f>IF($B498="","",IF(COUNTIF($B$2:$B$500,$B498)&gt;1,"Duplicate name - check row",""))</f>
        <v/>
      </c>
      <c r="AL498" s="1" t="n"/>
      <c r="AM498" s="9">
        <f>IF($B498="","",SUMPRODUCT(MAX(('Rework Log'!$A$3:$A$500=$B498)*ROW('Rework Log'!$A$3:$A$500))))</f>
        <v/>
      </c>
    </row>
    <row r="499">
      <c r="A499" s="1" t="n"/>
      <c r="B499" s="1" t="n"/>
      <c r="C499" s="1" t="n"/>
      <c r="D499" s="9">
        <f>IF($B499="","",IF(LEFT($AC499,3)="Yes","Blocked",IF(C499="NOT STARTED",IF(K499="","No plan date set",IF(K499&lt;TODAY(),"Review - planned start passed","On track")),IF(C499="DB Dev",IF(N499="","No target set",IF(AND(N499&lt;TODAY(),P499=""),"Overdue","On track")),IF(C499="PBI Dev",IF(Q499="","No target set",IF(AND(Q499&lt;TODAY(),S499=""),"Overdue","On track")),IF(C499="QA",IF(T499="","No target set",IF(AND(T499&lt;TODAY(),V499=""),"Overdue","On track")),IF(C499="DPO Approval",IF(W499="","No target set",IF(W499&lt;TODAY(),"Overdue","On track")),IF(C499="RELEASED IN PROD","Delivered",""))))))))</f>
        <v/>
      </c>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c r="AA499" s="1" t="n"/>
      <c r="AB499" s="1" t="n"/>
      <c r="AC499" s="1" t="n"/>
      <c r="AD499" s="9">
        <f>IF($B499="","",COUNTIF('Rework Log'!$A$3:$A$500,$B499))</f>
        <v/>
      </c>
      <c r="AE499" s="9">
        <f>IF(OR($B499="",$AM499=0),"",INDEX('Rework Log'!$C:$C,$AM499))</f>
        <v/>
      </c>
      <c r="AF499" s="9">
        <f>IF(OR($B499="",$AM499=0),"",INDEX('Rework Log'!$H:$H,$AM499))</f>
        <v/>
      </c>
      <c r="AG499" s="9">
        <f>IF(OR($B499="",$AM499=0),"",INDEX('Rework Log'!$G:$G,$AM499))</f>
        <v/>
      </c>
      <c r="AH499" s="9">
        <f>IF($B499="","",IF(W499&lt;&gt;"","DPO Approval",IF(T499&lt;&gt;"","QA",IF(Q499&lt;&gt;"","PBI Dev",IF(N499&lt;&gt;"","DB Dev","NOT STARTED")))))</f>
        <v/>
      </c>
      <c r="AI499" s="9">
        <f>IF($B499="","",IF(IF($C499="NOT STARTED",0,IF($C499="DB Dev",1,IF($C499="PBI Dev",2,IF($C499="QA",3,IF($C499="DPO Approval",4,IF($C499="RELEASED IN PROD",5,-1))))))&lt;IF($AH499="NOT STARTED",0,IF($AH499="DB Dev",1,IF($AH499="PBI Dev",2,IF($AH499="QA",3,IF($AH499="DPO Approval",4,IF($AH499="RELEASED IN PROD",5,-1)))))),"Yes - was already at "&amp;$AH499&amp;", now back at "&amp;$C499,"No"))</f>
        <v/>
      </c>
      <c r="AJ499" s="9">
        <f>IF($B499="","",IF(AND(T499&lt;&gt;"",N499&lt;&gt;"",T499&lt;N499),"QA target is before DB Dev target",IF(AND(T499&lt;&gt;"",Q499&lt;&gt;"",T499&lt;Q499),"QA target is before PBI Dev target",IF(AND(W499&lt;&gt;"",T499&lt;&gt;"",W499&lt;T499),"DPO Approval target is before QA target",IF(AND(Z499&lt;&gt;"",W499&lt;&gt;"",Z499&lt;W499),"Confirmed Deployed date is before DPO Approval target","")))))</f>
        <v/>
      </c>
      <c r="AK499" s="9">
        <f>IF($B499="","",IF(COUNTIF($B$2:$B$500,$B499)&gt;1,"Duplicate name - check row",""))</f>
        <v/>
      </c>
      <c r="AL499" s="1" t="n"/>
      <c r="AM499" s="9">
        <f>IF($B499="","",SUMPRODUCT(MAX(('Rework Log'!$A$3:$A$500=$B499)*ROW('Rework Log'!$A$3:$A$500))))</f>
        <v/>
      </c>
    </row>
    <row r="500">
      <c r="A500" s="1" t="n"/>
      <c r="B500" s="1" t="n"/>
      <c r="C500" s="1" t="n"/>
      <c r="D500" s="9">
        <f>IF($B500="","",IF(LEFT($AC500,3)="Yes","Blocked",IF(C500="NOT STARTED",IF(K500="","No plan date set",IF(K500&lt;TODAY(),"Review - planned start passed","On track")),IF(C500="DB Dev",IF(N500="","No target set",IF(AND(N500&lt;TODAY(),P500=""),"Overdue","On track")),IF(C500="PBI Dev",IF(Q500="","No target set",IF(AND(Q500&lt;TODAY(),S500=""),"Overdue","On track")),IF(C500="QA",IF(T500="","No target set",IF(AND(T500&lt;TODAY(),V500=""),"Overdue","On track")),IF(C500="DPO Approval",IF(W500="","No target set",IF(W500&lt;TODAY(),"Overdue","On track")),IF(C500="RELEASED IN PROD","Delivered",""))))))))</f>
        <v/>
      </c>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c r="AA500" s="1" t="n"/>
      <c r="AB500" s="1" t="n"/>
      <c r="AC500" s="1" t="n"/>
      <c r="AD500" s="9">
        <f>IF($B500="","",COUNTIF('Rework Log'!$A$3:$A$500,$B500))</f>
        <v/>
      </c>
      <c r="AE500" s="9">
        <f>IF(OR($B500="",$AM500=0),"",INDEX('Rework Log'!$C:$C,$AM500))</f>
        <v/>
      </c>
      <c r="AF500" s="9">
        <f>IF(OR($B500="",$AM500=0),"",INDEX('Rework Log'!$H:$H,$AM500))</f>
        <v/>
      </c>
      <c r="AG500" s="9">
        <f>IF(OR($B500="",$AM500=0),"",INDEX('Rework Log'!$G:$G,$AM500))</f>
        <v/>
      </c>
      <c r="AH500" s="9">
        <f>IF($B500="","",IF(W500&lt;&gt;"","DPO Approval",IF(T500&lt;&gt;"","QA",IF(Q500&lt;&gt;"","PBI Dev",IF(N500&lt;&gt;"","DB Dev","NOT STARTED")))))</f>
        <v/>
      </c>
      <c r="AI500" s="9">
        <f>IF($B500="","",IF(IF($C500="NOT STARTED",0,IF($C500="DB Dev",1,IF($C500="PBI Dev",2,IF($C500="QA",3,IF($C500="DPO Approval",4,IF($C500="RELEASED IN PROD",5,-1))))))&lt;IF($AH500="NOT STARTED",0,IF($AH500="DB Dev",1,IF($AH500="PBI Dev",2,IF($AH500="QA",3,IF($AH500="DPO Approval",4,IF($AH500="RELEASED IN PROD",5,-1)))))),"Yes - was already at "&amp;$AH500&amp;", now back at "&amp;$C500,"No"))</f>
        <v/>
      </c>
      <c r="AJ500" s="9">
        <f>IF($B500="","",IF(AND(T500&lt;&gt;"",N500&lt;&gt;"",T500&lt;N500),"QA target is before DB Dev target",IF(AND(T500&lt;&gt;"",Q500&lt;&gt;"",T500&lt;Q500),"QA target is before PBI Dev target",IF(AND(W500&lt;&gt;"",T500&lt;&gt;"",W500&lt;T500),"DPO Approval target is before QA target",IF(AND(Z500&lt;&gt;"",W500&lt;&gt;"",Z500&lt;W500),"Confirmed Deployed date is before DPO Approval target","")))))</f>
        <v/>
      </c>
      <c r="AK500" s="9">
        <f>IF($B500="","",IF(COUNTIF($B$2:$B$500,$B500)&gt;1,"Duplicate name - check row",""))</f>
        <v/>
      </c>
      <c r="AL500" s="1" t="n"/>
      <c r="AM500" s="9">
        <f>IF($B500="","",SUMPRODUCT(MAX(('Rework Log'!$A$3:$A$500=$B500)*ROW('Rework Log'!$A$3:$A$500))))</f>
        <v/>
      </c>
    </row>
  </sheetData>
  <conditionalFormatting sqref="D2:D500">
    <cfRule type="expression" priority="6" dxfId="0" stopIfTrue="1">
      <formula>ISNUMBER(SEARCH("overdue",$D2))</formula>
    </cfRule>
    <cfRule type="expression" priority="7" dxfId="1" stopIfTrue="1">
      <formula>ISNUMBER(SEARCH("no target",$D2))</formula>
    </cfRule>
    <cfRule type="expression" priority="8" dxfId="1" stopIfTrue="1">
      <formula>ISNUMBER(SEARCH("Review",$D2))</formula>
    </cfRule>
    <cfRule type="expression" priority="9" dxfId="8" stopIfTrue="1">
      <formula>OR($D2="On track",$D2="Delivered")</formula>
    </cfRule>
    <cfRule type="expression" priority="23" dxfId="22">
      <formula>ISNUMBER(SEARCH("Blocked",$D2))</formula>
    </cfRule>
  </conditionalFormatting>
  <conditionalFormatting sqref="M2:P39 M40 M41:P500 O40">
    <cfRule type="expression" priority="19" dxfId="0">
      <formula>OR(AND($AF2="Yes",$AG2="DB Dev"),AND($AF2="Yes",$AG2="",$C2="DB Dev"))</formula>
    </cfRule>
  </conditionalFormatting>
  <conditionalFormatting sqref="N40">
    <cfRule type="expression" priority="1" dxfId="0">
      <formula>OR(AND($AF40="Yes",$AG40="PBI Dev"),AND($AF40="Yes",$AG40="",$C40="PBI Dev"))</formula>
    </cfRule>
  </conditionalFormatting>
  <conditionalFormatting sqref="P40">
    <cfRule type="expression" priority="2" dxfId="0">
      <formula>OR(AND($AF40="Yes",$AG40="PBI Dev"),AND($AF40="Yes",$AG40="",$C40="PBI Dev"))</formula>
    </cfRule>
  </conditionalFormatting>
  <conditionalFormatting sqref="Q2:T29 Q30:S30 Q31:T34 Q35:S35 Q36:T500">
    <cfRule type="expression" priority="20" dxfId="0">
      <formula>OR(AND($AF2="Yes",$AG2="PBI Dev"),AND($AF2="Yes",$AG2="",$C2="PBI Dev"))</formula>
    </cfRule>
  </conditionalFormatting>
  <conditionalFormatting sqref="U2:X29 U30:W31 U32:X33 U34:W36 U37:X500">
    <cfRule type="expression" priority="21" dxfId="0">
      <formula>OR(AND($AF2="Yes",$AG2="QA"),AND($AF2="Yes",$AG2="",$C2="QA"))</formula>
    </cfRule>
  </conditionalFormatting>
  <conditionalFormatting sqref="X30:X31">
    <cfRule type="expression" priority="3" dxfId="0">
      <formula>OR(AND($AF30="Yes",$AG30="PBI Dev"),AND($AF30="Yes",$AG30="",$C30="PBI Dev"))</formula>
    </cfRule>
  </conditionalFormatting>
  <conditionalFormatting sqref="X34">
    <cfRule type="expression" priority="5" dxfId="0">
      <formula>OR(AND($AF34="Yes",$AG34="PBI Dev"),AND($AF34="Yes",$AG34="",$C34="PBI Dev"))</formula>
    </cfRule>
  </conditionalFormatting>
  <conditionalFormatting sqref="X36">
    <cfRule type="expression" priority="4" dxfId="0">
      <formula>OR(AND($AF36="Yes",$AG36="PBI Dev"),AND($AF36="Yes",$AG36="",$C36="PBI Dev"))</formula>
    </cfRule>
  </conditionalFormatting>
  <conditionalFormatting sqref="Y2:AA500">
    <cfRule type="expression" priority="22" dxfId="0">
      <formula>OR(AND($AF2="Yes",$AG2="DPO Approval"),AND($AF2="Yes",$AG2="",$C2="DPO Approval"))</formula>
    </cfRule>
  </conditionalFormatting>
  <conditionalFormatting sqref="AB2:AB500">
    <cfRule type="expression" priority="18" dxfId="8">
      <formula>$AB2="Yes"</formula>
    </cfRule>
  </conditionalFormatting>
  <conditionalFormatting sqref="AF2:AF500">
    <cfRule type="expression" priority="10" dxfId="0">
      <formula>$AF2="Yes"</formula>
    </cfRule>
  </conditionalFormatting>
  <conditionalFormatting sqref="AH2:AH500">
    <cfRule type="expression" priority="11" dxfId="0">
      <formula>$AH2&lt;&gt;""</formula>
    </cfRule>
  </conditionalFormatting>
  <conditionalFormatting sqref="AI2:AI500">
    <cfRule type="expression" priority="12" dxfId="1">
      <formula>$AI2&gt;0</formula>
    </cfRule>
  </conditionalFormatting>
  <conditionalFormatting sqref="AJ2:AJ500">
    <cfRule type="expression" priority="13" dxfId="1">
      <formula>$AJ2&lt;&gt;""</formula>
    </cfRule>
  </conditionalFormatting>
  <conditionalFormatting sqref="AL2:AL500">
    <cfRule type="expression" priority="14" dxfId="0">
      <formula>$AL2&lt;&gt;""</formula>
    </cfRule>
  </conditionalFormatting>
  <conditionalFormatting sqref="AN2:AN500">
    <cfRule type="expression" priority="15" dxfId="0">
      <formula>ISNUMBER(SEARCH("Yes",$AN2))</formula>
    </cfRule>
  </conditionalFormatting>
  <conditionalFormatting sqref="AO2:AO500">
    <cfRule type="expression" priority="16" dxfId="1">
      <formula>$AO2&lt;&gt;""</formula>
    </cfRule>
  </conditionalFormatting>
  <conditionalFormatting sqref="AP2:AP500">
    <cfRule type="expression" priority="17" dxfId="0">
      <formula>$AP2&lt;&gt;""</formula>
    </cfRule>
  </conditionalFormatting>
  <conditionalFormatting sqref="AC2:AC500">
    <cfRule type="expression" priority="24" dxfId="22">
      <formula>LEFT($AC2,3)="Yes"</formula>
    </cfRule>
  </conditionalFormatting>
  <dataValidations count="1">
    <dataValidation sqref="K2:K500 M2:M500 N2:N500 O2:O500 P2:P500 Q2:Q500 R2:R500 S2:S29 S31:S34 S36:S500 T2:T500 U2:U500 V2:V34 V36:V500 W2:W500 Z2:Z500" showDropDown="0" showInputMessage="1" showErrorMessage="1" allowBlank="1" errorTitle="Dates only in this column" error="This column only accepts real dates._x000a_Put anything else in Comments instead." promptTitle="Enter a date" prompt="Use the date picker or type a date. Notes go in Comments." type="date">
      <formula1>DATE(2020,1,1)</formula1>
      <formula2>DATE(2099,12,31)</formula2>
    </dataValidation>
  </dataValidations>
  <pageMargins left="0.75" right="0.75" top="1" bottom="1" header="0.5" footer="0.5"/>
  <headerFooter>
    <oddHeader/>
    <oddFooter>&amp;L&amp;"Aptos"&amp;10 &amp;K000000_x000d_# This content is for internal use only</oddFooter>
    <evenHeader/>
    <evenFooter/>
    <firstHeader/>
    <firstFooter/>
  </headerFooter>
  <legacyDrawing xmlns:r="http://schemas.openxmlformats.org/officeDocument/2006/relationships" r:id="anysvml"/>
  <tableParts count="1">
    <tablePart xmlns:r="http://schemas.openxmlformats.org/officeDocument/2006/relationships" r:id="rId1"/>
  </tableParts>
  <extLst>
    <ext xmlns:x14="http://schemas.microsoft.com/office/spreadsheetml/2009/9/main" xmlns:xr="http://schemas.microsoft.com/office/spreadsheetml/2014/revision" uri="{CCE6A557-97BC-4b89-ADB6-D9C93CAAB3DF}">
      <x14:dataValidations xmlns:xm="http://schemas.microsoft.com/office/excel/2006/main" count="8">
        <x14:dataValidation type="list" allowBlank="1" showInputMessage="1" promptTitle="Domain" prompt="Pick from the list, or type a new domain." xr:uid="{00000000-0002-0000-0100-000000000000}">
          <x14:formula1>
            <xm:f>'Data Validation'!$A$3:$A$7</xm:f>
          </x14:formula1>
          <xm:sqref>A2:A500</xm:sqref>
        </x14:dataValidation>
        <x14:dataValidation type="list" allowBlank="1" showInputMessage="1" promptTitle="DB Developer" prompt="Pick from the list, or type a new name." xr:uid="{00000000-0002-0000-0100-000001000000}">
          <x14:formula1>
            <xm:f>'Data Validation'!$B$3:$B$10</xm:f>
          </x14:formula1>
          <xm:sqref>G2:G500</xm:sqref>
        </x14:dataValidation>
        <x14:dataValidation type="list" allowBlank="1" showInputMessage="1" promptTitle="PBI Developer" prompt="Pick from the list, or type a new name." xr:uid="{00000000-0002-0000-0100-000002000000}">
          <x14:formula1>
            <xm:f>'Data Validation'!$C$3:$C$5</xm:f>
          </x14:formula1>
          <xm:sqref>H2:H500</xm:sqref>
        </x14:dataValidation>
        <x14:dataValidation type="list" allowBlank="1" showInputMessage="1" promptTitle="PO" prompt="Pick from the list, or type a new PO name." xr:uid="{00000000-0002-0000-0100-000003000000}">
          <x14:formula1>
            <xm:f>'Data Validation'!$D$3:$D$4</xm:f>
          </x14:formula1>
          <xm:sqref>F2:F500</xm:sqref>
        </x14:dataValidation>
        <x14:dataValidation type="list" allowBlank="1" showInputMessage="1" promptTitle="QA Tester" prompt="Pick from the list, or type a new name." xr:uid="{00000000-0002-0000-0100-000004000000}">
          <x14:formula1>
            <xm:f>'Data Validation'!$H$3:$H$6</xm:f>
          </x14:formula1>
          <xm:sqref>I2:I500</xm:sqref>
        </x14:dataValidation>
        <x14:dataValidation type="list" allowBlank="1" showInputMessage="1" showErrorMessage="1" promptTitle="Blocked?" prompt="Is this report blocked, and if so, does a previous stage need to fix something? Pick from the list." xr:uid="{00000000-0002-0000-0100-000005000000}">
          <x14:formula1>
            <xm:f>'Data Validation'!$I$3:$I$8</xm:f>
          </x14:formula1>
          <xm:sqref>AC2:AC500</xm:sqref>
        </x14:dataValidation>
        <x14:dataValidation type="list" allowBlank="1" showInputMessage="1" promptTitle="Current Status" prompt="Pick the stage this report is in." xr:uid="{00000000-0002-0000-0100-000006000000}">
          <x14:formula1>
            <xm:f>'Data Validation'!$F$3:$F$7</xm:f>
          </x14:formula1>
          <xm:sqref>C2:C500</xm:sqref>
        </x14:dataValidation>
        <x14:dataValidation type="list" allowBlank="1" showInputMessage="1" showErrorMessage="1" promptTitle="Confirmed Deployed?" prompt="Confirmed live in production? Yes/No." xr:uid="{00000000-0002-0000-0100-000007000000}">
          <x14:formula1>
            <xm:f>'Data Validation'!$E$3:$E$4</xm:f>
          </x14:formula1>
          <xm:sqref>Y2:Y500</xm:sqref>
        </x14:dataValidation>
      </x14:dataValidations>
    </ext>
  </extLst>
</worksheet>
</file>

<file path=xl/worksheets/sheet3.xml><?xml version="1.0" encoding="utf-8"?>
<worksheet xmlns="http://schemas.openxmlformats.org/spreadsheetml/2006/main">
  <sheetPr>
    <outlinePr summaryBelow="1" summaryRight="1"/>
    <pageSetUpPr/>
  </sheetPr>
  <dimension ref="A1:E31"/>
  <sheetViews>
    <sheetView showGridLines="0" workbookViewId="0">
      <selection activeCell="A1" sqref="A1"/>
    </sheetView>
  </sheetViews>
  <sheetFormatPr baseColWidth="8" defaultRowHeight="14.4"/>
  <cols>
    <col width="24" customWidth="1" style="60" min="1" max="1"/>
    <col width="16" customWidth="1" style="60" min="2" max="5"/>
  </cols>
  <sheetData>
    <row r="1" ht="21" customHeight="1" s="60">
      <c r="A1" s="51" t="inlineStr">
        <is>
          <t>Find a Report</t>
        </is>
      </c>
    </row>
    <row r="2">
      <c r="A2" s="13" t="inlineStr">
        <is>
          <t>Pick a report below - everything updates automatically.</t>
        </is>
      </c>
    </row>
    <row r="4" ht="21.9" customHeight="1" s="60">
      <c r="A4" s="6" t="inlineStr">
        <is>
          <t>Report Name:</t>
        </is>
      </c>
      <c r="B4" s="65" t="n"/>
    </row>
    <row r="6">
      <c r="A6" s="52" t="inlineStr">
        <is>
          <t>Domain</t>
        </is>
      </c>
      <c r="B6" s="61">
        <f>IF($B$4="","",IFERROR(INDEX('Combined Delivery Data'!$A:$A,MATCH($B$4,'Combined Delivery Data'!$B:$B,0)),""))</f>
        <v/>
      </c>
      <c r="C6" s="62" t="n"/>
      <c r="D6" s="62" t="n"/>
      <c r="E6" s="63" t="n"/>
    </row>
    <row r="7">
      <c r="A7" s="52" t="inlineStr">
        <is>
          <t>Current Status</t>
        </is>
      </c>
      <c r="B7" s="61">
        <f>IF($B$4="","",IFERROR(INDEX('Combined Delivery Data'!$C:$C,MATCH($B$4,'Combined Delivery Data'!$B:$B,0)),""))</f>
        <v/>
      </c>
      <c r="C7" s="62" t="n"/>
      <c r="D7" s="62" t="n"/>
      <c r="E7" s="63" t="n"/>
    </row>
    <row r="8">
      <c r="A8" s="52" t="inlineStr">
        <is>
          <t>Status Flag</t>
        </is>
      </c>
      <c r="B8" s="61">
        <f>IF($B$4="","",IFERROR(INDEX('Combined Delivery Data'!$D:$D,MATCH($B$4,'Combined Delivery Data'!$B:$B,0)),""))</f>
        <v/>
      </c>
      <c r="C8" s="62" t="n"/>
      <c r="D8" s="62" t="n"/>
      <c r="E8" s="63" t="n"/>
    </row>
    <row r="9">
      <c r="A9" s="52" t="inlineStr">
        <is>
          <t>Business Value Rank</t>
        </is>
      </c>
      <c r="B9" s="61">
        <f>IF($B$4="","",IFERROR(INDEX('Combined Delivery Data'!$E:$E,MATCH($B$4,'Combined Delivery Data'!$B:$B,0)),""))</f>
        <v/>
      </c>
      <c r="C9" s="62" t="n"/>
      <c r="D9" s="62" t="n"/>
      <c r="E9" s="63" t="n"/>
    </row>
    <row r="10">
      <c r="A10" s="52" t="inlineStr">
        <is>
          <t>PO</t>
        </is>
      </c>
      <c r="B10" s="61">
        <f>IF($B$4="","",IFERROR(INDEX('Combined Delivery Data'!$F:$F,MATCH($B$4,'Combined Delivery Data'!$B:$B,0)),""))</f>
        <v/>
      </c>
      <c r="C10" s="62" t="n"/>
      <c r="D10" s="62" t="n"/>
      <c r="E10" s="63" t="n"/>
    </row>
    <row r="11">
      <c r="A11" s="52" t="inlineStr">
        <is>
          <t>DB Developer</t>
        </is>
      </c>
      <c r="B11" s="61">
        <f>IF($B$4="","",IFERROR(INDEX('Combined Delivery Data'!$G:$G,MATCH($B$4,'Combined Delivery Data'!$B:$B,0)),""))</f>
        <v/>
      </c>
      <c r="C11" s="62" t="n"/>
      <c r="D11" s="62" t="n"/>
      <c r="E11" s="63" t="n"/>
    </row>
    <row r="12">
      <c r="A12" s="52" t="inlineStr">
        <is>
          <t>PBI Developer</t>
        </is>
      </c>
      <c r="B12" s="61">
        <f>IF($B$4="","",IFERROR(INDEX('Combined Delivery Data'!$H:$H,MATCH($B$4,'Combined Delivery Data'!$B:$B,0)),""))</f>
        <v/>
      </c>
      <c r="C12" s="62" t="n"/>
      <c r="D12" s="62" t="n"/>
      <c r="E12" s="63" t="n"/>
    </row>
    <row r="13">
      <c r="A13" s="52" t="inlineStr">
        <is>
          <t>QA Tester</t>
        </is>
      </c>
      <c r="B13" s="61">
        <f>IF($B$4="","",IFERROR(INDEX('Combined Delivery Data'!$I:$I,MATCH($B$4,'Combined Delivery Data'!$B:$B,0)),""))</f>
        <v/>
      </c>
      <c r="C13" s="62" t="n"/>
      <c r="D13" s="62" t="n"/>
      <c r="E13" s="63" t="n"/>
    </row>
    <row r="14">
      <c r="A14" s="52" t="inlineStr">
        <is>
          <t>DB Dev Expected</t>
        </is>
      </c>
      <c r="B14" s="64">
        <f>IF($B$4="","",IFERROR(INDEX('Combined Delivery Data'!$N:$N,MATCH($B$4,'Combined Delivery Data'!$B:$B,0)),""))</f>
        <v/>
      </c>
      <c r="C14" s="62" t="n"/>
      <c r="D14" s="62" t="n"/>
      <c r="E14" s="63" t="n"/>
    </row>
    <row r="15">
      <c r="A15" s="52" t="inlineStr">
        <is>
          <t>DB Dev Actual</t>
        </is>
      </c>
      <c r="B15" s="64">
        <f>IF($B$4="","",IFERROR(INDEX('Combined Delivery Data'!$P:$P,MATCH($B$4,'Combined Delivery Data'!$B:$B,0)),""))</f>
        <v/>
      </c>
      <c r="C15" s="62" t="n"/>
      <c r="D15" s="62" t="n"/>
      <c r="E15" s="63" t="n"/>
    </row>
    <row r="16">
      <c r="A16" s="52" t="inlineStr">
        <is>
          <t>PBI Dev Expected</t>
        </is>
      </c>
      <c r="B16" s="64">
        <f>IF($B$4="","",IFERROR(INDEX('Combined Delivery Data'!$Q:$Q,MATCH($B$4,'Combined Delivery Data'!$B:$B,0)),""))</f>
        <v/>
      </c>
      <c r="C16" s="62" t="n"/>
      <c r="D16" s="62" t="n"/>
      <c r="E16" s="63" t="n"/>
    </row>
    <row r="17">
      <c r="A17" s="52" t="inlineStr">
        <is>
          <t>PBI Dev Actual</t>
        </is>
      </c>
      <c r="B17" s="64">
        <f>IF($B$4="","",IFERROR(INDEX('Combined Delivery Data'!$S:$S,MATCH($B$4,'Combined Delivery Data'!$B:$B,0)),""))</f>
        <v/>
      </c>
      <c r="C17" s="62" t="n"/>
      <c r="D17" s="62" t="n"/>
      <c r="E17" s="63" t="n"/>
    </row>
    <row r="18">
      <c r="A18" s="52" t="inlineStr">
        <is>
          <t>QA Expected</t>
        </is>
      </c>
      <c r="B18" s="64">
        <f>IF($B$4="","",IFERROR(INDEX('Combined Delivery Data'!$T:$T,MATCH($B$4,'Combined Delivery Data'!$B:$B,0)),""))</f>
        <v/>
      </c>
      <c r="C18" s="62" t="n"/>
      <c r="D18" s="62" t="n"/>
      <c r="E18" s="63" t="n"/>
    </row>
    <row r="19">
      <c r="A19" s="52" t="inlineStr">
        <is>
          <t>QA Actual</t>
        </is>
      </c>
      <c r="B19" s="64">
        <f>IF($B$4="","",IFERROR(INDEX('Combined Delivery Data'!$V:$V,MATCH($B$4,'Combined Delivery Data'!$B:$B,0)),""))</f>
        <v/>
      </c>
      <c r="C19" s="62" t="n"/>
      <c r="D19" s="62" t="n"/>
      <c r="E19" s="63" t="n"/>
    </row>
    <row r="20">
      <c r="A20" s="52" t="inlineStr">
        <is>
          <t>DPO Approval Expected</t>
        </is>
      </c>
      <c r="B20" s="64">
        <f>IF($B$4="","",IFERROR(INDEX('Combined Delivery Data'!$W:$W,MATCH($B$4,'Combined Delivery Data'!$B:$B,0)),""))</f>
        <v/>
      </c>
      <c r="C20" s="62" t="n"/>
      <c r="D20" s="62" t="n"/>
      <c r="E20" s="63" t="n"/>
    </row>
    <row r="21">
      <c r="A21" s="52" t="inlineStr">
        <is>
          <t>DPO Approval Reviewer</t>
        </is>
      </c>
      <c r="B21" s="61">
        <f>IF($B$4="","",IFERROR(INDEX('Combined Delivery Data'!$X:$X,MATCH($B$4,'Combined Delivery Data'!$B:$B,0)),""))</f>
        <v/>
      </c>
      <c r="C21" s="62" t="n"/>
      <c r="D21" s="62" t="n"/>
      <c r="E21" s="63" t="n"/>
    </row>
    <row r="22">
      <c r="A22" s="52" t="inlineStr">
        <is>
          <t>Confirmed Deployed?</t>
        </is>
      </c>
      <c r="B22" s="61">
        <f>IF($B$4="","",IFERROR(INDEX('Combined Delivery Data'!$Y:$Y,MATCH($B$4,'Combined Delivery Data'!$B:$B,0)),""))</f>
        <v/>
      </c>
      <c r="C22" s="62" t="n"/>
      <c r="D22" s="62" t="n"/>
      <c r="E22" s="63" t="n"/>
    </row>
    <row r="23">
      <c r="A23" s="52" t="inlineStr">
        <is>
          <t>Confirmed Deployed Date</t>
        </is>
      </c>
      <c r="B23" s="64">
        <f>IF($B$4="","",IFERROR(INDEX('Combined Delivery Data'!$Z:$Z,MATCH($B$4,'Combined Delivery Data'!$B:$B,0)),""))</f>
        <v/>
      </c>
      <c r="C23" s="62" t="n"/>
      <c r="D23" s="62" t="n"/>
      <c r="E23" s="63" t="n"/>
    </row>
    <row r="24">
      <c r="A24" s="52" t="inlineStr">
        <is>
          <t>Blocked?</t>
        </is>
      </c>
      <c r="B24" s="61">
        <f>IF($B$4="","",IFERROR(INDEX('Combined Delivery Data'!$AC:$AC,MATCH($B$4,'Combined Delivery Data'!$B:$B,0)),""))</f>
        <v/>
      </c>
      <c r="C24" s="62" t="n"/>
      <c r="D24" s="62" t="n"/>
      <c r="E24" s="63" t="n"/>
    </row>
    <row r="25">
      <c r="A25" s="52" t="inlineStr">
        <is>
          <t>Rework Count</t>
        </is>
      </c>
      <c r="B25" s="61">
        <f>IF($B$4="","",IFERROR(INDEX('Combined Delivery Data'!$AD:$AD,MATCH($B$4,'Combined Delivery Data'!$B:$B,0)),""))</f>
        <v/>
      </c>
      <c r="C25" s="62" t="n"/>
      <c r="D25" s="62" t="n"/>
      <c r="E25" s="63" t="n"/>
    </row>
    <row r="26">
      <c r="A26" s="52" t="inlineStr">
        <is>
          <t>Last Sent Back From</t>
        </is>
      </c>
      <c r="B26" s="61">
        <f>IF($B$4="","",IFERROR(INDEX('Combined Delivery Data'!$AE:$AE,MATCH($B$4,'Combined Delivery Data'!$B:$B,0)),""))</f>
        <v/>
      </c>
      <c r="C26" s="62" t="n"/>
      <c r="D26" s="62" t="n"/>
      <c r="E26" s="63" t="n"/>
    </row>
    <row r="27">
      <c r="A27" s="52" t="inlineStr">
        <is>
          <t>Last Defect/Jira Ticket</t>
        </is>
      </c>
      <c r="B27" s="61">
        <f>IF($B$4="","",IFERROR(INDEX('Combined Delivery Data'!$AG:$AG,MATCH($B$4,'Combined Delivery Data'!$B:$B,0)),""))</f>
        <v/>
      </c>
      <c r="C27" s="62" t="n"/>
      <c r="D27" s="62" t="n"/>
      <c r="E27" s="63" t="n"/>
    </row>
    <row r="28">
      <c r="A28" s="52" t="inlineStr">
        <is>
          <t>Auto Rework Alert</t>
        </is>
      </c>
      <c r="B28" s="61">
        <f>IF($B$4="","",IFERROR(INDEX('Combined Delivery Data'!$AI:$AI,MATCH($B$4,'Combined Delivery Data'!$B:$B,0)),""))</f>
        <v/>
      </c>
      <c r="C28" s="62" t="n"/>
      <c r="D28" s="62" t="n"/>
      <c r="E28" s="63" t="n"/>
    </row>
    <row r="29">
      <c r="A29" s="52" t="inlineStr">
        <is>
          <t>Chronology Check</t>
        </is>
      </c>
      <c r="B29" s="61">
        <f>IF($B$4="","",IFERROR(INDEX('Combined Delivery Data'!$AJ:$AJ,MATCH($B$4,'Combined Delivery Data'!$B:$B,0)),""))</f>
        <v/>
      </c>
      <c r="C29" s="62" t="n"/>
      <c r="D29" s="62" t="n"/>
      <c r="E29" s="63" t="n"/>
    </row>
    <row r="30">
      <c r="A30" s="52" t="inlineStr">
        <is>
          <t>Comments</t>
        </is>
      </c>
      <c r="B30" s="61">
        <f>IF($B$4="","",IFERROR(INDEX('Combined Delivery Data'!$AL:$AL,MATCH($B$4,'Combined Delivery Data'!$B:$B,0)),""))</f>
        <v/>
      </c>
      <c r="C30" s="62" t="n"/>
      <c r="D30" s="62" t="n"/>
      <c r="E30" s="63" t="n"/>
    </row>
    <row r="31"/>
  </sheetData>
  <mergeCells count="27">
    <mergeCell ref="B9:E9"/>
    <mergeCell ref="B6:E6"/>
    <mergeCell ref="B30:E30"/>
    <mergeCell ref="B15:E15"/>
    <mergeCell ref="B24:E24"/>
    <mergeCell ref="B20:E20"/>
    <mergeCell ref="B26:E26"/>
    <mergeCell ref="B4:E4"/>
    <mergeCell ref="B16:E16"/>
    <mergeCell ref="B7:E7"/>
    <mergeCell ref="B25:E25"/>
    <mergeCell ref="B22:E22"/>
    <mergeCell ref="B31:E31"/>
    <mergeCell ref="B18:E18"/>
    <mergeCell ref="B27:E27"/>
    <mergeCell ref="B12:E12"/>
    <mergeCell ref="B21:E21"/>
    <mergeCell ref="B11:E11"/>
    <mergeCell ref="B14:E14"/>
    <mergeCell ref="B17:E17"/>
    <mergeCell ref="B23:E23"/>
    <mergeCell ref="B8:E8"/>
    <mergeCell ref="B13:E13"/>
    <mergeCell ref="B29:E29"/>
    <mergeCell ref="B19:E19"/>
    <mergeCell ref="B10:E10"/>
    <mergeCell ref="B28:E28"/>
  </mergeCells>
  <pageMargins left="0.75" right="0.75" top="1" bottom="1" header="0.5" footer="0.5"/>
  <headerFooter>
    <oddHeader/>
    <oddFooter>&amp;L&amp;"Aptos"&amp;10 &amp;K000000_x000d_# This content is for internal use only</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N500"/>
  <sheetViews>
    <sheetView showGridLines="0" workbookViewId="0">
      <pane ySplit="2" topLeftCell="A3" activePane="bottomLeft" state="frozen"/>
      <selection pane="bottomLeft" activeCell="A1" sqref="A1"/>
    </sheetView>
  </sheetViews>
  <sheetFormatPr baseColWidth="8" defaultRowHeight="14.4"/>
  <cols>
    <col width="38" customWidth="1" style="60" min="1" max="1"/>
    <col width="16" customWidth="1" style="60" min="2" max="2"/>
    <col width="14" customWidth="1" style="60" min="3" max="4"/>
    <col width="46" customWidth="1" style="60" min="5" max="5"/>
    <col width="22" customWidth="1" style="60" min="6" max="6"/>
    <col width="16" customWidth="1" style="60" min="7" max="7"/>
    <col width="38" customWidth="1" style="60" min="10" max="10"/>
    <col width="15" customWidth="1" style="60" min="11" max="11"/>
    <col width="17" customWidth="1" style="60" min="12" max="12"/>
    <col width="15" customWidth="1" style="60" min="13" max="14"/>
  </cols>
  <sheetData>
    <row r="1" ht="27.9" customHeight="1" s="60">
      <c r="A1" s="66" t="inlineStr">
        <is>
          <t>One row per bounce-back, optional detail. You do not need to log here for the tracker to know a rework happened - Combined Delivery Data (column AL, Auto Rework Alert) detects that automatically the moment a later stage already has a date but Current Status gets moved back. Use this tab to capture WHY it happened, the defect/Jira ticket if there is one, and when it is now expected fixed.</t>
        </is>
      </c>
      <c r="J1" s="66" t="inlineStr">
        <is>
          <t>Live summary - one row per report, computed from the log entries to the left. Nothing here is typed manually.</t>
        </is>
      </c>
    </row>
    <row r="2" ht="18" customHeight="1" s="60">
      <c r="A2" s="7" t="inlineStr">
        <is>
          <t>Report Name</t>
        </is>
      </c>
      <c r="B2" s="7" t="inlineStr">
        <is>
          <t>Date Sent Back</t>
        </is>
      </c>
      <c r="C2" s="7" t="inlineStr">
        <is>
          <t>From Stage</t>
        </is>
      </c>
      <c r="D2" s="7" t="inlineStr">
        <is>
          <t>To Stage</t>
        </is>
      </c>
      <c r="E2" s="7" t="inlineStr">
        <is>
          <t>Reason / Note</t>
        </is>
      </c>
      <c r="F2" s="7" t="inlineStr">
        <is>
          <t>Defect/Jira Ticket</t>
        </is>
      </c>
      <c r="G2" s="7" t="inlineStr">
        <is>
          <t>Est. Fix Date</t>
        </is>
      </c>
      <c r="J2" s="7" t="inlineStr">
        <is>
          <t>Report Name</t>
        </is>
      </c>
      <c r="K2" s="7" t="inlineStr">
        <is>
          <t>Times Sent Back</t>
        </is>
      </c>
      <c r="L2" s="7" t="inlineStr">
        <is>
          <t>Last Sent Back Date</t>
        </is>
      </c>
      <c r="M2" s="7" t="inlineStr">
        <is>
          <t>Last From Stage</t>
        </is>
      </c>
      <c r="N2" s="7" t="inlineStr">
        <is>
          <t>Last To Stage</t>
        </is>
      </c>
    </row>
    <row r="3">
      <c r="A3" s="4" t="inlineStr">
        <is>
          <t>RPT_02_Required Regulator Inspection Performed Control</t>
        </is>
      </c>
      <c r="B3" s="5" t="n">
        <v>46226</v>
      </c>
      <c r="C3" s="4" t="inlineStr">
        <is>
          <t>QA</t>
        </is>
      </c>
      <c r="D3" s="4" t="inlineStr">
        <is>
          <t>DB Dev</t>
        </is>
      </c>
      <c r="E3" s="4" t="inlineStr">
        <is>
          <t>Defects found in QA testing.</t>
        </is>
      </c>
      <c r="F3" s="4" t="n"/>
      <c r="G3" s="4" t="n"/>
      <c r="J3" s="4">
        <f>'Combined Delivery Data'!B2</f>
        <v/>
      </c>
      <c r="K3" s="4">
        <f>IF($J3="","",COUNTIF($A$3:$A$500,$J3))</f>
        <v/>
      </c>
      <c r="L3" s="5">
        <f>IF($J3="","",IF(SUMPRODUCT(MAX(($A$3:$A$500=$J3)*ROW($A$3:$A$500)))=0,"",INDEX($B:$B,SUMPRODUCT(MAX(($A$3:$A$500=$J3)*ROW($A$3:$A$500))))))</f>
        <v/>
      </c>
      <c r="M3" s="4">
        <f>IF($J3="","",IF(SUMPRODUCT(MAX(($A$3:$A$500=$J3)*ROW($A$3:$A$500)))=0,"",INDEX($C:$C,SUMPRODUCT(MAX(($A$3:$A$500=$J3)*ROW($A$3:$A$500))))))</f>
        <v/>
      </c>
      <c r="N3" s="4">
        <f>IF($J3="","",IF(SUMPRODUCT(MAX(($A$3:$A$500=$J3)*ROW($A$3:$A$500)))=0,"",INDEX($D:$D,SUMPRODUCT(MAX(($A$3:$A$500=$J3)*ROW($A$3:$A$500))))))</f>
        <v/>
      </c>
    </row>
    <row r="4">
      <c r="A4" s="4" t="inlineStr">
        <is>
          <t>RPT_02_Service Regulator Inspections</t>
        </is>
      </c>
      <c r="B4" s="5" t="n">
        <v>46226</v>
      </c>
      <c r="C4" s="4" t="inlineStr">
        <is>
          <t>QA</t>
        </is>
      </c>
      <c r="D4" s="4" t="inlineStr">
        <is>
          <t>DB Dev</t>
        </is>
      </c>
      <c r="E4" s="4" t="inlineStr">
        <is>
          <t>Defects found in QA testing.</t>
        </is>
      </c>
      <c r="F4" s="4" t="n"/>
      <c r="G4" s="4" t="n"/>
      <c r="J4" s="4">
        <f>'Combined Delivery Data'!B3</f>
        <v/>
      </c>
      <c r="K4" s="4">
        <f>IF($J4="","",COUNTIF($A$3:$A$500,$J4))</f>
        <v/>
      </c>
      <c r="L4" s="5">
        <f>IF($J4="","",IF(SUMPRODUCT(MAX(($A$3:$A$500=$J4)*ROW($A$3:$A$500)))=0,"",INDEX($B:$B,SUMPRODUCT(MAX(($A$3:$A$500=$J4)*ROW($A$3:$A$500))))))</f>
        <v/>
      </c>
      <c r="M4" s="4">
        <f>IF($J4="","",IF(SUMPRODUCT(MAX(($A$3:$A$500=$J4)*ROW($A$3:$A$500)))=0,"",INDEX($C:$C,SUMPRODUCT(MAX(($A$3:$A$500=$J4)*ROW($A$3:$A$500))))))</f>
        <v/>
      </c>
      <c r="N4" s="4">
        <f>IF($J4="","",IF(SUMPRODUCT(MAX(($A$3:$A$500=$J4)*ROW($A$3:$A$500)))=0,"",INDEX($D:$D,SUMPRODUCT(MAX(($A$3:$A$500=$J4)*ROW($A$3:$A$500))))))</f>
        <v/>
      </c>
    </row>
    <row r="5">
      <c r="A5" s="4" t="n"/>
      <c r="B5" s="4" t="n"/>
      <c r="C5" s="4" t="n"/>
      <c r="D5" s="4" t="n"/>
      <c r="E5" s="4" t="n"/>
      <c r="F5" s="4" t="n"/>
      <c r="G5" s="4" t="n"/>
      <c r="J5" s="4">
        <f>'Combined Delivery Data'!B4</f>
        <v/>
      </c>
      <c r="K5" s="4">
        <f>IF($J5="","",COUNTIF($A$3:$A$500,$J5))</f>
        <v/>
      </c>
      <c r="L5" s="5">
        <f>IF($J5="","",IF(SUMPRODUCT(MAX(($A$3:$A$500=$J5)*ROW($A$3:$A$500)))=0,"",INDEX($B:$B,SUMPRODUCT(MAX(($A$3:$A$500=$J5)*ROW($A$3:$A$500))))))</f>
        <v/>
      </c>
      <c r="M5" s="4">
        <f>IF($J5="","",IF(SUMPRODUCT(MAX(($A$3:$A$500=$J5)*ROW($A$3:$A$500)))=0,"",INDEX($C:$C,SUMPRODUCT(MAX(($A$3:$A$500=$J5)*ROW($A$3:$A$500))))))</f>
        <v/>
      </c>
      <c r="N5" s="4">
        <f>IF($J5="","",IF(SUMPRODUCT(MAX(($A$3:$A$500=$J5)*ROW($A$3:$A$500)))=0,"",INDEX($D:$D,SUMPRODUCT(MAX(($A$3:$A$500=$J5)*ROW($A$3:$A$500))))))</f>
        <v/>
      </c>
    </row>
    <row r="6">
      <c r="A6" s="4" t="n"/>
      <c r="B6" s="4" t="n"/>
      <c r="C6" s="4" t="n"/>
      <c r="D6" s="4" t="n"/>
      <c r="E6" s="4" t="n"/>
      <c r="F6" s="4" t="n"/>
      <c r="G6" s="4" t="n"/>
      <c r="J6" s="4">
        <f>'Combined Delivery Data'!B5</f>
        <v/>
      </c>
      <c r="K6" s="4">
        <f>IF($J6="","",COUNTIF($A$3:$A$500,$J6))</f>
        <v/>
      </c>
      <c r="L6" s="5">
        <f>IF($J6="","",IF(SUMPRODUCT(MAX(($A$3:$A$500=$J6)*ROW($A$3:$A$500)))=0,"",INDEX($B:$B,SUMPRODUCT(MAX(($A$3:$A$500=$J6)*ROW($A$3:$A$500))))))</f>
        <v/>
      </c>
      <c r="M6" s="4">
        <f>IF($J6="","",IF(SUMPRODUCT(MAX(($A$3:$A$500=$J6)*ROW($A$3:$A$500)))=0,"",INDEX($C:$C,SUMPRODUCT(MAX(($A$3:$A$500=$J6)*ROW($A$3:$A$500))))))</f>
        <v/>
      </c>
      <c r="N6" s="4">
        <f>IF($J6="","",IF(SUMPRODUCT(MAX(($A$3:$A$500=$J6)*ROW($A$3:$A$500)))=0,"",INDEX($D:$D,SUMPRODUCT(MAX(($A$3:$A$500=$J6)*ROW($A$3:$A$500))))))</f>
        <v/>
      </c>
    </row>
    <row r="7">
      <c r="A7" s="4" t="n"/>
      <c r="B7" s="4" t="n"/>
      <c r="C7" s="4" t="n"/>
      <c r="D7" s="4" t="n"/>
      <c r="E7" s="4" t="n"/>
      <c r="F7" s="4" t="n"/>
      <c r="G7" s="4" t="n"/>
      <c r="J7" s="4">
        <f>'Combined Delivery Data'!B6</f>
        <v/>
      </c>
      <c r="K7" s="4">
        <f>IF($J7="","",COUNTIF($A$3:$A$500,$J7))</f>
        <v/>
      </c>
      <c r="L7" s="5">
        <f>IF($J7="","",IF(SUMPRODUCT(MAX(($A$3:$A$500=$J7)*ROW($A$3:$A$500)))=0,"",INDEX($B:$B,SUMPRODUCT(MAX(($A$3:$A$500=$J7)*ROW($A$3:$A$500))))))</f>
        <v/>
      </c>
      <c r="M7" s="4">
        <f>IF($J7="","",IF(SUMPRODUCT(MAX(($A$3:$A$500=$J7)*ROW($A$3:$A$500)))=0,"",INDEX($C:$C,SUMPRODUCT(MAX(($A$3:$A$500=$J7)*ROW($A$3:$A$500))))))</f>
        <v/>
      </c>
      <c r="N7" s="4">
        <f>IF($J7="","",IF(SUMPRODUCT(MAX(($A$3:$A$500=$J7)*ROW($A$3:$A$500)))=0,"",INDEX($D:$D,SUMPRODUCT(MAX(($A$3:$A$500=$J7)*ROW($A$3:$A$500))))))</f>
        <v/>
      </c>
    </row>
    <row r="8">
      <c r="A8" s="4" t="n"/>
      <c r="B8" s="4" t="n"/>
      <c r="C8" s="4" t="n"/>
      <c r="D8" s="4" t="n"/>
      <c r="E8" s="4" t="n"/>
      <c r="F8" s="4" t="n"/>
      <c r="G8" s="4" t="n"/>
      <c r="J8" s="4">
        <f>'Combined Delivery Data'!B7</f>
        <v/>
      </c>
      <c r="K8" s="4">
        <f>IF($J8="","",COUNTIF($A$3:$A$500,$J8))</f>
        <v/>
      </c>
      <c r="L8" s="5">
        <f>IF($J8="","",IF(SUMPRODUCT(MAX(($A$3:$A$500=$J8)*ROW($A$3:$A$500)))=0,"",INDEX($B:$B,SUMPRODUCT(MAX(($A$3:$A$500=$J8)*ROW($A$3:$A$500))))))</f>
        <v/>
      </c>
      <c r="M8" s="4">
        <f>IF($J8="","",IF(SUMPRODUCT(MAX(($A$3:$A$500=$J8)*ROW($A$3:$A$500)))=0,"",INDEX($C:$C,SUMPRODUCT(MAX(($A$3:$A$500=$J8)*ROW($A$3:$A$500))))))</f>
        <v/>
      </c>
      <c r="N8" s="4">
        <f>IF($J8="","",IF(SUMPRODUCT(MAX(($A$3:$A$500=$J8)*ROW($A$3:$A$500)))=0,"",INDEX($D:$D,SUMPRODUCT(MAX(($A$3:$A$500=$J8)*ROW($A$3:$A$500))))))</f>
        <v/>
      </c>
    </row>
    <row r="9">
      <c r="A9" s="4" t="n"/>
      <c r="B9" s="4" t="n"/>
      <c r="C9" s="4" t="n"/>
      <c r="D9" s="4" t="n"/>
      <c r="E9" s="4" t="n"/>
      <c r="F9" s="4" t="n"/>
      <c r="G9" s="4" t="n"/>
      <c r="J9" s="4">
        <f>'Combined Delivery Data'!B8</f>
        <v/>
      </c>
      <c r="K9" s="4">
        <f>IF($J9="","",COUNTIF($A$3:$A$500,$J9))</f>
        <v/>
      </c>
      <c r="L9" s="5">
        <f>IF($J9="","",IF(SUMPRODUCT(MAX(($A$3:$A$500=$J9)*ROW($A$3:$A$500)))=0,"",INDEX($B:$B,SUMPRODUCT(MAX(($A$3:$A$500=$J9)*ROW($A$3:$A$500))))))</f>
        <v/>
      </c>
      <c r="M9" s="4">
        <f>IF($J9="","",IF(SUMPRODUCT(MAX(($A$3:$A$500=$J9)*ROW($A$3:$A$500)))=0,"",INDEX($C:$C,SUMPRODUCT(MAX(($A$3:$A$500=$J9)*ROW($A$3:$A$500))))))</f>
        <v/>
      </c>
      <c r="N9" s="4">
        <f>IF($J9="","",IF(SUMPRODUCT(MAX(($A$3:$A$500=$J9)*ROW($A$3:$A$500)))=0,"",INDEX($D:$D,SUMPRODUCT(MAX(($A$3:$A$500=$J9)*ROW($A$3:$A$500))))))</f>
        <v/>
      </c>
    </row>
    <row r="10">
      <c r="A10" s="4" t="n"/>
      <c r="B10" s="4" t="n"/>
      <c r="C10" s="4" t="n"/>
      <c r="D10" s="4" t="n"/>
      <c r="E10" s="4" t="n"/>
      <c r="F10" s="4" t="n"/>
      <c r="G10" s="4" t="n"/>
      <c r="J10" s="4">
        <f>'Combined Delivery Data'!B9</f>
        <v/>
      </c>
      <c r="K10" s="4">
        <f>IF($J10="","",COUNTIF($A$3:$A$500,$J10))</f>
        <v/>
      </c>
      <c r="L10" s="5">
        <f>IF($J10="","",IF(SUMPRODUCT(MAX(($A$3:$A$500=$J10)*ROW($A$3:$A$500)))=0,"",INDEX($B:$B,SUMPRODUCT(MAX(($A$3:$A$500=$J10)*ROW($A$3:$A$500))))))</f>
        <v/>
      </c>
      <c r="M10" s="4">
        <f>IF($J10="","",IF(SUMPRODUCT(MAX(($A$3:$A$500=$J10)*ROW($A$3:$A$500)))=0,"",INDEX($C:$C,SUMPRODUCT(MAX(($A$3:$A$500=$J10)*ROW($A$3:$A$500))))))</f>
        <v/>
      </c>
      <c r="N10" s="4">
        <f>IF($J10="","",IF(SUMPRODUCT(MAX(($A$3:$A$500=$J10)*ROW($A$3:$A$500)))=0,"",INDEX($D:$D,SUMPRODUCT(MAX(($A$3:$A$500=$J10)*ROW($A$3:$A$500))))))</f>
        <v/>
      </c>
    </row>
    <row r="11">
      <c r="A11" s="4" t="n"/>
      <c r="B11" s="4" t="n"/>
      <c r="C11" s="4" t="n"/>
      <c r="D11" s="4" t="n"/>
      <c r="E11" s="4" t="n"/>
      <c r="F11" s="4" t="n"/>
      <c r="G11" s="4" t="n"/>
      <c r="J11" s="4">
        <f>'Combined Delivery Data'!B10</f>
        <v/>
      </c>
      <c r="K11" s="4">
        <f>IF($J11="","",COUNTIF($A$3:$A$500,$J11))</f>
        <v/>
      </c>
      <c r="L11" s="5">
        <f>IF($J11="","",IF(SUMPRODUCT(MAX(($A$3:$A$500=$J11)*ROW($A$3:$A$500)))=0,"",INDEX($B:$B,SUMPRODUCT(MAX(($A$3:$A$500=$J11)*ROW($A$3:$A$500))))))</f>
        <v/>
      </c>
      <c r="M11" s="4">
        <f>IF($J11="","",IF(SUMPRODUCT(MAX(($A$3:$A$500=$J11)*ROW($A$3:$A$500)))=0,"",INDEX($C:$C,SUMPRODUCT(MAX(($A$3:$A$500=$J11)*ROW($A$3:$A$500))))))</f>
        <v/>
      </c>
      <c r="N11" s="4">
        <f>IF($J11="","",IF(SUMPRODUCT(MAX(($A$3:$A$500=$J11)*ROW($A$3:$A$500)))=0,"",INDEX($D:$D,SUMPRODUCT(MAX(($A$3:$A$500=$J11)*ROW($A$3:$A$500))))))</f>
        <v/>
      </c>
    </row>
    <row r="12">
      <c r="A12" s="4" t="n"/>
      <c r="B12" s="4" t="n"/>
      <c r="C12" s="4" t="n"/>
      <c r="D12" s="4" t="n"/>
      <c r="E12" s="4" t="n"/>
      <c r="F12" s="4" t="n"/>
      <c r="G12" s="4" t="n"/>
      <c r="J12" s="4">
        <f>'Combined Delivery Data'!B11</f>
        <v/>
      </c>
      <c r="K12" s="4">
        <f>IF($J12="","",COUNTIF($A$3:$A$500,$J12))</f>
        <v/>
      </c>
      <c r="L12" s="5">
        <f>IF($J12="","",IF(SUMPRODUCT(MAX(($A$3:$A$500=$J12)*ROW($A$3:$A$500)))=0,"",INDEX($B:$B,SUMPRODUCT(MAX(($A$3:$A$500=$J12)*ROW($A$3:$A$500))))))</f>
        <v/>
      </c>
      <c r="M12" s="4">
        <f>IF($J12="","",IF(SUMPRODUCT(MAX(($A$3:$A$500=$J12)*ROW($A$3:$A$500)))=0,"",INDEX($C:$C,SUMPRODUCT(MAX(($A$3:$A$500=$J12)*ROW($A$3:$A$500))))))</f>
        <v/>
      </c>
      <c r="N12" s="4">
        <f>IF($J12="","",IF(SUMPRODUCT(MAX(($A$3:$A$500=$J12)*ROW($A$3:$A$500)))=0,"",INDEX($D:$D,SUMPRODUCT(MAX(($A$3:$A$500=$J12)*ROW($A$3:$A$500))))))</f>
        <v/>
      </c>
    </row>
    <row r="13">
      <c r="A13" s="4" t="n"/>
      <c r="B13" s="4" t="n"/>
      <c r="C13" s="4" t="n"/>
      <c r="D13" s="4" t="n"/>
      <c r="E13" s="4" t="n"/>
      <c r="F13" s="4" t="n"/>
      <c r="G13" s="4" t="n"/>
      <c r="J13" s="4">
        <f>'Combined Delivery Data'!B12</f>
        <v/>
      </c>
      <c r="K13" s="4">
        <f>IF($J13="","",COUNTIF($A$3:$A$500,$J13))</f>
        <v/>
      </c>
      <c r="L13" s="5">
        <f>IF($J13="","",IF(SUMPRODUCT(MAX(($A$3:$A$500=$J13)*ROW($A$3:$A$500)))=0,"",INDEX($B:$B,SUMPRODUCT(MAX(($A$3:$A$500=$J13)*ROW($A$3:$A$500))))))</f>
        <v/>
      </c>
      <c r="M13" s="4">
        <f>IF($J13="","",IF(SUMPRODUCT(MAX(($A$3:$A$500=$J13)*ROW($A$3:$A$500)))=0,"",INDEX($C:$C,SUMPRODUCT(MAX(($A$3:$A$500=$J13)*ROW($A$3:$A$500))))))</f>
        <v/>
      </c>
      <c r="N13" s="4">
        <f>IF($J13="","",IF(SUMPRODUCT(MAX(($A$3:$A$500=$J13)*ROW($A$3:$A$500)))=0,"",INDEX($D:$D,SUMPRODUCT(MAX(($A$3:$A$500=$J13)*ROW($A$3:$A$500))))))</f>
        <v/>
      </c>
    </row>
    <row r="14">
      <c r="A14" s="4" t="n"/>
      <c r="B14" s="4" t="n"/>
      <c r="C14" s="4" t="n"/>
      <c r="D14" s="4" t="n"/>
      <c r="E14" s="4" t="n"/>
      <c r="F14" s="4" t="n"/>
      <c r="G14" s="4" t="n"/>
      <c r="J14" s="4">
        <f>'Combined Delivery Data'!B13</f>
        <v/>
      </c>
      <c r="K14" s="4">
        <f>IF($J14="","",COUNTIF($A$3:$A$500,$J14))</f>
        <v/>
      </c>
      <c r="L14" s="5">
        <f>IF($J14="","",IF(SUMPRODUCT(MAX(($A$3:$A$500=$J14)*ROW($A$3:$A$500)))=0,"",INDEX($B:$B,SUMPRODUCT(MAX(($A$3:$A$500=$J14)*ROW($A$3:$A$500))))))</f>
        <v/>
      </c>
      <c r="M14" s="4">
        <f>IF($J14="","",IF(SUMPRODUCT(MAX(($A$3:$A$500=$J14)*ROW($A$3:$A$500)))=0,"",INDEX($C:$C,SUMPRODUCT(MAX(($A$3:$A$500=$J14)*ROW($A$3:$A$500))))))</f>
        <v/>
      </c>
      <c r="N14" s="4">
        <f>IF($J14="","",IF(SUMPRODUCT(MAX(($A$3:$A$500=$J14)*ROW($A$3:$A$500)))=0,"",INDEX($D:$D,SUMPRODUCT(MAX(($A$3:$A$500=$J14)*ROW($A$3:$A$500))))))</f>
        <v/>
      </c>
    </row>
    <row r="15">
      <c r="A15" s="4" t="n"/>
      <c r="B15" s="4" t="n"/>
      <c r="C15" s="4" t="n"/>
      <c r="D15" s="4" t="n"/>
      <c r="E15" s="4" t="n"/>
      <c r="F15" s="4" t="n"/>
      <c r="G15" s="4" t="n"/>
      <c r="J15" s="4">
        <f>'Combined Delivery Data'!B14</f>
        <v/>
      </c>
      <c r="K15" s="4">
        <f>IF($J15="","",COUNTIF($A$3:$A$500,$J15))</f>
        <v/>
      </c>
      <c r="L15" s="5">
        <f>IF($J15="","",IF(SUMPRODUCT(MAX(($A$3:$A$500=$J15)*ROW($A$3:$A$500)))=0,"",INDEX($B:$B,SUMPRODUCT(MAX(($A$3:$A$500=$J15)*ROW($A$3:$A$500))))))</f>
        <v/>
      </c>
      <c r="M15" s="4">
        <f>IF($J15="","",IF(SUMPRODUCT(MAX(($A$3:$A$500=$J15)*ROW($A$3:$A$500)))=0,"",INDEX($C:$C,SUMPRODUCT(MAX(($A$3:$A$500=$J15)*ROW($A$3:$A$500))))))</f>
        <v/>
      </c>
      <c r="N15" s="4">
        <f>IF($J15="","",IF(SUMPRODUCT(MAX(($A$3:$A$500=$J15)*ROW($A$3:$A$500)))=0,"",INDEX($D:$D,SUMPRODUCT(MAX(($A$3:$A$500=$J15)*ROW($A$3:$A$500))))))</f>
        <v/>
      </c>
    </row>
    <row r="16">
      <c r="A16" s="4" t="n"/>
      <c r="B16" s="4" t="n"/>
      <c r="C16" s="4" t="n"/>
      <c r="D16" s="4" t="n"/>
      <c r="E16" s="4" t="n"/>
      <c r="F16" s="4" t="n"/>
      <c r="G16" s="4" t="n"/>
      <c r="J16" s="4">
        <f>'Combined Delivery Data'!B15</f>
        <v/>
      </c>
      <c r="K16" s="4">
        <f>IF($J16="","",COUNTIF($A$3:$A$500,$J16))</f>
        <v/>
      </c>
      <c r="L16" s="5">
        <f>IF($J16="","",IF(SUMPRODUCT(MAX(($A$3:$A$500=$J16)*ROW($A$3:$A$500)))=0,"",INDEX($B:$B,SUMPRODUCT(MAX(($A$3:$A$500=$J16)*ROW($A$3:$A$500))))))</f>
        <v/>
      </c>
      <c r="M16" s="4">
        <f>IF($J16="","",IF(SUMPRODUCT(MAX(($A$3:$A$500=$J16)*ROW($A$3:$A$500)))=0,"",INDEX($C:$C,SUMPRODUCT(MAX(($A$3:$A$500=$J16)*ROW($A$3:$A$500))))))</f>
        <v/>
      </c>
      <c r="N16" s="4">
        <f>IF($J16="","",IF(SUMPRODUCT(MAX(($A$3:$A$500=$J16)*ROW($A$3:$A$500)))=0,"",INDEX($D:$D,SUMPRODUCT(MAX(($A$3:$A$500=$J16)*ROW($A$3:$A$500))))))</f>
        <v/>
      </c>
    </row>
    <row r="17">
      <c r="A17" s="4" t="n"/>
      <c r="B17" s="4" t="n"/>
      <c r="C17" s="4" t="n"/>
      <c r="D17" s="4" t="n"/>
      <c r="E17" s="4" t="n"/>
      <c r="F17" s="4" t="n"/>
      <c r="G17" s="4" t="n"/>
      <c r="J17" s="4">
        <f>'Combined Delivery Data'!B16</f>
        <v/>
      </c>
      <c r="K17" s="4">
        <f>IF($J17="","",COUNTIF($A$3:$A$500,$J17))</f>
        <v/>
      </c>
      <c r="L17" s="5">
        <f>IF($J17="","",IF(SUMPRODUCT(MAX(($A$3:$A$500=$J17)*ROW($A$3:$A$500)))=0,"",INDEX($B:$B,SUMPRODUCT(MAX(($A$3:$A$500=$J17)*ROW($A$3:$A$500))))))</f>
        <v/>
      </c>
      <c r="M17" s="4">
        <f>IF($J17="","",IF(SUMPRODUCT(MAX(($A$3:$A$500=$J17)*ROW($A$3:$A$500)))=0,"",INDEX($C:$C,SUMPRODUCT(MAX(($A$3:$A$500=$J17)*ROW($A$3:$A$500))))))</f>
        <v/>
      </c>
      <c r="N17" s="4">
        <f>IF($J17="","",IF(SUMPRODUCT(MAX(($A$3:$A$500=$J17)*ROW($A$3:$A$500)))=0,"",INDEX($D:$D,SUMPRODUCT(MAX(($A$3:$A$500=$J17)*ROW($A$3:$A$500))))))</f>
        <v/>
      </c>
    </row>
    <row r="18">
      <c r="A18" s="4" t="n"/>
      <c r="B18" s="4" t="n"/>
      <c r="C18" s="4" t="n"/>
      <c r="D18" s="4" t="n"/>
      <c r="E18" s="4" t="n"/>
      <c r="F18" s="4" t="n"/>
      <c r="G18" s="4" t="n"/>
      <c r="J18" s="4">
        <f>'Combined Delivery Data'!B17</f>
        <v/>
      </c>
      <c r="K18" s="4">
        <f>IF($J18="","",COUNTIF($A$3:$A$500,$J18))</f>
        <v/>
      </c>
      <c r="L18" s="5">
        <f>IF($J18="","",IF(SUMPRODUCT(MAX(($A$3:$A$500=$J18)*ROW($A$3:$A$500)))=0,"",INDEX($B:$B,SUMPRODUCT(MAX(($A$3:$A$500=$J18)*ROW($A$3:$A$500))))))</f>
        <v/>
      </c>
      <c r="M18" s="4">
        <f>IF($J18="","",IF(SUMPRODUCT(MAX(($A$3:$A$500=$J18)*ROW($A$3:$A$500)))=0,"",INDEX($C:$C,SUMPRODUCT(MAX(($A$3:$A$500=$J18)*ROW($A$3:$A$500))))))</f>
        <v/>
      </c>
      <c r="N18" s="4">
        <f>IF($J18="","",IF(SUMPRODUCT(MAX(($A$3:$A$500=$J18)*ROW($A$3:$A$500)))=0,"",INDEX($D:$D,SUMPRODUCT(MAX(($A$3:$A$500=$J18)*ROW($A$3:$A$500))))))</f>
        <v/>
      </c>
    </row>
    <row r="19">
      <c r="A19" s="4" t="n"/>
      <c r="B19" s="4" t="n"/>
      <c r="C19" s="4" t="n"/>
      <c r="D19" s="4" t="n"/>
      <c r="E19" s="4" t="n"/>
      <c r="F19" s="4" t="n"/>
      <c r="G19" s="4" t="n"/>
      <c r="J19" s="4">
        <f>'Combined Delivery Data'!B18</f>
        <v/>
      </c>
      <c r="K19" s="4">
        <f>IF($J19="","",COUNTIF($A$3:$A$500,$J19))</f>
        <v/>
      </c>
      <c r="L19" s="5">
        <f>IF($J19="","",IF(SUMPRODUCT(MAX(($A$3:$A$500=$J19)*ROW($A$3:$A$500)))=0,"",INDEX($B:$B,SUMPRODUCT(MAX(($A$3:$A$500=$J19)*ROW($A$3:$A$500))))))</f>
        <v/>
      </c>
      <c r="M19" s="4">
        <f>IF($J19="","",IF(SUMPRODUCT(MAX(($A$3:$A$500=$J19)*ROW($A$3:$A$500)))=0,"",INDEX($C:$C,SUMPRODUCT(MAX(($A$3:$A$500=$J19)*ROW($A$3:$A$500))))))</f>
        <v/>
      </c>
      <c r="N19" s="4">
        <f>IF($J19="","",IF(SUMPRODUCT(MAX(($A$3:$A$500=$J19)*ROW($A$3:$A$500)))=0,"",INDEX($D:$D,SUMPRODUCT(MAX(($A$3:$A$500=$J19)*ROW($A$3:$A$500))))))</f>
        <v/>
      </c>
    </row>
    <row r="20">
      <c r="A20" s="4" t="n"/>
      <c r="B20" s="4" t="n"/>
      <c r="C20" s="4" t="n"/>
      <c r="D20" s="4" t="n"/>
      <c r="E20" s="4" t="n"/>
      <c r="F20" s="4" t="n"/>
      <c r="G20" s="4" t="n"/>
      <c r="J20" s="4">
        <f>'Combined Delivery Data'!B19</f>
        <v/>
      </c>
      <c r="K20" s="4">
        <f>IF($J20="","",COUNTIF($A$3:$A$500,$J20))</f>
        <v/>
      </c>
      <c r="L20" s="5">
        <f>IF($J20="","",IF(SUMPRODUCT(MAX(($A$3:$A$500=$J20)*ROW($A$3:$A$500)))=0,"",INDEX($B:$B,SUMPRODUCT(MAX(($A$3:$A$500=$J20)*ROW($A$3:$A$500))))))</f>
        <v/>
      </c>
      <c r="M20" s="4">
        <f>IF($J20="","",IF(SUMPRODUCT(MAX(($A$3:$A$500=$J20)*ROW($A$3:$A$500)))=0,"",INDEX($C:$C,SUMPRODUCT(MAX(($A$3:$A$500=$J20)*ROW($A$3:$A$500))))))</f>
        <v/>
      </c>
      <c r="N20" s="4">
        <f>IF($J20="","",IF(SUMPRODUCT(MAX(($A$3:$A$500=$J20)*ROW($A$3:$A$500)))=0,"",INDEX($D:$D,SUMPRODUCT(MAX(($A$3:$A$500=$J20)*ROW($A$3:$A$500))))))</f>
        <v/>
      </c>
    </row>
    <row r="21">
      <c r="A21" s="4" t="n"/>
      <c r="B21" s="4" t="n"/>
      <c r="C21" s="4" t="n"/>
      <c r="D21" s="4" t="n"/>
      <c r="E21" s="4" t="n"/>
      <c r="F21" s="4" t="n"/>
      <c r="G21" s="4" t="n"/>
      <c r="J21" s="4">
        <f>'Combined Delivery Data'!B20</f>
        <v/>
      </c>
      <c r="K21" s="4">
        <f>IF($J21="","",COUNTIF($A$3:$A$500,$J21))</f>
        <v/>
      </c>
      <c r="L21" s="5">
        <f>IF($J21="","",IF(SUMPRODUCT(MAX(($A$3:$A$500=$J21)*ROW($A$3:$A$500)))=0,"",INDEX($B:$B,SUMPRODUCT(MAX(($A$3:$A$500=$J21)*ROW($A$3:$A$500))))))</f>
        <v/>
      </c>
      <c r="M21" s="4">
        <f>IF($J21="","",IF(SUMPRODUCT(MAX(($A$3:$A$500=$J21)*ROW($A$3:$A$500)))=0,"",INDEX($C:$C,SUMPRODUCT(MAX(($A$3:$A$500=$J21)*ROW($A$3:$A$500))))))</f>
        <v/>
      </c>
      <c r="N21" s="4">
        <f>IF($J21="","",IF(SUMPRODUCT(MAX(($A$3:$A$500=$J21)*ROW($A$3:$A$500)))=0,"",INDEX($D:$D,SUMPRODUCT(MAX(($A$3:$A$500=$J21)*ROW($A$3:$A$500))))))</f>
        <v/>
      </c>
    </row>
    <row r="22">
      <c r="A22" s="4" t="n"/>
      <c r="B22" s="4" t="n"/>
      <c r="C22" s="4" t="n"/>
      <c r="D22" s="4" t="n"/>
      <c r="E22" s="4" t="n"/>
      <c r="F22" s="4" t="n"/>
      <c r="G22" s="4" t="n"/>
      <c r="J22" s="4">
        <f>'Combined Delivery Data'!B21</f>
        <v/>
      </c>
      <c r="K22" s="4">
        <f>IF($J22="","",COUNTIF($A$3:$A$500,$J22))</f>
        <v/>
      </c>
      <c r="L22" s="5">
        <f>IF($J22="","",IF(SUMPRODUCT(MAX(($A$3:$A$500=$J22)*ROW($A$3:$A$500)))=0,"",INDEX($B:$B,SUMPRODUCT(MAX(($A$3:$A$500=$J22)*ROW($A$3:$A$500))))))</f>
        <v/>
      </c>
      <c r="M22" s="4">
        <f>IF($J22="","",IF(SUMPRODUCT(MAX(($A$3:$A$500=$J22)*ROW($A$3:$A$500)))=0,"",INDEX($C:$C,SUMPRODUCT(MAX(($A$3:$A$500=$J22)*ROW($A$3:$A$500))))))</f>
        <v/>
      </c>
      <c r="N22" s="4">
        <f>IF($J22="","",IF(SUMPRODUCT(MAX(($A$3:$A$500=$J22)*ROW($A$3:$A$500)))=0,"",INDEX($D:$D,SUMPRODUCT(MAX(($A$3:$A$500=$J22)*ROW($A$3:$A$500))))))</f>
        <v/>
      </c>
    </row>
    <row r="23">
      <c r="A23" s="4" t="n"/>
      <c r="B23" s="4" t="n"/>
      <c r="C23" s="4" t="n"/>
      <c r="D23" s="4" t="n"/>
      <c r="E23" s="4" t="n"/>
      <c r="F23" s="4" t="n"/>
      <c r="G23" s="4" t="n"/>
      <c r="J23" s="4">
        <f>'Combined Delivery Data'!B22</f>
        <v/>
      </c>
      <c r="K23" s="4">
        <f>IF($J23="","",COUNTIF($A$3:$A$500,$J23))</f>
        <v/>
      </c>
      <c r="L23" s="5">
        <f>IF($J23="","",IF(SUMPRODUCT(MAX(($A$3:$A$500=$J23)*ROW($A$3:$A$500)))=0,"",INDEX($B:$B,SUMPRODUCT(MAX(($A$3:$A$500=$J23)*ROW($A$3:$A$500))))))</f>
        <v/>
      </c>
      <c r="M23" s="4">
        <f>IF($J23="","",IF(SUMPRODUCT(MAX(($A$3:$A$500=$J23)*ROW($A$3:$A$500)))=0,"",INDEX($C:$C,SUMPRODUCT(MAX(($A$3:$A$500=$J23)*ROW($A$3:$A$500))))))</f>
        <v/>
      </c>
      <c r="N23" s="4">
        <f>IF($J23="","",IF(SUMPRODUCT(MAX(($A$3:$A$500=$J23)*ROW($A$3:$A$500)))=0,"",INDEX($D:$D,SUMPRODUCT(MAX(($A$3:$A$500=$J23)*ROW($A$3:$A$500))))))</f>
        <v/>
      </c>
    </row>
    <row r="24">
      <c r="A24" s="4" t="n"/>
      <c r="B24" s="4" t="n"/>
      <c r="C24" s="4" t="n"/>
      <c r="D24" s="4" t="n"/>
      <c r="E24" s="4" t="n"/>
      <c r="F24" s="4" t="n"/>
      <c r="G24" s="4" t="n"/>
      <c r="J24" s="4">
        <f>'Combined Delivery Data'!B23</f>
        <v/>
      </c>
      <c r="K24" s="4">
        <f>IF($J24="","",COUNTIF($A$3:$A$500,$J24))</f>
        <v/>
      </c>
      <c r="L24" s="5">
        <f>IF($J24="","",IF(SUMPRODUCT(MAX(($A$3:$A$500=$J24)*ROW($A$3:$A$500)))=0,"",INDEX($B:$B,SUMPRODUCT(MAX(($A$3:$A$500=$J24)*ROW($A$3:$A$500))))))</f>
        <v/>
      </c>
      <c r="M24" s="4">
        <f>IF($J24="","",IF(SUMPRODUCT(MAX(($A$3:$A$500=$J24)*ROW($A$3:$A$500)))=0,"",INDEX($C:$C,SUMPRODUCT(MAX(($A$3:$A$500=$J24)*ROW($A$3:$A$500))))))</f>
        <v/>
      </c>
      <c r="N24" s="4">
        <f>IF($J24="","",IF(SUMPRODUCT(MAX(($A$3:$A$500=$J24)*ROW($A$3:$A$500)))=0,"",INDEX($D:$D,SUMPRODUCT(MAX(($A$3:$A$500=$J24)*ROW($A$3:$A$500))))))</f>
        <v/>
      </c>
    </row>
    <row r="25">
      <c r="A25" s="4" t="n"/>
      <c r="B25" s="4" t="n"/>
      <c r="C25" s="4" t="n"/>
      <c r="D25" s="4" t="n"/>
      <c r="E25" s="4" t="n"/>
      <c r="F25" s="4" t="n"/>
      <c r="G25" s="4" t="n"/>
      <c r="J25" s="4">
        <f>'Combined Delivery Data'!B24</f>
        <v/>
      </c>
      <c r="K25" s="4">
        <f>IF($J25="","",COUNTIF($A$3:$A$500,$J25))</f>
        <v/>
      </c>
      <c r="L25" s="5">
        <f>IF($J25="","",IF(SUMPRODUCT(MAX(($A$3:$A$500=$J25)*ROW($A$3:$A$500)))=0,"",INDEX($B:$B,SUMPRODUCT(MAX(($A$3:$A$500=$J25)*ROW($A$3:$A$500))))))</f>
        <v/>
      </c>
      <c r="M25" s="4">
        <f>IF($J25="","",IF(SUMPRODUCT(MAX(($A$3:$A$500=$J25)*ROW($A$3:$A$500)))=0,"",INDEX($C:$C,SUMPRODUCT(MAX(($A$3:$A$500=$J25)*ROW($A$3:$A$500))))))</f>
        <v/>
      </c>
      <c r="N25" s="4">
        <f>IF($J25="","",IF(SUMPRODUCT(MAX(($A$3:$A$500=$J25)*ROW($A$3:$A$500)))=0,"",INDEX($D:$D,SUMPRODUCT(MAX(($A$3:$A$500=$J25)*ROW($A$3:$A$500))))))</f>
        <v/>
      </c>
    </row>
    <row r="26">
      <c r="A26" s="4" t="n"/>
      <c r="B26" s="4" t="n"/>
      <c r="C26" s="4" t="n"/>
      <c r="D26" s="4" t="n"/>
      <c r="E26" s="4" t="n"/>
      <c r="F26" s="4" t="n"/>
      <c r="G26" s="4" t="n"/>
      <c r="J26" s="4">
        <f>'Combined Delivery Data'!B25</f>
        <v/>
      </c>
      <c r="K26" s="4">
        <f>IF($J26="","",COUNTIF($A$3:$A$500,$J26))</f>
        <v/>
      </c>
      <c r="L26" s="5">
        <f>IF($J26="","",IF(SUMPRODUCT(MAX(($A$3:$A$500=$J26)*ROW($A$3:$A$500)))=0,"",INDEX($B:$B,SUMPRODUCT(MAX(($A$3:$A$500=$J26)*ROW($A$3:$A$500))))))</f>
        <v/>
      </c>
      <c r="M26" s="4">
        <f>IF($J26="","",IF(SUMPRODUCT(MAX(($A$3:$A$500=$J26)*ROW($A$3:$A$500)))=0,"",INDEX($C:$C,SUMPRODUCT(MAX(($A$3:$A$500=$J26)*ROW($A$3:$A$500))))))</f>
        <v/>
      </c>
      <c r="N26" s="4">
        <f>IF($J26="","",IF(SUMPRODUCT(MAX(($A$3:$A$500=$J26)*ROW($A$3:$A$500)))=0,"",INDEX($D:$D,SUMPRODUCT(MAX(($A$3:$A$500=$J26)*ROW($A$3:$A$500))))))</f>
        <v/>
      </c>
    </row>
    <row r="27">
      <c r="A27" s="4" t="n"/>
      <c r="B27" s="4" t="n"/>
      <c r="C27" s="4" t="n"/>
      <c r="D27" s="4" t="n"/>
      <c r="E27" s="4" t="n"/>
      <c r="F27" s="4" t="n"/>
      <c r="G27" s="4" t="n"/>
      <c r="J27" s="4">
        <f>'Combined Delivery Data'!B26</f>
        <v/>
      </c>
      <c r="K27" s="4">
        <f>IF($J27="","",COUNTIF($A$3:$A$500,$J27))</f>
        <v/>
      </c>
      <c r="L27" s="5">
        <f>IF($J27="","",IF(SUMPRODUCT(MAX(($A$3:$A$500=$J27)*ROW($A$3:$A$500)))=0,"",INDEX($B:$B,SUMPRODUCT(MAX(($A$3:$A$500=$J27)*ROW($A$3:$A$500))))))</f>
        <v/>
      </c>
      <c r="M27" s="4">
        <f>IF($J27="","",IF(SUMPRODUCT(MAX(($A$3:$A$500=$J27)*ROW($A$3:$A$500)))=0,"",INDEX($C:$C,SUMPRODUCT(MAX(($A$3:$A$500=$J27)*ROW($A$3:$A$500))))))</f>
        <v/>
      </c>
      <c r="N27" s="4">
        <f>IF($J27="","",IF(SUMPRODUCT(MAX(($A$3:$A$500=$J27)*ROW($A$3:$A$500)))=0,"",INDEX($D:$D,SUMPRODUCT(MAX(($A$3:$A$500=$J27)*ROW($A$3:$A$500))))))</f>
        <v/>
      </c>
    </row>
    <row r="28">
      <c r="A28" s="4" t="n"/>
      <c r="B28" s="4" t="n"/>
      <c r="C28" s="4" t="n"/>
      <c r="D28" s="4" t="n"/>
      <c r="E28" s="4" t="n"/>
      <c r="F28" s="4" t="n"/>
      <c r="G28" s="4" t="n"/>
      <c r="J28" s="4">
        <f>'Combined Delivery Data'!B27</f>
        <v/>
      </c>
      <c r="K28" s="4">
        <f>IF($J28="","",COUNTIF($A$3:$A$500,$J28))</f>
        <v/>
      </c>
      <c r="L28" s="5">
        <f>IF($J28="","",IF(SUMPRODUCT(MAX(($A$3:$A$500=$J28)*ROW($A$3:$A$500)))=0,"",INDEX($B:$B,SUMPRODUCT(MAX(($A$3:$A$500=$J28)*ROW($A$3:$A$500))))))</f>
        <v/>
      </c>
      <c r="M28" s="4">
        <f>IF($J28="","",IF(SUMPRODUCT(MAX(($A$3:$A$500=$J28)*ROW($A$3:$A$500)))=0,"",INDEX($C:$C,SUMPRODUCT(MAX(($A$3:$A$500=$J28)*ROW($A$3:$A$500))))))</f>
        <v/>
      </c>
      <c r="N28" s="4">
        <f>IF($J28="","",IF(SUMPRODUCT(MAX(($A$3:$A$500=$J28)*ROW($A$3:$A$500)))=0,"",INDEX($D:$D,SUMPRODUCT(MAX(($A$3:$A$500=$J28)*ROW($A$3:$A$500))))))</f>
        <v/>
      </c>
    </row>
    <row r="29">
      <c r="A29" s="4" t="n"/>
      <c r="B29" s="4" t="n"/>
      <c r="C29" s="4" t="n"/>
      <c r="D29" s="4" t="n"/>
      <c r="E29" s="4" t="n"/>
      <c r="F29" s="4" t="n"/>
      <c r="G29" s="4" t="n"/>
      <c r="J29" s="4">
        <f>'Combined Delivery Data'!B28</f>
        <v/>
      </c>
      <c r="K29" s="4">
        <f>IF($J29="","",COUNTIF($A$3:$A$500,$J29))</f>
        <v/>
      </c>
      <c r="L29" s="5">
        <f>IF($J29="","",IF(SUMPRODUCT(MAX(($A$3:$A$500=$J29)*ROW($A$3:$A$500)))=0,"",INDEX($B:$B,SUMPRODUCT(MAX(($A$3:$A$500=$J29)*ROW($A$3:$A$500))))))</f>
        <v/>
      </c>
      <c r="M29" s="4">
        <f>IF($J29="","",IF(SUMPRODUCT(MAX(($A$3:$A$500=$J29)*ROW($A$3:$A$500)))=0,"",INDEX($C:$C,SUMPRODUCT(MAX(($A$3:$A$500=$J29)*ROW($A$3:$A$500))))))</f>
        <v/>
      </c>
      <c r="N29" s="4">
        <f>IF($J29="","",IF(SUMPRODUCT(MAX(($A$3:$A$500=$J29)*ROW($A$3:$A$500)))=0,"",INDEX($D:$D,SUMPRODUCT(MAX(($A$3:$A$500=$J29)*ROW($A$3:$A$500))))))</f>
        <v/>
      </c>
    </row>
    <row r="30">
      <c r="A30" s="4" t="n"/>
      <c r="B30" s="4" t="n"/>
      <c r="C30" s="4" t="n"/>
      <c r="D30" s="4" t="n"/>
      <c r="E30" s="4" t="n"/>
      <c r="F30" s="4" t="n"/>
      <c r="G30" s="4" t="n"/>
      <c r="J30" s="4">
        <f>'Combined Delivery Data'!B29</f>
        <v/>
      </c>
      <c r="K30" s="4">
        <f>IF($J30="","",COUNTIF($A$3:$A$500,$J30))</f>
        <v/>
      </c>
      <c r="L30" s="5">
        <f>IF($J30="","",IF(SUMPRODUCT(MAX(($A$3:$A$500=$J30)*ROW($A$3:$A$500)))=0,"",INDEX($B:$B,SUMPRODUCT(MAX(($A$3:$A$500=$J30)*ROW($A$3:$A$500))))))</f>
        <v/>
      </c>
      <c r="M30" s="4">
        <f>IF($J30="","",IF(SUMPRODUCT(MAX(($A$3:$A$500=$J30)*ROW($A$3:$A$500)))=0,"",INDEX($C:$C,SUMPRODUCT(MAX(($A$3:$A$500=$J30)*ROW($A$3:$A$500))))))</f>
        <v/>
      </c>
      <c r="N30" s="4">
        <f>IF($J30="","",IF(SUMPRODUCT(MAX(($A$3:$A$500=$J30)*ROW($A$3:$A$500)))=0,"",INDEX($D:$D,SUMPRODUCT(MAX(($A$3:$A$500=$J30)*ROW($A$3:$A$500))))))</f>
        <v/>
      </c>
    </row>
    <row r="31">
      <c r="A31" s="4" t="n"/>
      <c r="B31" s="4" t="n"/>
      <c r="C31" s="4" t="n"/>
      <c r="D31" s="4" t="n"/>
      <c r="E31" s="4" t="n"/>
      <c r="F31" s="4" t="n"/>
      <c r="G31" s="4" t="n"/>
      <c r="J31" s="4">
        <f>'Combined Delivery Data'!B30</f>
        <v/>
      </c>
      <c r="K31" s="4">
        <f>IF($J31="","",COUNTIF($A$3:$A$500,$J31))</f>
        <v/>
      </c>
      <c r="L31" s="5">
        <f>IF($J31="","",IF(SUMPRODUCT(MAX(($A$3:$A$500=$J31)*ROW($A$3:$A$500)))=0,"",INDEX($B:$B,SUMPRODUCT(MAX(($A$3:$A$500=$J31)*ROW($A$3:$A$500))))))</f>
        <v/>
      </c>
      <c r="M31" s="4">
        <f>IF($J31="","",IF(SUMPRODUCT(MAX(($A$3:$A$500=$J31)*ROW($A$3:$A$500)))=0,"",INDEX($C:$C,SUMPRODUCT(MAX(($A$3:$A$500=$J31)*ROW($A$3:$A$500))))))</f>
        <v/>
      </c>
      <c r="N31" s="4">
        <f>IF($J31="","",IF(SUMPRODUCT(MAX(($A$3:$A$500=$J31)*ROW($A$3:$A$500)))=0,"",INDEX($D:$D,SUMPRODUCT(MAX(($A$3:$A$500=$J31)*ROW($A$3:$A$500))))))</f>
        <v/>
      </c>
    </row>
    <row r="32">
      <c r="A32" s="4" t="n"/>
      <c r="B32" s="4" t="n"/>
      <c r="C32" s="4" t="n"/>
      <c r="D32" s="4" t="n"/>
      <c r="E32" s="4" t="n"/>
      <c r="F32" s="4" t="n"/>
      <c r="G32" s="4" t="n"/>
      <c r="J32" s="4">
        <f>'Combined Delivery Data'!B31</f>
        <v/>
      </c>
      <c r="K32" s="4">
        <f>IF($J32="","",COUNTIF($A$3:$A$500,$J32))</f>
        <v/>
      </c>
      <c r="L32" s="5">
        <f>IF($J32="","",IF(SUMPRODUCT(MAX(($A$3:$A$500=$J32)*ROW($A$3:$A$500)))=0,"",INDEX($B:$B,SUMPRODUCT(MAX(($A$3:$A$500=$J32)*ROW($A$3:$A$500))))))</f>
        <v/>
      </c>
      <c r="M32" s="4">
        <f>IF($J32="","",IF(SUMPRODUCT(MAX(($A$3:$A$500=$J32)*ROW($A$3:$A$500)))=0,"",INDEX($C:$C,SUMPRODUCT(MAX(($A$3:$A$500=$J32)*ROW($A$3:$A$500))))))</f>
        <v/>
      </c>
      <c r="N32" s="4">
        <f>IF($J32="","",IF(SUMPRODUCT(MAX(($A$3:$A$500=$J32)*ROW($A$3:$A$500)))=0,"",INDEX($D:$D,SUMPRODUCT(MAX(($A$3:$A$500=$J32)*ROW($A$3:$A$500))))))</f>
        <v/>
      </c>
    </row>
    <row r="33">
      <c r="A33" s="4" t="n"/>
      <c r="B33" s="4" t="n"/>
      <c r="C33" s="4" t="n"/>
      <c r="D33" s="4" t="n"/>
      <c r="E33" s="4" t="n"/>
      <c r="F33" s="4" t="n"/>
      <c r="G33" s="4" t="n"/>
      <c r="J33" s="4">
        <f>'Combined Delivery Data'!B32</f>
        <v/>
      </c>
      <c r="K33" s="4">
        <f>IF($J33="","",COUNTIF($A$3:$A$500,$J33))</f>
        <v/>
      </c>
      <c r="L33" s="5">
        <f>IF($J33="","",IF(SUMPRODUCT(MAX(($A$3:$A$500=$J33)*ROW($A$3:$A$500)))=0,"",INDEX($B:$B,SUMPRODUCT(MAX(($A$3:$A$500=$J33)*ROW($A$3:$A$500))))))</f>
        <v/>
      </c>
      <c r="M33" s="4">
        <f>IF($J33="","",IF(SUMPRODUCT(MAX(($A$3:$A$500=$J33)*ROW($A$3:$A$500)))=0,"",INDEX($C:$C,SUMPRODUCT(MAX(($A$3:$A$500=$J33)*ROW($A$3:$A$500))))))</f>
        <v/>
      </c>
      <c r="N33" s="4">
        <f>IF($J33="","",IF(SUMPRODUCT(MAX(($A$3:$A$500=$J33)*ROW($A$3:$A$500)))=0,"",INDEX($D:$D,SUMPRODUCT(MAX(($A$3:$A$500=$J33)*ROW($A$3:$A$500))))))</f>
        <v/>
      </c>
    </row>
    <row r="34">
      <c r="A34" s="4" t="n"/>
      <c r="B34" s="4" t="n"/>
      <c r="C34" s="4" t="n"/>
      <c r="D34" s="4" t="n"/>
      <c r="E34" s="4" t="n"/>
      <c r="F34" s="4" t="n"/>
      <c r="G34" s="4" t="n"/>
      <c r="J34" s="4">
        <f>'Combined Delivery Data'!B33</f>
        <v/>
      </c>
      <c r="K34" s="4">
        <f>IF($J34="","",COUNTIF($A$3:$A$500,$J34))</f>
        <v/>
      </c>
      <c r="L34" s="5">
        <f>IF($J34="","",IF(SUMPRODUCT(MAX(($A$3:$A$500=$J34)*ROW($A$3:$A$500)))=0,"",INDEX($B:$B,SUMPRODUCT(MAX(($A$3:$A$500=$J34)*ROW($A$3:$A$500))))))</f>
        <v/>
      </c>
      <c r="M34" s="4">
        <f>IF($J34="","",IF(SUMPRODUCT(MAX(($A$3:$A$500=$J34)*ROW($A$3:$A$500)))=0,"",INDEX($C:$C,SUMPRODUCT(MAX(($A$3:$A$500=$J34)*ROW($A$3:$A$500))))))</f>
        <v/>
      </c>
      <c r="N34" s="4">
        <f>IF($J34="","",IF(SUMPRODUCT(MAX(($A$3:$A$500=$J34)*ROW($A$3:$A$500)))=0,"",INDEX($D:$D,SUMPRODUCT(MAX(($A$3:$A$500=$J34)*ROW($A$3:$A$500))))))</f>
        <v/>
      </c>
    </row>
    <row r="35">
      <c r="A35" s="4" t="n"/>
      <c r="B35" s="4" t="n"/>
      <c r="C35" s="4" t="n"/>
      <c r="D35" s="4" t="n"/>
      <c r="E35" s="4" t="n"/>
      <c r="F35" s="4" t="n"/>
      <c r="G35" s="4" t="n"/>
      <c r="J35" s="4">
        <f>'Combined Delivery Data'!B34</f>
        <v/>
      </c>
      <c r="K35" s="4">
        <f>IF($J35="","",COUNTIF($A$3:$A$500,$J35))</f>
        <v/>
      </c>
      <c r="L35" s="5">
        <f>IF($J35="","",IF(SUMPRODUCT(MAX(($A$3:$A$500=$J35)*ROW($A$3:$A$500)))=0,"",INDEX($B:$B,SUMPRODUCT(MAX(($A$3:$A$500=$J35)*ROW($A$3:$A$500))))))</f>
        <v/>
      </c>
      <c r="M35" s="4">
        <f>IF($J35="","",IF(SUMPRODUCT(MAX(($A$3:$A$500=$J35)*ROW($A$3:$A$500)))=0,"",INDEX($C:$C,SUMPRODUCT(MAX(($A$3:$A$500=$J35)*ROW($A$3:$A$500))))))</f>
        <v/>
      </c>
      <c r="N35" s="4">
        <f>IF($J35="","",IF(SUMPRODUCT(MAX(($A$3:$A$500=$J35)*ROW($A$3:$A$500)))=0,"",INDEX($D:$D,SUMPRODUCT(MAX(($A$3:$A$500=$J35)*ROW($A$3:$A$500))))))</f>
        <v/>
      </c>
    </row>
    <row r="36">
      <c r="A36" s="4" t="n"/>
      <c r="B36" s="4" t="n"/>
      <c r="C36" s="4" t="n"/>
      <c r="D36" s="4" t="n"/>
      <c r="E36" s="4" t="n"/>
      <c r="F36" s="4" t="n"/>
      <c r="G36" s="4" t="n"/>
      <c r="J36" s="4">
        <f>'Combined Delivery Data'!B35</f>
        <v/>
      </c>
      <c r="K36" s="4">
        <f>IF($J36="","",COUNTIF($A$3:$A$500,$J36))</f>
        <v/>
      </c>
      <c r="L36" s="5">
        <f>IF($J36="","",IF(SUMPRODUCT(MAX(($A$3:$A$500=$J36)*ROW($A$3:$A$500)))=0,"",INDEX($B:$B,SUMPRODUCT(MAX(($A$3:$A$500=$J36)*ROW($A$3:$A$500))))))</f>
        <v/>
      </c>
      <c r="M36" s="4">
        <f>IF($J36="","",IF(SUMPRODUCT(MAX(($A$3:$A$500=$J36)*ROW($A$3:$A$500)))=0,"",INDEX($C:$C,SUMPRODUCT(MAX(($A$3:$A$500=$J36)*ROW($A$3:$A$500))))))</f>
        <v/>
      </c>
      <c r="N36" s="4">
        <f>IF($J36="","",IF(SUMPRODUCT(MAX(($A$3:$A$500=$J36)*ROW($A$3:$A$500)))=0,"",INDEX($D:$D,SUMPRODUCT(MAX(($A$3:$A$500=$J36)*ROW($A$3:$A$500))))))</f>
        <v/>
      </c>
    </row>
    <row r="37">
      <c r="A37" s="4" t="n"/>
      <c r="B37" s="4" t="n"/>
      <c r="C37" s="4" t="n"/>
      <c r="D37" s="4" t="n"/>
      <c r="E37" s="4" t="n"/>
      <c r="F37" s="4" t="n"/>
      <c r="G37" s="4" t="n"/>
      <c r="J37" s="4">
        <f>'Combined Delivery Data'!B36</f>
        <v/>
      </c>
      <c r="K37" s="4">
        <f>IF($J37="","",COUNTIF($A$3:$A$500,$J37))</f>
        <v/>
      </c>
      <c r="L37" s="5">
        <f>IF($J37="","",IF(SUMPRODUCT(MAX(($A$3:$A$500=$J37)*ROW($A$3:$A$500)))=0,"",INDEX($B:$B,SUMPRODUCT(MAX(($A$3:$A$500=$J37)*ROW($A$3:$A$500))))))</f>
        <v/>
      </c>
      <c r="M37" s="4">
        <f>IF($J37="","",IF(SUMPRODUCT(MAX(($A$3:$A$500=$J37)*ROW($A$3:$A$500)))=0,"",INDEX($C:$C,SUMPRODUCT(MAX(($A$3:$A$500=$J37)*ROW($A$3:$A$500))))))</f>
        <v/>
      </c>
      <c r="N37" s="4">
        <f>IF($J37="","",IF(SUMPRODUCT(MAX(($A$3:$A$500=$J37)*ROW($A$3:$A$500)))=0,"",INDEX($D:$D,SUMPRODUCT(MAX(($A$3:$A$500=$J37)*ROW($A$3:$A$500))))))</f>
        <v/>
      </c>
    </row>
    <row r="38">
      <c r="A38" s="4" t="n"/>
      <c r="B38" s="4" t="n"/>
      <c r="C38" s="4" t="n"/>
      <c r="D38" s="4" t="n"/>
      <c r="E38" s="4" t="n"/>
      <c r="F38" s="4" t="n"/>
      <c r="G38" s="4" t="n"/>
      <c r="J38" s="4">
        <f>'Combined Delivery Data'!B37</f>
        <v/>
      </c>
      <c r="K38" s="4">
        <f>IF($J38="","",COUNTIF($A$3:$A$500,$J38))</f>
        <v/>
      </c>
      <c r="L38" s="5">
        <f>IF($J38="","",IF(SUMPRODUCT(MAX(($A$3:$A$500=$J38)*ROW($A$3:$A$500)))=0,"",INDEX($B:$B,SUMPRODUCT(MAX(($A$3:$A$500=$J38)*ROW($A$3:$A$500))))))</f>
        <v/>
      </c>
      <c r="M38" s="4">
        <f>IF($J38="","",IF(SUMPRODUCT(MAX(($A$3:$A$500=$J38)*ROW($A$3:$A$500)))=0,"",INDEX($C:$C,SUMPRODUCT(MAX(($A$3:$A$500=$J38)*ROW($A$3:$A$500))))))</f>
        <v/>
      </c>
      <c r="N38" s="4">
        <f>IF($J38="","",IF(SUMPRODUCT(MAX(($A$3:$A$500=$J38)*ROW($A$3:$A$500)))=0,"",INDEX($D:$D,SUMPRODUCT(MAX(($A$3:$A$500=$J38)*ROW($A$3:$A$500))))))</f>
        <v/>
      </c>
    </row>
    <row r="39">
      <c r="A39" s="4" t="n"/>
      <c r="B39" s="4" t="n"/>
      <c r="C39" s="4" t="n"/>
      <c r="D39" s="4" t="n"/>
      <c r="E39" s="4" t="n"/>
      <c r="F39" s="4" t="n"/>
      <c r="G39" s="4" t="n"/>
      <c r="J39" s="4">
        <f>'Combined Delivery Data'!B38</f>
        <v/>
      </c>
      <c r="K39" s="4">
        <f>IF($J39="","",COUNTIF($A$3:$A$500,$J39))</f>
        <v/>
      </c>
      <c r="L39" s="5">
        <f>IF($J39="","",IF(SUMPRODUCT(MAX(($A$3:$A$500=$J39)*ROW($A$3:$A$500)))=0,"",INDEX($B:$B,SUMPRODUCT(MAX(($A$3:$A$500=$J39)*ROW($A$3:$A$500))))))</f>
        <v/>
      </c>
      <c r="M39" s="4">
        <f>IF($J39="","",IF(SUMPRODUCT(MAX(($A$3:$A$500=$J39)*ROW($A$3:$A$500)))=0,"",INDEX($C:$C,SUMPRODUCT(MAX(($A$3:$A$500=$J39)*ROW($A$3:$A$500))))))</f>
        <v/>
      </c>
      <c r="N39" s="4">
        <f>IF($J39="","",IF(SUMPRODUCT(MAX(($A$3:$A$500=$J39)*ROW($A$3:$A$500)))=0,"",INDEX($D:$D,SUMPRODUCT(MAX(($A$3:$A$500=$J39)*ROW($A$3:$A$500))))))</f>
        <v/>
      </c>
    </row>
    <row r="40">
      <c r="A40" s="4" t="n"/>
      <c r="B40" s="4" t="n"/>
      <c r="C40" s="4" t="n"/>
      <c r="D40" s="4" t="n"/>
      <c r="E40" s="4" t="n"/>
      <c r="F40" s="4" t="n"/>
      <c r="G40" s="4" t="n"/>
      <c r="J40" s="4">
        <f>'Combined Delivery Data'!B39</f>
        <v/>
      </c>
      <c r="K40" s="4">
        <f>IF($J40="","",COUNTIF($A$3:$A$500,$J40))</f>
        <v/>
      </c>
      <c r="L40" s="5">
        <f>IF($J40="","",IF(SUMPRODUCT(MAX(($A$3:$A$500=$J40)*ROW($A$3:$A$500)))=0,"",INDEX($B:$B,SUMPRODUCT(MAX(($A$3:$A$500=$J40)*ROW($A$3:$A$500))))))</f>
        <v/>
      </c>
      <c r="M40" s="4">
        <f>IF($J40="","",IF(SUMPRODUCT(MAX(($A$3:$A$500=$J40)*ROW($A$3:$A$500)))=0,"",INDEX($C:$C,SUMPRODUCT(MAX(($A$3:$A$500=$J40)*ROW($A$3:$A$500))))))</f>
        <v/>
      </c>
      <c r="N40" s="4">
        <f>IF($J40="","",IF(SUMPRODUCT(MAX(($A$3:$A$500=$J40)*ROW($A$3:$A$500)))=0,"",INDEX($D:$D,SUMPRODUCT(MAX(($A$3:$A$500=$J40)*ROW($A$3:$A$500))))))</f>
        <v/>
      </c>
    </row>
    <row r="41">
      <c r="A41" s="4" t="n"/>
      <c r="B41" s="4" t="n"/>
      <c r="C41" s="4" t="n"/>
      <c r="D41" s="4" t="n"/>
      <c r="E41" s="4" t="n"/>
      <c r="F41" s="4" t="n"/>
      <c r="G41" s="4" t="n"/>
      <c r="J41" s="4">
        <f>'Combined Delivery Data'!B40</f>
        <v/>
      </c>
      <c r="K41" s="4">
        <f>IF($J41="","",COUNTIF($A$3:$A$500,$J41))</f>
        <v/>
      </c>
      <c r="L41" s="5">
        <f>IF($J41="","",IF(SUMPRODUCT(MAX(($A$3:$A$500=$J41)*ROW($A$3:$A$500)))=0,"",INDEX($B:$B,SUMPRODUCT(MAX(($A$3:$A$500=$J41)*ROW($A$3:$A$500))))))</f>
        <v/>
      </c>
      <c r="M41" s="4">
        <f>IF($J41="","",IF(SUMPRODUCT(MAX(($A$3:$A$500=$J41)*ROW($A$3:$A$500)))=0,"",INDEX($C:$C,SUMPRODUCT(MAX(($A$3:$A$500=$J41)*ROW($A$3:$A$500))))))</f>
        <v/>
      </c>
      <c r="N41" s="4">
        <f>IF($J41="","",IF(SUMPRODUCT(MAX(($A$3:$A$500=$J41)*ROW($A$3:$A$500)))=0,"",INDEX($D:$D,SUMPRODUCT(MAX(($A$3:$A$500=$J41)*ROW($A$3:$A$500))))))</f>
        <v/>
      </c>
    </row>
    <row r="42">
      <c r="A42" s="4" t="n"/>
      <c r="B42" s="4" t="n"/>
      <c r="C42" s="4" t="n"/>
      <c r="D42" s="4" t="n"/>
      <c r="E42" s="4" t="n"/>
      <c r="F42" s="4" t="n"/>
      <c r="G42" s="4" t="n"/>
      <c r="J42" s="4">
        <f>'Combined Delivery Data'!B41</f>
        <v/>
      </c>
      <c r="K42" s="4">
        <f>IF($J42="","",COUNTIF($A$3:$A$500,$J42))</f>
        <v/>
      </c>
      <c r="L42" s="5">
        <f>IF($J42="","",IF(SUMPRODUCT(MAX(($A$3:$A$500=$J42)*ROW($A$3:$A$500)))=0,"",INDEX($B:$B,SUMPRODUCT(MAX(($A$3:$A$500=$J42)*ROW($A$3:$A$500))))))</f>
        <v/>
      </c>
      <c r="M42" s="4">
        <f>IF($J42="","",IF(SUMPRODUCT(MAX(($A$3:$A$500=$J42)*ROW($A$3:$A$500)))=0,"",INDEX($C:$C,SUMPRODUCT(MAX(($A$3:$A$500=$J42)*ROW($A$3:$A$500))))))</f>
        <v/>
      </c>
      <c r="N42" s="4">
        <f>IF($J42="","",IF(SUMPRODUCT(MAX(($A$3:$A$500=$J42)*ROW($A$3:$A$500)))=0,"",INDEX($D:$D,SUMPRODUCT(MAX(($A$3:$A$500=$J42)*ROW($A$3:$A$500))))))</f>
        <v/>
      </c>
    </row>
    <row r="43">
      <c r="A43" s="4" t="n"/>
      <c r="B43" s="4" t="n"/>
      <c r="C43" s="4" t="n"/>
      <c r="D43" s="4" t="n"/>
      <c r="E43" s="4" t="n"/>
      <c r="F43" s="4" t="n"/>
      <c r="G43" s="4" t="n"/>
      <c r="J43" s="4">
        <f>'Combined Delivery Data'!B42</f>
        <v/>
      </c>
      <c r="K43" s="4">
        <f>IF($J43="","",COUNTIF($A$3:$A$500,$J43))</f>
        <v/>
      </c>
      <c r="L43" s="5">
        <f>IF($J43="","",IF(SUMPRODUCT(MAX(($A$3:$A$500=$J43)*ROW($A$3:$A$500)))=0,"",INDEX($B:$B,SUMPRODUCT(MAX(($A$3:$A$500=$J43)*ROW($A$3:$A$500))))))</f>
        <v/>
      </c>
      <c r="M43" s="4">
        <f>IF($J43="","",IF(SUMPRODUCT(MAX(($A$3:$A$500=$J43)*ROW($A$3:$A$500)))=0,"",INDEX($C:$C,SUMPRODUCT(MAX(($A$3:$A$500=$J43)*ROW($A$3:$A$500))))))</f>
        <v/>
      </c>
      <c r="N43" s="4">
        <f>IF($J43="","",IF(SUMPRODUCT(MAX(($A$3:$A$500=$J43)*ROW($A$3:$A$500)))=0,"",INDEX($D:$D,SUMPRODUCT(MAX(($A$3:$A$500=$J43)*ROW($A$3:$A$500))))))</f>
        <v/>
      </c>
    </row>
    <row r="44">
      <c r="A44" s="4" t="n"/>
      <c r="B44" s="4" t="n"/>
      <c r="C44" s="4" t="n"/>
      <c r="D44" s="4" t="n"/>
      <c r="E44" s="4" t="n"/>
      <c r="F44" s="4" t="n"/>
      <c r="G44" s="4" t="n"/>
      <c r="J44" s="4">
        <f>'Combined Delivery Data'!B43</f>
        <v/>
      </c>
      <c r="K44" s="4">
        <f>IF($J44="","",COUNTIF($A$3:$A$500,$J44))</f>
        <v/>
      </c>
      <c r="L44" s="5">
        <f>IF($J44="","",IF(SUMPRODUCT(MAX(($A$3:$A$500=$J44)*ROW($A$3:$A$500)))=0,"",INDEX($B:$B,SUMPRODUCT(MAX(($A$3:$A$500=$J44)*ROW($A$3:$A$500))))))</f>
        <v/>
      </c>
      <c r="M44" s="4">
        <f>IF($J44="","",IF(SUMPRODUCT(MAX(($A$3:$A$500=$J44)*ROW($A$3:$A$500)))=0,"",INDEX($C:$C,SUMPRODUCT(MAX(($A$3:$A$500=$J44)*ROW($A$3:$A$500))))))</f>
        <v/>
      </c>
      <c r="N44" s="4">
        <f>IF($J44="","",IF(SUMPRODUCT(MAX(($A$3:$A$500=$J44)*ROW($A$3:$A$500)))=0,"",INDEX($D:$D,SUMPRODUCT(MAX(($A$3:$A$500=$J44)*ROW($A$3:$A$500))))))</f>
        <v/>
      </c>
    </row>
    <row r="45">
      <c r="A45" s="4" t="n"/>
      <c r="B45" s="4" t="n"/>
      <c r="C45" s="4" t="n"/>
      <c r="D45" s="4" t="n"/>
      <c r="E45" s="4" t="n"/>
      <c r="F45" s="4" t="n"/>
      <c r="G45" s="4" t="n"/>
      <c r="J45" s="4">
        <f>'Combined Delivery Data'!B44</f>
        <v/>
      </c>
      <c r="K45" s="4">
        <f>IF($J45="","",COUNTIF($A$3:$A$500,$J45))</f>
        <v/>
      </c>
      <c r="L45" s="5">
        <f>IF($J45="","",IF(SUMPRODUCT(MAX(($A$3:$A$500=$J45)*ROW($A$3:$A$500)))=0,"",INDEX($B:$B,SUMPRODUCT(MAX(($A$3:$A$500=$J45)*ROW($A$3:$A$500))))))</f>
        <v/>
      </c>
      <c r="M45" s="4">
        <f>IF($J45="","",IF(SUMPRODUCT(MAX(($A$3:$A$500=$J45)*ROW($A$3:$A$500)))=0,"",INDEX($C:$C,SUMPRODUCT(MAX(($A$3:$A$500=$J45)*ROW($A$3:$A$500))))))</f>
        <v/>
      </c>
      <c r="N45" s="4">
        <f>IF($J45="","",IF(SUMPRODUCT(MAX(($A$3:$A$500=$J45)*ROW($A$3:$A$500)))=0,"",INDEX($D:$D,SUMPRODUCT(MAX(($A$3:$A$500=$J45)*ROW($A$3:$A$500))))))</f>
        <v/>
      </c>
    </row>
    <row r="46">
      <c r="A46" s="4" t="n"/>
      <c r="B46" s="4" t="n"/>
      <c r="C46" s="4" t="n"/>
      <c r="D46" s="4" t="n"/>
      <c r="E46" s="4" t="n"/>
      <c r="F46" s="4" t="n"/>
      <c r="G46" s="4" t="n"/>
      <c r="J46" s="4">
        <f>'Combined Delivery Data'!B45</f>
        <v/>
      </c>
      <c r="K46" s="4">
        <f>IF($J46="","",COUNTIF($A$3:$A$500,$J46))</f>
        <v/>
      </c>
      <c r="L46" s="5">
        <f>IF($J46="","",IF(SUMPRODUCT(MAX(($A$3:$A$500=$J46)*ROW($A$3:$A$500)))=0,"",INDEX($B:$B,SUMPRODUCT(MAX(($A$3:$A$500=$J46)*ROW($A$3:$A$500))))))</f>
        <v/>
      </c>
      <c r="M46" s="4">
        <f>IF($J46="","",IF(SUMPRODUCT(MAX(($A$3:$A$500=$J46)*ROW($A$3:$A$500)))=0,"",INDEX($C:$C,SUMPRODUCT(MAX(($A$3:$A$500=$J46)*ROW($A$3:$A$500))))))</f>
        <v/>
      </c>
      <c r="N46" s="4">
        <f>IF($J46="","",IF(SUMPRODUCT(MAX(($A$3:$A$500=$J46)*ROW($A$3:$A$500)))=0,"",INDEX($D:$D,SUMPRODUCT(MAX(($A$3:$A$500=$J46)*ROW($A$3:$A$500))))))</f>
        <v/>
      </c>
    </row>
    <row r="47">
      <c r="A47" s="4" t="n"/>
      <c r="B47" s="4" t="n"/>
      <c r="C47" s="4" t="n"/>
      <c r="D47" s="4" t="n"/>
      <c r="E47" s="4" t="n"/>
      <c r="F47" s="4" t="n"/>
      <c r="G47" s="4" t="n"/>
      <c r="J47" s="4">
        <f>'Combined Delivery Data'!B46</f>
        <v/>
      </c>
      <c r="K47" s="4">
        <f>IF($J47="","",COUNTIF($A$3:$A$500,$J47))</f>
        <v/>
      </c>
      <c r="L47" s="5">
        <f>IF($J47="","",IF(SUMPRODUCT(MAX(($A$3:$A$500=$J47)*ROW($A$3:$A$500)))=0,"",INDEX($B:$B,SUMPRODUCT(MAX(($A$3:$A$500=$J47)*ROW($A$3:$A$500))))))</f>
        <v/>
      </c>
      <c r="M47" s="4">
        <f>IF($J47="","",IF(SUMPRODUCT(MAX(($A$3:$A$500=$J47)*ROW($A$3:$A$500)))=0,"",INDEX($C:$C,SUMPRODUCT(MAX(($A$3:$A$500=$J47)*ROW($A$3:$A$500))))))</f>
        <v/>
      </c>
      <c r="N47" s="4">
        <f>IF($J47="","",IF(SUMPRODUCT(MAX(($A$3:$A$500=$J47)*ROW($A$3:$A$500)))=0,"",INDEX($D:$D,SUMPRODUCT(MAX(($A$3:$A$500=$J47)*ROW($A$3:$A$500))))))</f>
        <v/>
      </c>
    </row>
    <row r="48">
      <c r="A48" s="4" t="n"/>
      <c r="B48" s="4" t="n"/>
      <c r="C48" s="4" t="n"/>
      <c r="D48" s="4" t="n"/>
      <c r="E48" s="4" t="n"/>
      <c r="F48" s="4" t="n"/>
      <c r="G48" s="4" t="n"/>
      <c r="J48" s="4">
        <f>'Combined Delivery Data'!B47</f>
        <v/>
      </c>
      <c r="K48" s="4">
        <f>IF($J48="","",COUNTIF($A$3:$A$500,$J48))</f>
        <v/>
      </c>
      <c r="L48" s="5">
        <f>IF($J48="","",IF(SUMPRODUCT(MAX(($A$3:$A$500=$J48)*ROW($A$3:$A$500)))=0,"",INDEX($B:$B,SUMPRODUCT(MAX(($A$3:$A$500=$J48)*ROW($A$3:$A$500))))))</f>
        <v/>
      </c>
      <c r="M48" s="4">
        <f>IF($J48="","",IF(SUMPRODUCT(MAX(($A$3:$A$500=$J48)*ROW($A$3:$A$500)))=0,"",INDEX($C:$C,SUMPRODUCT(MAX(($A$3:$A$500=$J48)*ROW($A$3:$A$500))))))</f>
        <v/>
      </c>
      <c r="N48" s="4">
        <f>IF($J48="","",IF(SUMPRODUCT(MAX(($A$3:$A$500=$J48)*ROW($A$3:$A$500)))=0,"",INDEX($D:$D,SUMPRODUCT(MAX(($A$3:$A$500=$J48)*ROW($A$3:$A$500))))))</f>
        <v/>
      </c>
    </row>
    <row r="49">
      <c r="A49" s="4" t="n"/>
      <c r="B49" s="4" t="n"/>
      <c r="C49" s="4" t="n"/>
      <c r="D49" s="4" t="n"/>
      <c r="E49" s="4" t="n"/>
      <c r="F49" s="4" t="n"/>
      <c r="G49" s="4" t="n"/>
      <c r="J49" s="4">
        <f>'Combined Delivery Data'!B48</f>
        <v/>
      </c>
      <c r="K49" s="4">
        <f>IF($J49="","",COUNTIF($A$3:$A$500,$J49))</f>
        <v/>
      </c>
      <c r="L49" s="5">
        <f>IF($J49="","",IF(SUMPRODUCT(MAX(($A$3:$A$500=$J49)*ROW($A$3:$A$500)))=0,"",INDEX($B:$B,SUMPRODUCT(MAX(($A$3:$A$500=$J49)*ROW($A$3:$A$500))))))</f>
        <v/>
      </c>
      <c r="M49" s="4">
        <f>IF($J49="","",IF(SUMPRODUCT(MAX(($A$3:$A$500=$J49)*ROW($A$3:$A$500)))=0,"",INDEX($C:$C,SUMPRODUCT(MAX(($A$3:$A$500=$J49)*ROW($A$3:$A$500))))))</f>
        <v/>
      </c>
      <c r="N49" s="4">
        <f>IF($J49="","",IF(SUMPRODUCT(MAX(($A$3:$A$500=$J49)*ROW($A$3:$A$500)))=0,"",INDEX($D:$D,SUMPRODUCT(MAX(($A$3:$A$500=$J49)*ROW($A$3:$A$500))))))</f>
        <v/>
      </c>
    </row>
    <row r="50">
      <c r="A50" s="4" t="n"/>
      <c r="B50" s="4" t="n"/>
      <c r="C50" s="4" t="n"/>
      <c r="D50" s="4" t="n"/>
      <c r="E50" s="4" t="n"/>
      <c r="F50" s="4" t="n"/>
      <c r="G50" s="4" t="n"/>
      <c r="J50" s="4">
        <f>'Combined Delivery Data'!B49</f>
        <v/>
      </c>
      <c r="K50" s="4">
        <f>IF($J50="","",COUNTIF($A$3:$A$500,$J50))</f>
        <v/>
      </c>
      <c r="L50" s="5">
        <f>IF($J50="","",IF(SUMPRODUCT(MAX(($A$3:$A$500=$J50)*ROW($A$3:$A$500)))=0,"",INDEX($B:$B,SUMPRODUCT(MAX(($A$3:$A$500=$J50)*ROW($A$3:$A$500))))))</f>
        <v/>
      </c>
      <c r="M50" s="4">
        <f>IF($J50="","",IF(SUMPRODUCT(MAX(($A$3:$A$500=$J50)*ROW($A$3:$A$500)))=0,"",INDEX($C:$C,SUMPRODUCT(MAX(($A$3:$A$500=$J50)*ROW($A$3:$A$500))))))</f>
        <v/>
      </c>
      <c r="N50" s="4">
        <f>IF($J50="","",IF(SUMPRODUCT(MAX(($A$3:$A$500=$J50)*ROW($A$3:$A$500)))=0,"",INDEX($D:$D,SUMPRODUCT(MAX(($A$3:$A$500=$J50)*ROW($A$3:$A$500))))))</f>
        <v/>
      </c>
    </row>
    <row r="51">
      <c r="A51" s="4" t="n"/>
      <c r="B51" s="4" t="n"/>
      <c r="C51" s="4" t="n"/>
      <c r="D51" s="4" t="n"/>
      <c r="E51" s="4" t="n"/>
      <c r="F51" s="4" t="n"/>
      <c r="G51" s="4" t="n"/>
      <c r="J51" s="4">
        <f>'Combined Delivery Data'!B50</f>
        <v/>
      </c>
      <c r="K51" s="4">
        <f>IF($J51="","",COUNTIF($A$3:$A$500,$J51))</f>
        <v/>
      </c>
      <c r="L51" s="5">
        <f>IF($J51="","",IF(SUMPRODUCT(MAX(($A$3:$A$500=$J51)*ROW($A$3:$A$500)))=0,"",INDEX($B:$B,SUMPRODUCT(MAX(($A$3:$A$500=$J51)*ROW($A$3:$A$500))))))</f>
        <v/>
      </c>
      <c r="M51" s="4">
        <f>IF($J51="","",IF(SUMPRODUCT(MAX(($A$3:$A$500=$J51)*ROW($A$3:$A$500)))=0,"",INDEX($C:$C,SUMPRODUCT(MAX(($A$3:$A$500=$J51)*ROW($A$3:$A$500))))))</f>
        <v/>
      </c>
      <c r="N51" s="4">
        <f>IF($J51="","",IF(SUMPRODUCT(MAX(($A$3:$A$500=$J51)*ROW($A$3:$A$500)))=0,"",INDEX($D:$D,SUMPRODUCT(MAX(($A$3:$A$500=$J51)*ROW($A$3:$A$500))))))</f>
        <v/>
      </c>
    </row>
    <row r="52">
      <c r="A52" s="4" t="n"/>
      <c r="B52" s="4" t="n"/>
      <c r="C52" s="4" t="n"/>
      <c r="D52" s="4" t="n"/>
      <c r="E52" s="4" t="n"/>
      <c r="F52" s="4" t="n"/>
      <c r="G52" s="4" t="n"/>
      <c r="J52" s="4">
        <f>'Combined Delivery Data'!B51</f>
        <v/>
      </c>
      <c r="K52" s="4">
        <f>IF($J52="","",COUNTIF($A$3:$A$500,$J52))</f>
        <v/>
      </c>
      <c r="L52" s="5">
        <f>IF($J52="","",IF(SUMPRODUCT(MAX(($A$3:$A$500=$J52)*ROW($A$3:$A$500)))=0,"",INDEX($B:$B,SUMPRODUCT(MAX(($A$3:$A$500=$J52)*ROW($A$3:$A$500))))))</f>
        <v/>
      </c>
      <c r="M52" s="4">
        <f>IF($J52="","",IF(SUMPRODUCT(MAX(($A$3:$A$500=$J52)*ROW($A$3:$A$500)))=0,"",INDEX($C:$C,SUMPRODUCT(MAX(($A$3:$A$500=$J52)*ROW($A$3:$A$500))))))</f>
        <v/>
      </c>
      <c r="N52" s="4">
        <f>IF($J52="","",IF(SUMPRODUCT(MAX(($A$3:$A$500=$J52)*ROW($A$3:$A$500)))=0,"",INDEX($D:$D,SUMPRODUCT(MAX(($A$3:$A$500=$J52)*ROW($A$3:$A$500))))))</f>
        <v/>
      </c>
    </row>
    <row r="53">
      <c r="A53" s="4" t="n"/>
      <c r="B53" s="4" t="n"/>
      <c r="C53" s="4" t="n"/>
      <c r="D53" s="4" t="n"/>
      <c r="E53" s="4" t="n"/>
      <c r="F53" s="4" t="n"/>
      <c r="G53" s="4" t="n"/>
      <c r="J53" s="4">
        <f>'Combined Delivery Data'!B52</f>
        <v/>
      </c>
      <c r="K53" s="4">
        <f>IF($J53="","",COUNTIF($A$3:$A$500,$J53))</f>
        <v/>
      </c>
      <c r="L53" s="5">
        <f>IF($J53="","",IF(SUMPRODUCT(MAX(($A$3:$A$500=$J53)*ROW($A$3:$A$500)))=0,"",INDEX($B:$B,SUMPRODUCT(MAX(($A$3:$A$500=$J53)*ROW($A$3:$A$500))))))</f>
        <v/>
      </c>
      <c r="M53" s="4">
        <f>IF($J53="","",IF(SUMPRODUCT(MAX(($A$3:$A$500=$J53)*ROW($A$3:$A$500)))=0,"",INDEX($C:$C,SUMPRODUCT(MAX(($A$3:$A$500=$J53)*ROW($A$3:$A$500))))))</f>
        <v/>
      </c>
      <c r="N53" s="4">
        <f>IF($J53="","",IF(SUMPRODUCT(MAX(($A$3:$A$500=$J53)*ROW($A$3:$A$500)))=0,"",INDEX($D:$D,SUMPRODUCT(MAX(($A$3:$A$500=$J53)*ROW($A$3:$A$500))))))</f>
        <v/>
      </c>
    </row>
    <row r="54">
      <c r="A54" s="4" t="n"/>
      <c r="B54" s="4" t="n"/>
      <c r="C54" s="4" t="n"/>
      <c r="D54" s="4" t="n"/>
      <c r="E54" s="4" t="n"/>
      <c r="F54" s="4" t="n"/>
      <c r="G54" s="4" t="n"/>
      <c r="J54" s="4">
        <f>'Combined Delivery Data'!B53</f>
        <v/>
      </c>
      <c r="K54" s="4">
        <f>IF($J54="","",COUNTIF($A$3:$A$500,$J54))</f>
        <v/>
      </c>
      <c r="L54" s="5">
        <f>IF($J54="","",IF(SUMPRODUCT(MAX(($A$3:$A$500=$J54)*ROW($A$3:$A$500)))=0,"",INDEX($B:$B,SUMPRODUCT(MAX(($A$3:$A$500=$J54)*ROW($A$3:$A$500))))))</f>
        <v/>
      </c>
      <c r="M54" s="4">
        <f>IF($J54="","",IF(SUMPRODUCT(MAX(($A$3:$A$500=$J54)*ROW($A$3:$A$500)))=0,"",INDEX($C:$C,SUMPRODUCT(MAX(($A$3:$A$500=$J54)*ROW($A$3:$A$500))))))</f>
        <v/>
      </c>
      <c r="N54" s="4">
        <f>IF($J54="","",IF(SUMPRODUCT(MAX(($A$3:$A$500=$J54)*ROW($A$3:$A$500)))=0,"",INDEX($D:$D,SUMPRODUCT(MAX(($A$3:$A$500=$J54)*ROW($A$3:$A$500))))))</f>
        <v/>
      </c>
    </row>
    <row r="55">
      <c r="A55" s="4" t="n"/>
      <c r="B55" s="4" t="n"/>
      <c r="C55" s="4" t="n"/>
      <c r="D55" s="4" t="n"/>
      <c r="E55" s="4" t="n"/>
      <c r="F55" s="4" t="n"/>
      <c r="G55" s="4" t="n"/>
      <c r="J55" s="4">
        <f>'Combined Delivery Data'!B54</f>
        <v/>
      </c>
      <c r="K55" s="4">
        <f>IF($J55="","",COUNTIF($A$3:$A$500,$J55))</f>
        <v/>
      </c>
      <c r="L55" s="5">
        <f>IF($J55="","",IF(SUMPRODUCT(MAX(($A$3:$A$500=$J55)*ROW($A$3:$A$500)))=0,"",INDEX($B:$B,SUMPRODUCT(MAX(($A$3:$A$500=$J55)*ROW($A$3:$A$500))))))</f>
        <v/>
      </c>
      <c r="M55" s="4">
        <f>IF($J55="","",IF(SUMPRODUCT(MAX(($A$3:$A$500=$J55)*ROW($A$3:$A$500)))=0,"",INDEX($C:$C,SUMPRODUCT(MAX(($A$3:$A$500=$J55)*ROW($A$3:$A$500))))))</f>
        <v/>
      </c>
      <c r="N55" s="4">
        <f>IF($J55="","",IF(SUMPRODUCT(MAX(($A$3:$A$500=$J55)*ROW($A$3:$A$500)))=0,"",INDEX($D:$D,SUMPRODUCT(MAX(($A$3:$A$500=$J55)*ROW($A$3:$A$500))))))</f>
        <v/>
      </c>
    </row>
    <row r="56">
      <c r="A56" s="4" t="n"/>
      <c r="B56" s="4" t="n"/>
      <c r="C56" s="4" t="n"/>
      <c r="D56" s="4" t="n"/>
      <c r="E56" s="4" t="n"/>
      <c r="F56" s="4" t="n"/>
      <c r="G56" s="4" t="n"/>
      <c r="J56" s="4">
        <f>'Combined Delivery Data'!B55</f>
        <v/>
      </c>
      <c r="K56" s="4">
        <f>IF($J56="","",COUNTIF($A$3:$A$500,$J56))</f>
        <v/>
      </c>
      <c r="L56" s="5">
        <f>IF($J56="","",IF(SUMPRODUCT(MAX(($A$3:$A$500=$J56)*ROW($A$3:$A$500)))=0,"",INDEX($B:$B,SUMPRODUCT(MAX(($A$3:$A$500=$J56)*ROW($A$3:$A$500))))))</f>
        <v/>
      </c>
      <c r="M56" s="4">
        <f>IF($J56="","",IF(SUMPRODUCT(MAX(($A$3:$A$500=$J56)*ROW($A$3:$A$500)))=0,"",INDEX($C:$C,SUMPRODUCT(MAX(($A$3:$A$500=$J56)*ROW($A$3:$A$500))))))</f>
        <v/>
      </c>
      <c r="N56" s="4">
        <f>IF($J56="","",IF(SUMPRODUCT(MAX(($A$3:$A$500=$J56)*ROW($A$3:$A$500)))=0,"",INDEX($D:$D,SUMPRODUCT(MAX(($A$3:$A$500=$J56)*ROW($A$3:$A$500))))))</f>
        <v/>
      </c>
    </row>
    <row r="57">
      <c r="A57" s="4" t="n"/>
      <c r="B57" s="4" t="n"/>
      <c r="C57" s="4" t="n"/>
      <c r="D57" s="4" t="n"/>
      <c r="E57" s="4" t="n"/>
      <c r="F57" s="4" t="n"/>
      <c r="G57" s="4" t="n"/>
      <c r="J57" s="4">
        <f>'Combined Delivery Data'!B56</f>
        <v/>
      </c>
      <c r="K57" s="4">
        <f>IF($J57="","",COUNTIF($A$3:$A$500,$J57))</f>
        <v/>
      </c>
      <c r="L57" s="5">
        <f>IF($J57="","",IF(SUMPRODUCT(MAX(($A$3:$A$500=$J57)*ROW($A$3:$A$500)))=0,"",INDEX($B:$B,SUMPRODUCT(MAX(($A$3:$A$500=$J57)*ROW($A$3:$A$500))))))</f>
        <v/>
      </c>
      <c r="M57" s="4">
        <f>IF($J57="","",IF(SUMPRODUCT(MAX(($A$3:$A$500=$J57)*ROW($A$3:$A$500)))=0,"",INDEX($C:$C,SUMPRODUCT(MAX(($A$3:$A$500=$J57)*ROW($A$3:$A$500))))))</f>
        <v/>
      </c>
      <c r="N57" s="4">
        <f>IF($J57="","",IF(SUMPRODUCT(MAX(($A$3:$A$500=$J57)*ROW($A$3:$A$500)))=0,"",INDEX($D:$D,SUMPRODUCT(MAX(($A$3:$A$500=$J57)*ROW($A$3:$A$500))))))</f>
        <v/>
      </c>
    </row>
    <row r="58">
      <c r="A58" s="4" t="n"/>
      <c r="B58" s="4" t="n"/>
      <c r="C58" s="4" t="n"/>
      <c r="D58" s="4" t="n"/>
      <c r="E58" s="4" t="n"/>
      <c r="F58" s="4" t="n"/>
      <c r="G58" s="4" t="n"/>
      <c r="J58" s="4">
        <f>'Combined Delivery Data'!B57</f>
        <v/>
      </c>
      <c r="K58" s="4">
        <f>IF($J58="","",COUNTIF($A$3:$A$500,$J58))</f>
        <v/>
      </c>
      <c r="L58" s="5">
        <f>IF($J58="","",IF(SUMPRODUCT(MAX(($A$3:$A$500=$J58)*ROW($A$3:$A$500)))=0,"",INDEX($B:$B,SUMPRODUCT(MAX(($A$3:$A$500=$J58)*ROW($A$3:$A$500))))))</f>
        <v/>
      </c>
      <c r="M58" s="4">
        <f>IF($J58="","",IF(SUMPRODUCT(MAX(($A$3:$A$500=$J58)*ROW($A$3:$A$500)))=0,"",INDEX($C:$C,SUMPRODUCT(MAX(($A$3:$A$500=$J58)*ROW($A$3:$A$500))))))</f>
        <v/>
      </c>
      <c r="N58" s="4">
        <f>IF($J58="","",IF(SUMPRODUCT(MAX(($A$3:$A$500=$J58)*ROW($A$3:$A$500)))=0,"",INDEX($D:$D,SUMPRODUCT(MAX(($A$3:$A$500=$J58)*ROW($A$3:$A$500))))))</f>
        <v/>
      </c>
    </row>
    <row r="59">
      <c r="A59" s="4" t="n"/>
      <c r="B59" s="4" t="n"/>
      <c r="C59" s="4" t="n"/>
      <c r="D59" s="4" t="n"/>
      <c r="E59" s="4" t="n"/>
      <c r="F59" s="4" t="n"/>
      <c r="G59" s="4" t="n"/>
      <c r="J59" s="4">
        <f>'Combined Delivery Data'!B58</f>
        <v/>
      </c>
      <c r="K59" s="4">
        <f>IF($J59="","",COUNTIF($A$3:$A$500,$J59))</f>
        <v/>
      </c>
      <c r="L59" s="5">
        <f>IF($J59="","",IF(SUMPRODUCT(MAX(($A$3:$A$500=$J59)*ROW($A$3:$A$500)))=0,"",INDEX($B:$B,SUMPRODUCT(MAX(($A$3:$A$500=$J59)*ROW($A$3:$A$500))))))</f>
        <v/>
      </c>
      <c r="M59" s="4">
        <f>IF($J59="","",IF(SUMPRODUCT(MAX(($A$3:$A$500=$J59)*ROW($A$3:$A$500)))=0,"",INDEX($C:$C,SUMPRODUCT(MAX(($A$3:$A$500=$J59)*ROW($A$3:$A$500))))))</f>
        <v/>
      </c>
      <c r="N59" s="4">
        <f>IF($J59="","",IF(SUMPRODUCT(MAX(($A$3:$A$500=$J59)*ROW($A$3:$A$500)))=0,"",INDEX($D:$D,SUMPRODUCT(MAX(($A$3:$A$500=$J59)*ROW($A$3:$A$500))))))</f>
        <v/>
      </c>
    </row>
    <row r="60">
      <c r="A60" s="4" t="n"/>
      <c r="B60" s="4" t="n"/>
      <c r="C60" s="4" t="n"/>
      <c r="D60" s="4" t="n"/>
      <c r="E60" s="4" t="n"/>
      <c r="F60" s="4" t="n"/>
      <c r="G60" s="4" t="n"/>
      <c r="J60" s="4">
        <f>'Combined Delivery Data'!B59</f>
        <v/>
      </c>
      <c r="K60" s="4">
        <f>IF($J60="","",COUNTIF($A$3:$A$500,$J60))</f>
        <v/>
      </c>
      <c r="L60" s="5">
        <f>IF($J60="","",IF(SUMPRODUCT(MAX(($A$3:$A$500=$J60)*ROW($A$3:$A$500)))=0,"",INDEX($B:$B,SUMPRODUCT(MAX(($A$3:$A$500=$J60)*ROW($A$3:$A$500))))))</f>
        <v/>
      </c>
      <c r="M60" s="4">
        <f>IF($J60="","",IF(SUMPRODUCT(MAX(($A$3:$A$500=$J60)*ROW($A$3:$A$500)))=0,"",INDEX($C:$C,SUMPRODUCT(MAX(($A$3:$A$500=$J60)*ROW($A$3:$A$500))))))</f>
        <v/>
      </c>
      <c r="N60" s="4">
        <f>IF($J60="","",IF(SUMPRODUCT(MAX(($A$3:$A$500=$J60)*ROW($A$3:$A$500)))=0,"",INDEX($D:$D,SUMPRODUCT(MAX(($A$3:$A$500=$J60)*ROW($A$3:$A$500))))))</f>
        <v/>
      </c>
    </row>
    <row r="61">
      <c r="A61" s="4" t="n"/>
      <c r="B61" s="4" t="n"/>
      <c r="C61" s="4" t="n"/>
      <c r="D61" s="4" t="n"/>
      <c r="E61" s="4" t="n"/>
      <c r="F61" s="4" t="n"/>
      <c r="G61" s="4" t="n"/>
      <c r="J61" s="4">
        <f>'Combined Delivery Data'!B60</f>
        <v/>
      </c>
      <c r="K61" s="4">
        <f>IF($J61="","",COUNTIF($A$3:$A$500,$J61))</f>
        <v/>
      </c>
      <c r="L61" s="5">
        <f>IF($J61="","",IF(SUMPRODUCT(MAX(($A$3:$A$500=$J61)*ROW($A$3:$A$500)))=0,"",INDEX($B:$B,SUMPRODUCT(MAX(($A$3:$A$500=$J61)*ROW($A$3:$A$500))))))</f>
        <v/>
      </c>
      <c r="M61" s="4">
        <f>IF($J61="","",IF(SUMPRODUCT(MAX(($A$3:$A$500=$J61)*ROW($A$3:$A$500)))=0,"",INDEX($C:$C,SUMPRODUCT(MAX(($A$3:$A$500=$J61)*ROW($A$3:$A$500))))))</f>
        <v/>
      </c>
      <c r="N61" s="4">
        <f>IF($J61="","",IF(SUMPRODUCT(MAX(($A$3:$A$500=$J61)*ROW($A$3:$A$500)))=0,"",INDEX($D:$D,SUMPRODUCT(MAX(($A$3:$A$500=$J61)*ROW($A$3:$A$500))))))</f>
        <v/>
      </c>
    </row>
    <row r="62">
      <c r="A62" s="4" t="n"/>
      <c r="B62" s="4" t="n"/>
      <c r="C62" s="4" t="n"/>
      <c r="D62" s="4" t="n"/>
      <c r="E62" s="4" t="n"/>
      <c r="F62" s="4" t="n"/>
      <c r="G62" s="4" t="n"/>
      <c r="J62" s="4">
        <f>'Combined Delivery Data'!B61</f>
        <v/>
      </c>
      <c r="K62" s="4">
        <f>IF($J62="","",COUNTIF($A$3:$A$500,$J62))</f>
        <v/>
      </c>
      <c r="L62" s="5">
        <f>IF($J62="","",IF(SUMPRODUCT(MAX(($A$3:$A$500=$J62)*ROW($A$3:$A$500)))=0,"",INDEX($B:$B,SUMPRODUCT(MAX(($A$3:$A$500=$J62)*ROW($A$3:$A$500))))))</f>
        <v/>
      </c>
      <c r="M62" s="4">
        <f>IF($J62="","",IF(SUMPRODUCT(MAX(($A$3:$A$500=$J62)*ROW($A$3:$A$500)))=0,"",INDEX($C:$C,SUMPRODUCT(MAX(($A$3:$A$500=$J62)*ROW($A$3:$A$500))))))</f>
        <v/>
      </c>
      <c r="N62" s="4">
        <f>IF($J62="","",IF(SUMPRODUCT(MAX(($A$3:$A$500=$J62)*ROW($A$3:$A$500)))=0,"",INDEX($D:$D,SUMPRODUCT(MAX(($A$3:$A$500=$J62)*ROW($A$3:$A$500))))))</f>
        <v/>
      </c>
    </row>
    <row r="63">
      <c r="A63" s="4" t="n"/>
      <c r="B63" s="4" t="n"/>
      <c r="C63" s="4" t="n"/>
      <c r="D63" s="4" t="n"/>
      <c r="E63" s="4" t="n"/>
      <c r="F63" s="4" t="n"/>
      <c r="G63" s="4" t="n"/>
      <c r="J63" s="4">
        <f>'Combined Delivery Data'!B62</f>
        <v/>
      </c>
      <c r="K63" s="4">
        <f>IF($J63="","",COUNTIF($A$3:$A$500,$J63))</f>
        <v/>
      </c>
      <c r="L63" s="5">
        <f>IF($J63="","",IF(SUMPRODUCT(MAX(($A$3:$A$500=$J63)*ROW($A$3:$A$500)))=0,"",INDEX($B:$B,SUMPRODUCT(MAX(($A$3:$A$500=$J63)*ROW($A$3:$A$500))))))</f>
        <v/>
      </c>
      <c r="M63" s="4">
        <f>IF($J63="","",IF(SUMPRODUCT(MAX(($A$3:$A$500=$J63)*ROW($A$3:$A$500)))=0,"",INDEX($C:$C,SUMPRODUCT(MAX(($A$3:$A$500=$J63)*ROW($A$3:$A$500))))))</f>
        <v/>
      </c>
      <c r="N63" s="4">
        <f>IF($J63="","",IF(SUMPRODUCT(MAX(($A$3:$A$500=$J63)*ROW($A$3:$A$500)))=0,"",INDEX($D:$D,SUMPRODUCT(MAX(($A$3:$A$500=$J63)*ROW($A$3:$A$500))))))</f>
        <v/>
      </c>
    </row>
    <row r="64">
      <c r="A64" s="4" t="n"/>
      <c r="B64" s="4" t="n"/>
      <c r="C64" s="4" t="n"/>
      <c r="D64" s="4" t="n"/>
      <c r="E64" s="4" t="n"/>
      <c r="F64" s="4" t="n"/>
      <c r="G64" s="4" t="n"/>
      <c r="J64" s="4">
        <f>'Combined Delivery Data'!B63</f>
        <v/>
      </c>
      <c r="K64" s="4">
        <f>IF($J64="","",COUNTIF($A$3:$A$500,$J64))</f>
        <v/>
      </c>
      <c r="L64" s="5">
        <f>IF($J64="","",IF(SUMPRODUCT(MAX(($A$3:$A$500=$J64)*ROW($A$3:$A$500)))=0,"",INDEX($B:$B,SUMPRODUCT(MAX(($A$3:$A$500=$J64)*ROW($A$3:$A$500))))))</f>
        <v/>
      </c>
      <c r="M64" s="4">
        <f>IF($J64="","",IF(SUMPRODUCT(MAX(($A$3:$A$500=$J64)*ROW($A$3:$A$500)))=0,"",INDEX($C:$C,SUMPRODUCT(MAX(($A$3:$A$500=$J64)*ROW($A$3:$A$500))))))</f>
        <v/>
      </c>
      <c r="N64" s="4">
        <f>IF($J64="","",IF(SUMPRODUCT(MAX(($A$3:$A$500=$J64)*ROW($A$3:$A$500)))=0,"",INDEX($D:$D,SUMPRODUCT(MAX(($A$3:$A$500=$J64)*ROW($A$3:$A$500))))))</f>
        <v/>
      </c>
    </row>
    <row r="65">
      <c r="A65" s="4" t="n"/>
      <c r="B65" s="4" t="n"/>
      <c r="C65" s="4" t="n"/>
      <c r="D65" s="4" t="n"/>
      <c r="E65" s="4" t="n"/>
      <c r="F65" s="4" t="n"/>
      <c r="G65" s="4" t="n"/>
      <c r="J65" s="4">
        <f>'Combined Delivery Data'!B64</f>
        <v/>
      </c>
      <c r="K65" s="4">
        <f>IF($J65="","",COUNTIF($A$3:$A$500,$J65))</f>
        <v/>
      </c>
      <c r="L65" s="5">
        <f>IF($J65="","",IF(SUMPRODUCT(MAX(($A$3:$A$500=$J65)*ROW($A$3:$A$500)))=0,"",INDEX($B:$B,SUMPRODUCT(MAX(($A$3:$A$500=$J65)*ROW($A$3:$A$500))))))</f>
        <v/>
      </c>
      <c r="M65" s="4">
        <f>IF($J65="","",IF(SUMPRODUCT(MAX(($A$3:$A$500=$J65)*ROW($A$3:$A$500)))=0,"",INDEX($C:$C,SUMPRODUCT(MAX(($A$3:$A$500=$J65)*ROW($A$3:$A$500))))))</f>
        <v/>
      </c>
      <c r="N65" s="4">
        <f>IF($J65="","",IF(SUMPRODUCT(MAX(($A$3:$A$500=$J65)*ROW($A$3:$A$500)))=0,"",INDEX($D:$D,SUMPRODUCT(MAX(($A$3:$A$500=$J65)*ROW($A$3:$A$500))))))</f>
        <v/>
      </c>
    </row>
    <row r="66">
      <c r="A66" s="4" t="n"/>
      <c r="B66" s="4" t="n"/>
      <c r="C66" s="4" t="n"/>
      <c r="D66" s="4" t="n"/>
      <c r="E66" s="4" t="n"/>
      <c r="F66" s="4" t="n"/>
      <c r="G66" s="4" t="n"/>
      <c r="J66" s="4">
        <f>'Combined Delivery Data'!B65</f>
        <v/>
      </c>
      <c r="K66" s="4">
        <f>IF($J66="","",COUNTIF($A$3:$A$500,$J66))</f>
        <v/>
      </c>
      <c r="L66" s="5">
        <f>IF($J66="","",IF(SUMPRODUCT(MAX(($A$3:$A$500=$J66)*ROW($A$3:$A$500)))=0,"",INDEX($B:$B,SUMPRODUCT(MAX(($A$3:$A$500=$J66)*ROW($A$3:$A$500))))))</f>
        <v/>
      </c>
      <c r="M66" s="4">
        <f>IF($J66="","",IF(SUMPRODUCT(MAX(($A$3:$A$500=$J66)*ROW($A$3:$A$500)))=0,"",INDEX($C:$C,SUMPRODUCT(MAX(($A$3:$A$500=$J66)*ROW($A$3:$A$500))))))</f>
        <v/>
      </c>
      <c r="N66" s="4">
        <f>IF($J66="","",IF(SUMPRODUCT(MAX(($A$3:$A$500=$J66)*ROW($A$3:$A$500)))=0,"",INDEX($D:$D,SUMPRODUCT(MAX(($A$3:$A$500=$J66)*ROW($A$3:$A$500))))))</f>
        <v/>
      </c>
    </row>
    <row r="67">
      <c r="A67" s="4" t="n"/>
      <c r="B67" s="4" t="n"/>
      <c r="C67" s="4" t="n"/>
      <c r="D67" s="4" t="n"/>
      <c r="E67" s="4" t="n"/>
      <c r="F67" s="4" t="n"/>
      <c r="G67" s="4" t="n"/>
      <c r="J67" s="4">
        <f>'Combined Delivery Data'!B66</f>
        <v/>
      </c>
      <c r="K67" s="4">
        <f>IF($J67="","",COUNTIF($A$3:$A$500,$J67))</f>
        <v/>
      </c>
      <c r="L67" s="5">
        <f>IF($J67="","",IF(SUMPRODUCT(MAX(($A$3:$A$500=$J67)*ROW($A$3:$A$500)))=0,"",INDEX($B:$B,SUMPRODUCT(MAX(($A$3:$A$500=$J67)*ROW($A$3:$A$500))))))</f>
        <v/>
      </c>
      <c r="M67" s="4">
        <f>IF($J67="","",IF(SUMPRODUCT(MAX(($A$3:$A$500=$J67)*ROW($A$3:$A$500)))=0,"",INDEX($C:$C,SUMPRODUCT(MAX(($A$3:$A$500=$J67)*ROW($A$3:$A$500))))))</f>
        <v/>
      </c>
      <c r="N67" s="4">
        <f>IF($J67="","",IF(SUMPRODUCT(MAX(($A$3:$A$500=$J67)*ROW($A$3:$A$500)))=0,"",INDEX($D:$D,SUMPRODUCT(MAX(($A$3:$A$500=$J67)*ROW($A$3:$A$500))))))</f>
        <v/>
      </c>
    </row>
    <row r="68">
      <c r="A68" s="4" t="n"/>
      <c r="B68" s="4" t="n"/>
      <c r="C68" s="4" t="n"/>
      <c r="D68" s="4" t="n"/>
      <c r="E68" s="4" t="n"/>
      <c r="F68" s="4" t="n"/>
      <c r="G68" s="4" t="n"/>
      <c r="J68" s="4">
        <f>'Combined Delivery Data'!B67</f>
        <v/>
      </c>
      <c r="K68" s="4">
        <f>IF($J68="","",COUNTIF($A$3:$A$500,$J68))</f>
        <v/>
      </c>
      <c r="L68" s="5">
        <f>IF($J68="","",IF(SUMPRODUCT(MAX(($A$3:$A$500=$J68)*ROW($A$3:$A$500)))=0,"",INDEX($B:$B,SUMPRODUCT(MAX(($A$3:$A$500=$J68)*ROW($A$3:$A$500))))))</f>
        <v/>
      </c>
      <c r="M68" s="4">
        <f>IF($J68="","",IF(SUMPRODUCT(MAX(($A$3:$A$500=$J68)*ROW($A$3:$A$500)))=0,"",INDEX($C:$C,SUMPRODUCT(MAX(($A$3:$A$500=$J68)*ROW($A$3:$A$500))))))</f>
        <v/>
      </c>
      <c r="N68" s="4">
        <f>IF($J68="","",IF(SUMPRODUCT(MAX(($A$3:$A$500=$J68)*ROW($A$3:$A$500)))=0,"",INDEX($D:$D,SUMPRODUCT(MAX(($A$3:$A$500=$J68)*ROW($A$3:$A$500))))))</f>
        <v/>
      </c>
    </row>
    <row r="69">
      <c r="A69" s="4" t="n"/>
      <c r="B69" s="4" t="n"/>
      <c r="C69" s="4" t="n"/>
      <c r="D69" s="4" t="n"/>
      <c r="E69" s="4" t="n"/>
      <c r="F69" s="4" t="n"/>
      <c r="G69" s="4" t="n"/>
      <c r="J69" s="4">
        <f>'Combined Delivery Data'!B68</f>
        <v/>
      </c>
      <c r="K69" s="4">
        <f>IF($J69="","",COUNTIF($A$3:$A$500,$J69))</f>
        <v/>
      </c>
      <c r="L69" s="5">
        <f>IF($J69="","",IF(SUMPRODUCT(MAX(($A$3:$A$500=$J69)*ROW($A$3:$A$500)))=0,"",INDEX($B:$B,SUMPRODUCT(MAX(($A$3:$A$500=$J69)*ROW($A$3:$A$500))))))</f>
        <v/>
      </c>
      <c r="M69" s="4">
        <f>IF($J69="","",IF(SUMPRODUCT(MAX(($A$3:$A$500=$J69)*ROW($A$3:$A$500)))=0,"",INDEX($C:$C,SUMPRODUCT(MAX(($A$3:$A$500=$J69)*ROW($A$3:$A$500))))))</f>
        <v/>
      </c>
      <c r="N69" s="4">
        <f>IF($J69="","",IF(SUMPRODUCT(MAX(($A$3:$A$500=$J69)*ROW($A$3:$A$500)))=0,"",INDEX($D:$D,SUMPRODUCT(MAX(($A$3:$A$500=$J69)*ROW($A$3:$A$500))))))</f>
        <v/>
      </c>
    </row>
    <row r="70">
      <c r="A70" s="4" t="n"/>
      <c r="B70" s="4" t="n"/>
      <c r="C70" s="4" t="n"/>
      <c r="D70" s="4" t="n"/>
      <c r="E70" s="4" t="n"/>
      <c r="F70" s="4" t="n"/>
      <c r="G70" s="4" t="n"/>
      <c r="J70" s="4">
        <f>'Combined Delivery Data'!B69</f>
        <v/>
      </c>
      <c r="K70" s="4">
        <f>IF($J70="","",COUNTIF($A$3:$A$500,$J70))</f>
        <v/>
      </c>
      <c r="L70" s="5">
        <f>IF($J70="","",IF(SUMPRODUCT(MAX(($A$3:$A$500=$J70)*ROW($A$3:$A$500)))=0,"",INDEX($B:$B,SUMPRODUCT(MAX(($A$3:$A$500=$J70)*ROW($A$3:$A$500))))))</f>
        <v/>
      </c>
      <c r="M70" s="4">
        <f>IF($J70="","",IF(SUMPRODUCT(MAX(($A$3:$A$500=$J70)*ROW($A$3:$A$500)))=0,"",INDEX($C:$C,SUMPRODUCT(MAX(($A$3:$A$500=$J70)*ROW($A$3:$A$500))))))</f>
        <v/>
      </c>
      <c r="N70" s="4">
        <f>IF($J70="","",IF(SUMPRODUCT(MAX(($A$3:$A$500=$J70)*ROW($A$3:$A$500)))=0,"",INDEX($D:$D,SUMPRODUCT(MAX(($A$3:$A$500=$J70)*ROW($A$3:$A$500))))))</f>
        <v/>
      </c>
    </row>
    <row r="71">
      <c r="A71" s="4" t="n"/>
      <c r="B71" s="4" t="n"/>
      <c r="C71" s="4" t="n"/>
      <c r="D71" s="4" t="n"/>
      <c r="E71" s="4" t="n"/>
      <c r="F71" s="4" t="n"/>
      <c r="G71" s="4" t="n"/>
      <c r="J71" s="4">
        <f>'Combined Delivery Data'!B70</f>
        <v/>
      </c>
      <c r="K71" s="4">
        <f>IF($J71="","",COUNTIF($A$3:$A$500,$J71))</f>
        <v/>
      </c>
      <c r="L71" s="5">
        <f>IF($J71="","",IF(SUMPRODUCT(MAX(($A$3:$A$500=$J71)*ROW($A$3:$A$500)))=0,"",INDEX($B:$B,SUMPRODUCT(MAX(($A$3:$A$500=$J71)*ROW($A$3:$A$500))))))</f>
        <v/>
      </c>
      <c r="M71" s="4">
        <f>IF($J71="","",IF(SUMPRODUCT(MAX(($A$3:$A$500=$J71)*ROW($A$3:$A$500)))=0,"",INDEX($C:$C,SUMPRODUCT(MAX(($A$3:$A$500=$J71)*ROW($A$3:$A$500))))))</f>
        <v/>
      </c>
      <c r="N71" s="4">
        <f>IF($J71="","",IF(SUMPRODUCT(MAX(($A$3:$A$500=$J71)*ROW($A$3:$A$500)))=0,"",INDEX($D:$D,SUMPRODUCT(MAX(($A$3:$A$500=$J71)*ROW($A$3:$A$500))))))</f>
        <v/>
      </c>
    </row>
    <row r="72">
      <c r="A72" s="4" t="n"/>
      <c r="B72" s="4" t="n"/>
      <c r="C72" s="4" t="n"/>
      <c r="D72" s="4" t="n"/>
      <c r="E72" s="4" t="n"/>
      <c r="F72" s="4" t="n"/>
      <c r="G72" s="4" t="n"/>
      <c r="J72" s="4">
        <f>'Combined Delivery Data'!B71</f>
        <v/>
      </c>
      <c r="K72" s="4">
        <f>IF($J72="","",COUNTIF($A$3:$A$500,$J72))</f>
        <v/>
      </c>
      <c r="L72" s="5">
        <f>IF($J72="","",IF(SUMPRODUCT(MAX(($A$3:$A$500=$J72)*ROW($A$3:$A$500)))=0,"",INDEX($B:$B,SUMPRODUCT(MAX(($A$3:$A$500=$J72)*ROW($A$3:$A$500))))))</f>
        <v/>
      </c>
      <c r="M72" s="4">
        <f>IF($J72="","",IF(SUMPRODUCT(MAX(($A$3:$A$500=$J72)*ROW($A$3:$A$500)))=0,"",INDEX($C:$C,SUMPRODUCT(MAX(($A$3:$A$500=$J72)*ROW($A$3:$A$500))))))</f>
        <v/>
      </c>
      <c r="N72" s="4">
        <f>IF($J72="","",IF(SUMPRODUCT(MAX(($A$3:$A$500=$J72)*ROW($A$3:$A$500)))=0,"",INDEX($D:$D,SUMPRODUCT(MAX(($A$3:$A$500=$J72)*ROW($A$3:$A$500))))))</f>
        <v/>
      </c>
    </row>
    <row r="73">
      <c r="A73" s="4" t="n"/>
      <c r="B73" s="4" t="n"/>
      <c r="C73" s="4" t="n"/>
      <c r="D73" s="4" t="n"/>
      <c r="E73" s="4" t="n"/>
      <c r="F73" s="4" t="n"/>
      <c r="G73" s="4" t="n"/>
      <c r="J73" s="4">
        <f>'Combined Delivery Data'!B72</f>
        <v/>
      </c>
      <c r="K73" s="4">
        <f>IF($J73="","",COUNTIF($A$3:$A$500,$J73))</f>
        <v/>
      </c>
      <c r="L73" s="5">
        <f>IF($J73="","",IF(SUMPRODUCT(MAX(($A$3:$A$500=$J73)*ROW($A$3:$A$500)))=0,"",INDEX($B:$B,SUMPRODUCT(MAX(($A$3:$A$500=$J73)*ROW($A$3:$A$500))))))</f>
        <v/>
      </c>
      <c r="M73" s="4">
        <f>IF($J73="","",IF(SUMPRODUCT(MAX(($A$3:$A$500=$J73)*ROW($A$3:$A$500)))=0,"",INDEX($C:$C,SUMPRODUCT(MAX(($A$3:$A$500=$J73)*ROW($A$3:$A$500))))))</f>
        <v/>
      </c>
      <c r="N73" s="4">
        <f>IF($J73="","",IF(SUMPRODUCT(MAX(($A$3:$A$500=$J73)*ROW($A$3:$A$500)))=0,"",INDEX($D:$D,SUMPRODUCT(MAX(($A$3:$A$500=$J73)*ROW($A$3:$A$500))))))</f>
        <v/>
      </c>
    </row>
    <row r="74">
      <c r="A74" s="4" t="n"/>
      <c r="B74" s="4" t="n"/>
      <c r="C74" s="4" t="n"/>
      <c r="D74" s="4" t="n"/>
      <c r="E74" s="4" t="n"/>
      <c r="F74" s="4" t="n"/>
      <c r="G74" s="4" t="n"/>
      <c r="J74" s="4">
        <f>'Combined Delivery Data'!B73</f>
        <v/>
      </c>
      <c r="K74" s="4">
        <f>IF($J74="","",COUNTIF($A$3:$A$500,$J74))</f>
        <v/>
      </c>
      <c r="L74" s="5">
        <f>IF($J74="","",IF(SUMPRODUCT(MAX(($A$3:$A$500=$J74)*ROW($A$3:$A$500)))=0,"",INDEX($B:$B,SUMPRODUCT(MAX(($A$3:$A$500=$J74)*ROW($A$3:$A$500))))))</f>
        <v/>
      </c>
      <c r="M74" s="4">
        <f>IF($J74="","",IF(SUMPRODUCT(MAX(($A$3:$A$500=$J74)*ROW($A$3:$A$500)))=0,"",INDEX($C:$C,SUMPRODUCT(MAX(($A$3:$A$500=$J74)*ROW($A$3:$A$500))))))</f>
        <v/>
      </c>
      <c r="N74" s="4">
        <f>IF($J74="","",IF(SUMPRODUCT(MAX(($A$3:$A$500=$J74)*ROW($A$3:$A$500)))=0,"",INDEX($D:$D,SUMPRODUCT(MAX(($A$3:$A$500=$J74)*ROW($A$3:$A$500))))))</f>
        <v/>
      </c>
    </row>
    <row r="75">
      <c r="A75" s="4" t="n"/>
      <c r="B75" s="4" t="n"/>
      <c r="C75" s="4" t="n"/>
      <c r="D75" s="4" t="n"/>
      <c r="E75" s="4" t="n"/>
      <c r="F75" s="4" t="n"/>
      <c r="G75" s="4" t="n"/>
    </row>
    <row r="76">
      <c r="A76" s="4" t="n"/>
      <c r="B76" s="4" t="n"/>
      <c r="C76" s="4" t="n"/>
      <c r="D76" s="4" t="n"/>
      <c r="E76" s="4" t="n"/>
      <c r="F76" s="4" t="n"/>
      <c r="G76" s="4" t="n"/>
    </row>
    <row r="77">
      <c r="A77" s="4" t="n"/>
      <c r="B77" s="4" t="n"/>
      <c r="C77" s="4" t="n"/>
      <c r="D77" s="4" t="n"/>
      <c r="E77" s="4" t="n"/>
      <c r="F77" s="4" t="n"/>
      <c r="G77" s="4" t="n"/>
    </row>
    <row r="78">
      <c r="A78" s="4" t="n"/>
      <c r="B78" s="4" t="n"/>
      <c r="C78" s="4" t="n"/>
      <c r="D78" s="4" t="n"/>
      <c r="E78" s="4" t="n"/>
      <c r="F78" s="4" t="n"/>
      <c r="G78" s="4" t="n"/>
    </row>
    <row r="79">
      <c r="A79" s="4" t="n"/>
      <c r="B79" s="4" t="n"/>
      <c r="C79" s="4" t="n"/>
      <c r="D79" s="4" t="n"/>
      <c r="E79" s="4" t="n"/>
      <c r="F79" s="4" t="n"/>
      <c r="G79" s="4" t="n"/>
    </row>
    <row r="80">
      <c r="A80" s="4" t="n"/>
      <c r="B80" s="4" t="n"/>
      <c r="C80" s="4" t="n"/>
      <c r="D80" s="4" t="n"/>
      <c r="E80" s="4" t="n"/>
      <c r="F80" s="4" t="n"/>
      <c r="G80" s="4" t="n"/>
    </row>
    <row r="81">
      <c r="A81" s="4" t="n"/>
      <c r="B81" s="4" t="n"/>
      <c r="C81" s="4" t="n"/>
      <c r="D81" s="4" t="n"/>
      <c r="E81" s="4" t="n"/>
      <c r="F81" s="4" t="n"/>
      <c r="G81" s="4" t="n"/>
    </row>
    <row r="82">
      <c r="A82" s="4" t="n"/>
      <c r="B82" s="4" t="n"/>
      <c r="C82" s="4" t="n"/>
      <c r="D82" s="4" t="n"/>
      <c r="E82" s="4" t="n"/>
      <c r="F82" s="4" t="n"/>
      <c r="G82" s="4" t="n"/>
    </row>
    <row r="83">
      <c r="A83" s="4" t="n"/>
      <c r="B83" s="4" t="n"/>
      <c r="C83" s="4" t="n"/>
      <c r="D83" s="4" t="n"/>
      <c r="E83" s="4" t="n"/>
      <c r="F83" s="4" t="n"/>
      <c r="G83" s="4" t="n"/>
    </row>
    <row r="84">
      <c r="A84" s="4" t="n"/>
      <c r="B84" s="4" t="n"/>
      <c r="C84" s="4" t="n"/>
      <c r="D84" s="4" t="n"/>
      <c r="E84" s="4" t="n"/>
      <c r="F84" s="4" t="n"/>
      <c r="G84" s="4" t="n"/>
    </row>
    <row r="85">
      <c r="A85" s="4" t="n"/>
      <c r="B85" s="4" t="n"/>
      <c r="C85" s="4" t="n"/>
      <c r="D85" s="4" t="n"/>
      <c r="E85" s="4" t="n"/>
      <c r="F85" s="4" t="n"/>
      <c r="G85" s="4" t="n"/>
    </row>
    <row r="86">
      <c r="A86" s="4" t="n"/>
      <c r="B86" s="4" t="n"/>
      <c r="C86" s="4" t="n"/>
      <c r="D86" s="4" t="n"/>
      <c r="E86" s="4" t="n"/>
      <c r="F86" s="4" t="n"/>
      <c r="G86" s="4" t="n"/>
    </row>
    <row r="87">
      <c r="A87" s="4" t="n"/>
      <c r="B87" s="4" t="n"/>
      <c r="C87" s="4" t="n"/>
      <c r="D87" s="4" t="n"/>
      <c r="E87" s="4" t="n"/>
      <c r="F87" s="4" t="n"/>
      <c r="G87" s="4" t="n"/>
    </row>
    <row r="88">
      <c r="A88" s="4" t="n"/>
      <c r="B88" s="4" t="n"/>
      <c r="C88" s="4" t="n"/>
      <c r="D88" s="4" t="n"/>
      <c r="E88" s="4" t="n"/>
      <c r="F88" s="4" t="n"/>
      <c r="G88" s="4" t="n"/>
    </row>
    <row r="89">
      <c r="A89" s="4" t="n"/>
      <c r="B89" s="4" t="n"/>
      <c r="C89" s="4" t="n"/>
      <c r="D89" s="4" t="n"/>
      <c r="E89" s="4" t="n"/>
      <c r="F89" s="4" t="n"/>
      <c r="G89" s="4" t="n"/>
    </row>
    <row r="90">
      <c r="A90" s="4" t="n"/>
      <c r="B90" s="4" t="n"/>
      <c r="C90" s="4" t="n"/>
      <c r="D90" s="4" t="n"/>
      <c r="E90" s="4" t="n"/>
      <c r="F90" s="4" t="n"/>
      <c r="G90" s="4" t="n"/>
    </row>
    <row r="91">
      <c r="A91" s="4" t="n"/>
      <c r="B91" s="4" t="n"/>
      <c r="C91" s="4" t="n"/>
      <c r="D91" s="4" t="n"/>
      <c r="E91" s="4" t="n"/>
      <c r="F91" s="4" t="n"/>
      <c r="G91" s="4" t="n"/>
    </row>
    <row r="92">
      <c r="A92" s="4" t="n"/>
      <c r="B92" s="4" t="n"/>
      <c r="C92" s="4" t="n"/>
      <c r="D92" s="4" t="n"/>
      <c r="E92" s="4" t="n"/>
      <c r="F92" s="4" t="n"/>
      <c r="G92" s="4" t="n"/>
    </row>
    <row r="93">
      <c r="A93" s="4" t="n"/>
      <c r="B93" s="4" t="n"/>
      <c r="C93" s="4" t="n"/>
      <c r="D93" s="4" t="n"/>
      <c r="E93" s="4" t="n"/>
      <c r="F93" s="4" t="n"/>
      <c r="G93" s="4" t="n"/>
    </row>
    <row r="94">
      <c r="A94" s="4" t="n"/>
      <c r="B94" s="4" t="n"/>
      <c r="C94" s="4" t="n"/>
      <c r="D94" s="4" t="n"/>
      <c r="E94" s="4" t="n"/>
      <c r="F94" s="4" t="n"/>
      <c r="G94" s="4" t="n"/>
    </row>
    <row r="95">
      <c r="A95" s="4" t="n"/>
      <c r="B95" s="4" t="n"/>
      <c r="C95" s="4" t="n"/>
      <c r="D95" s="4" t="n"/>
      <c r="E95" s="4" t="n"/>
      <c r="F95" s="4" t="n"/>
      <c r="G95" s="4" t="n"/>
    </row>
    <row r="96">
      <c r="A96" s="4" t="n"/>
      <c r="B96" s="4" t="n"/>
      <c r="C96" s="4" t="n"/>
      <c r="D96" s="4" t="n"/>
      <c r="E96" s="4" t="n"/>
      <c r="F96" s="4" t="n"/>
      <c r="G96" s="4" t="n"/>
    </row>
    <row r="97">
      <c r="A97" s="4" t="n"/>
      <c r="B97" s="4" t="n"/>
      <c r="C97" s="4" t="n"/>
      <c r="D97" s="4" t="n"/>
      <c r="E97" s="4" t="n"/>
      <c r="F97" s="4" t="n"/>
      <c r="G97" s="4" t="n"/>
    </row>
    <row r="98">
      <c r="A98" s="4" t="n"/>
      <c r="B98" s="4" t="n"/>
      <c r="C98" s="4" t="n"/>
      <c r="D98" s="4" t="n"/>
      <c r="E98" s="4" t="n"/>
      <c r="F98" s="4" t="n"/>
      <c r="G98" s="4" t="n"/>
    </row>
    <row r="99">
      <c r="A99" s="4" t="n"/>
      <c r="B99" s="4" t="n"/>
      <c r="C99" s="4" t="n"/>
      <c r="D99" s="4" t="n"/>
      <c r="E99" s="4" t="n"/>
      <c r="F99" s="4" t="n"/>
      <c r="G99" s="4" t="n"/>
    </row>
    <row r="100">
      <c r="A100" s="4" t="n"/>
      <c r="B100" s="4" t="n"/>
      <c r="C100" s="4" t="n"/>
      <c r="D100" s="4" t="n"/>
      <c r="E100" s="4" t="n"/>
      <c r="F100" s="4" t="n"/>
      <c r="G100" s="4" t="n"/>
    </row>
    <row r="101">
      <c r="A101" s="4" t="n"/>
      <c r="B101" s="4" t="n"/>
      <c r="C101" s="4" t="n"/>
      <c r="D101" s="4" t="n"/>
      <c r="E101" s="4" t="n"/>
      <c r="F101" s="4" t="n"/>
      <c r="G101" s="4" t="n"/>
    </row>
    <row r="102">
      <c r="A102" s="4" t="n"/>
      <c r="B102" s="4" t="n"/>
      <c r="C102" s="4" t="n"/>
      <c r="D102" s="4" t="n"/>
      <c r="E102" s="4" t="n"/>
      <c r="F102" s="4" t="n"/>
      <c r="G102" s="4" t="n"/>
    </row>
    <row r="103">
      <c r="A103" s="4" t="n"/>
      <c r="B103" s="4" t="n"/>
      <c r="C103" s="4" t="n"/>
      <c r="D103" s="4" t="n"/>
      <c r="E103" s="4" t="n"/>
      <c r="F103" s="4" t="n"/>
      <c r="G103" s="4" t="n"/>
    </row>
    <row r="104">
      <c r="A104" s="4" t="n"/>
      <c r="B104" s="4" t="n"/>
      <c r="C104" s="4" t="n"/>
      <c r="D104" s="4" t="n"/>
      <c r="E104" s="4" t="n"/>
      <c r="F104" s="4" t="n"/>
      <c r="G104" s="4" t="n"/>
    </row>
    <row r="105">
      <c r="A105" s="4" t="n"/>
      <c r="B105" s="4" t="n"/>
      <c r="C105" s="4" t="n"/>
      <c r="D105" s="4" t="n"/>
      <c r="E105" s="4" t="n"/>
      <c r="F105" s="4" t="n"/>
      <c r="G105" s="4" t="n"/>
    </row>
    <row r="106">
      <c r="A106" s="4" t="n"/>
      <c r="B106" s="4" t="n"/>
      <c r="C106" s="4" t="n"/>
      <c r="D106" s="4" t="n"/>
      <c r="E106" s="4" t="n"/>
      <c r="F106" s="4" t="n"/>
      <c r="G106" s="4" t="n"/>
    </row>
    <row r="107">
      <c r="A107" s="4" t="n"/>
      <c r="B107" s="4" t="n"/>
      <c r="C107" s="4" t="n"/>
      <c r="D107" s="4" t="n"/>
      <c r="E107" s="4" t="n"/>
      <c r="F107" s="4" t="n"/>
      <c r="G107" s="4" t="n"/>
    </row>
    <row r="108">
      <c r="A108" s="4" t="n"/>
      <c r="B108" s="4" t="n"/>
      <c r="C108" s="4" t="n"/>
      <c r="D108" s="4" t="n"/>
      <c r="E108" s="4" t="n"/>
      <c r="F108" s="4" t="n"/>
      <c r="G108" s="4" t="n"/>
    </row>
    <row r="109">
      <c r="A109" s="4" t="n"/>
      <c r="B109" s="4" t="n"/>
      <c r="C109" s="4" t="n"/>
      <c r="D109" s="4" t="n"/>
      <c r="E109" s="4" t="n"/>
      <c r="F109" s="4" t="n"/>
      <c r="G109" s="4" t="n"/>
    </row>
    <row r="110">
      <c r="A110" s="4" t="n"/>
      <c r="B110" s="4" t="n"/>
      <c r="C110" s="4" t="n"/>
      <c r="D110" s="4" t="n"/>
      <c r="E110" s="4" t="n"/>
      <c r="F110" s="4" t="n"/>
      <c r="G110" s="4" t="n"/>
    </row>
    <row r="111">
      <c r="A111" s="4" t="n"/>
      <c r="B111" s="4" t="n"/>
      <c r="C111" s="4" t="n"/>
      <c r="D111" s="4" t="n"/>
      <c r="E111" s="4" t="n"/>
      <c r="F111" s="4" t="n"/>
      <c r="G111" s="4" t="n"/>
    </row>
    <row r="112">
      <c r="A112" s="4" t="n"/>
      <c r="B112" s="4" t="n"/>
      <c r="C112" s="4" t="n"/>
      <c r="D112" s="4" t="n"/>
      <c r="E112" s="4" t="n"/>
      <c r="F112" s="4" t="n"/>
      <c r="G112" s="4" t="n"/>
    </row>
    <row r="113">
      <c r="A113" s="4" t="n"/>
      <c r="B113" s="4" t="n"/>
      <c r="C113" s="4" t="n"/>
      <c r="D113" s="4" t="n"/>
      <c r="E113" s="4" t="n"/>
      <c r="F113" s="4" t="n"/>
      <c r="G113" s="4" t="n"/>
    </row>
    <row r="114">
      <c r="A114" s="4" t="n"/>
      <c r="B114" s="4" t="n"/>
      <c r="C114" s="4" t="n"/>
      <c r="D114" s="4" t="n"/>
      <c r="E114" s="4" t="n"/>
      <c r="F114" s="4" t="n"/>
      <c r="G114" s="4" t="n"/>
    </row>
    <row r="115">
      <c r="A115" s="4" t="n"/>
      <c r="B115" s="4" t="n"/>
      <c r="C115" s="4" t="n"/>
      <c r="D115" s="4" t="n"/>
      <c r="E115" s="4" t="n"/>
      <c r="F115" s="4" t="n"/>
      <c r="G115" s="4" t="n"/>
    </row>
    <row r="116">
      <c r="A116" s="4" t="n"/>
      <c r="B116" s="4" t="n"/>
      <c r="C116" s="4" t="n"/>
      <c r="D116" s="4" t="n"/>
      <c r="E116" s="4" t="n"/>
      <c r="F116" s="4" t="n"/>
      <c r="G116" s="4" t="n"/>
    </row>
    <row r="117">
      <c r="A117" s="4" t="n"/>
      <c r="B117" s="4" t="n"/>
      <c r="C117" s="4" t="n"/>
      <c r="D117" s="4" t="n"/>
      <c r="E117" s="4" t="n"/>
      <c r="F117" s="4" t="n"/>
      <c r="G117" s="4" t="n"/>
    </row>
    <row r="118">
      <c r="A118" s="4" t="n"/>
      <c r="B118" s="4" t="n"/>
      <c r="C118" s="4" t="n"/>
      <c r="D118" s="4" t="n"/>
      <c r="E118" s="4" t="n"/>
      <c r="F118" s="4" t="n"/>
      <c r="G118" s="4" t="n"/>
    </row>
    <row r="119">
      <c r="A119" s="4" t="n"/>
      <c r="B119" s="4" t="n"/>
      <c r="C119" s="4" t="n"/>
      <c r="D119" s="4" t="n"/>
      <c r="E119" s="4" t="n"/>
      <c r="F119" s="4" t="n"/>
      <c r="G119" s="4" t="n"/>
    </row>
    <row r="120">
      <c r="A120" s="4" t="n"/>
      <c r="B120" s="4" t="n"/>
      <c r="C120" s="4" t="n"/>
      <c r="D120" s="4" t="n"/>
      <c r="E120" s="4" t="n"/>
      <c r="F120" s="4" t="n"/>
      <c r="G120" s="4" t="n"/>
    </row>
    <row r="121">
      <c r="A121" s="4" t="n"/>
      <c r="B121" s="4" t="n"/>
      <c r="C121" s="4" t="n"/>
      <c r="D121" s="4" t="n"/>
      <c r="E121" s="4" t="n"/>
      <c r="F121" s="4" t="n"/>
      <c r="G121" s="4" t="n"/>
    </row>
    <row r="122">
      <c r="A122" s="4" t="n"/>
      <c r="B122" s="4" t="n"/>
      <c r="C122" s="4" t="n"/>
      <c r="D122" s="4" t="n"/>
      <c r="E122" s="4" t="n"/>
      <c r="F122" s="4" t="n"/>
      <c r="G122" s="4" t="n"/>
    </row>
    <row r="123">
      <c r="A123" s="4" t="n"/>
      <c r="B123" s="4" t="n"/>
      <c r="C123" s="4" t="n"/>
      <c r="D123" s="4" t="n"/>
      <c r="E123" s="4" t="n"/>
      <c r="F123" s="4" t="n"/>
      <c r="G123" s="4" t="n"/>
    </row>
    <row r="124">
      <c r="A124" s="4" t="n"/>
      <c r="B124" s="4" t="n"/>
      <c r="C124" s="4" t="n"/>
      <c r="D124" s="4" t="n"/>
      <c r="E124" s="4" t="n"/>
      <c r="F124" s="4" t="n"/>
      <c r="G124" s="4" t="n"/>
    </row>
    <row r="125">
      <c r="A125" s="4" t="n"/>
      <c r="B125" s="4" t="n"/>
      <c r="C125" s="4" t="n"/>
      <c r="D125" s="4" t="n"/>
      <c r="E125" s="4" t="n"/>
      <c r="F125" s="4" t="n"/>
      <c r="G125" s="4" t="n"/>
    </row>
    <row r="126">
      <c r="A126" s="4" t="n"/>
      <c r="B126" s="4" t="n"/>
      <c r="C126" s="4" t="n"/>
      <c r="D126" s="4" t="n"/>
      <c r="E126" s="4" t="n"/>
      <c r="F126" s="4" t="n"/>
      <c r="G126" s="4" t="n"/>
    </row>
    <row r="127">
      <c r="A127" s="4" t="n"/>
      <c r="B127" s="4" t="n"/>
      <c r="C127" s="4" t="n"/>
      <c r="D127" s="4" t="n"/>
      <c r="E127" s="4" t="n"/>
      <c r="F127" s="4" t="n"/>
      <c r="G127" s="4" t="n"/>
    </row>
    <row r="128">
      <c r="A128" s="4" t="n"/>
      <c r="B128" s="4" t="n"/>
      <c r="C128" s="4" t="n"/>
      <c r="D128" s="4" t="n"/>
      <c r="E128" s="4" t="n"/>
      <c r="F128" s="4" t="n"/>
      <c r="G128" s="4" t="n"/>
    </row>
    <row r="129">
      <c r="A129" s="4" t="n"/>
      <c r="B129" s="4" t="n"/>
      <c r="C129" s="4" t="n"/>
      <c r="D129" s="4" t="n"/>
      <c r="E129" s="4" t="n"/>
      <c r="F129" s="4" t="n"/>
      <c r="G129" s="4" t="n"/>
    </row>
    <row r="130">
      <c r="A130" s="4" t="n"/>
      <c r="B130" s="4" t="n"/>
      <c r="C130" s="4" t="n"/>
      <c r="D130" s="4" t="n"/>
      <c r="E130" s="4" t="n"/>
      <c r="F130" s="4" t="n"/>
      <c r="G130" s="4" t="n"/>
    </row>
    <row r="131">
      <c r="A131" s="4" t="n"/>
      <c r="B131" s="4" t="n"/>
      <c r="C131" s="4" t="n"/>
      <c r="D131" s="4" t="n"/>
      <c r="E131" s="4" t="n"/>
      <c r="F131" s="4" t="n"/>
      <c r="G131" s="4" t="n"/>
    </row>
    <row r="132">
      <c r="A132" s="4" t="n"/>
      <c r="B132" s="4" t="n"/>
      <c r="C132" s="4" t="n"/>
      <c r="D132" s="4" t="n"/>
      <c r="E132" s="4" t="n"/>
      <c r="F132" s="4" t="n"/>
      <c r="G132" s="4" t="n"/>
    </row>
    <row r="133">
      <c r="A133" s="4" t="n"/>
      <c r="B133" s="4" t="n"/>
      <c r="C133" s="4" t="n"/>
      <c r="D133" s="4" t="n"/>
      <c r="E133" s="4" t="n"/>
      <c r="F133" s="4" t="n"/>
      <c r="G133" s="4" t="n"/>
    </row>
    <row r="134">
      <c r="A134" s="4" t="n"/>
      <c r="B134" s="4" t="n"/>
      <c r="C134" s="4" t="n"/>
      <c r="D134" s="4" t="n"/>
      <c r="E134" s="4" t="n"/>
      <c r="F134" s="4" t="n"/>
      <c r="G134" s="4" t="n"/>
    </row>
    <row r="135">
      <c r="A135" s="4" t="n"/>
      <c r="B135" s="4" t="n"/>
      <c r="C135" s="4" t="n"/>
      <c r="D135" s="4" t="n"/>
      <c r="E135" s="4" t="n"/>
      <c r="F135" s="4" t="n"/>
      <c r="G135" s="4" t="n"/>
    </row>
    <row r="136">
      <c r="A136" s="4" t="n"/>
      <c r="B136" s="4" t="n"/>
      <c r="C136" s="4" t="n"/>
      <c r="D136" s="4" t="n"/>
      <c r="E136" s="4" t="n"/>
      <c r="F136" s="4" t="n"/>
      <c r="G136" s="4" t="n"/>
    </row>
    <row r="137">
      <c r="A137" s="4" t="n"/>
      <c r="B137" s="4" t="n"/>
      <c r="C137" s="4" t="n"/>
      <c r="D137" s="4" t="n"/>
      <c r="E137" s="4" t="n"/>
      <c r="F137" s="4" t="n"/>
      <c r="G137" s="4" t="n"/>
    </row>
    <row r="138">
      <c r="A138" s="4" t="n"/>
      <c r="B138" s="4" t="n"/>
      <c r="C138" s="4" t="n"/>
      <c r="D138" s="4" t="n"/>
      <c r="E138" s="4" t="n"/>
      <c r="F138" s="4" t="n"/>
      <c r="G138" s="4" t="n"/>
    </row>
    <row r="139">
      <c r="A139" s="4" t="n"/>
      <c r="B139" s="4" t="n"/>
      <c r="C139" s="4" t="n"/>
      <c r="D139" s="4" t="n"/>
      <c r="E139" s="4" t="n"/>
      <c r="F139" s="4" t="n"/>
      <c r="G139" s="4" t="n"/>
    </row>
    <row r="140">
      <c r="A140" s="4" t="n"/>
      <c r="B140" s="4" t="n"/>
      <c r="C140" s="4" t="n"/>
      <c r="D140" s="4" t="n"/>
      <c r="E140" s="4" t="n"/>
      <c r="F140" s="4" t="n"/>
      <c r="G140" s="4" t="n"/>
    </row>
    <row r="141">
      <c r="A141" s="4" t="n"/>
      <c r="B141" s="4" t="n"/>
      <c r="C141" s="4" t="n"/>
      <c r="D141" s="4" t="n"/>
      <c r="E141" s="4" t="n"/>
      <c r="F141" s="4" t="n"/>
      <c r="G141" s="4" t="n"/>
    </row>
    <row r="142">
      <c r="A142" s="4" t="n"/>
      <c r="B142" s="4" t="n"/>
      <c r="C142" s="4" t="n"/>
      <c r="D142" s="4" t="n"/>
      <c r="E142" s="4" t="n"/>
      <c r="F142" s="4" t="n"/>
      <c r="G142" s="4" t="n"/>
    </row>
    <row r="143">
      <c r="A143" s="4" t="n"/>
      <c r="B143" s="4" t="n"/>
      <c r="C143" s="4" t="n"/>
      <c r="D143" s="4" t="n"/>
      <c r="E143" s="4" t="n"/>
      <c r="F143" s="4" t="n"/>
      <c r="G143" s="4" t="n"/>
    </row>
    <row r="144">
      <c r="A144" s="4" t="n"/>
      <c r="B144" s="4" t="n"/>
      <c r="C144" s="4" t="n"/>
      <c r="D144" s="4" t="n"/>
      <c r="E144" s="4" t="n"/>
      <c r="F144" s="4" t="n"/>
      <c r="G144" s="4" t="n"/>
    </row>
    <row r="145">
      <c r="A145" s="4" t="n"/>
      <c r="B145" s="4" t="n"/>
      <c r="C145" s="4" t="n"/>
      <c r="D145" s="4" t="n"/>
      <c r="E145" s="4" t="n"/>
      <c r="F145" s="4" t="n"/>
      <c r="G145" s="4" t="n"/>
    </row>
    <row r="146">
      <c r="A146" s="4" t="n"/>
      <c r="B146" s="4" t="n"/>
      <c r="C146" s="4" t="n"/>
      <c r="D146" s="4" t="n"/>
      <c r="E146" s="4" t="n"/>
      <c r="F146" s="4" t="n"/>
      <c r="G146" s="4" t="n"/>
    </row>
    <row r="147">
      <c r="A147" s="4" t="n"/>
      <c r="B147" s="4" t="n"/>
      <c r="C147" s="4" t="n"/>
      <c r="D147" s="4" t="n"/>
      <c r="E147" s="4" t="n"/>
      <c r="F147" s="4" t="n"/>
      <c r="G147" s="4" t="n"/>
    </row>
    <row r="148">
      <c r="A148" s="4" t="n"/>
      <c r="B148" s="4" t="n"/>
      <c r="C148" s="4" t="n"/>
      <c r="D148" s="4" t="n"/>
      <c r="E148" s="4" t="n"/>
      <c r="F148" s="4" t="n"/>
      <c r="G148" s="4" t="n"/>
    </row>
    <row r="149">
      <c r="A149" s="4" t="n"/>
      <c r="B149" s="4" t="n"/>
      <c r="C149" s="4" t="n"/>
      <c r="D149" s="4" t="n"/>
      <c r="E149" s="4" t="n"/>
      <c r="F149" s="4" t="n"/>
      <c r="G149" s="4" t="n"/>
    </row>
    <row r="150">
      <c r="A150" s="4" t="n"/>
      <c r="B150" s="4" t="n"/>
      <c r="C150" s="4" t="n"/>
      <c r="D150" s="4" t="n"/>
      <c r="E150" s="4" t="n"/>
      <c r="F150" s="4" t="n"/>
      <c r="G150" s="4" t="n"/>
    </row>
    <row r="151">
      <c r="A151" s="4" t="n"/>
      <c r="B151" s="4" t="n"/>
      <c r="C151" s="4" t="n"/>
      <c r="D151" s="4" t="n"/>
      <c r="E151" s="4" t="n"/>
      <c r="F151" s="4" t="n"/>
      <c r="G151" s="4" t="n"/>
    </row>
    <row r="152">
      <c r="A152" s="4" t="n"/>
      <c r="B152" s="4" t="n"/>
      <c r="C152" s="4" t="n"/>
      <c r="D152" s="4" t="n"/>
      <c r="E152" s="4" t="n"/>
      <c r="F152" s="4" t="n"/>
      <c r="G152" s="4" t="n"/>
    </row>
    <row r="153">
      <c r="A153" s="4" t="n"/>
      <c r="B153" s="4" t="n"/>
      <c r="C153" s="4" t="n"/>
      <c r="D153" s="4" t="n"/>
      <c r="E153" s="4" t="n"/>
      <c r="F153" s="4" t="n"/>
      <c r="G153" s="4" t="n"/>
    </row>
    <row r="154">
      <c r="A154" s="4" t="n"/>
      <c r="B154" s="4" t="n"/>
      <c r="C154" s="4" t="n"/>
      <c r="D154" s="4" t="n"/>
      <c r="E154" s="4" t="n"/>
      <c r="F154" s="4" t="n"/>
      <c r="G154" s="4" t="n"/>
    </row>
    <row r="155">
      <c r="A155" s="4" t="n"/>
      <c r="B155" s="4" t="n"/>
      <c r="C155" s="4" t="n"/>
      <c r="D155" s="4" t="n"/>
      <c r="E155" s="4" t="n"/>
      <c r="F155" s="4" t="n"/>
      <c r="G155" s="4" t="n"/>
    </row>
    <row r="156">
      <c r="A156" s="4" t="n"/>
      <c r="B156" s="4" t="n"/>
      <c r="C156" s="4" t="n"/>
      <c r="D156" s="4" t="n"/>
      <c r="E156" s="4" t="n"/>
      <c r="F156" s="4" t="n"/>
      <c r="G156" s="4" t="n"/>
    </row>
    <row r="157">
      <c r="A157" s="4" t="n"/>
      <c r="B157" s="4" t="n"/>
      <c r="C157" s="4" t="n"/>
      <c r="D157" s="4" t="n"/>
      <c r="E157" s="4" t="n"/>
      <c r="F157" s="4" t="n"/>
      <c r="G157" s="4" t="n"/>
    </row>
    <row r="158">
      <c r="A158" s="4" t="n"/>
      <c r="B158" s="4" t="n"/>
      <c r="C158" s="4" t="n"/>
      <c r="D158" s="4" t="n"/>
      <c r="E158" s="4" t="n"/>
      <c r="F158" s="4" t="n"/>
      <c r="G158" s="4" t="n"/>
    </row>
    <row r="159">
      <c r="A159" s="4" t="n"/>
      <c r="B159" s="4" t="n"/>
      <c r="C159" s="4" t="n"/>
      <c r="D159" s="4" t="n"/>
      <c r="E159" s="4" t="n"/>
      <c r="F159" s="4" t="n"/>
      <c r="G159" s="4" t="n"/>
    </row>
    <row r="160">
      <c r="A160" s="4" t="n"/>
      <c r="B160" s="4" t="n"/>
      <c r="C160" s="4" t="n"/>
      <c r="D160" s="4" t="n"/>
      <c r="E160" s="4" t="n"/>
      <c r="F160" s="4" t="n"/>
      <c r="G160" s="4" t="n"/>
    </row>
    <row r="161">
      <c r="A161" s="4" t="n"/>
      <c r="B161" s="4" t="n"/>
      <c r="C161" s="4" t="n"/>
      <c r="D161" s="4" t="n"/>
      <c r="E161" s="4" t="n"/>
      <c r="F161" s="4" t="n"/>
      <c r="G161" s="4" t="n"/>
    </row>
    <row r="162">
      <c r="A162" s="4" t="n"/>
      <c r="B162" s="4" t="n"/>
      <c r="C162" s="4" t="n"/>
      <c r="D162" s="4" t="n"/>
      <c r="E162" s="4" t="n"/>
      <c r="F162" s="4" t="n"/>
      <c r="G162" s="4" t="n"/>
    </row>
    <row r="163">
      <c r="A163" s="4" t="n"/>
      <c r="B163" s="4" t="n"/>
      <c r="C163" s="4" t="n"/>
      <c r="D163" s="4" t="n"/>
      <c r="E163" s="4" t="n"/>
      <c r="F163" s="4" t="n"/>
      <c r="G163" s="4" t="n"/>
    </row>
    <row r="164">
      <c r="A164" s="4" t="n"/>
      <c r="B164" s="4" t="n"/>
      <c r="C164" s="4" t="n"/>
      <c r="D164" s="4" t="n"/>
      <c r="E164" s="4" t="n"/>
      <c r="F164" s="4" t="n"/>
      <c r="G164" s="4" t="n"/>
    </row>
    <row r="165">
      <c r="A165" s="4" t="n"/>
      <c r="B165" s="4" t="n"/>
      <c r="C165" s="4" t="n"/>
      <c r="D165" s="4" t="n"/>
      <c r="E165" s="4" t="n"/>
      <c r="F165" s="4" t="n"/>
      <c r="G165" s="4" t="n"/>
    </row>
    <row r="166">
      <c r="A166" s="4" t="n"/>
      <c r="B166" s="4" t="n"/>
      <c r="C166" s="4" t="n"/>
      <c r="D166" s="4" t="n"/>
      <c r="E166" s="4" t="n"/>
      <c r="F166" s="4" t="n"/>
      <c r="G166" s="4" t="n"/>
    </row>
    <row r="167">
      <c r="A167" s="4" t="n"/>
      <c r="B167" s="4" t="n"/>
      <c r="C167" s="4" t="n"/>
      <c r="D167" s="4" t="n"/>
      <c r="E167" s="4" t="n"/>
      <c r="F167" s="4" t="n"/>
      <c r="G167" s="4" t="n"/>
    </row>
    <row r="168">
      <c r="A168" s="4" t="n"/>
      <c r="B168" s="4" t="n"/>
      <c r="C168" s="4" t="n"/>
      <c r="D168" s="4" t="n"/>
      <c r="E168" s="4" t="n"/>
      <c r="F168" s="4" t="n"/>
      <c r="G168" s="4" t="n"/>
    </row>
    <row r="169">
      <c r="A169" s="4" t="n"/>
      <c r="B169" s="4" t="n"/>
      <c r="C169" s="4" t="n"/>
      <c r="D169" s="4" t="n"/>
      <c r="E169" s="4" t="n"/>
      <c r="F169" s="4" t="n"/>
      <c r="G169" s="4" t="n"/>
    </row>
    <row r="170">
      <c r="A170" s="4" t="n"/>
      <c r="B170" s="4" t="n"/>
      <c r="C170" s="4" t="n"/>
      <c r="D170" s="4" t="n"/>
      <c r="E170" s="4" t="n"/>
      <c r="F170" s="4" t="n"/>
      <c r="G170" s="4" t="n"/>
    </row>
    <row r="171">
      <c r="A171" s="4" t="n"/>
      <c r="B171" s="4" t="n"/>
      <c r="C171" s="4" t="n"/>
      <c r="D171" s="4" t="n"/>
      <c r="E171" s="4" t="n"/>
      <c r="F171" s="4" t="n"/>
      <c r="G171" s="4" t="n"/>
    </row>
    <row r="172">
      <c r="A172" s="4" t="n"/>
      <c r="B172" s="4" t="n"/>
      <c r="C172" s="4" t="n"/>
      <c r="D172" s="4" t="n"/>
      <c r="E172" s="4" t="n"/>
      <c r="F172" s="4" t="n"/>
      <c r="G172" s="4" t="n"/>
    </row>
    <row r="173">
      <c r="A173" s="4" t="n"/>
      <c r="B173" s="4" t="n"/>
      <c r="C173" s="4" t="n"/>
      <c r="D173" s="4" t="n"/>
      <c r="E173" s="4" t="n"/>
      <c r="F173" s="4" t="n"/>
      <c r="G173" s="4" t="n"/>
    </row>
    <row r="174">
      <c r="A174" s="4" t="n"/>
      <c r="B174" s="4" t="n"/>
      <c r="C174" s="4" t="n"/>
      <c r="D174" s="4" t="n"/>
      <c r="E174" s="4" t="n"/>
      <c r="F174" s="4" t="n"/>
      <c r="G174" s="4" t="n"/>
    </row>
    <row r="175">
      <c r="A175" s="4" t="n"/>
      <c r="B175" s="4" t="n"/>
      <c r="C175" s="4" t="n"/>
      <c r="D175" s="4" t="n"/>
      <c r="E175" s="4" t="n"/>
      <c r="F175" s="4" t="n"/>
      <c r="G175" s="4" t="n"/>
    </row>
    <row r="176">
      <c r="A176" s="4" t="n"/>
      <c r="B176" s="4" t="n"/>
      <c r="C176" s="4" t="n"/>
      <c r="D176" s="4" t="n"/>
      <c r="E176" s="4" t="n"/>
      <c r="F176" s="4" t="n"/>
      <c r="G176" s="4" t="n"/>
    </row>
    <row r="177">
      <c r="A177" s="4" t="n"/>
      <c r="B177" s="4" t="n"/>
      <c r="C177" s="4" t="n"/>
      <c r="D177" s="4" t="n"/>
      <c r="E177" s="4" t="n"/>
      <c r="F177" s="4" t="n"/>
      <c r="G177" s="4" t="n"/>
    </row>
    <row r="178">
      <c r="A178" s="4" t="n"/>
      <c r="B178" s="4" t="n"/>
      <c r="C178" s="4" t="n"/>
      <c r="D178" s="4" t="n"/>
      <c r="E178" s="4" t="n"/>
      <c r="F178" s="4" t="n"/>
      <c r="G178" s="4" t="n"/>
    </row>
    <row r="179">
      <c r="A179" s="4" t="n"/>
      <c r="B179" s="4" t="n"/>
      <c r="C179" s="4" t="n"/>
      <c r="D179" s="4" t="n"/>
      <c r="E179" s="4" t="n"/>
      <c r="F179" s="4" t="n"/>
      <c r="G179" s="4" t="n"/>
    </row>
    <row r="180">
      <c r="A180" s="4" t="n"/>
      <c r="B180" s="4" t="n"/>
      <c r="C180" s="4" t="n"/>
      <c r="D180" s="4" t="n"/>
      <c r="E180" s="4" t="n"/>
      <c r="F180" s="4" t="n"/>
      <c r="G180" s="4" t="n"/>
    </row>
    <row r="181">
      <c r="A181" s="4" t="n"/>
      <c r="B181" s="4" t="n"/>
      <c r="C181" s="4" t="n"/>
      <c r="D181" s="4" t="n"/>
      <c r="E181" s="4" t="n"/>
      <c r="F181" s="4" t="n"/>
      <c r="G181" s="4" t="n"/>
    </row>
    <row r="182">
      <c r="A182" s="4" t="n"/>
      <c r="B182" s="4" t="n"/>
      <c r="C182" s="4" t="n"/>
      <c r="D182" s="4" t="n"/>
      <c r="E182" s="4" t="n"/>
      <c r="F182" s="4" t="n"/>
      <c r="G182" s="4" t="n"/>
    </row>
    <row r="183">
      <c r="A183" s="4" t="n"/>
      <c r="B183" s="4" t="n"/>
      <c r="C183" s="4" t="n"/>
      <c r="D183" s="4" t="n"/>
      <c r="E183" s="4" t="n"/>
      <c r="F183" s="4" t="n"/>
      <c r="G183" s="4" t="n"/>
    </row>
    <row r="184">
      <c r="A184" s="4" t="n"/>
      <c r="B184" s="4" t="n"/>
      <c r="C184" s="4" t="n"/>
      <c r="D184" s="4" t="n"/>
      <c r="E184" s="4" t="n"/>
      <c r="F184" s="4" t="n"/>
      <c r="G184" s="4" t="n"/>
    </row>
    <row r="185">
      <c r="A185" s="4" t="n"/>
      <c r="B185" s="4" t="n"/>
      <c r="C185" s="4" t="n"/>
      <c r="D185" s="4" t="n"/>
      <c r="E185" s="4" t="n"/>
      <c r="F185" s="4" t="n"/>
      <c r="G185" s="4" t="n"/>
    </row>
    <row r="186">
      <c r="A186" s="4" t="n"/>
      <c r="B186" s="4" t="n"/>
      <c r="C186" s="4" t="n"/>
      <c r="D186" s="4" t="n"/>
      <c r="E186" s="4" t="n"/>
      <c r="F186" s="4" t="n"/>
      <c r="G186" s="4" t="n"/>
    </row>
    <row r="187">
      <c r="A187" s="4" t="n"/>
      <c r="B187" s="4" t="n"/>
      <c r="C187" s="4" t="n"/>
      <c r="D187" s="4" t="n"/>
      <c r="E187" s="4" t="n"/>
      <c r="F187" s="4" t="n"/>
      <c r="G187" s="4" t="n"/>
    </row>
    <row r="188">
      <c r="A188" s="4" t="n"/>
      <c r="B188" s="4" t="n"/>
      <c r="C188" s="4" t="n"/>
      <c r="D188" s="4" t="n"/>
      <c r="E188" s="4" t="n"/>
      <c r="F188" s="4" t="n"/>
      <c r="G188" s="4" t="n"/>
    </row>
    <row r="189">
      <c r="A189" s="4" t="n"/>
      <c r="B189" s="4" t="n"/>
      <c r="C189" s="4" t="n"/>
      <c r="D189" s="4" t="n"/>
      <c r="E189" s="4" t="n"/>
      <c r="F189" s="4" t="n"/>
      <c r="G189" s="4" t="n"/>
    </row>
    <row r="190">
      <c r="A190" s="4" t="n"/>
      <c r="B190" s="4" t="n"/>
      <c r="C190" s="4" t="n"/>
      <c r="D190" s="4" t="n"/>
      <c r="E190" s="4" t="n"/>
      <c r="F190" s="4" t="n"/>
      <c r="G190" s="4" t="n"/>
    </row>
    <row r="191">
      <c r="A191" s="4" t="n"/>
      <c r="B191" s="4" t="n"/>
      <c r="C191" s="4" t="n"/>
      <c r="D191" s="4" t="n"/>
      <c r="E191" s="4" t="n"/>
      <c r="F191" s="4" t="n"/>
      <c r="G191" s="4" t="n"/>
    </row>
    <row r="192">
      <c r="A192" s="4" t="n"/>
      <c r="B192" s="4" t="n"/>
      <c r="C192" s="4" t="n"/>
      <c r="D192" s="4" t="n"/>
      <c r="E192" s="4" t="n"/>
      <c r="F192" s="4" t="n"/>
      <c r="G192" s="4" t="n"/>
    </row>
    <row r="193">
      <c r="A193" s="4" t="n"/>
      <c r="B193" s="4" t="n"/>
      <c r="C193" s="4" t="n"/>
      <c r="D193" s="4" t="n"/>
      <c r="E193" s="4" t="n"/>
      <c r="F193" s="4" t="n"/>
      <c r="G193" s="4" t="n"/>
    </row>
    <row r="194">
      <c r="A194" s="4" t="n"/>
      <c r="B194" s="4" t="n"/>
      <c r="C194" s="4" t="n"/>
      <c r="D194" s="4" t="n"/>
      <c r="E194" s="4" t="n"/>
      <c r="F194" s="4" t="n"/>
      <c r="G194" s="4" t="n"/>
    </row>
    <row r="195">
      <c r="A195" s="4" t="n"/>
      <c r="B195" s="4" t="n"/>
      <c r="C195" s="4" t="n"/>
      <c r="D195" s="4" t="n"/>
      <c r="E195" s="4" t="n"/>
      <c r="F195" s="4" t="n"/>
      <c r="G195" s="4" t="n"/>
    </row>
    <row r="196">
      <c r="A196" s="4" t="n"/>
      <c r="B196" s="4" t="n"/>
      <c r="C196" s="4" t="n"/>
      <c r="D196" s="4" t="n"/>
      <c r="E196" s="4" t="n"/>
      <c r="F196" s="4" t="n"/>
      <c r="G196" s="4" t="n"/>
    </row>
    <row r="197">
      <c r="A197" s="4" t="n"/>
      <c r="B197" s="4" t="n"/>
      <c r="C197" s="4" t="n"/>
      <c r="D197" s="4" t="n"/>
      <c r="E197" s="4" t="n"/>
      <c r="F197" s="4" t="n"/>
      <c r="G197" s="4" t="n"/>
    </row>
    <row r="198">
      <c r="A198" s="4" t="n"/>
      <c r="B198" s="4" t="n"/>
      <c r="C198" s="4" t="n"/>
      <c r="D198" s="4" t="n"/>
      <c r="E198" s="4" t="n"/>
      <c r="F198" s="4" t="n"/>
      <c r="G198" s="4" t="n"/>
    </row>
    <row r="199">
      <c r="A199" s="4" t="n"/>
      <c r="B199" s="4" t="n"/>
      <c r="C199" s="4" t="n"/>
      <c r="D199" s="4" t="n"/>
      <c r="E199" s="4" t="n"/>
      <c r="F199" s="4" t="n"/>
      <c r="G199" s="4" t="n"/>
    </row>
    <row r="200">
      <c r="A200" s="4" t="n"/>
      <c r="B200" s="4" t="n"/>
      <c r="C200" s="4" t="n"/>
      <c r="D200" s="4" t="n"/>
      <c r="E200" s="4" t="n"/>
      <c r="F200" s="4" t="n"/>
      <c r="G200" s="4" t="n"/>
    </row>
    <row r="201">
      <c r="A201" s="4" t="n"/>
      <c r="B201" s="4" t="n"/>
      <c r="C201" s="4" t="n"/>
      <c r="D201" s="4" t="n"/>
      <c r="E201" s="4" t="n"/>
      <c r="F201" s="4" t="n"/>
      <c r="G201" s="4" t="n"/>
    </row>
    <row r="202">
      <c r="A202" s="4" t="n"/>
      <c r="B202" s="4" t="n"/>
      <c r="C202" s="4" t="n"/>
      <c r="D202" s="4" t="n"/>
      <c r="E202" s="4" t="n"/>
      <c r="F202" s="4" t="n"/>
      <c r="G202" s="4" t="n"/>
    </row>
    <row r="203">
      <c r="A203" s="4" t="n"/>
      <c r="B203" s="4" t="n"/>
      <c r="C203" s="4" t="n"/>
      <c r="D203" s="4" t="n"/>
      <c r="E203" s="4" t="n"/>
      <c r="F203" s="4" t="n"/>
      <c r="G203" s="4" t="n"/>
    </row>
    <row r="204">
      <c r="A204" s="4" t="n"/>
      <c r="B204" s="4" t="n"/>
      <c r="C204" s="4" t="n"/>
      <c r="D204" s="4" t="n"/>
      <c r="E204" s="4" t="n"/>
      <c r="F204" s="4" t="n"/>
      <c r="G204" s="4" t="n"/>
    </row>
    <row r="205">
      <c r="A205" s="4" t="n"/>
      <c r="B205" s="4" t="n"/>
      <c r="C205" s="4" t="n"/>
      <c r="D205" s="4" t="n"/>
      <c r="E205" s="4" t="n"/>
      <c r="F205" s="4" t="n"/>
      <c r="G205" s="4" t="n"/>
    </row>
    <row r="206">
      <c r="A206" s="4" t="n"/>
      <c r="B206" s="4" t="n"/>
      <c r="C206" s="4" t="n"/>
      <c r="D206" s="4" t="n"/>
      <c r="E206" s="4" t="n"/>
      <c r="F206" s="4" t="n"/>
      <c r="G206" s="4" t="n"/>
    </row>
    <row r="207">
      <c r="A207" s="4" t="n"/>
      <c r="B207" s="4" t="n"/>
      <c r="C207" s="4" t="n"/>
      <c r="D207" s="4" t="n"/>
      <c r="E207" s="4" t="n"/>
      <c r="F207" s="4" t="n"/>
      <c r="G207" s="4" t="n"/>
    </row>
    <row r="208">
      <c r="A208" s="4" t="n"/>
      <c r="B208" s="4" t="n"/>
      <c r="C208" s="4" t="n"/>
      <c r="D208" s="4" t="n"/>
      <c r="E208" s="4" t="n"/>
      <c r="F208" s="4" t="n"/>
      <c r="G208" s="4" t="n"/>
    </row>
    <row r="209">
      <c r="A209" s="4" t="n"/>
      <c r="B209" s="4" t="n"/>
      <c r="C209" s="4" t="n"/>
      <c r="D209" s="4" t="n"/>
      <c r="E209" s="4" t="n"/>
      <c r="F209" s="4" t="n"/>
      <c r="G209" s="4" t="n"/>
    </row>
    <row r="210">
      <c r="A210" s="4" t="n"/>
      <c r="B210" s="4" t="n"/>
      <c r="C210" s="4" t="n"/>
      <c r="D210" s="4" t="n"/>
      <c r="E210" s="4" t="n"/>
      <c r="F210" s="4" t="n"/>
      <c r="G210" s="4" t="n"/>
    </row>
    <row r="211">
      <c r="A211" s="4" t="n"/>
      <c r="B211" s="4" t="n"/>
      <c r="C211" s="4" t="n"/>
      <c r="D211" s="4" t="n"/>
      <c r="E211" s="4" t="n"/>
      <c r="F211" s="4" t="n"/>
      <c r="G211" s="4" t="n"/>
    </row>
    <row r="212">
      <c r="A212" s="4" t="n"/>
      <c r="B212" s="4" t="n"/>
      <c r="C212" s="4" t="n"/>
      <c r="D212" s="4" t="n"/>
      <c r="E212" s="4" t="n"/>
      <c r="F212" s="4" t="n"/>
      <c r="G212" s="4" t="n"/>
    </row>
    <row r="213">
      <c r="A213" s="4" t="n"/>
      <c r="B213" s="4" t="n"/>
      <c r="C213" s="4" t="n"/>
      <c r="D213" s="4" t="n"/>
      <c r="E213" s="4" t="n"/>
      <c r="F213" s="4" t="n"/>
      <c r="G213" s="4" t="n"/>
    </row>
    <row r="214">
      <c r="A214" s="4" t="n"/>
      <c r="B214" s="4" t="n"/>
      <c r="C214" s="4" t="n"/>
      <c r="D214" s="4" t="n"/>
      <c r="E214" s="4" t="n"/>
      <c r="F214" s="4" t="n"/>
      <c r="G214" s="4" t="n"/>
    </row>
    <row r="215">
      <c r="A215" s="4" t="n"/>
      <c r="B215" s="4" t="n"/>
      <c r="C215" s="4" t="n"/>
      <c r="D215" s="4" t="n"/>
      <c r="E215" s="4" t="n"/>
      <c r="F215" s="4" t="n"/>
      <c r="G215" s="4" t="n"/>
    </row>
    <row r="216">
      <c r="A216" s="4" t="n"/>
      <c r="B216" s="4" t="n"/>
      <c r="C216" s="4" t="n"/>
      <c r="D216" s="4" t="n"/>
      <c r="E216" s="4" t="n"/>
      <c r="F216" s="4" t="n"/>
      <c r="G216" s="4" t="n"/>
    </row>
    <row r="217">
      <c r="A217" s="4" t="n"/>
      <c r="B217" s="4" t="n"/>
      <c r="C217" s="4" t="n"/>
      <c r="D217" s="4" t="n"/>
      <c r="E217" s="4" t="n"/>
      <c r="F217" s="4" t="n"/>
      <c r="G217" s="4" t="n"/>
    </row>
    <row r="218">
      <c r="A218" s="4" t="n"/>
      <c r="B218" s="4" t="n"/>
      <c r="C218" s="4" t="n"/>
      <c r="D218" s="4" t="n"/>
      <c r="E218" s="4" t="n"/>
      <c r="F218" s="4" t="n"/>
      <c r="G218" s="4" t="n"/>
    </row>
    <row r="219">
      <c r="A219" s="4" t="n"/>
      <c r="B219" s="4" t="n"/>
      <c r="C219" s="4" t="n"/>
      <c r="D219" s="4" t="n"/>
      <c r="E219" s="4" t="n"/>
      <c r="F219" s="4" t="n"/>
      <c r="G219" s="4" t="n"/>
    </row>
    <row r="220">
      <c r="A220" s="4" t="n"/>
      <c r="B220" s="4" t="n"/>
      <c r="C220" s="4" t="n"/>
      <c r="D220" s="4" t="n"/>
      <c r="E220" s="4" t="n"/>
      <c r="F220" s="4" t="n"/>
      <c r="G220" s="4" t="n"/>
    </row>
    <row r="221">
      <c r="A221" s="4" t="n"/>
      <c r="B221" s="4" t="n"/>
      <c r="C221" s="4" t="n"/>
      <c r="D221" s="4" t="n"/>
      <c r="E221" s="4" t="n"/>
      <c r="F221" s="4" t="n"/>
      <c r="G221" s="4" t="n"/>
    </row>
    <row r="222">
      <c r="A222" s="4" t="n"/>
      <c r="B222" s="4" t="n"/>
      <c r="C222" s="4" t="n"/>
      <c r="D222" s="4" t="n"/>
      <c r="E222" s="4" t="n"/>
      <c r="F222" s="4" t="n"/>
      <c r="G222" s="4" t="n"/>
    </row>
    <row r="223">
      <c r="A223" s="4" t="n"/>
      <c r="B223" s="4" t="n"/>
      <c r="C223" s="4" t="n"/>
      <c r="D223" s="4" t="n"/>
      <c r="E223" s="4" t="n"/>
      <c r="F223" s="4" t="n"/>
      <c r="G223" s="4" t="n"/>
    </row>
    <row r="224">
      <c r="A224" s="4" t="n"/>
      <c r="B224" s="4" t="n"/>
      <c r="C224" s="4" t="n"/>
      <c r="D224" s="4" t="n"/>
      <c r="E224" s="4" t="n"/>
      <c r="F224" s="4" t="n"/>
      <c r="G224" s="4" t="n"/>
    </row>
    <row r="225">
      <c r="A225" s="4" t="n"/>
      <c r="B225" s="4" t="n"/>
      <c r="C225" s="4" t="n"/>
      <c r="D225" s="4" t="n"/>
      <c r="E225" s="4" t="n"/>
      <c r="F225" s="4" t="n"/>
      <c r="G225" s="4" t="n"/>
    </row>
    <row r="226">
      <c r="A226" s="4" t="n"/>
      <c r="B226" s="4" t="n"/>
      <c r="C226" s="4" t="n"/>
      <c r="D226" s="4" t="n"/>
      <c r="E226" s="4" t="n"/>
      <c r="F226" s="4" t="n"/>
      <c r="G226" s="4" t="n"/>
    </row>
    <row r="227">
      <c r="A227" s="4" t="n"/>
      <c r="B227" s="4" t="n"/>
      <c r="C227" s="4" t="n"/>
      <c r="D227" s="4" t="n"/>
      <c r="E227" s="4" t="n"/>
      <c r="F227" s="4" t="n"/>
      <c r="G227" s="4" t="n"/>
    </row>
    <row r="228">
      <c r="A228" s="4" t="n"/>
      <c r="B228" s="4" t="n"/>
      <c r="C228" s="4" t="n"/>
      <c r="D228" s="4" t="n"/>
      <c r="E228" s="4" t="n"/>
      <c r="F228" s="4" t="n"/>
      <c r="G228" s="4" t="n"/>
    </row>
    <row r="229">
      <c r="A229" s="4" t="n"/>
      <c r="B229" s="4" t="n"/>
      <c r="C229" s="4" t="n"/>
      <c r="D229" s="4" t="n"/>
      <c r="E229" s="4" t="n"/>
      <c r="F229" s="4" t="n"/>
      <c r="G229" s="4" t="n"/>
    </row>
    <row r="230">
      <c r="A230" s="4" t="n"/>
      <c r="B230" s="4" t="n"/>
      <c r="C230" s="4" t="n"/>
      <c r="D230" s="4" t="n"/>
      <c r="E230" s="4" t="n"/>
      <c r="F230" s="4" t="n"/>
      <c r="G230" s="4" t="n"/>
    </row>
    <row r="231">
      <c r="A231" s="4" t="n"/>
      <c r="B231" s="4" t="n"/>
      <c r="C231" s="4" t="n"/>
      <c r="D231" s="4" t="n"/>
      <c r="E231" s="4" t="n"/>
      <c r="F231" s="4" t="n"/>
      <c r="G231" s="4" t="n"/>
    </row>
    <row r="232">
      <c r="A232" s="4" t="n"/>
      <c r="B232" s="4" t="n"/>
      <c r="C232" s="4" t="n"/>
      <c r="D232" s="4" t="n"/>
      <c r="E232" s="4" t="n"/>
      <c r="F232" s="4" t="n"/>
      <c r="G232" s="4" t="n"/>
    </row>
    <row r="233">
      <c r="A233" s="4" t="n"/>
      <c r="B233" s="4" t="n"/>
      <c r="C233" s="4" t="n"/>
      <c r="D233" s="4" t="n"/>
      <c r="E233" s="4" t="n"/>
      <c r="F233" s="4" t="n"/>
      <c r="G233" s="4" t="n"/>
    </row>
    <row r="234">
      <c r="A234" s="4" t="n"/>
      <c r="B234" s="4" t="n"/>
      <c r="C234" s="4" t="n"/>
      <c r="D234" s="4" t="n"/>
      <c r="E234" s="4" t="n"/>
      <c r="F234" s="4" t="n"/>
      <c r="G234" s="4" t="n"/>
    </row>
    <row r="235">
      <c r="A235" s="4" t="n"/>
      <c r="B235" s="4" t="n"/>
      <c r="C235" s="4" t="n"/>
      <c r="D235" s="4" t="n"/>
      <c r="E235" s="4" t="n"/>
      <c r="F235" s="4" t="n"/>
      <c r="G235" s="4" t="n"/>
    </row>
    <row r="236">
      <c r="A236" s="4" t="n"/>
      <c r="B236" s="4" t="n"/>
      <c r="C236" s="4" t="n"/>
      <c r="D236" s="4" t="n"/>
      <c r="E236" s="4" t="n"/>
      <c r="F236" s="4" t="n"/>
      <c r="G236" s="4" t="n"/>
    </row>
    <row r="237">
      <c r="A237" s="4" t="n"/>
      <c r="B237" s="4" t="n"/>
      <c r="C237" s="4" t="n"/>
      <c r="D237" s="4" t="n"/>
      <c r="E237" s="4" t="n"/>
      <c r="F237" s="4" t="n"/>
      <c r="G237" s="4" t="n"/>
    </row>
    <row r="238">
      <c r="A238" s="4" t="n"/>
      <c r="B238" s="4" t="n"/>
      <c r="C238" s="4" t="n"/>
      <c r="D238" s="4" t="n"/>
      <c r="E238" s="4" t="n"/>
      <c r="F238" s="4" t="n"/>
      <c r="G238" s="4" t="n"/>
    </row>
    <row r="239">
      <c r="A239" s="4" t="n"/>
      <c r="B239" s="4" t="n"/>
      <c r="C239" s="4" t="n"/>
      <c r="D239" s="4" t="n"/>
      <c r="E239" s="4" t="n"/>
      <c r="F239" s="4" t="n"/>
      <c r="G239" s="4" t="n"/>
    </row>
    <row r="240">
      <c r="A240" s="4" t="n"/>
      <c r="B240" s="4" t="n"/>
      <c r="C240" s="4" t="n"/>
      <c r="D240" s="4" t="n"/>
      <c r="E240" s="4" t="n"/>
      <c r="F240" s="4" t="n"/>
      <c r="G240" s="4" t="n"/>
    </row>
    <row r="241">
      <c r="A241" s="4" t="n"/>
      <c r="B241" s="4" t="n"/>
      <c r="C241" s="4" t="n"/>
      <c r="D241" s="4" t="n"/>
      <c r="E241" s="4" t="n"/>
      <c r="F241" s="4" t="n"/>
      <c r="G241" s="4" t="n"/>
    </row>
    <row r="242">
      <c r="A242" s="4" t="n"/>
      <c r="B242" s="4" t="n"/>
      <c r="C242" s="4" t="n"/>
      <c r="D242" s="4" t="n"/>
      <c r="E242" s="4" t="n"/>
      <c r="F242" s="4" t="n"/>
      <c r="G242" s="4" t="n"/>
    </row>
    <row r="243">
      <c r="A243" s="4" t="n"/>
      <c r="B243" s="4" t="n"/>
      <c r="C243" s="4" t="n"/>
      <c r="D243" s="4" t="n"/>
      <c r="E243" s="4" t="n"/>
      <c r="F243" s="4" t="n"/>
      <c r="G243" s="4" t="n"/>
    </row>
    <row r="244">
      <c r="A244" s="4" t="n"/>
      <c r="B244" s="4" t="n"/>
      <c r="C244" s="4" t="n"/>
      <c r="D244" s="4" t="n"/>
      <c r="E244" s="4" t="n"/>
      <c r="F244" s="4" t="n"/>
      <c r="G244" s="4" t="n"/>
    </row>
    <row r="245">
      <c r="A245" s="4" t="n"/>
      <c r="B245" s="4" t="n"/>
      <c r="C245" s="4" t="n"/>
      <c r="D245" s="4" t="n"/>
      <c r="E245" s="4" t="n"/>
      <c r="F245" s="4" t="n"/>
      <c r="G245" s="4" t="n"/>
    </row>
    <row r="246">
      <c r="A246" s="4" t="n"/>
      <c r="B246" s="4" t="n"/>
      <c r="C246" s="4" t="n"/>
      <c r="D246" s="4" t="n"/>
      <c r="E246" s="4" t="n"/>
      <c r="F246" s="4" t="n"/>
      <c r="G246" s="4" t="n"/>
    </row>
    <row r="247">
      <c r="A247" s="4" t="n"/>
      <c r="B247" s="4" t="n"/>
      <c r="C247" s="4" t="n"/>
      <c r="D247" s="4" t="n"/>
      <c r="E247" s="4" t="n"/>
      <c r="F247" s="4" t="n"/>
      <c r="G247" s="4" t="n"/>
    </row>
    <row r="248">
      <c r="A248" s="4" t="n"/>
      <c r="B248" s="4" t="n"/>
      <c r="C248" s="4" t="n"/>
      <c r="D248" s="4" t="n"/>
      <c r="E248" s="4" t="n"/>
      <c r="F248" s="4" t="n"/>
      <c r="G248" s="4" t="n"/>
    </row>
    <row r="249">
      <c r="A249" s="4" t="n"/>
      <c r="B249" s="4" t="n"/>
      <c r="C249" s="4" t="n"/>
      <c r="D249" s="4" t="n"/>
      <c r="E249" s="4" t="n"/>
      <c r="F249" s="4" t="n"/>
      <c r="G249" s="4" t="n"/>
    </row>
    <row r="250">
      <c r="A250" s="4" t="n"/>
      <c r="B250" s="4" t="n"/>
      <c r="C250" s="4" t="n"/>
      <c r="D250" s="4" t="n"/>
      <c r="E250" s="4" t="n"/>
      <c r="F250" s="4" t="n"/>
      <c r="G250" s="4" t="n"/>
    </row>
    <row r="251">
      <c r="A251" s="4" t="n"/>
      <c r="B251" s="4" t="n"/>
      <c r="C251" s="4" t="n"/>
      <c r="D251" s="4" t="n"/>
      <c r="E251" s="4" t="n"/>
      <c r="F251" s="4" t="n"/>
      <c r="G251" s="4" t="n"/>
    </row>
    <row r="252">
      <c r="A252" s="4" t="n"/>
      <c r="B252" s="4" t="n"/>
      <c r="C252" s="4" t="n"/>
      <c r="D252" s="4" t="n"/>
      <c r="E252" s="4" t="n"/>
      <c r="F252" s="4" t="n"/>
      <c r="G252" s="4" t="n"/>
    </row>
    <row r="253">
      <c r="A253" s="4" t="n"/>
      <c r="B253" s="4" t="n"/>
      <c r="C253" s="4" t="n"/>
      <c r="D253" s="4" t="n"/>
      <c r="E253" s="4" t="n"/>
      <c r="F253" s="4" t="n"/>
      <c r="G253" s="4" t="n"/>
    </row>
    <row r="254">
      <c r="A254" s="4" t="n"/>
      <c r="B254" s="4" t="n"/>
      <c r="C254" s="4" t="n"/>
      <c r="D254" s="4" t="n"/>
      <c r="E254" s="4" t="n"/>
      <c r="F254" s="4" t="n"/>
      <c r="G254" s="4" t="n"/>
    </row>
    <row r="255">
      <c r="A255" s="4" t="n"/>
      <c r="B255" s="4" t="n"/>
      <c r="C255" s="4" t="n"/>
      <c r="D255" s="4" t="n"/>
      <c r="E255" s="4" t="n"/>
      <c r="F255" s="4" t="n"/>
      <c r="G255" s="4" t="n"/>
    </row>
    <row r="256">
      <c r="A256" s="4" t="n"/>
      <c r="B256" s="4" t="n"/>
      <c r="C256" s="4" t="n"/>
      <c r="D256" s="4" t="n"/>
      <c r="E256" s="4" t="n"/>
      <c r="F256" s="4" t="n"/>
      <c r="G256" s="4" t="n"/>
    </row>
    <row r="257">
      <c r="A257" s="4" t="n"/>
      <c r="B257" s="4" t="n"/>
      <c r="C257" s="4" t="n"/>
      <c r="D257" s="4" t="n"/>
      <c r="E257" s="4" t="n"/>
      <c r="F257" s="4" t="n"/>
      <c r="G257" s="4" t="n"/>
    </row>
    <row r="258">
      <c r="A258" s="4" t="n"/>
      <c r="B258" s="4" t="n"/>
      <c r="C258" s="4" t="n"/>
      <c r="D258" s="4" t="n"/>
      <c r="E258" s="4" t="n"/>
      <c r="F258" s="4" t="n"/>
      <c r="G258" s="4" t="n"/>
    </row>
    <row r="259">
      <c r="A259" s="4" t="n"/>
      <c r="B259" s="4" t="n"/>
      <c r="C259" s="4" t="n"/>
      <c r="D259" s="4" t="n"/>
      <c r="E259" s="4" t="n"/>
      <c r="F259" s="4" t="n"/>
      <c r="G259" s="4" t="n"/>
    </row>
    <row r="260">
      <c r="A260" s="4" t="n"/>
      <c r="B260" s="4" t="n"/>
      <c r="C260" s="4" t="n"/>
      <c r="D260" s="4" t="n"/>
      <c r="E260" s="4" t="n"/>
      <c r="F260" s="4" t="n"/>
      <c r="G260" s="4" t="n"/>
    </row>
    <row r="261">
      <c r="A261" s="4" t="n"/>
      <c r="B261" s="4" t="n"/>
      <c r="C261" s="4" t="n"/>
      <c r="D261" s="4" t="n"/>
      <c r="E261" s="4" t="n"/>
      <c r="F261" s="4" t="n"/>
      <c r="G261" s="4" t="n"/>
    </row>
    <row r="262">
      <c r="A262" s="4" t="n"/>
      <c r="B262" s="4" t="n"/>
      <c r="C262" s="4" t="n"/>
      <c r="D262" s="4" t="n"/>
      <c r="E262" s="4" t="n"/>
      <c r="F262" s="4" t="n"/>
      <c r="G262" s="4" t="n"/>
    </row>
    <row r="263">
      <c r="A263" s="4" t="n"/>
      <c r="B263" s="4" t="n"/>
      <c r="C263" s="4" t="n"/>
      <c r="D263" s="4" t="n"/>
      <c r="E263" s="4" t="n"/>
      <c r="F263" s="4" t="n"/>
      <c r="G263" s="4" t="n"/>
    </row>
    <row r="264">
      <c r="A264" s="4" t="n"/>
      <c r="B264" s="4" t="n"/>
      <c r="C264" s="4" t="n"/>
      <c r="D264" s="4" t="n"/>
      <c r="E264" s="4" t="n"/>
      <c r="F264" s="4" t="n"/>
      <c r="G264" s="4" t="n"/>
    </row>
    <row r="265">
      <c r="A265" s="4" t="n"/>
      <c r="B265" s="4" t="n"/>
      <c r="C265" s="4" t="n"/>
      <c r="D265" s="4" t="n"/>
      <c r="E265" s="4" t="n"/>
      <c r="F265" s="4" t="n"/>
      <c r="G265" s="4" t="n"/>
    </row>
    <row r="266">
      <c r="A266" s="4" t="n"/>
      <c r="B266" s="4" t="n"/>
      <c r="C266" s="4" t="n"/>
      <c r="D266" s="4" t="n"/>
      <c r="E266" s="4" t="n"/>
      <c r="F266" s="4" t="n"/>
      <c r="G266" s="4" t="n"/>
    </row>
    <row r="267">
      <c r="A267" s="4" t="n"/>
      <c r="B267" s="4" t="n"/>
      <c r="C267" s="4" t="n"/>
      <c r="D267" s="4" t="n"/>
      <c r="E267" s="4" t="n"/>
      <c r="F267" s="4" t="n"/>
      <c r="G267" s="4" t="n"/>
    </row>
    <row r="268">
      <c r="A268" s="4" t="n"/>
      <c r="B268" s="4" t="n"/>
      <c r="C268" s="4" t="n"/>
      <c r="D268" s="4" t="n"/>
      <c r="E268" s="4" t="n"/>
      <c r="F268" s="4" t="n"/>
      <c r="G268" s="4" t="n"/>
    </row>
    <row r="269">
      <c r="A269" s="4" t="n"/>
      <c r="B269" s="4" t="n"/>
      <c r="C269" s="4" t="n"/>
      <c r="D269" s="4" t="n"/>
      <c r="E269" s="4" t="n"/>
      <c r="F269" s="4" t="n"/>
      <c r="G269" s="4" t="n"/>
    </row>
    <row r="270">
      <c r="A270" s="4" t="n"/>
      <c r="B270" s="4" t="n"/>
      <c r="C270" s="4" t="n"/>
      <c r="D270" s="4" t="n"/>
      <c r="E270" s="4" t="n"/>
      <c r="F270" s="4" t="n"/>
      <c r="G270" s="4" t="n"/>
    </row>
    <row r="271">
      <c r="A271" s="4" t="n"/>
      <c r="B271" s="4" t="n"/>
      <c r="C271" s="4" t="n"/>
      <c r="D271" s="4" t="n"/>
      <c r="E271" s="4" t="n"/>
      <c r="F271" s="4" t="n"/>
      <c r="G271" s="4" t="n"/>
    </row>
    <row r="272">
      <c r="A272" s="4" t="n"/>
      <c r="B272" s="4" t="n"/>
      <c r="C272" s="4" t="n"/>
      <c r="D272" s="4" t="n"/>
      <c r="E272" s="4" t="n"/>
      <c r="F272" s="4" t="n"/>
      <c r="G272" s="4" t="n"/>
    </row>
    <row r="273">
      <c r="A273" s="4" t="n"/>
      <c r="B273" s="4" t="n"/>
      <c r="C273" s="4" t="n"/>
      <c r="D273" s="4" t="n"/>
      <c r="E273" s="4" t="n"/>
      <c r="F273" s="4" t="n"/>
      <c r="G273" s="4" t="n"/>
    </row>
    <row r="274">
      <c r="A274" s="4" t="n"/>
      <c r="B274" s="4" t="n"/>
      <c r="C274" s="4" t="n"/>
      <c r="D274" s="4" t="n"/>
      <c r="E274" s="4" t="n"/>
      <c r="F274" s="4" t="n"/>
      <c r="G274" s="4" t="n"/>
    </row>
    <row r="275">
      <c r="A275" s="4" t="n"/>
      <c r="B275" s="4" t="n"/>
      <c r="C275" s="4" t="n"/>
      <c r="D275" s="4" t="n"/>
      <c r="E275" s="4" t="n"/>
      <c r="F275" s="4" t="n"/>
      <c r="G275" s="4" t="n"/>
    </row>
    <row r="276">
      <c r="A276" s="4" t="n"/>
      <c r="B276" s="4" t="n"/>
      <c r="C276" s="4" t="n"/>
      <c r="D276" s="4" t="n"/>
      <c r="E276" s="4" t="n"/>
      <c r="F276" s="4" t="n"/>
      <c r="G276" s="4" t="n"/>
    </row>
    <row r="277">
      <c r="A277" s="4" t="n"/>
      <c r="B277" s="4" t="n"/>
      <c r="C277" s="4" t="n"/>
      <c r="D277" s="4" t="n"/>
      <c r="E277" s="4" t="n"/>
      <c r="F277" s="4" t="n"/>
      <c r="G277" s="4" t="n"/>
    </row>
    <row r="278">
      <c r="A278" s="4" t="n"/>
      <c r="B278" s="4" t="n"/>
      <c r="C278" s="4" t="n"/>
      <c r="D278" s="4" t="n"/>
      <c r="E278" s="4" t="n"/>
      <c r="F278" s="4" t="n"/>
      <c r="G278" s="4" t="n"/>
    </row>
    <row r="279">
      <c r="A279" s="4" t="n"/>
      <c r="B279" s="4" t="n"/>
      <c r="C279" s="4" t="n"/>
      <c r="D279" s="4" t="n"/>
      <c r="E279" s="4" t="n"/>
      <c r="F279" s="4" t="n"/>
      <c r="G279" s="4" t="n"/>
    </row>
    <row r="280">
      <c r="A280" s="4" t="n"/>
      <c r="B280" s="4" t="n"/>
      <c r="C280" s="4" t="n"/>
      <c r="D280" s="4" t="n"/>
      <c r="E280" s="4" t="n"/>
      <c r="F280" s="4" t="n"/>
      <c r="G280" s="4" t="n"/>
    </row>
    <row r="281">
      <c r="A281" s="4" t="n"/>
      <c r="B281" s="4" t="n"/>
      <c r="C281" s="4" t="n"/>
      <c r="D281" s="4" t="n"/>
      <c r="E281" s="4" t="n"/>
      <c r="F281" s="4" t="n"/>
      <c r="G281" s="4" t="n"/>
    </row>
    <row r="282">
      <c r="A282" s="4" t="n"/>
      <c r="B282" s="4" t="n"/>
      <c r="C282" s="4" t="n"/>
      <c r="D282" s="4" t="n"/>
      <c r="E282" s="4" t="n"/>
      <c r="F282" s="4" t="n"/>
      <c r="G282" s="4" t="n"/>
    </row>
    <row r="283">
      <c r="A283" s="4" t="n"/>
      <c r="B283" s="4" t="n"/>
      <c r="C283" s="4" t="n"/>
      <c r="D283" s="4" t="n"/>
      <c r="E283" s="4" t="n"/>
      <c r="F283" s="4" t="n"/>
      <c r="G283" s="4" t="n"/>
    </row>
    <row r="284">
      <c r="A284" s="4" t="n"/>
      <c r="B284" s="4" t="n"/>
      <c r="C284" s="4" t="n"/>
      <c r="D284" s="4" t="n"/>
      <c r="E284" s="4" t="n"/>
      <c r="F284" s="4" t="n"/>
      <c r="G284" s="4" t="n"/>
    </row>
    <row r="285">
      <c r="A285" s="4" t="n"/>
      <c r="B285" s="4" t="n"/>
      <c r="C285" s="4" t="n"/>
      <c r="D285" s="4" t="n"/>
      <c r="E285" s="4" t="n"/>
      <c r="F285" s="4" t="n"/>
      <c r="G285" s="4" t="n"/>
    </row>
    <row r="286">
      <c r="A286" s="4" t="n"/>
      <c r="B286" s="4" t="n"/>
      <c r="C286" s="4" t="n"/>
      <c r="D286" s="4" t="n"/>
      <c r="E286" s="4" t="n"/>
      <c r="F286" s="4" t="n"/>
      <c r="G286" s="4" t="n"/>
    </row>
    <row r="287">
      <c r="A287" s="4" t="n"/>
      <c r="B287" s="4" t="n"/>
      <c r="C287" s="4" t="n"/>
      <c r="D287" s="4" t="n"/>
      <c r="E287" s="4" t="n"/>
      <c r="F287" s="4" t="n"/>
      <c r="G287" s="4" t="n"/>
    </row>
    <row r="288">
      <c r="A288" s="4" t="n"/>
      <c r="B288" s="4" t="n"/>
      <c r="C288" s="4" t="n"/>
      <c r="D288" s="4" t="n"/>
      <c r="E288" s="4" t="n"/>
      <c r="F288" s="4" t="n"/>
      <c r="G288" s="4" t="n"/>
    </row>
    <row r="289">
      <c r="A289" s="4" t="n"/>
      <c r="B289" s="4" t="n"/>
      <c r="C289" s="4" t="n"/>
      <c r="D289" s="4" t="n"/>
      <c r="E289" s="4" t="n"/>
      <c r="F289" s="4" t="n"/>
      <c r="G289" s="4" t="n"/>
    </row>
    <row r="290">
      <c r="A290" s="4" t="n"/>
      <c r="B290" s="4" t="n"/>
      <c r="C290" s="4" t="n"/>
      <c r="D290" s="4" t="n"/>
      <c r="E290" s="4" t="n"/>
      <c r="F290" s="4" t="n"/>
      <c r="G290" s="4" t="n"/>
    </row>
    <row r="291">
      <c r="A291" s="4" t="n"/>
      <c r="B291" s="4" t="n"/>
      <c r="C291" s="4" t="n"/>
      <c r="D291" s="4" t="n"/>
      <c r="E291" s="4" t="n"/>
      <c r="F291" s="4" t="n"/>
      <c r="G291" s="4" t="n"/>
    </row>
    <row r="292">
      <c r="A292" s="4" t="n"/>
      <c r="B292" s="4" t="n"/>
      <c r="C292" s="4" t="n"/>
      <c r="D292" s="4" t="n"/>
      <c r="E292" s="4" t="n"/>
      <c r="F292" s="4" t="n"/>
      <c r="G292" s="4" t="n"/>
    </row>
    <row r="293">
      <c r="A293" s="4" t="n"/>
      <c r="B293" s="4" t="n"/>
      <c r="C293" s="4" t="n"/>
      <c r="D293" s="4" t="n"/>
      <c r="E293" s="4" t="n"/>
      <c r="F293" s="4" t="n"/>
      <c r="G293" s="4" t="n"/>
    </row>
    <row r="294">
      <c r="A294" s="4" t="n"/>
      <c r="B294" s="4" t="n"/>
      <c r="C294" s="4" t="n"/>
      <c r="D294" s="4" t="n"/>
      <c r="E294" s="4" t="n"/>
      <c r="F294" s="4" t="n"/>
      <c r="G294" s="4" t="n"/>
    </row>
    <row r="295">
      <c r="A295" s="4" t="n"/>
      <c r="B295" s="4" t="n"/>
      <c r="C295" s="4" t="n"/>
      <c r="D295" s="4" t="n"/>
      <c r="E295" s="4" t="n"/>
      <c r="F295" s="4" t="n"/>
      <c r="G295" s="4" t="n"/>
    </row>
    <row r="296">
      <c r="A296" s="4" t="n"/>
      <c r="B296" s="4" t="n"/>
      <c r="C296" s="4" t="n"/>
      <c r="D296" s="4" t="n"/>
      <c r="E296" s="4" t="n"/>
      <c r="F296" s="4" t="n"/>
      <c r="G296" s="4" t="n"/>
    </row>
    <row r="297">
      <c r="A297" s="4" t="n"/>
      <c r="B297" s="4" t="n"/>
      <c r="C297" s="4" t="n"/>
      <c r="D297" s="4" t="n"/>
      <c r="E297" s="4" t="n"/>
      <c r="F297" s="4" t="n"/>
      <c r="G297" s="4" t="n"/>
    </row>
    <row r="298">
      <c r="A298" s="4" t="n"/>
      <c r="B298" s="4" t="n"/>
      <c r="C298" s="4" t="n"/>
      <c r="D298" s="4" t="n"/>
      <c r="E298" s="4" t="n"/>
      <c r="F298" s="4" t="n"/>
      <c r="G298" s="4" t="n"/>
    </row>
    <row r="299">
      <c r="A299" s="4" t="n"/>
      <c r="B299" s="4" t="n"/>
      <c r="C299" s="4" t="n"/>
      <c r="D299" s="4" t="n"/>
      <c r="E299" s="4" t="n"/>
      <c r="F299" s="4" t="n"/>
      <c r="G299" s="4" t="n"/>
    </row>
    <row r="300">
      <c r="A300" s="4" t="n"/>
      <c r="B300" s="4" t="n"/>
      <c r="C300" s="4" t="n"/>
      <c r="D300" s="4" t="n"/>
      <c r="E300" s="4" t="n"/>
      <c r="F300" s="4" t="n"/>
      <c r="G300" s="4" t="n"/>
    </row>
    <row r="301">
      <c r="A301" s="4" t="n"/>
      <c r="B301" s="4" t="n"/>
      <c r="C301" s="4" t="n"/>
      <c r="D301" s="4" t="n"/>
      <c r="E301" s="4" t="n"/>
      <c r="F301" s="4" t="n"/>
      <c r="G301" s="4" t="n"/>
    </row>
    <row r="302">
      <c r="A302" s="4" t="n"/>
      <c r="B302" s="4" t="n"/>
      <c r="C302" s="4" t="n"/>
      <c r="D302" s="4" t="n"/>
      <c r="E302" s="4" t="n"/>
      <c r="F302" s="4" t="n"/>
      <c r="G302" s="4" t="n"/>
    </row>
    <row r="303">
      <c r="A303" s="4" t="n"/>
      <c r="B303" s="4" t="n"/>
      <c r="C303" s="4" t="n"/>
      <c r="D303" s="4" t="n"/>
      <c r="E303" s="4" t="n"/>
      <c r="F303" s="4" t="n"/>
      <c r="G303" s="4" t="n"/>
    </row>
    <row r="304">
      <c r="A304" s="4" t="n"/>
      <c r="B304" s="4" t="n"/>
      <c r="C304" s="4" t="n"/>
      <c r="D304" s="4" t="n"/>
      <c r="E304" s="4" t="n"/>
      <c r="F304" s="4" t="n"/>
      <c r="G304" s="4" t="n"/>
    </row>
    <row r="305">
      <c r="A305" s="4" t="n"/>
      <c r="B305" s="4" t="n"/>
      <c r="C305" s="4" t="n"/>
      <c r="D305" s="4" t="n"/>
      <c r="E305" s="4" t="n"/>
      <c r="F305" s="4" t="n"/>
      <c r="G305" s="4" t="n"/>
    </row>
    <row r="306">
      <c r="A306" s="4" t="n"/>
      <c r="B306" s="4" t="n"/>
      <c r="C306" s="4" t="n"/>
      <c r="D306" s="4" t="n"/>
      <c r="E306" s="4" t="n"/>
      <c r="F306" s="4" t="n"/>
      <c r="G306" s="4" t="n"/>
    </row>
    <row r="307">
      <c r="A307" s="4" t="n"/>
      <c r="B307" s="4" t="n"/>
      <c r="C307" s="4" t="n"/>
      <c r="D307" s="4" t="n"/>
      <c r="E307" s="4" t="n"/>
      <c r="F307" s="4" t="n"/>
      <c r="G307" s="4" t="n"/>
    </row>
    <row r="308">
      <c r="A308" s="4" t="n"/>
      <c r="B308" s="4" t="n"/>
      <c r="C308" s="4" t="n"/>
      <c r="D308" s="4" t="n"/>
      <c r="E308" s="4" t="n"/>
      <c r="F308" s="4" t="n"/>
      <c r="G308" s="4" t="n"/>
    </row>
    <row r="309">
      <c r="A309" s="4" t="n"/>
      <c r="B309" s="4" t="n"/>
      <c r="C309" s="4" t="n"/>
      <c r="D309" s="4" t="n"/>
      <c r="E309" s="4" t="n"/>
      <c r="F309" s="4" t="n"/>
      <c r="G309" s="4" t="n"/>
    </row>
    <row r="310">
      <c r="A310" s="4" t="n"/>
      <c r="B310" s="4" t="n"/>
      <c r="C310" s="4" t="n"/>
      <c r="D310" s="4" t="n"/>
      <c r="E310" s="4" t="n"/>
      <c r="F310" s="4" t="n"/>
      <c r="G310" s="4" t="n"/>
    </row>
    <row r="311">
      <c r="A311" s="4" t="n"/>
      <c r="B311" s="4" t="n"/>
      <c r="C311" s="4" t="n"/>
      <c r="D311" s="4" t="n"/>
      <c r="E311" s="4" t="n"/>
      <c r="F311" s="4" t="n"/>
      <c r="G311" s="4" t="n"/>
    </row>
    <row r="312">
      <c r="A312" s="4" t="n"/>
      <c r="B312" s="4" t="n"/>
      <c r="C312" s="4" t="n"/>
      <c r="D312" s="4" t="n"/>
      <c r="E312" s="4" t="n"/>
      <c r="F312" s="4" t="n"/>
      <c r="G312" s="4" t="n"/>
    </row>
    <row r="313">
      <c r="A313" s="4" t="n"/>
      <c r="B313" s="4" t="n"/>
      <c r="C313" s="4" t="n"/>
      <c r="D313" s="4" t="n"/>
      <c r="E313" s="4" t="n"/>
      <c r="F313" s="4" t="n"/>
      <c r="G313" s="4" t="n"/>
    </row>
    <row r="314">
      <c r="A314" s="4" t="n"/>
      <c r="B314" s="4" t="n"/>
      <c r="C314" s="4" t="n"/>
      <c r="D314" s="4" t="n"/>
      <c r="E314" s="4" t="n"/>
      <c r="F314" s="4" t="n"/>
      <c r="G314" s="4" t="n"/>
    </row>
    <row r="315">
      <c r="A315" s="4" t="n"/>
      <c r="B315" s="4" t="n"/>
      <c r="C315" s="4" t="n"/>
      <c r="D315" s="4" t="n"/>
      <c r="E315" s="4" t="n"/>
      <c r="F315" s="4" t="n"/>
      <c r="G315" s="4" t="n"/>
    </row>
    <row r="316">
      <c r="A316" s="4" t="n"/>
      <c r="B316" s="4" t="n"/>
      <c r="C316" s="4" t="n"/>
      <c r="D316" s="4" t="n"/>
      <c r="E316" s="4" t="n"/>
      <c r="F316" s="4" t="n"/>
      <c r="G316" s="4" t="n"/>
    </row>
    <row r="317">
      <c r="A317" s="4" t="n"/>
      <c r="B317" s="4" t="n"/>
      <c r="C317" s="4" t="n"/>
      <c r="D317" s="4" t="n"/>
      <c r="E317" s="4" t="n"/>
      <c r="F317" s="4" t="n"/>
      <c r="G317" s="4" t="n"/>
    </row>
    <row r="318">
      <c r="A318" s="4" t="n"/>
      <c r="B318" s="4" t="n"/>
      <c r="C318" s="4" t="n"/>
      <c r="D318" s="4" t="n"/>
      <c r="E318" s="4" t="n"/>
      <c r="F318" s="4" t="n"/>
      <c r="G318" s="4" t="n"/>
    </row>
    <row r="319">
      <c r="A319" s="4" t="n"/>
      <c r="B319" s="4" t="n"/>
      <c r="C319" s="4" t="n"/>
      <c r="D319" s="4" t="n"/>
      <c r="E319" s="4" t="n"/>
      <c r="F319" s="4" t="n"/>
      <c r="G319" s="4" t="n"/>
    </row>
    <row r="320">
      <c r="A320" s="4" t="n"/>
      <c r="B320" s="4" t="n"/>
      <c r="C320" s="4" t="n"/>
      <c r="D320" s="4" t="n"/>
      <c r="E320" s="4" t="n"/>
      <c r="F320" s="4" t="n"/>
      <c r="G320" s="4" t="n"/>
    </row>
    <row r="321">
      <c r="A321" s="4" t="n"/>
      <c r="B321" s="4" t="n"/>
      <c r="C321" s="4" t="n"/>
      <c r="D321" s="4" t="n"/>
      <c r="E321" s="4" t="n"/>
      <c r="F321" s="4" t="n"/>
      <c r="G321" s="4" t="n"/>
    </row>
    <row r="322">
      <c r="A322" s="4" t="n"/>
      <c r="B322" s="4" t="n"/>
      <c r="C322" s="4" t="n"/>
      <c r="D322" s="4" t="n"/>
      <c r="E322" s="4" t="n"/>
      <c r="F322" s="4" t="n"/>
      <c r="G322" s="4" t="n"/>
    </row>
    <row r="323">
      <c r="A323" s="4" t="n"/>
      <c r="B323" s="4" t="n"/>
      <c r="C323" s="4" t="n"/>
      <c r="D323" s="4" t="n"/>
      <c r="E323" s="4" t="n"/>
      <c r="F323" s="4" t="n"/>
      <c r="G323" s="4" t="n"/>
    </row>
    <row r="324">
      <c r="A324" s="4" t="n"/>
      <c r="B324" s="4" t="n"/>
      <c r="C324" s="4" t="n"/>
      <c r="D324" s="4" t="n"/>
      <c r="E324" s="4" t="n"/>
      <c r="F324" s="4" t="n"/>
      <c r="G324" s="4" t="n"/>
    </row>
    <row r="325">
      <c r="A325" s="4" t="n"/>
      <c r="B325" s="4" t="n"/>
      <c r="C325" s="4" t="n"/>
      <c r="D325" s="4" t="n"/>
      <c r="E325" s="4" t="n"/>
      <c r="F325" s="4" t="n"/>
      <c r="G325" s="4" t="n"/>
    </row>
    <row r="326">
      <c r="A326" s="4" t="n"/>
      <c r="B326" s="4" t="n"/>
      <c r="C326" s="4" t="n"/>
      <c r="D326" s="4" t="n"/>
      <c r="E326" s="4" t="n"/>
      <c r="F326" s="4" t="n"/>
      <c r="G326" s="4" t="n"/>
    </row>
    <row r="327">
      <c r="A327" s="4" t="n"/>
      <c r="B327" s="4" t="n"/>
      <c r="C327" s="4" t="n"/>
      <c r="D327" s="4" t="n"/>
      <c r="E327" s="4" t="n"/>
      <c r="F327" s="4" t="n"/>
      <c r="G327" s="4" t="n"/>
    </row>
    <row r="328">
      <c r="A328" s="4" t="n"/>
      <c r="B328" s="4" t="n"/>
      <c r="C328" s="4" t="n"/>
      <c r="D328" s="4" t="n"/>
      <c r="E328" s="4" t="n"/>
      <c r="F328" s="4" t="n"/>
      <c r="G328" s="4" t="n"/>
    </row>
    <row r="329">
      <c r="A329" s="4" t="n"/>
      <c r="B329" s="4" t="n"/>
      <c r="C329" s="4" t="n"/>
      <c r="D329" s="4" t="n"/>
      <c r="E329" s="4" t="n"/>
      <c r="F329" s="4" t="n"/>
      <c r="G329" s="4" t="n"/>
    </row>
    <row r="330">
      <c r="A330" s="4" t="n"/>
      <c r="B330" s="4" t="n"/>
      <c r="C330" s="4" t="n"/>
      <c r="D330" s="4" t="n"/>
      <c r="E330" s="4" t="n"/>
      <c r="F330" s="4" t="n"/>
      <c r="G330" s="4" t="n"/>
    </row>
    <row r="331">
      <c r="A331" s="4" t="n"/>
      <c r="B331" s="4" t="n"/>
      <c r="C331" s="4" t="n"/>
      <c r="D331" s="4" t="n"/>
      <c r="E331" s="4" t="n"/>
      <c r="F331" s="4" t="n"/>
      <c r="G331" s="4" t="n"/>
    </row>
    <row r="332">
      <c r="A332" s="4" t="n"/>
      <c r="B332" s="4" t="n"/>
      <c r="C332" s="4" t="n"/>
      <c r="D332" s="4" t="n"/>
      <c r="E332" s="4" t="n"/>
      <c r="F332" s="4" t="n"/>
      <c r="G332" s="4" t="n"/>
    </row>
    <row r="333">
      <c r="A333" s="4" t="n"/>
      <c r="B333" s="4" t="n"/>
      <c r="C333" s="4" t="n"/>
      <c r="D333" s="4" t="n"/>
      <c r="E333" s="4" t="n"/>
      <c r="F333" s="4" t="n"/>
      <c r="G333" s="4" t="n"/>
    </row>
    <row r="334">
      <c r="A334" s="4" t="n"/>
      <c r="B334" s="4" t="n"/>
      <c r="C334" s="4" t="n"/>
      <c r="D334" s="4" t="n"/>
      <c r="E334" s="4" t="n"/>
      <c r="F334" s="4" t="n"/>
      <c r="G334" s="4" t="n"/>
    </row>
    <row r="335">
      <c r="A335" s="4" t="n"/>
      <c r="B335" s="4" t="n"/>
      <c r="C335" s="4" t="n"/>
      <c r="D335" s="4" t="n"/>
      <c r="E335" s="4" t="n"/>
      <c r="F335" s="4" t="n"/>
      <c r="G335" s="4" t="n"/>
    </row>
    <row r="336">
      <c r="A336" s="4" t="n"/>
      <c r="B336" s="4" t="n"/>
      <c r="C336" s="4" t="n"/>
      <c r="D336" s="4" t="n"/>
      <c r="E336" s="4" t="n"/>
      <c r="F336" s="4" t="n"/>
      <c r="G336" s="4" t="n"/>
    </row>
    <row r="337">
      <c r="A337" s="4" t="n"/>
      <c r="B337" s="4" t="n"/>
      <c r="C337" s="4" t="n"/>
      <c r="D337" s="4" t="n"/>
      <c r="E337" s="4" t="n"/>
      <c r="F337" s="4" t="n"/>
      <c r="G337" s="4" t="n"/>
    </row>
    <row r="338">
      <c r="A338" s="4" t="n"/>
      <c r="B338" s="4" t="n"/>
      <c r="C338" s="4" t="n"/>
      <c r="D338" s="4" t="n"/>
      <c r="E338" s="4" t="n"/>
      <c r="F338" s="4" t="n"/>
      <c r="G338" s="4" t="n"/>
    </row>
    <row r="339">
      <c r="A339" s="4" t="n"/>
      <c r="B339" s="4" t="n"/>
      <c r="C339" s="4" t="n"/>
      <c r="D339" s="4" t="n"/>
      <c r="E339" s="4" t="n"/>
      <c r="F339" s="4" t="n"/>
      <c r="G339" s="4" t="n"/>
    </row>
    <row r="340">
      <c r="A340" s="4" t="n"/>
      <c r="B340" s="4" t="n"/>
      <c r="C340" s="4" t="n"/>
      <c r="D340" s="4" t="n"/>
      <c r="E340" s="4" t="n"/>
      <c r="F340" s="4" t="n"/>
      <c r="G340" s="4" t="n"/>
    </row>
    <row r="341">
      <c r="A341" s="4" t="n"/>
      <c r="B341" s="4" t="n"/>
      <c r="C341" s="4" t="n"/>
      <c r="D341" s="4" t="n"/>
      <c r="E341" s="4" t="n"/>
      <c r="F341" s="4" t="n"/>
      <c r="G341" s="4" t="n"/>
    </row>
    <row r="342">
      <c r="A342" s="4" t="n"/>
      <c r="B342" s="4" t="n"/>
      <c r="C342" s="4" t="n"/>
      <c r="D342" s="4" t="n"/>
      <c r="E342" s="4" t="n"/>
      <c r="F342" s="4" t="n"/>
      <c r="G342" s="4" t="n"/>
    </row>
    <row r="343">
      <c r="A343" s="4" t="n"/>
      <c r="B343" s="4" t="n"/>
      <c r="C343" s="4" t="n"/>
      <c r="D343" s="4" t="n"/>
      <c r="E343" s="4" t="n"/>
      <c r="F343" s="4" t="n"/>
      <c r="G343" s="4" t="n"/>
    </row>
    <row r="344">
      <c r="A344" s="4" t="n"/>
      <c r="B344" s="4" t="n"/>
      <c r="C344" s="4" t="n"/>
      <c r="D344" s="4" t="n"/>
      <c r="E344" s="4" t="n"/>
      <c r="F344" s="4" t="n"/>
      <c r="G344" s="4" t="n"/>
    </row>
    <row r="345">
      <c r="A345" s="4" t="n"/>
      <c r="B345" s="4" t="n"/>
      <c r="C345" s="4" t="n"/>
      <c r="D345" s="4" t="n"/>
      <c r="E345" s="4" t="n"/>
      <c r="F345" s="4" t="n"/>
      <c r="G345" s="4" t="n"/>
    </row>
    <row r="346">
      <c r="A346" s="4" t="n"/>
      <c r="B346" s="4" t="n"/>
      <c r="C346" s="4" t="n"/>
      <c r="D346" s="4" t="n"/>
      <c r="E346" s="4" t="n"/>
      <c r="F346" s="4" t="n"/>
      <c r="G346" s="4" t="n"/>
    </row>
    <row r="347">
      <c r="A347" s="4" t="n"/>
      <c r="B347" s="4" t="n"/>
      <c r="C347" s="4" t="n"/>
      <c r="D347" s="4" t="n"/>
      <c r="E347" s="4" t="n"/>
      <c r="F347" s="4" t="n"/>
      <c r="G347" s="4" t="n"/>
    </row>
    <row r="348">
      <c r="A348" s="4" t="n"/>
      <c r="B348" s="4" t="n"/>
      <c r="C348" s="4" t="n"/>
      <c r="D348" s="4" t="n"/>
      <c r="E348" s="4" t="n"/>
      <c r="F348" s="4" t="n"/>
      <c r="G348" s="4" t="n"/>
    </row>
    <row r="349">
      <c r="A349" s="4" t="n"/>
      <c r="B349" s="4" t="n"/>
      <c r="C349" s="4" t="n"/>
      <c r="D349" s="4" t="n"/>
      <c r="E349" s="4" t="n"/>
      <c r="F349" s="4" t="n"/>
      <c r="G349" s="4" t="n"/>
    </row>
    <row r="350">
      <c r="A350" s="4" t="n"/>
      <c r="B350" s="4" t="n"/>
      <c r="C350" s="4" t="n"/>
      <c r="D350" s="4" t="n"/>
      <c r="E350" s="4" t="n"/>
      <c r="F350" s="4" t="n"/>
      <c r="G350" s="4" t="n"/>
    </row>
    <row r="351">
      <c r="A351" s="4" t="n"/>
      <c r="B351" s="4" t="n"/>
      <c r="C351" s="4" t="n"/>
      <c r="D351" s="4" t="n"/>
      <c r="E351" s="4" t="n"/>
      <c r="F351" s="4" t="n"/>
      <c r="G351" s="4" t="n"/>
    </row>
    <row r="352">
      <c r="A352" s="4" t="n"/>
      <c r="B352" s="4" t="n"/>
      <c r="C352" s="4" t="n"/>
      <c r="D352" s="4" t="n"/>
      <c r="E352" s="4" t="n"/>
      <c r="F352" s="4" t="n"/>
      <c r="G352" s="4" t="n"/>
    </row>
    <row r="353">
      <c r="A353" s="4" t="n"/>
      <c r="B353" s="4" t="n"/>
      <c r="C353" s="4" t="n"/>
      <c r="D353" s="4" t="n"/>
      <c r="E353" s="4" t="n"/>
      <c r="F353" s="4" t="n"/>
      <c r="G353" s="4" t="n"/>
    </row>
    <row r="354">
      <c r="A354" s="4" t="n"/>
      <c r="B354" s="4" t="n"/>
      <c r="C354" s="4" t="n"/>
      <c r="D354" s="4" t="n"/>
      <c r="E354" s="4" t="n"/>
      <c r="F354" s="4" t="n"/>
      <c r="G354" s="4" t="n"/>
    </row>
    <row r="355">
      <c r="A355" s="4" t="n"/>
      <c r="B355" s="4" t="n"/>
      <c r="C355" s="4" t="n"/>
      <c r="D355" s="4" t="n"/>
      <c r="E355" s="4" t="n"/>
      <c r="F355" s="4" t="n"/>
      <c r="G355" s="4" t="n"/>
    </row>
    <row r="356">
      <c r="A356" s="4" t="n"/>
      <c r="B356" s="4" t="n"/>
      <c r="C356" s="4" t="n"/>
      <c r="D356" s="4" t="n"/>
      <c r="E356" s="4" t="n"/>
      <c r="F356" s="4" t="n"/>
      <c r="G356" s="4" t="n"/>
    </row>
    <row r="357">
      <c r="A357" s="4" t="n"/>
      <c r="B357" s="4" t="n"/>
      <c r="C357" s="4" t="n"/>
      <c r="D357" s="4" t="n"/>
      <c r="E357" s="4" t="n"/>
      <c r="F357" s="4" t="n"/>
      <c r="G357" s="4" t="n"/>
    </row>
    <row r="358">
      <c r="A358" s="4" t="n"/>
      <c r="B358" s="4" t="n"/>
      <c r="C358" s="4" t="n"/>
      <c r="D358" s="4" t="n"/>
      <c r="E358" s="4" t="n"/>
      <c r="F358" s="4" t="n"/>
      <c r="G358" s="4" t="n"/>
    </row>
    <row r="359">
      <c r="A359" s="4" t="n"/>
      <c r="B359" s="4" t="n"/>
      <c r="C359" s="4" t="n"/>
      <c r="D359" s="4" t="n"/>
      <c r="E359" s="4" t="n"/>
      <c r="F359" s="4" t="n"/>
      <c r="G359" s="4" t="n"/>
    </row>
    <row r="360">
      <c r="A360" s="4" t="n"/>
      <c r="B360" s="4" t="n"/>
      <c r="C360" s="4" t="n"/>
      <c r="D360" s="4" t="n"/>
      <c r="E360" s="4" t="n"/>
      <c r="F360" s="4" t="n"/>
      <c r="G360" s="4" t="n"/>
    </row>
    <row r="361">
      <c r="A361" s="4" t="n"/>
      <c r="B361" s="4" t="n"/>
      <c r="C361" s="4" t="n"/>
      <c r="D361" s="4" t="n"/>
      <c r="E361" s="4" t="n"/>
      <c r="F361" s="4" t="n"/>
      <c r="G361" s="4" t="n"/>
    </row>
    <row r="362">
      <c r="A362" s="4" t="n"/>
      <c r="B362" s="4" t="n"/>
      <c r="C362" s="4" t="n"/>
      <c r="D362" s="4" t="n"/>
      <c r="E362" s="4" t="n"/>
      <c r="F362" s="4" t="n"/>
      <c r="G362" s="4" t="n"/>
    </row>
    <row r="363">
      <c r="A363" s="4" t="n"/>
      <c r="B363" s="4" t="n"/>
      <c r="C363" s="4" t="n"/>
      <c r="D363" s="4" t="n"/>
      <c r="E363" s="4" t="n"/>
      <c r="F363" s="4" t="n"/>
      <c r="G363" s="4" t="n"/>
    </row>
    <row r="364">
      <c r="A364" s="4" t="n"/>
      <c r="B364" s="4" t="n"/>
      <c r="C364" s="4" t="n"/>
      <c r="D364" s="4" t="n"/>
      <c r="E364" s="4" t="n"/>
      <c r="F364" s="4" t="n"/>
      <c r="G364" s="4" t="n"/>
    </row>
    <row r="365">
      <c r="A365" s="4" t="n"/>
      <c r="B365" s="4" t="n"/>
      <c r="C365" s="4" t="n"/>
      <c r="D365" s="4" t="n"/>
      <c r="E365" s="4" t="n"/>
      <c r="F365" s="4" t="n"/>
      <c r="G365" s="4" t="n"/>
    </row>
    <row r="366">
      <c r="A366" s="4" t="n"/>
      <c r="B366" s="4" t="n"/>
      <c r="C366" s="4" t="n"/>
      <c r="D366" s="4" t="n"/>
      <c r="E366" s="4" t="n"/>
      <c r="F366" s="4" t="n"/>
      <c r="G366" s="4" t="n"/>
    </row>
    <row r="367">
      <c r="A367" s="4" t="n"/>
      <c r="B367" s="4" t="n"/>
      <c r="C367" s="4" t="n"/>
      <c r="D367" s="4" t="n"/>
      <c r="E367" s="4" t="n"/>
      <c r="F367" s="4" t="n"/>
      <c r="G367" s="4" t="n"/>
    </row>
    <row r="368">
      <c r="A368" s="4" t="n"/>
      <c r="B368" s="4" t="n"/>
      <c r="C368" s="4" t="n"/>
      <c r="D368" s="4" t="n"/>
      <c r="E368" s="4" t="n"/>
      <c r="F368" s="4" t="n"/>
      <c r="G368" s="4" t="n"/>
    </row>
    <row r="369">
      <c r="A369" s="4" t="n"/>
      <c r="B369" s="4" t="n"/>
      <c r="C369" s="4" t="n"/>
      <c r="D369" s="4" t="n"/>
      <c r="E369" s="4" t="n"/>
      <c r="F369" s="4" t="n"/>
      <c r="G369" s="4" t="n"/>
    </row>
    <row r="370">
      <c r="A370" s="4" t="n"/>
      <c r="B370" s="4" t="n"/>
      <c r="C370" s="4" t="n"/>
      <c r="D370" s="4" t="n"/>
      <c r="E370" s="4" t="n"/>
      <c r="F370" s="4" t="n"/>
      <c r="G370" s="4" t="n"/>
    </row>
    <row r="371">
      <c r="A371" s="4" t="n"/>
      <c r="B371" s="4" t="n"/>
      <c r="C371" s="4" t="n"/>
      <c r="D371" s="4" t="n"/>
      <c r="E371" s="4" t="n"/>
      <c r="F371" s="4" t="n"/>
      <c r="G371" s="4" t="n"/>
    </row>
    <row r="372">
      <c r="A372" s="4" t="n"/>
      <c r="B372" s="4" t="n"/>
      <c r="C372" s="4" t="n"/>
      <c r="D372" s="4" t="n"/>
      <c r="E372" s="4" t="n"/>
      <c r="F372" s="4" t="n"/>
      <c r="G372" s="4" t="n"/>
    </row>
    <row r="373">
      <c r="A373" s="4" t="n"/>
      <c r="B373" s="4" t="n"/>
      <c r="C373" s="4" t="n"/>
      <c r="D373" s="4" t="n"/>
      <c r="E373" s="4" t="n"/>
      <c r="F373" s="4" t="n"/>
      <c r="G373" s="4" t="n"/>
    </row>
    <row r="374">
      <c r="A374" s="4" t="n"/>
      <c r="B374" s="4" t="n"/>
      <c r="C374" s="4" t="n"/>
      <c r="D374" s="4" t="n"/>
      <c r="E374" s="4" t="n"/>
      <c r="F374" s="4" t="n"/>
      <c r="G374" s="4" t="n"/>
    </row>
    <row r="375">
      <c r="A375" s="4" t="n"/>
      <c r="B375" s="4" t="n"/>
      <c r="C375" s="4" t="n"/>
      <c r="D375" s="4" t="n"/>
      <c r="E375" s="4" t="n"/>
      <c r="F375" s="4" t="n"/>
      <c r="G375" s="4" t="n"/>
    </row>
    <row r="376">
      <c r="A376" s="4" t="n"/>
      <c r="B376" s="4" t="n"/>
      <c r="C376" s="4" t="n"/>
      <c r="D376" s="4" t="n"/>
      <c r="E376" s="4" t="n"/>
      <c r="F376" s="4" t="n"/>
      <c r="G376" s="4" t="n"/>
    </row>
    <row r="377">
      <c r="A377" s="4" t="n"/>
      <c r="B377" s="4" t="n"/>
      <c r="C377" s="4" t="n"/>
      <c r="D377" s="4" t="n"/>
      <c r="E377" s="4" t="n"/>
      <c r="F377" s="4" t="n"/>
      <c r="G377" s="4" t="n"/>
    </row>
    <row r="378">
      <c r="A378" s="4" t="n"/>
      <c r="B378" s="4" t="n"/>
      <c r="C378" s="4" t="n"/>
      <c r="D378" s="4" t="n"/>
      <c r="E378" s="4" t="n"/>
      <c r="F378" s="4" t="n"/>
      <c r="G378" s="4" t="n"/>
    </row>
    <row r="379">
      <c r="A379" s="4" t="n"/>
      <c r="B379" s="4" t="n"/>
      <c r="C379" s="4" t="n"/>
      <c r="D379" s="4" t="n"/>
      <c r="E379" s="4" t="n"/>
      <c r="F379" s="4" t="n"/>
      <c r="G379" s="4" t="n"/>
    </row>
    <row r="380">
      <c r="A380" s="4" t="n"/>
      <c r="B380" s="4" t="n"/>
      <c r="C380" s="4" t="n"/>
      <c r="D380" s="4" t="n"/>
      <c r="E380" s="4" t="n"/>
      <c r="F380" s="4" t="n"/>
      <c r="G380" s="4" t="n"/>
    </row>
    <row r="381">
      <c r="A381" s="4" t="n"/>
      <c r="B381" s="4" t="n"/>
      <c r="C381" s="4" t="n"/>
      <c r="D381" s="4" t="n"/>
      <c r="E381" s="4" t="n"/>
      <c r="F381" s="4" t="n"/>
      <c r="G381" s="4" t="n"/>
    </row>
    <row r="382">
      <c r="A382" s="4" t="n"/>
      <c r="B382" s="4" t="n"/>
      <c r="C382" s="4" t="n"/>
      <c r="D382" s="4" t="n"/>
      <c r="E382" s="4" t="n"/>
      <c r="F382" s="4" t="n"/>
      <c r="G382" s="4" t="n"/>
    </row>
    <row r="383">
      <c r="A383" s="4" t="n"/>
      <c r="B383" s="4" t="n"/>
      <c r="C383" s="4" t="n"/>
      <c r="D383" s="4" t="n"/>
      <c r="E383" s="4" t="n"/>
      <c r="F383" s="4" t="n"/>
      <c r="G383" s="4" t="n"/>
    </row>
    <row r="384">
      <c r="A384" s="4" t="n"/>
      <c r="B384" s="4" t="n"/>
      <c r="C384" s="4" t="n"/>
      <c r="D384" s="4" t="n"/>
      <c r="E384" s="4" t="n"/>
      <c r="F384" s="4" t="n"/>
      <c r="G384" s="4" t="n"/>
    </row>
    <row r="385">
      <c r="A385" s="4" t="n"/>
      <c r="B385" s="4" t="n"/>
      <c r="C385" s="4" t="n"/>
      <c r="D385" s="4" t="n"/>
      <c r="E385" s="4" t="n"/>
      <c r="F385" s="4" t="n"/>
      <c r="G385" s="4" t="n"/>
    </row>
    <row r="386">
      <c r="A386" s="4" t="n"/>
      <c r="B386" s="4" t="n"/>
      <c r="C386" s="4" t="n"/>
      <c r="D386" s="4" t="n"/>
      <c r="E386" s="4" t="n"/>
      <c r="F386" s="4" t="n"/>
      <c r="G386" s="4" t="n"/>
    </row>
    <row r="387">
      <c r="A387" s="4" t="n"/>
      <c r="B387" s="4" t="n"/>
      <c r="C387" s="4" t="n"/>
      <c r="D387" s="4" t="n"/>
      <c r="E387" s="4" t="n"/>
      <c r="F387" s="4" t="n"/>
      <c r="G387" s="4" t="n"/>
    </row>
    <row r="388">
      <c r="A388" s="4" t="n"/>
      <c r="B388" s="4" t="n"/>
      <c r="C388" s="4" t="n"/>
      <c r="D388" s="4" t="n"/>
      <c r="E388" s="4" t="n"/>
      <c r="F388" s="4" t="n"/>
      <c r="G388" s="4" t="n"/>
    </row>
    <row r="389">
      <c r="A389" s="4" t="n"/>
      <c r="B389" s="4" t="n"/>
      <c r="C389" s="4" t="n"/>
      <c r="D389" s="4" t="n"/>
      <c r="E389" s="4" t="n"/>
      <c r="F389" s="4" t="n"/>
      <c r="G389" s="4" t="n"/>
    </row>
    <row r="390">
      <c r="A390" s="4" t="n"/>
      <c r="B390" s="4" t="n"/>
      <c r="C390" s="4" t="n"/>
      <c r="D390" s="4" t="n"/>
      <c r="E390" s="4" t="n"/>
      <c r="F390" s="4" t="n"/>
      <c r="G390" s="4" t="n"/>
    </row>
    <row r="391">
      <c r="A391" s="4" t="n"/>
      <c r="B391" s="4" t="n"/>
      <c r="C391" s="4" t="n"/>
      <c r="D391" s="4" t="n"/>
      <c r="E391" s="4" t="n"/>
      <c r="F391" s="4" t="n"/>
      <c r="G391" s="4" t="n"/>
    </row>
    <row r="392">
      <c r="A392" s="4" t="n"/>
      <c r="B392" s="4" t="n"/>
      <c r="C392" s="4" t="n"/>
      <c r="D392" s="4" t="n"/>
      <c r="E392" s="4" t="n"/>
      <c r="F392" s="4" t="n"/>
      <c r="G392" s="4" t="n"/>
    </row>
    <row r="393">
      <c r="A393" s="4" t="n"/>
      <c r="B393" s="4" t="n"/>
      <c r="C393" s="4" t="n"/>
      <c r="D393" s="4" t="n"/>
      <c r="E393" s="4" t="n"/>
      <c r="F393" s="4" t="n"/>
      <c r="G393" s="4" t="n"/>
    </row>
    <row r="394">
      <c r="A394" s="4" t="n"/>
      <c r="B394" s="4" t="n"/>
      <c r="C394" s="4" t="n"/>
      <c r="D394" s="4" t="n"/>
      <c r="E394" s="4" t="n"/>
      <c r="F394" s="4" t="n"/>
      <c r="G394" s="4" t="n"/>
    </row>
    <row r="395">
      <c r="A395" s="4" t="n"/>
      <c r="B395" s="4" t="n"/>
      <c r="C395" s="4" t="n"/>
      <c r="D395" s="4" t="n"/>
      <c r="E395" s="4" t="n"/>
      <c r="F395" s="4" t="n"/>
      <c r="G395" s="4" t="n"/>
    </row>
    <row r="396">
      <c r="A396" s="4" t="n"/>
      <c r="B396" s="4" t="n"/>
      <c r="C396" s="4" t="n"/>
      <c r="D396" s="4" t="n"/>
      <c r="E396" s="4" t="n"/>
      <c r="F396" s="4" t="n"/>
      <c r="G396" s="4" t="n"/>
    </row>
    <row r="397">
      <c r="A397" s="4" t="n"/>
      <c r="B397" s="4" t="n"/>
      <c r="C397" s="4" t="n"/>
      <c r="D397" s="4" t="n"/>
      <c r="E397" s="4" t="n"/>
      <c r="F397" s="4" t="n"/>
      <c r="G397" s="4" t="n"/>
    </row>
    <row r="398">
      <c r="A398" s="4" t="n"/>
      <c r="B398" s="4" t="n"/>
      <c r="C398" s="4" t="n"/>
      <c r="D398" s="4" t="n"/>
      <c r="E398" s="4" t="n"/>
      <c r="F398" s="4" t="n"/>
      <c r="G398" s="4" t="n"/>
    </row>
    <row r="399">
      <c r="A399" s="4" t="n"/>
      <c r="B399" s="4" t="n"/>
      <c r="C399" s="4" t="n"/>
      <c r="D399" s="4" t="n"/>
      <c r="E399" s="4" t="n"/>
      <c r="F399" s="4" t="n"/>
      <c r="G399" s="4" t="n"/>
    </row>
    <row r="400">
      <c r="A400" s="4" t="n"/>
      <c r="B400" s="4" t="n"/>
      <c r="C400" s="4" t="n"/>
      <c r="D400" s="4" t="n"/>
      <c r="E400" s="4" t="n"/>
      <c r="F400" s="4" t="n"/>
      <c r="G400" s="4" t="n"/>
    </row>
    <row r="401">
      <c r="A401" s="4" t="n"/>
      <c r="B401" s="4" t="n"/>
      <c r="C401" s="4" t="n"/>
      <c r="D401" s="4" t="n"/>
      <c r="E401" s="4" t="n"/>
      <c r="F401" s="4" t="n"/>
      <c r="G401" s="4" t="n"/>
    </row>
    <row r="402">
      <c r="A402" s="4" t="n"/>
      <c r="B402" s="4" t="n"/>
      <c r="C402" s="4" t="n"/>
      <c r="D402" s="4" t="n"/>
      <c r="E402" s="4" t="n"/>
      <c r="F402" s="4" t="n"/>
      <c r="G402" s="4" t="n"/>
    </row>
    <row r="403">
      <c r="A403" s="4" t="n"/>
      <c r="B403" s="4" t="n"/>
      <c r="C403" s="4" t="n"/>
      <c r="D403" s="4" t="n"/>
      <c r="E403" s="4" t="n"/>
      <c r="F403" s="4" t="n"/>
      <c r="G403" s="4" t="n"/>
    </row>
    <row r="404">
      <c r="A404" s="4" t="n"/>
      <c r="B404" s="4" t="n"/>
      <c r="C404" s="4" t="n"/>
      <c r="D404" s="4" t="n"/>
      <c r="E404" s="4" t="n"/>
      <c r="F404" s="4" t="n"/>
      <c r="G404" s="4" t="n"/>
    </row>
    <row r="405">
      <c r="A405" s="4" t="n"/>
      <c r="B405" s="4" t="n"/>
      <c r="C405" s="4" t="n"/>
      <c r="D405" s="4" t="n"/>
      <c r="E405" s="4" t="n"/>
      <c r="F405" s="4" t="n"/>
      <c r="G405" s="4" t="n"/>
    </row>
    <row r="406">
      <c r="A406" s="4" t="n"/>
      <c r="B406" s="4" t="n"/>
      <c r="C406" s="4" t="n"/>
      <c r="D406" s="4" t="n"/>
      <c r="E406" s="4" t="n"/>
      <c r="F406" s="4" t="n"/>
      <c r="G406" s="4" t="n"/>
    </row>
    <row r="407">
      <c r="A407" s="4" t="n"/>
      <c r="B407" s="4" t="n"/>
      <c r="C407" s="4" t="n"/>
      <c r="D407" s="4" t="n"/>
      <c r="E407" s="4" t="n"/>
      <c r="F407" s="4" t="n"/>
      <c r="G407" s="4" t="n"/>
    </row>
    <row r="408">
      <c r="A408" s="4" t="n"/>
      <c r="B408" s="4" t="n"/>
      <c r="C408" s="4" t="n"/>
      <c r="D408" s="4" t="n"/>
      <c r="E408" s="4" t="n"/>
      <c r="F408" s="4" t="n"/>
      <c r="G408" s="4" t="n"/>
    </row>
    <row r="409">
      <c r="A409" s="4" t="n"/>
      <c r="B409" s="4" t="n"/>
      <c r="C409" s="4" t="n"/>
      <c r="D409" s="4" t="n"/>
      <c r="E409" s="4" t="n"/>
      <c r="F409" s="4" t="n"/>
      <c r="G409" s="4" t="n"/>
    </row>
    <row r="410">
      <c r="A410" s="4" t="n"/>
      <c r="B410" s="4" t="n"/>
      <c r="C410" s="4" t="n"/>
      <c r="D410" s="4" t="n"/>
      <c r="E410" s="4" t="n"/>
      <c r="F410" s="4" t="n"/>
      <c r="G410" s="4" t="n"/>
    </row>
    <row r="411">
      <c r="A411" s="4" t="n"/>
      <c r="B411" s="4" t="n"/>
      <c r="C411" s="4" t="n"/>
      <c r="D411" s="4" t="n"/>
      <c r="E411" s="4" t="n"/>
      <c r="F411" s="4" t="n"/>
      <c r="G411" s="4" t="n"/>
    </row>
    <row r="412">
      <c r="A412" s="4" t="n"/>
      <c r="B412" s="4" t="n"/>
      <c r="C412" s="4" t="n"/>
      <c r="D412" s="4" t="n"/>
      <c r="E412" s="4" t="n"/>
      <c r="F412" s="4" t="n"/>
      <c r="G412" s="4" t="n"/>
    </row>
    <row r="413">
      <c r="A413" s="4" t="n"/>
      <c r="B413" s="4" t="n"/>
      <c r="C413" s="4" t="n"/>
      <c r="D413" s="4" t="n"/>
      <c r="E413" s="4" t="n"/>
      <c r="F413" s="4" t="n"/>
      <c r="G413" s="4" t="n"/>
    </row>
    <row r="414">
      <c r="A414" s="4" t="n"/>
      <c r="B414" s="4" t="n"/>
      <c r="C414" s="4" t="n"/>
      <c r="D414" s="4" t="n"/>
      <c r="E414" s="4" t="n"/>
      <c r="F414" s="4" t="n"/>
      <c r="G414" s="4" t="n"/>
    </row>
    <row r="415">
      <c r="A415" s="4" t="n"/>
      <c r="B415" s="4" t="n"/>
      <c r="C415" s="4" t="n"/>
      <c r="D415" s="4" t="n"/>
      <c r="E415" s="4" t="n"/>
      <c r="F415" s="4" t="n"/>
      <c r="G415" s="4" t="n"/>
    </row>
    <row r="416">
      <c r="A416" s="4" t="n"/>
      <c r="B416" s="4" t="n"/>
      <c r="C416" s="4" t="n"/>
      <c r="D416" s="4" t="n"/>
      <c r="E416" s="4" t="n"/>
      <c r="F416" s="4" t="n"/>
      <c r="G416" s="4" t="n"/>
    </row>
    <row r="417">
      <c r="A417" s="4" t="n"/>
      <c r="B417" s="4" t="n"/>
      <c r="C417" s="4" t="n"/>
      <c r="D417" s="4" t="n"/>
      <c r="E417" s="4" t="n"/>
      <c r="F417" s="4" t="n"/>
      <c r="G417" s="4" t="n"/>
    </row>
    <row r="418">
      <c r="A418" s="4" t="n"/>
      <c r="B418" s="4" t="n"/>
      <c r="C418" s="4" t="n"/>
      <c r="D418" s="4" t="n"/>
      <c r="E418" s="4" t="n"/>
      <c r="F418" s="4" t="n"/>
      <c r="G418" s="4" t="n"/>
    </row>
    <row r="419">
      <c r="A419" s="4" t="n"/>
      <c r="B419" s="4" t="n"/>
      <c r="C419" s="4" t="n"/>
      <c r="D419" s="4" t="n"/>
      <c r="E419" s="4" t="n"/>
      <c r="F419" s="4" t="n"/>
      <c r="G419" s="4" t="n"/>
    </row>
    <row r="420">
      <c r="A420" s="4" t="n"/>
      <c r="B420" s="4" t="n"/>
      <c r="C420" s="4" t="n"/>
      <c r="D420" s="4" t="n"/>
      <c r="E420" s="4" t="n"/>
      <c r="F420" s="4" t="n"/>
      <c r="G420" s="4" t="n"/>
    </row>
    <row r="421">
      <c r="A421" s="4" t="n"/>
      <c r="B421" s="4" t="n"/>
      <c r="C421" s="4" t="n"/>
      <c r="D421" s="4" t="n"/>
      <c r="E421" s="4" t="n"/>
      <c r="F421" s="4" t="n"/>
      <c r="G421" s="4" t="n"/>
    </row>
    <row r="422">
      <c r="A422" s="4" t="n"/>
      <c r="B422" s="4" t="n"/>
      <c r="C422" s="4" t="n"/>
      <c r="D422" s="4" t="n"/>
      <c r="E422" s="4" t="n"/>
      <c r="F422" s="4" t="n"/>
      <c r="G422" s="4" t="n"/>
    </row>
    <row r="423">
      <c r="A423" s="4" t="n"/>
      <c r="B423" s="4" t="n"/>
      <c r="C423" s="4" t="n"/>
      <c r="D423" s="4" t="n"/>
      <c r="E423" s="4" t="n"/>
      <c r="F423" s="4" t="n"/>
      <c r="G423" s="4" t="n"/>
    </row>
    <row r="424">
      <c r="A424" s="4" t="n"/>
      <c r="B424" s="4" t="n"/>
      <c r="C424" s="4" t="n"/>
      <c r="D424" s="4" t="n"/>
      <c r="E424" s="4" t="n"/>
      <c r="F424" s="4" t="n"/>
      <c r="G424" s="4" t="n"/>
    </row>
    <row r="425">
      <c r="A425" s="4" t="n"/>
      <c r="B425" s="4" t="n"/>
      <c r="C425" s="4" t="n"/>
      <c r="D425" s="4" t="n"/>
      <c r="E425" s="4" t="n"/>
      <c r="F425" s="4" t="n"/>
      <c r="G425" s="4" t="n"/>
    </row>
    <row r="426">
      <c r="A426" s="4" t="n"/>
      <c r="B426" s="4" t="n"/>
      <c r="C426" s="4" t="n"/>
      <c r="D426" s="4" t="n"/>
      <c r="E426" s="4" t="n"/>
      <c r="F426" s="4" t="n"/>
      <c r="G426" s="4" t="n"/>
    </row>
    <row r="427">
      <c r="A427" s="4" t="n"/>
      <c r="B427" s="4" t="n"/>
      <c r="C427" s="4" t="n"/>
      <c r="D427" s="4" t="n"/>
      <c r="E427" s="4" t="n"/>
      <c r="F427" s="4" t="n"/>
      <c r="G427" s="4" t="n"/>
    </row>
    <row r="428">
      <c r="A428" s="4" t="n"/>
      <c r="B428" s="4" t="n"/>
      <c r="C428" s="4" t="n"/>
      <c r="D428" s="4" t="n"/>
      <c r="E428" s="4" t="n"/>
      <c r="F428" s="4" t="n"/>
      <c r="G428" s="4" t="n"/>
    </row>
    <row r="429">
      <c r="A429" s="4" t="n"/>
      <c r="B429" s="4" t="n"/>
      <c r="C429" s="4" t="n"/>
      <c r="D429" s="4" t="n"/>
      <c r="E429" s="4" t="n"/>
      <c r="F429" s="4" t="n"/>
      <c r="G429" s="4" t="n"/>
    </row>
    <row r="430">
      <c r="A430" s="4" t="n"/>
      <c r="B430" s="4" t="n"/>
      <c r="C430" s="4" t="n"/>
      <c r="D430" s="4" t="n"/>
      <c r="E430" s="4" t="n"/>
      <c r="F430" s="4" t="n"/>
      <c r="G430" s="4" t="n"/>
    </row>
    <row r="431">
      <c r="A431" s="4" t="n"/>
      <c r="B431" s="4" t="n"/>
      <c r="C431" s="4" t="n"/>
      <c r="D431" s="4" t="n"/>
      <c r="E431" s="4" t="n"/>
      <c r="F431" s="4" t="n"/>
      <c r="G431" s="4" t="n"/>
    </row>
    <row r="432">
      <c r="A432" s="4" t="n"/>
      <c r="B432" s="4" t="n"/>
      <c r="C432" s="4" t="n"/>
      <c r="D432" s="4" t="n"/>
      <c r="E432" s="4" t="n"/>
      <c r="F432" s="4" t="n"/>
      <c r="G432" s="4" t="n"/>
    </row>
    <row r="433">
      <c r="A433" s="4" t="n"/>
      <c r="B433" s="4" t="n"/>
      <c r="C433" s="4" t="n"/>
      <c r="D433" s="4" t="n"/>
      <c r="E433" s="4" t="n"/>
      <c r="F433" s="4" t="n"/>
      <c r="G433" s="4" t="n"/>
    </row>
    <row r="434">
      <c r="A434" s="4" t="n"/>
      <c r="B434" s="4" t="n"/>
      <c r="C434" s="4" t="n"/>
      <c r="D434" s="4" t="n"/>
      <c r="E434" s="4" t="n"/>
      <c r="F434" s="4" t="n"/>
      <c r="G434" s="4" t="n"/>
    </row>
    <row r="435">
      <c r="A435" s="4" t="n"/>
      <c r="B435" s="4" t="n"/>
      <c r="C435" s="4" t="n"/>
      <c r="D435" s="4" t="n"/>
      <c r="E435" s="4" t="n"/>
      <c r="F435" s="4" t="n"/>
      <c r="G435" s="4" t="n"/>
    </row>
    <row r="436">
      <c r="A436" s="4" t="n"/>
      <c r="B436" s="4" t="n"/>
      <c r="C436" s="4" t="n"/>
      <c r="D436" s="4" t="n"/>
      <c r="E436" s="4" t="n"/>
      <c r="F436" s="4" t="n"/>
      <c r="G436" s="4" t="n"/>
    </row>
    <row r="437">
      <c r="A437" s="4" t="n"/>
      <c r="B437" s="4" t="n"/>
      <c r="C437" s="4" t="n"/>
      <c r="D437" s="4" t="n"/>
      <c r="E437" s="4" t="n"/>
      <c r="F437" s="4" t="n"/>
      <c r="G437" s="4" t="n"/>
    </row>
    <row r="438">
      <c r="A438" s="4" t="n"/>
      <c r="B438" s="4" t="n"/>
      <c r="C438" s="4" t="n"/>
      <c r="D438" s="4" t="n"/>
      <c r="E438" s="4" t="n"/>
      <c r="F438" s="4" t="n"/>
      <c r="G438" s="4" t="n"/>
    </row>
    <row r="439">
      <c r="A439" s="4" t="n"/>
      <c r="B439" s="4" t="n"/>
      <c r="C439" s="4" t="n"/>
      <c r="D439" s="4" t="n"/>
      <c r="E439" s="4" t="n"/>
      <c r="F439" s="4" t="n"/>
      <c r="G439" s="4" t="n"/>
    </row>
    <row r="440">
      <c r="A440" s="4" t="n"/>
      <c r="B440" s="4" t="n"/>
      <c r="C440" s="4" t="n"/>
      <c r="D440" s="4" t="n"/>
      <c r="E440" s="4" t="n"/>
      <c r="F440" s="4" t="n"/>
      <c r="G440" s="4" t="n"/>
    </row>
    <row r="441">
      <c r="A441" s="4" t="n"/>
      <c r="B441" s="4" t="n"/>
      <c r="C441" s="4" t="n"/>
      <c r="D441" s="4" t="n"/>
      <c r="E441" s="4" t="n"/>
      <c r="F441" s="4" t="n"/>
      <c r="G441" s="4" t="n"/>
    </row>
    <row r="442">
      <c r="A442" s="4" t="n"/>
      <c r="B442" s="4" t="n"/>
      <c r="C442" s="4" t="n"/>
      <c r="D442" s="4" t="n"/>
      <c r="E442" s="4" t="n"/>
      <c r="F442" s="4" t="n"/>
      <c r="G442" s="4" t="n"/>
    </row>
    <row r="443">
      <c r="A443" s="4" t="n"/>
      <c r="B443" s="4" t="n"/>
      <c r="C443" s="4" t="n"/>
      <c r="D443" s="4" t="n"/>
      <c r="E443" s="4" t="n"/>
      <c r="F443" s="4" t="n"/>
      <c r="G443" s="4" t="n"/>
    </row>
    <row r="444">
      <c r="A444" s="4" t="n"/>
      <c r="B444" s="4" t="n"/>
      <c r="C444" s="4" t="n"/>
      <c r="D444" s="4" t="n"/>
      <c r="E444" s="4" t="n"/>
      <c r="F444" s="4" t="n"/>
      <c r="G444" s="4" t="n"/>
    </row>
    <row r="445">
      <c r="A445" s="4" t="n"/>
      <c r="B445" s="4" t="n"/>
      <c r="C445" s="4" t="n"/>
      <c r="D445" s="4" t="n"/>
      <c r="E445" s="4" t="n"/>
      <c r="F445" s="4" t="n"/>
      <c r="G445" s="4" t="n"/>
    </row>
    <row r="446">
      <c r="A446" s="4" t="n"/>
      <c r="B446" s="4" t="n"/>
      <c r="C446" s="4" t="n"/>
      <c r="D446" s="4" t="n"/>
      <c r="E446" s="4" t="n"/>
      <c r="F446" s="4" t="n"/>
      <c r="G446" s="4" t="n"/>
    </row>
    <row r="447">
      <c r="A447" s="4" t="n"/>
      <c r="B447" s="4" t="n"/>
      <c r="C447" s="4" t="n"/>
      <c r="D447" s="4" t="n"/>
      <c r="E447" s="4" t="n"/>
      <c r="F447" s="4" t="n"/>
      <c r="G447" s="4" t="n"/>
    </row>
    <row r="448">
      <c r="A448" s="4" t="n"/>
      <c r="B448" s="4" t="n"/>
      <c r="C448" s="4" t="n"/>
      <c r="D448" s="4" t="n"/>
      <c r="E448" s="4" t="n"/>
      <c r="F448" s="4" t="n"/>
      <c r="G448" s="4" t="n"/>
    </row>
    <row r="449">
      <c r="A449" s="4" t="n"/>
      <c r="B449" s="4" t="n"/>
      <c r="C449" s="4" t="n"/>
      <c r="D449" s="4" t="n"/>
      <c r="E449" s="4" t="n"/>
      <c r="F449" s="4" t="n"/>
      <c r="G449" s="4" t="n"/>
    </row>
    <row r="450">
      <c r="A450" s="4" t="n"/>
      <c r="B450" s="4" t="n"/>
      <c r="C450" s="4" t="n"/>
      <c r="D450" s="4" t="n"/>
      <c r="E450" s="4" t="n"/>
      <c r="F450" s="4" t="n"/>
      <c r="G450" s="4" t="n"/>
    </row>
    <row r="451">
      <c r="A451" s="4" t="n"/>
      <c r="B451" s="4" t="n"/>
      <c r="C451" s="4" t="n"/>
      <c r="D451" s="4" t="n"/>
      <c r="E451" s="4" t="n"/>
      <c r="F451" s="4" t="n"/>
      <c r="G451" s="4" t="n"/>
    </row>
    <row r="452">
      <c r="A452" s="4" t="n"/>
      <c r="B452" s="4" t="n"/>
      <c r="C452" s="4" t="n"/>
      <c r="D452" s="4" t="n"/>
      <c r="E452" s="4" t="n"/>
      <c r="F452" s="4" t="n"/>
      <c r="G452" s="4" t="n"/>
    </row>
    <row r="453">
      <c r="A453" s="4" t="n"/>
      <c r="B453" s="4" t="n"/>
      <c r="C453" s="4" t="n"/>
      <c r="D453" s="4" t="n"/>
      <c r="E453" s="4" t="n"/>
      <c r="F453" s="4" t="n"/>
      <c r="G453" s="4" t="n"/>
    </row>
    <row r="454">
      <c r="A454" s="4" t="n"/>
      <c r="B454" s="4" t="n"/>
      <c r="C454" s="4" t="n"/>
      <c r="D454" s="4" t="n"/>
      <c r="E454" s="4" t="n"/>
      <c r="F454" s="4" t="n"/>
      <c r="G454" s="4" t="n"/>
    </row>
    <row r="455">
      <c r="A455" s="4" t="n"/>
      <c r="B455" s="4" t="n"/>
      <c r="C455" s="4" t="n"/>
      <c r="D455" s="4" t="n"/>
      <c r="E455" s="4" t="n"/>
      <c r="F455" s="4" t="n"/>
      <c r="G455" s="4" t="n"/>
    </row>
    <row r="456">
      <c r="A456" s="4" t="n"/>
      <c r="B456" s="4" t="n"/>
      <c r="C456" s="4" t="n"/>
      <c r="D456" s="4" t="n"/>
      <c r="E456" s="4" t="n"/>
      <c r="F456" s="4" t="n"/>
      <c r="G456" s="4" t="n"/>
    </row>
    <row r="457">
      <c r="A457" s="4" t="n"/>
      <c r="B457" s="4" t="n"/>
      <c r="C457" s="4" t="n"/>
      <c r="D457" s="4" t="n"/>
      <c r="E457" s="4" t="n"/>
      <c r="F457" s="4" t="n"/>
      <c r="G457" s="4" t="n"/>
    </row>
    <row r="458">
      <c r="A458" s="4" t="n"/>
      <c r="B458" s="4" t="n"/>
      <c r="C458" s="4" t="n"/>
      <c r="D458" s="4" t="n"/>
      <c r="E458" s="4" t="n"/>
      <c r="F458" s="4" t="n"/>
      <c r="G458" s="4" t="n"/>
    </row>
    <row r="459">
      <c r="A459" s="4" t="n"/>
      <c r="B459" s="4" t="n"/>
      <c r="C459" s="4" t="n"/>
      <c r="D459" s="4" t="n"/>
      <c r="E459" s="4" t="n"/>
      <c r="F459" s="4" t="n"/>
      <c r="G459" s="4" t="n"/>
    </row>
    <row r="460">
      <c r="A460" s="4" t="n"/>
      <c r="B460" s="4" t="n"/>
      <c r="C460" s="4" t="n"/>
      <c r="D460" s="4" t="n"/>
      <c r="E460" s="4" t="n"/>
      <c r="F460" s="4" t="n"/>
      <c r="G460" s="4" t="n"/>
    </row>
    <row r="461">
      <c r="A461" s="4" t="n"/>
      <c r="B461" s="4" t="n"/>
      <c r="C461" s="4" t="n"/>
      <c r="D461" s="4" t="n"/>
      <c r="E461" s="4" t="n"/>
      <c r="F461" s="4" t="n"/>
      <c r="G461" s="4" t="n"/>
    </row>
    <row r="462">
      <c r="A462" s="4" t="n"/>
      <c r="B462" s="4" t="n"/>
      <c r="C462" s="4" t="n"/>
      <c r="D462" s="4" t="n"/>
      <c r="E462" s="4" t="n"/>
      <c r="F462" s="4" t="n"/>
      <c r="G462" s="4" t="n"/>
    </row>
    <row r="463">
      <c r="A463" s="4" t="n"/>
      <c r="B463" s="4" t="n"/>
      <c r="C463" s="4" t="n"/>
      <c r="D463" s="4" t="n"/>
      <c r="E463" s="4" t="n"/>
      <c r="F463" s="4" t="n"/>
      <c r="G463" s="4" t="n"/>
    </row>
    <row r="464">
      <c r="A464" s="4" t="n"/>
      <c r="B464" s="4" t="n"/>
      <c r="C464" s="4" t="n"/>
      <c r="D464" s="4" t="n"/>
      <c r="E464" s="4" t="n"/>
      <c r="F464" s="4" t="n"/>
      <c r="G464" s="4" t="n"/>
    </row>
    <row r="465">
      <c r="A465" s="4" t="n"/>
      <c r="B465" s="4" t="n"/>
      <c r="C465" s="4" t="n"/>
      <c r="D465" s="4" t="n"/>
      <c r="E465" s="4" t="n"/>
      <c r="F465" s="4" t="n"/>
      <c r="G465" s="4" t="n"/>
    </row>
    <row r="466">
      <c r="A466" s="4" t="n"/>
      <c r="B466" s="4" t="n"/>
      <c r="C466" s="4" t="n"/>
      <c r="D466" s="4" t="n"/>
      <c r="E466" s="4" t="n"/>
      <c r="F466" s="4" t="n"/>
      <c r="G466" s="4" t="n"/>
    </row>
    <row r="467">
      <c r="A467" s="4" t="n"/>
      <c r="B467" s="4" t="n"/>
      <c r="C467" s="4" t="n"/>
      <c r="D467" s="4" t="n"/>
      <c r="E467" s="4" t="n"/>
      <c r="F467" s="4" t="n"/>
      <c r="G467" s="4" t="n"/>
    </row>
    <row r="468">
      <c r="A468" s="4" t="n"/>
      <c r="B468" s="4" t="n"/>
      <c r="C468" s="4" t="n"/>
      <c r="D468" s="4" t="n"/>
      <c r="E468" s="4" t="n"/>
      <c r="F468" s="4" t="n"/>
      <c r="G468" s="4" t="n"/>
    </row>
    <row r="469">
      <c r="A469" s="4" t="n"/>
      <c r="B469" s="4" t="n"/>
      <c r="C469" s="4" t="n"/>
      <c r="D469" s="4" t="n"/>
      <c r="E469" s="4" t="n"/>
      <c r="F469" s="4" t="n"/>
      <c r="G469" s="4" t="n"/>
    </row>
    <row r="470">
      <c r="A470" s="4" t="n"/>
      <c r="B470" s="4" t="n"/>
      <c r="C470" s="4" t="n"/>
      <c r="D470" s="4" t="n"/>
      <c r="E470" s="4" t="n"/>
      <c r="F470" s="4" t="n"/>
      <c r="G470" s="4" t="n"/>
    </row>
    <row r="471">
      <c r="A471" s="4" t="n"/>
      <c r="B471" s="4" t="n"/>
      <c r="C471" s="4" t="n"/>
      <c r="D471" s="4" t="n"/>
      <c r="E471" s="4" t="n"/>
      <c r="F471" s="4" t="n"/>
      <c r="G471" s="4" t="n"/>
    </row>
    <row r="472">
      <c r="A472" s="4" t="n"/>
      <c r="B472" s="4" t="n"/>
      <c r="C472" s="4" t="n"/>
      <c r="D472" s="4" t="n"/>
      <c r="E472" s="4" t="n"/>
      <c r="F472" s="4" t="n"/>
      <c r="G472" s="4" t="n"/>
    </row>
    <row r="473">
      <c r="A473" s="4" t="n"/>
      <c r="B473" s="4" t="n"/>
      <c r="C473" s="4" t="n"/>
      <c r="D473" s="4" t="n"/>
      <c r="E473" s="4" t="n"/>
      <c r="F473" s="4" t="n"/>
      <c r="G473" s="4" t="n"/>
    </row>
    <row r="474">
      <c r="A474" s="4" t="n"/>
      <c r="B474" s="4" t="n"/>
      <c r="C474" s="4" t="n"/>
      <c r="D474" s="4" t="n"/>
      <c r="E474" s="4" t="n"/>
      <c r="F474" s="4" t="n"/>
      <c r="G474" s="4" t="n"/>
    </row>
    <row r="475">
      <c r="A475" s="4" t="n"/>
      <c r="B475" s="4" t="n"/>
      <c r="C475" s="4" t="n"/>
      <c r="D475" s="4" t="n"/>
      <c r="E475" s="4" t="n"/>
      <c r="F475" s="4" t="n"/>
      <c r="G475" s="4" t="n"/>
    </row>
    <row r="476">
      <c r="A476" s="4" t="n"/>
      <c r="B476" s="4" t="n"/>
      <c r="C476" s="4" t="n"/>
      <c r="D476" s="4" t="n"/>
      <c r="E476" s="4" t="n"/>
      <c r="F476" s="4" t="n"/>
      <c r="G476" s="4" t="n"/>
    </row>
    <row r="477">
      <c r="A477" s="4" t="n"/>
      <c r="B477" s="4" t="n"/>
      <c r="C477" s="4" t="n"/>
      <c r="D477" s="4" t="n"/>
      <c r="E477" s="4" t="n"/>
      <c r="F477" s="4" t="n"/>
      <c r="G477" s="4" t="n"/>
    </row>
    <row r="478">
      <c r="A478" s="4" t="n"/>
      <c r="B478" s="4" t="n"/>
      <c r="C478" s="4" t="n"/>
      <c r="D478" s="4" t="n"/>
      <c r="E478" s="4" t="n"/>
      <c r="F478" s="4" t="n"/>
      <c r="G478" s="4" t="n"/>
    </row>
    <row r="479">
      <c r="A479" s="4" t="n"/>
      <c r="B479" s="4" t="n"/>
      <c r="C479" s="4" t="n"/>
      <c r="D479" s="4" t="n"/>
      <c r="E479" s="4" t="n"/>
      <c r="F479" s="4" t="n"/>
      <c r="G479" s="4" t="n"/>
    </row>
    <row r="480">
      <c r="A480" s="4" t="n"/>
      <c r="B480" s="4" t="n"/>
      <c r="C480" s="4" t="n"/>
      <c r="D480" s="4" t="n"/>
      <c r="E480" s="4" t="n"/>
      <c r="F480" s="4" t="n"/>
      <c r="G480" s="4" t="n"/>
    </row>
    <row r="481">
      <c r="A481" s="4" t="n"/>
      <c r="B481" s="4" t="n"/>
      <c r="C481" s="4" t="n"/>
      <c r="D481" s="4" t="n"/>
      <c r="E481" s="4" t="n"/>
      <c r="F481" s="4" t="n"/>
      <c r="G481" s="4" t="n"/>
    </row>
    <row r="482">
      <c r="A482" s="4" t="n"/>
      <c r="B482" s="4" t="n"/>
      <c r="C482" s="4" t="n"/>
      <c r="D482" s="4" t="n"/>
      <c r="E482" s="4" t="n"/>
      <c r="F482" s="4" t="n"/>
      <c r="G482" s="4" t="n"/>
    </row>
    <row r="483">
      <c r="A483" s="4" t="n"/>
      <c r="B483" s="4" t="n"/>
      <c r="C483" s="4" t="n"/>
      <c r="D483" s="4" t="n"/>
      <c r="E483" s="4" t="n"/>
      <c r="F483" s="4" t="n"/>
      <c r="G483" s="4" t="n"/>
    </row>
    <row r="484">
      <c r="A484" s="4" t="n"/>
      <c r="B484" s="4" t="n"/>
      <c r="C484" s="4" t="n"/>
      <c r="D484" s="4" t="n"/>
      <c r="E484" s="4" t="n"/>
      <c r="F484" s="4" t="n"/>
      <c r="G484" s="4" t="n"/>
    </row>
    <row r="485">
      <c r="A485" s="4" t="n"/>
      <c r="B485" s="4" t="n"/>
      <c r="C485" s="4" t="n"/>
      <c r="D485" s="4" t="n"/>
      <c r="E485" s="4" t="n"/>
      <c r="F485" s="4" t="n"/>
      <c r="G485" s="4" t="n"/>
    </row>
    <row r="486">
      <c r="A486" s="4" t="n"/>
      <c r="B486" s="4" t="n"/>
      <c r="C486" s="4" t="n"/>
      <c r="D486" s="4" t="n"/>
      <c r="E486" s="4" t="n"/>
      <c r="F486" s="4" t="n"/>
      <c r="G486" s="4" t="n"/>
    </row>
    <row r="487">
      <c r="A487" s="4" t="n"/>
      <c r="B487" s="4" t="n"/>
      <c r="C487" s="4" t="n"/>
      <c r="D487" s="4" t="n"/>
      <c r="E487" s="4" t="n"/>
      <c r="F487" s="4" t="n"/>
      <c r="G487" s="4" t="n"/>
    </row>
    <row r="488">
      <c r="A488" s="4" t="n"/>
      <c r="B488" s="4" t="n"/>
      <c r="C488" s="4" t="n"/>
      <c r="D488" s="4" t="n"/>
      <c r="E488" s="4" t="n"/>
      <c r="F488" s="4" t="n"/>
      <c r="G488" s="4" t="n"/>
    </row>
    <row r="489">
      <c r="A489" s="4" t="n"/>
      <c r="B489" s="4" t="n"/>
      <c r="C489" s="4" t="n"/>
      <c r="D489" s="4" t="n"/>
      <c r="E489" s="4" t="n"/>
      <c r="F489" s="4" t="n"/>
      <c r="G489" s="4" t="n"/>
    </row>
    <row r="490">
      <c r="A490" s="4" t="n"/>
      <c r="B490" s="4" t="n"/>
      <c r="C490" s="4" t="n"/>
      <c r="D490" s="4" t="n"/>
      <c r="E490" s="4" t="n"/>
      <c r="F490" s="4" t="n"/>
      <c r="G490" s="4" t="n"/>
    </row>
    <row r="491">
      <c r="A491" s="4" t="n"/>
      <c r="B491" s="4" t="n"/>
      <c r="C491" s="4" t="n"/>
      <c r="D491" s="4" t="n"/>
      <c r="E491" s="4" t="n"/>
      <c r="F491" s="4" t="n"/>
      <c r="G491" s="4" t="n"/>
    </row>
    <row r="492">
      <c r="A492" s="4" t="n"/>
      <c r="B492" s="4" t="n"/>
      <c r="C492" s="4" t="n"/>
      <c r="D492" s="4" t="n"/>
      <c r="E492" s="4" t="n"/>
      <c r="F492" s="4" t="n"/>
      <c r="G492" s="4" t="n"/>
    </row>
    <row r="493">
      <c r="A493" s="4" t="n"/>
      <c r="B493" s="4" t="n"/>
      <c r="C493" s="4" t="n"/>
      <c r="D493" s="4" t="n"/>
      <c r="E493" s="4" t="n"/>
      <c r="F493" s="4" t="n"/>
      <c r="G493" s="4" t="n"/>
    </row>
    <row r="494">
      <c r="A494" s="4" t="n"/>
      <c r="B494" s="4" t="n"/>
      <c r="C494" s="4" t="n"/>
      <c r="D494" s="4" t="n"/>
      <c r="E494" s="4" t="n"/>
      <c r="F494" s="4" t="n"/>
      <c r="G494" s="4" t="n"/>
    </row>
    <row r="495">
      <c r="A495" s="4" t="n"/>
      <c r="B495" s="4" t="n"/>
      <c r="C495" s="4" t="n"/>
      <c r="D495" s="4" t="n"/>
      <c r="E495" s="4" t="n"/>
      <c r="F495" s="4" t="n"/>
      <c r="G495" s="4" t="n"/>
    </row>
    <row r="496">
      <c r="A496" s="4" t="n"/>
      <c r="B496" s="4" t="n"/>
      <c r="C496" s="4" t="n"/>
      <c r="D496" s="4" t="n"/>
      <c r="E496" s="4" t="n"/>
      <c r="F496" s="4" t="n"/>
      <c r="G496" s="4" t="n"/>
    </row>
    <row r="497">
      <c r="A497" s="4" t="n"/>
      <c r="B497" s="4" t="n"/>
      <c r="C497" s="4" t="n"/>
      <c r="D497" s="4" t="n"/>
      <c r="E497" s="4" t="n"/>
      <c r="F497" s="4" t="n"/>
      <c r="G497" s="4" t="n"/>
    </row>
    <row r="498">
      <c r="A498" s="4" t="n"/>
      <c r="B498" s="4" t="n"/>
      <c r="C498" s="4" t="n"/>
      <c r="D498" s="4" t="n"/>
      <c r="E498" s="4" t="n"/>
      <c r="F498" s="4" t="n"/>
      <c r="G498" s="4" t="n"/>
    </row>
    <row r="499">
      <c r="A499" s="4" t="n"/>
      <c r="B499" s="4" t="n"/>
      <c r="C499" s="4" t="n"/>
      <c r="D499" s="4" t="n"/>
      <c r="E499" s="4" t="n"/>
      <c r="F499" s="4" t="n"/>
      <c r="G499" s="4" t="n"/>
    </row>
    <row r="500">
      <c r="A500" s="4" t="n"/>
      <c r="B500" s="4" t="n"/>
      <c r="C500" s="4" t="n"/>
      <c r="D500" s="4" t="n"/>
      <c r="E500" s="4" t="n"/>
      <c r="F500" s="4" t="n"/>
      <c r="G500" s="4" t="n"/>
    </row>
  </sheetData>
  <autoFilter ref="A2:G2"/>
  <mergeCells count="2">
    <mergeCell ref="J1:N1"/>
    <mergeCell ref="A1:G1"/>
  </mergeCells>
  <dataValidations count="1">
    <dataValidation sqref="B3:B500 G3:G500" showDropDown="0" showInputMessage="0" showErrorMessage="1" allowBlank="1" errorTitle="Dates only" error="Enter a real date here." type="date">
      <formula1>DATE(2020,1,1)</formula1>
      <formula2>DATE(2099,12,31)</formula2>
    </dataValidation>
  </dataValidations>
  <pageMargins left="0.75" right="0.75" top="1" bottom="1" header="0.5" footer="0.5"/>
  <headerFooter>
    <oddHeader/>
    <oddFooter>&amp;L&amp;"Aptos"&amp;10 &amp;K000000_x000d_# This content is for internal use only</oddFooter>
    <evenHeader/>
    <evenFooter/>
    <firstHeader/>
    <firstFooter/>
  </headerFooter>
</worksheet>
</file>

<file path=xl/worksheets/sheet5.xml><?xml version="1.0" encoding="utf-8"?>
<worksheet xmlns="http://schemas.openxmlformats.org/spreadsheetml/2006/main">
  <sheetPr>
    <outlinePr summaryBelow="1" summaryRight="1"/>
    <pageSetUpPr/>
  </sheetPr>
  <dimension ref="A1:J184"/>
  <sheetViews>
    <sheetView zoomScaleNormal="100" workbookViewId="0">
      <pane xSplit="3" ySplit="2" topLeftCell="D137" activePane="bottomRight" state="frozen"/>
      <selection pane="topRight" activeCell="D1" sqref="D1"/>
      <selection pane="bottomLeft" activeCell="A3" sqref="A3"/>
      <selection pane="bottomRight" activeCell="A1" sqref="A1"/>
    </sheetView>
  </sheetViews>
  <sheetFormatPr baseColWidth="8" defaultColWidth="8.6640625" defaultRowHeight="14.4"/>
  <cols>
    <col width="12" customWidth="1" style="60" min="1" max="1"/>
    <col width="14" customWidth="1" style="60" min="2" max="2"/>
    <col width="34" customWidth="1" style="60" min="3" max="3"/>
    <col width="14" customWidth="1" style="60" min="4" max="5"/>
    <col width="12" customWidth="1" style="60" min="6" max="6"/>
    <col width="10" customWidth="1" style="60" min="7" max="7"/>
    <col width="14" customWidth="1" style="60" min="8" max="8"/>
    <col width="16" customWidth="1" style="60" min="9" max="10"/>
  </cols>
  <sheetData>
    <row r="1" ht="14.25" customHeight="1" s="60">
      <c r="A1" s="67" t="inlineStr">
        <is>
          <t>Reference snapshot only - the app rebuilds this automatically from Combined Delivery Data on every upload. Editing this tab directly has no effect.</t>
        </is>
      </c>
    </row>
    <row r="2" ht="27" customHeight="1" s="60">
      <c r="A2" s="53" t="inlineStr">
        <is>
          <t>Domain</t>
        </is>
      </c>
      <c r="B2" s="53" t="inlineStr">
        <is>
          <t>Status</t>
        </is>
      </c>
      <c r="C2" s="53" t="inlineStr">
        <is>
          <t>Report Name</t>
        </is>
      </c>
      <c r="D2" s="53" t="inlineStr">
        <is>
          <t xml:space="preserve">DB Developers </t>
        </is>
      </c>
      <c r="E2" s="53" t="inlineStr">
        <is>
          <t>PBI Developers</t>
        </is>
      </c>
      <c r="F2" s="53" t="inlineStr">
        <is>
          <t>Schema</t>
        </is>
      </c>
      <c r="G2" s="53" t="inlineStr">
        <is>
          <t>PO</t>
        </is>
      </c>
      <c r="H2" s="53" t="inlineStr">
        <is>
          <t>Status Start Date</t>
        </is>
      </c>
      <c r="I2" s="53" t="inlineStr">
        <is>
          <t>Expected Release Date</t>
        </is>
      </c>
      <c r="J2" s="53" t="inlineStr">
        <is>
          <t>Actual Release Date</t>
        </is>
      </c>
    </row>
    <row r="3" ht="14.25" customHeight="1" s="60">
      <c r="A3" s="54" t="inlineStr">
        <is>
          <t>Leaks</t>
        </is>
      </c>
      <c r="B3" s="54" t="inlineStr">
        <is>
          <t>DB Dev</t>
        </is>
      </c>
      <c r="C3" s="54" t="inlineStr">
        <is>
          <t>RPT_04_Active Leaks</t>
        </is>
      </c>
      <c r="D3" s="54" t="inlineStr">
        <is>
          <t>Fetwi</t>
        </is>
      </c>
      <c r="E3" s="54" t="inlineStr">
        <is>
          <t>Sarath</t>
        </is>
      </c>
      <c r="F3" s="54" t="n"/>
      <c r="G3" s="54" t="n"/>
      <c r="H3" s="54" t="n"/>
      <c r="I3" s="55" t="n">
        <v>46115</v>
      </c>
      <c r="J3" s="55" t="n">
        <v>46115</v>
      </c>
    </row>
    <row r="4" ht="14.25" customHeight="1" s="60">
      <c r="A4" s="54" t="inlineStr">
        <is>
          <t>Leaks</t>
        </is>
      </c>
      <c r="B4" s="54" t="inlineStr">
        <is>
          <t>PBI Dev</t>
        </is>
      </c>
      <c r="C4" s="54" t="inlineStr">
        <is>
          <t>RPT_04_Active Leaks</t>
        </is>
      </c>
      <c r="D4" s="54" t="inlineStr">
        <is>
          <t>Fetwi</t>
        </is>
      </c>
      <c r="E4" s="54" t="inlineStr">
        <is>
          <t>Sarath</t>
        </is>
      </c>
      <c r="F4" s="54" t="n"/>
      <c r="G4" s="54" t="n"/>
      <c r="H4" s="55" t="n">
        <v>46115</v>
      </c>
      <c r="I4" s="55" t="n">
        <v>46114</v>
      </c>
      <c r="J4" s="55" t="n">
        <v>46114</v>
      </c>
    </row>
    <row r="5" ht="14.25" customHeight="1" s="60">
      <c r="A5" s="54" t="inlineStr">
        <is>
          <t>Leaks</t>
        </is>
      </c>
      <c r="B5" s="54" t="inlineStr">
        <is>
          <t>QA</t>
        </is>
      </c>
      <c r="C5" s="54" t="inlineStr">
        <is>
          <t>RPT_04_Active Leaks</t>
        </is>
      </c>
      <c r="D5" s="54" t="inlineStr">
        <is>
          <t>Fetwi</t>
        </is>
      </c>
      <c r="E5" s="54" t="inlineStr">
        <is>
          <t>Sarath</t>
        </is>
      </c>
      <c r="F5" s="54" t="n"/>
      <c r="G5" s="54" t="n"/>
      <c r="H5" s="55" t="n">
        <v>46114</v>
      </c>
      <c r="I5" s="55" t="n">
        <v>46122</v>
      </c>
      <c r="J5" s="55" t="n">
        <v>46122</v>
      </c>
    </row>
    <row r="6" ht="14.25" customHeight="1" s="60">
      <c r="A6" s="54" t="inlineStr">
        <is>
          <t>Leaks</t>
        </is>
      </c>
      <c r="B6" s="54" t="inlineStr">
        <is>
          <t>DPO Approval</t>
        </is>
      </c>
      <c r="C6" s="54" t="inlineStr">
        <is>
          <t>RPT_04_Active Leaks</t>
        </is>
      </c>
      <c r="D6" s="54" t="inlineStr">
        <is>
          <t>Fetwi</t>
        </is>
      </c>
      <c r="E6" s="54" t="inlineStr">
        <is>
          <t>Sarath</t>
        </is>
      </c>
      <c r="F6" s="54" t="n"/>
      <c r="G6" s="54" t="n"/>
      <c r="H6" s="55" t="n">
        <v>46122</v>
      </c>
      <c r="I6" s="55" t="n"/>
      <c r="J6" s="55" t="n"/>
    </row>
    <row r="7" ht="14.25" customHeight="1" s="60">
      <c r="A7" s="54" t="inlineStr">
        <is>
          <t>Leaks</t>
        </is>
      </c>
      <c r="B7" s="54" t="inlineStr">
        <is>
          <t>RELEASED IN PROD</t>
        </is>
      </c>
      <c r="C7" s="54" t="inlineStr">
        <is>
          <t>RPT_04_Active Leaks</t>
        </is>
      </c>
      <c r="D7" s="54" t="inlineStr">
        <is>
          <t>Fetwi</t>
        </is>
      </c>
      <c r="E7" s="54" t="inlineStr">
        <is>
          <t>Sarath</t>
        </is>
      </c>
      <c r="F7" s="54" t="n"/>
      <c r="G7" s="54" t="n"/>
      <c r="H7" s="54" t="n"/>
      <c r="I7" s="55" t="n"/>
      <c r="J7" s="55" t="n"/>
    </row>
    <row r="8" ht="14.25" customHeight="1" s="60">
      <c r="A8" s="54" t="inlineStr">
        <is>
          <t>Leaks</t>
        </is>
      </c>
      <c r="B8" s="54" t="inlineStr">
        <is>
          <t>DB Dev</t>
        </is>
      </c>
      <c r="C8" s="54" t="inlineStr">
        <is>
          <t>RPT_04_Count of Active Leaks On Hand</t>
        </is>
      </c>
      <c r="D8" s="54" t="inlineStr">
        <is>
          <t>Fetwi</t>
        </is>
      </c>
      <c r="E8" s="54" t="inlineStr">
        <is>
          <t>Sarath</t>
        </is>
      </c>
      <c r="F8" s="54" t="n"/>
      <c r="G8" s="54" t="n"/>
      <c r="H8" s="55" t="n"/>
      <c r="I8" s="55" t="n">
        <v>46115</v>
      </c>
      <c r="J8" s="55" t="n">
        <v>46115</v>
      </c>
    </row>
    <row r="9" ht="14.25" customHeight="1" s="60">
      <c r="A9" s="54" t="inlineStr">
        <is>
          <t>Leaks</t>
        </is>
      </c>
      <c r="B9" s="54" t="inlineStr">
        <is>
          <t>PBI Dev</t>
        </is>
      </c>
      <c r="C9" s="54" t="inlineStr">
        <is>
          <t>RPT_04_Count of Active Leaks On Hand</t>
        </is>
      </c>
      <c r="D9" s="54" t="inlineStr">
        <is>
          <t>Fetwi</t>
        </is>
      </c>
      <c r="E9" s="54" t="inlineStr">
        <is>
          <t>Sarath</t>
        </is>
      </c>
      <c r="F9" s="54" t="n"/>
      <c r="G9" s="54" t="n"/>
      <c r="H9" s="55" t="n">
        <v>46115</v>
      </c>
      <c r="I9" s="55" t="n">
        <v>46114</v>
      </c>
      <c r="J9" s="55" t="n">
        <v>46114</v>
      </c>
    </row>
    <row r="10" ht="14.25" customHeight="1" s="60">
      <c r="A10" s="54" t="inlineStr">
        <is>
          <t>Leaks</t>
        </is>
      </c>
      <c r="B10" s="54" t="inlineStr">
        <is>
          <t>QA</t>
        </is>
      </c>
      <c r="C10" s="54" t="inlineStr">
        <is>
          <t>RPT_04_Count of Active Leaks On Hand</t>
        </is>
      </c>
      <c r="D10" s="54" t="inlineStr">
        <is>
          <t>Fetwi</t>
        </is>
      </c>
      <c r="E10" s="54" t="inlineStr">
        <is>
          <t>Sarath</t>
        </is>
      </c>
      <c r="F10" s="54" t="n"/>
      <c r="G10" s="54" t="n"/>
      <c r="H10" s="55" t="n">
        <v>46114</v>
      </c>
      <c r="I10" s="55" t="n">
        <v>46122</v>
      </c>
      <c r="J10" s="55" t="n">
        <v>46122</v>
      </c>
    </row>
    <row r="11" ht="14.25" customHeight="1" s="60">
      <c r="A11" s="54" t="inlineStr">
        <is>
          <t>Leaks</t>
        </is>
      </c>
      <c r="B11" s="54" t="inlineStr">
        <is>
          <t>DPO Approval</t>
        </is>
      </c>
      <c r="C11" s="54" t="inlineStr">
        <is>
          <t>RPT_04_Count of Active Leaks On Hand</t>
        </is>
      </c>
      <c r="D11" s="54" t="inlineStr">
        <is>
          <t>Fetwi</t>
        </is>
      </c>
      <c r="E11" s="54" t="inlineStr">
        <is>
          <t>Sarath</t>
        </is>
      </c>
      <c r="F11" s="54" t="n"/>
      <c r="G11" s="54" t="n"/>
      <c r="H11" s="55" t="n">
        <v>46122</v>
      </c>
      <c r="I11" s="55" t="n"/>
      <c r="J11" s="55" t="n"/>
    </row>
    <row r="12" ht="14.25" customHeight="1" s="60">
      <c r="A12" s="54" t="inlineStr">
        <is>
          <t>Leaks</t>
        </is>
      </c>
      <c r="B12" s="54" t="inlineStr">
        <is>
          <t>RELEASED IN PROD</t>
        </is>
      </c>
      <c r="C12" s="54" t="inlineStr">
        <is>
          <t>RPT_04_Count of Active Leaks On Hand</t>
        </is>
      </c>
      <c r="D12" s="54" t="inlineStr">
        <is>
          <t>Fetwi</t>
        </is>
      </c>
      <c r="E12" s="54" t="inlineStr">
        <is>
          <t>Sarath</t>
        </is>
      </c>
      <c r="F12" s="54" t="n"/>
      <c r="G12" s="54" t="n"/>
      <c r="H12" s="55" t="n"/>
      <c r="I12" s="55" t="n"/>
      <c r="J12" s="55" t="n"/>
    </row>
    <row r="13" ht="14.25" customHeight="1" s="60">
      <c r="A13" s="54" t="inlineStr">
        <is>
          <t>Leaks</t>
        </is>
      </c>
      <c r="B13" s="54" t="inlineStr">
        <is>
          <t>DB Dev</t>
        </is>
      </c>
      <c r="C13" s="54" t="inlineStr">
        <is>
          <t>RPT_04_Leak Scheduling</t>
        </is>
      </c>
      <c r="D13" s="54" t="inlineStr">
        <is>
          <t>Sreevarsha</t>
        </is>
      </c>
      <c r="E13" s="54" t="inlineStr">
        <is>
          <t>Sarath</t>
        </is>
      </c>
      <c r="F13" s="54" t="n"/>
      <c r="G13" s="54" t="n"/>
      <c r="H13" s="55" t="n"/>
      <c r="I13" s="55" t="n">
        <v>46115</v>
      </c>
      <c r="J13" s="55" t="n">
        <v>46115</v>
      </c>
    </row>
    <row r="14" ht="14.25" customHeight="1" s="60">
      <c r="A14" s="54" t="inlineStr">
        <is>
          <t>Leaks</t>
        </is>
      </c>
      <c r="B14" s="54" t="inlineStr">
        <is>
          <t>PBI Dev</t>
        </is>
      </c>
      <c r="C14" s="54" t="inlineStr">
        <is>
          <t>RPT_04_Leak Scheduling</t>
        </is>
      </c>
      <c r="D14" s="54" t="inlineStr">
        <is>
          <t>Sreevarsha</t>
        </is>
      </c>
      <c r="E14" s="54" t="inlineStr">
        <is>
          <t>Sarath</t>
        </is>
      </c>
      <c r="F14" s="54" t="n"/>
      <c r="G14" s="54" t="n"/>
      <c r="H14" s="55" t="n">
        <v>46115</v>
      </c>
      <c r="I14" s="55" t="n">
        <v>46120</v>
      </c>
      <c r="J14" s="55" t="n">
        <v>46120</v>
      </c>
    </row>
    <row r="15" ht="14.25" customHeight="1" s="60">
      <c r="A15" s="54" t="inlineStr">
        <is>
          <t>Leaks</t>
        </is>
      </c>
      <c r="B15" s="54" t="inlineStr">
        <is>
          <t>QA</t>
        </is>
      </c>
      <c r="C15" s="54" t="inlineStr">
        <is>
          <t>RPT_04_Leak Scheduling</t>
        </is>
      </c>
      <c r="D15" s="54" t="inlineStr">
        <is>
          <t>Sreevarsha</t>
        </is>
      </c>
      <c r="E15" s="54" t="inlineStr">
        <is>
          <t>Sarath</t>
        </is>
      </c>
      <c r="F15" s="54" t="n"/>
      <c r="G15" s="54" t="n"/>
      <c r="H15" s="55" t="n">
        <v>46120</v>
      </c>
      <c r="I15" s="55" t="n">
        <v>46122</v>
      </c>
      <c r="J15" s="55" t="n">
        <v>46122</v>
      </c>
    </row>
    <row r="16" ht="14.25" customHeight="1" s="60">
      <c r="A16" s="54" t="inlineStr">
        <is>
          <t>Leaks</t>
        </is>
      </c>
      <c r="B16" s="54" t="inlineStr">
        <is>
          <t>DPO Approval</t>
        </is>
      </c>
      <c r="C16" s="54" t="inlineStr">
        <is>
          <t>RPT_04_Leak Scheduling</t>
        </is>
      </c>
      <c r="D16" s="54" t="inlineStr">
        <is>
          <t>Sreevarsha</t>
        </is>
      </c>
      <c r="E16" s="54" t="inlineStr">
        <is>
          <t>Sarath</t>
        </is>
      </c>
      <c r="F16" s="54" t="n"/>
      <c r="G16" s="54" t="n"/>
      <c r="H16" s="55" t="n">
        <v>46122</v>
      </c>
      <c r="I16" s="55" t="n"/>
      <c r="J16" s="55" t="n"/>
    </row>
    <row r="17" ht="14.25" customHeight="1" s="60">
      <c r="A17" s="54" t="inlineStr">
        <is>
          <t>Leaks</t>
        </is>
      </c>
      <c r="B17" s="54" t="inlineStr">
        <is>
          <t>RELEASED IN PROD</t>
        </is>
      </c>
      <c r="C17" s="54" t="inlineStr">
        <is>
          <t>RPT_04_Leak Scheduling</t>
        </is>
      </c>
      <c r="D17" s="54" t="inlineStr">
        <is>
          <t>Sreevarsha</t>
        </is>
      </c>
      <c r="E17" s="54" t="inlineStr">
        <is>
          <t>Sarath</t>
        </is>
      </c>
      <c r="F17" s="54" t="n"/>
      <c r="G17" s="54" t="n"/>
      <c r="H17" s="55" t="n"/>
      <c r="I17" s="55" t="n"/>
      <c r="J17" s="55" t="n"/>
    </row>
    <row r="18" ht="14.25" customHeight="1" s="60">
      <c r="A18" s="54" t="inlineStr">
        <is>
          <t>Leaks</t>
        </is>
      </c>
      <c r="B18" s="54" t="inlineStr">
        <is>
          <t>DB Dev</t>
        </is>
      </c>
      <c r="C18" s="54" t="inlineStr">
        <is>
          <t>RPT_04_Leak Days Remaining</t>
        </is>
      </c>
      <c r="D18" s="54" t="inlineStr">
        <is>
          <t>Siva</t>
        </is>
      </c>
      <c r="E18" s="54" t="inlineStr">
        <is>
          <t>Navya</t>
        </is>
      </c>
      <c r="F18" s="54" t="n"/>
      <c r="G18" s="54" t="n"/>
      <c r="H18" s="54" t="n"/>
      <c r="I18" s="55" t="n">
        <v>46115</v>
      </c>
      <c r="J18" s="55" t="n">
        <v>46115</v>
      </c>
    </row>
    <row r="19" ht="14.25" customHeight="1" s="60">
      <c r="A19" s="54" t="inlineStr">
        <is>
          <t>Leaks</t>
        </is>
      </c>
      <c r="B19" s="54" t="inlineStr">
        <is>
          <t>PBI Dev</t>
        </is>
      </c>
      <c r="C19" s="54" t="inlineStr">
        <is>
          <t>RPT_04_Leak Days Remaining</t>
        </is>
      </c>
      <c r="D19" s="54" t="inlineStr">
        <is>
          <t>Siva</t>
        </is>
      </c>
      <c r="E19" s="54" t="inlineStr">
        <is>
          <t>Navya</t>
        </is>
      </c>
      <c r="F19" s="54" t="n"/>
      <c r="G19" s="54" t="n"/>
      <c r="H19" s="55" t="n">
        <v>46115</v>
      </c>
      <c r="I19" s="55" t="n">
        <v>46126</v>
      </c>
      <c r="J19" s="55" t="n">
        <v>46126</v>
      </c>
    </row>
    <row r="20" ht="14.25" customHeight="1" s="60">
      <c r="A20" s="54" t="inlineStr">
        <is>
          <t>Leaks</t>
        </is>
      </c>
      <c r="B20" s="54" t="inlineStr">
        <is>
          <t>QA</t>
        </is>
      </c>
      <c r="C20" s="54" t="inlineStr">
        <is>
          <t>RPT_04_Leak Days Remaining</t>
        </is>
      </c>
      <c r="D20" s="54" t="inlineStr">
        <is>
          <t>Siva</t>
        </is>
      </c>
      <c r="E20" s="54" t="inlineStr">
        <is>
          <t>Navya</t>
        </is>
      </c>
      <c r="F20" s="54" t="n"/>
      <c r="G20" s="54" t="n"/>
      <c r="H20" s="55" t="n">
        <v>46126</v>
      </c>
      <c r="I20" s="55" t="n">
        <v>46122</v>
      </c>
      <c r="J20" s="55" t="n">
        <v>46122</v>
      </c>
    </row>
    <row r="21" ht="14.25" customHeight="1" s="60">
      <c r="A21" s="54" t="inlineStr">
        <is>
          <t>Leaks</t>
        </is>
      </c>
      <c r="B21" s="54" t="inlineStr">
        <is>
          <t>DPO Approval</t>
        </is>
      </c>
      <c r="C21" s="54" t="inlineStr">
        <is>
          <t>RPT_04_Leak Days Remaining</t>
        </is>
      </c>
      <c r="D21" s="54" t="inlineStr">
        <is>
          <t>Siva</t>
        </is>
      </c>
      <c r="E21" s="54" t="inlineStr">
        <is>
          <t>Navya</t>
        </is>
      </c>
      <c r="F21" s="54" t="n"/>
      <c r="G21" s="54" t="n"/>
      <c r="H21" s="55" t="n">
        <v>46122</v>
      </c>
      <c r="I21" s="55" t="n"/>
      <c r="J21" s="55" t="n"/>
    </row>
    <row r="22" ht="14.25" customHeight="1" s="60">
      <c r="A22" s="54" t="inlineStr">
        <is>
          <t>Leaks</t>
        </is>
      </c>
      <c r="B22" s="54" t="inlineStr">
        <is>
          <t>RELEASED IN PROD</t>
        </is>
      </c>
      <c r="C22" s="54" t="inlineStr">
        <is>
          <t>RPT_04_Leak Days Remaining</t>
        </is>
      </c>
      <c r="D22" s="54" t="inlineStr">
        <is>
          <t>Siva</t>
        </is>
      </c>
      <c r="E22" s="54" t="inlineStr">
        <is>
          <t>Navya</t>
        </is>
      </c>
      <c r="F22" s="54" t="n"/>
      <c r="G22" s="54" t="n"/>
      <c r="H22" s="54" t="n"/>
      <c r="I22" s="55" t="n"/>
      <c r="J22" s="55" t="n"/>
    </row>
    <row r="23" ht="14.25" customHeight="1" s="60">
      <c r="A23" s="54" t="inlineStr">
        <is>
          <t>Leaks</t>
        </is>
      </c>
      <c r="B23" s="54" t="inlineStr">
        <is>
          <t>DB Dev</t>
        </is>
      </c>
      <c r="C23" s="54" t="inlineStr">
        <is>
          <t>RPT_04_Cleared Leaks</t>
        </is>
      </c>
      <c r="D23" s="54" t="inlineStr">
        <is>
          <t>Sreevarsha</t>
        </is>
      </c>
      <c r="E23" s="54" t="inlineStr">
        <is>
          <t>Sarath</t>
        </is>
      </c>
      <c r="F23" s="54" t="n"/>
      <c r="G23" s="54" t="n"/>
      <c r="H23" s="55" t="n"/>
      <c r="I23" s="55" t="n">
        <v>46115</v>
      </c>
      <c r="J23" s="55" t="n">
        <v>46115</v>
      </c>
    </row>
    <row r="24" ht="14.25" customHeight="1" s="60">
      <c r="A24" s="54" t="inlineStr">
        <is>
          <t>Leaks</t>
        </is>
      </c>
      <c r="B24" s="54" t="inlineStr">
        <is>
          <t>PBI Dev</t>
        </is>
      </c>
      <c r="C24" s="54" t="inlineStr">
        <is>
          <t>RPT_04_Cleared Leaks</t>
        </is>
      </c>
      <c r="D24" s="54" t="inlineStr">
        <is>
          <t>Sreevarsha</t>
        </is>
      </c>
      <c r="E24" s="54" t="inlineStr">
        <is>
          <t>Sarath</t>
        </is>
      </c>
      <c r="F24" s="54" t="n"/>
      <c r="G24" s="54" t="n"/>
      <c r="H24" s="55" t="n">
        <v>46115</v>
      </c>
      <c r="I24" s="55" t="n">
        <v>46120</v>
      </c>
      <c r="J24" s="55" t="n">
        <v>46120</v>
      </c>
    </row>
    <row r="25" ht="14.25" customHeight="1" s="60">
      <c r="A25" s="54" t="inlineStr">
        <is>
          <t>Leaks</t>
        </is>
      </c>
      <c r="B25" s="54" t="inlineStr">
        <is>
          <t>QA</t>
        </is>
      </c>
      <c r="C25" s="54" t="inlineStr">
        <is>
          <t>RPT_04_Cleared Leaks</t>
        </is>
      </c>
      <c r="D25" s="54" t="inlineStr">
        <is>
          <t>Sreevarsha</t>
        </is>
      </c>
      <c r="E25" s="54" t="inlineStr">
        <is>
          <t>Sarath</t>
        </is>
      </c>
      <c r="F25" s="54" t="n"/>
      <c r="G25" s="54" t="n"/>
      <c r="H25" s="55" t="n">
        <v>46120</v>
      </c>
      <c r="I25" s="55" t="n">
        <v>46122</v>
      </c>
      <c r="J25" s="55" t="n">
        <v>46122</v>
      </c>
    </row>
    <row r="26" ht="14.25" customHeight="1" s="60">
      <c r="A26" s="54" t="inlineStr">
        <is>
          <t>Leaks</t>
        </is>
      </c>
      <c r="B26" s="54" t="inlineStr">
        <is>
          <t>DPO Approval</t>
        </is>
      </c>
      <c r="C26" s="54" t="inlineStr">
        <is>
          <t>RPT_04_Cleared Leaks</t>
        </is>
      </c>
      <c r="D26" s="54" t="inlineStr">
        <is>
          <t>Sreevarsha</t>
        </is>
      </c>
      <c r="E26" s="54" t="inlineStr">
        <is>
          <t>Sarath</t>
        </is>
      </c>
      <c r="F26" s="54" t="n"/>
      <c r="G26" s="54" t="n"/>
      <c r="H26" s="55" t="n">
        <v>46122</v>
      </c>
      <c r="I26" s="55" t="n"/>
      <c r="J26" s="55" t="n"/>
    </row>
    <row r="27" ht="14.25" customHeight="1" s="60">
      <c r="A27" s="54" t="inlineStr">
        <is>
          <t>Leaks</t>
        </is>
      </c>
      <c r="B27" s="54" t="inlineStr">
        <is>
          <t>RELEASED IN PROD</t>
        </is>
      </c>
      <c r="C27" s="54" t="inlineStr">
        <is>
          <t>RPT_04_Cleared Leaks</t>
        </is>
      </c>
      <c r="D27" s="54" t="inlineStr">
        <is>
          <t>Sreevarsha</t>
        </is>
      </c>
      <c r="E27" s="54" t="inlineStr">
        <is>
          <t>Sarath</t>
        </is>
      </c>
      <c r="F27" s="54" t="n"/>
      <c r="G27" s="54" t="n"/>
      <c r="H27" s="55" t="n"/>
      <c r="I27" s="55" t="n"/>
      <c r="J27" s="55" t="n"/>
    </row>
    <row r="28" ht="14.25" customHeight="1" s="60">
      <c r="A28" s="54" t="inlineStr">
        <is>
          <t>Leaks</t>
        </is>
      </c>
      <c r="B28" s="54" t="inlineStr">
        <is>
          <t>DB Dev</t>
        </is>
      </c>
      <c r="C28" s="54" t="inlineStr">
        <is>
          <t>RPT_04_Leaks Repaired Detail</t>
        </is>
      </c>
      <c r="D28" s="54" t="inlineStr">
        <is>
          <t>Rupa</t>
        </is>
      </c>
      <c r="E28" s="54" t="inlineStr">
        <is>
          <t>Navya</t>
        </is>
      </c>
      <c r="F28" s="54" t="n"/>
      <c r="G28" s="54" t="n"/>
      <c r="H28" s="55" t="n"/>
      <c r="I28" s="55" t="n">
        <v>46115</v>
      </c>
      <c r="J28" s="55" t="n">
        <v>46115</v>
      </c>
    </row>
    <row r="29" ht="14.25" customHeight="1" s="60">
      <c r="A29" s="54" t="inlineStr">
        <is>
          <t>Leaks</t>
        </is>
      </c>
      <c r="B29" s="54" t="inlineStr">
        <is>
          <t>PBI Dev</t>
        </is>
      </c>
      <c r="C29" s="54" t="inlineStr">
        <is>
          <t>RPT_04_Leaks Repaired Detail</t>
        </is>
      </c>
      <c r="D29" s="54" t="inlineStr">
        <is>
          <t>Rupa</t>
        </is>
      </c>
      <c r="E29" s="54" t="inlineStr">
        <is>
          <t>Navya</t>
        </is>
      </c>
      <c r="F29" s="54" t="n"/>
      <c r="G29" s="54" t="n"/>
      <c r="H29" s="55" t="n">
        <v>46115</v>
      </c>
      <c r="I29" s="55" t="n">
        <v>46126</v>
      </c>
      <c r="J29" s="55" t="n">
        <v>46126</v>
      </c>
    </row>
    <row r="30" ht="14.25" customHeight="1" s="60">
      <c r="A30" s="54" t="inlineStr">
        <is>
          <t>Leaks</t>
        </is>
      </c>
      <c r="B30" s="54" t="inlineStr">
        <is>
          <t>QA</t>
        </is>
      </c>
      <c r="C30" s="54" t="inlineStr">
        <is>
          <t>RPT_04_Leaks Repaired Detail</t>
        </is>
      </c>
      <c r="D30" s="54" t="inlineStr">
        <is>
          <t>Rupa</t>
        </is>
      </c>
      <c r="E30" s="54" t="inlineStr">
        <is>
          <t>Navya</t>
        </is>
      </c>
      <c r="F30" s="54" t="n"/>
      <c r="G30" s="54" t="n"/>
      <c r="H30" s="55" t="n">
        <v>46126</v>
      </c>
      <c r="I30" s="55" t="n">
        <v>46122</v>
      </c>
      <c r="J30" s="55" t="n">
        <v>46122</v>
      </c>
    </row>
    <row r="31" ht="14.25" customHeight="1" s="60">
      <c r="A31" s="54" t="inlineStr">
        <is>
          <t>Leaks</t>
        </is>
      </c>
      <c r="B31" s="54" t="inlineStr">
        <is>
          <t>DPO Approval</t>
        </is>
      </c>
      <c r="C31" s="54" t="inlineStr">
        <is>
          <t>RPT_04_Leaks Repaired Detail</t>
        </is>
      </c>
      <c r="D31" s="54" t="inlineStr">
        <is>
          <t>Rupa</t>
        </is>
      </c>
      <c r="E31" s="54" t="inlineStr">
        <is>
          <t>Navya</t>
        </is>
      </c>
      <c r="F31" s="54" t="n"/>
      <c r="G31" s="54" t="n"/>
      <c r="H31" s="55" t="n">
        <v>46122</v>
      </c>
      <c r="I31" s="55" t="n"/>
      <c r="J31" s="55" t="n"/>
    </row>
    <row r="32" ht="14.25" customHeight="1" s="60">
      <c r="A32" s="54" t="inlineStr">
        <is>
          <t>Leaks</t>
        </is>
      </c>
      <c r="B32" s="54" t="inlineStr">
        <is>
          <t>RELEASED IN PROD</t>
        </is>
      </c>
      <c r="C32" s="54" t="inlineStr">
        <is>
          <t>RPT_04_Leaks Repaired Detail</t>
        </is>
      </c>
      <c r="D32" s="54" t="inlineStr">
        <is>
          <t>Rupa</t>
        </is>
      </c>
      <c r="E32" s="54" t="inlineStr">
        <is>
          <t>Navya</t>
        </is>
      </c>
      <c r="F32" s="54" t="n"/>
      <c r="G32" s="54" t="n"/>
      <c r="H32" s="55" t="n"/>
      <c r="I32" s="55" t="n"/>
      <c r="J32" s="55" t="n"/>
    </row>
    <row r="33" ht="14.25" customHeight="1" s="60">
      <c r="A33" s="54" t="inlineStr">
        <is>
          <t>Leaks</t>
        </is>
      </c>
      <c r="B33" s="54" t="inlineStr">
        <is>
          <t>DB Dev</t>
        </is>
      </c>
      <c r="C33" s="54" t="inlineStr">
        <is>
          <t>RPT_04_Leaks Aging</t>
        </is>
      </c>
      <c r="D33" s="54" t="inlineStr">
        <is>
          <t>Sreevarsha</t>
        </is>
      </c>
      <c r="E33" s="54" t="inlineStr">
        <is>
          <t>Navya</t>
        </is>
      </c>
      <c r="F33" s="54" t="n"/>
      <c r="G33" s="54" t="n"/>
      <c r="H33" s="55" t="n"/>
      <c r="I33" s="55" t="n">
        <v>46122</v>
      </c>
      <c r="J33" s="55" t="n">
        <v>46122</v>
      </c>
    </row>
    <row r="34" ht="14.25" customHeight="1" s="60">
      <c r="A34" s="54" t="inlineStr">
        <is>
          <t>Leaks</t>
        </is>
      </c>
      <c r="B34" s="54" t="inlineStr">
        <is>
          <t>PBI Dev</t>
        </is>
      </c>
      <c r="C34" s="54" t="inlineStr">
        <is>
          <t>RPT_04_Leaks Aging</t>
        </is>
      </c>
      <c r="D34" s="54" t="inlineStr">
        <is>
          <t>Sreevarsha</t>
        </is>
      </c>
      <c r="E34" s="54" t="inlineStr">
        <is>
          <t>Navya</t>
        </is>
      </c>
      <c r="F34" s="54" t="n"/>
      <c r="G34" s="54" t="n"/>
      <c r="H34" s="55" t="n">
        <v>46122</v>
      </c>
      <c r="I34" s="55" t="n">
        <v>46126</v>
      </c>
      <c r="J34" s="55" t="n">
        <v>46126</v>
      </c>
    </row>
    <row r="35" ht="14.25" customHeight="1" s="60">
      <c r="A35" s="54" t="inlineStr">
        <is>
          <t>Leaks</t>
        </is>
      </c>
      <c r="B35" s="54" t="inlineStr">
        <is>
          <t>QA</t>
        </is>
      </c>
      <c r="C35" s="54" t="inlineStr">
        <is>
          <t>RPT_04_Leaks Aging</t>
        </is>
      </c>
      <c r="D35" s="54" t="inlineStr">
        <is>
          <t>Sreevarsha</t>
        </is>
      </c>
      <c r="E35" s="54" t="inlineStr">
        <is>
          <t>Navya</t>
        </is>
      </c>
      <c r="F35" s="54" t="n"/>
      <c r="G35" s="54" t="n"/>
      <c r="H35" s="55" t="n">
        <v>46126</v>
      </c>
      <c r="I35" s="55" t="n">
        <v>46122</v>
      </c>
      <c r="J35" s="55" t="n">
        <v>46122</v>
      </c>
    </row>
    <row r="36" ht="14.25" customHeight="1" s="60">
      <c r="A36" s="54" t="inlineStr">
        <is>
          <t>Leaks</t>
        </is>
      </c>
      <c r="B36" s="54" t="inlineStr">
        <is>
          <t>DPO Approval</t>
        </is>
      </c>
      <c r="C36" s="54" t="inlineStr">
        <is>
          <t>RPT_04_Leaks Aging</t>
        </is>
      </c>
      <c r="D36" s="54" t="inlineStr">
        <is>
          <t>Sreevarsha</t>
        </is>
      </c>
      <c r="E36" s="54" t="inlineStr">
        <is>
          <t>Navya</t>
        </is>
      </c>
      <c r="F36" s="54" t="n"/>
      <c r="G36" s="54" t="n"/>
      <c r="H36" s="55" t="n">
        <v>46122</v>
      </c>
      <c r="I36" s="55" t="n"/>
      <c r="J36" s="55" t="n"/>
    </row>
    <row r="37" ht="14.25" customHeight="1" s="60">
      <c r="A37" s="54" t="inlineStr">
        <is>
          <t>Leaks</t>
        </is>
      </c>
      <c r="B37" s="54" t="inlineStr">
        <is>
          <t>RELEASED IN PROD</t>
        </is>
      </c>
      <c r="C37" s="54" t="inlineStr">
        <is>
          <t>RPT_04_Leaks Aging</t>
        </is>
      </c>
      <c r="D37" s="54" t="inlineStr">
        <is>
          <t>Sreevarsha</t>
        </is>
      </c>
      <c r="E37" s="54" t="inlineStr">
        <is>
          <t>Navya</t>
        </is>
      </c>
      <c r="F37" s="54" t="n"/>
      <c r="G37" s="54" t="n"/>
      <c r="H37" s="55" t="n"/>
      <c r="I37" s="55" t="n"/>
      <c r="J37" s="55" t="n"/>
    </row>
    <row r="38" ht="14.25" customHeight="1" s="60">
      <c r="A38" s="54" t="inlineStr">
        <is>
          <t>Leaks</t>
        </is>
      </c>
      <c r="B38" s="54" t="inlineStr">
        <is>
          <t>DB Dev</t>
        </is>
      </c>
      <c r="C38" s="54" t="inlineStr">
        <is>
          <t>RPT_04_Prior Leak Readings</t>
        </is>
      </c>
      <c r="D38" s="54" t="inlineStr">
        <is>
          <t>Siddu</t>
        </is>
      </c>
      <c r="E38" s="54" t="inlineStr">
        <is>
          <t>Navya</t>
        </is>
      </c>
      <c r="F38" s="54" t="n"/>
      <c r="G38" s="54" t="n"/>
      <c r="H38" s="54" t="n"/>
      <c r="I38" s="55" t="n">
        <v>46122</v>
      </c>
      <c r="J38" s="55" t="n">
        <v>46122</v>
      </c>
    </row>
    <row r="39" ht="14.25" customHeight="1" s="60">
      <c r="A39" s="54" t="inlineStr">
        <is>
          <t>Leaks</t>
        </is>
      </c>
      <c r="B39" s="54" t="inlineStr">
        <is>
          <t>PBI Dev</t>
        </is>
      </c>
      <c r="C39" s="54" t="inlineStr">
        <is>
          <t>RPT_04_Prior Leak Readings</t>
        </is>
      </c>
      <c r="D39" s="54" t="inlineStr">
        <is>
          <t>Siddu</t>
        </is>
      </c>
      <c r="E39" s="54" t="inlineStr">
        <is>
          <t>Navya</t>
        </is>
      </c>
      <c r="F39" s="54" t="n"/>
      <c r="G39" s="54" t="n"/>
      <c r="H39" s="55" t="n">
        <v>46122</v>
      </c>
      <c r="I39" s="55" t="n">
        <v>46126</v>
      </c>
      <c r="J39" s="55" t="n">
        <v>46126</v>
      </c>
    </row>
    <row r="40" ht="14.25" customHeight="1" s="60">
      <c r="A40" s="54" t="inlineStr">
        <is>
          <t>Leaks</t>
        </is>
      </c>
      <c r="B40" s="54" t="inlineStr">
        <is>
          <t>QA</t>
        </is>
      </c>
      <c r="C40" s="54" t="inlineStr">
        <is>
          <t>RPT_04_Prior Leak Readings</t>
        </is>
      </c>
      <c r="D40" s="54" t="inlineStr">
        <is>
          <t>Siddu</t>
        </is>
      </c>
      <c r="E40" s="54" t="inlineStr">
        <is>
          <t>Navya</t>
        </is>
      </c>
      <c r="F40" s="54" t="n"/>
      <c r="G40" s="54" t="n"/>
      <c r="H40" s="55" t="n">
        <v>46126</v>
      </c>
      <c r="I40" s="55" t="n">
        <v>46122</v>
      </c>
      <c r="J40" s="55" t="n">
        <v>46122</v>
      </c>
    </row>
    <row r="41" ht="14.25" customHeight="1" s="60">
      <c r="A41" s="54" t="inlineStr">
        <is>
          <t>Leaks</t>
        </is>
      </c>
      <c r="B41" s="54" t="inlineStr">
        <is>
          <t>DPO Approval</t>
        </is>
      </c>
      <c r="C41" s="54" t="inlineStr">
        <is>
          <t>RPT_04_Prior Leak Readings</t>
        </is>
      </c>
      <c r="D41" s="54" t="inlineStr">
        <is>
          <t>Siddu</t>
        </is>
      </c>
      <c r="E41" s="54" t="inlineStr">
        <is>
          <t>Navya</t>
        </is>
      </c>
      <c r="F41" s="54" t="n"/>
      <c r="G41" s="54" t="n"/>
      <c r="H41" s="55" t="n">
        <v>46122</v>
      </c>
      <c r="I41" s="55" t="n"/>
      <c r="J41" s="55" t="n"/>
    </row>
    <row r="42" ht="14.25" customHeight="1" s="60">
      <c r="A42" s="54" t="inlineStr">
        <is>
          <t>Leaks</t>
        </is>
      </c>
      <c r="B42" s="54" t="inlineStr">
        <is>
          <t>RELEASED IN PROD</t>
        </is>
      </c>
      <c r="C42" s="54" t="inlineStr">
        <is>
          <t>RPT_04_Prior Leak Readings</t>
        </is>
      </c>
      <c r="D42" s="54" t="inlineStr">
        <is>
          <t>Siddu</t>
        </is>
      </c>
      <c r="E42" s="54" t="inlineStr">
        <is>
          <t>Navya</t>
        </is>
      </c>
      <c r="F42" s="54" t="n"/>
      <c r="G42" s="54" t="n"/>
      <c r="H42" s="54" t="n"/>
      <c r="I42" s="55" t="n"/>
      <c r="J42" s="55" t="n"/>
    </row>
    <row r="43" ht="14.25" customHeight="1" s="60">
      <c r="A43" s="54" t="inlineStr">
        <is>
          <t>Leaks</t>
        </is>
      </c>
      <c r="B43" s="54" t="inlineStr">
        <is>
          <t>DB Dev</t>
        </is>
      </c>
      <c r="C43" s="54" t="inlineStr">
        <is>
          <t>RSS_04_Leak Grade Change History</t>
        </is>
      </c>
      <c r="D43" s="54" t="inlineStr">
        <is>
          <t>Siva</t>
        </is>
      </c>
      <c r="E43" s="54" t="inlineStr">
        <is>
          <t>Navya</t>
        </is>
      </c>
      <c r="F43" s="54" t="n"/>
      <c r="G43" s="54" t="n"/>
      <c r="H43" s="55" t="n"/>
      <c r="I43" s="55" t="n">
        <v>46127</v>
      </c>
      <c r="J43" s="55" t="n">
        <v>46127</v>
      </c>
    </row>
    <row r="44" ht="14.25" customHeight="1" s="60">
      <c r="A44" s="54" t="inlineStr">
        <is>
          <t>Leaks</t>
        </is>
      </c>
      <c r="B44" s="54" t="inlineStr">
        <is>
          <t>PBI Dev</t>
        </is>
      </c>
      <c r="C44" s="54" t="inlineStr">
        <is>
          <t>RSS_04_Leak Grade Change History</t>
        </is>
      </c>
      <c r="D44" s="54" t="inlineStr">
        <is>
          <t>Siva</t>
        </is>
      </c>
      <c r="E44" s="54" t="inlineStr">
        <is>
          <t>Navya</t>
        </is>
      </c>
      <c r="F44" s="54" t="n"/>
      <c r="G44" s="54" t="n"/>
      <c r="H44" s="55" t="n">
        <v>46127</v>
      </c>
      <c r="I44" s="55" t="n">
        <v>46126</v>
      </c>
      <c r="J44" s="55" t="n">
        <v>46126</v>
      </c>
    </row>
    <row r="45" ht="14.25" customHeight="1" s="60">
      <c r="A45" s="54" t="inlineStr">
        <is>
          <t>Leaks</t>
        </is>
      </c>
      <c r="B45" s="54" t="inlineStr">
        <is>
          <t>QA</t>
        </is>
      </c>
      <c r="C45" s="54" t="inlineStr">
        <is>
          <t>RSS_04_Leak Grade Change History</t>
        </is>
      </c>
      <c r="D45" s="54" t="inlineStr">
        <is>
          <t>Siva</t>
        </is>
      </c>
      <c r="E45" s="54" t="inlineStr">
        <is>
          <t>Navya</t>
        </is>
      </c>
      <c r="F45" s="54" t="n"/>
      <c r="G45" s="54" t="n"/>
      <c r="H45" s="55" t="n">
        <v>46126</v>
      </c>
      <c r="I45" s="55" t="n">
        <v>46122</v>
      </c>
      <c r="J45" s="55" t="n">
        <v>46122</v>
      </c>
    </row>
    <row r="46" ht="14.25" customHeight="1" s="60">
      <c r="A46" s="54" t="inlineStr">
        <is>
          <t>Leaks</t>
        </is>
      </c>
      <c r="B46" s="54" t="inlineStr">
        <is>
          <t>DPO Approval</t>
        </is>
      </c>
      <c r="C46" s="54" t="inlineStr">
        <is>
          <t>RSS_04_Leak Grade Change History</t>
        </is>
      </c>
      <c r="D46" s="54" t="inlineStr">
        <is>
          <t>Siva</t>
        </is>
      </c>
      <c r="E46" s="54" t="inlineStr">
        <is>
          <t>Navya</t>
        </is>
      </c>
      <c r="F46" s="54" t="n"/>
      <c r="G46" s="54" t="n"/>
      <c r="H46" s="55" t="n">
        <v>46122</v>
      </c>
      <c r="I46" s="55" t="n"/>
      <c r="J46" s="55" t="n"/>
    </row>
    <row r="47" ht="14.25" customHeight="1" s="60">
      <c r="A47" s="54" t="inlineStr">
        <is>
          <t>Leaks</t>
        </is>
      </c>
      <c r="B47" s="54" t="inlineStr">
        <is>
          <t>RELEASED IN PROD</t>
        </is>
      </c>
      <c r="C47" s="54" t="inlineStr">
        <is>
          <t>RSS_04_Leak Grade Change History</t>
        </is>
      </c>
      <c r="D47" s="54" t="inlineStr">
        <is>
          <t>Siva</t>
        </is>
      </c>
      <c r="E47" s="54" t="inlineStr">
        <is>
          <t>Navya</t>
        </is>
      </c>
      <c r="F47" s="54" t="n"/>
      <c r="G47" s="54" t="n"/>
      <c r="H47" s="55" t="n"/>
      <c r="I47" s="55" t="n"/>
      <c r="J47" s="55" t="n"/>
    </row>
    <row r="48" ht="14.25" customHeight="1" s="60">
      <c r="A48" s="54" t="inlineStr">
        <is>
          <t>Leaks</t>
        </is>
      </c>
      <c r="B48" s="54" t="inlineStr">
        <is>
          <t>DB Dev</t>
        </is>
      </c>
      <c r="C48" s="54" t="inlineStr">
        <is>
          <t>RPT_04_Surveillances With Zero Readings</t>
        </is>
      </c>
      <c r="D48" s="54" t="inlineStr">
        <is>
          <t>Sreevarsha</t>
        </is>
      </c>
      <c r="E48" s="54" t="inlineStr">
        <is>
          <t>Navya</t>
        </is>
      </c>
      <c r="F48" s="54" t="n"/>
      <c r="G48" s="54" t="n"/>
      <c r="H48" s="55" t="n"/>
      <c r="I48" s="55" t="n"/>
      <c r="J48" s="55" t="n"/>
    </row>
    <row r="49" ht="14.25" customHeight="1" s="60">
      <c r="A49" s="54" t="inlineStr">
        <is>
          <t>Leaks</t>
        </is>
      </c>
      <c r="B49" s="54" t="inlineStr">
        <is>
          <t>PBI Dev</t>
        </is>
      </c>
      <c r="C49" s="54" t="inlineStr">
        <is>
          <t>RPT_04_Surveillances With Zero Readings</t>
        </is>
      </c>
      <c r="D49" s="54" t="inlineStr">
        <is>
          <t>Sreevarsha</t>
        </is>
      </c>
      <c r="E49" s="54" t="inlineStr">
        <is>
          <t>Navya</t>
        </is>
      </c>
      <c r="F49" s="54" t="n"/>
      <c r="G49" s="54" t="n"/>
      <c r="H49" s="55" t="n"/>
      <c r="I49" s="55" t="n">
        <v>46139</v>
      </c>
      <c r="J49" s="55" t="n">
        <v>46139</v>
      </c>
    </row>
    <row r="50" ht="14.25" customHeight="1" s="60">
      <c r="A50" s="54" t="inlineStr">
        <is>
          <t>Leaks</t>
        </is>
      </c>
      <c r="B50" s="54" t="inlineStr">
        <is>
          <t>QA</t>
        </is>
      </c>
      <c r="C50" s="54" t="inlineStr">
        <is>
          <t>RPT_04_Surveillances With Zero Readings</t>
        </is>
      </c>
      <c r="D50" s="54" t="inlineStr">
        <is>
          <t>Sreevarsha</t>
        </is>
      </c>
      <c r="E50" s="54" t="inlineStr">
        <is>
          <t>Navya</t>
        </is>
      </c>
      <c r="F50" s="54" t="n"/>
      <c r="G50" s="54" t="n"/>
      <c r="H50" s="55" t="n">
        <v>46139</v>
      </c>
      <c r="I50" s="55" t="n">
        <v>46139</v>
      </c>
      <c r="J50" s="55" t="n">
        <v>46139</v>
      </c>
    </row>
    <row r="51" ht="14.25" customHeight="1" s="60">
      <c r="A51" s="54" t="inlineStr">
        <is>
          <t>Leaks</t>
        </is>
      </c>
      <c r="B51" s="54" t="inlineStr">
        <is>
          <t>DPO Approval</t>
        </is>
      </c>
      <c r="C51" s="54" t="inlineStr">
        <is>
          <t>RPT_04_Surveillances With Zero Readings</t>
        </is>
      </c>
      <c r="D51" s="54" t="inlineStr">
        <is>
          <t>Sreevarsha</t>
        </is>
      </c>
      <c r="E51" s="54" t="inlineStr">
        <is>
          <t>Navya</t>
        </is>
      </c>
      <c r="F51" s="54" t="n"/>
      <c r="G51" s="54" t="n"/>
      <c r="H51" s="55" t="n">
        <v>46139</v>
      </c>
      <c r="I51" s="55" t="n"/>
      <c r="J51" s="55" t="n"/>
    </row>
    <row r="52" ht="14.25" customHeight="1" s="60">
      <c r="A52" s="54" t="inlineStr">
        <is>
          <t>Leaks</t>
        </is>
      </c>
      <c r="B52" s="54" t="inlineStr">
        <is>
          <t>RELEASED IN PROD</t>
        </is>
      </c>
      <c r="C52" s="54" t="inlineStr">
        <is>
          <t>RPT_04_Surveillances With Zero Readings</t>
        </is>
      </c>
      <c r="D52" s="54" t="inlineStr">
        <is>
          <t>Sreevarsha</t>
        </is>
      </c>
      <c r="E52" s="54" t="inlineStr">
        <is>
          <t>Navya</t>
        </is>
      </c>
      <c r="F52" s="54" t="n"/>
      <c r="G52" s="54" t="n"/>
      <c r="H52" s="55" t="n"/>
      <c r="I52" s="55" t="n"/>
      <c r="J52" s="55" t="n"/>
    </row>
    <row r="53" ht="14.25" customHeight="1" s="60">
      <c r="A53" s="54" t="inlineStr">
        <is>
          <t>Leaks</t>
        </is>
      </c>
      <c r="B53" s="54" t="inlineStr">
        <is>
          <t>DB Dev</t>
        </is>
      </c>
      <c r="C53" s="54" t="inlineStr">
        <is>
          <t>RPT_04 High Emitter leaks</t>
        </is>
      </c>
      <c r="D53" s="54" t="inlineStr">
        <is>
          <t>Sreevarsha</t>
        </is>
      </c>
      <c r="E53" s="54" t="inlineStr">
        <is>
          <t>Navya</t>
        </is>
      </c>
      <c r="F53" s="54" t="n"/>
      <c r="G53" s="54" t="n"/>
      <c r="H53" s="55" t="n"/>
      <c r="I53" s="55" t="n"/>
      <c r="J53" s="55" t="n"/>
    </row>
    <row r="54" ht="14.25" customHeight="1" s="60">
      <c r="A54" s="54" t="inlineStr">
        <is>
          <t>Leaks</t>
        </is>
      </c>
      <c r="B54" s="54" t="inlineStr">
        <is>
          <t>PBI Dev</t>
        </is>
      </c>
      <c r="C54" s="54" t="inlineStr">
        <is>
          <t>RPT_04 High Emitter leaks</t>
        </is>
      </c>
      <c r="D54" s="54" t="inlineStr">
        <is>
          <t>Sreevarsha</t>
        </is>
      </c>
      <c r="E54" s="54" t="inlineStr">
        <is>
          <t>Navya</t>
        </is>
      </c>
      <c r="F54" s="54" t="n"/>
      <c r="G54" s="54" t="n"/>
      <c r="H54" s="54" t="n"/>
      <c r="I54" s="55" t="n">
        <v>46141</v>
      </c>
      <c r="J54" s="55" t="n">
        <v>46141</v>
      </c>
    </row>
    <row r="55" ht="14.25" customHeight="1" s="60">
      <c r="A55" s="54" t="inlineStr">
        <is>
          <t>Leaks</t>
        </is>
      </c>
      <c r="B55" s="54" t="inlineStr">
        <is>
          <t>QA</t>
        </is>
      </c>
      <c r="C55" s="54" t="inlineStr">
        <is>
          <t>RPT_04 High Emitter leaks</t>
        </is>
      </c>
      <c r="D55" s="54" t="inlineStr">
        <is>
          <t>Sreevarsha</t>
        </is>
      </c>
      <c r="E55" s="54" t="inlineStr">
        <is>
          <t>Navya</t>
        </is>
      </c>
      <c r="F55" s="54" t="n"/>
      <c r="G55" s="54" t="n"/>
      <c r="H55" s="55" t="n">
        <v>46141</v>
      </c>
      <c r="I55" s="55" t="n">
        <v>46141</v>
      </c>
      <c r="J55" s="55" t="n">
        <v>46141</v>
      </c>
    </row>
    <row r="56" ht="14.25" customHeight="1" s="60">
      <c r="A56" s="54" t="inlineStr">
        <is>
          <t>Leaks</t>
        </is>
      </c>
      <c r="B56" s="54" t="inlineStr">
        <is>
          <t>DPO Approval</t>
        </is>
      </c>
      <c r="C56" s="54" t="inlineStr">
        <is>
          <t>RPT_04 High Emitter leaks</t>
        </is>
      </c>
      <c r="D56" s="54" t="inlineStr">
        <is>
          <t>Sreevarsha</t>
        </is>
      </c>
      <c r="E56" s="54" t="inlineStr">
        <is>
          <t>Navya</t>
        </is>
      </c>
      <c r="F56" s="54" t="n"/>
      <c r="G56" s="54" t="n"/>
      <c r="H56" s="55" t="n">
        <v>46141</v>
      </c>
      <c r="I56" s="55" t="n"/>
      <c r="J56" s="55" t="n"/>
    </row>
    <row r="57" ht="14.25" customHeight="1" s="60">
      <c r="A57" s="54" t="inlineStr">
        <is>
          <t>Leaks</t>
        </is>
      </c>
      <c r="B57" s="54" t="inlineStr">
        <is>
          <t>RELEASED IN PROD</t>
        </is>
      </c>
      <c r="C57" s="54" t="inlineStr">
        <is>
          <t>RPT_04 High Emitter leaks</t>
        </is>
      </c>
      <c r="D57" s="54" t="inlineStr">
        <is>
          <t>Sreevarsha</t>
        </is>
      </c>
      <c r="E57" s="54" t="inlineStr">
        <is>
          <t>Navya</t>
        </is>
      </c>
      <c r="F57" s="54" t="n"/>
      <c r="G57" s="54" t="n"/>
      <c r="H57" s="55" t="n"/>
      <c r="I57" s="55" t="n"/>
      <c r="J57" s="55" t="n"/>
    </row>
    <row r="58" ht="14.25" customHeight="1" s="60">
      <c r="A58" s="54" t="inlineStr">
        <is>
          <t>Leaks</t>
        </is>
      </c>
      <c r="B58" s="54" t="inlineStr">
        <is>
          <t>DB Dev</t>
        </is>
      </c>
      <c r="C58" s="54" t="inlineStr">
        <is>
          <t>RPT_04_School Zone Leaks Without Repair</t>
        </is>
      </c>
      <c r="D58" s="54" t="inlineStr">
        <is>
          <t>Sreevarsha</t>
        </is>
      </c>
      <c r="E58" s="54" t="inlineStr">
        <is>
          <t>Sarath</t>
        </is>
      </c>
      <c r="F58" s="54" t="n"/>
      <c r="G58" s="54" t="n"/>
      <c r="H58" s="54" t="n"/>
      <c r="I58" s="55" t="n"/>
      <c r="J58" s="55" t="n"/>
    </row>
    <row r="59" ht="14.25" customHeight="1" s="60">
      <c r="A59" s="54" t="inlineStr">
        <is>
          <t>Leaks</t>
        </is>
      </c>
      <c r="B59" s="54" t="inlineStr">
        <is>
          <t>PBI Dev</t>
        </is>
      </c>
      <c r="C59" s="54" t="inlineStr">
        <is>
          <t>RPT_04_School Zone Leaks Without Repair</t>
        </is>
      </c>
      <c r="D59" s="54" t="inlineStr">
        <is>
          <t>Sreevarsha</t>
        </is>
      </c>
      <c r="E59" s="54" t="inlineStr">
        <is>
          <t>Sarath</t>
        </is>
      </c>
      <c r="F59" s="54" t="n"/>
      <c r="G59" s="54" t="n"/>
      <c r="H59" s="55" t="n"/>
      <c r="I59" s="55" t="n">
        <v>46161</v>
      </c>
      <c r="J59" s="55" t="n">
        <v>46161</v>
      </c>
    </row>
    <row r="60" ht="14.25" customHeight="1" s="60">
      <c r="A60" s="54" t="inlineStr">
        <is>
          <t>Leaks</t>
        </is>
      </c>
      <c r="B60" s="54" t="inlineStr">
        <is>
          <t>QA</t>
        </is>
      </c>
      <c r="C60" s="54" t="inlineStr">
        <is>
          <t>RPT_04_School Zone Leaks Without Repair</t>
        </is>
      </c>
      <c r="D60" s="54" t="inlineStr">
        <is>
          <t>Sreevarsha</t>
        </is>
      </c>
      <c r="E60" s="54" t="inlineStr">
        <is>
          <t>Sarath</t>
        </is>
      </c>
      <c r="F60" s="54" t="n"/>
      <c r="G60" s="54" t="n"/>
      <c r="H60" s="55" t="n">
        <v>46161</v>
      </c>
      <c r="I60" s="55" t="n">
        <v>46161</v>
      </c>
      <c r="J60" s="55" t="n">
        <v>46161</v>
      </c>
    </row>
    <row r="61" ht="14.25" customHeight="1" s="60">
      <c r="A61" s="54" t="inlineStr">
        <is>
          <t>Leaks</t>
        </is>
      </c>
      <c r="B61" s="54" t="inlineStr">
        <is>
          <t>DPO Approval</t>
        </is>
      </c>
      <c r="C61" s="54" t="inlineStr">
        <is>
          <t>RPT_04_School Zone Leaks Without Repair</t>
        </is>
      </c>
      <c r="D61" s="54" t="inlineStr">
        <is>
          <t>Sreevarsha</t>
        </is>
      </c>
      <c r="E61" s="54" t="inlineStr">
        <is>
          <t>Sarath</t>
        </is>
      </c>
      <c r="F61" s="54" t="n"/>
      <c r="G61" s="54" t="n"/>
      <c r="H61" s="55" t="n">
        <v>46161</v>
      </c>
      <c r="I61" s="55" t="n"/>
      <c r="J61" s="55" t="n"/>
    </row>
    <row r="62" ht="14.25" customHeight="1" s="60">
      <c r="A62" s="54" t="inlineStr">
        <is>
          <t>Leaks</t>
        </is>
      </c>
      <c r="B62" s="54" t="inlineStr">
        <is>
          <t>RELEASED IN PROD</t>
        </is>
      </c>
      <c r="C62" s="54" t="inlineStr">
        <is>
          <t>RPT_04_School Zone Leaks Without Repair</t>
        </is>
      </c>
      <c r="D62" s="54" t="inlineStr">
        <is>
          <t>Sreevarsha</t>
        </is>
      </c>
      <c r="E62" s="54" t="inlineStr">
        <is>
          <t>Sarath</t>
        </is>
      </c>
      <c r="F62" s="54" t="n"/>
      <c r="G62" s="54" t="n"/>
      <c r="H62" s="54" t="n"/>
      <c r="I62" s="55" t="n"/>
      <c r="J62" s="55" t="n"/>
    </row>
    <row r="63" ht="14.25" customHeight="1" s="60">
      <c r="A63" s="54" t="inlineStr">
        <is>
          <t>Leaks</t>
        </is>
      </c>
      <c r="B63" s="54" t="inlineStr">
        <is>
          <t>DB Dev</t>
        </is>
      </c>
      <c r="C63" s="54" t="inlineStr">
        <is>
          <t>RPT_04_PSC Quarterly Leak</t>
        </is>
      </c>
      <c r="D63" s="54" t="inlineStr">
        <is>
          <t>Geetha</t>
        </is>
      </c>
      <c r="E63" s="54" t="inlineStr">
        <is>
          <t>Sarath</t>
        </is>
      </c>
      <c r="F63" s="54" t="n"/>
      <c r="G63" s="54" t="n"/>
      <c r="H63" s="55" t="n"/>
      <c r="I63" s="55" t="n"/>
      <c r="J63" s="55" t="n"/>
    </row>
    <row r="64" ht="14.25" customHeight="1" s="60">
      <c r="A64" s="54" t="inlineStr">
        <is>
          <t>Leaks</t>
        </is>
      </c>
      <c r="B64" s="54" t="inlineStr">
        <is>
          <t>PBI Dev</t>
        </is>
      </c>
      <c r="C64" s="54" t="inlineStr">
        <is>
          <t>RPT_04_PSC Quarterly Leak</t>
        </is>
      </c>
      <c r="D64" s="54" t="inlineStr">
        <is>
          <t>Geetha</t>
        </is>
      </c>
      <c r="E64" s="54" t="inlineStr">
        <is>
          <t>Sarath</t>
        </is>
      </c>
      <c r="F64" s="54" t="n"/>
      <c r="G64" s="54" t="n"/>
      <c r="H64" s="55" t="n"/>
      <c r="I64" s="55" t="n">
        <v>46175</v>
      </c>
      <c r="J64" s="55" t="n">
        <v>46175</v>
      </c>
    </row>
    <row r="65" ht="14.25" customHeight="1" s="60">
      <c r="A65" s="54" t="inlineStr">
        <is>
          <t>Leaks</t>
        </is>
      </c>
      <c r="B65" s="54" t="inlineStr">
        <is>
          <t>QA</t>
        </is>
      </c>
      <c r="C65" s="54" t="inlineStr">
        <is>
          <t>RPT_04_PSC Quarterly Leak</t>
        </is>
      </c>
      <c r="D65" s="54" t="inlineStr">
        <is>
          <t>Geetha</t>
        </is>
      </c>
      <c r="E65" s="54" t="inlineStr">
        <is>
          <t>Sarath</t>
        </is>
      </c>
      <c r="F65" s="54" t="n"/>
      <c r="G65" s="54" t="n"/>
      <c r="H65" s="55" t="n">
        <v>46175</v>
      </c>
      <c r="I65" s="55" t="n">
        <v>46175</v>
      </c>
      <c r="J65" s="55" t="n">
        <v>46175</v>
      </c>
    </row>
    <row r="66" ht="14.25" customHeight="1" s="60">
      <c r="A66" s="54" t="inlineStr">
        <is>
          <t>Leaks</t>
        </is>
      </c>
      <c r="B66" s="54" t="inlineStr">
        <is>
          <t>DPO Approval</t>
        </is>
      </c>
      <c r="C66" s="54" t="inlineStr">
        <is>
          <t>RPT_04_PSC Quarterly Leak</t>
        </is>
      </c>
      <c r="D66" s="54" t="inlineStr">
        <is>
          <t>Geetha</t>
        </is>
      </c>
      <c r="E66" s="54" t="inlineStr">
        <is>
          <t>Sarath</t>
        </is>
      </c>
      <c r="F66" s="54" t="n"/>
      <c r="G66" s="54" t="n"/>
      <c r="H66" s="55" t="n">
        <v>46175</v>
      </c>
      <c r="I66" s="55" t="n"/>
      <c r="J66" s="55" t="n"/>
    </row>
    <row r="67" ht="14.25" customHeight="1" s="60">
      <c r="A67" s="54" t="inlineStr">
        <is>
          <t>Leaks</t>
        </is>
      </c>
      <c r="B67" s="54" t="inlineStr">
        <is>
          <t>RELEASED IN PROD</t>
        </is>
      </c>
      <c r="C67" s="54" t="inlineStr">
        <is>
          <t>RPT_04_PSC Quarterly Leak</t>
        </is>
      </c>
      <c r="D67" s="54" t="inlineStr">
        <is>
          <t>Geetha</t>
        </is>
      </c>
      <c r="E67" s="54" t="inlineStr">
        <is>
          <t>Sarath</t>
        </is>
      </c>
      <c r="F67" s="54" t="n"/>
      <c r="G67" s="54" t="n"/>
      <c r="H67" s="55" t="n"/>
      <c r="I67" s="55" t="n">
        <v>46184</v>
      </c>
      <c r="J67" s="55" t="n">
        <v>46184</v>
      </c>
    </row>
    <row r="68" ht="14.25" customHeight="1" s="60">
      <c r="A68" s="54" t="inlineStr">
        <is>
          <t>Leaks</t>
        </is>
      </c>
      <c r="B68" s="54" t="inlineStr">
        <is>
          <t>DB Dev</t>
        </is>
      </c>
      <c r="C68" s="54" t="inlineStr">
        <is>
          <t>RPT_04_Rechecks Completed less than 14 days</t>
        </is>
      </c>
      <c r="D68" s="54" t="inlineStr">
        <is>
          <t>Rupa</t>
        </is>
      </c>
      <c r="E68" s="54" t="inlineStr">
        <is>
          <t>Shraddha</t>
        </is>
      </c>
      <c r="F68" s="54" t="n"/>
      <c r="G68" s="54" t="n"/>
      <c r="H68" s="55" t="n"/>
      <c r="I68" s="55" t="n"/>
      <c r="J68" s="54" t="n"/>
    </row>
    <row r="69" ht="14.25" customHeight="1" s="60">
      <c r="A69" s="54" t="inlineStr">
        <is>
          <t>Leaks</t>
        </is>
      </c>
      <c r="B69" s="54" t="inlineStr">
        <is>
          <t>PBI Dev</t>
        </is>
      </c>
      <c r="C69" s="54" t="inlineStr">
        <is>
          <t>RPT_04_Rechecks Completed less than 14 days</t>
        </is>
      </c>
      <c r="D69" s="54" t="inlineStr">
        <is>
          <t>Rupa</t>
        </is>
      </c>
      <c r="E69" s="54" t="inlineStr">
        <is>
          <t>Shraddha</t>
        </is>
      </c>
      <c r="F69" s="54" t="n"/>
      <c r="G69" s="54" t="n"/>
      <c r="H69" s="54" t="n"/>
      <c r="I69" s="55" t="n">
        <v>46134</v>
      </c>
      <c r="J69" s="55" t="n">
        <v>46134</v>
      </c>
    </row>
    <row r="70" ht="14.25" customHeight="1" s="60">
      <c r="A70" s="54" t="inlineStr">
        <is>
          <t>Leaks</t>
        </is>
      </c>
      <c r="B70" s="54" t="inlineStr">
        <is>
          <t>QA</t>
        </is>
      </c>
      <c r="C70" s="54" t="inlineStr">
        <is>
          <t>RPT_04_Rechecks Completed less than 14 days</t>
        </is>
      </c>
      <c r="D70" s="54" t="inlineStr">
        <is>
          <t>Rupa</t>
        </is>
      </c>
      <c r="E70" s="54" t="inlineStr">
        <is>
          <t>Shraddha</t>
        </is>
      </c>
      <c r="F70" s="54" t="n"/>
      <c r="G70" s="54" t="n"/>
      <c r="H70" s="55" t="n">
        <v>46134</v>
      </c>
      <c r="I70" s="55" t="n">
        <v>46134</v>
      </c>
      <c r="J70" s="55" t="n">
        <v>46134</v>
      </c>
    </row>
    <row r="71" ht="14.25" customHeight="1" s="60">
      <c r="A71" s="54" t="inlineStr">
        <is>
          <t>Leaks</t>
        </is>
      </c>
      <c r="B71" s="54" t="inlineStr">
        <is>
          <t>DPO Approval</t>
        </is>
      </c>
      <c r="C71" s="54" t="inlineStr">
        <is>
          <t>RPT_04_Rechecks Completed less than 14 days</t>
        </is>
      </c>
      <c r="D71" s="54" t="inlineStr">
        <is>
          <t>Rupa</t>
        </is>
      </c>
      <c r="E71" s="54" t="inlineStr">
        <is>
          <t>Shraddha</t>
        </is>
      </c>
      <c r="F71" s="54" t="n"/>
      <c r="G71" s="54" t="n"/>
      <c r="H71" s="55" t="n">
        <v>46134</v>
      </c>
      <c r="I71" s="55" t="n"/>
      <c r="J71" s="55" t="n"/>
    </row>
    <row r="72" ht="14.25" customHeight="1" s="60">
      <c r="A72" s="54" t="inlineStr">
        <is>
          <t>Leaks</t>
        </is>
      </c>
      <c r="B72" s="54" t="inlineStr">
        <is>
          <t>RELEASED IN PROD</t>
        </is>
      </c>
      <c r="C72" s="54" t="inlineStr">
        <is>
          <t>RPT_04_Rechecks Completed less than 14 days</t>
        </is>
      </c>
      <c r="D72" s="54" t="inlineStr">
        <is>
          <t>Rupa</t>
        </is>
      </c>
      <c r="E72" s="54" t="inlineStr">
        <is>
          <t>Shraddha</t>
        </is>
      </c>
      <c r="F72" s="54" t="n"/>
      <c r="G72" s="54" t="n"/>
      <c r="H72" s="55" t="n"/>
      <c r="I72" s="55" t="n"/>
      <c r="J72" s="55" t="n"/>
    </row>
    <row r="73" ht="14.25" customHeight="1" s="60">
      <c r="A73" s="54" t="inlineStr">
        <is>
          <t>Leaks</t>
        </is>
      </c>
      <c r="B73" s="54" t="inlineStr">
        <is>
          <t>DB Dev</t>
        </is>
      </c>
      <c r="C73" s="54" t="inlineStr">
        <is>
          <t>RPT_04_SEI Leak Activity</t>
        </is>
      </c>
      <c r="D73" s="54" t="inlineStr">
        <is>
          <t>Siva</t>
        </is>
      </c>
      <c r="E73" s="54" t="inlineStr">
        <is>
          <t>Shraddha</t>
        </is>
      </c>
      <c r="F73" s="54" t="n"/>
      <c r="G73" s="54" t="n"/>
      <c r="H73" s="54" t="n"/>
      <c r="I73" s="55" t="n"/>
      <c r="J73" s="55" t="n"/>
    </row>
    <row r="74" ht="14.25" customHeight="1" s="60">
      <c r="A74" s="54" t="inlineStr">
        <is>
          <t>Leaks</t>
        </is>
      </c>
      <c r="B74" s="54" t="inlineStr">
        <is>
          <t>PBI Dev</t>
        </is>
      </c>
      <c r="C74" s="54" t="inlineStr">
        <is>
          <t>RPT_04_SEI Leak Activity</t>
        </is>
      </c>
      <c r="D74" s="54" t="inlineStr">
        <is>
          <t>Siva</t>
        </is>
      </c>
      <c r="E74" s="54" t="inlineStr">
        <is>
          <t>Shraddha</t>
        </is>
      </c>
      <c r="F74" s="54" t="n"/>
      <c r="G74" s="54" t="n"/>
      <c r="H74" s="55" t="n"/>
      <c r="I74" s="55" t="n">
        <v>46139</v>
      </c>
      <c r="J74" s="55" t="n">
        <v>46139</v>
      </c>
    </row>
    <row r="75" ht="14.25" customHeight="1" s="60">
      <c r="A75" s="54" t="inlineStr">
        <is>
          <t>Leaks</t>
        </is>
      </c>
      <c r="B75" s="54" t="inlineStr">
        <is>
          <t>QA</t>
        </is>
      </c>
      <c r="C75" s="54" t="inlineStr">
        <is>
          <t>RPT_04_SEI Leak Activity</t>
        </is>
      </c>
      <c r="D75" s="54" t="inlineStr">
        <is>
          <t>Siva</t>
        </is>
      </c>
      <c r="E75" s="54" t="inlineStr">
        <is>
          <t>Shraddha</t>
        </is>
      </c>
      <c r="F75" s="54" t="n"/>
      <c r="G75" s="54" t="n"/>
      <c r="H75" s="55" t="n">
        <v>46139</v>
      </c>
      <c r="I75" s="55" t="n">
        <v>46139</v>
      </c>
      <c r="J75" s="55" t="n">
        <v>46139</v>
      </c>
    </row>
    <row r="76" ht="14.25" customHeight="1" s="60">
      <c r="A76" s="54" t="inlineStr">
        <is>
          <t>Leaks</t>
        </is>
      </c>
      <c r="B76" s="54" t="inlineStr">
        <is>
          <t>DPO Approval</t>
        </is>
      </c>
      <c r="C76" s="54" t="inlineStr">
        <is>
          <t>RPT_04_SEI Leak Activity</t>
        </is>
      </c>
      <c r="D76" s="54" t="inlineStr">
        <is>
          <t>Siva</t>
        </is>
      </c>
      <c r="E76" s="54" t="inlineStr">
        <is>
          <t>Shraddha</t>
        </is>
      </c>
      <c r="F76" s="54" t="n"/>
      <c r="G76" s="54" t="n"/>
      <c r="H76" s="55" t="n">
        <v>46139</v>
      </c>
      <c r="I76" s="55" t="n"/>
      <c r="J76" s="55" t="n"/>
    </row>
    <row r="77" ht="14.25" customHeight="1" s="60">
      <c r="A77" s="54" t="inlineStr">
        <is>
          <t>Leaks</t>
        </is>
      </c>
      <c r="B77" s="54" t="inlineStr">
        <is>
          <t>RELEASED IN PROD</t>
        </is>
      </c>
      <c r="C77" s="54" t="inlineStr">
        <is>
          <t>RPT_04_SEI Leak Activity</t>
        </is>
      </c>
      <c r="D77" s="54" t="inlineStr">
        <is>
          <t>Siva</t>
        </is>
      </c>
      <c r="E77" s="54" t="inlineStr">
        <is>
          <t>Shraddha</t>
        </is>
      </c>
      <c r="F77" s="54" t="n"/>
      <c r="G77" s="54" t="n"/>
      <c r="H77" s="54" t="n"/>
      <c r="I77" s="55" t="n"/>
      <c r="J77" s="55" t="n"/>
    </row>
    <row r="78" ht="14.25" customHeight="1" s="60">
      <c r="A78" s="54" t="inlineStr">
        <is>
          <t>Leaks</t>
        </is>
      </c>
      <c r="B78" s="54" t="inlineStr">
        <is>
          <t>DB Dev</t>
        </is>
      </c>
      <c r="C78" s="54" t="inlineStr">
        <is>
          <t>RPT_04_CMS Leak Productivity</t>
        </is>
      </c>
      <c r="D78" s="54" t="inlineStr">
        <is>
          <t>Siddu</t>
        </is>
      </c>
      <c r="E78" s="54" t="inlineStr">
        <is>
          <t>Navya</t>
        </is>
      </c>
      <c r="F78" s="54" t="n"/>
      <c r="G78" s="54" t="n"/>
      <c r="H78" s="55" t="n"/>
      <c r="I78" s="55" t="n"/>
      <c r="J78" s="54" t="n"/>
    </row>
    <row r="79" ht="14.25" customHeight="1" s="60">
      <c r="A79" s="54" t="inlineStr">
        <is>
          <t>Leaks</t>
        </is>
      </c>
      <c r="B79" s="54" t="inlineStr">
        <is>
          <t>PBI Dev</t>
        </is>
      </c>
      <c r="C79" s="54" t="inlineStr">
        <is>
          <t>RPT_04_CMS Leak Productivity</t>
        </is>
      </c>
      <c r="D79" s="54" t="inlineStr">
        <is>
          <t>Siddu</t>
        </is>
      </c>
      <c r="E79" s="54" t="inlineStr">
        <is>
          <t>Navya</t>
        </is>
      </c>
      <c r="F79" s="54" t="n"/>
      <c r="G79" s="54" t="n"/>
      <c r="H79" s="54" t="n"/>
      <c r="I79" s="55" t="n">
        <v>46147</v>
      </c>
      <c r="J79" s="55" t="n">
        <v>46147</v>
      </c>
    </row>
    <row r="80" ht="14.25" customHeight="1" s="60">
      <c r="A80" s="54" t="inlineStr">
        <is>
          <t>Leaks</t>
        </is>
      </c>
      <c r="B80" s="54" t="inlineStr">
        <is>
          <t>QA</t>
        </is>
      </c>
      <c r="C80" s="54" t="inlineStr">
        <is>
          <t>RPT_04_CMS Leak Productivity</t>
        </is>
      </c>
      <c r="D80" s="54" t="inlineStr">
        <is>
          <t>Siddu</t>
        </is>
      </c>
      <c r="E80" s="54" t="inlineStr">
        <is>
          <t>Navya</t>
        </is>
      </c>
      <c r="F80" s="54" t="n"/>
      <c r="G80" s="54" t="n"/>
      <c r="H80" s="55" t="n">
        <v>46147</v>
      </c>
      <c r="I80" s="55" t="n">
        <v>46147</v>
      </c>
      <c r="J80" s="55" t="n">
        <v>46147</v>
      </c>
    </row>
    <row r="81" ht="14.25" customHeight="1" s="60">
      <c r="A81" s="54" t="inlineStr">
        <is>
          <t>Leaks</t>
        </is>
      </c>
      <c r="B81" s="54" t="inlineStr">
        <is>
          <t>DPO Approval</t>
        </is>
      </c>
      <c r="C81" s="54" t="inlineStr">
        <is>
          <t>RPT_04_CMS Leak Productivity</t>
        </is>
      </c>
      <c r="D81" s="54" t="inlineStr">
        <is>
          <t>Siddu</t>
        </is>
      </c>
      <c r="E81" s="54" t="inlineStr">
        <is>
          <t>Navya</t>
        </is>
      </c>
      <c r="F81" s="54" t="n"/>
      <c r="G81" s="54" t="n"/>
      <c r="H81" s="55" t="n">
        <v>46147</v>
      </c>
      <c r="I81" s="55" t="n"/>
      <c r="J81" s="55" t="n"/>
    </row>
    <row r="82" ht="14.25" customHeight="1" s="60">
      <c r="A82" s="54" t="inlineStr">
        <is>
          <t>Leaks</t>
        </is>
      </c>
      <c r="B82" s="54" t="inlineStr">
        <is>
          <t>RELEASED IN PROD</t>
        </is>
      </c>
      <c r="C82" s="54" t="inlineStr">
        <is>
          <t>RPT_04_CMS Leak Productivity</t>
        </is>
      </c>
      <c r="D82" s="54" t="inlineStr">
        <is>
          <t>Siddu</t>
        </is>
      </c>
      <c r="E82" s="54" t="inlineStr">
        <is>
          <t>Navya</t>
        </is>
      </c>
      <c r="F82" s="54" t="n"/>
      <c r="G82" s="54" t="n"/>
      <c r="H82" s="55" t="n"/>
      <c r="I82" s="55" t="n"/>
      <c r="J82" s="54" t="n"/>
    </row>
    <row r="83" ht="14.25" customHeight="1" s="60">
      <c r="A83" s="54" t="inlineStr">
        <is>
          <t>Leaks</t>
        </is>
      </c>
      <c r="B83" s="54" t="inlineStr">
        <is>
          <t>DB Dev</t>
        </is>
      </c>
      <c r="C83" s="54" t="inlineStr">
        <is>
          <t>RPT_04_Main Break Corrosion and Leak Cluster</t>
        </is>
      </c>
      <c r="D83" s="54" t="inlineStr">
        <is>
          <t>Siddu</t>
        </is>
      </c>
      <c r="E83" s="54" t="inlineStr">
        <is>
          <t>Sarath</t>
        </is>
      </c>
      <c r="F83" s="54" t="n"/>
      <c r="G83" s="54" t="n"/>
      <c r="H83" s="54" t="n"/>
      <c r="I83" s="55" t="n"/>
      <c r="J83" s="55" t="n"/>
    </row>
    <row r="84" ht="14.25" customHeight="1" s="60">
      <c r="A84" s="54" t="inlineStr">
        <is>
          <t>Leaks</t>
        </is>
      </c>
      <c r="B84" s="54" t="inlineStr">
        <is>
          <t>PBI Dev</t>
        </is>
      </c>
      <c r="C84" s="54" t="inlineStr">
        <is>
          <t>RPT_04_Main Break Corrosion and Leak Cluster</t>
        </is>
      </c>
      <c r="D84" s="54" t="inlineStr">
        <is>
          <t>Siddu</t>
        </is>
      </c>
      <c r="E84" s="54" t="inlineStr">
        <is>
          <t>Sarath</t>
        </is>
      </c>
      <c r="F84" s="54" t="n"/>
      <c r="G84" s="54" t="n"/>
      <c r="H84" s="55" t="n"/>
      <c r="I84" s="55" t="n">
        <v>46175</v>
      </c>
      <c r="J84" s="55" t="n">
        <v>46175</v>
      </c>
    </row>
    <row r="85" ht="14.25" customHeight="1" s="60">
      <c r="A85" s="54" t="inlineStr">
        <is>
          <t>Leaks</t>
        </is>
      </c>
      <c r="B85" s="54" t="inlineStr">
        <is>
          <t>QA</t>
        </is>
      </c>
      <c r="C85" s="54" t="inlineStr">
        <is>
          <t>RPT_04_Main Break Corrosion and Leak Cluster</t>
        </is>
      </c>
      <c r="D85" s="54" t="inlineStr">
        <is>
          <t>Siddu</t>
        </is>
      </c>
      <c r="E85" s="54" t="inlineStr">
        <is>
          <t>Sarath</t>
        </is>
      </c>
      <c r="F85" s="54" t="n"/>
      <c r="G85" s="54" t="n"/>
      <c r="H85" s="55" t="n">
        <v>46175</v>
      </c>
      <c r="I85" s="55" t="n">
        <v>46179</v>
      </c>
      <c r="J85" s="55" t="n">
        <v>46179</v>
      </c>
    </row>
    <row r="86" ht="14.25" customHeight="1" s="60">
      <c r="A86" s="54" t="inlineStr">
        <is>
          <t>Leaks</t>
        </is>
      </c>
      <c r="B86" s="54" t="inlineStr">
        <is>
          <t>DPO Approval</t>
        </is>
      </c>
      <c r="C86" s="54" t="inlineStr">
        <is>
          <t>RPT_04_Main Break Corrosion and Leak Cluster</t>
        </is>
      </c>
      <c r="D86" s="54" t="inlineStr">
        <is>
          <t>Siddu</t>
        </is>
      </c>
      <c r="E86" s="54" t="inlineStr">
        <is>
          <t>Sarath</t>
        </is>
      </c>
      <c r="F86" s="54" t="n"/>
      <c r="G86" s="54" t="n"/>
      <c r="H86" s="55" t="n">
        <v>46179</v>
      </c>
      <c r="I86" s="55" t="n"/>
      <c r="J86" s="55" t="n"/>
    </row>
    <row r="87" ht="14.25" customHeight="1" s="60">
      <c r="A87" s="54" t="inlineStr">
        <is>
          <t>Leaks</t>
        </is>
      </c>
      <c r="B87" s="54" t="inlineStr">
        <is>
          <t>RELEASED IN PROD</t>
        </is>
      </c>
      <c r="C87" s="54" t="inlineStr">
        <is>
          <t>RPT_04_Main Break Corrosion and Leak Cluster</t>
        </is>
      </c>
      <c r="D87" s="54" t="inlineStr">
        <is>
          <t>Siddu</t>
        </is>
      </c>
      <c r="E87" s="54" t="inlineStr">
        <is>
          <t>Sarath</t>
        </is>
      </c>
      <c r="F87" s="54" t="n"/>
      <c r="G87" s="54" t="n"/>
      <c r="H87" s="54" t="n"/>
      <c r="I87" s="55" t="n"/>
      <c r="J87" s="55" t="n"/>
    </row>
    <row r="88" ht="14.25" customHeight="1" s="60">
      <c r="A88" s="54" t="inlineStr">
        <is>
          <t>Leaks</t>
        </is>
      </c>
      <c r="B88" s="54" t="inlineStr">
        <is>
          <t>DB Dev</t>
        </is>
      </c>
      <c r="C88" s="54" t="inlineStr">
        <is>
          <t>RPT_04_Leak Summary Status</t>
        </is>
      </c>
      <c r="D88" s="54" t="inlineStr">
        <is>
          <t>Fetwi</t>
        </is>
      </c>
      <c r="E88" s="54" t="inlineStr">
        <is>
          <t>Navya</t>
        </is>
      </c>
      <c r="F88" s="54" t="n"/>
      <c r="G88" s="54" t="n"/>
      <c r="H88" s="55" t="n"/>
      <c r="I88" s="55" t="n"/>
      <c r="J88" s="54" t="n"/>
    </row>
    <row r="89" ht="14.25" customHeight="1" s="60">
      <c r="A89" s="54" t="inlineStr">
        <is>
          <t>Leaks</t>
        </is>
      </c>
      <c r="B89" s="54" t="inlineStr">
        <is>
          <t>PBI Dev</t>
        </is>
      </c>
      <c r="C89" s="54" t="inlineStr">
        <is>
          <t>RPT_04_Leak Summary Status</t>
        </is>
      </c>
      <c r="D89" s="54" t="inlineStr">
        <is>
          <t>Fetwi</t>
        </is>
      </c>
      <c r="E89" s="54" t="inlineStr">
        <is>
          <t>Navya</t>
        </is>
      </c>
      <c r="F89" s="54" t="n"/>
      <c r="G89" s="54" t="n"/>
      <c r="H89" s="54" t="n"/>
      <c r="I89" s="55" t="n">
        <v>46143</v>
      </c>
      <c r="J89" s="55" t="n">
        <v>46143</v>
      </c>
    </row>
    <row r="90" ht="14.25" customHeight="1" s="60">
      <c r="A90" s="54" t="inlineStr">
        <is>
          <t>Leaks</t>
        </is>
      </c>
      <c r="B90" s="54" t="inlineStr">
        <is>
          <t>QA</t>
        </is>
      </c>
      <c r="C90" s="54" t="inlineStr">
        <is>
          <t>RPT_04_Leak Summary Status</t>
        </is>
      </c>
      <c r="D90" s="54" t="inlineStr">
        <is>
          <t>Fetwi</t>
        </is>
      </c>
      <c r="E90" s="54" t="inlineStr">
        <is>
          <t>Navya</t>
        </is>
      </c>
      <c r="F90" s="54" t="n"/>
      <c r="G90" s="54" t="n"/>
      <c r="H90" s="55" t="n">
        <v>46143</v>
      </c>
      <c r="I90" s="55" t="n">
        <v>46175</v>
      </c>
      <c r="J90" s="55" t="n">
        <v>46175</v>
      </c>
    </row>
    <row r="91" ht="14.25" customHeight="1" s="60">
      <c r="A91" s="54" t="inlineStr">
        <is>
          <t>Leaks</t>
        </is>
      </c>
      <c r="B91" s="54" t="inlineStr">
        <is>
          <t>DPO Approval</t>
        </is>
      </c>
      <c r="C91" s="54" t="inlineStr">
        <is>
          <t>RPT_04_Leak Summary Status</t>
        </is>
      </c>
      <c r="D91" s="54" t="inlineStr">
        <is>
          <t>Fetwi</t>
        </is>
      </c>
      <c r="E91" s="54" t="inlineStr">
        <is>
          <t>Navya</t>
        </is>
      </c>
      <c r="F91" s="54" t="n"/>
      <c r="G91" s="54" t="n"/>
      <c r="H91" s="55" t="n">
        <v>46175</v>
      </c>
      <c r="I91" s="55" t="n"/>
      <c r="J91" s="55" t="n"/>
    </row>
    <row r="92" ht="14.25" customHeight="1" s="60">
      <c r="A92" s="54" t="inlineStr">
        <is>
          <t>Leaks</t>
        </is>
      </c>
      <c r="B92" s="54" t="inlineStr">
        <is>
          <t>RELEASED IN PROD</t>
        </is>
      </c>
      <c r="C92" s="54" t="inlineStr">
        <is>
          <t>RPT_04_Leak Summary Status</t>
        </is>
      </c>
      <c r="D92" s="54" t="inlineStr">
        <is>
          <t>Fetwi</t>
        </is>
      </c>
      <c r="E92" s="54" t="inlineStr">
        <is>
          <t>Navya</t>
        </is>
      </c>
      <c r="F92" s="54" t="n"/>
      <c r="G92" s="54" t="n"/>
      <c r="H92" s="55" t="n"/>
      <c r="I92" s="55" t="n">
        <v>46184</v>
      </c>
      <c r="J92" s="55" t="n">
        <v>46184</v>
      </c>
    </row>
    <row r="93" ht="14.25" customHeight="1" s="60">
      <c r="A93" s="54" t="inlineStr">
        <is>
          <t>Leaks</t>
        </is>
      </c>
      <c r="B93" s="54" t="inlineStr">
        <is>
          <t>DB Dev</t>
        </is>
      </c>
      <c r="C93" s="54" t="inlineStr">
        <is>
          <t>RPT_04_PSC Leak Printout</t>
        </is>
      </c>
      <c r="D93" s="54" t="inlineStr">
        <is>
          <t>Fetwi</t>
        </is>
      </c>
      <c r="E93" s="54" t="inlineStr">
        <is>
          <t>Shraddha</t>
        </is>
      </c>
      <c r="F93" s="54" t="n"/>
      <c r="G93" s="54" t="n"/>
      <c r="H93" s="54" t="n"/>
      <c r="I93" s="55" t="n">
        <v>46175</v>
      </c>
      <c r="J93" s="55" t="n">
        <v>46175</v>
      </c>
    </row>
    <row r="94" ht="14.25" customHeight="1" s="60">
      <c r="A94" s="54" t="inlineStr">
        <is>
          <t>Leaks</t>
        </is>
      </c>
      <c r="B94" s="54" t="inlineStr">
        <is>
          <t>PBI Dev</t>
        </is>
      </c>
      <c r="C94" s="54" t="inlineStr">
        <is>
          <t>RPT_04_PSC Leak Printout</t>
        </is>
      </c>
      <c r="D94" s="54" t="inlineStr">
        <is>
          <t>Fetwi</t>
        </is>
      </c>
      <c r="E94" s="54" t="inlineStr">
        <is>
          <t>Shraddha</t>
        </is>
      </c>
      <c r="F94" s="54" t="n"/>
      <c r="G94" s="54" t="n"/>
      <c r="H94" s="55" t="n">
        <v>46175</v>
      </c>
      <c r="I94" s="55" t="n">
        <v>46178</v>
      </c>
      <c r="J94" s="55" t="n">
        <v>46178</v>
      </c>
    </row>
    <row r="95" ht="14.25" customHeight="1" s="60">
      <c r="A95" s="54" t="inlineStr">
        <is>
          <t>Leaks</t>
        </is>
      </c>
      <c r="B95" s="54" t="inlineStr">
        <is>
          <t>QA</t>
        </is>
      </c>
      <c r="C95" s="54" t="inlineStr">
        <is>
          <t>RPT_04_PSC Leak Printout</t>
        </is>
      </c>
      <c r="D95" s="54" t="inlineStr">
        <is>
          <t>Fetwi</t>
        </is>
      </c>
      <c r="E95" s="54" t="inlineStr">
        <is>
          <t>Shraddha</t>
        </is>
      </c>
      <c r="F95" s="54" t="n"/>
      <c r="G95" s="54" t="n"/>
      <c r="H95" s="55" t="n">
        <v>46178</v>
      </c>
      <c r="I95" s="55" t="n">
        <v>46175</v>
      </c>
      <c r="J95" s="55" t="n">
        <v>46175</v>
      </c>
    </row>
    <row r="96" ht="14.25" customHeight="1" s="60">
      <c r="A96" s="54" t="inlineStr">
        <is>
          <t>Leaks</t>
        </is>
      </c>
      <c r="B96" s="54" t="inlineStr">
        <is>
          <t>DPO Approval</t>
        </is>
      </c>
      <c r="C96" s="54" t="inlineStr">
        <is>
          <t>RPT_04_PSC Leak Printout</t>
        </is>
      </c>
      <c r="D96" s="54" t="inlineStr">
        <is>
          <t>Fetwi</t>
        </is>
      </c>
      <c r="E96" s="54" t="inlineStr">
        <is>
          <t>Shraddha</t>
        </is>
      </c>
      <c r="F96" s="54" t="n"/>
      <c r="G96" s="54" t="n"/>
      <c r="H96" s="55" t="n">
        <v>46175</v>
      </c>
      <c r="I96" s="55" t="n"/>
      <c r="J96" s="55" t="n"/>
    </row>
    <row r="97" ht="14.25" customHeight="1" s="60">
      <c r="A97" s="54" t="inlineStr">
        <is>
          <t>Leaks</t>
        </is>
      </c>
      <c r="B97" s="54" t="inlineStr">
        <is>
          <t>RELEASED IN PROD</t>
        </is>
      </c>
      <c r="C97" s="54" t="inlineStr">
        <is>
          <t>RPT_04_PSC Leak Printout</t>
        </is>
      </c>
      <c r="D97" s="54" t="inlineStr">
        <is>
          <t>Fetwi</t>
        </is>
      </c>
      <c r="E97" s="54" t="inlineStr">
        <is>
          <t>Shraddha</t>
        </is>
      </c>
      <c r="F97" s="54" t="n"/>
      <c r="G97" s="54" t="n"/>
      <c r="H97" s="54" t="n"/>
      <c r="I97" s="55" t="n">
        <v>46192</v>
      </c>
      <c r="J97" s="55" t="n">
        <v>46192</v>
      </c>
    </row>
    <row r="98" ht="14.25" customHeight="1" s="60">
      <c r="A98" s="54" t="inlineStr">
        <is>
          <t>Leaks</t>
        </is>
      </c>
      <c r="B98" s="54" t="inlineStr">
        <is>
          <t>DB Dev</t>
        </is>
      </c>
      <c r="C98" s="54" t="inlineStr">
        <is>
          <t>RPT_04_Leak Control Report</t>
        </is>
      </c>
      <c r="D98" s="54" t="inlineStr">
        <is>
          <t>Geetha</t>
        </is>
      </c>
      <c r="E98" s="54" t="inlineStr">
        <is>
          <t>Navya</t>
        </is>
      </c>
      <c r="F98" s="54" t="n"/>
      <c r="G98" s="54" t="n"/>
      <c r="H98" s="55" t="n"/>
      <c r="I98" s="55" t="n">
        <v>46148</v>
      </c>
      <c r="J98" s="55" t="n">
        <v>46148</v>
      </c>
    </row>
    <row r="99" ht="14.25" customHeight="1" s="60">
      <c r="A99" s="54" t="inlineStr">
        <is>
          <t>Leaks</t>
        </is>
      </c>
      <c r="B99" s="54" t="inlineStr">
        <is>
          <t>PBI Dev</t>
        </is>
      </c>
      <c r="C99" s="54" t="inlineStr">
        <is>
          <t>RPT_04_Leak Control Report</t>
        </is>
      </c>
      <c r="D99" s="54" t="inlineStr">
        <is>
          <t>Geetha</t>
        </is>
      </c>
      <c r="E99" s="54" t="inlineStr">
        <is>
          <t>Navya</t>
        </is>
      </c>
      <c r="F99" s="54" t="n"/>
      <c r="G99" s="54" t="n"/>
      <c r="H99" s="55" t="n">
        <v>46148</v>
      </c>
      <c r="I99" s="55" t="n">
        <v>46183</v>
      </c>
      <c r="J99" s="55" t="n">
        <v>46183</v>
      </c>
    </row>
    <row r="100" ht="14.25" customHeight="1" s="60">
      <c r="A100" s="54" t="inlineStr">
        <is>
          <t>Leaks</t>
        </is>
      </c>
      <c r="B100" s="54" t="inlineStr">
        <is>
          <t>QA</t>
        </is>
      </c>
      <c r="C100" s="54" t="inlineStr">
        <is>
          <t>RPT_04_Leak Control Report</t>
        </is>
      </c>
      <c r="D100" s="54" t="inlineStr">
        <is>
          <t>Geetha</t>
        </is>
      </c>
      <c r="E100" s="54" t="inlineStr">
        <is>
          <t>Navya</t>
        </is>
      </c>
      <c r="F100" s="54" t="n"/>
      <c r="G100" s="54" t="n"/>
      <c r="H100" s="55" t="n">
        <v>46183</v>
      </c>
      <c r="I100" s="55" t="n">
        <v>46195</v>
      </c>
      <c r="J100" s="55" t="n">
        <v>46195</v>
      </c>
    </row>
    <row r="101" ht="14.25" customHeight="1" s="60">
      <c r="A101" s="54" t="inlineStr">
        <is>
          <t>Leaks</t>
        </is>
      </c>
      <c r="B101" s="54" t="inlineStr">
        <is>
          <t>DPO Approval</t>
        </is>
      </c>
      <c r="C101" s="54" t="inlineStr">
        <is>
          <t>RPT_04_Leak Control Report</t>
        </is>
      </c>
      <c r="D101" s="54" t="inlineStr">
        <is>
          <t>Geetha</t>
        </is>
      </c>
      <c r="E101" s="54" t="inlineStr">
        <is>
          <t>Navya</t>
        </is>
      </c>
      <c r="F101" s="54" t="n"/>
      <c r="G101" s="54" t="n"/>
      <c r="H101" s="55" t="n">
        <v>46195</v>
      </c>
      <c r="I101" s="55" t="n"/>
      <c r="J101" s="55" t="n"/>
    </row>
    <row r="102" ht="14.25" customHeight="1" s="60">
      <c r="A102" s="54" t="inlineStr">
        <is>
          <t>Leaks</t>
        </is>
      </c>
      <c r="B102" s="54" t="inlineStr">
        <is>
          <t>RELEASED IN PROD</t>
        </is>
      </c>
      <c r="C102" s="54" t="inlineStr">
        <is>
          <t>RPT_04_Leak Control Report</t>
        </is>
      </c>
      <c r="D102" s="54" t="inlineStr">
        <is>
          <t>Geetha</t>
        </is>
      </c>
      <c r="E102" s="54" t="inlineStr">
        <is>
          <t>Navya</t>
        </is>
      </c>
      <c r="F102" s="54" t="n"/>
      <c r="G102" s="54" t="n"/>
      <c r="H102" s="55" t="n"/>
      <c r="I102" s="55" t="n"/>
      <c r="J102" s="54" t="n"/>
    </row>
    <row r="103" ht="14.25" customHeight="1" s="60">
      <c r="A103" s="54" t="inlineStr">
        <is>
          <t>Leaks</t>
        </is>
      </c>
      <c r="B103" s="54" t="inlineStr">
        <is>
          <t>DB Dev</t>
        </is>
      </c>
      <c r="C103" s="54" t="inlineStr">
        <is>
          <t>RPT_04_Leak Life Cycle</t>
        </is>
      </c>
      <c r="D103" s="54" t="inlineStr">
        <is>
          <t>Geetha</t>
        </is>
      </c>
      <c r="E103" s="54" t="inlineStr">
        <is>
          <t>Shraddha</t>
        </is>
      </c>
      <c r="F103" s="54" t="n"/>
      <c r="G103" s="54" t="n"/>
      <c r="H103" s="54" t="n"/>
      <c r="I103" s="55" t="n">
        <v>46162</v>
      </c>
      <c r="J103" s="55" t="n">
        <v>46162</v>
      </c>
    </row>
    <row r="104" ht="14.25" customHeight="1" s="60">
      <c r="A104" s="54" t="inlineStr">
        <is>
          <t>Leaks</t>
        </is>
      </c>
      <c r="B104" s="54" t="inlineStr">
        <is>
          <t>PBI Dev</t>
        </is>
      </c>
      <c r="C104" s="54" t="inlineStr">
        <is>
          <t>RPT_04_Leak Life Cycle</t>
        </is>
      </c>
      <c r="D104" s="54" t="inlineStr">
        <is>
          <t>Geetha</t>
        </is>
      </c>
      <c r="E104" s="54" t="inlineStr">
        <is>
          <t>Shraddha</t>
        </is>
      </c>
      <c r="F104" s="54" t="n"/>
      <c r="G104" s="54" t="n"/>
      <c r="H104" s="55" t="n">
        <v>46162</v>
      </c>
      <c r="I104" s="55" t="n">
        <v>46182</v>
      </c>
      <c r="J104" s="55" t="n">
        <v>46182</v>
      </c>
    </row>
    <row r="105" ht="14.25" customHeight="1" s="60">
      <c r="A105" s="54" t="inlineStr">
        <is>
          <t>Leaks</t>
        </is>
      </c>
      <c r="B105" s="54" t="inlineStr">
        <is>
          <t>QA</t>
        </is>
      </c>
      <c r="C105" s="54" t="inlineStr">
        <is>
          <t>RPT_04_Leak Life Cycle</t>
        </is>
      </c>
      <c r="D105" s="54" t="inlineStr">
        <is>
          <t>Geetha</t>
        </is>
      </c>
      <c r="E105" s="54" t="inlineStr">
        <is>
          <t>Shraddha</t>
        </is>
      </c>
      <c r="F105" s="54" t="n"/>
      <c r="G105" s="54" t="n"/>
      <c r="H105" s="55" t="n">
        <v>46182</v>
      </c>
      <c r="I105" s="55" t="n">
        <v>46198</v>
      </c>
      <c r="J105" s="55" t="n">
        <v>46198</v>
      </c>
    </row>
    <row r="106" ht="14.25" customHeight="1" s="60">
      <c r="A106" s="54" t="inlineStr">
        <is>
          <t>Leaks</t>
        </is>
      </c>
      <c r="B106" s="54" t="inlineStr">
        <is>
          <t>DPO Approval</t>
        </is>
      </c>
      <c r="C106" s="54" t="inlineStr">
        <is>
          <t>RPT_04_Leak Life Cycle</t>
        </is>
      </c>
      <c r="D106" s="54" t="inlineStr">
        <is>
          <t>Geetha</t>
        </is>
      </c>
      <c r="E106" s="54" t="inlineStr">
        <is>
          <t>Shraddha</t>
        </is>
      </c>
      <c r="F106" s="54" t="n"/>
      <c r="G106" s="54" t="n"/>
      <c r="H106" s="55" t="n">
        <v>46198</v>
      </c>
      <c r="I106" s="55" t="n"/>
      <c r="J106" s="54" t="n"/>
    </row>
    <row r="107" ht="14.25" customHeight="1" s="60">
      <c r="A107" s="54" t="inlineStr">
        <is>
          <t>Leaks</t>
        </is>
      </c>
      <c r="B107" s="54" t="inlineStr">
        <is>
          <t>RELEASED IN PROD</t>
        </is>
      </c>
      <c r="C107" s="54" t="inlineStr">
        <is>
          <t>RPT_04_Leak Life Cycle</t>
        </is>
      </c>
      <c r="D107" s="54" t="inlineStr">
        <is>
          <t>Geetha</t>
        </is>
      </c>
      <c r="E107" s="54" t="inlineStr">
        <is>
          <t>Shraddha</t>
        </is>
      </c>
      <c r="F107" s="54" t="n"/>
      <c r="G107" s="54" t="n"/>
      <c r="H107" s="54" t="n"/>
      <c r="I107" s="55" t="n"/>
      <c r="J107" s="55" t="n"/>
    </row>
    <row r="108" ht="14.25" customHeight="1" s="60">
      <c r="A108" s="54" t="inlineStr">
        <is>
          <t>Leaks</t>
        </is>
      </c>
      <c r="B108" s="54" t="inlineStr">
        <is>
          <t>DB Dev</t>
        </is>
      </c>
      <c r="C108" s="54" t="inlineStr">
        <is>
          <t>RPT_04_Leak Life Cycle Legacy LMS LI</t>
        </is>
      </c>
      <c r="D108" s="54" t="inlineStr">
        <is>
          <t>Fetwi</t>
        </is>
      </c>
      <c r="E108" s="54" t="inlineStr">
        <is>
          <t>Navya</t>
        </is>
      </c>
      <c r="F108" s="54" t="n"/>
      <c r="G108" s="54" t="n"/>
      <c r="H108" s="55" t="n"/>
      <c r="I108" s="55" t="n">
        <v>46168</v>
      </c>
      <c r="J108" s="55" t="n">
        <v>46168</v>
      </c>
    </row>
    <row r="109" ht="14.25" customHeight="1" s="60">
      <c r="A109" s="54" t="inlineStr">
        <is>
          <t>Leaks</t>
        </is>
      </c>
      <c r="B109" s="54" t="inlineStr">
        <is>
          <t>PBI Dev</t>
        </is>
      </c>
      <c r="C109" s="54" t="inlineStr">
        <is>
          <t>RPT_04_Leak Life Cycle Legacy LMS LI</t>
        </is>
      </c>
      <c r="D109" s="54" t="inlineStr">
        <is>
          <t>Fetwi</t>
        </is>
      </c>
      <c r="E109" s="54" t="inlineStr">
        <is>
          <t>Navya</t>
        </is>
      </c>
      <c r="F109" s="54" t="n"/>
      <c r="G109" s="54" t="n"/>
      <c r="H109" s="55" t="n">
        <v>46168</v>
      </c>
      <c r="I109" s="55" t="n">
        <v>46183</v>
      </c>
      <c r="J109" s="55" t="n">
        <v>46183</v>
      </c>
    </row>
    <row r="110" ht="14.25" customHeight="1" s="60">
      <c r="A110" s="54" t="inlineStr">
        <is>
          <t>Leaks</t>
        </is>
      </c>
      <c r="B110" s="54" t="inlineStr">
        <is>
          <t>QA</t>
        </is>
      </c>
      <c r="C110" s="54" t="inlineStr">
        <is>
          <t>RPT_04_Leak Life Cycle Legacy LMS LI</t>
        </is>
      </c>
      <c r="D110" s="54" t="inlineStr">
        <is>
          <t>Fetwi</t>
        </is>
      </c>
      <c r="E110" s="54" t="inlineStr">
        <is>
          <t>Navya</t>
        </is>
      </c>
      <c r="F110" s="54" t="n"/>
      <c r="G110" s="54" t="n"/>
      <c r="H110" s="55" t="n">
        <v>46183</v>
      </c>
      <c r="I110" s="55" t="n">
        <v>46198</v>
      </c>
      <c r="J110" s="55" t="n">
        <v>46198</v>
      </c>
    </row>
    <row r="111" ht="14.25" customHeight="1" s="60">
      <c r="A111" s="54" t="inlineStr">
        <is>
          <t>Leaks</t>
        </is>
      </c>
      <c r="B111" s="54" t="inlineStr">
        <is>
          <t>DPO Approval</t>
        </is>
      </c>
      <c r="C111" s="54" t="inlineStr">
        <is>
          <t>RPT_04_Leak Life Cycle Legacy LMS LI</t>
        </is>
      </c>
      <c r="D111" s="54" t="inlineStr">
        <is>
          <t>Fetwi</t>
        </is>
      </c>
      <c r="E111" s="54" t="inlineStr">
        <is>
          <t>Navya</t>
        </is>
      </c>
      <c r="F111" s="54" t="n"/>
      <c r="G111" s="54" t="n"/>
      <c r="H111" s="55" t="n">
        <v>46198</v>
      </c>
      <c r="I111" s="55" t="n"/>
      <c r="J111" s="55" t="n"/>
    </row>
    <row r="112" ht="14.25" customHeight="1" s="60">
      <c r="A112" s="54" t="inlineStr">
        <is>
          <t>Leaks</t>
        </is>
      </c>
      <c r="B112" s="54" t="inlineStr">
        <is>
          <t>RELEASED IN PROD</t>
        </is>
      </c>
      <c r="C112" s="54" t="inlineStr">
        <is>
          <t>RPT_04_Leak Life Cycle Legacy LMS LI</t>
        </is>
      </c>
      <c r="D112" s="54" t="inlineStr">
        <is>
          <t>Fetwi</t>
        </is>
      </c>
      <c r="E112" s="54" t="inlineStr">
        <is>
          <t>Navya</t>
        </is>
      </c>
      <c r="F112" s="54" t="n"/>
      <c r="G112" s="54" t="n"/>
      <c r="H112" s="55" t="n"/>
      <c r="I112" s="55" t="n"/>
      <c r="J112" s="54" t="n"/>
    </row>
    <row r="113" ht="14.25" customHeight="1" s="60">
      <c r="A113" s="54" t="inlineStr">
        <is>
          <t>Leaks</t>
        </is>
      </c>
      <c r="B113" s="54" t="inlineStr">
        <is>
          <t>DB Dev</t>
        </is>
      </c>
      <c r="C113" s="54" t="inlineStr">
        <is>
          <t>RPT_04_Leak Increase Reads</t>
        </is>
      </c>
      <c r="D113" s="54" t="inlineStr">
        <is>
          <t>Fetwi</t>
        </is>
      </c>
      <c r="E113" s="54" t="inlineStr">
        <is>
          <t>Navya</t>
        </is>
      </c>
      <c r="F113" s="54" t="n"/>
      <c r="G113" s="54" t="n"/>
      <c r="H113" s="54" t="n"/>
      <c r="I113" s="55" t="n">
        <v>46165</v>
      </c>
      <c r="J113" s="55" t="n">
        <v>46165</v>
      </c>
    </row>
    <row r="114" ht="14.25" customHeight="1" s="60">
      <c r="A114" s="54" t="inlineStr">
        <is>
          <t>Leaks</t>
        </is>
      </c>
      <c r="B114" s="54" t="inlineStr">
        <is>
          <t>PBI Dev</t>
        </is>
      </c>
      <c r="C114" s="54" t="inlineStr">
        <is>
          <t>RPT_04_Leak Increase Reads</t>
        </is>
      </c>
      <c r="D114" s="54" t="inlineStr">
        <is>
          <t>Fetwi</t>
        </is>
      </c>
      <c r="E114" s="54" t="inlineStr">
        <is>
          <t>Navya</t>
        </is>
      </c>
      <c r="F114" s="54" t="n"/>
      <c r="G114" s="54" t="n"/>
      <c r="H114" s="55" t="n">
        <v>46165</v>
      </c>
      <c r="I114" s="55" t="n">
        <v>46153</v>
      </c>
      <c r="J114" s="55" t="n">
        <v>46153</v>
      </c>
    </row>
    <row r="115" ht="14.25" customHeight="1" s="60">
      <c r="A115" s="54" t="inlineStr">
        <is>
          <t>Leaks</t>
        </is>
      </c>
      <c r="B115" s="54" t="inlineStr">
        <is>
          <t>QA</t>
        </is>
      </c>
      <c r="C115" s="54" t="inlineStr">
        <is>
          <t>RPT_04_Leak Increase Reads</t>
        </is>
      </c>
      <c r="D115" s="54" t="inlineStr">
        <is>
          <t>Fetwi</t>
        </is>
      </c>
      <c r="E115" s="54" t="inlineStr">
        <is>
          <t>Navya</t>
        </is>
      </c>
      <c r="F115" s="54" t="n"/>
      <c r="G115" s="54" t="n"/>
      <c r="H115" s="55" t="n">
        <v>46153</v>
      </c>
      <c r="I115" s="55" t="n">
        <v>46154</v>
      </c>
      <c r="J115" s="55" t="n">
        <v>46154</v>
      </c>
    </row>
    <row r="116" ht="14.25" customHeight="1" s="60">
      <c r="A116" s="54" t="inlineStr">
        <is>
          <t>Leaks</t>
        </is>
      </c>
      <c r="B116" s="54" t="inlineStr">
        <is>
          <t>DPO Approval</t>
        </is>
      </c>
      <c r="C116" s="54" t="inlineStr">
        <is>
          <t>RPT_04_Leak Increase Reads</t>
        </is>
      </c>
      <c r="D116" s="54" t="inlineStr">
        <is>
          <t>Fetwi</t>
        </is>
      </c>
      <c r="E116" s="54" t="inlineStr">
        <is>
          <t>Navya</t>
        </is>
      </c>
      <c r="F116" s="54" t="n"/>
      <c r="G116" s="54" t="n"/>
      <c r="H116" s="55" t="n">
        <v>46154</v>
      </c>
      <c r="I116" s="55" t="n"/>
      <c r="J116" s="54" t="n"/>
    </row>
    <row r="117" ht="14.25" customHeight="1" s="60">
      <c r="A117" s="54" t="inlineStr">
        <is>
          <t>Leaks</t>
        </is>
      </c>
      <c r="B117" s="54" t="inlineStr">
        <is>
          <t>RELEASED IN PROD</t>
        </is>
      </c>
      <c r="C117" s="54" t="inlineStr">
        <is>
          <t>RPT_04_Leak Increase Reads</t>
        </is>
      </c>
      <c r="D117" s="54" t="inlineStr">
        <is>
          <t>Fetwi</t>
        </is>
      </c>
      <c r="E117" s="54" t="inlineStr">
        <is>
          <t>Navya</t>
        </is>
      </c>
      <c r="F117" s="54" t="n"/>
      <c r="G117" s="54" t="n"/>
      <c r="H117" s="54" t="n"/>
      <c r="I117" s="55" t="n">
        <v>46184</v>
      </c>
      <c r="J117" s="55" t="n">
        <v>46184</v>
      </c>
    </row>
    <row r="118" ht="14.25" customHeight="1" s="60">
      <c r="A118" s="54" t="inlineStr">
        <is>
          <t>Leaks</t>
        </is>
      </c>
      <c r="B118" s="54" t="inlineStr">
        <is>
          <t>DB Dev</t>
        </is>
      </c>
      <c r="C118" s="54" t="inlineStr">
        <is>
          <t>Leak 360 Dashboard</t>
        </is>
      </c>
      <c r="D118" s="54" t="inlineStr">
        <is>
          <t>Siva</t>
        </is>
      </c>
      <c r="E118" s="54" t="inlineStr">
        <is>
          <t>Sarath</t>
        </is>
      </c>
      <c r="F118" s="54" t="n"/>
      <c r="G118" s="54" t="n"/>
      <c r="H118" s="55" t="n"/>
      <c r="I118" s="55" t="n">
        <v>46162</v>
      </c>
      <c r="J118" s="55" t="n">
        <v>46162</v>
      </c>
    </row>
    <row r="119" ht="14.25" customHeight="1" s="60">
      <c r="A119" s="54" t="inlineStr">
        <is>
          <t>Leaks</t>
        </is>
      </c>
      <c r="B119" s="54" t="inlineStr">
        <is>
          <t>PBI Dev</t>
        </is>
      </c>
      <c r="C119" s="54" t="inlineStr">
        <is>
          <t>Leak 360 Dashboard</t>
        </is>
      </c>
      <c r="D119" s="54" t="inlineStr">
        <is>
          <t>Siva</t>
        </is>
      </c>
      <c r="E119" s="54" t="inlineStr">
        <is>
          <t>Sarath</t>
        </is>
      </c>
      <c r="F119" s="54" t="n"/>
      <c r="G119" s="54" t="n"/>
      <c r="H119" s="55" t="n">
        <v>46162</v>
      </c>
      <c r="I119" s="55" t="n">
        <v>46186</v>
      </c>
      <c r="J119" s="55" t="n">
        <v>46186</v>
      </c>
    </row>
    <row r="120" ht="14.25" customHeight="1" s="60">
      <c r="A120" s="54" t="inlineStr">
        <is>
          <t>Leaks</t>
        </is>
      </c>
      <c r="B120" s="54" t="inlineStr">
        <is>
          <t>QA</t>
        </is>
      </c>
      <c r="C120" s="54" t="inlineStr">
        <is>
          <t>Leak 360 Dashboard</t>
        </is>
      </c>
      <c r="D120" s="54" t="inlineStr">
        <is>
          <t>Siva</t>
        </is>
      </c>
      <c r="E120" s="54" t="inlineStr">
        <is>
          <t>Sarath</t>
        </is>
      </c>
      <c r="F120" s="54" t="n"/>
      <c r="G120" s="54" t="n"/>
      <c r="H120" s="55" t="n">
        <v>46186</v>
      </c>
      <c r="I120" s="55" t="n">
        <v>46188</v>
      </c>
      <c r="J120" s="55" t="n">
        <v>46188</v>
      </c>
    </row>
    <row r="121" ht="14.25" customHeight="1" s="60">
      <c r="A121" s="54" t="inlineStr">
        <is>
          <t>Leaks</t>
        </is>
      </c>
      <c r="B121" s="54" t="inlineStr">
        <is>
          <t>DB Dev</t>
        </is>
      </c>
      <c r="C121" s="54" t="inlineStr">
        <is>
          <t>RPT_04_Leak Recheck Control</t>
        </is>
      </c>
      <c r="D121" s="54" t="inlineStr">
        <is>
          <t>Siva</t>
        </is>
      </c>
      <c r="E121" s="54" t="inlineStr">
        <is>
          <t>Shraddha</t>
        </is>
      </c>
      <c r="F121" s="54" t="n"/>
      <c r="G121" s="54" t="n"/>
      <c r="H121" s="54" t="n"/>
      <c r="I121" s="55" t="n">
        <v>46162</v>
      </c>
      <c r="J121" s="55" t="n">
        <v>46162</v>
      </c>
    </row>
    <row r="122" ht="14.25" customHeight="1" s="60">
      <c r="A122" s="54" t="inlineStr">
        <is>
          <t>Leaks</t>
        </is>
      </c>
      <c r="B122" s="54" t="inlineStr">
        <is>
          <t>PBI Dev</t>
        </is>
      </c>
      <c r="C122" s="54" t="inlineStr">
        <is>
          <t>RPT_04_Leak Recheck Control</t>
        </is>
      </c>
      <c r="D122" s="54" t="inlineStr">
        <is>
          <t>Siva</t>
        </is>
      </c>
      <c r="E122" s="54" t="inlineStr">
        <is>
          <t>Shraddha</t>
        </is>
      </c>
      <c r="F122" s="54" t="n"/>
      <c r="G122" s="54" t="n"/>
      <c r="H122" s="55" t="n">
        <v>46162</v>
      </c>
      <c r="I122" s="55" t="n">
        <v>46164</v>
      </c>
      <c r="J122" s="55" t="n">
        <v>46164</v>
      </c>
    </row>
    <row r="123" ht="14.25" customHeight="1" s="60">
      <c r="A123" s="54" t="inlineStr">
        <is>
          <t>Leaks</t>
        </is>
      </c>
      <c r="B123" s="54" t="inlineStr">
        <is>
          <t>QA</t>
        </is>
      </c>
      <c r="C123" s="54" t="inlineStr">
        <is>
          <t>RPT_04_Leak Recheck Control</t>
        </is>
      </c>
      <c r="D123" s="54" t="inlineStr">
        <is>
          <t>Siva</t>
        </is>
      </c>
      <c r="E123" s="54" t="inlineStr">
        <is>
          <t>Shraddha</t>
        </is>
      </c>
      <c r="F123" s="54" t="n"/>
      <c r="G123" s="54" t="n"/>
      <c r="H123" s="55" t="n">
        <v>46164</v>
      </c>
      <c r="I123" s="55" t="n">
        <v>46204</v>
      </c>
      <c r="J123" s="55" t="n">
        <v>46204</v>
      </c>
    </row>
    <row r="124" ht="14.25" customHeight="1" s="60">
      <c r="A124" s="54" t="inlineStr">
        <is>
          <t>Leaks</t>
        </is>
      </c>
      <c r="B124" s="54" t="inlineStr">
        <is>
          <t>DPO Approval</t>
        </is>
      </c>
      <c r="C124" s="54" t="inlineStr">
        <is>
          <t>RPT_04_Leak Recheck Control</t>
        </is>
      </c>
      <c r="D124" s="54" t="inlineStr">
        <is>
          <t>Siva</t>
        </is>
      </c>
      <c r="E124" s="54" t="inlineStr">
        <is>
          <t>Shraddha</t>
        </is>
      </c>
      <c r="F124" s="54" t="n"/>
      <c r="G124" s="54" t="n"/>
      <c r="H124" s="55" t="n">
        <v>46204</v>
      </c>
      <c r="I124" s="55" t="n"/>
      <c r="J124" s="54" t="n"/>
    </row>
    <row r="125" ht="14.25" customHeight="1" s="60">
      <c r="A125" s="54" t="inlineStr">
        <is>
          <t>Leaks</t>
        </is>
      </c>
      <c r="B125" s="54" t="inlineStr">
        <is>
          <t>RELEASED IN PROD</t>
        </is>
      </c>
      <c r="C125" s="54" t="inlineStr">
        <is>
          <t>RPT_04_Leak Recheck Control</t>
        </is>
      </c>
      <c r="D125" s="54" t="inlineStr">
        <is>
          <t>Siva</t>
        </is>
      </c>
      <c r="E125" s="54" t="inlineStr">
        <is>
          <t>Shraddha</t>
        </is>
      </c>
      <c r="F125" s="54" t="n"/>
      <c r="G125" s="54" t="n"/>
      <c r="H125" s="54" t="n"/>
      <c r="I125" s="55" t="n"/>
      <c r="J125" s="55" t="n"/>
    </row>
    <row r="126" ht="14.25" customHeight="1" s="60">
      <c r="A126" s="54" t="inlineStr">
        <is>
          <t>Leaks</t>
        </is>
      </c>
      <c r="B126" s="54" t="inlineStr">
        <is>
          <t>DB Dev</t>
        </is>
      </c>
      <c r="C126" s="54" t="inlineStr">
        <is>
          <t>RPT_04_Main_Replacement Report</t>
        </is>
      </c>
      <c r="D126" s="54" t="inlineStr">
        <is>
          <t>Sree</t>
        </is>
      </c>
      <c r="E126" s="54" t="inlineStr">
        <is>
          <t>Navya</t>
        </is>
      </c>
      <c r="F126" s="54" t="n"/>
      <c r="G126" s="54" t="n"/>
      <c r="H126" s="55" t="n"/>
      <c r="I126" s="55" t="n">
        <v>46169</v>
      </c>
      <c r="J126" s="55" t="n">
        <v>46169</v>
      </c>
    </row>
    <row r="127" ht="14.25" customHeight="1" s="60">
      <c r="A127" s="54" t="inlineStr">
        <is>
          <t>Leaks</t>
        </is>
      </c>
      <c r="B127" s="54" t="inlineStr">
        <is>
          <t>PBI Dev</t>
        </is>
      </c>
      <c r="C127" s="54" t="inlineStr">
        <is>
          <t>RPT_04_Main_Replacement Report</t>
        </is>
      </c>
      <c r="D127" s="54" t="inlineStr">
        <is>
          <t>Sree</t>
        </is>
      </c>
      <c r="E127" s="54" t="inlineStr">
        <is>
          <t>Navya</t>
        </is>
      </c>
      <c r="F127" s="54" t="n"/>
      <c r="G127" s="54" t="n"/>
      <c r="H127" s="55" t="n">
        <v>46169</v>
      </c>
      <c r="I127" s="55" t="n">
        <v>46191</v>
      </c>
      <c r="J127" s="55" t="n">
        <v>46191</v>
      </c>
    </row>
    <row r="128" ht="14.25" customHeight="1" s="60">
      <c r="A128" s="54" t="inlineStr">
        <is>
          <t>Leaks</t>
        </is>
      </c>
      <c r="B128" s="54" t="inlineStr">
        <is>
          <t>QA</t>
        </is>
      </c>
      <c r="C128" s="54" t="inlineStr">
        <is>
          <t>RPT_04_Main_Replacement Report</t>
        </is>
      </c>
      <c r="D128" s="54" t="inlineStr">
        <is>
          <t>Sree</t>
        </is>
      </c>
      <c r="E128" s="54" t="inlineStr">
        <is>
          <t>Navya</t>
        </is>
      </c>
      <c r="F128" s="54" t="n"/>
      <c r="G128" s="54" t="n"/>
      <c r="H128" s="55" t="n">
        <v>46191</v>
      </c>
      <c r="I128" s="55" t="n">
        <v>46196</v>
      </c>
      <c r="J128" s="55" t="n">
        <v>46196</v>
      </c>
    </row>
    <row r="129" ht="14.25" customHeight="1" s="60">
      <c r="A129" s="54" t="inlineStr">
        <is>
          <t>Leaks</t>
        </is>
      </c>
      <c r="B129" s="54" t="inlineStr">
        <is>
          <t>DPO Approval</t>
        </is>
      </c>
      <c r="C129" s="54" t="inlineStr">
        <is>
          <t>RPT_04_Main_Replacement Report</t>
        </is>
      </c>
      <c r="D129" s="54" t="inlineStr">
        <is>
          <t>Sree</t>
        </is>
      </c>
      <c r="E129" s="54" t="inlineStr">
        <is>
          <t>Navya</t>
        </is>
      </c>
      <c r="F129" s="54" t="n"/>
      <c r="G129" s="54" t="n"/>
      <c r="H129" s="55" t="n">
        <v>46196</v>
      </c>
      <c r="I129" s="54" t="n"/>
      <c r="J129" s="54" t="n"/>
    </row>
    <row r="130" ht="14.25" customHeight="1" s="60">
      <c r="A130" s="54" t="inlineStr">
        <is>
          <t>Leaks</t>
        </is>
      </c>
      <c r="B130" s="54" t="inlineStr">
        <is>
          <t>RELEASED IN PROD</t>
        </is>
      </c>
      <c r="C130" s="54" t="inlineStr">
        <is>
          <t>RPT_04_Main_Replacement Report</t>
        </is>
      </c>
      <c r="D130" s="54" t="inlineStr">
        <is>
          <t>Sree</t>
        </is>
      </c>
      <c r="E130" s="54" t="inlineStr">
        <is>
          <t>Navya</t>
        </is>
      </c>
      <c r="F130" s="54" t="n"/>
      <c r="G130" s="54" t="n"/>
      <c r="H130" s="54" t="n"/>
      <c r="I130" s="55" t="n"/>
      <c r="J130" s="54" t="n"/>
    </row>
    <row r="131" ht="14.25" customHeight="1" s="60">
      <c r="A131" s="54" t="inlineStr">
        <is>
          <t>Leaks</t>
        </is>
      </c>
      <c r="B131" s="54" t="inlineStr">
        <is>
          <t>DB Dev</t>
        </is>
      </c>
      <c r="C131" s="54" t="inlineStr">
        <is>
          <t>New Report: Leak Repair Exception</t>
        </is>
      </c>
      <c r="D131" s="54" t="inlineStr">
        <is>
          <t>Geetha</t>
        </is>
      </c>
      <c r="E131" s="54" t="inlineStr">
        <is>
          <t>Shraddha</t>
        </is>
      </c>
      <c r="F131" s="54" t="n"/>
      <c r="G131" s="54" t="n"/>
      <c r="H131" s="54" t="n"/>
      <c r="I131" s="55" t="n">
        <v>46168</v>
      </c>
      <c r="J131" s="55" t="n">
        <v>46168</v>
      </c>
    </row>
    <row r="132" ht="14.25" customHeight="1" s="60">
      <c r="A132" s="54" t="inlineStr">
        <is>
          <t>Leaks</t>
        </is>
      </c>
      <c r="B132" s="54" t="inlineStr">
        <is>
          <t>PBI Dev</t>
        </is>
      </c>
      <c r="C132" s="54" t="inlineStr">
        <is>
          <t>New Report: Leak Repair Exception</t>
        </is>
      </c>
      <c r="D132" s="54" t="inlineStr">
        <is>
          <t>Geetha</t>
        </is>
      </c>
      <c r="E132" s="54" t="inlineStr">
        <is>
          <t>Shraddha</t>
        </is>
      </c>
      <c r="F132" s="54" t="n"/>
      <c r="G132" s="54" t="n"/>
      <c r="H132" s="55" t="n">
        <v>46168</v>
      </c>
      <c r="I132" s="55" t="n">
        <v>46189</v>
      </c>
      <c r="J132" s="55" t="n">
        <v>46189</v>
      </c>
    </row>
    <row r="133" ht="14.25" customHeight="1" s="60">
      <c r="A133" s="54" t="inlineStr">
        <is>
          <t>Leaks</t>
        </is>
      </c>
      <c r="B133" s="54" t="inlineStr">
        <is>
          <t>QA</t>
        </is>
      </c>
      <c r="C133" s="54" t="inlineStr">
        <is>
          <t>New Report: Leak Repair Exception</t>
        </is>
      </c>
      <c r="D133" s="54" t="inlineStr">
        <is>
          <t>Geetha</t>
        </is>
      </c>
      <c r="E133" s="54" t="inlineStr">
        <is>
          <t>Shraddha</t>
        </is>
      </c>
      <c r="F133" s="54" t="n"/>
      <c r="G133" s="54" t="n"/>
      <c r="H133" s="55" t="n">
        <v>46189</v>
      </c>
      <c r="I133" s="55" t="n">
        <v>46189</v>
      </c>
      <c r="J133" s="55" t="n">
        <v>46189</v>
      </c>
    </row>
    <row r="134" ht="14.25" customHeight="1" s="60">
      <c r="A134" s="54" t="inlineStr">
        <is>
          <t>Leaks</t>
        </is>
      </c>
      <c r="B134" s="54" t="inlineStr">
        <is>
          <t>DPO Approval</t>
        </is>
      </c>
      <c r="C134" s="54" t="inlineStr">
        <is>
          <t>New Report: Leak Repair Exception</t>
        </is>
      </c>
      <c r="D134" s="54" t="inlineStr">
        <is>
          <t>Geetha</t>
        </is>
      </c>
      <c r="E134" s="54" t="inlineStr">
        <is>
          <t>Shraddha</t>
        </is>
      </c>
      <c r="F134" s="54" t="n"/>
      <c r="G134" s="54" t="n"/>
      <c r="H134" s="55" t="n">
        <v>46189</v>
      </c>
      <c r="I134" s="54" t="n"/>
      <c r="J134" s="54" t="n"/>
    </row>
    <row r="135" ht="14.25" customHeight="1" s="60">
      <c r="A135" s="54" t="inlineStr">
        <is>
          <t>Leaks</t>
        </is>
      </c>
      <c r="B135" s="54" t="inlineStr">
        <is>
          <t>RELEASED IN PROD</t>
        </is>
      </c>
      <c r="C135" s="54" t="inlineStr">
        <is>
          <t>New Report: Leak Repair Exception</t>
        </is>
      </c>
      <c r="D135" s="54" t="inlineStr">
        <is>
          <t>Geetha</t>
        </is>
      </c>
      <c r="E135" s="54" t="inlineStr">
        <is>
          <t>Shraddha</t>
        </is>
      </c>
      <c r="F135" s="54" t="n"/>
      <c r="G135" s="54" t="n"/>
      <c r="H135" s="54" t="n"/>
      <c r="I135" s="55" t="n">
        <v>46192</v>
      </c>
      <c r="J135" s="55" t="n">
        <v>46192</v>
      </c>
    </row>
    <row r="136" ht="14.25" customHeight="1" s="60">
      <c r="A136" s="54" t="inlineStr">
        <is>
          <t>Leaks</t>
        </is>
      </c>
      <c r="B136" s="54" t="inlineStr">
        <is>
          <t>DB Dev</t>
        </is>
      </c>
      <c r="C136" s="54" t="inlineStr">
        <is>
          <t>New Report: (Leak reading sample point mismatch ) Creating a new report that...</t>
        </is>
      </c>
      <c r="D136" s="54" t="inlineStr">
        <is>
          <t>Siddu</t>
        </is>
      </c>
      <c r="E136" s="54" t="inlineStr">
        <is>
          <t>Shraddha</t>
        </is>
      </c>
      <c r="F136" s="54" t="n"/>
      <c r="G136" s="54" t="n"/>
      <c r="H136" s="54" t="n"/>
      <c r="I136" s="55" t="n">
        <v>46169</v>
      </c>
      <c r="J136" s="55" t="n">
        <v>46169</v>
      </c>
    </row>
    <row r="137" ht="14.25" customHeight="1" s="60">
      <c r="A137" s="54" t="inlineStr">
        <is>
          <t>Leaks</t>
        </is>
      </c>
      <c r="B137" s="54" t="inlineStr">
        <is>
          <t>PBI Dev</t>
        </is>
      </c>
      <c r="C137" s="54" t="inlineStr">
        <is>
          <t>New Report: (Leak reading sample point mismatch ) Creating a new report that...</t>
        </is>
      </c>
      <c r="D137" s="54" t="inlineStr">
        <is>
          <t>Siddu</t>
        </is>
      </c>
      <c r="E137" s="54" t="inlineStr">
        <is>
          <t>Shraddha</t>
        </is>
      </c>
      <c r="F137" s="54" t="n"/>
      <c r="G137" s="54" t="n"/>
      <c r="H137" s="55" t="n">
        <v>46169</v>
      </c>
      <c r="I137" s="55" t="n">
        <v>46195</v>
      </c>
      <c r="J137" s="55" t="n">
        <v>46195</v>
      </c>
    </row>
    <row r="138" ht="14.25" customHeight="1" s="60">
      <c r="A138" s="54" t="inlineStr">
        <is>
          <t>Leaks</t>
        </is>
      </c>
      <c r="B138" s="54" t="inlineStr">
        <is>
          <t>QA</t>
        </is>
      </c>
      <c r="C138" s="54" t="inlineStr">
        <is>
          <t>New Report: (Leak reading sample point mismatch ) Creating a new report that...</t>
        </is>
      </c>
      <c r="D138" s="54" t="inlineStr">
        <is>
          <t>Siddu</t>
        </is>
      </c>
      <c r="E138" s="54" t="inlineStr">
        <is>
          <t>Shraddha</t>
        </is>
      </c>
      <c r="F138" s="54" t="n"/>
      <c r="G138" s="54" t="n"/>
      <c r="H138" s="55" t="n">
        <v>46195</v>
      </c>
      <c r="I138" s="55" t="n">
        <v>46197</v>
      </c>
      <c r="J138" s="55" t="n">
        <v>46197</v>
      </c>
    </row>
    <row r="139" ht="14.25" customHeight="1" s="60">
      <c r="A139" s="54" t="inlineStr">
        <is>
          <t>Leaks</t>
        </is>
      </c>
      <c r="B139" s="54" t="inlineStr">
        <is>
          <t>DPO Approval</t>
        </is>
      </c>
      <c r="C139" s="54" t="inlineStr">
        <is>
          <t>New Report: (Leak reading sample point mismatch ) Creating a new report that...</t>
        </is>
      </c>
      <c r="D139" s="54" t="inlineStr">
        <is>
          <t>Siddu</t>
        </is>
      </c>
      <c r="E139" s="54" t="inlineStr">
        <is>
          <t>Shraddha</t>
        </is>
      </c>
      <c r="F139" s="54" t="n"/>
      <c r="G139" s="54" t="n"/>
      <c r="H139" s="55" t="n">
        <v>46197</v>
      </c>
      <c r="I139" s="54" t="n"/>
      <c r="J139" s="54" t="n"/>
    </row>
    <row r="140" ht="14.25" customHeight="1" s="60">
      <c r="A140" s="54" t="inlineStr">
        <is>
          <t>Leaks</t>
        </is>
      </c>
      <c r="B140" s="54" t="inlineStr">
        <is>
          <t>RELEASED IN PROD</t>
        </is>
      </c>
      <c r="C140" s="54" t="inlineStr">
        <is>
          <t>New Report: (Leak reading sample point mismatch ) Creating a new report that...</t>
        </is>
      </c>
      <c r="D140" s="54" t="inlineStr">
        <is>
          <t>Siddu</t>
        </is>
      </c>
      <c r="E140" s="54" t="inlineStr">
        <is>
          <t>Shraddha</t>
        </is>
      </c>
      <c r="F140" s="54" t="n"/>
      <c r="G140" s="54" t="n"/>
      <c r="H140" s="54" t="n"/>
      <c r="I140" s="54" t="n"/>
      <c r="J140" s="54" t="n"/>
    </row>
    <row r="141" ht="14.25" customHeight="1" s="60">
      <c r="A141" s="54" t="inlineStr">
        <is>
          <t>CMS</t>
        </is>
      </c>
      <c r="B141" s="54" t="inlineStr">
        <is>
          <t>DB Dev</t>
        </is>
      </c>
      <c r="C141" s="54" t="inlineStr">
        <is>
          <t>RPT_02_CO Flue Warning Tag Control</t>
        </is>
      </c>
      <c r="D141" s="54" t="inlineStr">
        <is>
          <t>Rupa</t>
        </is>
      </c>
      <c r="E141" s="54" t="inlineStr">
        <is>
          <t>Navya</t>
        </is>
      </c>
      <c r="F141" s="54" t="n"/>
      <c r="G141" s="54" t="inlineStr">
        <is>
          <t>Kushal</t>
        </is>
      </c>
      <c r="H141" s="54" t="n"/>
      <c r="I141" s="54" t="n"/>
      <c r="J141" s="54" t="n"/>
    </row>
    <row r="142" ht="14.25" customHeight="1" s="60">
      <c r="A142" s="54" t="inlineStr">
        <is>
          <t>CMS</t>
        </is>
      </c>
      <c r="B142" s="54" t="inlineStr">
        <is>
          <t>PBI Dev</t>
        </is>
      </c>
      <c r="C142" s="54" t="inlineStr">
        <is>
          <t>RPT_02_CO Flue Warning Tag Control</t>
        </is>
      </c>
      <c r="D142" s="54" t="inlineStr">
        <is>
          <t>Rupa</t>
        </is>
      </c>
      <c r="E142" s="54" t="inlineStr">
        <is>
          <t>Navya</t>
        </is>
      </c>
      <c r="F142" s="54" t="n"/>
      <c r="G142" s="54" t="inlineStr">
        <is>
          <t>Kushal</t>
        </is>
      </c>
      <c r="H142" s="54" t="n"/>
      <c r="I142" s="55" t="n">
        <v>46213</v>
      </c>
      <c r="J142" s="55" t="n">
        <v>46213</v>
      </c>
    </row>
    <row r="143" ht="14.25" customHeight="1" s="60">
      <c r="A143" s="54" t="inlineStr">
        <is>
          <t>CMS</t>
        </is>
      </c>
      <c r="B143" s="54" t="inlineStr">
        <is>
          <t>QA</t>
        </is>
      </c>
      <c r="C143" s="54" t="inlineStr">
        <is>
          <t>RPT_02_CO Flue Warning Tag Control</t>
        </is>
      </c>
      <c r="D143" s="54" t="inlineStr">
        <is>
          <t>Rupa</t>
        </is>
      </c>
      <c r="E143" s="54" t="inlineStr">
        <is>
          <t>Navya</t>
        </is>
      </c>
      <c r="F143" s="54" t="n"/>
      <c r="G143" s="54" t="inlineStr">
        <is>
          <t>Kushal</t>
        </is>
      </c>
      <c r="H143" s="55" t="n">
        <v>46213</v>
      </c>
      <c r="I143" s="55" t="n">
        <v>46223</v>
      </c>
      <c r="J143" s="55" t="n">
        <v>46223</v>
      </c>
    </row>
    <row r="144" ht="14.25" customHeight="1" s="60">
      <c r="A144" s="54" t="inlineStr">
        <is>
          <t>CMS</t>
        </is>
      </c>
      <c r="B144" s="54" t="inlineStr">
        <is>
          <t>DB Dev</t>
        </is>
      </c>
      <c r="C144" s="54" t="inlineStr">
        <is>
          <t>RPT_02_Warning Tag HEFPA</t>
        </is>
      </c>
      <c r="D144" s="54" t="inlineStr">
        <is>
          <t>Sree</t>
        </is>
      </c>
      <c r="E144" s="54" t="inlineStr">
        <is>
          <t>Shraddha</t>
        </is>
      </c>
      <c r="F144" s="54" t="n"/>
      <c r="G144" s="54" t="inlineStr">
        <is>
          <t>Kushal</t>
        </is>
      </c>
      <c r="H144" s="54" t="n"/>
      <c r="I144" s="54" t="n"/>
      <c r="J144" s="54" t="n"/>
    </row>
    <row r="145" ht="14.25" customHeight="1" s="60">
      <c r="A145" s="54" t="inlineStr">
        <is>
          <t>CMS</t>
        </is>
      </c>
      <c r="B145" s="54" t="inlineStr">
        <is>
          <t>PBI Dev</t>
        </is>
      </c>
      <c r="C145" s="54" t="inlineStr">
        <is>
          <t>RPT_02_Warning Tag HEFPA</t>
        </is>
      </c>
      <c r="D145" s="54" t="inlineStr">
        <is>
          <t>Sree</t>
        </is>
      </c>
      <c r="E145" s="54" t="inlineStr">
        <is>
          <t>Shraddha</t>
        </is>
      </c>
      <c r="F145" s="54" t="n"/>
      <c r="G145" s="54" t="inlineStr">
        <is>
          <t>Kushal</t>
        </is>
      </c>
      <c r="H145" s="54" t="n"/>
      <c r="I145" s="55" t="n">
        <v>46218</v>
      </c>
      <c r="J145" s="55" t="n">
        <v>46218</v>
      </c>
    </row>
    <row r="146" ht="14.25" customHeight="1" s="60">
      <c r="A146" s="54" t="inlineStr">
        <is>
          <t>CMS</t>
        </is>
      </c>
      <c r="B146" s="54" t="inlineStr">
        <is>
          <t>QA</t>
        </is>
      </c>
      <c r="C146" s="54" t="inlineStr">
        <is>
          <t>RPT_02_Warning Tag HEFPA</t>
        </is>
      </c>
      <c r="D146" s="54" t="inlineStr">
        <is>
          <t>Sree</t>
        </is>
      </c>
      <c r="E146" s="54" t="inlineStr">
        <is>
          <t>Shraddha</t>
        </is>
      </c>
      <c r="F146" s="54" t="n"/>
      <c r="G146" s="54" t="inlineStr">
        <is>
          <t>Kushal</t>
        </is>
      </c>
      <c r="H146" s="55" t="n">
        <v>46218</v>
      </c>
      <c r="I146" s="55" t="n">
        <v>46223</v>
      </c>
      <c r="J146" s="55" t="n">
        <v>46223</v>
      </c>
    </row>
    <row r="147" ht="14.25" customHeight="1" s="60">
      <c r="A147" s="54" t="inlineStr">
        <is>
          <t>CMS</t>
        </is>
      </c>
      <c r="B147" s="54" t="inlineStr">
        <is>
          <t>DB Dev</t>
        </is>
      </c>
      <c r="C147" s="54" t="inlineStr">
        <is>
          <t>RPT_02_Warning tag Printout</t>
        </is>
      </c>
      <c r="D147" s="54" t="inlineStr">
        <is>
          <t>Sree</t>
        </is>
      </c>
      <c r="E147" s="54" t="inlineStr">
        <is>
          <t>Shraddha</t>
        </is>
      </c>
      <c r="F147" s="54" t="n"/>
      <c r="G147" s="54" t="inlineStr">
        <is>
          <t>Kushal</t>
        </is>
      </c>
      <c r="H147" s="54" t="n"/>
      <c r="I147" s="54" t="n"/>
      <c r="J147" s="54" t="n"/>
    </row>
    <row r="148" ht="14.25" customHeight="1" s="60">
      <c r="A148" s="54" t="inlineStr">
        <is>
          <t>CMS</t>
        </is>
      </c>
      <c r="B148" s="54" t="inlineStr">
        <is>
          <t>PBI Dev</t>
        </is>
      </c>
      <c r="C148" s="54" t="inlineStr">
        <is>
          <t>RPT_02_Warning tag Printout</t>
        </is>
      </c>
      <c r="D148" s="54" t="inlineStr">
        <is>
          <t>Sree</t>
        </is>
      </c>
      <c r="E148" s="54" t="inlineStr">
        <is>
          <t>Shraddha</t>
        </is>
      </c>
      <c r="F148" s="54" t="n"/>
      <c r="G148" s="54" t="inlineStr">
        <is>
          <t>Kushal</t>
        </is>
      </c>
      <c r="H148" s="54" t="n"/>
      <c r="I148" s="55" t="n">
        <v>46225</v>
      </c>
      <c r="J148" s="55" t="n">
        <v>46225</v>
      </c>
    </row>
    <row r="149" ht="14.25" customHeight="1" s="60">
      <c r="A149" s="54" t="inlineStr">
        <is>
          <t>CMS</t>
        </is>
      </c>
      <c r="B149" s="54" t="inlineStr">
        <is>
          <t>QA</t>
        </is>
      </c>
      <c r="C149" s="54" t="inlineStr">
        <is>
          <t>RPT_02_Warning tag Printout</t>
        </is>
      </c>
      <c r="D149" s="54" t="inlineStr">
        <is>
          <t>Sree</t>
        </is>
      </c>
      <c r="E149" s="54" t="inlineStr">
        <is>
          <t>Shraddha</t>
        </is>
      </c>
      <c r="F149" s="54" t="n"/>
      <c r="G149" s="54" t="inlineStr">
        <is>
          <t>Kushal</t>
        </is>
      </c>
      <c r="H149" s="55" t="n">
        <v>46225</v>
      </c>
      <c r="I149" s="55" t="n">
        <v>46223</v>
      </c>
      <c r="J149" s="55" t="n">
        <v>46223</v>
      </c>
    </row>
    <row r="150" ht="14.25" customHeight="1" s="60">
      <c r="A150" s="54" t="inlineStr">
        <is>
          <t>CMS</t>
        </is>
      </c>
      <c r="B150" s="54" t="inlineStr">
        <is>
          <t>DB Dev</t>
        </is>
      </c>
      <c r="C150" s="54" t="inlineStr">
        <is>
          <t>RPT_02_Corrosion</t>
        </is>
      </c>
      <c r="D150" s="54" t="inlineStr">
        <is>
          <t>Siva</t>
        </is>
      </c>
      <c r="E150" s="54" t="inlineStr">
        <is>
          <t>Sarath</t>
        </is>
      </c>
      <c r="F150" s="54" t="n"/>
      <c r="G150" s="54" t="inlineStr">
        <is>
          <t>Kushal</t>
        </is>
      </c>
      <c r="H150" s="54" t="n"/>
      <c r="I150" s="54" t="n"/>
      <c r="J150" s="54" t="n"/>
    </row>
    <row r="151" ht="14.25" customHeight="1" s="60">
      <c r="A151" s="54" t="inlineStr">
        <is>
          <t>CMS</t>
        </is>
      </c>
      <c r="B151" s="54" t="inlineStr">
        <is>
          <t>PBI Dev</t>
        </is>
      </c>
      <c r="C151" s="54" t="inlineStr">
        <is>
          <t>RPT_02_Corrosion</t>
        </is>
      </c>
      <c r="D151" s="54" t="inlineStr">
        <is>
          <t>Siva</t>
        </is>
      </c>
      <c r="E151" s="54" t="inlineStr">
        <is>
          <t>Sarath</t>
        </is>
      </c>
      <c r="F151" s="54" t="n"/>
      <c r="G151" s="54" t="inlineStr">
        <is>
          <t>Kushal</t>
        </is>
      </c>
      <c r="H151" s="54" t="n"/>
      <c r="I151" s="55" t="n">
        <v>46227</v>
      </c>
      <c r="J151" s="55" t="n">
        <v>46227</v>
      </c>
    </row>
    <row r="152" ht="14.25" customHeight="1" s="60">
      <c r="A152" s="54" t="inlineStr">
        <is>
          <t>CMS</t>
        </is>
      </c>
      <c r="B152" s="54" t="inlineStr">
        <is>
          <t>QA</t>
        </is>
      </c>
      <c r="C152" s="54" t="inlineStr">
        <is>
          <t>RPT_02_Corrosion</t>
        </is>
      </c>
      <c r="D152" s="54" t="inlineStr">
        <is>
          <t>Siva</t>
        </is>
      </c>
      <c r="E152" s="54" t="inlineStr">
        <is>
          <t>Sarath</t>
        </is>
      </c>
      <c r="F152" s="54" t="n"/>
      <c r="G152" s="54" t="inlineStr">
        <is>
          <t>Kushal</t>
        </is>
      </c>
      <c r="H152" s="55" t="n">
        <v>46227</v>
      </c>
      <c r="I152" s="55" t="n">
        <v>46223</v>
      </c>
      <c r="J152" s="55" t="n">
        <v>46223</v>
      </c>
    </row>
    <row r="153" ht="14.25" customHeight="1" s="60">
      <c r="A153" s="54" t="inlineStr">
        <is>
          <t>CMS</t>
        </is>
      </c>
      <c r="B153" s="54" t="inlineStr">
        <is>
          <t>DB Dev</t>
        </is>
      </c>
      <c r="C153" s="54" t="inlineStr">
        <is>
          <t>RPT_02_House Pipe Test Comment Control</t>
        </is>
      </c>
      <c r="D153" s="54" t="inlineStr">
        <is>
          <t>Geetha</t>
        </is>
      </c>
      <c r="E153" s="54" t="inlineStr">
        <is>
          <t>Shraddha</t>
        </is>
      </c>
      <c r="F153" s="54" t="n"/>
      <c r="G153" s="54" t="inlineStr">
        <is>
          <t>Kushal</t>
        </is>
      </c>
      <c r="H153" s="54" t="n"/>
      <c r="I153" s="54" t="n"/>
      <c r="J153" s="54" t="n"/>
    </row>
    <row r="154" ht="14.25" customHeight="1" s="60">
      <c r="A154" s="54" t="inlineStr">
        <is>
          <t>CMS</t>
        </is>
      </c>
      <c r="B154" s="54" t="inlineStr">
        <is>
          <t>PBI Dev</t>
        </is>
      </c>
      <c r="C154" s="54" t="inlineStr">
        <is>
          <t>RPT_02_House Pipe Test Comment Control</t>
        </is>
      </c>
      <c r="D154" s="54" t="inlineStr">
        <is>
          <t>Geetha</t>
        </is>
      </c>
      <c r="E154" s="54" t="inlineStr">
        <is>
          <t>Shraddha</t>
        </is>
      </c>
      <c r="F154" s="54" t="n"/>
      <c r="G154" s="54" t="inlineStr">
        <is>
          <t>Kushal</t>
        </is>
      </c>
      <c r="H154" s="54" t="n"/>
      <c r="I154" s="55" t="n">
        <v>46216</v>
      </c>
      <c r="J154" s="55" t="n">
        <v>46216</v>
      </c>
    </row>
    <row r="155" ht="14.25" customHeight="1" s="60">
      <c r="A155" s="54" t="inlineStr">
        <is>
          <t>CMS</t>
        </is>
      </c>
      <c r="B155" s="54" t="inlineStr">
        <is>
          <t>QA</t>
        </is>
      </c>
      <c r="C155" s="54" t="inlineStr">
        <is>
          <t>RPT_02_House Pipe Test Comment Control</t>
        </is>
      </c>
      <c r="D155" s="54" t="inlineStr">
        <is>
          <t>Geetha</t>
        </is>
      </c>
      <c r="E155" s="54" t="inlineStr">
        <is>
          <t>Shraddha</t>
        </is>
      </c>
      <c r="F155" s="54" t="n"/>
      <c r="G155" s="54" t="inlineStr">
        <is>
          <t>Kushal</t>
        </is>
      </c>
      <c r="H155" s="55" t="n">
        <v>46216</v>
      </c>
      <c r="I155" s="55" t="n">
        <v>46225</v>
      </c>
      <c r="J155" s="55" t="n">
        <v>46225</v>
      </c>
    </row>
    <row r="156" ht="14.25" customHeight="1" s="60">
      <c r="A156" s="54" t="inlineStr">
        <is>
          <t>CMS</t>
        </is>
      </c>
      <c r="B156" s="54" t="inlineStr">
        <is>
          <t>DB Dev</t>
        </is>
      </c>
      <c r="C156" s="54" t="inlineStr">
        <is>
          <t>RPT_02_Required Regulator Inspection Performed Control</t>
        </is>
      </c>
      <c r="D156" s="54" t="inlineStr">
        <is>
          <t>Siddu</t>
        </is>
      </c>
      <c r="E156" s="54" t="inlineStr">
        <is>
          <t>Navya</t>
        </is>
      </c>
      <c r="F156" s="54" t="n"/>
      <c r="G156" s="54" t="inlineStr">
        <is>
          <t>Bardia</t>
        </is>
      </c>
      <c r="H156" s="54" t="n"/>
      <c r="I156" s="54" t="n"/>
      <c r="J156" s="54" t="n"/>
    </row>
    <row r="157">
      <c r="A157" s="4" t="inlineStr">
        <is>
          <t>CMS</t>
        </is>
      </c>
      <c r="B157" s="4" t="inlineStr">
        <is>
          <t>DB Dev</t>
        </is>
      </c>
      <c r="C157" s="4" t="inlineStr">
        <is>
          <t>RPT_02_Service Regulator Inspections</t>
        </is>
      </c>
      <c r="D157" s="4" t="inlineStr">
        <is>
          <t>Sree</t>
        </is>
      </c>
      <c r="E157" s="4" t="inlineStr">
        <is>
          <t>Sarath</t>
        </is>
      </c>
      <c r="F157" s="4" t="n"/>
      <c r="G157" s="4" t="inlineStr">
        <is>
          <t>Bardia</t>
        </is>
      </c>
      <c r="H157" s="4" t="n"/>
      <c r="I157" s="4" t="n"/>
      <c r="J157" s="4" t="n"/>
    </row>
    <row r="158">
      <c r="A158" s="4" t="inlineStr">
        <is>
          <t>CMS</t>
        </is>
      </c>
      <c r="B158" s="4" t="inlineStr">
        <is>
          <t>DB Dev</t>
        </is>
      </c>
      <c r="C158" s="4" t="inlineStr">
        <is>
          <t>RPT_02_Service Regulator Inspection Printout</t>
        </is>
      </c>
      <c r="D158" s="4" t="inlineStr">
        <is>
          <t>Sree</t>
        </is>
      </c>
      <c r="E158" s="4" t="inlineStr">
        <is>
          <t>Sarath</t>
        </is>
      </c>
      <c r="F158" s="4" t="n"/>
      <c r="G158" s="4" t="inlineStr">
        <is>
          <t>Bardia</t>
        </is>
      </c>
      <c r="H158" s="4" t="n"/>
      <c r="I158" s="4" t="n"/>
      <c r="J158" s="4" t="n"/>
    </row>
    <row r="159">
      <c r="A159" s="4" t="inlineStr">
        <is>
          <t>CMS</t>
        </is>
      </c>
      <c r="B159" s="4" t="inlineStr">
        <is>
          <t>PBI Dev</t>
        </is>
      </c>
      <c r="C159" s="4" t="inlineStr">
        <is>
          <t>RPT_02_Service Regulator Inspection Printout</t>
        </is>
      </c>
      <c r="D159" s="4" t="inlineStr">
        <is>
          <t>Sree</t>
        </is>
      </c>
      <c r="E159" s="4" t="inlineStr">
        <is>
          <t>Sarath</t>
        </is>
      </c>
      <c r="F159" s="4" t="n"/>
      <c r="G159" s="4" t="inlineStr">
        <is>
          <t>Bardia</t>
        </is>
      </c>
      <c r="H159" s="4" t="n"/>
      <c r="I159" s="5" t="n">
        <v>46221</v>
      </c>
      <c r="J159" s="5" t="n">
        <v>46221</v>
      </c>
    </row>
    <row r="160">
      <c r="A160" s="4" t="inlineStr">
        <is>
          <t>CMS</t>
        </is>
      </c>
      <c r="B160" s="4" t="inlineStr">
        <is>
          <t>QA</t>
        </is>
      </c>
      <c r="C160" s="4" t="inlineStr">
        <is>
          <t>RPT_02_Service Regulator Inspection Printout</t>
        </is>
      </c>
      <c r="D160" s="4" t="inlineStr">
        <is>
          <t>Sree</t>
        </is>
      </c>
      <c r="E160" s="4" t="inlineStr">
        <is>
          <t>Sarath</t>
        </is>
      </c>
      <c r="F160" s="4" t="n"/>
      <c r="G160" s="4" t="inlineStr">
        <is>
          <t>Bardia</t>
        </is>
      </c>
      <c r="H160" s="5" t="n">
        <v>46221</v>
      </c>
      <c r="I160" s="5" t="n">
        <v>46223</v>
      </c>
      <c r="J160" s="5" t="n">
        <v>46223</v>
      </c>
    </row>
    <row r="161">
      <c r="A161" s="4" t="inlineStr">
        <is>
          <t>CMS</t>
        </is>
      </c>
      <c r="B161" s="4" t="inlineStr">
        <is>
          <t>DB Dev</t>
        </is>
      </c>
      <c r="C161" s="4" t="inlineStr">
        <is>
          <t>RPT_02_20 Year Regulator Inspection</t>
        </is>
      </c>
      <c r="D161" s="4" t="inlineStr">
        <is>
          <t>Siddu</t>
        </is>
      </c>
      <c r="E161" s="4" t="inlineStr">
        <is>
          <t>Navya</t>
        </is>
      </c>
      <c r="F161" s="4" t="n"/>
      <c r="G161" s="4" t="inlineStr">
        <is>
          <t>Bardia</t>
        </is>
      </c>
      <c r="H161" s="4" t="n"/>
      <c r="I161" s="4" t="n"/>
      <c r="J161" s="4" t="n"/>
    </row>
    <row r="162">
      <c r="A162" s="4" t="inlineStr">
        <is>
          <t>CMS</t>
        </is>
      </c>
      <c r="B162" s="4" t="inlineStr">
        <is>
          <t>PBI Dev</t>
        </is>
      </c>
      <c r="C162" s="4" t="inlineStr">
        <is>
          <t>RPT_02_20 Year Regulator Inspection</t>
        </is>
      </c>
      <c r="D162" s="4" t="inlineStr">
        <is>
          <t>Siddu</t>
        </is>
      </c>
      <c r="E162" s="4" t="inlineStr">
        <is>
          <t>Navya</t>
        </is>
      </c>
      <c r="F162" s="4" t="n"/>
      <c r="G162" s="4" t="inlineStr">
        <is>
          <t>Bardia</t>
        </is>
      </c>
      <c r="H162" s="4" t="n"/>
      <c r="I162" s="5" t="n">
        <v>46220</v>
      </c>
      <c r="J162" s="5" t="n">
        <v>46220</v>
      </c>
    </row>
    <row r="163">
      <c r="A163" s="4" t="inlineStr">
        <is>
          <t>CMS</t>
        </is>
      </c>
      <c r="B163" s="4" t="inlineStr">
        <is>
          <t>QA</t>
        </is>
      </c>
      <c r="C163" s="4" t="inlineStr">
        <is>
          <t>RPT_02_20 Year Regulator Inspection</t>
        </is>
      </c>
      <c r="D163" s="4" t="inlineStr">
        <is>
          <t>Siddu</t>
        </is>
      </c>
      <c r="E163" s="4" t="inlineStr">
        <is>
          <t>Navya</t>
        </is>
      </c>
      <c r="F163" s="4" t="n"/>
      <c r="G163" s="4" t="inlineStr">
        <is>
          <t>Bardia</t>
        </is>
      </c>
      <c r="H163" s="5" t="n">
        <v>46220</v>
      </c>
      <c r="I163" s="5" t="n">
        <v>46223</v>
      </c>
      <c r="J163" s="5" t="n">
        <v>46223</v>
      </c>
    </row>
    <row r="164">
      <c r="A164" s="4" t="inlineStr">
        <is>
          <t>CMS</t>
        </is>
      </c>
      <c r="B164" s="4" t="inlineStr">
        <is>
          <t>DB Dev</t>
        </is>
      </c>
      <c r="C164" s="4" t="inlineStr">
        <is>
          <t>RPT_02_Fixed Factor</t>
        </is>
      </c>
      <c r="D164" s="4" t="inlineStr">
        <is>
          <t>Nick</t>
        </is>
      </c>
      <c r="E164" s="4" t="inlineStr">
        <is>
          <t>Navya</t>
        </is>
      </c>
      <c r="F164" s="4" t="n"/>
      <c r="G164" s="4" t="inlineStr">
        <is>
          <t>Bardia</t>
        </is>
      </c>
      <c r="H164" s="4" t="n"/>
      <c r="I164" s="4" t="n"/>
      <c r="J164" s="4" t="n"/>
    </row>
    <row r="165">
      <c r="A165" s="4" t="inlineStr">
        <is>
          <t>CMS</t>
        </is>
      </c>
      <c r="B165" s="4" t="inlineStr">
        <is>
          <t>PBI Dev</t>
        </is>
      </c>
      <c r="C165" s="4" t="inlineStr">
        <is>
          <t>RPT_02_Fixed Factor</t>
        </is>
      </c>
      <c r="D165" s="4" t="inlineStr">
        <is>
          <t>Nick</t>
        </is>
      </c>
      <c r="E165" s="4" t="inlineStr">
        <is>
          <t>Navya</t>
        </is>
      </c>
      <c r="F165" s="4" t="n"/>
      <c r="G165" s="4" t="inlineStr">
        <is>
          <t>Bardia</t>
        </is>
      </c>
      <c r="H165" s="4" t="n"/>
      <c r="I165" s="5" t="n">
        <v>46224</v>
      </c>
      <c r="J165" s="5" t="n">
        <v>46224</v>
      </c>
    </row>
    <row r="166">
      <c r="A166" s="4" t="inlineStr">
        <is>
          <t>CMS</t>
        </is>
      </c>
      <c r="B166" s="4" t="inlineStr">
        <is>
          <t>QA</t>
        </is>
      </c>
      <c r="C166" s="4" t="inlineStr">
        <is>
          <t>RPT_02_Fixed Factor</t>
        </is>
      </c>
      <c r="D166" s="4" t="inlineStr">
        <is>
          <t>Nick</t>
        </is>
      </c>
      <c r="E166" s="4" t="inlineStr">
        <is>
          <t>Navya</t>
        </is>
      </c>
      <c r="F166" s="4" t="n"/>
      <c r="G166" s="4" t="inlineStr">
        <is>
          <t>Bardia</t>
        </is>
      </c>
      <c r="H166" s="5" t="n">
        <v>46224</v>
      </c>
      <c r="I166" s="5" t="n">
        <v>46223</v>
      </c>
      <c r="J166" s="5" t="n">
        <v>46223</v>
      </c>
    </row>
    <row r="167">
      <c r="A167" s="4" t="inlineStr">
        <is>
          <t>CMS</t>
        </is>
      </c>
      <c r="B167" s="4" t="inlineStr">
        <is>
          <t>DB Dev</t>
        </is>
      </c>
      <c r="C167" s="4" t="inlineStr">
        <is>
          <t>RPT_02_Fixed Factor Printout</t>
        </is>
      </c>
      <c r="D167" s="4" t="inlineStr">
        <is>
          <t>Nick</t>
        </is>
      </c>
      <c r="E167" s="4" t="inlineStr">
        <is>
          <t>Shraddha</t>
        </is>
      </c>
      <c r="F167" s="4" t="n"/>
      <c r="G167" s="4" t="inlineStr">
        <is>
          <t>Bardia</t>
        </is>
      </c>
      <c r="H167" s="4" t="n"/>
      <c r="I167" s="4" t="n"/>
      <c r="J167" s="4" t="n"/>
    </row>
    <row r="168">
      <c r="A168" s="4" t="inlineStr">
        <is>
          <t>CMS</t>
        </is>
      </c>
      <c r="B168" s="4" t="inlineStr">
        <is>
          <t>PBI Dev</t>
        </is>
      </c>
      <c r="C168" s="4" t="inlineStr">
        <is>
          <t>RPT_02_Fixed Factor Printout</t>
        </is>
      </c>
      <c r="D168" s="4" t="inlineStr">
        <is>
          <t>Nick</t>
        </is>
      </c>
      <c r="E168" s="4" t="inlineStr">
        <is>
          <t>Shraddha</t>
        </is>
      </c>
      <c r="F168" s="4" t="n"/>
      <c r="G168" s="4" t="inlineStr">
        <is>
          <t>Bardia</t>
        </is>
      </c>
      <c r="H168" s="4" t="n"/>
      <c r="I168" s="5" t="n">
        <v>46225</v>
      </c>
      <c r="J168" s="5" t="n">
        <v>46225</v>
      </c>
    </row>
    <row r="169">
      <c r="A169" s="4" t="inlineStr">
        <is>
          <t>CMS</t>
        </is>
      </c>
      <c r="B169" s="4" t="inlineStr">
        <is>
          <t>QA</t>
        </is>
      </c>
      <c r="C169" s="4" t="inlineStr">
        <is>
          <t>RPT_02_Fixed Factor Printout</t>
        </is>
      </c>
      <c r="D169" s="4" t="inlineStr">
        <is>
          <t>Nick</t>
        </is>
      </c>
      <c r="E169" s="4" t="inlineStr">
        <is>
          <t>Shraddha</t>
        </is>
      </c>
      <c r="F169" s="4" t="n"/>
      <c r="G169" s="4" t="inlineStr">
        <is>
          <t>Bardia</t>
        </is>
      </c>
      <c r="H169" s="5" t="n">
        <v>46225</v>
      </c>
      <c r="I169" s="5" t="n">
        <v>46223</v>
      </c>
      <c r="J169" s="5" t="n">
        <v>46223</v>
      </c>
    </row>
    <row r="170">
      <c r="A170" s="4" t="inlineStr">
        <is>
          <t>CMS</t>
        </is>
      </c>
      <c r="B170" s="4" t="inlineStr">
        <is>
          <t>DB Dev</t>
        </is>
      </c>
      <c r="C170" s="4" t="inlineStr">
        <is>
          <t>RPT_02_Work Order Completion Printout</t>
        </is>
      </c>
      <c r="D170" s="4" t="inlineStr">
        <is>
          <t>Rupa</t>
        </is>
      </c>
      <c r="E170" s="4" t="inlineStr">
        <is>
          <t>Sarath</t>
        </is>
      </c>
      <c r="F170" s="4" t="n"/>
      <c r="G170" s="4" t="inlineStr">
        <is>
          <t>Kushal</t>
        </is>
      </c>
      <c r="H170" s="4" t="n"/>
      <c r="I170" s="4" t="n"/>
      <c r="J170" s="4" t="n"/>
    </row>
    <row r="171">
      <c r="A171" s="4" t="inlineStr">
        <is>
          <t>CMS</t>
        </is>
      </c>
      <c r="B171" s="4" t="inlineStr">
        <is>
          <t>PBI Dev</t>
        </is>
      </c>
      <c r="C171" s="4" t="inlineStr">
        <is>
          <t>RPT_02_Work Order Completion Printout</t>
        </is>
      </c>
      <c r="D171" s="4" t="inlineStr">
        <is>
          <t>Rupa</t>
        </is>
      </c>
      <c r="E171" s="4" t="inlineStr">
        <is>
          <t>Sarath</t>
        </is>
      </c>
      <c r="F171" s="4" t="n"/>
      <c r="G171" s="4" t="inlineStr">
        <is>
          <t>Kushal</t>
        </is>
      </c>
      <c r="H171" s="4" t="n"/>
      <c r="I171" s="5" t="n">
        <v>46226</v>
      </c>
      <c r="J171" s="5" t="n">
        <v>46226</v>
      </c>
    </row>
    <row r="172">
      <c r="A172" s="4" t="inlineStr">
        <is>
          <t>CMS</t>
        </is>
      </c>
      <c r="B172" s="4" t="inlineStr">
        <is>
          <t>QA</t>
        </is>
      </c>
      <c r="C172" s="4" t="inlineStr">
        <is>
          <t>RPT_02_Work Order Completion Printout</t>
        </is>
      </c>
      <c r="D172" s="4" t="inlineStr">
        <is>
          <t>Rupa</t>
        </is>
      </c>
      <c r="E172" s="4" t="inlineStr">
        <is>
          <t>Sarath</t>
        </is>
      </c>
      <c r="F172" s="4" t="n"/>
      <c r="G172" s="4" t="inlineStr">
        <is>
          <t>Kushal</t>
        </is>
      </c>
      <c r="H172" s="5" t="n">
        <v>46226</v>
      </c>
      <c r="I172" s="5" t="n">
        <v>46223</v>
      </c>
      <c r="J172" s="5" t="n">
        <v>46223</v>
      </c>
    </row>
    <row r="173">
      <c r="A173" s="4" t="inlineStr">
        <is>
          <t>CMS</t>
        </is>
      </c>
      <c r="B173" s="4" t="inlineStr">
        <is>
          <t>DB Dev</t>
        </is>
      </c>
      <c r="C173" s="4" t="inlineStr">
        <is>
          <t>RPT_02_GRO Control</t>
        </is>
      </c>
      <c r="D173" s="4" t="inlineStr">
        <is>
          <t>Siva</t>
        </is>
      </c>
      <c r="E173" s="4" t="inlineStr">
        <is>
          <t>Navya</t>
        </is>
      </c>
      <c r="F173" s="4" t="n"/>
      <c r="G173" s="4" t="inlineStr">
        <is>
          <t>Kushal</t>
        </is>
      </c>
      <c r="H173" s="4" t="n"/>
      <c r="I173" s="4" t="n"/>
      <c r="J173" s="4" t="n"/>
    </row>
    <row r="174">
      <c r="A174" s="4" t="inlineStr">
        <is>
          <t>CMS</t>
        </is>
      </c>
      <c r="B174" s="4" t="inlineStr">
        <is>
          <t>PBI Dev</t>
        </is>
      </c>
      <c r="C174" s="4" t="inlineStr">
        <is>
          <t>RPT_02_GRO Control</t>
        </is>
      </c>
      <c r="D174" s="4" t="inlineStr">
        <is>
          <t>Siva</t>
        </is>
      </c>
      <c r="E174" s="4" t="inlineStr">
        <is>
          <t>Navya</t>
        </is>
      </c>
      <c r="F174" s="4" t="n"/>
      <c r="G174" s="4" t="inlineStr">
        <is>
          <t>Kushal</t>
        </is>
      </c>
      <c r="H174" s="4" t="n"/>
      <c r="I174" s="5" t="n">
        <v>46225</v>
      </c>
      <c r="J174" s="5" t="n">
        <v>46225</v>
      </c>
    </row>
    <row r="175">
      <c r="A175" s="4" t="inlineStr">
        <is>
          <t>CMS</t>
        </is>
      </c>
      <c r="B175" s="4" t="inlineStr">
        <is>
          <t>QA</t>
        </is>
      </c>
      <c r="C175" s="4" t="inlineStr">
        <is>
          <t>RPT_02_GRO Control</t>
        </is>
      </c>
      <c r="D175" s="4" t="inlineStr">
        <is>
          <t>Siva</t>
        </is>
      </c>
      <c r="E175" s="4" t="inlineStr">
        <is>
          <t>Navya</t>
        </is>
      </c>
      <c r="F175" s="4" t="n"/>
      <c r="G175" s="4" t="inlineStr">
        <is>
          <t>Kushal</t>
        </is>
      </c>
      <c r="H175" s="5" t="n">
        <v>46225</v>
      </c>
      <c r="I175" s="5" t="n">
        <v>46223</v>
      </c>
      <c r="J175" s="5" t="n">
        <v>46223</v>
      </c>
    </row>
    <row r="176">
      <c r="A176" s="4" t="inlineStr">
        <is>
          <t>CMS</t>
        </is>
      </c>
      <c r="B176" s="4" t="inlineStr">
        <is>
          <t>DB Dev</t>
        </is>
      </c>
      <c r="C176" s="4" t="inlineStr">
        <is>
          <t>RPT_02_GRO Monitor</t>
        </is>
      </c>
      <c r="D176" s="4" t="inlineStr">
        <is>
          <t>Rupa</t>
        </is>
      </c>
      <c r="E176" s="4" t="inlineStr">
        <is>
          <t>Shraddha</t>
        </is>
      </c>
      <c r="F176" s="4" t="n"/>
      <c r="G176" s="4" t="inlineStr">
        <is>
          <t>Bardia</t>
        </is>
      </c>
      <c r="H176" s="4" t="n"/>
      <c r="I176" s="4" t="n"/>
      <c r="J176" s="4" t="n"/>
    </row>
    <row r="177">
      <c r="A177" s="4" t="inlineStr">
        <is>
          <t>CMS</t>
        </is>
      </c>
      <c r="B177" s="4" t="inlineStr">
        <is>
          <t>PBI Dev</t>
        </is>
      </c>
      <c r="C177" s="4" t="inlineStr">
        <is>
          <t>RPT_02_GRO Monitor</t>
        </is>
      </c>
      <c r="D177" s="4" t="inlineStr">
        <is>
          <t>Rupa</t>
        </is>
      </c>
      <c r="E177" s="4" t="inlineStr">
        <is>
          <t>Shraddha</t>
        </is>
      </c>
      <c r="F177" s="4" t="n"/>
      <c r="G177" s="4" t="inlineStr">
        <is>
          <t>Bardia</t>
        </is>
      </c>
      <c r="H177" s="4" t="n"/>
      <c r="I177" s="5" t="n">
        <v>46225</v>
      </c>
      <c r="J177" s="5" t="n">
        <v>46225</v>
      </c>
    </row>
    <row r="178">
      <c r="A178" s="4" t="inlineStr">
        <is>
          <t>CMS</t>
        </is>
      </c>
      <c r="B178" s="4" t="inlineStr">
        <is>
          <t>QA</t>
        </is>
      </c>
      <c r="C178" s="4" t="inlineStr">
        <is>
          <t>RPT_02_GRO Monitor</t>
        </is>
      </c>
      <c r="D178" s="4" t="inlineStr">
        <is>
          <t>Rupa</t>
        </is>
      </c>
      <c r="E178" s="4" t="inlineStr">
        <is>
          <t>Shraddha</t>
        </is>
      </c>
      <c r="F178" s="4" t="n"/>
      <c r="G178" s="4" t="inlineStr">
        <is>
          <t>Bardia</t>
        </is>
      </c>
      <c r="H178" s="5" t="n">
        <v>46225</v>
      </c>
      <c r="I178" s="5" t="n">
        <v>46230</v>
      </c>
      <c r="J178" s="5" t="n">
        <v>46230</v>
      </c>
    </row>
    <row r="179">
      <c r="A179" s="4" t="inlineStr">
        <is>
          <t>CMS</t>
        </is>
      </c>
      <c r="B179" s="4" t="inlineStr">
        <is>
          <t>DB Dev</t>
        </is>
      </c>
      <c r="C179" s="4" t="inlineStr">
        <is>
          <t>RPT_02_Public Buildings Inspection</t>
        </is>
      </c>
      <c r="D179" s="4" t="inlineStr">
        <is>
          <t>Geetha</t>
        </is>
      </c>
      <c r="E179" s="4" t="n"/>
      <c r="F179" s="4" t="n"/>
      <c r="G179" s="4" t="n"/>
      <c r="H179" s="4" t="n"/>
      <c r="I179" s="4" t="n"/>
      <c r="J179" s="4" t="n"/>
    </row>
    <row r="180">
      <c r="A180" s="4" t="inlineStr">
        <is>
          <t>CMS</t>
        </is>
      </c>
      <c r="B180" s="4" t="inlineStr">
        <is>
          <t>PBI Dev</t>
        </is>
      </c>
      <c r="C180" s="4" t="inlineStr">
        <is>
          <t>RPT_02_Public Buildings Inspection</t>
        </is>
      </c>
      <c r="D180" s="4" t="inlineStr">
        <is>
          <t>Geetha</t>
        </is>
      </c>
      <c r="E180" s="4" t="n"/>
      <c r="F180" s="4" t="n"/>
      <c r="G180" s="4" t="n"/>
      <c r="H180" s="4" t="n"/>
      <c r="I180" s="4" t="n"/>
      <c r="J180" s="4" t="n"/>
    </row>
    <row r="181">
      <c r="A181" s="4" t="inlineStr">
        <is>
          <t>CMS</t>
        </is>
      </c>
      <c r="B181" s="4" t="inlineStr">
        <is>
          <t>QA</t>
        </is>
      </c>
      <c r="C181" s="4" t="inlineStr">
        <is>
          <t>RPT_02_Public Buildings Inspection</t>
        </is>
      </c>
      <c r="D181" s="4" t="inlineStr">
        <is>
          <t>Geetha</t>
        </is>
      </c>
      <c r="E181" s="4" t="n"/>
      <c r="F181" s="4" t="n"/>
      <c r="G181" s="4" t="n"/>
      <c r="H181" s="4" t="n"/>
      <c r="I181" s="4" t="n"/>
      <c r="J181" s="4" t="n"/>
    </row>
    <row r="182">
      <c r="A182" s="4" t="inlineStr">
        <is>
          <t>CMS</t>
        </is>
      </c>
      <c r="B182" s="4" t="inlineStr">
        <is>
          <t>DB Dev</t>
        </is>
      </c>
      <c r="C182" s="4" t="inlineStr">
        <is>
          <t>RPT_02_Gas Trouble</t>
        </is>
      </c>
      <c r="D182" s="4" t="inlineStr">
        <is>
          <t>Siddu</t>
        </is>
      </c>
      <c r="E182" s="4" t="n"/>
      <c r="F182" s="4" t="n"/>
      <c r="G182" s="4" t="n"/>
      <c r="H182" s="4" t="n"/>
      <c r="I182" s="4" t="n"/>
      <c r="J182" s="4" t="n"/>
    </row>
    <row r="183">
      <c r="A183" s="4" t="inlineStr">
        <is>
          <t>CMS</t>
        </is>
      </c>
      <c r="B183" s="4" t="inlineStr">
        <is>
          <t>PBI Dev</t>
        </is>
      </c>
      <c r="C183" s="4" t="inlineStr">
        <is>
          <t>RPT_02_Gas Trouble</t>
        </is>
      </c>
      <c r="D183" s="4" t="inlineStr">
        <is>
          <t>Siddu</t>
        </is>
      </c>
      <c r="E183" s="4" t="n"/>
      <c r="F183" s="4" t="n"/>
      <c r="G183" s="4" t="n"/>
      <c r="H183" s="4" t="n"/>
      <c r="I183" s="4" t="n"/>
      <c r="J183" s="4" t="n"/>
    </row>
    <row r="184">
      <c r="A184" s="4" t="inlineStr">
        <is>
          <t>CMS</t>
        </is>
      </c>
      <c r="B184" s="4" t="inlineStr">
        <is>
          <t>QA</t>
        </is>
      </c>
      <c r="C184" s="4" t="inlineStr">
        <is>
          <t>RPT_02_Gas Trouble</t>
        </is>
      </c>
      <c r="D184" s="4" t="inlineStr">
        <is>
          <t>Siddu</t>
        </is>
      </c>
      <c r="E184" s="4" t="n"/>
      <c r="F184" s="4" t="n"/>
      <c r="G184" s="4" t="n"/>
      <c r="H184" s="4" t="n"/>
      <c r="I184" s="4" t="n"/>
      <c r="J184" s="4" t="n"/>
    </row>
  </sheetData>
  <sheetProtection selectLockedCells="0" selectUnlockedCells="0" sheet="1" objects="0" insertRows="1" insertHyperlinks="1" autoFilter="1" scenarios="0" formatColumns="1" deleteColumns="1" insertColumns="1" pivotTables="1" deleteRows="1" formatCells="1" formatRows="1" sort="1"/>
  <autoFilter ref="A2:J156"/>
  <mergeCells count="1">
    <mergeCell ref="A1:J1"/>
  </mergeCells>
  <pageMargins left="0.75" right="0.75" top="1" bottom="1" header="0.511811023622047" footer="0.5"/>
  <pageSetup orientation="portrait" paperSize="9" horizontalDpi="300" verticalDpi="300"/>
  <headerFooter>
    <oddHeader/>
    <oddFooter>&amp;L&amp;"Aptos,Regular"&amp;10 _x000d_# This content is for internal use only_x000d_&amp;1#&amp;"Aptos"&amp;10 &amp;K000000 This content is for internal use only</oddFooter>
    <evenHeader/>
    <evenFooter/>
    <firstHeader/>
    <firstFooter/>
  </headerFooter>
</worksheet>
</file>

<file path=xl/worksheets/sheet6.xml><?xml version="1.0" encoding="utf-8"?>
<worksheet xmlns="http://schemas.openxmlformats.org/spreadsheetml/2006/main">
  <sheetPr>
    <outlinePr summaryBelow="1" summaryRight="1"/>
    <pageSetUpPr/>
  </sheetPr>
  <dimension ref="A1:C15"/>
  <sheetViews>
    <sheetView tabSelected="1" zoomScaleNormal="100" workbookViewId="0">
      <pane ySplit="2" topLeftCell="A3" activePane="bottomLeft" state="frozen"/>
      <selection pane="bottomLeft" activeCell="B5" sqref="B5"/>
    </sheetView>
  </sheetViews>
  <sheetFormatPr baseColWidth="8" defaultColWidth="8.6640625" defaultRowHeight="14.4"/>
  <cols>
    <col width="22" customWidth="1" style="60" min="1" max="3"/>
  </cols>
  <sheetData>
    <row r="1" ht="14.25" customHeight="1" s="60">
      <c r="A1" s="59" t="inlineStr">
        <is>
          <t>This tab is manually maintained - edit Expected Report Count / Expected Release Date directly, or add new domain/month rows, as delivery plans change. Unlike Fact Table, the app always reads this sheet as-is.</t>
        </is>
      </c>
    </row>
    <row r="2" ht="14.25" customHeight="1" s="60">
      <c r="A2" s="53" t="inlineStr">
        <is>
          <t>Domain</t>
        </is>
      </c>
      <c r="B2" s="53" t="inlineStr">
        <is>
          <t>Expected Report Count</t>
        </is>
      </c>
      <c r="C2" s="53" t="inlineStr">
        <is>
          <t>Expected Release Date</t>
        </is>
      </c>
    </row>
    <row r="3" ht="14.25" customHeight="1" s="60">
      <c r="A3" s="56" t="inlineStr">
        <is>
          <t>Leaks</t>
        </is>
      </c>
      <c r="B3" s="56" t="n">
        <v>8</v>
      </c>
      <c r="C3" s="57" t="n">
        <v>46142</v>
      </c>
    </row>
    <row r="4" ht="14.25" customHeight="1" s="60">
      <c r="A4" s="56" t="inlineStr">
        <is>
          <t>Leaks</t>
        </is>
      </c>
      <c r="B4" s="56" t="n">
        <v>10</v>
      </c>
      <c r="C4" s="57" t="n">
        <v>46172</v>
      </c>
    </row>
    <row r="5" ht="14.25" customHeight="1" s="60">
      <c r="A5" s="56" t="inlineStr">
        <is>
          <t>Leaks</t>
        </is>
      </c>
      <c r="B5" s="56" t="n">
        <v>9</v>
      </c>
      <c r="C5" s="57" t="n">
        <v>46203</v>
      </c>
    </row>
    <row r="6" ht="14.25" customHeight="1" s="60">
      <c r="A6" s="56" t="inlineStr">
        <is>
          <t>CMS</t>
        </is>
      </c>
      <c r="B6" s="56" t="n">
        <v>15</v>
      </c>
      <c r="C6" s="57" t="n">
        <v>46233</v>
      </c>
    </row>
    <row r="7" ht="14.25" customHeight="1" s="60">
      <c r="A7" s="56" t="inlineStr">
        <is>
          <t>CMS</t>
        </is>
      </c>
      <c r="B7" s="56" t="n">
        <v>15</v>
      </c>
      <c r="C7" s="57" t="n">
        <v>46264</v>
      </c>
    </row>
    <row r="8" ht="14.25" customHeight="1" s="60">
      <c r="A8" s="56" t="inlineStr">
        <is>
          <t>CMS</t>
        </is>
      </c>
      <c r="B8" s="56" t="n">
        <v>17</v>
      </c>
      <c r="C8" s="57" t="n">
        <v>46295</v>
      </c>
    </row>
    <row r="9" ht="14.25" customHeight="1" s="60">
      <c r="A9" s="56" t="inlineStr">
        <is>
          <t>CMS</t>
        </is>
      </c>
      <c r="B9" s="56" t="n">
        <v>20</v>
      </c>
      <c r="C9" s="57" t="n">
        <v>46325</v>
      </c>
    </row>
    <row r="10" ht="14.25" customHeight="1" s="60">
      <c r="A10" s="56" t="inlineStr">
        <is>
          <t>CMS</t>
        </is>
      </c>
      <c r="B10" s="56" t="n">
        <v>20</v>
      </c>
      <c r="C10" s="57" t="n">
        <v>46356</v>
      </c>
    </row>
    <row r="11" ht="14.25" customHeight="1" s="60">
      <c r="A11" s="56" t="inlineStr">
        <is>
          <t>Maintenance and Construction</t>
        </is>
      </c>
      <c r="B11" s="56" t="n">
        <v>18</v>
      </c>
      <c r="C11" s="57" t="n">
        <v>46386</v>
      </c>
    </row>
    <row r="12" ht="14.25" customHeight="1" s="60">
      <c r="A12" s="56" t="inlineStr">
        <is>
          <t>Maintenance and Construction</t>
        </is>
      </c>
      <c r="B12" s="56" t="n">
        <v>18</v>
      </c>
      <c r="C12" s="57" t="n">
        <v>46417</v>
      </c>
    </row>
    <row r="13" ht="14.25" customHeight="1" s="60">
      <c r="A13" s="56" t="inlineStr">
        <is>
          <t>Maintenance and Construction</t>
        </is>
      </c>
      <c r="B13" s="56" t="n">
        <v>19</v>
      </c>
      <c r="C13" s="57" t="n">
        <v>46446</v>
      </c>
    </row>
    <row r="14" ht="14.25" customHeight="1" s="60">
      <c r="A14" s="56" t="inlineStr">
        <is>
          <t>Meter Management</t>
        </is>
      </c>
      <c r="B14" s="56" t="n">
        <v>9</v>
      </c>
      <c r="C14" s="57" t="n">
        <v>46476</v>
      </c>
    </row>
    <row r="15" ht="14.25" customHeight="1" s="60">
      <c r="A15" s="56" t="inlineStr">
        <is>
          <t>Assets and Engineering</t>
        </is>
      </c>
      <c r="B15" s="56" t="n">
        <v>8</v>
      </c>
      <c r="C15" s="57" t="n">
        <v>46476</v>
      </c>
    </row>
  </sheetData>
  <autoFilter ref="A2:C15"/>
  <mergeCells count="1">
    <mergeCell ref="A1:C1"/>
  </mergeCells>
  <pageMargins left="0.75" right="0.75" top="1" bottom="1" header="0.511811023622047" footer="0.5"/>
  <pageSetup orientation="portrait" paperSize="9" horizontalDpi="300" verticalDpi="300"/>
  <headerFooter>
    <oddHeader/>
    <oddFooter>&amp;L&amp;"Aptos,Regular"&amp;10 _x000d_# This content is for internal use only_x000d_&amp;1#&amp;"Aptos"&amp;10 &amp;K000000 This content is for internal use only</oddFooter>
    <evenHeader/>
    <evenFooter/>
    <firstHeader/>
    <firstFooter/>
  </headerFooter>
</worksheet>
</file>

<file path=xl/worksheets/sheet7.xml><?xml version="1.0" encoding="utf-8"?>
<worksheet xmlns="http://schemas.openxmlformats.org/spreadsheetml/2006/main">
  <sheetPr>
    <outlinePr summaryBelow="1" summaryRight="1"/>
    <pageSetUpPr/>
  </sheetPr>
  <dimension ref="A1:I13"/>
  <sheetViews>
    <sheetView zoomScaleNormal="100" workbookViewId="0">
      <selection activeCell="D19" sqref="D19"/>
    </sheetView>
  </sheetViews>
  <sheetFormatPr baseColWidth="8" defaultColWidth="8.6640625" defaultRowHeight="14.4"/>
  <cols>
    <col width="26" customWidth="1" style="60" min="1" max="1"/>
    <col width="14" customWidth="1" style="60" min="2" max="3"/>
    <col width="10" customWidth="1" style="60" min="4" max="5"/>
    <col width="18" customWidth="1" style="60" min="6" max="6"/>
    <col width="16" customWidth="1" style="60" min="7" max="7"/>
    <col width="14" customWidth="1" style="60" min="8" max="8"/>
  </cols>
  <sheetData>
    <row r="1" ht="15" customHeight="1" s="60">
      <c r="A1" s="2" t="inlineStr">
        <is>
          <t>Domain</t>
        </is>
      </c>
      <c r="B1" s="2" t="inlineStr">
        <is>
          <t>DB Developer</t>
        </is>
      </c>
      <c r="C1" s="2" t="inlineStr">
        <is>
          <t>PBI Developer</t>
        </is>
      </c>
      <c r="D1" s="2" t="inlineStr">
        <is>
          <t>PO</t>
        </is>
      </c>
      <c r="E1" s="2" t="inlineStr">
        <is>
          <t>Yes / No</t>
        </is>
      </c>
      <c r="F1" s="2" t="inlineStr">
        <is>
          <t>Current Status</t>
        </is>
      </c>
      <c r="G1" s="6" t="inlineStr">
        <is>
          <t>All Developers</t>
        </is>
      </c>
      <c r="H1" s="6" t="inlineStr">
        <is>
          <t>QA Tester</t>
        </is>
      </c>
      <c r="I1" t="inlineStr">
        <is>
          <t>Blocked?</t>
        </is>
      </c>
    </row>
    <row r="2" ht="13.5" customHeight="1" s="60">
      <c r="A2" s="3" t="inlineStr">
        <is>
          <t>-&gt; feeds column A on Combined Delivery Data</t>
        </is>
      </c>
      <c r="B2" s="3" t="inlineStr">
        <is>
          <t>-&gt; feeds column F on Combined Delivery Data</t>
        </is>
      </c>
      <c r="C2" s="3" t="inlineStr">
        <is>
          <t>-&gt; feeds column G on Combined Delivery Data</t>
        </is>
      </c>
      <c r="D2" s="3" t="inlineStr">
        <is>
          <t>-&gt; feeds column E on Combined Delivery Data</t>
        </is>
      </c>
      <c r="E2" s="3" t="inlineStr">
        <is>
          <t>-&gt; feeds column Y (Confirmed Deployed?) on Combined Delivery Data</t>
        </is>
      </c>
      <c r="F2" s="3" t="inlineStr">
        <is>
          <t>-&gt; feeds column C on Combined Delivery Data</t>
        </is>
      </c>
      <c r="G2" t="inlineStr">
        <is>
          <t>-&gt; feeds column G on Rework Log (Assigned To)</t>
        </is>
      </c>
      <c r="H2" t="inlineStr">
        <is>
          <t>-&gt; feeds column I on Combined Delivery Data</t>
        </is>
      </c>
      <c r="I2" t="inlineStr">
        <is>
          <t>-&gt; feeds column AC on Combined Delivery Data</t>
        </is>
      </c>
    </row>
    <row r="3" ht="15" customHeight="1" s="60">
      <c r="A3" t="inlineStr">
        <is>
          <t>Leaks</t>
        </is>
      </c>
      <c r="B3" t="inlineStr">
        <is>
          <t>Fetwi</t>
        </is>
      </c>
      <c r="C3" t="inlineStr">
        <is>
          <t>Navya</t>
        </is>
      </c>
      <c r="D3" t="inlineStr">
        <is>
          <t>Kushal</t>
        </is>
      </c>
      <c r="E3" t="inlineStr">
        <is>
          <t>Yes</t>
        </is>
      </c>
      <c r="F3" t="inlineStr">
        <is>
          <t>NOT STARTED</t>
        </is>
      </c>
      <c r="G3" t="inlineStr">
        <is>
          <t>Fetwi</t>
        </is>
      </c>
      <c r="H3" t="inlineStr">
        <is>
          <t>Preety</t>
        </is>
      </c>
      <c r="I3" t="inlineStr">
        <is>
          <t>No</t>
        </is>
      </c>
    </row>
    <row r="4" ht="15" customHeight="1" s="60">
      <c r="A4" t="inlineStr">
        <is>
          <t>CMS</t>
        </is>
      </c>
      <c r="B4" t="inlineStr">
        <is>
          <t>Siva</t>
        </is>
      </c>
      <c r="C4" t="inlineStr">
        <is>
          <t>Sarath</t>
        </is>
      </c>
      <c r="D4" t="inlineStr">
        <is>
          <t>Bardia</t>
        </is>
      </c>
      <c r="E4" t="inlineStr">
        <is>
          <t>No</t>
        </is>
      </c>
      <c r="F4" t="inlineStr">
        <is>
          <t>DB Dev</t>
        </is>
      </c>
      <c r="G4" t="inlineStr">
        <is>
          <t>Siva</t>
        </is>
      </c>
      <c r="H4" t="inlineStr">
        <is>
          <t>Kelvin</t>
        </is>
      </c>
      <c r="I4" t="inlineStr">
        <is>
          <t>Yes – other</t>
        </is>
      </c>
    </row>
    <row r="5" ht="15" customHeight="1" s="60">
      <c r="A5" t="inlineStr">
        <is>
          <t>Maintenance and Construction</t>
        </is>
      </c>
      <c r="B5" t="inlineStr">
        <is>
          <t>Sreevarsha</t>
        </is>
      </c>
      <c r="C5" t="inlineStr">
        <is>
          <t>Shraddha</t>
        </is>
      </c>
      <c r="F5" t="inlineStr">
        <is>
          <t>PBI Dev</t>
        </is>
      </c>
      <c r="G5" t="inlineStr">
        <is>
          <t>Sreevarsha</t>
        </is>
      </c>
      <c r="H5" t="inlineStr">
        <is>
          <t>Kushal</t>
        </is>
      </c>
      <c r="I5" t="inlineStr">
        <is>
          <t>Yes – needs DB Dev to fix</t>
        </is>
      </c>
    </row>
    <row r="6" ht="15" customHeight="1" s="60">
      <c r="A6" t="inlineStr">
        <is>
          <t>Meter Management</t>
        </is>
      </c>
      <c r="B6" t="inlineStr">
        <is>
          <t>Siddu</t>
        </is>
      </c>
      <c r="F6" t="inlineStr">
        <is>
          <t>QA</t>
        </is>
      </c>
      <c r="G6" t="inlineStr">
        <is>
          <t>Siddu</t>
        </is>
      </c>
      <c r="H6" t="inlineStr">
        <is>
          <t>Bardia</t>
        </is>
      </c>
      <c r="I6" t="inlineStr">
        <is>
          <t>Yes – needs PBI Dev to fix</t>
        </is>
      </c>
    </row>
    <row r="7" ht="15" customHeight="1" s="60">
      <c r="A7" t="inlineStr">
        <is>
          <t>Assets and Engineering</t>
        </is>
      </c>
      <c r="B7" t="inlineStr">
        <is>
          <t>Sree</t>
        </is>
      </c>
      <c r="F7" t="inlineStr">
        <is>
          <t>DPO Approval</t>
        </is>
      </c>
      <c r="G7" t="inlineStr">
        <is>
          <t>Sree</t>
        </is>
      </c>
      <c r="I7" t="inlineStr">
        <is>
          <t>Yes – needs QA to fix</t>
        </is>
      </c>
    </row>
    <row r="8" ht="15" customHeight="1" s="60">
      <c r="B8" t="inlineStr">
        <is>
          <t>Rupa</t>
        </is>
      </c>
      <c r="F8" t="inlineStr">
        <is>
          <t>RELEASED IN PROD</t>
        </is>
      </c>
      <c r="G8" t="inlineStr">
        <is>
          <t>Rupa</t>
        </is>
      </c>
      <c r="I8" t="inlineStr">
        <is>
          <t>Yes – needs DPO Approval to fix</t>
        </is>
      </c>
    </row>
    <row r="9" ht="15" customHeight="1" s="60">
      <c r="B9" t="inlineStr">
        <is>
          <t>Geetha</t>
        </is>
      </c>
      <c r="G9" t="inlineStr">
        <is>
          <t>Geetha</t>
        </is>
      </c>
    </row>
    <row r="10" ht="15" customHeight="1" s="60">
      <c r="B10" t="inlineStr">
        <is>
          <t>Nick</t>
        </is>
      </c>
      <c r="G10" t="inlineStr">
        <is>
          <t>Nick</t>
        </is>
      </c>
    </row>
    <row r="11">
      <c r="G11" t="inlineStr">
        <is>
          <t>Navya</t>
        </is>
      </c>
    </row>
    <row r="12">
      <c r="G12" t="inlineStr">
        <is>
          <t>Sarath</t>
        </is>
      </c>
    </row>
    <row r="13">
      <c r="G13" t="inlineStr">
        <is>
          <t>Shraddha</t>
        </is>
      </c>
    </row>
  </sheetData>
  <pageMargins left="0.75" right="0.75" top="1" bottom="1" header="0.511811023622047" footer="0.511811023622047"/>
  <pageSetup orientation="portrait" paperSize="9" horizontalDpi="300" verticalDpi="300"/>
  <headerFooter>
    <oddHeader/>
    <oddFooter>&amp;L&amp;"Aptos"&amp;10 &amp;K000000_x000d_# This content is for internal use only</oddFooter>
    <evenHeader/>
    <evenFooter/>
    <firstHeader/>
    <firstFooter/>
  </headerFooter>
  <legacyDrawing xmlns:r="http://schemas.openxmlformats.org/officeDocument/2006/relationships" r:id="anysvml"/>
</worksheet>
</file>

<file path=docProps/app.xml><?xml version="1.0" encoding="utf-8"?>
<Properties xmlns="http://schemas.openxmlformats.org/officeDocument/2006/extended-properties">
  <Application>Microsoft Excel</Application>
  <AppVersion>16.0000</AppVersion>
</Properties>
</file>

<file path=docProps/core.xml><?xml version="1.0" encoding="utf-8"?>
<cp:coreProperties xmlns:cp="http://schemas.openxmlformats.org/package/2006/metadata/core-properties">
  <dc:creator xmlns:dc="http://purl.org/dc/elements/1.1/"/>
  <dcterms:created xmlns:dcterms="http://purl.org/dc/terms/" xmlns:xsi="http://www.w3.org/2001/XMLSchema-instance" xsi:type="dcterms:W3CDTF">2026-07-21T14:32:59Z</dcterms:created>
  <dcterms:modified xmlns:dcterms="http://purl.org/dc/terms/" xmlns:xsi="http://www.w3.org/2001/XMLSchema-instance" xsi:type="dcterms:W3CDTF">2026-07-27T05:50:25Z</dcterms:modified>
  <cp:lastModifiedBy/>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0x010100EC4A9A80021CA64FA26BF7E6361FF67B</vt:lpwstr>
  </property>
  <property name="MSIP_Label_8bd75a54-f2be-4ffa-b165-74c609d83991_Enabled" fmtid="{D5CDD505-2E9C-101B-9397-08002B2CF9AE}" pid="3">
    <vt:lpwstr xmlns:vt="http://schemas.openxmlformats.org/officeDocument/2006/docPropsVTypes">true</vt:lpwstr>
  </property>
  <property name="MSIP_Label_8bd75a54-f2be-4ffa-b165-74c609d83991_SetDate" fmtid="{D5CDD505-2E9C-101B-9397-08002B2CF9AE}" pid="4">
    <vt:lpwstr xmlns:vt="http://schemas.openxmlformats.org/officeDocument/2006/docPropsVTypes">2026-07-21T20:46:14Z</vt:lpwstr>
  </property>
  <property name="MSIP_Label_8bd75a54-f2be-4ffa-b165-74c609d83991_Method" fmtid="{D5CDD505-2E9C-101B-9397-08002B2CF9AE}" pid="5">
    <vt:lpwstr xmlns:vt="http://schemas.openxmlformats.org/officeDocument/2006/docPropsVTypes">Standard</vt:lpwstr>
  </property>
  <property name="MSIP_Label_8bd75a54-f2be-4ffa-b165-74c609d83991_Name" fmtid="{D5CDD505-2E9C-101B-9397-08002B2CF9AE}" pid="6">
    <vt:lpwstr xmlns:vt="http://schemas.openxmlformats.org/officeDocument/2006/docPropsVTypes">Internal use only</vt:lpwstr>
  </property>
  <property name="MSIP_Label_8bd75a54-f2be-4ffa-b165-74c609d83991_SiteId" fmtid="{D5CDD505-2E9C-101B-9397-08002B2CF9AE}" pid="7">
    <vt:lpwstr xmlns:vt="http://schemas.openxmlformats.org/officeDocument/2006/docPropsVTypes">f98a6a53-25f3-4212-901c-c7787fcd3495</vt:lpwstr>
  </property>
  <property name="MSIP_Label_8bd75a54-f2be-4ffa-b165-74c609d83991_ActionId" fmtid="{D5CDD505-2E9C-101B-9397-08002B2CF9AE}" pid="8">
    <vt:lpwstr xmlns:vt="http://schemas.openxmlformats.org/officeDocument/2006/docPropsVTypes">c5162870-5a3f-42c9-89f6-4aa8cb35f675</vt:lpwstr>
  </property>
  <property name="MSIP_Label_8bd75a54-f2be-4ffa-b165-74c609d83991_ContentBits" fmtid="{D5CDD505-2E9C-101B-9397-08002B2CF9AE}" pid="9">
    <vt:lpwstr xmlns:vt="http://schemas.openxmlformats.org/officeDocument/2006/docPropsVTypes">0</vt:lpwstr>
  </property>
  <property name="MSIP_Label_8bd75a54-f2be-4ffa-b165-74c609d83991_Tag" fmtid="{D5CDD505-2E9C-101B-9397-08002B2CF9AE}" pid="10">
    <vt:lpwstr xmlns:vt="http://schemas.openxmlformats.org/officeDocument/2006/docPropsVTypes">10, 3, 0, 2</vt:lpwstr>
  </property>
</Properties>
</file>