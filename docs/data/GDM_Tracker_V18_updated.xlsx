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nationalgridplc-my.sharepoint.com/personal/bezawit_getaneh1_nationalgrid_com/Documents/GDM/"/>
    </mc:Choice>
  </mc:AlternateContent>
  <xr:revisionPtr revIDLastSave="0" documentId="8_{BD427B5F-5E71-4FFF-9D95-95DC38070D72}" xr6:coauthVersionLast="47" xr6:coauthVersionMax="47" xr10:uidLastSave="{00000000-0000-0000-0000-000000000000}"/>
  <bookViews>
    <workbookView xWindow="-120" yWindow="-120" windowWidth="23280" windowHeight="14880" tabRatio="500" firstSheet="1" activeTab="1" xr2:uid="{00000000-000D-0000-FFFF-FFFF00000000}"/>
  </bookViews>
  <sheets>
    <sheet name="README - Instructions" sheetId="1" state="hidden" r:id="rId1"/>
    <sheet name="Combined Delivery Data" sheetId="2" r:id="rId2"/>
    <sheet name="Find a Report" sheetId="3" r:id="rId3"/>
    <sheet name="Fact Table" sheetId="4" r:id="rId4"/>
    <sheet name="Dim Table" sheetId="5" r:id="rId5"/>
    <sheet name="Data Validation" sheetId="6" r:id="rId6"/>
    <sheet name="Rework Log" sheetId="7" r:id="rId7"/>
  </sheets>
  <definedNames>
    <definedName name="_xlnm._FilterDatabase" localSheetId="4" hidden="1">'Dim Table'!$A$2:$C$15</definedName>
    <definedName name="_xlnm._FilterDatabase" localSheetId="3" hidden="1">'Fact Table'!$A$2:$J$156</definedName>
    <definedName name="_xlnm._FilterDatabase" localSheetId="6" hidden="1">'Rework Log'!$A$2:$G$2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4" i="7" l="1"/>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B31" i="3"/>
  <c r="B30" i="3"/>
  <c r="B29" i="3"/>
  <c r="B28" i="3"/>
  <c r="B27" i="3"/>
  <c r="B26" i="3"/>
  <c r="B25" i="3"/>
  <c r="B24" i="3"/>
  <c r="B23" i="3"/>
  <c r="B22" i="3"/>
  <c r="B21" i="3"/>
  <c r="B20" i="3"/>
  <c r="B19" i="3"/>
  <c r="B18" i="3"/>
  <c r="B17" i="3"/>
  <c r="B16" i="3"/>
  <c r="B15" i="3"/>
  <c r="B14" i="3"/>
  <c r="B13" i="3"/>
  <c r="B12" i="3"/>
  <c r="B11" i="3"/>
  <c r="B10" i="3"/>
  <c r="B9" i="3"/>
  <c r="B8" i="3"/>
  <c r="B7" i="3"/>
  <c r="B6" i="3"/>
  <c r="AR500" i="2"/>
  <c r="AP500" i="2"/>
  <c r="AO500" i="2"/>
  <c r="AN500" i="2"/>
  <c r="AM500" i="2"/>
  <c r="AL500" i="2"/>
  <c r="AK500" i="2"/>
  <c r="AJ500" i="2"/>
  <c r="AI500" i="2"/>
  <c r="AH500" i="2"/>
  <c r="D500" i="2"/>
  <c r="AR499" i="2"/>
  <c r="AP499" i="2"/>
  <c r="AO499" i="2"/>
  <c r="AN499" i="2"/>
  <c r="AM499" i="2"/>
  <c r="AL499" i="2"/>
  <c r="AK499" i="2"/>
  <c r="AJ499" i="2"/>
  <c r="AI499" i="2"/>
  <c r="AH499" i="2"/>
  <c r="D499" i="2"/>
  <c r="AR498" i="2"/>
  <c r="AP498" i="2"/>
  <c r="AO498" i="2"/>
  <c r="AN498" i="2"/>
  <c r="AM498" i="2"/>
  <c r="AL498" i="2"/>
  <c r="AK498" i="2"/>
  <c r="AJ498" i="2"/>
  <c r="AI498" i="2"/>
  <c r="AH498" i="2"/>
  <c r="D498" i="2"/>
  <c r="AR497" i="2"/>
  <c r="AP497" i="2"/>
  <c r="AO497" i="2"/>
  <c r="AN497" i="2"/>
  <c r="AM497" i="2"/>
  <c r="AL497" i="2"/>
  <c r="AK497" i="2"/>
  <c r="AJ497" i="2"/>
  <c r="AI497" i="2"/>
  <c r="AH497" i="2"/>
  <c r="D497" i="2"/>
  <c r="AR496" i="2"/>
  <c r="AP496" i="2"/>
  <c r="AO496" i="2"/>
  <c r="AN496" i="2"/>
  <c r="AM496" i="2"/>
  <c r="AL496" i="2"/>
  <c r="AK496" i="2"/>
  <c r="AJ496" i="2"/>
  <c r="AI496" i="2"/>
  <c r="AH496" i="2"/>
  <c r="D496" i="2"/>
  <c r="AR495" i="2"/>
  <c r="AP495" i="2"/>
  <c r="AO495" i="2"/>
  <c r="AN495" i="2"/>
  <c r="AM495" i="2"/>
  <c r="AL495" i="2"/>
  <c r="AK495" i="2"/>
  <c r="AJ495" i="2"/>
  <c r="AI495" i="2"/>
  <c r="AH495" i="2"/>
  <c r="D495" i="2"/>
  <c r="AR494" i="2"/>
  <c r="AP494" i="2"/>
  <c r="AO494" i="2"/>
  <c r="AN494" i="2"/>
  <c r="AM494" i="2"/>
  <c r="AL494" i="2"/>
  <c r="AK494" i="2"/>
  <c r="AJ494" i="2"/>
  <c r="AI494" i="2"/>
  <c r="AH494" i="2"/>
  <c r="D494" i="2"/>
  <c r="AR493" i="2"/>
  <c r="AP493" i="2"/>
  <c r="AO493" i="2"/>
  <c r="AN493" i="2"/>
  <c r="AM493" i="2"/>
  <c r="AL493" i="2"/>
  <c r="AK493" i="2"/>
  <c r="AJ493" i="2"/>
  <c r="AI493" i="2"/>
  <c r="AH493" i="2"/>
  <c r="D493" i="2"/>
  <c r="AR492" i="2"/>
  <c r="AP492" i="2"/>
  <c r="AO492" i="2"/>
  <c r="AN492" i="2"/>
  <c r="AM492" i="2"/>
  <c r="AL492" i="2"/>
  <c r="AK492" i="2"/>
  <c r="AJ492" i="2"/>
  <c r="AI492" i="2"/>
  <c r="AH492" i="2"/>
  <c r="D492" i="2"/>
  <c r="AR491" i="2"/>
  <c r="AP491" i="2"/>
  <c r="AO491" i="2"/>
  <c r="AN491" i="2"/>
  <c r="AM491" i="2"/>
  <c r="AI491" i="2"/>
  <c r="AH491" i="2"/>
  <c r="D491" i="2"/>
  <c r="AR490" i="2"/>
  <c r="AP490" i="2"/>
  <c r="AO490" i="2"/>
  <c r="AN490" i="2"/>
  <c r="AM490" i="2"/>
  <c r="AL490" i="2"/>
  <c r="AK490" i="2"/>
  <c r="AJ490" i="2"/>
  <c r="AI490" i="2"/>
  <c r="AH490" i="2"/>
  <c r="D490" i="2"/>
  <c r="AR489" i="2"/>
  <c r="AP489" i="2"/>
  <c r="AO489" i="2"/>
  <c r="AN489" i="2"/>
  <c r="AM489" i="2"/>
  <c r="AL489" i="2"/>
  <c r="AK489" i="2"/>
  <c r="AJ489" i="2"/>
  <c r="AI489" i="2"/>
  <c r="AH489" i="2"/>
  <c r="D489" i="2"/>
  <c r="AR488" i="2"/>
  <c r="AP488" i="2"/>
  <c r="AO488" i="2"/>
  <c r="AN488" i="2"/>
  <c r="AM488" i="2"/>
  <c r="AL488" i="2"/>
  <c r="AK488" i="2"/>
  <c r="AJ488" i="2"/>
  <c r="AI488" i="2"/>
  <c r="AH488" i="2"/>
  <c r="D488" i="2"/>
  <c r="AR487" i="2"/>
  <c r="AP487" i="2"/>
  <c r="AO487" i="2"/>
  <c r="AN487" i="2"/>
  <c r="AM487" i="2"/>
  <c r="AL487" i="2"/>
  <c r="AK487" i="2"/>
  <c r="AJ487" i="2"/>
  <c r="AI487" i="2"/>
  <c r="AH487" i="2"/>
  <c r="D487" i="2"/>
  <c r="AR486" i="2"/>
  <c r="AP486" i="2"/>
  <c r="AO486" i="2"/>
  <c r="AN486" i="2"/>
  <c r="AM486" i="2"/>
  <c r="AL486" i="2"/>
  <c r="AK486" i="2"/>
  <c r="AJ486" i="2"/>
  <c r="AI486" i="2"/>
  <c r="AH486" i="2"/>
  <c r="D486" i="2"/>
  <c r="AR485" i="2"/>
  <c r="AP485" i="2"/>
  <c r="AO485" i="2"/>
  <c r="AN485" i="2"/>
  <c r="AM485" i="2"/>
  <c r="AL485" i="2"/>
  <c r="AK485" i="2"/>
  <c r="AJ485" i="2"/>
  <c r="AI485" i="2"/>
  <c r="AH485" i="2"/>
  <c r="D485" i="2"/>
  <c r="AR484" i="2"/>
  <c r="AP484" i="2"/>
  <c r="AO484" i="2"/>
  <c r="AN484" i="2"/>
  <c r="AM484" i="2"/>
  <c r="AL484" i="2"/>
  <c r="AK484" i="2"/>
  <c r="AJ484" i="2"/>
  <c r="AI484" i="2"/>
  <c r="AH484" i="2"/>
  <c r="D484" i="2"/>
  <c r="AR483" i="2"/>
  <c r="AP483" i="2"/>
  <c r="AO483" i="2"/>
  <c r="AN483" i="2"/>
  <c r="AM483" i="2"/>
  <c r="AL483" i="2"/>
  <c r="AK483" i="2"/>
  <c r="AJ483" i="2"/>
  <c r="AI483" i="2"/>
  <c r="AH483" i="2"/>
  <c r="D483" i="2"/>
  <c r="AR482" i="2"/>
  <c r="AP482" i="2"/>
  <c r="AO482" i="2"/>
  <c r="AN482" i="2"/>
  <c r="AM482" i="2"/>
  <c r="AL482" i="2"/>
  <c r="AK482" i="2"/>
  <c r="AJ482" i="2"/>
  <c r="AI482" i="2"/>
  <c r="AH482" i="2"/>
  <c r="D482" i="2"/>
  <c r="AR481" i="2"/>
  <c r="AP481" i="2"/>
  <c r="AO481" i="2"/>
  <c r="AN481" i="2"/>
  <c r="AM481" i="2"/>
  <c r="AL481" i="2"/>
  <c r="AK481" i="2"/>
  <c r="AJ481" i="2"/>
  <c r="AI481" i="2"/>
  <c r="AH481" i="2"/>
  <c r="D481" i="2"/>
  <c r="AR480" i="2"/>
  <c r="AP480" i="2"/>
  <c r="AO480" i="2"/>
  <c r="AN480" i="2"/>
  <c r="AM480" i="2"/>
  <c r="AL480" i="2"/>
  <c r="AK480" i="2"/>
  <c r="AJ480" i="2"/>
  <c r="AI480" i="2"/>
  <c r="AH480" i="2"/>
  <c r="D480" i="2"/>
  <c r="AR479" i="2"/>
  <c r="AP479" i="2"/>
  <c r="AO479" i="2"/>
  <c r="AN479" i="2"/>
  <c r="AM479" i="2"/>
  <c r="AL479" i="2"/>
  <c r="AK479" i="2"/>
  <c r="AJ479" i="2"/>
  <c r="AI479" i="2"/>
  <c r="AH479" i="2"/>
  <c r="D479" i="2"/>
  <c r="AR478" i="2"/>
  <c r="AP478" i="2"/>
  <c r="AO478" i="2"/>
  <c r="AN478" i="2"/>
  <c r="AM478" i="2"/>
  <c r="AL478" i="2"/>
  <c r="AK478" i="2"/>
  <c r="AJ478" i="2"/>
  <c r="AI478" i="2"/>
  <c r="AH478" i="2"/>
  <c r="D478" i="2"/>
  <c r="AR477" i="2"/>
  <c r="AP477" i="2"/>
  <c r="AO477" i="2"/>
  <c r="AN477" i="2"/>
  <c r="AM477" i="2"/>
  <c r="AL477" i="2"/>
  <c r="AK477" i="2"/>
  <c r="AJ477" i="2"/>
  <c r="AI477" i="2"/>
  <c r="AH477" i="2"/>
  <c r="D477" i="2"/>
  <c r="AR476" i="2"/>
  <c r="AP476" i="2"/>
  <c r="AO476" i="2"/>
  <c r="AN476" i="2"/>
  <c r="AM476" i="2"/>
  <c r="AL476" i="2"/>
  <c r="AK476" i="2"/>
  <c r="AJ476" i="2"/>
  <c r="AI476" i="2"/>
  <c r="AH476" i="2"/>
  <c r="D476" i="2"/>
  <c r="AR475" i="2"/>
  <c r="AP475" i="2"/>
  <c r="AO475" i="2"/>
  <c r="AN475" i="2"/>
  <c r="AM475" i="2"/>
  <c r="AL475" i="2"/>
  <c r="AK475" i="2"/>
  <c r="AJ475" i="2"/>
  <c r="AI475" i="2"/>
  <c r="AH475" i="2"/>
  <c r="D475" i="2"/>
  <c r="AR474" i="2"/>
  <c r="AP474" i="2"/>
  <c r="AO474" i="2"/>
  <c r="AN474" i="2"/>
  <c r="AM474" i="2"/>
  <c r="AL474" i="2"/>
  <c r="AK474" i="2"/>
  <c r="AJ474" i="2"/>
  <c r="AI474" i="2"/>
  <c r="AH474" i="2"/>
  <c r="D474" i="2"/>
  <c r="AR473" i="2"/>
  <c r="AP473" i="2"/>
  <c r="AO473" i="2"/>
  <c r="AN473" i="2"/>
  <c r="AM473" i="2"/>
  <c r="AL473" i="2"/>
  <c r="AK473" i="2"/>
  <c r="AJ473" i="2"/>
  <c r="AI473" i="2"/>
  <c r="AH473" i="2"/>
  <c r="D473" i="2"/>
  <c r="AR472" i="2"/>
  <c r="AP472" i="2"/>
  <c r="AO472" i="2"/>
  <c r="AN472" i="2"/>
  <c r="AM472" i="2"/>
  <c r="AL472" i="2"/>
  <c r="AK472" i="2"/>
  <c r="AJ472" i="2"/>
  <c r="AI472" i="2"/>
  <c r="AH472" i="2"/>
  <c r="D472" i="2"/>
  <c r="AR471" i="2"/>
  <c r="AP471" i="2"/>
  <c r="AO471" i="2"/>
  <c r="AN471" i="2"/>
  <c r="AM471" i="2"/>
  <c r="AL471" i="2"/>
  <c r="AK471" i="2"/>
  <c r="AJ471" i="2"/>
  <c r="AI471" i="2"/>
  <c r="AH471" i="2"/>
  <c r="D471" i="2"/>
  <c r="AR470" i="2"/>
  <c r="AP470" i="2"/>
  <c r="AO470" i="2"/>
  <c r="AN470" i="2"/>
  <c r="AM470" i="2"/>
  <c r="AL470" i="2"/>
  <c r="AK470" i="2"/>
  <c r="AJ470" i="2"/>
  <c r="AI470" i="2"/>
  <c r="AH470" i="2"/>
  <c r="D470" i="2"/>
  <c r="AR469" i="2"/>
  <c r="AP469" i="2"/>
  <c r="AO469" i="2"/>
  <c r="AN469" i="2"/>
  <c r="AM469" i="2"/>
  <c r="AL469" i="2"/>
  <c r="AK469" i="2"/>
  <c r="AJ469" i="2"/>
  <c r="AI469" i="2"/>
  <c r="AH469" i="2"/>
  <c r="D469" i="2"/>
  <c r="AR468" i="2"/>
  <c r="AP468" i="2"/>
  <c r="AO468" i="2"/>
  <c r="AN468" i="2"/>
  <c r="AM468" i="2"/>
  <c r="AL468" i="2"/>
  <c r="AK468" i="2"/>
  <c r="AJ468" i="2"/>
  <c r="AI468" i="2"/>
  <c r="AH468" i="2"/>
  <c r="D468" i="2"/>
  <c r="AR467" i="2"/>
  <c r="AP467" i="2"/>
  <c r="AO467" i="2"/>
  <c r="AN467" i="2"/>
  <c r="AM467" i="2"/>
  <c r="AL467" i="2"/>
  <c r="AK467" i="2"/>
  <c r="AJ467" i="2"/>
  <c r="AI467" i="2"/>
  <c r="AH467" i="2"/>
  <c r="D467" i="2"/>
  <c r="AR466" i="2"/>
  <c r="AP466" i="2"/>
  <c r="AO466" i="2"/>
  <c r="AN466" i="2"/>
  <c r="AM466" i="2"/>
  <c r="AL466" i="2"/>
  <c r="AK466" i="2"/>
  <c r="AJ466" i="2"/>
  <c r="AI466" i="2"/>
  <c r="AH466" i="2"/>
  <c r="D466" i="2"/>
  <c r="AR465" i="2"/>
  <c r="AP465" i="2"/>
  <c r="AO465" i="2"/>
  <c r="AN465" i="2"/>
  <c r="AM465" i="2"/>
  <c r="AL465" i="2"/>
  <c r="AK465" i="2"/>
  <c r="AJ465" i="2"/>
  <c r="AI465" i="2"/>
  <c r="AH465" i="2"/>
  <c r="D465" i="2"/>
  <c r="AR464" i="2"/>
  <c r="AP464" i="2"/>
  <c r="AO464" i="2"/>
  <c r="AN464" i="2"/>
  <c r="AM464" i="2"/>
  <c r="AL464" i="2"/>
  <c r="AK464" i="2"/>
  <c r="AJ464" i="2"/>
  <c r="AI464" i="2"/>
  <c r="AH464" i="2"/>
  <c r="D464" i="2"/>
  <c r="AR463" i="2"/>
  <c r="AP463" i="2"/>
  <c r="AO463" i="2"/>
  <c r="AN463" i="2"/>
  <c r="AM463" i="2"/>
  <c r="AL463" i="2"/>
  <c r="AK463" i="2"/>
  <c r="AJ463" i="2"/>
  <c r="AI463" i="2"/>
  <c r="AH463" i="2"/>
  <c r="D463" i="2"/>
  <c r="AR462" i="2"/>
  <c r="AP462" i="2"/>
  <c r="AO462" i="2"/>
  <c r="AN462" i="2"/>
  <c r="AM462" i="2"/>
  <c r="AL462" i="2"/>
  <c r="AK462" i="2"/>
  <c r="AJ462" i="2"/>
  <c r="AI462" i="2"/>
  <c r="AH462" i="2"/>
  <c r="D462" i="2"/>
  <c r="AR461" i="2"/>
  <c r="AP461" i="2"/>
  <c r="AO461" i="2"/>
  <c r="AN461" i="2"/>
  <c r="AM461" i="2"/>
  <c r="AL461" i="2"/>
  <c r="AK461" i="2"/>
  <c r="AJ461" i="2"/>
  <c r="AI461" i="2"/>
  <c r="AH461" i="2"/>
  <c r="D461" i="2"/>
  <c r="AR460" i="2"/>
  <c r="AP460" i="2"/>
  <c r="AO460" i="2"/>
  <c r="AN460" i="2"/>
  <c r="AM460" i="2"/>
  <c r="AL460" i="2"/>
  <c r="AK460" i="2"/>
  <c r="AJ460" i="2"/>
  <c r="AI460" i="2"/>
  <c r="AH460" i="2"/>
  <c r="D460" i="2"/>
  <c r="AR459" i="2"/>
  <c r="AP459" i="2"/>
  <c r="AO459" i="2"/>
  <c r="AN459" i="2"/>
  <c r="AM459" i="2"/>
  <c r="AL459" i="2"/>
  <c r="AK459" i="2"/>
  <c r="AJ459" i="2"/>
  <c r="AI459" i="2"/>
  <c r="AH459" i="2"/>
  <c r="D459" i="2"/>
  <c r="AR458" i="2"/>
  <c r="AP458" i="2"/>
  <c r="AO458" i="2"/>
  <c r="AN458" i="2"/>
  <c r="AM458" i="2"/>
  <c r="AL458" i="2"/>
  <c r="AK458" i="2"/>
  <c r="AJ458" i="2"/>
  <c r="AI458" i="2"/>
  <c r="AH458" i="2"/>
  <c r="D458" i="2"/>
  <c r="AR457" i="2"/>
  <c r="AP457" i="2"/>
  <c r="AO457" i="2"/>
  <c r="AN457" i="2"/>
  <c r="AM457" i="2"/>
  <c r="AL457" i="2"/>
  <c r="AK457" i="2"/>
  <c r="AJ457" i="2"/>
  <c r="AI457" i="2"/>
  <c r="AH457" i="2"/>
  <c r="D457" i="2"/>
  <c r="AR456" i="2"/>
  <c r="AP456" i="2"/>
  <c r="AO456" i="2"/>
  <c r="AN456" i="2"/>
  <c r="AM456" i="2"/>
  <c r="AL456" i="2"/>
  <c r="AK456" i="2"/>
  <c r="AJ456" i="2"/>
  <c r="AI456" i="2"/>
  <c r="AH456" i="2"/>
  <c r="D456" i="2"/>
  <c r="AR455" i="2"/>
  <c r="AP455" i="2"/>
  <c r="AO455" i="2"/>
  <c r="AN455" i="2"/>
  <c r="AM455" i="2"/>
  <c r="AL455" i="2"/>
  <c r="AK455" i="2"/>
  <c r="AJ455" i="2"/>
  <c r="AI455" i="2"/>
  <c r="AH455" i="2"/>
  <c r="D455" i="2"/>
  <c r="AR454" i="2"/>
  <c r="AP454" i="2"/>
  <c r="AO454" i="2"/>
  <c r="AN454" i="2"/>
  <c r="AM454" i="2"/>
  <c r="AL454" i="2"/>
  <c r="AK454" i="2"/>
  <c r="AJ454" i="2"/>
  <c r="AI454" i="2"/>
  <c r="AH454" i="2"/>
  <c r="D454" i="2"/>
  <c r="AR453" i="2"/>
  <c r="AP453" i="2"/>
  <c r="AO453" i="2"/>
  <c r="AN453" i="2"/>
  <c r="AM453" i="2"/>
  <c r="AL453" i="2"/>
  <c r="AK453" i="2"/>
  <c r="AJ453" i="2"/>
  <c r="AI453" i="2"/>
  <c r="AH453" i="2"/>
  <c r="D453" i="2"/>
  <c r="AR452" i="2"/>
  <c r="AP452" i="2"/>
  <c r="AO452" i="2"/>
  <c r="AN452" i="2"/>
  <c r="AM452" i="2"/>
  <c r="AL452" i="2"/>
  <c r="AK452" i="2"/>
  <c r="AJ452" i="2"/>
  <c r="AI452" i="2"/>
  <c r="AH452" i="2"/>
  <c r="D452" i="2"/>
  <c r="AR451" i="2"/>
  <c r="AP451" i="2"/>
  <c r="AO451" i="2"/>
  <c r="AN451" i="2"/>
  <c r="AM451" i="2"/>
  <c r="AL451" i="2"/>
  <c r="AK451" i="2"/>
  <c r="AJ451" i="2"/>
  <c r="AI451" i="2"/>
  <c r="AH451" i="2"/>
  <c r="D451" i="2"/>
  <c r="AR450" i="2"/>
  <c r="AP450" i="2"/>
  <c r="AO450" i="2"/>
  <c r="AN450" i="2"/>
  <c r="AM450" i="2"/>
  <c r="AL450" i="2"/>
  <c r="AK450" i="2"/>
  <c r="AJ450" i="2"/>
  <c r="AI450" i="2"/>
  <c r="AH450" i="2"/>
  <c r="D450" i="2"/>
  <c r="AR449" i="2"/>
  <c r="AP449" i="2"/>
  <c r="AO449" i="2"/>
  <c r="AN449" i="2"/>
  <c r="AM449" i="2"/>
  <c r="AL449" i="2"/>
  <c r="AK449" i="2"/>
  <c r="AJ449" i="2"/>
  <c r="AI449" i="2"/>
  <c r="AH449" i="2"/>
  <c r="D449" i="2"/>
  <c r="AR448" i="2"/>
  <c r="AP448" i="2"/>
  <c r="AO448" i="2"/>
  <c r="AN448" i="2"/>
  <c r="AM448" i="2"/>
  <c r="AL448" i="2"/>
  <c r="AK448" i="2"/>
  <c r="AJ448" i="2"/>
  <c r="AI448" i="2"/>
  <c r="AH448" i="2"/>
  <c r="D448" i="2"/>
  <c r="AR447" i="2"/>
  <c r="AP447" i="2"/>
  <c r="AO447" i="2"/>
  <c r="AN447" i="2"/>
  <c r="AM447" i="2"/>
  <c r="AL447" i="2"/>
  <c r="AK447" i="2"/>
  <c r="AJ447" i="2"/>
  <c r="AI447" i="2"/>
  <c r="AH447" i="2"/>
  <c r="D447" i="2"/>
  <c r="AR446" i="2"/>
  <c r="AP446" i="2"/>
  <c r="AO446" i="2"/>
  <c r="AN446" i="2"/>
  <c r="AM446" i="2"/>
  <c r="AL446" i="2"/>
  <c r="AK446" i="2"/>
  <c r="AJ446" i="2"/>
  <c r="AI446" i="2"/>
  <c r="AH446" i="2"/>
  <c r="D446" i="2"/>
  <c r="AR445" i="2"/>
  <c r="AP445" i="2"/>
  <c r="AO445" i="2"/>
  <c r="AN445" i="2"/>
  <c r="AM445" i="2"/>
  <c r="AL445" i="2"/>
  <c r="AK445" i="2"/>
  <c r="AJ445" i="2"/>
  <c r="AI445" i="2"/>
  <c r="AH445" i="2"/>
  <c r="D445" i="2"/>
  <c r="AR444" i="2"/>
  <c r="AP444" i="2"/>
  <c r="AO444" i="2"/>
  <c r="AN444" i="2"/>
  <c r="AM444" i="2"/>
  <c r="AL444" i="2"/>
  <c r="AK444" i="2"/>
  <c r="AJ444" i="2"/>
  <c r="AI444" i="2"/>
  <c r="AH444" i="2"/>
  <c r="D444" i="2"/>
  <c r="AR443" i="2"/>
  <c r="AP443" i="2"/>
  <c r="AO443" i="2"/>
  <c r="AN443" i="2"/>
  <c r="AM443" i="2"/>
  <c r="AL443" i="2"/>
  <c r="AK443" i="2"/>
  <c r="AJ443" i="2"/>
  <c r="AI443" i="2"/>
  <c r="AH443" i="2"/>
  <c r="D443" i="2"/>
  <c r="AR442" i="2"/>
  <c r="AP442" i="2"/>
  <c r="AO442" i="2"/>
  <c r="AN442" i="2"/>
  <c r="AM442" i="2"/>
  <c r="AL442" i="2"/>
  <c r="AK442" i="2"/>
  <c r="AJ442" i="2"/>
  <c r="AI442" i="2"/>
  <c r="AH442" i="2"/>
  <c r="D442" i="2"/>
  <c r="AR441" i="2"/>
  <c r="AP441" i="2"/>
  <c r="AO441" i="2"/>
  <c r="AN441" i="2"/>
  <c r="AM441" i="2"/>
  <c r="AL441" i="2"/>
  <c r="AK441" i="2"/>
  <c r="AJ441" i="2"/>
  <c r="AI441" i="2"/>
  <c r="AH441" i="2"/>
  <c r="D441" i="2"/>
  <c r="AR440" i="2"/>
  <c r="AP440" i="2"/>
  <c r="AO440" i="2"/>
  <c r="AN440" i="2"/>
  <c r="AM440" i="2"/>
  <c r="AL440" i="2"/>
  <c r="AK440" i="2"/>
  <c r="AJ440" i="2"/>
  <c r="AI440" i="2"/>
  <c r="AH440" i="2"/>
  <c r="D440" i="2"/>
  <c r="AR439" i="2"/>
  <c r="AP439" i="2"/>
  <c r="AO439" i="2"/>
  <c r="AN439" i="2"/>
  <c r="AM439" i="2"/>
  <c r="AL439" i="2"/>
  <c r="AK439" i="2"/>
  <c r="AJ439" i="2"/>
  <c r="AI439" i="2"/>
  <c r="AH439" i="2"/>
  <c r="D439" i="2"/>
  <c r="AR438" i="2"/>
  <c r="AP438" i="2"/>
  <c r="AO438" i="2"/>
  <c r="AN438" i="2"/>
  <c r="AM438" i="2"/>
  <c r="AL438" i="2"/>
  <c r="AK438" i="2"/>
  <c r="AJ438" i="2"/>
  <c r="AI438" i="2"/>
  <c r="AH438" i="2"/>
  <c r="D438" i="2"/>
  <c r="AR437" i="2"/>
  <c r="AP437" i="2"/>
  <c r="AO437" i="2"/>
  <c r="AN437" i="2"/>
  <c r="AM437" i="2"/>
  <c r="AL437" i="2"/>
  <c r="AK437" i="2"/>
  <c r="AJ437" i="2"/>
  <c r="AI437" i="2"/>
  <c r="AH437" i="2"/>
  <c r="D437" i="2"/>
  <c r="AR436" i="2"/>
  <c r="AP436" i="2"/>
  <c r="AO436" i="2"/>
  <c r="AN436" i="2"/>
  <c r="AM436" i="2"/>
  <c r="AL436" i="2"/>
  <c r="AK436" i="2"/>
  <c r="AJ436" i="2"/>
  <c r="AI436" i="2"/>
  <c r="AH436" i="2"/>
  <c r="D436" i="2"/>
  <c r="AR435" i="2"/>
  <c r="AP435" i="2"/>
  <c r="AO435" i="2"/>
  <c r="AN435" i="2"/>
  <c r="AM435" i="2"/>
  <c r="AL435" i="2"/>
  <c r="AK435" i="2"/>
  <c r="AJ435" i="2"/>
  <c r="AI435" i="2"/>
  <c r="AH435" i="2"/>
  <c r="D435" i="2"/>
  <c r="AR434" i="2"/>
  <c r="AP434" i="2"/>
  <c r="AO434" i="2"/>
  <c r="AN434" i="2"/>
  <c r="AM434" i="2"/>
  <c r="AL434" i="2"/>
  <c r="AK434" i="2"/>
  <c r="AJ434" i="2"/>
  <c r="AI434" i="2"/>
  <c r="AH434" i="2"/>
  <c r="D434" i="2"/>
  <c r="AR433" i="2"/>
  <c r="AP433" i="2"/>
  <c r="AO433" i="2"/>
  <c r="AN433" i="2"/>
  <c r="AM433" i="2"/>
  <c r="AL433" i="2"/>
  <c r="AK433" i="2"/>
  <c r="AJ433" i="2"/>
  <c r="AI433" i="2"/>
  <c r="AH433" i="2"/>
  <c r="D433" i="2"/>
  <c r="AR432" i="2"/>
  <c r="AP432" i="2"/>
  <c r="AO432" i="2"/>
  <c r="AN432" i="2"/>
  <c r="AM432" i="2"/>
  <c r="AL432" i="2"/>
  <c r="AK432" i="2"/>
  <c r="AJ432" i="2"/>
  <c r="AI432" i="2"/>
  <c r="AH432" i="2"/>
  <c r="D432" i="2"/>
  <c r="AR431" i="2"/>
  <c r="AP431" i="2"/>
  <c r="AO431" i="2"/>
  <c r="AN431" i="2"/>
  <c r="AM431" i="2"/>
  <c r="AL431" i="2"/>
  <c r="AK431" i="2"/>
  <c r="AJ431" i="2"/>
  <c r="AI431" i="2"/>
  <c r="AH431" i="2"/>
  <c r="D431" i="2"/>
  <c r="AR430" i="2"/>
  <c r="AP430" i="2"/>
  <c r="AO430" i="2"/>
  <c r="AN430" i="2"/>
  <c r="AM430" i="2"/>
  <c r="AL430" i="2"/>
  <c r="AK430" i="2"/>
  <c r="AJ430" i="2"/>
  <c r="AI430" i="2"/>
  <c r="AH430" i="2"/>
  <c r="D430" i="2"/>
  <c r="AR429" i="2"/>
  <c r="AP429" i="2"/>
  <c r="AO429" i="2"/>
  <c r="AN429" i="2"/>
  <c r="AM429" i="2"/>
  <c r="AL429" i="2"/>
  <c r="AK429" i="2"/>
  <c r="AJ429" i="2"/>
  <c r="AI429" i="2"/>
  <c r="AH429" i="2"/>
  <c r="D429" i="2"/>
  <c r="AR428" i="2"/>
  <c r="AP428" i="2"/>
  <c r="AO428" i="2"/>
  <c r="AN428" i="2"/>
  <c r="AM428" i="2"/>
  <c r="AL428" i="2"/>
  <c r="AK428" i="2"/>
  <c r="AJ428" i="2"/>
  <c r="AI428" i="2"/>
  <c r="AH428" i="2"/>
  <c r="D428" i="2"/>
  <c r="AR427" i="2"/>
  <c r="AP427" i="2"/>
  <c r="AO427" i="2"/>
  <c r="AN427" i="2"/>
  <c r="AM427" i="2"/>
  <c r="AL427" i="2"/>
  <c r="AK427" i="2"/>
  <c r="AJ427" i="2"/>
  <c r="AI427" i="2"/>
  <c r="AH427" i="2"/>
  <c r="D427" i="2"/>
  <c r="AR426" i="2"/>
  <c r="AP426" i="2"/>
  <c r="AO426" i="2"/>
  <c r="AN426" i="2"/>
  <c r="AM426" i="2"/>
  <c r="AL426" i="2"/>
  <c r="AK426" i="2"/>
  <c r="AJ426" i="2"/>
  <c r="AI426" i="2"/>
  <c r="AH426" i="2"/>
  <c r="D426" i="2"/>
  <c r="AR425" i="2"/>
  <c r="AP425" i="2"/>
  <c r="AO425" i="2"/>
  <c r="AN425" i="2"/>
  <c r="AM425" i="2"/>
  <c r="AL425" i="2"/>
  <c r="AK425" i="2"/>
  <c r="AJ425" i="2"/>
  <c r="AI425" i="2"/>
  <c r="AH425" i="2"/>
  <c r="D425" i="2"/>
  <c r="AR424" i="2"/>
  <c r="AP424" i="2"/>
  <c r="AO424" i="2"/>
  <c r="AN424" i="2"/>
  <c r="AM424" i="2"/>
  <c r="AL424" i="2"/>
  <c r="AK424" i="2"/>
  <c r="AJ424" i="2"/>
  <c r="AI424" i="2"/>
  <c r="AH424" i="2"/>
  <c r="D424" i="2"/>
  <c r="AR423" i="2"/>
  <c r="AP423" i="2"/>
  <c r="AO423" i="2"/>
  <c r="AN423" i="2"/>
  <c r="AM423" i="2"/>
  <c r="AL423" i="2"/>
  <c r="AK423" i="2"/>
  <c r="AJ423" i="2"/>
  <c r="AI423" i="2"/>
  <c r="AH423" i="2"/>
  <c r="D423" i="2"/>
  <c r="AR422" i="2"/>
  <c r="AP422" i="2"/>
  <c r="AO422" i="2"/>
  <c r="AN422" i="2"/>
  <c r="AM422" i="2"/>
  <c r="AL422" i="2"/>
  <c r="AK422" i="2"/>
  <c r="AJ422" i="2"/>
  <c r="AI422" i="2"/>
  <c r="AH422" i="2"/>
  <c r="D422" i="2"/>
  <c r="AR421" i="2"/>
  <c r="AP421" i="2"/>
  <c r="AO421" i="2"/>
  <c r="AN421" i="2"/>
  <c r="AM421" i="2"/>
  <c r="AL421" i="2"/>
  <c r="AK421" i="2"/>
  <c r="AJ421" i="2"/>
  <c r="AI421" i="2"/>
  <c r="AH421" i="2"/>
  <c r="D421" i="2"/>
  <c r="AR420" i="2"/>
  <c r="AP420" i="2"/>
  <c r="AO420" i="2"/>
  <c r="AN420" i="2"/>
  <c r="AM420" i="2"/>
  <c r="AL420" i="2"/>
  <c r="AK420" i="2"/>
  <c r="AJ420" i="2"/>
  <c r="AI420" i="2"/>
  <c r="AH420" i="2"/>
  <c r="D420" i="2"/>
  <c r="AR419" i="2"/>
  <c r="AP419" i="2"/>
  <c r="AO419" i="2"/>
  <c r="AN419" i="2"/>
  <c r="AM419" i="2"/>
  <c r="AL419" i="2"/>
  <c r="AK419" i="2"/>
  <c r="AJ419" i="2"/>
  <c r="AI419" i="2"/>
  <c r="AH419" i="2"/>
  <c r="D419" i="2"/>
  <c r="AR418" i="2"/>
  <c r="AP418" i="2"/>
  <c r="AO418" i="2"/>
  <c r="AN418" i="2"/>
  <c r="AM418" i="2"/>
  <c r="AL418" i="2"/>
  <c r="AK418" i="2"/>
  <c r="AJ418" i="2"/>
  <c r="AI418" i="2"/>
  <c r="AH418" i="2"/>
  <c r="D418" i="2"/>
  <c r="AR417" i="2"/>
  <c r="AP417" i="2"/>
  <c r="AO417" i="2"/>
  <c r="AN417" i="2"/>
  <c r="AM417" i="2"/>
  <c r="AL417" i="2"/>
  <c r="AK417" i="2"/>
  <c r="AJ417" i="2"/>
  <c r="AI417" i="2"/>
  <c r="AH417" i="2"/>
  <c r="D417" i="2"/>
  <c r="AR416" i="2"/>
  <c r="AP416" i="2"/>
  <c r="AO416" i="2"/>
  <c r="AN416" i="2"/>
  <c r="AM416" i="2"/>
  <c r="AL416" i="2"/>
  <c r="AK416" i="2"/>
  <c r="AJ416" i="2"/>
  <c r="AI416" i="2"/>
  <c r="AH416" i="2"/>
  <c r="D416" i="2"/>
  <c r="AR415" i="2"/>
  <c r="AP415" i="2"/>
  <c r="AO415" i="2"/>
  <c r="AN415" i="2"/>
  <c r="AM415" i="2"/>
  <c r="AL415" i="2"/>
  <c r="AK415" i="2"/>
  <c r="AJ415" i="2"/>
  <c r="AI415" i="2"/>
  <c r="AH415" i="2"/>
  <c r="D415" i="2"/>
  <c r="AR414" i="2"/>
  <c r="AP414" i="2"/>
  <c r="AO414" i="2"/>
  <c r="AN414" i="2"/>
  <c r="AM414" i="2"/>
  <c r="AL414" i="2"/>
  <c r="AK414" i="2"/>
  <c r="AJ414" i="2"/>
  <c r="AI414" i="2"/>
  <c r="AH414" i="2"/>
  <c r="D414" i="2"/>
  <c r="AR413" i="2"/>
  <c r="AP413" i="2"/>
  <c r="AO413" i="2"/>
  <c r="AN413" i="2"/>
  <c r="AM413" i="2"/>
  <c r="AL413" i="2"/>
  <c r="AK413" i="2"/>
  <c r="AJ413" i="2"/>
  <c r="AI413" i="2"/>
  <c r="AH413" i="2"/>
  <c r="D413" i="2"/>
  <c r="AR412" i="2"/>
  <c r="AP412" i="2"/>
  <c r="AO412" i="2"/>
  <c r="AN412" i="2"/>
  <c r="AM412" i="2"/>
  <c r="AL412" i="2"/>
  <c r="AK412" i="2"/>
  <c r="AJ412" i="2"/>
  <c r="AI412" i="2"/>
  <c r="AH412" i="2"/>
  <c r="D412" i="2"/>
  <c r="AR411" i="2"/>
  <c r="AP411" i="2"/>
  <c r="AO411" i="2"/>
  <c r="AN411" i="2"/>
  <c r="AM411" i="2"/>
  <c r="AL411" i="2"/>
  <c r="AK411" i="2"/>
  <c r="AJ411" i="2"/>
  <c r="AI411" i="2"/>
  <c r="AH411" i="2"/>
  <c r="D411" i="2"/>
  <c r="AR410" i="2"/>
  <c r="AP410" i="2"/>
  <c r="AO410" i="2"/>
  <c r="AN410" i="2"/>
  <c r="AM410" i="2"/>
  <c r="AL410" i="2"/>
  <c r="AK410" i="2"/>
  <c r="AJ410" i="2"/>
  <c r="AI410" i="2"/>
  <c r="AH410" i="2"/>
  <c r="D410" i="2"/>
  <c r="AR409" i="2"/>
  <c r="AP409" i="2"/>
  <c r="AO409" i="2"/>
  <c r="AN409" i="2"/>
  <c r="AM409" i="2"/>
  <c r="AJ409" i="2"/>
  <c r="AI409" i="2"/>
  <c r="AH409" i="2"/>
  <c r="D409" i="2"/>
  <c r="AR408" i="2"/>
  <c r="AP408" i="2"/>
  <c r="AO408" i="2"/>
  <c r="AN408" i="2"/>
  <c r="AM408" i="2"/>
  <c r="AL408" i="2"/>
  <c r="AK408" i="2"/>
  <c r="AJ408" i="2"/>
  <c r="AI408" i="2"/>
  <c r="AH408" i="2"/>
  <c r="D408" i="2"/>
  <c r="AR407" i="2"/>
  <c r="AP407" i="2"/>
  <c r="AO407" i="2"/>
  <c r="AN407" i="2"/>
  <c r="AM407" i="2"/>
  <c r="AL407" i="2"/>
  <c r="AK407" i="2"/>
  <c r="AJ407" i="2"/>
  <c r="AI407" i="2"/>
  <c r="AH407" i="2"/>
  <c r="D407" i="2"/>
  <c r="AR406" i="2"/>
  <c r="AP406" i="2"/>
  <c r="AO406" i="2"/>
  <c r="AN406" i="2"/>
  <c r="AM406" i="2"/>
  <c r="AL406" i="2"/>
  <c r="AK406" i="2"/>
  <c r="AJ406" i="2"/>
  <c r="AI406" i="2"/>
  <c r="AH406" i="2"/>
  <c r="D406" i="2"/>
  <c r="AR405" i="2"/>
  <c r="AP405" i="2"/>
  <c r="AO405" i="2"/>
  <c r="AN405" i="2"/>
  <c r="AM405" i="2"/>
  <c r="AL405" i="2"/>
  <c r="AK405" i="2"/>
  <c r="AJ405" i="2"/>
  <c r="AI405" i="2"/>
  <c r="AH405" i="2"/>
  <c r="D405" i="2"/>
  <c r="AR404" i="2"/>
  <c r="AP404" i="2"/>
  <c r="AO404" i="2"/>
  <c r="AN404" i="2"/>
  <c r="AM404" i="2"/>
  <c r="AL404" i="2"/>
  <c r="AK404" i="2"/>
  <c r="AJ404" i="2"/>
  <c r="AI404" i="2"/>
  <c r="AH404" i="2"/>
  <c r="D404" i="2"/>
  <c r="AR403" i="2"/>
  <c r="AP403" i="2"/>
  <c r="AO403" i="2"/>
  <c r="AN403" i="2"/>
  <c r="AM403" i="2"/>
  <c r="AL403" i="2"/>
  <c r="AK403" i="2"/>
  <c r="AJ403" i="2"/>
  <c r="AI403" i="2"/>
  <c r="AH403" i="2"/>
  <c r="D403" i="2"/>
  <c r="AR402" i="2"/>
  <c r="AP402" i="2"/>
  <c r="AO402" i="2"/>
  <c r="AN402" i="2"/>
  <c r="AM402" i="2"/>
  <c r="AL402" i="2"/>
  <c r="AI402" i="2"/>
  <c r="AH402" i="2"/>
  <c r="D402" i="2"/>
  <c r="AR401" i="2"/>
  <c r="AP401" i="2"/>
  <c r="AO401" i="2"/>
  <c r="AN401" i="2"/>
  <c r="AM401" i="2"/>
  <c r="AL401" i="2"/>
  <c r="AK401" i="2"/>
  <c r="AJ401" i="2"/>
  <c r="AI401" i="2"/>
  <c r="AH401" i="2"/>
  <c r="D401" i="2"/>
  <c r="AR400" i="2"/>
  <c r="AP400" i="2"/>
  <c r="AO400" i="2"/>
  <c r="AN400" i="2"/>
  <c r="AM400" i="2"/>
  <c r="AL400" i="2"/>
  <c r="AK400" i="2"/>
  <c r="AJ400" i="2"/>
  <c r="AI400" i="2"/>
  <c r="AH400" i="2"/>
  <c r="D400" i="2"/>
  <c r="AR399" i="2"/>
  <c r="AP399" i="2"/>
  <c r="AO399" i="2"/>
  <c r="AN399" i="2"/>
  <c r="AM399" i="2"/>
  <c r="AL399" i="2"/>
  <c r="AK399" i="2"/>
  <c r="AJ399" i="2"/>
  <c r="AI399" i="2"/>
  <c r="AH399" i="2"/>
  <c r="D399" i="2"/>
  <c r="AR398" i="2"/>
  <c r="AP398" i="2"/>
  <c r="AO398" i="2"/>
  <c r="AN398" i="2"/>
  <c r="AM398" i="2"/>
  <c r="AL398" i="2"/>
  <c r="AK398" i="2"/>
  <c r="AJ398" i="2"/>
  <c r="AI398" i="2"/>
  <c r="AH398" i="2"/>
  <c r="D398" i="2"/>
  <c r="AR397" i="2"/>
  <c r="AP397" i="2"/>
  <c r="AO397" i="2"/>
  <c r="AN397" i="2"/>
  <c r="AM397" i="2"/>
  <c r="AL397" i="2"/>
  <c r="AK397" i="2"/>
  <c r="AJ397" i="2"/>
  <c r="AI397" i="2"/>
  <c r="AH397" i="2"/>
  <c r="D397" i="2"/>
  <c r="AR396" i="2"/>
  <c r="AP396" i="2"/>
  <c r="AO396" i="2"/>
  <c r="AN396" i="2"/>
  <c r="AM396" i="2"/>
  <c r="AL396" i="2"/>
  <c r="AK396" i="2"/>
  <c r="AJ396" i="2"/>
  <c r="AI396" i="2"/>
  <c r="AH396" i="2"/>
  <c r="D396" i="2"/>
  <c r="AR395" i="2"/>
  <c r="AP395" i="2"/>
  <c r="AO395" i="2"/>
  <c r="AN395" i="2"/>
  <c r="AM395" i="2"/>
  <c r="AL395" i="2"/>
  <c r="AK395" i="2"/>
  <c r="AJ395" i="2"/>
  <c r="AI395" i="2"/>
  <c r="AH395" i="2"/>
  <c r="D395" i="2"/>
  <c r="AR394" i="2"/>
  <c r="AP394" i="2"/>
  <c r="AO394" i="2"/>
  <c r="AN394" i="2"/>
  <c r="AM394" i="2"/>
  <c r="AL394" i="2"/>
  <c r="AK394" i="2"/>
  <c r="AJ394" i="2"/>
  <c r="AI394" i="2"/>
  <c r="AH394" i="2"/>
  <c r="D394" i="2"/>
  <c r="AR393" i="2"/>
  <c r="AP393" i="2"/>
  <c r="AO393" i="2"/>
  <c r="AN393" i="2"/>
  <c r="AM393" i="2"/>
  <c r="AL393" i="2"/>
  <c r="AK393" i="2"/>
  <c r="AJ393" i="2"/>
  <c r="AI393" i="2"/>
  <c r="AH393" i="2"/>
  <c r="D393" i="2"/>
  <c r="AR392" i="2"/>
  <c r="AP392" i="2"/>
  <c r="AO392" i="2"/>
  <c r="AN392" i="2"/>
  <c r="AM392" i="2"/>
  <c r="AL392" i="2"/>
  <c r="AK392" i="2"/>
  <c r="AJ392" i="2"/>
  <c r="AI392" i="2"/>
  <c r="AH392" i="2"/>
  <c r="D392" i="2"/>
  <c r="AR391" i="2"/>
  <c r="AP391" i="2"/>
  <c r="AO391" i="2"/>
  <c r="AN391" i="2"/>
  <c r="AM391" i="2"/>
  <c r="AL391" i="2"/>
  <c r="AK391" i="2"/>
  <c r="AJ391" i="2"/>
  <c r="AI391" i="2"/>
  <c r="AH391" i="2"/>
  <c r="D391" i="2"/>
  <c r="AR390" i="2"/>
  <c r="AP390" i="2"/>
  <c r="AO390" i="2"/>
  <c r="AN390" i="2"/>
  <c r="AM390" i="2"/>
  <c r="AL390" i="2"/>
  <c r="AK390" i="2"/>
  <c r="AJ390" i="2"/>
  <c r="AI390" i="2"/>
  <c r="AH390" i="2"/>
  <c r="D390" i="2"/>
  <c r="AR389" i="2"/>
  <c r="AP389" i="2"/>
  <c r="AO389" i="2"/>
  <c r="AN389" i="2"/>
  <c r="AM389" i="2"/>
  <c r="AL389" i="2"/>
  <c r="AK389" i="2"/>
  <c r="AJ389" i="2"/>
  <c r="AI389" i="2"/>
  <c r="AH389" i="2"/>
  <c r="D389" i="2"/>
  <c r="AR388" i="2"/>
  <c r="AP388" i="2"/>
  <c r="AO388" i="2"/>
  <c r="AN388" i="2"/>
  <c r="AM388" i="2"/>
  <c r="AL388" i="2"/>
  <c r="AK388" i="2"/>
  <c r="AJ388" i="2"/>
  <c r="AI388" i="2"/>
  <c r="AH388" i="2"/>
  <c r="D388" i="2"/>
  <c r="AR387" i="2"/>
  <c r="AP387" i="2"/>
  <c r="AO387" i="2"/>
  <c r="AN387" i="2"/>
  <c r="AM387" i="2"/>
  <c r="AL387" i="2"/>
  <c r="AK387" i="2"/>
  <c r="AJ387" i="2"/>
  <c r="AI387" i="2"/>
  <c r="AH387" i="2"/>
  <c r="D387" i="2"/>
  <c r="AR386" i="2"/>
  <c r="AP386" i="2"/>
  <c r="AO386" i="2"/>
  <c r="AN386" i="2"/>
  <c r="AM386" i="2"/>
  <c r="AL386" i="2"/>
  <c r="AK386" i="2"/>
  <c r="AJ386" i="2"/>
  <c r="AI386" i="2"/>
  <c r="AH386" i="2"/>
  <c r="D386" i="2"/>
  <c r="AR385" i="2"/>
  <c r="AP385" i="2"/>
  <c r="AO385" i="2"/>
  <c r="AN385" i="2"/>
  <c r="AM385" i="2"/>
  <c r="AL385" i="2"/>
  <c r="AK385" i="2"/>
  <c r="AJ385" i="2"/>
  <c r="AI385" i="2"/>
  <c r="AH385" i="2"/>
  <c r="D385" i="2"/>
  <c r="AR384" i="2"/>
  <c r="AP384" i="2"/>
  <c r="AO384" i="2"/>
  <c r="AN384" i="2"/>
  <c r="AM384" i="2"/>
  <c r="AL384" i="2"/>
  <c r="AK384" i="2"/>
  <c r="AJ384" i="2"/>
  <c r="AI384" i="2"/>
  <c r="AH384" i="2"/>
  <c r="D384" i="2"/>
  <c r="AR383" i="2"/>
  <c r="AP383" i="2"/>
  <c r="AO383" i="2"/>
  <c r="AN383" i="2"/>
  <c r="AM383" i="2"/>
  <c r="AL383" i="2"/>
  <c r="AK383" i="2"/>
  <c r="AJ383" i="2"/>
  <c r="AI383" i="2"/>
  <c r="AH383" i="2"/>
  <c r="D383" i="2"/>
  <c r="AR382" i="2"/>
  <c r="AP382" i="2"/>
  <c r="AO382" i="2"/>
  <c r="AN382" i="2"/>
  <c r="AM382" i="2"/>
  <c r="AL382" i="2"/>
  <c r="AK382" i="2"/>
  <c r="AJ382" i="2"/>
  <c r="AI382" i="2"/>
  <c r="AH382" i="2"/>
  <c r="D382" i="2"/>
  <c r="AR381" i="2"/>
  <c r="AP381" i="2"/>
  <c r="AO381" i="2"/>
  <c r="AN381" i="2"/>
  <c r="AM381" i="2"/>
  <c r="AL381" i="2"/>
  <c r="AK381" i="2"/>
  <c r="AJ381" i="2"/>
  <c r="AI381" i="2"/>
  <c r="AH381" i="2"/>
  <c r="D381" i="2"/>
  <c r="AR380" i="2"/>
  <c r="AP380" i="2"/>
  <c r="AO380" i="2"/>
  <c r="AN380" i="2"/>
  <c r="AM380" i="2"/>
  <c r="AL380" i="2"/>
  <c r="AK380" i="2"/>
  <c r="AJ380" i="2"/>
  <c r="AI380" i="2"/>
  <c r="AH380" i="2"/>
  <c r="D380" i="2"/>
  <c r="AR379" i="2"/>
  <c r="AP379" i="2"/>
  <c r="AO379" i="2"/>
  <c r="AN379" i="2"/>
  <c r="AM379" i="2"/>
  <c r="AL379" i="2"/>
  <c r="AK379" i="2"/>
  <c r="AJ379" i="2"/>
  <c r="AI379" i="2"/>
  <c r="AH379" i="2"/>
  <c r="D379" i="2"/>
  <c r="AR378" i="2"/>
  <c r="AP378" i="2"/>
  <c r="AO378" i="2"/>
  <c r="AN378" i="2"/>
  <c r="AM378" i="2"/>
  <c r="AL378" i="2"/>
  <c r="AK378" i="2"/>
  <c r="AJ378" i="2"/>
  <c r="AI378" i="2"/>
  <c r="AH378" i="2"/>
  <c r="D378" i="2"/>
  <c r="AR377" i="2"/>
  <c r="AP377" i="2"/>
  <c r="AO377" i="2"/>
  <c r="AN377" i="2"/>
  <c r="AM377" i="2"/>
  <c r="AL377" i="2"/>
  <c r="AK377" i="2"/>
  <c r="AJ377" i="2"/>
  <c r="AI377" i="2"/>
  <c r="AH377" i="2"/>
  <c r="D377" i="2"/>
  <c r="AR376" i="2"/>
  <c r="AP376" i="2"/>
  <c r="AO376" i="2"/>
  <c r="AN376" i="2"/>
  <c r="AM376" i="2"/>
  <c r="AL376" i="2"/>
  <c r="AK376" i="2"/>
  <c r="AJ376" i="2"/>
  <c r="AI376" i="2"/>
  <c r="AH376" i="2"/>
  <c r="D376" i="2"/>
  <c r="AR375" i="2"/>
  <c r="AP375" i="2"/>
  <c r="AO375" i="2"/>
  <c r="AN375" i="2"/>
  <c r="AM375" i="2"/>
  <c r="AL375" i="2"/>
  <c r="AK375" i="2"/>
  <c r="AJ375" i="2"/>
  <c r="AI375" i="2"/>
  <c r="AH375" i="2"/>
  <c r="D375" i="2"/>
  <c r="AR374" i="2"/>
  <c r="AP374" i="2"/>
  <c r="AO374" i="2"/>
  <c r="AN374" i="2"/>
  <c r="AM374" i="2"/>
  <c r="AL374" i="2"/>
  <c r="AK374" i="2"/>
  <c r="AJ374" i="2"/>
  <c r="AI374" i="2"/>
  <c r="AH374" i="2"/>
  <c r="D374" i="2"/>
  <c r="AR373" i="2"/>
  <c r="AP373" i="2"/>
  <c r="AO373" i="2"/>
  <c r="AN373" i="2"/>
  <c r="AM373" i="2"/>
  <c r="AL373" i="2"/>
  <c r="AK373" i="2"/>
  <c r="AJ373" i="2"/>
  <c r="AI373" i="2"/>
  <c r="AH373" i="2"/>
  <c r="D373" i="2"/>
  <c r="AR372" i="2"/>
  <c r="AP372" i="2"/>
  <c r="AO372" i="2"/>
  <c r="AN372" i="2"/>
  <c r="AM372" i="2"/>
  <c r="AL372" i="2"/>
  <c r="AK372" i="2"/>
  <c r="AJ372" i="2"/>
  <c r="AI372" i="2"/>
  <c r="AH372" i="2"/>
  <c r="D372" i="2"/>
  <c r="AR371" i="2"/>
  <c r="AP371" i="2"/>
  <c r="AO371" i="2"/>
  <c r="AN371" i="2"/>
  <c r="AM371" i="2"/>
  <c r="AL371" i="2"/>
  <c r="AK371" i="2"/>
  <c r="AJ371" i="2"/>
  <c r="AI371" i="2"/>
  <c r="AH371" i="2"/>
  <c r="D371" i="2"/>
  <c r="AR370" i="2"/>
  <c r="AP370" i="2"/>
  <c r="AO370" i="2"/>
  <c r="AN370" i="2"/>
  <c r="AM370" i="2"/>
  <c r="AL370" i="2"/>
  <c r="AK370" i="2"/>
  <c r="AJ370" i="2"/>
  <c r="AI370" i="2"/>
  <c r="AH370" i="2"/>
  <c r="D370" i="2"/>
  <c r="AR369" i="2"/>
  <c r="AP369" i="2"/>
  <c r="AO369" i="2"/>
  <c r="AN369" i="2"/>
  <c r="AM369" i="2"/>
  <c r="AI369" i="2"/>
  <c r="AH369" i="2"/>
  <c r="D369" i="2"/>
  <c r="AR368" i="2"/>
  <c r="AP368" i="2"/>
  <c r="AO368" i="2"/>
  <c r="AN368" i="2"/>
  <c r="AM368" i="2"/>
  <c r="AL368" i="2"/>
  <c r="AK368" i="2"/>
  <c r="AJ368" i="2"/>
  <c r="AI368" i="2"/>
  <c r="AH368" i="2"/>
  <c r="D368" i="2"/>
  <c r="AR367" i="2"/>
  <c r="AP367" i="2"/>
  <c r="AO367" i="2"/>
  <c r="AN367" i="2"/>
  <c r="AM367" i="2"/>
  <c r="AL367" i="2"/>
  <c r="AK367" i="2"/>
  <c r="AJ367" i="2"/>
  <c r="AI367" i="2"/>
  <c r="AH367" i="2"/>
  <c r="D367" i="2"/>
  <c r="AR366" i="2"/>
  <c r="AP366" i="2"/>
  <c r="AO366" i="2"/>
  <c r="AN366" i="2"/>
  <c r="AM366" i="2"/>
  <c r="AL366" i="2"/>
  <c r="AK366" i="2"/>
  <c r="AJ366" i="2"/>
  <c r="AI366" i="2"/>
  <c r="AH366" i="2"/>
  <c r="D366" i="2"/>
  <c r="AR365" i="2"/>
  <c r="AP365" i="2"/>
  <c r="AO365" i="2"/>
  <c r="AN365" i="2"/>
  <c r="AM365" i="2"/>
  <c r="AL365" i="2"/>
  <c r="AK365" i="2"/>
  <c r="AJ365" i="2"/>
  <c r="AI365" i="2"/>
  <c r="AH365" i="2"/>
  <c r="D365" i="2"/>
  <c r="AR364" i="2"/>
  <c r="AP364" i="2"/>
  <c r="AO364" i="2"/>
  <c r="AN364" i="2"/>
  <c r="AM364" i="2"/>
  <c r="AL364" i="2"/>
  <c r="AK364" i="2"/>
  <c r="AJ364" i="2"/>
  <c r="AI364" i="2"/>
  <c r="AH364" i="2"/>
  <c r="D364" i="2"/>
  <c r="AR363" i="2"/>
  <c r="AP363" i="2"/>
  <c r="AO363" i="2"/>
  <c r="AN363" i="2"/>
  <c r="AM363" i="2"/>
  <c r="AL363" i="2"/>
  <c r="AK363" i="2"/>
  <c r="AJ363" i="2"/>
  <c r="AI363" i="2"/>
  <c r="AH363" i="2"/>
  <c r="D363" i="2"/>
  <c r="AR362" i="2"/>
  <c r="AP362" i="2"/>
  <c r="AO362" i="2"/>
  <c r="AN362" i="2"/>
  <c r="AM362" i="2"/>
  <c r="AL362" i="2"/>
  <c r="AK362" i="2"/>
  <c r="AJ362" i="2"/>
  <c r="AI362" i="2"/>
  <c r="AH362" i="2"/>
  <c r="D362" i="2"/>
  <c r="AR361" i="2"/>
  <c r="AP361" i="2"/>
  <c r="AO361" i="2"/>
  <c r="AN361" i="2"/>
  <c r="AM361" i="2"/>
  <c r="AL361" i="2"/>
  <c r="AK361" i="2"/>
  <c r="AJ361" i="2"/>
  <c r="AI361" i="2"/>
  <c r="AH361" i="2"/>
  <c r="D361" i="2"/>
  <c r="AR360" i="2"/>
  <c r="AP360" i="2"/>
  <c r="AO360" i="2"/>
  <c r="AN360" i="2"/>
  <c r="AM360" i="2"/>
  <c r="AL360" i="2"/>
  <c r="AK360" i="2"/>
  <c r="AJ360" i="2"/>
  <c r="AI360" i="2"/>
  <c r="AH360" i="2"/>
  <c r="D360" i="2"/>
  <c r="AR359" i="2"/>
  <c r="AP359" i="2"/>
  <c r="AO359" i="2"/>
  <c r="AN359" i="2"/>
  <c r="AM359" i="2"/>
  <c r="AL359" i="2"/>
  <c r="AK359" i="2"/>
  <c r="AJ359" i="2"/>
  <c r="AI359" i="2"/>
  <c r="AH359" i="2"/>
  <c r="D359" i="2"/>
  <c r="AR358" i="2"/>
  <c r="AP358" i="2"/>
  <c r="AO358" i="2"/>
  <c r="AN358" i="2"/>
  <c r="AM358" i="2"/>
  <c r="AL358" i="2"/>
  <c r="AK358" i="2"/>
  <c r="AJ358" i="2"/>
  <c r="AI358" i="2"/>
  <c r="AH358" i="2"/>
  <c r="D358" i="2"/>
  <c r="AR357" i="2"/>
  <c r="AP357" i="2"/>
  <c r="AO357" i="2"/>
  <c r="AN357" i="2"/>
  <c r="AM357" i="2"/>
  <c r="AI357" i="2"/>
  <c r="AH357" i="2"/>
  <c r="D357" i="2"/>
  <c r="AR356" i="2"/>
  <c r="AP356" i="2"/>
  <c r="AO356" i="2"/>
  <c r="AN356" i="2"/>
  <c r="AM356" i="2"/>
  <c r="AL356" i="2"/>
  <c r="AK356" i="2"/>
  <c r="AJ356" i="2"/>
  <c r="AI356" i="2"/>
  <c r="AH356" i="2"/>
  <c r="D356" i="2"/>
  <c r="AR355" i="2"/>
  <c r="AP355" i="2"/>
  <c r="AO355" i="2"/>
  <c r="AN355" i="2"/>
  <c r="AM355" i="2"/>
  <c r="AL355" i="2"/>
  <c r="AK355" i="2"/>
  <c r="AJ355" i="2"/>
  <c r="AI355" i="2"/>
  <c r="AH355" i="2"/>
  <c r="D355" i="2"/>
  <c r="AR354" i="2"/>
  <c r="AP354" i="2"/>
  <c r="AO354" i="2"/>
  <c r="AN354" i="2"/>
  <c r="AM354" i="2"/>
  <c r="AL354" i="2"/>
  <c r="AK354" i="2"/>
  <c r="AJ354" i="2"/>
  <c r="AI354" i="2"/>
  <c r="AH354" i="2"/>
  <c r="D354" i="2"/>
  <c r="AR353" i="2"/>
  <c r="AP353" i="2"/>
  <c r="AO353" i="2"/>
  <c r="AN353" i="2"/>
  <c r="AM353" i="2"/>
  <c r="AL353" i="2"/>
  <c r="AK353" i="2"/>
  <c r="AJ353" i="2"/>
  <c r="AI353" i="2"/>
  <c r="AH353" i="2"/>
  <c r="D353" i="2"/>
  <c r="AR352" i="2"/>
  <c r="AP352" i="2"/>
  <c r="AO352" i="2"/>
  <c r="AN352" i="2"/>
  <c r="AM352" i="2"/>
  <c r="AL352" i="2"/>
  <c r="AK352" i="2"/>
  <c r="AJ352" i="2"/>
  <c r="AI352" i="2"/>
  <c r="AH352" i="2"/>
  <c r="D352" i="2"/>
  <c r="AR351" i="2"/>
  <c r="AP351" i="2"/>
  <c r="AO351" i="2"/>
  <c r="AN351" i="2"/>
  <c r="AM351" i="2"/>
  <c r="AL351" i="2"/>
  <c r="AK351" i="2"/>
  <c r="AJ351" i="2"/>
  <c r="AI351" i="2"/>
  <c r="AH351" i="2"/>
  <c r="D351" i="2"/>
  <c r="AR350" i="2"/>
  <c r="AP350" i="2"/>
  <c r="AO350" i="2"/>
  <c r="AN350" i="2"/>
  <c r="AM350" i="2"/>
  <c r="AL350" i="2"/>
  <c r="AK350" i="2"/>
  <c r="AJ350" i="2"/>
  <c r="AI350" i="2"/>
  <c r="AH350" i="2"/>
  <c r="D350" i="2"/>
  <c r="AR349" i="2"/>
  <c r="AP349" i="2"/>
  <c r="AO349" i="2"/>
  <c r="AN349" i="2"/>
  <c r="AM349" i="2"/>
  <c r="AL349" i="2"/>
  <c r="AK349" i="2"/>
  <c r="AJ349" i="2"/>
  <c r="AI349" i="2"/>
  <c r="AH349" i="2"/>
  <c r="D349" i="2"/>
  <c r="AR348" i="2"/>
  <c r="AP348" i="2"/>
  <c r="AO348" i="2"/>
  <c r="AN348" i="2"/>
  <c r="AM348" i="2"/>
  <c r="AL348" i="2"/>
  <c r="AK348" i="2"/>
  <c r="AJ348" i="2"/>
  <c r="AI348" i="2"/>
  <c r="AH348" i="2"/>
  <c r="D348" i="2"/>
  <c r="AR347" i="2"/>
  <c r="AP347" i="2"/>
  <c r="AO347" i="2"/>
  <c r="AN347" i="2"/>
  <c r="AM347" i="2"/>
  <c r="AL347" i="2"/>
  <c r="AK347" i="2"/>
  <c r="AJ347" i="2"/>
  <c r="AI347" i="2"/>
  <c r="AH347" i="2"/>
  <c r="D347" i="2"/>
  <c r="AR346" i="2"/>
  <c r="AP346" i="2"/>
  <c r="AO346" i="2"/>
  <c r="AN346" i="2"/>
  <c r="AM346" i="2"/>
  <c r="AL346" i="2"/>
  <c r="AK346" i="2"/>
  <c r="AJ346" i="2"/>
  <c r="AI346" i="2"/>
  <c r="AH346" i="2"/>
  <c r="D346" i="2"/>
  <c r="AR345" i="2"/>
  <c r="AP345" i="2"/>
  <c r="AO345" i="2"/>
  <c r="AN345" i="2"/>
  <c r="AM345" i="2"/>
  <c r="AL345" i="2"/>
  <c r="AK345" i="2"/>
  <c r="AJ345" i="2"/>
  <c r="AI345" i="2"/>
  <c r="AH345" i="2"/>
  <c r="D345" i="2"/>
  <c r="AR344" i="2"/>
  <c r="AP344" i="2"/>
  <c r="AO344" i="2"/>
  <c r="AN344" i="2"/>
  <c r="AM344" i="2"/>
  <c r="AL344" i="2"/>
  <c r="AK344" i="2"/>
  <c r="AJ344" i="2"/>
  <c r="AI344" i="2"/>
  <c r="AH344" i="2"/>
  <c r="D344" i="2"/>
  <c r="AR343" i="2"/>
  <c r="AP343" i="2"/>
  <c r="AO343" i="2"/>
  <c r="AN343" i="2"/>
  <c r="AM343" i="2"/>
  <c r="AL343" i="2"/>
  <c r="AK343" i="2"/>
  <c r="AJ343" i="2"/>
  <c r="AI343" i="2"/>
  <c r="AH343" i="2"/>
  <c r="D343" i="2"/>
  <c r="AR342" i="2"/>
  <c r="AP342" i="2"/>
  <c r="AO342" i="2"/>
  <c r="AN342" i="2"/>
  <c r="AM342" i="2"/>
  <c r="AL342" i="2"/>
  <c r="AK342" i="2"/>
  <c r="AJ342" i="2"/>
  <c r="AI342" i="2"/>
  <c r="AH342" i="2"/>
  <c r="D342" i="2"/>
  <c r="AR341" i="2"/>
  <c r="AP341" i="2"/>
  <c r="AO341" i="2"/>
  <c r="AN341" i="2"/>
  <c r="AM341" i="2"/>
  <c r="AL341" i="2"/>
  <c r="AK341" i="2"/>
  <c r="AJ341" i="2"/>
  <c r="AI341" i="2"/>
  <c r="AH341" i="2"/>
  <c r="D341" i="2"/>
  <c r="AR340" i="2"/>
  <c r="AP340" i="2"/>
  <c r="AO340" i="2"/>
  <c r="AN340" i="2"/>
  <c r="AM340" i="2"/>
  <c r="AL340" i="2"/>
  <c r="AK340" i="2"/>
  <c r="AJ340" i="2"/>
  <c r="AI340" i="2"/>
  <c r="AH340" i="2"/>
  <c r="D340" i="2"/>
  <c r="AR339" i="2"/>
  <c r="AP339" i="2"/>
  <c r="AO339" i="2"/>
  <c r="AN339" i="2"/>
  <c r="AM339" i="2"/>
  <c r="AL339" i="2"/>
  <c r="AK339" i="2"/>
  <c r="AJ339" i="2"/>
  <c r="AI339" i="2"/>
  <c r="AH339" i="2"/>
  <c r="D339" i="2"/>
  <c r="AR338" i="2"/>
  <c r="AP338" i="2"/>
  <c r="AO338" i="2"/>
  <c r="AN338" i="2"/>
  <c r="AM338" i="2"/>
  <c r="AL338" i="2"/>
  <c r="AK338" i="2"/>
  <c r="AJ338" i="2"/>
  <c r="AI338" i="2"/>
  <c r="AH338" i="2"/>
  <c r="D338" i="2"/>
  <c r="AR337" i="2"/>
  <c r="AP337" i="2"/>
  <c r="AO337" i="2"/>
  <c r="AN337" i="2"/>
  <c r="AM337" i="2"/>
  <c r="AL337" i="2"/>
  <c r="AK337" i="2"/>
  <c r="AJ337" i="2"/>
  <c r="AI337" i="2"/>
  <c r="AH337" i="2"/>
  <c r="D337" i="2"/>
  <c r="AR336" i="2"/>
  <c r="AP336" i="2"/>
  <c r="AO336" i="2"/>
  <c r="AN336" i="2"/>
  <c r="AM336" i="2"/>
  <c r="AL336" i="2"/>
  <c r="AK336" i="2"/>
  <c r="AJ336" i="2"/>
  <c r="AI336" i="2"/>
  <c r="AH336" i="2"/>
  <c r="D336" i="2"/>
  <c r="AR335" i="2"/>
  <c r="AP335" i="2"/>
  <c r="AO335" i="2"/>
  <c r="AN335" i="2"/>
  <c r="AM335" i="2"/>
  <c r="AL335" i="2"/>
  <c r="AK335" i="2"/>
  <c r="AJ335" i="2"/>
  <c r="AI335" i="2"/>
  <c r="AH335" i="2"/>
  <c r="D335" i="2"/>
  <c r="AR334" i="2"/>
  <c r="AP334" i="2"/>
  <c r="AO334" i="2"/>
  <c r="AN334" i="2"/>
  <c r="AM334" i="2"/>
  <c r="AL334" i="2"/>
  <c r="AK334" i="2"/>
  <c r="AJ334" i="2"/>
  <c r="AI334" i="2"/>
  <c r="AH334" i="2"/>
  <c r="D334" i="2"/>
  <c r="AR333" i="2"/>
  <c r="AP333" i="2"/>
  <c r="AO333" i="2"/>
  <c r="AN333" i="2"/>
  <c r="AM333" i="2"/>
  <c r="AL333" i="2"/>
  <c r="AK333" i="2"/>
  <c r="AJ333" i="2"/>
  <c r="AI333" i="2"/>
  <c r="AH333" i="2"/>
  <c r="D333" i="2"/>
  <c r="AR332" i="2"/>
  <c r="AP332" i="2"/>
  <c r="AO332" i="2"/>
  <c r="AN332" i="2"/>
  <c r="AM332" i="2"/>
  <c r="AL332" i="2"/>
  <c r="AK332" i="2"/>
  <c r="AJ332" i="2"/>
  <c r="AI332" i="2"/>
  <c r="AH332" i="2"/>
  <c r="D332" i="2"/>
  <c r="AR331" i="2"/>
  <c r="AP331" i="2"/>
  <c r="AO331" i="2"/>
  <c r="AN331" i="2"/>
  <c r="AM331" i="2"/>
  <c r="AL331" i="2"/>
  <c r="AK331" i="2"/>
  <c r="AJ331" i="2"/>
  <c r="AI331" i="2"/>
  <c r="AH331" i="2"/>
  <c r="D331" i="2"/>
  <c r="AR330" i="2"/>
  <c r="AP330" i="2"/>
  <c r="AO330" i="2"/>
  <c r="AN330" i="2"/>
  <c r="AM330" i="2"/>
  <c r="AL330" i="2"/>
  <c r="AK330" i="2"/>
  <c r="AJ330" i="2"/>
  <c r="AI330" i="2"/>
  <c r="AH330" i="2"/>
  <c r="D330" i="2"/>
  <c r="AR329" i="2"/>
  <c r="AP329" i="2"/>
  <c r="AO329" i="2"/>
  <c r="AN329" i="2"/>
  <c r="AM329" i="2"/>
  <c r="AL329" i="2"/>
  <c r="AK329" i="2"/>
  <c r="AJ329" i="2"/>
  <c r="AI329" i="2"/>
  <c r="AH329" i="2"/>
  <c r="D329" i="2"/>
  <c r="AR328" i="2"/>
  <c r="AP328" i="2"/>
  <c r="AO328" i="2"/>
  <c r="AN328" i="2"/>
  <c r="AM328" i="2"/>
  <c r="AL328" i="2"/>
  <c r="AK328" i="2"/>
  <c r="AJ328" i="2"/>
  <c r="AI328" i="2"/>
  <c r="AH328" i="2"/>
  <c r="D328" i="2"/>
  <c r="AR327" i="2"/>
  <c r="AP327" i="2"/>
  <c r="AO327" i="2"/>
  <c r="AN327" i="2"/>
  <c r="AM327" i="2"/>
  <c r="AL327" i="2"/>
  <c r="AK327" i="2"/>
  <c r="AJ327" i="2"/>
  <c r="AI327" i="2"/>
  <c r="AH327" i="2"/>
  <c r="D327" i="2"/>
  <c r="AR326" i="2"/>
  <c r="AP326" i="2"/>
  <c r="AO326" i="2"/>
  <c r="AN326" i="2"/>
  <c r="AM326" i="2"/>
  <c r="AL326" i="2"/>
  <c r="AK326" i="2"/>
  <c r="AJ326" i="2"/>
  <c r="AI326" i="2"/>
  <c r="AH326" i="2"/>
  <c r="D326" i="2"/>
  <c r="AR325" i="2"/>
  <c r="AP325" i="2"/>
  <c r="AO325" i="2"/>
  <c r="AN325" i="2"/>
  <c r="AM325" i="2"/>
  <c r="AL325" i="2"/>
  <c r="AK325" i="2"/>
  <c r="AJ325" i="2"/>
  <c r="AI325" i="2"/>
  <c r="AH325" i="2"/>
  <c r="D325" i="2"/>
  <c r="AR324" i="2"/>
  <c r="AP324" i="2"/>
  <c r="AO324" i="2"/>
  <c r="AN324" i="2"/>
  <c r="AM324" i="2"/>
  <c r="AL324" i="2"/>
  <c r="AK324" i="2"/>
  <c r="AJ324" i="2"/>
  <c r="AI324" i="2"/>
  <c r="AH324" i="2"/>
  <c r="D324" i="2"/>
  <c r="AR323" i="2"/>
  <c r="AP323" i="2"/>
  <c r="AO323" i="2"/>
  <c r="AN323" i="2"/>
  <c r="AM323" i="2"/>
  <c r="AL323" i="2"/>
  <c r="AK323" i="2"/>
  <c r="AJ323" i="2"/>
  <c r="AI323" i="2"/>
  <c r="AH323" i="2"/>
  <c r="D323" i="2"/>
  <c r="AR322" i="2"/>
  <c r="AP322" i="2"/>
  <c r="AO322" i="2"/>
  <c r="AN322" i="2"/>
  <c r="AM322" i="2"/>
  <c r="AL322" i="2"/>
  <c r="AK322" i="2"/>
  <c r="AJ322" i="2"/>
  <c r="AI322" i="2"/>
  <c r="AH322" i="2"/>
  <c r="D322" i="2"/>
  <c r="AR321" i="2"/>
  <c r="AP321" i="2"/>
  <c r="AO321" i="2"/>
  <c r="AN321" i="2"/>
  <c r="AM321" i="2"/>
  <c r="AL321" i="2"/>
  <c r="AK321" i="2"/>
  <c r="AJ321" i="2"/>
  <c r="AI321" i="2"/>
  <c r="AH321" i="2"/>
  <c r="D321" i="2"/>
  <c r="AR320" i="2"/>
  <c r="AP320" i="2"/>
  <c r="AO320" i="2"/>
  <c r="AN320" i="2"/>
  <c r="AM320" i="2"/>
  <c r="AL320" i="2"/>
  <c r="AK320" i="2"/>
  <c r="AJ320" i="2"/>
  <c r="AI320" i="2"/>
  <c r="AH320" i="2"/>
  <c r="D320" i="2"/>
  <c r="AR319" i="2"/>
  <c r="AP319" i="2"/>
  <c r="AO319" i="2"/>
  <c r="AN319" i="2"/>
  <c r="AM319" i="2"/>
  <c r="AL319" i="2"/>
  <c r="AK319" i="2"/>
  <c r="AJ319" i="2"/>
  <c r="AI319" i="2"/>
  <c r="AH319" i="2"/>
  <c r="D319" i="2"/>
  <c r="AR318" i="2"/>
  <c r="AP318" i="2"/>
  <c r="AO318" i="2"/>
  <c r="AN318" i="2"/>
  <c r="AM318" i="2"/>
  <c r="AL318" i="2"/>
  <c r="AK318" i="2"/>
  <c r="AJ318" i="2"/>
  <c r="AI318" i="2"/>
  <c r="AH318" i="2"/>
  <c r="D318" i="2"/>
  <c r="AR317" i="2"/>
  <c r="AP317" i="2"/>
  <c r="AO317" i="2"/>
  <c r="AN317" i="2"/>
  <c r="AM317" i="2"/>
  <c r="AL317" i="2"/>
  <c r="AK317" i="2"/>
  <c r="AJ317" i="2"/>
  <c r="AI317" i="2"/>
  <c r="AH317" i="2"/>
  <c r="D317" i="2"/>
  <c r="AR316" i="2"/>
  <c r="AP316" i="2"/>
  <c r="AO316" i="2"/>
  <c r="AN316" i="2"/>
  <c r="AM316" i="2"/>
  <c r="AL316" i="2"/>
  <c r="AK316" i="2"/>
  <c r="AJ316" i="2"/>
  <c r="AI316" i="2"/>
  <c r="AH316" i="2"/>
  <c r="D316" i="2"/>
  <c r="AR315" i="2"/>
  <c r="AP315" i="2"/>
  <c r="AO315" i="2"/>
  <c r="AN315" i="2"/>
  <c r="AM315" i="2"/>
  <c r="AK315" i="2"/>
  <c r="AJ315" i="2"/>
  <c r="AI315" i="2"/>
  <c r="AH315" i="2"/>
  <c r="D315" i="2"/>
  <c r="AR314" i="2"/>
  <c r="AP314" i="2"/>
  <c r="AO314" i="2"/>
  <c r="AN314" i="2"/>
  <c r="AM314" i="2"/>
  <c r="AL314" i="2"/>
  <c r="AK314" i="2"/>
  <c r="AJ314" i="2"/>
  <c r="AI314" i="2"/>
  <c r="AH314" i="2"/>
  <c r="D314" i="2"/>
  <c r="AR313" i="2"/>
  <c r="AP313" i="2"/>
  <c r="AO313" i="2"/>
  <c r="AN313" i="2"/>
  <c r="AM313" i="2"/>
  <c r="AL313" i="2"/>
  <c r="AK313" i="2"/>
  <c r="AI313" i="2"/>
  <c r="AH313" i="2"/>
  <c r="D313" i="2"/>
  <c r="AR312" i="2"/>
  <c r="AP312" i="2"/>
  <c r="AO312" i="2"/>
  <c r="AN312" i="2"/>
  <c r="AM312" i="2"/>
  <c r="AL312" i="2"/>
  <c r="AK312" i="2"/>
  <c r="AJ312" i="2"/>
  <c r="AI312" i="2"/>
  <c r="AH312" i="2"/>
  <c r="D312" i="2"/>
  <c r="AR311" i="2"/>
  <c r="AP311" i="2"/>
  <c r="AO311" i="2"/>
  <c r="AN311" i="2"/>
  <c r="AM311" i="2"/>
  <c r="AL311" i="2"/>
  <c r="AK311" i="2"/>
  <c r="AJ311" i="2"/>
  <c r="AI311" i="2"/>
  <c r="AH311" i="2"/>
  <c r="D311" i="2"/>
  <c r="AR310" i="2"/>
  <c r="AP310" i="2"/>
  <c r="AO310" i="2"/>
  <c r="AN310" i="2"/>
  <c r="AM310" i="2"/>
  <c r="AL310" i="2"/>
  <c r="AK310" i="2"/>
  <c r="AJ310" i="2"/>
  <c r="AI310" i="2"/>
  <c r="AH310" i="2"/>
  <c r="D310" i="2"/>
  <c r="AR309" i="2"/>
  <c r="AP309" i="2"/>
  <c r="AO309" i="2"/>
  <c r="AN309" i="2"/>
  <c r="AM309" i="2"/>
  <c r="AL309" i="2"/>
  <c r="AK309" i="2"/>
  <c r="AJ309" i="2"/>
  <c r="AI309" i="2"/>
  <c r="AH309" i="2"/>
  <c r="D309" i="2"/>
  <c r="AR308" i="2"/>
  <c r="AP308" i="2"/>
  <c r="AO308" i="2"/>
  <c r="AN308" i="2"/>
  <c r="AM308" i="2"/>
  <c r="AL308" i="2"/>
  <c r="AK308" i="2"/>
  <c r="AJ308" i="2"/>
  <c r="AI308" i="2"/>
  <c r="AH308" i="2"/>
  <c r="D308" i="2"/>
  <c r="AR307" i="2"/>
  <c r="AP307" i="2"/>
  <c r="AO307" i="2"/>
  <c r="AN307" i="2"/>
  <c r="AM307" i="2"/>
  <c r="AL307" i="2"/>
  <c r="AK307" i="2"/>
  <c r="AJ307" i="2"/>
  <c r="AI307" i="2"/>
  <c r="AH307" i="2"/>
  <c r="D307" i="2"/>
  <c r="AR306" i="2"/>
  <c r="AP306" i="2"/>
  <c r="AO306" i="2"/>
  <c r="AN306" i="2"/>
  <c r="AM306" i="2"/>
  <c r="AL306" i="2"/>
  <c r="AK306" i="2"/>
  <c r="AJ306" i="2"/>
  <c r="AI306" i="2"/>
  <c r="AH306" i="2"/>
  <c r="D306" i="2"/>
  <c r="AR305" i="2"/>
  <c r="AP305" i="2"/>
  <c r="AO305" i="2"/>
  <c r="AN305" i="2"/>
  <c r="AM305" i="2"/>
  <c r="AL305" i="2"/>
  <c r="AK305" i="2"/>
  <c r="AJ305" i="2"/>
  <c r="AI305" i="2"/>
  <c r="AH305" i="2"/>
  <c r="D305" i="2"/>
  <c r="AR304" i="2"/>
  <c r="AP304" i="2"/>
  <c r="AO304" i="2"/>
  <c r="AN304" i="2"/>
  <c r="AM304" i="2"/>
  <c r="AL304" i="2"/>
  <c r="AK304" i="2"/>
  <c r="AJ304" i="2"/>
  <c r="AI304" i="2"/>
  <c r="AH304" i="2"/>
  <c r="D304" i="2"/>
  <c r="AR303" i="2"/>
  <c r="AP303" i="2"/>
  <c r="AO303" i="2"/>
  <c r="AN303" i="2"/>
  <c r="AM303" i="2"/>
  <c r="AL303" i="2"/>
  <c r="AK303" i="2"/>
  <c r="AJ303" i="2"/>
  <c r="AI303" i="2"/>
  <c r="AH303" i="2"/>
  <c r="D303" i="2"/>
  <c r="AR302" i="2"/>
  <c r="AP302" i="2"/>
  <c r="AO302" i="2"/>
  <c r="AN302" i="2"/>
  <c r="AM302" i="2"/>
  <c r="AL302" i="2"/>
  <c r="AK302" i="2"/>
  <c r="AJ302" i="2"/>
  <c r="AI302" i="2"/>
  <c r="AH302" i="2"/>
  <c r="D302" i="2"/>
  <c r="AR301" i="2"/>
  <c r="AP301" i="2"/>
  <c r="AO301" i="2"/>
  <c r="AN301" i="2"/>
  <c r="AM301" i="2"/>
  <c r="AL301" i="2"/>
  <c r="AK301" i="2"/>
  <c r="AJ301" i="2"/>
  <c r="AI301" i="2"/>
  <c r="AH301" i="2"/>
  <c r="D301" i="2"/>
  <c r="AR300" i="2"/>
  <c r="AP300" i="2"/>
  <c r="AO300" i="2"/>
  <c r="AN300" i="2"/>
  <c r="AM300" i="2"/>
  <c r="AL300" i="2"/>
  <c r="AK300" i="2"/>
  <c r="AJ300" i="2"/>
  <c r="AI300" i="2"/>
  <c r="AH300" i="2"/>
  <c r="D300" i="2"/>
  <c r="AR299" i="2"/>
  <c r="AP299" i="2"/>
  <c r="AO299" i="2"/>
  <c r="AN299" i="2"/>
  <c r="AM299" i="2"/>
  <c r="AL299" i="2"/>
  <c r="AK299" i="2"/>
  <c r="AJ299" i="2"/>
  <c r="AI299" i="2"/>
  <c r="AH299" i="2"/>
  <c r="D299" i="2"/>
  <c r="AR298" i="2"/>
  <c r="AP298" i="2"/>
  <c r="AO298" i="2"/>
  <c r="AN298" i="2"/>
  <c r="AM298" i="2"/>
  <c r="AL298" i="2"/>
  <c r="AK298" i="2"/>
  <c r="AJ298" i="2"/>
  <c r="AI298" i="2"/>
  <c r="AH298" i="2"/>
  <c r="D298" i="2"/>
  <c r="AR297" i="2"/>
  <c r="AP297" i="2"/>
  <c r="AO297" i="2"/>
  <c r="AN297" i="2"/>
  <c r="AM297" i="2"/>
  <c r="AL297" i="2"/>
  <c r="AK297" i="2"/>
  <c r="AJ297" i="2"/>
  <c r="AI297" i="2"/>
  <c r="AH297" i="2"/>
  <c r="D297" i="2"/>
  <c r="AR296" i="2"/>
  <c r="AP296" i="2"/>
  <c r="AO296" i="2"/>
  <c r="AN296" i="2"/>
  <c r="AM296" i="2"/>
  <c r="AL296" i="2"/>
  <c r="AK296" i="2"/>
  <c r="AJ296" i="2"/>
  <c r="AI296" i="2"/>
  <c r="AH296" i="2"/>
  <c r="D296" i="2"/>
  <c r="AR295" i="2"/>
  <c r="AP295" i="2"/>
  <c r="AO295" i="2"/>
  <c r="AN295" i="2"/>
  <c r="AM295" i="2"/>
  <c r="AL295" i="2"/>
  <c r="AK295" i="2"/>
  <c r="AJ295" i="2"/>
  <c r="AI295" i="2"/>
  <c r="AH295" i="2"/>
  <c r="D295" i="2"/>
  <c r="AR294" i="2"/>
  <c r="AP294" i="2"/>
  <c r="AO294" i="2"/>
  <c r="AN294" i="2"/>
  <c r="AM294" i="2"/>
  <c r="AL294" i="2"/>
  <c r="AK294" i="2"/>
  <c r="AJ294" i="2"/>
  <c r="AI294" i="2"/>
  <c r="AH294" i="2"/>
  <c r="D294" i="2"/>
  <c r="AR293" i="2"/>
  <c r="AP293" i="2"/>
  <c r="AO293" i="2"/>
  <c r="AN293" i="2"/>
  <c r="AM293" i="2"/>
  <c r="AL293" i="2"/>
  <c r="AK293" i="2"/>
  <c r="AJ293" i="2"/>
  <c r="AI293" i="2"/>
  <c r="AH293" i="2"/>
  <c r="D293" i="2"/>
  <c r="AR292" i="2"/>
  <c r="AP292" i="2"/>
  <c r="AO292" i="2"/>
  <c r="AN292" i="2"/>
  <c r="AM292" i="2"/>
  <c r="AL292" i="2"/>
  <c r="AK292" i="2"/>
  <c r="AJ292" i="2"/>
  <c r="AI292" i="2"/>
  <c r="AH292" i="2"/>
  <c r="D292" i="2"/>
  <c r="AR291" i="2"/>
  <c r="AP291" i="2"/>
  <c r="AO291" i="2"/>
  <c r="AN291" i="2"/>
  <c r="AM291" i="2"/>
  <c r="AL291" i="2"/>
  <c r="AK291" i="2"/>
  <c r="AJ291" i="2"/>
  <c r="AI291" i="2"/>
  <c r="AH291" i="2"/>
  <c r="D291" i="2"/>
  <c r="AR290" i="2"/>
  <c r="AP290" i="2"/>
  <c r="AO290" i="2"/>
  <c r="AN290" i="2"/>
  <c r="AM290" i="2"/>
  <c r="AL290" i="2"/>
  <c r="AK290" i="2"/>
  <c r="AJ290" i="2"/>
  <c r="AI290" i="2"/>
  <c r="AH290" i="2"/>
  <c r="D290" i="2"/>
  <c r="AR289" i="2"/>
  <c r="AP289" i="2"/>
  <c r="AO289" i="2"/>
  <c r="AN289" i="2"/>
  <c r="AM289" i="2"/>
  <c r="AL289" i="2"/>
  <c r="AK289" i="2"/>
  <c r="AJ289" i="2"/>
  <c r="AI289" i="2"/>
  <c r="AH289" i="2"/>
  <c r="D289" i="2"/>
  <c r="AR288" i="2"/>
  <c r="AP288" i="2"/>
  <c r="AO288" i="2"/>
  <c r="AN288" i="2"/>
  <c r="AM288" i="2"/>
  <c r="AL288" i="2"/>
  <c r="AK288" i="2"/>
  <c r="AJ288" i="2"/>
  <c r="AI288" i="2"/>
  <c r="AH288" i="2"/>
  <c r="D288" i="2"/>
  <c r="AR287" i="2"/>
  <c r="AP287" i="2"/>
  <c r="AO287" i="2"/>
  <c r="AN287" i="2"/>
  <c r="AM287" i="2"/>
  <c r="AL287" i="2"/>
  <c r="AK287" i="2"/>
  <c r="AJ287" i="2"/>
  <c r="AI287" i="2"/>
  <c r="AH287" i="2"/>
  <c r="D287" i="2"/>
  <c r="AR286" i="2"/>
  <c r="AP286" i="2"/>
  <c r="AO286" i="2"/>
  <c r="AN286" i="2"/>
  <c r="AM286" i="2"/>
  <c r="AL286" i="2"/>
  <c r="AK286" i="2"/>
  <c r="AJ286" i="2"/>
  <c r="AI286" i="2"/>
  <c r="AH286" i="2"/>
  <c r="D286" i="2"/>
  <c r="AR285" i="2"/>
  <c r="AP285" i="2"/>
  <c r="AO285" i="2"/>
  <c r="AN285" i="2"/>
  <c r="AM285" i="2"/>
  <c r="AL285" i="2"/>
  <c r="AK285" i="2"/>
  <c r="AJ285" i="2"/>
  <c r="AI285" i="2"/>
  <c r="AH285" i="2"/>
  <c r="D285" i="2"/>
  <c r="AR284" i="2"/>
  <c r="AP284" i="2"/>
  <c r="AO284" i="2"/>
  <c r="AN284" i="2"/>
  <c r="AM284" i="2"/>
  <c r="AL284" i="2"/>
  <c r="AK284" i="2"/>
  <c r="AJ284" i="2"/>
  <c r="AI284" i="2"/>
  <c r="AH284" i="2"/>
  <c r="D284" i="2"/>
  <c r="AR283" i="2"/>
  <c r="AP283" i="2"/>
  <c r="AO283" i="2"/>
  <c r="AN283" i="2"/>
  <c r="AM283" i="2"/>
  <c r="AL283" i="2"/>
  <c r="AK283" i="2"/>
  <c r="AJ283" i="2"/>
  <c r="AI283" i="2"/>
  <c r="AH283" i="2"/>
  <c r="D283" i="2"/>
  <c r="AR282" i="2"/>
  <c r="AP282" i="2"/>
  <c r="AO282" i="2"/>
  <c r="AN282" i="2"/>
  <c r="AM282" i="2"/>
  <c r="AL282" i="2"/>
  <c r="AK282" i="2"/>
  <c r="AJ282" i="2"/>
  <c r="AI282" i="2"/>
  <c r="AH282" i="2"/>
  <c r="D282" i="2"/>
  <c r="AR281" i="2"/>
  <c r="AP281" i="2"/>
  <c r="AO281" i="2"/>
  <c r="AN281" i="2"/>
  <c r="AM281" i="2"/>
  <c r="AL281" i="2"/>
  <c r="AK281" i="2"/>
  <c r="AJ281" i="2"/>
  <c r="AI281" i="2"/>
  <c r="AH281" i="2"/>
  <c r="D281" i="2"/>
  <c r="AR280" i="2"/>
  <c r="AP280" i="2"/>
  <c r="AO280" i="2"/>
  <c r="AN280" i="2"/>
  <c r="AM280" i="2"/>
  <c r="AL280" i="2"/>
  <c r="AK280" i="2"/>
  <c r="AJ280" i="2"/>
  <c r="AI280" i="2"/>
  <c r="AH280" i="2"/>
  <c r="D280" i="2"/>
  <c r="AR279" i="2"/>
  <c r="AP279" i="2"/>
  <c r="AO279" i="2"/>
  <c r="AN279" i="2"/>
  <c r="AM279" i="2"/>
  <c r="AL279" i="2"/>
  <c r="AK279" i="2"/>
  <c r="AJ279" i="2"/>
  <c r="AI279" i="2"/>
  <c r="AH279" i="2"/>
  <c r="D279" i="2"/>
  <c r="AR278" i="2"/>
  <c r="AP278" i="2"/>
  <c r="AO278" i="2"/>
  <c r="AN278" i="2"/>
  <c r="AM278" i="2"/>
  <c r="AL278" i="2"/>
  <c r="AK278" i="2"/>
  <c r="AJ278" i="2"/>
  <c r="AI278" i="2"/>
  <c r="AH278" i="2"/>
  <c r="D278" i="2"/>
  <c r="AR277" i="2"/>
  <c r="AP277" i="2"/>
  <c r="AO277" i="2"/>
  <c r="AN277" i="2"/>
  <c r="AM277" i="2"/>
  <c r="AL277" i="2"/>
  <c r="AK277" i="2"/>
  <c r="AJ277" i="2"/>
  <c r="AI277" i="2"/>
  <c r="AH277" i="2"/>
  <c r="D277" i="2"/>
  <c r="AR276" i="2"/>
  <c r="AP276" i="2"/>
  <c r="AO276" i="2"/>
  <c r="AN276" i="2"/>
  <c r="AM276" i="2"/>
  <c r="AL276" i="2"/>
  <c r="AK276" i="2"/>
  <c r="AJ276" i="2"/>
  <c r="AI276" i="2"/>
  <c r="AH276" i="2"/>
  <c r="D276" i="2"/>
  <c r="AR275" i="2"/>
  <c r="AP275" i="2"/>
  <c r="AO275" i="2"/>
  <c r="AN275" i="2"/>
  <c r="AM275" i="2"/>
  <c r="AL275" i="2"/>
  <c r="AK275" i="2"/>
  <c r="AJ275" i="2"/>
  <c r="AI275" i="2"/>
  <c r="AH275" i="2"/>
  <c r="D275" i="2"/>
  <c r="AR274" i="2"/>
  <c r="AP274" i="2"/>
  <c r="AO274" i="2"/>
  <c r="AN274" i="2"/>
  <c r="AM274" i="2"/>
  <c r="AL274" i="2"/>
  <c r="AK274" i="2"/>
  <c r="AJ274" i="2"/>
  <c r="AI274" i="2"/>
  <c r="AH274" i="2"/>
  <c r="D274" i="2"/>
  <c r="AR273" i="2"/>
  <c r="AP273" i="2"/>
  <c r="AO273" i="2"/>
  <c r="AN273" i="2"/>
  <c r="AM273" i="2"/>
  <c r="AL273" i="2"/>
  <c r="AK273" i="2"/>
  <c r="AJ273" i="2"/>
  <c r="AI273" i="2"/>
  <c r="AH273" i="2"/>
  <c r="D273" i="2"/>
  <c r="AR272" i="2"/>
  <c r="AP272" i="2"/>
  <c r="AO272" i="2"/>
  <c r="AN272" i="2"/>
  <c r="AM272" i="2"/>
  <c r="AL272" i="2"/>
  <c r="AK272" i="2"/>
  <c r="AJ272" i="2"/>
  <c r="AI272" i="2"/>
  <c r="AH272" i="2"/>
  <c r="D272" i="2"/>
  <c r="AR271" i="2"/>
  <c r="AP271" i="2"/>
  <c r="AO271" i="2"/>
  <c r="AN271" i="2"/>
  <c r="AM271" i="2"/>
  <c r="AL271" i="2"/>
  <c r="AK271" i="2"/>
  <c r="AJ271" i="2"/>
  <c r="AI271" i="2"/>
  <c r="AH271" i="2"/>
  <c r="D271" i="2"/>
  <c r="AR270" i="2"/>
  <c r="AP270" i="2"/>
  <c r="AO270" i="2"/>
  <c r="AN270" i="2"/>
  <c r="AM270" i="2"/>
  <c r="AL270" i="2"/>
  <c r="AK270" i="2"/>
  <c r="AJ270" i="2"/>
  <c r="AI270" i="2"/>
  <c r="AH270" i="2"/>
  <c r="D270" i="2"/>
  <c r="AR269" i="2"/>
  <c r="AP269" i="2"/>
  <c r="AO269" i="2"/>
  <c r="AN269" i="2"/>
  <c r="AM269" i="2"/>
  <c r="AL269" i="2"/>
  <c r="AK269" i="2"/>
  <c r="AJ269" i="2"/>
  <c r="AI269" i="2"/>
  <c r="AH269" i="2"/>
  <c r="D269" i="2"/>
  <c r="AR268" i="2"/>
  <c r="AP268" i="2"/>
  <c r="AO268" i="2"/>
  <c r="AN268" i="2"/>
  <c r="AM268" i="2"/>
  <c r="AI268" i="2"/>
  <c r="AH268" i="2"/>
  <c r="D268" i="2"/>
  <c r="AR267" i="2"/>
  <c r="AP267" i="2"/>
  <c r="AO267" i="2"/>
  <c r="AN267" i="2"/>
  <c r="AM267" i="2"/>
  <c r="AL267" i="2"/>
  <c r="AK267" i="2"/>
  <c r="AJ267" i="2"/>
  <c r="AI267" i="2"/>
  <c r="AH267" i="2"/>
  <c r="D267" i="2"/>
  <c r="AR266" i="2"/>
  <c r="AP266" i="2"/>
  <c r="AO266" i="2"/>
  <c r="AN266" i="2"/>
  <c r="AM266" i="2"/>
  <c r="AL266" i="2"/>
  <c r="AK266" i="2"/>
  <c r="AJ266" i="2"/>
  <c r="AI266" i="2"/>
  <c r="AH266" i="2"/>
  <c r="D266" i="2"/>
  <c r="AR265" i="2"/>
  <c r="AP265" i="2"/>
  <c r="AO265" i="2"/>
  <c r="AN265" i="2"/>
  <c r="AM265" i="2"/>
  <c r="AL265" i="2"/>
  <c r="AK265" i="2"/>
  <c r="AJ265" i="2"/>
  <c r="AI265" i="2"/>
  <c r="AH265" i="2"/>
  <c r="D265" i="2"/>
  <c r="AR264" i="2"/>
  <c r="AP264" i="2"/>
  <c r="AO264" i="2"/>
  <c r="AN264" i="2"/>
  <c r="AM264" i="2"/>
  <c r="AL264" i="2"/>
  <c r="AK264" i="2"/>
  <c r="AJ264" i="2"/>
  <c r="AI264" i="2"/>
  <c r="AH264" i="2"/>
  <c r="D264" i="2"/>
  <c r="AR263" i="2"/>
  <c r="AP263" i="2"/>
  <c r="AO263" i="2"/>
  <c r="AN263" i="2"/>
  <c r="AM263" i="2"/>
  <c r="AL263" i="2"/>
  <c r="AK263" i="2"/>
  <c r="AJ263" i="2"/>
  <c r="AI263" i="2"/>
  <c r="AH263" i="2"/>
  <c r="D263" i="2"/>
  <c r="AR262" i="2"/>
  <c r="AP262" i="2"/>
  <c r="AO262" i="2"/>
  <c r="AN262" i="2"/>
  <c r="AM262" i="2"/>
  <c r="AL262" i="2"/>
  <c r="AK262" i="2"/>
  <c r="AJ262" i="2"/>
  <c r="AI262" i="2"/>
  <c r="AH262" i="2"/>
  <c r="D262" i="2"/>
  <c r="AR261" i="2"/>
  <c r="AP261" i="2"/>
  <c r="AO261" i="2"/>
  <c r="AN261" i="2"/>
  <c r="AM261" i="2"/>
  <c r="AL261" i="2"/>
  <c r="AK261" i="2"/>
  <c r="AJ261" i="2"/>
  <c r="AI261" i="2"/>
  <c r="AH261" i="2"/>
  <c r="D261" i="2"/>
  <c r="AR260" i="2"/>
  <c r="AP260" i="2"/>
  <c r="AO260" i="2"/>
  <c r="AN260" i="2"/>
  <c r="AM260" i="2"/>
  <c r="AL260" i="2"/>
  <c r="AK260" i="2"/>
  <c r="AJ260" i="2"/>
  <c r="AI260" i="2"/>
  <c r="AH260" i="2"/>
  <c r="D260" i="2"/>
  <c r="AR259" i="2"/>
  <c r="AP259" i="2"/>
  <c r="AO259" i="2"/>
  <c r="AN259" i="2"/>
  <c r="AM259" i="2"/>
  <c r="AL259" i="2"/>
  <c r="AK259" i="2"/>
  <c r="AJ259" i="2"/>
  <c r="AI259" i="2"/>
  <c r="AH259" i="2"/>
  <c r="D259" i="2"/>
  <c r="AR258" i="2"/>
  <c r="AP258" i="2"/>
  <c r="AO258" i="2"/>
  <c r="AN258" i="2"/>
  <c r="AM258" i="2"/>
  <c r="AL258" i="2"/>
  <c r="AK258" i="2"/>
  <c r="AJ258" i="2"/>
  <c r="AI258" i="2"/>
  <c r="AH258" i="2"/>
  <c r="D258" i="2"/>
  <c r="AR257" i="2"/>
  <c r="AP257" i="2"/>
  <c r="AO257" i="2"/>
  <c r="AN257" i="2"/>
  <c r="AM257" i="2"/>
  <c r="AL257" i="2"/>
  <c r="AK257" i="2"/>
  <c r="AJ257" i="2"/>
  <c r="AI257" i="2"/>
  <c r="AH257" i="2"/>
  <c r="D257" i="2"/>
  <c r="AR256" i="2"/>
  <c r="AP256" i="2"/>
  <c r="AO256" i="2"/>
  <c r="AN256" i="2"/>
  <c r="AM256" i="2"/>
  <c r="AL256" i="2"/>
  <c r="AK256" i="2"/>
  <c r="AJ256" i="2"/>
  <c r="AI256" i="2"/>
  <c r="AH256" i="2"/>
  <c r="D256" i="2"/>
  <c r="AR255" i="2"/>
  <c r="AP255" i="2"/>
  <c r="AO255" i="2"/>
  <c r="AN255" i="2"/>
  <c r="AM255" i="2"/>
  <c r="AL255" i="2"/>
  <c r="AK255" i="2"/>
  <c r="AJ255" i="2"/>
  <c r="AI255" i="2"/>
  <c r="AH255" i="2"/>
  <c r="D255" i="2"/>
  <c r="AR254" i="2"/>
  <c r="AP254" i="2"/>
  <c r="AO254" i="2"/>
  <c r="AN254" i="2"/>
  <c r="AM254" i="2"/>
  <c r="AL254" i="2"/>
  <c r="AK254" i="2"/>
  <c r="AJ254" i="2"/>
  <c r="AI254" i="2"/>
  <c r="AH254" i="2"/>
  <c r="D254" i="2"/>
  <c r="AR253" i="2"/>
  <c r="AP253" i="2"/>
  <c r="AO253" i="2"/>
  <c r="AN253" i="2"/>
  <c r="AM253" i="2"/>
  <c r="AL253" i="2"/>
  <c r="AK253" i="2"/>
  <c r="AJ253" i="2"/>
  <c r="AI253" i="2"/>
  <c r="AH253" i="2"/>
  <c r="D253" i="2"/>
  <c r="AR252" i="2"/>
  <c r="AP252" i="2"/>
  <c r="AO252" i="2"/>
  <c r="AN252" i="2"/>
  <c r="AM252" i="2"/>
  <c r="AL252" i="2"/>
  <c r="AK252" i="2"/>
  <c r="AJ252" i="2"/>
  <c r="AI252" i="2"/>
  <c r="AH252" i="2"/>
  <c r="D252" i="2"/>
  <c r="AR251" i="2"/>
  <c r="AP251" i="2"/>
  <c r="AO251" i="2"/>
  <c r="AN251" i="2"/>
  <c r="AM251" i="2"/>
  <c r="AL251" i="2"/>
  <c r="AK251" i="2"/>
  <c r="AJ251" i="2"/>
  <c r="AI251" i="2"/>
  <c r="AH251" i="2"/>
  <c r="D251" i="2"/>
  <c r="AR250" i="2"/>
  <c r="AP250" i="2"/>
  <c r="AO250" i="2"/>
  <c r="AN250" i="2"/>
  <c r="AM250" i="2"/>
  <c r="AL250" i="2"/>
  <c r="AK250" i="2"/>
  <c r="AJ250" i="2"/>
  <c r="AI250" i="2"/>
  <c r="AH250" i="2"/>
  <c r="D250" i="2"/>
  <c r="AR249" i="2"/>
  <c r="AP249" i="2"/>
  <c r="AO249" i="2"/>
  <c r="AN249" i="2"/>
  <c r="AM249" i="2"/>
  <c r="AL249" i="2"/>
  <c r="AK249" i="2"/>
  <c r="AJ249" i="2"/>
  <c r="AI249" i="2"/>
  <c r="AH249" i="2"/>
  <c r="D249" i="2"/>
  <c r="AR248" i="2"/>
  <c r="AP248" i="2"/>
  <c r="AO248" i="2"/>
  <c r="AN248" i="2"/>
  <c r="AM248" i="2"/>
  <c r="AL248" i="2"/>
  <c r="AK248" i="2"/>
  <c r="AJ248" i="2"/>
  <c r="AI248" i="2"/>
  <c r="AH248" i="2"/>
  <c r="D248" i="2"/>
  <c r="AR247" i="2"/>
  <c r="AP247" i="2"/>
  <c r="AO247" i="2"/>
  <c r="AN247" i="2"/>
  <c r="AM247" i="2"/>
  <c r="AL247" i="2"/>
  <c r="AK247" i="2"/>
  <c r="AJ247" i="2"/>
  <c r="AI247" i="2"/>
  <c r="AH247" i="2"/>
  <c r="D247" i="2"/>
  <c r="AR246" i="2"/>
  <c r="AP246" i="2"/>
  <c r="AO246" i="2"/>
  <c r="AN246" i="2"/>
  <c r="AM246" i="2"/>
  <c r="AL246" i="2"/>
  <c r="AK246" i="2"/>
  <c r="AJ246" i="2"/>
  <c r="AI246" i="2"/>
  <c r="AH246" i="2"/>
  <c r="D246" i="2"/>
  <c r="AR245" i="2"/>
  <c r="AP245" i="2"/>
  <c r="AO245" i="2"/>
  <c r="AN245" i="2"/>
  <c r="AM245" i="2"/>
  <c r="AL245" i="2"/>
  <c r="AK245" i="2"/>
  <c r="AJ245" i="2"/>
  <c r="AI245" i="2"/>
  <c r="AH245" i="2"/>
  <c r="D245" i="2"/>
  <c r="AR244" i="2"/>
  <c r="AP244" i="2"/>
  <c r="AO244" i="2"/>
  <c r="AN244" i="2"/>
  <c r="AM244" i="2"/>
  <c r="AL244" i="2"/>
  <c r="AK244" i="2"/>
  <c r="AJ244" i="2"/>
  <c r="AI244" i="2"/>
  <c r="AH244" i="2"/>
  <c r="D244" i="2"/>
  <c r="AR243" i="2"/>
  <c r="AP243" i="2"/>
  <c r="AO243" i="2"/>
  <c r="AN243" i="2"/>
  <c r="AM243" i="2"/>
  <c r="AL243" i="2"/>
  <c r="AK243" i="2"/>
  <c r="AJ243" i="2"/>
  <c r="AI243" i="2"/>
  <c r="AH243" i="2"/>
  <c r="D243" i="2"/>
  <c r="AR242" i="2"/>
  <c r="AP242" i="2"/>
  <c r="AO242" i="2"/>
  <c r="AN242" i="2"/>
  <c r="AM242" i="2"/>
  <c r="AL242" i="2"/>
  <c r="AK242" i="2"/>
  <c r="AJ242" i="2"/>
  <c r="AI242" i="2"/>
  <c r="AH242" i="2"/>
  <c r="D242" i="2"/>
  <c r="AR241" i="2"/>
  <c r="AP241" i="2"/>
  <c r="AO241" i="2"/>
  <c r="AN241" i="2"/>
  <c r="AM241" i="2"/>
  <c r="AL241" i="2"/>
  <c r="AK241" i="2"/>
  <c r="AJ241" i="2"/>
  <c r="AI241" i="2"/>
  <c r="AH241" i="2"/>
  <c r="D241" i="2"/>
  <c r="AR240" i="2"/>
  <c r="AP240" i="2"/>
  <c r="AO240" i="2"/>
  <c r="AN240" i="2"/>
  <c r="AM240" i="2"/>
  <c r="AL240" i="2"/>
  <c r="AK240" i="2"/>
  <c r="AJ240" i="2"/>
  <c r="AI240" i="2"/>
  <c r="AH240" i="2"/>
  <c r="D240" i="2"/>
  <c r="AR239" i="2"/>
  <c r="AP239" i="2"/>
  <c r="AO239" i="2"/>
  <c r="AN239" i="2"/>
  <c r="AM239" i="2"/>
  <c r="AL239" i="2"/>
  <c r="AK239" i="2"/>
  <c r="AJ239" i="2"/>
  <c r="AI239" i="2"/>
  <c r="AH239" i="2"/>
  <c r="D239" i="2"/>
  <c r="AR238" i="2"/>
  <c r="AP238" i="2"/>
  <c r="AO238" i="2"/>
  <c r="AN238" i="2"/>
  <c r="AM238" i="2"/>
  <c r="AL238" i="2"/>
  <c r="AK238" i="2"/>
  <c r="AJ238" i="2"/>
  <c r="AI238" i="2"/>
  <c r="AH238" i="2"/>
  <c r="D238" i="2"/>
  <c r="AR237" i="2"/>
  <c r="AP237" i="2"/>
  <c r="AO237" i="2"/>
  <c r="AN237" i="2"/>
  <c r="AM237" i="2"/>
  <c r="AL237" i="2"/>
  <c r="AK237" i="2"/>
  <c r="AJ237" i="2"/>
  <c r="AI237" i="2"/>
  <c r="AH237" i="2"/>
  <c r="D237" i="2"/>
  <c r="AR236" i="2"/>
  <c r="AP236" i="2"/>
  <c r="AO236" i="2"/>
  <c r="AN236" i="2"/>
  <c r="AM236" i="2"/>
  <c r="AL236" i="2"/>
  <c r="AK236" i="2"/>
  <c r="AJ236" i="2"/>
  <c r="AI236" i="2"/>
  <c r="AH236" i="2"/>
  <c r="D236" i="2"/>
  <c r="AR235" i="2"/>
  <c r="AP235" i="2"/>
  <c r="AO235" i="2"/>
  <c r="AN235" i="2"/>
  <c r="AM235" i="2"/>
  <c r="AL235" i="2"/>
  <c r="AK235" i="2"/>
  <c r="AJ235" i="2"/>
  <c r="AI235" i="2"/>
  <c r="AH235" i="2"/>
  <c r="D235" i="2"/>
  <c r="AR234" i="2"/>
  <c r="AP234" i="2"/>
  <c r="AO234" i="2"/>
  <c r="AN234" i="2"/>
  <c r="AM234" i="2"/>
  <c r="AL234" i="2"/>
  <c r="AK234" i="2"/>
  <c r="AJ234" i="2"/>
  <c r="AI234" i="2"/>
  <c r="AH234" i="2"/>
  <c r="D234" i="2"/>
  <c r="AR233" i="2"/>
  <c r="AP233" i="2"/>
  <c r="AO233" i="2"/>
  <c r="AN233" i="2"/>
  <c r="AM233" i="2"/>
  <c r="AL233" i="2"/>
  <c r="AK233" i="2"/>
  <c r="AJ233" i="2"/>
  <c r="AI233" i="2"/>
  <c r="AH233" i="2"/>
  <c r="D233" i="2"/>
  <c r="AR232" i="2"/>
  <c r="AP232" i="2"/>
  <c r="AO232" i="2"/>
  <c r="AN232" i="2"/>
  <c r="AM232" i="2"/>
  <c r="AL232" i="2"/>
  <c r="AK232" i="2"/>
  <c r="AJ232" i="2"/>
  <c r="AI232" i="2"/>
  <c r="AH232" i="2"/>
  <c r="D232" i="2"/>
  <c r="AR231" i="2"/>
  <c r="AP231" i="2"/>
  <c r="AO231" i="2"/>
  <c r="AN231" i="2"/>
  <c r="AM231" i="2"/>
  <c r="AL231" i="2"/>
  <c r="AK231" i="2"/>
  <c r="AJ231" i="2"/>
  <c r="AI231" i="2"/>
  <c r="AH231" i="2"/>
  <c r="D231" i="2"/>
  <c r="AR230" i="2"/>
  <c r="AP230" i="2"/>
  <c r="AO230" i="2"/>
  <c r="AN230" i="2"/>
  <c r="AM230" i="2"/>
  <c r="AL230" i="2"/>
  <c r="AK230" i="2"/>
  <c r="AJ230" i="2"/>
  <c r="AI230" i="2"/>
  <c r="AH230" i="2"/>
  <c r="D230" i="2"/>
  <c r="AR229" i="2"/>
  <c r="AP229" i="2"/>
  <c r="AO229" i="2"/>
  <c r="AN229" i="2"/>
  <c r="AM229" i="2"/>
  <c r="AL229" i="2"/>
  <c r="AK229" i="2"/>
  <c r="AJ229" i="2"/>
  <c r="AI229" i="2"/>
  <c r="AH229" i="2"/>
  <c r="D229" i="2"/>
  <c r="AR228" i="2"/>
  <c r="AP228" i="2"/>
  <c r="AO228" i="2"/>
  <c r="AN228" i="2"/>
  <c r="AM228" i="2"/>
  <c r="AL228" i="2"/>
  <c r="AK228" i="2"/>
  <c r="AJ228" i="2"/>
  <c r="AI228" i="2"/>
  <c r="AH228" i="2"/>
  <c r="D228" i="2"/>
  <c r="AR227" i="2"/>
  <c r="AP227" i="2"/>
  <c r="AO227" i="2"/>
  <c r="AN227" i="2"/>
  <c r="AM227" i="2"/>
  <c r="AL227" i="2"/>
  <c r="AK227" i="2"/>
  <c r="AJ227" i="2"/>
  <c r="AI227" i="2"/>
  <c r="AH227" i="2"/>
  <c r="D227" i="2"/>
  <c r="AR226" i="2"/>
  <c r="AP226" i="2"/>
  <c r="AO226" i="2"/>
  <c r="AN226" i="2"/>
  <c r="AM226" i="2"/>
  <c r="AL226" i="2"/>
  <c r="AK226" i="2"/>
  <c r="AJ226" i="2"/>
  <c r="AI226" i="2"/>
  <c r="AH226" i="2"/>
  <c r="D226" i="2"/>
  <c r="AR225" i="2"/>
  <c r="AP225" i="2"/>
  <c r="AO225" i="2"/>
  <c r="AN225" i="2"/>
  <c r="AM225" i="2"/>
  <c r="AL225" i="2"/>
  <c r="AK225" i="2"/>
  <c r="AJ225" i="2"/>
  <c r="AI225" i="2"/>
  <c r="AH225" i="2"/>
  <c r="D225" i="2"/>
  <c r="AR224" i="2"/>
  <c r="AP224" i="2"/>
  <c r="AO224" i="2"/>
  <c r="AN224" i="2"/>
  <c r="AM224" i="2"/>
  <c r="AL224" i="2"/>
  <c r="AK224" i="2"/>
  <c r="AJ224" i="2"/>
  <c r="AI224" i="2"/>
  <c r="AH224" i="2"/>
  <c r="D224" i="2"/>
  <c r="AR223" i="2"/>
  <c r="AP223" i="2"/>
  <c r="AO223" i="2"/>
  <c r="AN223" i="2"/>
  <c r="AM223" i="2"/>
  <c r="AL223" i="2"/>
  <c r="AK223" i="2"/>
  <c r="AJ223" i="2"/>
  <c r="AI223" i="2"/>
  <c r="AH223" i="2"/>
  <c r="D223" i="2"/>
  <c r="AR222" i="2"/>
  <c r="AP222" i="2"/>
  <c r="AO222" i="2"/>
  <c r="AN222" i="2"/>
  <c r="AM222" i="2"/>
  <c r="AL222" i="2"/>
  <c r="AK222" i="2"/>
  <c r="AJ222" i="2"/>
  <c r="AI222" i="2"/>
  <c r="AH222" i="2"/>
  <c r="D222" i="2"/>
  <c r="AR221" i="2"/>
  <c r="AP221" i="2"/>
  <c r="AO221" i="2"/>
  <c r="AN221" i="2"/>
  <c r="AM221" i="2"/>
  <c r="AL221" i="2"/>
  <c r="AK221" i="2"/>
  <c r="AJ221" i="2"/>
  <c r="AI221" i="2"/>
  <c r="AH221" i="2"/>
  <c r="D221" i="2"/>
  <c r="AR220" i="2"/>
  <c r="AP220" i="2"/>
  <c r="AO220" i="2"/>
  <c r="AN220" i="2"/>
  <c r="AM220" i="2"/>
  <c r="AL220" i="2"/>
  <c r="AK220" i="2"/>
  <c r="AJ220" i="2"/>
  <c r="AI220" i="2"/>
  <c r="AH220" i="2"/>
  <c r="D220" i="2"/>
  <c r="AR219" i="2"/>
  <c r="AP219" i="2"/>
  <c r="AO219" i="2"/>
  <c r="AN219" i="2"/>
  <c r="AM219" i="2"/>
  <c r="AL219" i="2"/>
  <c r="AK219" i="2"/>
  <c r="AJ219" i="2"/>
  <c r="AI219" i="2"/>
  <c r="AH219" i="2"/>
  <c r="D219" i="2"/>
  <c r="AR218" i="2"/>
  <c r="AP218" i="2"/>
  <c r="AO218" i="2"/>
  <c r="AN218" i="2"/>
  <c r="AM218" i="2"/>
  <c r="AL218" i="2"/>
  <c r="AK218" i="2"/>
  <c r="AJ218" i="2"/>
  <c r="AI218" i="2"/>
  <c r="AH218" i="2"/>
  <c r="D218" i="2"/>
  <c r="AR217" i="2"/>
  <c r="AP217" i="2"/>
  <c r="AO217" i="2"/>
  <c r="AN217" i="2"/>
  <c r="AM217" i="2"/>
  <c r="AL217" i="2"/>
  <c r="AK217" i="2"/>
  <c r="AJ217" i="2"/>
  <c r="AI217" i="2"/>
  <c r="AH217" i="2"/>
  <c r="D217" i="2"/>
  <c r="AR216" i="2"/>
  <c r="AP216" i="2"/>
  <c r="AO216" i="2"/>
  <c r="AN216" i="2"/>
  <c r="AM216" i="2"/>
  <c r="AL216" i="2"/>
  <c r="AK216" i="2"/>
  <c r="AJ216" i="2"/>
  <c r="AI216" i="2"/>
  <c r="AH216" i="2"/>
  <c r="D216" i="2"/>
  <c r="AR215" i="2"/>
  <c r="AP215" i="2"/>
  <c r="AO215" i="2"/>
  <c r="AN215" i="2"/>
  <c r="AM215" i="2"/>
  <c r="AL215" i="2"/>
  <c r="AK215" i="2"/>
  <c r="AJ215" i="2"/>
  <c r="AI215" i="2"/>
  <c r="AH215" i="2"/>
  <c r="D215" i="2"/>
  <c r="AR214" i="2"/>
  <c r="AP214" i="2"/>
  <c r="AO214" i="2"/>
  <c r="AN214" i="2"/>
  <c r="AM214" i="2"/>
  <c r="AL214" i="2"/>
  <c r="AK214" i="2"/>
  <c r="AJ214" i="2"/>
  <c r="AI214" i="2"/>
  <c r="AH214" i="2"/>
  <c r="D214" i="2"/>
  <c r="AR213" i="2"/>
  <c r="AP213" i="2"/>
  <c r="AO213" i="2"/>
  <c r="AN213" i="2"/>
  <c r="AM213" i="2"/>
  <c r="AL213" i="2"/>
  <c r="AK213" i="2"/>
  <c r="AJ213" i="2"/>
  <c r="AI213" i="2"/>
  <c r="AH213" i="2"/>
  <c r="D213" i="2"/>
  <c r="AR212" i="2"/>
  <c r="AP212" i="2"/>
  <c r="AO212" i="2"/>
  <c r="AN212" i="2"/>
  <c r="AM212" i="2"/>
  <c r="AL212" i="2"/>
  <c r="AK212" i="2"/>
  <c r="AJ212" i="2"/>
  <c r="AI212" i="2"/>
  <c r="AH212" i="2"/>
  <c r="D212" i="2"/>
  <c r="AR211" i="2"/>
  <c r="AP211" i="2"/>
  <c r="AO211" i="2"/>
  <c r="AN211" i="2"/>
  <c r="AM211" i="2"/>
  <c r="AL211" i="2"/>
  <c r="AK211" i="2"/>
  <c r="AJ211" i="2"/>
  <c r="AI211" i="2"/>
  <c r="AH211" i="2"/>
  <c r="D211" i="2"/>
  <c r="AR210" i="2"/>
  <c r="AP210" i="2"/>
  <c r="AO210" i="2"/>
  <c r="AN210" i="2"/>
  <c r="AM210" i="2"/>
  <c r="AL210" i="2"/>
  <c r="AK210" i="2"/>
  <c r="AJ210" i="2"/>
  <c r="AI210" i="2"/>
  <c r="AH210" i="2"/>
  <c r="D210" i="2"/>
  <c r="AR209" i="2"/>
  <c r="AP209" i="2"/>
  <c r="AO209" i="2"/>
  <c r="AN209" i="2"/>
  <c r="AM209" i="2"/>
  <c r="AL209" i="2"/>
  <c r="AK209" i="2"/>
  <c r="AJ209" i="2"/>
  <c r="AI209" i="2"/>
  <c r="AH209" i="2"/>
  <c r="D209" i="2"/>
  <c r="AR208" i="2"/>
  <c r="AP208" i="2"/>
  <c r="AO208" i="2"/>
  <c r="AN208" i="2"/>
  <c r="AM208" i="2"/>
  <c r="AL208" i="2"/>
  <c r="AK208" i="2"/>
  <c r="AJ208" i="2"/>
  <c r="AI208" i="2"/>
  <c r="AH208" i="2"/>
  <c r="D208" i="2"/>
  <c r="AR207" i="2"/>
  <c r="AP207" i="2"/>
  <c r="AO207" i="2"/>
  <c r="AN207" i="2"/>
  <c r="AM207" i="2"/>
  <c r="AL207" i="2"/>
  <c r="AK207" i="2"/>
  <c r="AJ207" i="2"/>
  <c r="AI207" i="2"/>
  <c r="AH207" i="2"/>
  <c r="D207" i="2"/>
  <c r="AR206" i="2"/>
  <c r="AP206" i="2"/>
  <c r="AO206" i="2"/>
  <c r="AN206" i="2"/>
  <c r="AM206" i="2"/>
  <c r="AL206" i="2"/>
  <c r="AK206" i="2"/>
  <c r="AJ206" i="2"/>
  <c r="AI206" i="2"/>
  <c r="AH206" i="2"/>
  <c r="D206" i="2"/>
  <c r="AR205" i="2"/>
  <c r="AP205" i="2"/>
  <c r="AO205" i="2"/>
  <c r="AN205" i="2"/>
  <c r="AM205" i="2"/>
  <c r="AL205" i="2"/>
  <c r="AK205" i="2"/>
  <c r="AJ205" i="2"/>
  <c r="AI205" i="2"/>
  <c r="AH205" i="2"/>
  <c r="D205" i="2"/>
  <c r="AR204" i="2"/>
  <c r="AP204" i="2"/>
  <c r="AO204" i="2"/>
  <c r="AN204" i="2"/>
  <c r="AM204" i="2"/>
  <c r="AL204" i="2"/>
  <c r="AK204" i="2"/>
  <c r="AJ204" i="2"/>
  <c r="AI204" i="2"/>
  <c r="AH204" i="2"/>
  <c r="D204" i="2"/>
  <c r="AR203" i="2"/>
  <c r="AP203" i="2"/>
  <c r="AO203" i="2"/>
  <c r="AN203" i="2"/>
  <c r="AM203" i="2"/>
  <c r="AL203" i="2"/>
  <c r="AK203" i="2"/>
  <c r="AJ203" i="2"/>
  <c r="AI203" i="2"/>
  <c r="AH203" i="2"/>
  <c r="D203" i="2"/>
  <c r="AR202" i="2"/>
  <c r="AP202" i="2"/>
  <c r="AO202" i="2"/>
  <c r="AN202" i="2"/>
  <c r="AM202" i="2"/>
  <c r="AL202" i="2"/>
  <c r="AK202" i="2"/>
  <c r="AJ202" i="2"/>
  <c r="AI202" i="2"/>
  <c r="AH202" i="2"/>
  <c r="D202" i="2"/>
  <c r="AR201" i="2"/>
  <c r="AP201" i="2"/>
  <c r="AO201" i="2"/>
  <c r="AN201" i="2"/>
  <c r="AM201" i="2"/>
  <c r="AL201" i="2"/>
  <c r="AK201" i="2"/>
  <c r="AJ201" i="2"/>
  <c r="AI201" i="2"/>
  <c r="AH201" i="2"/>
  <c r="D201" i="2"/>
  <c r="AR200" i="2"/>
  <c r="AP200" i="2"/>
  <c r="AO200" i="2"/>
  <c r="AN200" i="2"/>
  <c r="AM200" i="2"/>
  <c r="AL200" i="2"/>
  <c r="AK200" i="2"/>
  <c r="AJ200" i="2"/>
  <c r="AI200" i="2"/>
  <c r="AH200" i="2"/>
  <c r="D200" i="2"/>
  <c r="AR199" i="2"/>
  <c r="AP199" i="2"/>
  <c r="AO199" i="2"/>
  <c r="AN199" i="2"/>
  <c r="AM199" i="2"/>
  <c r="AL199" i="2"/>
  <c r="AK199" i="2"/>
  <c r="AJ199" i="2"/>
  <c r="AI199" i="2"/>
  <c r="AH199" i="2"/>
  <c r="D199" i="2"/>
  <c r="AR198" i="2"/>
  <c r="AP198" i="2"/>
  <c r="AO198" i="2"/>
  <c r="AN198" i="2"/>
  <c r="AM198" i="2"/>
  <c r="AL198" i="2"/>
  <c r="AK198" i="2"/>
  <c r="AJ198" i="2"/>
  <c r="AI198" i="2"/>
  <c r="AH198" i="2"/>
  <c r="D198" i="2"/>
  <c r="AR197" i="2"/>
  <c r="AP197" i="2"/>
  <c r="AO197" i="2"/>
  <c r="AN197" i="2"/>
  <c r="AM197" i="2"/>
  <c r="AL197" i="2"/>
  <c r="AK197" i="2"/>
  <c r="AJ197" i="2"/>
  <c r="AI197" i="2"/>
  <c r="AH197" i="2"/>
  <c r="D197" i="2"/>
  <c r="AR196" i="2"/>
  <c r="AP196" i="2"/>
  <c r="AO196" i="2"/>
  <c r="AN196" i="2"/>
  <c r="AM196" i="2"/>
  <c r="AL196" i="2"/>
  <c r="AK196" i="2"/>
  <c r="AJ196" i="2"/>
  <c r="AI196" i="2"/>
  <c r="AH196" i="2"/>
  <c r="D196" i="2"/>
  <c r="AR195" i="2"/>
  <c r="AP195" i="2"/>
  <c r="AO195" i="2"/>
  <c r="AN195" i="2"/>
  <c r="AM195" i="2"/>
  <c r="AL195" i="2"/>
  <c r="AK195" i="2"/>
  <c r="AJ195" i="2"/>
  <c r="AI195" i="2"/>
  <c r="AH195" i="2"/>
  <c r="D195" i="2"/>
  <c r="AR194" i="2"/>
  <c r="AP194" i="2"/>
  <c r="AO194" i="2"/>
  <c r="AN194" i="2"/>
  <c r="AM194" i="2"/>
  <c r="AL194" i="2"/>
  <c r="AK194" i="2"/>
  <c r="AJ194" i="2"/>
  <c r="AI194" i="2"/>
  <c r="AH194" i="2"/>
  <c r="D194" i="2"/>
  <c r="AR193" i="2"/>
  <c r="AP193" i="2"/>
  <c r="AO193" i="2"/>
  <c r="AN193" i="2"/>
  <c r="AM193" i="2"/>
  <c r="AL193" i="2"/>
  <c r="AK193" i="2"/>
  <c r="AJ193" i="2"/>
  <c r="AI193" i="2"/>
  <c r="AH193" i="2"/>
  <c r="D193" i="2"/>
  <c r="AR192" i="2"/>
  <c r="AP192" i="2"/>
  <c r="AO192" i="2"/>
  <c r="AN192" i="2"/>
  <c r="AM192" i="2"/>
  <c r="AL192" i="2"/>
  <c r="AK192" i="2"/>
  <c r="AJ192" i="2"/>
  <c r="AI192" i="2"/>
  <c r="AH192" i="2"/>
  <c r="D192" i="2"/>
  <c r="AR191" i="2"/>
  <c r="AP191" i="2"/>
  <c r="AO191" i="2"/>
  <c r="AN191" i="2"/>
  <c r="AM191" i="2"/>
  <c r="AL191" i="2"/>
  <c r="AK191" i="2"/>
  <c r="AJ191" i="2"/>
  <c r="AI191" i="2"/>
  <c r="AH191" i="2"/>
  <c r="D191" i="2"/>
  <c r="AR190" i="2"/>
  <c r="AP190" i="2"/>
  <c r="AO190" i="2"/>
  <c r="AN190" i="2"/>
  <c r="AM190" i="2"/>
  <c r="AL190" i="2"/>
  <c r="AK190" i="2"/>
  <c r="AJ190" i="2"/>
  <c r="AI190" i="2"/>
  <c r="AH190" i="2"/>
  <c r="D190" i="2"/>
  <c r="AR189" i="2"/>
  <c r="AP189" i="2"/>
  <c r="AO189" i="2"/>
  <c r="AN189" i="2"/>
  <c r="AM189" i="2"/>
  <c r="AL189" i="2"/>
  <c r="AK189" i="2"/>
  <c r="AJ189" i="2"/>
  <c r="AI189" i="2"/>
  <c r="AH189" i="2"/>
  <c r="D189" i="2"/>
  <c r="AR188" i="2"/>
  <c r="AP188" i="2"/>
  <c r="AO188" i="2"/>
  <c r="AN188" i="2"/>
  <c r="AM188" i="2"/>
  <c r="AL188" i="2"/>
  <c r="AK188" i="2"/>
  <c r="AJ188" i="2"/>
  <c r="AI188" i="2"/>
  <c r="AH188" i="2"/>
  <c r="D188" i="2"/>
  <c r="AR187" i="2"/>
  <c r="AP187" i="2"/>
  <c r="AO187" i="2"/>
  <c r="AN187" i="2"/>
  <c r="AM187" i="2"/>
  <c r="AL187" i="2"/>
  <c r="AK187" i="2"/>
  <c r="AJ187" i="2"/>
  <c r="AI187" i="2"/>
  <c r="AH187" i="2"/>
  <c r="D187" i="2"/>
  <c r="AR186" i="2"/>
  <c r="AP186" i="2"/>
  <c r="AO186" i="2"/>
  <c r="AN186" i="2"/>
  <c r="AM186" i="2"/>
  <c r="AL186" i="2"/>
  <c r="AK186" i="2"/>
  <c r="AJ186" i="2"/>
  <c r="AI186" i="2"/>
  <c r="AH186" i="2"/>
  <c r="D186" i="2"/>
  <c r="AR185" i="2"/>
  <c r="AP185" i="2"/>
  <c r="AO185" i="2"/>
  <c r="AN185" i="2"/>
  <c r="AM185" i="2"/>
  <c r="AL185" i="2"/>
  <c r="AK185" i="2"/>
  <c r="AJ185" i="2"/>
  <c r="AI185" i="2"/>
  <c r="AH185" i="2"/>
  <c r="D185" i="2"/>
  <c r="AR184" i="2"/>
  <c r="AP184" i="2"/>
  <c r="AO184" i="2"/>
  <c r="AN184" i="2"/>
  <c r="AM184" i="2"/>
  <c r="AL184" i="2"/>
  <c r="AK184" i="2"/>
  <c r="AJ184" i="2"/>
  <c r="AI184" i="2"/>
  <c r="AH184" i="2"/>
  <c r="D184" i="2"/>
  <c r="AR183" i="2"/>
  <c r="AP183" i="2"/>
  <c r="AO183" i="2"/>
  <c r="AN183" i="2"/>
  <c r="AM183" i="2"/>
  <c r="AL183" i="2"/>
  <c r="AK183" i="2"/>
  <c r="AJ183" i="2"/>
  <c r="AI183" i="2"/>
  <c r="AH183" i="2"/>
  <c r="D183" i="2"/>
  <c r="AR182" i="2"/>
  <c r="AP182" i="2"/>
  <c r="AO182" i="2"/>
  <c r="AN182" i="2"/>
  <c r="AM182" i="2"/>
  <c r="AL182" i="2"/>
  <c r="AK182" i="2"/>
  <c r="AJ182" i="2"/>
  <c r="AI182" i="2"/>
  <c r="AH182" i="2"/>
  <c r="D182" i="2"/>
  <c r="AR181" i="2"/>
  <c r="AP181" i="2"/>
  <c r="AO181" i="2"/>
  <c r="AN181" i="2"/>
  <c r="AM181" i="2"/>
  <c r="AL181" i="2"/>
  <c r="AK181" i="2"/>
  <c r="AJ181" i="2"/>
  <c r="AI181" i="2"/>
  <c r="AH181" i="2"/>
  <c r="D181" i="2"/>
  <c r="AR180" i="2"/>
  <c r="AP180" i="2"/>
  <c r="AO180" i="2"/>
  <c r="AN180" i="2"/>
  <c r="AM180" i="2"/>
  <c r="AL180" i="2"/>
  <c r="AK180" i="2"/>
  <c r="AJ180" i="2"/>
  <c r="AI180" i="2"/>
  <c r="AH180" i="2"/>
  <c r="D180" i="2"/>
  <c r="AR179" i="2"/>
  <c r="AP179" i="2"/>
  <c r="AO179" i="2"/>
  <c r="AN179" i="2"/>
  <c r="AM179" i="2"/>
  <c r="AI179" i="2"/>
  <c r="AH179" i="2"/>
  <c r="D179" i="2"/>
  <c r="AR178" i="2"/>
  <c r="AP178" i="2"/>
  <c r="AO178" i="2"/>
  <c r="AN178" i="2"/>
  <c r="AM178" i="2"/>
  <c r="AL178" i="2"/>
  <c r="AK178" i="2"/>
  <c r="AJ178" i="2"/>
  <c r="AI178" i="2"/>
  <c r="AH178" i="2"/>
  <c r="D178" i="2"/>
  <c r="AR177" i="2"/>
  <c r="AP177" i="2"/>
  <c r="AO177" i="2"/>
  <c r="AN177" i="2"/>
  <c r="AM177" i="2"/>
  <c r="AL177" i="2"/>
  <c r="AK177" i="2"/>
  <c r="AJ177" i="2"/>
  <c r="AI177" i="2"/>
  <c r="AH177" i="2"/>
  <c r="D177" i="2"/>
  <c r="AR176" i="2"/>
  <c r="AP176" i="2"/>
  <c r="AO176" i="2"/>
  <c r="AN176" i="2"/>
  <c r="AM176" i="2"/>
  <c r="AL176" i="2"/>
  <c r="AK176" i="2"/>
  <c r="AJ176" i="2"/>
  <c r="AI176" i="2"/>
  <c r="AH176" i="2"/>
  <c r="D176" i="2"/>
  <c r="AR175" i="2"/>
  <c r="AP175" i="2"/>
  <c r="AO175" i="2"/>
  <c r="AN175" i="2"/>
  <c r="AM175" i="2"/>
  <c r="AL175" i="2"/>
  <c r="AK175" i="2"/>
  <c r="AJ175" i="2"/>
  <c r="AI175" i="2"/>
  <c r="AH175" i="2"/>
  <c r="D175" i="2"/>
  <c r="AR174" i="2"/>
  <c r="AP174" i="2"/>
  <c r="AO174" i="2"/>
  <c r="AN174" i="2"/>
  <c r="AM174" i="2"/>
  <c r="AL174" i="2"/>
  <c r="AK174" i="2"/>
  <c r="AJ174" i="2"/>
  <c r="AI174" i="2"/>
  <c r="AH174" i="2"/>
  <c r="D174" i="2"/>
  <c r="AR173" i="2"/>
  <c r="AP173" i="2"/>
  <c r="AO173" i="2"/>
  <c r="AN173" i="2"/>
  <c r="AM173" i="2"/>
  <c r="AL173" i="2"/>
  <c r="AK173" i="2"/>
  <c r="AJ173" i="2"/>
  <c r="AI173" i="2"/>
  <c r="AH173" i="2"/>
  <c r="D173" i="2"/>
  <c r="AR172" i="2"/>
  <c r="AP172" i="2"/>
  <c r="AO172" i="2"/>
  <c r="AN172" i="2"/>
  <c r="AM172" i="2"/>
  <c r="AL172" i="2"/>
  <c r="AK172" i="2"/>
  <c r="AJ172" i="2"/>
  <c r="AI172" i="2"/>
  <c r="AH172" i="2"/>
  <c r="D172" i="2"/>
  <c r="AR171" i="2"/>
  <c r="AP171" i="2"/>
  <c r="AO171" i="2"/>
  <c r="AN171" i="2"/>
  <c r="AM171" i="2"/>
  <c r="AL171" i="2"/>
  <c r="AK171" i="2"/>
  <c r="AJ171" i="2"/>
  <c r="AI171" i="2"/>
  <c r="AH171" i="2"/>
  <c r="D171" i="2"/>
  <c r="AR170" i="2"/>
  <c r="AP170" i="2"/>
  <c r="AO170" i="2"/>
  <c r="AN170" i="2"/>
  <c r="AM170" i="2"/>
  <c r="AL170" i="2"/>
  <c r="AK170" i="2"/>
  <c r="AJ170" i="2"/>
  <c r="AI170" i="2"/>
  <c r="AH170" i="2"/>
  <c r="D170" i="2"/>
  <c r="AR169" i="2"/>
  <c r="AP169" i="2"/>
  <c r="AO169" i="2"/>
  <c r="AN169" i="2"/>
  <c r="AM169" i="2"/>
  <c r="AL169" i="2"/>
  <c r="AK169" i="2"/>
  <c r="AJ169" i="2"/>
  <c r="AI169" i="2"/>
  <c r="AH169" i="2"/>
  <c r="D169" i="2"/>
  <c r="AR168" i="2"/>
  <c r="AP168" i="2"/>
  <c r="AO168" i="2"/>
  <c r="AN168" i="2"/>
  <c r="AM168" i="2"/>
  <c r="AL168" i="2"/>
  <c r="AK168" i="2"/>
  <c r="AJ168" i="2"/>
  <c r="AI168" i="2"/>
  <c r="AH168" i="2"/>
  <c r="D168" i="2"/>
  <c r="AR167" i="2"/>
  <c r="AP167" i="2"/>
  <c r="AO167" i="2"/>
  <c r="AN167" i="2"/>
  <c r="AM167" i="2"/>
  <c r="AL167" i="2"/>
  <c r="AK167" i="2"/>
  <c r="AJ167" i="2"/>
  <c r="AI167" i="2"/>
  <c r="AH167" i="2"/>
  <c r="D167" i="2"/>
  <c r="AR166" i="2"/>
  <c r="AP166" i="2"/>
  <c r="AO166" i="2"/>
  <c r="AN166" i="2"/>
  <c r="AM166" i="2"/>
  <c r="AL166" i="2"/>
  <c r="AK166" i="2"/>
  <c r="AJ166" i="2"/>
  <c r="AI166" i="2"/>
  <c r="AH166" i="2"/>
  <c r="D166" i="2"/>
  <c r="AR165" i="2"/>
  <c r="AP165" i="2"/>
  <c r="AO165" i="2"/>
  <c r="AN165" i="2"/>
  <c r="AM165" i="2"/>
  <c r="AL165" i="2"/>
  <c r="AK165" i="2"/>
  <c r="AJ165" i="2"/>
  <c r="AI165" i="2"/>
  <c r="AH165" i="2"/>
  <c r="D165" i="2"/>
  <c r="AR164" i="2"/>
  <c r="AP164" i="2"/>
  <c r="AO164" i="2"/>
  <c r="AN164" i="2"/>
  <c r="AM164" i="2"/>
  <c r="AL164" i="2"/>
  <c r="AK164" i="2"/>
  <c r="AJ164" i="2"/>
  <c r="AI164" i="2"/>
  <c r="AH164" i="2"/>
  <c r="D164" i="2"/>
  <c r="AR163" i="2"/>
  <c r="AP163" i="2"/>
  <c r="AO163" i="2"/>
  <c r="AN163" i="2"/>
  <c r="AM163" i="2"/>
  <c r="AL163" i="2"/>
  <c r="AK163" i="2"/>
  <c r="AJ163" i="2"/>
  <c r="AI163" i="2"/>
  <c r="AH163" i="2"/>
  <c r="D163" i="2"/>
  <c r="AR162" i="2"/>
  <c r="AP162" i="2"/>
  <c r="AO162" i="2"/>
  <c r="AN162" i="2"/>
  <c r="AM162" i="2"/>
  <c r="AL162" i="2"/>
  <c r="AK162" i="2"/>
  <c r="AJ162" i="2"/>
  <c r="AI162" i="2"/>
  <c r="AH162" i="2"/>
  <c r="D162" i="2"/>
  <c r="AR161" i="2"/>
  <c r="AP161" i="2"/>
  <c r="AO161" i="2"/>
  <c r="AN161" i="2"/>
  <c r="AM161" i="2"/>
  <c r="AL161" i="2"/>
  <c r="AK161" i="2"/>
  <c r="AJ161" i="2"/>
  <c r="AI161" i="2"/>
  <c r="AH161" i="2"/>
  <c r="D161" i="2"/>
  <c r="AR160" i="2"/>
  <c r="AP160" i="2"/>
  <c r="AO160" i="2"/>
  <c r="AN160" i="2"/>
  <c r="AM160" i="2"/>
  <c r="AL160" i="2"/>
  <c r="AK160" i="2"/>
  <c r="AJ160" i="2"/>
  <c r="AI160" i="2"/>
  <c r="AH160" i="2"/>
  <c r="D160" i="2"/>
  <c r="AR159" i="2"/>
  <c r="AP159" i="2"/>
  <c r="AO159" i="2"/>
  <c r="AN159" i="2"/>
  <c r="AM159" i="2"/>
  <c r="AL159" i="2"/>
  <c r="AK159" i="2"/>
  <c r="AJ159" i="2"/>
  <c r="AI159" i="2"/>
  <c r="AH159" i="2"/>
  <c r="D159" i="2"/>
  <c r="AR158" i="2"/>
  <c r="AP158" i="2"/>
  <c r="AO158" i="2"/>
  <c r="AN158" i="2"/>
  <c r="AM158" i="2"/>
  <c r="AL158" i="2"/>
  <c r="AK158" i="2"/>
  <c r="AJ158" i="2"/>
  <c r="AI158" i="2"/>
  <c r="AH158" i="2"/>
  <c r="D158" i="2"/>
  <c r="AR157" i="2"/>
  <c r="AP157" i="2"/>
  <c r="AO157" i="2"/>
  <c r="AN157" i="2"/>
  <c r="AM157" i="2"/>
  <c r="AL157" i="2"/>
  <c r="AK157" i="2"/>
  <c r="AJ157" i="2"/>
  <c r="AI157" i="2"/>
  <c r="AH157" i="2"/>
  <c r="D157" i="2"/>
  <c r="AR156" i="2"/>
  <c r="AP156" i="2"/>
  <c r="AO156" i="2"/>
  <c r="AN156" i="2"/>
  <c r="AM156" i="2"/>
  <c r="AL156" i="2"/>
  <c r="AK156" i="2"/>
  <c r="AJ156" i="2"/>
  <c r="AI156" i="2"/>
  <c r="AH156" i="2"/>
  <c r="D156" i="2"/>
  <c r="AR155" i="2"/>
  <c r="AP155" i="2"/>
  <c r="AO155" i="2"/>
  <c r="AN155" i="2"/>
  <c r="AM155" i="2"/>
  <c r="AL155" i="2"/>
  <c r="AK155" i="2"/>
  <c r="AJ155" i="2"/>
  <c r="AI155" i="2"/>
  <c r="AH155" i="2"/>
  <c r="D155" i="2"/>
  <c r="AR154" i="2"/>
  <c r="AP154" i="2"/>
  <c r="AO154" i="2"/>
  <c r="AN154" i="2"/>
  <c r="AM154" i="2"/>
  <c r="AL154" i="2"/>
  <c r="AK154" i="2"/>
  <c r="AJ154" i="2"/>
  <c r="AI154" i="2"/>
  <c r="AH154" i="2"/>
  <c r="D154" i="2"/>
  <c r="AR153" i="2"/>
  <c r="AP153" i="2"/>
  <c r="AO153" i="2"/>
  <c r="AN153" i="2"/>
  <c r="AM153" i="2"/>
  <c r="AL153" i="2"/>
  <c r="AK153" i="2"/>
  <c r="AJ153" i="2"/>
  <c r="AI153" i="2"/>
  <c r="AH153" i="2"/>
  <c r="D153" i="2"/>
  <c r="AR152" i="2"/>
  <c r="AP152" i="2"/>
  <c r="AO152" i="2"/>
  <c r="AN152" i="2"/>
  <c r="AM152" i="2"/>
  <c r="AL152" i="2"/>
  <c r="AK152" i="2"/>
  <c r="AJ152" i="2"/>
  <c r="AI152" i="2"/>
  <c r="AH152" i="2"/>
  <c r="D152" i="2"/>
  <c r="AR151" i="2"/>
  <c r="AP151" i="2"/>
  <c r="AO151" i="2"/>
  <c r="AN151" i="2"/>
  <c r="AM151" i="2"/>
  <c r="AL151" i="2"/>
  <c r="AK151" i="2"/>
  <c r="AJ151" i="2"/>
  <c r="AI151" i="2"/>
  <c r="AH151" i="2"/>
  <c r="D151" i="2"/>
  <c r="AR150" i="2"/>
  <c r="AP150" i="2"/>
  <c r="AO150" i="2"/>
  <c r="AN150" i="2"/>
  <c r="AM150" i="2"/>
  <c r="AL150" i="2"/>
  <c r="AK150" i="2"/>
  <c r="AJ150" i="2"/>
  <c r="AI150" i="2"/>
  <c r="AH150" i="2"/>
  <c r="D150" i="2"/>
  <c r="AR149" i="2"/>
  <c r="AP149" i="2"/>
  <c r="AO149" i="2"/>
  <c r="AN149" i="2"/>
  <c r="AM149" i="2"/>
  <c r="AL149" i="2"/>
  <c r="AK149" i="2"/>
  <c r="AJ149" i="2"/>
  <c r="AI149" i="2"/>
  <c r="AH149" i="2"/>
  <c r="D149" i="2"/>
  <c r="AR148" i="2"/>
  <c r="AP148" i="2"/>
  <c r="AO148" i="2"/>
  <c r="AN148" i="2"/>
  <c r="AM148" i="2"/>
  <c r="AL148" i="2"/>
  <c r="AK148" i="2"/>
  <c r="AJ148" i="2"/>
  <c r="AI148" i="2"/>
  <c r="AH148" i="2"/>
  <c r="D148" i="2"/>
  <c r="AR147" i="2"/>
  <c r="AP147" i="2"/>
  <c r="AO147" i="2"/>
  <c r="AN147" i="2"/>
  <c r="AM147" i="2"/>
  <c r="AL147" i="2"/>
  <c r="AK147" i="2"/>
  <c r="AJ147" i="2"/>
  <c r="AI147" i="2"/>
  <c r="AH147" i="2"/>
  <c r="D147" i="2"/>
  <c r="AR146" i="2"/>
  <c r="AP146" i="2"/>
  <c r="AO146" i="2"/>
  <c r="AN146" i="2"/>
  <c r="AM146" i="2"/>
  <c r="AL146" i="2"/>
  <c r="AK146" i="2"/>
  <c r="AJ146" i="2"/>
  <c r="AI146" i="2"/>
  <c r="AH146" i="2"/>
  <c r="D146" i="2"/>
  <c r="AR145" i="2"/>
  <c r="AP145" i="2"/>
  <c r="AO145" i="2"/>
  <c r="AN145" i="2"/>
  <c r="AM145" i="2"/>
  <c r="AL145" i="2"/>
  <c r="AK145" i="2"/>
  <c r="AJ145" i="2"/>
  <c r="AI145" i="2"/>
  <c r="AH145" i="2"/>
  <c r="D145" i="2"/>
  <c r="AR144" i="2"/>
  <c r="AP144" i="2"/>
  <c r="AO144" i="2"/>
  <c r="AN144" i="2"/>
  <c r="AM144" i="2"/>
  <c r="AL144" i="2"/>
  <c r="AK144" i="2"/>
  <c r="AJ144" i="2"/>
  <c r="AI144" i="2"/>
  <c r="AH144" i="2"/>
  <c r="D144" i="2"/>
  <c r="AR143" i="2"/>
  <c r="AP143" i="2"/>
  <c r="AO143" i="2"/>
  <c r="AN143" i="2"/>
  <c r="AM143" i="2"/>
  <c r="AL143" i="2"/>
  <c r="AK143" i="2"/>
  <c r="AJ143" i="2"/>
  <c r="AI143" i="2"/>
  <c r="AH143" i="2"/>
  <c r="D143" i="2"/>
  <c r="AR142" i="2"/>
  <c r="AP142" i="2"/>
  <c r="AO142" i="2"/>
  <c r="AN142" i="2"/>
  <c r="AM142" i="2"/>
  <c r="AL142" i="2"/>
  <c r="AK142" i="2"/>
  <c r="AJ142" i="2"/>
  <c r="AI142" i="2"/>
  <c r="AH142" i="2"/>
  <c r="D142" i="2"/>
  <c r="AR141" i="2"/>
  <c r="AP141" i="2"/>
  <c r="AO141" i="2"/>
  <c r="AN141" i="2"/>
  <c r="AM141" i="2"/>
  <c r="AL141" i="2"/>
  <c r="AK141" i="2"/>
  <c r="AJ141" i="2"/>
  <c r="AI141" i="2"/>
  <c r="AH141" i="2"/>
  <c r="D141" i="2"/>
  <c r="AR140" i="2"/>
  <c r="AP140" i="2"/>
  <c r="AO140" i="2"/>
  <c r="AN140" i="2"/>
  <c r="AM140" i="2"/>
  <c r="AL140" i="2"/>
  <c r="AK140" i="2"/>
  <c r="AJ140" i="2"/>
  <c r="AI140" i="2"/>
  <c r="AH140" i="2"/>
  <c r="D140" i="2"/>
  <c r="AR139" i="2"/>
  <c r="AP139" i="2"/>
  <c r="AO139" i="2"/>
  <c r="AN139" i="2"/>
  <c r="AM139" i="2"/>
  <c r="AL139" i="2"/>
  <c r="AK139" i="2"/>
  <c r="AJ139" i="2"/>
  <c r="AI139" i="2"/>
  <c r="AH139" i="2"/>
  <c r="D139" i="2"/>
  <c r="AR138" i="2"/>
  <c r="AP138" i="2"/>
  <c r="AO138" i="2"/>
  <c r="AN138" i="2"/>
  <c r="AM138" i="2"/>
  <c r="AL138" i="2"/>
  <c r="AK138" i="2"/>
  <c r="AJ138" i="2"/>
  <c r="AI138" i="2"/>
  <c r="AH138" i="2"/>
  <c r="D138" i="2"/>
  <c r="AR137" i="2"/>
  <c r="AP137" i="2"/>
  <c r="AO137" i="2"/>
  <c r="AN137" i="2"/>
  <c r="AM137" i="2"/>
  <c r="AL137" i="2"/>
  <c r="AK137" i="2"/>
  <c r="AJ137" i="2"/>
  <c r="AI137" i="2"/>
  <c r="AH137" i="2"/>
  <c r="D137" i="2"/>
  <c r="AR136" i="2"/>
  <c r="AP136" i="2"/>
  <c r="AO136" i="2"/>
  <c r="AN136" i="2"/>
  <c r="AM136" i="2"/>
  <c r="AL136" i="2"/>
  <c r="AK136" i="2"/>
  <c r="AJ136" i="2"/>
  <c r="AI136" i="2"/>
  <c r="AH136" i="2"/>
  <c r="D136" i="2"/>
  <c r="AR135" i="2"/>
  <c r="AP135" i="2"/>
  <c r="AO135" i="2"/>
  <c r="AN135" i="2"/>
  <c r="AM135" i="2"/>
  <c r="AL135" i="2"/>
  <c r="AK135" i="2"/>
  <c r="AJ135" i="2"/>
  <c r="AI135" i="2"/>
  <c r="AH135" i="2"/>
  <c r="D135" i="2"/>
  <c r="AR134" i="2"/>
  <c r="AP134" i="2"/>
  <c r="AO134" i="2"/>
  <c r="AN134" i="2"/>
  <c r="AM134" i="2"/>
  <c r="AL134" i="2"/>
  <c r="AK134" i="2"/>
  <c r="AJ134" i="2"/>
  <c r="AI134" i="2"/>
  <c r="AH134" i="2"/>
  <c r="D134" i="2"/>
  <c r="AR133" i="2"/>
  <c r="AP133" i="2"/>
  <c r="AO133" i="2"/>
  <c r="AN133" i="2"/>
  <c r="AM133" i="2"/>
  <c r="AL133" i="2"/>
  <c r="AK133" i="2"/>
  <c r="AJ133" i="2"/>
  <c r="AI133" i="2"/>
  <c r="AH133" i="2"/>
  <c r="D133" i="2"/>
  <c r="AR132" i="2"/>
  <c r="AP132" i="2"/>
  <c r="AO132" i="2"/>
  <c r="AN132" i="2"/>
  <c r="AM132" i="2"/>
  <c r="AL132" i="2"/>
  <c r="AK132" i="2"/>
  <c r="AJ132" i="2"/>
  <c r="AI132" i="2"/>
  <c r="AH132" i="2"/>
  <c r="D132" i="2"/>
  <c r="AR131" i="2"/>
  <c r="AP131" i="2"/>
  <c r="AO131" i="2"/>
  <c r="AN131" i="2"/>
  <c r="AM131" i="2"/>
  <c r="AL131" i="2"/>
  <c r="AK131" i="2"/>
  <c r="AJ131" i="2"/>
  <c r="AI131" i="2"/>
  <c r="AH131" i="2"/>
  <c r="D131" i="2"/>
  <c r="AR130" i="2"/>
  <c r="AP130" i="2"/>
  <c r="AO130" i="2"/>
  <c r="AN130" i="2"/>
  <c r="AM130" i="2"/>
  <c r="AL130" i="2"/>
  <c r="AK130" i="2"/>
  <c r="AJ130" i="2"/>
  <c r="AI130" i="2"/>
  <c r="AH130" i="2"/>
  <c r="D130" i="2"/>
  <c r="AR129" i="2"/>
  <c r="AP129" i="2"/>
  <c r="AO129" i="2"/>
  <c r="AN129" i="2"/>
  <c r="AM129" i="2"/>
  <c r="AL129" i="2"/>
  <c r="AK129" i="2"/>
  <c r="AJ129" i="2"/>
  <c r="AI129" i="2"/>
  <c r="AH129" i="2"/>
  <c r="D129" i="2"/>
  <c r="AR128" i="2"/>
  <c r="AP128" i="2"/>
  <c r="AO128" i="2"/>
  <c r="AN128" i="2"/>
  <c r="AM128" i="2"/>
  <c r="AL128" i="2"/>
  <c r="AK128" i="2"/>
  <c r="AJ128" i="2"/>
  <c r="AI128" i="2"/>
  <c r="AH128" i="2"/>
  <c r="D128" i="2"/>
  <c r="AR127" i="2"/>
  <c r="AP127" i="2"/>
  <c r="AO127" i="2"/>
  <c r="AN127" i="2"/>
  <c r="AM127" i="2"/>
  <c r="AL127" i="2"/>
  <c r="AK127" i="2"/>
  <c r="AJ127" i="2"/>
  <c r="AI127" i="2"/>
  <c r="AH127" i="2"/>
  <c r="D127" i="2"/>
  <c r="AR126" i="2"/>
  <c r="AP126" i="2"/>
  <c r="AO126" i="2"/>
  <c r="AN126" i="2"/>
  <c r="AM126" i="2"/>
  <c r="AL126" i="2"/>
  <c r="AK126" i="2"/>
  <c r="AJ126" i="2"/>
  <c r="AI126" i="2"/>
  <c r="AH126" i="2"/>
  <c r="D126" i="2"/>
  <c r="AR125" i="2"/>
  <c r="AP125" i="2"/>
  <c r="AO125" i="2"/>
  <c r="AN125" i="2"/>
  <c r="AM125" i="2"/>
  <c r="AL125" i="2"/>
  <c r="AK125" i="2"/>
  <c r="AJ125" i="2"/>
  <c r="AI125" i="2"/>
  <c r="AH125" i="2"/>
  <c r="D125" i="2"/>
  <c r="AR124" i="2"/>
  <c r="AP124" i="2"/>
  <c r="AO124" i="2"/>
  <c r="AN124" i="2"/>
  <c r="AM124" i="2"/>
  <c r="AL124" i="2"/>
  <c r="AK124" i="2"/>
  <c r="AJ124" i="2"/>
  <c r="AI124" i="2"/>
  <c r="AH124" i="2"/>
  <c r="D124" i="2"/>
  <c r="AR123" i="2"/>
  <c r="AP123" i="2"/>
  <c r="AO123" i="2"/>
  <c r="AN123" i="2"/>
  <c r="AM123" i="2"/>
  <c r="AL123" i="2"/>
  <c r="AK123" i="2"/>
  <c r="AJ123" i="2"/>
  <c r="AI123" i="2"/>
  <c r="AH123" i="2"/>
  <c r="D123" i="2"/>
  <c r="AR122" i="2"/>
  <c r="AP122" i="2"/>
  <c r="AO122" i="2"/>
  <c r="AN122" i="2"/>
  <c r="AM122" i="2"/>
  <c r="AL122" i="2"/>
  <c r="AK122" i="2"/>
  <c r="AJ122" i="2"/>
  <c r="AI122" i="2"/>
  <c r="AH122" i="2"/>
  <c r="D122" i="2"/>
  <c r="AR121" i="2"/>
  <c r="AP121" i="2"/>
  <c r="AO121" i="2"/>
  <c r="AN121" i="2"/>
  <c r="AM121" i="2"/>
  <c r="AL121" i="2"/>
  <c r="AK121" i="2"/>
  <c r="AJ121" i="2"/>
  <c r="AI121" i="2"/>
  <c r="AH121" i="2"/>
  <c r="D121" i="2"/>
  <c r="AR120" i="2"/>
  <c r="AP120" i="2"/>
  <c r="AO120" i="2"/>
  <c r="AN120" i="2"/>
  <c r="AM120" i="2"/>
  <c r="AL120" i="2"/>
  <c r="AK120" i="2"/>
  <c r="AJ120" i="2"/>
  <c r="AI120" i="2"/>
  <c r="AH120" i="2"/>
  <c r="D120" i="2"/>
  <c r="AR119" i="2"/>
  <c r="AP119" i="2"/>
  <c r="AO119" i="2"/>
  <c r="AN119" i="2"/>
  <c r="AM119" i="2"/>
  <c r="AL119" i="2"/>
  <c r="AK119" i="2"/>
  <c r="AJ119" i="2"/>
  <c r="AI119" i="2"/>
  <c r="AH119" i="2"/>
  <c r="D119" i="2"/>
  <c r="AR118" i="2"/>
  <c r="AP118" i="2"/>
  <c r="AO118" i="2"/>
  <c r="AN118" i="2"/>
  <c r="AM118" i="2"/>
  <c r="AL118" i="2"/>
  <c r="AK118" i="2"/>
  <c r="AJ118" i="2"/>
  <c r="AI118" i="2"/>
  <c r="AH118" i="2"/>
  <c r="D118" i="2"/>
  <c r="AR117" i="2"/>
  <c r="AP117" i="2"/>
  <c r="AO117" i="2"/>
  <c r="AN117" i="2"/>
  <c r="AM117" i="2"/>
  <c r="AL117" i="2"/>
  <c r="AK117" i="2"/>
  <c r="AJ117" i="2"/>
  <c r="AI117" i="2"/>
  <c r="AH117" i="2"/>
  <c r="D117" i="2"/>
  <c r="AR116" i="2"/>
  <c r="AP116" i="2"/>
  <c r="AO116" i="2"/>
  <c r="AN116" i="2"/>
  <c r="AM116" i="2"/>
  <c r="AL116" i="2"/>
  <c r="AK116" i="2"/>
  <c r="AJ116" i="2"/>
  <c r="AI116" i="2"/>
  <c r="AH116" i="2"/>
  <c r="D116" i="2"/>
  <c r="AR115" i="2"/>
  <c r="AP115" i="2"/>
  <c r="AO115" i="2"/>
  <c r="AN115" i="2"/>
  <c r="AM115" i="2"/>
  <c r="AL115" i="2"/>
  <c r="AK115" i="2"/>
  <c r="AJ115" i="2"/>
  <c r="AI115" i="2"/>
  <c r="AH115" i="2"/>
  <c r="D115" i="2"/>
  <c r="AR114" i="2"/>
  <c r="AP114" i="2"/>
  <c r="AO114" i="2"/>
  <c r="AN114" i="2"/>
  <c r="AM114" i="2"/>
  <c r="AL114" i="2"/>
  <c r="AK114" i="2"/>
  <c r="AJ114" i="2"/>
  <c r="AI114" i="2"/>
  <c r="AH114" i="2"/>
  <c r="D114" i="2"/>
  <c r="AR113" i="2"/>
  <c r="AP113" i="2"/>
  <c r="AO113" i="2"/>
  <c r="AN113" i="2"/>
  <c r="AM113" i="2"/>
  <c r="AL113" i="2"/>
  <c r="AK113" i="2"/>
  <c r="AJ113" i="2"/>
  <c r="AI113" i="2"/>
  <c r="AH113" i="2"/>
  <c r="D113" i="2"/>
  <c r="AR112" i="2"/>
  <c r="AP112" i="2"/>
  <c r="AO112" i="2"/>
  <c r="AN112" i="2"/>
  <c r="AM112" i="2"/>
  <c r="AL112" i="2"/>
  <c r="AK112" i="2"/>
  <c r="AJ112" i="2"/>
  <c r="AI112" i="2"/>
  <c r="AH112" i="2"/>
  <c r="D112" i="2"/>
  <c r="AR111" i="2"/>
  <c r="AP111" i="2"/>
  <c r="AO111" i="2"/>
  <c r="AN111" i="2"/>
  <c r="AM111" i="2"/>
  <c r="AL111" i="2"/>
  <c r="AK111" i="2"/>
  <c r="AJ111" i="2"/>
  <c r="AI111" i="2"/>
  <c r="AH111" i="2"/>
  <c r="D111" i="2"/>
  <c r="AR110" i="2"/>
  <c r="AP110" i="2"/>
  <c r="AO110" i="2"/>
  <c r="AN110" i="2"/>
  <c r="AM110" i="2"/>
  <c r="AL110" i="2"/>
  <c r="AK110" i="2"/>
  <c r="AJ110" i="2"/>
  <c r="AI110" i="2"/>
  <c r="AH110" i="2"/>
  <c r="D110" i="2"/>
  <c r="AR109" i="2"/>
  <c r="AP109" i="2"/>
  <c r="AO109" i="2"/>
  <c r="AN109" i="2"/>
  <c r="AM109" i="2"/>
  <c r="AL109" i="2"/>
  <c r="AK109" i="2"/>
  <c r="AJ109" i="2"/>
  <c r="AI109" i="2"/>
  <c r="AH109" i="2"/>
  <c r="D109" i="2"/>
  <c r="AR108" i="2"/>
  <c r="AP108" i="2"/>
  <c r="AO108" i="2"/>
  <c r="AN108" i="2"/>
  <c r="AM108" i="2"/>
  <c r="AL108" i="2"/>
  <c r="AK108" i="2"/>
  <c r="AJ108" i="2"/>
  <c r="AI108" i="2"/>
  <c r="AH108" i="2"/>
  <c r="D108" i="2"/>
  <c r="AR107" i="2"/>
  <c r="AP107" i="2"/>
  <c r="AO107" i="2"/>
  <c r="AN107" i="2"/>
  <c r="AM107" i="2"/>
  <c r="AL107" i="2"/>
  <c r="AK107" i="2"/>
  <c r="AJ107" i="2"/>
  <c r="AI107" i="2"/>
  <c r="AH107" i="2"/>
  <c r="D107" i="2"/>
  <c r="AR106" i="2"/>
  <c r="AP106" i="2"/>
  <c r="AO106" i="2"/>
  <c r="AN106" i="2"/>
  <c r="AM106" i="2"/>
  <c r="AL106" i="2"/>
  <c r="AK106" i="2"/>
  <c r="AJ106" i="2"/>
  <c r="AI106" i="2"/>
  <c r="AH106" i="2"/>
  <c r="D106" i="2"/>
  <c r="AR105" i="2"/>
  <c r="AP105" i="2"/>
  <c r="AO105" i="2"/>
  <c r="AN105" i="2"/>
  <c r="AM105" i="2"/>
  <c r="AL105" i="2"/>
  <c r="AK105" i="2"/>
  <c r="AJ105" i="2"/>
  <c r="AI105" i="2"/>
  <c r="AH105" i="2"/>
  <c r="D105" i="2"/>
  <c r="AR104" i="2"/>
  <c r="AP104" i="2"/>
  <c r="AO104" i="2"/>
  <c r="AN104" i="2"/>
  <c r="AM104" i="2"/>
  <c r="AL104" i="2"/>
  <c r="AK104" i="2"/>
  <c r="AJ104" i="2"/>
  <c r="AI104" i="2"/>
  <c r="AH104" i="2"/>
  <c r="D104" i="2"/>
  <c r="AR103" i="2"/>
  <c r="AP103" i="2"/>
  <c r="AO103" i="2"/>
  <c r="AN103" i="2"/>
  <c r="AM103" i="2"/>
  <c r="AL103" i="2"/>
  <c r="AK103" i="2"/>
  <c r="AJ103" i="2"/>
  <c r="AI103" i="2"/>
  <c r="AH103" i="2"/>
  <c r="D103" i="2"/>
  <c r="AR102" i="2"/>
  <c r="AP102" i="2"/>
  <c r="AO102" i="2"/>
  <c r="AN102" i="2"/>
  <c r="AM102" i="2"/>
  <c r="AL102" i="2"/>
  <c r="AK102" i="2"/>
  <c r="AJ102" i="2"/>
  <c r="AI102" i="2"/>
  <c r="AH102" i="2"/>
  <c r="D102" i="2"/>
  <c r="AR101" i="2"/>
  <c r="AP101" i="2"/>
  <c r="AO101" i="2"/>
  <c r="AN101" i="2"/>
  <c r="AM101" i="2"/>
  <c r="AL101" i="2"/>
  <c r="AK101" i="2"/>
  <c r="AJ101" i="2"/>
  <c r="AI101" i="2"/>
  <c r="AH101" i="2"/>
  <c r="D101" i="2"/>
  <c r="AR100" i="2"/>
  <c r="AP100" i="2"/>
  <c r="AO100" i="2"/>
  <c r="AN100" i="2"/>
  <c r="AM100" i="2"/>
  <c r="AL100" i="2"/>
  <c r="AK100" i="2"/>
  <c r="AJ100" i="2"/>
  <c r="AI100" i="2"/>
  <c r="AH100" i="2"/>
  <c r="D100" i="2"/>
  <c r="AR99" i="2"/>
  <c r="AP99" i="2"/>
  <c r="AO99" i="2"/>
  <c r="AN99" i="2"/>
  <c r="AM99" i="2"/>
  <c r="AL99" i="2"/>
  <c r="AK99" i="2"/>
  <c r="AJ99" i="2"/>
  <c r="AI99" i="2"/>
  <c r="AH99" i="2"/>
  <c r="D99" i="2"/>
  <c r="AR98" i="2"/>
  <c r="AP98" i="2"/>
  <c r="AO98" i="2"/>
  <c r="AN98" i="2"/>
  <c r="AM98" i="2"/>
  <c r="AL98" i="2"/>
  <c r="AK98" i="2"/>
  <c r="AJ98" i="2"/>
  <c r="AI98" i="2"/>
  <c r="AH98" i="2"/>
  <c r="D98" i="2"/>
  <c r="AR97" i="2"/>
  <c r="AP97" i="2"/>
  <c r="AO97" i="2"/>
  <c r="AN97" i="2"/>
  <c r="AM97" i="2"/>
  <c r="AL97" i="2"/>
  <c r="AK97" i="2"/>
  <c r="AJ97" i="2"/>
  <c r="AI97" i="2"/>
  <c r="AH97" i="2"/>
  <c r="D97" i="2"/>
  <c r="AR96" i="2"/>
  <c r="AP96" i="2"/>
  <c r="AO96" i="2"/>
  <c r="AN96" i="2"/>
  <c r="AM96" i="2"/>
  <c r="AL96" i="2"/>
  <c r="AK96" i="2"/>
  <c r="AJ96" i="2"/>
  <c r="AI96" i="2"/>
  <c r="AH96" i="2"/>
  <c r="D96" i="2"/>
  <c r="AR95" i="2"/>
  <c r="AP95" i="2"/>
  <c r="AO95" i="2"/>
  <c r="AN95" i="2"/>
  <c r="AM95" i="2"/>
  <c r="AL95" i="2"/>
  <c r="AK95" i="2"/>
  <c r="AJ95" i="2"/>
  <c r="AI95" i="2"/>
  <c r="AH95" i="2"/>
  <c r="D95" i="2"/>
  <c r="AR94" i="2"/>
  <c r="AP94" i="2"/>
  <c r="AO94" i="2"/>
  <c r="AN94" i="2"/>
  <c r="AM94" i="2"/>
  <c r="AL94" i="2"/>
  <c r="AK94" i="2"/>
  <c r="AJ94" i="2"/>
  <c r="AI94" i="2"/>
  <c r="AH94" i="2"/>
  <c r="D94" i="2"/>
  <c r="AR93" i="2"/>
  <c r="AP93" i="2"/>
  <c r="AO93" i="2"/>
  <c r="AN93" i="2"/>
  <c r="AM93" i="2"/>
  <c r="AL93" i="2"/>
  <c r="AK93" i="2"/>
  <c r="AJ93" i="2"/>
  <c r="AI93" i="2"/>
  <c r="AH93" i="2"/>
  <c r="D93" i="2"/>
  <c r="AR92" i="2"/>
  <c r="AP92" i="2"/>
  <c r="AO92" i="2"/>
  <c r="AN92" i="2"/>
  <c r="AM92" i="2"/>
  <c r="AL92" i="2"/>
  <c r="AK92" i="2"/>
  <c r="AJ92" i="2"/>
  <c r="AI92" i="2"/>
  <c r="AH92" i="2"/>
  <c r="D92" i="2"/>
  <c r="AR91" i="2"/>
  <c r="AP91" i="2"/>
  <c r="AO91" i="2"/>
  <c r="AN91" i="2"/>
  <c r="AM91" i="2"/>
  <c r="AL91" i="2"/>
  <c r="AK91" i="2"/>
  <c r="AJ91" i="2"/>
  <c r="AI91" i="2"/>
  <c r="AH91" i="2"/>
  <c r="D91" i="2"/>
  <c r="AR90" i="2"/>
  <c r="AP90" i="2"/>
  <c r="AO90" i="2"/>
  <c r="AN90" i="2"/>
  <c r="AM90" i="2"/>
  <c r="AI90" i="2"/>
  <c r="AH90" i="2"/>
  <c r="D90" i="2"/>
  <c r="AR89" i="2"/>
  <c r="AP89" i="2"/>
  <c r="AO89" i="2"/>
  <c r="AN89" i="2"/>
  <c r="AM89" i="2"/>
  <c r="AL89" i="2"/>
  <c r="AK89" i="2"/>
  <c r="AJ89" i="2"/>
  <c r="AI89" i="2"/>
  <c r="AH89" i="2"/>
  <c r="D89" i="2"/>
  <c r="AR88" i="2"/>
  <c r="AP88" i="2"/>
  <c r="AO88" i="2"/>
  <c r="AN88" i="2"/>
  <c r="AM88" i="2"/>
  <c r="AL88" i="2"/>
  <c r="AK88" i="2"/>
  <c r="AJ88" i="2"/>
  <c r="AI88" i="2"/>
  <c r="AH88" i="2"/>
  <c r="D88" i="2"/>
  <c r="AR87" i="2"/>
  <c r="AP87" i="2"/>
  <c r="AO87" i="2"/>
  <c r="AN87" i="2"/>
  <c r="AM87" i="2"/>
  <c r="AL87" i="2"/>
  <c r="AK87" i="2"/>
  <c r="AJ87" i="2"/>
  <c r="AI87" i="2"/>
  <c r="AH87" i="2"/>
  <c r="D87" i="2"/>
  <c r="AR86" i="2"/>
  <c r="AP86" i="2"/>
  <c r="AO86" i="2"/>
  <c r="AN86" i="2"/>
  <c r="AM86" i="2"/>
  <c r="AL86" i="2"/>
  <c r="AK86" i="2"/>
  <c r="AJ86" i="2"/>
  <c r="AI86" i="2"/>
  <c r="AH86" i="2"/>
  <c r="D86" i="2"/>
  <c r="AR85" i="2"/>
  <c r="AP85" i="2"/>
  <c r="AO85" i="2"/>
  <c r="AN85" i="2"/>
  <c r="AM85" i="2"/>
  <c r="AL85" i="2"/>
  <c r="AK85" i="2"/>
  <c r="AJ85" i="2"/>
  <c r="AI85" i="2"/>
  <c r="AH85" i="2"/>
  <c r="D85" i="2"/>
  <c r="AR84" i="2"/>
  <c r="AP84" i="2"/>
  <c r="AO84" i="2"/>
  <c r="AN84" i="2"/>
  <c r="AM84" i="2"/>
  <c r="AL84" i="2"/>
  <c r="AK84" i="2"/>
  <c r="AJ84" i="2"/>
  <c r="AI84" i="2"/>
  <c r="AH84" i="2"/>
  <c r="D84" i="2"/>
  <c r="AR83" i="2"/>
  <c r="AP83" i="2"/>
  <c r="AO83" i="2"/>
  <c r="AN83" i="2"/>
  <c r="AM83" i="2"/>
  <c r="AL83" i="2"/>
  <c r="AK83" i="2"/>
  <c r="AJ83" i="2"/>
  <c r="AI83" i="2"/>
  <c r="AH83" i="2"/>
  <c r="D83" i="2"/>
  <c r="AR82" i="2"/>
  <c r="AP82" i="2"/>
  <c r="AO82" i="2"/>
  <c r="AN82" i="2"/>
  <c r="AM82" i="2"/>
  <c r="AL82" i="2"/>
  <c r="AK82" i="2"/>
  <c r="AJ82" i="2"/>
  <c r="AI82" i="2"/>
  <c r="AH82" i="2"/>
  <c r="D82" i="2"/>
  <c r="AR81" i="2"/>
  <c r="AP81" i="2"/>
  <c r="AO81" i="2"/>
  <c r="AN81" i="2"/>
  <c r="AM81" i="2"/>
  <c r="AL81" i="2"/>
  <c r="AK81" i="2"/>
  <c r="AJ81" i="2"/>
  <c r="AI81" i="2"/>
  <c r="AH81" i="2"/>
  <c r="D81" i="2"/>
  <c r="AR80" i="2"/>
  <c r="AP80" i="2"/>
  <c r="AO80" i="2"/>
  <c r="AN80" i="2"/>
  <c r="AM80" i="2"/>
  <c r="AL80" i="2"/>
  <c r="AK80" i="2"/>
  <c r="AJ80" i="2"/>
  <c r="AI80" i="2"/>
  <c r="AH80" i="2"/>
  <c r="D80" i="2"/>
  <c r="AR79" i="2"/>
  <c r="AP79" i="2"/>
  <c r="AO79" i="2"/>
  <c r="AN79" i="2"/>
  <c r="AM79" i="2"/>
  <c r="AL79" i="2"/>
  <c r="AK79" i="2"/>
  <c r="AJ79" i="2"/>
  <c r="AI79" i="2"/>
  <c r="AH79" i="2"/>
  <c r="D79" i="2"/>
  <c r="AR78" i="2"/>
  <c r="AP78" i="2"/>
  <c r="AO78" i="2"/>
  <c r="AN78" i="2"/>
  <c r="AM78" i="2"/>
  <c r="AL78" i="2"/>
  <c r="AK78" i="2"/>
  <c r="AJ78" i="2"/>
  <c r="AI78" i="2"/>
  <c r="AH78" i="2"/>
  <c r="D78" i="2"/>
  <c r="AR77" i="2"/>
  <c r="AP77" i="2"/>
  <c r="AO77" i="2"/>
  <c r="AN77" i="2"/>
  <c r="AM77" i="2"/>
  <c r="AL77" i="2"/>
  <c r="AK77" i="2"/>
  <c r="AJ77" i="2"/>
  <c r="AI77" i="2"/>
  <c r="AH77" i="2"/>
  <c r="D77" i="2"/>
  <c r="AR76" i="2"/>
  <c r="AP76" i="2"/>
  <c r="AO76" i="2"/>
  <c r="AN76" i="2"/>
  <c r="AM76" i="2"/>
  <c r="AL76" i="2"/>
  <c r="AK76" i="2"/>
  <c r="AJ76" i="2"/>
  <c r="AI76" i="2"/>
  <c r="AH76" i="2"/>
  <c r="D76" i="2"/>
  <c r="AR75" i="2"/>
  <c r="AP75" i="2"/>
  <c r="AO75" i="2"/>
  <c r="AN75" i="2"/>
  <c r="AM75" i="2"/>
  <c r="AL75" i="2"/>
  <c r="AK75" i="2"/>
  <c r="AJ75" i="2"/>
  <c r="AI75" i="2"/>
  <c r="AH75" i="2"/>
  <c r="D75" i="2"/>
  <c r="AR74" i="2"/>
  <c r="AP74" i="2"/>
  <c r="AO74" i="2"/>
  <c r="AN74" i="2"/>
  <c r="AM74" i="2"/>
  <c r="AL74" i="2"/>
  <c r="AK74" i="2"/>
  <c r="AJ74" i="2"/>
  <c r="AI74" i="2"/>
  <c r="AH74" i="2"/>
  <c r="D74" i="2"/>
  <c r="AR73" i="2"/>
  <c r="AP73" i="2"/>
  <c r="AO73" i="2"/>
  <c r="AM73" i="2"/>
  <c r="AI73" i="2"/>
  <c r="AH73" i="2"/>
  <c r="D73" i="2"/>
  <c r="AR72" i="2"/>
  <c r="AP72" i="2"/>
  <c r="AO72" i="2"/>
  <c r="AM72" i="2"/>
  <c r="AI72" i="2"/>
  <c r="AH72" i="2"/>
  <c r="D72" i="2"/>
  <c r="AR71" i="2"/>
  <c r="AP71" i="2"/>
  <c r="AO71" i="2"/>
  <c r="AM71" i="2"/>
  <c r="AI71" i="2"/>
  <c r="AH71" i="2"/>
  <c r="D71" i="2"/>
  <c r="AR70" i="2"/>
  <c r="AP70" i="2"/>
  <c r="AO70" i="2"/>
  <c r="AM70" i="2"/>
  <c r="AI70" i="2"/>
  <c r="AH70" i="2"/>
  <c r="D70" i="2"/>
  <c r="AR69" i="2"/>
  <c r="AP69" i="2"/>
  <c r="AO69" i="2"/>
  <c r="AM69" i="2"/>
  <c r="AI69" i="2"/>
  <c r="AH69" i="2"/>
  <c r="D69" i="2"/>
  <c r="AR68" i="2"/>
  <c r="AP68" i="2"/>
  <c r="AO68" i="2"/>
  <c r="AM68" i="2"/>
  <c r="AI68" i="2"/>
  <c r="AH68" i="2"/>
  <c r="D68" i="2"/>
  <c r="AR67" i="2"/>
  <c r="AP67" i="2"/>
  <c r="AO67" i="2"/>
  <c r="AM67" i="2"/>
  <c r="AI67" i="2"/>
  <c r="AH67" i="2"/>
  <c r="D67" i="2"/>
  <c r="AR66" i="2"/>
  <c r="AP66" i="2"/>
  <c r="AO66" i="2"/>
  <c r="AM66" i="2"/>
  <c r="AI66" i="2"/>
  <c r="AH66" i="2"/>
  <c r="D66" i="2"/>
  <c r="AR65" i="2"/>
  <c r="AP65" i="2"/>
  <c r="AO65" i="2"/>
  <c r="AM65" i="2"/>
  <c r="AI65" i="2"/>
  <c r="AH65" i="2"/>
  <c r="D65" i="2"/>
  <c r="AR64" i="2"/>
  <c r="AP64" i="2"/>
  <c r="AO64" i="2"/>
  <c r="AM64" i="2"/>
  <c r="AI64" i="2"/>
  <c r="AH64" i="2"/>
  <c r="D64" i="2"/>
  <c r="AR63" i="2"/>
  <c r="AP63" i="2"/>
  <c r="AO63" i="2"/>
  <c r="AM63" i="2"/>
  <c r="AI63" i="2"/>
  <c r="AH63" i="2"/>
  <c r="D63" i="2"/>
  <c r="AR62" i="2"/>
  <c r="AP62" i="2"/>
  <c r="AO62" i="2"/>
  <c r="AM62" i="2"/>
  <c r="AI62" i="2"/>
  <c r="AH62" i="2"/>
  <c r="D62" i="2"/>
  <c r="AR61" i="2"/>
  <c r="AP61" i="2"/>
  <c r="AO61" i="2"/>
  <c r="AM61" i="2"/>
  <c r="AI61" i="2"/>
  <c r="AH61" i="2"/>
  <c r="D61" i="2"/>
  <c r="AR60" i="2"/>
  <c r="AP60" i="2"/>
  <c r="AO60" i="2"/>
  <c r="AM60" i="2"/>
  <c r="AI60" i="2"/>
  <c r="AH60" i="2"/>
  <c r="D60" i="2"/>
  <c r="AR59" i="2"/>
  <c r="AP59" i="2"/>
  <c r="AO59" i="2"/>
  <c r="AM59" i="2"/>
  <c r="AI59" i="2"/>
  <c r="AH59" i="2"/>
  <c r="D59" i="2"/>
  <c r="AR58" i="2"/>
  <c r="AP58" i="2"/>
  <c r="AO58" i="2"/>
  <c r="AM58" i="2"/>
  <c r="AI58" i="2"/>
  <c r="AH58" i="2"/>
  <c r="D58" i="2"/>
  <c r="AR57" i="2"/>
  <c r="AP57" i="2"/>
  <c r="AO57" i="2"/>
  <c r="AM57" i="2"/>
  <c r="AI57" i="2"/>
  <c r="AH57" i="2"/>
  <c r="D57" i="2"/>
  <c r="AR56" i="2"/>
  <c r="AP56" i="2"/>
  <c r="AO56" i="2"/>
  <c r="AM56" i="2"/>
  <c r="AI56" i="2"/>
  <c r="AH56" i="2"/>
  <c r="D56" i="2"/>
  <c r="AR55" i="2"/>
  <c r="AP55" i="2"/>
  <c r="AO55" i="2"/>
  <c r="AM55" i="2"/>
  <c r="AI55" i="2"/>
  <c r="AH55" i="2"/>
  <c r="D55" i="2"/>
  <c r="AR54" i="2"/>
  <c r="AP54" i="2"/>
  <c r="AO54" i="2"/>
  <c r="AM54" i="2"/>
  <c r="AI54" i="2"/>
  <c r="AH54" i="2"/>
  <c r="D54" i="2"/>
  <c r="AR53" i="2"/>
  <c r="AP53" i="2"/>
  <c r="AO53" i="2"/>
  <c r="AM53" i="2"/>
  <c r="AI53" i="2"/>
  <c r="AH53" i="2"/>
  <c r="D53" i="2"/>
  <c r="AR52" i="2"/>
  <c r="AP52" i="2"/>
  <c r="AO52" i="2"/>
  <c r="AM52" i="2"/>
  <c r="AI52" i="2"/>
  <c r="AH52" i="2"/>
  <c r="D52" i="2"/>
  <c r="AR51" i="2"/>
  <c r="AP51" i="2"/>
  <c r="AO51" i="2"/>
  <c r="AM51" i="2"/>
  <c r="AI51" i="2"/>
  <c r="AH51" i="2"/>
  <c r="D51" i="2"/>
  <c r="AR50" i="2"/>
  <c r="AP50" i="2"/>
  <c r="AO50" i="2"/>
  <c r="AM50" i="2"/>
  <c r="AI50" i="2"/>
  <c r="AH50" i="2"/>
  <c r="D50" i="2"/>
  <c r="AR49" i="2"/>
  <c r="AP49" i="2"/>
  <c r="AO49" i="2"/>
  <c r="AM49" i="2"/>
  <c r="AI49" i="2"/>
  <c r="AH49" i="2"/>
  <c r="D49" i="2"/>
  <c r="AR48" i="2"/>
  <c r="AP48" i="2"/>
  <c r="AO48" i="2"/>
  <c r="AM48" i="2"/>
  <c r="AI48" i="2"/>
  <c r="AH48" i="2"/>
  <c r="D48" i="2"/>
  <c r="AR47" i="2"/>
  <c r="AP47" i="2"/>
  <c r="AO47" i="2"/>
  <c r="AM47" i="2"/>
  <c r="AI47" i="2"/>
  <c r="AH47" i="2"/>
  <c r="D47" i="2"/>
  <c r="AR46" i="2"/>
  <c r="AP46" i="2"/>
  <c r="AO46" i="2"/>
  <c r="AM46" i="2"/>
  <c r="AI46" i="2"/>
  <c r="AH46" i="2"/>
  <c r="D46" i="2"/>
  <c r="AR45" i="2"/>
  <c r="AP45" i="2"/>
  <c r="AO45" i="2"/>
  <c r="AM45" i="2"/>
  <c r="AI45" i="2"/>
  <c r="AH45" i="2"/>
  <c r="D45" i="2"/>
  <c r="AR44" i="2"/>
  <c r="AP44" i="2"/>
  <c r="AO44" i="2"/>
  <c r="AM44" i="2"/>
  <c r="AI44" i="2"/>
  <c r="AH44" i="2"/>
  <c r="D44" i="2"/>
  <c r="AR43" i="2"/>
  <c r="AP43" i="2"/>
  <c r="AO43" i="2"/>
  <c r="AM43" i="2"/>
  <c r="AI43" i="2"/>
  <c r="AH43" i="2"/>
  <c r="D43" i="2"/>
  <c r="AR42" i="2"/>
  <c r="AP42" i="2"/>
  <c r="AO42" i="2"/>
  <c r="AM42" i="2"/>
  <c r="AI42" i="2"/>
  <c r="AH42" i="2"/>
  <c r="D42" i="2"/>
  <c r="AR41" i="2"/>
  <c r="AP41" i="2"/>
  <c r="AO41" i="2"/>
  <c r="AM41" i="2"/>
  <c r="AI41" i="2"/>
  <c r="AH41" i="2"/>
  <c r="D41" i="2"/>
  <c r="AR40" i="2"/>
  <c r="AP40" i="2"/>
  <c r="AO40" i="2"/>
  <c r="AM40" i="2"/>
  <c r="AI40" i="2"/>
  <c r="AH40" i="2"/>
  <c r="D40" i="2"/>
  <c r="AR39" i="2"/>
  <c r="AP39" i="2"/>
  <c r="AO39" i="2"/>
  <c r="AM39" i="2"/>
  <c r="AI39" i="2"/>
  <c r="AH39" i="2"/>
  <c r="D39" i="2"/>
  <c r="AR38" i="2"/>
  <c r="AP38" i="2"/>
  <c r="AO38" i="2"/>
  <c r="AM38" i="2"/>
  <c r="AI38" i="2"/>
  <c r="AH38" i="2"/>
  <c r="D38" i="2"/>
  <c r="AR37" i="2"/>
  <c r="AP37" i="2"/>
  <c r="AO37" i="2"/>
  <c r="AM37" i="2"/>
  <c r="AI37" i="2"/>
  <c r="AH37" i="2"/>
  <c r="D37" i="2"/>
  <c r="AR36" i="2"/>
  <c r="AP36" i="2"/>
  <c r="AO36" i="2"/>
  <c r="AM36" i="2"/>
  <c r="AI36" i="2"/>
  <c r="AH36" i="2"/>
  <c r="D36" i="2"/>
  <c r="AR35" i="2"/>
  <c r="AP35" i="2"/>
  <c r="AO35" i="2"/>
  <c r="AM35" i="2"/>
  <c r="AI35" i="2"/>
  <c r="AH35" i="2"/>
  <c r="D35" i="2"/>
  <c r="AR34" i="2"/>
  <c r="AP34" i="2"/>
  <c r="AO34" i="2"/>
  <c r="AM34" i="2"/>
  <c r="AI34" i="2"/>
  <c r="AH34" i="2"/>
  <c r="D34" i="2"/>
  <c r="AR33" i="2"/>
  <c r="AP33" i="2"/>
  <c r="AO33" i="2"/>
  <c r="AM33" i="2"/>
  <c r="AI33" i="2"/>
  <c r="AH33" i="2"/>
  <c r="D33" i="2"/>
  <c r="AR32" i="2"/>
  <c r="AP32" i="2"/>
  <c r="AO32" i="2"/>
  <c r="AM32" i="2"/>
  <c r="AI32" i="2"/>
  <c r="AH32" i="2"/>
  <c r="D32" i="2"/>
  <c r="AR31" i="2"/>
  <c r="AP31" i="2"/>
  <c r="AO31" i="2"/>
  <c r="AM31" i="2"/>
  <c r="AI31" i="2"/>
  <c r="AH31" i="2"/>
  <c r="D31" i="2"/>
  <c r="AR30" i="2"/>
  <c r="AP30" i="2"/>
  <c r="AO30" i="2"/>
  <c r="AM30" i="2"/>
  <c r="AI30" i="2"/>
  <c r="AH30" i="2"/>
  <c r="D30" i="2"/>
  <c r="AR29" i="2"/>
  <c r="AP29" i="2"/>
  <c r="AO29" i="2"/>
  <c r="AM29" i="2"/>
  <c r="AI29" i="2"/>
  <c r="AH29" i="2"/>
  <c r="D29" i="2"/>
  <c r="AR28" i="2"/>
  <c r="AP28" i="2"/>
  <c r="AO28" i="2"/>
  <c r="AM28" i="2"/>
  <c r="AI28" i="2"/>
  <c r="AH28" i="2"/>
  <c r="D28" i="2"/>
  <c r="AR27" i="2"/>
  <c r="AP27" i="2"/>
  <c r="AO27" i="2"/>
  <c r="AM27" i="2"/>
  <c r="AI27" i="2"/>
  <c r="AH27" i="2"/>
  <c r="D27" i="2"/>
  <c r="AR26" i="2"/>
  <c r="AP26" i="2"/>
  <c r="AO26" i="2"/>
  <c r="AM26" i="2"/>
  <c r="AI26" i="2"/>
  <c r="AH26" i="2"/>
  <c r="D26" i="2"/>
  <c r="AR25" i="2"/>
  <c r="AP25" i="2"/>
  <c r="AO25" i="2"/>
  <c r="AM25" i="2"/>
  <c r="AI25" i="2"/>
  <c r="AH25" i="2"/>
  <c r="D25" i="2"/>
  <c r="AR24" i="2"/>
  <c r="AP24" i="2"/>
  <c r="AO24" i="2"/>
  <c r="AM24" i="2"/>
  <c r="AI24" i="2"/>
  <c r="AH24" i="2"/>
  <c r="D24" i="2"/>
  <c r="AR23" i="2"/>
  <c r="AP23" i="2"/>
  <c r="AO23" i="2"/>
  <c r="AM23" i="2"/>
  <c r="AI23" i="2"/>
  <c r="AH23" i="2"/>
  <c r="D23" i="2"/>
  <c r="AR22" i="2"/>
  <c r="AP22" i="2"/>
  <c r="AO22" i="2"/>
  <c r="AM22" i="2"/>
  <c r="AI22" i="2"/>
  <c r="AH22" i="2"/>
  <c r="D22" i="2"/>
  <c r="AR21" i="2"/>
  <c r="AP21" i="2"/>
  <c r="AO21" i="2"/>
  <c r="AM21" i="2"/>
  <c r="AI21" i="2"/>
  <c r="AH21" i="2"/>
  <c r="D21" i="2"/>
  <c r="AR20" i="2"/>
  <c r="AP20" i="2"/>
  <c r="AO20" i="2"/>
  <c r="AM20" i="2"/>
  <c r="AI20" i="2"/>
  <c r="AH20" i="2"/>
  <c r="D20" i="2"/>
  <c r="AR19" i="2"/>
  <c r="AP19" i="2"/>
  <c r="AO19" i="2"/>
  <c r="AM19" i="2"/>
  <c r="AI19" i="2"/>
  <c r="AH19" i="2"/>
  <c r="D19" i="2"/>
  <c r="AR18" i="2"/>
  <c r="AP18" i="2"/>
  <c r="AO18" i="2"/>
  <c r="AM18" i="2"/>
  <c r="AI18" i="2"/>
  <c r="AH18" i="2"/>
  <c r="D18" i="2"/>
  <c r="AR17" i="2"/>
  <c r="AP17" i="2"/>
  <c r="AO17" i="2"/>
  <c r="AM17" i="2"/>
  <c r="AI17" i="2"/>
  <c r="AH17" i="2"/>
  <c r="D17" i="2"/>
  <c r="AR16" i="2"/>
  <c r="AP16" i="2"/>
  <c r="AO16" i="2"/>
  <c r="AM16" i="2"/>
  <c r="AI16" i="2"/>
  <c r="AH16" i="2"/>
  <c r="D16" i="2"/>
  <c r="AR15" i="2"/>
  <c r="AP15" i="2"/>
  <c r="AO15" i="2"/>
  <c r="AM15" i="2"/>
  <c r="AI15" i="2"/>
  <c r="AH15" i="2"/>
  <c r="D15" i="2"/>
  <c r="AR14" i="2"/>
  <c r="AP14" i="2"/>
  <c r="AO14" i="2"/>
  <c r="AM14" i="2"/>
  <c r="AI14" i="2"/>
  <c r="AH14" i="2"/>
  <c r="D14" i="2"/>
  <c r="AR13" i="2"/>
  <c r="AP13" i="2"/>
  <c r="AO13" i="2"/>
  <c r="AM13" i="2"/>
  <c r="AI13" i="2"/>
  <c r="AH13" i="2"/>
  <c r="D13" i="2"/>
  <c r="AR12" i="2"/>
  <c r="AP12" i="2"/>
  <c r="AO12" i="2"/>
  <c r="AM12" i="2"/>
  <c r="AI12" i="2"/>
  <c r="AH12" i="2"/>
  <c r="D12" i="2"/>
  <c r="AR11" i="2"/>
  <c r="AP11" i="2"/>
  <c r="AO11" i="2"/>
  <c r="AM11" i="2"/>
  <c r="AI11" i="2"/>
  <c r="AH11" i="2"/>
  <c r="D11" i="2"/>
  <c r="AR10" i="2"/>
  <c r="AP10" i="2"/>
  <c r="AO10" i="2"/>
  <c r="AM10" i="2"/>
  <c r="AI10" i="2"/>
  <c r="AH10" i="2"/>
  <c r="D10" i="2"/>
  <c r="AR9" i="2"/>
  <c r="AP9" i="2"/>
  <c r="AO9" i="2"/>
  <c r="AM9" i="2"/>
  <c r="AI9" i="2"/>
  <c r="AH9" i="2"/>
  <c r="D9" i="2"/>
  <c r="AR8" i="2"/>
  <c r="AP8" i="2"/>
  <c r="AO8" i="2"/>
  <c r="AM8" i="2"/>
  <c r="AI8" i="2"/>
  <c r="AH8" i="2"/>
  <c r="D8" i="2"/>
  <c r="AR7" i="2"/>
  <c r="AP7" i="2"/>
  <c r="AO7" i="2"/>
  <c r="AM7" i="2"/>
  <c r="AI7" i="2"/>
  <c r="AH7" i="2"/>
  <c r="D7" i="2"/>
  <c r="AR6" i="2"/>
  <c r="AP6" i="2"/>
  <c r="AO6" i="2"/>
  <c r="AM6" i="2"/>
  <c r="AI6" i="2"/>
  <c r="AH6" i="2"/>
  <c r="D6" i="2"/>
  <c r="AR5" i="2"/>
  <c r="AP5" i="2"/>
  <c r="AO5" i="2"/>
  <c r="AM5" i="2"/>
  <c r="AI5" i="2"/>
  <c r="AH5" i="2"/>
  <c r="D5" i="2"/>
  <c r="AR4" i="2"/>
  <c r="AP4" i="2"/>
  <c r="AO4" i="2"/>
  <c r="AM4" i="2"/>
  <c r="AI4" i="2"/>
  <c r="AH4" i="2"/>
  <c r="D4" i="2"/>
  <c r="AR3" i="2"/>
  <c r="AP3" i="2"/>
  <c r="AO3" i="2"/>
  <c r="AM3" i="2"/>
  <c r="AI3" i="2"/>
  <c r="AH3" i="2"/>
  <c r="D3" i="2"/>
  <c r="AR2" i="2"/>
  <c r="AP2" i="2"/>
  <c r="AO2" i="2"/>
  <c r="AM2" i="2"/>
  <c r="AI2" i="2"/>
  <c r="AH2" i="2"/>
  <c r="D2" i="2"/>
  <c r="AL41" i="2" l="1"/>
  <c r="AK41" i="2"/>
  <c r="AJ41" i="2"/>
  <c r="AK44" i="2"/>
  <c r="AJ42" i="2"/>
  <c r="AL40" i="2"/>
  <c r="AK40" i="2"/>
  <c r="AJ40" i="2"/>
  <c r="AL45" i="2"/>
  <c r="AK45" i="2"/>
  <c r="AJ45" i="2"/>
  <c r="AJ43" i="2"/>
  <c r="AL39" i="2"/>
  <c r="AK39" i="2"/>
  <c r="AJ39" i="2"/>
  <c r="AN60" i="2"/>
  <c r="AL44" i="2"/>
  <c r="AJ44" i="2"/>
  <c r="AL43" i="2"/>
  <c r="AK43" i="2"/>
  <c r="AL42" i="2"/>
  <c r="AK42" i="2"/>
  <c r="N74" i="7"/>
  <c r="M74" i="7"/>
  <c r="L74" i="7"/>
  <c r="K74" i="7"/>
  <c r="N73" i="7"/>
  <c r="M73" i="7"/>
  <c r="L73" i="7"/>
  <c r="K73" i="7"/>
  <c r="N72" i="7"/>
  <c r="M72" i="7"/>
  <c r="L72" i="7"/>
  <c r="K72" i="7"/>
  <c r="N71" i="7"/>
  <c r="M71" i="7"/>
  <c r="L71" i="7"/>
  <c r="K71" i="7"/>
  <c r="N70" i="7"/>
  <c r="M70" i="7"/>
  <c r="L70" i="7"/>
  <c r="K70" i="7"/>
  <c r="N69" i="7"/>
  <c r="M69" i="7"/>
  <c r="L69" i="7"/>
  <c r="K69" i="7"/>
  <c r="N68" i="7"/>
  <c r="M68" i="7"/>
  <c r="L68" i="7"/>
  <c r="K68" i="7"/>
  <c r="N67" i="7"/>
  <c r="M67" i="7"/>
  <c r="L67" i="7"/>
  <c r="K67" i="7"/>
  <c r="N66" i="7"/>
  <c r="M66" i="7"/>
  <c r="L66" i="7"/>
  <c r="K66" i="7"/>
  <c r="N65" i="7"/>
  <c r="M65" i="7"/>
  <c r="L65" i="7"/>
  <c r="K65" i="7"/>
  <c r="N64" i="7"/>
  <c r="M64" i="7"/>
  <c r="L64" i="7"/>
  <c r="K64" i="7"/>
  <c r="N63" i="7"/>
  <c r="M63" i="7"/>
  <c r="L63" i="7"/>
  <c r="K63" i="7"/>
  <c r="N62" i="7"/>
  <c r="M62" i="7"/>
  <c r="L62" i="7"/>
  <c r="K62" i="7"/>
  <c r="N61" i="7"/>
  <c r="M61" i="7"/>
  <c r="L61" i="7"/>
  <c r="K61" i="7"/>
  <c r="N60" i="7"/>
  <c r="M60" i="7"/>
  <c r="L60" i="7"/>
  <c r="K60" i="7"/>
  <c r="N59" i="7"/>
  <c r="M59" i="7"/>
  <c r="L59" i="7"/>
  <c r="K59" i="7"/>
  <c r="N58" i="7"/>
  <c r="M58" i="7"/>
  <c r="L58" i="7"/>
  <c r="K58" i="7"/>
  <c r="N57" i="7"/>
  <c r="M57" i="7"/>
  <c r="L57" i="7"/>
  <c r="K57" i="7"/>
  <c r="N56" i="7"/>
  <c r="M56" i="7"/>
  <c r="L56" i="7"/>
  <c r="K56" i="7"/>
  <c r="N55" i="7"/>
  <c r="M55" i="7"/>
  <c r="L55" i="7"/>
  <c r="K55" i="7"/>
  <c r="N54" i="7"/>
  <c r="M54" i="7"/>
  <c r="L54" i="7"/>
  <c r="K54" i="7"/>
  <c r="N53" i="7"/>
  <c r="M53" i="7"/>
  <c r="L53" i="7"/>
  <c r="K53" i="7"/>
  <c r="N52" i="7"/>
  <c r="M52" i="7"/>
  <c r="L52" i="7"/>
  <c r="K52" i="7"/>
  <c r="N51" i="7"/>
  <c r="M51" i="7"/>
  <c r="L51" i="7"/>
  <c r="K51" i="7"/>
  <c r="N50" i="7"/>
  <c r="M50" i="7"/>
  <c r="L50" i="7"/>
  <c r="K50" i="7"/>
  <c r="N49" i="7"/>
  <c r="M49" i="7"/>
  <c r="L49" i="7"/>
  <c r="K49" i="7"/>
  <c r="N48" i="7"/>
  <c r="M48" i="7"/>
  <c r="L48" i="7"/>
  <c r="K48" i="7"/>
  <c r="N47" i="7"/>
  <c r="M47" i="7"/>
  <c r="L47" i="7"/>
  <c r="K47" i="7"/>
  <c r="N46" i="7"/>
  <c r="M46" i="7"/>
  <c r="L46" i="7"/>
  <c r="K46" i="7"/>
  <c r="N45" i="7"/>
  <c r="M45" i="7"/>
  <c r="L45" i="7"/>
  <c r="K45" i="7"/>
  <c r="N44" i="7"/>
  <c r="M44" i="7"/>
  <c r="L44" i="7"/>
  <c r="K44" i="7"/>
  <c r="N43" i="7"/>
  <c r="M43" i="7"/>
  <c r="L43" i="7"/>
  <c r="K43" i="7"/>
  <c r="N42" i="7"/>
  <c r="M42" i="7"/>
  <c r="L42" i="7"/>
  <c r="K42" i="7"/>
  <c r="N41" i="7"/>
  <c r="M41" i="7"/>
  <c r="L41" i="7"/>
  <c r="K41" i="7"/>
  <c r="N40" i="7"/>
  <c r="M40" i="7"/>
  <c r="L40" i="7"/>
  <c r="K40" i="7"/>
  <c r="N39" i="7"/>
  <c r="M39" i="7"/>
  <c r="L39" i="7"/>
  <c r="K39" i="7"/>
  <c r="N38" i="7"/>
  <c r="M38" i="7"/>
  <c r="L38" i="7"/>
  <c r="K38" i="7"/>
  <c r="N37" i="7"/>
  <c r="M37" i="7"/>
  <c r="L37" i="7"/>
  <c r="K37" i="7"/>
  <c r="N36" i="7"/>
  <c r="M36" i="7"/>
  <c r="L36" i="7"/>
  <c r="K36" i="7"/>
  <c r="N35" i="7"/>
  <c r="M35" i="7"/>
  <c r="L35" i="7"/>
  <c r="K35" i="7"/>
  <c r="N34" i="7"/>
  <c r="M34" i="7"/>
  <c r="L34" i="7"/>
  <c r="K34" i="7"/>
  <c r="N33" i="7"/>
  <c r="M33" i="7"/>
  <c r="L33" i="7"/>
  <c r="K33" i="7"/>
  <c r="N32" i="7"/>
  <c r="M32" i="7"/>
  <c r="L32" i="7"/>
  <c r="K32" i="7"/>
  <c r="N31" i="7"/>
  <c r="M31" i="7"/>
  <c r="L31" i="7"/>
  <c r="K31" i="7"/>
  <c r="N30" i="7"/>
  <c r="M30" i="7"/>
  <c r="L30" i="7"/>
  <c r="K30" i="7"/>
  <c r="N29" i="7"/>
  <c r="M29" i="7"/>
  <c r="L29" i="7"/>
  <c r="K29" i="7"/>
  <c r="N28" i="7"/>
  <c r="M28" i="7"/>
  <c r="L28" i="7"/>
  <c r="K28" i="7"/>
  <c r="N27" i="7"/>
  <c r="M27" i="7"/>
  <c r="L27" i="7"/>
  <c r="K27" i="7"/>
  <c r="N26" i="7"/>
  <c r="M26" i="7"/>
  <c r="L26" i="7"/>
  <c r="K26" i="7"/>
  <c r="N25" i="7"/>
  <c r="M25" i="7"/>
  <c r="L25" i="7"/>
  <c r="K25" i="7"/>
  <c r="N24" i="7"/>
  <c r="M24" i="7"/>
  <c r="L24" i="7"/>
  <c r="K24" i="7"/>
  <c r="N23" i="7"/>
  <c r="M23" i="7"/>
  <c r="L23" i="7"/>
  <c r="K23" i="7"/>
  <c r="N22" i="7"/>
  <c r="M22" i="7"/>
  <c r="L22" i="7"/>
  <c r="K22" i="7"/>
  <c r="N21" i="7"/>
  <c r="M21" i="7"/>
  <c r="L21" i="7"/>
  <c r="K21" i="7"/>
  <c r="N20" i="7"/>
  <c r="M20" i="7"/>
  <c r="L20" i="7"/>
  <c r="K20" i="7"/>
  <c r="N19" i="7"/>
  <c r="M19" i="7"/>
  <c r="L19" i="7"/>
  <c r="K19" i="7"/>
  <c r="N18" i="7"/>
  <c r="M18" i="7"/>
  <c r="L18" i="7"/>
  <c r="K18" i="7"/>
  <c r="N17" i="7"/>
  <c r="M17" i="7"/>
  <c r="L17" i="7"/>
  <c r="K17" i="7"/>
  <c r="N16" i="7"/>
  <c r="M16" i="7"/>
  <c r="L16" i="7"/>
  <c r="K16" i="7"/>
  <c r="N15" i="7"/>
  <c r="M15" i="7"/>
  <c r="L15" i="7"/>
  <c r="K15" i="7"/>
  <c r="N14" i="7"/>
  <c r="M14" i="7"/>
  <c r="L14" i="7"/>
  <c r="K14" i="7"/>
  <c r="N13" i="7"/>
  <c r="M13" i="7"/>
  <c r="L13" i="7"/>
  <c r="K13" i="7"/>
  <c r="N12" i="7"/>
  <c r="M12" i="7"/>
  <c r="L12" i="7"/>
  <c r="K12" i="7"/>
  <c r="N11" i="7"/>
  <c r="M11" i="7"/>
  <c r="L11" i="7"/>
  <c r="K11" i="7"/>
  <c r="N10" i="7"/>
  <c r="M10" i="7"/>
  <c r="L10" i="7"/>
  <c r="K10" i="7"/>
  <c r="N9" i="7"/>
  <c r="M9" i="7"/>
  <c r="L9" i="7"/>
  <c r="K9" i="7"/>
  <c r="N8" i="7"/>
  <c r="M8" i="7"/>
  <c r="L8" i="7"/>
  <c r="K8" i="7"/>
  <c r="N7" i="7"/>
  <c r="M7" i="7"/>
  <c r="L7" i="7"/>
  <c r="K7" i="7"/>
  <c r="N6" i="7"/>
  <c r="M6" i="7"/>
  <c r="L6" i="7"/>
  <c r="K6" i="7"/>
  <c r="N5" i="7"/>
  <c r="M5" i="7"/>
  <c r="L5" i="7"/>
  <c r="K5" i="7"/>
  <c r="N4" i="7"/>
  <c r="M4" i="7"/>
  <c r="L4" i="7"/>
  <c r="K4" i="7"/>
  <c r="N3" i="7"/>
  <c r="M3" i="7"/>
  <c r="L3" i="7"/>
  <c r="K3" i="7"/>
  <c r="AK369" i="2"/>
  <c r="AN72" i="2"/>
  <c r="AL72" i="2"/>
  <c r="AK72" i="2"/>
  <c r="AJ72" i="2"/>
  <c r="AN66" i="2"/>
  <c r="AL66" i="2"/>
  <c r="AK66" i="2"/>
  <c r="AJ66" i="2"/>
  <c r="AN65" i="2"/>
  <c r="AL65" i="2"/>
  <c r="AK65" i="2"/>
  <c r="AJ65" i="2"/>
  <c r="AJ61" i="2"/>
  <c r="AN46" i="2"/>
  <c r="AL46" i="2"/>
  <c r="AK46" i="2"/>
  <c r="AJ46" i="2"/>
  <c r="AN37" i="2"/>
  <c r="AL37" i="2"/>
  <c r="AJ37" i="2"/>
  <c r="AL31" i="2"/>
  <c r="AK31" i="2"/>
  <c r="AN29" i="2"/>
  <c r="AL29" i="2"/>
  <c r="AK29" i="2"/>
  <c r="AN24" i="2"/>
  <c r="AN22" i="2"/>
  <c r="AL22" i="2"/>
  <c r="AK22" i="2"/>
  <c r="AN21" i="2"/>
  <c r="AL12" i="2"/>
  <c r="AJ12" i="2"/>
  <c r="AN8" i="2"/>
  <c r="AK8" i="2"/>
  <c r="AN7" i="2"/>
  <c r="AK7" i="2"/>
  <c r="AJ7" i="2"/>
  <c r="AN5" i="2"/>
  <c r="AL5" i="2"/>
  <c r="AK5" i="2"/>
  <c r="AJ5" i="2"/>
  <c r="AL491" i="2"/>
  <c r="AK491" i="2"/>
  <c r="AJ491" i="2"/>
  <c r="AL409" i="2"/>
  <c r="AL369" i="2"/>
  <c r="AJ369" i="2"/>
  <c r="AK409" i="2"/>
  <c r="AL71" i="2"/>
  <c r="AL56" i="2"/>
  <c r="AN47" i="2"/>
  <c r="AK47" i="2"/>
  <c r="AL20" i="2"/>
  <c r="AK20" i="2"/>
  <c r="AJ20" i="2"/>
  <c r="AL7" i="2"/>
  <c r="AK402" i="2"/>
  <c r="AJ402" i="2"/>
  <c r="AL70" i="2"/>
  <c r="AN69" i="2"/>
  <c r="AL69" i="2"/>
  <c r="AK69" i="2"/>
  <c r="AJ69" i="2"/>
  <c r="AJ68" i="2"/>
  <c r="AN63" i="2"/>
  <c r="AL63" i="2"/>
  <c r="AK63" i="2"/>
  <c r="AJ63" i="2"/>
  <c r="AL357" i="2"/>
  <c r="AK357" i="2"/>
  <c r="AJ357" i="2"/>
  <c r="AL315" i="2"/>
  <c r="AN68" i="2"/>
  <c r="AL68" i="2"/>
  <c r="AK68" i="2"/>
  <c r="AN67" i="2"/>
  <c r="AL67" i="2"/>
  <c r="AK67" i="2"/>
  <c r="AN64" i="2"/>
  <c r="AL64" i="2"/>
  <c r="AK64" i="2"/>
  <c r="AJ64" i="2"/>
  <c r="AN54" i="2"/>
  <c r="AN53" i="2"/>
  <c r="AL53" i="2"/>
  <c r="AK53" i="2"/>
  <c r="AJ53" i="2"/>
  <c r="AJ48" i="2"/>
  <c r="AN38" i="2"/>
  <c r="AL38" i="2"/>
  <c r="AK38" i="2"/>
  <c r="AK37" i="2"/>
  <c r="AL36" i="2"/>
  <c r="AK36" i="2"/>
  <c r="AJ36" i="2"/>
  <c r="AJ35" i="2"/>
  <c r="AN34" i="2"/>
  <c r="AL34" i="2"/>
  <c r="AK34" i="2"/>
  <c r="AJ34" i="2"/>
  <c r="AN33" i="2"/>
  <c r="AL33" i="2"/>
  <c r="AK33" i="2"/>
  <c r="AJ33" i="2"/>
  <c r="AN32" i="2"/>
  <c r="AL32" i="2"/>
  <c r="AK32" i="2"/>
  <c r="AJ32" i="2"/>
  <c r="AN30" i="2"/>
  <c r="AL30" i="2"/>
  <c r="AK30" i="2"/>
  <c r="AJ30" i="2"/>
  <c r="AJ29" i="2"/>
  <c r="AN28" i="2"/>
  <c r="AL28" i="2"/>
  <c r="AK28" i="2"/>
  <c r="AJ28" i="2"/>
  <c r="AN25" i="2"/>
  <c r="AL25" i="2"/>
  <c r="AK25" i="2"/>
  <c r="AJ25" i="2"/>
  <c r="AL24" i="2"/>
  <c r="AJ24" i="2"/>
  <c r="AK17" i="2"/>
  <c r="AN16" i="2"/>
  <c r="AL16" i="2"/>
  <c r="AK16" i="2"/>
  <c r="AJ16" i="2"/>
  <c r="AK15" i="2"/>
  <c r="AJ15" i="2"/>
  <c r="AN12" i="2"/>
  <c r="AK12" i="2"/>
  <c r="AN11" i="2"/>
  <c r="AL11" i="2"/>
  <c r="AK11" i="2"/>
  <c r="AJ11" i="2"/>
  <c r="AN10" i="2"/>
  <c r="AL10" i="2"/>
  <c r="AK10" i="2"/>
  <c r="AJ10" i="2"/>
  <c r="AN9" i="2"/>
  <c r="AK9" i="2"/>
  <c r="AJ9" i="2"/>
  <c r="AN4" i="2"/>
  <c r="AL4" i="2"/>
  <c r="AK4" i="2"/>
  <c r="AJ4" i="2"/>
  <c r="AN3" i="2"/>
  <c r="AL3" i="2"/>
  <c r="AK3" i="2"/>
  <c r="AJ3" i="2"/>
  <c r="AL2" i="2"/>
  <c r="AK2" i="2"/>
  <c r="AJ2" i="2"/>
  <c r="AJ313" i="2"/>
  <c r="AL268" i="2"/>
  <c r="AK268" i="2"/>
  <c r="AJ268" i="2"/>
  <c r="AN62" i="2"/>
  <c r="AL62" i="2"/>
  <c r="AK62" i="2"/>
  <c r="AJ62" i="2"/>
  <c r="AN61" i="2"/>
  <c r="AL61" i="2"/>
  <c r="AK61" i="2"/>
  <c r="AL60" i="2"/>
  <c r="AK60" i="2"/>
  <c r="AJ60" i="2"/>
  <c r="AN59" i="2"/>
  <c r="AL59" i="2"/>
  <c r="AK59" i="2"/>
  <c r="AJ59" i="2"/>
  <c r="AL58" i="2"/>
  <c r="AJ58" i="2"/>
  <c r="AN71" i="2"/>
  <c r="AK71" i="2"/>
  <c r="AJ71" i="2"/>
  <c r="AN70" i="2"/>
  <c r="AK70" i="2"/>
  <c r="AJ70" i="2"/>
  <c r="AN58" i="2"/>
  <c r="AK58" i="2"/>
  <c r="AN57" i="2"/>
  <c r="AL57" i="2"/>
  <c r="AK57" i="2"/>
  <c r="AJ57" i="2"/>
  <c r="AN56" i="2"/>
  <c r="AK56" i="2"/>
  <c r="AJ56" i="2"/>
  <c r="AN55" i="2"/>
  <c r="AL55" i="2"/>
  <c r="AK55" i="2"/>
  <c r="AJ55" i="2"/>
  <c r="AL54" i="2"/>
  <c r="AK54" i="2"/>
  <c r="AJ54" i="2"/>
  <c r="AN52" i="2"/>
  <c r="AL52" i="2"/>
  <c r="AK52" i="2"/>
  <c r="AJ52" i="2"/>
  <c r="AN51" i="2"/>
  <c r="AL51" i="2"/>
  <c r="AK51" i="2"/>
  <c r="AJ51" i="2"/>
  <c r="AN50" i="2"/>
  <c r="AL50" i="2"/>
  <c r="AK50" i="2"/>
  <c r="AJ50" i="2"/>
  <c r="AN49" i="2"/>
  <c r="AL49" i="2"/>
  <c r="AK49" i="2"/>
  <c r="AJ49" i="2"/>
  <c r="AN36" i="2"/>
  <c r="AN27" i="2"/>
  <c r="AL27" i="2"/>
  <c r="AK27" i="2"/>
  <c r="AJ27" i="2"/>
  <c r="AN26" i="2"/>
  <c r="AK26" i="2"/>
  <c r="AN23" i="2"/>
  <c r="AL23" i="2"/>
  <c r="AK23" i="2"/>
  <c r="AJ23" i="2"/>
  <c r="AJ22" i="2"/>
  <c r="AN19" i="2"/>
  <c r="AL19" i="2"/>
  <c r="AK19" i="2"/>
  <c r="AJ19" i="2"/>
  <c r="AN18" i="2"/>
  <c r="AJ18" i="2"/>
  <c r="AN17" i="2"/>
  <c r="AL17" i="2"/>
  <c r="AJ17" i="2"/>
  <c r="AN14" i="2"/>
  <c r="AL14" i="2"/>
  <c r="AK14" i="2"/>
  <c r="AJ14" i="2"/>
  <c r="AN13" i="2"/>
  <c r="AL13" i="2"/>
  <c r="AK13" i="2"/>
  <c r="AJ13" i="2"/>
  <c r="AL179" i="2"/>
  <c r="AK179" i="2"/>
  <c r="AJ179" i="2"/>
  <c r="AN73" i="2"/>
  <c r="AL73" i="2"/>
  <c r="AK73" i="2"/>
  <c r="AJ73" i="2"/>
  <c r="AJ67" i="2"/>
  <c r="AN48" i="2"/>
  <c r="AL48" i="2"/>
  <c r="AK48" i="2"/>
  <c r="AL47" i="2"/>
  <c r="AJ47" i="2"/>
  <c r="AJ38" i="2"/>
  <c r="AN31" i="2"/>
  <c r="AJ31" i="2"/>
  <c r="AL26" i="2"/>
  <c r="AJ26" i="2"/>
  <c r="AL21" i="2"/>
  <c r="AK21" i="2"/>
  <c r="AJ21" i="2"/>
  <c r="AN6" i="2"/>
  <c r="AL6" i="2"/>
  <c r="AK6" i="2"/>
  <c r="AJ6" i="2"/>
  <c r="AL90" i="2"/>
  <c r="AK90" i="2"/>
  <c r="AJ90" i="2"/>
  <c r="AK24" i="2"/>
  <c r="AN15" i="2"/>
  <c r="AL15" i="2"/>
  <c r="AN45" i="2"/>
  <c r="AN44" i="2"/>
  <c r="AN43" i="2"/>
  <c r="AN42" i="2"/>
  <c r="AN41" i="2"/>
  <c r="AN40" i="2"/>
  <c r="AN39" i="2"/>
  <c r="AN35" i="2"/>
  <c r="AL35" i="2"/>
  <c r="AK35" i="2"/>
  <c r="AN20" i="2"/>
  <c r="AL18" i="2"/>
  <c r="AK18" i="2"/>
  <c r="AL9" i="2"/>
  <c r="AL8" i="2"/>
  <c r="AJ8" i="2"/>
  <c r="AN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500-000001000000}">
      <text>
        <r>
          <rPr>
            <sz val="11"/>
            <color theme="1"/>
            <rFont val="Calibri"/>
            <family val="2"/>
            <charset val="1"/>
          </rPr>
          <t>This list feeds the dropdown on Combined Delivery Data, column A (Domain).
Add, remove, or rename values here and the dropdown updates automatically.</t>
        </r>
      </text>
    </comment>
    <comment ref="B1" authorId="0" shapeId="0" xr:uid="{00000000-0006-0000-0500-000002000000}">
      <text>
        <r>
          <rPr>
            <sz val="11"/>
            <color theme="1"/>
            <rFont val="Calibri"/>
            <family val="2"/>
            <charset val="1"/>
          </rPr>
          <t>This list feeds the dropdown on Combined Delivery Data, column F (DB Developer).
Add, remove, or rename values here and the dropdown updates automatically.</t>
        </r>
      </text>
    </comment>
    <comment ref="C1" authorId="0" shapeId="0" xr:uid="{00000000-0006-0000-0500-000003000000}">
      <text>
        <r>
          <rPr>
            <sz val="11"/>
            <color theme="1"/>
            <rFont val="Calibri"/>
            <family val="2"/>
            <charset val="1"/>
          </rPr>
          <t>This list feeds the dropdown on Combined Delivery Data, column G (PBI Developer).
Add, remove, or rename values here and the dropdown updates automatically.</t>
        </r>
      </text>
    </comment>
    <comment ref="D1" authorId="0" shapeId="0" xr:uid="{00000000-0006-0000-0500-000004000000}">
      <text>
        <r>
          <rPr>
            <sz val="11"/>
            <color theme="1"/>
            <rFont val="Calibri"/>
            <family val="2"/>
            <charset val="1"/>
          </rPr>
          <t>This list feeds the dropdown on Combined Delivery Data, column E (PO).
Add, remove, or rename values here and the dropdown updates automatically.</t>
        </r>
      </text>
    </comment>
    <comment ref="E1" authorId="0" shapeId="0" xr:uid="{00000000-0006-0000-0500-000005000000}">
      <text>
        <r>
          <rPr>
            <sz val="11"/>
            <color theme="1"/>
            <rFont val="Calibri"/>
            <family val="2"/>
            <charset val="1"/>
          </rPr>
          <t>This list feeds the dropdown on Combined Delivery Data, column Z (Blocked?).
Add, remove, or rename values here and the dropdown updates automatically.</t>
        </r>
      </text>
    </comment>
    <comment ref="F1" authorId="0" shapeId="0" xr:uid="{00000000-0006-0000-0500-000006000000}">
      <text>
        <r>
          <rPr>
            <sz val="11"/>
            <color theme="1"/>
            <rFont val="Calibri"/>
            <family val="2"/>
            <charset val="1"/>
          </rPr>
          <t>This list feeds the dropdown on Combined Delivery Data, column C (Current Status).
Add, remove, or rename values here and the dropdown updates automatically.</t>
        </r>
      </text>
    </comment>
  </commentList>
</comments>
</file>

<file path=xl/sharedStrings.xml><?xml version="1.0" encoding="utf-8"?>
<sst xmlns="http://schemas.openxmlformats.org/spreadsheetml/2006/main" count="1764" uniqueCount="284">
  <si>
    <t>GDM Tracker</t>
  </si>
  <si>
    <t>One tracker, built so a Manager, Director, PM, QA tester, or PBI/DB developer can each get what they need without hunting for it.</t>
  </si>
  <si>
    <t>QUICK GUIDE BY ROLE</t>
  </si>
  <si>
    <t>Manager / Director - look at: Status Flag (col D, color-coded), Business Value Rank (col E) to see what matters most, Blocked At (col AG) for an instant 'blocked at [stage]' read - plus that stage's own date columns turn red too, so it's visible without even reading the text. Auto Rework Alert (col AM, red = something bounced backward), Confirmed Deployed? (col AB) for real proof of what's actually live. UAT/Prod URLs (cols AD-AE) are clickable.</t>
  </si>
  <si>
    <t>The pipeline</t>
  </si>
  <si>
    <t>NOT STARTED -&gt; DB Dev -&gt; PBI Dev -&gt; QA -&gt; DPO Approval -&gt; RELEASED IN PROD. Current Status (col C) is a manual dropdown - set it to wherever the report actually is. Each stage (except Not Started and Released) has its own Status Assigned / Expected / Estimated / Actual date columns, except DPO Approval, which just has Status Assigned, Expected, and a Reviewer name (col AA) - there's no separate Actual for DPO Approval; use Confirmed Deployed? (col AB) instead once it's truly live.</t>
  </si>
  <si>
    <t>Expected vs. Estimated - the one habit that matters most</t>
  </si>
  <si>
    <t>Expected Completion Date is the original target - set it once, when a report enters that stage, and don't change it again. Estimated Completion Date is the one that moves - update it whenever a timeline shifts or a rework changes the plan. This way you always know both what was originally promised and what's realistically true now, without losing either. This is guidance, not an enforced rule - nothing is locked, it's on the honor system.</t>
  </si>
  <si>
    <t>Status Flag (col D) - automatic</t>
  </si>
  <si>
    <t>Reads Current Status plus that stage's own dates: 'No target set', 'Overdue', 'Review - planned start passed', 'On track', or 'Delivered'. Color-coded. Once a report is Released, Status Flag always just says 'Delivered' - a missing date never downgrades or flags a released report; Confirmed Deployed? is extra evidence on top, never a condition for the status itself.</t>
  </si>
  <si>
    <t>Rework tracking - three layers now</t>
  </si>
  <si>
    <t>Layer 1, fully automatic (cols AM-AN): 'Furthest Stage Reached' figures out from the dates already filled in how far a report has actually gotten. 'Auto Rework Alert' flags it in red if Current Status has been moved backward from that point - e.g. QA already has a date, but Current Status now says DB Dev. No logging required for this to work, ever.
Layer 2, optional manual detail (Rework Log tab + cols AH-AK here): log who sent it back, why, the Defect/Jira Ticket if there is one, and the new expected fix date. Combined Delivery Data automatically pulls the most recent entry into 'Last Sent Back From', 'Last Defect/Jira Ticket', and 'Rework Est. Fix Date' - maintain history in one place, it shows up here without re-typing it. Rework Count tallies how many times each report appears on the log. Any stage can go back to any previous stage - it's not QA-specific.
Layer 3 - Blocked with a known cause (cols AF-AH): Blocked? stays a simple Yes/No. If the block is just something stuck in its current stage (waiting on a normal review, etc.), leave 'Blocked - Needs Return To' blank - Blocked At will say 'Blocked at [stage]'. If a PREVIOUS stage actually needs to fix something (e.g. QA found a bug only DB Dev can resolve), set 'Blocked - Needs Return To' to that stage - Blocked At will instead say 'Blocked - needs DB Dev to fix', and that stage's own date columns light up red too, so whoever owns that stage sees it without reading anything. Rework Log also now has a live summary table (columns J-N) mirroring the same counts per report, so you can see them without switching tabs.</t>
  </si>
  <si>
    <t>Date columns reject text - on purpose</t>
  </si>
  <si>
    <t>Every date column only accepts real dates. Typing a status word or note into one gets rejected with a message pointing to Comments instead - this was added because the original source data had status words like 'Completed' sitting in date cells throughout, which made real reconciliation nearly impossible.</t>
  </si>
  <si>
    <t>Chronology Check (col AO)</t>
  </si>
  <si>
    <t>Automatic - flags a report if a later stage's target date is earlier than an earlier stage's, since that's usually a typo or wrong year. Does not compare DB Dev against PBI Dev to each other, since those run in parallel.</t>
  </si>
  <si>
    <t>Reading the sheet at a glance</t>
  </si>
  <si>
    <t>Each stage has its own header color and a matching colored left-border running down the sheet, so scrolling across reads as distinct sections rather than a wall of identical columns. When a report is blocked, the specific stage it's blocked at gets its own date columns highlighted red too - not just the Blocked At text column - so whoever owns that stage sees it immediately without reading anything. UAT Report URL and Production URL are real clickable links, not text to copy-paste.</t>
  </si>
  <si>
    <t>Dropdowns and data entry</t>
  </si>
  <si>
    <t>Domain, DB Developer, PBI Developer, PO, QA Tester, and Current Status are dropdowns sourced from the Data Validation tab - add a name or value there and it shows up automatically. Most are soft suggestions (you can type a new value directly), except Blocked? and Confirmed Deployed?, which are strict Yes/No only.</t>
  </si>
  <si>
    <t>Migrated from the old source - what changed</t>
  </si>
  <si>
    <t>This tracker replaces the old monthly Report Migration Timeline file. During migration: 8 QA target dates were corrected to match the true source values; Business Value Rank, UAT/Production URLs, DPO Approval Reviewer, QA Tester, and a real Confirmed Deployed signal (with actual dates recovered for 4 reports) were added since they existed in the old source but were never captured before; 5 specific historical blocker notes were preserved in Comments, tagged [Historical]. Everything else in the old source (generic 'ready for X' handoff notes, one-off 'Raw changes'/'Curated Change' notes, and uncertain '?' date markers) was reviewed and intentionally left behind as not worth carrying forward.</t>
  </si>
  <si>
    <t>Duplicate Name Check (col AP)</t>
  </si>
  <si>
    <t>Automatic - flags a report if its exact name appears more than once in the sheet, since that usually means a typo or an accidental duplicate entry rather than two genuinely different reports.</t>
  </si>
  <si>
    <t>Find a Report tab</t>
  </si>
  <si>
    <t>Pick any report name from the dropdown at the top and every key fact about it - status, dates, blockers, rework history, comments - appears below automatically. Useful for a quick check on one report without scrolling the full sheet.</t>
  </si>
  <si>
    <t>It's now a real Excel Table</t>
  </si>
  <si>
    <t>Combined Delivery Data is a genuine Excel Table now, not just a formatted range. Type a new report into the row right below the current last row, and every formula, dropdown, and conditional format on that row fills in automatically - no manual copying down required.</t>
  </si>
  <si>
    <t>Domain</t>
  </si>
  <si>
    <t>Report Name</t>
  </si>
  <si>
    <t>Current Status</t>
  </si>
  <si>
    <t>Status Flag</t>
  </si>
  <si>
    <t>Business Value Rank</t>
  </si>
  <si>
    <t>PO</t>
  </si>
  <si>
    <t>DB Developer</t>
  </si>
  <si>
    <t>PBI Developer</t>
  </si>
  <si>
    <t>QA Tester</t>
  </si>
  <si>
    <t>Schema</t>
  </si>
  <si>
    <t>Plan Delivery Date</t>
  </si>
  <si>
    <t>Plan Delivery Month</t>
  </si>
  <si>
    <t>DB Dev Status Assigned Date</t>
  </si>
  <si>
    <t>DB Dev Expected Completion Date</t>
  </si>
  <si>
    <t>DB Dev Estimated Completion Date</t>
  </si>
  <si>
    <t>DB Dev Actual Completion Date</t>
  </si>
  <si>
    <t>PBI Dev Status Assigned Date</t>
  </si>
  <si>
    <t>PBI Dev Expected Completion Date</t>
  </si>
  <si>
    <t>PBI Dev Estimated Completion Date</t>
  </si>
  <si>
    <t>PBI Dev Actual Completion Date</t>
  </si>
  <si>
    <t>QA Status Assigned Date</t>
  </si>
  <si>
    <t>QA Expected Completion Date</t>
  </si>
  <si>
    <t>QA Estimated Completion Date</t>
  </si>
  <si>
    <t>QA Actual Completion Date</t>
  </si>
  <si>
    <t>DPO Approval Status Assigned Date</t>
  </si>
  <si>
    <t>DPO Approval Expected Completion Date</t>
  </si>
  <si>
    <t>DPO Approval Reviewer</t>
  </si>
  <si>
    <t>Confirmed Deployed?</t>
  </si>
  <si>
    <t>Confirmed Deployed Date</t>
  </si>
  <si>
    <t>UAT Report URL</t>
  </si>
  <si>
    <t>Production URL</t>
  </si>
  <si>
    <t>Blocked?</t>
  </si>
  <si>
    <t>Blocked - Needs Return To</t>
  </si>
  <si>
    <t>Blocked At</t>
  </si>
  <si>
    <t>Rework Count</t>
  </si>
  <si>
    <t>Last Sent Back From</t>
  </si>
  <si>
    <t>Rework Est. Fix Date</t>
  </si>
  <si>
    <t>Last Defect/Jira Ticket</t>
  </si>
  <si>
    <t>Furthest Stage Reached</t>
  </si>
  <si>
    <t>Auto Rework Alert</t>
  </si>
  <si>
    <t>Chronology Check</t>
  </si>
  <si>
    <t>Duplicate Name Check</t>
  </si>
  <si>
    <t>Comments</t>
  </si>
  <si>
    <t>_Last Rework Row</t>
  </si>
  <si>
    <t>Leaks</t>
  </si>
  <si>
    <t>RPT_04_Active Leaks</t>
  </si>
  <si>
    <t>RELEASED IN PROD</t>
  </si>
  <si>
    <t>Fetwi</t>
  </si>
  <si>
    <t>Sarath</t>
  </si>
  <si>
    <t>Preety</t>
  </si>
  <si>
    <t>April</t>
  </si>
  <si>
    <t>Kelvin Hu</t>
  </si>
  <si>
    <t>Yes</t>
  </si>
  <si>
    <t>https://app.powerbi.com/groups/me/apps/eedba83d-be9a-45f9-9504-7bfa41e6051a/reports/62307ec4-3158-4457-8dcc-4acc2150cdc3/ccfe9e7f0a40d49acb85?experience=power-bi</t>
  </si>
  <si>
    <t>https://app.powerbi.com/groups/me/apps/2c7180b1-0d3d-45be-979e-f7dc86b3557d/reports/8cd4a21d-3abe-4e55-a99e-3af846ab1c67/ccfe9e7f0a40d49acb85?ctid=f98a6a53-25f3-4212-901c-c7787fcd3495&amp;experience=power-bi</t>
  </si>
  <si>
    <t>No</t>
  </si>
  <si>
    <t>[Historical, April 2026]: QA found an issue - date calendar dimension broken. Fetwi assigned to fix.</t>
  </si>
  <si>
    <t>RPT_04_Count of Active Leaks On Hand</t>
  </si>
  <si>
    <t>https://app.powerbi.com/groups/me/apps/eedba83d-be9a-45f9-9504-7bfa41e6051a/reports/c0b3f0ae-dedd-485b-8bbc-aa0e5f3fd077/24a66431d0637282f4b7?experience=power-bi</t>
  </si>
  <si>
    <t>https://app.powerbi.com/groups/me/apps/2c7180b1-0d3d-45be-979e-f7dc86b3557d/reports/5ffd546f-ad77-4a7f-8e6d-94dc08bef796/24a66431d0637282f4b7?ctid=f98a6a53-25f3-4212-901c-c7787fcd3495&amp;experience=power-bi</t>
  </si>
  <si>
    <t>RPT_04_Leak Scheduling</t>
  </si>
  <si>
    <t>Sreevarsha</t>
  </si>
  <si>
    <t>RPT_04_Leak Days Remaining</t>
  </si>
  <si>
    <t>Siva</t>
  </si>
  <si>
    <t>Navya</t>
  </si>
  <si>
    <t>https://app.powerbi.com/groups/me/apps/eedba83d-be9a-45f9-9504-7bfa41e6051a/reports/8b9ae445-3a30-4ae6-a3fa-7a6d8e7ef349/d97da6159d0c87677529?experience=power-bi</t>
  </si>
  <si>
    <t>https://app.powerbi.com/groups/me/apps/2c7180b1-0d3d-45be-979e-f7dc86b3557d/reports/848ce65a-4e47-422b-aae5-7ea9e7d68a5f/d97da6159d0c87677529?ctid=f98a6a53-25f3-4212-901c-c7787fcd3495&amp;experience=power-bi</t>
  </si>
  <si>
    <t>16/04 - Testing completed in QA and created defect https://jira.prod.nationalgrid.com/browse/GDMP-2186; ETA -04/24</t>
  </si>
  <si>
    <t>RPT_04_Cleared Leaks</t>
  </si>
  <si>
    <t>https://app.powerbi.com/groups/me/apps/eedba83d-be9a-45f9-9504-7bfa41e6051a/reports/938a9ba1-8138-440e-842a-d9a679933d8c/44bb4fce98fafb2cace2?experience=power-bi</t>
  </si>
  <si>
    <t>https://app.powerbi.com/groups/me/apps/2c7180b1-0d3d-45be-979e-f7dc86b3557d/reports/677c6418-6db8-4ebf-9323-65be4cb2c960/ea184ec020032ecbdd43?ctid=f98a6a53-25f3-4212-901c-c7787fcd3495&amp;experience=power-bi</t>
  </si>
  <si>
    <t>[Historical, April 2026]: L_GRO_NUMBER columns had an issue in QA - DB team assigned to fix.</t>
  </si>
  <si>
    <t>RPT_04_Leaks Repaired Detail</t>
  </si>
  <si>
    <t>Rupa</t>
  </si>
  <si>
    <t>https://app.powerbi.com/groups/me/apps/eedba83d-be9a-45f9-9504-7bfa41e6051a/reports/cbaf2155-2cf3-4377-8af2-7e07a896e887/ea184ec020032ecbdd43?experience=power-bi</t>
  </si>
  <si>
    <t>https://app.powerbi.com/groups/me/apps/2c7180b1-0d3d-45be-979e-f7dc86b3557d/reports/9c6d5e21-4e57-4a64-9973-61ff3717468e/ea184ec020032ecbdd43?ctid=f98a6a53-25f3-4212-901c-c7787fcd3495&amp;experience=power-bi</t>
  </si>
  <si>
    <t>21/4 Testing completed in QA and defect raised https://jira.prod.nationalgrid.com/browse/GDMP-2190; Report ready for testing 04/23/2026</t>
  </si>
  <si>
    <t>RPT_04_Leaks Aging</t>
  </si>
  <si>
    <t>https://app.powerbi.com/groups/me/apps/eedba83d-be9a-45f9-9504-7bfa41e6051a/reports/383c1502-9c3c-4fa0-a321-321cfed3b4a1/ReportSection1e63b8fbeb9ea54074e1?experience=power-bi</t>
  </si>
  <si>
    <t>https://app.powerbi.com/groups/me/apps/2c7180b1-0d3d-45be-979e-f7dc86b3557d/reports/b7f15195-22d6-4ac4-8982-a8cadb215cbf/ReportSection1e63b8fbeb9ea54074e1?ctid=f98a6a53-25f3-4212-901c-c7787fcd3495&amp;experience=power-bi</t>
  </si>
  <si>
    <t>RPT_04_Prior Leak Readings</t>
  </si>
  <si>
    <t>Siddu</t>
  </si>
  <si>
    <t>https://app.powerbi.com/groups/me/apps/7767030c-f4c8-4488-b3cb-36a860cb6ff2/reports/acc74ccc-08b7-420d-b64e-5e4d786ac711/ReportSection6d915001f68ea4805272?experience=power-bi</t>
  </si>
  <si>
    <t>https://app.powerbi.com/groups/me/apps/5b29b0dd-a398-4801-84ce-f3a7d8435827/reports/5a06a5bd-88fb-4024-8841-570da23785ad/ReportSection6d915001f68ea4805272?ctid=f98a6a53-25f3-4212-901c-c7787fcd3495&amp;experience=power-bi</t>
  </si>
  <si>
    <t>RSS_04_Leak Grade Change History</t>
  </si>
  <si>
    <t>https://app.powerbi.com/groups/me/apps/7767030c-f4c8-4488-b3cb-36a860cb6ff2/reports/6fe40f7b-3dfe-45ee-9f81-cb977321242d/9d7e292e8fb40cfee194?experience=power-bi</t>
  </si>
  <si>
    <t>https://app.powerbi.com/groups/me/apps/5b29b0dd-a398-4801-84ce-f3a7d8435827/reports/4268caf5-dcbd-4b00-8518-baf8239fff69/9d7e292e8fb40cfee194?experience=power-bi</t>
  </si>
  <si>
    <t xml:space="preserve">
23/4 - Testing completed in QA and defect created https://jira.prod.nationalgrid.com/browse/GDMP-2227; Report is ready for testing 04/23/2026</t>
  </si>
  <si>
    <t>RPT_04_Surveillances With Zero Readings</t>
  </si>
  <si>
    <t>Kelvin</t>
  </si>
  <si>
    <t>May</t>
  </si>
  <si>
    <t>https://app.powerbi.com/groups/me/apps/eedba83d-be9a-45f9-9504-7bfa41e6051a/reports/743b79eb-5470-4cd4-ad54-81eb3b409ae8/ea184ec020032ecbdd43?ctid=f98a6a53-25f3-4212-901c-c7787fcd3495&amp;experience=power-bi</t>
  </si>
  <si>
    <t>https://app.powerbi.com/groups/me/apps/2c7180b1-0d3d-45be-979e-f7dc86b3557d/reports/c887cd5e-9172-4de3-921e-2c0edd2533bc/ea184ec020032ecbdd43?experience=power-bi</t>
  </si>
  <si>
    <t>RPT_04 High Emitter leaks</t>
  </si>
  <si>
    <t>https://app.powerbi.com/groups/me/apps/61b18507-2848-49b9-aacc-32c49ffe1e0b/reports/a44e7124-b1d0-4a09-a5d1-157e2043ba8e/ea184ec020032ecbdd43?ctid=f98a6a53-25f3-4212-901c-c7787fcd3495&amp;experience=power-bi</t>
  </si>
  <si>
    <t>https://app.powerbi.com/groups/me/apps/93d01997-58e0-48d8-bcca-ad8377094e64/reports/6d6fe558-e5d6-4a4b-b6fb-8a5f8735d1df/ea184ec020032ecbdd43?experience=power-bi</t>
  </si>
  <si>
    <t>05/05-  defect raised https://jira.prod.nationalgrid.com/browse/GDMP-2230</t>
  </si>
  <si>
    <t>RPT_04_School Zone Leaks Without Repair</t>
  </si>
  <si>
    <t>https://app.powerbi.com/groups/me/apps/eedba83d-be9a-45f9-9504-7bfa41e6051a/reports/0f3b2c1d-09ad-45db-9786-31e8c9401bc4/ReportSectionda782bb6769340acca9d?experience=power-bi</t>
  </si>
  <si>
    <t>https://app.powerbi.com/groups/me/apps/2c7180b1-0d3d-45be-979e-f7dc86b3557d/reports/5e101b4d-8b08-431a-8b3a-04aafc85f314/ReportSection1e63b8fbeb9ea54074e1?experience=power-bi</t>
  </si>
  <si>
    <t>RPT_04_PSC Quarterly Leak</t>
  </si>
  <si>
    <t>Geetha</t>
  </si>
  <si>
    <t>https://app.powerbi.com/groups/me/apps/93d01997-58e0-48d8-bcca-ad8377094e64/reports/bda83ba5-3e9d-4f8d-9496-bf14e91f7b20/ccfe9e7f0a40d49acb85?ctid=f98a6a53-25f3-4212-901c-c7787fcd3495&amp;experience=power-bi</t>
  </si>
  <si>
    <t>RPT_04_Rechecks Completed less than 14 days</t>
  </si>
  <si>
    <t>Shraddha</t>
  </si>
  <si>
    <t>https://app.powerbi.com/groups/me/apps/7767030c-f4c8-4488-b3cb-36a860cb6ff2/reports/de1ad11f-021b-4cc1-b465-67efd542031c/3122b8024291693794eb?ctid=f98a6a53-25f3-4212-901c-c7787fcd3495&amp;experience=power-bi</t>
  </si>
  <si>
    <t>https://app.powerbi.com/groups/me/apps/5b29b0dd-a398-4801-84ce-f3a7d8435827/reports/0e063b20-0b38-4000-b436-fcbec11daa46/3122b8024291693794eb?experience=power-bi</t>
  </si>
  <si>
    <t>RPT_04_SEI Leak Activity</t>
  </si>
  <si>
    <t>https://app.powerbi.com/groups/me/apps/7767030c-f4c8-4488-b3cb-36a860cb6ff2/reports/c76693f4-bab2-46a1-ab2a-16752d7664fd/ea184ec020032ecbdd43?experience=power-bi</t>
  </si>
  <si>
    <t>https://app.powerbi.com/groups/me/apps/5b29b0dd-a398-4801-84ce-f3a7d8435827/reports/9d9f5721-feb1-4ed3-91fd-18bc33ef38f1/ea184ec020032ecbdd43?experience=power-bi</t>
  </si>
  <si>
    <t>RPT_04_CMS Leak Productivity</t>
  </si>
  <si>
    <t>https://app.powerbi.com/groups/me/apps/eedba83d-be9a-45f9-9504-7bfa41e6051a/reports/3440832e-c72e-45f2-b154-f6b1d66314fc/51a6cefeab19522827a6?experience=power-bi</t>
  </si>
  <si>
    <t>https://app.powerbi.com/groups/me/apps/2c7180b1-0d3d-45be-979e-f7dc86b3557d/reports/18e31a06-f1af-4965-ad46-5a507f24ed56/51a6cefeab19522827a6?experience=power-bi</t>
  </si>
  <si>
    <t>RPT_04_Main Break Corrosion and Leak Cluster</t>
  </si>
  <si>
    <t>https://app.powerbi.com/groups/me/apps/eedba83d-be9a-45f9-9504-7bfa41e6051a/reports/efc0a204-1a7b-4be6-8334-c7582c9093b8/ReportSection81bc1123208781ca563a?experience=power-bi</t>
  </si>
  <si>
    <t>RPT_04_Leak Summary Status</t>
  </si>
  <si>
    <t>https://app.powerbi.com/groups/me/apps/7767030c-f4c8-4488-b3cb-36a860cb6ff2/reports/184a9cdc-83f5-40b0-940d-d901ad9fb404/ReportSection6d915001f68ea4805272?ctid=f98a6a53-25f3-4212-901c-c7787fcd3495&amp;experience=power-bi</t>
  </si>
  <si>
    <t>https://app.powerbi.com/groups/me/apps/5b29b0dd-a398-4801-84ce-f3a7d8435827/reports/f7af2903-2d63-497e-b262-100f5a3b500b/ReportSection6d915001f68ea4805272?ctid=f98a6a53-25f3-4212-901c-c7787fcd3495&amp;experience=power-bi</t>
  </si>
  <si>
    <t>RPT_04_PSC Leak Printout</t>
  </si>
  <si>
    <t>https://app.powerbi.com/groups/me/apps/61b18507-2848-49b9-aacc-32c49ffe1e0b/rdlreports/84ee7713-075e-496c-8610-43022c6a55ab?ctid=f98a6a53-25f3-4212-901c-c7787fcd3495&amp;experience=power-bi</t>
  </si>
  <si>
    <t>[Historical, May/June 2026]: Fetwi was investigating a slowness issue in this report.</t>
  </si>
  <si>
    <t>RPT_04_Leak Control Report</t>
  </si>
  <si>
    <t>June</t>
  </si>
  <si>
    <t>RPT_04_Leak Life Cycle</t>
  </si>
  <si>
    <t>[Historical, June 2026]: Waiting on Kelvin's approval to deploy to UAT.</t>
  </si>
  <si>
    <t>RPT_04_Leak Life Cycle Legacy LMS LI</t>
  </si>
  <si>
    <t>RPT_04_Leak Increase Reads</t>
  </si>
  <si>
    <t>https://app.powerbi.com/groups/me/apps/eedba83d-be9a-45f9-9504-7bfa41e6051a/reports/a410b442-fd2f-43d1-a053-40f2e4966d4d/ea184ec020032ecbdd43?ctid=f98a6a53-25f3-4212-901c-c7787fcd3495&amp;experience=power-bi</t>
  </si>
  <si>
    <t>https://app.powerbi.com/groups/me/apps/2c7180b1-0d3d-45be-979e-f7dc86b3557d/reports/1cec238a-ce10-4ed5-8e56-50efa21bb327/ea184ec020032ecbdd43?ctid=f98a6a53-25f3-4212-901c-c7787fcd3495&amp;experience=power-bi</t>
  </si>
  <si>
    <t>Leak 360 Dashboard</t>
  </si>
  <si>
    <t>QA</t>
  </si>
  <si>
    <t>[Source confirms QA complete but gives no exact date - using QA Expected date as the closest evidence-backed proxy]</t>
  </si>
  <si>
    <t>RPT_04_Leak Recheck Control</t>
  </si>
  <si>
    <t>RPT_04_Main_Replacement Report</t>
  </si>
  <si>
    <t>Sree</t>
  </si>
  <si>
    <t>https://app.powerbi.com/Redirect?action=OpenApp&amp;appId=eedba83d-be9a-45f9-9504-7bfa41e6051a&amp;ctid=f98a6a53-25f3-4212-901c-c7787fcd3495&amp;experience=power-bi</t>
  </si>
  <si>
    <t>https://app.powerbi.com/groups/me/apps/2c7180b1-0d3d-45be-979e-f7dc86b3557d/reports/3a63d51e-dbb3-4d03-8e38-924376751299/3122b8024291693794eb?ctid=f98a6a53-25f3-4212-901c-c7787fcd3495&amp;experience=power-bi</t>
  </si>
  <si>
    <t>New Report: Leak Repair Exception</t>
  </si>
  <si>
    <t>https://app.powerbi.com/groups/me/apps/eedba83d-be9a-45f9-9504-7bfa41e6051a/reports/f32957e8-b826-44b0-8c00-67ff417ed57e/e94cbcb8509576e1c578?ctid=f98a6a53-25f3-4212-901c-c7787fcd3495&amp;experience=power-bi</t>
  </si>
  <si>
    <t>New Report: (Leak reading sample point mismatch ) Creating a new report that...</t>
  </si>
  <si>
    <t>[QA Actual date recovered from source text: "6/24/2026; QA Completed. Waiting for the view to be deployed to UAT"]</t>
  </si>
  <si>
    <t>CMS</t>
  </si>
  <si>
    <t>RPT_02_CO Flue Warning Tag Control</t>
  </si>
  <si>
    <t>Kushal</t>
  </si>
  <si>
    <t>July</t>
  </si>
  <si>
    <t>Blocked with  https://jira.prod.nationalgrid.com/browse/GDMP-2875</t>
  </si>
  <si>
    <t>RPT_02_Warning Tag HEFPA</t>
  </si>
  <si>
    <t>Count Msimatches Found between ODS and GDM
[QA note, 07/2026]: Observing count mismatch, Sree looking into it (07/22/2026).</t>
  </si>
  <si>
    <t>RPT_02_Warning tag Printout</t>
  </si>
  <si>
    <t>Note: this report's stage dates are not in chronological order in the source tracker (e.g. a later stage dated before an earlier one) - please verify with the assigned developer.
[QA note, 07/2026]: Development is completed, waiting for the view to be deployed to QA.</t>
  </si>
  <si>
    <t>RPT_02_Corrosion</t>
  </si>
  <si>
    <t>Note: this report's stage dates are not in chronological order in the source tracker (e.g. a later stage dated before an earlier one) - please verify with the assigned developer.</t>
  </si>
  <si>
    <t>RPT_02_House Pipe Test Comment Control</t>
  </si>
  <si>
    <t>Blocked with  https://jira.prod.nationalgrid.com/browse/GDMP-2876  , 17/7 - view don't have data in QA
[QA note, 07/2026]: Ready for UAT review.
[QA Actual date recovered from source text: "22/7 -Completed"]</t>
  </si>
  <si>
    <t>RPT_02_Required Regulator Inspection Performed Control</t>
  </si>
  <si>
    <t>DB Dev</t>
  </si>
  <si>
    <t>Bardia</t>
  </si>
  <si>
    <t>GDM_RPT.VW_REQUIRED_REGULATOR_INSPECTIONS_PERFORMED_CONTROL
[QA note, 07/2026]: Defects found and sent back for development.</t>
  </si>
  <si>
    <t>RPT_02_Service Regulator Inspections</t>
  </si>
  <si>
    <t>select * from DEV_GDM_DEV_DB.GDM_RPT.VW_SERVICE_REGULATOR_INSPECTIONS
[QA note, 07/2026]: Defects found and sent back for development.</t>
  </si>
  <si>
    <t>RPT_02_Service Regulator Inspection Printout</t>
  </si>
  <si>
    <t>this has a dependency on dt_wospecattributes , 15 attributes need to be addted eg NG_REGINVLVREM</t>
  </si>
  <si>
    <t>RPT_02_20 Year Regulator Inspection</t>
  </si>
  <si>
    <t>GDM_RPT.VW_20_YEAR_REGULATOR_INSPECTION_COMPLETED, GDM_RPT.VW_20_YEAR_REGULATOR_INSPECTION_MANDATED</t>
  </si>
  <si>
    <t>RPT_02_Fixed Factor</t>
  </si>
  <si>
    <t>10,12</t>
  </si>
  <si>
    <t>Nick</t>
  </si>
  <si>
    <t>RPT_02_Fixed Factor Printout</t>
  </si>
  <si>
    <t>[QA note, 07/2026]: Development is completed, QA validation in progress.</t>
  </si>
  <si>
    <t>RPT_02_Work Order Completion Printout</t>
  </si>
  <si>
    <t>RPT_02_GRO Control</t>
  </si>
  <si>
    <t>RPT_02_GRO Monitor</t>
  </si>
  <si>
    <t>RPT_02_Public Buildings Inspection</t>
  </si>
  <si>
    <t>16,17,24, 28</t>
  </si>
  <si>
    <t>August</t>
  </si>
  <si>
    <t>RPT_02_Investigate Wall Check and Service Check</t>
  </si>
  <si>
    <t>NOT STARTED</t>
  </si>
  <si>
    <t>RPT_02_Cut Out Orders</t>
  </si>
  <si>
    <t>RPT_02_Gas Trouble</t>
  </si>
  <si>
    <t>RPT_02_Wall Check Control</t>
  </si>
  <si>
    <t>RPT_02_High Pressure Steel Inside Inspection</t>
  </si>
  <si>
    <t>RPT_02_Large Gas Outage</t>
  </si>
  <si>
    <t>RPT_02_Fitting Work</t>
  </si>
  <si>
    <t>RPT_02_Field Collector Report</t>
  </si>
  <si>
    <t>RPT_02_Turn On for Non-Payment</t>
  </si>
  <si>
    <t>RPT_02_Collector Payment Recap</t>
  </si>
  <si>
    <t>RPT_02_Incentive Management</t>
  </si>
  <si>
    <t>RPT_02_UTC Report</t>
  </si>
  <si>
    <t>September</t>
  </si>
  <si>
    <t>RPT_02_Adjacent Property Checks</t>
  </si>
  <si>
    <t>RPT_02_High Bill Investigations</t>
  </si>
  <si>
    <t>RPT_02_Emergency Order Type</t>
  </si>
  <si>
    <t>RPT_02_Cut Out Curb Box</t>
  </si>
  <si>
    <t>RPT_02_New York Incident</t>
  </si>
  <si>
    <t>RPT_02_Outside Repeat Leaks</t>
  </si>
  <si>
    <t>RPT_02_Meter Change</t>
  </si>
  <si>
    <t>RPT_02_Field Order Value</t>
  </si>
  <si>
    <t>RPT_02_Same Day Reconnect</t>
  </si>
  <si>
    <t>RPT_02_Site Specific Analysis</t>
  </si>
  <si>
    <t>RPT_02_PSC Wire Down Response Time</t>
  </si>
  <si>
    <t>RPT_02_Hazardous Above Ground Leak</t>
  </si>
  <si>
    <t>RPT_02_AMI Contractor Completion Report</t>
  </si>
  <si>
    <t>RPT_02_Collection Statistic</t>
  </si>
  <si>
    <t>RPT_02_First and Last Job</t>
  </si>
  <si>
    <t>RPT_02_Rate Class</t>
  </si>
  <si>
    <t>RPT_04_Leak Recheck Times</t>
  </si>
  <si>
    <t>Find a Report</t>
  </si>
  <si>
    <t>Pick a report below - everything updates automatically.</t>
  </si>
  <si>
    <t>Report Name:</t>
  </si>
  <si>
    <t>DB Dev Expected</t>
  </si>
  <si>
    <t>DB Dev Actual</t>
  </si>
  <si>
    <t>PBI Dev Expected</t>
  </si>
  <si>
    <t>PBI Dev Actual</t>
  </si>
  <si>
    <t>QA Expected</t>
  </si>
  <si>
    <t>QA Actual</t>
  </si>
  <si>
    <t>DPO Approval Expected</t>
  </si>
  <si>
    <t>Reference snapshot only - the app rebuilds this automatically from Combined Delivery Data on every upload. Editing this tab directly has no effect.</t>
  </si>
  <si>
    <t>Status</t>
  </si>
  <si>
    <t xml:space="preserve">DB Developers </t>
  </si>
  <si>
    <t>PBI Developers</t>
  </si>
  <si>
    <t>Status Start Date</t>
  </si>
  <si>
    <t>Expected Release Date</t>
  </si>
  <si>
    <t>Actual Release Date</t>
  </si>
  <si>
    <t>PBI Dev</t>
  </si>
  <si>
    <t>DPO Approval</t>
  </si>
  <si>
    <t>This tab is manually maintained - edit Expected Report Count / Expected Release Date directly, or add new domain/month rows, as delivery plans change. Unlike Fact Table, the app always reads this sheet as-is.</t>
  </si>
  <si>
    <t>Expected Report Count</t>
  </si>
  <si>
    <t>Maintenance and Construction</t>
  </si>
  <si>
    <t>Meter Management</t>
  </si>
  <si>
    <t>Assets and Engineering</t>
  </si>
  <si>
    <t>All Developers</t>
  </si>
  <si>
    <t>-&gt; feeds column A on Combined Delivery Data</t>
  </si>
  <si>
    <t>-&gt; feeds column F on Combined Delivery Data</t>
  </si>
  <si>
    <t>-&gt; feeds column G on Combined Delivery Data</t>
  </si>
  <si>
    <t>-&gt; feeds column E on Combined Delivery Data</t>
  </si>
  <si>
    <t>-&gt; feeds column AF on Combined Delivery Data</t>
  </si>
  <si>
    <t>-&gt; feeds column C on Combined Delivery Data</t>
  </si>
  <si>
    <t>-&gt; feeds column G on Rework Log (Assigned To)</t>
  </si>
  <si>
    <t>-&gt; feeds column I on Combined Delivery Data</t>
  </si>
  <si>
    <t>One row per bounce-back, optional detail. You do not need to log here for the tracker to know a rework happened - Combined Delivery Data (column AL, Auto Rework Alert) detects that automatically the moment a later stage already has a date but Current Status gets moved back. Use this tab to capture WHY it happened, the defect/Jira ticket if there is one, and when it is now expected fixed.</t>
  </si>
  <si>
    <t>Live summary - one row per report, computed from the log entries to the left. Nothing here is typed manually.</t>
  </si>
  <si>
    <t>Date Sent Back</t>
  </si>
  <si>
    <t>From Stage</t>
  </si>
  <si>
    <t>To Stage</t>
  </si>
  <si>
    <t>Reason / Note</t>
  </si>
  <si>
    <t>Defect/Jira Ticket</t>
  </si>
  <si>
    <t>Est. Fix Date</t>
  </si>
  <si>
    <t>Times Sent Back</t>
  </si>
  <si>
    <t>Last Sent Back Date</t>
  </si>
  <si>
    <t>Last From Stage</t>
  </si>
  <si>
    <t>Last To Stage</t>
  </si>
  <si>
    <t>Defects found in QA testing.</t>
  </si>
  <si>
    <t xml:space="preserve">How Fact Table is generated</t>
  </si>
  <si>
    <t xml:space="preserve">Fact Table is a computed snapshot built from Combined Delivery Data - NOT a live formula, and NOT recalculated by Excel. The dashboard app rebuilds it itself, in the browser, every time this file is uploaded there; the Fact Table tab in this workbook is a reference copy only, regenerated by whatever process last refreshed this file, and has no effect on the app.
One row per stage a report has actually reached - not one row per report. Row count comes from Current Status (the manual dropdown), mapped to its position in the pipeline: NOT STARTED = 0 rows (a report still Not Started gets none - no placeholder), DB Dev = 1 row, PBI Dev = 2, QA = 3, DPO Approval = 4, RELEASED IN PROD = 5. This is the one place the app trusts Current Status as the source of truth, since that's how this tracker's own reference Fact Table has always been built.
Each row's fields:
- Domain, Report Name, DB Developers, PBI Developers, Schema, PO - copied straight from that report's row on Combined Delivery Data, same for every stage-row of that report.
- Status - the stage name itself (DB Dev / PBI Dev / QA / DPO Approval / RELEASED IN PROD).
- Expected Release Date - that stage's own Expected Completion Date if filled in (the real target once someone sets it), falling back to that SAME stage's own Actual Completion Date only when no Expected date exists yet (the common case for historical/migrated data, which usually only ever got an Actual recorded). Never a date carried over from a different stage. DPO Approval has no Actual column at all; RELEASED IN PROD uses Confirmed Deployed Date for both its Expected and Actual Release Date, so it's often blank until someone fills that in.
- Actual Release Date - that stage's own Actual Completion Date, exactly as recorded, genuinely blank if not yet confirmed. Never guessed or backfilled, even when Expected Release Date has a value.
- Status Start Date - chains from the previous stage-row's own Expected Release Date (so it inherits that same Expected-first fallback). The very first stage-row a report has has no Status Start Date, since there's no earlier stage to chain from.
Why DPO Approval and RELEASED IN PROD rows often show blank dates: those two stages don't carry the same kind of confirmed date the earlier stages do. Rather than inventing a plausible-looking date, the app leaves these blank until a real one exists - Fact Table (and the live dashboard) is meant to be honest about what's actually known, not fully populated for its own sake.</t>
  </si>
  <si>
    <t xml:space="preserve">One dashboard customization: the "PO" field actually shows QA Tester</t>
  </si>
  <si>
    <t xml:space="preserve">By specific request, the live dashboard's Fact Table populates its "PO" field from this sheet's QA Tester column, not the real PO column - so the PO name shown in the app's drill-down table, Coming Your Way table, and Stage Progression Gaps table is actually the QA Tester's name. This is a deliberate app-side choice, not a data error: the real PO column here is untouched and still populated normally for everyone's own reference, and any other tool reading this file directly will see the real PO value. Only the dashboard app's own display substitutes QA Tester in that spot.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</si>
</sst>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i/>
      <sz val="10"/>
      <color rgb="FF9C6500"/>
      <name val="Calibri"/>
      <family val="2"/>
      <charset val="1"/>
    </font>
    <font>
      <b/>
      <sz val="10"/>
      <color rgb="FFFFFFFF"/>
      <name val="Calibri"/>
      <family val="2"/>
      <charset val="1"/>
    </font>
    <font>
      <i/>
      <sz val="10"/>
      <color rgb="FF1F4E78"/>
      <name val="Calibri"/>
      <family val="2"/>
      <charset val="1"/>
    </font>
    <font>
      <b/>
      <sz val="11"/>
      <name val="Cambria"/>
      <charset val="1"/>
    </font>
    <font>
      <i/>
      <sz val="9"/>
      <color rgb="FF666666"/>
      <name val="Cambria"/>
      <charset val="1"/>
    </font>
    <font>
      <b/>
      <sz val="10"/>
      <color rgb="FFFFFFFF"/>
      <name val="Calibri"/>
    </font>
    <font>
      <sz val="11"/>
      <name val="Calibri"/>
    </font>
    <font>
      <b/>
      <sz val="11"/>
      <name val="Calibri"/>
    </font>
    <font>
      <i/>
      <sz val="10"/>
      <color rgb="FF666666"/>
      <name val="Calibri"/>
    </font>
    <font>
      <b/>
      <sz val="16"/>
      <color rgb="FF1F4E78"/>
      <name val="Calibri"/>
    </font>
    <font>
      <b/>
      <sz val="12"/>
      <color rgb="FF1F4E78"/>
      <name val="Calibri"/>
    </font>
    <font>
      <b/>
      <sz val="11"/>
      <color rgb="FFFFFFFF"/>
      <name val="Calibri"/>
    </font>
    <font>
      <b/>
      <sz val="17"/>
      <color rgb="FF1F4E78"/>
      <name val="Calibri"/>
    </font>
    <font>
      <i/>
      <sz val="11"/>
      <color rgb="FF666666"/>
      <name val="Calibri"/>
    </font>
    <font>
      <b/>
      <sz val="11"/>
      <name val="Calibri"/>
    </font>
    <font>
      <b/>
      <sz val="12"/>
      <name val="Calibri"/>
    </font>
    <font>
      <sz val="12"/>
      <name val="Calibri"/>
    </font>
  </fonts>
  <fills count="17">
    <fill>
      <patternFill patternType="none"/>
    </fill>
    <fill>
      <patternFill patternType="gray125"/>
    </fill>
    <fill>
      <patternFill patternType="solid">
        <fgColor rgb="FF1F4E78"/>
        <bgColor rgb="FF2E5C8A"/>
      </patternFill>
    </fill>
    <fill>
      <patternFill patternType="solid">
        <fgColor rgb="FFFFF8E1"/>
        <bgColor rgb="FFFFFFFF"/>
      </patternFill>
    </fill>
    <fill>
      <patternFill patternType="solid">
        <fgColor rgb="FF1F4E78"/>
        <bgColor rgb="FF1F4E78"/>
      </patternFill>
    </fill>
    <fill>
      <patternFill patternType="solid">
        <fgColor rgb="FF34495E"/>
        <bgColor rgb="FF34495E"/>
      </patternFill>
    </fill>
    <fill>
      <patternFill patternType="solid">
        <fgColor rgb="FF5D6D7E"/>
        <bgColor rgb="FF5D6D7E"/>
      </patternFill>
    </fill>
    <fill>
      <patternFill patternType="solid">
        <fgColor rgb="FF2874A6"/>
        <bgColor rgb="FF2874A6"/>
      </patternFill>
    </fill>
    <fill>
      <patternFill patternType="solid">
        <fgColor rgb="FF148F77"/>
        <bgColor rgb="FF148F77"/>
      </patternFill>
    </fill>
    <fill>
      <patternFill patternType="solid">
        <fgColor rgb="FFB9770E"/>
        <bgColor rgb="FFB9770E"/>
      </patternFill>
    </fill>
    <fill>
      <patternFill patternType="solid">
        <fgColor rgb="FF6C3483"/>
        <bgColor rgb="FF6C3483"/>
      </patternFill>
    </fill>
    <fill>
      <patternFill patternType="solid">
        <fgColor rgb="FF196F3D"/>
        <bgColor rgb="FF196F3D"/>
      </patternFill>
    </fill>
    <fill>
      <patternFill patternType="solid">
        <fgColor rgb="FF7D6608"/>
        <bgColor rgb="FF7D6608"/>
      </patternFill>
    </fill>
    <fill>
      <patternFill patternType="solid">
        <fgColor rgb="FFA93226"/>
        <bgColor rgb="FFA93226"/>
      </patternFill>
    </fill>
    <fill>
      <patternFill patternType="solid">
        <fgColor rgb="FF884EA0"/>
        <bgColor rgb="FF884EA0"/>
      </patternFill>
    </fill>
    <fill>
      <patternFill patternType="solid">
        <fgColor rgb="FF808080"/>
        <bgColor rgb="FF808080"/>
      </patternFill>
    </fill>
    <fill>
      <patternFill patternType="solid">
        <fgColor rgb="FFFFE699"/>
        <bgColor rgb="FFFFE699"/>
      </patternFill>
    </fill>
  </fills>
  <borders count="1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medium">
        <color rgb="FF34495E"/>
      </left>
      <right/>
      <top/>
      <bottom/>
      <diagonal/>
    </border>
    <border>
      <left style="medium">
        <color rgb="FF5D6D7E"/>
      </left>
      <right/>
      <top/>
      <bottom/>
      <diagonal/>
    </border>
    <border>
      <left style="medium">
        <color rgb="FF2874A6"/>
      </left>
      <right/>
      <top/>
      <bottom/>
      <diagonal/>
    </border>
    <border>
      <left style="medium">
        <color rgb="FF148F77"/>
      </left>
      <right/>
      <top/>
      <bottom/>
      <diagonal/>
    </border>
    <border>
      <left style="medium">
        <color rgb="FFB9770E"/>
      </left>
      <right/>
      <top/>
      <bottom/>
      <diagonal/>
    </border>
    <border>
      <left style="medium">
        <color rgb="FF6C3483"/>
      </left>
      <right/>
      <top/>
      <bottom/>
      <diagonal/>
    </border>
    <border>
      <left style="medium">
        <color rgb="FF196F3D"/>
      </left>
      <right/>
      <top/>
      <bottom/>
      <diagonal/>
    </border>
    <border>
      <left style="medium">
        <color rgb="FF7D6608"/>
      </left>
      <right/>
      <top/>
      <bottom/>
      <diagonal/>
    </border>
    <border>
      <left style="medium">
        <color rgb="FFA93226"/>
      </left>
      <right/>
      <top/>
      <bottom/>
      <diagonal/>
    </border>
    <border>
      <left style="medium">
        <color rgb="FF884EA0"/>
      </left>
      <right/>
      <top/>
      <bottom/>
      <diagonal/>
    </border>
    <border>
      <left style="medium">
        <color rgb="FF1F4E78"/>
      </left>
      <right/>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68">
    <xf numFmtId="0" fontId="0" fillId="0" borderId="0" xfId="0"/>
    <xf numFmtId="0" fontId="0" fillId="0" borderId="0" xfId="0" applyProtection="1">
      <protection locked="0"/>
    </xf>
    <xf numFmtId="0" fontId="2" fillId="2" borderId="1" xfId="0" applyFont="1" applyFill="1" applyBorder="1" applyAlignment="1">
      <alignment vertical="center" wrapText="1"/>
    </xf>
    <xf numFmtId="0" fontId="0" fillId="0" borderId="1" xfId="0" applyBorder="1"/>
    <xf numFmtId="14" fontId="0" fillId="0" borderId="1" xfId="0" applyNumberFormat="1" applyBorder="1"/>
    <xf numFmtId="0" fontId="4" fillId="0" borderId="0" xfId="0" applyFont="1"/>
    <xf numFmtId="0" fontId="5" fillId="0" borderId="0" xfId="0" applyFont="1"/>
    <xf numFmtId="0" fontId="7" fillId="0" borderId="0" xfId="0" applyFont="1"/>
    <xf numFmtId="14" fontId="7" fillId="0" borderId="0" xfId="0" applyNumberFormat="1" applyFont="1"/>
    <xf numFmtId="0" fontId="8" fillId="0" borderId="0" xfId="0" applyFont="1"/>
    <xf numFmtId="0" fontId="6" fillId="4" borderId="0" xfId="0" applyFont="1" applyFill="1"/>
    <xf numFmtId="0" fontId="6" fillId="4" borderId="0" xfId="0" applyFont="1" applyFill="1" applyAlignment="1" applyProtection="1">
      <alignment vertical="center" wrapText="1"/>
      <protection locked="0"/>
    </xf>
    <xf numFmtId="0" fontId="7" fillId="0" borderId="0" xfId="0" applyFont="1" applyProtection="1">
      <protection locked="0"/>
    </xf>
    <xf numFmtId="14" fontId="7" fillId="0" borderId="0" xfId="0" applyNumberFormat="1" applyFont="1" applyProtection="1">
      <protection locked="0"/>
    </xf>
    <xf numFmtId="0" fontId="11" fillId="0" borderId="0" xfId="0" applyFont="1" applyAlignment="1">
      <alignment vertical="top" wrapText="1"/>
    </xf>
    <xf numFmtId="0" fontId="7" fillId="0" borderId="0" xfId="0" applyFont="1" applyAlignment="1">
      <alignment vertical="top" wrapText="1"/>
    </xf>
    <xf numFmtId="0" fontId="9" fillId="0" borderId="0" xfId="0" applyFont="1"/>
    <xf numFmtId="0" fontId="6" fillId="5" borderId="0" xfId="0" applyFont="1" applyFill="1" applyAlignment="1" applyProtection="1">
      <alignment vertical="center" wrapText="1"/>
      <protection locked="0"/>
    </xf>
    <xf numFmtId="0" fontId="6" fillId="6" borderId="0" xfId="0" applyFont="1" applyFill="1" applyAlignment="1" applyProtection="1">
      <alignment vertical="center" wrapText="1"/>
      <protection locked="0"/>
    </xf>
    <xf numFmtId="0" fontId="6" fillId="7" borderId="0" xfId="0" applyFont="1" applyFill="1" applyAlignment="1" applyProtection="1">
      <alignment vertical="center" wrapText="1"/>
      <protection locked="0"/>
    </xf>
    <xf numFmtId="0" fontId="6" fillId="8" borderId="0" xfId="0" applyFont="1" applyFill="1" applyAlignment="1" applyProtection="1">
      <alignment vertical="center" wrapText="1"/>
      <protection locked="0"/>
    </xf>
    <xf numFmtId="0" fontId="6" fillId="9" borderId="0" xfId="0" applyFont="1" applyFill="1" applyAlignment="1" applyProtection="1">
      <alignment vertical="center" wrapText="1"/>
      <protection locked="0"/>
    </xf>
    <xf numFmtId="0" fontId="6" fillId="10" borderId="0" xfId="0" applyFont="1" applyFill="1" applyAlignment="1" applyProtection="1">
      <alignment vertical="center" wrapText="1"/>
      <protection locked="0"/>
    </xf>
    <xf numFmtId="0" fontId="6" fillId="11" borderId="0" xfId="0" applyFont="1" applyFill="1" applyAlignment="1" applyProtection="1">
      <alignment vertical="center" wrapText="1"/>
      <protection locked="0"/>
    </xf>
    <xf numFmtId="0" fontId="6" fillId="12" borderId="0" xfId="0" applyFont="1" applyFill="1" applyAlignment="1" applyProtection="1">
      <alignment vertical="center" wrapText="1"/>
      <protection locked="0"/>
    </xf>
    <xf numFmtId="0" fontId="6" fillId="13" borderId="0" xfId="0" applyFont="1" applyFill="1" applyAlignment="1" applyProtection="1">
      <alignment vertical="center" wrapText="1"/>
      <protection locked="0"/>
    </xf>
    <xf numFmtId="0" fontId="6" fillId="14" borderId="0" xfId="0" applyFont="1" applyFill="1" applyAlignment="1" applyProtection="1">
      <alignment vertical="center" wrapText="1"/>
      <protection locked="0"/>
    </xf>
    <xf numFmtId="0" fontId="6" fillId="15" borderId="0" xfId="0" applyFont="1" applyFill="1" applyAlignment="1" applyProtection="1">
      <alignment vertical="center" wrapText="1"/>
      <protection locked="0"/>
    </xf>
    <xf numFmtId="0" fontId="13" fillId="0" borderId="0" xfId="0" applyFont="1" applyAlignment="1">
      <alignment vertical="top" wrapText="1"/>
    </xf>
    <xf numFmtId="0" fontId="14" fillId="0" borderId="0" xfId="0" applyFont="1" applyAlignment="1">
      <alignment vertical="top" wrapText="1"/>
    </xf>
    <xf numFmtId="0" fontId="12" fillId="7" borderId="0" xfId="0" applyFont="1" applyFill="1" applyAlignment="1">
      <alignment vertical="top" wrapText="1"/>
    </xf>
    <xf numFmtId="0" fontId="6" fillId="5" borderId="3" xfId="0" applyFont="1" applyFill="1" applyBorder="1" applyAlignment="1" applyProtection="1">
      <alignment vertical="center" wrapText="1"/>
      <protection locked="0"/>
    </xf>
    <xf numFmtId="0" fontId="6" fillId="6" borderId="4" xfId="0" applyFont="1" applyFill="1" applyBorder="1" applyAlignment="1" applyProtection="1">
      <alignment vertical="center" wrapText="1"/>
      <protection locked="0"/>
    </xf>
    <xf numFmtId="0" fontId="6" fillId="7" borderId="5" xfId="0" applyFont="1" applyFill="1" applyBorder="1" applyAlignment="1" applyProtection="1">
      <alignment vertical="center" wrapText="1"/>
      <protection locked="0"/>
    </xf>
    <xf numFmtId="0" fontId="6" fillId="8" borderId="6" xfId="0" applyFont="1" applyFill="1" applyBorder="1" applyAlignment="1" applyProtection="1">
      <alignment vertical="center" wrapText="1"/>
      <protection locked="0"/>
    </xf>
    <xf numFmtId="0" fontId="6" fillId="9" borderId="7" xfId="0" applyFont="1" applyFill="1" applyBorder="1" applyAlignment="1" applyProtection="1">
      <alignment vertical="center" wrapText="1"/>
      <protection locked="0"/>
    </xf>
    <xf numFmtId="0" fontId="6" fillId="10" borderId="8" xfId="0" applyFont="1" applyFill="1" applyBorder="1" applyAlignment="1" applyProtection="1">
      <alignment vertical="center" wrapText="1"/>
      <protection locked="0"/>
    </xf>
    <xf numFmtId="0" fontId="6" fillId="11" borderId="9" xfId="0" applyFont="1" applyFill="1" applyBorder="1" applyAlignment="1" applyProtection="1">
      <alignment vertical="center" wrapText="1"/>
      <protection locked="0"/>
    </xf>
    <xf numFmtId="0" fontId="6" fillId="12" borderId="10" xfId="0" applyFont="1" applyFill="1" applyBorder="1" applyAlignment="1" applyProtection="1">
      <alignment vertical="center" wrapText="1"/>
      <protection locked="0"/>
    </xf>
    <xf numFmtId="0" fontId="6" fillId="13" borderId="11" xfId="0" applyFont="1" applyFill="1" applyBorder="1" applyAlignment="1" applyProtection="1">
      <alignment vertical="center" wrapText="1"/>
      <protection locked="0"/>
    </xf>
    <xf numFmtId="0" fontId="6" fillId="14" borderId="12" xfId="0" applyFont="1" applyFill="1" applyBorder="1" applyAlignment="1" applyProtection="1">
      <alignment vertical="center" wrapText="1"/>
      <protection locked="0"/>
    </xf>
    <xf numFmtId="0" fontId="6" fillId="4" borderId="13" xfId="0" applyFont="1" applyFill="1" applyBorder="1" applyAlignment="1" applyProtection="1">
      <alignment vertical="center" wrapText="1"/>
      <protection locked="0"/>
    </xf>
    <xf numFmtId="0" fontId="7" fillId="0" borderId="3" xfId="0" applyFont="1" applyBorder="1" applyProtection="1">
      <protection locked="0"/>
    </xf>
    <xf numFmtId="14" fontId="7" fillId="0" borderId="4" xfId="0" applyNumberFormat="1" applyFont="1" applyBorder="1" applyProtection="1">
      <protection locked="0"/>
    </xf>
    <xf numFmtId="0" fontId="7" fillId="0" borderId="5" xfId="0" applyFont="1" applyBorder="1" applyProtection="1">
      <protection locked="0"/>
    </xf>
    <xf numFmtId="0" fontId="7" fillId="0" borderId="6" xfId="0" applyFont="1" applyBorder="1" applyProtection="1">
      <protection locked="0"/>
    </xf>
    <xf numFmtId="0" fontId="7" fillId="0" borderId="7" xfId="0" applyFont="1" applyBorder="1" applyProtection="1">
      <protection locked="0"/>
    </xf>
    <xf numFmtId="0" fontId="7" fillId="0" borderId="8" xfId="0" applyFont="1" applyBorder="1" applyProtection="1">
      <protection locked="0"/>
    </xf>
    <xf numFmtId="0" fontId="7" fillId="0" borderId="9" xfId="0" applyFont="1" applyBorder="1" applyProtection="1">
      <protection locked="0"/>
    </xf>
    <xf numFmtId="0" fontId="7" fillId="0" borderId="11" xfId="0" applyFont="1" applyBorder="1" applyProtection="1">
      <protection locked="0"/>
    </xf>
    <xf numFmtId="0" fontId="7" fillId="0" borderId="12" xfId="0" applyFont="1" applyBorder="1" applyProtection="1">
      <protection locked="0"/>
    </xf>
    <xf numFmtId="0" fontId="7" fillId="0" borderId="13" xfId="0" applyFont="1" applyBorder="1" applyProtection="1">
      <protection locked="0"/>
    </xf>
    <xf numFmtId="0" fontId="7" fillId="0" borderId="10" xfId="0" applyFont="1" applyBorder="1" applyProtection="1">
      <protection locked="0"/>
    </xf>
    <xf numFmtId="0" fontId="11" fillId="0" borderId="0" xfId="0" applyFont="1"/>
    <xf numFmtId="0" fontId="10" fillId="0" borderId="0" xfId="0" applyFont="1"/>
    <xf numFmtId="0" fontId="15" fillId="0" borderId="0" xfId="0" applyFont="1"/>
    <xf numFmtId="0" fontId="15" fillId="0" borderId="2" xfId="0" applyFont="1" applyBorder="1"/>
    <xf numFmtId="0" fontId="7" fillId="0" borderId="1" xfId="0" applyFont="1" applyBorder="1" applyAlignment="1">
      <alignment vertical="top"/>
    </xf>
    <xf numFmtId="14" fontId="7" fillId="0" borderId="1" xfId="0" applyNumberFormat="1" applyFont="1" applyBorder="1" applyAlignment="1">
      <alignment vertical="top"/>
    </xf>
    <xf numFmtId="0" fontId="17" fillId="0" borderId="2" xfId="0" applyFont="1" applyBorder="1" applyAlignment="1">
      <alignment vertical="center" wrapText="1"/>
    </xf>
    <xf numFmtId="0" fontId="0" fillId="0" borderId="14" xfId="0" applyBorder="1"/>
    <xf numFmtId="0" fontId="0" fillId="0" borderId="15" xfId="0" applyBorder="1"/>
    <xf numFmtId="14" fontId="17" fillId="0" borderId="2" xfId="0" applyNumberFormat="1" applyFont="1" applyBorder="1" applyAlignment="1">
      <alignment vertical="center" wrapText="1"/>
    </xf>
    <xf numFmtId="0" fontId="16" fillId="16" borderId="0" xfId="0" applyFont="1" applyFill="1"/>
    <xf numFmtId="0" fontId="0" fillId="0" borderId="0" xfId="0"/>
    <xf numFmtId="0" fontId="1" fillId="3" borderId="0" xfId="0" applyFont="1" applyFill="1"/>
    <xf numFmtId="0" fontId="3" fillId="3" borderId="0" xfId="0" applyFont="1" applyFill="1"/>
    <xf numFmtId="0" fontId="9" fillId="0" borderId="0" xfId="0" applyFont="1" applyAlignment="1">
      <alignment vertical="center" wrapText="1"/>
    </xf>
  </cellXfs>
  <cellStyles count="1">
    <cellStyle name="Normal" xfId="0" builtinId="0"/>
  </cellStyles>
  <dxfs count="17">
    <dxf>
      <font>
        <b/>
        <color rgb="FF9C0006"/>
      </font>
      <fill>
        <patternFill patternType="solid">
          <fgColor rgb="FFF8CBAD"/>
          <bgColor rgb="FFF8CBAD"/>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6500"/>
      </font>
      <fill>
        <patternFill patternType="solid">
          <fgColor rgb="FFFFE699"/>
          <bgColor rgb="FFFFE699"/>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375623"/>
      </font>
      <fill>
        <patternFill patternType="solid">
          <fgColor rgb="FFC6E0B4"/>
          <bgColor rgb="FFC6E0B4"/>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375623"/>
      </font>
      <fill>
        <patternFill patternType="solid">
          <fgColor rgb="FFC6E0B4"/>
          <bgColor rgb="FFC6E0B4"/>
        </patternFill>
      </fill>
    </dxf>
    <dxf>
      <font>
        <color rgb="FF9C6500"/>
      </font>
      <fill>
        <patternFill patternType="solid">
          <fgColor rgb="FFFFE699"/>
          <bgColor rgb="FFFFE699"/>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6666"/>
      <rgbColor rgb="FFD9D9D9"/>
      <rgbColor rgb="FF555555"/>
      <rgbColor rgb="FF9999FF"/>
      <rgbColor rgb="FF993366"/>
      <rgbColor rgb="FFFFF8E1"/>
      <rgbColor rgb="FFD6EEEE"/>
      <rgbColor rgb="FF5B2C6F"/>
      <rgbColor rgb="FFFF8080"/>
      <rgbColor rgb="FF2E5C8A"/>
      <rgbColor rgb="FFBDD7EE"/>
      <rgbColor rgb="FF000080"/>
      <rgbColor rgb="FFFF00FF"/>
      <rgbColor rgb="FFFFFF00"/>
      <rgbColor rgb="FF00FFFF"/>
      <rgbColor rgb="FF800080"/>
      <rgbColor rgb="FF800000"/>
      <rgbColor rgb="FF008080"/>
      <rgbColor rgb="FF0000FF"/>
      <rgbColor rgb="FF00CCFF"/>
      <rgbColor rgb="FFD9E2F0"/>
      <rgbColor rgb="FFC6E0B4"/>
      <rgbColor rgb="FFFFE699"/>
      <rgbColor rgb="FFE2E2E2"/>
      <rgbColor rgb="FFFF99CC"/>
      <rgbColor rgb="FFE8DCEF"/>
      <rgbColor rgb="FFF8CBAD"/>
      <rgbColor rgb="FF3366FF"/>
      <rgbColor rgb="FF33CCCC"/>
      <rgbColor rgb="FF99CC00"/>
      <rgbColor rgb="FFFFCC00"/>
      <rgbColor rgb="FFFF9900"/>
      <rgbColor rgb="FFFF6600"/>
      <rgbColor rgb="FF666666"/>
      <rgbColor rgb="FF969696"/>
      <rgbColor rgb="FF003366"/>
      <rgbColor rgb="FF339966"/>
      <rgbColor rgb="FF003300"/>
      <rgbColor rgb="FF375623"/>
      <rgbColor rgb="FF993300"/>
      <rgbColor rgb="FF993366"/>
      <rgbColor rgb="FF1F4E78"/>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DeliveryData" displayName="CombinedDeliveryData" ref="A1:AR73">
  <autoFilter ref="A1:AR73" xr:uid="{00000000-0009-0000-0100-000001000000}">
    <filterColumn colId="11">
      <filters>
        <filter val="June"/>
      </filters>
    </filterColumn>
  </autoFilter>
  <tableColumns count="44">
    <tableColumn id="1" xr3:uid="{00000000-0010-0000-0000-000001000000}" name="Domain"/>
    <tableColumn id="2" xr3:uid="{00000000-0010-0000-0000-000002000000}" name="Report Name"/>
    <tableColumn id="3" xr3:uid="{00000000-0010-0000-0000-000003000000}" name="Current Status"/>
    <tableColumn id="4" xr3:uid="{00000000-0010-0000-0000-000004000000}" name="Status Flag"/>
    <tableColumn id="5" xr3:uid="{00000000-0010-0000-0000-000005000000}" name="Business Value Rank"/>
    <tableColumn id="6" xr3:uid="{00000000-0010-0000-0000-000006000000}" name="PO"/>
    <tableColumn id="7" xr3:uid="{00000000-0010-0000-0000-000007000000}" name="DB Developer"/>
    <tableColumn id="8" xr3:uid="{00000000-0010-0000-0000-000008000000}" name="PBI Developer"/>
    <tableColumn id="9" xr3:uid="{00000000-0010-0000-0000-000009000000}" name="QA Tester"/>
    <tableColumn id="10" xr3:uid="{00000000-0010-0000-0000-00000A000000}" name="Schema"/>
    <tableColumn id="11" xr3:uid="{00000000-0010-0000-0000-00000B000000}" name="Plan Delivery Date"/>
    <tableColumn id="12" xr3:uid="{00000000-0010-0000-0000-00000C000000}" name="Plan Delivery Month"/>
    <tableColumn id="13" xr3:uid="{00000000-0010-0000-0000-00000D000000}" name="DB Dev Status Assigned Date"/>
    <tableColumn id="14" xr3:uid="{00000000-0010-0000-0000-00000E000000}" name="DB Dev Expected Completion Date"/>
    <tableColumn id="15" xr3:uid="{00000000-0010-0000-0000-00000F000000}" name="DB Dev Estimated Completion Date"/>
    <tableColumn id="16" xr3:uid="{00000000-0010-0000-0000-000010000000}" name="DB Dev Actual Completion Date"/>
    <tableColumn id="17" xr3:uid="{00000000-0010-0000-0000-000011000000}" name="PBI Dev Status Assigned Date"/>
    <tableColumn id="18" xr3:uid="{00000000-0010-0000-0000-000012000000}" name="PBI Dev Expected Completion Date"/>
    <tableColumn id="19" xr3:uid="{00000000-0010-0000-0000-000013000000}" name="PBI Dev Estimated Completion Date"/>
    <tableColumn id="20" xr3:uid="{00000000-0010-0000-0000-000014000000}" name="PBI Dev Actual Completion Date"/>
    <tableColumn id="21" xr3:uid="{00000000-0010-0000-0000-000015000000}" name="QA Status Assigned Date"/>
    <tableColumn id="22" xr3:uid="{00000000-0010-0000-0000-000016000000}" name="QA Expected Completion Date"/>
    <tableColumn id="23" xr3:uid="{00000000-0010-0000-0000-000017000000}" name="QA Estimated Completion Date"/>
    <tableColumn id="24" xr3:uid="{00000000-0010-0000-0000-000018000000}" name="QA Actual Completion Date"/>
    <tableColumn id="25" xr3:uid="{00000000-0010-0000-0000-000019000000}" name="DPO Approval Status Assigned Date"/>
    <tableColumn id="26" xr3:uid="{00000000-0010-0000-0000-00001A000000}" name="DPO Approval Expected Completion Date"/>
    <tableColumn id="27" xr3:uid="{00000000-0010-0000-0000-00001B000000}" name="DPO Approval Reviewer"/>
    <tableColumn id="28" xr3:uid="{00000000-0010-0000-0000-00001C000000}" name="Confirmed Deployed?"/>
    <tableColumn id="29" xr3:uid="{00000000-0010-0000-0000-00001D000000}" name="Confirmed Deployed Date"/>
    <tableColumn id="30" xr3:uid="{00000000-0010-0000-0000-00001E000000}" name="UAT Report URL"/>
    <tableColumn id="31" xr3:uid="{00000000-0010-0000-0000-00001F000000}" name="Production URL"/>
    <tableColumn id="32" xr3:uid="{00000000-0010-0000-0000-000020000000}" name="Blocked?"/>
    <tableColumn id="33" xr3:uid="{00000000-0010-0000-0000-000021000000}" name="Blocked - Needs Return To"/>
    <tableColumn id="34" xr3:uid="{00000000-0010-0000-0000-000022000000}" name="Blocked At"/>
    <tableColumn id="35" xr3:uid="{00000000-0010-0000-0000-000023000000}" name="Rework Count"/>
    <tableColumn id="36" xr3:uid="{00000000-0010-0000-0000-000024000000}" name="Last Sent Back From"/>
    <tableColumn id="37" xr3:uid="{00000000-0010-0000-0000-000025000000}" name="Rework Est. Fix Date"/>
    <tableColumn id="38" xr3:uid="{00000000-0010-0000-0000-000026000000}" name="Last Defect/Jira Ticket"/>
    <tableColumn id="39" xr3:uid="{00000000-0010-0000-0000-000027000000}" name="Furthest Stage Reached"/>
    <tableColumn id="40" xr3:uid="{00000000-0010-0000-0000-000028000000}" name="Auto Rework Alert"/>
    <tableColumn id="41" xr3:uid="{00000000-0010-0000-0000-000029000000}" name="Chronology Check"/>
    <tableColumn id="42" xr3:uid="{00000000-0010-0000-0000-00002A000000}" name="Duplicate Name Check"/>
    <tableColumn id="43" xr3:uid="{00000000-0010-0000-0000-00002B000000}" name="Comments"/>
    <tableColumn id="44" xr3:uid="{00000000-0010-0000-0000-00002C000000}" name="_Last Rework Row"/>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
  <sheetViews>
    <sheetView showGridLines="0" workbookViewId="0"/>
  </sheetViews>
  <sheetFormatPr defaultRowHeight="15" x14ac:dyDescent="0.25"/>
  <cols>
    <col min="1" max="1" width="112" customWidth="1"/>
  </cols>
  <sheetData>
    <row r="1" spans="1:1" ht="22.5" x14ac:dyDescent="0.25">
      <c r="A1" s="28" t="s">
        <v>0</v>
      </c>
    </row>
    <row r="2" spans="1:1" ht="27.95" customHeight="1" x14ac:dyDescent="0.25">
      <c r="A2" s="29" t="s">
        <v>1</v>
      </c>
    </row>
    <row r="4" spans="1:1" ht="20.100000000000001" customHeight="1" x14ac:dyDescent="0.25">
      <c r="A4" s="30" t="s">
        <v>2</v>
      </c>
    </row>
    <row r="5" spans="1:1" ht="65.099999999999994" customHeight="1" x14ac:dyDescent="0.25">
      <c r="A5" s="15" t="s">
        <v>3</v>
      </c>
    </row>
    <row r="7" spans="1:1" ht="15.75" x14ac:dyDescent="0.25">
      <c r="A7" s="14" t="s">
        <v>4</v>
      </c>
    </row>
    <row r="8" spans="1:1" ht="65.099999999999994" customHeight="1" x14ac:dyDescent="0.25">
      <c r="A8" s="15" t="s">
        <v>5</v>
      </c>
    </row>
    <row r="10" spans="1:1" ht="15.75" x14ac:dyDescent="0.25">
      <c r="A10" s="14" t="s">
        <v>6</v>
      </c>
    </row>
    <row r="11" spans="1:1" ht="69.95" customHeight="1" x14ac:dyDescent="0.25">
      <c r="A11" s="15" t="s">
        <v>7</v>
      </c>
    </row>
    <row r="13" spans="1:1" ht="15.75" x14ac:dyDescent="0.25">
      <c r="A13" s="14" t="s">
        <v>8</v>
      </c>
    </row>
    <row r="14" spans="1:1" ht="65.099999999999994" customHeight="1" x14ac:dyDescent="0.25">
      <c r="A14" s="15" t="s">
        <v>9</v>
      </c>
    </row>
    <row r="16" spans="1:1" ht="15" customHeight="1" x14ac:dyDescent="0.25">
      <c r="A16" s="14" t="s">
        <v>10</v>
      </c>
    </row>
    <row r="17" spans="1:1" ht="189.95" customHeight="1" x14ac:dyDescent="0.25">
      <c r="A17" s="15" t="s">
        <v>11</v>
      </c>
    </row>
    <row r="19" spans="1:1" ht="15.75" x14ac:dyDescent="0.25">
      <c r="A19" s="14" t="s">
        <v>12</v>
      </c>
    </row>
    <row r="20" spans="1:1" ht="54.95" customHeight="1" x14ac:dyDescent="0.25">
      <c r="A20" s="15" t="s">
        <v>13</v>
      </c>
    </row>
    <row r="22" spans="1:1" ht="15.75" x14ac:dyDescent="0.25">
      <c r="A22" s="14" t="s">
        <v>14</v>
      </c>
    </row>
    <row r="23" spans="1:1" ht="45" customHeight="1" x14ac:dyDescent="0.25">
      <c r="A23" s="15" t="s">
        <v>15</v>
      </c>
    </row>
    <row r="25" spans="1:1" ht="15.75" x14ac:dyDescent="0.25">
      <c r="A25" s="14" t="s">
        <v>16</v>
      </c>
    </row>
    <row r="26" spans="1:1" ht="80.099999999999994" customHeight="1" x14ac:dyDescent="0.25">
      <c r="A26" s="15" t="s">
        <v>17</v>
      </c>
    </row>
    <row r="27" spans="1:1" ht="15.75" x14ac:dyDescent="0.25">
      <c r="A27" s="53" t="s">
        <v>18</v>
      </c>
    </row>
    <row r="28" spans="1:1" ht="54.95" customHeight="1" x14ac:dyDescent="0.25">
      <c r="A28" s="15" t="s">
        <v>19</v>
      </c>
    </row>
    <row r="29" spans="1:1" ht="84.95" customHeight="1" x14ac:dyDescent="0.25">
      <c r="A29" s="14" t="s">
        <v>20</v>
      </c>
    </row>
    <row r="30" spans="1:1" ht="84.95" customHeight="1" x14ac:dyDescent="0.25">
      <c r="A30" s="15" t="s">
        <v>21</v>
      </c>
    </row>
    <row r="31" spans="1:1" ht="15.75" x14ac:dyDescent="0.25">
      <c r="A31" s="53" t="s">
        <v>22</v>
      </c>
    </row>
    <row r="32" spans="1:1" ht="39.950000000000003" customHeight="1" x14ac:dyDescent="0.25">
      <c r="A32" s="15" t="s">
        <v>23</v>
      </c>
    </row>
    <row r="33" spans="1:1" ht="15.75" x14ac:dyDescent="0.25">
      <c r="A33" s="53" t="s">
        <v>24</v>
      </c>
    </row>
    <row r="34" spans="1:1" ht="45" customHeight="1" x14ac:dyDescent="0.25">
      <c r="A34" s="15" t="s">
        <v>25</v>
      </c>
    </row>
    <row r="35" spans="1:1" ht="15.75" x14ac:dyDescent="0.25">
      <c r="A35" s="53" t="s">
        <v>26</v>
      </c>
    </row>
    <row r="36" spans="1:1" ht="54.95" customHeight="1" x14ac:dyDescent="0.25">
      <c r="A36" s="15" t="s">
        <v>27</v>
      </c>
    </row>
    <row r="38" spans="1:1" ht="15.75" x14ac:dyDescent="0.25">
      <c r="A38" s="14" t="s">
        <v>280</v>
      </c>
    </row>
    <row r="39" spans="1:1" ht="486.2" customHeight="1" x14ac:dyDescent="0.25">
      <c r="A39" s="15" t="s">
        <v>281</v>
      </c>
    </row>
    <row r="41" spans="1:1" ht="15.75" x14ac:dyDescent="0.25">
      <c r="A41" s="14" t="s">
        <v>282</v>
      </c>
    </row>
    <row r="42" spans="1:1" ht="85.8" customHeight="1" x14ac:dyDescent="0.25">
      <c r="A42" s="15" t="s">
        <v>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500"/>
  <sheetViews>
    <sheetView tabSelected="1" workbookViewId="0">
      <pane xSplit="2" ySplit="1" topLeftCell="C21" activePane="bottomRight" state="frozen"/>
      <selection pane="topRight"/>
      <selection pane="bottomLeft"/>
      <selection pane="bottomRight" activeCell="S81" sqref="S81"/>
    </sheetView>
  </sheetViews>
  <sheetFormatPr defaultRowHeight="15" x14ac:dyDescent="0.25"/>
  <cols>
    <col min="1" max="1" width="12" customWidth="1"/>
    <col min="2" max="2" width="38" customWidth="1"/>
    <col min="3" max="3" width="15" customWidth="1"/>
    <col min="4" max="4" width="22" customWidth="1"/>
    <col min="5" max="5" width="10" customWidth="1"/>
    <col min="6" max="6" width="11" customWidth="1"/>
    <col min="7" max="8" width="13" customWidth="1"/>
    <col min="9" max="10" width="11" customWidth="1"/>
    <col min="11" max="11" width="15" hidden="1" customWidth="1"/>
    <col min="12" max="12" width="13" customWidth="1"/>
    <col min="13" max="13" width="16" customWidth="1"/>
    <col min="14" max="14" width="17" customWidth="1"/>
    <col min="15" max="16" width="15" customWidth="1"/>
    <col min="17" max="17" width="16" customWidth="1"/>
    <col min="18" max="18" width="17" customWidth="1"/>
    <col min="19" max="20" width="15" customWidth="1"/>
    <col min="21" max="21" width="16" customWidth="1"/>
    <col min="22" max="22" width="17" customWidth="1"/>
    <col min="23" max="24" width="15" customWidth="1"/>
    <col min="25" max="25" width="18" customWidth="1"/>
    <col min="26" max="26" width="19" customWidth="1"/>
    <col min="27" max="27" width="16" customWidth="1"/>
    <col min="28" max="28" width="13" customWidth="1"/>
    <col min="29" max="29" width="15" customWidth="1"/>
    <col min="30" max="31" width="13" customWidth="1"/>
    <col min="32" max="32" width="10" customWidth="1"/>
    <col min="33" max="33" width="20" customWidth="1"/>
    <col min="34" max="34" width="22" customWidth="1"/>
    <col min="35" max="35" width="11" customWidth="1"/>
    <col min="36" max="36" width="16" customWidth="1"/>
    <col min="37" max="37" width="14" customWidth="1"/>
    <col min="38" max="38" width="16" customWidth="1"/>
    <col min="39" max="39" width="17" customWidth="1"/>
    <col min="40" max="40" width="30" customWidth="1"/>
    <col min="41" max="41" width="28" customWidth="1"/>
    <col min="42" max="42" width="20" customWidth="1"/>
    <col min="43" max="43" width="42" customWidth="1"/>
    <col min="44" max="44" width="10" hidden="1" customWidth="1"/>
  </cols>
  <sheetData>
    <row r="1" spans="1:44" ht="32.1" customHeight="1" x14ac:dyDescent="0.25">
      <c r="A1" s="11" t="s">
        <v>28</v>
      </c>
      <c r="B1" s="11" t="s">
        <v>29</v>
      </c>
      <c r="C1" s="11" t="s">
        <v>30</v>
      </c>
      <c r="D1" s="11" t="s">
        <v>31</v>
      </c>
      <c r="E1" s="11" t="s">
        <v>32</v>
      </c>
      <c r="F1" s="31" t="s">
        <v>33</v>
      </c>
      <c r="G1" s="17" t="s">
        <v>34</v>
      </c>
      <c r="H1" s="17" t="s">
        <v>35</v>
      </c>
      <c r="I1" s="17" t="s">
        <v>36</v>
      </c>
      <c r="J1" s="17" t="s">
        <v>37</v>
      </c>
      <c r="K1" s="32" t="s">
        <v>38</v>
      </c>
      <c r="L1" s="18" t="s">
        <v>39</v>
      </c>
      <c r="M1" s="33" t="s">
        <v>40</v>
      </c>
      <c r="N1" s="19" t="s">
        <v>41</v>
      </c>
      <c r="O1" s="19" t="s">
        <v>42</v>
      </c>
      <c r="P1" s="19" t="s">
        <v>43</v>
      </c>
      <c r="Q1" s="34" t="s">
        <v>44</v>
      </c>
      <c r="R1" s="20" t="s">
        <v>45</v>
      </c>
      <c r="S1" s="20" t="s">
        <v>46</v>
      </c>
      <c r="T1" s="20" t="s">
        <v>47</v>
      </c>
      <c r="U1" s="35" t="s">
        <v>48</v>
      </c>
      <c r="V1" s="21" t="s">
        <v>49</v>
      </c>
      <c r="W1" s="21" t="s">
        <v>50</v>
      </c>
      <c r="X1" s="21" t="s">
        <v>51</v>
      </c>
      <c r="Y1" s="36" t="s">
        <v>52</v>
      </c>
      <c r="Z1" s="22" t="s">
        <v>53</v>
      </c>
      <c r="AA1" s="22" t="s">
        <v>54</v>
      </c>
      <c r="AB1" s="37" t="s">
        <v>55</v>
      </c>
      <c r="AC1" s="23" t="s">
        <v>56</v>
      </c>
      <c r="AD1" s="38" t="s">
        <v>57</v>
      </c>
      <c r="AE1" s="24" t="s">
        <v>58</v>
      </c>
      <c r="AF1" s="39" t="s">
        <v>59</v>
      </c>
      <c r="AG1" s="25" t="s">
        <v>60</v>
      </c>
      <c r="AH1" s="25" t="s">
        <v>61</v>
      </c>
      <c r="AI1" s="25" t="s">
        <v>62</v>
      </c>
      <c r="AJ1" s="25" t="s">
        <v>63</v>
      </c>
      <c r="AK1" s="25" t="s">
        <v>64</v>
      </c>
      <c r="AL1" s="25" t="s">
        <v>65</v>
      </c>
      <c r="AM1" s="40" t="s">
        <v>66</v>
      </c>
      <c r="AN1" s="26" t="s">
        <v>67</v>
      </c>
      <c r="AO1" s="26" t="s">
        <v>68</v>
      </c>
      <c r="AP1" s="26" t="s">
        <v>69</v>
      </c>
      <c r="AQ1" s="41" t="s">
        <v>70</v>
      </c>
      <c r="AR1" s="27" t="s">
        <v>71</v>
      </c>
    </row>
    <row r="2" spans="1:44" hidden="1" x14ac:dyDescent="0.25">
      <c r="A2" s="12" t="s">
        <v>72</v>
      </c>
      <c r="B2" s="12" t="s">
        <v>73</v>
      </c>
      <c r="C2" s="12" t="s">
        <v>74</v>
      </c>
      <c r="D2" s="12" t="str">
        <f t="shared" ref="D2:D65" ca="1" si="0">IF($B2="","",IF(C2="NOT STARTED",IF(K2="","No plan date set",IF(K2&lt;TODAY(),"Review - planned start passed","On track")),IF(C2="DB Dev",IF(N2="","No target set",IF(AND(N2&lt;TODAY(),P2=""),"Overdue","On track")),IF(C2="PBI Dev",IF(R2="","No target set",IF(AND(R2&lt;TODAY(),T2=""),"Overdue","On track")),IF(C2="QA",IF(V2="","No target set",IF(AND(V2&lt;TODAY(),X2=""),"Overdue","On track")),IF(C2="DPO Approval",IF(Z2="","No target set",IF(Z2&lt;TODAY(),"Overdue","On track")),IF(C2="RELEASED IN PROD","Delivered","")))))))</f>
        <v>Delivered</v>
      </c>
      <c r="E2" s="12">
        <v>1</v>
      </c>
      <c r="F2" s="42"/>
      <c r="G2" s="12" t="s">
        <v>75</v>
      </c>
      <c r="H2" s="12" t="s">
        <v>76</v>
      </c>
      <c r="I2" s="12" t="s">
        <v>77</v>
      </c>
      <c r="J2" s="12"/>
      <c r="K2" s="43">
        <v>46142</v>
      </c>
      <c r="L2" s="12" t="s">
        <v>78</v>
      </c>
      <c r="M2" s="44"/>
      <c r="N2" s="13"/>
      <c r="O2" s="12"/>
      <c r="P2" s="13">
        <v>46115</v>
      </c>
      <c r="Q2" s="45"/>
      <c r="R2" s="13"/>
      <c r="S2" s="12"/>
      <c r="T2" s="13">
        <v>46114</v>
      </c>
      <c r="U2" s="46"/>
      <c r="V2" s="13"/>
      <c r="W2" s="12"/>
      <c r="X2" s="13">
        <v>46122</v>
      </c>
      <c r="Y2" s="47"/>
      <c r="Z2" s="12"/>
      <c r="AA2" s="12" t="s">
        <v>79</v>
      </c>
      <c r="AB2" s="48" t="s">
        <v>80</v>
      </c>
      <c r="AC2" s="12"/>
      <c r="AD2" s="52" t="s">
        <v>81</v>
      </c>
      <c r="AE2" s="12" t="s">
        <v>82</v>
      </c>
      <c r="AF2" s="49" t="s">
        <v>83</v>
      </c>
      <c r="AG2" s="1"/>
      <c r="AH2" s="12" t="str">
        <f t="shared" ref="AH2:AH65" si="1">IF($AF2="Yes",IF($AG2&lt;&gt;"","Blocked - needs "&amp;$AG2&amp;" to fix","Blocked at "&amp;$C2),"")</f>
        <v/>
      </c>
      <c r="AI2" s="12">
        <f>IF($B2="","",COUNTIF('Rework Log'!$A$3:$A$500,$B2))</f>
        <v>0</v>
      </c>
      <c r="AJ2" s="12" t="str">
        <f>IF(OR($B2="",$AR2=0),"",INDEX('Rework Log'!$C:$C,$AR2))</f>
        <v/>
      </c>
      <c r="AK2" s="13" t="str">
        <f>IF(OR($B2="",$AR2=0),"",INDEX('Rework Log'!$H:$H,$AR2))</f>
        <v/>
      </c>
      <c r="AL2" s="12" t="str">
        <f>IF(OR($B2="",$AR2=0),"",INDEX('Rework Log'!$G:$G,$AR2))</f>
        <v/>
      </c>
      <c r="AM2" s="50" t="str">
        <f t="shared" ref="AM2:AM65" si="2">IF($B2="","",IF(Z2&lt;&gt;"","DPO Approval",IF(V2&lt;&gt;"","QA",IF(R2&lt;&gt;"","PBI Dev",IF(N2&lt;&gt;"","DB Dev","NOT STARTED")))))</f>
        <v>NOT STARTED</v>
      </c>
      <c r="AN2" s="12" t="str">
        <f t="shared" ref="AN2:AN65" si="3">IF($B2="","",IF(IF($C2="NOT STARTED",0,IF($C2="DB Dev",1,IF($C2="PBI Dev",2,IF($C2="QA",3,IF($C2="DPO Approval",4,IF($C2="RELEASED IN PROD",5,-1))))))&lt;IF($AM2="NOT STARTED",0,IF($AM2="DB Dev",1,IF($AM2="PBI Dev",2,IF($AM2="QA",3,IF($AM2="DPO Approval",4,IF($AM2="RELEASED IN PROD",5,-1)))))),"Yes - was already at "&amp;$AM2&amp;", now back at "&amp;$C2,"No"))</f>
        <v>No</v>
      </c>
      <c r="AO2" s="12" t="str">
        <f t="shared" ref="AO2:AO65" si="4">IF($B2="","",IF(AND(V2&lt;&gt;"",N2&lt;&gt;"",V2&lt;N2),"QA target is before DB Dev target",IF(AND(V2&lt;&gt;"",R2&lt;&gt;"",V2&lt;R2),"QA target is before PBI Dev target",IF(AND(Z2&lt;&gt;"",V2&lt;&gt;"",Z2&lt;V2),"DPO Approval target is before QA target",IF(AND(AC2&lt;&gt;"",Z2&lt;&gt;"",AC2&lt;Z2),"Confirmed Deployed date is before DPO Approval target","")))))</f>
        <v/>
      </c>
      <c r="AP2" s="12" t="str">
        <f t="shared" ref="AP2:AP65" si="5">IF($B2="","",IF(COUNTIF($B$2:$B$500,$B2)&gt;1,"Duplicate name - check row",""))</f>
        <v/>
      </c>
      <c r="AQ2" s="51" t="s">
        <v>84</v>
      </c>
      <c r="AR2" s="12">
        <f>IF($B2="","",SUMPRODUCT(MAX(('Rework Log'!$A$3:$A$500=$B2)*ROW('Rework Log'!$A$3:$A$500))))</f>
        <v>0</v>
      </c>
    </row>
    <row r="3" spans="1:44" hidden="1" x14ac:dyDescent="0.25">
      <c r="A3" s="12" t="s">
        <v>72</v>
      </c>
      <c r="B3" s="12" t="s">
        <v>85</v>
      </c>
      <c r="C3" s="12" t="s">
        <v>74</v>
      </c>
      <c r="D3" s="12" t="str">
        <f t="shared" ca="1" si="0"/>
        <v>Delivered</v>
      </c>
      <c r="E3" s="12">
        <v>2</v>
      </c>
      <c r="F3" s="42"/>
      <c r="G3" s="12" t="s">
        <v>75</v>
      </c>
      <c r="H3" s="12" t="s">
        <v>76</v>
      </c>
      <c r="I3" s="12" t="s">
        <v>77</v>
      </c>
      <c r="J3" s="12"/>
      <c r="K3" s="43">
        <v>46142</v>
      </c>
      <c r="L3" s="12" t="s">
        <v>78</v>
      </c>
      <c r="M3" s="44"/>
      <c r="N3" s="13"/>
      <c r="O3" s="12"/>
      <c r="P3" s="13">
        <v>46115</v>
      </c>
      <c r="Q3" s="45"/>
      <c r="R3" s="13"/>
      <c r="S3" s="12"/>
      <c r="T3" s="13">
        <v>46114</v>
      </c>
      <c r="U3" s="46"/>
      <c r="V3" s="13"/>
      <c r="W3" s="12"/>
      <c r="X3" s="13">
        <v>46122</v>
      </c>
      <c r="Y3" s="47"/>
      <c r="Z3" s="12"/>
      <c r="AA3" s="12" t="s">
        <v>79</v>
      </c>
      <c r="AB3" s="48" t="s">
        <v>80</v>
      </c>
      <c r="AC3" s="12"/>
      <c r="AD3" s="52" t="s">
        <v>86</v>
      </c>
      <c r="AE3" s="12" t="s">
        <v>87</v>
      </c>
      <c r="AF3" s="49" t="s">
        <v>83</v>
      </c>
      <c r="AG3" s="1"/>
      <c r="AH3" s="12" t="str">
        <f t="shared" si="1"/>
        <v/>
      </c>
      <c r="AI3" s="12">
        <f>IF($B3="","",COUNTIF('Rework Log'!$A$3:$A$500,$B3))</f>
        <v>0</v>
      </c>
      <c r="AJ3" s="12" t="str">
        <f>IF(OR($B3="",$AR3=0),"",INDEX('Rework Log'!$C:$C,$AR3))</f>
        <v/>
      </c>
      <c r="AK3" s="13" t="str">
        <f>IF(OR($B3="",$AR3=0),"",INDEX('Rework Log'!$H:$H,$AR3))</f>
        <v/>
      </c>
      <c r="AL3" s="12" t="str">
        <f>IF(OR($B3="",$AR3=0),"",INDEX('Rework Log'!$G:$G,$AR3))</f>
        <v/>
      </c>
      <c r="AM3" s="50" t="str">
        <f t="shared" si="2"/>
        <v>NOT STARTED</v>
      </c>
      <c r="AN3" s="12" t="str">
        <f t="shared" si="3"/>
        <v>No</v>
      </c>
      <c r="AO3" s="12" t="str">
        <f t="shared" si="4"/>
        <v/>
      </c>
      <c r="AP3" s="12" t="str">
        <f t="shared" si="5"/>
        <v/>
      </c>
      <c r="AQ3" s="51" t="s">
        <v>84</v>
      </c>
      <c r="AR3" s="12">
        <f>IF($B3="","",SUMPRODUCT(MAX(('Rework Log'!$A$3:$A$500=$B3)*ROW('Rework Log'!$A$3:$A$500))))</f>
        <v>0</v>
      </c>
    </row>
    <row r="4" spans="1:44" hidden="1" x14ac:dyDescent="0.25">
      <c r="A4" s="12" t="s">
        <v>72</v>
      </c>
      <c r="B4" s="12" t="s">
        <v>88</v>
      </c>
      <c r="C4" s="12" t="s">
        <v>74</v>
      </c>
      <c r="D4" s="12" t="str">
        <f t="shared" ca="1" si="0"/>
        <v>Delivered</v>
      </c>
      <c r="E4" s="12">
        <v>4</v>
      </c>
      <c r="F4" s="42"/>
      <c r="G4" s="12" t="s">
        <v>89</v>
      </c>
      <c r="H4" s="12" t="s">
        <v>76</v>
      </c>
      <c r="I4" s="12" t="s">
        <v>77</v>
      </c>
      <c r="J4" s="12"/>
      <c r="K4" s="43">
        <v>46142</v>
      </c>
      <c r="L4" s="12" t="s">
        <v>78</v>
      </c>
      <c r="M4" s="44"/>
      <c r="N4" s="13"/>
      <c r="O4" s="12"/>
      <c r="P4" s="13">
        <v>46115</v>
      </c>
      <c r="Q4" s="45"/>
      <c r="R4" s="13"/>
      <c r="S4" s="12"/>
      <c r="T4" s="13">
        <v>46120</v>
      </c>
      <c r="U4" s="46"/>
      <c r="V4" s="13"/>
      <c r="W4" s="12"/>
      <c r="X4" s="13">
        <v>46122</v>
      </c>
      <c r="Y4" s="47"/>
      <c r="Z4" s="12"/>
      <c r="AA4" s="12" t="s">
        <v>79</v>
      </c>
      <c r="AB4" s="48"/>
      <c r="AC4" s="12"/>
      <c r="AD4" s="52"/>
      <c r="AE4" s="12"/>
      <c r="AF4" s="49" t="s">
        <v>83</v>
      </c>
      <c r="AG4" s="1"/>
      <c r="AH4" s="12" t="str">
        <f t="shared" si="1"/>
        <v/>
      </c>
      <c r="AI4" s="12">
        <f>IF($B4="","",COUNTIF('Rework Log'!$A$3:$A$500,$B4))</f>
        <v>0</v>
      </c>
      <c r="AJ4" s="12" t="str">
        <f>IF(OR($B4="",$AR4=0),"",INDEX('Rework Log'!$C:$C,$AR4))</f>
        <v/>
      </c>
      <c r="AK4" s="13" t="str">
        <f>IF(OR($B4="",$AR4=0),"",INDEX('Rework Log'!$H:$H,$AR4))</f>
        <v/>
      </c>
      <c r="AL4" s="12" t="str">
        <f>IF(OR($B4="",$AR4=0),"",INDEX('Rework Log'!$G:$G,$AR4))</f>
        <v/>
      </c>
      <c r="AM4" s="50" t="str">
        <f t="shared" si="2"/>
        <v>NOT STARTED</v>
      </c>
      <c r="AN4" s="12" t="str">
        <f t="shared" si="3"/>
        <v>No</v>
      </c>
      <c r="AO4" s="12" t="str">
        <f t="shared" si="4"/>
        <v/>
      </c>
      <c r="AP4" s="12" t="str">
        <f t="shared" si="5"/>
        <v/>
      </c>
      <c r="AQ4" s="51"/>
      <c r="AR4" s="12">
        <f>IF($B4="","",SUMPRODUCT(MAX(('Rework Log'!$A$3:$A$500=$B4)*ROW('Rework Log'!$A$3:$A$500))))</f>
        <v>0</v>
      </c>
    </row>
    <row r="5" spans="1:44" hidden="1" x14ac:dyDescent="0.25">
      <c r="A5" s="12" t="s">
        <v>72</v>
      </c>
      <c r="B5" s="12" t="s">
        <v>90</v>
      </c>
      <c r="C5" s="12" t="s">
        <v>74</v>
      </c>
      <c r="D5" s="12" t="str">
        <f t="shared" ca="1" si="0"/>
        <v>Delivered</v>
      </c>
      <c r="E5" s="12">
        <v>5</v>
      </c>
      <c r="F5" s="42"/>
      <c r="G5" s="12" t="s">
        <v>91</v>
      </c>
      <c r="H5" s="12" t="s">
        <v>92</v>
      </c>
      <c r="I5" s="12" t="s">
        <v>77</v>
      </c>
      <c r="J5" s="12"/>
      <c r="K5" s="43">
        <v>46142</v>
      </c>
      <c r="L5" s="12" t="s">
        <v>78</v>
      </c>
      <c r="M5" s="44"/>
      <c r="N5" s="13"/>
      <c r="O5" s="12"/>
      <c r="P5" s="13">
        <v>46115</v>
      </c>
      <c r="Q5" s="45"/>
      <c r="R5" s="13"/>
      <c r="S5" s="12"/>
      <c r="T5" s="13">
        <v>46126</v>
      </c>
      <c r="U5" s="46"/>
      <c r="V5" s="13"/>
      <c r="W5" s="12"/>
      <c r="X5" s="13">
        <v>46122</v>
      </c>
      <c r="Y5" s="47"/>
      <c r="Z5" s="12"/>
      <c r="AA5" s="12" t="s">
        <v>79</v>
      </c>
      <c r="AB5" s="48" t="s">
        <v>80</v>
      </c>
      <c r="AC5" s="12"/>
      <c r="AD5" s="52" t="s">
        <v>93</v>
      </c>
      <c r="AE5" s="12" t="s">
        <v>94</v>
      </c>
      <c r="AF5" s="49" t="s">
        <v>83</v>
      </c>
      <c r="AG5" s="1"/>
      <c r="AH5" s="12" t="str">
        <f t="shared" si="1"/>
        <v/>
      </c>
      <c r="AI5" s="12">
        <f>IF($B5="","",COUNTIF('Rework Log'!$A$3:$A$500,$B5))</f>
        <v>0</v>
      </c>
      <c r="AJ5" s="12" t="str">
        <f>IF(OR($B5="",$AR5=0),"",INDEX('Rework Log'!$C:$C,$AR5))</f>
        <v/>
      </c>
      <c r="AK5" s="13" t="str">
        <f>IF(OR($B5="",$AR5=0),"",INDEX('Rework Log'!$H:$H,$AR5))</f>
        <v/>
      </c>
      <c r="AL5" s="12" t="str">
        <f>IF(OR($B5="",$AR5=0),"",INDEX('Rework Log'!$G:$G,$AR5))</f>
        <v/>
      </c>
      <c r="AM5" s="50" t="str">
        <f t="shared" si="2"/>
        <v>NOT STARTED</v>
      </c>
      <c r="AN5" s="12" t="str">
        <f t="shared" si="3"/>
        <v>No</v>
      </c>
      <c r="AO5" s="12" t="str">
        <f t="shared" si="4"/>
        <v/>
      </c>
      <c r="AP5" s="12" t="str">
        <f t="shared" si="5"/>
        <v/>
      </c>
      <c r="AQ5" s="51" t="s">
        <v>95</v>
      </c>
      <c r="AR5" s="12">
        <f>IF($B5="","",SUMPRODUCT(MAX(('Rework Log'!$A$3:$A$500=$B5)*ROW('Rework Log'!$A$3:$A$500))))</f>
        <v>0</v>
      </c>
    </row>
    <row r="6" spans="1:44" hidden="1" x14ac:dyDescent="0.25">
      <c r="A6" s="12" t="s">
        <v>72</v>
      </c>
      <c r="B6" s="12" t="s">
        <v>96</v>
      </c>
      <c r="C6" s="12" t="s">
        <v>74</v>
      </c>
      <c r="D6" s="12" t="str">
        <f t="shared" ca="1" si="0"/>
        <v>Delivered</v>
      </c>
      <c r="E6" s="12">
        <v>3</v>
      </c>
      <c r="F6" s="42"/>
      <c r="G6" s="12" t="s">
        <v>89</v>
      </c>
      <c r="H6" s="12" t="s">
        <v>76</v>
      </c>
      <c r="I6" s="12" t="s">
        <v>77</v>
      </c>
      <c r="J6" s="12"/>
      <c r="K6" s="43">
        <v>46142</v>
      </c>
      <c r="L6" s="12" t="s">
        <v>78</v>
      </c>
      <c r="M6" s="44"/>
      <c r="N6" s="13"/>
      <c r="O6" s="12"/>
      <c r="P6" s="13">
        <v>46115</v>
      </c>
      <c r="Q6" s="45"/>
      <c r="R6" s="13"/>
      <c r="S6" s="12"/>
      <c r="T6" s="13">
        <v>46120</v>
      </c>
      <c r="U6" s="46"/>
      <c r="V6" s="13"/>
      <c r="W6" s="12"/>
      <c r="X6" s="13">
        <v>46122</v>
      </c>
      <c r="Y6" s="47"/>
      <c r="Z6" s="12"/>
      <c r="AA6" s="12" t="s">
        <v>79</v>
      </c>
      <c r="AB6" s="48" t="s">
        <v>80</v>
      </c>
      <c r="AC6" s="12"/>
      <c r="AD6" s="52" t="s">
        <v>97</v>
      </c>
      <c r="AE6" s="12" t="s">
        <v>98</v>
      </c>
      <c r="AF6" s="49" t="s">
        <v>83</v>
      </c>
      <c r="AG6" s="1"/>
      <c r="AH6" s="12" t="str">
        <f t="shared" si="1"/>
        <v/>
      </c>
      <c r="AI6" s="12">
        <f>IF($B6="","",COUNTIF('Rework Log'!$A$3:$A$500,$B6))</f>
        <v>0</v>
      </c>
      <c r="AJ6" s="12" t="str">
        <f>IF(OR($B6="",$AR6=0),"",INDEX('Rework Log'!$C:$C,$AR6))</f>
        <v/>
      </c>
      <c r="AK6" s="13" t="str">
        <f>IF(OR($B6="",$AR6=0),"",INDEX('Rework Log'!$H:$H,$AR6))</f>
        <v/>
      </c>
      <c r="AL6" s="12" t="str">
        <f>IF(OR($B6="",$AR6=0),"",INDEX('Rework Log'!$G:$G,$AR6))</f>
        <v/>
      </c>
      <c r="AM6" s="50" t="str">
        <f t="shared" si="2"/>
        <v>NOT STARTED</v>
      </c>
      <c r="AN6" s="12" t="str">
        <f t="shared" si="3"/>
        <v>No</v>
      </c>
      <c r="AO6" s="12" t="str">
        <f t="shared" si="4"/>
        <v/>
      </c>
      <c r="AP6" s="12" t="str">
        <f t="shared" si="5"/>
        <v/>
      </c>
      <c r="AQ6" s="51" t="s">
        <v>99</v>
      </c>
      <c r="AR6" s="12">
        <f>IF($B6="","",SUMPRODUCT(MAX(('Rework Log'!$A$3:$A$500=$B6)*ROW('Rework Log'!$A$3:$A$500))))</f>
        <v>0</v>
      </c>
    </row>
    <row r="7" spans="1:44" hidden="1" x14ac:dyDescent="0.25">
      <c r="A7" s="12" t="s">
        <v>72</v>
      </c>
      <c r="B7" s="12" t="s">
        <v>100</v>
      </c>
      <c r="C7" s="12" t="s">
        <v>74</v>
      </c>
      <c r="D7" s="12" t="str">
        <f t="shared" ca="1" si="0"/>
        <v>Delivered</v>
      </c>
      <c r="E7" s="12">
        <v>6</v>
      </c>
      <c r="F7" s="42"/>
      <c r="G7" s="12" t="s">
        <v>101</v>
      </c>
      <c r="H7" s="12" t="s">
        <v>92</v>
      </c>
      <c r="I7" s="12" t="s">
        <v>77</v>
      </c>
      <c r="J7" s="12"/>
      <c r="K7" s="43">
        <v>46142</v>
      </c>
      <c r="L7" s="12" t="s">
        <v>78</v>
      </c>
      <c r="M7" s="44"/>
      <c r="N7" s="13"/>
      <c r="O7" s="12"/>
      <c r="P7" s="13">
        <v>46115</v>
      </c>
      <c r="Q7" s="45"/>
      <c r="R7" s="13"/>
      <c r="S7" s="12"/>
      <c r="T7" s="13">
        <v>46126</v>
      </c>
      <c r="U7" s="46"/>
      <c r="V7" s="13"/>
      <c r="W7" s="12"/>
      <c r="X7" s="13">
        <v>46122</v>
      </c>
      <c r="Y7" s="47"/>
      <c r="Z7" s="12"/>
      <c r="AA7" s="12" t="s">
        <v>79</v>
      </c>
      <c r="AB7" s="48" t="s">
        <v>80</v>
      </c>
      <c r="AC7" s="12"/>
      <c r="AD7" s="52" t="s">
        <v>102</v>
      </c>
      <c r="AE7" s="12" t="s">
        <v>103</v>
      </c>
      <c r="AF7" s="49" t="s">
        <v>83</v>
      </c>
      <c r="AG7" s="1"/>
      <c r="AH7" s="12" t="str">
        <f t="shared" si="1"/>
        <v/>
      </c>
      <c r="AI7" s="12">
        <f>IF($B7="","",COUNTIF('Rework Log'!$A$3:$A$500,$B7))</f>
        <v>0</v>
      </c>
      <c r="AJ7" s="12" t="str">
        <f>IF(OR($B7="",$AR7=0),"",INDEX('Rework Log'!$C:$C,$AR7))</f>
        <v/>
      </c>
      <c r="AK7" s="13" t="str">
        <f>IF(OR($B7="",$AR7=0),"",INDEX('Rework Log'!$H:$H,$AR7))</f>
        <v/>
      </c>
      <c r="AL7" s="12" t="str">
        <f>IF(OR($B7="",$AR7=0),"",INDEX('Rework Log'!$G:$G,$AR7))</f>
        <v/>
      </c>
      <c r="AM7" s="50" t="str">
        <f t="shared" si="2"/>
        <v>NOT STARTED</v>
      </c>
      <c r="AN7" s="12" t="str">
        <f t="shared" si="3"/>
        <v>No</v>
      </c>
      <c r="AO7" s="12" t="str">
        <f t="shared" si="4"/>
        <v/>
      </c>
      <c r="AP7" s="12" t="str">
        <f t="shared" si="5"/>
        <v/>
      </c>
      <c r="AQ7" s="51" t="s">
        <v>104</v>
      </c>
      <c r="AR7" s="12">
        <f>IF($B7="","",SUMPRODUCT(MAX(('Rework Log'!$A$3:$A$500=$B7)*ROW('Rework Log'!$A$3:$A$500))))</f>
        <v>0</v>
      </c>
    </row>
    <row r="8" spans="1:44" hidden="1" x14ac:dyDescent="0.25">
      <c r="A8" s="12" t="s">
        <v>72</v>
      </c>
      <c r="B8" s="12" t="s">
        <v>105</v>
      </c>
      <c r="C8" s="12" t="s">
        <v>74</v>
      </c>
      <c r="D8" s="12" t="str">
        <f t="shared" ca="1" si="0"/>
        <v>Delivered</v>
      </c>
      <c r="E8" s="12">
        <v>7</v>
      </c>
      <c r="F8" s="42"/>
      <c r="G8" s="12" t="s">
        <v>89</v>
      </c>
      <c r="H8" s="12" t="s">
        <v>92</v>
      </c>
      <c r="I8" s="12" t="s">
        <v>77</v>
      </c>
      <c r="J8" s="12"/>
      <c r="K8" s="43">
        <v>46142</v>
      </c>
      <c r="L8" s="12" t="s">
        <v>78</v>
      </c>
      <c r="M8" s="44"/>
      <c r="N8" s="13"/>
      <c r="O8" s="12"/>
      <c r="P8" s="13">
        <v>46122</v>
      </c>
      <c r="Q8" s="45"/>
      <c r="R8" s="13"/>
      <c r="S8" s="12"/>
      <c r="T8" s="13">
        <v>46126</v>
      </c>
      <c r="U8" s="46"/>
      <c r="V8" s="13"/>
      <c r="W8" s="12"/>
      <c r="X8" s="13">
        <v>46122</v>
      </c>
      <c r="Y8" s="47"/>
      <c r="Z8" s="12"/>
      <c r="AA8" s="12" t="s">
        <v>79</v>
      </c>
      <c r="AB8" s="48" t="s">
        <v>80</v>
      </c>
      <c r="AC8" s="12"/>
      <c r="AD8" s="52" t="s">
        <v>106</v>
      </c>
      <c r="AE8" s="12" t="s">
        <v>107</v>
      </c>
      <c r="AF8" s="49" t="s">
        <v>83</v>
      </c>
      <c r="AG8" s="1"/>
      <c r="AH8" s="12" t="str">
        <f t="shared" si="1"/>
        <v/>
      </c>
      <c r="AI8" s="12">
        <f>IF($B8="","",COUNTIF('Rework Log'!$A$3:$A$500,$B8))</f>
        <v>0</v>
      </c>
      <c r="AJ8" s="12" t="str">
        <f>IF(OR($B8="",$AR8=0),"",INDEX('Rework Log'!$C:$C,$AR8))</f>
        <v/>
      </c>
      <c r="AK8" s="13" t="str">
        <f>IF(OR($B8="",$AR8=0),"",INDEX('Rework Log'!$H:$H,$AR8))</f>
        <v/>
      </c>
      <c r="AL8" s="12" t="str">
        <f>IF(OR($B8="",$AR8=0),"",INDEX('Rework Log'!$G:$G,$AR8))</f>
        <v/>
      </c>
      <c r="AM8" s="50" t="str">
        <f t="shared" si="2"/>
        <v>NOT STARTED</v>
      </c>
      <c r="AN8" s="12" t="str">
        <f t="shared" si="3"/>
        <v>No</v>
      </c>
      <c r="AO8" s="12" t="str">
        <f t="shared" si="4"/>
        <v/>
      </c>
      <c r="AP8" s="12" t="str">
        <f t="shared" si="5"/>
        <v/>
      </c>
      <c r="AQ8" s="51"/>
      <c r="AR8" s="12">
        <f>IF($B8="","",SUMPRODUCT(MAX(('Rework Log'!$A$3:$A$500=$B8)*ROW('Rework Log'!$A$3:$A$500))))</f>
        <v>0</v>
      </c>
    </row>
    <row r="9" spans="1:44" hidden="1" x14ac:dyDescent="0.25">
      <c r="A9" s="12" t="s">
        <v>72</v>
      </c>
      <c r="B9" s="12" t="s">
        <v>108</v>
      </c>
      <c r="C9" s="12" t="s">
        <v>74</v>
      </c>
      <c r="D9" s="12" t="str">
        <f t="shared" ca="1" si="0"/>
        <v>Delivered</v>
      </c>
      <c r="E9" s="12">
        <v>9</v>
      </c>
      <c r="F9" s="42"/>
      <c r="G9" s="12" t="s">
        <v>109</v>
      </c>
      <c r="H9" s="12" t="s">
        <v>92</v>
      </c>
      <c r="I9" s="12" t="s">
        <v>77</v>
      </c>
      <c r="J9" s="12"/>
      <c r="K9" s="43">
        <v>46142</v>
      </c>
      <c r="L9" s="12" t="s">
        <v>78</v>
      </c>
      <c r="M9" s="44"/>
      <c r="N9" s="13"/>
      <c r="O9" s="12"/>
      <c r="P9" s="13">
        <v>46122</v>
      </c>
      <c r="Q9" s="45"/>
      <c r="R9" s="13"/>
      <c r="S9" s="12"/>
      <c r="T9" s="13">
        <v>46126</v>
      </c>
      <c r="U9" s="46"/>
      <c r="V9" s="13"/>
      <c r="W9" s="12"/>
      <c r="X9" s="13">
        <v>46122</v>
      </c>
      <c r="Y9" s="47"/>
      <c r="Z9" s="12"/>
      <c r="AA9" s="12" t="s">
        <v>79</v>
      </c>
      <c r="AB9" s="48" t="s">
        <v>80</v>
      </c>
      <c r="AC9" s="12"/>
      <c r="AD9" s="52" t="s">
        <v>110</v>
      </c>
      <c r="AE9" s="12" t="s">
        <v>111</v>
      </c>
      <c r="AF9" s="49" t="s">
        <v>83</v>
      </c>
      <c r="AG9" s="1"/>
      <c r="AH9" s="12" t="str">
        <f t="shared" si="1"/>
        <v/>
      </c>
      <c r="AI9" s="12">
        <f>IF($B9="","",COUNTIF('Rework Log'!$A$3:$A$500,$B9))</f>
        <v>0</v>
      </c>
      <c r="AJ9" s="12" t="str">
        <f>IF(OR($B9="",$AR9=0),"",INDEX('Rework Log'!$C:$C,$AR9))</f>
        <v/>
      </c>
      <c r="AK9" s="13" t="str">
        <f>IF(OR($B9="",$AR9=0),"",INDEX('Rework Log'!$H:$H,$AR9))</f>
        <v/>
      </c>
      <c r="AL9" s="12" t="str">
        <f>IF(OR($B9="",$AR9=0),"",INDEX('Rework Log'!$G:$G,$AR9))</f>
        <v/>
      </c>
      <c r="AM9" s="50" t="str">
        <f t="shared" si="2"/>
        <v>NOT STARTED</v>
      </c>
      <c r="AN9" s="12" t="str">
        <f t="shared" si="3"/>
        <v>No</v>
      </c>
      <c r="AO9" s="12" t="str">
        <f t="shared" si="4"/>
        <v/>
      </c>
      <c r="AP9" s="12" t="str">
        <f t="shared" si="5"/>
        <v/>
      </c>
      <c r="AQ9" s="51"/>
      <c r="AR9" s="12">
        <f>IF($B9="","",SUMPRODUCT(MAX(('Rework Log'!$A$3:$A$500=$B9)*ROW('Rework Log'!$A$3:$A$500))))</f>
        <v>0</v>
      </c>
    </row>
    <row r="10" spans="1:44" hidden="1" x14ac:dyDescent="0.25">
      <c r="A10" s="12" t="s">
        <v>72</v>
      </c>
      <c r="B10" s="12" t="s">
        <v>112</v>
      </c>
      <c r="C10" s="12" t="s">
        <v>74</v>
      </c>
      <c r="D10" s="12" t="str">
        <f t="shared" ca="1" si="0"/>
        <v>Delivered</v>
      </c>
      <c r="E10" s="12">
        <v>8</v>
      </c>
      <c r="F10" s="42"/>
      <c r="G10" s="12" t="s">
        <v>91</v>
      </c>
      <c r="H10" s="12" t="s">
        <v>92</v>
      </c>
      <c r="I10" s="12" t="s">
        <v>77</v>
      </c>
      <c r="J10" s="12"/>
      <c r="K10" s="43">
        <v>46142</v>
      </c>
      <c r="L10" s="12" t="s">
        <v>78</v>
      </c>
      <c r="M10" s="44"/>
      <c r="N10" s="13"/>
      <c r="O10" s="12"/>
      <c r="P10" s="13">
        <v>46127</v>
      </c>
      <c r="Q10" s="45"/>
      <c r="R10" s="13"/>
      <c r="S10" s="12"/>
      <c r="T10" s="13">
        <v>46126</v>
      </c>
      <c r="U10" s="46"/>
      <c r="V10" s="13"/>
      <c r="W10" s="12"/>
      <c r="X10" s="13">
        <v>46122</v>
      </c>
      <c r="Y10" s="47"/>
      <c r="Z10" s="12"/>
      <c r="AA10" s="12" t="s">
        <v>79</v>
      </c>
      <c r="AB10" s="48" t="s">
        <v>80</v>
      </c>
      <c r="AC10" s="12"/>
      <c r="AD10" s="52" t="s">
        <v>113</v>
      </c>
      <c r="AE10" s="12" t="s">
        <v>114</v>
      </c>
      <c r="AF10" s="49" t="s">
        <v>83</v>
      </c>
      <c r="AG10" s="1"/>
      <c r="AH10" s="12" t="str">
        <f t="shared" si="1"/>
        <v/>
      </c>
      <c r="AI10" s="12">
        <f>IF($B10="","",COUNTIF('Rework Log'!$A$3:$A$500,$B10))</f>
        <v>0</v>
      </c>
      <c r="AJ10" s="12" t="str">
        <f>IF(OR($B10="",$AR10=0),"",INDEX('Rework Log'!$C:$C,$AR10))</f>
        <v/>
      </c>
      <c r="AK10" s="13" t="str">
        <f>IF(OR($B10="",$AR10=0),"",INDEX('Rework Log'!$H:$H,$AR10))</f>
        <v/>
      </c>
      <c r="AL10" s="12" t="str">
        <f>IF(OR($B10="",$AR10=0),"",INDEX('Rework Log'!$G:$G,$AR10))</f>
        <v/>
      </c>
      <c r="AM10" s="50" t="str">
        <f t="shared" si="2"/>
        <v>NOT STARTED</v>
      </c>
      <c r="AN10" s="12" t="str">
        <f t="shared" si="3"/>
        <v>No</v>
      </c>
      <c r="AO10" s="12" t="str">
        <f t="shared" si="4"/>
        <v/>
      </c>
      <c r="AP10" s="12" t="str">
        <f t="shared" si="5"/>
        <v/>
      </c>
      <c r="AQ10" s="51" t="s">
        <v>115</v>
      </c>
      <c r="AR10" s="12">
        <f>IF($B10="","",SUMPRODUCT(MAX(('Rework Log'!$A$3:$A$500=$B10)*ROW('Rework Log'!$A$3:$A$500))))</f>
        <v>0</v>
      </c>
    </row>
    <row r="11" spans="1:44" hidden="1" x14ac:dyDescent="0.25">
      <c r="A11" s="12" t="s">
        <v>72</v>
      </c>
      <c r="B11" s="12" t="s">
        <v>116</v>
      </c>
      <c r="C11" s="12" t="s">
        <v>74</v>
      </c>
      <c r="D11" s="12" t="str">
        <f t="shared" ca="1" si="0"/>
        <v>Delivered</v>
      </c>
      <c r="E11" s="12">
        <v>10</v>
      </c>
      <c r="F11" s="42"/>
      <c r="G11" s="12" t="s">
        <v>89</v>
      </c>
      <c r="H11" s="12" t="s">
        <v>92</v>
      </c>
      <c r="I11" s="12" t="s">
        <v>117</v>
      </c>
      <c r="J11" s="12"/>
      <c r="K11" s="43">
        <v>46173</v>
      </c>
      <c r="L11" s="12" t="s">
        <v>118</v>
      </c>
      <c r="M11" s="44"/>
      <c r="N11" s="12"/>
      <c r="O11" s="12"/>
      <c r="P11" s="12"/>
      <c r="Q11" s="45"/>
      <c r="R11" s="13"/>
      <c r="S11" s="12"/>
      <c r="T11" s="13">
        <v>46139</v>
      </c>
      <c r="U11" s="46"/>
      <c r="V11" s="13"/>
      <c r="W11" s="12"/>
      <c r="X11" s="13">
        <v>46139</v>
      </c>
      <c r="Y11" s="47"/>
      <c r="Z11" s="12"/>
      <c r="AA11" s="12" t="s">
        <v>79</v>
      </c>
      <c r="AB11" s="48" t="s">
        <v>80</v>
      </c>
      <c r="AC11" s="12"/>
      <c r="AD11" s="52" t="s">
        <v>119</v>
      </c>
      <c r="AE11" s="12" t="s">
        <v>120</v>
      </c>
      <c r="AF11" s="49" t="s">
        <v>83</v>
      </c>
      <c r="AG11" s="1"/>
      <c r="AH11" s="12" t="str">
        <f t="shared" si="1"/>
        <v/>
      </c>
      <c r="AI11" s="12">
        <f>IF($B11="","",COUNTIF('Rework Log'!$A$3:$A$500,$B11))</f>
        <v>0</v>
      </c>
      <c r="AJ11" s="12" t="str">
        <f>IF(OR($B11="",$AR11=0),"",INDEX('Rework Log'!$C:$C,$AR11))</f>
        <v/>
      </c>
      <c r="AK11" s="13" t="str">
        <f>IF(OR($B11="",$AR11=0),"",INDEX('Rework Log'!$H:$H,$AR11))</f>
        <v/>
      </c>
      <c r="AL11" s="12" t="str">
        <f>IF(OR($B11="",$AR11=0),"",INDEX('Rework Log'!$G:$G,$AR11))</f>
        <v/>
      </c>
      <c r="AM11" s="50" t="str">
        <f t="shared" si="2"/>
        <v>NOT STARTED</v>
      </c>
      <c r="AN11" s="12" t="str">
        <f t="shared" si="3"/>
        <v>No</v>
      </c>
      <c r="AO11" s="12" t="str">
        <f t="shared" si="4"/>
        <v/>
      </c>
      <c r="AP11" s="12" t="str">
        <f t="shared" si="5"/>
        <v/>
      </c>
      <c r="AQ11" s="51"/>
      <c r="AR11" s="12">
        <f>IF($B11="","",SUMPRODUCT(MAX(('Rework Log'!$A$3:$A$500=$B11)*ROW('Rework Log'!$A$3:$A$500))))</f>
        <v>0</v>
      </c>
    </row>
    <row r="12" spans="1:44" hidden="1" x14ac:dyDescent="0.25">
      <c r="A12" s="12" t="s">
        <v>72</v>
      </c>
      <c r="B12" s="12" t="s">
        <v>121</v>
      </c>
      <c r="C12" s="12" t="s">
        <v>74</v>
      </c>
      <c r="D12" s="12" t="str">
        <f t="shared" ca="1" si="0"/>
        <v>Delivered</v>
      </c>
      <c r="E12" s="12">
        <v>11</v>
      </c>
      <c r="F12" s="42"/>
      <c r="G12" s="12" t="s">
        <v>89</v>
      </c>
      <c r="H12" s="12" t="s">
        <v>92</v>
      </c>
      <c r="I12" s="12" t="s">
        <v>77</v>
      </c>
      <c r="J12" s="12"/>
      <c r="K12" s="43">
        <v>46173</v>
      </c>
      <c r="L12" s="12" t="s">
        <v>118</v>
      </c>
      <c r="M12" s="44"/>
      <c r="N12" s="12"/>
      <c r="O12" s="12"/>
      <c r="P12" s="12"/>
      <c r="Q12" s="45"/>
      <c r="R12" s="13"/>
      <c r="S12" s="12"/>
      <c r="T12" s="13">
        <v>46141</v>
      </c>
      <c r="U12" s="46"/>
      <c r="V12" s="13"/>
      <c r="W12" s="12"/>
      <c r="X12" s="13">
        <v>46141</v>
      </c>
      <c r="Y12" s="47"/>
      <c r="Z12" s="12"/>
      <c r="AA12" s="12" t="s">
        <v>79</v>
      </c>
      <c r="AB12" s="48" t="s">
        <v>80</v>
      </c>
      <c r="AC12" s="12"/>
      <c r="AD12" s="52" t="s">
        <v>122</v>
      </c>
      <c r="AE12" s="12" t="s">
        <v>123</v>
      </c>
      <c r="AF12" s="49" t="s">
        <v>83</v>
      </c>
      <c r="AG12" s="1"/>
      <c r="AH12" s="12" t="str">
        <f t="shared" si="1"/>
        <v/>
      </c>
      <c r="AI12" s="12">
        <f>IF($B12="","",COUNTIF('Rework Log'!$A$3:$A$500,$B12))</f>
        <v>0</v>
      </c>
      <c r="AJ12" s="12" t="str">
        <f>IF(OR($B12="",$AR12=0),"",INDEX('Rework Log'!$C:$C,$AR12))</f>
        <v/>
      </c>
      <c r="AK12" s="13" t="str">
        <f>IF(OR($B12="",$AR12=0),"",INDEX('Rework Log'!$H:$H,$AR12))</f>
        <v/>
      </c>
      <c r="AL12" s="12" t="str">
        <f>IF(OR($B12="",$AR12=0),"",INDEX('Rework Log'!$G:$G,$AR12))</f>
        <v/>
      </c>
      <c r="AM12" s="50" t="str">
        <f t="shared" si="2"/>
        <v>NOT STARTED</v>
      </c>
      <c r="AN12" s="12" t="str">
        <f t="shared" si="3"/>
        <v>No</v>
      </c>
      <c r="AO12" s="12" t="str">
        <f t="shared" si="4"/>
        <v/>
      </c>
      <c r="AP12" s="12" t="str">
        <f t="shared" si="5"/>
        <v/>
      </c>
      <c r="AQ12" s="51" t="s">
        <v>124</v>
      </c>
      <c r="AR12" s="12">
        <f>IF($B12="","",SUMPRODUCT(MAX(('Rework Log'!$A$3:$A$500=$B12)*ROW('Rework Log'!$A$3:$A$500))))</f>
        <v>0</v>
      </c>
    </row>
    <row r="13" spans="1:44" hidden="1" x14ac:dyDescent="0.25">
      <c r="A13" s="12" t="s">
        <v>72</v>
      </c>
      <c r="B13" s="12" t="s">
        <v>125</v>
      </c>
      <c r="C13" s="12" t="s">
        <v>74</v>
      </c>
      <c r="D13" s="12" t="str">
        <f t="shared" ca="1" si="0"/>
        <v>Delivered</v>
      </c>
      <c r="E13" s="12">
        <v>12</v>
      </c>
      <c r="F13" s="42"/>
      <c r="G13" s="12" t="s">
        <v>89</v>
      </c>
      <c r="H13" s="12" t="s">
        <v>76</v>
      </c>
      <c r="I13" s="12" t="s">
        <v>77</v>
      </c>
      <c r="J13" s="12"/>
      <c r="K13" s="43">
        <v>46173</v>
      </c>
      <c r="L13" s="12" t="s">
        <v>118</v>
      </c>
      <c r="M13" s="44"/>
      <c r="N13" s="12"/>
      <c r="O13" s="12"/>
      <c r="P13" s="12"/>
      <c r="Q13" s="45"/>
      <c r="R13" s="13"/>
      <c r="S13" s="12"/>
      <c r="T13" s="13">
        <v>46161</v>
      </c>
      <c r="U13" s="46"/>
      <c r="V13" s="13"/>
      <c r="W13" s="12"/>
      <c r="X13" s="13">
        <v>46161</v>
      </c>
      <c r="Y13" s="47"/>
      <c r="Z13" s="12"/>
      <c r="AA13" s="12" t="s">
        <v>79</v>
      </c>
      <c r="AB13" s="48" t="s">
        <v>80</v>
      </c>
      <c r="AC13" s="12"/>
      <c r="AD13" s="52" t="s">
        <v>126</v>
      </c>
      <c r="AE13" s="12" t="s">
        <v>127</v>
      </c>
      <c r="AF13" s="49" t="s">
        <v>83</v>
      </c>
      <c r="AG13" s="1"/>
      <c r="AH13" s="12" t="str">
        <f t="shared" si="1"/>
        <v/>
      </c>
      <c r="AI13" s="12">
        <f>IF($B13="","",COUNTIF('Rework Log'!$A$3:$A$500,$B13))</f>
        <v>0</v>
      </c>
      <c r="AJ13" s="12" t="str">
        <f>IF(OR($B13="",$AR13=0),"",INDEX('Rework Log'!$C:$C,$AR13))</f>
        <v/>
      </c>
      <c r="AK13" s="13" t="str">
        <f>IF(OR($B13="",$AR13=0),"",INDEX('Rework Log'!$H:$H,$AR13))</f>
        <v/>
      </c>
      <c r="AL13" s="12" t="str">
        <f>IF(OR($B13="",$AR13=0),"",INDEX('Rework Log'!$G:$G,$AR13))</f>
        <v/>
      </c>
      <c r="AM13" s="50" t="str">
        <f t="shared" si="2"/>
        <v>NOT STARTED</v>
      </c>
      <c r="AN13" s="12" t="str">
        <f t="shared" si="3"/>
        <v>No</v>
      </c>
      <c r="AO13" s="12" t="str">
        <f t="shared" si="4"/>
        <v/>
      </c>
      <c r="AP13" s="12" t="str">
        <f t="shared" si="5"/>
        <v/>
      </c>
      <c r="AQ13" s="51"/>
      <c r="AR13" s="12">
        <f>IF($B13="","",SUMPRODUCT(MAX(('Rework Log'!$A$3:$A$500=$B13)*ROW('Rework Log'!$A$3:$A$500))))</f>
        <v>0</v>
      </c>
    </row>
    <row r="14" spans="1:44" hidden="1" x14ac:dyDescent="0.25">
      <c r="A14" s="12" t="s">
        <v>72</v>
      </c>
      <c r="B14" s="12" t="s">
        <v>128</v>
      </c>
      <c r="C14" s="12" t="s">
        <v>74</v>
      </c>
      <c r="D14" s="12" t="str">
        <f t="shared" ca="1" si="0"/>
        <v>Delivered</v>
      </c>
      <c r="E14" s="12">
        <v>13</v>
      </c>
      <c r="F14" s="42"/>
      <c r="G14" s="12" t="s">
        <v>129</v>
      </c>
      <c r="H14" s="12" t="s">
        <v>76</v>
      </c>
      <c r="I14" s="12" t="s">
        <v>117</v>
      </c>
      <c r="J14" s="12"/>
      <c r="K14" s="43">
        <v>46173</v>
      </c>
      <c r="L14" s="12" t="s">
        <v>118</v>
      </c>
      <c r="M14" s="44"/>
      <c r="N14" s="12"/>
      <c r="O14" s="12"/>
      <c r="P14" s="12"/>
      <c r="Q14" s="45"/>
      <c r="R14" s="13"/>
      <c r="S14" s="12"/>
      <c r="T14" s="13">
        <v>46175</v>
      </c>
      <c r="U14" s="46"/>
      <c r="V14" s="13"/>
      <c r="W14" s="12"/>
      <c r="X14" s="13">
        <v>46175</v>
      </c>
      <c r="Y14" s="47"/>
      <c r="Z14" s="12"/>
      <c r="AA14" s="12" t="s">
        <v>79</v>
      </c>
      <c r="AB14" s="48" t="s">
        <v>80</v>
      </c>
      <c r="AC14" s="13">
        <v>46184</v>
      </c>
      <c r="AD14" s="52"/>
      <c r="AE14" s="12" t="s">
        <v>130</v>
      </c>
      <c r="AF14" s="49" t="s">
        <v>83</v>
      </c>
      <c r="AG14" s="1"/>
      <c r="AH14" s="12" t="str">
        <f t="shared" si="1"/>
        <v/>
      </c>
      <c r="AI14" s="12">
        <f>IF($B14="","",COUNTIF('Rework Log'!$A$3:$A$500,$B14))</f>
        <v>0</v>
      </c>
      <c r="AJ14" s="12" t="str">
        <f>IF(OR($B14="",$AR14=0),"",INDEX('Rework Log'!$C:$C,$AR14))</f>
        <v/>
      </c>
      <c r="AK14" s="13" t="str">
        <f>IF(OR($B14="",$AR14=0),"",INDEX('Rework Log'!$H:$H,$AR14))</f>
        <v/>
      </c>
      <c r="AL14" s="12" t="str">
        <f>IF(OR($B14="",$AR14=0),"",INDEX('Rework Log'!$G:$G,$AR14))</f>
        <v/>
      </c>
      <c r="AM14" s="50" t="str">
        <f t="shared" si="2"/>
        <v>NOT STARTED</v>
      </c>
      <c r="AN14" s="12" t="str">
        <f t="shared" si="3"/>
        <v>No</v>
      </c>
      <c r="AO14" s="12" t="str">
        <f t="shared" si="4"/>
        <v/>
      </c>
      <c r="AP14" s="12" t="str">
        <f t="shared" si="5"/>
        <v/>
      </c>
      <c r="AQ14" s="51"/>
      <c r="AR14" s="12">
        <f>IF($B14="","",SUMPRODUCT(MAX(('Rework Log'!$A$3:$A$500=$B14)*ROW('Rework Log'!$A$3:$A$500))))</f>
        <v>0</v>
      </c>
    </row>
    <row r="15" spans="1:44" hidden="1" x14ac:dyDescent="0.25">
      <c r="A15" s="12" t="s">
        <v>72</v>
      </c>
      <c r="B15" s="12" t="s">
        <v>131</v>
      </c>
      <c r="C15" s="12" t="s">
        <v>74</v>
      </c>
      <c r="D15" s="12" t="str">
        <f t="shared" ca="1" si="0"/>
        <v>Delivered</v>
      </c>
      <c r="E15" s="12">
        <v>14</v>
      </c>
      <c r="F15" s="42"/>
      <c r="G15" s="12" t="s">
        <v>101</v>
      </c>
      <c r="H15" s="12" t="s">
        <v>132</v>
      </c>
      <c r="I15" s="12" t="s">
        <v>77</v>
      </c>
      <c r="J15" s="12"/>
      <c r="K15" s="43">
        <v>46173</v>
      </c>
      <c r="L15" s="12" t="s">
        <v>118</v>
      </c>
      <c r="M15" s="44"/>
      <c r="N15" s="12"/>
      <c r="O15" s="12"/>
      <c r="P15" s="12"/>
      <c r="Q15" s="45"/>
      <c r="R15" s="13"/>
      <c r="S15" s="12"/>
      <c r="T15" s="13">
        <v>46134</v>
      </c>
      <c r="U15" s="46"/>
      <c r="V15" s="13"/>
      <c r="W15" s="12"/>
      <c r="X15" s="13">
        <v>46134</v>
      </c>
      <c r="Y15" s="47"/>
      <c r="Z15" s="12"/>
      <c r="AA15" s="12" t="s">
        <v>79</v>
      </c>
      <c r="AB15" s="48" t="s">
        <v>80</v>
      </c>
      <c r="AC15" s="12"/>
      <c r="AD15" s="52" t="s">
        <v>133</v>
      </c>
      <c r="AE15" s="12" t="s">
        <v>134</v>
      </c>
      <c r="AF15" s="49" t="s">
        <v>83</v>
      </c>
      <c r="AG15" s="1"/>
      <c r="AH15" s="12" t="str">
        <f t="shared" si="1"/>
        <v/>
      </c>
      <c r="AI15" s="12">
        <f>IF($B15="","",COUNTIF('Rework Log'!$A$3:$A$500,$B15))</f>
        <v>0</v>
      </c>
      <c r="AJ15" s="12" t="str">
        <f>IF(OR($B15="",$AR15=0),"",INDEX('Rework Log'!$C:$C,$AR15))</f>
        <v/>
      </c>
      <c r="AK15" s="13" t="str">
        <f>IF(OR($B15="",$AR15=0),"",INDEX('Rework Log'!$H:$H,$AR15))</f>
        <v/>
      </c>
      <c r="AL15" s="12" t="str">
        <f>IF(OR($B15="",$AR15=0),"",INDEX('Rework Log'!$G:$G,$AR15))</f>
        <v/>
      </c>
      <c r="AM15" s="50" t="str">
        <f t="shared" si="2"/>
        <v>NOT STARTED</v>
      </c>
      <c r="AN15" s="12" t="str">
        <f t="shared" si="3"/>
        <v>No</v>
      </c>
      <c r="AO15" s="12" t="str">
        <f t="shared" si="4"/>
        <v/>
      </c>
      <c r="AP15" s="12" t="str">
        <f t="shared" si="5"/>
        <v/>
      </c>
      <c r="AQ15" s="51"/>
      <c r="AR15" s="12">
        <f>IF($B15="","",SUMPRODUCT(MAX(('Rework Log'!$A$3:$A$500=$B15)*ROW('Rework Log'!$A$3:$A$500))))</f>
        <v>0</v>
      </c>
    </row>
    <row r="16" spans="1:44" hidden="1" x14ac:dyDescent="0.25">
      <c r="A16" s="12" t="s">
        <v>72</v>
      </c>
      <c r="B16" s="12" t="s">
        <v>135</v>
      </c>
      <c r="C16" s="12" t="s">
        <v>74</v>
      </c>
      <c r="D16" s="12" t="str">
        <f t="shared" ca="1" si="0"/>
        <v>Delivered</v>
      </c>
      <c r="E16" s="12">
        <v>15</v>
      </c>
      <c r="F16" s="42"/>
      <c r="G16" s="12" t="s">
        <v>91</v>
      </c>
      <c r="H16" s="12" t="s">
        <v>132</v>
      </c>
      <c r="I16" s="12" t="s">
        <v>77</v>
      </c>
      <c r="J16" s="12"/>
      <c r="K16" s="43">
        <v>46173</v>
      </c>
      <c r="L16" s="12" t="s">
        <v>118</v>
      </c>
      <c r="M16" s="44"/>
      <c r="N16" s="12"/>
      <c r="O16" s="12"/>
      <c r="P16" s="12"/>
      <c r="Q16" s="45"/>
      <c r="R16" s="13"/>
      <c r="S16" s="12"/>
      <c r="T16" s="13">
        <v>46139</v>
      </c>
      <c r="U16" s="46"/>
      <c r="V16" s="13"/>
      <c r="W16" s="12"/>
      <c r="X16" s="13">
        <v>46139</v>
      </c>
      <c r="Y16" s="47"/>
      <c r="Z16" s="12"/>
      <c r="AA16" s="12" t="s">
        <v>79</v>
      </c>
      <c r="AB16" s="48" t="s">
        <v>80</v>
      </c>
      <c r="AC16" s="12"/>
      <c r="AD16" s="52" t="s">
        <v>136</v>
      </c>
      <c r="AE16" s="12" t="s">
        <v>137</v>
      </c>
      <c r="AF16" s="49" t="s">
        <v>83</v>
      </c>
      <c r="AG16" s="1"/>
      <c r="AH16" s="12" t="str">
        <f t="shared" si="1"/>
        <v/>
      </c>
      <c r="AI16" s="12">
        <f>IF($B16="","",COUNTIF('Rework Log'!$A$3:$A$500,$B16))</f>
        <v>0</v>
      </c>
      <c r="AJ16" s="12" t="str">
        <f>IF(OR($B16="",$AR16=0),"",INDEX('Rework Log'!$C:$C,$AR16))</f>
        <v/>
      </c>
      <c r="AK16" s="13" t="str">
        <f>IF(OR($B16="",$AR16=0),"",INDEX('Rework Log'!$H:$H,$AR16))</f>
        <v/>
      </c>
      <c r="AL16" s="12" t="str">
        <f>IF(OR($B16="",$AR16=0),"",INDEX('Rework Log'!$G:$G,$AR16))</f>
        <v/>
      </c>
      <c r="AM16" s="50" t="str">
        <f t="shared" si="2"/>
        <v>NOT STARTED</v>
      </c>
      <c r="AN16" s="12" t="str">
        <f t="shared" si="3"/>
        <v>No</v>
      </c>
      <c r="AO16" s="12" t="str">
        <f t="shared" si="4"/>
        <v/>
      </c>
      <c r="AP16" s="12" t="str">
        <f t="shared" si="5"/>
        <v/>
      </c>
      <c r="AQ16" s="51"/>
      <c r="AR16" s="12">
        <f>IF($B16="","",SUMPRODUCT(MAX(('Rework Log'!$A$3:$A$500=$B16)*ROW('Rework Log'!$A$3:$A$500))))</f>
        <v>0</v>
      </c>
    </row>
    <row r="17" spans="1:44" hidden="1" x14ac:dyDescent="0.25">
      <c r="A17" s="12" t="s">
        <v>72</v>
      </c>
      <c r="B17" s="12" t="s">
        <v>138</v>
      </c>
      <c r="C17" s="12" t="s">
        <v>74</v>
      </c>
      <c r="D17" s="12" t="str">
        <f t="shared" ca="1" si="0"/>
        <v>Delivered</v>
      </c>
      <c r="E17" s="12">
        <v>16</v>
      </c>
      <c r="F17" s="42"/>
      <c r="G17" s="12" t="s">
        <v>109</v>
      </c>
      <c r="H17" s="12" t="s">
        <v>92</v>
      </c>
      <c r="I17" s="12" t="s">
        <v>77</v>
      </c>
      <c r="J17" s="12"/>
      <c r="K17" s="43">
        <v>46173</v>
      </c>
      <c r="L17" s="12" t="s">
        <v>118</v>
      </c>
      <c r="M17" s="44"/>
      <c r="N17" s="12"/>
      <c r="O17" s="12"/>
      <c r="P17" s="12"/>
      <c r="Q17" s="45"/>
      <c r="R17" s="13"/>
      <c r="S17" s="12"/>
      <c r="T17" s="13">
        <v>46147</v>
      </c>
      <c r="U17" s="46"/>
      <c r="V17" s="13"/>
      <c r="W17" s="12"/>
      <c r="X17" s="13">
        <v>46147</v>
      </c>
      <c r="Y17" s="47"/>
      <c r="Z17" s="12"/>
      <c r="AA17" s="12" t="s">
        <v>79</v>
      </c>
      <c r="AB17" s="48" t="s">
        <v>80</v>
      </c>
      <c r="AC17" s="12"/>
      <c r="AD17" s="52" t="s">
        <v>139</v>
      </c>
      <c r="AE17" s="12" t="s">
        <v>140</v>
      </c>
      <c r="AF17" s="49" t="s">
        <v>83</v>
      </c>
      <c r="AG17" s="1"/>
      <c r="AH17" s="12" t="str">
        <f t="shared" si="1"/>
        <v/>
      </c>
      <c r="AI17" s="12">
        <f>IF($B17="","",COUNTIF('Rework Log'!$A$3:$A$500,$B17))</f>
        <v>0</v>
      </c>
      <c r="AJ17" s="12" t="str">
        <f>IF(OR($B17="",$AR17=0),"",INDEX('Rework Log'!$C:$C,$AR17))</f>
        <v/>
      </c>
      <c r="AK17" s="13" t="str">
        <f>IF(OR($B17="",$AR17=0),"",INDEX('Rework Log'!$H:$H,$AR17))</f>
        <v/>
      </c>
      <c r="AL17" s="12" t="str">
        <f>IF(OR($B17="",$AR17=0),"",INDEX('Rework Log'!$G:$G,$AR17))</f>
        <v/>
      </c>
      <c r="AM17" s="50" t="str">
        <f t="shared" si="2"/>
        <v>NOT STARTED</v>
      </c>
      <c r="AN17" s="12" t="str">
        <f t="shared" si="3"/>
        <v>No</v>
      </c>
      <c r="AO17" s="12" t="str">
        <f t="shared" si="4"/>
        <v/>
      </c>
      <c r="AP17" s="12" t="str">
        <f t="shared" si="5"/>
        <v/>
      </c>
      <c r="AQ17" s="51"/>
      <c r="AR17" s="12">
        <f>IF($B17="","",SUMPRODUCT(MAX(('Rework Log'!$A$3:$A$500=$B17)*ROW('Rework Log'!$A$3:$A$500))))</f>
        <v>0</v>
      </c>
    </row>
    <row r="18" spans="1:44" hidden="1" x14ac:dyDescent="0.25">
      <c r="A18" s="12" t="s">
        <v>72</v>
      </c>
      <c r="B18" s="12" t="s">
        <v>141</v>
      </c>
      <c r="C18" s="12" t="s">
        <v>74</v>
      </c>
      <c r="D18" s="12" t="str">
        <f t="shared" ca="1" si="0"/>
        <v>Delivered</v>
      </c>
      <c r="E18" s="12">
        <v>17</v>
      </c>
      <c r="F18" s="42"/>
      <c r="G18" s="12" t="s">
        <v>109</v>
      </c>
      <c r="H18" s="12" t="s">
        <v>76</v>
      </c>
      <c r="I18" s="12" t="s">
        <v>117</v>
      </c>
      <c r="J18" s="12"/>
      <c r="K18" s="43">
        <v>46173</v>
      </c>
      <c r="L18" s="12" t="s">
        <v>118</v>
      </c>
      <c r="M18" s="44"/>
      <c r="N18" s="12"/>
      <c r="O18" s="12"/>
      <c r="P18" s="12"/>
      <c r="Q18" s="45"/>
      <c r="R18" s="13"/>
      <c r="S18" s="12"/>
      <c r="T18" s="13">
        <v>46175</v>
      </c>
      <c r="U18" s="46"/>
      <c r="V18" s="13"/>
      <c r="W18" s="12"/>
      <c r="X18" s="13">
        <v>46179</v>
      </c>
      <c r="Y18" s="47"/>
      <c r="Z18" s="12"/>
      <c r="AA18" s="12" t="s">
        <v>79</v>
      </c>
      <c r="AB18" s="48"/>
      <c r="AC18" s="12"/>
      <c r="AD18" s="52" t="s">
        <v>142</v>
      </c>
      <c r="AE18" s="12"/>
      <c r="AF18" s="49" t="s">
        <v>83</v>
      </c>
      <c r="AG18" s="1"/>
      <c r="AH18" s="12" t="str">
        <f t="shared" si="1"/>
        <v/>
      </c>
      <c r="AI18" s="12">
        <f>IF($B18="","",COUNTIF('Rework Log'!$A$3:$A$500,$B18))</f>
        <v>0</v>
      </c>
      <c r="AJ18" s="12" t="str">
        <f>IF(OR($B18="",$AR18=0),"",INDEX('Rework Log'!$C:$C,$AR18))</f>
        <v/>
      </c>
      <c r="AK18" s="13" t="str">
        <f>IF(OR($B18="",$AR18=0),"",INDEX('Rework Log'!$H:$H,$AR18))</f>
        <v/>
      </c>
      <c r="AL18" s="12" t="str">
        <f>IF(OR($B18="",$AR18=0),"",INDEX('Rework Log'!$G:$G,$AR18))</f>
        <v/>
      </c>
      <c r="AM18" s="50" t="str">
        <f t="shared" si="2"/>
        <v>NOT STARTED</v>
      </c>
      <c r="AN18" s="12" t="str">
        <f t="shared" si="3"/>
        <v>No</v>
      </c>
      <c r="AO18" s="12" t="str">
        <f t="shared" si="4"/>
        <v/>
      </c>
      <c r="AP18" s="12" t="str">
        <f t="shared" si="5"/>
        <v/>
      </c>
      <c r="AQ18" s="51"/>
      <c r="AR18" s="12">
        <f>IF($B18="","",SUMPRODUCT(MAX(('Rework Log'!$A$3:$A$500=$B18)*ROW('Rework Log'!$A$3:$A$500))))</f>
        <v>0</v>
      </c>
    </row>
    <row r="19" spans="1:44" hidden="1" x14ac:dyDescent="0.25">
      <c r="A19" s="12" t="s">
        <v>72</v>
      </c>
      <c r="B19" s="12" t="s">
        <v>143</v>
      </c>
      <c r="C19" s="12" t="s">
        <v>74</v>
      </c>
      <c r="D19" s="12" t="str">
        <f t="shared" ca="1" si="0"/>
        <v>Delivered</v>
      </c>
      <c r="E19" s="12">
        <v>18</v>
      </c>
      <c r="F19" s="42"/>
      <c r="G19" s="12" t="s">
        <v>75</v>
      </c>
      <c r="H19" s="12" t="s">
        <v>92</v>
      </c>
      <c r="I19" s="12" t="s">
        <v>117</v>
      </c>
      <c r="J19" s="12"/>
      <c r="K19" s="43">
        <v>46173</v>
      </c>
      <c r="L19" s="12" t="s">
        <v>118</v>
      </c>
      <c r="M19" s="44"/>
      <c r="N19" s="12"/>
      <c r="O19" s="12"/>
      <c r="P19" s="12"/>
      <c r="Q19" s="45"/>
      <c r="R19" s="13"/>
      <c r="S19" s="12"/>
      <c r="T19" s="13">
        <v>46143</v>
      </c>
      <c r="U19" s="46"/>
      <c r="V19" s="13"/>
      <c r="W19" s="12"/>
      <c r="X19" s="13">
        <v>46175</v>
      </c>
      <c r="Y19" s="47"/>
      <c r="Z19" s="12"/>
      <c r="AA19" s="12" t="s">
        <v>79</v>
      </c>
      <c r="AB19" s="48" t="s">
        <v>80</v>
      </c>
      <c r="AC19" s="13">
        <v>46184</v>
      </c>
      <c r="AD19" s="52" t="s">
        <v>144</v>
      </c>
      <c r="AE19" s="12" t="s">
        <v>145</v>
      </c>
      <c r="AF19" s="49" t="s">
        <v>83</v>
      </c>
      <c r="AG19" s="1"/>
      <c r="AH19" s="12" t="str">
        <f t="shared" si="1"/>
        <v/>
      </c>
      <c r="AI19" s="12">
        <f>IF($B19="","",COUNTIF('Rework Log'!$A$3:$A$500,$B19))</f>
        <v>0</v>
      </c>
      <c r="AJ19" s="12" t="str">
        <f>IF(OR($B19="",$AR19=0),"",INDEX('Rework Log'!$C:$C,$AR19))</f>
        <v/>
      </c>
      <c r="AK19" s="13" t="str">
        <f>IF(OR($B19="",$AR19=0),"",INDEX('Rework Log'!$H:$H,$AR19))</f>
        <v/>
      </c>
      <c r="AL19" s="12" t="str">
        <f>IF(OR($B19="",$AR19=0),"",INDEX('Rework Log'!$G:$G,$AR19))</f>
        <v/>
      </c>
      <c r="AM19" s="50" t="str">
        <f t="shared" si="2"/>
        <v>NOT STARTED</v>
      </c>
      <c r="AN19" s="12" t="str">
        <f t="shared" si="3"/>
        <v>No</v>
      </c>
      <c r="AO19" s="12" t="str">
        <f t="shared" si="4"/>
        <v/>
      </c>
      <c r="AP19" s="12" t="str">
        <f t="shared" si="5"/>
        <v/>
      </c>
      <c r="AQ19" s="51"/>
      <c r="AR19" s="12">
        <f>IF($B19="","",SUMPRODUCT(MAX(('Rework Log'!$A$3:$A$500=$B19)*ROW('Rework Log'!$A$3:$A$500))))</f>
        <v>0</v>
      </c>
    </row>
    <row r="20" spans="1:44" hidden="1" x14ac:dyDescent="0.25">
      <c r="A20" s="12" t="s">
        <v>72</v>
      </c>
      <c r="B20" s="12" t="s">
        <v>146</v>
      </c>
      <c r="C20" s="12" t="s">
        <v>74</v>
      </c>
      <c r="D20" s="12" t="str">
        <f t="shared" ca="1" si="0"/>
        <v>Delivered</v>
      </c>
      <c r="E20" s="12">
        <v>19</v>
      </c>
      <c r="F20" s="42"/>
      <c r="G20" s="12" t="s">
        <v>75</v>
      </c>
      <c r="H20" s="12" t="s">
        <v>132</v>
      </c>
      <c r="I20" s="12" t="s">
        <v>77</v>
      </c>
      <c r="J20" s="12"/>
      <c r="K20" s="43">
        <v>46173</v>
      </c>
      <c r="L20" s="12" t="s">
        <v>118</v>
      </c>
      <c r="M20" s="44"/>
      <c r="N20" s="13"/>
      <c r="O20" s="12"/>
      <c r="P20" s="13">
        <v>46175</v>
      </c>
      <c r="Q20" s="45"/>
      <c r="R20" s="13"/>
      <c r="S20" s="12"/>
      <c r="T20" s="13">
        <v>46178</v>
      </c>
      <c r="U20" s="46"/>
      <c r="V20" s="13"/>
      <c r="W20" s="12"/>
      <c r="X20" s="13">
        <v>46175</v>
      </c>
      <c r="Y20" s="47"/>
      <c r="Z20" s="12"/>
      <c r="AA20" s="12" t="s">
        <v>79</v>
      </c>
      <c r="AB20" s="48" t="s">
        <v>80</v>
      </c>
      <c r="AC20" s="13">
        <v>46192</v>
      </c>
      <c r="AD20" s="52" t="s">
        <v>147</v>
      </c>
      <c r="AE20" s="12"/>
      <c r="AF20" s="49" t="s">
        <v>83</v>
      </c>
      <c r="AG20" s="1"/>
      <c r="AH20" s="12" t="str">
        <f t="shared" si="1"/>
        <v/>
      </c>
      <c r="AI20" s="12">
        <f>IF($B20="","",COUNTIF('Rework Log'!$A$3:$A$500,$B20))</f>
        <v>0</v>
      </c>
      <c r="AJ20" s="12" t="str">
        <f>IF(OR($B20="",$AR20=0),"",INDEX('Rework Log'!$C:$C,$AR20))</f>
        <v/>
      </c>
      <c r="AK20" s="13" t="str">
        <f>IF(OR($B20="",$AR20=0),"",INDEX('Rework Log'!$H:$H,$AR20))</f>
        <v/>
      </c>
      <c r="AL20" s="12" t="str">
        <f>IF(OR($B20="",$AR20=0),"",INDEX('Rework Log'!$G:$G,$AR20))</f>
        <v/>
      </c>
      <c r="AM20" s="50" t="str">
        <f t="shared" si="2"/>
        <v>NOT STARTED</v>
      </c>
      <c r="AN20" s="12" t="str">
        <f t="shared" si="3"/>
        <v>No</v>
      </c>
      <c r="AO20" s="12" t="str">
        <f t="shared" si="4"/>
        <v/>
      </c>
      <c r="AP20" s="12" t="str">
        <f t="shared" si="5"/>
        <v/>
      </c>
      <c r="AQ20" s="51" t="s">
        <v>148</v>
      </c>
      <c r="AR20" s="12">
        <f>IF($B20="","",SUMPRODUCT(MAX(('Rework Log'!$A$3:$A$500=$B20)*ROW('Rework Log'!$A$3:$A$500))))</f>
        <v>0</v>
      </c>
    </row>
    <row r="21" spans="1:44" x14ac:dyDescent="0.25">
      <c r="A21" s="12" t="s">
        <v>72</v>
      </c>
      <c r="B21" s="12" t="s">
        <v>149</v>
      </c>
      <c r="C21" s="12" t="s">
        <v>74</v>
      </c>
      <c r="D21" s="12" t="str">
        <f t="shared" ca="1" si="0"/>
        <v>Delivered</v>
      </c>
      <c r="E21" s="12">
        <v>20</v>
      </c>
      <c r="F21" s="42"/>
      <c r="G21" s="12" t="s">
        <v>129</v>
      </c>
      <c r="H21" s="12" t="s">
        <v>92</v>
      </c>
      <c r="I21" s="12" t="s">
        <v>77</v>
      </c>
      <c r="J21" s="12"/>
      <c r="K21" s="43">
        <v>46203</v>
      </c>
      <c r="L21" s="12" t="s">
        <v>150</v>
      </c>
      <c r="M21" s="44"/>
      <c r="N21" s="13"/>
      <c r="O21" s="12"/>
      <c r="P21" s="13">
        <v>46148</v>
      </c>
      <c r="Q21" s="45"/>
      <c r="R21" s="13"/>
      <c r="S21" s="12"/>
      <c r="T21" s="13">
        <v>46183</v>
      </c>
      <c r="U21" s="46"/>
      <c r="V21" s="13"/>
      <c r="W21" s="12"/>
      <c r="X21" s="13">
        <v>46195</v>
      </c>
      <c r="Y21" s="47"/>
      <c r="Z21" s="12"/>
      <c r="AA21" s="12"/>
      <c r="AB21" s="48"/>
      <c r="AC21" s="12"/>
      <c r="AD21" s="52"/>
      <c r="AE21" s="12"/>
      <c r="AF21" s="49" t="s">
        <v>83</v>
      </c>
      <c r="AG21" s="1"/>
      <c r="AH21" s="12" t="str">
        <f t="shared" si="1"/>
        <v/>
      </c>
      <c r="AI21" s="12">
        <f>IF($B21="","",COUNTIF('Rework Log'!$A$3:$A$500,$B21))</f>
        <v>0</v>
      </c>
      <c r="AJ21" s="12" t="str">
        <f>IF(OR($B21="",$AR21=0),"",INDEX('Rework Log'!$C:$C,$AR21))</f>
        <v/>
      </c>
      <c r="AK21" s="13" t="str">
        <f>IF(OR($B21="",$AR21=0),"",INDEX('Rework Log'!$H:$H,$AR21))</f>
        <v/>
      </c>
      <c r="AL21" s="12" t="str">
        <f>IF(OR($B21="",$AR21=0),"",INDEX('Rework Log'!$G:$G,$AR21))</f>
        <v/>
      </c>
      <c r="AM21" s="50" t="str">
        <f t="shared" si="2"/>
        <v>NOT STARTED</v>
      </c>
      <c r="AN21" s="12" t="str">
        <f t="shared" si="3"/>
        <v>No</v>
      </c>
      <c r="AO21" s="12" t="str">
        <f t="shared" si="4"/>
        <v/>
      </c>
      <c r="AP21" s="12" t="str">
        <f t="shared" si="5"/>
        <v/>
      </c>
      <c r="AQ21" s="51"/>
      <c r="AR21" s="12">
        <f>IF($B21="","",SUMPRODUCT(MAX(('Rework Log'!$A$3:$A$500=$B21)*ROW('Rework Log'!$A$3:$A$500))))</f>
        <v>0</v>
      </c>
    </row>
    <row r="22" spans="1:44" x14ac:dyDescent="0.25">
      <c r="A22" s="12" t="s">
        <v>72</v>
      </c>
      <c r="B22" s="12" t="s">
        <v>151</v>
      </c>
      <c r="C22" s="12" t="s">
        <v>74</v>
      </c>
      <c r="D22" s="12" t="str">
        <f t="shared" ca="1" si="0"/>
        <v>Delivered</v>
      </c>
      <c r="E22" s="12">
        <v>21</v>
      </c>
      <c r="F22" s="42"/>
      <c r="G22" s="12" t="s">
        <v>129</v>
      </c>
      <c r="H22" s="12" t="s">
        <v>132</v>
      </c>
      <c r="I22" s="12" t="s">
        <v>77</v>
      </c>
      <c r="J22" s="12"/>
      <c r="K22" s="43">
        <v>46203</v>
      </c>
      <c r="L22" s="12" t="s">
        <v>150</v>
      </c>
      <c r="M22" s="44"/>
      <c r="N22" s="13"/>
      <c r="O22" s="12"/>
      <c r="P22" s="13">
        <v>46162</v>
      </c>
      <c r="Q22" s="45"/>
      <c r="R22" s="13"/>
      <c r="S22" s="12"/>
      <c r="T22" s="13">
        <v>46182</v>
      </c>
      <c r="U22" s="46"/>
      <c r="V22" s="13"/>
      <c r="W22" s="12"/>
      <c r="X22" s="13">
        <v>46198</v>
      </c>
      <c r="Y22" s="47"/>
      <c r="Z22" s="12"/>
      <c r="AA22" s="12"/>
      <c r="AB22" s="48"/>
      <c r="AC22" s="12"/>
      <c r="AD22" s="52"/>
      <c r="AE22" s="12"/>
      <c r="AF22" s="49" t="s">
        <v>83</v>
      </c>
      <c r="AG22" s="1"/>
      <c r="AH22" s="12" t="str">
        <f t="shared" si="1"/>
        <v/>
      </c>
      <c r="AI22" s="12">
        <f>IF($B22="","",COUNTIF('Rework Log'!$A$3:$A$500,$B22))</f>
        <v>0</v>
      </c>
      <c r="AJ22" s="12" t="str">
        <f>IF(OR($B22="",$AR22=0),"",INDEX('Rework Log'!$C:$C,$AR22))</f>
        <v/>
      </c>
      <c r="AK22" s="13" t="str">
        <f>IF(OR($B22="",$AR22=0),"",INDEX('Rework Log'!$H:$H,$AR22))</f>
        <v/>
      </c>
      <c r="AL22" s="12" t="str">
        <f>IF(OR($B22="",$AR22=0),"",INDEX('Rework Log'!$G:$G,$AR22))</f>
        <v/>
      </c>
      <c r="AM22" s="50" t="str">
        <f t="shared" si="2"/>
        <v>NOT STARTED</v>
      </c>
      <c r="AN22" s="12" t="str">
        <f t="shared" si="3"/>
        <v>No</v>
      </c>
      <c r="AO22" s="12" t="str">
        <f t="shared" si="4"/>
        <v/>
      </c>
      <c r="AP22" s="12" t="str">
        <f t="shared" si="5"/>
        <v/>
      </c>
      <c r="AQ22" s="51" t="s">
        <v>152</v>
      </c>
      <c r="AR22" s="12">
        <f>IF($B22="","",SUMPRODUCT(MAX(('Rework Log'!$A$3:$A$500=$B22)*ROW('Rework Log'!$A$3:$A$500))))</f>
        <v>0</v>
      </c>
    </row>
    <row r="23" spans="1:44" x14ac:dyDescent="0.25">
      <c r="A23" s="12" t="s">
        <v>72</v>
      </c>
      <c r="B23" s="12" t="s">
        <v>153</v>
      </c>
      <c r="C23" s="12" t="s">
        <v>74</v>
      </c>
      <c r="D23" s="12" t="str">
        <f t="shared" ca="1" si="0"/>
        <v>Delivered</v>
      </c>
      <c r="E23" s="12">
        <v>22</v>
      </c>
      <c r="F23" s="42"/>
      <c r="G23" s="12" t="s">
        <v>75</v>
      </c>
      <c r="H23" s="12" t="s">
        <v>92</v>
      </c>
      <c r="I23" s="12" t="s">
        <v>77</v>
      </c>
      <c r="J23" s="12"/>
      <c r="K23" s="43">
        <v>46203</v>
      </c>
      <c r="L23" s="12" t="s">
        <v>150</v>
      </c>
      <c r="M23" s="44"/>
      <c r="N23" s="13"/>
      <c r="O23" s="12"/>
      <c r="P23" s="13">
        <v>46168</v>
      </c>
      <c r="Q23" s="45"/>
      <c r="R23" s="13"/>
      <c r="S23" s="12"/>
      <c r="T23" s="13">
        <v>46183</v>
      </c>
      <c r="U23" s="46"/>
      <c r="V23" s="13"/>
      <c r="W23" s="12"/>
      <c r="X23" s="13">
        <v>46198</v>
      </c>
      <c r="Y23" s="47"/>
      <c r="Z23" s="12"/>
      <c r="AA23" s="12"/>
      <c r="AB23" s="48"/>
      <c r="AC23" s="12"/>
      <c r="AD23" s="52"/>
      <c r="AE23" s="12"/>
      <c r="AF23" s="49" t="s">
        <v>83</v>
      </c>
      <c r="AG23" s="1"/>
      <c r="AH23" s="12" t="str">
        <f t="shared" si="1"/>
        <v/>
      </c>
      <c r="AI23" s="12">
        <f>IF($B23="","",COUNTIF('Rework Log'!$A$3:$A$500,$B23))</f>
        <v>0</v>
      </c>
      <c r="AJ23" s="12" t="str">
        <f>IF(OR($B23="",$AR23=0),"",INDEX('Rework Log'!$C:$C,$AR23))</f>
        <v/>
      </c>
      <c r="AK23" s="13" t="str">
        <f>IF(OR($B23="",$AR23=0),"",INDEX('Rework Log'!$H:$H,$AR23))</f>
        <v/>
      </c>
      <c r="AL23" s="12" t="str">
        <f>IF(OR($B23="",$AR23=0),"",INDEX('Rework Log'!$G:$G,$AR23))</f>
        <v/>
      </c>
      <c r="AM23" s="50" t="str">
        <f t="shared" si="2"/>
        <v>NOT STARTED</v>
      </c>
      <c r="AN23" s="12" t="str">
        <f t="shared" si="3"/>
        <v>No</v>
      </c>
      <c r="AO23" s="12" t="str">
        <f t="shared" si="4"/>
        <v/>
      </c>
      <c r="AP23" s="12" t="str">
        <f t="shared" si="5"/>
        <v/>
      </c>
      <c r="AQ23" s="51"/>
      <c r="AR23" s="12">
        <f>IF($B23="","",SUMPRODUCT(MAX(('Rework Log'!$A$3:$A$500=$B23)*ROW('Rework Log'!$A$3:$A$500))))</f>
        <v>0</v>
      </c>
    </row>
    <row r="24" spans="1:44" x14ac:dyDescent="0.25">
      <c r="A24" s="12" t="s">
        <v>72</v>
      </c>
      <c r="B24" s="12" t="s">
        <v>154</v>
      </c>
      <c r="C24" s="12" t="s">
        <v>74</v>
      </c>
      <c r="D24" s="12" t="str">
        <f t="shared" ca="1" si="0"/>
        <v>Delivered</v>
      </c>
      <c r="E24" s="12">
        <v>23</v>
      </c>
      <c r="F24" s="42"/>
      <c r="G24" s="12" t="s">
        <v>75</v>
      </c>
      <c r="H24" s="12" t="s">
        <v>92</v>
      </c>
      <c r="I24" s="12" t="s">
        <v>77</v>
      </c>
      <c r="J24" s="12"/>
      <c r="K24" s="43">
        <v>46203</v>
      </c>
      <c r="L24" s="12" t="s">
        <v>150</v>
      </c>
      <c r="M24" s="44"/>
      <c r="N24" s="13"/>
      <c r="O24" s="12"/>
      <c r="P24" s="13">
        <v>46165</v>
      </c>
      <c r="Q24" s="45"/>
      <c r="R24" s="13"/>
      <c r="S24" s="12"/>
      <c r="T24" s="13">
        <v>46153</v>
      </c>
      <c r="U24" s="46"/>
      <c r="V24" s="13"/>
      <c r="W24" s="12"/>
      <c r="X24" s="13">
        <v>46154</v>
      </c>
      <c r="Y24" s="47"/>
      <c r="Z24" s="12"/>
      <c r="AA24" s="12"/>
      <c r="AB24" s="48" t="s">
        <v>80</v>
      </c>
      <c r="AC24" s="13">
        <v>46184</v>
      </c>
      <c r="AD24" s="52" t="s">
        <v>155</v>
      </c>
      <c r="AE24" s="12" t="s">
        <v>156</v>
      </c>
      <c r="AF24" s="49" t="s">
        <v>83</v>
      </c>
      <c r="AG24" s="1"/>
      <c r="AH24" s="12" t="str">
        <f t="shared" si="1"/>
        <v/>
      </c>
      <c r="AI24" s="12">
        <f>IF($B24="","",COUNTIF('Rework Log'!$A$3:$A$500,$B24))</f>
        <v>0</v>
      </c>
      <c r="AJ24" s="12" t="str">
        <f>IF(OR($B24="",$AR24=0),"",INDEX('Rework Log'!$C:$C,$AR24))</f>
        <v/>
      </c>
      <c r="AK24" s="13" t="str">
        <f>IF(OR($B24="",$AR24=0),"",INDEX('Rework Log'!$H:$H,$AR24))</f>
        <v/>
      </c>
      <c r="AL24" s="12" t="str">
        <f>IF(OR($B24="",$AR24=0),"",INDEX('Rework Log'!$G:$G,$AR24))</f>
        <v/>
      </c>
      <c r="AM24" s="50" t="str">
        <f t="shared" si="2"/>
        <v>NOT STARTED</v>
      </c>
      <c r="AN24" s="12" t="str">
        <f t="shared" si="3"/>
        <v>No</v>
      </c>
      <c r="AO24" s="12" t="str">
        <f t="shared" si="4"/>
        <v/>
      </c>
      <c r="AP24" s="12" t="str">
        <f t="shared" si="5"/>
        <v/>
      </c>
      <c r="AQ24" s="51"/>
      <c r="AR24" s="12">
        <f>IF($B24="","",SUMPRODUCT(MAX(('Rework Log'!$A$3:$A$500=$B24)*ROW('Rework Log'!$A$3:$A$500))))</f>
        <v>0</v>
      </c>
    </row>
    <row r="25" spans="1:44" x14ac:dyDescent="0.25">
      <c r="A25" s="12" t="s">
        <v>72</v>
      </c>
      <c r="B25" s="12" t="s">
        <v>157</v>
      </c>
      <c r="C25" s="12" t="s">
        <v>158</v>
      </c>
      <c r="D25" s="12" t="str">
        <f t="shared" ca="1" si="0"/>
        <v>No target set</v>
      </c>
      <c r="E25" s="12">
        <v>24</v>
      </c>
      <c r="F25" s="42"/>
      <c r="G25" s="12" t="s">
        <v>91</v>
      </c>
      <c r="H25" s="12" t="s">
        <v>76</v>
      </c>
      <c r="I25" s="12" t="s">
        <v>117</v>
      </c>
      <c r="J25" s="12"/>
      <c r="K25" s="43">
        <v>46203</v>
      </c>
      <c r="L25" s="12" t="s">
        <v>150</v>
      </c>
      <c r="M25" s="44"/>
      <c r="N25" s="13"/>
      <c r="O25" s="12"/>
      <c r="P25" s="13">
        <v>46162</v>
      </c>
      <c r="Q25" s="45"/>
      <c r="R25" s="13">
        <v>46227</v>
      </c>
      <c r="S25" s="12"/>
      <c r="T25" s="13">
        <v>46186</v>
      </c>
      <c r="U25" s="46"/>
      <c r="V25" s="13"/>
      <c r="W25" s="12"/>
      <c r="X25" s="13">
        <v>46188</v>
      </c>
      <c r="Y25" s="47"/>
      <c r="Z25" s="12"/>
      <c r="AA25" s="12"/>
      <c r="AB25" s="48"/>
      <c r="AC25" s="12"/>
      <c r="AD25" s="52"/>
      <c r="AE25" s="12"/>
      <c r="AF25" s="49" t="s">
        <v>83</v>
      </c>
      <c r="AG25" s="1"/>
      <c r="AH25" s="12" t="str">
        <f t="shared" si="1"/>
        <v/>
      </c>
      <c r="AI25" s="12">
        <f>IF($B25="","",COUNTIF('Rework Log'!$A$3:$A$500,$B25))</f>
        <v>0</v>
      </c>
      <c r="AJ25" s="12" t="str">
        <f>IF(OR($B25="",$AR25=0),"",INDEX('Rework Log'!$C:$C,$AR25))</f>
        <v/>
      </c>
      <c r="AK25" s="13" t="str">
        <f>IF(OR($B25="",$AR25=0),"",INDEX('Rework Log'!$H:$H,$AR25))</f>
        <v/>
      </c>
      <c r="AL25" s="12" t="str">
        <f>IF(OR($B25="",$AR25=0),"",INDEX('Rework Log'!$G:$G,$AR25))</f>
        <v/>
      </c>
      <c r="AM25" s="50" t="str">
        <f t="shared" si="2"/>
        <v>PBI Dev</v>
      </c>
      <c r="AN25" s="12" t="str">
        <f t="shared" si="3"/>
        <v>No</v>
      </c>
      <c r="AO25" s="12" t="str">
        <f t="shared" si="4"/>
        <v/>
      </c>
      <c r="AP25" s="12" t="str">
        <f t="shared" si="5"/>
        <v/>
      </c>
      <c r="AQ25" s="51" t="s">
        <v>159</v>
      </c>
      <c r="AR25" s="12">
        <f>IF($B25="","",SUMPRODUCT(MAX(('Rework Log'!$A$3:$A$500=$B25)*ROW('Rework Log'!$A$3:$A$500))))</f>
        <v>0</v>
      </c>
    </row>
    <row r="26" spans="1:44" x14ac:dyDescent="0.25">
      <c r="A26" s="12" t="s">
        <v>72</v>
      </c>
      <c r="B26" s="12" t="s">
        <v>160</v>
      </c>
      <c r="C26" s="12" t="s">
        <v>74</v>
      </c>
      <c r="D26" s="12" t="str">
        <f t="shared" ca="1" si="0"/>
        <v>Delivered</v>
      </c>
      <c r="E26" s="12">
        <v>25</v>
      </c>
      <c r="F26" s="42"/>
      <c r="G26" s="12" t="s">
        <v>91</v>
      </c>
      <c r="H26" s="12" t="s">
        <v>132</v>
      </c>
      <c r="I26" s="12" t="s">
        <v>77</v>
      </c>
      <c r="J26" s="12"/>
      <c r="K26" s="43">
        <v>46203</v>
      </c>
      <c r="L26" s="12" t="s">
        <v>150</v>
      </c>
      <c r="M26" s="44"/>
      <c r="N26" s="13"/>
      <c r="O26" s="12"/>
      <c r="P26" s="13">
        <v>46162</v>
      </c>
      <c r="Q26" s="45"/>
      <c r="R26" s="13"/>
      <c r="S26" s="12"/>
      <c r="T26" s="13">
        <v>46164</v>
      </c>
      <c r="U26" s="46"/>
      <c r="V26" s="13"/>
      <c r="W26" s="12"/>
      <c r="X26" s="13">
        <v>46204</v>
      </c>
      <c r="Y26" s="47"/>
      <c r="Z26" s="12"/>
      <c r="AA26" s="12"/>
      <c r="AB26" s="48"/>
      <c r="AC26" s="12"/>
      <c r="AD26" s="52"/>
      <c r="AE26" s="12"/>
      <c r="AF26" s="49" t="s">
        <v>83</v>
      </c>
      <c r="AG26" s="1"/>
      <c r="AH26" s="12" t="str">
        <f t="shared" si="1"/>
        <v/>
      </c>
      <c r="AI26" s="12">
        <f>IF($B26="","",COUNTIF('Rework Log'!$A$3:$A$500,$B26))</f>
        <v>0</v>
      </c>
      <c r="AJ26" s="12" t="str">
        <f>IF(OR($B26="",$AR26=0),"",INDEX('Rework Log'!$C:$C,$AR26))</f>
        <v/>
      </c>
      <c r="AK26" s="13" t="str">
        <f>IF(OR($B26="",$AR26=0),"",INDEX('Rework Log'!$H:$H,$AR26))</f>
        <v/>
      </c>
      <c r="AL26" s="12" t="str">
        <f>IF(OR($B26="",$AR26=0),"",INDEX('Rework Log'!$G:$G,$AR26))</f>
        <v/>
      </c>
      <c r="AM26" s="50" t="str">
        <f t="shared" si="2"/>
        <v>NOT STARTED</v>
      </c>
      <c r="AN26" s="12" t="str">
        <f t="shared" si="3"/>
        <v>No</v>
      </c>
      <c r="AO26" s="12" t="str">
        <f t="shared" si="4"/>
        <v/>
      </c>
      <c r="AP26" s="12" t="str">
        <f t="shared" si="5"/>
        <v/>
      </c>
      <c r="AQ26" s="51" t="s">
        <v>159</v>
      </c>
      <c r="AR26" s="12">
        <f>IF($B26="","",SUMPRODUCT(MAX(('Rework Log'!$A$3:$A$500=$B26)*ROW('Rework Log'!$A$3:$A$500))))</f>
        <v>0</v>
      </c>
    </row>
    <row r="27" spans="1:44" x14ac:dyDescent="0.25">
      <c r="A27" s="12" t="s">
        <v>72</v>
      </c>
      <c r="B27" s="12" t="s">
        <v>161</v>
      </c>
      <c r="C27" s="12" t="s">
        <v>74</v>
      </c>
      <c r="D27" s="12" t="str">
        <f t="shared" ca="1" si="0"/>
        <v>Delivered</v>
      </c>
      <c r="E27" s="12">
        <v>26</v>
      </c>
      <c r="F27" s="42"/>
      <c r="G27" s="12" t="s">
        <v>162</v>
      </c>
      <c r="H27" s="12" t="s">
        <v>92</v>
      </c>
      <c r="I27" s="12" t="s">
        <v>117</v>
      </c>
      <c r="J27" s="12"/>
      <c r="K27" s="43">
        <v>46203</v>
      </c>
      <c r="L27" s="12" t="s">
        <v>150</v>
      </c>
      <c r="M27" s="44"/>
      <c r="N27" s="13"/>
      <c r="O27" s="12"/>
      <c r="P27" s="13">
        <v>46169</v>
      </c>
      <c r="Q27" s="45"/>
      <c r="R27" s="13"/>
      <c r="S27" s="12"/>
      <c r="T27" s="13">
        <v>46191</v>
      </c>
      <c r="U27" s="46"/>
      <c r="V27" s="13"/>
      <c r="W27" s="12"/>
      <c r="X27" s="13">
        <v>46196</v>
      </c>
      <c r="Y27" s="47"/>
      <c r="Z27" s="12"/>
      <c r="AA27" s="12"/>
      <c r="AB27" s="48"/>
      <c r="AC27" s="12"/>
      <c r="AD27" s="52" t="s">
        <v>163</v>
      </c>
      <c r="AE27" s="12" t="s">
        <v>164</v>
      </c>
      <c r="AF27" s="49" t="s">
        <v>83</v>
      </c>
      <c r="AG27" s="1"/>
      <c r="AH27" s="12" t="str">
        <f t="shared" si="1"/>
        <v/>
      </c>
      <c r="AI27" s="12">
        <f>IF($B27="","",COUNTIF('Rework Log'!$A$3:$A$500,$B27))</f>
        <v>0</v>
      </c>
      <c r="AJ27" s="12" t="str">
        <f>IF(OR($B27="",$AR27=0),"",INDEX('Rework Log'!$C:$C,$AR27))</f>
        <v/>
      </c>
      <c r="AK27" s="13" t="str">
        <f>IF(OR($B27="",$AR27=0),"",INDEX('Rework Log'!$H:$H,$AR27))</f>
        <v/>
      </c>
      <c r="AL27" s="12" t="str">
        <f>IF(OR($B27="",$AR27=0),"",INDEX('Rework Log'!$G:$G,$AR27))</f>
        <v/>
      </c>
      <c r="AM27" s="50" t="str">
        <f t="shared" si="2"/>
        <v>NOT STARTED</v>
      </c>
      <c r="AN27" s="12" t="str">
        <f t="shared" si="3"/>
        <v>No</v>
      </c>
      <c r="AO27" s="12" t="str">
        <f t="shared" si="4"/>
        <v/>
      </c>
      <c r="AP27" s="12" t="str">
        <f t="shared" si="5"/>
        <v/>
      </c>
      <c r="AQ27" s="51"/>
      <c r="AR27" s="12">
        <f>IF($B27="","",SUMPRODUCT(MAX(('Rework Log'!$A$3:$A$500=$B27)*ROW('Rework Log'!$A$3:$A$500))))</f>
        <v>0</v>
      </c>
    </row>
    <row r="28" spans="1:44" x14ac:dyDescent="0.25">
      <c r="A28" s="12" t="s">
        <v>72</v>
      </c>
      <c r="B28" s="12" t="s">
        <v>165</v>
      </c>
      <c r="C28" s="12" t="s">
        <v>74</v>
      </c>
      <c r="D28" s="12" t="str">
        <f t="shared" ca="1" si="0"/>
        <v>Delivered</v>
      </c>
      <c r="E28" s="12">
        <v>27</v>
      </c>
      <c r="F28" s="42"/>
      <c r="G28" s="12" t="s">
        <v>129</v>
      </c>
      <c r="H28" s="12" t="s">
        <v>132</v>
      </c>
      <c r="I28" s="12" t="s">
        <v>117</v>
      </c>
      <c r="J28" s="12"/>
      <c r="K28" s="43">
        <v>46203</v>
      </c>
      <c r="L28" s="12" t="s">
        <v>150</v>
      </c>
      <c r="M28" s="44"/>
      <c r="N28" s="13"/>
      <c r="O28" s="12"/>
      <c r="P28" s="13">
        <v>46168</v>
      </c>
      <c r="Q28" s="45"/>
      <c r="R28" s="13"/>
      <c r="S28" s="12"/>
      <c r="T28" s="13">
        <v>46189</v>
      </c>
      <c r="U28" s="46"/>
      <c r="V28" s="13"/>
      <c r="W28" s="12"/>
      <c r="X28" s="13">
        <v>46189</v>
      </c>
      <c r="Y28" s="47"/>
      <c r="Z28" s="12"/>
      <c r="AA28" s="12"/>
      <c r="AB28" s="48" t="s">
        <v>80</v>
      </c>
      <c r="AC28" s="13">
        <v>46192</v>
      </c>
      <c r="AD28" s="52" t="s">
        <v>166</v>
      </c>
      <c r="AE28" s="12"/>
      <c r="AF28" s="49" t="s">
        <v>83</v>
      </c>
      <c r="AG28" s="1"/>
      <c r="AH28" s="12" t="str">
        <f t="shared" si="1"/>
        <v/>
      </c>
      <c r="AI28" s="12">
        <f>IF($B28="","",COUNTIF('Rework Log'!$A$3:$A$500,$B28))</f>
        <v>0</v>
      </c>
      <c r="AJ28" s="12" t="str">
        <f>IF(OR($B28="",$AR28=0),"",INDEX('Rework Log'!$C:$C,$AR28))</f>
        <v/>
      </c>
      <c r="AK28" s="13" t="str">
        <f>IF(OR($B28="",$AR28=0),"",INDEX('Rework Log'!$H:$H,$AR28))</f>
        <v/>
      </c>
      <c r="AL28" s="12" t="str">
        <f>IF(OR($B28="",$AR28=0),"",INDEX('Rework Log'!$G:$G,$AR28))</f>
        <v/>
      </c>
      <c r="AM28" s="50" t="str">
        <f t="shared" si="2"/>
        <v>NOT STARTED</v>
      </c>
      <c r="AN28" s="12" t="str">
        <f t="shared" si="3"/>
        <v>No</v>
      </c>
      <c r="AO28" s="12" t="str">
        <f t="shared" si="4"/>
        <v/>
      </c>
      <c r="AP28" s="12" t="str">
        <f t="shared" si="5"/>
        <v/>
      </c>
      <c r="AQ28" s="51"/>
      <c r="AR28" s="12">
        <f>IF($B28="","",SUMPRODUCT(MAX(('Rework Log'!$A$3:$A$500=$B28)*ROW('Rework Log'!$A$3:$A$500))))</f>
        <v>0</v>
      </c>
    </row>
    <row r="29" spans="1:44" x14ac:dyDescent="0.25">
      <c r="A29" s="12" t="s">
        <v>72</v>
      </c>
      <c r="B29" s="12" t="s">
        <v>167</v>
      </c>
      <c r="C29" s="12" t="s">
        <v>74</v>
      </c>
      <c r="D29" s="12" t="str">
        <f t="shared" ca="1" si="0"/>
        <v>Delivered</v>
      </c>
      <c r="E29" s="12"/>
      <c r="F29" s="42"/>
      <c r="G29" s="12" t="s">
        <v>109</v>
      </c>
      <c r="H29" s="12" t="s">
        <v>132</v>
      </c>
      <c r="I29" s="12"/>
      <c r="J29" s="12"/>
      <c r="K29" s="43">
        <v>46203</v>
      </c>
      <c r="L29" s="12" t="s">
        <v>150</v>
      </c>
      <c r="M29" s="44"/>
      <c r="N29" s="13"/>
      <c r="O29" s="12"/>
      <c r="P29" s="13">
        <v>46169</v>
      </c>
      <c r="Q29" s="45"/>
      <c r="R29" s="13"/>
      <c r="S29" s="12"/>
      <c r="T29" s="13">
        <v>46195</v>
      </c>
      <c r="U29" s="46"/>
      <c r="V29" s="13"/>
      <c r="W29" s="12"/>
      <c r="X29" s="13">
        <v>46197</v>
      </c>
      <c r="Y29" s="47"/>
      <c r="Z29" s="12"/>
      <c r="AA29" s="12"/>
      <c r="AB29" s="48"/>
      <c r="AC29" s="12"/>
      <c r="AD29" s="52"/>
      <c r="AE29" s="12"/>
      <c r="AF29" s="49" t="s">
        <v>83</v>
      </c>
      <c r="AG29" s="1"/>
      <c r="AH29" s="12" t="str">
        <f t="shared" si="1"/>
        <v/>
      </c>
      <c r="AI29" s="12">
        <f>IF($B29="","",COUNTIF('Rework Log'!$A$3:$A$500,$B29))</f>
        <v>0</v>
      </c>
      <c r="AJ29" s="12" t="str">
        <f>IF(OR($B29="",$AR29=0),"",INDEX('Rework Log'!$C:$C,$AR29))</f>
        <v/>
      </c>
      <c r="AK29" s="13" t="str">
        <f>IF(OR($B29="",$AR29=0),"",INDEX('Rework Log'!$H:$H,$AR29))</f>
        <v/>
      </c>
      <c r="AL29" s="12" t="str">
        <f>IF(OR($B29="",$AR29=0),"",INDEX('Rework Log'!$G:$G,$AR29))</f>
        <v/>
      </c>
      <c r="AM29" s="50" t="str">
        <f t="shared" si="2"/>
        <v>NOT STARTED</v>
      </c>
      <c r="AN29" s="12" t="str">
        <f t="shared" si="3"/>
        <v>No</v>
      </c>
      <c r="AO29" s="12" t="str">
        <f t="shared" si="4"/>
        <v/>
      </c>
      <c r="AP29" s="12" t="str">
        <f t="shared" si="5"/>
        <v/>
      </c>
      <c r="AQ29" s="51" t="s">
        <v>168</v>
      </c>
      <c r="AR29" s="12">
        <f>IF($B29="","",SUMPRODUCT(MAX(('Rework Log'!$A$3:$A$500=$B29)*ROW('Rework Log'!$A$3:$A$500))))</f>
        <v>0</v>
      </c>
    </row>
    <row r="30" spans="1:44" hidden="1" x14ac:dyDescent="0.25">
      <c r="A30" s="12" t="s">
        <v>169</v>
      </c>
      <c r="B30" s="12" t="s">
        <v>170</v>
      </c>
      <c r="C30" s="12" t="s">
        <v>158</v>
      </c>
      <c r="D30" s="12" t="str">
        <f t="shared" ca="1" si="0"/>
        <v>No target set</v>
      </c>
      <c r="E30" s="12">
        <v>1</v>
      </c>
      <c r="F30" s="42" t="s">
        <v>171</v>
      </c>
      <c r="G30" s="12" t="s">
        <v>101</v>
      </c>
      <c r="H30" s="12" t="s">
        <v>92</v>
      </c>
      <c r="I30" s="12" t="s">
        <v>171</v>
      </c>
      <c r="J30" s="12"/>
      <c r="K30" s="43">
        <v>46234</v>
      </c>
      <c r="L30" s="12" t="s">
        <v>172</v>
      </c>
      <c r="M30" s="44"/>
      <c r="N30" s="12"/>
      <c r="O30" s="12"/>
      <c r="P30" s="12"/>
      <c r="Q30" s="45"/>
      <c r="R30" s="13"/>
      <c r="S30" s="12"/>
      <c r="T30" s="13">
        <v>46213</v>
      </c>
      <c r="U30" s="46"/>
      <c r="V30" s="13"/>
      <c r="W30" s="12"/>
      <c r="X30" s="13">
        <v>46223</v>
      </c>
      <c r="Y30" s="47"/>
      <c r="Z30" s="12"/>
      <c r="AA30" s="12"/>
      <c r="AB30" s="48"/>
      <c r="AC30" s="12"/>
      <c r="AD30" s="52"/>
      <c r="AE30" s="12"/>
      <c r="AF30" s="49" t="s">
        <v>80</v>
      </c>
      <c r="AG30" s="1"/>
      <c r="AH30" s="12" t="str">
        <f t="shared" si="1"/>
        <v>Blocked at QA</v>
      </c>
      <c r="AI30" s="12">
        <f>IF($B30="","",COUNTIF('Rework Log'!$A$3:$A$500,$B30))</f>
        <v>0</v>
      </c>
      <c r="AJ30" s="12" t="str">
        <f>IF(OR($B30="",$AR30=0),"",INDEX('Rework Log'!$C:$C,$AR30))</f>
        <v/>
      </c>
      <c r="AK30" s="13" t="str">
        <f>IF(OR($B30="",$AR30=0),"",INDEX('Rework Log'!$H:$H,$AR30))</f>
        <v/>
      </c>
      <c r="AL30" s="12" t="str">
        <f>IF(OR($B30="",$AR30=0),"",INDEX('Rework Log'!$G:$G,$AR30))</f>
        <v/>
      </c>
      <c r="AM30" s="50" t="str">
        <f t="shared" si="2"/>
        <v>NOT STARTED</v>
      </c>
      <c r="AN30" s="12" t="str">
        <f t="shared" si="3"/>
        <v>No</v>
      </c>
      <c r="AO30" s="12" t="str">
        <f t="shared" si="4"/>
        <v/>
      </c>
      <c r="AP30" s="12" t="str">
        <f t="shared" si="5"/>
        <v/>
      </c>
      <c r="AQ30" s="51" t="s">
        <v>173</v>
      </c>
      <c r="AR30" s="12">
        <f>IF($B30="","",SUMPRODUCT(MAX(('Rework Log'!$A$3:$A$500=$B30)*ROW('Rework Log'!$A$3:$A$500))))</f>
        <v>0</v>
      </c>
    </row>
    <row r="31" spans="1:44" hidden="1" x14ac:dyDescent="0.25">
      <c r="A31" s="12" t="s">
        <v>169</v>
      </c>
      <c r="B31" s="12" t="s">
        <v>174</v>
      </c>
      <c r="C31" s="12" t="s">
        <v>158</v>
      </c>
      <c r="D31" s="12" t="str">
        <f t="shared" ca="1" si="0"/>
        <v>No target set</v>
      </c>
      <c r="E31" s="12">
        <v>2</v>
      </c>
      <c r="F31" s="42" t="s">
        <v>171</v>
      </c>
      <c r="G31" s="12" t="s">
        <v>162</v>
      </c>
      <c r="H31" s="12" t="s">
        <v>132</v>
      </c>
      <c r="I31" s="12" t="s">
        <v>171</v>
      </c>
      <c r="J31" s="12"/>
      <c r="K31" s="43">
        <v>46234</v>
      </c>
      <c r="L31" s="12" t="s">
        <v>172</v>
      </c>
      <c r="M31" s="44"/>
      <c r="N31" s="12"/>
      <c r="O31" s="12"/>
      <c r="P31" s="12"/>
      <c r="Q31" s="45"/>
      <c r="R31" s="13"/>
      <c r="S31" s="12"/>
      <c r="T31" s="13">
        <v>46218</v>
      </c>
      <c r="U31" s="46"/>
      <c r="V31" s="13"/>
      <c r="W31" s="12"/>
      <c r="X31" s="13">
        <v>46223</v>
      </c>
      <c r="Y31" s="47"/>
      <c r="Z31" s="12"/>
      <c r="AA31" s="12"/>
      <c r="AB31" s="48"/>
      <c r="AC31" s="12"/>
      <c r="AD31" s="52"/>
      <c r="AE31" s="12"/>
      <c r="AF31" s="49" t="s">
        <v>83</v>
      </c>
      <c r="AG31" s="1"/>
      <c r="AH31" s="12" t="str">
        <f t="shared" si="1"/>
        <v/>
      </c>
      <c r="AI31" s="12">
        <f>IF($B31="","",COUNTIF('Rework Log'!$A$3:$A$500,$B31))</f>
        <v>0</v>
      </c>
      <c r="AJ31" s="12" t="str">
        <f>IF(OR($B31="",$AR31=0),"",INDEX('Rework Log'!$C:$C,$AR31))</f>
        <v/>
      </c>
      <c r="AK31" s="13" t="str">
        <f>IF(OR($B31="",$AR31=0),"",INDEX('Rework Log'!$H:$H,$AR31))</f>
        <v/>
      </c>
      <c r="AL31" s="12" t="str">
        <f>IF(OR($B31="",$AR31=0),"",INDEX('Rework Log'!$G:$G,$AR31))</f>
        <v/>
      </c>
      <c r="AM31" s="50" t="str">
        <f t="shared" si="2"/>
        <v>NOT STARTED</v>
      </c>
      <c r="AN31" s="12" t="str">
        <f t="shared" si="3"/>
        <v>No</v>
      </c>
      <c r="AO31" s="12" t="str">
        <f t="shared" si="4"/>
        <v/>
      </c>
      <c r="AP31" s="12" t="str">
        <f t="shared" si="5"/>
        <v/>
      </c>
      <c r="AQ31" s="51" t="s">
        <v>175</v>
      </c>
      <c r="AR31" s="12">
        <f>IF($B31="","",SUMPRODUCT(MAX(('Rework Log'!$A$3:$A$500=$B31)*ROW('Rework Log'!$A$3:$A$500))))</f>
        <v>0</v>
      </c>
    </row>
    <row r="32" spans="1:44" hidden="1" x14ac:dyDescent="0.25">
      <c r="A32" s="12" t="s">
        <v>169</v>
      </c>
      <c r="B32" s="12" t="s">
        <v>176</v>
      </c>
      <c r="C32" s="12" t="s">
        <v>158</v>
      </c>
      <c r="D32" s="12" t="str">
        <f t="shared" ca="1" si="0"/>
        <v>No target set</v>
      </c>
      <c r="E32" s="12">
        <v>3</v>
      </c>
      <c r="F32" s="42" t="s">
        <v>171</v>
      </c>
      <c r="G32" s="12" t="s">
        <v>162</v>
      </c>
      <c r="H32" s="12" t="s">
        <v>132</v>
      </c>
      <c r="I32" s="12" t="s">
        <v>171</v>
      </c>
      <c r="J32" s="12"/>
      <c r="K32" s="43">
        <v>46234</v>
      </c>
      <c r="L32" s="12" t="s">
        <v>172</v>
      </c>
      <c r="M32" s="44"/>
      <c r="N32" s="12"/>
      <c r="O32" s="12"/>
      <c r="P32" s="12"/>
      <c r="Q32" s="45"/>
      <c r="R32" s="13"/>
      <c r="S32" s="12"/>
      <c r="T32" s="13">
        <v>46225</v>
      </c>
      <c r="U32" s="46"/>
      <c r="V32" s="13"/>
      <c r="W32" s="12"/>
      <c r="X32" s="13">
        <v>46223</v>
      </c>
      <c r="Y32" s="47"/>
      <c r="Z32" s="12"/>
      <c r="AA32" s="12"/>
      <c r="AB32" s="48"/>
      <c r="AC32" s="12"/>
      <c r="AD32" s="52"/>
      <c r="AE32" s="12"/>
      <c r="AF32" s="49" t="s">
        <v>83</v>
      </c>
      <c r="AG32" s="1"/>
      <c r="AH32" s="12" t="str">
        <f t="shared" si="1"/>
        <v/>
      </c>
      <c r="AI32" s="12">
        <f>IF($B32="","",COUNTIF('Rework Log'!$A$3:$A$500,$B32))</f>
        <v>0</v>
      </c>
      <c r="AJ32" s="12" t="str">
        <f>IF(OR($B32="",$AR32=0),"",INDEX('Rework Log'!$C:$C,$AR32))</f>
        <v/>
      </c>
      <c r="AK32" s="13" t="str">
        <f>IF(OR($B32="",$AR32=0),"",INDEX('Rework Log'!$H:$H,$AR32))</f>
        <v/>
      </c>
      <c r="AL32" s="12" t="str">
        <f>IF(OR($B32="",$AR32=0),"",INDEX('Rework Log'!$G:$G,$AR32))</f>
        <v/>
      </c>
      <c r="AM32" s="50" t="str">
        <f t="shared" si="2"/>
        <v>NOT STARTED</v>
      </c>
      <c r="AN32" s="12" t="str">
        <f t="shared" si="3"/>
        <v>No</v>
      </c>
      <c r="AO32" s="12" t="str">
        <f t="shared" si="4"/>
        <v/>
      </c>
      <c r="AP32" s="12" t="str">
        <f t="shared" si="5"/>
        <v/>
      </c>
      <c r="AQ32" s="51" t="s">
        <v>177</v>
      </c>
      <c r="AR32" s="12">
        <f>IF($B32="","",SUMPRODUCT(MAX(('Rework Log'!$A$3:$A$500=$B32)*ROW('Rework Log'!$A$3:$A$500))))</f>
        <v>0</v>
      </c>
    </row>
    <row r="33" spans="1:44" hidden="1" x14ac:dyDescent="0.25">
      <c r="A33" s="12" t="s">
        <v>169</v>
      </c>
      <c r="B33" s="12" t="s">
        <v>178</v>
      </c>
      <c r="C33" s="12" t="s">
        <v>158</v>
      </c>
      <c r="D33" s="12" t="str">
        <f t="shared" ca="1" si="0"/>
        <v>No target set</v>
      </c>
      <c r="E33" s="12">
        <v>4</v>
      </c>
      <c r="F33" s="42" t="s">
        <v>171</v>
      </c>
      <c r="G33" s="12" t="s">
        <v>91</v>
      </c>
      <c r="H33" s="12" t="s">
        <v>76</v>
      </c>
      <c r="I33" s="12" t="s">
        <v>171</v>
      </c>
      <c r="J33" s="12"/>
      <c r="K33" s="43">
        <v>46234</v>
      </c>
      <c r="L33" s="12" t="s">
        <v>172</v>
      </c>
      <c r="M33" s="44"/>
      <c r="N33" s="12"/>
      <c r="O33" s="12"/>
      <c r="P33" s="12"/>
      <c r="Q33" s="45"/>
      <c r="R33" s="13"/>
      <c r="S33" s="12"/>
      <c r="T33" s="13">
        <v>46227</v>
      </c>
      <c r="U33" s="46"/>
      <c r="V33" s="13"/>
      <c r="W33" s="12"/>
      <c r="X33" s="13">
        <v>46223</v>
      </c>
      <c r="Y33" s="47"/>
      <c r="Z33" s="12"/>
      <c r="AA33" s="12"/>
      <c r="AB33" s="48"/>
      <c r="AC33" s="12"/>
      <c r="AD33" s="52"/>
      <c r="AE33" s="12"/>
      <c r="AF33" s="49" t="s">
        <v>83</v>
      </c>
      <c r="AG33" s="1"/>
      <c r="AH33" s="12" t="str">
        <f t="shared" si="1"/>
        <v/>
      </c>
      <c r="AI33" s="12">
        <f>IF($B33="","",COUNTIF('Rework Log'!$A$3:$A$500,$B33))</f>
        <v>0</v>
      </c>
      <c r="AJ33" s="12" t="str">
        <f>IF(OR($B33="",$AR33=0),"",INDEX('Rework Log'!$C:$C,$AR33))</f>
        <v/>
      </c>
      <c r="AK33" s="13" t="str">
        <f>IF(OR($B33="",$AR33=0),"",INDEX('Rework Log'!$H:$H,$AR33))</f>
        <v/>
      </c>
      <c r="AL33" s="12" t="str">
        <f>IF(OR($B33="",$AR33=0),"",INDEX('Rework Log'!$G:$G,$AR33))</f>
        <v/>
      </c>
      <c r="AM33" s="50" t="str">
        <f t="shared" si="2"/>
        <v>NOT STARTED</v>
      </c>
      <c r="AN33" s="12" t="str">
        <f t="shared" si="3"/>
        <v>No</v>
      </c>
      <c r="AO33" s="12" t="str">
        <f t="shared" si="4"/>
        <v/>
      </c>
      <c r="AP33" s="12" t="str">
        <f t="shared" si="5"/>
        <v/>
      </c>
      <c r="AQ33" s="51" t="s">
        <v>179</v>
      </c>
      <c r="AR33" s="12">
        <f>IF($B33="","",SUMPRODUCT(MAX(('Rework Log'!$A$3:$A$500=$B33)*ROW('Rework Log'!$A$3:$A$500))))</f>
        <v>0</v>
      </c>
    </row>
    <row r="34" spans="1:44" hidden="1" x14ac:dyDescent="0.25">
      <c r="A34" s="12" t="s">
        <v>169</v>
      </c>
      <c r="B34" s="12" t="s">
        <v>180</v>
      </c>
      <c r="C34" s="12" t="s">
        <v>158</v>
      </c>
      <c r="D34" s="12" t="str">
        <f t="shared" ca="1" si="0"/>
        <v>No target set</v>
      </c>
      <c r="E34" s="12">
        <v>5</v>
      </c>
      <c r="F34" s="42" t="s">
        <v>171</v>
      </c>
      <c r="G34" s="12" t="s">
        <v>129</v>
      </c>
      <c r="H34" s="12" t="s">
        <v>132</v>
      </c>
      <c r="I34" s="12" t="s">
        <v>77</v>
      </c>
      <c r="J34" s="12"/>
      <c r="K34" s="43">
        <v>46234</v>
      </c>
      <c r="L34" s="12" t="s">
        <v>172</v>
      </c>
      <c r="M34" s="44"/>
      <c r="N34" s="12"/>
      <c r="O34" s="12"/>
      <c r="P34" s="12"/>
      <c r="Q34" s="45"/>
      <c r="R34" s="13"/>
      <c r="S34" s="12"/>
      <c r="T34" s="13">
        <v>46216</v>
      </c>
      <c r="U34" s="46"/>
      <c r="V34" s="13"/>
      <c r="W34" s="12"/>
      <c r="X34" s="13">
        <v>46225</v>
      </c>
      <c r="Y34" s="47"/>
      <c r="Z34" s="12"/>
      <c r="AA34" s="12"/>
      <c r="AB34" s="48"/>
      <c r="AC34" s="12"/>
      <c r="AD34" s="52"/>
      <c r="AE34" s="12"/>
      <c r="AF34" s="49" t="s">
        <v>80</v>
      </c>
      <c r="AG34" s="1"/>
      <c r="AH34" s="12" t="str">
        <f t="shared" si="1"/>
        <v>Blocked at QA</v>
      </c>
      <c r="AI34" s="12">
        <f>IF($B34="","",COUNTIF('Rework Log'!$A$3:$A$500,$B34))</f>
        <v>0</v>
      </c>
      <c r="AJ34" s="12" t="str">
        <f>IF(OR($B34="",$AR34=0),"",INDEX('Rework Log'!$C:$C,$AR34))</f>
        <v/>
      </c>
      <c r="AK34" s="13" t="str">
        <f>IF(OR($B34="",$AR34=0),"",INDEX('Rework Log'!$H:$H,$AR34))</f>
        <v/>
      </c>
      <c r="AL34" s="12" t="str">
        <f>IF(OR($B34="",$AR34=0),"",INDEX('Rework Log'!$G:$G,$AR34))</f>
        <v/>
      </c>
      <c r="AM34" s="50" t="str">
        <f t="shared" si="2"/>
        <v>NOT STARTED</v>
      </c>
      <c r="AN34" s="12" t="str">
        <f t="shared" si="3"/>
        <v>No</v>
      </c>
      <c r="AO34" s="12" t="str">
        <f t="shared" si="4"/>
        <v/>
      </c>
      <c r="AP34" s="12" t="str">
        <f t="shared" si="5"/>
        <v/>
      </c>
      <c r="AQ34" s="51" t="s">
        <v>181</v>
      </c>
      <c r="AR34" s="12">
        <f>IF($B34="","",SUMPRODUCT(MAX(('Rework Log'!$A$3:$A$500=$B34)*ROW('Rework Log'!$A$3:$A$500))))</f>
        <v>0</v>
      </c>
    </row>
    <row r="35" spans="1:44" hidden="1" x14ac:dyDescent="0.25">
      <c r="A35" s="12" t="s">
        <v>169</v>
      </c>
      <c r="B35" s="12" t="s">
        <v>182</v>
      </c>
      <c r="C35" s="12" t="s">
        <v>183</v>
      </c>
      <c r="D35" s="12" t="str">
        <f t="shared" ca="1" si="0"/>
        <v>No target set</v>
      </c>
      <c r="E35" s="12">
        <v>6</v>
      </c>
      <c r="F35" s="42" t="s">
        <v>184</v>
      </c>
      <c r="G35" s="12" t="s">
        <v>109</v>
      </c>
      <c r="H35" s="12" t="s">
        <v>92</v>
      </c>
      <c r="I35" s="12" t="s">
        <v>184</v>
      </c>
      <c r="J35" s="12"/>
      <c r="K35" s="43">
        <v>46234</v>
      </c>
      <c r="L35" s="12" t="s">
        <v>172</v>
      </c>
      <c r="M35" s="44"/>
      <c r="N35" s="12"/>
      <c r="O35" s="12"/>
      <c r="P35" s="12"/>
      <c r="Q35" s="45"/>
      <c r="R35" s="13"/>
      <c r="S35" s="12"/>
      <c r="T35" s="13">
        <v>46217</v>
      </c>
      <c r="U35" s="46"/>
      <c r="V35" s="13"/>
      <c r="W35" s="12"/>
      <c r="X35" s="13">
        <v>46223</v>
      </c>
      <c r="Y35" s="47"/>
      <c r="Z35" s="12"/>
      <c r="AA35" s="12"/>
      <c r="AB35" s="48"/>
      <c r="AC35" s="12"/>
      <c r="AD35" s="52"/>
      <c r="AE35" s="12"/>
      <c r="AF35" s="49" t="s">
        <v>83</v>
      </c>
      <c r="AG35" s="1"/>
      <c r="AH35" s="12" t="str">
        <f t="shared" si="1"/>
        <v/>
      </c>
      <c r="AI35" s="12">
        <f>IF($B35="","",COUNTIF('Rework Log'!$A$3:$A$500,$B35))</f>
        <v>1</v>
      </c>
      <c r="AJ35" s="12" t="str">
        <f>IF(OR($B35="",$AR35=0),"",INDEX('Rework Log'!$C:$C,$AR35))</f>
        <v>QA</v>
      </c>
      <c r="AK35" s="13">
        <f>IF(OR($B35="",$AR35=0),"",INDEX('Rework Log'!$H:$H,$AR35))</f>
        <v>0</v>
      </c>
      <c r="AL35" s="12">
        <f>IF(OR($B35="",$AR35=0),"",INDEX('Rework Log'!$G:$G,$AR35))</f>
        <v>0</v>
      </c>
      <c r="AM35" s="50" t="str">
        <f t="shared" si="2"/>
        <v>NOT STARTED</v>
      </c>
      <c r="AN35" s="12" t="str">
        <f t="shared" si="3"/>
        <v>No</v>
      </c>
      <c r="AO35" s="12" t="str">
        <f t="shared" si="4"/>
        <v/>
      </c>
      <c r="AP35" s="12" t="str">
        <f t="shared" si="5"/>
        <v/>
      </c>
      <c r="AQ35" s="51" t="s">
        <v>185</v>
      </c>
      <c r="AR35" s="12">
        <f>IF($B35="","",SUMPRODUCT(MAX(('Rework Log'!$A$3:$A$500=$B35)*ROW('Rework Log'!$A$3:$A$500))))</f>
        <v>3</v>
      </c>
    </row>
    <row r="36" spans="1:44" hidden="1" x14ac:dyDescent="0.25">
      <c r="A36" s="12" t="s">
        <v>169</v>
      </c>
      <c r="B36" s="12" t="s">
        <v>186</v>
      </c>
      <c r="C36" s="12" t="s">
        <v>183</v>
      </c>
      <c r="D36" s="12" t="str">
        <f t="shared" ca="1" si="0"/>
        <v>No target set</v>
      </c>
      <c r="E36" s="12">
        <v>7</v>
      </c>
      <c r="F36" s="42" t="s">
        <v>184</v>
      </c>
      <c r="G36" s="12" t="s">
        <v>162</v>
      </c>
      <c r="H36" s="12" t="s">
        <v>76</v>
      </c>
      <c r="I36" s="12" t="s">
        <v>184</v>
      </c>
      <c r="J36" s="12"/>
      <c r="K36" s="43">
        <v>46234</v>
      </c>
      <c r="L36" s="12" t="s">
        <v>172</v>
      </c>
      <c r="M36" s="44"/>
      <c r="N36" s="12"/>
      <c r="O36" s="12"/>
      <c r="P36" s="12"/>
      <c r="Q36" s="45"/>
      <c r="R36" s="13"/>
      <c r="S36" s="12"/>
      <c r="T36" s="13">
        <v>46221</v>
      </c>
      <c r="U36" s="46"/>
      <c r="V36" s="13"/>
      <c r="W36" s="12"/>
      <c r="X36" s="13">
        <v>46223</v>
      </c>
      <c r="Y36" s="47"/>
      <c r="Z36" s="12"/>
      <c r="AA36" s="12"/>
      <c r="AB36" s="48"/>
      <c r="AC36" s="12"/>
      <c r="AD36" s="52"/>
      <c r="AE36" s="12"/>
      <c r="AF36" s="49" t="s">
        <v>83</v>
      </c>
      <c r="AG36" s="1"/>
      <c r="AH36" s="12" t="str">
        <f t="shared" si="1"/>
        <v/>
      </c>
      <c r="AI36" s="12">
        <f>IF($B36="","",COUNTIF('Rework Log'!$A$3:$A$500,$B36))</f>
        <v>1</v>
      </c>
      <c r="AJ36" s="12" t="str">
        <f>IF(OR($B36="",$AR36=0),"",INDEX('Rework Log'!$C:$C,$AR36))</f>
        <v>QA</v>
      </c>
      <c r="AK36" s="13">
        <f>IF(OR($B36="",$AR36=0),"",INDEX('Rework Log'!$H:$H,$AR36))</f>
        <v>0</v>
      </c>
      <c r="AL36" s="12">
        <f>IF(OR($B36="",$AR36=0),"",INDEX('Rework Log'!$G:$G,$AR36))</f>
        <v>0</v>
      </c>
      <c r="AM36" s="50" t="str">
        <f t="shared" si="2"/>
        <v>NOT STARTED</v>
      </c>
      <c r="AN36" s="12" t="str">
        <f t="shared" si="3"/>
        <v>No</v>
      </c>
      <c r="AO36" s="12" t="str">
        <f t="shared" si="4"/>
        <v/>
      </c>
      <c r="AP36" s="12" t="str">
        <f t="shared" si="5"/>
        <v/>
      </c>
      <c r="AQ36" s="51" t="s">
        <v>187</v>
      </c>
      <c r="AR36" s="12">
        <f>IF($B36="","",SUMPRODUCT(MAX(('Rework Log'!$A$3:$A$500=$B36)*ROW('Rework Log'!$A$3:$A$500))))</f>
        <v>4</v>
      </c>
    </row>
    <row r="37" spans="1:44" hidden="1" x14ac:dyDescent="0.25">
      <c r="A37" s="12" t="s">
        <v>169</v>
      </c>
      <c r="B37" s="12" t="s">
        <v>188</v>
      </c>
      <c r="C37" s="12" t="s">
        <v>158</v>
      </c>
      <c r="D37" s="12" t="str">
        <f t="shared" ca="1" si="0"/>
        <v>No target set</v>
      </c>
      <c r="E37" s="12">
        <v>8</v>
      </c>
      <c r="F37" s="42" t="s">
        <v>184</v>
      </c>
      <c r="G37" s="12" t="s">
        <v>162</v>
      </c>
      <c r="H37" s="12" t="s">
        <v>76</v>
      </c>
      <c r="I37" s="12" t="s">
        <v>184</v>
      </c>
      <c r="J37" s="12"/>
      <c r="K37" s="43">
        <v>46234</v>
      </c>
      <c r="L37" s="12" t="s">
        <v>172</v>
      </c>
      <c r="M37" s="44"/>
      <c r="N37" s="12"/>
      <c r="O37" s="12"/>
      <c r="P37" s="12"/>
      <c r="Q37" s="45"/>
      <c r="R37" s="13"/>
      <c r="S37" s="12"/>
      <c r="T37" s="13">
        <v>46221</v>
      </c>
      <c r="U37" s="46"/>
      <c r="V37" s="13"/>
      <c r="W37" s="12"/>
      <c r="X37" s="13">
        <v>46223</v>
      </c>
      <c r="Y37" s="47"/>
      <c r="Z37" s="12"/>
      <c r="AA37" s="12"/>
      <c r="AB37" s="48"/>
      <c r="AC37" s="12"/>
      <c r="AD37" s="52"/>
      <c r="AE37" s="12"/>
      <c r="AF37" s="49" t="s">
        <v>83</v>
      </c>
      <c r="AG37" s="1"/>
      <c r="AH37" s="12" t="str">
        <f t="shared" si="1"/>
        <v/>
      </c>
      <c r="AI37" s="12">
        <f>IF($B37="","",COUNTIF('Rework Log'!$A$3:$A$500,$B37))</f>
        <v>0</v>
      </c>
      <c r="AJ37" s="12" t="str">
        <f>IF(OR($B37="",$AR37=0),"",INDEX('Rework Log'!$C:$C,$AR37))</f>
        <v/>
      </c>
      <c r="AK37" s="13" t="str">
        <f>IF(OR($B37="",$AR37=0),"",INDEX('Rework Log'!$H:$H,$AR37))</f>
        <v/>
      </c>
      <c r="AL37" s="12" t="str">
        <f>IF(OR($B37="",$AR37=0),"",INDEX('Rework Log'!$G:$G,$AR37))</f>
        <v/>
      </c>
      <c r="AM37" s="50" t="str">
        <f t="shared" si="2"/>
        <v>NOT STARTED</v>
      </c>
      <c r="AN37" s="12" t="str">
        <f t="shared" si="3"/>
        <v>No</v>
      </c>
      <c r="AO37" s="12" t="str">
        <f t="shared" si="4"/>
        <v/>
      </c>
      <c r="AP37" s="12" t="str">
        <f t="shared" si="5"/>
        <v/>
      </c>
      <c r="AQ37" s="51" t="s">
        <v>189</v>
      </c>
      <c r="AR37" s="12">
        <f>IF($B37="","",SUMPRODUCT(MAX(('Rework Log'!$A$3:$A$500=$B37)*ROW('Rework Log'!$A$3:$A$500))))</f>
        <v>0</v>
      </c>
    </row>
    <row r="38" spans="1:44" hidden="1" x14ac:dyDescent="0.25">
      <c r="A38" s="12" t="s">
        <v>169</v>
      </c>
      <c r="B38" s="12" t="s">
        <v>190</v>
      </c>
      <c r="C38" s="12" t="s">
        <v>158</v>
      </c>
      <c r="D38" s="12" t="str">
        <f t="shared" ca="1" si="0"/>
        <v>No target set</v>
      </c>
      <c r="E38" s="12">
        <v>9</v>
      </c>
      <c r="F38" s="42" t="s">
        <v>184</v>
      </c>
      <c r="G38" s="12" t="s">
        <v>109</v>
      </c>
      <c r="H38" s="12" t="s">
        <v>92</v>
      </c>
      <c r="I38" s="12" t="s">
        <v>184</v>
      </c>
      <c r="J38" s="12"/>
      <c r="K38" s="43">
        <v>46234</v>
      </c>
      <c r="L38" s="12" t="s">
        <v>172</v>
      </c>
      <c r="M38" s="44"/>
      <c r="N38" s="12"/>
      <c r="O38" s="12"/>
      <c r="P38" s="12"/>
      <c r="Q38" s="45"/>
      <c r="R38" s="13"/>
      <c r="S38" s="12"/>
      <c r="T38" s="13">
        <v>46220</v>
      </c>
      <c r="U38" s="46"/>
      <c r="V38" s="13"/>
      <c r="W38" s="12"/>
      <c r="X38" s="13">
        <v>46223</v>
      </c>
      <c r="Y38" s="47"/>
      <c r="Z38" s="12"/>
      <c r="AA38" s="12"/>
      <c r="AB38" s="48"/>
      <c r="AC38" s="12"/>
      <c r="AD38" s="52"/>
      <c r="AE38" s="12"/>
      <c r="AF38" s="49" t="s">
        <v>83</v>
      </c>
      <c r="AG38" s="1"/>
      <c r="AH38" s="12" t="str">
        <f t="shared" si="1"/>
        <v/>
      </c>
      <c r="AI38" s="12">
        <f>IF($B38="","",COUNTIF('Rework Log'!$A$3:$A$500,$B38))</f>
        <v>0</v>
      </c>
      <c r="AJ38" s="12" t="str">
        <f>IF(OR($B38="",$AR38=0),"",INDEX('Rework Log'!$C:$C,$AR38))</f>
        <v/>
      </c>
      <c r="AK38" s="13" t="str">
        <f>IF(OR($B38="",$AR38=0),"",INDEX('Rework Log'!$H:$H,$AR38))</f>
        <v/>
      </c>
      <c r="AL38" s="12" t="str">
        <f>IF(OR($B38="",$AR38=0),"",INDEX('Rework Log'!$G:$G,$AR38))</f>
        <v/>
      </c>
      <c r="AM38" s="50" t="str">
        <f t="shared" si="2"/>
        <v>NOT STARTED</v>
      </c>
      <c r="AN38" s="12" t="str">
        <f t="shared" si="3"/>
        <v>No</v>
      </c>
      <c r="AO38" s="12" t="str">
        <f t="shared" si="4"/>
        <v/>
      </c>
      <c r="AP38" s="12" t="str">
        <f t="shared" si="5"/>
        <v/>
      </c>
      <c r="AQ38" s="51" t="s">
        <v>191</v>
      </c>
      <c r="AR38" s="12">
        <f>IF($B38="","",SUMPRODUCT(MAX(('Rework Log'!$A$3:$A$500=$B38)*ROW('Rework Log'!$A$3:$A$500))))</f>
        <v>0</v>
      </c>
    </row>
    <row r="39" spans="1:44" hidden="1" x14ac:dyDescent="0.25">
      <c r="A39" s="12" t="s">
        <v>169</v>
      </c>
      <c r="B39" s="12" t="s">
        <v>192</v>
      </c>
      <c r="C39" s="12" t="s">
        <v>158</v>
      </c>
      <c r="D39" s="12" t="str">
        <f t="shared" ca="1" si="0"/>
        <v>No target set</v>
      </c>
      <c r="E39" s="12" t="s">
        <v>193</v>
      </c>
      <c r="F39" s="42" t="s">
        <v>184</v>
      </c>
      <c r="G39" s="12" t="s">
        <v>194</v>
      </c>
      <c r="H39" s="12" t="s">
        <v>92</v>
      </c>
      <c r="I39" s="12" t="s">
        <v>184</v>
      </c>
      <c r="J39" s="12"/>
      <c r="K39" s="43">
        <v>46234</v>
      </c>
      <c r="L39" s="12" t="s">
        <v>172</v>
      </c>
      <c r="M39" s="44"/>
      <c r="N39" s="12"/>
      <c r="O39" s="12"/>
      <c r="P39" s="12"/>
      <c r="Q39" s="45"/>
      <c r="R39" s="13"/>
      <c r="S39" s="12"/>
      <c r="T39" s="13">
        <v>46224</v>
      </c>
      <c r="U39" s="46"/>
      <c r="V39" s="13"/>
      <c r="W39" s="12"/>
      <c r="X39" s="13">
        <v>46223</v>
      </c>
      <c r="Y39" s="47"/>
      <c r="Z39" s="12"/>
      <c r="AA39" s="12"/>
      <c r="AB39" s="48"/>
      <c r="AC39" s="12"/>
      <c r="AD39" s="52"/>
      <c r="AE39" s="12"/>
      <c r="AF39" s="49" t="s">
        <v>83</v>
      </c>
      <c r="AG39" s="1"/>
      <c r="AH39" s="12" t="str">
        <f t="shared" si="1"/>
        <v/>
      </c>
      <c r="AI39" s="12">
        <f>IF($B39="","",COUNTIF('Rework Log'!$A$3:$A$500,$B39))</f>
        <v>0</v>
      </c>
      <c r="AJ39" s="12" t="str">
        <f>IF(OR($B39="",$AR39=0),"",INDEX('Rework Log'!$C:$C,$AR39))</f>
        <v/>
      </c>
      <c r="AK39" s="13" t="str">
        <f>IF(OR($B39="",$AR39=0),"",INDEX('Rework Log'!$H:$H,$AR39))</f>
        <v/>
      </c>
      <c r="AL39" s="12" t="str">
        <f>IF(OR($B39="",$AR39=0),"",INDEX('Rework Log'!$G:$G,$AR39))</f>
        <v/>
      </c>
      <c r="AM39" s="50" t="str">
        <f t="shared" si="2"/>
        <v>NOT STARTED</v>
      </c>
      <c r="AN39" s="12" t="str">
        <f t="shared" si="3"/>
        <v>No</v>
      </c>
      <c r="AO39" s="12" t="str">
        <f t="shared" si="4"/>
        <v/>
      </c>
      <c r="AP39" s="12" t="str">
        <f t="shared" si="5"/>
        <v/>
      </c>
      <c r="AQ39" s="51"/>
      <c r="AR39" s="12">
        <f>IF($B39="","",SUMPRODUCT(MAX(('Rework Log'!$A$3:$A$500=$B39)*ROW('Rework Log'!$A$3:$A$500))))</f>
        <v>0</v>
      </c>
    </row>
    <row r="40" spans="1:44" hidden="1" x14ac:dyDescent="0.25">
      <c r="A40" s="12" t="s">
        <v>169</v>
      </c>
      <c r="B40" s="12" t="s">
        <v>195</v>
      </c>
      <c r="C40" s="12" t="s">
        <v>158</v>
      </c>
      <c r="D40" s="12" t="str">
        <f t="shared" ca="1" si="0"/>
        <v>No target set</v>
      </c>
      <c r="E40" s="12">
        <v>11</v>
      </c>
      <c r="F40" s="42" t="s">
        <v>184</v>
      </c>
      <c r="G40" s="12" t="s">
        <v>194</v>
      </c>
      <c r="H40" s="12" t="s">
        <v>132</v>
      </c>
      <c r="I40" s="12" t="s">
        <v>77</v>
      </c>
      <c r="J40" s="12"/>
      <c r="K40" s="43">
        <v>46234</v>
      </c>
      <c r="L40" s="12" t="s">
        <v>172</v>
      </c>
      <c r="M40" s="44"/>
      <c r="N40" s="12"/>
      <c r="O40" s="12"/>
      <c r="P40" s="12"/>
      <c r="Q40" s="45"/>
      <c r="R40" s="13"/>
      <c r="S40" s="12"/>
      <c r="T40" s="13">
        <v>46225</v>
      </c>
      <c r="U40" s="46"/>
      <c r="V40" s="13"/>
      <c r="W40" s="12"/>
      <c r="X40" s="13">
        <v>46223</v>
      </c>
      <c r="Y40" s="47"/>
      <c r="Z40" s="12"/>
      <c r="AA40" s="12"/>
      <c r="AB40" s="48"/>
      <c r="AC40" s="12"/>
      <c r="AD40" s="52"/>
      <c r="AE40" s="12"/>
      <c r="AF40" s="49" t="s">
        <v>83</v>
      </c>
      <c r="AG40" s="1"/>
      <c r="AH40" s="12" t="str">
        <f t="shared" si="1"/>
        <v/>
      </c>
      <c r="AI40" s="12">
        <f>IF($B40="","",COUNTIF('Rework Log'!$A$3:$A$500,$B40))</f>
        <v>0</v>
      </c>
      <c r="AJ40" s="12" t="str">
        <f>IF(OR($B40="",$AR40=0),"",INDEX('Rework Log'!$C:$C,$AR40))</f>
        <v/>
      </c>
      <c r="AK40" s="13" t="str">
        <f>IF(OR($B40="",$AR40=0),"",INDEX('Rework Log'!$H:$H,$AR40))</f>
        <v/>
      </c>
      <c r="AL40" s="12" t="str">
        <f>IF(OR($B40="",$AR40=0),"",INDEX('Rework Log'!$G:$G,$AR40))</f>
        <v/>
      </c>
      <c r="AM40" s="50" t="str">
        <f t="shared" si="2"/>
        <v>NOT STARTED</v>
      </c>
      <c r="AN40" s="12" t="str">
        <f t="shared" si="3"/>
        <v>No</v>
      </c>
      <c r="AO40" s="12" t="str">
        <f t="shared" si="4"/>
        <v/>
      </c>
      <c r="AP40" s="12" t="str">
        <f t="shared" si="5"/>
        <v/>
      </c>
      <c r="AQ40" s="51" t="s">
        <v>196</v>
      </c>
      <c r="AR40" s="12">
        <f>IF($B40="","",SUMPRODUCT(MAX(('Rework Log'!$A$3:$A$500=$B40)*ROW('Rework Log'!$A$3:$A$500))))</f>
        <v>0</v>
      </c>
    </row>
    <row r="41" spans="1:44" hidden="1" x14ac:dyDescent="0.25">
      <c r="A41" s="12" t="s">
        <v>169</v>
      </c>
      <c r="B41" s="12" t="s">
        <v>197</v>
      </c>
      <c r="C41" s="12" t="s">
        <v>158</v>
      </c>
      <c r="D41" s="12" t="str">
        <f t="shared" ca="1" si="0"/>
        <v>No target set</v>
      </c>
      <c r="E41" s="12">
        <v>13</v>
      </c>
      <c r="F41" s="42" t="s">
        <v>171</v>
      </c>
      <c r="G41" s="12" t="s">
        <v>101</v>
      </c>
      <c r="H41" s="12" t="s">
        <v>76</v>
      </c>
      <c r="I41" s="12" t="s">
        <v>77</v>
      </c>
      <c r="J41" s="12"/>
      <c r="K41" s="43">
        <v>46234</v>
      </c>
      <c r="L41" s="12" t="s">
        <v>172</v>
      </c>
      <c r="M41" s="44"/>
      <c r="N41" s="12"/>
      <c r="O41" s="12"/>
      <c r="P41" s="12"/>
      <c r="Q41" s="45"/>
      <c r="R41" s="13"/>
      <c r="S41" s="12"/>
      <c r="T41" s="13">
        <v>46226</v>
      </c>
      <c r="U41" s="46"/>
      <c r="V41" s="13"/>
      <c r="W41" s="12"/>
      <c r="X41" s="13">
        <v>46223</v>
      </c>
      <c r="Y41" s="47"/>
      <c r="Z41" s="12"/>
      <c r="AA41" s="12"/>
      <c r="AB41" s="48"/>
      <c r="AC41" s="12"/>
      <c r="AD41" s="52"/>
      <c r="AE41" s="12"/>
      <c r="AF41" s="49" t="s">
        <v>83</v>
      </c>
      <c r="AG41" s="1"/>
      <c r="AH41" s="12" t="str">
        <f t="shared" si="1"/>
        <v/>
      </c>
      <c r="AI41" s="12">
        <f>IF($B41="","",COUNTIF('Rework Log'!$A$3:$A$500,$B41))</f>
        <v>0</v>
      </c>
      <c r="AJ41" s="12" t="str">
        <f>IF(OR($B41="",$AR41=0),"",INDEX('Rework Log'!$C:$C,$AR41))</f>
        <v/>
      </c>
      <c r="AK41" s="13" t="str">
        <f>IF(OR($B41="",$AR41=0),"",INDEX('Rework Log'!$H:$H,$AR41))</f>
        <v/>
      </c>
      <c r="AL41" s="12" t="str">
        <f>IF(OR($B41="",$AR41=0),"",INDEX('Rework Log'!$G:$G,$AR41))</f>
        <v/>
      </c>
      <c r="AM41" s="50" t="str">
        <f t="shared" si="2"/>
        <v>NOT STARTED</v>
      </c>
      <c r="AN41" s="12" t="str">
        <f t="shared" si="3"/>
        <v>No</v>
      </c>
      <c r="AO41" s="12" t="str">
        <f t="shared" si="4"/>
        <v/>
      </c>
      <c r="AP41" s="12" t="str">
        <f t="shared" si="5"/>
        <v/>
      </c>
      <c r="AQ41" s="51"/>
      <c r="AR41" s="12">
        <f>IF($B41="","",SUMPRODUCT(MAX(('Rework Log'!$A$3:$A$500=$B41)*ROW('Rework Log'!$A$3:$A$500))))</f>
        <v>0</v>
      </c>
    </row>
    <row r="42" spans="1:44" hidden="1" x14ac:dyDescent="0.25">
      <c r="A42" s="12" t="s">
        <v>169</v>
      </c>
      <c r="B42" s="12" t="s">
        <v>198</v>
      </c>
      <c r="C42" s="12" t="s">
        <v>158</v>
      </c>
      <c r="D42" s="12" t="str">
        <f t="shared" ca="1" si="0"/>
        <v>No target set</v>
      </c>
      <c r="E42" s="12">
        <v>14</v>
      </c>
      <c r="F42" s="42" t="s">
        <v>171</v>
      </c>
      <c r="G42" s="12" t="s">
        <v>91</v>
      </c>
      <c r="H42" s="12" t="s">
        <v>92</v>
      </c>
      <c r="I42" s="12" t="s">
        <v>77</v>
      </c>
      <c r="J42" s="12"/>
      <c r="K42" s="43">
        <v>46234</v>
      </c>
      <c r="L42" s="12" t="s">
        <v>172</v>
      </c>
      <c r="M42" s="44"/>
      <c r="N42" s="12"/>
      <c r="O42" s="12"/>
      <c r="P42" s="12"/>
      <c r="Q42" s="45"/>
      <c r="R42" s="13"/>
      <c r="S42" s="12"/>
      <c r="T42" s="13">
        <v>46225</v>
      </c>
      <c r="U42" s="46"/>
      <c r="V42" s="13"/>
      <c r="W42" s="12"/>
      <c r="X42" s="13">
        <v>46223</v>
      </c>
      <c r="Y42" s="47"/>
      <c r="Z42" s="12"/>
      <c r="AA42" s="12"/>
      <c r="AB42" s="48"/>
      <c r="AC42" s="12"/>
      <c r="AD42" s="52"/>
      <c r="AE42" s="12"/>
      <c r="AF42" s="49" t="s">
        <v>83</v>
      </c>
      <c r="AG42" s="1"/>
      <c r="AH42" s="12" t="str">
        <f t="shared" si="1"/>
        <v/>
      </c>
      <c r="AI42" s="12">
        <f>IF($B42="","",COUNTIF('Rework Log'!$A$3:$A$500,$B42))</f>
        <v>0</v>
      </c>
      <c r="AJ42" s="12" t="str">
        <f>IF(OR($B42="",$AR42=0),"",INDEX('Rework Log'!$C:$C,$AR42))</f>
        <v/>
      </c>
      <c r="AK42" s="13" t="str">
        <f>IF(OR($B42="",$AR42=0),"",INDEX('Rework Log'!$H:$H,$AR42))</f>
        <v/>
      </c>
      <c r="AL42" s="12" t="str">
        <f>IF(OR($B42="",$AR42=0),"",INDEX('Rework Log'!$G:$G,$AR42))</f>
        <v/>
      </c>
      <c r="AM42" s="50" t="str">
        <f t="shared" si="2"/>
        <v>NOT STARTED</v>
      </c>
      <c r="AN42" s="12" t="str">
        <f t="shared" si="3"/>
        <v>No</v>
      </c>
      <c r="AO42" s="12" t="str">
        <f t="shared" si="4"/>
        <v/>
      </c>
      <c r="AP42" s="12" t="str">
        <f t="shared" si="5"/>
        <v/>
      </c>
      <c r="AQ42" s="51"/>
      <c r="AR42" s="12">
        <f>IF($B42="","",SUMPRODUCT(MAX(('Rework Log'!$A$3:$A$500=$B42)*ROW('Rework Log'!$A$3:$A$500))))</f>
        <v>0</v>
      </c>
    </row>
    <row r="43" spans="1:44" hidden="1" x14ac:dyDescent="0.25">
      <c r="A43" s="12" t="s">
        <v>169</v>
      </c>
      <c r="B43" s="12" t="s">
        <v>199</v>
      </c>
      <c r="C43" s="12" t="s">
        <v>158</v>
      </c>
      <c r="D43" s="12" t="str">
        <f t="shared" ca="1" si="0"/>
        <v>No target set</v>
      </c>
      <c r="E43" s="12">
        <v>15</v>
      </c>
      <c r="F43" s="42" t="s">
        <v>184</v>
      </c>
      <c r="G43" s="12" t="s">
        <v>101</v>
      </c>
      <c r="H43" s="12" t="s">
        <v>132</v>
      </c>
      <c r="I43" s="12" t="s">
        <v>77</v>
      </c>
      <c r="J43" s="12"/>
      <c r="K43" s="43">
        <v>46234</v>
      </c>
      <c r="L43" s="12" t="s">
        <v>172</v>
      </c>
      <c r="M43" s="44"/>
      <c r="N43" s="12"/>
      <c r="O43" s="12"/>
      <c r="P43" s="12"/>
      <c r="Q43" s="45"/>
      <c r="R43" s="13"/>
      <c r="S43" s="12"/>
      <c r="T43" s="13">
        <v>46225</v>
      </c>
      <c r="U43" s="46"/>
      <c r="V43" s="13"/>
      <c r="W43" s="12"/>
      <c r="X43" s="13">
        <v>46230</v>
      </c>
      <c r="Y43" s="47"/>
      <c r="Z43" s="12"/>
      <c r="AA43" s="12"/>
      <c r="AB43" s="48"/>
      <c r="AC43" s="12"/>
      <c r="AD43" s="52"/>
      <c r="AE43" s="12"/>
      <c r="AF43" s="49" t="s">
        <v>83</v>
      </c>
      <c r="AG43" s="1"/>
      <c r="AH43" s="12" t="str">
        <f t="shared" si="1"/>
        <v/>
      </c>
      <c r="AI43" s="12">
        <f>IF($B43="","",COUNTIF('Rework Log'!$A$3:$A$500,$B43))</f>
        <v>0</v>
      </c>
      <c r="AJ43" s="12" t="str">
        <f>IF(OR($B43="",$AR43=0),"",INDEX('Rework Log'!$C:$C,$AR43))</f>
        <v/>
      </c>
      <c r="AK43" s="13" t="str">
        <f>IF(OR($B43="",$AR43=0),"",INDEX('Rework Log'!$H:$H,$AR43))</f>
        <v/>
      </c>
      <c r="AL43" s="12" t="str">
        <f>IF(OR($B43="",$AR43=0),"",INDEX('Rework Log'!$G:$G,$AR43))</f>
        <v/>
      </c>
      <c r="AM43" s="50" t="str">
        <f t="shared" si="2"/>
        <v>NOT STARTED</v>
      </c>
      <c r="AN43" s="12" t="str">
        <f t="shared" si="3"/>
        <v>No</v>
      </c>
      <c r="AO43" s="12" t="str">
        <f t="shared" si="4"/>
        <v/>
      </c>
      <c r="AP43" s="12" t="str">
        <f t="shared" si="5"/>
        <v/>
      </c>
      <c r="AQ43" s="51"/>
      <c r="AR43" s="12">
        <f>IF($B43="","",SUMPRODUCT(MAX(('Rework Log'!$A$3:$A$500=$B43)*ROW('Rework Log'!$A$3:$A$500))))</f>
        <v>0</v>
      </c>
    </row>
    <row r="44" spans="1:44" hidden="1" x14ac:dyDescent="0.25">
      <c r="A44" s="12" t="s">
        <v>169</v>
      </c>
      <c r="B44" s="12" t="s">
        <v>200</v>
      </c>
      <c r="C44" s="12" t="s">
        <v>158</v>
      </c>
      <c r="D44" s="12" t="str">
        <f t="shared" ca="1" si="0"/>
        <v>No target set</v>
      </c>
      <c r="E44" s="12" t="s">
        <v>201</v>
      </c>
      <c r="F44" s="42"/>
      <c r="G44" s="12" t="s">
        <v>129</v>
      </c>
      <c r="H44" s="12"/>
      <c r="I44" s="12"/>
      <c r="J44" s="12"/>
      <c r="K44" s="43">
        <v>46265</v>
      </c>
      <c r="L44" s="12" t="s">
        <v>202</v>
      </c>
      <c r="M44" s="44"/>
      <c r="N44" s="12"/>
      <c r="O44" s="12"/>
      <c r="P44" s="12"/>
      <c r="Q44" s="45"/>
      <c r="R44" s="12"/>
      <c r="S44" s="12"/>
      <c r="T44" s="12"/>
      <c r="U44" s="46"/>
      <c r="V44" s="12"/>
      <c r="W44" s="12"/>
      <c r="X44" s="12"/>
      <c r="Y44" s="47"/>
      <c r="Z44" s="12"/>
      <c r="AA44" s="12"/>
      <c r="AB44" s="48"/>
      <c r="AC44" s="12"/>
      <c r="AD44" s="52"/>
      <c r="AE44" s="12"/>
      <c r="AF44" s="49" t="s">
        <v>83</v>
      </c>
      <c r="AG44" s="1"/>
      <c r="AH44" s="12" t="str">
        <f t="shared" si="1"/>
        <v/>
      </c>
      <c r="AI44" s="12">
        <f>IF($B44="","",COUNTIF('Rework Log'!$A$3:$A$500,$B44))</f>
        <v>0</v>
      </c>
      <c r="AJ44" s="12" t="str">
        <f>IF(OR($B44="",$AR44=0),"",INDEX('Rework Log'!$C:$C,$AR44))</f>
        <v/>
      </c>
      <c r="AK44" s="13" t="str">
        <f>IF(OR($B44="",$AR44=0),"",INDEX('Rework Log'!$H:$H,$AR44))</f>
        <v/>
      </c>
      <c r="AL44" s="12" t="str">
        <f>IF(OR($B44="",$AR44=0),"",INDEX('Rework Log'!$G:$G,$AR44))</f>
        <v/>
      </c>
      <c r="AM44" s="50" t="str">
        <f t="shared" si="2"/>
        <v>NOT STARTED</v>
      </c>
      <c r="AN44" s="12" t="str">
        <f t="shared" si="3"/>
        <v>No</v>
      </c>
      <c r="AO44" s="12" t="str">
        <f t="shared" si="4"/>
        <v/>
      </c>
      <c r="AP44" s="12" t="str">
        <f t="shared" si="5"/>
        <v/>
      </c>
      <c r="AQ44" s="51"/>
      <c r="AR44" s="12">
        <f>IF($B44="","",SUMPRODUCT(MAX(('Rework Log'!$A$3:$A$500=$B44)*ROW('Rework Log'!$A$3:$A$500))))</f>
        <v>0</v>
      </c>
    </row>
    <row r="45" spans="1:44" hidden="1" x14ac:dyDescent="0.25">
      <c r="A45" s="12" t="s">
        <v>169</v>
      </c>
      <c r="B45" s="12" t="s">
        <v>203</v>
      </c>
      <c r="C45" s="12" t="s">
        <v>204</v>
      </c>
      <c r="D45" s="12" t="str">
        <f t="shared" ca="1" si="0"/>
        <v>On track</v>
      </c>
      <c r="E45" s="12">
        <v>18</v>
      </c>
      <c r="F45" s="42"/>
      <c r="G45" s="12" t="s">
        <v>91</v>
      </c>
      <c r="H45" s="12"/>
      <c r="I45" s="12"/>
      <c r="J45" s="12"/>
      <c r="K45" s="43">
        <v>46265</v>
      </c>
      <c r="L45" s="12" t="s">
        <v>202</v>
      </c>
      <c r="M45" s="44"/>
      <c r="N45" s="12"/>
      <c r="O45" s="12"/>
      <c r="P45" s="12"/>
      <c r="Q45" s="45"/>
      <c r="R45" s="12"/>
      <c r="S45" s="12"/>
      <c r="T45" s="12"/>
      <c r="U45" s="46"/>
      <c r="V45" s="12"/>
      <c r="W45" s="12"/>
      <c r="X45" s="12"/>
      <c r="Y45" s="47"/>
      <c r="Z45" s="12"/>
      <c r="AA45" s="12"/>
      <c r="AB45" s="48"/>
      <c r="AC45" s="12"/>
      <c r="AD45" s="52"/>
      <c r="AE45" s="12"/>
      <c r="AF45" s="49" t="s">
        <v>83</v>
      </c>
      <c r="AG45" s="1"/>
      <c r="AH45" s="12" t="str">
        <f t="shared" si="1"/>
        <v/>
      </c>
      <c r="AI45" s="12">
        <f>IF($B45="","",COUNTIF('Rework Log'!$A$3:$A$500,$B45))</f>
        <v>0</v>
      </c>
      <c r="AJ45" s="12" t="str">
        <f>IF(OR($B45="",$AR45=0),"",INDEX('Rework Log'!$C:$C,$AR45))</f>
        <v/>
      </c>
      <c r="AK45" s="13" t="str">
        <f>IF(OR($B45="",$AR45=0),"",INDEX('Rework Log'!$H:$H,$AR45))</f>
        <v/>
      </c>
      <c r="AL45" s="12" t="str">
        <f>IF(OR($B45="",$AR45=0),"",INDEX('Rework Log'!$G:$G,$AR45))</f>
        <v/>
      </c>
      <c r="AM45" s="50" t="str">
        <f t="shared" si="2"/>
        <v>NOT STARTED</v>
      </c>
      <c r="AN45" s="12" t="str">
        <f t="shared" si="3"/>
        <v>No</v>
      </c>
      <c r="AO45" s="12" t="str">
        <f t="shared" si="4"/>
        <v/>
      </c>
      <c r="AP45" s="12" t="str">
        <f t="shared" si="5"/>
        <v/>
      </c>
      <c r="AQ45" s="51"/>
      <c r="AR45" s="12">
        <f>IF($B45="","",SUMPRODUCT(MAX(('Rework Log'!$A$3:$A$500=$B45)*ROW('Rework Log'!$A$3:$A$500))))</f>
        <v>0</v>
      </c>
    </row>
    <row r="46" spans="1:44" hidden="1" x14ac:dyDescent="0.25">
      <c r="A46" s="12" t="s">
        <v>169</v>
      </c>
      <c r="B46" s="12" t="s">
        <v>205</v>
      </c>
      <c r="C46" s="12" t="s">
        <v>204</v>
      </c>
      <c r="D46" s="12" t="str">
        <f t="shared" ca="1" si="0"/>
        <v>On track</v>
      </c>
      <c r="E46" s="12">
        <v>19</v>
      </c>
      <c r="F46" s="42"/>
      <c r="G46" s="12" t="s">
        <v>75</v>
      </c>
      <c r="H46" s="12"/>
      <c r="I46" s="12"/>
      <c r="J46" s="12"/>
      <c r="K46" s="43">
        <v>46265</v>
      </c>
      <c r="L46" s="12" t="s">
        <v>202</v>
      </c>
      <c r="M46" s="44"/>
      <c r="N46" s="12"/>
      <c r="O46" s="12"/>
      <c r="P46" s="12"/>
      <c r="Q46" s="45"/>
      <c r="R46" s="12"/>
      <c r="S46" s="12"/>
      <c r="T46" s="12"/>
      <c r="U46" s="46"/>
      <c r="V46" s="12"/>
      <c r="W46" s="12"/>
      <c r="X46" s="12"/>
      <c r="Y46" s="47"/>
      <c r="Z46" s="12"/>
      <c r="AA46" s="12"/>
      <c r="AB46" s="48"/>
      <c r="AC46" s="12"/>
      <c r="AD46" s="52"/>
      <c r="AE46" s="12"/>
      <c r="AF46" s="49" t="s">
        <v>83</v>
      </c>
      <c r="AG46" s="1"/>
      <c r="AH46" s="12" t="str">
        <f t="shared" si="1"/>
        <v/>
      </c>
      <c r="AI46" s="12">
        <f>IF($B46="","",COUNTIF('Rework Log'!$A$3:$A$500,$B46))</f>
        <v>0</v>
      </c>
      <c r="AJ46" s="12" t="str">
        <f>IF(OR($B46="",$AR46=0),"",INDEX('Rework Log'!$C:$C,$AR46))</f>
        <v/>
      </c>
      <c r="AK46" s="13" t="str">
        <f>IF(OR($B46="",$AR46=0),"",INDEX('Rework Log'!$H:$H,$AR46))</f>
        <v/>
      </c>
      <c r="AL46" s="12" t="str">
        <f>IF(OR($B46="",$AR46=0),"",INDEX('Rework Log'!$G:$G,$AR46))</f>
        <v/>
      </c>
      <c r="AM46" s="50" t="str">
        <f t="shared" si="2"/>
        <v>NOT STARTED</v>
      </c>
      <c r="AN46" s="12" t="str">
        <f t="shared" si="3"/>
        <v>No</v>
      </c>
      <c r="AO46" s="12" t="str">
        <f t="shared" si="4"/>
        <v/>
      </c>
      <c r="AP46" s="12" t="str">
        <f t="shared" si="5"/>
        <v/>
      </c>
      <c r="AQ46" s="51"/>
      <c r="AR46" s="12">
        <f>IF($B46="","",SUMPRODUCT(MAX(('Rework Log'!$A$3:$A$500=$B46)*ROW('Rework Log'!$A$3:$A$500))))</f>
        <v>0</v>
      </c>
    </row>
    <row r="47" spans="1:44" hidden="1" x14ac:dyDescent="0.25">
      <c r="A47" s="12" t="s">
        <v>169</v>
      </c>
      <c r="B47" s="12" t="s">
        <v>206</v>
      </c>
      <c r="C47" s="12" t="s">
        <v>158</v>
      </c>
      <c r="D47" s="12" t="str">
        <f t="shared" ca="1" si="0"/>
        <v>No target set</v>
      </c>
      <c r="E47" s="12">
        <v>20</v>
      </c>
      <c r="F47" s="42"/>
      <c r="G47" s="12" t="s">
        <v>109</v>
      </c>
      <c r="H47" s="12"/>
      <c r="I47" s="12"/>
      <c r="J47" s="12"/>
      <c r="K47" s="43">
        <v>46265</v>
      </c>
      <c r="L47" s="12" t="s">
        <v>202</v>
      </c>
      <c r="M47" s="44"/>
      <c r="N47" s="12"/>
      <c r="O47" s="12"/>
      <c r="P47" s="12"/>
      <c r="Q47" s="45"/>
      <c r="R47" s="12"/>
      <c r="S47" s="12"/>
      <c r="T47" s="12"/>
      <c r="U47" s="46"/>
      <c r="V47" s="12"/>
      <c r="W47" s="12"/>
      <c r="X47" s="12"/>
      <c r="Y47" s="47"/>
      <c r="Z47" s="12"/>
      <c r="AA47" s="12"/>
      <c r="AB47" s="48"/>
      <c r="AC47" s="12"/>
      <c r="AD47" s="52"/>
      <c r="AE47" s="12"/>
      <c r="AF47" s="49" t="s">
        <v>83</v>
      </c>
      <c r="AG47" s="1"/>
      <c r="AH47" s="12" t="str">
        <f t="shared" si="1"/>
        <v/>
      </c>
      <c r="AI47" s="12">
        <f>IF($B47="","",COUNTIF('Rework Log'!$A$3:$A$500,$B47))</f>
        <v>0</v>
      </c>
      <c r="AJ47" s="12" t="str">
        <f>IF(OR($B47="",$AR47=0),"",INDEX('Rework Log'!$C:$C,$AR47))</f>
        <v/>
      </c>
      <c r="AK47" s="13" t="str">
        <f>IF(OR($B47="",$AR47=0),"",INDEX('Rework Log'!$H:$H,$AR47))</f>
        <v/>
      </c>
      <c r="AL47" s="12" t="str">
        <f>IF(OR($B47="",$AR47=0),"",INDEX('Rework Log'!$G:$G,$AR47))</f>
        <v/>
      </c>
      <c r="AM47" s="50" t="str">
        <f t="shared" si="2"/>
        <v>NOT STARTED</v>
      </c>
      <c r="AN47" s="12" t="str">
        <f t="shared" si="3"/>
        <v>No</v>
      </c>
      <c r="AO47" s="12" t="str">
        <f t="shared" si="4"/>
        <v/>
      </c>
      <c r="AP47" s="12" t="str">
        <f t="shared" si="5"/>
        <v/>
      </c>
      <c r="AQ47" s="51"/>
      <c r="AR47" s="12">
        <f>IF($B47="","",SUMPRODUCT(MAX(('Rework Log'!$A$3:$A$500=$B47)*ROW('Rework Log'!$A$3:$A$500))))</f>
        <v>0</v>
      </c>
    </row>
    <row r="48" spans="1:44" hidden="1" x14ac:dyDescent="0.25">
      <c r="A48" s="12" t="s">
        <v>169</v>
      </c>
      <c r="B48" s="12" t="s">
        <v>207</v>
      </c>
      <c r="C48" s="12" t="s">
        <v>204</v>
      </c>
      <c r="D48" s="12" t="str">
        <f t="shared" ca="1" si="0"/>
        <v>On track</v>
      </c>
      <c r="E48" s="12">
        <v>21</v>
      </c>
      <c r="F48" s="42"/>
      <c r="G48" s="12" t="s">
        <v>194</v>
      </c>
      <c r="H48" s="12"/>
      <c r="I48" s="12"/>
      <c r="J48" s="12"/>
      <c r="K48" s="43">
        <v>46265</v>
      </c>
      <c r="L48" s="12" t="s">
        <v>202</v>
      </c>
      <c r="M48" s="44"/>
      <c r="N48" s="12"/>
      <c r="O48" s="12"/>
      <c r="P48" s="12"/>
      <c r="Q48" s="45"/>
      <c r="R48" s="12"/>
      <c r="S48" s="12"/>
      <c r="T48" s="12"/>
      <c r="U48" s="46"/>
      <c r="V48" s="12"/>
      <c r="W48" s="12"/>
      <c r="X48" s="12"/>
      <c r="Y48" s="47"/>
      <c r="Z48" s="12"/>
      <c r="AA48" s="12"/>
      <c r="AB48" s="48"/>
      <c r="AC48" s="12"/>
      <c r="AD48" s="52"/>
      <c r="AE48" s="12"/>
      <c r="AF48" s="49" t="s">
        <v>83</v>
      </c>
      <c r="AG48" s="1"/>
      <c r="AH48" s="12" t="str">
        <f t="shared" si="1"/>
        <v/>
      </c>
      <c r="AI48" s="12">
        <f>IF($B48="","",COUNTIF('Rework Log'!$A$3:$A$500,$B48))</f>
        <v>0</v>
      </c>
      <c r="AJ48" s="12" t="str">
        <f>IF(OR($B48="",$AR48=0),"",INDEX('Rework Log'!$C:$C,$AR48))</f>
        <v/>
      </c>
      <c r="AK48" s="13" t="str">
        <f>IF(OR($B48="",$AR48=0),"",INDEX('Rework Log'!$H:$H,$AR48))</f>
        <v/>
      </c>
      <c r="AL48" s="12" t="str">
        <f>IF(OR($B48="",$AR48=0),"",INDEX('Rework Log'!$G:$G,$AR48))</f>
        <v/>
      </c>
      <c r="AM48" s="50" t="str">
        <f t="shared" si="2"/>
        <v>NOT STARTED</v>
      </c>
      <c r="AN48" s="12" t="str">
        <f t="shared" si="3"/>
        <v>No</v>
      </c>
      <c r="AO48" s="12" t="str">
        <f t="shared" si="4"/>
        <v/>
      </c>
      <c r="AP48" s="12" t="str">
        <f t="shared" si="5"/>
        <v/>
      </c>
      <c r="AQ48" s="51"/>
      <c r="AR48" s="12">
        <f>IF($B48="","",SUMPRODUCT(MAX(('Rework Log'!$A$3:$A$500=$B48)*ROW('Rework Log'!$A$3:$A$500))))</f>
        <v>0</v>
      </c>
    </row>
    <row r="49" spans="1:44" hidden="1" x14ac:dyDescent="0.25">
      <c r="A49" s="12" t="s">
        <v>169</v>
      </c>
      <c r="B49" s="12" t="s">
        <v>208</v>
      </c>
      <c r="C49" s="12" t="s">
        <v>204</v>
      </c>
      <c r="D49" s="12" t="str">
        <f t="shared" ca="1" si="0"/>
        <v>On track</v>
      </c>
      <c r="E49" s="12">
        <v>22</v>
      </c>
      <c r="F49" s="42"/>
      <c r="G49" s="12" t="s">
        <v>91</v>
      </c>
      <c r="H49" s="12"/>
      <c r="I49" s="12"/>
      <c r="J49" s="12"/>
      <c r="K49" s="43">
        <v>46265</v>
      </c>
      <c r="L49" s="12" t="s">
        <v>202</v>
      </c>
      <c r="M49" s="44"/>
      <c r="N49" s="12"/>
      <c r="O49" s="12"/>
      <c r="P49" s="12"/>
      <c r="Q49" s="45"/>
      <c r="R49" s="12"/>
      <c r="S49" s="12"/>
      <c r="T49" s="12"/>
      <c r="U49" s="46"/>
      <c r="V49" s="12"/>
      <c r="W49" s="12"/>
      <c r="X49" s="12"/>
      <c r="Y49" s="47"/>
      <c r="Z49" s="12"/>
      <c r="AA49" s="12"/>
      <c r="AB49" s="48"/>
      <c r="AC49" s="12"/>
      <c r="AD49" s="52"/>
      <c r="AE49" s="12"/>
      <c r="AF49" s="49" t="s">
        <v>83</v>
      </c>
      <c r="AG49" s="1"/>
      <c r="AH49" s="12" t="str">
        <f t="shared" si="1"/>
        <v/>
      </c>
      <c r="AI49" s="12">
        <f>IF($B49="","",COUNTIF('Rework Log'!$A$3:$A$500,$B49))</f>
        <v>0</v>
      </c>
      <c r="AJ49" s="12" t="str">
        <f>IF(OR($B49="",$AR49=0),"",INDEX('Rework Log'!$C:$C,$AR49))</f>
        <v/>
      </c>
      <c r="AK49" s="13" t="str">
        <f>IF(OR($B49="",$AR49=0),"",INDEX('Rework Log'!$H:$H,$AR49))</f>
        <v/>
      </c>
      <c r="AL49" s="12" t="str">
        <f>IF(OR($B49="",$AR49=0),"",INDEX('Rework Log'!$G:$G,$AR49))</f>
        <v/>
      </c>
      <c r="AM49" s="50" t="str">
        <f t="shared" si="2"/>
        <v>NOT STARTED</v>
      </c>
      <c r="AN49" s="12" t="str">
        <f t="shared" si="3"/>
        <v>No</v>
      </c>
      <c r="AO49" s="12" t="str">
        <f t="shared" si="4"/>
        <v/>
      </c>
      <c r="AP49" s="12" t="str">
        <f t="shared" si="5"/>
        <v/>
      </c>
      <c r="AQ49" s="51"/>
      <c r="AR49" s="12">
        <f>IF($B49="","",SUMPRODUCT(MAX(('Rework Log'!$A$3:$A$500=$B49)*ROW('Rework Log'!$A$3:$A$500))))</f>
        <v>0</v>
      </c>
    </row>
    <row r="50" spans="1:44" hidden="1" x14ac:dyDescent="0.25">
      <c r="A50" s="12" t="s">
        <v>169</v>
      </c>
      <c r="B50" s="12" t="s">
        <v>209</v>
      </c>
      <c r="C50" s="12" t="s">
        <v>204</v>
      </c>
      <c r="D50" s="12" t="str">
        <f t="shared" ca="1" si="0"/>
        <v>On track</v>
      </c>
      <c r="E50" s="12">
        <v>23</v>
      </c>
      <c r="F50" s="42"/>
      <c r="G50" s="12" t="s">
        <v>194</v>
      </c>
      <c r="H50" s="12"/>
      <c r="I50" s="12"/>
      <c r="J50" s="12"/>
      <c r="K50" s="43">
        <v>46265</v>
      </c>
      <c r="L50" s="12" t="s">
        <v>202</v>
      </c>
      <c r="M50" s="44"/>
      <c r="N50" s="12"/>
      <c r="O50" s="12"/>
      <c r="P50" s="12"/>
      <c r="Q50" s="45"/>
      <c r="R50" s="12"/>
      <c r="S50" s="12"/>
      <c r="T50" s="12"/>
      <c r="U50" s="46"/>
      <c r="V50" s="12"/>
      <c r="W50" s="12"/>
      <c r="X50" s="12"/>
      <c r="Y50" s="47"/>
      <c r="Z50" s="12"/>
      <c r="AA50" s="12"/>
      <c r="AB50" s="48"/>
      <c r="AC50" s="12"/>
      <c r="AD50" s="52"/>
      <c r="AE50" s="12"/>
      <c r="AF50" s="49" t="s">
        <v>83</v>
      </c>
      <c r="AG50" s="1"/>
      <c r="AH50" s="12" t="str">
        <f t="shared" si="1"/>
        <v/>
      </c>
      <c r="AI50" s="12">
        <f>IF($B50="","",COUNTIF('Rework Log'!$A$3:$A$500,$B50))</f>
        <v>0</v>
      </c>
      <c r="AJ50" s="12" t="str">
        <f>IF(OR($B50="",$AR50=0),"",INDEX('Rework Log'!$C:$C,$AR50))</f>
        <v/>
      </c>
      <c r="AK50" s="13" t="str">
        <f>IF(OR($B50="",$AR50=0),"",INDEX('Rework Log'!$H:$H,$AR50))</f>
        <v/>
      </c>
      <c r="AL50" s="12" t="str">
        <f>IF(OR($B50="",$AR50=0),"",INDEX('Rework Log'!$G:$G,$AR50))</f>
        <v/>
      </c>
      <c r="AM50" s="50" t="str">
        <f t="shared" si="2"/>
        <v>NOT STARTED</v>
      </c>
      <c r="AN50" s="12" t="str">
        <f t="shared" si="3"/>
        <v>No</v>
      </c>
      <c r="AO50" s="12" t="str">
        <f t="shared" si="4"/>
        <v/>
      </c>
      <c r="AP50" s="12" t="str">
        <f t="shared" si="5"/>
        <v/>
      </c>
      <c r="AQ50" s="51"/>
      <c r="AR50" s="12">
        <f>IF($B50="","",SUMPRODUCT(MAX(('Rework Log'!$A$3:$A$500=$B50)*ROW('Rework Log'!$A$3:$A$500))))</f>
        <v>0</v>
      </c>
    </row>
    <row r="51" spans="1:44" hidden="1" x14ac:dyDescent="0.25">
      <c r="A51" s="12" t="s">
        <v>169</v>
      </c>
      <c r="B51" s="12" t="s">
        <v>210</v>
      </c>
      <c r="C51" s="12" t="s">
        <v>204</v>
      </c>
      <c r="D51" s="12" t="str">
        <f t="shared" ca="1" si="0"/>
        <v>On track</v>
      </c>
      <c r="E51" s="12">
        <v>25</v>
      </c>
      <c r="F51" s="42"/>
      <c r="G51" s="12" t="s">
        <v>75</v>
      </c>
      <c r="H51" s="12"/>
      <c r="I51" s="12"/>
      <c r="J51" s="12"/>
      <c r="K51" s="43">
        <v>46265</v>
      </c>
      <c r="L51" s="12" t="s">
        <v>202</v>
      </c>
      <c r="M51" s="44"/>
      <c r="N51" s="12"/>
      <c r="O51" s="12"/>
      <c r="P51" s="12"/>
      <c r="Q51" s="45"/>
      <c r="R51" s="12"/>
      <c r="S51" s="12"/>
      <c r="T51" s="12"/>
      <c r="U51" s="46"/>
      <c r="V51" s="12"/>
      <c r="W51" s="12"/>
      <c r="X51" s="12"/>
      <c r="Y51" s="47"/>
      <c r="Z51" s="12"/>
      <c r="AA51" s="12"/>
      <c r="AB51" s="48"/>
      <c r="AC51" s="12"/>
      <c r="AD51" s="52"/>
      <c r="AE51" s="12"/>
      <c r="AF51" s="49" t="s">
        <v>83</v>
      </c>
      <c r="AG51" s="1"/>
      <c r="AH51" s="12" t="str">
        <f t="shared" si="1"/>
        <v/>
      </c>
      <c r="AI51" s="12">
        <f>IF($B51="","",COUNTIF('Rework Log'!$A$3:$A$500,$B51))</f>
        <v>0</v>
      </c>
      <c r="AJ51" s="12" t="str">
        <f>IF(OR($B51="",$AR51=0),"",INDEX('Rework Log'!$C:$C,$AR51))</f>
        <v/>
      </c>
      <c r="AK51" s="13" t="str">
        <f>IF(OR($B51="",$AR51=0),"",INDEX('Rework Log'!$H:$H,$AR51))</f>
        <v/>
      </c>
      <c r="AL51" s="12" t="str">
        <f>IF(OR($B51="",$AR51=0),"",INDEX('Rework Log'!$G:$G,$AR51))</f>
        <v/>
      </c>
      <c r="AM51" s="50" t="str">
        <f t="shared" si="2"/>
        <v>NOT STARTED</v>
      </c>
      <c r="AN51" s="12" t="str">
        <f t="shared" si="3"/>
        <v>No</v>
      </c>
      <c r="AO51" s="12" t="str">
        <f t="shared" si="4"/>
        <v/>
      </c>
      <c r="AP51" s="12" t="str">
        <f t="shared" si="5"/>
        <v/>
      </c>
      <c r="AQ51" s="51"/>
      <c r="AR51" s="12">
        <f>IF($B51="","",SUMPRODUCT(MAX(('Rework Log'!$A$3:$A$500=$B51)*ROW('Rework Log'!$A$3:$A$500))))</f>
        <v>0</v>
      </c>
    </row>
    <row r="52" spans="1:44" hidden="1" x14ac:dyDescent="0.25">
      <c r="A52" s="12" t="s">
        <v>169</v>
      </c>
      <c r="B52" s="12" t="s">
        <v>211</v>
      </c>
      <c r="C52" s="12" t="s">
        <v>204</v>
      </c>
      <c r="D52" s="12" t="str">
        <f t="shared" ca="1" si="0"/>
        <v>On track</v>
      </c>
      <c r="E52" s="12">
        <v>26</v>
      </c>
      <c r="F52" s="42"/>
      <c r="G52" s="12" t="s">
        <v>109</v>
      </c>
      <c r="H52" s="12"/>
      <c r="I52" s="12"/>
      <c r="J52" s="12"/>
      <c r="K52" s="43">
        <v>46265</v>
      </c>
      <c r="L52" s="12" t="s">
        <v>202</v>
      </c>
      <c r="M52" s="44"/>
      <c r="N52" s="12"/>
      <c r="O52" s="12"/>
      <c r="P52" s="12"/>
      <c r="Q52" s="45"/>
      <c r="R52" s="12"/>
      <c r="S52" s="12"/>
      <c r="T52" s="12"/>
      <c r="U52" s="46"/>
      <c r="V52" s="12"/>
      <c r="W52" s="12"/>
      <c r="X52" s="12"/>
      <c r="Y52" s="47"/>
      <c r="Z52" s="12"/>
      <c r="AA52" s="12"/>
      <c r="AB52" s="48"/>
      <c r="AC52" s="12"/>
      <c r="AD52" s="52"/>
      <c r="AE52" s="12"/>
      <c r="AF52" s="49" t="s">
        <v>83</v>
      </c>
      <c r="AG52" s="1"/>
      <c r="AH52" s="12" t="str">
        <f t="shared" si="1"/>
        <v/>
      </c>
      <c r="AI52" s="12">
        <f>IF($B52="","",COUNTIF('Rework Log'!$A$3:$A$500,$B52))</f>
        <v>0</v>
      </c>
      <c r="AJ52" s="12" t="str">
        <f>IF(OR($B52="",$AR52=0),"",INDEX('Rework Log'!$C:$C,$AR52))</f>
        <v/>
      </c>
      <c r="AK52" s="13" t="str">
        <f>IF(OR($B52="",$AR52=0),"",INDEX('Rework Log'!$H:$H,$AR52))</f>
        <v/>
      </c>
      <c r="AL52" s="12" t="str">
        <f>IF(OR($B52="",$AR52=0),"",INDEX('Rework Log'!$G:$G,$AR52))</f>
        <v/>
      </c>
      <c r="AM52" s="50" t="str">
        <f t="shared" si="2"/>
        <v>NOT STARTED</v>
      </c>
      <c r="AN52" s="12" t="str">
        <f t="shared" si="3"/>
        <v>No</v>
      </c>
      <c r="AO52" s="12" t="str">
        <f t="shared" si="4"/>
        <v/>
      </c>
      <c r="AP52" s="12" t="str">
        <f t="shared" si="5"/>
        <v/>
      </c>
      <c r="AQ52" s="51"/>
      <c r="AR52" s="12">
        <f>IF($B52="","",SUMPRODUCT(MAX(('Rework Log'!$A$3:$A$500=$B52)*ROW('Rework Log'!$A$3:$A$500))))</f>
        <v>0</v>
      </c>
    </row>
    <row r="53" spans="1:44" hidden="1" x14ac:dyDescent="0.25">
      <c r="A53" s="12" t="s">
        <v>169</v>
      </c>
      <c r="B53" s="12" t="s">
        <v>212</v>
      </c>
      <c r="C53" s="12" t="s">
        <v>204</v>
      </c>
      <c r="D53" s="12" t="str">
        <f t="shared" ca="1" si="0"/>
        <v>On track</v>
      </c>
      <c r="E53" s="12">
        <v>27</v>
      </c>
      <c r="F53" s="42"/>
      <c r="G53" s="12" t="s">
        <v>162</v>
      </c>
      <c r="H53" s="12"/>
      <c r="I53" s="12"/>
      <c r="J53" s="12"/>
      <c r="K53" s="43">
        <v>46265</v>
      </c>
      <c r="L53" s="12" t="s">
        <v>202</v>
      </c>
      <c r="M53" s="44"/>
      <c r="N53" s="12"/>
      <c r="O53" s="12"/>
      <c r="P53" s="12"/>
      <c r="Q53" s="45"/>
      <c r="R53" s="12"/>
      <c r="S53" s="12"/>
      <c r="T53" s="12"/>
      <c r="U53" s="46"/>
      <c r="V53" s="12"/>
      <c r="W53" s="12"/>
      <c r="X53" s="12"/>
      <c r="Y53" s="47"/>
      <c r="Z53" s="12"/>
      <c r="AA53" s="12"/>
      <c r="AB53" s="48"/>
      <c r="AC53" s="12"/>
      <c r="AD53" s="52"/>
      <c r="AE53" s="12"/>
      <c r="AF53" s="49" t="s">
        <v>83</v>
      </c>
      <c r="AG53" s="1"/>
      <c r="AH53" s="12" t="str">
        <f t="shared" si="1"/>
        <v/>
      </c>
      <c r="AI53" s="12">
        <f>IF($B53="","",COUNTIF('Rework Log'!$A$3:$A$500,$B53))</f>
        <v>0</v>
      </c>
      <c r="AJ53" s="12" t="str">
        <f>IF(OR($B53="",$AR53=0),"",INDEX('Rework Log'!$C:$C,$AR53))</f>
        <v/>
      </c>
      <c r="AK53" s="13" t="str">
        <f>IF(OR($B53="",$AR53=0),"",INDEX('Rework Log'!$H:$H,$AR53))</f>
        <v/>
      </c>
      <c r="AL53" s="12" t="str">
        <f>IF(OR($B53="",$AR53=0),"",INDEX('Rework Log'!$G:$G,$AR53))</f>
        <v/>
      </c>
      <c r="AM53" s="50" t="str">
        <f t="shared" si="2"/>
        <v>NOT STARTED</v>
      </c>
      <c r="AN53" s="12" t="str">
        <f t="shared" si="3"/>
        <v>No</v>
      </c>
      <c r="AO53" s="12" t="str">
        <f t="shared" si="4"/>
        <v/>
      </c>
      <c r="AP53" s="12" t="str">
        <f t="shared" si="5"/>
        <v/>
      </c>
      <c r="AQ53" s="51"/>
      <c r="AR53" s="12">
        <f>IF($B53="","",SUMPRODUCT(MAX(('Rework Log'!$A$3:$A$500=$B53)*ROW('Rework Log'!$A$3:$A$500))))</f>
        <v>0</v>
      </c>
    </row>
    <row r="54" spans="1:44" hidden="1" x14ac:dyDescent="0.25">
      <c r="A54" s="12" t="s">
        <v>169</v>
      </c>
      <c r="B54" s="12" t="s">
        <v>213</v>
      </c>
      <c r="C54" s="12" t="s">
        <v>204</v>
      </c>
      <c r="D54" s="12" t="str">
        <f t="shared" ca="1" si="0"/>
        <v>On track</v>
      </c>
      <c r="E54" s="12">
        <v>29</v>
      </c>
      <c r="F54" s="42"/>
      <c r="G54" s="12" t="s">
        <v>101</v>
      </c>
      <c r="H54" s="12"/>
      <c r="I54" s="12"/>
      <c r="J54" s="12"/>
      <c r="K54" s="43">
        <v>46265</v>
      </c>
      <c r="L54" s="12" t="s">
        <v>202</v>
      </c>
      <c r="M54" s="44"/>
      <c r="N54" s="12"/>
      <c r="O54" s="12"/>
      <c r="P54" s="12"/>
      <c r="Q54" s="45"/>
      <c r="R54" s="12"/>
      <c r="S54" s="12"/>
      <c r="T54" s="12"/>
      <c r="U54" s="46"/>
      <c r="V54" s="12"/>
      <c r="W54" s="12"/>
      <c r="X54" s="12"/>
      <c r="Y54" s="47"/>
      <c r="Z54" s="12"/>
      <c r="AA54" s="12"/>
      <c r="AB54" s="48"/>
      <c r="AC54" s="12"/>
      <c r="AD54" s="52"/>
      <c r="AE54" s="12"/>
      <c r="AF54" s="49" t="s">
        <v>83</v>
      </c>
      <c r="AG54" s="1"/>
      <c r="AH54" s="12" t="str">
        <f t="shared" si="1"/>
        <v/>
      </c>
      <c r="AI54" s="12">
        <f>IF($B54="","",COUNTIF('Rework Log'!$A$3:$A$500,$B54))</f>
        <v>0</v>
      </c>
      <c r="AJ54" s="12" t="str">
        <f>IF(OR($B54="",$AR54=0),"",INDEX('Rework Log'!$C:$C,$AR54))</f>
        <v/>
      </c>
      <c r="AK54" s="13" t="str">
        <f>IF(OR($B54="",$AR54=0),"",INDEX('Rework Log'!$H:$H,$AR54))</f>
        <v/>
      </c>
      <c r="AL54" s="12" t="str">
        <f>IF(OR($B54="",$AR54=0),"",INDEX('Rework Log'!$G:$G,$AR54))</f>
        <v/>
      </c>
      <c r="AM54" s="50" t="str">
        <f t="shared" si="2"/>
        <v>NOT STARTED</v>
      </c>
      <c r="AN54" s="12" t="str">
        <f t="shared" si="3"/>
        <v>No</v>
      </c>
      <c r="AO54" s="12" t="str">
        <f t="shared" si="4"/>
        <v/>
      </c>
      <c r="AP54" s="12" t="str">
        <f t="shared" si="5"/>
        <v/>
      </c>
      <c r="AQ54" s="51"/>
      <c r="AR54" s="12">
        <f>IF($B54="","",SUMPRODUCT(MAX(('Rework Log'!$A$3:$A$500=$B54)*ROW('Rework Log'!$A$3:$A$500))))</f>
        <v>0</v>
      </c>
    </row>
    <row r="55" spans="1:44" hidden="1" x14ac:dyDescent="0.25">
      <c r="A55" s="12" t="s">
        <v>169</v>
      </c>
      <c r="B55" s="12" t="s">
        <v>214</v>
      </c>
      <c r="C55" s="12" t="s">
        <v>204</v>
      </c>
      <c r="D55" s="12" t="str">
        <f t="shared" ca="1" si="0"/>
        <v>On track</v>
      </c>
      <c r="E55" s="12">
        <v>30</v>
      </c>
      <c r="F55" s="42"/>
      <c r="G55" s="12"/>
      <c r="H55" s="12"/>
      <c r="I55" s="12"/>
      <c r="J55" s="12"/>
      <c r="K55" s="43">
        <v>46265</v>
      </c>
      <c r="L55" s="12" t="s">
        <v>202</v>
      </c>
      <c r="M55" s="44"/>
      <c r="N55" s="12"/>
      <c r="O55" s="12"/>
      <c r="P55" s="12"/>
      <c r="Q55" s="45"/>
      <c r="R55" s="12"/>
      <c r="S55" s="12"/>
      <c r="T55" s="12"/>
      <c r="U55" s="46"/>
      <c r="V55" s="12"/>
      <c r="W55" s="12"/>
      <c r="X55" s="12"/>
      <c r="Y55" s="47"/>
      <c r="Z55" s="12"/>
      <c r="AA55" s="12"/>
      <c r="AB55" s="48"/>
      <c r="AC55" s="12"/>
      <c r="AD55" s="52"/>
      <c r="AE55" s="12"/>
      <c r="AF55" s="49" t="s">
        <v>83</v>
      </c>
      <c r="AG55" s="1"/>
      <c r="AH55" s="12" t="str">
        <f t="shared" si="1"/>
        <v/>
      </c>
      <c r="AI55" s="12">
        <f>IF($B55="","",COUNTIF('Rework Log'!$A$3:$A$500,$B55))</f>
        <v>0</v>
      </c>
      <c r="AJ55" s="12" t="str">
        <f>IF(OR($B55="",$AR55=0),"",INDEX('Rework Log'!$C:$C,$AR55))</f>
        <v/>
      </c>
      <c r="AK55" s="13" t="str">
        <f>IF(OR($B55="",$AR55=0),"",INDEX('Rework Log'!$H:$H,$AR55))</f>
        <v/>
      </c>
      <c r="AL55" s="12" t="str">
        <f>IF(OR($B55="",$AR55=0),"",INDEX('Rework Log'!$G:$G,$AR55))</f>
        <v/>
      </c>
      <c r="AM55" s="50" t="str">
        <f t="shared" si="2"/>
        <v>NOT STARTED</v>
      </c>
      <c r="AN55" s="12" t="str">
        <f t="shared" si="3"/>
        <v>No</v>
      </c>
      <c r="AO55" s="12" t="str">
        <f t="shared" si="4"/>
        <v/>
      </c>
      <c r="AP55" s="12" t="str">
        <f t="shared" si="5"/>
        <v/>
      </c>
      <c r="AQ55" s="51"/>
      <c r="AR55" s="12">
        <f>IF($B55="","",SUMPRODUCT(MAX(('Rework Log'!$A$3:$A$500=$B55)*ROW('Rework Log'!$A$3:$A$500))))</f>
        <v>0</v>
      </c>
    </row>
    <row r="56" spans="1:44" hidden="1" x14ac:dyDescent="0.25">
      <c r="A56" s="12" t="s">
        <v>169</v>
      </c>
      <c r="B56" s="12" t="s">
        <v>215</v>
      </c>
      <c r="C56" s="12" t="s">
        <v>204</v>
      </c>
      <c r="D56" s="12" t="str">
        <f t="shared" ca="1" si="0"/>
        <v>On track</v>
      </c>
      <c r="E56" s="12">
        <v>31</v>
      </c>
      <c r="F56" s="42"/>
      <c r="G56" s="12"/>
      <c r="H56" s="12"/>
      <c r="I56" s="12"/>
      <c r="J56" s="12"/>
      <c r="K56" s="43">
        <v>46295</v>
      </c>
      <c r="L56" s="12" t="s">
        <v>216</v>
      </c>
      <c r="M56" s="44"/>
      <c r="N56" s="12"/>
      <c r="O56" s="12"/>
      <c r="P56" s="12"/>
      <c r="Q56" s="45"/>
      <c r="R56" s="12"/>
      <c r="S56" s="12"/>
      <c r="T56" s="12"/>
      <c r="U56" s="46"/>
      <c r="V56" s="12"/>
      <c r="W56" s="12"/>
      <c r="X56" s="12"/>
      <c r="Y56" s="47"/>
      <c r="Z56" s="12"/>
      <c r="AA56" s="12"/>
      <c r="AB56" s="48"/>
      <c r="AC56" s="12"/>
      <c r="AD56" s="52"/>
      <c r="AE56" s="12"/>
      <c r="AF56" s="49" t="s">
        <v>83</v>
      </c>
      <c r="AG56" s="1"/>
      <c r="AH56" s="12" t="str">
        <f t="shared" si="1"/>
        <v/>
      </c>
      <c r="AI56" s="12">
        <f>IF($B56="","",COUNTIF('Rework Log'!$A$3:$A$500,$B56))</f>
        <v>0</v>
      </c>
      <c r="AJ56" s="12" t="str">
        <f>IF(OR($B56="",$AR56=0),"",INDEX('Rework Log'!$C:$C,$AR56))</f>
        <v/>
      </c>
      <c r="AK56" s="13" t="str">
        <f>IF(OR($B56="",$AR56=0),"",INDEX('Rework Log'!$H:$H,$AR56))</f>
        <v/>
      </c>
      <c r="AL56" s="12" t="str">
        <f>IF(OR($B56="",$AR56=0),"",INDEX('Rework Log'!$G:$G,$AR56))</f>
        <v/>
      </c>
      <c r="AM56" s="50" t="str">
        <f t="shared" si="2"/>
        <v>NOT STARTED</v>
      </c>
      <c r="AN56" s="12" t="str">
        <f t="shared" si="3"/>
        <v>No</v>
      </c>
      <c r="AO56" s="12" t="str">
        <f t="shared" si="4"/>
        <v/>
      </c>
      <c r="AP56" s="12" t="str">
        <f t="shared" si="5"/>
        <v/>
      </c>
      <c r="AQ56" s="51"/>
      <c r="AR56" s="12">
        <f>IF($B56="","",SUMPRODUCT(MAX(('Rework Log'!$A$3:$A$500=$B56)*ROW('Rework Log'!$A$3:$A$500))))</f>
        <v>0</v>
      </c>
    </row>
    <row r="57" spans="1:44" hidden="1" x14ac:dyDescent="0.25">
      <c r="A57" s="12" t="s">
        <v>169</v>
      </c>
      <c r="B57" s="12" t="s">
        <v>217</v>
      </c>
      <c r="C57" s="12" t="s">
        <v>204</v>
      </c>
      <c r="D57" s="12" t="str">
        <f t="shared" ca="1" si="0"/>
        <v>On track</v>
      </c>
      <c r="E57" s="12">
        <v>32</v>
      </c>
      <c r="F57" s="42"/>
      <c r="G57" s="12"/>
      <c r="H57" s="12"/>
      <c r="I57" s="12"/>
      <c r="J57" s="12"/>
      <c r="K57" s="43">
        <v>46295</v>
      </c>
      <c r="L57" s="12" t="s">
        <v>216</v>
      </c>
      <c r="M57" s="44"/>
      <c r="N57" s="12"/>
      <c r="O57" s="12"/>
      <c r="P57" s="12"/>
      <c r="Q57" s="45"/>
      <c r="R57" s="12"/>
      <c r="S57" s="12"/>
      <c r="T57" s="12"/>
      <c r="U57" s="46"/>
      <c r="V57" s="12"/>
      <c r="W57" s="12"/>
      <c r="X57" s="12"/>
      <c r="Y57" s="47"/>
      <c r="Z57" s="12"/>
      <c r="AA57" s="12"/>
      <c r="AB57" s="48"/>
      <c r="AC57" s="12"/>
      <c r="AD57" s="52"/>
      <c r="AE57" s="12"/>
      <c r="AF57" s="49" t="s">
        <v>83</v>
      </c>
      <c r="AG57" s="1"/>
      <c r="AH57" s="12" t="str">
        <f t="shared" si="1"/>
        <v/>
      </c>
      <c r="AI57" s="12">
        <f>IF($B57="","",COUNTIF('Rework Log'!$A$3:$A$500,$B57))</f>
        <v>0</v>
      </c>
      <c r="AJ57" s="12" t="str">
        <f>IF(OR($B57="",$AR57=0),"",INDEX('Rework Log'!$C:$C,$AR57))</f>
        <v/>
      </c>
      <c r="AK57" s="13" t="str">
        <f>IF(OR($B57="",$AR57=0),"",INDEX('Rework Log'!$H:$H,$AR57))</f>
        <v/>
      </c>
      <c r="AL57" s="12" t="str">
        <f>IF(OR($B57="",$AR57=0),"",INDEX('Rework Log'!$G:$G,$AR57))</f>
        <v/>
      </c>
      <c r="AM57" s="50" t="str">
        <f t="shared" si="2"/>
        <v>NOT STARTED</v>
      </c>
      <c r="AN57" s="12" t="str">
        <f t="shared" si="3"/>
        <v>No</v>
      </c>
      <c r="AO57" s="12" t="str">
        <f t="shared" si="4"/>
        <v/>
      </c>
      <c r="AP57" s="12" t="str">
        <f t="shared" si="5"/>
        <v/>
      </c>
      <c r="AQ57" s="51"/>
      <c r="AR57" s="12">
        <f>IF($B57="","",SUMPRODUCT(MAX(('Rework Log'!$A$3:$A$500=$B57)*ROW('Rework Log'!$A$3:$A$500))))</f>
        <v>0</v>
      </c>
    </row>
    <row r="58" spans="1:44" hidden="1" x14ac:dyDescent="0.25">
      <c r="A58" s="12" t="s">
        <v>169</v>
      </c>
      <c r="B58" s="12" t="s">
        <v>218</v>
      </c>
      <c r="C58" s="12" t="s">
        <v>204</v>
      </c>
      <c r="D58" s="12" t="str">
        <f t="shared" ca="1" si="0"/>
        <v>On track</v>
      </c>
      <c r="E58" s="12">
        <v>33</v>
      </c>
      <c r="F58" s="42"/>
      <c r="G58" s="12"/>
      <c r="H58" s="12"/>
      <c r="I58" s="12"/>
      <c r="J58" s="12"/>
      <c r="K58" s="43">
        <v>46295</v>
      </c>
      <c r="L58" s="12" t="s">
        <v>216</v>
      </c>
      <c r="M58" s="44"/>
      <c r="N58" s="12"/>
      <c r="O58" s="12"/>
      <c r="P58" s="12"/>
      <c r="Q58" s="45"/>
      <c r="R58" s="12"/>
      <c r="S58" s="12"/>
      <c r="T58" s="12"/>
      <c r="U58" s="46"/>
      <c r="V58" s="12"/>
      <c r="W58" s="12"/>
      <c r="X58" s="12"/>
      <c r="Y58" s="47"/>
      <c r="Z58" s="12"/>
      <c r="AA58" s="12"/>
      <c r="AB58" s="48"/>
      <c r="AC58" s="12"/>
      <c r="AD58" s="52"/>
      <c r="AE58" s="12"/>
      <c r="AF58" s="49" t="s">
        <v>83</v>
      </c>
      <c r="AG58" s="1"/>
      <c r="AH58" s="12" t="str">
        <f t="shared" si="1"/>
        <v/>
      </c>
      <c r="AI58" s="12">
        <f>IF($B58="","",COUNTIF('Rework Log'!$A$3:$A$500,$B58))</f>
        <v>0</v>
      </c>
      <c r="AJ58" s="12" t="str">
        <f>IF(OR($B58="",$AR58=0),"",INDEX('Rework Log'!$C:$C,$AR58))</f>
        <v/>
      </c>
      <c r="AK58" s="13" t="str">
        <f>IF(OR($B58="",$AR58=0),"",INDEX('Rework Log'!$H:$H,$AR58))</f>
        <v/>
      </c>
      <c r="AL58" s="12" t="str">
        <f>IF(OR($B58="",$AR58=0),"",INDEX('Rework Log'!$G:$G,$AR58))</f>
        <v/>
      </c>
      <c r="AM58" s="50" t="str">
        <f t="shared" si="2"/>
        <v>NOT STARTED</v>
      </c>
      <c r="AN58" s="12" t="str">
        <f t="shared" si="3"/>
        <v>No</v>
      </c>
      <c r="AO58" s="12" t="str">
        <f t="shared" si="4"/>
        <v/>
      </c>
      <c r="AP58" s="12" t="str">
        <f t="shared" si="5"/>
        <v/>
      </c>
      <c r="AQ58" s="51"/>
      <c r="AR58" s="12">
        <f>IF($B58="","",SUMPRODUCT(MAX(('Rework Log'!$A$3:$A$500=$B58)*ROW('Rework Log'!$A$3:$A$500))))</f>
        <v>0</v>
      </c>
    </row>
    <row r="59" spans="1:44" hidden="1" x14ac:dyDescent="0.25">
      <c r="A59" s="12" t="s">
        <v>169</v>
      </c>
      <c r="B59" s="12" t="s">
        <v>219</v>
      </c>
      <c r="C59" s="12" t="s">
        <v>204</v>
      </c>
      <c r="D59" s="12" t="str">
        <f t="shared" ca="1" si="0"/>
        <v>On track</v>
      </c>
      <c r="E59" s="12">
        <v>34</v>
      </c>
      <c r="F59" s="42"/>
      <c r="G59" s="12"/>
      <c r="H59" s="12"/>
      <c r="I59" s="12"/>
      <c r="J59" s="12"/>
      <c r="K59" s="43">
        <v>46295</v>
      </c>
      <c r="L59" s="12" t="s">
        <v>216</v>
      </c>
      <c r="M59" s="44"/>
      <c r="N59" s="12"/>
      <c r="O59" s="12"/>
      <c r="P59" s="12"/>
      <c r="Q59" s="45"/>
      <c r="R59" s="12"/>
      <c r="S59" s="12"/>
      <c r="T59" s="12"/>
      <c r="U59" s="46"/>
      <c r="V59" s="12"/>
      <c r="W59" s="12"/>
      <c r="X59" s="12"/>
      <c r="Y59" s="47"/>
      <c r="Z59" s="12"/>
      <c r="AA59" s="12"/>
      <c r="AB59" s="48"/>
      <c r="AC59" s="12"/>
      <c r="AD59" s="52"/>
      <c r="AE59" s="12"/>
      <c r="AF59" s="49" t="s">
        <v>83</v>
      </c>
      <c r="AG59" s="1"/>
      <c r="AH59" s="12" t="str">
        <f t="shared" si="1"/>
        <v/>
      </c>
      <c r="AI59" s="12">
        <f>IF($B59="","",COUNTIF('Rework Log'!$A$3:$A$500,$B59))</f>
        <v>0</v>
      </c>
      <c r="AJ59" s="12" t="str">
        <f>IF(OR($B59="",$AR59=0),"",INDEX('Rework Log'!$C:$C,$AR59))</f>
        <v/>
      </c>
      <c r="AK59" s="13" t="str">
        <f>IF(OR($B59="",$AR59=0),"",INDEX('Rework Log'!$H:$H,$AR59))</f>
        <v/>
      </c>
      <c r="AL59" s="12" t="str">
        <f>IF(OR($B59="",$AR59=0),"",INDEX('Rework Log'!$G:$G,$AR59))</f>
        <v/>
      </c>
      <c r="AM59" s="50" t="str">
        <f t="shared" si="2"/>
        <v>NOT STARTED</v>
      </c>
      <c r="AN59" s="12" t="str">
        <f t="shared" si="3"/>
        <v>No</v>
      </c>
      <c r="AO59" s="12" t="str">
        <f t="shared" si="4"/>
        <v/>
      </c>
      <c r="AP59" s="12" t="str">
        <f t="shared" si="5"/>
        <v/>
      </c>
      <c r="AQ59" s="51"/>
      <c r="AR59" s="12">
        <f>IF($B59="","",SUMPRODUCT(MAX(('Rework Log'!$A$3:$A$500=$B59)*ROW('Rework Log'!$A$3:$A$500))))</f>
        <v>0</v>
      </c>
    </row>
    <row r="60" spans="1:44" hidden="1" x14ac:dyDescent="0.25">
      <c r="A60" s="12" t="s">
        <v>169</v>
      </c>
      <c r="B60" s="12" t="s">
        <v>220</v>
      </c>
      <c r="C60" s="12" t="s">
        <v>204</v>
      </c>
      <c r="D60" s="12" t="str">
        <f t="shared" ca="1" si="0"/>
        <v>On track</v>
      </c>
      <c r="E60" s="12">
        <v>35</v>
      </c>
      <c r="F60" s="42"/>
      <c r="G60" s="12"/>
      <c r="H60" s="12"/>
      <c r="I60" s="12"/>
      <c r="J60" s="12"/>
      <c r="K60" s="43">
        <v>46295</v>
      </c>
      <c r="L60" s="12" t="s">
        <v>216</v>
      </c>
      <c r="M60" s="44"/>
      <c r="N60" s="12"/>
      <c r="O60" s="12"/>
      <c r="P60" s="12"/>
      <c r="Q60" s="45"/>
      <c r="R60" s="12"/>
      <c r="S60" s="12"/>
      <c r="T60" s="12"/>
      <c r="U60" s="46"/>
      <c r="V60" s="12"/>
      <c r="W60" s="12"/>
      <c r="X60" s="12"/>
      <c r="Y60" s="47"/>
      <c r="Z60" s="12"/>
      <c r="AA60" s="12"/>
      <c r="AB60" s="48"/>
      <c r="AC60" s="12"/>
      <c r="AD60" s="52"/>
      <c r="AE60" s="12"/>
      <c r="AF60" s="49" t="s">
        <v>83</v>
      </c>
      <c r="AG60" s="1"/>
      <c r="AH60" s="12" t="str">
        <f t="shared" si="1"/>
        <v/>
      </c>
      <c r="AI60" s="12">
        <f>IF($B60="","",COUNTIF('Rework Log'!$A$3:$A$500,$B60))</f>
        <v>0</v>
      </c>
      <c r="AJ60" s="12" t="str">
        <f>IF(OR($B60="",$AR60=0),"",INDEX('Rework Log'!$C:$C,$AR60))</f>
        <v/>
      </c>
      <c r="AK60" s="13" t="str">
        <f>IF(OR($B60="",$AR60=0),"",INDEX('Rework Log'!$H:$H,$AR60))</f>
        <v/>
      </c>
      <c r="AL60" s="12" t="str">
        <f>IF(OR($B60="",$AR60=0),"",INDEX('Rework Log'!$G:$G,$AR60))</f>
        <v/>
      </c>
      <c r="AM60" s="50" t="str">
        <f t="shared" si="2"/>
        <v>NOT STARTED</v>
      </c>
      <c r="AN60" s="12" t="str">
        <f t="shared" si="3"/>
        <v>No</v>
      </c>
      <c r="AO60" s="12" t="str">
        <f t="shared" si="4"/>
        <v/>
      </c>
      <c r="AP60" s="12" t="str">
        <f t="shared" si="5"/>
        <v/>
      </c>
      <c r="AQ60" s="51"/>
      <c r="AR60" s="12">
        <f>IF($B60="","",SUMPRODUCT(MAX(('Rework Log'!$A$3:$A$500=$B60)*ROW('Rework Log'!$A$3:$A$500))))</f>
        <v>0</v>
      </c>
    </row>
    <row r="61" spans="1:44" hidden="1" x14ac:dyDescent="0.25">
      <c r="A61" s="12" t="s">
        <v>169</v>
      </c>
      <c r="B61" s="12" t="s">
        <v>221</v>
      </c>
      <c r="C61" s="12" t="s">
        <v>204</v>
      </c>
      <c r="D61" s="12" t="str">
        <f t="shared" ca="1" si="0"/>
        <v>On track</v>
      </c>
      <c r="E61" s="12">
        <v>36</v>
      </c>
      <c r="F61" s="42"/>
      <c r="G61" s="12"/>
      <c r="H61" s="12"/>
      <c r="I61" s="12"/>
      <c r="J61" s="12"/>
      <c r="K61" s="43">
        <v>46295</v>
      </c>
      <c r="L61" s="12" t="s">
        <v>216</v>
      </c>
      <c r="M61" s="44"/>
      <c r="N61" s="12"/>
      <c r="O61" s="12"/>
      <c r="P61" s="12"/>
      <c r="Q61" s="45"/>
      <c r="R61" s="12"/>
      <c r="S61" s="12"/>
      <c r="T61" s="12"/>
      <c r="U61" s="46"/>
      <c r="V61" s="12"/>
      <c r="W61" s="12"/>
      <c r="X61" s="12"/>
      <c r="Y61" s="47"/>
      <c r="Z61" s="12"/>
      <c r="AA61" s="12"/>
      <c r="AB61" s="48"/>
      <c r="AC61" s="12"/>
      <c r="AD61" s="52"/>
      <c r="AE61" s="12"/>
      <c r="AF61" s="49" t="s">
        <v>83</v>
      </c>
      <c r="AG61" s="1"/>
      <c r="AH61" s="12" t="str">
        <f t="shared" si="1"/>
        <v/>
      </c>
      <c r="AI61" s="12">
        <f>IF($B61="","",COUNTIF('Rework Log'!$A$3:$A$500,$B61))</f>
        <v>0</v>
      </c>
      <c r="AJ61" s="12" t="str">
        <f>IF(OR($B61="",$AR61=0),"",INDEX('Rework Log'!$C:$C,$AR61))</f>
        <v/>
      </c>
      <c r="AK61" s="13" t="str">
        <f>IF(OR($B61="",$AR61=0),"",INDEX('Rework Log'!$H:$H,$AR61))</f>
        <v/>
      </c>
      <c r="AL61" s="12" t="str">
        <f>IF(OR($B61="",$AR61=0),"",INDEX('Rework Log'!$G:$G,$AR61))</f>
        <v/>
      </c>
      <c r="AM61" s="50" t="str">
        <f t="shared" si="2"/>
        <v>NOT STARTED</v>
      </c>
      <c r="AN61" s="12" t="str">
        <f t="shared" si="3"/>
        <v>No</v>
      </c>
      <c r="AO61" s="12" t="str">
        <f t="shared" si="4"/>
        <v/>
      </c>
      <c r="AP61" s="12" t="str">
        <f t="shared" si="5"/>
        <v/>
      </c>
      <c r="AQ61" s="51"/>
      <c r="AR61" s="12">
        <f>IF($B61="","",SUMPRODUCT(MAX(('Rework Log'!$A$3:$A$500=$B61)*ROW('Rework Log'!$A$3:$A$500))))</f>
        <v>0</v>
      </c>
    </row>
    <row r="62" spans="1:44" hidden="1" x14ac:dyDescent="0.25">
      <c r="A62" s="12" t="s">
        <v>169</v>
      </c>
      <c r="B62" s="12" t="s">
        <v>222</v>
      </c>
      <c r="C62" s="12" t="s">
        <v>204</v>
      </c>
      <c r="D62" s="12" t="str">
        <f t="shared" ca="1" si="0"/>
        <v>On track</v>
      </c>
      <c r="E62" s="12">
        <v>37</v>
      </c>
      <c r="F62" s="42"/>
      <c r="G62" s="12"/>
      <c r="H62" s="12"/>
      <c r="I62" s="12"/>
      <c r="J62" s="12"/>
      <c r="K62" s="43">
        <v>46295</v>
      </c>
      <c r="L62" s="12" t="s">
        <v>216</v>
      </c>
      <c r="M62" s="44"/>
      <c r="N62" s="12"/>
      <c r="O62" s="12"/>
      <c r="P62" s="12"/>
      <c r="Q62" s="45"/>
      <c r="R62" s="12"/>
      <c r="S62" s="12"/>
      <c r="T62" s="12"/>
      <c r="U62" s="46"/>
      <c r="V62" s="12"/>
      <c r="W62" s="12"/>
      <c r="X62" s="12"/>
      <c r="Y62" s="47"/>
      <c r="Z62" s="12"/>
      <c r="AA62" s="12"/>
      <c r="AB62" s="48"/>
      <c r="AC62" s="12"/>
      <c r="AD62" s="52"/>
      <c r="AE62" s="12"/>
      <c r="AF62" s="49" t="s">
        <v>83</v>
      </c>
      <c r="AG62" s="1"/>
      <c r="AH62" s="12" t="str">
        <f t="shared" si="1"/>
        <v/>
      </c>
      <c r="AI62" s="12">
        <f>IF($B62="","",COUNTIF('Rework Log'!$A$3:$A$500,$B62))</f>
        <v>0</v>
      </c>
      <c r="AJ62" s="12" t="str">
        <f>IF(OR($B62="",$AR62=0),"",INDEX('Rework Log'!$C:$C,$AR62))</f>
        <v/>
      </c>
      <c r="AK62" s="13" t="str">
        <f>IF(OR($B62="",$AR62=0),"",INDEX('Rework Log'!$H:$H,$AR62))</f>
        <v/>
      </c>
      <c r="AL62" s="12" t="str">
        <f>IF(OR($B62="",$AR62=0),"",INDEX('Rework Log'!$G:$G,$AR62))</f>
        <v/>
      </c>
      <c r="AM62" s="50" t="str">
        <f t="shared" si="2"/>
        <v>NOT STARTED</v>
      </c>
      <c r="AN62" s="12" t="str">
        <f t="shared" si="3"/>
        <v>No</v>
      </c>
      <c r="AO62" s="12" t="str">
        <f t="shared" si="4"/>
        <v/>
      </c>
      <c r="AP62" s="12" t="str">
        <f t="shared" si="5"/>
        <v/>
      </c>
      <c r="AQ62" s="51"/>
      <c r="AR62" s="12">
        <f>IF($B62="","",SUMPRODUCT(MAX(('Rework Log'!$A$3:$A$500=$B62)*ROW('Rework Log'!$A$3:$A$500))))</f>
        <v>0</v>
      </c>
    </row>
    <row r="63" spans="1:44" hidden="1" x14ac:dyDescent="0.25">
      <c r="A63" s="12" t="s">
        <v>169</v>
      </c>
      <c r="B63" s="12" t="s">
        <v>223</v>
      </c>
      <c r="C63" s="12" t="s">
        <v>204</v>
      </c>
      <c r="D63" s="12" t="str">
        <f t="shared" ca="1" si="0"/>
        <v>On track</v>
      </c>
      <c r="E63" s="12">
        <v>38</v>
      </c>
      <c r="F63" s="42"/>
      <c r="G63" s="12"/>
      <c r="H63" s="12"/>
      <c r="I63" s="12"/>
      <c r="J63" s="12"/>
      <c r="K63" s="43">
        <v>46295</v>
      </c>
      <c r="L63" s="12" t="s">
        <v>216</v>
      </c>
      <c r="M63" s="44"/>
      <c r="N63" s="12"/>
      <c r="O63" s="12"/>
      <c r="P63" s="12"/>
      <c r="Q63" s="45"/>
      <c r="R63" s="12"/>
      <c r="S63" s="12"/>
      <c r="T63" s="12"/>
      <c r="U63" s="46"/>
      <c r="V63" s="12"/>
      <c r="W63" s="12"/>
      <c r="X63" s="12"/>
      <c r="Y63" s="47"/>
      <c r="Z63" s="12"/>
      <c r="AA63" s="12"/>
      <c r="AB63" s="48"/>
      <c r="AC63" s="12"/>
      <c r="AD63" s="52"/>
      <c r="AE63" s="12"/>
      <c r="AF63" s="49" t="s">
        <v>83</v>
      </c>
      <c r="AG63" s="1"/>
      <c r="AH63" s="12" t="str">
        <f t="shared" si="1"/>
        <v/>
      </c>
      <c r="AI63" s="12">
        <f>IF($B63="","",COUNTIF('Rework Log'!$A$3:$A$500,$B63))</f>
        <v>0</v>
      </c>
      <c r="AJ63" s="12" t="str">
        <f>IF(OR($B63="",$AR63=0),"",INDEX('Rework Log'!$C:$C,$AR63))</f>
        <v/>
      </c>
      <c r="AK63" s="13" t="str">
        <f>IF(OR($B63="",$AR63=0),"",INDEX('Rework Log'!$H:$H,$AR63))</f>
        <v/>
      </c>
      <c r="AL63" s="12" t="str">
        <f>IF(OR($B63="",$AR63=0),"",INDEX('Rework Log'!$G:$G,$AR63))</f>
        <v/>
      </c>
      <c r="AM63" s="50" t="str">
        <f t="shared" si="2"/>
        <v>NOT STARTED</v>
      </c>
      <c r="AN63" s="12" t="str">
        <f t="shared" si="3"/>
        <v>No</v>
      </c>
      <c r="AO63" s="12" t="str">
        <f t="shared" si="4"/>
        <v/>
      </c>
      <c r="AP63" s="12" t="str">
        <f t="shared" si="5"/>
        <v/>
      </c>
      <c r="AQ63" s="51"/>
      <c r="AR63" s="12">
        <f>IF($B63="","",SUMPRODUCT(MAX(('Rework Log'!$A$3:$A$500=$B63)*ROW('Rework Log'!$A$3:$A$500))))</f>
        <v>0</v>
      </c>
    </row>
    <row r="64" spans="1:44" hidden="1" x14ac:dyDescent="0.25">
      <c r="A64" s="12" t="s">
        <v>169</v>
      </c>
      <c r="B64" s="12" t="s">
        <v>224</v>
      </c>
      <c r="C64" s="12" t="s">
        <v>204</v>
      </c>
      <c r="D64" s="12" t="str">
        <f t="shared" ca="1" si="0"/>
        <v>On track</v>
      </c>
      <c r="E64" s="12">
        <v>39</v>
      </c>
      <c r="F64" s="42"/>
      <c r="G64" s="12"/>
      <c r="H64" s="12"/>
      <c r="I64" s="12"/>
      <c r="J64" s="12"/>
      <c r="K64" s="43">
        <v>46295</v>
      </c>
      <c r="L64" s="12" t="s">
        <v>216</v>
      </c>
      <c r="M64" s="44"/>
      <c r="N64" s="12"/>
      <c r="O64" s="12"/>
      <c r="P64" s="12"/>
      <c r="Q64" s="45"/>
      <c r="R64" s="12"/>
      <c r="S64" s="12"/>
      <c r="T64" s="12"/>
      <c r="U64" s="46"/>
      <c r="V64" s="12"/>
      <c r="W64" s="12"/>
      <c r="X64" s="12"/>
      <c r="Y64" s="47"/>
      <c r="Z64" s="12"/>
      <c r="AA64" s="12"/>
      <c r="AB64" s="48"/>
      <c r="AC64" s="12"/>
      <c r="AD64" s="52"/>
      <c r="AE64" s="12"/>
      <c r="AF64" s="49" t="s">
        <v>83</v>
      </c>
      <c r="AG64" s="1"/>
      <c r="AH64" s="12" t="str">
        <f t="shared" si="1"/>
        <v/>
      </c>
      <c r="AI64" s="12">
        <f>IF($B64="","",COUNTIF('Rework Log'!$A$3:$A$500,$B64))</f>
        <v>0</v>
      </c>
      <c r="AJ64" s="12" t="str">
        <f>IF(OR($B64="",$AR64=0),"",INDEX('Rework Log'!$C:$C,$AR64))</f>
        <v/>
      </c>
      <c r="AK64" s="13" t="str">
        <f>IF(OR($B64="",$AR64=0),"",INDEX('Rework Log'!$H:$H,$AR64))</f>
        <v/>
      </c>
      <c r="AL64" s="12" t="str">
        <f>IF(OR($B64="",$AR64=0),"",INDEX('Rework Log'!$G:$G,$AR64))</f>
        <v/>
      </c>
      <c r="AM64" s="50" t="str">
        <f t="shared" si="2"/>
        <v>NOT STARTED</v>
      </c>
      <c r="AN64" s="12" t="str">
        <f t="shared" si="3"/>
        <v>No</v>
      </c>
      <c r="AO64" s="12" t="str">
        <f t="shared" si="4"/>
        <v/>
      </c>
      <c r="AP64" s="12" t="str">
        <f t="shared" si="5"/>
        <v/>
      </c>
      <c r="AQ64" s="51"/>
      <c r="AR64" s="12">
        <f>IF($B64="","",SUMPRODUCT(MAX(('Rework Log'!$A$3:$A$500=$B64)*ROW('Rework Log'!$A$3:$A$500))))</f>
        <v>0</v>
      </c>
    </row>
    <row r="65" spans="1:44" hidden="1" x14ac:dyDescent="0.25">
      <c r="A65" s="12" t="s">
        <v>169</v>
      </c>
      <c r="B65" s="12" t="s">
        <v>225</v>
      </c>
      <c r="C65" s="12" t="s">
        <v>204</v>
      </c>
      <c r="D65" s="12" t="str">
        <f t="shared" ca="1" si="0"/>
        <v>On track</v>
      </c>
      <c r="E65" s="12">
        <v>40</v>
      </c>
      <c r="F65" s="42"/>
      <c r="G65" s="12"/>
      <c r="H65" s="12"/>
      <c r="I65" s="12"/>
      <c r="J65" s="12"/>
      <c r="K65" s="43">
        <v>46295</v>
      </c>
      <c r="L65" s="12" t="s">
        <v>216</v>
      </c>
      <c r="M65" s="44"/>
      <c r="N65" s="12"/>
      <c r="O65" s="12"/>
      <c r="P65" s="12"/>
      <c r="Q65" s="45"/>
      <c r="R65" s="12"/>
      <c r="S65" s="12"/>
      <c r="T65" s="12"/>
      <c r="U65" s="46"/>
      <c r="V65" s="12"/>
      <c r="W65" s="12"/>
      <c r="X65" s="12"/>
      <c r="Y65" s="47"/>
      <c r="Z65" s="12"/>
      <c r="AA65" s="12"/>
      <c r="AB65" s="48"/>
      <c r="AC65" s="12"/>
      <c r="AD65" s="52"/>
      <c r="AE65" s="12"/>
      <c r="AF65" s="49" t="s">
        <v>83</v>
      </c>
      <c r="AG65" s="1"/>
      <c r="AH65" s="12" t="str">
        <f t="shared" si="1"/>
        <v/>
      </c>
      <c r="AI65" s="12">
        <f>IF($B65="","",COUNTIF('Rework Log'!$A$3:$A$500,$B65))</f>
        <v>0</v>
      </c>
      <c r="AJ65" s="12" t="str">
        <f>IF(OR($B65="",$AR65=0),"",INDEX('Rework Log'!$C:$C,$AR65))</f>
        <v/>
      </c>
      <c r="AK65" s="13" t="str">
        <f>IF(OR($B65="",$AR65=0),"",INDEX('Rework Log'!$H:$H,$AR65))</f>
        <v/>
      </c>
      <c r="AL65" s="12" t="str">
        <f>IF(OR($B65="",$AR65=0),"",INDEX('Rework Log'!$G:$G,$AR65))</f>
        <v/>
      </c>
      <c r="AM65" s="50" t="str">
        <f t="shared" si="2"/>
        <v>NOT STARTED</v>
      </c>
      <c r="AN65" s="12" t="str">
        <f t="shared" si="3"/>
        <v>No</v>
      </c>
      <c r="AO65" s="12" t="str">
        <f t="shared" si="4"/>
        <v/>
      </c>
      <c r="AP65" s="12" t="str">
        <f t="shared" si="5"/>
        <v/>
      </c>
      <c r="AQ65" s="51"/>
      <c r="AR65" s="12">
        <f>IF($B65="","",SUMPRODUCT(MAX(('Rework Log'!$A$3:$A$500=$B65)*ROW('Rework Log'!$A$3:$A$500))))</f>
        <v>0</v>
      </c>
    </row>
    <row r="66" spans="1:44" hidden="1" x14ac:dyDescent="0.25">
      <c r="A66" s="12" t="s">
        <v>169</v>
      </c>
      <c r="B66" s="12" t="s">
        <v>226</v>
      </c>
      <c r="C66" s="12" t="s">
        <v>204</v>
      </c>
      <c r="D66" s="12" t="str">
        <f t="shared" ref="D66:D129" ca="1" si="6">IF($B66="","",IF(C66="NOT STARTED",IF(K66="","No plan date set",IF(K66&lt;TODAY(),"Review - planned start passed","On track")),IF(C66="DB Dev",IF(N66="","No target set",IF(AND(N66&lt;TODAY(),P66=""),"Overdue","On track")),IF(C66="PBI Dev",IF(R66="","No target set",IF(AND(R66&lt;TODAY(),T66=""),"Overdue","On track")),IF(C66="QA",IF(V66="","No target set",IF(AND(V66&lt;TODAY(),X66=""),"Overdue","On track")),IF(C66="DPO Approval",IF(Z66="","No target set",IF(Z66&lt;TODAY(),"Overdue","On track")),IF(C66="RELEASED IN PROD","Delivered","")))))))</f>
        <v>On track</v>
      </c>
      <c r="E66" s="12">
        <v>41</v>
      </c>
      <c r="F66" s="42"/>
      <c r="G66" s="12"/>
      <c r="H66" s="12"/>
      <c r="I66" s="12"/>
      <c r="J66" s="12"/>
      <c r="K66" s="43">
        <v>46295</v>
      </c>
      <c r="L66" s="12" t="s">
        <v>216</v>
      </c>
      <c r="M66" s="44"/>
      <c r="N66" s="12"/>
      <c r="O66" s="12"/>
      <c r="P66" s="12"/>
      <c r="Q66" s="45"/>
      <c r="R66" s="12"/>
      <c r="S66" s="12"/>
      <c r="T66" s="12"/>
      <c r="U66" s="46"/>
      <c r="V66" s="12"/>
      <c r="W66" s="12"/>
      <c r="X66" s="12"/>
      <c r="Y66" s="47"/>
      <c r="Z66" s="12"/>
      <c r="AA66" s="12"/>
      <c r="AB66" s="48"/>
      <c r="AC66" s="12"/>
      <c r="AD66" s="52"/>
      <c r="AE66" s="12"/>
      <c r="AF66" s="49" t="s">
        <v>83</v>
      </c>
      <c r="AG66" s="1"/>
      <c r="AH66" s="12" t="str">
        <f t="shared" ref="AH66:AH129" si="7">IF($AF66="Yes",IF($AG66&lt;&gt;"","Blocked - needs "&amp;$AG66&amp;" to fix","Blocked at "&amp;$C66),"")</f>
        <v/>
      </c>
      <c r="AI66" s="12">
        <f>IF($B66="","",COUNTIF('Rework Log'!$A$3:$A$500,$B66))</f>
        <v>0</v>
      </c>
      <c r="AJ66" s="12" t="str">
        <f>IF(OR($B66="",$AR66=0),"",INDEX('Rework Log'!$C:$C,$AR66))</f>
        <v/>
      </c>
      <c r="AK66" s="13" t="str">
        <f>IF(OR($B66="",$AR66=0),"",INDEX('Rework Log'!$H:$H,$AR66))</f>
        <v/>
      </c>
      <c r="AL66" s="12" t="str">
        <f>IF(OR($B66="",$AR66=0),"",INDEX('Rework Log'!$G:$G,$AR66))</f>
        <v/>
      </c>
      <c r="AM66" s="50" t="str">
        <f t="shared" ref="AM66:AM129" si="8">IF($B66="","",IF(Z66&lt;&gt;"","DPO Approval",IF(V66&lt;&gt;"","QA",IF(R66&lt;&gt;"","PBI Dev",IF(N66&lt;&gt;"","DB Dev","NOT STARTED")))))</f>
        <v>NOT STARTED</v>
      </c>
      <c r="AN66" s="12" t="str">
        <f t="shared" ref="AN66:AN129" si="9">IF($B66="","",IF(IF($C66="NOT STARTED",0,IF($C66="DB Dev",1,IF($C66="PBI Dev",2,IF($C66="QA",3,IF($C66="DPO Approval",4,IF($C66="RELEASED IN PROD",5,-1))))))&lt;IF($AM66="NOT STARTED",0,IF($AM66="DB Dev",1,IF($AM66="PBI Dev",2,IF($AM66="QA",3,IF($AM66="DPO Approval",4,IF($AM66="RELEASED IN PROD",5,-1)))))),"Yes - was already at "&amp;$AM66&amp;", now back at "&amp;$C66,"No"))</f>
        <v>No</v>
      </c>
      <c r="AO66" s="12" t="str">
        <f t="shared" ref="AO66:AO129" si="10">IF($B66="","",IF(AND(V66&lt;&gt;"",N66&lt;&gt;"",V66&lt;N66),"QA target is before DB Dev target",IF(AND(V66&lt;&gt;"",R66&lt;&gt;"",V66&lt;R66),"QA target is before PBI Dev target",IF(AND(Z66&lt;&gt;"",V66&lt;&gt;"",Z66&lt;V66),"DPO Approval target is before QA target",IF(AND(AC66&lt;&gt;"",Z66&lt;&gt;"",AC66&lt;Z66),"Confirmed Deployed date is before DPO Approval target","")))))</f>
        <v/>
      </c>
      <c r="AP66" s="12" t="str">
        <f t="shared" ref="AP66:AP129" si="11">IF($B66="","",IF(COUNTIF($B$2:$B$500,$B66)&gt;1,"Duplicate name - check row",""))</f>
        <v/>
      </c>
      <c r="AQ66" s="51"/>
      <c r="AR66" s="12">
        <f>IF($B66="","",SUMPRODUCT(MAX(('Rework Log'!$A$3:$A$500=$B66)*ROW('Rework Log'!$A$3:$A$500))))</f>
        <v>0</v>
      </c>
    </row>
    <row r="67" spans="1:44" hidden="1" x14ac:dyDescent="0.25">
      <c r="A67" s="12" t="s">
        <v>169</v>
      </c>
      <c r="B67" s="12" t="s">
        <v>227</v>
      </c>
      <c r="C67" s="12" t="s">
        <v>204</v>
      </c>
      <c r="D67" s="12" t="str">
        <f t="shared" ca="1" si="6"/>
        <v>On track</v>
      </c>
      <c r="E67" s="12">
        <v>42</v>
      </c>
      <c r="F67" s="42"/>
      <c r="G67" s="12"/>
      <c r="H67" s="12"/>
      <c r="I67" s="12"/>
      <c r="J67" s="12"/>
      <c r="K67" s="43">
        <v>46295</v>
      </c>
      <c r="L67" s="12" t="s">
        <v>216</v>
      </c>
      <c r="M67" s="44"/>
      <c r="N67" s="12"/>
      <c r="O67" s="12"/>
      <c r="P67" s="12"/>
      <c r="Q67" s="45"/>
      <c r="R67" s="12"/>
      <c r="S67" s="12"/>
      <c r="T67" s="12"/>
      <c r="U67" s="46"/>
      <c r="V67" s="12"/>
      <c r="W67" s="12"/>
      <c r="X67" s="12"/>
      <c r="Y67" s="47"/>
      <c r="Z67" s="12"/>
      <c r="AA67" s="12"/>
      <c r="AB67" s="48"/>
      <c r="AC67" s="12"/>
      <c r="AD67" s="52"/>
      <c r="AE67" s="12"/>
      <c r="AF67" s="49" t="s">
        <v>83</v>
      </c>
      <c r="AG67" s="1"/>
      <c r="AH67" s="12" t="str">
        <f t="shared" si="7"/>
        <v/>
      </c>
      <c r="AI67" s="12">
        <f>IF($B67="","",COUNTIF('Rework Log'!$A$3:$A$500,$B67))</f>
        <v>0</v>
      </c>
      <c r="AJ67" s="12" t="str">
        <f>IF(OR($B67="",$AR67=0),"",INDEX('Rework Log'!$C:$C,$AR67))</f>
        <v/>
      </c>
      <c r="AK67" s="13" t="str">
        <f>IF(OR($B67="",$AR67=0),"",INDEX('Rework Log'!$H:$H,$AR67))</f>
        <v/>
      </c>
      <c r="AL67" s="12" t="str">
        <f>IF(OR($B67="",$AR67=0),"",INDEX('Rework Log'!$G:$G,$AR67))</f>
        <v/>
      </c>
      <c r="AM67" s="50" t="str">
        <f t="shared" si="8"/>
        <v>NOT STARTED</v>
      </c>
      <c r="AN67" s="12" t="str">
        <f t="shared" si="9"/>
        <v>No</v>
      </c>
      <c r="AO67" s="12" t="str">
        <f t="shared" si="10"/>
        <v/>
      </c>
      <c r="AP67" s="12" t="str">
        <f t="shared" si="11"/>
        <v/>
      </c>
      <c r="AQ67" s="51"/>
      <c r="AR67" s="12">
        <f>IF($B67="","",SUMPRODUCT(MAX(('Rework Log'!$A$3:$A$500=$B67)*ROW('Rework Log'!$A$3:$A$500))))</f>
        <v>0</v>
      </c>
    </row>
    <row r="68" spans="1:44" hidden="1" x14ac:dyDescent="0.25">
      <c r="A68" s="12" t="s">
        <v>169</v>
      </c>
      <c r="B68" s="12" t="s">
        <v>228</v>
      </c>
      <c r="C68" s="12" t="s">
        <v>204</v>
      </c>
      <c r="D68" s="12" t="str">
        <f t="shared" ca="1" si="6"/>
        <v>On track</v>
      </c>
      <c r="E68" s="12">
        <v>43</v>
      </c>
      <c r="F68" s="42"/>
      <c r="G68" s="12"/>
      <c r="H68" s="12"/>
      <c r="I68" s="12"/>
      <c r="J68" s="12"/>
      <c r="K68" s="43">
        <v>46295</v>
      </c>
      <c r="L68" s="12" t="s">
        <v>216</v>
      </c>
      <c r="M68" s="44"/>
      <c r="N68" s="12"/>
      <c r="O68" s="12"/>
      <c r="P68" s="12"/>
      <c r="Q68" s="45"/>
      <c r="R68" s="12"/>
      <c r="S68" s="12"/>
      <c r="T68" s="12"/>
      <c r="U68" s="46"/>
      <c r="V68" s="12"/>
      <c r="W68" s="12"/>
      <c r="X68" s="12"/>
      <c r="Y68" s="47"/>
      <c r="Z68" s="12"/>
      <c r="AA68" s="12"/>
      <c r="AB68" s="48"/>
      <c r="AC68" s="12"/>
      <c r="AD68" s="52"/>
      <c r="AE68" s="12"/>
      <c r="AF68" s="49" t="s">
        <v>83</v>
      </c>
      <c r="AG68" s="1"/>
      <c r="AH68" s="12" t="str">
        <f t="shared" si="7"/>
        <v/>
      </c>
      <c r="AI68" s="12">
        <f>IF($B68="","",COUNTIF('Rework Log'!$A$3:$A$500,$B68))</f>
        <v>0</v>
      </c>
      <c r="AJ68" s="12" t="str">
        <f>IF(OR($B68="",$AR68=0),"",INDEX('Rework Log'!$C:$C,$AR68))</f>
        <v/>
      </c>
      <c r="AK68" s="13" t="str">
        <f>IF(OR($B68="",$AR68=0),"",INDEX('Rework Log'!$H:$H,$AR68))</f>
        <v/>
      </c>
      <c r="AL68" s="12" t="str">
        <f>IF(OR($B68="",$AR68=0),"",INDEX('Rework Log'!$G:$G,$AR68))</f>
        <v/>
      </c>
      <c r="AM68" s="50" t="str">
        <f t="shared" si="8"/>
        <v>NOT STARTED</v>
      </c>
      <c r="AN68" s="12" t="str">
        <f t="shared" si="9"/>
        <v>No</v>
      </c>
      <c r="AO68" s="12" t="str">
        <f t="shared" si="10"/>
        <v/>
      </c>
      <c r="AP68" s="12" t="str">
        <f t="shared" si="11"/>
        <v/>
      </c>
      <c r="AQ68" s="51"/>
      <c r="AR68" s="12">
        <f>IF($B68="","",SUMPRODUCT(MAX(('Rework Log'!$A$3:$A$500=$B68)*ROW('Rework Log'!$A$3:$A$500))))</f>
        <v>0</v>
      </c>
    </row>
    <row r="69" spans="1:44" hidden="1" x14ac:dyDescent="0.25">
      <c r="A69" s="12" t="s">
        <v>169</v>
      </c>
      <c r="B69" s="12" t="s">
        <v>229</v>
      </c>
      <c r="C69" s="12" t="s">
        <v>204</v>
      </c>
      <c r="D69" s="12" t="str">
        <f t="shared" ca="1" si="6"/>
        <v>On track</v>
      </c>
      <c r="E69" s="12">
        <v>44</v>
      </c>
      <c r="F69" s="42"/>
      <c r="G69" s="12"/>
      <c r="H69" s="12"/>
      <c r="I69" s="12"/>
      <c r="J69" s="12"/>
      <c r="K69" s="43">
        <v>46295</v>
      </c>
      <c r="L69" s="12" t="s">
        <v>216</v>
      </c>
      <c r="M69" s="44"/>
      <c r="N69" s="12"/>
      <c r="O69" s="12"/>
      <c r="P69" s="12"/>
      <c r="Q69" s="45"/>
      <c r="R69" s="12"/>
      <c r="S69" s="12"/>
      <c r="T69" s="12"/>
      <c r="U69" s="46"/>
      <c r="V69" s="12"/>
      <c r="W69" s="12"/>
      <c r="X69" s="12"/>
      <c r="Y69" s="47"/>
      <c r="Z69" s="12"/>
      <c r="AA69" s="12"/>
      <c r="AB69" s="48"/>
      <c r="AC69" s="12"/>
      <c r="AD69" s="52"/>
      <c r="AE69" s="12"/>
      <c r="AF69" s="49" t="s">
        <v>83</v>
      </c>
      <c r="AG69" s="1"/>
      <c r="AH69" s="12" t="str">
        <f t="shared" si="7"/>
        <v/>
      </c>
      <c r="AI69" s="12">
        <f>IF($B69="","",COUNTIF('Rework Log'!$A$3:$A$500,$B69))</f>
        <v>0</v>
      </c>
      <c r="AJ69" s="12" t="str">
        <f>IF(OR($B69="",$AR69=0),"",INDEX('Rework Log'!$C:$C,$AR69))</f>
        <v/>
      </c>
      <c r="AK69" s="13" t="str">
        <f>IF(OR($B69="",$AR69=0),"",INDEX('Rework Log'!$H:$H,$AR69))</f>
        <v/>
      </c>
      <c r="AL69" s="12" t="str">
        <f>IF(OR($B69="",$AR69=0),"",INDEX('Rework Log'!$G:$G,$AR69))</f>
        <v/>
      </c>
      <c r="AM69" s="50" t="str">
        <f t="shared" si="8"/>
        <v>NOT STARTED</v>
      </c>
      <c r="AN69" s="12" t="str">
        <f t="shared" si="9"/>
        <v>No</v>
      </c>
      <c r="AO69" s="12" t="str">
        <f t="shared" si="10"/>
        <v/>
      </c>
      <c r="AP69" s="12" t="str">
        <f t="shared" si="11"/>
        <v/>
      </c>
      <c r="AQ69" s="51"/>
      <c r="AR69" s="12">
        <f>IF($B69="","",SUMPRODUCT(MAX(('Rework Log'!$A$3:$A$500=$B69)*ROW('Rework Log'!$A$3:$A$500))))</f>
        <v>0</v>
      </c>
    </row>
    <row r="70" spans="1:44" hidden="1" x14ac:dyDescent="0.25">
      <c r="A70" s="12" t="s">
        <v>169</v>
      </c>
      <c r="B70" s="12" t="s">
        <v>230</v>
      </c>
      <c r="C70" s="12" t="s">
        <v>204</v>
      </c>
      <c r="D70" s="12" t="str">
        <f t="shared" ca="1" si="6"/>
        <v>On track</v>
      </c>
      <c r="E70" s="12">
        <v>45</v>
      </c>
      <c r="F70" s="42"/>
      <c r="G70" s="12"/>
      <c r="H70" s="12"/>
      <c r="I70" s="12"/>
      <c r="J70" s="12"/>
      <c r="K70" s="43">
        <v>46295</v>
      </c>
      <c r="L70" s="12" t="s">
        <v>216</v>
      </c>
      <c r="M70" s="44"/>
      <c r="N70" s="12"/>
      <c r="O70" s="12"/>
      <c r="P70" s="12"/>
      <c r="Q70" s="45"/>
      <c r="R70" s="12"/>
      <c r="S70" s="12"/>
      <c r="T70" s="12"/>
      <c r="U70" s="46"/>
      <c r="V70" s="12"/>
      <c r="W70" s="12"/>
      <c r="X70" s="12"/>
      <c r="Y70" s="47"/>
      <c r="Z70" s="12"/>
      <c r="AA70" s="12"/>
      <c r="AB70" s="48"/>
      <c r="AC70" s="12"/>
      <c r="AD70" s="52"/>
      <c r="AE70" s="12"/>
      <c r="AF70" s="49" t="s">
        <v>83</v>
      </c>
      <c r="AG70" s="1"/>
      <c r="AH70" s="12" t="str">
        <f t="shared" si="7"/>
        <v/>
      </c>
      <c r="AI70" s="12">
        <f>IF($B70="","",COUNTIF('Rework Log'!$A$3:$A$500,$B70))</f>
        <v>0</v>
      </c>
      <c r="AJ70" s="12" t="str">
        <f>IF(OR($B70="",$AR70=0),"",INDEX('Rework Log'!$C:$C,$AR70))</f>
        <v/>
      </c>
      <c r="AK70" s="13" t="str">
        <f>IF(OR($B70="",$AR70=0),"",INDEX('Rework Log'!$H:$H,$AR70))</f>
        <v/>
      </c>
      <c r="AL70" s="12" t="str">
        <f>IF(OR($B70="",$AR70=0),"",INDEX('Rework Log'!$G:$G,$AR70))</f>
        <v/>
      </c>
      <c r="AM70" s="50" t="str">
        <f t="shared" si="8"/>
        <v>NOT STARTED</v>
      </c>
      <c r="AN70" s="12" t="str">
        <f t="shared" si="9"/>
        <v>No</v>
      </c>
      <c r="AO70" s="12" t="str">
        <f t="shared" si="10"/>
        <v/>
      </c>
      <c r="AP70" s="12" t="str">
        <f t="shared" si="11"/>
        <v/>
      </c>
      <c r="AQ70" s="51"/>
      <c r="AR70" s="12">
        <f>IF($B70="","",SUMPRODUCT(MAX(('Rework Log'!$A$3:$A$500=$B70)*ROW('Rework Log'!$A$3:$A$500))))</f>
        <v>0</v>
      </c>
    </row>
    <row r="71" spans="1:44" hidden="1" x14ac:dyDescent="0.25">
      <c r="A71" s="12" t="s">
        <v>169</v>
      </c>
      <c r="B71" s="12" t="s">
        <v>231</v>
      </c>
      <c r="C71" s="12" t="s">
        <v>204</v>
      </c>
      <c r="D71" s="12" t="str">
        <f t="shared" ca="1" si="6"/>
        <v>On track</v>
      </c>
      <c r="E71" s="12">
        <v>46</v>
      </c>
      <c r="F71" s="42"/>
      <c r="G71" s="12"/>
      <c r="H71" s="12"/>
      <c r="I71" s="12"/>
      <c r="J71" s="12"/>
      <c r="K71" s="43">
        <v>46295</v>
      </c>
      <c r="L71" s="12" t="s">
        <v>216</v>
      </c>
      <c r="M71" s="44"/>
      <c r="N71" s="12"/>
      <c r="O71" s="12"/>
      <c r="P71" s="12"/>
      <c r="Q71" s="45"/>
      <c r="R71" s="12"/>
      <c r="S71" s="12"/>
      <c r="T71" s="12"/>
      <c r="U71" s="46"/>
      <c r="V71" s="12"/>
      <c r="W71" s="12"/>
      <c r="X71" s="12"/>
      <c r="Y71" s="47"/>
      <c r="Z71" s="12"/>
      <c r="AA71" s="12"/>
      <c r="AB71" s="48"/>
      <c r="AC71" s="12"/>
      <c r="AD71" s="52"/>
      <c r="AE71" s="12"/>
      <c r="AF71" s="49" t="s">
        <v>83</v>
      </c>
      <c r="AG71" s="1"/>
      <c r="AH71" s="12" t="str">
        <f t="shared" si="7"/>
        <v/>
      </c>
      <c r="AI71" s="12">
        <f>IF($B71="","",COUNTIF('Rework Log'!$A$3:$A$500,$B71))</f>
        <v>0</v>
      </c>
      <c r="AJ71" s="12" t="str">
        <f>IF(OR($B71="",$AR71=0),"",INDEX('Rework Log'!$C:$C,$AR71))</f>
        <v/>
      </c>
      <c r="AK71" s="13" t="str">
        <f>IF(OR($B71="",$AR71=0),"",INDEX('Rework Log'!$H:$H,$AR71))</f>
        <v/>
      </c>
      <c r="AL71" s="12" t="str">
        <f>IF(OR($B71="",$AR71=0),"",INDEX('Rework Log'!$G:$G,$AR71))</f>
        <v/>
      </c>
      <c r="AM71" s="50" t="str">
        <f t="shared" si="8"/>
        <v>NOT STARTED</v>
      </c>
      <c r="AN71" s="12" t="str">
        <f t="shared" si="9"/>
        <v>No</v>
      </c>
      <c r="AO71" s="12" t="str">
        <f t="shared" si="10"/>
        <v/>
      </c>
      <c r="AP71" s="12" t="str">
        <f t="shared" si="11"/>
        <v/>
      </c>
      <c r="AQ71" s="51"/>
      <c r="AR71" s="12">
        <f>IF($B71="","",SUMPRODUCT(MAX(('Rework Log'!$A$3:$A$500=$B71)*ROW('Rework Log'!$A$3:$A$500))))</f>
        <v>0</v>
      </c>
    </row>
    <row r="72" spans="1:44" hidden="1" x14ac:dyDescent="0.25">
      <c r="A72" s="12" t="s">
        <v>169</v>
      </c>
      <c r="B72" s="12" t="s">
        <v>232</v>
      </c>
      <c r="C72" s="12" t="s">
        <v>204</v>
      </c>
      <c r="D72" s="12" t="str">
        <f t="shared" ca="1" si="6"/>
        <v>On track</v>
      </c>
      <c r="E72" s="12">
        <v>47</v>
      </c>
      <c r="F72" s="42"/>
      <c r="G72" s="12"/>
      <c r="H72" s="12"/>
      <c r="I72" s="12"/>
      <c r="J72" s="12"/>
      <c r="K72" s="43">
        <v>46295</v>
      </c>
      <c r="L72" s="12" t="s">
        <v>216</v>
      </c>
      <c r="M72" s="44"/>
      <c r="N72" s="12"/>
      <c r="O72" s="12"/>
      <c r="P72" s="12"/>
      <c r="Q72" s="45"/>
      <c r="R72" s="12"/>
      <c r="S72" s="12"/>
      <c r="T72" s="12"/>
      <c r="U72" s="46"/>
      <c r="V72" s="12"/>
      <c r="W72" s="12"/>
      <c r="X72" s="12"/>
      <c r="Y72" s="47"/>
      <c r="Z72" s="12"/>
      <c r="AA72" s="12"/>
      <c r="AB72" s="48"/>
      <c r="AC72" s="12"/>
      <c r="AD72" s="52"/>
      <c r="AE72" s="12"/>
      <c r="AF72" s="49" t="s">
        <v>83</v>
      </c>
      <c r="AG72" s="1"/>
      <c r="AH72" s="12" t="str">
        <f t="shared" si="7"/>
        <v/>
      </c>
      <c r="AI72" s="12">
        <f>IF($B72="","",COUNTIF('Rework Log'!$A$3:$A$500,$B72))</f>
        <v>0</v>
      </c>
      <c r="AJ72" s="12" t="str">
        <f>IF(OR($B72="",$AR72=0),"",INDEX('Rework Log'!$C:$C,$AR72))</f>
        <v/>
      </c>
      <c r="AK72" s="13" t="str">
        <f>IF(OR($B72="",$AR72=0),"",INDEX('Rework Log'!$H:$H,$AR72))</f>
        <v/>
      </c>
      <c r="AL72" s="12" t="str">
        <f>IF(OR($B72="",$AR72=0),"",INDEX('Rework Log'!$G:$G,$AR72))</f>
        <v/>
      </c>
      <c r="AM72" s="50" t="str">
        <f t="shared" si="8"/>
        <v>NOT STARTED</v>
      </c>
      <c r="AN72" s="12" t="str">
        <f t="shared" si="9"/>
        <v>No</v>
      </c>
      <c r="AO72" s="12" t="str">
        <f t="shared" si="10"/>
        <v/>
      </c>
      <c r="AP72" s="12" t="str">
        <f t="shared" si="11"/>
        <v/>
      </c>
      <c r="AQ72" s="51"/>
      <c r="AR72" s="12">
        <f>IF($B72="","",SUMPRODUCT(MAX(('Rework Log'!$A$3:$A$500=$B72)*ROW('Rework Log'!$A$3:$A$500))))</f>
        <v>0</v>
      </c>
    </row>
    <row r="73" spans="1:44" hidden="1" x14ac:dyDescent="0.25">
      <c r="A73" s="12" t="s">
        <v>72</v>
      </c>
      <c r="B73" s="12" t="s">
        <v>233</v>
      </c>
      <c r="C73" s="12" t="s">
        <v>204</v>
      </c>
      <c r="D73" s="12" t="str">
        <f t="shared" ca="1" si="6"/>
        <v>On track</v>
      </c>
      <c r="E73" s="12">
        <v>48</v>
      </c>
      <c r="F73" s="42"/>
      <c r="G73" s="12"/>
      <c r="H73" s="12"/>
      <c r="I73" s="12"/>
      <c r="J73" s="12"/>
      <c r="K73" s="43">
        <v>46295</v>
      </c>
      <c r="L73" s="12" t="s">
        <v>216</v>
      </c>
      <c r="M73" s="44"/>
      <c r="N73" s="12"/>
      <c r="O73" s="12"/>
      <c r="P73" s="12"/>
      <c r="Q73" s="45"/>
      <c r="R73" s="12"/>
      <c r="S73" s="12"/>
      <c r="T73" s="12"/>
      <c r="U73" s="46"/>
      <c r="V73" s="12"/>
      <c r="W73" s="12"/>
      <c r="X73" s="12"/>
      <c r="Y73" s="47"/>
      <c r="Z73" s="12"/>
      <c r="AA73" s="12"/>
      <c r="AB73" s="48"/>
      <c r="AC73" s="12"/>
      <c r="AD73" s="52"/>
      <c r="AE73" s="12"/>
      <c r="AF73" s="49" t="s">
        <v>83</v>
      </c>
      <c r="AG73" s="1"/>
      <c r="AH73" s="12" t="str">
        <f t="shared" si="7"/>
        <v/>
      </c>
      <c r="AI73" s="12">
        <f>IF($B73="","",COUNTIF('Rework Log'!$A$3:$A$500,$B73))</f>
        <v>0</v>
      </c>
      <c r="AJ73" s="12" t="str">
        <f>IF(OR($B73="",$AR73=0),"",INDEX('Rework Log'!$C:$C,$AR73))</f>
        <v/>
      </c>
      <c r="AK73" s="13" t="str">
        <f>IF(OR($B73="",$AR73=0),"",INDEX('Rework Log'!$H:$H,$AR73))</f>
        <v/>
      </c>
      <c r="AL73" s="12" t="str">
        <f>IF(OR($B73="",$AR73=0),"",INDEX('Rework Log'!$G:$G,$AR73))</f>
        <v/>
      </c>
      <c r="AM73" s="50" t="str">
        <f t="shared" si="8"/>
        <v>NOT STARTED</v>
      </c>
      <c r="AN73" s="12" t="str">
        <f t="shared" si="9"/>
        <v>No</v>
      </c>
      <c r="AO73" s="12" t="str">
        <f t="shared" si="10"/>
        <v/>
      </c>
      <c r="AP73" s="12" t="str">
        <f t="shared" si="11"/>
        <v/>
      </c>
      <c r="AQ73" s="51"/>
      <c r="AR73" s="12">
        <f>IF($B73="","",SUMPRODUCT(MAX(('Rework Log'!$A$3:$A$500=$B73)*ROW('Rework Log'!$A$3:$A$500))))</f>
        <v>0</v>
      </c>
    </row>
    <row r="74" spans="1:44" x14ac:dyDescent="0.25">
      <c r="A74" s="1"/>
      <c r="B74" s="1"/>
      <c r="C74" s="1"/>
      <c r="D74" s="12" t="str">
        <f t="shared" ca="1" si="6"/>
        <v/>
      </c>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2" t="str">
        <f t="shared" si="7"/>
        <v/>
      </c>
      <c r="AI74" s="12" t="str">
        <f>IF($B74="","",COUNTIF('Rework Log'!$A$3:$A$500,$B74))</f>
        <v/>
      </c>
      <c r="AJ74" s="12" t="str">
        <f>IF(OR($B74="",$AR74=0),"",INDEX('Rework Log'!$C:$C,$AR74))</f>
        <v/>
      </c>
      <c r="AK74" s="12" t="str">
        <f>IF(OR($B74="",$AR74=0),"",INDEX('Rework Log'!$H:$H,$AR74))</f>
        <v/>
      </c>
      <c r="AL74" s="12" t="str">
        <f>IF(OR($B74="",$AR74=0),"",INDEX('Rework Log'!$G:$G,$AR74))</f>
        <v/>
      </c>
      <c r="AM74" s="12" t="str">
        <f t="shared" si="8"/>
        <v/>
      </c>
      <c r="AN74" s="12" t="str">
        <f t="shared" si="9"/>
        <v/>
      </c>
      <c r="AO74" s="12" t="str">
        <f t="shared" si="10"/>
        <v/>
      </c>
      <c r="AP74" s="12" t="str">
        <f t="shared" si="11"/>
        <v/>
      </c>
      <c r="AQ74" s="1"/>
      <c r="AR74" s="12" t="str">
        <f>IF($B74="","",SUMPRODUCT(MAX(('Rework Log'!$A$3:$A$500=$B74)*ROW('Rework Log'!$A$3:$A$500))))</f>
        <v/>
      </c>
    </row>
    <row r="75" spans="1:44" x14ac:dyDescent="0.25">
      <c r="A75" s="1"/>
      <c r="B75" s="1"/>
      <c r="C75" s="1"/>
      <c r="D75" s="12" t="str">
        <f t="shared" ca="1" si="6"/>
        <v/>
      </c>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2" t="str">
        <f t="shared" si="7"/>
        <v/>
      </c>
      <c r="AI75" s="12" t="str">
        <f>IF($B75="","",COUNTIF('Rework Log'!$A$3:$A$500,$B75))</f>
        <v/>
      </c>
      <c r="AJ75" s="12" t="str">
        <f>IF(OR($B75="",$AR75=0),"",INDEX('Rework Log'!$C:$C,$AR75))</f>
        <v/>
      </c>
      <c r="AK75" s="12" t="str">
        <f>IF(OR($B75="",$AR75=0),"",INDEX('Rework Log'!$H:$H,$AR75))</f>
        <v/>
      </c>
      <c r="AL75" s="12" t="str">
        <f>IF(OR($B75="",$AR75=0),"",INDEX('Rework Log'!$G:$G,$AR75))</f>
        <v/>
      </c>
      <c r="AM75" s="12" t="str">
        <f t="shared" si="8"/>
        <v/>
      </c>
      <c r="AN75" s="12" t="str">
        <f t="shared" si="9"/>
        <v/>
      </c>
      <c r="AO75" s="12" t="str">
        <f t="shared" si="10"/>
        <v/>
      </c>
      <c r="AP75" s="12" t="str">
        <f t="shared" si="11"/>
        <v/>
      </c>
      <c r="AQ75" s="1"/>
      <c r="AR75" s="12" t="str">
        <f>IF($B75="","",SUMPRODUCT(MAX(('Rework Log'!$A$3:$A$500=$B75)*ROW('Rework Log'!$A$3:$A$500))))</f>
        <v/>
      </c>
    </row>
    <row r="76" spans="1:44" x14ac:dyDescent="0.25">
      <c r="A76" s="1"/>
      <c r="B76" s="1"/>
      <c r="C76" s="1"/>
      <c r="D76" s="12" t="str">
        <f t="shared" ca="1" si="6"/>
        <v/>
      </c>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2" t="str">
        <f t="shared" si="7"/>
        <v/>
      </c>
      <c r="AI76" s="12" t="str">
        <f>IF($B76="","",COUNTIF('Rework Log'!$A$3:$A$500,$B76))</f>
        <v/>
      </c>
      <c r="AJ76" s="12" t="str">
        <f>IF(OR($B76="",$AR76=0),"",INDEX('Rework Log'!$C:$C,$AR76))</f>
        <v/>
      </c>
      <c r="AK76" s="12" t="str">
        <f>IF(OR($B76="",$AR76=0),"",INDEX('Rework Log'!$H:$H,$AR76))</f>
        <v/>
      </c>
      <c r="AL76" s="12" t="str">
        <f>IF(OR($B76="",$AR76=0),"",INDEX('Rework Log'!$G:$G,$AR76))</f>
        <v/>
      </c>
      <c r="AM76" s="12" t="str">
        <f t="shared" si="8"/>
        <v/>
      </c>
      <c r="AN76" s="12" t="str">
        <f t="shared" si="9"/>
        <v/>
      </c>
      <c r="AO76" s="12" t="str">
        <f t="shared" si="10"/>
        <v/>
      </c>
      <c r="AP76" s="12" t="str">
        <f t="shared" si="11"/>
        <v/>
      </c>
      <c r="AQ76" s="1"/>
      <c r="AR76" s="12" t="str">
        <f>IF($B76="","",SUMPRODUCT(MAX(('Rework Log'!$A$3:$A$500=$B76)*ROW('Rework Log'!$A$3:$A$500))))</f>
        <v/>
      </c>
    </row>
    <row r="77" spans="1:44" x14ac:dyDescent="0.25">
      <c r="A77" s="1"/>
      <c r="B77" s="1"/>
      <c r="C77" s="1"/>
      <c r="D77" s="12" t="str">
        <f t="shared" ca="1" si="6"/>
        <v/>
      </c>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2" t="str">
        <f t="shared" si="7"/>
        <v/>
      </c>
      <c r="AI77" s="12" t="str">
        <f>IF($B77="","",COUNTIF('Rework Log'!$A$3:$A$500,$B77))</f>
        <v/>
      </c>
      <c r="AJ77" s="12" t="str">
        <f>IF(OR($B77="",$AR77=0),"",INDEX('Rework Log'!$C:$C,$AR77))</f>
        <v/>
      </c>
      <c r="AK77" s="12" t="str">
        <f>IF(OR($B77="",$AR77=0),"",INDEX('Rework Log'!$H:$H,$AR77))</f>
        <v/>
      </c>
      <c r="AL77" s="12" t="str">
        <f>IF(OR($B77="",$AR77=0),"",INDEX('Rework Log'!$G:$G,$AR77))</f>
        <v/>
      </c>
      <c r="AM77" s="12" t="str">
        <f t="shared" si="8"/>
        <v/>
      </c>
      <c r="AN77" s="12" t="str">
        <f t="shared" si="9"/>
        <v/>
      </c>
      <c r="AO77" s="12" t="str">
        <f t="shared" si="10"/>
        <v/>
      </c>
      <c r="AP77" s="12" t="str">
        <f t="shared" si="11"/>
        <v/>
      </c>
      <c r="AQ77" s="1"/>
      <c r="AR77" s="12" t="str">
        <f>IF($B77="","",SUMPRODUCT(MAX(('Rework Log'!$A$3:$A$500=$B77)*ROW('Rework Log'!$A$3:$A$500))))</f>
        <v/>
      </c>
    </row>
    <row r="78" spans="1:44" x14ac:dyDescent="0.25">
      <c r="A78" s="1"/>
      <c r="B78" s="1"/>
      <c r="C78" s="1"/>
      <c r="D78" s="12" t="str">
        <f t="shared" ca="1" si="6"/>
        <v/>
      </c>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2" t="str">
        <f t="shared" si="7"/>
        <v/>
      </c>
      <c r="AI78" s="12" t="str">
        <f>IF($B78="","",COUNTIF('Rework Log'!$A$3:$A$500,$B78))</f>
        <v/>
      </c>
      <c r="AJ78" s="12" t="str">
        <f>IF(OR($B78="",$AR78=0),"",INDEX('Rework Log'!$C:$C,$AR78))</f>
        <v/>
      </c>
      <c r="AK78" s="12" t="str">
        <f>IF(OR($B78="",$AR78=0),"",INDEX('Rework Log'!$H:$H,$AR78))</f>
        <v/>
      </c>
      <c r="AL78" s="12" t="str">
        <f>IF(OR($B78="",$AR78=0),"",INDEX('Rework Log'!$G:$G,$AR78))</f>
        <v/>
      </c>
      <c r="AM78" s="12" t="str">
        <f t="shared" si="8"/>
        <v/>
      </c>
      <c r="AN78" s="12" t="str">
        <f t="shared" si="9"/>
        <v/>
      </c>
      <c r="AO78" s="12" t="str">
        <f t="shared" si="10"/>
        <v/>
      </c>
      <c r="AP78" s="12" t="str">
        <f t="shared" si="11"/>
        <v/>
      </c>
      <c r="AQ78" s="1"/>
      <c r="AR78" s="12" t="str">
        <f>IF($B78="","",SUMPRODUCT(MAX(('Rework Log'!$A$3:$A$500=$B78)*ROW('Rework Log'!$A$3:$A$500))))</f>
        <v/>
      </c>
    </row>
    <row r="79" spans="1:44" x14ac:dyDescent="0.25">
      <c r="A79" s="1"/>
      <c r="B79" s="1"/>
      <c r="C79" s="1"/>
      <c r="D79" s="12" t="str">
        <f t="shared" ca="1" si="6"/>
        <v/>
      </c>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2" t="str">
        <f t="shared" si="7"/>
        <v/>
      </c>
      <c r="AI79" s="12" t="str">
        <f>IF($B79="","",COUNTIF('Rework Log'!$A$3:$A$500,$B79))</f>
        <v/>
      </c>
      <c r="AJ79" s="12" t="str">
        <f>IF(OR($B79="",$AR79=0),"",INDEX('Rework Log'!$C:$C,$AR79))</f>
        <v/>
      </c>
      <c r="AK79" s="12" t="str">
        <f>IF(OR($B79="",$AR79=0),"",INDEX('Rework Log'!$H:$H,$AR79))</f>
        <v/>
      </c>
      <c r="AL79" s="12" t="str">
        <f>IF(OR($B79="",$AR79=0),"",INDEX('Rework Log'!$G:$G,$AR79))</f>
        <v/>
      </c>
      <c r="AM79" s="12" t="str">
        <f t="shared" si="8"/>
        <v/>
      </c>
      <c r="AN79" s="12" t="str">
        <f t="shared" si="9"/>
        <v/>
      </c>
      <c r="AO79" s="12" t="str">
        <f t="shared" si="10"/>
        <v/>
      </c>
      <c r="AP79" s="12" t="str">
        <f t="shared" si="11"/>
        <v/>
      </c>
      <c r="AQ79" s="1"/>
      <c r="AR79" s="12" t="str">
        <f>IF($B79="","",SUMPRODUCT(MAX(('Rework Log'!$A$3:$A$500=$B79)*ROW('Rework Log'!$A$3:$A$500))))</f>
        <v/>
      </c>
    </row>
    <row r="80" spans="1:44" x14ac:dyDescent="0.25">
      <c r="A80" s="1"/>
      <c r="B80" s="1"/>
      <c r="C80" s="1"/>
      <c r="D80" s="12" t="str">
        <f t="shared" ca="1" si="6"/>
        <v/>
      </c>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2" t="str">
        <f t="shared" si="7"/>
        <v/>
      </c>
      <c r="AI80" s="12" t="str">
        <f>IF($B80="","",COUNTIF('Rework Log'!$A$3:$A$500,$B80))</f>
        <v/>
      </c>
      <c r="AJ80" s="12" t="str">
        <f>IF(OR($B80="",$AR80=0),"",INDEX('Rework Log'!$C:$C,$AR80))</f>
        <v/>
      </c>
      <c r="AK80" s="12" t="str">
        <f>IF(OR($B80="",$AR80=0),"",INDEX('Rework Log'!$H:$H,$AR80))</f>
        <v/>
      </c>
      <c r="AL80" s="12" t="str">
        <f>IF(OR($B80="",$AR80=0),"",INDEX('Rework Log'!$G:$G,$AR80))</f>
        <v/>
      </c>
      <c r="AM80" s="12" t="str">
        <f t="shared" si="8"/>
        <v/>
      </c>
      <c r="AN80" s="12" t="str">
        <f t="shared" si="9"/>
        <v/>
      </c>
      <c r="AO80" s="12" t="str">
        <f t="shared" si="10"/>
        <v/>
      </c>
      <c r="AP80" s="12" t="str">
        <f t="shared" si="11"/>
        <v/>
      </c>
      <c r="AQ80" s="1"/>
      <c r="AR80" s="12" t="str">
        <f>IF($B80="","",SUMPRODUCT(MAX(('Rework Log'!$A$3:$A$500=$B80)*ROW('Rework Log'!$A$3:$A$500))))</f>
        <v/>
      </c>
    </row>
    <row r="81" spans="1:44" x14ac:dyDescent="0.25">
      <c r="A81" s="1"/>
      <c r="B81" s="1"/>
      <c r="C81" s="1"/>
      <c r="D81" s="12" t="str">
        <f t="shared" ca="1" si="6"/>
        <v/>
      </c>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2" t="str">
        <f t="shared" si="7"/>
        <v/>
      </c>
      <c r="AI81" s="12" t="str">
        <f>IF($B81="","",COUNTIF('Rework Log'!$A$3:$A$500,$B81))</f>
        <v/>
      </c>
      <c r="AJ81" s="12" t="str">
        <f>IF(OR($B81="",$AR81=0),"",INDEX('Rework Log'!$C:$C,$AR81))</f>
        <v/>
      </c>
      <c r="AK81" s="12" t="str">
        <f>IF(OR($B81="",$AR81=0),"",INDEX('Rework Log'!$H:$H,$AR81))</f>
        <v/>
      </c>
      <c r="AL81" s="12" t="str">
        <f>IF(OR($B81="",$AR81=0),"",INDEX('Rework Log'!$G:$G,$AR81))</f>
        <v/>
      </c>
      <c r="AM81" s="12" t="str">
        <f t="shared" si="8"/>
        <v/>
      </c>
      <c r="AN81" s="12" t="str">
        <f t="shared" si="9"/>
        <v/>
      </c>
      <c r="AO81" s="12" t="str">
        <f t="shared" si="10"/>
        <v/>
      </c>
      <c r="AP81" s="12" t="str">
        <f t="shared" si="11"/>
        <v/>
      </c>
      <c r="AQ81" s="1"/>
      <c r="AR81" s="12" t="str">
        <f>IF($B81="","",SUMPRODUCT(MAX(('Rework Log'!$A$3:$A$500=$B81)*ROW('Rework Log'!$A$3:$A$500))))</f>
        <v/>
      </c>
    </row>
    <row r="82" spans="1:44" x14ac:dyDescent="0.25">
      <c r="A82" s="1"/>
      <c r="B82" s="1"/>
      <c r="C82" s="1"/>
      <c r="D82" s="12" t="str">
        <f t="shared" ca="1" si="6"/>
        <v/>
      </c>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2" t="str">
        <f t="shared" si="7"/>
        <v/>
      </c>
      <c r="AI82" s="12" t="str">
        <f>IF($B82="","",COUNTIF('Rework Log'!$A$3:$A$500,$B82))</f>
        <v/>
      </c>
      <c r="AJ82" s="12" t="str">
        <f>IF(OR($B82="",$AR82=0),"",INDEX('Rework Log'!$C:$C,$AR82))</f>
        <v/>
      </c>
      <c r="AK82" s="12" t="str">
        <f>IF(OR($B82="",$AR82=0),"",INDEX('Rework Log'!$H:$H,$AR82))</f>
        <v/>
      </c>
      <c r="AL82" s="12" t="str">
        <f>IF(OR($B82="",$AR82=0),"",INDEX('Rework Log'!$G:$G,$AR82))</f>
        <v/>
      </c>
      <c r="AM82" s="12" t="str">
        <f t="shared" si="8"/>
        <v/>
      </c>
      <c r="AN82" s="12" t="str">
        <f t="shared" si="9"/>
        <v/>
      </c>
      <c r="AO82" s="12" t="str">
        <f t="shared" si="10"/>
        <v/>
      </c>
      <c r="AP82" s="12" t="str">
        <f t="shared" si="11"/>
        <v/>
      </c>
      <c r="AQ82" s="1"/>
      <c r="AR82" s="12" t="str">
        <f>IF($B82="","",SUMPRODUCT(MAX(('Rework Log'!$A$3:$A$500=$B82)*ROW('Rework Log'!$A$3:$A$500))))</f>
        <v/>
      </c>
    </row>
    <row r="83" spans="1:44" x14ac:dyDescent="0.25">
      <c r="A83" s="1"/>
      <c r="B83" s="1"/>
      <c r="C83" s="1"/>
      <c r="D83" s="12" t="str">
        <f t="shared" ca="1" si="6"/>
        <v/>
      </c>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2" t="str">
        <f t="shared" si="7"/>
        <v/>
      </c>
      <c r="AI83" s="12" t="str">
        <f>IF($B83="","",COUNTIF('Rework Log'!$A$3:$A$500,$B83))</f>
        <v/>
      </c>
      <c r="AJ83" s="12" t="str">
        <f>IF(OR($B83="",$AR83=0),"",INDEX('Rework Log'!$C:$C,$AR83))</f>
        <v/>
      </c>
      <c r="AK83" s="12" t="str">
        <f>IF(OR($B83="",$AR83=0),"",INDEX('Rework Log'!$H:$H,$AR83))</f>
        <v/>
      </c>
      <c r="AL83" s="12" t="str">
        <f>IF(OR($B83="",$AR83=0),"",INDEX('Rework Log'!$G:$G,$AR83))</f>
        <v/>
      </c>
      <c r="AM83" s="12" t="str">
        <f t="shared" si="8"/>
        <v/>
      </c>
      <c r="AN83" s="12" t="str">
        <f t="shared" si="9"/>
        <v/>
      </c>
      <c r="AO83" s="12" t="str">
        <f t="shared" si="10"/>
        <v/>
      </c>
      <c r="AP83" s="12" t="str">
        <f t="shared" si="11"/>
        <v/>
      </c>
      <c r="AQ83" s="1"/>
      <c r="AR83" s="12" t="str">
        <f>IF($B83="","",SUMPRODUCT(MAX(('Rework Log'!$A$3:$A$500=$B83)*ROW('Rework Log'!$A$3:$A$500))))</f>
        <v/>
      </c>
    </row>
    <row r="84" spans="1:44" x14ac:dyDescent="0.25">
      <c r="A84" s="1"/>
      <c r="B84" s="1"/>
      <c r="C84" s="1"/>
      <c r="D84" s="12" t="str">
        <f t="shared" ca="1" si="6"/>
        <v/>
      </c>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2" t="str">
        <f t="shared" si="7"/>
        <v/>
      </c>
      <c r="AI84" s="12" t="str">
        <f>IF($B84="","",COUNTIF('Rework Log'!$A$3:$A$500,$B84))</f>
        <v/>
      </c>
      <c r="AJ84" s="12" t="str">
        <f>IF(OR($B84="",$AR84=0),"",INDEX('Rework Log'!$C:$C,$AR84))</f>
        <v/>
      </c>
      <c r="AK84" s="12" t="str">
        <f>IF(OR($B84="",$AR84=0),"",INDEX('Rework Log'!$H:$H,$AR84))</f>
        <v/>
      </c>
      <c r="AL84" s="12" t="str">
        <f>IF(OR($B84="",$AR84=0),"",INDEX('Rework Log'!$G:$G,$AR84))</f>
        <v/>
      </c>
      <c r="AM84" s="12" t="str">
        <f t="shared" si="8"/>
        <v/>
      </c>
      <c r="AN84" s="12" t="str">
        <f t="shared" si="9"/>
        <v/>
      </c>
      <c r="AO84" s="12" t="str">
        <f t="shared" si="10"/>
        <v/>
      </c>
      <c r="AP84" s="12" t="str">
        <f t="shared" si="11"/>
        <v/>
      </c>
      <c r="AQ84" s="1"/>
      <c r="AR84" s="12" t="str">
        <f>IF($B84="","",SUMPRODUCT(MAX(('Rework Log'!$A$3:$A$500=$B84)*ROW('Rework Log'!$A$3:$A$500))))</f>
        <v/>
      </c>
    </row>
    <row r="85" spans="1:44" x14ac:dyDescent="0.25">
      <c r="A85" s="1"/>
      <c r="B85" s="1"/>
      <c r="C85" s="1"/>
      <c r="D85" s="12" t="str">
        <f t="shared" ca="1" si="6"/>
        <v/>
      </c>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2" t="str">
        <f t="shared" si="7"/>
        <v/>
      </c>
      <c r="AI85" s="12" t="str">
        <f>IF($B85="","",COUNTIF('Rework Log'!$A$3:$A$500,$B85))</f>
        <v/>
      </c>
      <c r="AJ85" s="12" t="str">
        <f>IF(OR($B85="",$AR85=0),"",INDEX('Rework Log'!$C:$C,$AR85))</f>
        <v/>
      </c>
      <c r="AK85" s="12" t="str">
        <f>IF(OR($B85="",$AR85=0),"",INDEX('Rework Log'!$H:$H,$AR85))</f>
        <v/>
      </c>
      <c r="AL85" s="12" t="str">
        <f>IF(OR($B85="",$AR85=0),"",INDEX('Rework Log'!$G:$G,$AR85))</f>
        <v/>
      </c>
      <c r="AM85" s="12" t="str">
        <f t="shared" si="8"/>
        <v/>
      </c>
      <c r="AN85" s="12" t="str">
        <f t="shared" si="9"/>
        <v/>
      </c>
      <c r="AO85" s="12" t="str">
        <f t="shared" si="10"/>
        <v/>
      </c>
      <c r="AP85" s="12" t="str">
        <f t="shared" si="11"/>
        <v/>
      </c>
      <c r="AQ85" s="1"/>
      <c r="AR85" s="12" t="str">
        <f>IF($B85="","",SUMPRODUCT(MAX(('Rework Log'!$A$3:$A$500=$B85)*ROW('Rework Log'!$A$3:$A$500))))</f>
        <v/>
      </c>
    </row>
    <row r="86" spans="1:44" x14ac:dyDescent="0.25">
      <c r="A86" s="1"/>
      <c r="B86" s="1"/>
      <c r="C86" s="1"/>
      <c r="D86" s="12" t="str">
        <f t="shared" ca="1" si="6"/>
        <v/>
      </c>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2" t="str">
        <f t="shared" si="7"/>
        <v/>
      </c>
      <c r="AI86" s="12" t="str">
        <f>IF($B86="","",COUNTIF('Rework Log'!$A$3:$A$500,$B86))</f>
        <v/>
      </c>
      <c r="AJ86" s="12" t="str">
        <f>IF(OR($B86="",$AR86=0),"",INDEX('Rework Log'!$C:$C,$AR86))</f>
        <v/>
      </c>
      <c r="AK86" s="12" t="str">
        <f>IF(OR($B86="",$AR86=0),"",INDEX('Rework Log'!$H:$H,$AR86))</f>
        <v/>
      </c>
      <c r="AL86" s="12" t="str">
        <f>IF(OR($B86="",$AR86=0),"",INDEX('Rework Log'!$G:$G,$AR86))</f>
        <v/>
      </c>
      <c r="AM86" s="12" t="str">
        <f t="shared" si="8"/>
        <v/>
      </c>
      <c r="AN86" s="12" t="str">
        <f t="shared" si="9"/>
        <v/>
      </c>
      <c r="AO86" s="12" t="str">
        <f t="shared" si="10"/>
        <v/>
      </c>
      <c r="AP86" s="12" t="str">
        <f t="shared" si="11"/>
        <v/>
      </c>
      <c r="AQ86" s="1"/>
      <c r="AR86" s="12" t="str">
        <f>IF($B86="","",SUMPRODUCT(MAX(('Rework Log'!$A$3:$A$500=$B86)*ROW('Rework Log'!$A$3:$A$500))))</f>
        <v/>
      </c>
    </row>
    <row r="87" spans="1:44" x14ac:dyDescent="0.25">
      <c r="A87" s="1"/>
      <c r="B87" s="1"/>
      <c r="C87" s="1"/>
      <c r="D87" s="12" t="str">
        <f t="shared" ca="1" si="6"/>
        <v/>
      </c>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2" t="str">
        <f t="shared" si="7"/>
        <v/>
      </c>
      <c r="AI87" s="12" t="str">
        <f>IF($B87="","",COUNTIF('Rework Log'!$A$3:$A$500,$B87))</f>
        <v/>
      </c>
      <c r="AJ87" s="12" t="str">
        <f>IF(OR($B87="",$AR87=0),"",INDEX('Rework Log'!$C:$C,$AR87))</f>
        <v/>
      </c>
      <c r="AK87" s="12" t="str">
        <f>IF(OR($B87="",$AR87=0),"",INDEX('Rework Log'!$H:$H,$AR87))</f>
        <v/>
      </c>
      <c r="AL87" s="12" t="str">
        <f>IF(OR($B87="",$AR87=0),"",INDEX('Rework Log'!$G:$G,$AR87))</f>
        <v/>
      </c>
      <c r="AM87" s="12" t="str">
        <f t="shared" si="8"/>
        <v/>
      </c>
      <c r="AN87" s="12" t="str">
        <f t="shared" si="9"/>
        <v/>
      </c>
      <c r="AO87" s="12" t="str">
        <f t="shared" si="10"/>
        <v/>
      </c>
      <c r="AP87" s="12" t="str">
        <f t="shared" si="11"/>
        <v/>
      </c>
      <c r="AQ87" s="1"/>
      <c r="AR87" s="12" t="str">
        <f>IF($B87="","",SUMPRODUCT(MAX(('Rework Log'!$A$3:$A$500=$B87)*ROW('Rework Log'!$A$3:$A$500))))</f>
        <v/>
      </c>
    </row>
    <row r="88" spans="1:44" x14ac:dyDescent="0.25">
      <c r="A88" s="1"/>
      <c r="B88" s="1"/>
      <c r="C88" s="1"/>
      <c r="D88" s="12" t="str">
        <f t="shared" ca="1" si="6"/>
        <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2" t="str">
        <f t="shared" si="7"/>
        <v/>
      </c>
      <c r="AI88" s="12" t="str">
        <f>IF($B88="","",COUNTIF('Rework Log'!$A$3:$A$500,$B88))</f>
        <v/>
      </c>
      <c r="AJ88" s="12" t="str">
        <f>IF(OR($B88="",$AR88=0),"",INDEX('Rework Log'!$C:$C,$AR88))</f>
        <v/>
      </c>
      <c r="AK88" s="12" t="str">
        <f>IF(OR($B88="",$AR88=0),"",INDEX('Rework Log'!$H:$H,$AR88))</f>
        <v/>
      </c>
      <c r="AL88" s="12" t="str">
        <f>IF(OR($B88="",$AR88=0),"",INDEX('Rework Log'!$G:$G,$AR88))</f>
        <v/>
      </c>
      <c r="AM88" s="12" t="str">
        <f t="shared" si="8"/>
        <v/>
      </c>
      <c r="AN88" s="12" t="str">
        <f t="shared" si="9"/>
        <v/>
      </c>
      <c r="AO88" s="12" t="str">
        <f t="shared" si="10"/>
        <v/>
      </c>
      <c r="AP88" s="12" t="str">
        <f t="shared" si="11"/>
        <v/>
      </c>
      <c r="AQ88" s="1"/>
      <c r="AR88" s="12" t="str">
        <f>IF($B88="","",SUMPRODUCT(MAX(('Rework Log'!$A$3:$A$500=$B88)*ROW('Rework Log'!$A$3:$A$500))))</f>
        <v/>
      </c>
    </row>
    <row r="89" spans="1:44" x14ac:dyDescent="0.25">
      <c r="A89" s="1"/>
      <c r="B89" s="1"/>
      <c r="C89" s="1"/>
      <c r="D89" s="12" t="str">
        <f t="shared" ca="1" si="6"/>
        <v/>
      </c>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2" t="str">
        <f t="shared" si="7"/>
        <v/>
      </c>
      <c r="AI89" s="12" t="str">
        <f>IF($B89="","",COUNTIF('Rework Log'!$A$3:$A$500,$B89))</f>
        <v/>
      </c>
      <c r="AJ89" s="12" t="str">
        <f>IF(OR($B89="",$AR89=0),"",INDEX('Rework Log'!$C:$C,$AR89))</f>
        <v/>
      </c>
      <c r="AK89" s="12" t="str">
        <f>IF(OR($B89="",$AR89=0),"",INDEX('Rework Log'!$H:$H,$AR89))</f>
        <v/>
      </c>
      <c r="AL89" s="12" t="str">
        <f>IF(OR($B89="",$AR89=0),"",INDEX('Rework Log'!$G:$G,$AR89))</f>
        <v/>
      </c>
      <c r="AM89" s="12" t="str">
        <f t="shared" si="8"/>
        <v/>
      </c>
      <c r="AN89" s="12" t="str">
        <f t="shared" si="9"/>
        <v/>
      </c>
      <c r="AO89" s="12" t="str">
        <f t="shared" si="10"/>
        <v/>
      </c>
      <c r="AP89" s="12" t="str">
        <f t="shared" si="11"/>
        <v/>
      </c>
      <c r="AQ89" s="1"/>
      <c r="AR89" s="12" t="str">
        <f>IF($B89="","",SUMPRODUCT(MAX(('Rework Log'!$A$3:$A$500=$B89)*ROW('Rework Log'!$A$3:$A$500))))</f>
        <v/>
      </c>
    </row>
    <row r="90" spans="1:44" x14ac:dyDescent="0.25">
      <c r="A90" s="1"/>
      <c r="B90" s="1"/>
      <c r="C90" s="1"/>
      <c r="D90" s="12" t="str">
        <f t="shared" ca="1" si="6"/>
        <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2" t="str">
        <f t="shared" si="7"/>
        <v/>
      </c>
      <c r="AI90" s="12" t="str">
        <f>IF($B90="","",COUNTIF('Rework Log'!$A$3:$A$500,$B90))</f>
        <v/>
      </c>
      <c r="AJ90" s="12" t="str">
        <f>IF(OR($B90="",$AR90=0),"",INDEX('Rework Log'!$C:$C,$AR90))</f>
        <v/>
      </c>
      <c r="AK90" s="12" t="str">
        <f>IF(OR($B90="",$AR90=0),"",INDEX('Rework Log'!$H:$H,$AR90))</f>
        <v/>
      </c>
      <c r="AL90" s="12" t="str">
        <f>IF(OR($B90="",$AR90=0),"",INDEX('Rework Log'!$G:$G,$AR90))</f>
        <v/>
      </c>
      <c r="AM90" s="12" t="str">
        <f t="shared" si="8"/>
        <v/>
      </c>
      <c r="AN90" s="12" t="str">
        <f t="shared" si="9"/>
        <v/>
      </c>
      <c r="AO90" s="12" t="str">
        <f t="shared" si="10"/>
        <v/>
      </c>
      <c r="AP90" s="12" t="str">
        <f t="shared" si="11"/>
        <v/>
      </c>
      <c r="AQ90" s="1"/>
      <c r="AR90" s="12" t="str">
        <f>IF($B90="","",SUMPRODUCT(MAX(('Rework Log'!$A$3:$A$500=$B90)*ROW('Rework Log'!$A$3:$A$500))))</f>
        <v/>
      </c>
    </row>
    <row r="91" spans="1:44" x14ac:dyDescent="0.25">
      <c r="A91" s="1"/>
      <c r="B91" s="1"/>
      <c r="C91" s="1"/>
      <c r="D91" s="12" t="str">
        <f t="shared" ca="1" si="6"/>
        <v/>
      </c>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2" t="str">
        <f t="shared" si="7"/>
        <v/>
      </c>
      <c r="AI91" s="12" t="str">
        <f>IF($B91="","",COUNTIF('Rework Log'!$A$3:$A$500,$B91))</f>
        <v/>
      </c>
      <c r="AJ91" s="12" t="str">
        <f>IF(OR($B91="",$AR91=0),"",INDEX('Rework Log'!$C:$C,$AR91))</f>
        <v/>
      </c>
      <c r="AK91" s="12" t="str">
        <f>IF(OR($B91="",$AR91=0),"",INDEX('Rework Log'!$H:$H,$AR91))</f>
        <v/>
      </c>
      <c r="AL91" s="12" t="str">
        <f>IF(OR($B91="",$AR91=0),"",INDEX('Rework Log'!$G:$G,$AR91))</f>
        <v/>
      </c>
      <c r="AM91" s="12" t="str">
        <f t="shared" si="8"/>
        <v/>
      </c>
      <c r="AN91" s="12" t="str">
        <f t="shared" si="9"/>
        <v/>
      </c>
      <c r="AO91" s="12" t="str">
        <f t="shared" si="10"/>
        <v/>
      </c>
      <c r="AP91" s="12" t="str">
        <f t="shared" si="11"/>
        <v/>
      </c>
      <c r="AQ91" s="1"/>
      <c r="AR91" s="12" t="str">
        <f>IF($B91="","",SUMPRODUCT(MAX(('Rework Log'!$A$3:$A$500=$B91)*ROW('Rework Log'!$A$3:$A$500))))</f>
        <v/>
      </c>
    </row>
    <row r="92" spans="1:44" x14ac:dyDescent="0.25">
      <c r="A92" s="1"/>
      <c r="B92" s="1"/>
      <c r="C92" s="1"/>
      <c r="D92" s="12" t="str">
        <f t="shared" ca="1" si="6"/>
        <v/>
      </c>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2" t="str">
        <f t="shared" si="7"/>
        <v/>
      </c>
      <c r="AI92" s="12" t="str">
        <f>IF($B92="","",COUNTIF('Rework Log'!$A$3:$A$500,$B92))</f>
        <v/>
      </c>
      <c r="AJ92" s="12" t="str">
        <f>IF(OR($B92="",$AR92=0),"",INDEX('Rework Log'!$C:$C,$AR92))</f>
        <v/>
      </c>
      <c r="AK92" s="12" t="str">
        <f>IF(OR($B92="",$AR92=0),"",INDEX('Rework Log'!$H:$H,$AR92))</f>
        <v/>
      </c>
      <c r="AL92" s="12" t="str">
        <f>IF(OR($B92="",$AR92=0),"",INDEX('Rework Log'!$G:$G,$AR92))</f>
        <v/>
      </c>
      <c r="AM92" s="12" t="str">
        <f t="shared" si="8"/>
        <v/>
      </c>
      <c r="AN92" s="12" t="str">
        <f t="shared" si="9"/>
        <v/>
      </c>
      <c r="AO92" s="12" t="str">
        <f t="shared" si="10"/>
        <v/>
      </c>
      <c r="AP92" s="12" t="str">
        <f t="shared" si="11"/>
        <v/>
      </c>
      <c r="AQ92" s="1"/>
      <c r="AR92" s="12" t="str">
        <f>IF($B92="","",SUMPRODUCT(MAX(('Rework Log'!$A$3:$A$500=$B92)*ROW('Rework Log'!$A$3:$A$500))))</f>
        <v/>
      </c>
    </row>
    <row r="93" spans="1:44" x14ac:dyDescent="0.25">
      <c r="A93" s="1"/>
      <c r="B93" s="1"/>
      <c r="C93" s="1"/>
      <c r="D93" s="12" t="str">
        <f t="shared" ca="1" si="6"/>
        <v/>
      </c>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2" t="str">
        <f t="shared" si="7"/>
        <v/>
      </c>
      <c r="AI93" s="12" t="str">
        <f>IF($B93="","",COUNTIF('Rework Log'!$A$3:$A$500,$B93))</f>
        <v/>
      </c>
      <c r="AJ93" s="12" t="str">
        <f>IF(OR($B93="",$AR93=0),"",INDEX('Rework Log'!$C:$C,$AR93))</f>
        <v/>
      </c>
      <c r="AK93" s="12" t="str">
        <f>IF(OR($B93="",$AR93=0),"",INDEX('Rework Log'!$H:$H,$AR93))</f>
        <v/>
      </c>
      <c r="AL93" s="12" t="str">
        <f>IF(OR($B93="",$AR93=0),"",INDEX('Rework Log'!$G:$G,$AR93))</f>
        <v/>
      </c>
      <c r="AM93" s="12" t="str">
        <f t="shared" si="8"/>
        <v/>
      </c>
      <c r="AN93" s="12" t="str">
        <f t="shared" si="9"/>
        <v/>
      </c>
      <c r="AO93" s="12" t="str">
        <f t="shared" si="10"/>
        <v/>
      </c>
      <c r="AP93" s="12" t="str">
        <f t="shared" si="11"/>
        <v/>
      </c>
      <c r="AQ93" s="1"/>
      <c r="AR93" s="12" t="str">
        <f>IF($B93="","",SUMPRODUCT(MAX(('Rework Log'!$A$3:$A$500=$B93)*ROW('Rework Log'!$A$3:$A$500))))</f>
        <v/>
      </c>
    </row>
    <row r="94" spans="1:44" x14ac:dyDescent="0.25">
      <c r="A94" s="1"/>
      <c r="B94" s="1"/>
      <c r="C94" s="1"/>
      <c r="D94" s="12" t="str">
        <f t="shared" ca="1" si="6"/>
        <v/>
      </c>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2" t="str">
        <f t="shared" si="7"/>
        <v/>
      </c>
      <c r="AI94" s="12" t="str">
        <f>IF($B94="","",COUNTIF('Rework Log'!$A$3:$A$500,$B94))</f>
        <v/>
      </c>
      <c r="AJ94" s="12" t="str">
        <f>IF(OR($B94="",$AR94=0),"",INDEX('Rework Log'!$C:$C,$AR94))</f>
        <v/>
      </c>
      <c r="AK94" s="12" t="str">
        <f>IF(OR($B94="",$AR94=0),"",INDEX('Rework Log'!$H:$H,$AR94))</f>
        <v/>
      </c>
      <c r="AL94" s="12" t="str">
        <f>IF(OR($B94="",$AR94=0),"",INDEX('Rework Log'!$G:$G,$AR94))</f>
        <v/>
      </c>
      <c r="AM94" s="12" t="str">
        <f t="shared" si="8"/>
        <v/>
      </c>
      <c r="AN94" s="12" t="str">
        <f t="shared" si="9"/>
        <v/>
      </c>
      <c r="AO94" s="12" t="str">
        <f t="shared" si="10"/>
        <v/>
      </c>
      <c r="AP94" s="12" t="str">
        <f t="shared" si="11"/>
        <v/>
      </c>
      <c r="AQ94" s="1"/>
      <c r="AR94" s="12" t="str">
        <f>IF($B94="","",SUMPRODUCT(MAX(('Rework Log'!$A$3:$A$500=$B94)*ROW('Rework Log'!$A$3:$A$500))))</f>
        <v/>
      </c>
    </row>
    <row r="95" spans="1:44" x14ac:dyDescent="0.25">
      <c r="A95" s="1"/>
      <c r="B95" s="1"/>
      <c r="C95" s="1"/>
      <c r="D95" s="12" t="str">
        <f t="shared" ca="1" si="6"/>
        <v/>
      </c>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2" t="str">
        <f t="shared" si="7"/>
        <v/>
      </c>
      <c r="AI95" s="12" t="str">
        <f>IF($B95="","",COUNTIF('Rework Log'!$A$3:$A$500,$B95))</f>
        <v/>
      </c>
      <c r="AJ95" s="12" t="str">
        <f>IF(OR($B95="",$AR95=0),"",INDEX('Rework Log'!$C:$C,$AR95))</f>
        <v/>
      </c>
      <c r="AK95" s="12" t="str">
        <f>IF(OR($B95="",$AR95=0),"",INDEX('Rework Log'!$H:$H,$AR95))</f>
        <v/>
      </c>
      <c r="AL95" s="12" t="str">
        <f>IF(OR($B95="",$AR95=0),"",INDEX('Rework Log'!$G:$G,$AR95))</f>
        <v/>
      </c>
      <c r="AM95" s="12" t="str">
        <f t="shared" si="8"/>
        <v/>
      </c>
      <c r="AN95" s="12" t="str">
        <f t="shared" si="9"/>
        <v/>
      </c>
      <c r="AO95" s="12" t="str">
        <f t="shared" si="10"/>
        <v/>
      </c>
      <c r="AP95" s="12" t="str">
        <f t="shared" si="11"/>
        <v/>
      </c>
      <c r="AQ95" s="1"/>
      <c r="AR95" s="12" t="str">
        <f>IF($B95="","",SUMPRODUCT(MAX(('Rework Log'!$A$3:$A$500=$B95)*ROW('Rework Log'!$A$3:$A$500))))</f>
        <v/>
      </c>
    </row>
    <row r="96" spans="1:44" x14ac:dyDescent="0.25">
      <c r="A96" s="1"/>
      <c r="B96" s="1"/>
      <c r="C96" s="1"/>
      <c r="D96" s="12" t="str">
        <f t="shared" ca="1" si="6"/>
        <v/>
      </c>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2" t="str">
        <f t="shared" si="7"/>
        <v/>
      </c>
      <c r="AI96" s="12" t="str">
        <f>IF($B96="","",COUNTIF('Rework Log'!$A$3:$A$500,$B96))</f>
        <v/>
      </c>
      <c r="AJ96" s="12" t="str">
        <f>IF(OR($B96="",$AR96=0),"",INDEX('Rework Log'!$C:$C,$AR96))</f>
        <v/>
      </c>
      <c r="AK96" s="12" t="str">
        <f>IF(OR($B96="",$AR96=0),"",INDEX('Rework Log'!$H:$H,$AR96))</f>
        <v/>
      </c>
      <c r="AL96" s="12" t="str">
        <f>IF(OR($B96="",$AR96=0),"",INDEX('Rework Log'!$G:$G,$AR96))</f>
        <v/>
      </c>
      <c r="AM96" s="12" t="str">
        <f t="shared" si="8"/>
        <v/>
      </c>
      <c r="AN96" s="12" t="str">
        <f t="shared" si="9"/>
        <v/>
      </c>
      <c r="AO96" s="12" t="str">
        <f t="shared" si="10"/>
        <v/>
      </c>
      <c r="AP96" s="12" t="str">
        <f t="shared" si="11"/>
        <v/>
      </c>
      <c r="AQ96" s="1"/>
      <c r="AR96" s="12" t="str">
        <f>IF($B96="","",SUMPRODUCT(MAX(('Rework Log'!$A$3:$A$500=$B96)*ROW('Rework Log'!$A$3:$A$500))))</f>
        <v/>
      </c>
    </row>
    <row r="97" spans="1:44" x14ac:dyDescent="0.25">
      <c r="A97" s="1"/>
      <c r="B97" s="1"/>
      <c r="C97" s="1"/>
      <c r="D97" s="12" t="str">
        <f t="shared" ca="1" si="6"/>
        <v/>
      </c>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2" t="str">
        <f t="shared" si="7"/>
        <v/>
      </c>
      <c r="AI97" s="12" t="str">
        <f>IF($B97="","",COUNTIF('Rework Log'!$A$3:$A$500,$B97))</f>
        <v/>
      </c>
      <c r="AJ97" s="12" t="str">
        <f>IF(OR($B97="",$AR97=0),"",INDEX('Rework Log'!$C:$C,$AR97))</f>
        <v/>
      </c>
      <c r="AK97" s="12" t="str">
        <f>IF(OR($B97="",$AR97=0),"",INDEX('Rework Log'!$H:$H,$AR97))</f>
        <v/>
      </c>
      <c r="AL97" s="12" t="str">
        <f>IF(OR($B97="",$AR97=0),"",INDEX('Rework Log'!$G:$G,$AR97))</f>
        <v/>
      </c>
      <c r="AM97" s="12" t="str">
        <f t="shared" si="8"/>
        <v/>
      </c>
      <c r="AN97" s="12" t="str">
        <f t="shared" si="9"/>
        <v/>
      </c>
      <c r="AO97" s="12" t="str">
        <f t="shared" si="10"/>
        <v/>
      </c>
      <c r="AP97" s="12" t="str">
        <f t="shared" si="11"/>
        <v/>
      </c>
      <c r="AQ97" s="1"/>
      <c r="AR97" s="12" t="str">
        <f>IF($B97="","",SUMPRODUCT(MAX(('Rework Log'!$A$3:$A$500=$B97)*ROW('Rework Log'!$A$3:$A$500))))</f>
        <v/>
      </c>
    </row>
    <row r="98" spans="1:44" x14ac:dyDescent="0.25">
      <c r="A98" s="1"/>
      <c r="B98" s="1"/>
      <c r="C98" s="1"/>
      <c r="D98" s="12" t="str">
        <f t="shared" ca="1" si="6"/>
        <v/>
      </c>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2" t="str">
        <f t="shared" si="7"/>
        <v/>
      </c>
      <c r="AI98" s="12" t="str">
        <f>IF($B98="","",COUNTIF('Rework Log'!$A$3:$A$500,$B98))</f>
        <v/>
      </c>
      <c r="AJ98" s="12" t="str">
        <f>IF(OR($B98="",$AR98=0),"",INDEX('Rework Log'!$C:$C,$AR98))</f>
        <v/>
      </c>
      <c r="AK98" s="12" t="str">
        <f>IF(OR($B98="",$AR98=0),"",INDEX('Rework Log'!$H:$H,$AR98))</f>
        <v/>
      </c>
      <c r="AL98" s="12" t="str">
        <f>IF(OR($B98="",$AR98=0),"",INDEX('Rework Log'!$G:$G,$AR98))</f>
        <v/>
      </c>
      <c r="AM98" s="12" t="str">
        <f t="shared" si="8"/>
        <v/>
      </c>
      <c r="AN98" s="12" t="str">
        <f t="shared" si="9"/>
        <v/>
      </c>
      <c r="AO98" s="12" t="str">
        <f t="shared" si="10"/>
        <v/>
      </c>
      <c r="AP98" s="12" t="str">
        <f t="shared" si="11"/>
        <v/>
      </c>
      <c r="AQ98" s="1"/>
      <c r="AR98" s="12" t="str">
        <f>IF($B98="","",SUMPRODUCT(MAX(('Rework Log'!$A$3:$A$500=$B98)*ROW('Rework Log'!$A$3:$A$500))))</f>
        <v/>
      </c>
    </row>
    <row r="99" spans="1:44" x14ac:dyDescent="0.25">
      <c r="A99" s="1"/>
      <c r="B99" s="1"/>
      <c r="C99" s="1"/>
      <c r="D99" s="12" t="str">
        <f t="shared" ca="1" si="6"/>
        <v/>
      </c>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2" t="str">
        <f t="shared" si="7"/>
        <v/>
      </c>
      <c r="AI99" s="12" t="str">
        <f>IF($B99="","",COUNTIF('Rework Log'!$A$3:$A$500,$B99))</f>
        <v/>
      </c>
      <c r="AJ99" s="12" t="str">
        <f>IF(OR($B99="",$AR99=0),"",INDEX('Rework Log'!$C:$C,$AR99))</f>
        <v/>
      </c>
      <c r="AK99" s="12" t="str">
        <f>IF(OR($B99="",$AR99=0),"",INDEX('Rework Log'!$H:$H,$AR99))</f>
        <v/>
      </c>
      <c r="AL99" s="12" t="str">
        <f>IF(OR($B99="",$AR99=0),"",INDEX('Rework Log'!$G:$G,$AR99))</f>
        <v/>
      </c>
      <c r="AM99" s="12" t="str">
        <f t="shared" si="8"/>
        <v/>
      </c>
      <c r="AN99" s="12" t="str">
        <f t="shared" si="9"/>
        <v/>
      </c>
      <c r="AO99" s="12" t="str">
        <f t="shared" si="10"/>
        <v/>
      </c>
      <c r="AP99" s="12" t="str">
        <f t="shared" si="11"/>
        <v/>
      </c>
      <c r="AQ99" s="1"/>
      <c r="AR99" s="12" t="str">
        <f>IF($B99="","",SUMPRODUCT(MAX(('Rework Log'!$A$3:$A$500=$B99)*ROW('Rework Log'!$A$3:$A$500))))</f>
        <v/>
      </c>
    </row>
    <row r="100" spans="1:44" x14ac:dyDescent="0.25">
      <c r="A100" s="1"/>
      <c r="B100" s="1"/>
      <c r="C100" s="1"/>
      <c r="D100" s="12" t="str">
        <f t="shared" ca="1" si="6"/>
        <v/>
      </c>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2" t="str">
        <f t="shared" si="7"/>
        <v/>
      </c>
      <c r="AI100" s="12" t="str">
        <f>IF($B100="","",COUNTIF('Rework Log'!$A$3:$A$500,$B100))</f>
        <v/>
      </c>
      <c r="AJ100" s="12" t="str">
        <f>IF(OR($B100="",$AR100=0),"",INDEX('Rework Log'!$C:$C,$AR100))</f>
        <v/>
      </c>
      <c r="AK100" s="12" t="str">
        <f>IF(OR($B100="",$AR100=0),"",INDEX('Rework Log'!$H:$H,$AR100))</f>
        <v/>
      </c>
      <c r="AL100" s="12" t="str">
        <f>IF(OR($B100="",$AR100=0),"",INDEX('Rework Log'!$G:$G,$AR100))</f>
        <v/>
      </c>
      <c r="AM100" s="12" t="str">
        <f t="shared" si="8"/>
        <v/>
      </c>
      <c r="AN100" s="12" t="str">
        <f t="shared" si="9"/>
        <v/>
      </c>
      <c r="AO100" s="12" t="str">
        <f t="shared" si="10"/>
        <v/>
      </c>
      <c r="AP100" s="12" t="str">
        <f t="shared" si="11"/>
        <v/>
      </c>
      <c r="AQ100" s="1"/>
      <c r="AR100" s="12" t="str">
        <f>IF($B100="","",SUMPRODUCT(MAX(('Rework Log'!$A$3:$A$500=$B100)*ROW('Rework Log'!$A$3:$A$500))))</f>
        <v/>
      </c>
    </row>
    <row r="101" spans="1:44" x14ac:dyDescent="0.25">
      <c r="A101" s="1"/>
      <c r="B101" s="1"/>
      <c r="C101" s="1"/>
      <c r="D101" s="12" t="str">
        <f t="shared" ca="1" si="6"/>
        <v/>
      </c>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2" t="str">
        <f t="shared" si="7"/>
        <v/>
      </c>
      <c r="AI101" s="12" t="str">
        <f>IF($B101="","",COUNTIF('Rework Log'!$A$3:$A$500,$B101))</f>
        <v/>
      </c>
      <c r="AJ101" s="12" t="str">
        <f>IF(OR($B101="",$AR101=0),"",INDEX('Rework Log'!$C:$C,$AR101))</f>
        <v/>
      </c>
      <c r="AK101" s="12" t="str">
        <f>IF(OR($B101="",$AR101=0),"",INDEX('Rework Log'!$H:$H,$AR101))</f>
        <v/>
      </c>
      <c r="AL101" s="12" t="str">
        <f>IF(OR($B101="",$AR101=0),"",INDEX('Rework Log'!$G:$G,$AR101))</f>
        <v/>
      </c>
      <c r="AM101" s="12" t="str">
        <f t="shared" si="8"/>
        <v/>
      </c>
      <c r="AN101" s="12" t="str">
        <f t="shared" si="9"/>
        <v/>
      </c>
      <c r="AO101" s="12" t="str">
        <f t="shared" si="10"/>
        <v/>
      </c>
      <c r="AP101" s="12" t="str">
        <f t="shared" si="11"/>
        <v/>
      </c>
      <c r="AQ101" s="1"/>
      <c r="AR101" s="12" t="str">
        <f>IF($B101="","",SUMPRODUCT(MAX(('Rework Log'!$A$3:$A$500=$B101)*ROW('Rework Log'!$A$3:$A$500))))</f>
        <v/>
      </c>
    </row>
    <row r="102" spans="1:44" x14ac:dyDescent="0.25">
      <c r="A102" s="1"/>
      <c r="B102" s="1"/>
      <c r="C102" s="1"/>
      <c r="D102" s="12" t="str">
        <f t="shared" ca="1" si="6"/>
        <v/>
      </c>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2" t="str">
        <f t="shared" si="7"/>
        <v/>
      </c>
      <c r="AI102" s="12" t="str">
        <f>IF($B102="","",COUNTIF('Rework Log'!$A$3:$A$500,$B102))</f>
        <v/>
      </c>
      <c r="AJ102" s="12" t="str">
        <f>IF(OR($B102="",$AR102=0),"",INDEX('Rework Log'!$C:$C,$AR102))</f>
        <v/>
      </c>
      <c r="AK102" s="12" t="str">
        <f>IF(OR($B102="",$AR102=0),"",INDEX('Rework Log'!$H:$H,$AR102))</f>
        <v/>
      </c>
      <c r="AL102" s="12" t="str">
        <f>IF(OR($B102="",$AR102=0),"",INDEX('Rework Log'!$G:$G,$AR102))</f>
        <v/>
      </c>
      <c r="AM102" s="12" t="str">
        <f t="shared" si="8"/>
        <v/>
      </c>
      <c r="AN102" s="12" t="str">
        <f t="shared" si="9"/>
        <v/>
      </c>
      <c r="AO102" s="12" t="str">
        <f t="shared" si="10"/>
        <v/>
      </c>
      <c r="AP102" s="12" t="str">
        <f t="shared" si="11"/>
        <v/>
      </c>
      <c r="AQ102" s="1"/>
      <c r="AR102" s="12" t="str">
        <f>IF($B102="","",SUMPRODUCT(MAX(('Rework Log'!$A$3:$A$500=$B102)*ROW('Rework Log'!$A$3:$A$500))))</f>
        <v/>
      </c>
    </row>
    <row r="103" spans="1:44" x14ac:dyDescent="0.25">
      <c r="A103" s="1"/>
      <c r="B103" s="1"/>
      <c r="C103" s="1"/>
      <c r="D103" s="12" t="str">
        <f t="shared" ca="1" si="6"/>
        <v/>
      </c>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2" t="str">
        <f t="shared" si="7"/>
        <v/>
      </c>
      <c r="AI103" s="12" t="str">
        <f>IF($B103="","",COUNTIF('Rework Log'!$A$3:$A$500,$B103))</f>
        <v/>
      </c>
      <c r="AJ103" s="12" t="str">
        <f>IF(OR($B103="",$AR103=0),"",INDEX('Rework Log'!$C:$C,$AR103))</f>
        <v/>
      </c>
      <c r="AK103" s="12" t="str">
        <f>IF(OR($B103="",$AR103=0),"",INDEX('Rework Log'!$H:$H,$AR103))</f>
        <v/>
      </c>
      <c r="AL103" s="12" t="str">
        <f>IF(OR($B103="",$AR103=0),"",INDEX('Rework Log'!$G:$G,$AR103))</f>
        <v/>
      </c>
      <c r="AM103" s="12" t="str">
        <f t="shared" si="8"/>
        <v/>
      </c>
      <c r="AN103" s="12" t="str">
        <f t="shared" si="9"/>
        <v/>
      </c>
      <c r="AO103" s="12" t="str">
        <f t="shared" si="10"/>
        <v/>
      </c>
      <c r="AP103" s="12" t="str">
        <f t="shared" si="11"/>
        <v/>
      </c>
      <c r="AQ103" s="1"/>
      <c r="AR103" s="12" t="str">
        <f>IF($B103="","",SUMPRODUCT(MAX(('Rework Log'!$A$3:$A$500=$B103)*ROW('Rework Log'!$A$3:$A$500))))</f>
        <v/>
      </c>
    </row>
    <row r="104" spans="1:44" x14ac:dyDescent="0.25">
      <c r="A104" s="1"/>
      <c r="B104" s="1"/>
      <c r="C104" s="1"/>
      <c r="D104" s="12" t="str">
        <f t="shared" ca="1" si="6"/>
        <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2" t="str">
        <f t="shared" si="7"/>
        <v/>
      </c>
      <c r="AI104" s="12" t="str">
        <f>IF($B104="","",COUNTIF('Rework Log'!$A$3:$A$500,$B104))</f>
        <v/>
      </c>
      <c r="AJ104" s="12" t="str">
        <f>IF(OR($B104="",$AR104=0),"",INDEX('Rework Log'!$C:$C,$AR104))</f>
        <v/>
      </c>
      <c r="AK104" s="12" t="str">
        <f>IF(OR($B104="",$AR104=0),"",INDEX('Rework Log'!$H:$H,$AR104))</f>
        <v/>
      </c>
      <c r="AL104" s="12" t="str">
        <f>IF(OR($B104="",$AR104=0),"",INDEX('Rework Log'!$G:$G,$AR104))</f>
        <v/>
      </c>
      <c r="AM104" s="12" t="str">
        <f t="shared" si="8"/>
        <v/>
      </c>
      <c r="AN104" s="12" t="str">
        <f t="shared" si="9"/>
        <v/>
      </c>
      <c r="AO104" s="12" t="str">
        <f t="shared" si="10"/>
        <v/>
      </c>
      <c r="AP104" s="12" t="str">
        <f t="shared" si="11"/>
        <v/>
      </c>
      <c r="AQ104" s="1"/>
      <c r="AR104" s="12" t="str">
        <f>IF($B104="","",SUMPRODUCT(MAX(('Rework Log'!$A$3:$A$500=$B104)*ROW('Rework Log'!$A$3:$A$500))))</f>
        <v/>
      </c>
    </row>
    <row r="105" spans="1:44" x14ac:dyDescent="0.25">
      <c r="A105" s="1"/>
      <c r="B105" s="1"/>
      <c r="C105" s="1"/>
      <c r="D105" s="12" t="str">
        <f t="shared" ca="1" si="6"/>
        <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2" t="str">
        <f t="shared" si="7"/>
        <v/>
      </c>
      <c r="AI105" s="12" t="str">
        <f>IF($B105="","",COUNTIF('Rework Log'!$A$3:$A$500,$B105))</f>
        <v/>
      </c>
      <c r="AJ105" s="12" t="str">
        <f>IF(OR($B105="",$AR105=0),"",INDEX('Rework Log'!$C:$C,$AR105))</f>
        <v/>
      </c>
      <c r="AK105" s="12" t="str">
        <f>IF(OR($B105="",$AR105=0),"",INDEX('Rework Log'!$H:$H,$AR105))</f>
        <v/>
      </c>
      <c r="AL105" s="12" t="str">
        <f>IF(OR($B105="",$AR105=0),"",INDEX('Rework Log'!$G:$G,$AR105))</f>
        <v/>
      </c>
      <c r="AM105" s="12" t="str">
        <f t="shared" si="8"/>
        <v/>
      </c>
      <c r="AN105" s="12" t="str">
        <f t="shared" si="9"/>
        <v/>
      </c>
      <c r="AO105" s="12" t="str">
        <f t="shared" si="10"/>
        <v/>
      </c>
      <c r="AP105" s="12" t="str">
        <f t="shared" si="11"/>
        <v/>
      </c>
      <c r="AQ105" s="1"/>
      <c r="AR105" s="12" t="str">
        <f>IF($B105="","",SUMPRODUCT(MAX(('Rework Log'!$A$3:$A$500=$B105)*ROW('Rework Log'!$A$3:$A$500))))</f>
        <v/>
      </c>
    </row>
    <row r="106" spans="1:44" x14ac:dyDescent="0.25">
      <c r="A106" s="1"/>
      <c r="B106" s="1"/>
      <c r="C106" s="1"/>
      <c r="D106" s="12" t="str">
        <f t="shared" ca="1" si="6"/>
        <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2" t="str">
        <f t="shared" si="7"/>
        <v/>
      </c>
      <c r="AI106" s="12" t="str">
        <f>IF($B106="","",COUNTIF('Rework Log'!$A$3:$A$500,$B106))</f>
        <v/>
      </c>
      <c r="AJ106" s="12" t="str">
        <f>IF(OR($B106="",$AR106=0),"",INDEX('Rework Log'!$C:$C,$AR106))</f>
        <v/>
      </c>
      <c r="AK106" s="12" t="str">
        <f>IF(OR($B106="",$AR106=0),"",INDEX('Rework Log'!$H:$H,$AR106))</f>
        <v/>
      </c>
      <c r="AL106" s="12" t="str">
        <f>IF(OR($B106="",$AR106=0),"",INDEX('Rework Log'!$G:$G,$AR106))</f>
        <v/>
      </c>
      <c r="AM106" s="12" t="str">
        <f t="shared" si="8"/>
        <v/>
      </c>
      <c r="AN106" s="12" t="str">
        <f t="shared" si="9"/>
        <v/>
      </c>
      <c r="AO106" s="12" t="str">
        <f t="shared" si="10"/>
        <v/>
      </c>
      <c r="AP106" s="12" t="str">
        <f t="shared" si="11"/>
        <v/>
      </c>
      <c r="AQ106" s="1"/>
      <c r="AR106" s="12" t="str">
        <f>IF($B106="","",SUMPRODUCT(MAX(('Rework Log'!$A$3:$A$500=$B106)*ROW('Rework Log'!$A$3:$A$500))))</f>
        <v/>
      </c>
    </row>
    <row r="107" spans="1:44" x14ac:dyDescent="0.25">
      <c r="A107" s="1"/>
      <c r="B107" s="1"/>
      <c r="C107" s="1"/>
      <c r="D107" s="12" t="str">
        <f t="shared" ca="1" si="6"/>
        <v/>
      </c>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2" t="str">
        <f t="shared" si="7"/>
        <v/>
      </c>
      <c r="AI107" s="12" t="str">
        <f>IF($B107="","",COUNTIF('Rework Log'!$A$3:$A$500,$B107))</f>
        <v/>
      </c>
      <c r="AJ107" s="12" t="str">
        <f>IF(OR($B107="",$AR107=0),"",INDEX('Rework Log'!$C:$C,$AR107))</f>
        <v/>
      </c>
      <c r="AK107" s="12" t="str">
        <f>IF(OR($B107="",$AR107=0),"",INDEX('Rework Log'!$H:$H,$AR107))</f>
        <v/>
      </c>
      <c r="AL107" s="12" t="str">
        <f>IF(OR($B107="",$AR107=0),"",INDEX('Rework Log'!$G:$G,$AR107))</f>
        <v/>
      </c>
      <c r="AM107" s="12" t="str">
        <f t="shared" si="8"/>
        <v/>
      </c>
      <c r="AN107" s="12" t="str">
        <f t="shared" si="9"/>
        <v/>
      </c>
      <c r="AO107" s="12" t="str">
        <f t="shared" si="10"/>
        <v/>
      </c>
      <c r="AP107" s="12" t="str">
        <f t="shared" si="11"/>
        <v/>
      </c>
      <c r="AQ107" s="1"/>
      <c r="AR107" s="12" t="str">
        <f>IF($B107="","",SUMPRODUCT(MAX(('Rework Log'!$A$3:$A$500=$B107)*ROW('Rework Log'!$A$3:$A$500))))</f>
        <v/>
      </c>
    </row>
    <row r="108" spans="1:44" x14ac:dyDescent="0.25">
      <c r="A108" s="1"/>
      <c r="B108" s="1"/>
      <c r="C108" s="1"/>
      <c r="D108" s="12" t="str">
        <f t="shared" ca="1" si="6"/>
        <v/>
      </c>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2" t="str">
        <f t="shared" si="7"/>
        <v/>
      </c>
      <c r="AI108" s="12" t="str">
        <f>IF($B108="","",COUNTIF('Rework Log'!$A$3:$A$500,$B108))</f>
        <v/>
      </c>
      <c r="AJ108" s="12" t="str">
        <f>IF(OR($B108="",$AR108=0),"",INDEX('Rework Log'!$C:$C,$AR108))</f>
        <v/>
      </c>
      <c r="AK108" s="12" t="str">
        <f>IF(OR($B108="",$AR108=0),"",INDEX('Rework Log'!$H:$H,$AR108))</f>
        <v/>
      </c>
      <c r="AL108" s="12" t="str">
        <f>IF(OR($B108="",$AR108=0),"",INDEX('Rework Log'!$G:$G,$AR108))</f>
        <v/>
      </c>
      <c r="AM108" s="12" t="str">
        <f t="shared" si="8"/>
        <v/>
      </c>
      <c r="AN108" s="12" t="str">
        <f t="shared" si="9"/>
        <v/>
      </c>
      <c r="AO108" s="12" t="str">
        <f t="shared" si="10"/>
        <v/>
      </c>
      <c r="AP108" s="12" t="str">
        <f t="shared" si="11"/>
        <v/>
      </c>
      <c r="AQ108" s="1"/>
      <c r="AR108" s="12" t="str">
        <f>IF($B108="","",SUMPRODUCT(MAX(('Rework Log'!$A$3:$A$500=$B108)*ROW('Rework Log'!$A$3:$A$500))))</f>
        <v/>
      </c>
    </row>
    <row r="109" spans="1:44" x14ac:dyDescent="0.25">
      <c r="A109" s="1"/>
      <c r="B109" s="1"/>
      <c r="C109" s="1"/>
      <c r="D109" s="12" t="str">
        <f t="shared" ca="1" si="6"/>
        <v/>
      </c>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2" t="str">
        <f t="shared" si="7"/>
        <v/>
      </c>
      <c r="AI109" s="12" t="str">
        <f>IF($B109="","",COUNTIF('Rework Log'!$A$3:$A$500,$B109))</f>
        <v/>
      </c>
      <c r="AJ109" s="12" t="str">
        <f>IF(OR($B109="",$AR109=0),"",INDEX('Rework Log'!$C:$C,$AR109))</f>
        <v/>
      </c>
      <c r="AK109" s="12" t="str">
        <f>IF(OR($B109="",$AR109=0),"",INDEX('Rework Log'!$H:$H,$AR109))</f>
        <v/>
      </c>
      <c r="AL109" s="12" t="str">
        <f>IF(OR($B109="",$AR109=0),"",INDEX('Rework Log'!$G:$G,$AR109))</f>
        <v/>
      </c>
      <c r="AM109" s="12" t="str">
        <f t="shared" si="8"/>
        <v/>
      </c>
      <c r="AN109" s="12" t="str">
        <f t="shared" si="9"/>
        <v/>
      </c>
      <c r="AO109" s="12" t="str">
        <f t="shared" si="10"/>
        <v/>
      </c>
      <c r="AP109" s="12" t="str">
        <f t="shared" si="11"/>
        <v/>
      </c>
      <c r="AQ109" s="1"/>
      <c r="AR109" s="12" t="str">
        <f>IF($B109="","",SUMPRODUCT(MAX(('Rework Log'!$A$3:$A$500=$B109)*ROW('Rework Log'!$A$3:$A$500))))</f>
        <v/>
      </c>
    </row>
    <row r="110" spans="1:44" x14ac:dyDescent="0.25">
      <c r="A110" s="1"/>
      <c r="B110" s="1"/>
      <c r="C110" s="1"/>
      <c r="D110" s="12" t="str">
        <f t="shared" ca="1" si="6"/>
        <v/>
      </c>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2" t="str">
        <f t="shared" si="7"/>
        <v/>
      </c>
      <c r="AI110" s="12" t="str">
        <f>IF($B110="","",COUNTIF('Rework Log'!$A$3:$A$500,$B110))</f>
        <v/>
      </c>
      <c r="AJ110" s="12" t="str">
        <f>IF(OR($B110="",$AR110=0),"",INDEX('Rework Log'!$C:$C,$AR110))</f>
        <v/>
      </c>
      <c r="AK110" s="12" t="str">
        <f>IF(OR($B110="",$AR110=0),"",INDEX('Rework Log'!$H:$H,$AR110))</f>
        <v/>
      </c>
      <c r="AL110" s="12" t="str">
        <f>IF(OR($B110="",$AR110=0),"",INDEX('Rework Log'!$G:$G,$AR110))</f>
        <v/>
      </c>
      <c r="AM110" s="12" t="str">
        <f t="shared" si="8"/>
        <v/>
      </c>
      <c r="AN110" s="12" t="str">
        <f t="shared" si="9"/>
        <v/>
      </c>
      <c r="AO110" s="12" t="str">
        <f t="shared" si="10"/>
        <v/>
      </c>
      <c r="AP110" s="12" t="str">
        <f t="shared" si="11"/>
        <v/>
      </c>
      <c r="AQ110" s="1"/>
      <c r="AR110" s="12" t="str">
        <f>IF($B110="","",SUMPRODUCT(MAX(('Rework Log'!$A$3:$A$500=$B110)*ROW('Rework Log'!$A$3:$A$500))))</f>
        <v/>
      </c>
    </row>
    <row r="111" spans="1:44" x14ac:dyDescent="0.25">
      <c r="A111" s="1"/>
      <c r="B111" s="1"/>
      <c r="C111" s="1"/>
      <c r="D111" s="12" t="str">
        <f t="shared" ca="1" si="6"/>
        <v/>
      </c>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2" t="str">
        <f t="shared" si="7"/>
        <v/>
      </c>
      <c r="AI111" s="12" t="str">
        <f>IF($B111="","",COUNTIF('Rework Log'!$A$3:$A$500,$B111))</f>
        <v/>
      </c>
      <c r="AJ111" s="12" t="str">
        <f>IF(OR($B111="",$AR111=0),"",INDEX('Rework Log'!$C:$C,$AR111))</f>
        <v/>
      </c>
      <c r="AK111" s="12" t="str">
        <f>IF(OR($B111="",$AR111=0),"",INDEX('Rework Log'!$H:$H,$AR111))</f>
        <v/>
      </c>
      <c r="AL111" s="12" t="str">
        <f>IF(OR($B111="",$AR111=0),"",INDEX('Rework Log'!$G:$G,$AR111))</f>
        <v/>
      </c>
      <c r="AM111" s="12" t="str">
        <f t="shared" si="8"/>
        <v/>
      </c>
      <c r="AN111" s="12" t="str">
        <f t="shared" si="9"/>
        <v/>
      </c>
      <c r="AO111" s="12" t="str">
        <f t="shared" si="10"/>
        <v/>
      </c>
      <c r="AP111" s="12" t="str">
        <f t="shared" si="11"/>
        <v/>
      </c>
      <c r="AQ111" s="1"/>
      <c r="AR111" s="12" t="str">
        <f>IF($B111="","",SUMPRODUCT(MAX(('Rework Log'!$A$3:$A$500=$B111)*ROW('Rework Log'!$A$3:$A$500))))</f>
        <v/>
      </c>
    </row>
    <row r="112" spans="1:44" x14ac:dyDescent="0.25">
      <c r="A112" s="1"/>
      <c r="B112" s="1"/>
      <c r="C112" s="1"/>
      <c r="D112" s="12" t="str">
        <f t="shared" ca="1" si="6"/>
        <v/>
      </c>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2" t="str">
        <f t="shared" si="7"/>
        <v/>
      </c>
      <c r="AI112" s="12" t="str">
        <f>IF($B112="","",COUNTIF('Rework Log'!$A$3:$A$500,$B112))</f>
        <v/>
      </c>
      <c r="AJ112" s="12" t="str">
        <f>IF(OR($B112="",$AR112=0),"",INDEX('Rework Log'!$C:$C,$AR112))</f>
        <v/>
      </c>
      <c r="AK112" s="12" t="str">
        <f>IF(OR($B112="",$AR112=0),"",INDEX('Rework Log'!$H:$H,$AR112))</f>
        <v/>
      </c>
      <c r="AL112" s="12" t="str">
        <f>IF(OR($B112="",$AR112=0),"",INDEX('Rework Log'!$G:$G,$AR112))</f>
        <v/>
      </c>
      <c r="AM112" s="12" t="str">
        <f t="shared" si="8"/>
        <v/>
      </c>
      <c r="AN112" s="12" t="str">
        <f t="shared" si="9"/>
        <v/>
      </c>
      <c r="AO112" s="12" t="str">
        <f t="shared" si="10"/>
        <v/>
      </c>
      <c r="AP112" s="12" t="str">
        <f t="shared" si="11"/>
        <v/>
      </c>
      <c r="AQ112" s="1"/>
      <c r="AR112" s="12" t="str">
        <f>IF($B112="","",SUMPRODUCT(MAX(('Rework Log'!$A$3:$A$500=$B112)*ROW('Rework Log'!$A$3:$A$500))))</f>
        <v/>
      </c>
    </row>
    <row r="113" spans="1:44" x14ac:dyDescent="0.25">
      <c r="A113" s="1"/>
      <c r="B113" s="1"/>
      <c r="C113" s="1"/>
      <c r="D113" s="12" t="str">
        <f t="shared" ca="1" si="6"/>
        <v/>
      </c>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2" t="str">
        <f t="shared" si="7"/>
        <v/>
      </c>
      <c r="AI113" s="12" t="str">
        <f>IF($B113="","",COUNTIF('Rework Log'!$A$3:$A$500,$B113))</f>
        <v/>
      </c>
      <c r="AJ113" s="12" t="str">
        <f>IF(OR($B113="",$AR113=0),"",INDEX('Rework Log'!$C:$C,$AR113))</f>
        <v/>
      </c>
      <c r="AK113" s="12" t="str">
        <f>IF(OR($B113="",$AR113=0),"",INDEX('Rework Log'!$H:$H,$AR113))</f>
        <v/>
      </c>
      <c r="AL113" s="12" t="str">
        <f>IF(OR($B113="",$AR113=0),"",INDEX('Rework Log'!$G:$G,$AR113))</f>
        <v/>
      </c>
      <c r="AM113" s="12" t="str">
        <f t="shared" si="8"/>
        <v/>
      </c>
      <c r="AN113" s="12" t="str">
        <f t="shared" si="9"/>
        <v/>
      </c>
      <c r="AO113" s="12" t="str">
        <f t="shared" si="10"/>
        <v/>
      </c>
      <c r="AP113" s="12" t="str">
        <f t="shared" si="11"/>
        <v/>
      </c>
      <c r="AQ113" s="1"/>
      <c r="AR113" s="12" t="str">
        <f>IF($B113="","",SUMPRODUCT(MAX(('Rework Log'!$A$3:$A$500=$B113)*ROW('Rework Log'!$A$3:$A$500))))</f>
        <v/>
      </c>
    </row>
    <row r="114" spans="1:44" x14ac:dyDescent="0.25">
      <c r="A114" s="1"/>
      <c r="B114" s="1"/>
      <c r="C114" s="1"/>
      <c r="D114" s="12" t="str">
        <f t="shared" ca="1" si="6"/>
        <v/>
      </c>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2" t="str">
        <f t="shared" si="7"/>
        <v/>
      </c>
      <c r="AI114" s="12" t="str">
        <f>IF($B114="","",COUNTIF('Rework Log'!$A$3:$A$500,$B114))</f>
        <v/>
      </c>
      <c r="AJ114" s="12" t="str">
        <f>IF(OR($B114="",$AR114=0),"",INDEX('Rework Log'!$C:$C,$AR114))</f>
        <v/>
      </c>
      <c r="AK114" s="12" t="str">
        <f>IF(OR($B114="",$AR114=0),"",INDEX('Rework Log'!$H:$H,$AR114))</f>
        <v/>
      </c>
      <c r="AL114" s="12" t="str">
        <f>IF(OR($B114="",$AR114=0),"",INDEX('Rework Log'!$G:$G,$AR114))</f>
        <v/>
      </c>
      <c r="AM114" s="12" t="str">
        <f t="shared" si="8"/>
        <v/>
      </c>
      <c r="AN114" s="12" t="str">
        <f t="shared" si="9"/>
        <v/>
      </c>
      <c r="AO114" s="12" t="str">
        <f t="shared" si="10"/>
        <v/>
      </c>
      <c r="AP114" s="12" t="str">
        <f t="shared" si="11"/>
        <v/>
      </c>
      <c r="AQ114" s="1"/>
      <c r="AR114" s="12" t="str">
        <f>IF($B114="","",SUMPRODUCT(MAX(('Rework Log'!$A$3:$A$500=$B114)*ROW('Rework Log'!$A$3:$A$500))))</f>
        <v/>
      </c>
    </row>
    <row r="115" spans="1:44" x14ac:dyDescent="0.25">
      <c r="A115" s="1"/>
      <c r="B115" s="1"/>
      <c r="C115" s="1"/>
      <c r="D115" s="12" t="str">
        <f t="shared" ca="1" si="6"/>
        <v/>
      </c>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2" t="str">
        <f t="shared" si="7"/>
        <v/>
      </c>
      <c r="AI115" s="12" t="str">
        <f>IF($B115="","",COUNTIF('Rework Log'!$A$3:$A$500,$B115))</f>
        <v/>
      </c>
      <c r="AJ115" s="12" t="str">
        <f>IF(OR($B115="",$AR115=0),"",INDEX('Rework Log'!$C:$C,$AR115))</f>
        <v/>
      </c>
      <c r="AK115" s="12" t="str">
        <f>IF(OR($B115="",$AR115=0),"",INDEX('Rework Log'!$H:$H,$AR115))</f>
        <v/>
      </c>
      <c r="AL115" s="12" t="str">
        <f>IF(OR($B115="",$AR115=0),"",INDEX('Rework Log'!$G:$G,$AR115))</f>
        <v/>
      </c>
      <c r="AM115" s="12" t="str">
        <f t="shared" si="8"/>
        <v/>
      </c>
      <c r="AN115" s="12" t="str">
        <f t="shared" si="9"/>
        <v/>
      </c>
      <c r="AO115" s="12" t="str">
        <f t="shared" si="10"/>
        <v/>
      </c>
      <c r="AP115" s="12" t="str">
        <f t="shared" si="11"/>
        <v/>
      </c>
      <c r="AQ115" s="1"/>
      <c r="AR115" s="12" t="str">
        <f>IF($B115="","",SUMPRODUCT(MAX(('Rework Log'!$A$3:$A$500=$B115)*ROW('Rework Log'!$A$3:$A$500))))</f>
        <v/>
      </c>
    </row>
    <row r="116" spans="1:44" x14ac:dyDescent="0.25">
      <c r="A116" s="1"/>
      <c r="B116" s="1"/>
      <c r="C116" s="1"/>
      <c r="D116" s="12" t="str">
        <f t="shared" ca="1" si="6"/>
        <v/>
      </c>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2" t="str">
        <f t="shared" si="7"/>
        <v/>
      </c>
      <c r="AI116" s="12" t="str">
        <f>IF($B116="","",COUNTIF('Rework Log'!$A$3:$A$500,$B116))</f>
        <v/>
      </c>
      <c r="AJ116" s="12" t="str">
        <f>IF(OR($B116="",$AR116=0),"",INDEX('Rework Log'!$C:$C,$AR116))</f>
        <v/>
      </c>
      <c r="AK116" s="12" t="str">
        <f>IF(OR($B116="",$AR116=0),"",INDEX('Rework Log'!$H:$H,$AR116))</f>
        <v/>
      </c>
      <c r="AL116" s="12" t="str">
        <f>IF(OR($B116="",$AR116=0),"",INDEX('Rework Log'!$G:$G,$AR116))</f>
        <v/>
      </c>
      <c r="AM116" s="12" t="str">
        <f t="shared" si="8"/>
        <v/>
      </c>
      <c r="AN116" s="12" t="str">
        <f t="shared" si="9"/>
        <v/>
      </c>
      <c r="AO116" s="12" t="str">
        <f t="shared" si="10"/>
        <v/>
      </c>
      <c r="AP116" s="12" t="str">
        <f t="shared" si="11"/>
        <v/>
      </c>
      <c r="AQ116" s="1"/>
      <c r="AR116" s="12" t="str">
        <f>IF($B116="","",SUMPRODUCT(MAX(('Rework Log'!$A$3:$A$500=$B116)*ROW('Rework Log'!$A$3:$A$500))))</f>
        <v/>
      </c>
    </row>
    <row r="117" spans="1:44" x14ac:dyDescent="0.25">
      <c r="A117" s="1"/>
      <c r="B117" s="1"/>
      <c r="C117" s="1"/>
      <c r="D117" s="12" t="str">
        <f t="shared" ca="1" si="6"/>
        <v/>
      </c>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2" t="str">
        <f t="shared" si="7"/>
        <v/>
      </c>
      <c r="AI117" s="12" t="str">
        <f>IF($B117="","",COUNTIF('Rework Log'!$A$3:$A$500,$B117))</f>
        <v/>
      </c>
      <c r="AJ117" s="12" t="str">
        <f>IF(OR($B117="",$AR117=0),"",INDEX('Rework Log'!$C:$C,$AR117))</f>
        <v/>
      </c>
      <c r="AK117" s="12" t="str">
        <f>IF(OR($B117="",$AR117=0),"",INDEX('Rework Log'!$H:$H,$AR117))</f>
        <v/>
      </c>
      <c r="AL117" s="12" t="str">
        <f>IF(OR($B117="",$AR117=0),"",INDEX('Rework Log'!$G:$G,$AR117))</f>
        <v/>
      </c>
      <c r="AM117" s="12" t="str">
        <f t="shared" si="8"/>
        <v/>
      </c>
      <c r="AN117" s="12" t="str">
        <f t="shared" si="9"/>
        <v/>
      </c>
      <c r="AO117" s="12" t="str">
        <f t="shared" si="10"/>
        <v/>
      </c>
      <c r="AP117" s="12" t="str">
        <f t="shared" si="11"/>
        <v/>
      </c>
      <c r="AQ117" s="1"/>
      <c r="AR117" s="12" t="str">
        <f>IF($B117="","",SUMPRODUCT(MAX(('Rework Log'!$A$3:$A$500=$B117)*ROW('Rework Log'!$A$3:$A$500))))</f>
        <v/>
      </c>
    </row>
    <row r="118" spans="1:44" x14ac:dyDescent="0.25">
      <c r="A118" s="1"/>
      <c r="B118" s="1"/>
      <c r="C118" s="1"/>
      <c r="D118" s="12" t="str">
        <f t="shared" ca="1" si="6"/>
        <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2" t="str">
        <f t="shared" si="7"/>
        <v/>
      </c>
      <c r="AI118" s="12" t="str">
        <f>IF($B118="","",COUNTIF('Rework Log'!$A$3:$A$500,$B118))</f>
        <v/>
      </c>
      <c r="AJ118" s="12" t="str">
        <f>IF(OR($B118="",$AR118=0),"",INDEX('Rework Log'!$C:$C,$AR118))</f>
        <v/>
      </c>
      <c r="AK118" s="12" t="str">
        <f>IF(OR($B118="",$AR118=0),"",INDEX('Rework Log'!$H:$H,$AR118))</f>
        <v/>
      </c>
      <c r="AL118" s="12" t="str">
        <f>IF(OR($B118="",$AR118=0),"",INDEX('Rework Log'!$G:$G,$AR118))</f>
        <v/>
      </c>
      <c r="AM118" s="12" t="str">
        <f t="shared" si="8"/>
        <v/>
      </c>
      <c r="AN118" s="12" t="str">
        <f t="shared" si="9"/>
        <v/>
      </c>
      <c r="AO118" s="12" t="str">
        <f t="shared" si="10"/>
        <v/>
      </c>
      <c r="AP118" s="12" t="str">
        <f t="shared" si="11"/>
        <v/>
      </c>
      <c r="AQ118" s="1"/>
      <c r="AR118" s="12" t="str">
        <f>IF($B118="","",SUMPRODUCT(MAX(('Rework Log'!$A$3:$A$500=$B118)*ROW('Rework Log'!$A$3:$A$500))))</f>
        <v/>
      </c>
    </row>
    <row r="119" spans="1:44" x14ac:dyDescent="0.25">
      <c r="A119" s="1"/>
      <c r="B119" s="1"/>
      <c r="C119" s="1"/>
      <c r="D119" s="12" t="str">
        <f t="shared" ca="1" si="6"/>
        <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2" t="str">
        <f t="shared" si="7"/>
        <v/>
      </c>
      <c r="AI119" s="12" t="str">
        <f>IF($B119="","",COUNTIF('Rework Log'!$A$3:$A$500,$B119))</f>
        <v/>
      </c>
      <c r="AJ119" s="12" t="str">
        <f>IF(OR($B119="",$AR119=0),"",INDEX('Rework Log'!$C:$C,$AR119))</f>
        <v/>
      </c>
      <c r="AK119" s="12" t="str">
        <f>IF(OR($B119="",$AR119=0),"",INDEX('Rework Log'!$H:$H,$AR119))</f>
        <v/>
      </c>
      <c r="AL119" s="12" t="str">
        <f>IF(OR($B119="",$AR119=0),"",INDEX('Rework Log'!$G:$G,$AR119))</f>
        <v/>
      </c>
      <c r="AM119" s="12" t="str">
        <f t="shared" si="8"/>
        <v/>
      </c>
      <c r="AN119" s="12" t="str">
        <f t="shared" si="9"/>
        <v/>
      </c>
      <c r="AO119" s="12" t="str">
        <f t="shared" si="10"/>
        <v/>
      </c>
      <c r="AP119" s="12" t="str">
        <f t="shared" si="11"/>
        <v/>
      </c>
      <c r="AQ119" s="1"/>
      <c r="AR119" s="12" t="str">
        <f>IF($B119="","",SUMPRODUCT(MAX(('Rework Log'!$A$3:$A$500=$B119)*ROW('Rework Log'!$A$3:$A$500))))</f>
        <v/>
      </c>
    </row>
    <row r="120" spans="1:44" x14ac:dyDescent="0.25">
      <c r="A120" s="1"/>
      <c r="B120" s="1"/>
      <c r="C120" s="1"/>
      <c r="D120" s="12" t="str">
        <f t="shared" ca="1" si="6"/>
        <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2" t="str">
        <f t="shared" si="7"/>
        <v/>
      </c>
      <c r="AI120" s="12" t="str">
        <f>IF($B120="","",COUNTIF('Rework Log'!$A$3:$A$500,$B120))</f>
        <v/>
      </c>
      <c r="AJ120" s="12" t="str">
        <f>IF(OR($B120="",$AR120=0),"",INDEX('Rework Log'!$C:$C,$AR120))</f>
        <v/>
      </c>
      <c r="AK120" s="12" t="str">
        <f>IF(OR($B120="",$AR120=0),"",INDEX('Rework Log'!$H:$H,$AR120))</f>
        <v/>
      </c>
      <c r="AL120" s="12" t="str">
        <f>IF(OR($B120="",$AR120=0),"",INDEX('Rework Log'!$G:$G,$AR120))</f>
        <v/>
      </c>
      <c r="AM120" s="12" t="str">
        <f t="shared" si="8"/>
        <v/>
      </c>
      <c r="AN120" s="12" t="str">
        <f t="shared" si="9"/>
        <v/>
      </c>
      <c r="AO120" s="12" t="str">
        <f t="shared" si="10"/>
        <v/>
      </c>
      <c r="AP120" s="12" t="str">
        <f t="shared" si="11"/>
        <v/>
      </c>
      <c r="AQ120" s="1"/>
      <c r="AR120" s="12" t="str">
        <f>IF($B120="","",SUMPRODUCT(MAX(('Rework Log'!$A$3:$A$500=$B120)*ROW('Rework Log'!$A$3:$A$500))))</f>
        <v/>
      </c>
    </row>
    <row r="121" spans="1:44" x14ac:dyDescent="0.25">
      <c r="A121" s="1"/>
      <c r="B121" s="1"/>
      <c r="C121" s="1"/>
      <c r="D121" s="12" t="str">
        <f t="shared" ca="1" si="6"/>
        <v/>
      </c>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2" t="str">
        <f t="shared" si="7"/>
        <v/>
      </c>
      <c r="AI121" s="12" t="str">
        <f>IF($B121="","",COUNTIF('Rework Log'!$A$3:$A$500,$B121))</f>
        <v/>
      </c>
      <c r="AJ121" s="12" t="str">
        <f>IF(OR($B121="",$AR121=0),"",INDEX('Rework Log'!$C:$C,$AR121))</f>
        <v/>
      </c>
      <c r="AK121" s="12" t="str">
        <f>IF(OR($B121="",$AR121=0),"",INDEX('Rework Log'!$H:$H,$AR121))</f>
        <v/>
      </c>
      <c r="AL121" s="12" t="str">
        <f>IF(OR($B121="",$AR121=0),"",INDEX('Rework Log'!$G:$G,$AR121))</f>
        <v/>
      </c>
      <c r="AM121" s="12" t="str">
        <f t="shared" si="8"/>
        <v/>
      </c>
      <c r="AN121" s="12" t="str">
        <f t="shared" si="9"/>
        <v/>
      </c>
      <c r="AO121" s="12" t="str">
        <f t="shared" si="10"/>
        <v/>
      </c>
      <c r="AP121" s="12" t="str">
        <f t="shared" si="11"/>
        <v/>
      </c>
      <c r="AQ121" s="1"/>
      <c r="AR121" s="12" t="str">
        <f>IF($B121="","",SUMPRODUCT(MAX(('Rework Log'!$A$3:$A$500=$B121)*ROW('Rework Log'!$A$3:$A$500))))</f>
        <v/>
      </c>
    </row>
    <row r="122" spans="1:44" x14ac:dyDescent="0.25">
      <c r="A122" s="1"/>
      <c r="B122" s="1"/>
      <c r="C122" s="1"/>
      <c r="D122" s="12" t="str">
        <f t="shared" ca="1" si="6"/>
        <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2" t="str">
        <f t="shared" si="7"/>
        <v/>
      </c>
      <c r="AI122" s="12" t="str">
        <f>IF($B122="","",COUNTIF('Rework Log'!$A$3:$A$500,$B122))</f>
        <v/>
      </c>
      <c r="AJ122" s="12" t="str">
        <f>IF(OR($B122="",$AR122=0),"",INDEX('Rework Log'!$C:$C,$AR122))</f>
        <v/>
      </c>
      <c r="AK122" s="12" t="str">
        <f>IF(OR($B122="",$AR122=0),"",INDEX('Rework Log'!$H:$H,$AR122))</f>
        <v/>
      </c>
      <c r="AL122" s="12" t="str">
        <f>IF(OR($B122="",$AR122=0),"",INDEX('Rework Log'!$G:$G,$AR122))</f>
        <v/>
      </c>
      <c r="AM122" s="12" t="str">
        <f t="shared" si="8"/>
        <v/>
      </c>
      <c r="AN122" s="12" t="str">
        <f t="shared" si="9"/>
        <v/>
      </c>
      <c r="AO122" s="12" t="str">
        <f t="shared" si="10"/>
        <v/>
      </c>
      <c r="AP122" s="12" t="str">
        <f t="shared" si="11"/>
        <v/>
      </c>
      <c r="AQ122" s="1"/>
      <c r="AR122" s="12" t="str">
        <f>IF($B122="","",SUMPRODUCT(MAX(('Rework Log'!$A$3:$A$500=$B122)*ROW('Rework Log'!$A$3:$A$500))))</f>
        <v/>
      </c>
    </row>
    <row r="123" spans="1:44" x14ac:dyDescent="0.25">
      <c r="A123" s="1"/>
      <c r="B123" s="1"/>
      <c r="C123" s="1"/>
      <c r="D123" s="12" t="str">
        <f t="shared" ca="1" si="6"/>
        <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2" t="str">
        <f t="shared" si="7"/>
        <v/>
      </c>
      <c r="AI123" s="12" t="str">
        <f>IF($B123="","",COUNTIF('Rework Log'!$A$3:$A$500,$B123))</f>
        <v/>
      </c>
      <c r="AJ123" s="12" t="str">
        <f>IF(OR($B123="",$AR123=0),"",INDEX('Rework Log'!$C:$C,$AR123))</f>
        <v/>
      </c>
      <c r="AK123" s="12" t="str">
        <f>IF(OR($B123="",$AR123=0),"",INDEX('Rework Log'!$H:$H,$AR123))</f>
        <v/>
      </c>
      <c r="AL123" s="12" t="str">
        <f>IF(OR($B123="",$AR123=0),"",INDEX('Rework Log'!$G:$G,$AR123))</f>
        <v/>
      </c>
      <c r="AM123" s="12" t="str">
        <f t="shared" si="8"/>
        <v/>
      </c>
      <c r="AN123" s="12" t="str">
        <f t="shared" si="9"/>
        <v/>
      </c>
      <c r="AO123" s="12" t="str">
        <f t="shared" si="10"/>
        <v/>
      </c>
      <c r="AP123" s="12" t="str">
        <f t="shared" si="11"/>
        <v/>
      </c>
      <c r="AQ123" s="1"/>
      <c r="AR123" s="12" t="str">
        <f>IF($B123="","",SUMPRODUCT(MAX(('Rework Log'!$A$3:$A$500=$B123)*ROW('Rework Log'!$A$3:$A$500))))</f>
        <v/>
      </c>
    </row>
    <row r="124" spans="1:44" x14ac:dyDescent="0.25">
      <c r="A124" s="1"/>
      <c r="B124" s="1"/>
      <c r="C124" s="1"/>
      <c r="D124" s="12" t="str">
        <f t="shared" ca="1" si="6"/>
        <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2" t="str">
        <f t="shared" si="7"/>
        <v/>
      </c>
      <c r="AI124" s="12" t="str">
        <f>IF($B124="","",COUNTIF('Rework Log'!$A$3:$A$500,$B124))</f>
        <v/>
      </c>
      <c r="AJ124" s="12" t="str">
        <f>IF(OR($B124="",$AR124=0),"",INDEX('Rework Log'!$C:$C,$AR124))</f>
        <v/>
      </c>
      <c r="AK124" s="12" t="str">
        <f>IF(OR($B124="",$AR124=0),"",INDEX('Rework Log'!$H:$H,$AR124))</f>
        <v/>
      </c>
      <c r="AL124" s="12" t="str">
        <f>IF(OR($B124="",$AR124=0),"",INDEX('Rework Log'!$G:$G,$AR124))</f>
        <v/>
      </c>
      <c r="AM124" s="12" t="str">
        <f t="shared" si="8"/>
        <v/>
      </c>
      <c r="AN124" s="12" t="str">
        <f t="shared" si="9"/>
        <v/>
      </c>
      <c r="AO124" s="12" t="str">
        <f t="shared" si="10"/>
        <v/>
      </c>
      <c r="AP124" s="12" t="str">
        <f t="shared" si="11"/>
        <v/>
      </c>
      <c r="AQ124" s="1"/>
      <c r="AR124" s="12" t="str">
        <f>IF($B124="","",SUMPRODUCT(MAX(('Rework Log'!$A$3:$A$500=$B124)*ROW('Rework Log'!$A$3:$A$500))))</f>
        <v/>
      </c>
    </row>
    <row r="125" spans="1:44" x14ac:dyDescent="0.25">
      <c r="A125" s="1"/>
      <c r="B125" s="1"/>
      <c r="C125" s="1"/>
      <c r="D125" s="12" t="str">
        <f t="shared" ca="1" si="6"/>
        <v/>
      </c>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2" t="str">
        <f t="shared" si="7"/>
        <v/>
      </c>
      <c r="AI125" s="12" t="str">
        <f>IF($B125="","",COUNTIF('Rework Log'!$A$3:$A$500,$B125))</f>
        <v/>
      </c>
      <c r="AJ125" s="12" t="str">
        <f>IF(OR($B125="",$AR125=0),"",INDEX('Rework Log'!$C:$C,$AR125))</f>
        <v/>
      </c>
      <c r="AK125" s="12" t="str">
        <f>IF(OR($B125="",$AR125=0),"",INDEX('Rework Log'!$H:$H,$AR125))</f>
        <v/>
      </c>
      <c r="AL125" s="12" t="str">
        <f>IF(OR($B125="",$AR125=0),"",INDEX('Rework Log'!$G:$G,$AR125))</f>
        <v/>
      </c>
      <c r="AM125" s="12" t="str">
        <f t="shared" si="8"/>
        <v/>
      </c>
      <c r="AN125" s="12" t="str">
        <f t="shared" si="9"/>
        <v/>
      </c>
      <c r="AO125" s="12" t="str">
        <f t="shared" si="10"/>
        <v/>
      </c>
      <c r="AP125" s="12" t="str">
        <f t="shared" si="11"/>
        <v/>
      </c>
      <c r="AQ125" s="1"/>
      <c r="AR125" s="12" t="str">
        <f>IF($B125="","",SUMPRODUCT(MAX(('Rework Log'!$A$3:$A$500=$B125)*ROW('Rework Log'!$A$3:$A$500))))</f>
        <v/>
      </c>
    </row>
    <row r="126" spans="1:44" x14ac:dyDescent="0.25">
      <c r="A126" s="1"/>
      <c r="B126" s="1"/>
      <c r="C126" s="1"/>
      <c r="D126" s="12" t="str">
        <f t="shared" ca="1" si="6"/>
        <v/>
      </c>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2" t="str">
        <f t="shared" si="7"/>
        <v/>
      </c>
      <c r="AI126" s="12" t="str">
        <f>IF($B126="","",COUNTIF('Rework Log'!$A$3:$A$500,$B126))</f>
        <v/>
      </c>
      <c r="AJ126" s="12" t="str">
        <f>IF(OR($B126="",$AR126=0),"",INDEX('Rework Log'!$C:$C,$AR126))</f>
        <v/>
      </c>
      <c r="AK126" s="12" t="str">
        <f>IF(OR($B126="",$AR126=0),"",INDEX('Rework Log'!$H:$H,$AR126))</f>
        <v/>
      </c>
      <c r="AL126" s="12" t="str">
        <f>IF(OR($B126="",$AR126=0),"",INDEX('Rework Log'!$G:$G,$AR126))</f>
        <v/>
      </c>
      <c r="AM126" s="12" t="str">
        <f t="shared" si="8"/>
        <v/>
      </c>
      <c r="AN126" s="12" t="str">
        <f t="shared" si="9"/>
        <v/>
      </c>
      <c r="AO126" s="12" t="str">
        <f t="shared" si="10"/>
        <v/>
      </c>
      <c r="AP126" s="12" t="str">
        <f t="shared" si="11"/>
        <v/>
      </c>
      <c r="AQ126" s="1"/>
      <c r="AR126" s="12" t="str">
        <f>IF($B126="","",SUMPRODUCT(MAX(('Rework Log'!$A$3:$A$500=$B126)*ROW('Rework Log'!$A$3:$A$500))))</f>
        <v/>
      </c>
    </row>
    <row r="127" spans="1:44" x14ac:dyDescent="0.25">
      <c r="A127" s="1"/>
      <c r="B127" s="1"/>
      <c r="C127" s="1"/>
      <c r="D127" s="12" t="str">
        <f t="shared" ca="1" si="6"/>
        <v/>
      </c>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2" t="str">
        <f t="shared" si="7"/>
        <v/>
      </c>
      <c r="AI127" s="12" t="str">
        <f>IF($B127="","",COUNTIF('Rework Log'!$A$3:$A$500,$B127))</f>
        <v/>
      </c>
      <c r="AJ127" s="12" t="str">
        <f>IF(OR($B127="",$AR127=0),"",INDEX('Rework Log'!$C:$C,$AR127))</f>
        <v/>
      </c>
      <c r="AK127" s="12" t="str">
        <f>IF(OR($B127="",$AR127=0),"",INDEX('Rework Log'!$H:$H,$AR127))</f>
        <v/>
      </c>
      <c r="AL127" s="12" t="str">
        <f>IF(OR($B127="",$AR127=0),"",INDEX('Rework Log'!$G:$G,$AR127))</f>
        <v/>
      </c>
      <c r="AM127" s="12" t="str">
        <f t="shared" si="8"/>
        <v/>
      </c>
      <c r="AN127" s="12" t="str">
        <f t="shared" si="9"/>
        <v/>
      </c>
      <c r="AO127" s="12" t="str">
        <f t="shared" si="10"/>
        <v/>
      </c>
      <c r="AP127" s="12" t="str">
        <f t="shared" si="11"/>
        <v/>
      </c>
      <c r="AQ127" s="1"/>
      <c r="AR127" s="12" t="str">
        <f>IF($B127="","",SUMPRODUCT(MAX(('Rework Log'!$A$3:$A$500=$B127)*ROW('Rework Log'!$A$3:$A$500))))</f>
        <v/>
      </c>
    </row>
    <row r="128" spans="1:44" x14ac:dyDescent="0.25">
      <c r="A128" s="1"/>
      <c r="B128" s="1"/>
      <c r="C128" s="1"/>
      <c r="D128" s="12" t="str">
        <f t="shared" ca="1" si="6"/>
        <v/>
      </c>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2" t="str">
        <f t="shared" si="7"/>
        <v/>
      </c>
      <c r="AI128" s="12" t="str">
        <f>IF($B128="","",COUNTIF('Rework Log'!$A$3:$A$500,$B128))</f>
        <v/>
      </c>
      <c r="AJ128" s="12" t="str">
        <f>IF(OR($B128="",$AR128=0),"",INDEX('Rework Log'!$C:$C,$AR128))</f>
        <v/>
      </c>
      <c r="AK128" s="12" t="str">
        <f>IF(OR($B128="",$AR128=0),"",INDEX('Rework Log'!$H:$H,$AR128))</f>
        <v/>
      </c>
      <c r="AL128" s="12" t="str">
        <f>IF(OR($B128="",$AR128=0),"",INDEX('Rework Log'!$G:$G,$AR128))</f>
        <v/>
      </c>
      <c r="AM128" s="12" t="str">
        <f t="shared" si="8"/>
        <v/>
      </c>
      <c r="AN128" s="12" t="str">
        <f t="shared" si="9"/>
        <v/>
      </c>
      <c r="AO128" s="12" t="str">
        <f t="shared" si="10"/>
        <v/>
      </c>
      <c r="AP128" s="12" t="str">
        <f t="shared" si="11"/>
        <v/>
      </c>
      <c r="AQ128" s="1"/>
      <c r="AR128" s="12" t="str">
        <f>IF($B128="","",SUMPRODUCT(MAX(('Rework Log'!$A$3:$A$500=$B128)*ROW('Rework Log'!$A$3:$A$500))))</f>
        <v/>
      </c>
    </row>
    <row r="129" spans="1:44" x14ac:dyDescent="0.25">
      <c r="A129" s="1"/>
      <c r="B129" s="1"/>
      <c r="C129" s="1"/>
      <c r="D129" s="12" t="str">
        <f t="shared" ca="1" si="6"/>
        <v/>
      </c>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2" t="str">
        <f t="shared" si="7"/>
        <v/>
      </c>
      <c r="AI129" s="12" t="str">
        <f>IF($B129="","",COUNTIF('Rework Log'!$A$3:$A$500,$B129))</f>
        <v/>
      </c>
      <c r="AJ129" s="12" t="str">
        <f>IF(OR($B129="",$AR129=0),"",INDEX('Rework Log'!$C:$C,$AR129))</f>
        <v/>
      </c>
      <c r="AK129" s="12" t="str">
        <f>IF(OR($B129="",$AR129=0),"",INDEX('Rework Log'!$H:$H,$AR129))</f>
        <v/>
      </c>
      <c r="AL129" s="12" t="str">
        <f>IF(OR($B129="",$AR129=0),"",INDEX('Rework Log'!$G:$G,$AR129))</f>
        <v/>
      </c>
      <c r="AM129" s="12" t="str">
        <f t="shared" si="8"/>
        <v/>
      </c>
      <c r="AN129" s="12" t="str">
        <f t="shared" si="9"/>
        <v/>
      </c>
      <c r="AO129" s="12" t="str">
        <f t="shared" si="10"/>
        <v/>
      </c>
      <c r="AP129" s="12" t="str">
        <f t="shared" si="11"/>
        <v/>
      </c>
      <c r="AQ129" s="1"/>
      <c r="AR129" s="12" t="str">
        <f>IF($B129="","",SUMPRODUCT(MAX(('Rework Log'!$A$3:$A$500=$B129)*ROW('Rework Log'!$A$3:$A$500))))</f>
        <v/>
      </c>
    </row>
    <row r="130" spans="1:44" x14ac:dyDescent="0.25">
      <c r="A130" s="1"/>
      <c r="B130" s="1"/>
      <c r="C130" s="1"/>
      <c r="D130" s="12" t="str">
        <f t="shared" ref="D130:D193" ca="1" si="12">IF($B130="","",IF(C130="NOT STARTED",IF(K130="","No plan date set",IF(K130&lt;TODAY(),"Review - planned start passed","On track")),IF(C130="DB Dev",IF(N130="","No target set",IF(AND(N130&lt;TODAY(),P130=""),"Overdue","On track")),IF(C130="PBI Dev",IF(R130="","No target set",IF(AND(R130&lt;TODAY(),T130=""),"Overdue","On track")),IF(C130="QA",IF(V130="","No target set",IF(AND(V130&lt;TODAY(),X130=""),"Overdue","On track")),IF(C130="DPO Approval",IF(Z130="","No target set",IF(Z130&lt;TODAY(),"Overdue","On track")),IF(C130="RELEASED IN PROD","Delivered","")))))))</f>
        <v/>
      </c>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2" t="str">
        <f t="shared" ref="AH130:AH193" si="13">IF($AF130="Yes",IF($AG130&lt;&gt;"","Blocked - needs "&amp;$AG130&amp;" to fix","Blocked at "&amp;$C130),"")</f>
        <v/>
      </c>
      <c r="AI130" s="12" t="str">
        <f>IF($B130="","",COUNTIF('Rework Log'!$A$3:$A$500,$B130))</f>
        <v/>
      </c>
      <c r="AJ130" s="12" t="str">
        <f>IF(OR($B130="",$AR130=0),"",INDEX('Rework Log'!$C:$C,$AR130))</f>
        <v/>
      </c>
      <c r="AK130" s="12" t="str">
        <f>IF(OR($B130="",$AR130=0),"",INDEX('Rework Log'!$H:$H,$AR130))</f>
        <v/>
      </c>
      <c r="AL130" s="12" t="str">
        <f>IF(OR($B130="",$AR130=0),"",INDEX('Rework Log'!$G:$G,$AR130))</f>
        <v/>
      </c>
      <c r="AM130" s="12" t="str">
        <f t="shared" ref="AM130:AM193" si="14">IF($B130="","",IF(Z130&lt;&gt;"","DPO Approval",IF(V130&lt;&gt;"","QA",IF(R130&lt;&gt;"","PBI Dev",IF(N130&lt;&gt;"","DB Dev","NOT STARTED")))))</f>
        <v/>
      </c>
      <c r="AN130" s="12" t="str">
        <f t="shared" ref="AN130:AN193" si="15">IF($B130="","",IF(IF($C130="NOT STARTED",0,IF($C130="DB Dev",1,IF($C130="PBI Dev",2,IF($C130="QA",3,IF($C130="DPO Approval",4,IF($C130="RELEASED IN PROD",5,-1))))))&lt;IF($AM130="NOT STARTED",0,IF($AM130="DB Dev",1,IF($AM130="PBI Dev",2,IF($AM130="QA",3,IF($AM130="DPO Approval",4,IF($AM130="RELEASED IN PROD",5,-1)))))),"Yes - was already at "&amp;$AM130&amp;", now back at "&amp;$C130,"No"))</f>
        <v/>
      </c>
      <c r="AO130" s="12" t="str">
        <f t="shared" ref="AO130:AO193" si="16">IF($B130="","",IF(AND(V130&lt;&gt;"",N130&lt;&gt;"",V130&lt;N130),"QA target is before DB Dev target",IF(AND(V130&lt;&gt;"",R130&lt;&gt;"",V130&lt;R130),"QA target is before PBI Dev target",IF(AND(Z130&lt;&gt;"",V130&lt;&gt;"",Z130&lt;V130),"DPO Approval target is before QA target",IF(AND(AC130&lt;&gt;"",Z130&lt;&gt;"",AC130&lt;Z130),"Confirmed Deployed date is before DPO Approval target","")))))</f>
        <v/>
      </c>
      <c r="AP130" s="12" t="str">
        <f t="shared" ref="AP130:AP193" si="17">IF($B130="","",IF(COUNTIF($B$2:$B$500,$B130)&gt;1,"Duplicate name - check row",""))</f>
        <v/>
      </c>
      <c r="AQ130" s="1"/>
      <c r="AR130" s="12" t="str">
        <f>IF($B130="","",SUMPRODUCT(MAX(('Rework Log'!$A$3:$A$500=$B130)*ROW('Rework Log'!$A$3:$A$500))))</f>
        <v/>
      </c>
    </row>
    <row r="131" spans="1:44" x14ac:dyDescent="0.25">
      <c r="A131" s="1"/>
      <c r="B131" s="1"/>
      <c r="C131" s="1"/>
      <c r="D131" s="12" t="str">
        <f t="shared" ca="1" si="12"/>
        <v/>
      </c>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2" t="str">
        <f t="shared" si="13"/>
        <v/>
      </c>
      <c r="AI131" s="12" t="str">
        <f>IF($B131="","",COUNTIF('Rework Log'!$A$3:$A$500,$B131))</f>
        <v/>
      </c>
      <c r="AJ131" s="12" t="str">
        <f>IF(OR($B131="",$AR131=0),"",INDEX('Rework Log'!$C:$C,$AR131))</f>
        <v/>
      </c>
      <c r="AK131" s="12" t="str">
        <f>IF(OR($B131="",$AR131=0),"",INDEX('Rework Log'!$H:$H,$AR131))</f>
        <v/>
      </c>
      <c r="AL131" s="12" t="str">
        <f>IF(OR($B131="",$AR131=0),"",INDEX('Rework Log'!$G:$G,$AR131))</f>
        <v/>
      </c>
      <c r="AM131" s="12" t="str">
        <f t="shared" si="14"/>
        <v/>
      </c>
      <c r="AN131" s="12" t="str">
        <f t="shared" si="15"/>
        <v/>
      </c>
      <c r="AO131" s="12" t="str">
        <f t="shared" si="16"/>
        <v/>
      </c>
      <c r="AP131" s="12" t="str">
        <f t="shared" si="17"/>
        <v/>
      </c>
      <c r="AQ131" s="1"/>
      <c r="AR131" s="12" t="str">
        <f>IF($B131="","",SUMPRODUCT(MAX(('Rework Log'!$A$3:$A$500=$B131)*ROW('Rework Log'!$A$3:$A$500))))</f>
        <v/>
      </c>
    </row>
    <row r="132" spans="1:44" x14ac:dyDescent="0.25">
      <c r="A132" s="1"/>
      <c r="B132" s="1"/>
      <c r="C132" s="1"/>
      <c r="D132" s="12" t="str">
        <f t="shared" ca="1" si="12"/>
        <v/>
      </c>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2" t="str">
        <f t="shared" si="13"/>
        <v/>
      </c>
      <c r="AI132" s="12" t="str">
        <f>IF($B132="","",COUNTIF('Rework Log'!$A$3:$A$500,$B132))</f>
        <v/>
      </c>
      <c r="AJ132" s="12" t="str">
        <f>IF(OR($B132="",$AR132=0),"",INDEX('Rework Log'!$C:$C,$AR132))</f>
        <v/>
      </c>
      <c r="AK132" s="12" t="str">
        <f>IF(OR($B132="",$AR132=0),"",INDEX('Rework Log'!$H:$H,$AR132))</f>
        <v/>
      </c>
      <c r="AL132" s="12" t="str">
        <f>IF(OR($B132="",$AR132=0),"",INDEX('Rework Log'!$G:$G,$AR132))</f>
        <v/>
      </c>
      <c r="AM132" s="12" t="str">
        <f t="shared" si="14"/>
        <v/>
      </c>
      <c r="AN132" s="12" t="str">
        <f t="shared" si="15"/>
        <v/>
      </c>
      <c r="AO132" s="12" t="str">
        <f t="shared" si="16"/>
        <v/>
      </c>
      <c r="AP132" s="12" t="str">
        <f t="shared" si="17"/>
        <v/>
      </c>
      <c r="AQ132" s="1"/>
      <c r="AR132" s="12" t="str">
        <f>IF($B132="","",SUMPRODUCT(MAX(('Rework Log'!$A$3:$A$500=$B132)*ROW('Rework Log'!$A$3:$A$500))))</f>
        <v/>
      </c>
    </row>
    <row r="133" spans="1:44" x14ac:dyDescent="0.25">
      <c r="A133" s="1"/>
      <c r="B133" s="1"/>
      <c r="C133" s="1"/>
      <c r="D133" s="12" t="str">
        <f t="shared" ca="1" si="12"/>
        <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2" t="str">
        <f t="shared" si="13"/>
        <v/>
      </c>
      <c r="AI133" s="12" t="str">
        <f>IF($B133="","",COUNTIF('Rework Log'!$A$3:$A$500,$B133))</f>
        <v/>
      </c>
      <c r="AJ133" s="12" t="str">
        <f>IF(OR($B133="",$AR133=0),"",INDEX('Rework Log'!$C:$C,$AR133))</f>
        <v/>
      </c>
      <c r="AK133" s="12" t="str">
        <f>IF(OR($B133="",$AR133=0),"",INDEX('Rework Log'!$H:$H,$AR133))</f>
        <v/>
      </c>
      <c r="AL133" s="12" t="str">
        <f>IF(OR($B133="",$AR133=0),"",INDEX('Rework Log'!$G:$G,$AR133))</f>
        <v/>
      </c>
      <c r="AM133" s="12" t="str">
        <f t="shared" si="14"/>
        <v/>
      </c>
      <c r="AN133" s="12" t="str">
        <f t="shared" si="15"/>
        <v/>
      </c>
      <c r="AO133" s="12" t="str">
        <f t="shared" si="16"/>
        <v/>
      </c>
      <c r="AP133" s="12" t="str">
        <f t="shared" si="17"/>
        <v/>
      </c>
      <c r="AQ133" s="1"/>
      <c r="AR133" s="12" t="str">
        <f>IF($B133="","",SUMPRODUCT(MAX(('Rework Log'!$A$3:$A$500=$B133)*ROW('Rework Log'!$A$3:$A$500))))</f>
        <v/>
      </c>
    </row>
    <row r="134" spans="1:44" x14ac:dyDescent="0.25">
      <c r="A134" s="1"/>
      <c r="B134" s="1"/>
      <c r="C134" s="1"/>
      <c r="D134" s="12" t="str">
        <f t="shared" ca="1" si="12"/>
        <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2" t="str">
        <f t="shared" si="13"/>
        <v/>
      </c>
      <c r="AI134" s="12" t="str">
        <f>IF($B134="","",COUNTIF('Rework Log'!$A$3:$A$500,$B134))</f>
        <v/>
      </c>
      <c r="AJ134" s="12" t="str">
        <f>IF(OR($B134="",$AR134=0),"",INDEX('Rework Log'!$C:$C,$AR134))</f>
        <v/>
      </c>
      <c r="AK134" s="12" t="str">
        <f>IF(OR($B134="",$AR134=0),"",INDEX('Rework Log'!$H:$H,$AR134))</f>
        <v/>
      </c>
      <c r="AL134" s="12" t="str">
        <f>IF(OR($B134="",$AR134=0),"",INDEX('Rework Log'!$G:$G,$AR134))</f>
        <v/>
      </c>
      <c r="AM134" s="12" t="str">
        <f t="shared" si="14"/>
        <v/>
      </c>
      <c r="AN134" s="12" t="str">
        <f t="shared" si="15"/>
        <v/>
      </c>
      <c r="AO134" s="12" t="str">
        <f t="shared" si="16"/>
        <v/>
      </c>
      <c r="AP134" s="12" t="str">
        <f t="shared" si="17"/>
        <v/>
      </c>
      <c r="AQ134" s="1"/>
      <c r="AR134" s="12" t="str">
        <f>IF($B134="","",SUMPRODUCT(MAX(('Rework Log'!$A$3:$A$500=$B134)*ROW('Rework Log'!$A$3:$A$500))))</f>
        <v/>
      </c>
    </row>
    <row r="135" spans="1:44" x14ac:dyDescent="0.25">
      <c r="A135" s="1"/>
      <c r="B135" s="1"/>
      <c r="C135" s="1"/>
      <c r="D135" s="12" t="str">
        <f t="shared" ca="1" si="12"/>
        <v/>
      </c>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2" t="str">
        <f t="shared" si="13"/>
        <v/>
      </c>
      <c r="AI135" s="12" t="str">
        <f>IF($B135="","",COUNTIF('Rework Log'!$A$3:$A$500,$B135))</f>
        <v/>
      </c>
      <c r="AJ135" s="12" t="str">
        <f>IF(OR($B135="",$AR135=0),"",INDEX('Rework Log'!$C:$C,$AR135))</f>
        <v/>
      </c>
      <c r="AK135" s="12" t="str">
        <f>IF(OR($B135="",$AR135=0),"",INDEX('Rework Log'!$H:$H,$AR135))</f>
        <v/>
      </c>
      <c r="AL135" s="12" t="str">
        <f>IF(OR($B135="",$AR135=0),"",INDEX('Rework Log'!$G:$G,$AR135))</f>
        <v/>
      </c>
      <c r="AM135" s="12" t="str">
        <f t="shared" si="14"/>
        <v/>
      </c>
      <c r="AN135" s="12" t="str">
        <f t="shared" si="15"/>
        <v/>
      </c>
      <c r="AO135" s="12" t="str">
        <f t="shared" si="16"/>
        <v/>
      </c>
      <c r="AP135" s="12" t="str">
        <f t="shared" si="17"/>
        <v/>
      </c>
      <c r="AQ135" s="1"/>
      <c r="AR135" s="12" t="str">
        <f>IF($B135="","",SUMPRODUCT(MAX(('Rework Log'!$A$3:$A$500=$B135)*ROW('Rework Log'!$A$3:$A$500))))</f>
        <v/>
      </c>
    </row>
    <row r="136" spans="1:44" x14ac:dyDescent="0.25">
      <c r="A136" s="1"/>
      <c r="B136" s="1"/>
      <c r="C136" s="1"/>
      <c r="D136" s="12" t="str">
        <f t="shared" ca="1" si="12"/>
        <v/>
      </c>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2" t="str">
        <f t="shared" si="13"/>
        <v/>
      </c>
      <c r="AI136" s="12" t="str">
        <f>IF($B136="","",COUNTIF('Rework Log'!$A$3:$A$500,$B136))</f>
        <v/>
      </c>
      <c r="AJ136" s="12" t="str">
        <f>IF(OR($B136="",$AR136=0),"",INDEX('Rework Log'!$C:$C,$AR136))</f>
        <v/>
      </c>
      <c r="AK136" s="12" t="str">
        <f>IF(OR($B136="",$AR136=0),"",INDEX('Rework Log'!$H:$H,$AR136))</f>
        <v/>
      </c>
      <c r="AL136" s="12" t="str">
        <f>IF(OR($B136="",$AR136=0),"",INDEX('Rework Log'!$G:$G,$AR136))</f>
        <v/>
      </c>
      <c r="AM136" s="12" t="str">
        <f t="shared" si="14"/>
        <v/>
      </c>
      <c r="AN136" s="12" t="str">
        <f t="shared" si="15"/>
        <v/>
      </c>
      <c r="AO136" s="12" t="str">
        <f t="shared" si="16"/>
        <v/>
      </c>
      <c r="AP136" s="12" t="str">
        <f t="shared" si="17"/>
        <v/>
      </c>
      <c r="AQ136" s="1"/>
      <c r="AR136" s="12" t="str">
        <f>IF($B136="","",SUMPRODUCT(MAX(('Rework Log'!$A$3:$A$500=$B136)*ROW('Rework Log'!$A$3:$A$500))))</f>
        <v/>
      </c>
    </row>
    <row r="137" spans="1:44" x14ac:dyDescent="0.25">
      <c r="A137" s="1"/>
      <c r="B137" s="1"/>
      <c r="C137" s="1"/>
      <c r="D137" s="12" t="str">
        <f t="shared" ca="1" si="12"/>
        <v/>
      </c>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2" t="str">
        <f t="shared" si="13"/>
        <v/>
      </c>
      <c r="AI137" s="12" t="str">
        <f>IF($B137="","",COUNTIF('Rework Log'!$A$3:$A$500,$B137))</f>
        <v/>
      </c>
      <c r="AJ137" s="12" t="str">
        <f>IF(OR($B137="",$AR137=0),"",INDEX('Rework Log'!$C:$C,$AR137))</f>
        <v/>
      </c>
      <c r="AK137" s="12" t="str">
        <f>IF(OR($B137="",$AR137=0),"",INDEX('Rework Log'!$H:$H,$AR137))</f>
        <v/>
      </c>
      <c r="AL137" s="12" t="str">
        <f>IF(OR($B137="",$AR137=0),"",INDEX('Rework Log'!$G:$G,$AR137))</f>
        <v/>
      </c>
      <c r="AM137" s="12" t="str">
        <f t="shared" si="14"/>
        <v/>
      </c>
      <c r="AN137" s="12" t="str">
        <f t="shared" si="15"/>
        <v/>
      </c>
      <c r="AO137" s="12" t="str">
        <f t="shared" si="16"/>
        <v/>
      </c>
      <c r="AP137" s="12" t="str">
        <f t="shared" si="17"/>
        <v/>
      </c>
      <c r="AQ137" s="1"/>
      <c r="AR137" s="12" t="str">
        <f>IF($B137="","",SUMPRODUCT(MAX(('Rework Log'!$A$3:$A$500=$B137)*ROW('Rework Log'!$A$3:$A$500))))</f>
        <v/>
      </c>
    </row>
    <row r="138" spans="1:44" x14ac:dyDescent="0.25">
      <c r="A138" s="1"/>
      <c r="B138" s="1"/>
      <c r="C138" s="1"/>
      <c r="D138" s="12" t="str">
        <f t="shared" ca="1" si="12"/>
        <v/>
      </c>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2" t="str">
        <f t="shared" si="13"/>
        <v/>
      </c>
      <c r="AI138" s="12" t="str">
        <f>IF($B138="","",COUNTIF('Rework Log'!$A$3:$A$500,$B138))</f>
        <v/>
      </c>
      <c r="AJ138" s="12" t="str">
        <f>IF(OR($B138="",$AR138=0),"",INDEX('Rework Log'!$C:$C,$AR138))</f>
        <v/>
      </c>
      <c r="AK138" s="12" t="str">
        <f>IF(OR($B138="",$AR138=0),"",INDEX('Rework Log'!$H:$H,$AR138))</f>
        <v/>
      </c>
      <c r="AL138" s="12" t="str">
        <f>IF(OR($B138="",$AR138=0),"",INDEX('Rework Log'!$G:$G,$AR138))</f>
        <v/>
      </c>
      <c r="AM138" s="12" t="str">
        <f t="shared" si="14"/>
        <v/>
      </c>
      <c r="AN138" s="12" t="str">
        <f t="shared" si="15"/>
        <v/>
      </c>
      <c r="AO138" s="12" t="str">
        <f t="shared" si="16"/>
        <v/>
      </c>
      <c r="AP138" s="12" t="str">
        <f t="shared" si="17"/>
        <v/>
      </c>
      <c r="AQ138" s="1"/>
      <c r="AR138" s="12" t="str">
        <f>IF($B138="","",SUMPRODUCT(MAX(('Rework Log'!$A$3:$A$500=$B138)*ROW('Rework Log'!$A$3:$A$500))))</f>
        <v/>
      </c>
    </row>
    <row r="139" spans="1:44" x14ac:dyDescent="0.25">
      <c r="A139" s="1"/>
      <c r="B139" s="1"/>
      <c r="C139" s="1"/>
      <c r="D139" s="12" t="str">
        <f t="shared" ca="1" si="12"/>
        <v/>
      </c>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2" t="str">
        <f t="shared" si="13"/>
        <v/>
      </c>
      <c r="AI139" s="12" t="str">
        <f>IF($B139="","",COUNTIF('Rework Log'!$A$3:$A$500,$B139))</f>
        <v/>
      </c>
      <c r="AJ139" s="12" t="str">
        <f>IF(OR($B139="",$AR139=0),"",INDEX('Rework Log'!$C:$C,$AR139))</f>
        <v/>
      </c>
      <c r="AK139" s="12" t="str">
        <f>IF(OR($B139="",$AR139=0),"",INDEX('Rework Log'!$H:$H,$AR139))</f>
        <v/>
      </c>
      <c r="AL139" s="12" t="str">
        <f>IF(OR($B139="",$AR139=0),"",INDEX('Rework Log'!$G:$G,$AR139))</f>
        <v/>
      </c>
      <c r="AM139" s="12" t="str">
        <f t="shared" si="14"/>
        <v/>
      </c>
      <c r="AN139" s="12" t="str">
        <f t="shared" si="15"/>
        <v/>
      </c>
      <c r="AO139" s="12" t="str">
        <f t="shared" si="16"/>
        <v/>
      </c>
      <c r="AP139" s="12" t="str">
        <f t="shared" si="17"/>
        <v/>
      </c>
      <c r="AQ139" s="1"/>
      <c r="AR139" s="12" t="str">
        <f>IF($B139="","",SUMPRODUCT(MAX(('Rework Log'!$A$3:$A$500=$B139)*ROW('Rework Log'!$A$3:$A$500))))</f>
        <v/>
      </c>
    </row>
    <row r="140" spans="1:44" x14ac:dyDescent="0.25">
      <c r="A140" s="1"/>
      <c r="B140" s="1"/>
      <c r="C140" s="1"/>
      <c r="D140" s="12" t="str">
        <f t="shared" ca="1" si="12"/>
        <v/>
      </c>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2" t="str">
        <f t="shared" si="13"/>
        <v/>
      </c>
      <c r="AI140" s="12" t="str">
        <f>IF($B140="","",COUNTIF('Rework Log'!$A$3:$A$500,$B140))</f>
        <v/>
      </c>
      <c r="AJ140" s="12" t="str">
        <f>IF(OR($B140="",$AR140=0),"",INDEX('Rework Log'!$C:$C,$AR140))</f>
        <v/>
      </c>
      <c r="AK140" s="12" t="str">
        <f>IF(OR($B140="",$AR140=0),"",INDEX('Rework Log'!$H:$H,$AR140))</f>
        <v/>
      </c>
      <c r="AL140" s="12" t="str">
        <f>IF(OR($B140="",$AR140=0),"",INDEX('Rework Log'!$G:$G,$AR140))</f>
        <v/>
      </c>
      <c r="AM140" s="12" t="str">
        <f t="shared" si="14"/>
        <v/>
      </c>
      <c r="AN140" s="12" t="str">
        <f t="shared" si="15"/>
        <v/>
      </c>
      <c r="AO140" s="12" t="str">
        <f t="shared" si="16"/>
        <v/>
      </c>
      <c r="AP140" s="12" t="str">
        <f t="shared" si="17"/>
        <v/>
      </c>
      <c r="AQ140" s="1"/>
      <c r="AR140" s="12" t="str">
        <f>IF($B140="","",SUMPRODUCT(MAX(('Rework Log'!$A$3:$A$500=$B140)*ROW('Rework Log'!$A$3:$A$500))))</f>
        <v/>
      </c>
    </row>
    <row r="141" spans="1:44" x14ac:dyDescent="0.25">
      <c r="A141" s="1"/>
      <c r="B141" s="1"/>
      <c r="C141" s="1"/>
      <c r="D141" s="12" t="str">
        <f t="shared" ca="1" si="12"/>
        <v/>
      </c>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2" t="str">
        <f t="shared" si="13"/>
        <v/>
      </c>
      <c r="AI141" s="12" t="str">
        <f>IF($B141="","",COUNTIF('Rework Log'!$A$3:$A$500,$B141))</f>
        <v/>
      </c>
      <c r="AJ141" s="12" t="str">
        <f>IF(OR($B141="",$AR141=0),"",INDEX('Rework Log'!$C:$C,$AR141))</f>
        <v/>
      </c>
      <c r="AK141" s="12" t="str">
        <f>IF(OR($B141="",$AR141=0),"",INDEX('Rework Log'!$H:$H,$AR141))</f>
        <v/>
      </c>
      <c r="AL141" s="12" t="str">
        <f>IF(OR($B141="",$AR141=0),"",INDEX('Rework Log'!$G:$G,$AR141))</f>
        <v/>
      </c>
      <c r="AM141" s="12" t="str">
        <f t="shared" si="14"/>
        <v/>
      </c>
      <c r="AN141" s="12" t="str">
        <f t="shared" si="15"/>
        <v/>
      </c>
      <c r="AO141" s="12" t="str">
        <f t="shared" si="16"/>
        <v/>
      </c>
      <c r="AP141" s="12" t="str">
        <f t="shared" si="17"/>
        <v/>
      </c>
      <c r="AQ141" s="1"/>
      <c r="AR141" s="12" t="str">
        <f>IF($B141="","",SUMPRODUCT(MAX(('Rework Log'!$A$3:$A$500=$B141)*ROW('Rework Log'!$A$3:$A$500))))</f>
        <v/>
      </c>
    </row>
    <row r="142" spans="1:44" x14ac:dyDescent="0.25">
      <c r="A142" s="1"/>
      <c r="B142" s="1"/>
      <c r="C142" s="1"/>
      <c r="D142" s="12" t="str">
        <f t="shared" ca="1" si="12"/>
        <v/>
      </c>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2" t="str">
        <f t="shared" si="13"/>
        <v/>
      </c>
      <c r="AI142" s="12" t="str">
        <f>IF($B142="","",COUNTIF('Rework Log'!$A$3:$A$500,$B142))</f>
        <v/>
      </c>
      <c r="AJ142" s="12" t="str">
        <f>IF(OR($B142="",$AR142=0),"",INDEX('Rework Log'!$C:$C,$AR142))</f>
        <v/>
      </c>
      <c r="AK142" s="12" t="str">
        <f>IF(OR($B142="",$AR142=0),"",INDEX('Rework Log'!$H:$H,$AR142))</f>
        <v/>
      </c>
      <c r="AL142" s="12" t="str">
        <f>IF(OR($B142="",$AR142=0),"",INDEX('Rework Log'!$G:$G,$AR142))</f>
        <v/>
      </c>
      <c r="AM142" s="12" t="str">
        <f t="shared" si="14"/>
        <v/>
      </c>
      <c r="AN142" s="12" t="str">
        <f t="shared" si="15"/>
        <v/>
      </c>
      <c r="AO142" s="12" t="str">
        <f t="shared" si="16"/>
        <v/>
      </c>
      <c r="AP142" s="12" t="str">
        <f t="shared" si="17"/>
        <v/>
      </c>
      <c r="AQ142" s="1"/>
      <c r="AR142" s="12" t="str">
        <f>IF($B142="","",SUMPRODUCT(MAX(('Rework Log'!$A$3:$A$500=$B142)*ROW('Rework Log'!$A$3:$A$500))))</f>
        <v/>
      </c>
    </row>
    <row r="143" spans="1:44" x14ac:dyDescent="0.25">
      <c r="A143" s="1"/>
      <c r="B143" s="1"/>
      <c r="C143" s="1"/>
      <c r="D143" s="12" t="str">
        <f t="shared" ca="1" si="12"/>
        <v/>
      </c>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2" t="str">
        <f t="shared" si="13"/>
        <v/>
      </c>
      <c r="AI143" s="12" t="str">
        <f>IF($B143="","",COUNTIF('Rework Log'!$A$3:$A$500,$B143))</f>
        <v/>
      </c>
      <c r="AJ143" s="12" t="str">
        <f>IF(OR($B143="",$AR143=0),"",INDEX('Rework Log'!$C:$C,$AR143))</f>
        <v/>
      </c>
      <c r="AK143" s="12" t="str">
        <f>IF(OR($B143="",$AR143=0),"",INDEX('Rework Log'!$H:$H,$AR143))</f>
        <v/>
      </c>
      <c r="AL143" s="12" t="str">
        <f>IF(OR($B143="",$AR143=0),"",INDEX('Rework Log'!$G:$G,$AR143))</f>
        <v/>
      </c>
      <c r="AM143" s="12" t="str">
        <f t="shared" si="14"/>
        <v/>
      </c>
      <c r="AN143" s="12" t="str">
        <f t="shared" si="15"/>
        <v/>
      </c>
      <c r="AO143" s="12" t="str">
        <f t="shared" si="16"/>
        <v/>
      </c>
      <c r="AP143" s="12" t="str">
        <f t="shared" si="17"/>
        <v/>
      </c>
      <c r="AQ143" s="1"/>
      <c r="AR143" s="12" t="str">
        <f>IF($B143="","",SUMPRODUCT(MAX(('Rework Log'!$A$3:$A$500=$B143)*ROW('Rework Log'!$A$3:$A$500))))</f>
        <v/>
      </c>
    </row>
    <row r="144" spans="1:44" x14ac:dyDescent="0.25">
      <c r="A144" s="1"/>
      <c r="B144" s="1"/>
      <c r="C144" s="1"/>
      <c r="D144" s="12" t="str">
        <f t="shared" ca="1" si="12"/>
        <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2" t="str">
        <f t="shared" si="13"/>
        <v/>
      </c>
      <c r="AI144" s="12" t="str">
        <f>IF($B144="","",COUNTIF('Rework Log'!$A$3:$A$500,$B144))</f>
        <v/>
      </c>
      <c r="AJ144" s="12" t="str">
        <f>IF(OR($B144="",$AR144=0),"",INDEX('Rework Log'!$C:$C,$AR144))</f>
        <v/>
      </c>
      <c r="AK144" s="12" t="str">
        <f>IF(OR($B144="",$AR144=0),"",INDEX('Rework Log'!$H:$H,$AR144))</f>
        <v/>
      </c>
      <c r="AL144" s="12" t="str">
        <f>IF(OR($B144="",$AR144=0),"",INDEX('Rework Log'!$G:$G,$AR144))</f>
        <v/>
      </c>
      <c r="AM144" s="12" t="str">
        <f t="shared" si="14"/>
        <v/>
      </c>
      <c r="AN144" s="12" t="str">
        <f t="shared" si="15"/>
        <v/>
      </c>
      <c r="AO144" s="12" t="str">
        <f t="shared" si="16"/>
        <v/>
      </c>
      <c r="AP144" s="12" t="str">
        <f t="shared" si="17"/>
        <v/>
      </c>
      <c r="AQ144" s="1"/>
      <c r="AR144" s="12" t="str">
        <f>IF($B144="","",SUMPRODUCT(MAX(('Rework Log'!$A$3:$A$500=$B144)*ROW('Rework Log'!$A$3:$A$500))))</f>
        <v/>
      </c>
    </row>
    <row r="145" spans="1:44" x14ac:dyDescent="0.25">
      <c r="A145" s="1"/>
      <c r="B145" s="1"/>
      <c r="C145" s="1"/>
      <c r="D145" s="12" t="str">
        <f t="shared" ca="1" si="12"/>
        <v/>
      </c>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2" t="str">
        <f t="shared" si="13"/>
        <v/>
      </c>
      <c r="AI145" s="12" t="str">
        <f>IF($B145="","",COUNTIF('Rework Log'!$A$3:$A$500,$B145))</f>
        <v/>
      </c>
      <c r="AJ145" s="12" t="str">
        <f>IF(OR($B145="",$AR145=0),"",INDEX('Rework Log'!$C:$C,$AR145))</f>
        <v/>
      </c>
      <c r="AK145" s="12" t="str">
        <f>IF(OR($B145="",$AR145=0),"",INDEX('Rework Log'!$H:$H,$AR145))</f>
        <v/>
      </c>
      <c r="AL145" s="12" t="str">
        <f>IF(OR($B145="",$AR145=0),"",INDEX('Rework Log'!$G:$G,$AR145))</f>
        <v/>
      </c>
      <c r="AM145" s="12" t="str">
        <f t="shared" si="14"/>
        <v/>
      </c>
      <c r="AN145" s="12" t="str">
        <f t="shared" si="15"/>
        <v/>
      </c>
      <c r="AO145" s="12" t="str">
        <f t="shared" si="16"/>
        <v/>
      </c>
      <c r="AP145" s="12" t="str">
        <f t="shared" si="17"/>
        <v/>
      </c>
      <c r="AQ145" s="1"/>
      <c r="AR145" s="12" t="str">
        <f>IF($B145="","",SUMPRODUCT(MAX(('Rework Log'!$A$3:$A$500=$B145)*ROW('Rework Log'!$A$3:$A$500))))</f>
        <v/>
      </c>
    </row>
    <row r="146" spans="1:44" x14ac:dyDescent="0.25">
      <c r="A146" s="1"/>
      <c r="B146" s="1"/>
      <c r="C146" s="1"/>
      <c r="D146" s="12" t="str">
        <f t="shared" ca="1" si="12"/>
        <v/>
      </c>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2" t="str">
        <f t="shared" si="13"/>
        <v/>
      </c>
      <c r="AI146" s="12" t="str">
        <f>IF($B146="","",COUNTIF('Rework Log'!$A$3:$A$500,$B146))</f>
        <v/>
      </c>
      <c r="AJ146" s="12" t="str">
        <f>IF(OR($B146="",$AR146=0),"",INDEX('Rework Log'!$C:$C,$AR146))</f>
        <v/>
      </c>
      <c r="AK146" s="12" t="str">
        <f>IF(OR($B146="",$AR146=0),"",INDEX('Rework Log'!$H:$H,$AR146))</f>
        <v/>
      </c>
      <c r="AL146" s="12" t="str">
        <f>IF(OR($B146="",$AR146=0),"",INDEX('Rework Log'!$G:$G,$AR146))</f>
        <v/>
      </c>
      <c r="AM146" s="12" t="str">
        <f t="shared" si="14"/>
        <v/>
      </c>
      <c r="AN146" s="12" t="str">
        <f t="shared" si="15"/>
        <v/>
      </c>
      <c r="AO146" s="12" t="str">
        <f t="shared" si="16"/>
        <v/>
      </c>
      <c r="AP146" s="12" t="str">
        <f t="shared" si="17"/>
        <v/>
      </c>
      <c r="AQ146" s="1"/>
      <c r="AR146" s="12" t="str">
        <f>IF($B146="","",SUMPRODUCT(MAX(('Rework Log'!$A$3:$A$500=$B146)*ROW('Rework Log'!$A$3:$A$500))))</f>
        <v/>
      </c>
    </row>
    <row r="147" spans="1:44" x14ac:dyDescent="0.25">
      <c r="A147" s="1"/>
      <c r="B147" s="1"/>
      <c r="C147" s="1"/>
      <c r="D147" s="12" t="str">
        <f t="shared" ca="1" si="12"/>
        <v/>
      </c>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2" t="str">
        <f t="shared" si="13"/>
        <v/>
      </c>
      <c r="AI147" s="12" t="str">
        <f>IF($B147="","",COUNTIF('Rework Log'!$A$3:$A$500,$B147))</f>
        <v/>
      </c>
      <c r="AJ147" s="12" t="str">
        <f>IF(OR($B147="",$AR147=0),"",INDEX('Rework Log'!$C:$C,$AR147))</f>
        <v/>
      </c>
      <c r="AK147" s="12" t="str">
        <f>IF(OR($B147="",$AR147=0),"",INDEX('Rework Log'!$H:$H,$AR147))</f>
        <v/>
      </c>
      <c r="AL147" s="12" t="str">
        <f>IF(OR($B147="",$AR147=0),"",INDEX('Rework Log'!$G:$G,$AR147))</f>
        <v/>
      </c>
      <c r="AM147" s="12" t="str">
        <f t="shared" si="14"/>
        <v/>
      </c>
      <c r="AN147" s="12" t="str">
        <f t="shared" si="15"/>
        <v/>
      </c>
      <c r="AO147" s="12" t="str">
        <f t="shared" si="16"/>
        <v/>
      </c>
      <c r="AP147" s="12" t="str">
        <f t="shared" si="17"/>
        <v/>
      </c>
      <c r="AQ147" s="1"/>
      <c r="AR147" s="12" t="str">
        <f>IF($B147="","",SUMPRODUCT(MAX(('Rework Log'!$A$3:$A$500=$B147)*ROW('Rework Log'!$A$3:$A$500))))</f>
        <v/>
      </c>
    </row>
    <row r="148" spans="1:44" x14ac:dyDescent="0.25">
      <c r="A148" s="1"/>
      <c r="B148" s="1"/>
      <c r="C148" s="1"/>
      <c r="D148" s="12" t="str">
        <f t="shared" ca="1" si="12"/>
        <v/>
      </c>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2" t="str">
        <f t="shared" si="13"/>
        <v/>
      </c>
      <c r="AI148" s="12" t="str">
        <f>IF($B148="","",COUNTIF('Rework Log'!$A$3:$A$500,$B148))</f>
        <v/>
      </c>
      <c r="AJ148" s="12" t="str">
        <f>IF(OR($B148="",$AR148=0),"",INDEX('Rework Log'!$C:$C,$AR148))</f>
        <v/>
      </c>
      <c r="AK148" s="12" t="str">
        <f>IF(OR($B148="",$AR148=0),"",INDEX('Rework Log'!$H:$H,$AR148))</f>
        <v/>
      </c>
      <c r="AL148" s="12" t="str">
        <f>IF(OR($B148="",$AR148=0),"",INDEX('Rework Log'!$G:$G,$AR148))</f>
        <v/>
      </c>
      <c r="AM148" s="12" t="str">
        <f t="shared" si="14"/>
        <v/>
      </c>
      <c r="AN148" s="12" t="str">
        <f t="shared" si="15"/>
        <v/>
      </c>
      <c r="AO148" s="12" t="str">
        <f t="shared" si="16"/>
        <v/>
      </c>
      <c r="AP148" s="12" t="str">
        <f t="shared" si="17"/>
        <v/>
      </c>
      <c r="AQ148" s="1"/>
      <c r="AR148" s="12" t="str">
        <f>IF($B148="","",SUMPRODUCT(MAX(('Rework Log'!$A$3:$A$500=$B148)*ROW('Rework Log'!$A$3:$A$500))))</f>
        <v/>
      </c>
    </row>
    <row r="149" spans="1:44" x14ac:dyDescent="0.25">
      <c r="A149" s="1"/>
      <c r="B149" s="1"/>
      <c r="C149" s="1"/>
      <c r="D149" s="12" t="str">
        <f t="shared" ca="1" si="12"/>
        <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2" t="str">
        <f t="shared" si="13"/>
        <v/>
      </c>
      <c r="AI149" s="12" t="str">
        <f>IF($B149="","",COUNTIF('Rework Log'!$A$3:$A$500,$B149))</f>
        <v/>
      </c>
      <c r="AJ149" s="12" t="str">
        <f>IF(OR($B149="",$AR149=0),"",INDEX('Rework Log'!$C:$C,$AR149))</f>
        <v/>
      </c>
      <c r="AK149" s="12" t="str">
        <f>IF(OR($B149="",$AR149=0),"",INDEX('Rework Log'!$H:$H,$AR149))</f>
        <v/>
      </c>
      <c r="AL149" s="12" t="str">
        <f>IF(OR($B149="",$AR149=0),"",INDEX('Rework Log'!$G:$G,$AR149))</f>
        <v/>
      </c>
      <c r="AM149" s="12" t="str">
        <f t="shared" si="14"/>
        <v/>
      </c>
      <c r="AN149" s="12" t="str">
        <f t="shared" si="15"/>
        <v/>
      </c>
      <c r="AO149" s="12" t="str">
        <f t="shared" si="16"/>
        <v/>
      </c>
      <c r="AP149" s="12" t="str">
        <f t="shared" si="17"/>
        <v/>
      </c>
      <c r="AQ149" s="1"/>
      <c r="AR149" s="12" t="str">
        <f>IF($B149="","",SUMPRODUCT(MAX(('Rework Log'!$A$3:$A$500=$B149)*ROW('Rework Log'!$A$3:$A$500))))</f>
        <v/>
      </c>
    </row>
    <row r="150" spans="1:44" x14ac:dyDescent="0.25">
      <c r="A150" s="1"/>
      <c r="B150" s="1"/>
      <c r="C150" s="1"/>
      <c r="D150" s="12" t="str">
        <f t="shared" ca="1" si="12"/>
        <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2" t="str">
        <f t="shared" si="13"/>
        <v/>
      </c>
      <c r="AI150" s="12" t="str">
        <f>IF($B150="","",COUNTIF('Rework Log'!$A$3:$A$500,$B150))</f>
        <v/>
      </c>
      <c r="AJ150" s="12" t="str">
        <f>IF(OR($B150="",$AR150=0),"",INDEX('Rework Log'!$C:$C,$AR150))</f>
        <v/>
      </c>
      <c r="AK150" s="12" t="str">
        <f>IF(OR($B150="",$AR150=0),"",INDEX('Rework Log'!$H:$H,$AR150))</f>
        <v/>
      </c>
      <c r="AL150" s="12" t="str">
        <f>IF(OR($B150="",$AR150=0),"",INDEX('Rework Log'!$G:$G,$AR150))</f>
        <v/>
      </c>
      <c r="AM150" s="12" t="str">
        <f t="shared" si="14"/>
        <v/>
      </c>
      <c r="AN150" s="12" t="str">
        <f t="shared" si="15"/>
        <v/>
      </c>
      <c r="AO150" s="12" t="str">
        <f t="shared" si="16"/>
        <v/>
      </c>
      <c r="AP150" s="12" t="str">
        <f t="shared" si="17"/>
        <v/>
      </c>
      <c r="AQ150" s="1"/>
      <c r="AR150" s="12" t="str">
        <f>IF($B150="","",SUMPRODUCT(MAX(('Rework Log'!$A$3:$A$500=$B150)*ROW('Rework Log'!$A$3:$A$500))))</f>
        <v/>
      </c>
    </row>
    <row r="151" spans="1:44" x14ac:dyDescent="0.25">
      <c r="A151" s="1"/>
      <c r="B151" s="1"/>
      <c r="C151" s="1"/>
      <c r="D151" s="12" t="str">
        <f t="shared" ca="1" si="12"/>
        <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2" t="str">
        <f t="shared" si="13"/>
        <v/>
      </c>
      <c r="AI151" s="12" t="str">
        <f>IF($B151="","",COUNTIF('Rework Log'!$A$3:$A$500,$B151))</f>
        <v/>
      </c>
      <c r="AJ151" s="12" t="str">
        <f>IF(OR($B151="",$AR151=0),"",INDEX('Rework Log'!$C:$C,$AR151))</f>
        <v/>
      </c>
      <c r="AK151" s="12" t="str">
        <f>IF(OR($B151="",$AR151=0),"",INDEX('Rework Log'!$H:$H,$AR151))</f>
        <v/>
      </c>
      <c r="AL151" s="12" t="str">
        <f>IF(OR($B151="",$AR151=0),"",INDEX('Rework Log'!$G:$G,$AR151))</f>
        <v/>
      </c>
      <c r="AM151" s="12" t="str">
        <f t="shared" si="14"/>
        <v/>
      </c>
      <c r="AN151" s="12" t="str">
        <f t="shared" si="15"/>
        <v/>
      </c>
      <c r="AO151" s="12" t="str">
        <f t="shared" si="16"/>
        <v/>
      </c>
      <c r="AP151" s="12" t="str">
        <f t="shared" si="17"/>
        <v/>
      </c>
      <c r="AQ151" s="1"/>
      <c r="AR151" s="12" t="str">
        <f>IF($B151="","",SUMPRODUCT(MAX(('Rework Log'!$A$3:$A$500=$B151)*ROW('Rework Log'!$A$3:$A$500))))</f>
        <v/>
      </c>
    </row>
    <row r="152" spans="1:44" x14ac:dyDescent="0.25">
      <c r="A152" s="1"/>
      <c r="B152" s="1"/>
      <c r="C152" s="1"/>
      <c r="D152" s="12" t="str">
        <f t="shared" ca="1" si="12"/>
        <v/>
      </c>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2" t="str">
        <f t="shared" si="13"/>
        <v/>
      </c>
      <c r="AI152" s="12" t="str">
        <f>IF($B152="","",COUNTIF('Rework Log'!$A$3:$A$500,$B152))</f>
        <v/>
      </c>
      <c r="AJ152" s="12" t="str">
        <f>IF(OR($B152="",$AR152=0),"",INDEX('Rework Log'!$C:$C,$AR152))</f>
        <v/>
      </c>
      <c r="AK152" s="12" t="str">
        <f>IF(OR($B152="",$AR152=0),"",INDEX('Rework Log'!$H:$H,$AR152))</f>
        <v/>
      </c>
      <c r="AL152" s="12" t="str">
        <f>IF(OR($B152="",$AR152=0),"",INDEX('Rework Log'!$G:$G,$AR152))</f>
        <v/>
      </c>
      <c r="AM152" s="12" t="str">
        <f t="shared" si="14"/>
        <v/>
      </c>
      <c r="AN152" s="12" t="str">
        <f t="shared" si="15"/>
        <v/>
      </c>
      <c r="AO152" s="12" t="str">
        <f t="shared" si="16"/>
        <v/>
      </c>
      <c r="AP152" s="12" t="str">
        <f t="shared" si="17"/>
        <v/>
      </c>
      <c r="AQ152" s="1"/>
      <c r="AR152" s="12" t="str">
        <f>IF($B152="","",SUMPRODUCT(MAX(('Rework Log'!$A$3:$A$500=$B152)*ROW('Rework Log'!$A$3:$A$500))))</f>
        <v/>
      </c>
    </row>
    <row r="153" spans="1:44" x14ac:dyDescent="0.25">
      <c r="A153" s="1"/>
      <c r="B153" s="1"/>
      <c r="C153" s="1"/>
      <c r="D153" s="12" t="str">
        <f t="shared" ca="1" si="12"/>
        <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2" t="str">
        <f t="shared" si="13"/>
        <v/>
      </c>
      <c r="AI153" s="12" t="str">
        <f>IF($B153="","",COUNTIF('Rework Log'!$A$3:$A$500,$B153))</f>
        <v/>
      </c>
      <c r="AJ153" s="12" t="str">
        <f>IF(OR($B153="",$AR153=0),"",INDEX('Rework Log'!$C:$C,$AR153))</f>
        <v/>
      </c>
      <c r="AK153" s="12" t="str">
        <f>IF(OR($B153="",$AR153=0),"",INDEX('Rework Log'!$H:$H,$AR153))</f>
        <v/>
      </c>
      <c r="AL153" s="12" t="str">
        <f>IF(OR($B153="",$AR153=0),"",INDEX('Rework Log'!$G:$G,$AR153))</f>
        <v/>
      </c>
      <c r="AM153" s="12" t="str">
        <f t="shared" si="14"/>
        <v/>
      </c>
      <c r="AN153" s="12" t="str">
        <f t="shared" si="15"/>
        <v/>
      </c>
      <c r="AO153" s="12" t="str">
        <f t="shared" si="16"/>
        <v/>
      </c>
      <c r="AP153" s="12" t="str">
        <f t="shared" si="17"/>
        <v/>
      </c>
      <c r="AQ153" s="1"/>
      <c r="AR153" s="12" t="str">
        <f>IF($B153="","",SUMPRODUCT(MAX(('Rework Log'!$A$3:$A$500=$B153)*ROW('Rework Log'!$A$3:$A$500))))</f>
        <v/>
      </c>
    </row>
    <row r="154" spans="1:44" x14ac:dyDescent="0.25">
      <c r="A154" s="1"/>
      <c r="B154" s="1"/>
      <c r="C154" s="1"/>
      <c r="D154" s="12" t="str">
        <f t="shared" ca="1" si="12"/>
        <v/>
      </c>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2" t="str">
        <f t="shared" si="13"/>
        <v/>
      </c>
      <c r="AI154" s="12" t="str">
        <f>IF($B154="","",COUNTIF('Rework Log'!$A$3:$A$500,$B154))</f>
        <v/>
      </c>
      <c r="AJ154" s="12" t="str">
        <f>IF(OR($B154="",$AR154=0),"",INDEX('Rework Log'!$C:$C,$AR154))</f>
        <v/>
      </c>
      <c r="AK154" s="12" t="str">
        <f>IF(OR($B154="",$AR154=0),"",INDEX('Rework Log'!$H:$H,$AR154))</f>
        <v/>
      </c>
      <c r="AL154" s="12" t="str">
        <f>IF(OR($B154="",$AR154=0),"",INDEX('Rework Log'!$G:$G,$AR154))</f>
        <v/>
      </c>
      <c r="AM154" s="12" t="str">
        <f t="shared" si="14"/>
        <v/>
      </c>
      <c r="AN154" s="12" t="str">
        <f t="shared" si="15"/>
        <v/>
      </c>
      <c r="AO154" s="12" t="str">
        <f t="shared" si="16"/>
        <v/>
      </c>
      <c r="AP154" s="12" t="str">
        <f t="shared" si="17"/>
        <v/>
      </c>
      <c r="AQ154" s="1"/>
      <c r="AR154" s="12" t="str">
        <f>IF($B154="","",SUMPRODUCT(MAX(('Rework Log'!$A$3:$A$500=$B154)*ROW('Rework Log'!$A$3:$A$500))))</f>
        <v/>
      </c>
    </row>
    <row r="155" spans="1:44" x14ac:dyDescent="0.25">
      <c r="A155" s="1"/>
      <c r="B155" s="1"/>
      <c r="C155" s="1"/>
      <c r="D155" s="12" t="str">
        <f t="shared" ca="1" si="12"/>
        <v/>
      </c>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2" t="str">
        <f t="shared" si="13"/>
        <v/>
      </c>
      <c r="AI155" s="12" t="str">
        <f>IF($B155="","",COUNTIF('Rework Log'!$A$3:$A$500,$B155))</f>
        <v/>
      </c>
      <c r="AJ155" s="12" t="str">
        <f>IF(OR($B155="",$AR155=0),"",INDEX('Rework Log'!$C:$C,$AR155))</f>
        <v/>
      </c>
      <c r="AK155" s="12" t="str">
        <f>IF(OR($B155="",$AR155=0),"",INDEX('Rework Log'!$H:$H,$AR155))</f>
        <v/>
      </c>
      <c r="AL155" s="12" t="str">
        <f>IF(OR($B155="",$AR155=0),"",INDEX('Rework Log'!$G:$G,$AR155))</f>
        <v/>
      </c>
      <c r="AM155" s="12" t="str">
        <f t="shared" si="14"/>
        <v/>
      </c>
      <c r="AN155" s="12" t="str">
        <f t="shared" si="15"/>
        <v/>
      </c>
      <c r="AO155" s="12" t="str">
        <f t="shared" si="16"/>
        <v/>
      </c>
      <c r="AP155" s="12" t="str">
        <f t="shared" si="17"/>
        <v/>
      </c>
      <c r="AQ155" s="1"/>
      <c r="AR155" s="12" t="str">
        <f>IF($B155="","",SUMPRODUCT(MAX(('Rework Log'!$A$3:$A$500=$B155)*ROW('Rework Log'!$A$3:$A$500))))</f>
        <v/>
      </c>
    </row>
    <row r="156" spans="1:44" x14ac:dyDescent="0.25">
      <c r="A156" s="1"/>
      <c r="B156" s="1"/>
      <c r="C156" s="1"/>
      <c r="D156" s="12" t="str">
        <f t="shared" ca="1" si="12"/>
        <v/>
      </c>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2" t="str">
        <f t="shared" si="13"/>
        <v/>
      </c>
      <c r="AI156" s="12" t="str">
        <f>IF($B156="","",COUNTIF('Rework Log'!$A$3:$A$500,$B156))</f>
        <v/>
      </c>
      <c r="AJ156" s="12" t="str">
        <f>IF(OR($B156="",$AR156=0),"",INDEX('Rework Log'!$C:$C,$AR156))</f>
        <v/>
      </c>
      <c r="AK156" s="12" t="str">
        <f>IF(OR($B156="",$AR156=0),"",INDEX('Rework Log'!$H:$H,$AR156))</f>
        <v/>
      </c>
      <c r="AL156" s="12" t="str">
        <f>IF(OR($B156="",$AR156=0),"",INDEX('Rework Log'!$G:$G,$AR156))</f>
        <v/>
      </c>
      <c r="AM156" s="12" t="str">
        <f t="shared" si="14"/>
        <v/>
      </c>
      <c r="AN156" s="12" t="str">
        <f t="shared" si="15"/>
        <v/>
      </c>
      <c r="AO156" s="12" t="str">
        <f t="shared" si="16"/>
        <v/>
      </c>
      <c r="AP156" s="12" t="str">
        <f t="shared" si="17"/>
        <v/>
      </c>
      <c r="AQ156" s="1"/>
      <c r="AR156" s="12" t="str">
        <f>IF($B156="","",SUMPRODUCT(MAX(('Rework Log'!$A$3:$A$500=$B156)*ROW('Rework Log'!$A$3:$A$500))))</f>
        <v/>
      </c>
    </row>
    <row r="157" spans="1:44" x14ac:dyDescent="0.25">
      <c r="A157" s="1"/>
      <c r="B157" s="1"/>
      <c r="C157" s="1"/>
      <c r="D157" s="12" t="str">
        <f t="shared" ca="1" si="12"/>
        <v/>
      </c>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2" t="str">
        <f t="shared" si="13"/>
        <v/>
      </c>
      <c r="AI157" s="12" t="str">
        <f>IF($B157="","",COUNTIF('Rework Log'!$A$3:$A$500,$B157))</f>
        <v/>
      </c>
      <c r="AJ157" s="12" t="str">
        <f>IF(OR($B157="",$AR157=0),"",INDEX('Rework Log'!$C:$C,$AR157))</f>
        <v/>
      </c>
      <c r="AK157" s="12" t="str">
        <f>IF(OR($B157="",$AR157=0),"",INDEX('Rework Log'!$H:$H,$AR157))</f>
        <v/>
      </c>
      <c r="AL157" s="12" t="str">
        <f>IF(OR($B157="",$AR157=0),"",INDEX('Rework Log'!$G:$G,$AR157))</f>
        <v/>
      </c>
      <c r="AM157" s="12" t="str">
        <f t="shared" si="14"/>
        <v/>
      </c>
      <c r="AN157" s="12" t="str">
        <f t="shared" si="15"/>
        <v/>
      </c>
      <c r="AO157" s="12" t="str">
        <f t="shared" si="16"/>
        <v/>
      </c>
      <c r="AP157" s="12" t="str">
        <f t="shared" si="17"/>
        <v/>
      </c>
      <c r="AQ157" s="1"/>
      <c r="AR157" s="12" t="str">
        <f>IF($B157="","",SUMPRODUCT(MAX(('Rework Log'!$A$3:$A$500=$B157)*ROW('Rework Log'!$A$3:$A$500))))</f>
        <v/>
      </c>
    </row>
    <row r="158" spans="1:44" x14ac:dyDescent="0.25">
      <c r="A158" s="1"/>
      <c r="B158" s="1"/>
      <c r="C158" s="1"/>
      <c r="D158" s="12" t="str">
        <f t="shared" ca="1" si="12"/>
        <v/>
      </c>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2" t="str">
        <f t="shared" si="13"/>
        <v/>
      </c>
      <c r="AI158" s="12" t="str">
        <f>IF($B158="","",COUNTIF('Rework Log'!$A$3:$A$500,$B158))</f>
        <v/>
      </c>
      <c r="AJ158" s="12" t="str">
        <f>IF(OR($B158="",$AR158=0),"",INDEX('Rework Log'!$C:$C,$AR158))</f>
        <v/>
      </c>
      <c r="AK158" s="12" t="str">
        <f>IF(OR($B158="",$AR158=0),"",INDEX('Rework Log'!$H:$H,$AR158))</f>
        <v/>
      </c>
      <c r="AL158" s="12" t="str">
        <f>IF(OR($B158="",$AR158=0),"",INDEX('Rework Log'!$G:$G,$AR158))</f>
        <v/>
      </c>
      <c r="AM158" s="12" t="str">
        <f t="shared" si="14"/>
        <v/>
      </c>
      <c r="AN158" s="12" t="str">
        <f t="shared" si="15"/>
        <v/>
      </c>
      <c r="AO158" s="12" t="str">
        <f t="shared" si="16"/>
        <v/>
      </c>
      <c r="AP158" s="12" t="str">
        <f t="shared" si="17"/>
        <v/>
      </c>
      <c r="AQ158" s="1"/>
      <c r="AR158" s="12" t="str">
        <f>IF($B158="","",SUMPRODUCT(MAX(('Rework Log'!$A$3:$A$500=$B158)*ROW('Rework Log'!$A$3:$A$500))))</f>
        <v/>
      </c>
    </row>
    <row r="159" spans="1:44" x14ac:dyDescent="0.25">
      <c r="A159" s="1"/>
      <c r="B159" s="1"/>
      <c r="C159" s="1"/>
      <c r="D159" s="12" t="str">
        <f t="shared" ca="1" si="12"/>
        <v/>
      </c>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2" t="str">
        <f t="shared" si="13"/>
        <v/>
      </c>
      <c r="AI159" s="12" t="str">
        <f>IF($B159="","",COUNTIF('Rework Log'!$A$3:$A$500,$B159))</f>
        <v/>
      </c>
      <c r="AJ159" s="12" t="str">
        <f>IF(OR($B159="",$AR159=0),"",INDEX('Rework Log'!$C:$C,$AR159))</f>
        <v/>
      </c>
      <c r="AK159" s="12" t="str">
        <f>IF(OR($B159="",$AR159=0),"",INDEX('Rework Log'!$H:$H,$AR159))</f>
        <v/>
      </c>
      <c r="AL159" s="12" t="str">
        <f>IF(OR($B159="",$AR159=0),"",INDEX('Rework Log'!$G:$G,$AR159))</f>
        <v/>
      </c>
      <c r="AM159" s="12" t="str">
        <f t="shared" si="14"/>
        <v/>
      </c>
      <c r="AN159" s="12" t="str">
        <f t="shared" si="15"/>
        <v/>
      </c>
      <c r="AO159" s="12" t="str">
        <f t="shared" si="16"/>
        <v/>
      </c>
      <c r="AP159" s="12" t="str">
        <f t="shared" si="17"/>
        <v/>
      </c>
      <c r="AQ159" s="1"/>
      <c r="AR159" s="12" t="str">
        <f>IF($B159="","",SUMPRODUCT(MAX(('Rework Log'!$A$3:$A$500=$B159)*ROW('Rework Log'!$A$3:$A$500))))</f>
        <v/>
      </c>
    </row>
    <row r="160" spans="1:44" x14ac:dyDescent="0.25">
      <c r="A160" s="1"/>
      <c r="B160" s="1"/>
      <c r="C160" s="1"/>
      <c r="D160" s="12" t="str">
        <f t="shared" ca="1" si="12"/>
        <v/>
      </c>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2" t="str">
        <f t="shared" si="13"/>
        <v/>
      </c>
      <c r="AI160" s="12" t="str">
        <f>IF($B160="","",COUNTIF('Rework Log'!$A$3:$A$500,$B160))</f>
        <v/>
      </c>
      <c r="AJ160" s="12" t="str">
        <f>IF(OR($B160="",$AR160=0),"",INDEX('Rework Log'!$C:$C,$AR160))</f>
        <v/>
      </c>
      <c r="AK160" s="12" t="str">
        <f>IF(OR($B160="",$AR160=0),"",INDEX('Rework Log'!$H:$H,$AR160))</f>
        <v/>
      </c>
      <c r="AL160" s="12" t="str">
        <f>IF(OR($B160="",$AR160=0),"",INDEX('Rework Log'!$G:$G,$AR160))</f>
        <v/>
      </c>
      <c r="AM160" s="12" t="str">
        <f t="shared" si="14"/>
        <v/>
      </c>
      <c r="AN160" s="12" t="str">
        <f t="shared" si="15"/>
        <v/>
      </c>
      <c r="AO160" s="12" t="str">
        <f t="shared" si="16"/>
        <v/>
      </c>
      <c r="AP160" s="12" t="str">
        <f t="shared" si="17"/>
        <v/>
      </c>
      <c r="AQ160" s="1"/>
      <c r="AR160" s="12" t="str">
        <f>IF($B160="","",SUMPRODUCT(MAX(('Rework Log'!$A$3:$A$500=$B160)*ROW('Rework Log'!$A$3:$A$500))))</f>
        <v/>
      </c>
    </row>
    <row r="161" spans="1:44" x14ac:dyDescent="0.25">
      <c r="A161" s="1"/>
      <c r="B161" s="1"/>
      <c r="C161" s="1"/>
      <c r="D161" s="12" t="str">
        <f t="shared" ca="1" si="12"/>
        <v/>
      </c>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2" t="str">
        <f t="shared" si="13"/>
        <v/>
      </c>
      <c r="AI161" s="12" t="str">
        <f>IF($B161="","",COUNTIF('Rework Log'!$A$3:$A$500,$B161))</f>
        <v/>
      </c>
      <c r="AJ161" s="12" t="str">
        <f>IF(OR($B161="",$AR161=0),"",INDEX('Rework Log'!$C:$C,$AR161))</f>
        <v/>
      </c>
      <c r="AK161" s="12" t="str">
        <f>IF(OR($B161="",$AR161=0),"",INDEX('Rework Log'!$H:$H,$AR161))</f>
        <v/>
      </c>
      <c r="AL161" s="12" t="str">
        <f>IF(OR($B161="",$AR161=0),"",INDEX('Rework Log'!$G:$G,$AR161))</f>
        <v/>
      </c>
      <c r="AM161" s="12" t="str">
        <f t="shared" si="14"/>
        <v/>
      </c>
      <c r="AN161" s="12" t="str">
        <f t="shared" si="15"/>
        <v/>
      </c>
      <c r="AO161" s="12" t="str">
        <f t="shared" si="16"/>
        <v/>
      </c>
      <c r="AP161" s="12" t="str">
        <f t="shared" si="17"/>
        <v/>
      </c>
      <c r="AQ161" s="1"/>
      <c r="AR161" s="12" t="str">
        <f>IF($B161="","",SUMPRODUCT(MAX(('Rework Log'!$A$3:$A$500=$B161)*ROW('Rework Log'!$A$3:$A$500))))</f>
        <v/>
      </c>
    </row>
    <row r="162" spans="1:44" x14ac:dyDescent="0.25">
      <c r="A162" s="1"/>
      <c r="B162" s="1"/>
      <c r="C162" s="1"/>
      <c r="D162" s="12" t="str">
        <f t="shared" ca="1" si="12"/>
        <v/>
      </c>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2" t="str">
        <f t="shared" si="13"/>
        <v/>
      </c>
      <c r="AI162" s="12" t="str">
        <f>IF($B162="","",COUNTIF('Rework Log'!$A$3:$A$500,$B162))</f>
        <v/>
      </c>
      <c r="AJ162" s="12" t="str">
        <f>IF(OR($B162="",$AR162=0),"",INDEX('Rework Log'!$C:$C,$AR162))</f>
        <v/>
      </c>
      <c r="AK162" s="12" t="str">
        <f>IF(OR($B162="",$AR162=0),"",INDEX('Rework Log'!$H:$H,$AR162))</f>
        <v/>
      </c>
      <c r="AL162" s="12" t="str">
        <f>IF(OR($B162="",$AR162=0),"",INDEX('Rework Log'!$G:$G,$AR162))</f>
        <v/>
      </c>
      <c r="AM162" s="12" t="str">
        <f t="shared" si="14"/>
        <v/>
      </c>
      <c r="AN162" s="12" t="str">
        <f t="shared" si="15"/>
        <v/>
      </c>
      <c r="AO162" s="12" t="str">
        <f t="shared" si="16"/>
        <v/>
      </c>
      <c r="AP162" s="12" t="str">
        <f t="shared" si="17"/>
        <v/>
      </c>
      <c r="AQ162" s="1"/>
      <c r="AR162" s="12" t="str">
        <f>IF($B162="","",SUMPRODUCT(MAX(('Rework Log'!$A$3:$A$500=$B162)*ROW('Rework Log'!$A$3:$A$500))))</f>
        <v/>
      </c>
    </row>
    <row r="163" spans="1:44" x14ac:dyDescent="0.25">
      <c r="A163" s="1"/>
      <c r="B163" s="1"/>
      <c r="C163" s="1"/>
      <c r="D163" s="12" t="str">
        <f t="shared" ca="1" si="12"/>
        <v/>
      </c>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2" t="str">
        <f t="shared" si="13"/>
        <v/>
      </c>
      <c r="AI163" s="12" t="str">
        <f>IF($B163="","",COUNTIF('Rework Log'!$A$3:$A$500,$B163))</f>
        <v/>
      </c>
      <c r="AJ163" s="12" t="str">
        <f>IF(OR($B163="",$AR163=0),"",INDEX('Rework Log'!$C:$C,$AR163))</f>
        <v/>
      </c>
      <c r="AK163" s="12" t="str">
        <f>IF(OR($B163="",$AR163=0),"",INDEX('Rework Log'!$H:$H,$AR163))</f>
        <v/>
      </c>
      <c r="AL163" s="12" t="str">
        <f>IF(OR($B163="",$AR163=0),"",INDEX('Rework Log'!$G:$G,$AR163))</f>
        <v/>
      </c>
      <c r="AM163" s="12" t="str">
        <f t="shared" si="14"/>
        <v/>
      </c>
      <c r="AN163" s="12" t="str">
        <f t="shared" si="15"/>
        <v/>
      </c>
      <c r="AO163" s="12" t="str">
        <f t="shared" si="16"/>
        <v/>
      </c>
      <c r="AP163" s="12" t="str">
        <f t="shared" si="17"/>
        <v/>
      </c>
      <c r="AQ163" s="1"/>
      <c r="AR163" s="12" t="str">
        <f>IF($B163="","",SUMPRODUCT(MAX(('Rework Log'!$A$3:$A$500=$B163)*ROW('Rework Log'!$A$3:$A$500))))</f>
        <v/>
      </c>
    </row>
    <row r="164" spans="1:44" x14ac:dyDescent="0.25">
      <c r="A164" s="1"/>
      <c r="B164" s="1"/>
      <c r="C164" s="1"/>
      <c r="D164" s="12" t="str">
        <f t="shared" ca="1" si="12"/>
        <v/>
      </c>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2" t="str">
        <f t="shared" si="13"/>
        <v/>
      </c>
      <c r="AI164" s="12" t="str">
        <f>IF($B164="","",COUNTIF('Rework Log'!$A$3:$A$500,$B164))</f>
        <v/>
      </c>
      <c r="AJ164" s="12" t="str">
        <f>IF(OR($B164="",$AR164=0),"",INDEX('Rework Log'!$C:$C,$AR164))</f>
        <v/>
      </c>
      <c r="AK164" s="12" t="str">
        <f>IF(OR($B164="",$AR164=0),"",INDEX('Rework Log'!$H:$H,$AR164))</f>
        <v/>
      </c>
      <c r="AL164" s="12" t="str">
        <f>IF(OR($B164="",$AR164=0),"",INDEX('Rework Log'!$G:$G,$AR164))</f>
        <v/>
      </c>
      <c r="AM164" s="12" t="str">
        <f t="shared" si="14"/>
        <v/>
      </c>
      <c r="AN164" s="12" t="str">
        <f t="shared" si="15"/>
        <v/>
      </c>
      <c r="AO164" s="12" t="str">
        <f t="shared" si="16"/>
        <v/>
      </c>
      <c r="AP164" s="12" t="str">
        <f t="shared" si="17"/>
        <v/>
      </c>
      <c r="AQ164" s="1"/>
      <c r="AR164" s="12" t="str">
        <f>IF($B164="","",SUMPRODUCT(MAX(('Rework Log'!$A$3:$A$500=$B164)*ROW('Rework Log'!$A$3:$A$500))))</f>
        <v/>
      </c>
    </row>
    <row r="165" spans="1:44" x14ac:dyDescent="0.25">
      <c r="A165" s="1"/>
      <c r="B165" s="1"/>
      <c r="C165" s="1"/>
      <c r="D165" s="12" t="str">
        <f t="shared" ca="1" si="12"/>
        <v/>
      </c>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2" t="str">
        <f t="shared" si="13"/>
        <v/>
      </c>
      <c r="AI165" s="12" t="str">
        <f>IF($B165="","",COUNTIF('Rework Log'!$A$3:$A$500,$B165))</f>
        <v/>
      </c>
      <c r="AJ165" s="12" t="str">
        <f>IF(OR($B165="",$AR165=0),"",INDEX('Rework Log'!$C:$C,$AR165))</f>
        <v/>
      </c>
      <c r="AK165" s="12" t="str">
        <f>IF(OR($B165="",$AR165=0),"",INDEX('Rework Log'!$H:$H,$AR165))</f>
        <v/>
      </c>
      <c r="AL165" s="12" t="str">
        <f>IF(OR($B165="",$AR165=0),"",INDEX('Rework Log'!$G:$G,$AR165))</f>
        <v/>
      </c>
      <c r="AM165" s="12" t="str">
        <f t="shared" si="14"/>
        <v/>
      </c>
      <c r="AN165" s="12" t="str">
        <f t="shared" si="15"/>
        <v/>
      </c>
      <c r="AO165" s="12" t="str">
        <f t="shared" si="16"/>
        <v/>
      </c>
      <c r="AP165" s="12" t="str">
        <f t="shared" si="17"/>
        <v/>
      </c>
      <c r="AQ165" s="1"/>
      <c r="AR165" s="12" t="str">
        <f>IF($B165="","",SUMPRODUCT(MAX(('Rework Log'!$A$3:$A$500=$B165)*ROW('Rework Log'!$A$3:$A$500))))</f>
        <v/>
      </c>
    </row>
    <row r="166" spans="1:44" x14ac:dyDescent="0.25">
      <c r="A166" s="1"/>
      <c r="B166" s="1"/>
      <c r="C166" s="1"/>
      <c r="D166" s="12" t="str">
        <f t="shared" ca="1" si="12"/>
        <v/>
      </c>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2" t="str">
        <f t="shared" si="13"/>
        <v/>
      </c>
      <c r="AI166" s="12" t="str">
        <f>IF($B166="","",COUNTIF('Rework Log'!$A$3:$A$500,$B166))</f>
        <v/>
      </c>
      <c r="AJ166" s="12" t="str">
        <f>IF(OR($B166="",$AR166=0),"",INDEX('Rework Log'!$C:$C,$AR166))</f>
        <v/>
      </c>
      <c r="AK166" s="12" t="str">
        <f>IF(OR($B166="",$AR166=0),"",INDEX('Rework Log'!$H:$H,$AR166))</f>
        <v/>
      </c>
      <c r="AL166" s="12" t="str">
        <f>IF(OR($B166="",$AR166=0),"",INDEX('Rework Log'!$G:$G,$AR166))</f>
        <v/>
      </c>
      <c r="AM166" s="12" t="str">
        <f t="shared" si="14"/>
        <v/>
      </c>
      <c r="AN166" s="12" t="str">
        <f t="shared" si="15"/>
        <v/>
      </c>
      <c r="AO166" s="12" t="str">
        <f t="shared" si="16"/>
        <v/>
      </c>
      <c r="AP166" s="12" t="str">
        <f t="shared" si="17"/>
        <v/>
      </c>
      <c r="AQ166" s="1"/>
      <c r="AR166" s="12" t="str">
        <f>IF($B166="","",SUMPRODUCT(MAX(('Rework Log'!$A$3:$A$500=$B166)*ROW('Rework Log'!$A$3:$A$500))))</f>
        <v/>
      </c>
    </row>
    <row r="167" spans="1:44" x14ac:dyDescent="0.25">
      <c r="A167" s="1"/>
      <c r="B167" s="1"/>
      <c r="C167" s="1"/>
      <c r="D167" s="12" t="str">
        <f t="shared" ca="1" si="12"/>
        <v/>
      </c>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2" t="str">
        <f t="shared" si="13"/>
        <v/>
      </c>
      <c r="AI167" s="12" t="str">
        <f>IF($B167="","",COUNTIF('Rework Log'!$A$3:$A$500,$B167))</f>
        <v/>
      </c>
      <c r="AJ167" s="12" t="str">
        <f>IF(OR($B167="",$AR167=0),"",INDEX('Rework Log'!$C:$C,$AR167))</f>
        <v/>
      </c>
      <c r="AK167" s="12" t="str">
        <f>IF(OR($B167="",$AR167=0),"",INDEX('Rework Log'!$H:$H,$AR167))</f>
        <v/>
      </c>
      <c r="AL167" s="12" t="str">
        <f>IF(OR($B167="",$AR167=0),"",INDEX('Rework Log'!$G:$G,$AR167))</f>
        <v/>
      </c>
      <c r="AM167" s="12" t="str">
        <f t="shared" si="14"/>
        <v/>
      </c>
      <c r="AN167" s="12" t="str">
        <f t="shared" si="15"/>
        <v/>
      </c>
      <c r="AO167" s="12" t="str">
        <f t="shared" si="16"/>
        <v/>
      </c>
      <c r="AP167" s="12" t="str">
        <f t="shared" si="17"/>
        <v/>
      </c>
      <c r="AQ167" s="1"/>
      <c r="AR167" s="12" t="str">
        <f>IF($B167="","",SUMPRODUCT(MAX(('Rework Log'!$A$3:$A$500=$B167)*ROW('Rework Log'!$A$3:$A$500))))</f>
        <v/>
      </c>
    </row>
    <row r="168" spans="1:44" x14ac:dyDescent="0.25">
      <c r="A168" s="1"/>
      <c r="B168" s="1"/>
      <c r="C168" s="1"/>
      <c r="D168" s="12" t="str">
        <f t="shared" ca="1" si="12"/>
        <v/>
      </c>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2" t="str">
        <f t="shared" si="13"/>
        <v/>
      </c>
      <c r="AI168" s="12" t="str">
        <f>IF($B168="","",COUNTIF('Rework Log'!$A$3:$A$500,$B168))</f>
        <v/>
      </c>
      <c r="AJ168" s="12" t="str">
        <f>IF(OR($B168="",$AR168=0),"",INDEX('Rework Log'!$C:$C,$AR168))</f>
        <v/>
      </c>
      <c r="AK168" s="12" t="str">
        <f>IF(OR($B168="",$AR168=0),"",INDEX('Rework Log'!$H:$H,$AR168))</f>
        <v/>
      </c>
      <c r="AL168" s="12" t="str">
        <f>IF(OR($B168="",$AR168=0),"",INDEX('Rework Log'!$G:$G,$AR168))</f>
        <v/>
      </c>
      <c r="AM168" s="12" t="str">
        <f t="shared" si="14"/>
        <v/>
      </c>
      <c r="AN168" s="12" t="str">
        <f t="shared" si="15"/>
        <v/>
      </c>
      <c r="AO168" s="12" t="str">
        <f t="shared" si="16"/>
        <v/>
      </c>
      <c r="AP168" s="12" t="str">
        <f t="shared" si="17"/>
        <v/>
      </c>
      <c r="AQ168" s="1"/>
      <c r="AR168" s="12" t="str">
        <f>IF($B168="","",SUMPRODUCT(MAX(('Rework Log'!$A$3:$A$500=$B168)*ROW('Rework Log'!$A$3:$A$500))))</f>
        <v/>
      </c>
    </row>
    <row r="169" spans="1:44" x14ac:dyDescent="0.25">
      <c r="A169" s="1"/>
      <c r="B169" s="1"/>
      <c r="C169" s="1"/>
      <c r="D169" s="12" t="str">
        <f t="shared" ca="1" si="12"/>
        <v/>
      </c>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2" t="str">
        <f t="shared" si="13"/>
        <v/>
      </c>
      <c r="AI169" s="12" t="str">
        <f>IF($B169="","",COUNTIF('Rework Log'!$A$3:$A$500,$B169))</f>
        <v/>
      </c>
      <c r="AJ169" s="12" t="str">
        <f>IF(OR($B169="",$AR169=0),"",INDEX('Rework Log'!$C:$C,$AR169))</f>
        <v/>
      </c>
      <c r="AK169" s="12" t="str">
        <f>IF(OR($B169="",$AR169=0),"",INDEX('Rework Log'!$H:$H,$AR169))</f>
        <v/>
      </c>
      <c r="AL169" s="12" t="str">
        <f>IF(OR($B169="",$AR169=0),"",INDEX('Rework Log'!$G:$G,$AR169))</f>
        <v/>
      </c>
      <c r="AM169" s="12" t="str">
        <f t="shared" si="14"/>
        <v/>
      </c>
      <c r="AN169" s="12" t="str">
        <f t="shared" si="15"/>
        <v/>
      </c>
      <c r="AO169" s="12" t="str">
        <f t="shared" si="16"/>
        <v/>
      </c>
      <c r="AP169" s="12" t="str">
        <f t="shared" si="17"/>
        <v/>
      </c>
      <c r="AQ169" s="1"/>
      <c r="AR169" s="12" t="str">
        <f>IF($B169="","",SUMPRODUCT(MAX(('Rework Log'!$A$3:$A$500=$B169)*ROW('Rework Log'!$A$3:$A$500))))</f>
        <v/>
      </c>
    </row>
    <row r="170" spans="1:44" x14ac:dyDescent="0.25">
      <c r="A170" s="1"/>
      <c r="B170" s="1"/>
      <c r="C170" s="1"/>
      <c r="D170" s="12" t="str">
        <f t="shared" ca="1" si="12"/>
        <v/>
      </c>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2" t="str">
        <f t="shared" si="13"/>
        <v/>
      </c>
      <c r="AI170" s="12" t="str">
        <f>IF($B170="","",COUNTIF('Rework Log'!$A$3:$A$500,$B170))</f>
        <v/>
      </c>
      <c r="AJ170" s="12" t="str">
        <f>IF(OR($B170="",$AR170=0),"",INDEX('Rework Log'!$C:$C,$AR170))</f>
        <v/>
      </c>
      <c r="AK170" s="12" t="str">
        <f>IF(OR($B170="",$AR170=0),"",INDEX('Rework Log'!$H:$H,$AR170))</f>
        <v/>
      </c>
      <c r="AL170" s="12" t="str">
        <f>IF(OR($B170="",$AR170=0),"",INDEX('Rework Log'!$G:$G,$AR170))</f>
        <v/>
      </c>
      <c r="AM170" s="12" t="str">
        <f t="shared" si="14"/>
        <v/>
      </c>
      <c r="AN170" s="12" t="str">
        <f t="shared" si="15"/>
        <v/>
      </c>
      <c r="AO170" s="12" t="str">
        <f t="shared" si="16"/>
        <v/>
      </c>
      <c r="AP170" s="12" t="str">
        <f t="shared" si="17"/>
        <v/>
      </c>
      <c r="AQ170" s="1"/>
      <c r="AR170" s="12" t="str">
        <f>IF($B170="","",SUMPRODUCT(MAX(('Rework Log'!$A$3:$A$500=$B170)*ROW('Rework Log'!$A$3:$A$500))))</f>
        <v/>
      </c>
    </row>
    <row r="171" spans="1:44" x14ac:dyDescent="0.25">
      <c r="A171" s="1"/>
      <c r="B171" s="1"/>
      <c r="C171" s="1"/>
      <c r="D171" s="12" t="str">
        <f t="shared" ca="1" si="12"/>
        <v/>
      </c>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2" t="str">
        <f t="shared" si="13"/>
        <v/>
      </c>
      <c r="AI171" s="12" t="str">
        <f>IF($B171="","",COUNTIF('Rework Log'!$A$3:$A$500,$B171))</f>
        <v/>
      </c>
      <c r="AJ171" s="12" t="str">
        <f>IF(OR($B171="",$AR171=0),"",INDEX('Rework Log'!$C:$C,$AR171))</f>
        <v/>
      </c>
      <c r="AK171" s="12" t="str">
        <f>IF(OR($B171="",$AR171=0),"",INDEX('Rework Log'!$H:$H,$AR171))</f>
        <v/>
      </c>
      <c r="AL171" s="12" t="str">
        <f>IF(OR($B171="",$AR171=0),"",INDEX('Rework Log'!$G:$G,$AR171))</f>
        <v/>
      </c>
      <c r="AM171" s="12" t="str">
        <f t="shared" si="14"/>
        <v/>
      </c>
      <c r="AN171" s="12" t="str">
        <f t="shared" si="15"/>
        <v/>
      </c>
      <c r="AO171" s="12" t="str">
        <f t="shared" si="16"/>
        <v/>
      </c>
      <c r="AP171" s="12" t="str">
        <f t="shared" si="17"/>
        <v/>
      </c>
      <c r="AQ171" s="1"/>
      <c r="AR171" s="12" t="str">
        <f>IF($B171="","",SUMPRODUCT(MAX(('Rework Log'!$A$3:$A$500=$B171)*ROW('Rework Log'!$A$3:$A$500))))</f>
        <v/>
      </c>
    </row>
    <row r="172" spans="1:44" x14ac:dyDescent="0.25">
      <c r="A172" s="1"/>
      <c r="B172" s="1"/>
      <c r="C172" s="1"/>
      <c r="D172" s="12" t="str">
        <f t="shared" ca="1" si="12"/>
        <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2" t="str">
        <f t="shared" si="13"/>
        <v/>
      </c>
      <c r="AI172" s="12" t="str">
        <f>IF($B172="","",COUNTIF('Rework Log'!$A$3:$A$500,$B172))</f>
        <v/>
      </c>
      <c r="AJ172" s="12" t="str">
        <f>IF(OR($B172="",$AR172=0),"",INDEX('Rework Log'!$C:$C,$AR172))</f>
        <v/>
      </c>
      <c r="AK172" s="12" t="str">
        <f>IF(OR($B172="",$AR172=0),"",INDEX('Rework Log'!$H:$H,$AR172))</f>
        <v/>
      </c>
      <c r="AL172" s="12" t="str">
        <f>IF(OR($B172="",$AR172=0),"",INDEX('Rework Log'!$G:$G,$AR172))</f>
        <v/>
      </c>
      <c r="AM172" s="12" t="str">
        <f t="shared" si="14"/>
        <v/>
      </c>
      <c r="AN172" s="12" t="str">
        <f t="shared" si="15"/>
        <v/>
      </c>
      <c r="AO172" s="12" t="str">
        <f t="shared" si="16"/>
        <v/>
      </c>
      <c r="AP172" s="12" t="str">
        <f t="shared" si="17"/>
        <v/>
      </c>
      <c r="AQ172" s="1"/>
      <c r="AR172" s="12" t="str">
        <f>IF($B172="","",SUMPRODUCT(MAX(('Rework Log'!$A$3:$A$500=$B172)*ROW('Rework Log'!$A$3:$A$500))))</f>
        <v/>
      </c>
    </row>
    <row r="173" spans="1:44" x14ac:dyDescent="0.25">
      <c r="A173" s="1"/>
      <c r="B173" s="1"/>
      <c r="C173" s="1"/>
      <c r="D173" s="12" t="str">
        <f t="shared" ca="1" si="12"/>
        <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2" t="str">
        <f t="shared" si="13"/>
        <v/>
      </c>
      <c r="AI173" s="12" t="str">
        <f>IF($B173="","",COUNTIF('Rework Log'!$A$3:$A$500,$B173))</f>
        <v/>
      </c>
      <c r="AJ173" s="12" t="str">
        <f>IF(OR($B173="",$AR173=0),"",INDEX('Rework Log'!$C:$C,$AR173))</f>
        <v/>
      </c>
      <c r="AK173" s="12" t="str">
        <f>IF(OR($B173="",$AR173=0),"",INDEX('Rework Log'!$H:$H,$AR173))</f>
        <v/>
      </c>
      <c r="AL173" s="12" t="str">
        <f>IF(OR($B173="",$AR173=0),"",INDEX('Rework Log'!$G:$G,$AR173))</f>
        <v/>
      </c>
      <c r="AM173" s="12" t="str">
        <f t="shared" si="14"/>
        <v/>
      </c>
      <c r="AN173" s="12" t="str">
        <f t="shared" si="15"/>
        <v/>
      </c>
      <c r="AO173" s="12" t="str">
        <f t="shared" si="16"/>
        <v/>
      </c>
      <c r="AP173" s="12" t="str">
        <f t="shared" si="17"/>
        <v/>
      </c>
      <c r="AQ173" s="1"/>
      <c r="AR173" s="12" t="str">
        <f>IF($B173="","",SUMPRODUCT(MAX(('Rework Log'!$A$3:$A$500=$B173)*ROW('Rework Log'!$A$3:$A$500))))</f>
        <v/>
      </c>
    </row>
    <row r="174" spans="1:44" x14ac:dyDescent="0.25">
      <c r="A174" s="1"/>
      <c r="B174" s="1"/>
      <c r="C174" s="1"/>
      <c r="D174" s="12" t="str">
        <f t="shared" ca="1" si="12"/>
        <v/>
      </c>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2" t="str">
        <f t="shared" si="13"/>
        <v/>
      </c>
      <c r="AI174" s="12" t="str">
        <f>IF($B174="","",COUNTIF('Rework Log'!$A$3:$A$500,$B174))</f>
        <v/>
      </c>
      <c r="AJ174" s="12" t="str">
        <f>IF(OR($B174="",$AR174=0),"",INDEX('Rework Log'!$C:$C,$AR174))</f>
        <v/>
      </c>
      <c r="AK174" s="12" t="str">
        <f>IF(OR($B174="",$AR174=0),"",INDEX('Rework Log'!$H:$H,$AR174))</f>
        <v/>
      </c>
      <c r="AL174" s="12" t="str">
        <f>IF(OR($B174="",$AR174=0),"",INDEX('Rework Log'!$G:$G,$AR174))</f>
        <v/>
      </c>
      <c r="AM174" s="12" t="str">
        <f t="shared" si="14"/>
        <v/>
      </c>
      <c r="AN174" s="12" t="str">
        <f t="shared" si="15"/>
        <v/>
      </c>
      <c r="AO174" s="12" t="str">
        <f t="shared" si="16"/>
        <v/>
      </c>
      <c r="AP174" s="12" t="str">
        <f t="shared" si="17"/>
        <v/>
      </c>
      <c r="AQ174" s="1"/>
      <c r="AR174" s="12" t="str">
        <f>IF($B174="","",SUMPRODUCT(MAX(('Rework Log'!$A$3:$A$500=$B174)*ROW('Rework Log'!$A$3:$A$500))))</f>
        <v/>
      </c>
    </row>
    <row r="175" spans="1:44" x14ac:dyDescent="0.25">
      <c r="A175" s="1"/>
      <c r="B175" s="1"/>
      <c r="C175" s="1"/>
      <c r="D175" s="12" t="str">
        <f t="shared" ca="1" si="12"/>
        <v/>
      </c>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2" t="str">
        <f t="shared" si="13"/>
        <v/>
      </c>
      <c r="AI175" s="12" t="str">
        <f>IF($B175="","",COUNTIF('Rework Log'!$A$3:$A$500,$B175))</f>
        <v/>
      </c>
      <c r="AJ175" s="12" t="str">
        <f>IF(OR($B175="",$AR175=0),"",INDEX('Rework Log'!$C:$C,$AR175))</f>
        <v/>
      </c>
      <c r="AK175" s="12" t="str">
        <f>IF(OR($B175="",$AR175=0),"",INDEX('Rework Log'!$H:$H,$AR175))</f>
        <v/>
      </c>
      <c r="AL175" s="12" t="str">
        <f>IF(OR($B175="",$AR175=0),"",INDEX('Rework Log'!$G:$G,$AR175))</f>
        <v/>
      </c>
      <c r="AM175" s="12" t="str">
        <f t="shared" si="14"/>
        <v/>
      </c>
      <c r="AN175" s="12" t="str">
        <f t="shared" si="15"/>
        <v/>
      </c>
      <c r="AO175" s="12" t="str">
        <f t="shared" si="16"/>
        <v/>
      </c>
      <c r="AP175" s="12" t="str">
        <f t="shared" si="17"/>
        <v/>
      </c>
      <c r="AQ175" s="1"/>
      <c r="AR175" s="12" t="str">
        <f>IF($B175="","",SUMPRODUCT(MAX(('Rework Log'!$A$3:$A$500=$B175)*ROW('Rework Log'!$A$3:$A$500))))</f>
        <v/>
      </c>
    </row>
    <row r="176" spans="1:44" x14ac:dyDescent="0.25">
      <c r="A176" s="1"/>
      <c r="B176" s="1"/>
      <c r="C176" s="1"/>
      <c r="D176" s="12" t="str">
        <f t="shared" ca="1" si="12"/>
        <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2" t="str">
        <f t="shared" si="13"/>
        <v/>
      </c>
      <c r="AI176" s="12" t="str">
        <f>IF($B176="","",COUNTIF('Rework Log'!$A$3:$A$500,$B176))</f>
        <v/>
      </c>
      <c r="AJ176" s="12" t="str">
        <f>IF(OR($B176="",$AR176=0),"",INDEX('Rework Log'!$C:$C,$AR176))</f>
        <v/>
      </c>
      <c r="AK176" s="12" t="str">
        <f>IF(OR($B176="",$AR176=0),"",INDEX('Rework Log'!$H:$H,$AR176))</f>
        <v/>
      </c>
      <c r="AL176" s="12" t="str">
        <f>IF(OR($B176="",$AR176=0),"",INDEX('Rework Log'!$G:$G,$AR176))</f>
        <v/>
      </c>
      <c r="AM176" s="12" t="str">
        <f t="shared" si="14"/>
        <v/>
      </c>
      <c r="AN176" s="12" t="str">
        <f t="shared" si="15"/>
        <v/>
      </c>
      <c r="AO176" s="12" t="str">
        <f t="shared" si="16"/>
        <v/>
      </c>
      <c r="AP176" s="12" t="str">
        <f t="shared" si="17"/>
        <v/>
      </c>
      <c r="AQ176" s="1"/>
      <c r="AR176" s="12" t="str">
        <f>IF($B176="","",SUMPRODUCT(MAX(('Rework Log'!$A$3:$A$500=$B176)*ROW('Rework Log'!$A$3:$A$500))))</f>
        <v/>
      </c>
    </row>
    <row r="177" spans="1:44" x14ac:dyDescent="0.25">
      <c r="A177" s="1"/>
      <c r="B177" s="1"/>
      <c r="C177" s="1"/>
      <c r="D177" s="12" t="str">
        <f t="shared" ca="1" si="12"/>
        <v/>
      </c>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2" t="str">
        <f t="shared" si="13"/>
        <v/>
      </c>
      <c r="AI177" s="12" t="str">
        <f>IF($B177="","",COUNTIF('Rework Log'!$A$3:$A$500,$B177))</f>
        <v/>
      </c>
      <c r="AJ177" s="12" t="str">
        <f>IF(OR($B177="",$AR177=0),"",INDEX('Rework Log'!$C:$C,$AR177))</f>
        <v/>
      </c>
      <c r="AK177" s="12" t="str">
        <f>IF(OR($B177="",$AR177=0),"",INDEX('Rework Log'!$H:$H,$AR177))</f>
        <v/>
      </c>
      <c r="AL177" s="12" t="str">
        <f>IF(OR($B177="",$AR177=0),"",INDEX('Rework Log'!$G:$G,$AR177))</f>
        <v/>
      </c>
      <c r="AM177" s="12" t="str">
        <f t="shared" si="14"/>
        <v/>
      </c>
      <c r="AN177" s="12" t="str">
        <f t="shared" si="15"/>
        <v/>
      </c>
      <c r="AO177" s="12" t="str">
        <f t="shared" si="16"/>
        <v/>
      </c>
      <c r="AP177" s="12" t="str">
        <f t="shared" si="17"/>
        <v/>
      </c>
      <c r="AQ177" s="1"/>
      <c r="AR177" s="12" t="str">
        <f>IF($B177="","",SUMPRODUCT(MAX(('Rework Log'!$A$3:$A$500=$B177)*ROW('Rework Log'!$A$3:$A$500))))</f>
        <v/>
      </c>
    </row>
    <row r="178" spans="1:44" x14ac:dyDescent="0.25">
      <c r="A178" s="1"/>
      <c r="B178" s="1"/>
      <c r="C178" s="1"/>
      <c r="D178" s="12" t="str">
        <f t="shared" ca="1" si="12"/>
        <v/>
      </c>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2" t="str">
        <f t="shared" si="13"/>
        <v/>
      </c>
      <c r="AI178" s="12" t="str">
        <f>IF($B178="","",COUNTIF('Rework Log'!$A$3:$A$500,$B178))</f>
        <v/>
      </c>
      <c r="AJ178" s="12" t="str">
        <f>IF(OR($B178="",$AR178=0),"",INDEX('Rework Log'!$C:$C,$AR178))</f>
        <v/>
      </c>
      <c r="AK178" s="12" t="str">
        <f>IF(OR($B178="",$AR178=0),"",INDEX('Rework Log'!$H:$H,$AR178))</f>
        <v/>
      </c>
      <c r="AL178" s="12" t="str">
        <f>IF(OR($B178="",$AR178=0),"",INDEX('Rework Log'!$G:$G,$AR178))</f>
        <v/>
      </c>
      <c r="AM178" s="12" t="str">
        <f t="shared" si="14"/>
        <v/>
      </c>
      <c r="AN178" s="12" t="str">
        <f t="shared" si="15"/>
        <v/>
      </c>
      <c r="AO178" s="12" t="str">
        <f t="shared" si="16"/>
        <v/>
      </c>
      <c r="AP178" s="12" t="str">
        <f t="shared" si="17"/>
        <v/>
      </c>
      <c r="AQ178" s="1"/>
      <c r="AR178" s="12" t="str">
        <f>IF($B178="","",SUMPRODUCT(MAX(('Rework Log'!$A$3:$A$500=$B178)*ROW('Rework Log'!$A$3:$A$500))))</f>
        <v/>
      </c>
    </row>
    <row r="179" spans="1:44" x14ac:dyDescent="0.25">
      <c r="A179" s="1"/>
      <c r="B179" s="1"/>
      <c r="C179" s="1"/>
      <c r="D179" s="12" t="str">
        <f t="shared" ca="1" si="12"/>
        <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2" t="str">
        <f t="shared" si="13"/>
        <v/>
      </c>
      <c r="AI179" s="12" t="str">
        <f>IF($B179="","",COUNTIF('Rework Log'!$A$3:$A$500,$B179))</f>
        <v/>
      </c>
      <c r="AJ179" s="12" t="str">
        <f>IF(OR($B179="",$AR179=0),"",INDEX('Rework Log'!$C:$C,$AR179))</f>
        <v/>
      </c>
      <c r="AK179" s="12" t="str">
        <f>IF(OR($B179="",$AR179=0),"",INDEX('Rework Log'!$H:$H,$AR179))</f>
        <v/>
      </c>
      <c r="AL179" s="12" t="str">
        <f>IF(OR($B179="",$AR179=0),"",INDEX('Rework Log'!$G:$G,$AR179))</f>
        <v/>
      </c>
      <c r="AM179" s="12" t="str">
        <f t="shared" si="14"/>
        <v/>
      </c>
      <c r="AN179" s="12" t="str">
        <f t="shared" si="15"/>
        <v/>
      </c>
      <c r="AO179" s="12" t="str">
        <f t="shared" si="16"/>
        <v/>
      </c>
      <c r="AP179" s="12" t="str">
        <f t="shared" si="17"/>
        <v/>
      </c>
      <c r="AQ179" s="1"/>
      <c r="AR179" s="12" t="str">
        <f>IF($B179="","",SUMPRODUCT(MAX(('Rework Log'!$A$3:$A$500=$B179)*ROW('Rework Log'!$A$3:$A$500))))</f>
        <v/>
      </c>
    </row>
    <row r="180" spans="1:44" x14ac:dyDescent="0.25">
      <c r="A180" s="1"/>
      <c r="B180" s="1"/>
      <c r="C180" s="1"/>
      <c r="D180" s="12" t="str">
        <f t="shared" ca="1" si="12"/>
        <v/>
      </c>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2" t="str">
        <f t="shared" si="13"/>
        <v/>
      </c>
      <c r="AI180" s="12" t="str">
        <f>IF($B180="","",COUNTIF('Rework Log'!$A$3:$A$500,$B180))</f>
        <v/>
      </c>
      <c r="AJ180" s="12" t="str">
        <f>IF(OR($B180="",$AR180=0),"",INDEX('Rework Log'!$C:$C,$AR180))</f>
        <v/>
      </c>
      <c r="AK180" s="12" t="str">
        <f>IF(OR($B180="",$AR180=0),"",INDEX('Rework Log'!$H:$H,$AR180))</f>
        <v/>
      </c>
      <c r="AL180" s="12" t="str">
        <f>IF(OR($B180="",$AR180=0),"",INDEX('Rework Log'!$G:$G,$AR180))</f>
        <v/>
      </c>
      <c r="AM180" s="12" t="str">
        <f t="shared" si="14"/>
        <v/>
      </c>
      <c r="AN180" s="12" t="str">
        <f t="shared" si="15"/>
        <v/>
      </c>
      <c r="AO180" s="12" t="str">
        <f t="shared" si="16"/>
        <v/>
      </c>
      <c r="AP180" s="12" t="str">
        <f t="shared" si="17"/>
        <v/>
      </c>
      <c r="AQ180" s="1"/>
      <c r="AR180" s="12" t="str">
        <f>IF($B180="","",SUMPRODUCT(MAX(('Rework Log'!$A$3:$A$500=$B180)*ROW('Rework Log'!$A$3:$A$500))))</f>
        <v/>
      </c>
    </row>
    <row r="181" spans="1:44" x14ac:dyDescent="0.25">
      <c r="A181" s="1"/>
      <c r="B181" s="1"/>
      <c r="C181" s="1"/>
      <c r="D181" s="12" t="str">
        <f t="shared" ca="1" si="12"/>
        <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2" t="str">
        <f t="shared" si="13"/>
        <v/>
      </c>
      <c r="AI181" s="12" t="str">
        <f>IF($B181="","",COUNTIF('Rework Log'!$A$3:$A$500,$B181))</f>
        <v/>
      </c>
      <c r="AJ181" s="12" t="str">
        <f>IF(OR($B181="",$AR181=0),"",INDEX('Rework Log'!$C:$C,$AR181))</f>
        <v/>
      </c>
      <c r="AK181" s="12" t="str">
        <f>IF(OR($B181="",$AR181=0),"",INDEX('Rework Log'!$H:$H,$AR181))</f>
        <v/>
      </c>
      <c r="AL181" s="12" t="str">
        <f>IF(OR($B181="",$AR181=0),"",INDEX('Rework Log'!$G:$G,$AR181))</f>
        <v/>
      </c>
      <c r="AM181" s="12" t="str">
        <f t="shared" si="14"/>
        <v/>
      </c>
      <c r="AN181" s="12" t="str">
        <f t="shared" si="15"/>
        <v/>
      </c>
      <c r="AO181" s="12" t="str">
        <f t="shared" si="16"/>
        <v/>
      </c>
      <c r="AP181" s="12" t="str">
        <f t="shared" si="17"/>
        <v/>
      </c>
      <c r="AQ181" s="1"/>
      <c r="AR181" s="12" t="str">
        <f>IF($B181="","",SUMPRODUCT(MAX(('Rework Log'!$A$3:$A$500=$B181)*ROW('Rework Log'!$A$3:$A$500))))</f>
        <v/>
      </c>
    </row>
    <row r="182" spans="1:44" x14ac:dyDescent="0.25">
      <c r="A182" s="1"/>
      <c r="B182" s="1"/>
      <c r="C182" s="1"/>
      <c r="D182" s="12" t="str">
        <f t="shared" ca="1" si="12"/>
        <v/>
      </c>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2" t="str">
        <f t="shared" si="13"/>
        <v/>
      </c>
      <c r="AI182" s="12" t="str">
        <f>IF($B182="","",COUNTIF('Rework Log'!$A$3:$A$500,$B182))</f>
        <v/>
      </c>
      <c r="AJ182" s="12" t="str">
        <f>IF(OR($B182="",$AR182=0),"",INDEX('Rework Log'!$C:$C,$AR182))</f>
        <v/>
      </c>
      <c r="AK182" s="12" t="str">
        <f>IF(OR($B182="",$AR182=0),"",INDEX('Rework Log'!$H:$H,$AR182))</f>
        <v/>
      </c>
      <c r="AL182" s="12" t="str">
        <f>IF(OR($B182="",$AR182=0),"",INDEX('Rework Log'!$G:$G,$AR182))</f>
        <v/>
      </c>
      <c r="AM182" s="12" t="str">
        <f t="shared" si="14"/>
        <v/>
      </c>
      <c r="AN182" s="12" t="str">
        <f t="shared" si="15"/>
        <v/>
      </c>
      <c r="AO182" s="12" t="str">
        <f t="shared" si="16"/>
        <v/>
      </c>
      <c r="AP182" s="12" t="str">
        <f t="shared" si="17"/>
        <v/>
      </c>
      <c r="AQ182" s="1"/>
      <c r="AR182" s="12" t="str">
        <f>IF($B182="","",SUMPRODUCT(MAX(('Rework Log'!$A$3:$A$500=$B182)*ROW('Rework Log'!$A$3:$A$500))))</f>
        <v/>
      </c>
    </row>
    <row r="183" spans="1:44" x14ac:dyDescent="0.25">
      <c r="A183" s="1"/>
      <c r="B183" s="1"/>
      <c r="C183" s="1"/>
      <c r="D183" s="12" t="str">
        <f t="shared" ca="1" si="12"/>
        <v/>
      </c>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2" t="str">
        <f t="shared" si="13"/>
        <v/>
      </c>
      <c r="AI183" s="12" t="str">
        <f>IF($B183="","",COUNTIF('Rework Log'!$A$3:$A$500,$B183))</f>
        <v/>
      </c>
      <c r="AJ183" s="12" t="str">
        <f>IF(OR($B183="",$AR183=0),"",INDEX('Rework Log'!$C:$C,$AR183))</f>
        <v/>
      </c>
      <c r="AK183" s="12" t="str">
        <f>IF(OR($B183="",$AR183=0),"",INDEX('Rework Log'!$H:$H,$AR183))</f>
        <v/>
      </c>
      <c r="AL183" s="12" t="str">
        <f>IF(OR($B183="",$AR183=0),"",INDEX('Rework Log'!$G:$G,$AR183))</f>
        <v/>
      </c>
      <c r="AM183" s="12" t="str">
        <f t="shared" si="14"/>
        <v/>
      </c>
      <c r="AN183" s="12" t="str">
        <f t="shared" si="15"/>
        <v/>
      </c>
      <c r="AO183" s="12" t="str">
        <f t="shared" si="16"/>
        <v/>
      </c>
      <c r="AP183" s="12" t="str">
        <f t="shared" si="17"/>
        <v/>
      </c>
      <c r="AQ183" s="1"/>
      <c r="AR183" s="12" t="str">
        <f>IF($B183="","",SUMPRODUCT(MAX(('Rework Log'!$A$3:$A$500=$B183)*ROW('Rework Log'!$A$3:$A$500))))</f>
        <v/>
      </c>
    </row>
    <row r="184" spans="1:44" x14ac:dyDescent="0.25">
      <c r="A184" s="1"/>
      <c r="B184" s="1"/>
      <c r="C184" s="1"/>
      <c r="D184" s="12" t="str">
        <f t="shared" ca="1" si="12"/>
        <v/>
      </c>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2" t="str">
        <f t="shared" si="13"/>
        <v/>
      </c>
      <c r="AI184" s="12" t="str">
        <f>IF($B184="","",COUNTIF('Rework Log'!$A$3:$A$500,$B184))</f>
        <v/>
      </c>
      <c r="AJ184" s="12" t="str">
        <f>IF(OR($B184="",$AR184=0),"",INDEX('Rework Log'!$C:$C,$AR184))</f>
        <v/>
      </c>
      <c r="AK184" s="12" t="str">
        <f>IF(OR($B184="",$AR184=0),"",INDEX('Rework Log'!$H:$H,$AR184))</f>
        <v/>
      </c>
      <c r="AL184" s="12" t="str">
        <f>IF(OR($B184="",$AR184=0),"",INDEX('Rework Log'!$G:$G,$AR184))</f>
        <v/>
      </c>
      <c r="AM184" s="12" t="str">
        <f t="shared" si="14"/>
        <v/>
      </c>
      <c r="AN184" s="12" t="str">
        <f t="shared" si="15"/>
        <v/>
      </c>
      <c r="AO184" s="12" t="str">
        <f t="shared" si="16"/>
        <v/>
      </c>
      <c r="AP184" s="12" t="str">
        <f t="shared" si="17"/>
        <v/>
      </c>
      <c r="AQ184" s="1"/>
      <c r="AR184" s="12" t="str">
        <f>IF($B184="","",SUMPRODUCT(MAX(('Rework Log'!$A$3:$A$500=$B184)*ROW('Rework Log'!$A$3:$A$500))))</f>
        <v/>
      </c>
    </row>
    <row r="185" spans="1:44" x14ac:dyDescent="0.25">
      <c r="A185" s="1"/>
      <c r="B185" s="1"/>
      <c r="C185" s="1"/>
      <c r="D185" s="12" t="str">
        <f t="shared" ca="1" si="12"/>
        <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2" t="str">
        <f t="shared" si="13"/>
        <v/>
      </c>
      <c r="AI185" s="12" t="str">
        <f>IF($B185="","",COUNTIF('Rework Log'!$A$3:$A$500,$B185))</f>
        <v/>
      </c>
      <c r="AJ185" s="12" t="str">
        <f>IF(OR($B185="",$AR185=0),"",INDEX('Rework Log'!$C:$C,$AR185))</f>
        <v/>
      </c>
      <c r="AK185" s="12" t="str">
        <f>IF(OR($B185="",$AR185=0),"",INDEX('Rework Log'!$H:$H,$AR185))</f>
        <v/>
      </c>
      <c r="AL185" s="12" t="str">
        <f>IF(OR($B185="",$AR185=0),"",INDEX('Rework Log'!$G:$G,$AR185))</f>
        <v/>
      </c>
      <c r="AM185" s="12" t="str">
        <f t="shared" si="14"/>
        <v/>
      </c>
      <c r="AN185" s="12" t="str">
        <f t="shared" si="15"/>
        <v/>
      </c>
      <c r="AO185" s="12" t="str">
        <f t="shared" si="16"/>
        <v/>
      </c>
      <c r="AP185" s="12" t="str">
        <f t="shared" si="17"/>
        <v/>
      </c>
      <c r="AQ185" s="1"/>
      <c r="AR185" s="12" t="str">
        <f>IF($B185="","",SUMPRODUCT(MAX(('Rework Log'!$A$3:$A$500=$B185)*ROW('Rework Log'!$A$3:$A$500))))</f>
        <v/>
      </c>
    </row>
    <row r="186" spans="1:44" x14ac:dyDescent="0.25">
      <c r="A186" s="1"/>
      <c r="B186" s="1"/>
      <c r="C186" s="1"/>
      <c r="D186" s="12" t="str">
        <f t="shared" ca="1" si="12"/>
        <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2" t="str">
        <f t="shared" si="13"/>
        <v/>
      </c>
      <c r="AI186" s="12" t="str">
        <f>IF($B186="","",COUNTIF('Rework Log'!$A$3:$A$500,$B186))</f>
        <v/>
      </c>
      <c r="AJ186" s="12" t="str">
        <f>IF(OR($B186="",$AR186=0),"",INDEX('Rework Log'!$C:$C,$AR186))</f>
        <v/>
      </c>
      <c r="AK186" s="12" t="str">
        <f>IF(OR($B186="",$AR186=0),"",INDEX('Rework Log'!$H:$H,$AR186))</f>
        <v/>
      </c>
      <c r="AL186" s="12" t="str">
        <f>IF(OR($B186="",$AR186=0),"",INDEX('Rework Log'!$G:$G,$AR186))</f>
        <v/>
      </c>
      <c r="AM186" s="12" t="str">
        <f t="shared" si="14"/>
        <v/>
      </c>
      <c r="AN186" s="12" t="str">
        <f t="shared" si="15"/>
        <v/>
      </c>
      <c r="AO186" s="12" t="str">
        <f t="shared" si="16"/>
        <v/>
      </c>
      <c r="AP186" s="12" t="str">
        <f t="shared" si="17"/>
        <v/>
      </c>
      <c r="AQ186" s="1"/>
      <c r="AR186" s="12" t="str">
        <f>IF($B186="","",SUMPRODUCT(MAX(('Rework Log'!$A$3:$A$500=$B186)*ROW('Rework Log'!$A$3:$A$500))))</f>
        <v/>
      </c>
    </row>
    <row r="187" spans="1:44" x14ac:dyDescent="0.25">
      <c r="A187" s="1"/>
      <c r="B187" s="1"/>
      <c r="C187" s="1"/>
      <c r="D187" s="12" t="str">
        <f t="shared" ca="1" si="12"/>
        <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2" t="str">
        <f t="shared" si="13"/>
        <v/>
      </c>
      <c r="AI187" s="12" t="str">
        <f>IF($B187="","",COUNTIF('Rework Log'!$A$3:$A$500,$B187))</f>
        <v/>
      </c>
      <c r="AJ187" s="12" t="str">
        <f>IF(OR($B187="",$AR187=0),"",INDEX('Rework Log'!$C:$C,$AR187))</f>
        <v/>
      </c>
      <c r="AK187" s="12" t="str">
        <f>IF(OR($B187="",$AR187=0),"",INDEX('Rework Log'!$H:$H,$AR187))</f>
        <v/>
      </c>
      <c r="AL187" s="12" t="str">
        <f>IF(OR($B187="",$AR187=0),"",INDEX('Rework Log'!$G:$G,$AR187))</f>
        <v/>
      </c>
      <c r="AM187" s="12" t="str">
        <f t="shared" si="14"/>
        <v/>
      </c>
      <c r="AN187" s="12" t="str">
        <f t="shared" si="15"/>
        <v/>
      </c>
      <c r="AO187" s="12" t="str">
        <f t="shared" si="16"/>
        <v/>
      </c>
      <c r="AP187" s="12" t="str">
        <f t="shared" si="17"/>
        <v/>
      </c>
      <c r="AQ187" s="1"/>
      <c r="AR187" s="12" t="str">
        <f>IF($B187="","",SUMPRODUCT(MAX(('Rework Log'!$A$3:$A$500=$B187)*ROW('Rework Log'!$A$3:$A$500))))</f>
        <v/>
      </c>
    </row>
    <row r="188" spans="1:44" x14ac:dyDescent="0.25">
      <c r="A188" s="1"/>
      <c r="B188" s="1"/>
      <c r="C188" s="1"/>
      <c r="D188" s="12" t="str">
        <f t="shared" ca="1" si="12"/>
        <v/>
      </c>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2" t="str">
        <f t="shared" si="13"/>
        <v/>
      </c>
      <c r="AI188" s="12" t="str">
        <f>IF($B188="","",COUNTIF('Rework Log'!$A$3:$A$500,$B188))</f>
        <v/>
      </c>
      <c r="AJ188" s="12" t="str">
        <f>IF(OR($B188="",$AR188=0),"",INDEX('Rework Log'!$C:$C,$AR188))</f>
        <v/>
      </c>
      <c r="AK188" s="12" t="str">
        <f>IF(OR($B188="",$AR188=0),"",INDEX('Rework Log'!$H:$H,$AR188))</f>
        <v/>
      </c>
      <c r="AL188" s="12" t="str">
        <f>IF(OR($B188="",$AR188=0),"",INDEX('Rework Log'!$G:$G,$AR188))</f>
        <v/>
      </c>
      <c r="AM188" s="12" t="str">
        <f t="shared" si="14"/>
        <v/>
      </c>
      <c r="AN188" s="12" t="str">
        <f t="shared" si="15"/>
        <v/>
      </c>
      <c r="AO188" s="12" t="str">
        <f t="shared" si="16"/>
        <v/>
      </c>
      <c r="AP188" s="12" t="str">
        <f t="shared" si="17"/>
        <v/>
      </c>
      <c r="AQ188" s="1"/>
      <c r="AR188" s="12" t="str">
        <f>IF($B188="","",SUMPRODUCT(MAX(('Rework Log'!$A$3:$A$500=$B188)*ROW('Rework Log'!$A$3:$A$500))))</f>
        <v/>
      </c>
    </row>
    <row r="189" spans="1:44" x14ac:dyDescent="0.25">
      <c r="A189" s="1"/>
      <c r="B189" s="1"/>
      <c r="C189" s="1"/>
      <c r="D189" s="12" t="str">
        <f t="shared" ca="1" si="12"/>
        <v/>
      </c>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2" t="str">
        <f t="shared" si="13"/>
        <v/>
      </c>
      <c r="AI189" s="12" t="str">
        <f>IF($B189="","",COUNTIF('Rework Log'!$A$3:$A$500,$B189))</f>
        <v/>
      </c>
      <c r="AJ189" s="12" t="str">
        <f>IF(OR($B189="",$AR189=0),"",INDEX('Rework Log'!$C:$C,$AR189))</f>
        <v/>
      </c>
      <c r="AK189" s="12" t="str">
        <f>IF(OR($B189="",$AR189=0),"",INDEX('Rework Log'!$H:$H,$AR189))</f>
        <v/>
      </c>
      <c r="AL189" s="12" t="str">
        <f>IF(OR($B189="",$AR189=0),"",INDEX('Rework Log'!$G:$G,$AR189))</f>
        <v/>
      </c>
      <c r="AM189" s="12" t="str">
        <f t="shared" si="14"/>
        <v/>
      </c>
      <c r="AN189" s="12" t="str">
        <f t="shared" si="15"/>
        <v/>
      </c>
      <c r="AO189" s="12" t="str">
        <f t="shared" si="16"/>
        <v/>
      </c>
      <c r="AP189" s="12" t="str">
        <f t="shared" si="17"/>
        <v/>
      </c>
      <c r="AQ189" s="1"/>
      <c r="AR189" s="12" t="str">
        <f>IF($B189="","",SUMPRODUCT(MAX(('Rework Log'!$A$3:$A$500=$B189)*ROW('Rework Log'!$A$3:$A$500))))</f>
        <v/>
      </c>
    </row>
    <row r="190" spans="1:44" x14ac:dyDescent="0.25">
      <c r="A190" s="1"/>
      <c r="B190" s="1"/>
      <c r="C190" s="1"/>
      <c r="D190" s="12" t="str">
        <f t="shared" ca="1" si="12"/>
        <v/>
      </c>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2" t="str">
        <f t="shared" si="13"/>
        <v/>
      </c>
      <c r="AI190" s="12" t="str">
        <f>IF($B190="","",COUNTIF('Rework Log'!$A$3:$A$500,$B190))</f>
        <v/>
      </c>
      <c r="AJ190" s="12" t="str">
        <f>IF(OR($B190="",$AR190=0),"",INDEX('Rework Log'!$C:$C,$AR190))</f>
        <v/>
      </c>
      <c r="AK190" s="12" t="str">
        <f>IF(OR($B190="",$AR190=0),"",INDEX('Rework Log'!$H:$H,$AR190))</f>
        <v/>
      </c>
      <c r="AL190" s="12" t="str">
        <f>IF(OR($B190="",$AR190=0),"",INDEX('Rework Log'!$G:$G,$AR190))</f>
        <v/>
      </c>
      <c r="AM190" s="12" t="str">
        <f t="shared" si="14"/>
        <v/>
      </c>
      <c r="AN190" s="12" t="str">
        <f t="shared" si="15"/>
        <v/>
      </c>
      <c r="AO190" s="12" t="str">
        <f t="shared" si="16"/>
        <v/>
      </c>
      <c r="AP190" s="12" t="str">
        <f t="shared" si="17"/>
        <v/>
      </c>
      <c r="AQ190" s="1"/>
      <c r="AR190" s="12" t="str">
        <f>IF($B190="","",SUMPRODUCT(MAX(('Rework Log'!$A$3:$A$500=$B190)*ROW('Rework Log'!$A$3:$A$500))))</f>
        <v/>
      </c>
    </row>
    <row r="191" spans="1:44" x14ac:dyDescent="0.25">
      <c r="A191" s="1"/>
      <c r="B191" s="1"/>
      <c r="C191" s="1"/>
      <c r="D191" s="12" t="str">
        <f t="shared" ca="1" si="12"/>
        <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2" t="str">
        <f t="shared" si="13"/>
        <v/>
      </c>
      <c r="AI191" s="12" t="str">
        <f>IF($B191="","",COUNTIF('Rework Log'!$A$3:$A$500,$B191))</f>
        <v/>
      </c>
      <c r="AJ191" s="12" t="str">
        <f>IF(OR($B191="",$AR191=0),"",INDEX('Rework Log'!$C:$C,$AR191))</f>
        <v/>
      </c>
      <c r="AK191" s="12" t="str">
        <f>IF(OR($B191="",$AR191=0),"",INDEX('Rework Log'!$H:$H,$AR191))</f>
        <v/>
      </c>
      <c r="AL191" s="12" t="str">
        <f>IF(OR($B191="",$AR191=0),"",INDEX('Rework Log'!$G:$G,$AR191))</f>
        <v/>
      </c>
      <c r="AM191" s="12" t="str">
        <f t="shared" si="14"/>
        <v/>
      </c>
      <c r="AN191" s="12" t="str">
        <f t="shared" si="15"/>
        <v/>
      </c>
      <c r="AO191" s="12" t="str">
        <f t="shared" si="16"/>
        <v/>
      </c>
      <c r="AP191" s="12" t="str">
        <f t="shared" si="17"/>
        <v/>
      </c>
      <c r="AQ191" s="1"/>
      <c r="AR191" s="12" t="str">
        <f>IF($B191="","",SUMPRODUCT(MAX(('Rework Log'!$A$3:$A$500=$B191)*ROW('Rework Log'!$A$3:$A$500))))</f>
        <v/>
      </c>
    </row>
    <row r="192" spans="1:44" x14ac:dyDescent="0.25">
      <c r="A192" s="1"/>
      <c r="B192" s="1"/>
      <c r="C192" s="1"/>
      <c r="D192" s="12" t="str">
        <f t="shared" ca="1" si="12"/>
        <v/>
      </c>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2" t="str">
        <f t="shared" si="13"/>
        <v/>
      </c>
      <c r="AI192" s="12" t="str">
        <f>IF($B192="","",COUNTIF('Rework Log'!$A$3:$A$500,$B192))</f>
        <v/>
      </c>
      <c r="AJ192" s="12" t="str">
        <f>IF(OR($B192="",$AR192=0),"",INDEX('Rework Log'!$C:$C,$AR192))</f>
        <v/>
      </c>
      <c r="AK192" s="12" t="str">
        <f>IF(OR($B192="",$AR192=0),"",INDEX('Rework Log'!$H:$H,$AR192))</f>
        <v/>
      </c>
      <c r="AL192" s="12" t="str">
        <f>IF(OR($B192="",$AR192=0),"",INDEX('Rework Log'!$G:$G,$AR192))</f>
        <v/>
      </c>
      <c r="AM192" s="12" t="str">
        <f t="shared" si="14"/>
        <v/>
      </c>
      <c r="AN192" s="12" t="str">
        <f t="shared" si="15"/>
        <v/>
      </c>
      <c r="AO192" s="12" t="str">
        <f t="shared" si="16"/>
        <v/>
      </c>
      <c r="AP192" s="12" t="str">
        <f t="shared" si="17"/>
        <v/>
      </c>
      <c r="AQ192" s="1"/>
      <c r="AR192" s="12" t="str">
        <f>IF($B192="","",SUMPRODUCT(MAX(('Rework Log'!$A$3:$A$500=$B192)*ROW('Rework Log'!$A$3:$A$500))))</f>
        <v/>
      </c>
    </row>
    <row r="193" spans="1:44" x14ac:dyDescent="0.25">
      <c r="A193" s="1"/>
      <c r="B193" s="1"/>
      <c r="C193" s="1"/>
      <c r="D193" s="12" t="str">
        <f t="shared" ca="1" si="12"/>
        <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2" t="str">
        <f t="shared" si="13"/>
        <v/>
      </c>
      <c r="AI193" s="12" t="str">
        <f>IF($B193="","",COUNTIF('Rework Log'!$A$3:$A$500,$B193))</f>
        <v/>
      </c>
      <c r="AJ193" s="12" t="str">
        <f>IF(OR($B193="",$AR193=0),"",INDEX('Rework Log'!$C:$C,$AR193))</f>
        <v/>
      </c>
      <c r="AK193" s="12" t="str">
        <f>IF(OR($B193="",$AR193=0),"",INDEX('Rework Log'!$H:$H,$AR193))</f>
        <v/>
      </c>
      <c r="AL193" s="12" t="str">
        <f>IF(OR($B193="",$AR193=0),"",INDEX('Rework Log'!$G:$G,$AR193))</f>
        <v/>
      </c>
      <c r="AM193" s="12" t="str">
        <f t="shared" si="14"/>
        <v/>
      </c>
      <c r="AN193" s="12" t="str">
        <f t="shared" si="15"/>
        <v/>
      </c>
      <c r="AO193" s="12" t="str">
        <f t="shared" si="16"/>
        <v/>
      </c>
      <c r="AP193" s="12" t="str">
        <f t="shared" si="17"/>
        <v/>
      </c>
      <c r="AQ193" s="1"/>
      <c r="AR193" s="12" t="str">
        <f>IF($B193="","",SUMPRODUCT(MAX(('Rework Log'!$A$3:$A$500=$B193)*ROW('Rework Log'!$A$3:$A$500))))</f>
        <v/>
      </c>
    </row>
    <row r="194" spans="1:44" x14ac:dyDescent="0.25">
      <c r="A194" s="1"/>
      <c r="B194" s="1"/>
      <c r="C194" s="1"/>
      <c r="D194" s="12" t="str">
        <f t="shared" ref="D194:D257" ca="1" si="18">IF($B194="","",IF(C194="NOT STARTED",IF(K194="","No plan date set",IF(K194&lt;TODAY(),"Review - planned start passed","On track")),IF(C194="DB Dev",IF(N194="","No target set",IF(AND(N194&lt;TODAY(),P194=""),"Overdue","On track")),IF(C194="PBI Dev",IF(R194="","No target set",IF(AND(R194&lt;TODAY(),T194=""),"Overdue","On track")),IF(C194="QA",IF(V194="","No target set",IF(AND(V194&lt;TODAY(),X194=""),"Overdue","On track")),IF(C194="DPO Approval",IF(Z194="","No target set",IF(Z194&lt;TODAY(),"Overdue","On track")),IF(C194="RELEASED IN PROD","Delivered","")))))))</f>
        <v/>
      </c>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2" t="str">
        <f t="shared" ref="AH194:AH257" si="19">IF($AF194="Yes",IF($AG194&lt;&gt;"","Blocked - needs "&amp;$AG194&amp;" to fix","Blocked at "&amp;$C194),"")</f>
        <v/>
      </c>
      <c r="AI194" s="12" t="str">
        <f>IF($B194="","",COUNTIF('Rework Log'!$A$3:$A$500,$B194))</f>
        <v/>
      </c>
      <c r="AJ194" s="12" t="str">
        <f>IF(OR($B194="",$AR194=0),"",INDEX('Rework Log'!$C:$C,$AR194))</f>
        <v/>
      </c>
      <c r="AK194" s="12" t="str">
        <f>IF(OR($B194="",$AR194=0),"",INDEX('Rework Log'!$H:$H,$AR194))</f>
        <v/>
      </c>
      <c r="AL194" s="12" t="str">
        <f>IF(OR($B194="",$AR194=0),"",INDEX('Rework Log'!$G:$G,$AR194))</f>
        <v/>
      </c>
      <c r="AM194" s="12" t="str">
        <f t="shared" ref="AM194:AM257" si="20">IF($B194="","",IF(Z194&lt;&gt;"","DPO Approval",IF(V194&lt;&gt;"","QA",IF(R194&lt;&gt;"","PBI Dev",IF(N194&lt;&gt;"","DB Dev","NOT STARTED")))))</f>
        <v/>
      </c>
      <c r="AN194" s="12" t="str">
        <f t="shared" ref="AN194:AN257" si="21">IF($B194="","",IF(IF($C194="NOT STARTED",0,IF($C194="DB Dev",1,IF($C194="PBI Dev",2,IF($C194="QA",3,IF($C194="DPO Approval",4,IF($C194="RELEASED IN PROD",5,-1))))))&lt;IF($AM194="NOT STARTED",0,IF($AM194="DB Dev",1,IF($AM194="PBI Dev",2,IF($AM194="QA",3,IF($AM194="DPO Approval",4,IF($AM194="RELEASED IN PROD",5,-1)))))),"Yes - was already at "&amp;$AM194&amp;", now back at "&amp;$C194,"No"))</f>
        <v/>
      </c>
      <c r="AO194" s="12" t="str">
        <f t="shared" ref="AO194:AO257" si="22">IF($B194="","",IF(AND(V194&lt;&gt;"",N194&lt;&gt;"",V194&lt;N194),"QA target is before DB Dev target",IF(AND(V194&lt;&gt;"",R194&lt;&gt;"",V194&lt;R194),"QA target is before PBI Dev target",IF(AND(Z194&lt;&gt;"",V194&lt;&gt;"",Z194&lt;V194),"DPO Approval target is before QA target",IF(AND(AC194&lt;&gt;"",Z194&lt;&gt;"",AC194&lt;Z194),"Confirmed Deployed date is before DPO Approval target","")))))</f>
        <v/>
      </c>
      <c r="AP194" s="12" t="str">
        <f t="shared" ref="AP194:AP257" si="23">IF($B194="","",IF(COUNTIF($B$2:$B$500,$B194)&gt;1,"Duplicate name - check row",""))</f>
        <v/>
      </c>
      <c r="AQ194" s="1"/>
      <c r="AR194" s="12" t="str">
        <f>IF($B194="","",SUMPRODUCT(MAX(('Rework Log'!$A$3:$A$500=$B194)*ROW('Rework Log'!$A$3:$A$500))))</f>
        <v/>
      </c>
    </row>
    <row r="195" spans="1:44" x14ac:dyDescent="0.25">
      <c r="A195" s="1"/>
      <c r="B195" s="1"/>
      <c r="C195" s="1"/>
      <c r="D195" s="12" t="str">
        <f t="shared" ca="1" si="18"/>
        <v/>
      </c>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2" t="str">
        <f t="shared" si="19"/>
        <v/>
      </c>
      <c r="AI195" s="12" t="str">
        <f>IF($B195="","",COUNTIF('Rework Log'!$A$3:$A$500,$B195))</f>
        <v/>
      </c>
      <c r="AJ195" s="12" t="str">
        <f>IF(OR($B195="",$AR195=0),"",INDEX('Rework Log'!$C:$C,$AR195))</f>
        <v/>
      </c>
      <c r="AK195" s="12" t="str">
        <f>IF(OR($B195="",$AR195=0),"",INDEX('Rework Log'!$H:$H,$AR195))</f>
        <v/>
      </c>
      <c r="AL195" s="12" t="str">
        <f>IF(OR($B195="",$AR195=0),"",INDEX('Rework Log'!$G:$G,$AR195))</f>
        <v/>
      </c>
      <c r="AM195" s="12" t="str">
        <f t="shared" si="20"/>
        <v/>
      </c>
      <c r="AN195" s="12" t="str">
        <f t="shared" si="21"/>
        <v/>
      </c>
      <c r="AO195" s="12" t="str">
        <f t="shared" si="22"/>
        <v/>
      </c>
      <c r="AP195" s="12" t="str">
        <f t="shared" si="23"/>
        <v/>
      </c>
      <c r="AQ195" s="1"/>
      <c r="AR195" s="12" t="str">
        <f>IF($B195="","",SUMPRODUCT(MAX(('Rework Log'!$A$3:$A$500=$B195)*ROW('Rework Log'!$A$3:$A$500))))</f>
        <v/>
      </c>
    </row>
    <row r="196" spans="1:44" x14ac:dyDescent="0.25">
      <c r="A196" s="1"/>
      <c r="B196" s="1"/>
      <c r="C196" s="1"/>
      <c r="D196" s="12" t="str">
        <f t="shared" ca="1" si="18"/>
        <v/>
      </c>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2" t="str">
        <f t="shared" si="19"/>
        <v/>
      </c>
      <c r="AI196" s="12" t="str">
        <f>IF($B196="","",COUNTIF('Rework Log'!$A$3:$A$500,$B196))</f>
        <v/>
      </c>
      <c r="AJ196" s="12" t="str">
        <f>IF(OR($B196="",$AR196=0),"",INDEX('Rework Log'!$C:$C,$AR196))</f>
        <v/>
      </c>
      <c r="AK196" s="12" t="str">
        <f>IF(OR($B196="",$AR196=0),"",INDEX('Rework Log'!$H:$H,$AR196))</f>
        <v/>
      </c>
      <c r="AL196" s="12" t="str">
        <f>IF(OR($B196="",$AR196=0),"",INDEX('Rework Log'!$G:$G,$AR196))</f>
        <v/>
      </c>
      <c r="AM196" s="12" t="str">
        <f t="shared" si="20"/>
        <v/>
      </c>
      <c r="AN196" s="12" t="str">
        <f t="shared" si="21"/>
        <v/>
      </c>
      <c r="AO196" s="12" t="str">
        <f t="shared" si="22"/>
        <v/>
      </c>
      <c r="AP196" s="12" t="str">
        <f t="shared" si="23"/>
        <v/>
      </c>
      <c r="AQ196" s="1"/>
      <c r="AR196" s="12" t="str">
        <f>IF($B196="","",SUMPRODUCT(MAX(('Rework Log'!$A$3:$A$500=$B196)*ROW('Rework Log'!$A$3:$A$500))))</f>
        <v/>
      </c>
    </row>
    <row r="197" spans="1:44" x14ac:dyDescent="0.25">
      <c r="A197" s="1"/>
      <c r="B197" s="1"/>
      <c r="C197" s="1"/>
      <c r="D197" s="12" t="str">
        <f t="shared" ca="1" si="18"/>
        <v/>
      </c>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2" t="str">
        <f t="shared" si="19"/>
        <v/>
      </c>
      <c r="AI197" s="12" t="str">
        <f>IF($B197="","",COUNTIF('Rework Log'!$A$3:$A$500,$B197))</f>
        <v/>
      </c>
      <c r="AJ197" s="12" t="str">
        <f>IF(OR($B197="",$AR197=0),"",INDEX('Rework Log'!$C:$C,$AR197))</f>
        <v/>
      </c>
      <c r="AK197" s="12" t="str">
        <f>IF(OR($B197="",$AR197=0),"",INDEX('Rework Log'!$H:$H,$AR197))</f>
        <v/>
      </c>
      <c r="AL197" s="12" t="str">
        <f>IF(OR($B197="",$AR197=0),"",INDEX('Rework Log'!$G:$G,$AR197))</f>
        <v/>
      </c>
      <c r="AM197" s="12" t="str">
        <f t="shared" si="20"/>
        <v/>
      </c>
      <c r="AN197" s="12" t="str">
        <f t="shared" si="21"/>
        <v/>
      </c>
      <c r="AO197" s="12" t="str">
        <f t="shared" si="22"/>
        <v/>
      </c>
      <c r="AP197" s="12" t="str">
        <f t="shared" si="23"/>
        <v/>
      </c>
      <c r="AQ197" s="1"/>
      <c r="AR197" s="12" t="str">
        <f>IF($B197="","",SUMPRODUCT(MAX(('Rework Log'!$A$3:$A$500=$B197)*ROW('Rework Log'!$A$3:$A$500))))</f>
        <v/>
      </c>
    </row>
    <row r="198" spans="1:44" x14ac:dyDescent="0.25">
      <c r="A198" s="1"/>
      <c r="B198" s="1"/>
      <c r="C198" s="1"/>
      <c r="D198" s="12" t="str">
        <f t="shared" ca="1" si="18"/>
        <v/>
      </c>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2" t="str">
        <f t="shared" si="19"/>
        <v/>
      </c>
      <c r="AI198" s="12" t="str">
        <f>IF($B198="","",COUNTIF('Rework Log'!$A$3:$A$500,$B198))</f>
        <v/>
      </c>
      <c r="AJ198" s="12" t="str">
        <f>IF(OR($B198="",$AR198=0),"",INDEX('Rework Log'!$C:$C,$AR198))</f>
        <v/>
      </c>
      <c r="AK198" s="12" t="str">
        <f>IF(OR($B198="",$AR198=0),"",INDEX('Rework Log'!$H:$H,$AR198))</f>
        <v/>
      </c>
      <c r="AL198" s="12" t="str">
        <f>IF(OR($B198="",$AR198=0),"",INDEX('Rework Log'!$G:$G,$AR198))</f>
        <v/>
      </c>
      <c r="AM198" s="12" t="str">
        <f t="shared" si="20"/>
        <v/>
      </c>
      <c r="AN198" s="12" t="str">
        <f t="shared" si="21"/>
        <v/>
      </c>
      <c r="AO198" s="12" t="str">
        <f t="shared" si="22"/>
        <v/>
      </c>
      <c r="AP198" s="12" t="str">
        <f t="shared" si="23"/>
        <v/>
      </c>
      <c r="AQ198" s="1"/>
      <c r="AR198" s="12" t="str">
        <f>IF($B198="","",SUMPRODUCT(MAX(('Rework Log'!$A$3:$A$500=$B198)*ROW('Rework Log'!$A$3:$A$500))))</f>
        <v/>
      </c>
    </row>
    <row r="199" spans="1:44" x14ac:dyDescent="0.25">
      <c r="A199" s="1"/>
      <c r="B199" s="1"/>
      <c r="C199" s="1"/>
      <c r="D199" s="12" t="str">
        <f t="shared" ca="1" si="18"/>
        <v/>
      </c>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2" t="str">
        <f t="shared" si="19"/>
        <v/>
      </c>
      <c r="AI199" s="12" t="str">
        <f>IF($B199="","",COUNTIF('Rework Log'!$A$3:$A$500,$B199))</f>
        <v/>
      </c>
      <c r="AJ199" s="12" t="str">
        <f>IF(OR($B199="",$AR199=0),"",INDEX('Rework Log'!$C:$C,$AR199))</f>
        <v/>
      </c>
      <c r="AK199" s="12" t="str">
        <f>IF(OR($B199="",$AR199=0),"",INDEX('Rework Log'!$H:$H,$AR199))</f>
        <v/>
      </c>
      <c r="AL199" s="12" t="str">
        <f>IF(OR($B199="",$AR199=0),"",INDEX('Rework Log'!$G:$G,$AR199))</f>
        <v/>
      </c>
      <c r="AM199" s="12" t="str">
        <f t="shared" si="20"/>
        <v/>
      </c>
      <c r="AN199" s="12" t="str">
        <f t="shared" si="21"/>
        <v/>
      </c>
      <c r="AO199" s="12" t="str">
        <f t="shared" si="22"/>
        <v/>
      </c>
      <c r="AP199" s="12" t="str">
        <f t="shared" si="23"/>
        <v/>
      </c>
      <c r="AQ199" s="1"/>
      <c r="AR199" s="12" t="str">
        <f>IF($B199="","",SUMPRODUCT(MAX(('Rework Log'!$A$3:$A$500=$B199)*ROW('Rework Log'!$A$3:$A$500))))</f>
        <v/>
      </c>
    </row>
    <row r="200" spans="1:44" x14ac:dyDescent="0.25">
      <c r="A200" s="1"/>
      <c r="B200" s="1"/>
      <c r="C200" s="1"/>
      <c r="D200" s="12" t="str">
        <f t="shared" ca="1" si="18"/>
        <v/>
      </c>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2" t="str">
        <f t="shared" si="19"/>
        <v/>
      </c>
      <c r="AI200" s="12" t="str">
        <f>IF($B200="","",COUNTIF('Rework Log'!$A$3:$A$500,$B200))</f>
        <v/>
      </c>
      <c r="AJ200" s="12" t="str">
        <f>IF(OR($B200="",$AR200=0),"",INDEX('Rework Log'!$C:$C,$AR200))</f>
        <v/>
      </c>
      <c r="AK200" s="12" t="str">
        <f>IF(OR($B200="",$AR200=0),"",INDEX('Rework Log'!$H:$H,$AR200))</f>
        <v/>
      </c>
      <c r="AL200" s="12" t="str">
        <f>IF(OR($B200="",$AR200=0),"",INDEX('Rework Log'!$G:$G,$AR200))</f>
        <v/>
      </c>
      <c r="AM200" s="12" t="str">
        <f t="shared" si="20"/>
        <v/>
      </c>
      <c r="AN200" s="12" t="str">
        <f t="shared" si="21"/>
        <v/>
      </c>
      <c r="AO200" s="12" t="str">
        <f t="shared" si="22"/>
        <v/>
      </c>
      <c r="AP200" s="12" t="str">
        <f t="shared" si="23"/>
        <v/>
      </c>
      <c r="AQ200" s="1"/>
      <c r="AR200" s="12" t="str">
        <f>IF($B200="","",SUMPRODUCT(MAX(('Rework Log'!$A$3:$A$500=$B200)*ROW('Rework Log'!$A$3:$A$500))))</f>
        <v/>
      </c>
    </row>
    <row r="201" spans="1:44" x14ac:dyDescent="0.25">
      <c r="A201" s="1"/>
      <c r="B201" s="1"/>
      <c r="C201" s="1"/>
      <c r="D201" s="12" t="str">
        <f t="shared" ca="1" si="18"/>
        <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2" t="str">
        <f t="shared" si="19"/>
        <v/>
      </c>
      <c r="AI201" s="12" t="str">
        <f>IF($B201="","",COUNTIF('Rework Log'!$A$3:$A$500,$B201))</f>
        <v/>
      </c>
      <c r="AJ201" s="12" t="str">
        <f>IF(OR($B201="",$AR201=0),"",INDEX('Rework Log'!$C:$C,$AR201))</f>
        <v/>
      </c>
      <c r="AK201" s="12" t="str">
        <f>IF(OR($B201="",$AR201=0),"",INDEX('Rework Log'!$H:$H,$AR201))</f>
        <v/>
      </c>
      <c r="AL201" s="12" t="str">
        <f>IF(OR($B201="",$AR201=0),"",INDEX('Rework Log'!$G:$G,$AR201))</f>
        <v/>
      </c>
      <c r="AM201" s="12" t="str">
        <f t="shared" si="20"/>
        <v/>
      </c>
      <c r="AN201" s="12" t="str">
        <f t="shared" si="21"/>
        <v/>
      </c>
      <c r="AO201" s="12" t="str">
        <f t="shared" si="22"/>
        <v/>
      </c>
      <c r="AP201" s="12" t="str">
        <f t="shared" si="23"/>
        <v/>
      </c>
      <c r="AQ201" s="1"/>
      <c r="AR201" s="12" t="str">
        <f>IF($B201="","",SUMPRODUCT(MAX(('Rework Log'!$A$3:$A$500=$B201)*ROW('Rework Log'!$A$3:$A$500))))</f>
        <v/>
      </c>
    </row>
    <row r="202" spans="1:44" x14ac:dyDescent="0.25">
      <c r="A202" s="1"/>
      <c r="B202" s="1"/>
      <c r="C202" s="1"/>
      <c r="D202" s="12" t="str">
        <f t="shared" ca="1" si="18"/>
        <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2" t="str">
        <f t="shared" si="19"/>
        <v/>
      </c>
      <c r="AI202" s="12" t="str">
        <f>IF($B202="","",COUNTIF('Rework Log'!$A$3:$A$500,$B202))</f>
        <v/>
      </c>
      <c r="AJ202" s="12" t="str">
        <f>IF(OR($B202="",$AR202=0),"",INDEX('Rework Log'!$C:$C,$AR202))</f>
        <v/>
      </c>
      <c r="AK202" s="12" t="str">
        <f>IF(OR($B202="",$AR202=0),"",INDEX('Rework Log'!$H:$H,$AR202))</f>
        <v/>
      </c>
      <c r="AL202" s="12" t="str">
        <f>IF(OR($B202="",$AR202=0),"",INDEX('Rework Log'!$G:$G,$AR202))</f>
        <v/>
      </c>
      <c r="AM202" s="12" t="str">
        <f t="shared" si="20"/>
        <v/>
      </c>
      <c r="AN202" s="12" t="str">
        <f t="shared" si="21"/>
        <v/>
      </c>
      <c r="AO202" s="12" t="str">
        <f t="shared" si="22"/>
        <v/>
      </c>
      <c r="AP202" s="12" t="str">
        <f t="shared" si="23"/>
        <v/>
      </c>
      <c r="AQ202" s="1"/>
      <c r="AR202" s="12" t="str">
        <f>IF($B202="","",SUMPRODUCT(MAX(('Rework Log'!$A$3:$A$500=$B202)*ROW('Rework Log'!$A$3:$A$500))))</f>
        <v/>
      </c>
    </row>
    <row r="203" spans="1:44" x14ac:dyDescent="0.25">
      <c r="A203" s="1"/>
      <c r="B203" s="1"/>
      <c r="C203" s="1"/>
      <c r="D203" s="12" t="str">
        <f t="shared" ca="1" si="18"/>
        <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2" t="str">
        <f t="shared" si="19"/>
        <v/>
      </c>
      <c r="AI203" s="12" t="str">
        <f>IF($B203="","",COUNTIF('Rework Log'!$A$3:$A$500,$B203))</f>
        <v/>
      </c>
      <c r="AJ203" s="12" t="str">
        <f>IF(OR($B203="",$AR203=0),"",INDEX('Rework Log'!$C:$C,$AR203))</f>
        <v/>
      </c>
      <c r="AK203" s="12" t="str">
        <f>IF(OR($B203="",$AR203=0),"",INDEX('Rework Log'!$H:$H,$AR203))</f>
        <v/>
      </c>
      <c r="AL203" s="12" t="str">
        <f>IF(OR($B203="",$AR203=0),"",INDEX('Rework Log'!$G:$G,$AR203))</f>
        <v/>
      </c>
      <c r="AM203" s="12" t="str">
        <f t="shared" si="20"/>
        <v/>
      </c>
      <c r="AN203" s="12" t="str">
        <f t="shared" si="21"/>
        <v/>
      </c>
      <c r="AO203" s="12" t="str">
        <f t="shared" si="22"/>
        <v/>
      </c>
      <c r="AP203" s="12" t="str">
        <f t="shared" si="23"/>
        <v/>
      </c>
      <c r="AQ203" s="1"/>
      <c r="AR203" s="12" t="str">
        <f>IF($B203="","",SUMPRODUCT(MAX(('Rework Log'!$A$3:$A$500=$B203)*ROW('Rework Log'!$A$3:$A$500))))</f>
        <v/>
      </c>
    </row>
    <row r="204" spans="1:44" x14ac:dyDescent="0.25">
      <c r="A204" s="1"/>
      <c r="B204" s="1"/>
      <c r="C204" s="1"/>
      <c r="D204" s="12" t="str">
        <f t="shared" ca="1" si="18"/>
        <v/>
      </c>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2" t="str">
        <f t="shared" si="19"/>
        <v/>
      </c>
      <c r="AI204" s="12" t="str">
        <f>IF($B204="","",COUNTIF('Rework Log'!$A$3:$A$500,$B204))</f>
        <v/>
      </c>
      <c r="AJ204" s="12" t="str">
        <f>IF(OR($B204="",$AR204=0),"",INDEX('Rework Log'!$C:$C,$AR204))</f>
        <v/>
      </c>
      <c r="AK204" s="12" t="str">
        <f>IF(OR($B204="",$AR204=0),"",INDEX('Rework Log'!$H:$H,$AR204))</f>
        <v/>
      </c>
      <c r="AL204" s="12" t="str">
        <f>IF(OR($B204="",$AR204=0),"",INDEX('Rework Log'!$G:$G,$AR204))</f>
        <v/>
      </c>
      <c r="AM204" s="12" t="str">
        <f t="shared" si="20"/>
        <v/>
      </c>
      <c r="AN204" s="12" t="str">
        <f t="shared" si="21"/>
        <v/>
      </c>
      <c r="AO204" s="12" t="str">
        <f t="shared" si="22"/>
        <v/>
      </c>
      <c r="AP204" s="12" t="str">
        <f t="shared" si="23"/>
        <v/>
      </c>
      <c r="AQ204" s="1"/>
      <c r="AR204" s="12" t="str">
        <f>IF($B204="","",SUMPRODUCT(MAX(('Rework Log'!$A$3:$A$500=$B204)*ROW('Rework Log'!$A$3:$A$500))))</f>
        <v/>
      </c>
    </row>
    <row r="205" spans="1:44" x14ac:dyDescent="0.25">
      <c r="A205" s="1"/>
      <c r="B205" s="1"/>
      <c r="C205" s="1"/>
      <c r="D205" s="12" t="str">
        <f t="shared" ca="1" si="18"/>
        <v/>
      </c>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2" t="str">
        <f t="shared" si="19"/>
        <v/>
      </c>
      <c r="AI205" s="12" t="str">
        <f>IF($B205="","",COUNTIF('Rework Log'!$A$3:$A$500,$B205))</f>
        <v/>
      </c>
      <c r="AJ205" s="12" t="str">
        <f>IF(OR($B205="",$AR205=0),"",INDEX('Rework Log'!$C:$C,$AR205))</f>
        <v/>
      </c>
      <c r="AK205" s="12" t="str">
        <f>IF(OR($B205="",$AR205=0),"",INDEX('Rework Log'!$H:$H,$AR205))</f>
        <v/>
      </c>
      <c r="AL205" s="12" t="str">
        <f>IF(OR($B205="",$AR205=0),"",INDEX('Rework Log'!$G:$G,$AR205))</f>
        <v/>
      </c>
      <c r="AM205" s="12" t="str">
        <f t="shared" si="20"/>
        <v/>
      </c>
      <c r="AN205" s="12" t="str">
        <f t="shared" si="21"/>
        <v/>
      </c>
      <c r="AO205" s="12" t="str">
        <f t="shared" si="22"/>
        <v/>
      </c>
      <c r="AP205" s="12" t="str">
        <f t="shared" si="23"/>
        <v/>
      </c>
      <c r="AQ205" s="1"/>
      <c r="AR205" s="12" t="str">
        <f>IF($B205="","",SUMPRODUCT(MAX(('Rework Log'!$A$3:$A$500=$B205)*ROW('Rework Log'!$A$3:$A$500))))</f>
        <v/>
      </c>
    </row>
    <row r="206" spans="1:44" x14ac:dyDescent="0.25">
      <c r="A206" s="1"/>
      <c r="B206" s="1"/>
      <c r="C206" s="1"/>
      <c r="D206" s="12" t="str">
        <f t="shared" ca="1" si="18"/>
        <v/>
      </c>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2" t="str">
        <f t="shared" si="19"/>
        <v/>
      </c>
      <c r="AI206" s="12" t="str">
        <f>IF($B206="","",COUNTIF('Rework Log'!$A$3:$A$500,$B206))</f>
        <v/>
      </c>
      <c r="AJ206" s="12" t="str">
        <f>IF(OR($B206="",$AR206=0),"",INDEX('Rework Log'!$C:$C,$AR206))</f>
        <v/>
      </c>
      <c r="AK206" s="12" t="str">
        <f>IF(OR($B206="",$AR206=0),"",INDEX('Rework Log'!$H:$H,$AR206))</f>
        <v/>
      </c>
      <c r="AL206" s="12" t="str">
        <f>IF(OR($B206="",$AR206=0),"",INDEX('Rework Log'!$G:$G,$AR206))</f>
        <v/>
      </c>
      <c r="AM206" s="12" t="str">
        <f t="shared" si="20"/>
        <v/>
      </c>
      <c r="AN206" s="12" t="str">
        <f t="shared" si="21"/>
        <v/>
      </c>
      <c r="AO206" s="12" t="str">
        <f t="shared" si="22"/>
        <v/>
      </c>
      <c r="AP206" s="12" t="str">
        <f t="shared" si="23"/>
        <v/>
      </c>
      <c r="AQ206" s="1"/>
      <c r="AR206" s="12" t="str">
        <f>IF($B206="","",SUMPRODUCT(MAX(('Rework Log'!$A$3:$A$500=$B206)*ROW('Rework Log'!$A$3:$A$500))))</f>
        <v/>
      </c>
    </row>
    <row r="207" spans="1:44" x14ac:dyDescent="0.25">
      <c r="A207" s="1"/>
      <c r="B207" s="1"/>
      <c r="C207" s="1"/>
      <c r="D207" s="12" t="str">
        <f t="shared" ca="1" si="18"/>
        <v/>
      </c>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2" t="str">
        <f t="shared" si="19"/>
        <v/>
      </c>
      <c r="AI207" s="12" t="str">
        <f>IF($B207="","",COUNTIF('Rework Log'!$A$3:$A$500,$B207))</f>
        <v/>
      </c>
      <c r="AJ207" s="12" t="str">
        <f>IF(OR($B207="",$AR207=0),"",INDEX('Rework Log'!$C:$C,$AR207))</f>
        <v/>
      </c>
      <c r="AK207" s="12" t="str">
        <f>IF(OR($B207="",$AR207=0),"",INDEX('Rework Log'!$H:$H,$AR207))</f>
        <v/>
      </c>
      <c r="AL207" s="12" t="str">
        <f>IF(OR($B207="",$AR207=0),"",INDEX('Rework Log'!$G:$G,$AR207))</f>
        <v/>
      </c>
      <c r="AM207" s="12" t="str">
        <f t="shared" si="20"/>
        <v/>
      </c>
      <c r="AN207" s="12" t="str">
        <f t="shared" si="21"/>
        <v/>
      </c>
      <c r="AO207" s="12" t="str">
        <f t="shared" si="22"/>
        <v/>
      </c>
      <c r="AP207" s="12" t="str">
        <f t="shared" si="23"/>
        <v/>
      </c>
      <c r="AQ207" s="1"/>
      <c r="AR207" s="12" t="str">
        <f>IF($B207="","",SUMPRODUCT(MAX(('Rework Log'!$A$3:$A$500=$B207)*ROW('Rework Log'!$A$3:$A$500))))</f>
        <v/>
      </c>
    </row>
    <row r="208" spans="1:44" x14ac:dyDescent="0.25">
      <c r="A208" s="1"/>
      <c r="B208" s="1"/>
      <c r="C208" s="1"/>
      <c r="D208" s="12" t="str">
        <f t="shared" ca="1" si="18"/>
        <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2" t="str">
        <f t="shared" si="19"/>
        <v/>
      </c>
      <c r="AI208" s="12" t="str">
        <f>IF($B208="","",COUNTIF('Rework Log'!$A$3:$A$500,$B208))</f>
        <v/>
      </c>
      <c r="AJ208" s="12" t="str">
        <f>IF(OR($B208="",$AR208=0),"",INDEX('Rework Log'!$C:$C,$AR208))</f>
        <v/>
      </c>
      <c r="AK208" s="12" t="str">
        <f>IF(OR($B208="",$AR208=0),"",INDEX('Rework Log'!$H:$H,$AR208))</f>
        <v/>
      </c>
      <c r="AL208" s="12" t="str">
        <f>IF(OR($B208="",$AR208=0),"",INDEX('Rework Log'!$G:$G,$AR208))</f>
        <v/>
      </c>
      <c r="AM208" s="12" t="str">
        <f t="shared" si="20"/>
        <v/>
      </c>
      <c r="AN208" s="12" t="str">
        <f t="shared" si="21"/>
        <v/>
      </c>
      <c r="AO208" s="12" t="str">
        <f t="shared" si="22"/>
        <v/>
      </c>
      <c r="AP208" s="12" t="str">
        <f t="shared" si="23"/>
        <v/>
      </c>
      <c r="AQ208" s="1"/>
      <c r="AR208" s="12" t="str">
        <f>IF($B208="","",SUMPRODUCT(MAX(('Rework Log'!$A$3:$A$500=$B208)*ROW('Rework Log'!$A$3:$A$500))))</f>
        <v/>
      </c>
    </row>
    <row r="209" spans="1:44" x14ac:dyDescent="0.25">
      <c r="A209" s="1"/>
      <c r="B209" s="1"/>
      <c r="C209" s="1"/>
      <c r="D209" s="12" t="str">
        <f t="shared" ca="1" si="18"/>
        <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2" t="str">
        <f t="shared" si="19"/>
        <v/>
      </c>
      <c r="AI209" s="12" t="str">
        <f>IF($B209="","",COUNTIF('Rework Log'!$A$3:$A$500,$B209))</f>
        <v/>
      </c>
      <c r="AJ209" s="12" t="str">
        <f>IF(OR($B209="",$AR209=0),"",INDEX('Rework Log'!$C:$C,$AR209))</f>
        <v/>
      </c>
      <c r="AK209" s="12" t="str">
        <f>IF(OR($B209="",$AR209=0),"",INDEX('Rework Log'!$H:$H,$AR209))</f>
        <v/>
      </c>
      <c r="AL209" s="12" t="str">
        <f>IF(OR($B209="",$AR209=0),"",INDEX('Rework Log'!$G:$G,$AR209))</f>
        <v/>
      </c>
      <c r="AM209" s="12" t="str">
        <f t="shared" si="20"/>
        <v/>
      </c>
      <c r="AN209" s="12" t="str">
        <f t="shared" si="21"/>
        <v/>
      </c>
      <c r="AO209" s="12" t="str">
        <f t="shared" si="22"/>
        <v/>
      </c>
      <c r="AP209" s="12" t="str">
        <f t="shared" si="23"/>
        <v/>
      </c>
      <c r="AQ209" s="1"/>
      <c r="AR209" s="12" t="str">
        <f>IF($B209="","",SUMPRODUCT(MAX(('Rework Log'!$A$3:$A$500=$B209)*ROW('Rework Log'!$A$3:$A$500))))</f>
        <v/>
      </c>
    </row>
    <row r="210" spans="1:44" x14ac:dyDescent="0.25">
      <c r="A210" s="1"/>
      <c r="B210" s="1"/>
      <c r="C210" s="1"/>
      <c r="D210" s="12" t="str">
        <f t="shared" ca="1" si="18"/>
        <v/>
      </c>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2" t="str">
        <f t="shared" si="19"/>
        <v/>
      </c>
      <c r="AI210" s="12" t="str">
        <f>IF($B210="","",COUNTIF('Rework Log'!$A$3:$A$500,$B210))</f>
        <v/>
      </c>
      <c r="AJ210" s="12" t="str">
        <f>IF(OR($B210="",$AR210=0),"",INDEX('Rework Log'!$C:$C,$AR210))</f>
        <v/>
      </c>
      <c r="AK210" s="12" t="str">
        <f>IF(OR($B210="",$AR210=0),"",INDEX('Rework Log'!$H:$H,$AR210))</f>
        <v/>
      </c>
      <c r="AL210" s="12" t="str">
        <f>IF(OR($B210="",$AR210=0),"",INDEX('Rework Log'!$G:$G,$AR210))</f>
        <v/>
      </c>
      <c r="AM210" s="12" t="str">
        <f t="shared" si="20"/>
        <v/>
      </c>
      <c r="AN210" s="12" t="str">
        <f t="shared" si="21"/>
        <v/>
      </c>
      <c r="AO210" s="12" t="str">
        <f t="shared" si="22"/>
        <v/>
      </c>
      <c r="AP210" s="12" t="str">
        <f t="shared" si="23"/>
        <v/>
      </c>
      <c r="AQ210" s="1"/>
      <c r="AR210" s="12" t="str">
        <f>IF($B210="","",SUMPRODUCT(MAX(('Rework Log'!$A$3:$A$500=$B210)*ROW('Rework Log'!$A$3:$A$500))))</f>
        <v/>
      </c>
    </row>
    <row r="211" spans="1:44" x14ac:dyDescent="0.25">
      <c r="A211" s="1"/>
      <c r="B211" s="1"/>
      <c r="C211" s="1"/>
      <c r="D211" s="12" t="str">
        <f t="shared" ca="1" si="18"/>
        <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2" t="str">
        <f t="shared" si="19"/>
        <v/>
      </c>
      <c r="AI211" s="12" t="str">
        <f>IF($B211="","",COUNTIF('Rework Log'!$A$3:$A$500,$B211))</f>
        <v/>
      </c>
      <c r="AJ211" s="12" t="str">
        <f>IF(OR($B211="",$AR211=0),"",INDEX('Rework Log'!$C:$C,$AR211))</f>
        <v/>
      </c>
      <c r="AK211" s="12" t="str">
        <f>IF(OR($B211="",$AR211=0),"",INDEX('Rework Log'!$H:$H,$AR211))</f>
        <v/>
      </c>
      <c r="AL211" s="12" t="str">
        <f>IF(OR($B211="",$AR211=0),"",INDEX('Rework Log'!$G:$G,$AR211))</f>
        <v/>
      </c>
      <c r="AM211" s="12" t="str">
        <f t="shared" si="20"/>
        <v/>
      </c>
      <c r="AN211" s="12" t="str">
        <f t="shared" si="21"/>
        <v/>
      </c>
      <c r="AO211" s="12" t="str">
        <f t="shared" si="22"/>
        <v/>
      </c>
      <c r="AP211" s="12" t="str">
        <f t="shared" si="23"/>
        <v/>
      </c>
      <c r="AQ211" s="1"/>
      <c r="AR211" s="12" t="str">
        <f>IF($B211="","",SUMPRODUCT(MAX(('Rework Log'!$A$3:$A$500=$B211)*ROW('Rework Log'!$A$3:$A$500))))</f>
        <v/>
      </c>
    </row>
    <row r="212" spans="1:44" x14ac:dyDescent="0.25">
      <c r="A212" s="1"/>
      <c r="B212" s="1"/>
      <c r="C212" s="1"/>
      <c r="D212" s="12" t="str">
        <f t="shared" ca="1" si="18"/>
        <v/>
      </c>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2" t="str">
        <f t="shared" si="19"/>
        <v/>
      </c>
      <c r="AI212" s="12" t="str">
        <f>IF($B212="","",COUNTIF('Rework Log'!$A$3:$A$500,$B212))</f>
        <v/>
      </c>
      <c r="AJ212" s="12" t="str">
        <f>IF(OR($B212="",$AR212=0),"",INDEX('Rework Log'!$C:$C,$AR212))</f>
        <v/>
      </c>
      <c r="AK212" s="12" t="str">
        <f>IF(OR($B212="",$AR212=0),"",INDEX('Rework Log'!$H:$H,$AR212))</f>
        <v/>
      </c>
      <c r="AL212" s="12" t="str">
        <f>IF(OR($B212="",$AR212=0),"",INDEX('Rework Log'!$G:$G,$AR212))</f>
        <v/>
      </c>
      <c r="AM212" s="12" t="str">
        <f t="shared" si="20"/>
        <v/>
      </c>
      <c r="AN212" s="12" t="str">
        <f t="shared" si="21"/>
        <v/>
      </c>
      <c r="AO212" s="12" t="str">
        <f t="shared" si="22"/>
        <v/>
      </c>
      <c r="AP212" s="12" t="str">
        <f t="shared" si="23"/>
        <v/>
      </c>
      <c r="AQ212" s="1"/>
      <c r="AR212" s="12" t="str">
        <f>IF($B212="","",SUMPRODUCT(MAX(('Rework Log'!$A$3:$A$500=$B212)*ROW('Rework Log'!$A$3:$A$500))))</f>
        <v/>
      </c>
    </row>
    <row r="213" spans="1:44" x14ac:dyDescent="0.25">
      <c r="A213" s="1"/>
      <c r="B213" s="1"/>
      <c r="C213" s="1"/>
      <c r="D213" s="12" t="str">
        <f t="shared" ca="1" si="18"/>
        <v/>
      </c>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2" t="str">
        <f t="shared" si="19"/>
        <v/>
      </c>
      <c r="AI213" s="12" t="str">
        <f>IF($B213="","",COUNTIF('Rework Log'!$A$3:$A$500,$B213))</f>
        <v/>
      </c>
      <c r="AJ213" s="12" t="str">
        <f>IF(OR($B213="",$AR213=0),"",INDEX('Rework Log'!$C:$C,$AR213))</f>
        <v/>
      </c>
      <c r="AK213" s="12" t="str">
        <f>IF(OR($B213="",$AR213=0),"",INDEX('Rework Log'!$H:$H,$AR213))</f>
        <v/>
      </c>
      <c r="AL213" s="12" t="str">
        <f>IF(OR($B213="",$AR213=0),"",INDEX('Rework Log'!$G:$G,$AR213))</f>
        <v/>
      </c>
      <c r="AM213" s="12" t="str">
        <f t="shared" si="20"/>
        <v/>
      </c>
      <c r="AN213" s="12" t="str">
        <f t="shared" si="21"/>
        <v/>
      </c>
      <c r="AO213" s="12" t="str">
        <f t="shared" si="22"/>
        <v/>
      </c>
      <c r="AP213" s="12" t="str">
        <f t="shared" si="23"/>
        <v/>
      </c>
      <c r="AQ213" s="1"/>
      <c r="AR213" s="12" t="str">
        <f>IF($B213="","",SUMPRODUCT(MAX(('Rework Log'!$A$3:$A$500=$B213)*ROW('Rework Log'!$A$3:$A$500))))</f>
        <v/>
      </c>
    </row>
    <row r="214" spans="1:44" x14ac:dyDescent="0.25">
      <c r="A214" s="1"/>
      <c r="B214" s="1"/>
      <c r="C214" s="1"/>
      <c r="D214" s="12" t="str">
        <f t="shared" ca="1" si="18"/>
        <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2" t="str">
        <f t="shared" si="19"/>
        <v/>
      </c>
      <c r="AI214" s="12" t="str">
        <f>IF($B214="","",COUNTIF('Rework Log'!$A$3:$A$500,$B214))</f>
        <v/>
      </c>
      <c r="AJ214" s="12" t="str">
        <f>IF(OR($B214="",$AR214=0),"",INDEX('Rework Log'!$C:$C,$AR214))</f>
        <v/>
      </c>
      <c r="AK214" s="12" t="str">
        <f>IF(OR($B214="",$AR214=0),"",INDEX('Rework Log'!$H:$H,$AR214))</f>
        <v/>
      </c>
      <c r="AL214" s="12" t="str">
        <f>IF(OR($B214="",$AR214=0),"",INDEX('Rework Log'!$G:$G,$AR214))</f>
        <v/>
      </c>
      <c r="AM214" s="12" t="str">
        <f t="shared" si="20"/>
        <v/>
      </c>
      <c r="AN214" s="12" t="str">
        <f t="shared" si="21"/>
        <v/>
      </c>
      <c r="AO214" s="12" t="str">
        <f t="shared" si="22"/>
        <v/>
      </c>
      <c r="AP214" s="12" t="str">
        <f t="shared" si="23"/>
        <v/>
      </c>
      <c r="AQ214" s="1"/>
      <c r="AR214" s="12" t="str">
        <f>IF($B214="","",SUMPRODUCT(MAX(('Rework Log'!$A$3:$A$500=$B214)*ROW('Rework Log'!$A$3:$A$500))))</f>
        <v/>
      </c>
    </row>
    <row r="215" spans="1:44" x14ac:dyDescent="0.25">
      <c r="A215" s="1"/>
      <c r="B215" s="1"/>
      <c r="C215" s="1"/>
      <c r="D215" s="12" t="str">
        <f t="shared" ca="1" si="18"/>
        <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2" t="str">
        <f t="shared" si="19"/>
        <v/>
      </c>
      <c r="AI215" s="12" t="str">
        <f>IF($B215="","",COUNTIF('Rework Log'!$A$3:$A$500,$B215))</f>
        <v/>
      </c>
      <c r="AJ215" s="12" t="str">
        <f>IF(OR($B215="",$AR215=0),"",INDEX('Rework Log'!$C:$C,$AR215))</f>
        <v/>
      </c>
      <c r="AK215" s="12" t="str">
        <f>IF(OR($B215="",$AR215=0),"",INDEX('Rework Log'!$H:$H,$AR215))</f>
        <v/>
      </c>
      <c r="AL215" s="12" t="str">
        <f>IF(OR($B215="",$AR215=0),"",INDEX('Rework Log'!$G:$G,$AR215))</f>
        <v/>
      </c>
      <c r="AM215" s="12" t="str">
        <f t="shared" si="20"/>
        <v/>
      </c>
      <c r="AN215" s="12" t="str">
        <f t="shared" si="21"/>
        <v/>
      </c>
      <c r="AO215" s="12" t="str">
        <f t="shared" si="22"/>
        <v/>
      </c>
      <c r="AP215" s="12" t="str">
        <f t="shared" si="23"/>
        <v/>
      </c>
      <c r="AQ215" s="1"/>
      <c r="AR215" s="12" t="str">
        <f>IF($B215="","",SUMPRODUCT(MAX(('Rework Log'!$A$3:$A$500=$B215)*ROW('Rework Log'!$A$3:$A$500))))</f>
        <v/>
      </c>
    </row>
    <row r="216" spans="1:44" x14ac:dyDescent="0.25">
      <c r="A216" s="1"/>
      <c r="B216" s="1"/>
      <c r="C216" s="1"/>
      <c r="D216" s="12" t="str">
        <f t="shared" ca="1" si="18"/>
        <v/>
      </c>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2" t="str">
        <f t="shared" si="19"/>
        <v/>
      </c>
      <c r="AI216" s="12" t="str">
        <f>IF($B216="","",COUNTIF('Rework Log'!$A$3:$A$500,$B216))</f>
        <v/>
      </c>
      <c r="AJ216" s="12" t="str">
        <f>IF(OR($B216="",$AR216=0),"",INDEX('Rework Log'!$C:$C,$AR216))</f>
        <v/>
      </c>
      <c r="AK216" s="12" t="str">
        <f>IF(OR($B216="",$AR216=0),"",INDEX('Rework Log'!$H:$H,$AR216))</f>
        <v/>
      </c>
      <c r="AL216" s="12" t="str">
        <f>IF(OR($B216="",$AR216=0),"",INDEX('Rework Log'!$G:$G,$AR216))</f>
        <v/>
      </c>
      <c r="AM216" s="12" t="str">
        <f t="shared" si="20"/>
        <v/>
      </c>
      <c r="AN216" s="12" t="str">
        <f t="shared" si="21"/>
        <v/>
      </c>
      <c r="AO216" s="12" t="str">
        <f t="shared" si="22"/>
        <v/>
      </c>
      <c r="AP216" s="12" t="str">
        <f t="shared" si="23"/>
        <v/>
      </c>
      <c r="AQ216" s="1"/>
      <c r="AR216" s="12" t="str">
        <f>IF($B216="","",SUMPRODUCT(MAX(('Rework Log'!$A$3:$A$500=$B216)*ROW('Rework Log'!$A$3:$A$500))))</f>
        <v/>
      </c>
    </row>
    <row r="217" spans="1:44" x14ac:dyDescent="0.25">
      <c r="A217" s="1"/>
      <c r="B217" s="1"/>
      <c r="C217" s="1"/>
      <c r="D217" s="12" t="str">
        <f t="shared" ca="1" si="18"/>
        <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2" t="str">
        <f t="shared" si="19"/>
        <v/>
      </c>
      <c r="AI217" s="12" t="str">
        <f>IF($B217="","",COUNTIF('Rework Log'!$A$3:$A$500,$B217))</f>
        <v/>
      </c>
      <c r="AJ217" s="12" t="str">
        <f>IF(OR($B217="",$AR217=0),"",INDEX('Rework Log'!$C:$C,$AR217))</f>
        <v/>
      </c>
      <c r="AK217" s="12" t="str">
        <f>IF(OR($B217="",$AR217=0),"",INDEX('Rework Log'!$H:$H,$AR217))</f>
        <v/>
      </c>
      <c r="AL217" s="12" t="str">
        <f>IF(OR($B217="",$AR217=0),"",INDEX('Rework Log'!$G:$G,$AR217))</f>
        <v/>
      </c>
      <c r="AM217" s="12" t="str">
        <f t="shared" si="20"/>
        <v/>
      </c>
      <c r="AN217" s="12" t="str">
        <f t="shared" si="21"/>
        <v/>
      </c>
      <c r="AO217" s="12" t="str">
        <f t="shared" si="22"/>
        <v/>
      </c>
      <c r="AP217" s="12" t="str">
        <f t="shared" si="23"/>
        <v/>
      </c>
      <c r="AQ217" s="1"/>
      <c r="AR217" s="12" t="str">
        <f>IF($B217="","",SUMPRODUCT(MAX(('Rework Log'!$A$3:$A$500=$B217)*ROW('Rework Log'!$A$3:$A$500))))</f>
        <v/>
      </c>
    </row>
    <row r="218" spans="1:44" x14ac:dyDescent="0.25">
      <c r="A218" s="1"/>
      <c r="B218" s="1"/>
      <c r="C218" s="1"/>
      <c r="D218" s="12" t="str">
        <f t="shared" ca="1" si="18"/>
        <v/>
      </c>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2" t="str">
        <f t="shared" si="19"/>
        <v/>
      </c>
      <c r="AI218" s="12" t="str">
        <f>IF($B218="","",COUNTIF('Rework Log'!$A$3:$A$500,$B218))</f>
        <v/>
      </c>
      <c r="AJ218" s="12" t="str">
        <f>IF(OR($B218="",$AR218=0),"",INDEX('Rework Log'!$C:$C,$AR218))</f>
        <v/>
      </c>
      <c r="AK218" s="12" t="str">
        <f>IF(OR($B218="",$AR218=0),"",INDEX('Rework Log'!$H:$H,$AR218))</f>
        <v/>
      </c>
      <c r="AL218" s="12" t="str">
        <f>IF(OR($B218="",$AR218=0),"",INDEX('Rework Log'!$G:$G,$AR218))</f>
        <v/>
      </c>
      <c r="AM218" s="12" t="str">
        <f t="shared" si="20"/>
        <v/>
      </c>
      <c r="AN218" s="12" t="str">
        <f t="shared" si="21"/>
        <v/>
      </c>
      <c r="AO218" s="12" t="str">
        <f t="shared" si="22"/>
        <v/>
      </c>
      <c r="AP218" s="12" t="str">
        <f t="shared" si="23"/>
        <v/>
      </c>
      <c r="AQ218" s="1"/>
      <c r="AR218" s="12" t="str">
        <f>IF($B218="","",SUMPRODUCT(MAX(('Rework Log'!$A$3:$A$500=$B218)*ROW('Rework Log'!$A$3:$A$500))))</f>
        <v/>
      </c>
    </row>
    <row r="219" spans="1:44" x14ac:dyDescent="0.25">
      <c r="A219" s="1"/>
      <c r="B219" s="1"/>
      <c r="C219" s="1"/>
      <c r="D219" s="12" t="str">
        <f t="shared" ca="1" si="18"/>
        <v/>
      </c>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2" t="str">
        <f t="shared" si="19"/>
        <v/>
      </c>
      <c r="AI219" s="12" t="str">
        <f>IF($B219="","",COUNTIF('Rework Log'!$A$3:$A$500,$B219))</f>
        <v/>
      </c>
      <c r="AJ219" s="12" t="str">
        <f>IF(OR($B219="",$AR219=0),"",INDEX('Rework Log'!$C:$C,$AR219))</f>
        <v/>
      </c>
      <c r="AK219" s="12" t="str">
        <f>IF(OR($B219="",$AR219=0),"",INDEX('Rework Log'!$H:$H,$AR219))</f>
        <v/>
      </c>
      <c r="AL219" s="12" t="str">
        <f>IF(OR($B219="",$AR219=0),"",INDEX('Rework Log'!$G:$G,$AR219))</f>
        <v/>
      </c>
      <c r="AM219" s="12" t="str">
        <f t="shared" si="20"/>
        <v/>
      </c>
      <c r="AN219" s="12" t="str">
        <f t="shared" si="21"/>
        <v/>
      </c>
      <c r="AO219" s="12" t="str">
        <f t="shared" si="22"/>
        <v/>
      </c>
      <c r="AP219" s="12" t="str">
        <f t="shared" si="23"/>
        <v/>
      </c>
      <c r="AQ219" s="1"/>
      <c r="AR219" s="12" t="str">
        <f>IF($B219="","",SUMPRODUCT(MAX(('Rework Log'!$A$3:$A$500=$B219)*ROW('Rework Log'!$A$3:$A$500))))</f>
        <v/>
      </c>
    </row>
    <row r="220" spans="1:44" x14ac:dyDescent="0.25">
      <c r="A220" s="1"/>
      <c r="B220" s="1"/>
      <c r="C220" s="1"/>
      <c r="D220" s="12" t="str">
        <f t="shared" ca="1" si="18"/>
        <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2" t="str">
        <f t="shared" si="19"/>
        <v/>
      </c>
      <c r="AI220" s="12" t="str">
        <f>IF($B220="","",COUNTIF('Rework Log'!$A$3:$A$500,$B220))</f>
        <v/>
      </c>
      <c r="AJ220" s="12" t="str">
        <f>IF(OR($B220="",$AR220=0),"",INDEX('Rework Log'!$C:$C,$AR220))</f>
        <v/>
      </c>
      <c r="AK220" s="12" t="str">
        <f>IF(OR($B220="",$AR220=0),"",INDEX('Rework Log'!$H:$H,$AR220))</f>
        <v/>
      </c>
      <c r="AL220" s="12" t="str">
        <f>IF(OR($B220="",$AR220=0),"",INDEX('Rework Log'!$G:$G,$AR220))</f>
        <v/>
      </c>
      <c r="AM220" s="12" t="str">
        <f t="shared" si="20"/>
        <v/>
      </c>
      <c r="AN220" s="12" t="str">
        <f t="shared" si="21"/>
        <v/>
      </c>
      <c r="AO220" s="12" t="str">
        <f t="shared" si="22"/>
        <v/>
      </c>
      <c r="AP220" s="12" t="str">
        <f t="shared" si="23"/>
        <v/>
      </c>
      <c r="AQ220" s="1"/>
      <c r="AR220" s="12" t="str">
        <f>IF($B220="","",SUMPRODUCT(MAX(('Rework Log'!$A$3:$A$500=$B220)*ROW('Rework Log'!$A$3:$A$500))))</f>
        <v/>
      </c>
    </row>
    <row r="221" spans="1:44" x14ac:dyDescent="0.25">
      <c r="A221" s="1"/>
      <c r="B221" s="1"/>
      <c r="C221" s="1"/>
      <c r="D221" s="12" t="str">
        <f t="shared" ca="1" si="18"/>
        <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2" t="str">
        <f t="shared" si="19"/>
        <v/>
      </c>
      <c r="AI221" s="12" t="str">
        <f>IF($B221="","",COUNTIF('Rework Log'!$A$3:$A$500,$B221))</f>
        <v/>
      </c>
      <c r="AJ221" s="12" t="str">
        <f>IF(OR($B221="",$AR221=0),"",INDEX('Rework Log'!$C:$C,$AR221))</f>
        <v/>
      </c>
      <c r="AK221" s="12" t="str">
        <f>IF(OR($B221="",$AR221=0),"",INDEX('Rework Log'!$H:$H,$AR221))</f>
        <v/>
      </c>
      <c r="AL221" s="12" t="str">
        <f>IF(OR($B221="",$AR221=0),"",INDEX('Rework Log'!$G:$G,$AR221))</f>
        <v/>
      </c>
      <c r="AM221" s="12" t="str">
        <f t="shared" si="20"/>
        <v/>
      </c>
      <c r="AN221" s="12" t="str">
        <f t="shared" si="21"/>
        <v/>
      </c>
      <c r="AO221" s="12" t="str">
        <f t="shared" si="22"/>
        <v/>
      </c>
      <c r="AP221" s="12" t="str">
        <f t="shared" si="23"/>
        <v/>
      </c>
      <c r="AQ221" s="1"/>
      <c r="AR221" s="12" t="str">
        <f>IF($B221="","",SUMPRODUCT(MAX(('Rework Log'!$A$3:$A$500=$B221)*ROW('Rework Log'!$A$3:$A$500))))</f>
        <v/>
      </c>
    </row>
    <row r="222" spans="1:44" x14ac:dyDescent="0.25">
      <c r="A222" s="1"/>
      <c r="B222" s="1"/>
      <c r="C222" s="1"/>
      <c r="D222" s="12" t="str">
        <f t="shared" ca="1" si="18"/>
        <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2" t="str">
        <f t="shared" si="19"/>
        <v/>
      </c>
      <c r="AI222" s="12" t="str">
        <f>IF($B222="","",COUNTIF('Rework Log'!$A$3:$A$500,$B222))</f>
        <v/>
      </c>
      <c r="AJ222" s="12" t="str">
        <f>IF(OR($B222="",$AR222=0),"",INDEX('Rework Log'!$C:$C,$AR222))</f>
        <v/>
      </c>
      <c r="AK222" s="12" t="str">
        <f>IF(OR($B222="",$AR222=0),"",INDEX('Rework Log'!$H:$H,$AR222))</f>
        <v/>
      </c>
      <c r="AL222" s="12" t="str">
        <f>IF(OR($B222="",$AR222=0),"",INDEX('Rework Log'!$G:$G,$AR222))</f>
        <v/>
      </c>
      <c r="AM222" s="12" t="str">
        <f t="shared" si="20"/>
        <v/>
      </c>
      <c r="AN222" s="12" t="str">
        <f t="shared" si="21"/>
        <v/>
      </c>
      <c r="AO222" s="12" t="str">
        <f t="shared" si="22"/>
        <v/>
      </c>
      <c r="AP222" s="12" t="str">
        <f t="shared" si="23"/>
        <v/>
      </c>
      <c r="AQ222" s="1"/>
      <c r="AR222" s="12" t="str">
        <f>IF($B222="","",SUMPRODUCT(MAX(('Rework Log'!$A$3:$A$500=$B222)*ROW('Rework Log'!$A$3:$A$500))))</f>
        <v/>
      </c>
    </row>
    <row r="223" spans="1:44" x14ac:dyDescent="0.25">
      <c r="A223" s="1"/>
      <c r="B223" s="1"/>
      <c r="C223" s="1"/>
      <c r="D223" s="12" t="str">
        <f t="shared" ca="1" si="18"/>
        <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2" t="str">
        <f t="shared" si="19"/>
        <v/>
      </c>
      <c r="AI223" s="12" t="str">
        <f>IF($B223="","",COUNTIF('Rework Log'!$A$3:$A$500,$B223))</f>
        <v/>
      </c>
      <c r="AJ223" s="12" t="str">
        <f>IF(OR($B223="",$AR223=0),"",INDEX('Rework Log'!$C:$C,$AR223))</f>
        <v/>
      </c>
      <c r="AK223" s="12" t="str">
        <f>IF(OR($B223="",$AR223=0),"",INDEX('Rework Log'!$H:$H,$AR223))</f>
        <v/>
      </c>
      <c r="AL223" s="12" t="str">
        <f>IF(OR($B223="",$AR223=0),"",INDEX('Rework Log'!$G:$G,$AR223))</f>
        <v/>
      </c>
      <c r="AM223" s="12" t="str">
        <f t="shared" si="20"/>
        <v/>
      </c>
      <c r="AN223" s="12" t="str">
        <f t="shared" si="21"/>
        <v/>
      </c>
      <c r="AO223" s="12" t="str">
        <f t="shared" si="22"/>
        <v/>
      </c>
      <c r="AP223" s="12" t="str">
        <f t="shared" si="23"/>
        <v/>
      </c>
      <c r="AQ223" s="1"/>
      <c r="AR223" s="12" t="str">
        <f>IF($B223="","",SUMPRODUCT(MAX(('Rework Log'!$A$3:$A$500=$B223)*ROW('Rework Log'!$A$3:$A$500))))</f>
        <v/>
      </c>
    </row>
    <row r="224" spans="1:44" x14ac:dyDescent="0.25">
      <c r="A224" s="1"/>
      <c r="B224" s="1"/>
      <c r="C224" s="1"/>
      <c r="D224" s="12" t="str">
        <f t="shared" ca="1" si="18"/>
        <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2" t="str">
        <f t="shared" si="19"/>
        <v/>
      </c>
      <c r="AI224" s="12" t="str">
        <f>IF($B224="","",COUNTIF('Rework Log'!$A$3:$A$500,$B224))</f>
        <v/>
      </c>
      <c r="AJ224" s="12" t="str">
        <f>IF(OR($B224="",$AR224=0),"",INDEX('Rework Log'!$C:$C,$AR224))</f>
        <v/>
      </c>
      <c r="AK224" s="12" t="str">
        <f>IF(OR($B224="",$AR224=0),"",INDEX('Rework Log'!$H:$H,$AR224))</f>
        <v/>
      </c>
      <c r="AL224" s="12" t="str">
        <f>IF(OR($B224="",$AR224=0),"",INDEX('Rework Log'!$G:$G,$AR224))</f>
        <v/>
      </c>
      <c r="AM224" s="12" t="str">
        <f t="shared" si="20"/>
        <v/>
      </c>
      <c r="AN224" s="12" t="str">
        <f t="shared" si="21"/>
        <v/>
      </c>
      <c r="AO224" s="12" t="str">
        <f t="shared" si="22"/>
        <v/>
      </c>
      <c r="AP224" s="12" t="str">
        <f t="shared" si="23"/>
        <v/>
      </c>
      <c r="AQ224" s="1"/>
      <c r="AR224" s="12" t="str">
        <f>IF($B224="","",SUMPRODUCT(MAX(('Rework Log'!$A$3:$A$500=$B224)*ROW('Rework Log'!$A$3:$A$500))))</f>
        <v/>
      </c>
    </row>
    <row r="225" spans="1:44" x14ac:dyDescent="0.25">
      <c r="A225" s="1"/>
      <c r="B225" s="1"/>
      <c r="C225" s="1"/>
      <c r="D225" s="12" t="str">
        <f t="shared" ca="1" si="18"/>
        <v/>
      </c>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2" t="str">
        <f t="shared" si="19"/>
        <v/>
      </c>
      <c r="AI225" s="12" t="str">
        <f>IF($B225="","",COUNTIF('Rework Log'!$A$3:$A$500,$B225))</f>
        <v/>
      </c>
      <c r="AJ225" s="12" t="str">
        <f>IF(OR($B225="",$AR225=0),"",INDEX('Rework Log'!$C:$C,$AR225))</f>
        <v/>
      </c>
      <c r="AK225" s="12" t="str">
        <f>IF(OR($B225="",$AR225=0),"",INDEX('Rework Log'!$H:$H,$AR225))</f>
        <v/>
      </c>
      <c r="AL225" s="12" t="str">
        <f>IF(OR($B225="",$AR225=0),"",INDEX('Rework Log'!$G:$G,$AR225))</f>
        <v/>
      </c>
      <c r="AM225" s="12" t="str">
        <f t="shared" si="20"/>
        <v/>
      </c>
      <c r="AN225" s="12" t="str">
        <f t="shared" si="21"/>
        <v/>
      </c>
      <c r="AO225" s="12" t="str">
        <f t="shared" si="22"/>
        <v/>
      </c>
      <c r="AP225" s="12" t="str">
        <f t="shared" si="23"/>
        <v/>
      </c>
      <c r="AQ225" s="1"/>
      <c r="AR225" s="12" t="str">
        <f>IF($B225="","",SUMPRODUCT(MAX(('Rework Log'!$A$3:$A$500=$B225)*ROW('Rework Log'!$A$3:$A$500))))</f>
        <v/>
      </c>
    </row>
    <row r="226" spans="1:44" x14ac:dyDescent="0.25">
      <c r="A226" s="1"/>
      <c r="B226" s="1"/>
      <c r="C226" s="1"/>
      <c r="D226" s="12" t="str">
        <f t="shared" ca="1" si="18"/>
        <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2" t="str">
        <f t="shared" si="19"/>
        <v/>
      </c>
      <c r="AI226" s="12" t="str">
        <f>IF($B226="","",COUNTIF('Rework Log'!$A$3:$A$500,$B226))</f>
        <v/>
      </c>
      <c r="AJ226" s="12" t="str">
        <f>IF(OR($B226="",$AR226=0),"",INDEX('Rework Log'!$C:$C,$AR226))</f>
        <v/>
      </c>
      <c r="AK226" s="12" t="str">
        <f>IF(OR($B226="",$AR226=0),"",INDEX('Rework Log'!$H:$H,$AR226))</f>
        <v/>
      </c>
      <c r="AL226" s="12" t="str">
        <f>IF(OR($B226="",$AR226=0),"",INDEX('Rework Log'!$G:$G,$AR226))</f>
        <v/>
      </c>
      <c r="AM226" s="12" t="str">
        <f t="shared" si="20"/>
        <v/>
      </c>
      <c r="AN226" s="12" t="str">
        <f t="shared" si="21"/>
        <v/>
      </c>
      <c r="AO226" s="12" t="str">
        <f t="shared" si="22"/>
        <v/>
      </c>
      <c r="AP226" s="12" t="str">
        <f t="shared" si="23"/>
        <v/>
      </c>
      <c r="AQ226" s="1"/>
      <c r="AR226" s="12" t="str">
        <f>IF($B226="","",SUMPRODUCT(MAX(('Rework Log'!$A$3:$A$500=$B226)*ROW('Rework Log'!$A$3:$A$500))))</f>
        <v/>
      </c>
    </row>
    <row r="227" spans="1:44" x14ac:dyDescent="0.25">
      <c r="A227" s="1"/>
      <c r="B227" s="1"/>
      <c r="C227" s="1"/>
      <c r="D227" s="12" t="str">
        <f t="shared" ca="1" si="18"/>
        <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2" t="str">
        <f t="shared" si="19"/>
        <v/>
      </c>
      <c r="AI227" s="12" t="str">
        <f>IF($B227="","",COUNTIF('Rework Log'!$A$3:$A$500,$B227))</f>
        <v/>
      </c>
      <c r="AJ227" s="12" t="str">
        <f>IF(OR($B227="",$AR227=0),"",INDEX('Rework Log'!$C:$C,$AR227))</f>
        <v/>
      </c>
      <c r="AK227" s="12" t="str">
        <f>IF(OR($B227="",$AR227=0),"",INDEX('Rework Log'!$H:$H,$AR227))</f>
        <v/>
      </c>
      <c r="AL227" s="12" t="str">
        <f>IF(OR($B227="",$AR227=0),"",INDEX('Rework Log'!$G:$G,$AR227))</f>
        <v/>
      </c>
      <c r="AM227" s="12" t="str">
        <f t="shared" si="20"/>
        <v/>
      </c>
      <c r="AN227" s="12" t="str">
        <f t="shared" si="21"/>
        <v/>
      </c>
      <c r="AO227" s="12" t="str">
        <f t="shared" si="22"/>
        <v/>
      </c>
      <c r="AP227" s="12" t="str">
        <f t="shared" si="23"/>
        <v/>
      </c>
      <c r="AQ227" s="1"/>
      <c r="AR227" s="12" t="str">
        <f>IF($B227="","",SUMPRODUCT(MAX(('Rework Log'!$A$3:$A$500=$B227)*ROW('Rework Log'!$A$3:$A$500))))</f>
        <v/>
      </c>
    </row>
    <row r="228" spans="1:44" x14ac:dyDescent="0.25">
      <c r="A228" s="1"/>
      <c r="B228" s="1"/>
      <c r="C228" s="1"/>
      <c r="D228" s="12" t="str">
        <f t="shared" ca="1" si="18"/>
        <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2" t="str">
        <f t="shared" si="19"/>
        <v/>
      </c>
      <c r="AI228" s="12" t="str">
        <f>IF($B228="","",COUNTIF('Rework Log'!$A$3:$A$500,$B228))</f>
        <v/>
      </c>
      <c r="AJ228" s="12" t="str">
        <f>IF(OR($B228="",$AR228=0),"",INDEX('Rework Log'!$C:$C,$AR228))</f>
        <v/>
      </c>
      <c r="AK228" s="12" t="str">
        <f>IF(OR($B228="",$AR228=0),"",INDEX('Rework Log'!$H:$H,$AR228))</f>
        <v/>
      </c>
      <c r="AL228" s="12" t="str">
        <f>IF(OR($B228="",$AR228=0),"",INDEX('Rework Log'!$G:$G,$AR228))</f>
        <v/>
      </c>
      <c r="AM228" s="12" t="str">
        <f t="shared" si="20"/>
        <v/>
      </c>
      <c r="AN228" s="12" t="str">
        <f t="shared" si="21"/>
        <v/>
      </c>
      <c r="AO228" s="12" t="str">
        <f t="shared" si="22"/>
        <v/>
      </c>
      <c r="AP228" s="12" t="str">
        <f t="shared" si="23"/>
        <v/>
      </c>
      <c r="AQ228" s="1"/>
      <c r="AR228" s="12" t="str">
        <f>IF($B228="","",SUMPRODUCT(MAX(('Rework Log'!$A$3:$A$500=$B228)*ROW('Rework Log'!$A$3:$A$500))))</f>
        <v/>
      </c>
    </row>
    <row r="229" spans="1:44" x14ac:dyDescent="0.25">
      <c r="A229" s="1"/>
      <c r="B229" s="1"/>
      <c r="C229" s="1"/>
      <c r="D229" s="12" t="str">
        <f t="shared" ca="1" si="18"/>
        <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2" t="str">
        <f t="shared" si="19"/>
        <v/>
      </c>
      <c r="AI229" s="12" t="str">
        <f>IF($B229="","",COUNTIF('Rework Log'!$A$3:$A$500,$B229))</f>
        <v/>
      </c>
      <c r="AJ229" s="12" t="str">
        <f>IF(OR($B229="",$AR229=0),"",INDEX('Rework Log'!$C:$C,$AR229))</f>
        <v/>
      </c>
      <c r="AK229" s="12" t="str">
        <f>IF(OR($B229="",$AR229=0),"",INDEX('Rework Log'!$H:$H,$AR229))</f>
        <v/>
      </c>
      <c r="AL229" s="12" t="str">
        <f>IF(OR($B229="",$AR229=0),"",INDEX('Rework Log'!$G:$G,$AR229))</f>
        <v/>
      </c>
      <c r="AM229" s="12" t="str">
        <f t="shared" si="20"/>
        <v/>
      </c>
      <c r="AN229" s="12" t="str">
        <f t="shared" si="21"/>
        <v/>
      </c>
      <c r="AO229" s="12" t="str">
        <f t="shared" si="22"/>
        <v/>
      </c>
      <c r="AP229" s="12" t="str">
        <f t="shared" si="23"/>
        <v/>
      </c>
      <c r="AQ229" s="1"/>
      <c r="AR229" s="12" t="str">
        <f>IF($B229="","",SUMPRODUCT(MAX(('Rework Log'!$A$3:$A$500=$B229)*ROW('Rework Log'!$A$3:$A$500))))</f>
        <v/>
      </c>
    </row>
    <row r="230" spans="1:44" x14ac:dyDescent="0.25">
      <c r="A230" s="1"/>
      <c r="B230" s="1"/>
      <c r="C230" s="1"/>
      <c r="D230" s="12" t="str">
        <f t="shared" ca="1" si="18"/>
        <v/>
      </c>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2" t="str">
        <f t="shared" si="19"/>
        <v/>
      </c>
      <c r="AI230" s="12" t="str">
        <f>IF($B230="","",COUNTIF('Rework Log'!$A$3:$A$500,$B230))</f>
        <v/>
      </c>
      <c r="AJ230" s="12" t="str">
        <f>IF(OR($B230="",$AR230=0),"",INDEX('Rework Log'!$C:$C,$AR230))</f>
        <v/>
      </c>
      <c r="AK230" s="12" t="str">
        <f>IF(OR($B230="",$AR230=0),"",INDEX('Rework Log'!$H:$H,$AR230))</f>
        <v/>
      </c>
      <c r="AL230" s="12" t="str">
        <f>IF(OR($B230="",$AR230=0),"",INDEX('Rework Log'!$G:$G,$AR230))</f>
        <v/>
      </c>
      <c r="AM230" s="12" t="str">
        <f t="shared" si="20"/>
        <v/>
      </c>
      <c r="AN230" s="12" t="str">
        <f t="shared" si="21"/>
        <v/>
      </c>
      <c r="AO230" s="12" t="str">
        <f t="shared" si="22"/>
        <v/>
      </c>
      <c r="AP230" s="12" t="str">
        <f t="shared" si="23"/>
        <v/>
      </c>
      <c r="AQ230" s="1"/>
      <c r="AR230" s="12" t="str">
        <f>IF($B230="","",SUMPRODUCT(MAX(('Rework Log'!$A$3:$A$500=$B230)*ROW('Rework Log'!$A$3:$A$500))))</f>
        <v/>
      </c>
    </row>
    <row r="231" spans="1:44" x14ac:dyDescent="0.25">
      <c r="A231" s="1"/>
      <c r="B231" s="1"/>
      <c r="C231" s="1"/>
      <c r="D231" s="12" t="str">
        <f t="shared" ca="1" si="18"/>
        <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2" t="str">
        <f t="shared" si="19"/>
        <v/>
      </c>
      <c r="AI231" s="12" t="str">
        <f>IF($B231="","",COUNTIF('Rework Log'!$A$3:$A$500,$B231))</f>
        <v/>
      </c>
      <c r="AJ231" s="12" t="str">
        <f>IF(OR($B231="",$AR231=0),"",INDEX('Rework Log'!$C:$C,$AR231))</f>
        <v/>
      </c>
      <c r="AK231" s="12" t="str">
        <f>IF(OR($B231="",$AR231=0),"",INDEX('Rework Log'!$H:$H,$AR231))</f>
        <v/>
      </c>
      <c r="AL231" s="12" t="str">
        <f>IF(OR($B231="",$AR231=0),"",INDEX('Rework Log'!$G:$G,$AR231))</f>
        <v/>
      </c>
      <c r="AM231" s="12" t="str">
        <f t="shared" si="20"/>
        <v/>
      </c>
      <c r="AN231" s="12" t="str">
        <f t="shared" si="21"/>
        <v/>
      </c>
      <c r="AO231" s="12" t="str">
        <f t="shared" si="22"/>
        <v/>
      </c>
      <c r="AP231" s="12" t="str">
        <f t="shared" si="23"/>
        <v/>
      </c>
      <c r="AQ231" s="1"/>
      <c r="AR231" s="12" t="str">
        <f>IF($B231="","",SUMPRODUCT(MAX(('Rework Log'!$A$3:$A$500=$B231)*ROW('Rework Log'!$A$3:$A$500))))</f>
        <v/>
      </c>
    </row>
    <row r="232" spans="1:44" x14ac:dyDescent="0.25">
      <c r="A232" s="1"/>
      <c r="B232" s="1"/>
      <c r="C232" s="1"/>
      <c r="D232" s="12" t="str">
        <f t="shared" ca="1" si="18"/>
        <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2" t="str">
        <f t="shared" si="19"/>
        <v/>
      </c>
      <c r="AI232" s="12" t="str">
        <f>IF($B232="","",COUNTIF('Rework Log'!$A$3:$A$500,$B232))</f>
        <v/>
      </c>
      <c r="AJ232" s="12" t="str">
        <f>IF(OR($B232="",$AR232=0),"",INDEX('Rework Log'!$C:$C,$AR232))</f>
        <v/>
      </c>
      <c r="AK232" s="12" t="str">
        <f>IF(OR($B232="",$AR232=0),"",INDEX('Rework Log'!$H:$H,$AR232))</f>
        <v/>
      </c>
      <c r="AL232" s="12" t="str">
        <f>IF(OR($B232="",$AR232=0),"",INDEX('Rework Log'!$G:$G,$AR232))</f>
        <v/>
      </c>
      <c r="AM232" s="12" t="str">
        <f t="shared" si="20"/>
        <v/>
      </c>
      <c r="AN232" s="12" t="str">
        <f t="shared" si="21"/>
        <v/>
      </c>
      <c r="AO232" s="12" t="str">
        <f t="shared" si="22"/>
        <v/>
      </c>
      <c r="AP232" s="12" t="str">
        <f t="shared" si="23"/>
        <v/>
      </c>
      <c r="AQ232" s="1"/>
      <c r="AR232" s="12" t="str">
        <f>IF($B232="","",SUMPRODUCT(MAX(('Rework Log'!$A$3:$A$500=$B232)*ROW('Rework Log'!$A$3:$A$500))))</f>
        <v/>
      </c>
    </row>
    <row r="233" spans="1:44" x14ac:dyDescent="0.25">
      <c r="A233" s="1"/>
      <c r="B233" s="1"/>
      <c r="C233" s="1"/>
      <c r="D233" s="12" t="str">
        <f t="shared" ca="1" si="18"/>
        <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2" t="str">
        <f t="shared" si="19"/>
        <v/>
      </c>
      <c r="AI233" s="12" t="str">
        <f>IF($B233="","",COUNTIF('Rework Log'!$A$3:$A$500,$B233))</f>
        <v/>
      </c>
      <c r="AJ233" s="12" t="str">
        <f>IF(OR($B233="",$AR233=0),"",INDEX('Rework Log'!$C:$C,$AR233))</f>
        <v/>
      </c>
      <c r="AK233" s="12" t="str">
        <f>IF(OR($B233="",$AR233=0),"",INDEX('Rework Log'!$H:$H,$AR233))</f>
        <v/>
      </c>
      <c r="AL233" s="12" t="str">
        <f>IF(OR($B233="",$AR233=0),"",INDEX('Rework Log'!$G:$G,$AR233))</f>
        <v/>
      </c>
      <c r="AM233" s="12" t="str">
        <f t="shared" si="20"/>
        <v/>
      </c>
      <c r="AN233" s="12" t="str">
        <f t="shared" si="21"/>
        <v/>
      </c>
      <c r="AO233" s="12" t="str">
        <f t="shared" si="22"/>
        <v/>
      </c>
      <c r="AP233" s="12" t="str">
        <f t="shared" si="23"/>
        <v/>
      </c>
      <c r="AQ233" s="1"/>
      <c r="AR233" s="12" t="str">
        <f>IF($B233="","",SUMPRODUCT(MAX(('Rework Log'!$A$3:$A$500=$B233)*ROW('Rework Log'!$A$3:$A$500))))</f>
        <v/>
      </c>
    </row>
    <row r="234" spans="1:44" x14ac:dyDescent="0.25">
      <c r="A234" s="1"/>
      <c r="B234" s="1"/>
      <c r="C234" s="1"/>
      <c r="D234" s="12" t="str">
        <f t="shared" ca="1" si="18"/>
        <v/>
      </c>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2" t="str">
        <f t="shared" si="19"/>
        <v/>
      </c>
      <c r="AI234" s="12" t="str">
        <f>IF($B234="","",COUNTIF('Rework Log'!$A$3:$A$500,$B234))</f>
        <v/>
      </c>
      <c r="AJ234" s="12" t="str">
        <f>IF(OR($B234="",$AR234=0),"",INDEX('Rework Log'!$C:$C,$AR234))</f>
        <v/>
      </c>
      <c r="AK234" s="12" t="str">
        <f>IF(OR($B234="",$AR234=0),"",INDEX('Rework Log'!$H:$H,$AR234))</f>
        <v/>
      </c>
      <c r="AL234" s="12" t="str">
        <f>IF(OR($B234="",$AR234=0),"",INDEX('Rework Log'!$G:$G,$AR234))</f>
        <v/>
      </c>
      <c r="AM234" s="12" t="str">
        <f t="shared" si="20"/>
        <v/>
      </c>
      <c r="AN234" s="12" t="str">
        <f t="shared" si="21"/>
        <v/>
      </c>
      <c r="AO234" s="12" t="str">
        <f t="shared" si="22"/>
        <v/>
      </c>
      <c r="AP234" s="12" t="str">
        <f t="shared" si="23"/>
        <v/>
      </c>
      <c r="AQ234" s="1"/>
      <c r="AR234" s="12" t="str">
        <f>IF($B234="","",SUMPRODUCT(MAX(('Rework Log'!$A$3:$A$500=$B234)*ROW('Rework Log'!$A$3:$A$500))))</f>
        <v/>
      </c>
    </row>
    <row r="235" spans="1:44" x14ac:dyDescent="0.25">
      <c r="A235" s="1"/>
      <c r="B235" s="1"/>
      <c r="C235" s="1"/>
      <c r="D235" s="12" t="str">
        <f t="shared" ca="1" si="18"/>
        <v/>
      </c>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2" t="str">
        <f t="shared" si="19"/>
        <v/>
      </c>
      <c r="AI235" s="12" t="str">
        <f>IF($B235="","",COUNTIF('Rework Log'!$A$3:$A$500,$B235))</f>
        <v/>
      </c>
      <c r="AJ235" s="12" t="str">
        <f>IF(OR($B235="",$AR235=0),"",INDEX('Rework Log'!$C:$C,$AR235))</f>
        <v/>
      </c>
      <c r="AK235" s="12" t="str">
        <f>IF(OR($B235="",$AR235=0),"",INDEX('Rework Log'!$H:$H,$AR235))</f>
        <v/>
      </c>
      <c r="AL235" s="12" t="str">
        <f>IF(OR($B235="",$AR235=0),"",INDEX('Rework Log'!$G:$G,$AR235))</f>
        <v/>
      </c>
      <c r="AM235" s="12" t="str">
        <f t="shared" si="20"/>
        <v/>
      </c>
      <c r="AN235" s="12" t="str">
        <f t="shared" si="21"/>
        <v/>
      </c>
      <c r="AO235" s="12" t="str">
        <f t="shared" si="22"/>
        <v/>
      </c>
      <c r="AP235" s="12" t="str">
        <f t="shared" si="23"/>
        <v/>
      </c>
      <c r="AQ235" s="1"/>
      <c r="AR235" s="12" t="str">
        <f>IF($B235="","",SUMPRODUCT(MAX(('Rework Log'!$A$3:$A$500=$B235)*ROW('Rework Log'!$A$3:$A$500))))</f>
        <v/>
      </c>
    </row>
    <row r="236" spans="1:44" x14ac:dyDescent="0.25">
      <c r="A236" s="1"/>
      <c r="B236" s="1"/>
      <c r="C236" s="1"/>
      <c r="D236" s="12" t="str">
        <f t="shared" ca="1" si="18"/>
        <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2" t="str">
        <f t="shared" si="19"/>
        <v/>
      </c>
      <c r="AI236" s="12" t="str">
        <f>IF($B236="","",COUNTIF('Rework Log'!$A$3:$A$500,$B236))</f>
        <v/>
      </c>
      <c r="AJ236" s="12" t="str">
        <f>IF(OR($B236="",$AR236=0),"",INDEX('Rework Log'!$C:$C,$AR236))</f>
        <v/>
      </c>
      <c r="AK236" s="12" t="str">
        <f>IF(OR($B236="",$AR236=0),"",INDEX('Rework Log'!$H:$H,$AR236))</f>
        <v/>
      </c>
      <c r="AL236" s="12" t="str">
        <f>IF(OR($B236="",$AR236=0),"",INDEX('Rework Log'!$G:$G,$AR236))</f>
        <v/>
      </c>
      <c r="AM236" s="12" t="str">
        <f t="shared" si="20"/>
        <v/>
      </c>
      <c r="AN236" s="12" t="str">
        <f t="shared" si="21"/>
        <v/>
      </c>
      <c r="AO236" s="12" t="str">
        <f t="shared" si="22"/>
        <v/>
      </c>
      <c r="AP236" s="12" t="str">
        <f t="shared" si="23"/>
        <v/>
      </c>
      <c r="AQ236" s="1"/>
      <c r="AR236" s="12" t="str">
        <f>IF($B236="","",SUMPRODUCT(MAX(('Rework Log'!$A$3:$A$500=$B236)*ROW('Rework Log'!$A$3:$A$500))))</f>
        <v/>
      </c>
    </row>
    <row r="237" spans="1:44" x14ac:dyDescent="0.25">
      <c r="A237" s="1"/>
      <c r="B237" s="1"/>
      <c r="C237" s="1"/>
      <c r="D237" s="12" t="str">
        <f t="shared" ca="1" si="18"/>
        <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2" t="str">
        <f t="shared" si="19"/>
        <v/>
      </c>
      <c r="AI237" s="12" t="str">
        <f>IF($B237="","",COUNTIF('Rework Log'!$A$3:$A$500,$B237))</f>
        <v/>
      </c>
      <c r="AJ237" s="12" t="str">
        <f>IF(OR($B237="",$AR237=0),"",INDEX('Rework Log'!$C:$C,$AR237))</f>
        <v/>
      </c>
      <c r="AK237" s="12" t="str">
        <f>IF(OR($B237="",$AR237=0),"",INDEX('Rework Log'!$H:$H,$AR237))</f>
        <v/>
      </c>
      <c r="AL237" s="12" t="str">
        <f>IF(OR($B237="",$AR237=0),"",INDEX('Rework Log'!$G:$G,$AR237))</f>
        <v/>
      </c>
      <c r="AM237" s="12" t="str">
        <f t="shared" si="20"/>
        <v/>
      </c>
      <c r="AN237" s="12" t="str">
        <f t="shared" si="21"/>
        <v/>
      </c>
      <c r="AO237" s="12" t="str">
        <f t="shared" si="22"/>
        <v/>
      </c>
      <c r="AP237" s="12" t="str">
        <f t="shared" si="23"/>
        <v/>
      </c>
      <c r="AQ237" s="1"/>
      <c r="AR237" s="12" t="str">
        <f>IF($B237="","",SUMPRODUCT(MAX(('Rework Log'!$A$3:$A$500=$B237)*ROW('Rework Log'!$A$3:$A$500))))</f>
        <v/>
      </c>
    </row>
    <row r="238" spans="1:44" x14ac:dyDescent="0.25">
      <c r="A238" s="1"/>
      <c r="B238" s="1"/>
      <c r="C238" s="1"/>
      <c r="D238" s="12" t="str">
        <f t="shared" ca="1" si="18"/>
        <v/>
      </c>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2" t="str">
        <f t="shared" si="19"/>
        <v/>
      </c>
      <c r="AI238" s="12" t="str">
        <f>IF($B238="","",COUNTIF('Rework Log'!$A$3:$A$500,$B238))</f>
        <v/>
      </c>
      <c r="AJ238" s="12" t="str">
        <f>IF(OR($B238="",$AR238=0),"",INDEX('Rework Log'!$C:$C,$AR238))</f>
        <v/>
      </c>
      <c r="AK238" s="12" t="str">
        <f>IF(OR($B238="",$AR238=0),"",INDEX('Rework Log'!$H:$H,$AR238))</f>
        <v/>
      </c>
      <c r="AL238" s="12" t="str">
        <f>IF(OR($B238="",$AR238=0),"",INDEX('Rework Log'!$G:$G,$AR238))</f>
        <v/>
      </c>
      <c r="AM238" s="12" t="str">
        <f t="shared" si="20"/>
        <v/>
      </c>
      <c r="AN238" s="12" t="str">
        <f t="shared" si="21"/>
        <v/>
      </c>
      <c r="AO238" s="12" t="str">
        <f t="shared" si="22"/>
        <v/>
      </c>
      <c r="AP238" s="12" t="str">
        <f t="shared" si="23"/>
        <v/>
      </c>
      <c r="AQ238" s="1"/>
      <c r="AR238" s="12" t="str">
        <f>IF($B238="","",SUMPRODUCT(MAX(('Rework Log'!$A$3:$A$500=$B238)*ROW('Rework Log'!$A$3:$A$500))))</f>
        <v/>
      </c>
    </row>
    <row r="239" spans="1:44" x14ac:dyDescent="0.25">
      <c r="A239" s="1"/>
      <c r="B239" s="1"/>
      <c r="C239" s="1"/>
      <c r="D239" s="12" t="str">
        <f t="shared" ca="1" si="18"/>
        <v/>
      </c>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2" t="str">
        <f t="shared" si="19"/>
        <v/>
      </c>
      <c r="AI239" s="12" t="str">
        <f>IF($B239="","",COUNTIF('Rework Log'!$A$3:$A$500,$B239))</f>
        <v/>
      </c>
      <c r="AJ239" s="12" t="str">
        <f>IF(OR($B239="",$AR239=0),"",INDEX('Rework Log'!$C:$C,$AR239))</f>
        <v/>
      </c>
      <c r="AK239" s="12" t="str">
        <f>IF(OR($B239="",$AR239=0),"",INDEX('Rework Log'!$H:$H,$AR239))</f>
        <v/>
      </c>
      <c r="AL239" s="12" t="str">
        <f>IF(OR($B239="",$AR239=0),"",INDEX('Rework Log'!$G:$G,$AR239))</f>
        <v/>
      </c>
      <c r="AM239" s="12" t="str">
        <f t="shared" si="20"/>
        <v/>
      </c>
      <c r="AN239" s="12" t="str">
        <f t="shared" si="21"/>
        <v/>
      </c>
      <c r="AO239" s="12" t="str">
        <f t="shared" si="22"/>
        <v/>
      </c>
      <c r="AP239" s="12" t="str">
        <f t="shared" si="23"/>
        <v/>
      </c>
      <c r="AQ239" s="1"/>
      <c r="AR239" s="12" t="str">
        <f>IF($B239="","",SUMPRODUCT(MAX(('Rework Log'!$A$3:$A$500=$B239)*ROW('Rework Log'!$A$3:$A$500))))</f>
        <v/>
      </c>
    </row>
    <row r="240" spans="1:44" x14ac:dyDescent="0.25">
      <c r="A240" s="1"/>
      <c r="B240" s="1"/>
      <c r="C240" s="1"/>
      <c r="D240" s="12" t="str">
        <f t="shared" ca="1" si="18"/>
        <v/>
      </c>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2" t="str">
        <f t="shared" si="19"/>
        <v/>
      </c>
      <c r="AI240" s="12" t="str">
        <f>IF($B240="","",COUNTIF('Rework Log'!$A$3:$A$500,$B240))</f>
        <v/>
      </c>
      <c r="AJ240" s="12" t="str">
        <f>IF(OR($B240="",$AR240=0),"",INDEX('Rework Log'!$C:$C,$AR240))</f>
        <v/>
      </c>
      <c r="AK240" s="12" t="str">
        <f>IF(OR($B240="",$AR240=0),"",INDEX('Rework Log'!$H:$H,$AR240))</f>
        <v/>
      </c>
      <c r="AL240" s="12" t="str">
        <f>IF(OR($B240="",$AR240=0),"",INDEX('Rework Log'!$G:$G,$AR240))</f>
        <v/>
      </c>
      <c r="AM240" s="12" t="str">
        <f t="shared" si="20"/>
        <v/>
      </c>
      <c r="AN240" s="12" t="str">
        <f t="shared" si="21"/>
        <v/>
      </c>
      <c r="AO240" s="12" t="str">
        <f t="shared" si="22"/>
        <v/>
      </c>
      <c r="AP240" s="12" t="str">
        <f t="shared" si="23"/>
        <v/>
      </c>
      <c r="AQ240" s="1"/>
      <c r="AR240" s="12" t="str">
        <f>IF($B240="","",SUMPRODUCT(MAX(('Rework Log'!$A$3:$A$500=$B240)*ROW('Rework Log'!$A$3:$A$500))))</f>
        <v/>
      </c>
    </row>
    <row r="241" spans="1:44" x14ac:dyDescent="0.25">
      <c r="A241" s="1"/>
      <c r="B241" s="1"/>
      <c r="C241" s="1"/>
      <c r="D241" s="12" t="str">
        <f t="shared" ca="1" si="18"/>
        <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2" t="str">
        <f t="shared" si="19"/>
        <v/>
      </c>
      <c r="AI241" s="12" t="str">
        <f>IF($B241="","",COUNTIF('Rework Log'!$A$3:$A$500,$B241))</f>
        <v/>
      </c>
      <c r="AJ241" s="12" t="str">
        <f>IF(OR($B241="",$AR241=0),"",INDEX('Rework Log'!$C:$C,$AR241))</f>
        <v/>
      </c>
      <c r="AK241" s="12" t="str">
        <f>IF(OR($B241="",$AR241=0),"",INDEX('Rework Log'!$H:$H,$AR241))</f>
        <v/>
      </c>
      <c r="AL241" s="12" t="str">
        <f>IF(OR($B241="",$AR241=0),"",INDEX('Rework Log'!$G:$G,$AR241))</f>
        <v/>
      </c>
      <c r="AM241" s="12" t="str">
        <f t="shared" si="20"/>
        <v/>
      </c>
      <c r="AN241" s="12" t="str">
        <f t="shared" si="21"/>
        <v/>
      </c>
      <c r="AO241" s="12" t="str">
        <f t="shared" si="22"/>
        <v/>
      </c>
      <c r="AP241" s="12" t="str">
        <f t="shared" si="23"/>
        <v/>
      </c>
      <c r="AQ241" s="1"/>
      <c r="AR241" s="12" t="str">
        <f>IF($B241="","",SUMPRODUCT(MAX(('Rework Log'!$A$3:$A$500=$B241)*ROW('Rework Log'!$A$3:$A$500))))</f>
        <v/>
      </c>
    </row>
    <row r="242" spans="1:44" x14ac:dyDescent="0.25">
      <c r="A242" s="1"/>
      <c r="B242" s="1"/>
      <c r="C242" s="1"/>
      <c r="D242" s="12" t="str">
        <f t="shared" ca="1" si="18"/>
        <v/>
      </c>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2" t="str">
        <f t="shared" si="19"/>
        <v/>
      </c>
      <c r="AI242" s="12" t="str">
        <f>IF($B242="","",COUNTIF('Rework Log'!$A$3:$A$500,$B242))</f>
        <v/>
      </c>
      <c r="AJ242" s="12" t="str">
        <f>IF(OR($B242="",$AR242=0),"",INDEX('Rework Log'!$C:$C,$AR242))</f>
        <v/>
      </c>
      <c r="AK242" s="12" t="str">
        <f>IF(OR($B242="",$AR242=0),"",INDEX('Rework Log'!$H:$H,$AR242))</f>
        <v/>
      </c>
      <c r="AL242" s="12" t="str">
        <f>IF(OR($B242="",$AR242=0),"",INDEX('Rework Log'!$G:$G,$AR242))</f>
        <v/>
      </c>
      <c r="AM242" s="12" t="str">
        <f t="shared" si="20"/>
        <v/>
      </c>
      <c r="AN242" s="12" t="str">
        <f t="shared" si="21"/>
        <v/>
      </c>
      <c r="AO242" s="12" t="str">
        <f t="shared" si="22"/>
        <v/>
      </c>
      <c r="AP242" s="12" t="str">
        <f t="shared" si="23"/>
        <v/>
      </c>
      <c r="AQ242" s="1"/>
      <c r="AR242" s="12" t="str">
        <f>IF($B242="","",SUMPRODUCT(MAX(('Rework Log'!$A$3:$A$500=$B242)*ROW('Rework Log'!$A$3:$A$500))))</f>
        <v/>
      </c>
    </row>
    <row r="243" spans="1:44" x14ac:dyDescent="0.25">
      <c r="A243" s="1"/>
      <c r="B243" s="1"/>
      <c r="C243" s="1"/>
      <c r="D243" s="12" t="str">
        <f t="shared" ca="1" si="18"/>
        <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2" t="str">
        <f t="shared" si="19"/>
        <v/>
      </c>
      <c r="AI243" s="12" t="str">
        <f>IF($B243="","",COUNTIF('Rework Log'!$A$3:$A$500,$B243))</f>
        <v/>
      </c>
      <c r="AJ243" s="12" t="str">
        <f>IF(OR($B243="",$AR243=0),"",INDEX('Rework Log'!$C:$C,$AR243))</f>
        <v/>
      </c>
      <c r="AK243" s="12" t="str">
        <f>IF(OR($B243="",$AR243=0),"",INDEX('Rework Log'!$H:$H,$AR243))</f>
        <v/>
      </c>
      <c r="AL243" s="12" t="str">
        <f>IF(OR($B243="",$AR243=0),"",INDEX('Rework Log'!$G:$G,$AR243))</f>
        <v/>
      </c>
      <c r="AM243" s="12" t="str">
        <f t="shared" si="20"/>
        <v/>
      </c>
      <c r="AN243" s="12" t="str">
        <f t="shared" si="21"/>
        <v/>
      </c>
      <c r="AO243" s="12" t="str">
        <f t="shared" si="22"/>
        <v/>
      </c>
      <c r="AP243" s="12" t="str">
        <f t="shared" si="23"/>
        <v/>
      </c>
      <c r="AQ243" s="1"/>
      <c r="AR243" s="12" t="str">
        <f>IF($B243="","",SUMPRODUCT(MAX(('Rework Log'!$A$3:$A$500=$B243)*ROW('Rework Log'!$A$3:$A$500))))</f>
        <v/>
      </c>
    </row>
    <row r="244" spans="1:44" x14ac:dyDescent="0.25">
      <c r="A244" s="1"/>
      <c r="B244" s="1"/>
      <c r="C244" s="1"/>
      <c r="D244" s="12" t="str">
        <f t="shared" ca="1" si="18"/>
        <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2" t="str">
        <f t="shared" si="19"/>
        <v/>
      </c>
      <c r="AI244" s="12" t="str">
        <f>IF($B244="","",COUNTIF('Rework Log'!$A$3:$A$500,$B244))</f>
        <v/>
      </c>
      <c r="AJ244" s="12" t="str">
        <f>IF(OR($B244="",$AR244=0),"",INDEX('Rework Log'!$C:$C,$AR244))</f>
        <v/>
      </c>
      <c r="AK244" s="12" t="str">
        <f>IF(OR($B244="",$AR244=0),"",INDEX('Rework Log'!$H:$H,$AR244))</f>
        <v/>
      </c>
      <c r="AL244" s="12" t="str">
        <f>IF(OR($B244="",$AR244=0),"",INDEX('Rework Log'!$G:$G,$AR244))</f>
        <v/>
      </c>
      <c r="AM244" s="12" t="str">
        <f t="shared" si="20"/>
        <v/>
      </c>
      <c r="AN244" s="12" t="str">
        <f t="shared" si="21"/>
        <v/>
      </c>
      <c r="AO244" s="12" t="str">
        <f t="shared" si="22"/>
        <v/>
      </c>
      <c r="AP244" s="12" t="str">
        <f t="shared" si="23"/>
        <v/>
      </c>
      <c r="AQ244" s="1"/>
      <c r="AR244" s="12" t="str">
        <f>IF($B244="","",SUMPRODUCT(MAX(('Rework Log'!$A$3:$A$500=$B244)*ROW('Rework Log'!$A$3:$A$500))))</f>
        <v/>
      </c>
    </row>
    <row r="245" spans="1:44" x14ac:dyDescent="0.25">
      <c r="A245" s="1"/>
      <c r="B245" s="1"/>
      <c r="C245" s="1"/>
      <c r="D245" s="12" t="str">
        <f t="shared" ca="1" si="18"/>
        <v/>
      </c>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2" t="str">
        <f t="shared" si="19"/>
        <v/>
      </c>
      <c r="AI245" s="12" t="str">
        <f>IF($B245="","",COUNTIF('Rework Log'!$A$3:$A$500,$B245))</f>
        <v/>
      </c>
      <c r="AJ245" s="12" t="str">
        <f>IF(OR($B245="",$AR245=0),"",INDEX('Rework Log'!$C:$C,$AR245))</f>
        <v/>
      </c>
      <c r="AK245" s="12" t="str">
        <f>IF(OR($B245="",$AR245=0),"",INDEX('Rework Log'!$H:$H,$AR245))</f>
        <v/>
      </c>
      <c r="AL245" s="12" t="str">
        <f>IF(OR($B245="",$AR245=0),"",INDEX('Rework Log'!$G:$G,$AR245))</f>
        <v/>
      </c>
      <c r="AM245" s="12" t="str">
        <f t="shared" si="20"/>
        <v/>
      </c>
      <c r="AN245" s="12" t="str">
        <f t="shared" si="21"/>
        <v/>
      </c>
      <c r="AO245" s="12" t="str">
        <f t="shared" si="22"/>
        <v/>
      </c>
      <c r="AP245" s="12" t="str">
        <f t="shared" si="23"/>
        <v/>
      </c>
      <c r="AQ245" s="1"/>
      <c r="AR245" s="12" t="str">
        <f>IF($B245="","",SUMPRODUCT(MAX(('Rework Log'!$A$3:$A$500=$B245)*ROW('Rework Log'!$A$3:$A$500))))</f>
        <v/>
      </c>
    </row>
    <row r="246" spans="1:44" x14ac:dyDescent="0.25">
      <c r="A246" s="1"/>
      <c r="B246" s="1"/>
      <c r="C246" s="1"/>
      <c r="D246" s="12" t="str">
        <f t="shared" ca="1" si="18"/>
        <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2" t="str">
        <f t="shared" si="19"/>
        <v/>
      </c>
      <c r="AI246" s="12" t="str">
        <f>IF($B246="","",COUNTIF('Rework Log'!$A$3:$A$500,$B246))</f>
        <v/>
      </c>
      <c r="AJ246" s="12" t="str">
        <f>IF(OR($B246="",$AR246=0),"",INDEX('Rework Log'!$C:$C,$AR246))</f>
        <v/>
      </c>
      <c r="AK246" s="12" t="str">
        <f>IF(OR($B246="",$AR246=0),"",INDEX('Rework Log'!$H:$H,$AR246))</f>
        <v/>
      </c>
      <c r="AL246" s="12" t="str">
        <f>IF(OR($B246="",$AR246=0),"",INDEX('Rework Log'!$G:$G,$AR246))</f>
        <v/>
      </c>
      <c r="AM246" s="12" t="str">
        <f t="shared" si="20"/>
        <v/>
      </c>
      <c r="AN246" s="12" t="str">
        <f t="shared" si="21"/>
        <v/>
      </c>
      <c r="AO246" s="12" t="str">
        <f t="shared" si="22"/>
        <v/>
      </c>
      <c r="AP246" s="12" t="str">
        <f t="shared" si="23"/>
        <v/>
      </c>
      <c r="AQ246" s="1"/>
      <c r="AR246" s="12" t="str">
        <f>IF($B246="","",SUMPRODUCT(MAX(('Rework Log'!$A$3:$A$500=$B246)*ROW('Rework Log'!$A$3:$A$500))))</f>
        <v/>
      </c>
    </row>
    <row r="247" spans="1:44" x14ac:dyDescent="0.25">
      <c r="A247" s="1"/>
      <c r="B247" s="1"/>
      <c r="C247" s="1"/>
      <c r="D247" s="12" t="str">
        <f t="shared" ca="1" si="18"/>
        <v/>
      </c>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2" t="str">
        <f t="shared" si="19"/>
        <v/>
      </c>
      <c r="AI247" s="12" t="str">
        <f>IF($B247="","",COUNTIF('Rework Log'!$A$3:$A$500,$B247))</f>
        <v/>
      </c>
      <c r="AJ247" s="12" t="str">
        <f>IF(OR($B247="",$AR247=0),"",INDEX('Rework Log'!$C:$C,$AR247))</f>
        <v/>
      </c>
      <c r="AK247" s="12" t="str">
        <f>IF(OR($B247="",$AR247=0),"",INDEX('Rework Log'!$H:$H,$AR247))</f>
        <v/>
      </c>
      <c r="AL247" s="12" t="str">
        <f>IF(OR($B247="",$AR247=0),"",INDEX('Rework Log'!$G:$G,$AR247))</f>
        <v/>
      </c>
      <c r="AM247" s="12" t="str">
        <f t="shared" si="20"/>
        <v/>
      </c>
      <c r="AN247" s="12" t="str">
        <f t="shared" si="21"/>
        <v/>
      </c>
      <c r="AO247" s="12" t="str">
        <f t="shared" si="22"/>
        <v/>
      </c>
      <c r="AP247" s="12" t="str">
        <f t="shared" si="23"/>
        <v/>
      </c>
      <c r="AQ247" s="1"/>
      <c r="AR247" s="12" t="str">
        <f>IF($B247="","",SUMPRODUCT(MAX(('Rework Log'!$A$3:$A$500=$B247)*ROW('Rework Log'!$A$3:$A$500))))</f>
        <v/>
      </c>
    </row>
    <row r="248" spans="1:44" x14ac:dyDescent="0.25">
      <c r="A248" s="1"/>
      <c r="B248" s="1"/>
      <c r="C248" s="1"/>
      <c r="D248" s="12" t="str">
        <f t="shared" ca="1" si="18"/>
        <v/>
      </c>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2" t="str">
        <f t="shared" si="19"/>
        <v/>
      </c>
      <c r="AI248" s="12" t="str">
        <f>IF($B248="","",COUNTIF('Rework Log'!$A$3:$A$500,$B248))</f>
        <v/>
      </c>
      <c r="AJ248" s="12" t="str">
        <f>IF(OR($B248="",$AR248=0),"",INDEX('Rework Log'!$C:$C,$AR248))</f>
        <v/>
      </c>
      <c r="AK248" s="12" t="str">
        <f>IF(OR($B248="",$AR248=0),"",INDEX('Rework Log'!$H:$H,$AR248))</f>
        <v/>
      </c>
      <c r="AL248" s="12" t="str">
        <f>IF(OR($B248="",$AR248=0),"",INDEX('Rework Log'!$G:$G,$AR248))</f>
        <v/>
      </c>
      <c r="AM248" s="12" t="str">
        <f t="shared" si="20"/>
        <v/>
      </c>
      <c r="AN248" s="12" t="str">
        <f t="shared" si="21"/>
        <v/>
      </c>
      <c r="AO248" s="12" t="str">
        <f t="shared" si="22"/>
        <v/>
      </c>
      <c r="AP248" s="12" t="str">
        <f t="shared" si="23"/>
        <v/>
      </c>
      <c r="AQ248" s="1"/>
      <c r="AR248" s="12" t="str">
        <f>IF($B248="","",SUMPRODUCT(MAX(('Rework Log'!$A$3:$A$500=$B248)*ROW('Rework Log'!$A$3:$A$500))))</f>
        <v/>
      </c>
    </row>
    <row r="249" spans="1:44" x14ac:dyDescent="0.25">
      <c r="A249" s="1"/>
      <c r="B249" s="1"/>
      <c r="C249" s="1"/>
      <c r="D249" s="12" t="str">
        <f t="shared" ca="1" si="18"/>
        <v/>
      </c>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2" t="str">
        <f t="shared" si="19"/>
        <v/>
      </c>
      <c r="AI249" s="12" t="str">
        <f>IF($B249="","",COUNTIF('Rework Log'!$A$3:$A$500,$B249))</f>
        <v/>
      </c>
      <c r="AJ249" s="12" t="str">
        <f>IF(OR($B249="",$AR249=0),"",INDEX('Rework Log'!$C:$C,$AR249))</f>
        <v/>
      </c>
      <c r="AK249" s="12" t="str">
        <f>IF(OR($B249="",$AR249=0),"",INDEX('Rework Log'!$H:$H,$AR249))</f>
        <v/>
      </c>
      <c r="AL249" s="12" t="str">
        <f>IF(OR($B249="",$AR249=0),"",INDEX('Rework Log'!$G:$G,$AR249))</f>
        <v/>
      </c>
      <c r="AM249" s="12" t="str">
        <f t="shared" si="20"/>
        <v/>
      </c>
      <c r="AN249" s="12" t="str">
        <f t="shared" si="21"/>
        <v/>
      </c>
      <c r="AO249" s="12" t="str">
        <f t="shared" si="22"/>
        <v/>
      </c>
      <c r="AP249" s="12" t="str">
        <f t="shared" si="23"/>
        <v/>
      </c>
      <c r="AQ249" s="1"/>
      <c r="AR249" s="12" t="str">
        <f>IF($B249="","",SUMPRODUCT(MAX(('Rework Log'!$A$3:$A$500=$B249)*ROW('Rework Log'!$A$3:$A$500))))</f>
        <v/>
      </c>
    </row>
    <row r="250" spans="1:44" x14ac:dyDescent="0.25">
      <c r="A250" s="1"/>
      <c r="B250" s="1"/>
      <c r="C250" s="1"/>
      <c r="D250" s="12" t="str">
        <f t="shared" ca="1" si="18"/>
        <v/>
      </c>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2" t="str">
        <f t="shared" si="19"/>
        <v/>
      </c>
      <c r="AI250" s="12" t="str">
        <f>IF($B250="","",COUNTIF('Rework Log'!$A$3:$A$500,$B250))</f>
        <v/>
      </c>
      <c r="AJ250" s="12" t="str">
        <f>IF(OR($B250="",$AR250=0),"",INDEX('Rework Log'!$C:$C,$AR250))</f>
        <v/>
      </c>
      <c r="AK250" s="12" t="str">
        <f>IF(OR($B250="",$AR250=0),"",INDEX('Rework Log'!$H:$H,$AR250))</f>
        <v/>
      </c>
      <c r="AL250" s="12" t="str">
        <f>IF(OR($B250="",$AR250=0),"",INDEX('Rework Log'!$G:$G,$AR250))</f>
        <v/>
      </c>
      <c r="AM250" s="12" t="str">
        <f t="shared" si="20"/>
        <v/>
      </c>
      <c r="AN250" s="12" t="str">
        <f t="shared" si="21"/>
        <v/>
      </c>
      <c r="AO250" s="12" t="str">
        <f t="shared" si="22"/>
        <v/>
      </c>
      <c r="AP250" s="12" t="str">
        <f t="shared" si="23"/>
        <v/>
      </c>
      <c r="AQ250" s="1"/>
      <c r="AR250" s="12" t="str">
        <f>IF($B250="","",SUMPRODUCT(MAX(('Rework Log'!$A$3:$A$500=$B250)*ROW('Rework Log'!$A$3:$A$500))))</f>
        <v/>
      </c>
    </row>
    <row r="251" spans="1:44" x14ac:dyDescent="0.25">
      <c r="A251" s="1"/>
      <c r="B251" s="1"/>
      <c r="C251" s="1"/>
      <c r="D251" s="12" t="str">
        <f t="shared" ca="1" si="18"/>
        <v/>
      </c>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2" t="str">
        <f t="shared" si="19"/>
        <v/>
      </c>
      <c r="AI251" s="12" t="str">
        <f>IF($B251="","",COUNTIF('Rework Log'!$A$3:$A$500,$B251))</f>
        <v/>
      </c>
      <c r="AJ251" s="12" t="str">
        <f>IF(OR($B251="",$AR251=0),"",INDEX('Rework Log'!$C:$C,$AR251))</f>
        <v/>
      </c>
      <c r="AK251" s="12" t="str">
        <f>IF(OR($B251="",$AR251=0),"",INDEX('Rework Log'!$H:$H,$AR251))</f>
        <v/>
      </c>
      <c r="AL251" s="12" t="str">
        <f>IF(OR($B251="",$AR251=0),"",INDEX('Rework Log'!$G:$G,$AR251))</f>
        <v/>
      </c>
      <c r="AM251" s="12" t="str">
        <f t="shared" si="20"/>
        <v/>
      </c>
      <c r="AN251" s="12" t="str">
        <f t="shared" si="21"/>
        <v/>
      </c>
      <c r="AO251" s="12" t="str">
        <f t="shared" si="22"/>
        <v/>
      </c>
      <c r="AP251" s="12" t="str">
        <f t="shared" si="23"/>
        <v/>
      </c>
      <c r="AQ251" s="1"/>
      <c r="AR251" s="12" t="str">
        <f>IF($B251="","",SUMPRODUCT(MAX(('Rework Log'!$A$3:$A$500=$B251)*ROW('Rework Log'!$A$3:$A$500))))</f>
        <v/>
      </c>
    </row>
    <row r="252" spans="1:44" x14ac:dyDescent="0.25">
      <c r="A252" s="1"/>
      <c r="B252" s="1"/>
      <c r="C252" s="1"/>
      <c r="D252" s="12" t="str">
        <f t="shared" ca="1" si="18"/>
        <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2" t="str">
        <f t="shared" si="19"/>
        <v/>
      </c>
      <c r="AI252" s="12" t="str">
        <f>IF($B252="","",COUNTIF('Rework Log'!$A$3:$A$500,$B252))</f>
        <v/>
      </c>
      <c r="AJ252" s="12" t="str">
        <f>IF(OR($B252="",$AR252=0),"",INDEX('Rework Log'!$C:$C,$AR252))</f>
        <v/>
      </c>
      <c r="AK252" s="12" t="str">
        <f>IF(OR($B252="",$AR252=0),"",INDEX('Rework Log'!$H:$H,$AR252))</f>
        <v/>
      </c>
      <c r="AL252" s="12" t="str">
        <f>IF(OR($B252="",$AR252=0),"",INDEX('Rework Log'!$G:$G,$AR252))</f>
        <v/>
      </c>
      <c r="AM252" s="12" t="str">
        <f t="shared" si="20"/>
        <v/>
      </c>
      <c r="AN252" s="12" t="str">
        <f t="shared" si="21"/>
        <v/>
      </c>
      <c r="AO252" s="12" t="str">
        <f t="shared" si="22"/>
        <v/>
      </c>
      <c r="AP252" s="12" t="str">
        <f t="shared" si="23"/>
        <v/>
      </c>
      <c r="AQ252" s="1"/>
      <c r="AR252" s="12" t="str">
        <f>IF($B252="","",SUMPRODUCT(MAX(('Rework Log'!$A$3:$A$500=$B252)*ROW('Rework Log'!$A$3:$A$500))))</f>
        <v/>
      </c>
    </row>
    <row r="253" spans="1:44" x14ac:dyDescent="0.25">
      <c r="A253" s="1"/>
      <c r="B253" s="1"/>
      <c r="C253" s="1"/>
      <c r="D253" s="12" t="str">
        <f t="shared" ca="1" si="18"/>
        <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2" t="str">
        <f t="shared" si="19"/>
        <v/>
      </c>
      <c r="AI253" s="12" t="str">
        <f>IF($B253="","",COUNTIF('Rework Log'!$A$3:$A$500,$B253))</f>
        <v/>
      </c>
      <c r="AJ253" s="12" t="str">
        <f>IF(OR($B253="",$AR253=0),"",INDEX('Rework Log'!$C:$C,$AR253))</f>
        <v/>
      </c>
      <c r="AK253" s="12" t="str">
        <f>IF(OR($B253="",$AR253=0),"",INDEX('Rework Log'!$H:$H,$AR253))</f>
        <v/>
      </c>
      <c r="AL253" s="12" t="str">
        <f>IF(OR($B253="",$AR253=0),"",INDEX('Rework Log'!$G:$G,$AR253))</f>
        <v/>
      </c>
      <c r="AM253" s="12" t="str">
        <f t="shared" si="20"/>
        <v/>
      </c>
      <c r="AN253" s="12" t="str">
        <f t="shared" si="21"/>
        <v/>
      </c>
      <c r="AO253" s="12" t="str">
        <f t="shared" si="22"/>
        <v/>
      </c>
      <c r="AP253" s="12" t="str">
        <f t="shared" si="23"/>
        <v/>
      </c>
      <c r="AQ253" s="1"/>
      <c r="AR253" s="12" t="str">
        <f>IF($B253="","",SUMPRODUCT(MAX(('Rework Log'!$A$3:$A$500=$B253)*ROW('Rework Log'!$A$3:$A$500))))</f>
        <v/>
      </c>
    </row>
    <row r="254" spans="1:44" x14ac:dyDescent="0.25">
      <c r="A254" s="1"/>
      <c r="B254" s="1"/>
      <c r="C254" s="1"/>
      <c r="D254" s="12" t="str">
        <f t="shared" ca="1" si="18"/>
        <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2" t="str">
        <f t="shared" si="19"/>
        <v/>
      </c>
      <c r="AI254" s="12" t="str">
        <f>IF($B254="","",COUNTIF('Rework Log'!$A$3:$A$500,$B254))</f>
        <v/>
      </c>
      <c r="AJ254" s="12" t="str">
        <f>IF(OR($B254="",$AR254=0),"",INDEX('Rework Log'!$C:$C,$AR254))</f>
        <v/>
      </c>
      <c r="AK254" s="12" t="str">
        <f>IF(OR($B254="",$AR254=0),"",INDEX('Rework Log'!$H:$H,$AR254))</f>
        <v/>
      </c>
      <c r="AL254" s="12" t="str">
        <f>IF(OR($B254="",$AR254=0),"",INDEX('Rework Log'!$G:$G,$AR254))</f>
        <v/>
      </c>
      <c r="AM254" s="12" t="str">
        <f t="shared" si="20"/>
        <v/>
      </c>
      <c r="AN254" s="12" t="str">
        <f t="shared" si="21"/>
        <v/>
      </c>
      <c r="AO254" s="12" t="str">
        <f t="shared" si="22"/>
        <v/>
      </c>
      <c r="AP254" s="12" t="str">
        <f t="shared" si="23"/>
        <v/>
      </c>
      <c r="AQ254" s="1"/>
      <c r="AR254" s="12" t="str">
        <f>IF($B254="","",SUMPRODUCT(MAX(('Rework Log'!$A$3:$A$500=$B254)*ROW('Rework Log'!$A$3:$A$500))))</f>
        <v/>
      </c>
    </row>
    <row r="255" spans="1:44" x14ac:dyDescent="0.25">
      <c r="A255" s="1"/>
      <c r="B255" s="1"/>
      <c r="C255" s="1"/>
      <c r="D255" s="12" t="str">
        <f t="shared" ca="1" si="18"/>
        <v/>
      </c>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2" t="str">
        <f t="shared" si="19"/>
        <v/>
      </c>
      <c r="AI255" s="12" t="str">
        <f>IF($B255="","",COUNTIF('Rework Log'!$A$3:$A$500,$B255))</f>
        <v/>
      </c>
      <c r="AJ255" s="12" t="str">
        <f>IF(OR($B255="",$AR255=0),"",INDEX('Rework Log'!$C:$C,$AR255))</f>
        <v/>
      </c>
      <c r="AK255" s="12" t="str">
        <f>IF(OR($B255="",$AR255=0),"",INDEX('Rework Log'!$H:$H,$AR255))</f>
        <v/>
      </c>
      <c r="AL255" s="12" t="str">
        <f>IF(OR($B255="",$AR255=0),"",INDEX('Rework Log'!$G:$G,$AR255))</f>
        <v/>
      </c>
      <c r="AM255" s="12" t="str">
        <f t="shared" si="20"/>
        <v/>
      </c>
      <c r="AN255" s="12" t="str">
        <f t="shared" si="21"/>
        <v/>
      </c>
      <c r="AO255" s="12" t="str">
        <f t="shared" si="22"/>
        <v/>
      </c>
      <c r="AP255" s="12" t="str">
        <f t="shared" si="23"/>
        <v/>
      </c>
      <c r="AQ255" s="1"/>
      <c r="AR255" s="12" t="str">
        <f>IF($B255="","",SUMPRODUCT(MAX(('Rework Log'!$A$3:$A$500=$B255)*ROW('Rework Log'!$A$3:$A$500))))</f>
        <v/>
      </c>
    </row>
    <row r="256" spans="1:44" x14ac:dyDescent="0.25">
      <c r="A256" s="1"/>
      <c r="B256" s="1"/>
      <c r="C256" s="1"/>
      <c r="D256" s="12" t="str">
        <f t="shared" ca="1" si="18"/>
        <v/>
      </c>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2" t="str">
        <f t="shared" si="19"/>
        <v/>
      </c>
      <c r="AI256" s="12" t="str">
        <f>IF($B256="","",COUNTIF('Rework Log'!$A$3:$A$500,$B256))</f>
        <v/>
      </c>
      <c r="AJ256" s="12" t="str">
        <f>IF(OR($B256="",$AR256=0),"",INDEX('Rework Log'!$C:$C,$AR256))</f>
        <v/>
      </c>
      <c r="AK256" s="12" t="str">
        <f>IF(OR($B256="",$AR256=0),"",INDEX('Rework Log'!$H:$H,$AR256))</f>
        <v/>
      </c>
      <c r="AL256" s="12" t="str">
        <f>IF(OR($B256="",$AR256=0),"",INDEX('Rework Log'!$G:$G,$AR256))</f>
        <v/>
      </c>
      <c r="AM256" s="12" t="str">
        <f t="shared" si="20"/>
        <v/>
      </c>
      <c r="AN256" s="12" t="str">
        <f t="shared" si="21"/>
        <v/>
      </c>
      <c r="AO256" s="12" t="str">
        <f t="shared" si="22"/>
        <v/>
      </c>
      <c r="AP256" s="12" t="str">
        <f t="shared" si="23"/>
        <v/>
      </c>
      <c r="AQ256" s="1"/>
      <c r="AR256" s="12" t="str">
        <f>IF($B256="","",SUMPRODUCT(MAX(('Rework Log'!$A$3:$A$500=$B256)*ROW('Rework Log'!$A$3:$A$500))))</f>
        <v/>
      </c>
    </row>
    <row r="257" spans="1:44" x14ac:dyDescent="0.25">
      <c r="A257" s="1"/>
      <c r="B257" s="1"/>
      <c r="C257" s="1"/>
      <c r="D257" s="12" t="str">
        <f t="shared" ca="1" si="18"/>
        <v/>
      </c>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2" t="str">
        <f t="shared" si="19"/>
        <v/>
      </c>
      <c r="AI257" s="12" t="str">
        <f>IF($B257="","",COUNTIF('Rework Log'!$A$3:$A$500,$B257))</f>
        <v/>
      </c>
      <c r="AJ257" s="12" t="str">
        <f>IF(OR($B257="",$AR257=0),"",INDEX('Rework Log'!$C:$C,$AR257))</f>
        <v/>
      </c>
      <c r="AK257" s="12" t="str">
        <f>IF(OR($B257="",$AR257=0),"",INDEX('Rework Log'!$H:$H,$AR257))</f>
        <v/>
      </c>
      <c r="AL257" s="12" t="str">
        <f>IF(OR($B257="",$AR257=0),"",INDEX('Rework Log'!$G:$G,$AR257))</f>
        <v/>
      </c>
      <c r="AM257" s="12" t="str">
        <f t="shared" si="20"/>
        <v/>
      </c>
      <c r="AN257" s="12" t="str">
        <f t="shared" si="21"/>
        <v/>
      </c>
      <c r="AO257" s="12" t="str">
        <f t="shared" si="22"/>
        <v/>
      </c>
      <c r="AP257" s="12" t="str">
        <f t="shared" si="23"/>
        <v/>
      </c>
      <c r="AQ257" s="1"/>
      <c r="AR257" s="12" t="str">
        <f>IF($B257="","",SUMPRODUCT(MAX(('Rework Log'!$A$3:$A$500=$B257)*ROW('Rework Log'!$A$3:$A$500))))</f>
        <v/>
      </c>
    </row>
    <row r="258" spans="1:44" x14ac:dyDescent="0.25">
      <c r="A258" s="1"/>
      <c r="B258" s="1"/>
      <c r="C258" s="1"/>
      <c r="D258" s="12" t="str">
        <f t="shared" ref="D258:D321" ca="1" si="24">IF($B258="","",IF(C258="NOT STARTED",IF(K258="","No plan date set",IF(K258&lt;TODAY(),"Review - planned start passed","On track")),IF(C258="DB Dev",IF(N258="","No target set",IF(AND(N258&lt;TODAY(),P258=""),"Overdue","On track")),IF(C258="PBI Dev",IF(R258="","No target set",IF(AND(R258&lt;TODAY(),T258=""),"Overdue","On track")),IF(C258="QA",IF(V258="","No target set",IF(AND(V258&lt;TODAY(),X258=""),"Overdue","On track")),IF(C258="DPO Approval",IF(Z258="","No target set",IF(Z258&lt;TODAY(),"Overdue","On track")),IF(C258="RELEASED IN PROD","Delivered","")))))))</f>
        <v/>
      </c>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2" t="str">
        <f t="shared" ref="AH258:AH321" si="25">IF($AF258="Yes",IF($AG258&lt;&gt;"","Blocked - needs "&amp;$AG258&amp;" to fix","Blocked at "&amp;$C258),"")</f>
        <v/>
      </c>
      <c r="AI258" s="12" t="str">
        <f>IF($B258="","",COUNTIF('Rework Log'!$A$3:$A$500,$B258))</f>
        <v/>
      </c>
      <c r="AJ258" s="12" t="str">
        <f>IF(OR($B258="",$AR258=0),"",INDEX('Rework Log'!$C:$C,$AR258))</f>
        <v/>
      </c>
      <c r="AK258" s="12" t="str">
        <f>IF(OR($B258="",$AR258=0),"",INDEX('Rework Log'!$H:$H,$AR258))</f>
        <v/>
      </c>
      <c r="AL258" s="12" t="str">
        <f>IF(OR($B258="",$AR258=0),"",INDEX('Rework Log'!$G:$G,$AR258))</f>
        <v/>
      </c>
      <c r="AM258" s="12" t="str">
        <f t="shared" ref="AM258:AM321" si="26">IF($B258="","",IF(Z258&lt;&gt;"","DPO Approval",IF(V258&lt;&gt;"","QA",IF(R258&lt;&gt;"","PBI Dev",IF(N258&lt;&gt;"","DB Dev","NOT STARTED")))))</f>
        <v/>
      </c>
      <c r="AN258" s="12" t="str">
        <f t="shared" ref="AN258:AN321" si="27">IF($B258="","",IF(IF($C258="NOT STARTED",0,IF($C258="DB Dev",1,IF($C258="PBI Dev",2,IF($C258="QA",3,IF($C258="DPO Approval",4,IF($C258="RELEASED IN PROD",5,-1))))))&lt;IF($AM258="NOT STARTED",0,IF($AM258="DB Dev",1,IF($AM258="PBI Dev",2,IF($AM258="QA",3,IF($AM258="DPO Approval",4,IF($AM258="RELEASED IN PROD",5,-1)))))),"Yes - was already at "&amp;$AM258&amp;", now back at "&amp;$C258,"No"))</f>
        <v/>
      </c>
      <c r="AO258" s="12" t="str">
        <f t="shared" ref="AO258:AO321" si="28">IF($B258="","",IF(AND(V258&lt;&gt;"",N258&lt;&gt;"",V258&lt;N258),"QA target is before DB Dev target",IF(AND(V258&lt;&gt;"",R258&lt;&gt;"",V258&lt;R258),"QA target is before PBI Dev target",IF(AND(Z258&lt;&gt;"",V258&lt;&gt;"",Z258&lt;V258),"DPO Approval target is before QA target",IF(AND(AC258&lt;&gt;"",Z258&lt;&gt;"",AC258&lt;Z258),"Confirmed Deployed date is before DPO Approval target","")))))</f>
        <v/>
      </c>
      <c r="AP258" s="12" t="str">
        <f t="shared" ref="AP258:AP321" si="29">IF($B258="","",IF(COUNTIF($B$2:$B$500,$B258)&gt;1,"Duplicate name - check row",""))</f>
        <v/>
      </c>
      <c r="AQ258" s="1"/>
      <c r="AR258" s="12" t="str">
        <f>IF($B258="","",SUMPRODUCT(MAX(('Rework Log'!$A$3:$A$500=$B258)*ROW('Rework Log'!$A$3:$A$500))))</f>
        <v/>
      </c>
    </row>
    <row r="259" spans="1:44" x14ac:dyDescent="0.25">
      <c r="A259" s="1"/>
      <c r="B259" s="1"/>
      <c r="C259" s="1"/>
      <c r="D259" s="12" t="str">
        <f t="shared" ca="1" si="24"/>
        <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2" t="str">
        <f t="shared" si="25"/>
        <v/>
      </c>
      <c r="AI259" s="12" t="str">
        <f>IF($B259="","",COUNTIF('Rework Log'!$A$3:$A$500,$B259))</f>
        <v/>
      </c>
      <c r="AJ259" s="12" t="str">
        <f>IF(OR($B259="",$AR259=0),"",INDEX('Rework Log'!$C:$C,$AR259))</f>
        <v/>
      </c>
      <c r="AK259" s="12" t="str">
        <f>IF(OR($B259="",$AR259=0),"",INDEX('Rework Log'!$H:$H,$AR259))</f>
        <v/>
      </c>
      <c r="AL259" s="12" t="str">
        <f>IF(OR($B259="",$AR259=0),"",INDEX('Rework Log'!$G:$G,$AR259))</f>
        <v/>
      </c>
      <c r="AM259" s="12" t="str">
        <f t="shared" si="26"/>
        <v/>
      </c>
      <c r="AN259" s="12" t="str">
        <f t="shared" si="27"/>
        <v/>
      </c>
      <c r="AO259" s="12" t="str">
        <f t="shared" si="28"/>
        <v/>
      </c>
      <c r="AP259" s="12" t="str">
        <f t="shared" si="29"/>
        <v/>
      </c>
      <c r="AQ259" s="1"/>
      <c r="AR259" s="12" t="str">
        <f>IF($B259="","",SUMPRODUCT(MAX(('Rework Log'!$A$3:$A$500=$B259)*ROW('Rework Log'!$A$3:$A$500))))</f>
        <v/>
      </c>
    </row>
    <row r="260" spans="1:44" x14ac:dyDescent="0.25">
      <c r="A260" s="1"/>
      <c r="B260" s="1"/>
      <c r="C260" s="1"/>
      <c r="D260" s="12" t="str">
        <f t="shared" ca="1" si="24"/>
        <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2" t="str">
        <f t="shared" si="25"/>
        <v/>
      </c>
      <c r="AI260" s="12" t="str">
        <f>IF($B260="","",COUNTIF('Rework Log'!$A$3:$A$500,$B260))</f>
        <v/>
      </c>
      <c r="AJ260" s="12" t="str">
        <f>IF(OR($B260="",$AR260=0),"",INDEX('Rework Log'!$C:$C,$AR260))</f>
        <v/>
      </c>
      <c r="AK260" s="12" t="str">
        <f>IF(OR($B260="",$AR260=0),"",INDEX('Rework Log'!$H:$H,$AR260))</f>
        <v/>
      </c>
      <c r="AL260" s="12" t="str">
        <f>IF(OR($B260="",$AR260=0),"",INDEX('Rework Log'!$G:$G,$AR260))</f>
        <v/>
      </c>
      <c r="AM260" s="12" t="str">
        <f t="shared" si="26"/>
        <v/>
      </c>
      <c r="AN260" s="12" t="str">
        <f t="shared" si="27"/>
        <v/>
      </c>
      <c r="AO260" s="12" t="str">
        <f t="shared" si="28"/>
        <v/>
      </c>
      <c r="AP260" s="12" t="str">
        <f t="shared" si="29"/>
        <v/>
      </c>
      <c r="AQ260" s="1"/>
      <c r="AR260" s="12" t="str">
        <f>IF($B260="","",SUMPRODUCT(MAX(('Rework Log'!$A$3:$A$500=$B260)*ROW('Rework Log'!$A$3:$A$500))))</f>
        <v/>
      </c>
    </row>
    <row r="261" spans="1:44" x14ac:dyDescent="0.25">
      <c r="A261" s="1"/>
      <c r="B261" s="1"/>
      <c r="C261" s="1"/>
      <c r="D261" s="12" t="str">
        <f t="shared" ca="1" si="24"/>
        <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2" t="str">
        <f t="shared" si="25"/>
        <v/>
      </c>
      <c r="AI261" s="12" t="str">
        <f>IF($B261="","",COUNTIF('Rework Log'!$A$3:$A$500,$B261))</f>
        <v/>
      </c>
      <c r="AJ261" s="12" t="str">
        <f>IF(OR($B261="",$AR261=0),"",INDEX('Rework Log'!$C:$C,$AR261))</f>
        <v/>
      </c>
      <c r="AK261" s="12" t="str">
        <f>IF(OR($B261="",$AR261=0),"",INDEX('Rework Log'!$H:$H,$AR261))</f>
        <v/>
      </c>
      <c r="AL261" s="12" t="str">
        <f>IF(OR($B261="",$AR261=0),"",INDEX('Rework Log'!$G:$G,$AR261))</f>
        <v/>
      </c>
      <c r="AM261" s="12" t="str">
        <f t="shared" si="26"/>
        <v/>
      </c>
      <c r="AN261" s="12" t="str">
        <f t="shared" si="27"/>
        <v/>
      </c>
      <c r="AO261" s="12" t="str">
        <f t="shared" si="28"/>
        <v/>
      </c>
      <c r="AP261" s="12" t="str">
        <f t="shared" si="29"/>
        <v/>
      </c>
      <c r="AQ261" s="1"/>
      <c r="AR261" s="12" t="str">
        <f>IF($B261="","",SUMPRODUCT(MAX(('Rework Log'!$A$3:$A$500=$B261)*ROW('Rework Log'!$A$3:$A$500))))</f>
        <v/>
      </c>
    </row>
    <row r="262" spans="1:44" x14ac:dyDescent="0.25">
      <c r="A262" s="1"/>
      <c r="B262" s="1"/>
      <c r="C262" s="1"/>
      <c r="D262" s="12" t="str">
        <f t="shared" ca="1" si="24"/>
        <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2" t="str">
        <f t="shared" si="25"/>
        <v/>
      </c>
      <c r="AI262" s="12" t="str">
        <f>IF($B262="","",COUNTIF('Rework Log'!$A$3:$A$500,$B262))</f>
        <v/>
      </c>
      <c r="AJ262" s="12" t="str">
        <f>IF(OR($B262="",$AR262=0),"",INDEX('Rework Log'!$C:$C,$AR262))</f>
        <v/>
      </c>
      <c r="AK262" s="12" t="str">
        <f>IF(OR($B262="",$AR262=0),"",INDEX('Rework Log'!$H:$H,$AR262))</f>
        <v/>
      </c>
      <c r="AL262" s="12" t="str">
        <f>IF(OR($B262="",$AR262=0),"",INDEX('Rework Log'!$G:$G,$AR262))</f>
        <v/>
      </c>
      <c r="AM262" s="12" t="str">
        <f t="shared" si="26"/>
        <v/>
      </c>
      <c r="AN262" s="12" t="str">
        <f t="shared" si="27"/>
        <v/>
      </c>
      <c r="AO262" s="12" t="str">
        <f t="shared" si="28"/>
        <v/>
      </c>
      <c r="AP262" s="12" t="str">
        <f t="shared" si="29"/>
        <v/>
      </c>
      <c r="AQ262" s="1"/>
      <c r="AR262" s="12" t="str">
        <f>IF($B262="","",SUMPRODUCT(MAX(('Rework Log'!$A$3:$A$500=$B262)*ROW('Rework Log'!$A$3:$A$500))))</f>
        <v/>
      </c>
    </row>
    <row r="263" spans="1:44" x14ac:dyDescent="0.25">
      <c r="A263" s="1"/>
      <c r="B263" s="1"/>
      <c r="C263" s="1"/>
      <c r="D263" s="12" t="str">
        <f t="shared" ca="1" si="24"/>
        <v/>
      </c>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2" t="str">
        <f t="shared" si="25"/>
        <v/>
      </c>
      <c r="AI263" s="12" t="str">
        <f>IF($B263="","",COUNTIF('Rework Log'!$A$3:$A$500,$B263))</f>
        <v/>
      </c>
      <c r="AJ263" s="12" t="str">
        <f>IF(OR($B263="",$AR263=0),"",INDEX('Rework Log'!$C:$C,$AR263))</f>
        <v/>
      </c>
      <c r="AK263" s="12" t="str">
        <f>IF(OR($B263="",$AR263=0),"",INDEX('Rework Log'!$H:$H,$AR263))</f>
        <v/>
      </c>
      <c r="AL263" s="12" t="str">
        <f>IF(OR($B263="",$AR263=0),"",INDEX('Rework Log'!$G:$G,$AR263))</f>
        <v/>
      </c>
      <c r="AM263" s="12" t="str">
        <f t="shared" si="26"/>
        <v/>
      </c>
      <c r="AN263" s="12" t="str">
        <f t="shared" si="27"/>
        <v/>
      </c>
      <c r="AO263" s="12" t="str">
        <f t="shared" si="28"/>
        <v/>
      </c>
      <c r="AP263" s="12" t="str">
        <f t="shared" si="29"/>
        <v/>
      </c>
      <c r="AQ263" s="1"/>
      <c r="AR263" s="12" t="str">
        <f>IF($B263="","",SUMPRODUCT(MAX(('Rework Log'!$A$3:$A$500=$B263)*ROW('Rework Log'!$A$3:$A$500))))</f>
        <v/>
      </c>
    </row>
    <row r="264" spans="1:44" x14ac:dyDescent="0.25">
      <c r="A264" s="1"/>
      <c r="B264" s="1"/>
      <c r="C264" s="1"/>
      <c r="D264" s="12" t="str">
        <f t="shared" ca="1" si="24"/>
        <v/>
      </c>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2" t="str">
        <f t="shared" si="25"/>
        <v/>
      </c>
      <c r="AI264" s="12" t="str">
        <f>IF($B264="","",COUNTIF('Rework Log'!$A$3:$A$500,$B264))</f>
        <v/>
      </c>
      <c r="AJ264" s="12" t="str">
        <f>IF(OR($B264="",$AR264=0),"",INDEX('Rework Log'!$C:$C,$AR264))</f>
        <v/>
      </c>
      <c r="AK264" s="12" t="str">
        <f>IF(OR($B264="",$AR264=0),"",INDEX('Rework Log'!$H:$H,$AR264))</f>
        <v/>
      </c>
      <c r="AL264" s="12" t="str">
        <f>IF(OR($B264="",$AR264=0),"",INDEX('Rework Log'!$G:$G,$AR264))</f>
        <v/>
      </c>
      <c r="AM264" s="12" t="str">
        <f t="shared" si="26"/>
        <v/>
      </c>
      <c r="AN264" s="12" t="str">
        <f t="shared" si="27"/>
        <v/>
      </c>
      <c r="AO264" s="12" t="str">
        <f t="shared" si="28"/>
        <v/>
      </c>
      <c r="AP264" s="12" t="str">
        <f t="shared" si="29"/>
        <v/>
      </c>
      <c r="AQ264" s="1"/>
      <c r="AR264" s="12" t="str">
        <f>IF($B264="","",SUMPRODUCT(MAX(('Rework Log'!$A$3:$A$500=$B264)*ROW('Rework Log'!$A$3:$A$500))))</f>
        <v/>
      </c>
    </row>
    <row r="265" spans="1:44" x14ac:dyDescent="0.25">
      <c r="A265" s="1"/>
      <c r="B265" s="1"/>
      <c r="C265" s="1"/>
      <c r="D265" s="12" t="str">
        <f t="shared" ca="1" si="24"/>
        <v/>
      </c>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2" t="str">
        <f t="shared" si="25"/>
        <v/>
      </c>
      <c r="AI265" s="12" t="str">
        <f>IF($B265="","",COUNTIF('Rework Log'!$A$3:$A$500,$B265))</f>
        <v/>
      </c>
      <c r="AJ265" s="12" t="str">
        <f>IF(OR($B265="",$AR265=0),"",INDEX('Rework Log'!$C:$C,$AR265))</f>
        <v/>
      </c>
      <c r="AK265" s="12" t="str">
        <f>IF(OR($B265="",$AR265=0),"",INDEX('Rework Log'!$H:$H,$AR265))</f>
        <v/>
      </c>
      <c r="AL265" s="12" t="str">
        <f>IF(OR($B265="",$AR265=0),"",INDEX('Rework Log'!$G:$G,$AR265))</f>
        <v/>
      </c>
      <c r="AM265" s="12" t="str">
        <f t="shared" si="26"/>
        <v/>
      </c>
      <c r="AN265" s="12" t="str">
        <f t="shared" si="27"/>
        <v/>
      </c>
      <c r="AO265" s="12" t="str">
        <f t="shared" si="28"/>
        <v/>
      </c>
      <c r="AP265" s="12" t="str">
        <f t="shared" si="29"/>
        <v/>
      </c>
      <c r="AQ265" s="1"/>
      <c r="AR265" s="12" t="str">
        <f>IF($B265="","",SUMPRODUCT(MAX(('Rework Log'!$A$3:$A$500=$B265)*ROW('Rework Log'!$A$3:$A$500))))</f>
        <v/>
      </c>
    </row>
    <row r="266" spans="1:44" x14ac:dyDescent="0.25">
      <c r="A266" s="1"/>
      <c r="B266" s="1"/>
      <c r="C266" s="1"/>
      <c r="D266" s="12" t="str">
        <f t="shared" ca="1" si="24"/>
        <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2" t="str">
        <f t="shared" si="25"/>
        <v/>
      </c>
      <c r="AI266" s="12" t="str">
        <f>IF($B266="","",COUNTIF('Rework Log'!$A$3:$A$500,$B266))</f>
        <v/>
      </c>
      <c r="AJ266" s="12" t="str">
        <f>IF(OR($B266="",$AR266=0),"",INDEX('Rework Log'!$C:$C,$AR266))</f>
        <v/>
      </c>
      <c r="AK266" s="12" t="str">
        <f>IF(OR($B266="",$AR266=0),"",INDEX('Rework Log'!$H:$H,$AR266))</f>
        <v/>
      </c>
      <c r="AL266" s="12" t="str">
        <f>IF(OR($B266="",$AR266=0),"",INDEX('Rework Log'!$G:$G,$AR266))</f>
        <v/>
      </c>
      <c r="AM266" s="12" t="str">
        <f t="shared" si="26"/>
        <v/>
      </c>
      <c r="AN266" s="12" t="str">
        <f t="shared" si="27"/>
        <v/>
      </c>
      <c r="AO266" s="12" t="str">
        <f t="shared" si="28"/>
        <v/>
      </c>
      <c r="AP266" s="12" t="str">
        <f t="shared" si="29"/>
        <v/>
      </c>
      <c r="AQ266" s="1"/>
      <c r="AR266" s="12" t="str">
        <f>IF($B266="","",SUMPRODUCT(MAX(('Rework Log'!$A$3:$A$500=$B266)*ROW('Rework Log'!$A$3:$A$500))))</f>
        <v/>
      </c>
    </row>
    <row r="267" spans="1:44" x14ac:dyDescent="0.25">
      <c r="A267" s="1"/>
      <c r="B267" s="1"/>
      <c r="C267" s="1"/>
      <c r="D267" s="12" t="str">
        <f t="shared" ca="1" si="24"/>
        <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2" t="str">
        <f t="shared" si="25"/>
        <v/>
      </c>
      <c r="AI267" s="12" t="str">
        <f>IF($B267="","",COUNTIF('Rework Log'!$A$3:$A$500,$B267))</f>
        <v/>
      </c>
      <c r="AJ267" s="12" t="str">
        <f>IF(OR($B267="",$AR267=0),"",INDEX('Rework Log'!$C:$C,$AR267))</f>
        <v/>
      </c>
      <c r="AK267" s="12" t="str">
        <f>IF(OR($B267="",$AR267=0),"",INDEX('Rework Log'!$H:$H,$AR267))</f>
        <v/>
      </c>
      <c r="AL267" s="12" t="str">
        <f>IF(OR($B267="",$AR267=0),"",INDEX('Rework Log'!$G:$G,$AR267))</f>
        <v/>
      </c>
      <c r="AM267" s="12" t="str">
        <f t="shared" si="26"/>
        <v/>
      </c>
      <c r="AN267" s="12" t="str">
        <f t="shared" si="27"/>
        <v/>
      </c>
      <c r="AO267" s="12" t="str">
        <f t="shared" si="28"/>
        <v/>
      </c>
      <c r="AP267" s="12" t="str">
        <f t="shared" si="29"/>
        <v/>
      </c>
      <c r="AQ267" s="1"/>
      <c r="AR267" s="12" t="str">
        <f>IF($B267="","",SUMPRODUCT(MAX(('Rework Log'!$A$3:$A$500=$B267)*ROW('Rework Log'!$A$3:$A$500))))</f>
        <v/>
      </c>
    </row>
    <row r="268" spans="1:44" x14ac:dyDescent="0.25">
      <c r="A268" s="1"/>
      <c r="B268" s="1"/>
      <c r="C268" s="1"/>
      <c r="D268" s="12" t="str">
        <f t="shared" ca="1" si="24"/>
        <v/>
      </c>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2" t="str">
        <f t="shared" si="25"/>
        <v/>
      </c>
      <c r="AI268" s="12" t="str">
        <f>IF($B268="","",COUNTIF('Rework Log'!$A$3:$A$500,$B268))</f>
        <v/>
      </c>
      <c r="AJ268" s="12" t="str">
        <f>IF(OR($B268="",$AR268=0),"",INDEX('Rework Log'!$C:$C,$AR268))</f>
        <v/>
      </c>
      <c r="AK268" s="12" t="str">
        <f>IF(OR($B268="",$AR268=0),"",INDEX('Rework Log'!$H:$H,$AR268))</f>
        <v/>
      </c>
      <c r="AL268" s="12" t="str">
        <f>IF(OR($B268="",$AR268=0),"",INDEX('Rework Log'!$G:$G,$AR268))</f>
        <v/>
      </c>
      <c r="AM268" s="12" t="str">
        <f t="shared" si="26"/>
        <v/>
      </c>
      <c r="AN268" s="12" t="str">
        <f t="shared" si="27"/>
        <v/>
      </c>
      <c r="AO268" s="12" t="str">
        <f t="shared" si="28"/>
        <v/>
      </c>
      <c r="AP268" s="12" t="str">
        <f t="shared" si="29"/>
        <v/>
      </c>
      <c r="AQ268" s="1"/>
      <c r="AR268" s="12" t="str">
        <f>IF($B268="","",SUMPRODUCT(MAX(('Rework Log'!$A$3:$A$500=$B268)*ROW('Rework Log'!$A$3:$A$500))))</f>
        <v/>
      </c>
    </row>
    <row r="269" spans="1:44" x14ac:dyDescent="0.25">
      <c r="A269" s="1"/>
      <c r="B269" s="1"/>
      <c r="C269" s="1"/>
      <c r="D269" s="12" t="str">
        <f t="shared" ca="1" si="24"/>
        <v/>
      </c>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2" t="str">
        <f t="shared" si="25"/>
        <v/>
      </c>
      <c r="AI269" s="12" t="str">
        <f>IF($B269="","",COUNTIF('Rework Log'!$A$3:$A$500,$B269))</f>
        <v/>
      </c>
      <c r="AJ269" s="12" t="str">
        <f>IF(OR($B269="",$AR269=0),"",INDEX('Rework Log'!$C:$C,$AR269))</f>
        <v/>
      </c>
      <c r="AK269" s="12" t="str">
        <f>IF(OR($B269="",$AR269=0),"",INDEX('Rework Log'!$H:$H,$AR269))</f>
        <v/>
      </c>
      <c r="AL269" s="12" t="str">
        <f>IF(OR($B269="",$AR269=0),"",INDEX('Rework Log'!$G:$G,$AR269))</f>
        <v/>
      </c>
      <c r="AM269" s="12" t="str">
        <f t="shared" si="26"/>
        <v/>
      </c>
      <c r="AN269" s="12" t="str">
        <f t="shared" si="27"/>
        <v/>
      </c>
      <c r="AO269" s="12" t="str">
        <f t="shared" si="28"/>
        <v/>
      </c>
      <c r="AP269" s="12" t="str">
        <f t="shared" si="29"/>
        <v/>
      </c>
      <c r="AQ269" s="1"/>
      <c r="AR269" s="12" t="str">
        <f>IF($B269="","",SUMPRODUCT(MAX(('Rework Log'!$A$3:$A$500=$B269)*ROW('Rework Log'!$A$3:$A$500))))</f>
        <v/>
      </c>
    </row>
    <row r="270" spans="1:44" x14ac:dyDescent="0.25">
      <c r="A270" s="1"/>
      <c r="B270" s="1"/>
      <c r="C270" s="1"/>
      <c r="D270" s="12" t="str">
        <f t="shared" ca="1" si="24"/>
        <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2" t="str">
        <f t="shared" si="25"/>
        <v/>
      </c>
      <c r="AI270" s="12" t="str">
        <f>IF($B270="","",COUNTIF('Rework Log'!$A$3:$A$500,$B270))</f>
        <v/>
      </c>
      <c r="AJ270" s="12" t="str">
        <f>IF(OR($B270="",$AR270=0),"",INDEX('Rework Log'!$C:$C,$AR270))</f>
        <v/>
      </c>
      <c r="AK270" s="12" t="str">
        <f>IF(OR($B270="",$AR270=0),"",INDEX('Rework Log'!$H:$H,$AR270))</f>
        <v/>
      </c>
      <c r="AL270" s="12" t="str">
        <f>IF(OR($B270="",$AR270=0),"",INDEX('Rework Log'!$G:$G,$AR270))</f>
        <v/>
      </c>
      <c r="AM270" s="12" t="str">
        <f t="shared" si="26"/>
        <v/>
      </c>
      <c r="AN270" s="12" t="str">
        <f t="shared" si="27"/>
        <v/>
      </c>
      <c r="AO270" s="12" t="str">
        <f t="shared" si="28"/>
        <v/>
      </c>
      <c r="AP270" s="12" t="str">
        <f t="shared" si="29"/>
        <v/>
      </c>
      <c r="AQ270" s="1"/>
      <c r="AR270" s="12" t="str">
        <f>IF($B270="","",SUMPRODUCT(MAX(('Rework Log'!$A$3:$A$500=$B270)*ROW('Rework Log'!$A$3:$A$500))))</f>
        <v/>
      </c>
    </row>
    <row r="271" spans="1:44" x14ac:dyDescent="0.25">
      <c r="A271" s="1"/>
      <c r="B271" s="1"/>
      <c r="C271" s="1"/>
      <c r="D271" s="12" t="str">
        <f t="shared" ca="1" si="24"/>
        <v/>
      </c>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2" t="str">
        <f t="shared" si="25"/>
        <v/>
      </c>
      <c r="AI271" s="12" t="str">
        <f>IF($B271="","",COUNTIF('Rework Log'!$A$3:$A$500,$B271))</f>
        <v/>
      </c>
      <c r="AJ271" s="12" t="str">
        <f>IF(OR($B271="",$AR271=0),"",INDEX('Rework Log'!$C:$C,$AR271))</f>
        <v/>
      </c>
      <c r="AK271" s="12" t="str">
        <f>IF(OR($B271="",$AR271=0),"",INDEX('Rework Log'!$H:$H,$AR271))</f>
        <v/>
      </c>
      <c r="AL271" s="12" t="str">
        <f>IF(OR($B271="",$AR271=0),"",INDEX('Rework Log'!$G:$G,$AR271))</f>
        <v/>
      </c>
      <c r="AM271" s="12" t="str">
        <f t="shared" si="26"/>
        <v/>
      </c>
      <c r="AN271" s="12" t="str">
        <f t="shared" si="27"/>
        <v/>
      </c>
      <c r="AO271" s="12" t="str">
        <f t="shared" si="28"/>
        <v/>
      </c>
      <c r="AP271" s="12" t="str">
        <f t="shared" si="29"/>
        <v/>
      </c>
      <c r="AQ271" s="1"/>
      <c r="AR271" s="12" t="str">
        <f>IF($B271="","",SUMPRODUCT(MAX(('Rework Log'!$A$3:$A$500=$B271)*ROW('Rework Log'!$A$3:$A$500))))</f>
        <v/>
      </c>
    </row>
    <row r="272" spans="1:44" x14ac:dyDescent="0.25">
      <c r="A272" s="1"/>
      <c r="B272" s="1"/>
      <c r="C272" s="1"/>
      <c r="D272" s="12" t="str">
        <f t="shared" ca="1" si="24"/>
        <v/>
      </c>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2" t="str">
        <f t="shared" si="25"/>
        <v/>
      </c>
      <c r="AI272" s="12" t="str">
        <f>IF($B272="","",COUNTIF('Rework Log'!$A$3:$A$500,$B272))</f>
        <v/>
      </c>
      <c r="AJ272" s="12" t="str">
        <f>IF(OR($B272="",$AR272=0),"",INDEX('Rework Log'!$C:$C,$AR272))</f>
        <v/>
      </c>
      <c r="AK272" s="12" t="str">
        <f>IF(OR($B272="",$AR272=0),"",INDEX('Rework Log'!$H:$H,$AR272))</f>
        <v/>
      </c>
      <c r="AL272" s="12" t="str">
        <f>IF(OR($B272="",$AR272=0),"",INDEX('Rework Log'!$G:$G,$AR272))</f>
        <v/>
      </c>
      <c r="AM272" s="12" t="str">
        <f t="shared" si="26"/>
        <v/>
      </c>
      <c r="AN272" s="12" t="str">
        <f t="shared" si="27"/>
        <v/>
      </c>
      <c r="AO272" s="12" t="str">
        <f t="shared" si="28"/>
        <v/>
      </c>
      <c r="AP272" s="12" t="str">
        <f t="shared" si="29"/>
        <v/>
      </c>
      <c r="AQ272" s="1"/>
      <c r="AR272" s="12" t="str">
        <f>IF($B272="","",SUMPRODUCT(MAX(('Rework Log'!$A$3:$A$500=$B272)*ROW('Rework Log'!$A$3:$A$500))))</f>
        <v/>
      </c>
    </row>
    <row r="273" spans="1:44" x14ac:dyDescent="0.25">
      <c r="A273" s="1"/>
      <c r="B273" s="1"/>
      <c r="C273" s="1"/>
      <c r="D273" s="12" t="str">
        <f t="shared" ca="1" si="24"/>
        <v/>
      </c>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2" t="str">
        <f t="shared" si="25"/>
        <v/>
      </c>
      <c r="AI273" s="12" t="str">
        <f>IF($B273="","",COUNTIF('Rework Log'!$A$3:$A$500,$B273))</f>
        <v/>
      </c>
      <c r="AJ273" s="12" t="str">
        <f>IF(OR($B273="",$AR273=0),"",INDEX('Rework Log'!$C:$C,$AR273))</f>
        <v/>
      </c>
      <c r="AK273" s="12" t="str">
        <f>IF(OR($B273="",$AR273=0),"",INDEX('Rework Log'!$H:$H,$AR273))</f>
        <v/>
      </c>
      <c r="AL273" s="12" t="str">
        <f>IF(OR($B273="",$AR273=0),"",INDEX('Rework Log'!$G:$G,$AR273))</f>
        <v/>
      </c>
      <c r="AM273" s="12" t="str">
        <f t="shared" si="26"/>
        <v/>
      </c>
      <c r="AN273" s="12" t="str">
        <f t="shared" si="27"/>
        <v/>
      </c>
      <c r="AO273" s="12" t="str">
        <f t="shared" si="28"/>
        <v/>
      </c>
      <c r="AP273" s="12" t="str">
        <f t="shared" si="29"/>
        <v/>
      </c>
      <c r="AQ273" s="1"/>
      <c r="AR273" s="12" t="str">
        <f>IF($B273="","",SUMPRODUCT(MAX(('Rework Log'!$A$3:$A$500=$B273)*ROW('Rework Log'!$A$3:$A$500))))</f>
        <v/>
      </c>
    </row>
    <row r="274" spans="1:44" x14ac:dyDescent="0.25">
      <c r="A274" s="1"/>
      <c r="B274" s="1"/>
      <c r="C274" s="1"/>
      <c r="D274" s="12" t="str">
        <f t="shared" ca="1" si="24"/>
        <v/>
      </c>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2" t="str">
        <f t="shared" si="25"/>
        <v/>
      </c>
      <c r="AI274" s="12" t="str">
        <f>IF($B274="","",COUNTIF('Rework Log'!$A$3:$A$500,$B274))</f>
        <v/>
      </c>
      <c r="AJ274" s="12" t="str">
        <f>IF(OR($B274="",$AR274=0),"",INDEX('Rework Log'!$C:$C,$AR274))</f>
        <v/>
      </c>
      <c r="AK274" s="12" t="str">
        <f>IF(OR($B274="",$AR274=0),"",INDEX('Rework Log'!$H:$H,$AR274))</f>
        <v/>
      </c>
      <c r="AL274" s="12" t="str">
        <f>IF(OR($B274="",$AR274=0),"",INDEX('Rework Log'!$G:$G,$AR274))</f>
        <v/>
      </c>
      <c r="AM274" s="12" t="str">
        <f t="shared" si="26"/>
        <v/>
      </c>
      <c r="AN274" s="12" t="str">
        <f t="shared" si="27"/>
        <v/>
      </c>
      <c r="AO274" s="12" t="str">
        <f t="shared" si="28"/>
        <v/>
      </c>
      <c r="AP274" s="12" t="str">
        <f t="shared" si="29"/>
        <v/>
      </c>
      <c r="AQ274" s="1"/>
      <c r="AR274" s="12" t="str">
        <f>IF($B274="","",SUMPRODUCT(MAX(('Rework Log'!$A$3:$A$500=$B274)*ROW('Rework Log'!$A$3:$A$500))))</f>
        <v/>
      </c>
    </row>
    <row r="275" spans="1:44" x14ac:dyDescent="0.25">
      <c r="A275" s="1"/>
      <c r="B275" s="1"/>
      <c r="C275" s="1"/>
      <c r="D275" s="12" t="str">
        <f t="shared" ca="1" si="24"/>
        <v/>
      </c>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2" t="str">
        <f t="shared" si="25"/>
        <v/>
      </c>
      <c r="AI275" s="12" t="str">
        <f>IF($B275="","",COUNTIF('Rework Log'!$A$3:$A$500,$B275))</f>
        <v/>
      </c>
      <c r="AJ275" s="12" t="str">
        <f>IF(OR($B275="",$AR275=0),"",INDEX('Rework Log'!$C:$C,$AR275))</f>
        <v/>
      </c>
      <c r="AK275" s="12" t="str">
        <f>IF(OR($B275="",$AR275=0),"",INDEX('Rework Log'!$H:$H,$AR275))</f>
        <v/>
      </c>
      <c r="AL275" s="12" t="str">
        <f>IF(OR($B275="",$AR275=0),"",INDEX('Rework Log'!$G:$G,$AR275))</f>
        <v/>
      </c>
      <c r="AM275" s="12" t="str">
        <f t="shared" si="26"/>
        <v/>
      </c>
      <c r="AN275" s="12" t="str">
        <f t="shared" si="27"/>
        <v/>
      </c>
      <c r="AO275" s="12" t="str">
        <f t="shared" si="28"/>
        <v/>
      </c>
      <c r="AP275" s="12" t="str">
        <f t="shared" si="29"/>
        <v/>
      </c>
      <c r="AQ275" s="1"/>
      <c r="AR275" s="12" t="str">
        <f>IF($B275="","",SUMPRODUCT(MAX(('Rework Log'!$A$3:$A$500=$B275)*ROW('Rework Log'!$A$3:$A$500))))</f>
        <v/>
      </c>
    </row>
    <row r="276" spans="1:44" x14ac:dyDescent="0.25">
      <c r="A276" s="1"/>
      <c r="B276" s="1"/>
      <c r="C276" s="1"/>
      <c r="D276" s="12" t="str">
        <f t="shared" ca="1" si="24"/>
        <v/>
      </c>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2" t="str">
        <f t="shared" si="25"/>
        <v/>
      </c>
      <c r="AI276" s="12" t="str">
        <f>IF($B276="","",COUNTIF('Rework Log'!$A$3:$A$500,$B276))</f>
        <v/>
      </c>
      <c r="AJ276" s="12" t="str">
        <f>IF(OR($B276="",$AR276=0),"",INDEX('Rework Log'!$C:$C,$AR276))</f>
        <v/>
      </c>
      <c r="AK276" s="12" t="str">
        <f>IF(OR($B276="",$AR276=0),"",INDEX('Rework Log'!$H:$H,$AR276))</f>
        <v/>
      </c>
      <c r="AL276" s="12" t="str">
        <f>IF(OR($B276="",$AR276=0),"",INDEX('Rework Log'!$G:$G,$AR276))</f>
        <v/>
      </c>
      <c r="AM276" s="12" t="str">
        <f t="shared" si="26"/>
        <v/>
      </c>
      <c r="AN276" s="12" t="str">
        <f t="shared" si="27"/>
        <v/>
      </c>
      <c r="AO276" s="12" t="str">
        <f t="shared" si="28"/>
        <v/>
      </c>
      <c r="AP276" s="12" t="str">
        <f t="shared" si="29"/>
        <v/>
      </c>
      <c r="AQ276" s="1"/>
      <c r="AR276" s="12" t="str">
        <f>IF($B276="","",SUMPRODUCT(MAX(('Rework Log'!$A$3:$A$500=$B276)*ROW('Rework Log'!$A$3:$A$500))))</f>
        <v/>
      </c>
    </row>
    <row r="277" spans="1:44" x14ac:dyDescent="0.25">
      <c r="A277" s="1"/>
      <c r="B277" s="1"/>
      <c r="C277" s="1"/>
      <c r="D277" s="12" t="str">
        <f t="shared" ca="1" si="24"/>
        <v/>
      </c>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2" t="str">
        <f t="shared" si="25"/>
        <v/>
      </c>
      <c r="AI277" s="12" t="str">
        <f>IF($B277="","",COUNTIF('Rework Log'!$A$3:$A$500,$B277))</f>
        <v/>
      </c>
      <c r="AJ277" s="12" t="str">
        <f>IF(OR($B277="",$AR277=0),"",INDEX('Rework Log'!$C:$C,$AR277))</f>
        <v/>
      </c>
      <c r="AK277" s="12" t="str">
        <f>IF(OR($B277="",$AR277=0),"",INDEX('Rework Log'!$H:$H,$AR277))</f>
        <v/>
      </c>
      <c r="AL277" s="12" t="str">
        <f>IF(OR($B277="",$AR277=0),"",INDEX('Rework Log'!$G:$G,$AR277))</f>
        <v/>
      </c>
      <c r="AM277" s="12" t="str">
        <f t="shared" si="26"/>
        <v/>
      </c>
      <c r="AN277" s="12" t="str">
        <f t="shared" si="27"/>
        <v/>
      </c>
      <c r="AO277" s="12" t="str">
        <f t="shared" si="28"/>
        <v/>
      </c>
      <c r="AP277" s="12" t="str">
        <f t="shared" si="29"/>
        <v/>
      </c>
      <c r="AQ277" s="1"/>
      <c r="AR277" s="12" t="str">
        <f>IF($B277="","",SUMPRODUCT(MAX(('Rework Log'!$A$3:$A$500=$B277)*ROW('Rework Log'!$A$3:$A$500))))</f>
        <v/>
      </c>
    </row>
    <row r="278" spans="1:44" x14ac:dyDescent="0.25">
      <c r="A278" s="1"/>
      <c r="B278" s="1"/>
      <c r="C278" s="1"/>
      <c r="D278" s="12" t="str">
        <f t="shared" ca="1" si="24"/>
        <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2" t="str">
        <f t="shared" si="25"/>
        <v/>
      </c>
      <c r="AI278" s="12" t="str">
        <f>IF($B278="","",COUNTIF('Rework Log'!$A$3:$A$500,$B278))</f>
        <v/>
      </c>
      <c r="AJ278" s="12" t="str">
        <f>IF(OR($B278="",$AR278=0),"",INDEX('Rework Log'!$C:$C,$AR278))</f>
        <v/>
      </c>
      <c r="AK278" s="12" t="str">
        <f>IF(OR($B278="",$AR278=0),"",INDEX('Rework Log'!$H:$H,$AR278))</f>
        <v/>
      </c>
      <c r="AL278" s="12" t="str">
        <f>IF(OR($B278="",$AR278=0),"",INDEX('Rework Log'!$G:$G,$AR278))</f>
        <v/>
      </c>
      <c r="AM278" s="12" t="str">
        <f t="shared" si="26"/>
        <v/>
      </c>
      <c r="AN278" s="12" t="str">
        <f t="shared" si="27"/>
        <v/>
      </c>
      <c r="AO278" s="12" t="str">
        <f t="shared" si="28"/>
        <v/>
      </c>
      <c r="AP278" s="12" t="str">
        <f t="shared" si="29"/>
        <v/>
      </c>
      <c r="AQ278" s="1"/>
      <c r="AR278" s="12" t="str">
        <f>IF($B278="","",SUMPRODUCT(MAX(('Rework Log'!$A$3:$A$500=$B278)*ROW('Rework Log'!$A$3:$A$500))))</f>
        <v/>
      </c>
    </row>
    <row r="279" spans="1:44" x14ac:dyDescent="0.25">
      <c r="A279" s="1"/>
      <c r="B279" s="1"/>
      <c r="C279" s="1"/>
      <c r="D279" s="12" t="str">
        <f t="shared" ca="1" si="24"/>
        <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2" t="str">
        <f t="shared" si="25"/>
        <v/>
      </c>
      <c r="AI279" s="12" t="str">
        <f>IF($B279="","",COUNTIF('Rework Log'!$A$3:$A$500,$B279))</f>
        <v/>
      </c>
      <c r="AJ279" s="12" t="str">
        <f>IF(OR($B279="",$AR279=0),"",INDEX('Rework Log'!$C:$C,$AR279))</f>
        <v/>
      </c>
      <c r="AK279" s="12" t="str">
        <f>IF(OR($B279="",$AR279=0),"",INDEX('Rework Log'!$H:$H,$AR279))</f>
        <v/>
      </c>
      <c r="AL279" s="12" t="str">
        <f>IF(OR($B279="",$AR279=0),"",INDEX('Rework Log'!$G:$G,$AR279))</f>
        <v/>
      </c>
      <c r="AM279" s="12" t="str">
        <f t="shared" si="26"/>
        <v/>
      </c>
      <c r="AN279" s="12" t="str">
        <f t="shared" si="27"/>
        <v/>
      </c>
      <c r="AO279" s="12" t="str">
        <f t="shared" si="28"/>
        <v/>
      </c>
      <c r="AP279" s="12" t="str">
        <f t="shared" si="29"/>
        <v/>
      </c>
      <c r="AQ279" s="1"/>
      <c r="AR279" s="12" t="str">
        <f>IF($B279="","",SUMPRODUCT(MAX(('Rework Log'!$A$3:$A$500=$B279)*ROW('Rework Log'!$A$3:$A$500))))</f>
        <v/>
      </c>
    </row>
    <row r="280" spans="1:44" x14ac:dyDescent="0.25">
      <c r="A280" s="1"/>
      <c r="B280" s="1"/>
      <c r="C280" s="1"/>
      <c r="D280" s="12" t="str">
        <f t="shared" ca="1" si="24"/>
        <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2" t="str">
        <f t="shared" si="25"/>
        <v/>
      </c>
      <c r="AI280" s="12" t="str">
        <f>IF($B280="","",COUNTIF('Rework Log'!$A$3:$A$500,$B280))</f>
        <v/>
      </c>
      <c r="AJ280" s="12" t="str">
        <f>IF(OR($B280="",$AR280=0),"",INDEX('Rework Log'!$C:$C,$AR280))</f>
        <v/>
      </c>
      <c r="AK280" s="12" t="str">
        <f>IF(OR($B280="",$AR280=0),"",INDEX('Rework Log'!$H:$H,$AR280))</f>
        <v/>
      </c>
      <c r="AL280" s="12" t="str">
        <f>IF(OR($B280="",$AR280=0),"",INDEX('Rework Log'!$G:$G,$AR280))</f>
        <v/>
      </c>
      <c r="AM280" s="12" t="str">
        <f t="shared" si="26"/>
        <v/>
      </c>
      <c r="AN280" s="12" t="str">
        <f t="shared" si="27"/>
        <v/>
      </c>
      <c r="AO280" s="12" t="str">
        <f t="shared" si="28"/>
        <v/>
      </c>
      <c r="AP280" s="12" t="str">
        <f t="shared" si="29"/>
        <v/>
      </c>
      <c r="AQ280" s="1"/>
      <c r="AR280" s="12" t="str">
        <f>IF($B280="","",SUMPRODUCT(MAX(('Rework Log'!$A$3:$A$500=$B280)*ROW('Rework Log'!$A$3:$A$500))))</f>
        <v/>
      </c>
    </row>
    <row r="281" spans="1:44" x14ac:dyDescent="0.25">
      <c r="A281" s="1"/>
      <c r="B281" s="1"/>
      <c r="C281" s="1"/>
      <c r="D281" s="12" t="str">
        <f t="shared" ca="1" si="24"/>
        <v/>
      </c>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2" t="str">
        <f t="shared" si="25"/>
        <v/>
      </c>
      <c r="AI281" s="12" t="str">
        <f>IF($B281="","",COUNTIF('Rework Log'!$A$3:$A$500,$B281))</f>
        <v/>
      </c>
      <c r="AJ281" s="12" t="str">
        <f>IF(OR($B281="",$AR281=0),"",INDEX('Rework Log'!$C:$C,$AR281))</f>
        <v/>
      </c>
      <c r="AK281" s="12" t="str">
        <f>IF(OR($B281="",$AR281=0),"",INDEX('Rework Log'!$H:$H,$AR281))</f>
        <v/>
      </c>
      <c r="AL281" s="12" t="str">
        <f>IF(OR($B281="",$AR281=0),"",INDEX('Rework Log'!$G:$G,$AR281))</f>
        <v/>
      </c>
      <c r="AM281" s="12" t="str">
        <f t="shared" si="26"/>
        <v/>
      </c>
      <c r="AN281" s="12" t="str">
        <f t="shared" si="27"/>
        <v/>
      </c>
      <c r="AO281" s="12" t="str">
        <f t="shared" si="28"/>
        <v/>
      </c>
      <c r="AP281" s="12" t="str">
        <f t="shared" si="29"/>
        <v/>
      </c>
      <c r="AQ281" s="1"/>
      <c r="AR281" s="12" t="str">
        <f>IF($B281="","",SUMPRODUCT(MAX(('Rework Log'!$A$3:$A$500=$B281)*ROW('Rework Log'!$A$3:$A$500))))</f>
        <v/>
      </c>
    </row>
    <row r="282" spans="1:44" x14ac:dyDescent="0.25">
      <c r="A282" s="1"/>
      <c r="B282" s="1"/>
      <c r="C282" s="1"/>
      <c r="D282" s="12" t="str">
        <f t="shared" ca="1" si="24"/>
        <v/>
      </c>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2" t="str">
        <f t="shared" si="25"/>
        <v/>
      </c>
      <c r="AI282" s="12" t="str">
        <f>IF($B282="","",COUNTIF('Rework Log'!$A$3:$A$500,$B282))</f>
        <v/>
      </c>
      <c r="AJ282" s="12" t="str">
        <f>IF(OR($B282="",$AR282=0),"",INDEX('Rework Log'!$C:$C,$AR282))</f>
        <v/>
      </c>
      <c r="AK282" s="12" t="str">
        <f>IF(OR($B282="",$AR282=0),"",INDEX('Rework Log'!$H:$H,$AR282))</f>
        <v/>
      </c>
      <c r="AL282" s="12" t="str">
        <f>IF(OR($B282="",$AR282=0),"",INDEX('Rework Log'!$G:$G,$AR282))</f>
        <v/>
      </c>
      <c r="AM282" s="12" t="str">
        <f t="shared" si="26"/>
        <v/>
      </c>
      <c r="AN282" s="12" t="str">
        <f t="shared" si="27"/>
        <v/>
      </c>
      <c r="AO282" s="12" t="str">
        <f t="shared" si="28"/>
        <v/>
      </c>
      <c r="AP282" s="12" t="str">
        <f t="shared" si="29"/>
        <v/>
      </c>
      <c r="AQ282" s="1"/>
      <c r="AR282" s="12" t="str">
        <f>IF($B282="","",SUMPRODUCT(MAX(('Rework Log'!$A$3:$A$500=$B282)*ROW('Rework Log'!$A$3:$A$500))))</f>
        <v/>
      </c>
    </row>
    <row r="283" spans="1:44" x14ac:dyDescent="0.25">
      <c r="A283" s="1"/>
      <c r="B283" s="1"/>
      <c r="C283" s="1"/>
      <c r="D283" s="12" t="str">
        <f t="shared" ca="1" si="24"/>
        <v/>
      </c>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2" t="str">
        <f t="shared" si="25"/>
        <v/>
      </c>
      <c r="AI283" s="12" t="str">
        <f>IF($B283="","",COUNTIF('Rework Log'!$A$3:$A$500,$B283))</f>
        <v/>
      </c>
      <c r="AJ283" s="12" t="str">
        <f>IF(OR($B283="",$AR283=0),"",INDEX('Rework Log'!$C:$C,$AR283))</f>
        <v/>
      </c>
      <c r="AK283" s="12" t="str">
        <f>IF(OR($B283="",$AR283=0),"",INDEX('Rework Log'!$H:$H,$AR283))</f>
        <v/>
      </c>
      <c r="AL283" s="12" t="str">
        <f>IF(OR($B283="",$AR283=0),"",INDEX('Rework Log'!$G:$G,$AR283))</f>
        <v/>
      </c>
      <c r="AM283" s="12" t="str">
        <f t="shared" si="26"/>
        <v/>
      </c>
      <c r="AN283" s="12" t="str">
        <f t="shared" si="27"/>
        <v/>
      </c>
      <c r="AO283" s="12" t="str">
        <f t="shared" si="28"/>
        <v/>
      </c>
      <c r="AP283" s="12" t="str">
        <f t="shared" si="29"/>
        <v/>
      </c>
      <c r="AQ283" s="1"/>
      <c r="AR283" s="12" t="str">
        <f>IF($B283="","",SUMPRODUCT(MAX(('Rework Log'!$A$3:$A$500=$B283)*ROW('Rework Log'!$A$3:$A$500))))</f>
        <v/>
      </c>
    </row>
    <row r="284" spans="1:44" x14ac:dyDescent="0.25">
      <c r="A284" s="1"/>
      <c r="B284" s="1"/>
      <c r="C284" s="1"/>
      <c r="D284" s="12" t="str">
        <f t="shared" ca="1" si="24"/>
        <v/>
      </c>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2" t="str">
        <f t="shared" si="25"/>
        <v/>
      </c>
      <c r="AI284" s="12" t="str">
        <f>IF($B284="","",COUNTIF('Rework Log'!$A$3:$A$500,$B284))</f>
        <v/>
      </c>
      <c r="AJ284" s="12" t="str">
        <f>IF(OR($B284="",$AR284=0),"",INDEX('Rework Log'!$C:$C,$AR284))</f>
        <v/>
      </c>
      <c r="AK284" s="12" t="str">
        <f>IF(OR($B284="",$AR284=0),"",INDEX('Rework Log'!$H:$H,$AR284))</f>
        <v/>
      </c>
      <c r="AL284" s="12" t="str">
        <f>IF(OR($B284="",$AR284=0),"",INDEX('Rework Log'!$G:$G,$AR284))</f>
        <v/>
      </c>
      <c r="AM284" s="12" t="str">
        <f t="shared" si="26"/>
        <v/>
      </c>
      <c r="AN284" s="12" t="str">
        <f t="shared" si="27"/>
        <v/>
      </c>
      <c r="AO284" s="12" t="str">
        <f t="shared" si="28"/>
        <v/>
      </c>
      <c r="AP284" s="12" t="str">
        <f t="shared" si="29"/>
        <v/>
      </c>
      <c r="AQ284" s="1"/>
      <c r="AR284" s="12" t="str">
        <f>IF($B284="","",SUMPRODUCT(MAX(('Rework Log'!$A$3:$A$500=$B284)*ROW('Rework Log'!$A$3:$A$500))))</f>
        <v/>
      </c>
    </row>
    <row r="285" spans="1:44" x14ac:dyDescent="0.25">
      <c r="A285" s="1"/>
      <c r="B285" s="1"/>
      <c r="C285" s="1"/>
      <c r="D285" s="12" t="str">
        <f t="shared" ca="1" si="24"/>
        <v/>
      </c>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2" t="str">
        <f t="shared" si="25"/>
        <v/>
      </c>
      <c r="AI285" s="12" t="str">
        <f>IF($B285="","",COUNTIF('Rework Log'!$A$3:$A$500,$B285))</f>
        <v/>
      </c>
      <c r="AJ285" s="12" t="str">
        <f>IF(OR($B285="",$AR285=0),"",INDEX('Rework Log'!$C:$C,$AR285))</f>
        <v/>
      </c>
      <c r="AK285" s="12" t="str">
        <f>IF(OR($B285="",$AR285=0),"",INDEX('Rework Log'!$H:$H,$AR285))</f>
        <v/>
      </c>
      <c r="AL285" s="12" t="str">
        <f>IF(OR($B285="",$AR285=0),"",INDEX('Rework Log'!$G:$G,$AR285))</f>
        <v/>
      </c>
      <c r="AM285" s="12" t="str">
        <f t="shared" si="26"/>
        <v/>
      </c>
      <c r="AN285" s="12" t="str">
        <f t="shared" si="27"/>
        <v/>
      </c>
      <c r="AO285" s="12" t="str">
        <f t="shared" si="28"/>
        <v/>
      </c>
      <c r="AP285" s="12" t="str">
        <f t="shared" si="29"/>
        <v/>
      </c>
      <c r="AQ285" s="1"/>
      <c r="AR285" s="12" t="str">
        <f>IF($B285="","",SUMPRODUCT(MAX(('Rework Log'!$A$3:$A$500=$B285)*ROW('Rework Log'!$A$3:$A$500))))</f>
        <v/>
      </c>
    </row>
    <row r="286" spans="1:44" x14ac:dyDescent="0.25">
      <c r="A286" s="1"/>
      <c r="B286" s="1"/>
      <c r="C286" s="1"/>
      <c r="D286" s="12" t="str">
        <f t="shared" ca="1" si="24"/>
        <v/>
      </c>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2" t="str">
        <f t="shared" si="25"/>
        <v/>
      </c>
      <c r="AI286" s="12" t="str">
        <f>IF($B286="","",COUNTIF('Rework Log'!$A$3:$A$500,$B286))</f>
        <v/>
      </c>
      <c r="AJ286" s="12" t="str">
        <f>IF(OR($B286="",$AR286=0),"",INDEX('Rework Log'!$C:$C,$AR286))</f>
        <v/>
      </c>
      <c r="AK286" s="12" t="str">
        <f>IF(OR($B286="",$AR286=0),"",INDEX('Rework Log'!$H:$H,$AR286))</f>
        <v/>
      </c>
      <c r="AL286" s="12" t="str">
        <f>IF(OR($B286="",$AR286=0),"",INDEX('Rework Log'!$G:$G,$AR286))</f>
        <v/>
      </c>
      <c r="AM286" s="12" t="str">
        <f t="shared" si="26"/>
        <v/>
      </c>
      <c r="AN286" s="12" t="str">
        <f t="shared" si="27"/>
        <v/>
      </c>
      <c r="AO286" s="12" t="str">
        <f t="shared" si="28"/>
        <v/>
      </c>
      <c r="AP286" s="12" t="str">
        <f t="shared" si="29"/>
        <v/>
      </c>
      <c r="AQ286" s="1"/>
      <c r="AR286" s="12" t="str">
        <f>IF($B286="","",SUMPRODUCT(MAX(('Rework Log'!$A$3:$A$500=$B286)*ROW('Rework Log'!$A$3:$A$500))))</f>
        <v/>
      </c>
    </row>
    <row r="287" spans="1:44" x14ac:dyDescent="0.25">
      <c r="A287" s="1"/>
      <c r="B287" s="1"/>
      <c r="C287" s="1"/>
      <c r="D287" s="12" t="str">
        <f t="shared" ca="1" si="24"/>
        <v/>
      </c>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2" t="str">
        <f t="shared" si="25"/>
        <v/>
      </c>
      <c r="AI287" s="12" t="str">
        <f>IF($B287="","",COUNTIF('Rework Log'!$A$3:$A$500,$B287))</f>
        <v/>
      </c>
      <c r="AJ287" s="12" t="str">
        <f>IF(OR($B287="",$AR287=0),"",INDEX('Rework Log'!$C:$C,$AR287))</f>
        <v/>
      </c>
      <c r="AK287" s="12" t="str">
        <f>IF(OR($B287="",$AR287=0),"",INDEX('Rework Log'!$H:$H,$AR287))</f>
        <v/>
      </c>
      <c r="AL287" s="12" t="str">
        <f>IF(OR($B287="",$AR287=0),"",INDEX('Rework Log'!$G:$G,$AR287))</f>
        <v/>
      </c>
      <c r="AM287" s="12" t="str">
        <f t="shared" si="26"/>
        <v/>
      </c>
      <c r="AN287" s="12" t="str">
        <f t="shared" si="27"/>
        <v/>
      </c>
      <c r="AO287" s="12" t="str">
        <f t="shared" si="28"/>
        <v/>
      </c>
      <c r="AP287" s="12" t="str">
        <f t="shared" si="29"/>
        <v/>
      </c>
      <c r="AQ287" s="1"/>
      <c r="AR287" s="12" t="str">
        <f>IF($B287="","",SUMPRODUCT(MAX(('Rework Log'!$A$3:$A$500=$B287)*ROW('Rework Log'!$A$3:$A$500))))</f>
        <v/>
      </c>
    </row>
    <row r="288" spans="1:44" x14ac:dyDescent="0.25">
      <c r="A288" s="1"/>
      <c r="B288" s="1"/>
      <c r="C288" s="1"/>
      <c r="D288" s="12" t="str">
        <f t="shared" ca="1" si="24"/>
        <v/>
      </c>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2" t="str">
        <f t="shared" si="25"/>
        <v/>
      </c>
      <c r="AI288" s="12" t="str">
        <f>IF($B288="","",COUNTIF('Rework Log'!$A$3:$A$500,$B288))</f>
        <v/>
      </c>
      <c r="AJ288" s="12" t="str">
        <f>IF(OR($B288="",$AR288=0),"",INDEX('Rework Log'!$C:$C,$AR288))</f>
        <v/>
      </c>
      <c r="AK288" s="12" t="str">
        <f>IF(OR($B288="",$AR288=0),"",INDEX('Rework Log'!$H:$H,$AR288))</f>
        <v/>
      </c>
      <c r="AL288" s="12" t="str">
        <f>IF(OR($B288="",$AR288=0),"",INDEX('Rework Log'!$G:$G,$AR288))</f>
        <v/>
      </c>
      <c r="AM288" s="12" t="str">
        <f t="shared" si="26"/>
        <v/>
      </c>
      <c r="AN288" s="12" t="str">
        <f t="shared" si="27"/>
        <v/>
      </c>
      <c r="AO288" s="12" t="str">
        <f t="shared" si="28"/>
        <v/>
      </c>
      <c r="AP288" s="12" t="str">
        <f t="shared" si="29"/>
        <v/>
      </c>
      <c r="AQ288" s="1"/>
      <c r="AR288" s="12" t="str">
        <f>IF($B288="","",SUMPRODUCT(MAX(('Rework Log'!$A$3:$A$500=$B288)*ROW('Rework Log'!$A$3:$A$500))))</f>
        <v/>
      </c>
    </row>
    <row r="289" spans="1:44" x14ac:dyDescent="0.25">
      <c r="A289" s="1"/>
      <c r="B289" s="1"/>
      <c r="C289" s="1"/>
      <c r="D289" s="12" t="str">
        <f t="shared" ca="1" si="24"/>
        <v/>
      </c>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2" t="str">
        <f t="shared" si="25"/>
        <v/>
      </c>
      <c r="AI289" s="12" t="str">
        <f>IF($B289="","",COUNTIF('Rework Log'!$A$3:$A$500,$B289))</f>
        <v/>
      </c>
      <c r="AJ289" s="12" t="str">
        <f>IF(OR($B289="",$AR289=0),"",INDEX('Rework Log'!$C:$C,$AR289))</f>
        <v/>
      </c>
      <c r="AK289" s="12" t="str">
        <f>IF(OR($B289="",$AR289=0),"",INDEX('Rework Log'!$H:$H,$AR289))</f>
        <v/>
      </c>
      <c r="AL289" s="12" t="str">
        <f>IF(OR($B289="",$AR289=0),"",INDEX('Rework Log'!$G:$G,$AR289))</f>
        <v/>
      </c>
      <c r="AM289" s="12" t="str">
        <f t="shared" si="26"/>
        <v/>
      </c>
      <c r="AN289" s="12" t="str">
        <f t="shared" si="27"/>
        <v/>
      </c>
      <c r="AO289" s="12" t="str">
        <f t="shared" si="28"/>
        <v/>
      </c>
      <c r="AP289" s="12" t="str">
        <f t="shared" si="29"/>
        <v/>
      </c>
      <c r="AQ289" s="1"/>
      <c r="AR289" s="12" t="str">
        <f>IF($B289="","",SUMPRODUCT(MAX(('Rework Log'!$A$3:$A$500=$B289)*ROW('Rework Log'!$A$3:$A$500))))</f>
        <v/>
      </c>
    </row>
    <row r="290" spans="1:44" x14ac:dyDescent="0.25">
      <c r="A290" s="1"/>
      <c r="B290" s="1"/>
      <c r="C290" s="1"/>
      <c r="D290" s="12" t="str">
        <f t="shared" ca="1" si="24"/>
        <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2" t="str">
        <f t="shared" si="25"/>
        <v/>
      </c>
      <c r="AI290" s="12" t="str">
        <f>IF($B290="","",COUNTIF('Rework Log'!$A$3:$A$500,$B290))</f>
        <v/>
      </c>
      <c r="AJ290" s="12" t="str">
        <f>IF(OR($B290="",$AR290=0),"",INDEX('Rework Log'!$C:$C,$AR290))</f>
        <v/>
      </c>
      <c r="AK290" s="12" t="str">
        <f>IF(OR($B290="",$AR290=0),"",INDEX('Rework Log'!$H:$H,$AR290))</f>
        <v/>
      </c>
      <c r="AL290" s="12" t="str">
        <f>IF(OR($B290="",$AR290=0),"",INDEX('Rework Log'!$G:$G,$AR290))</f>
        <v/>
      </c>
      <c r="AM290" s="12" t="str">
        <f t="shared" si="26"/>
        <v/>
      </c>
      <c r="AN290" s="12" t="str">
        <f t="shared" si="27"/>
        <v/>
      </c>
      <c r="AO290" s="12" t="str">
        <f t="shared" si="28"/>
        <v/>
      </c>
      <c r="AP290" s="12" t="str">
        <f t="shared" si="29"/>
        <v/>
      </c>
      <c r="AQ290" s="1"/>
      <c r="AR290" s="12" t="str">
        <f>IF($B290="","",SUMPRODUCT(MAX(('Rework Log'!$A$3:$A$500=$B290)*ROW('Rework Log'!$A$3:$A$500))))</f>
        <v/>
      </c>
    </row>
    <row r="291" spans="1:44" x14ac:dyDescent="0.25">
      <c r="A291" s="1"/>
      <c r="B291" s="1"/>
      <c r="C291" s="1"/>
      <c r="D291" s="12" t="str">
        <f t="shared" ca="1" si="24"/>
        <v/>
      </c>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2" t="str">
        <f t="shared" si="25"/>
        <v/>
      </c>
      <c r="AI291" s="12" t="str">
        <f>IF($B291="","",COUNTIF('Rework Log'!$A$3:$A$500,$B291))</f>
        <v/>
      </c>
      <c r="AJ291" s="12" t="str">
        <f>IF(OR($B291="",$AR291=0),"",INDEX('Rework Log'!$C:$C,$AR291))</f>
        <v/>
      </c>
      <c r="AK291" s="12" t="str">
        <f>IF(OR($B291="",$AR291=0),"",INDEX('Rework Log'!$H:$H,$AR291))</f>
        <v/>
      </c>
      <c r="AL291" s="12" t="str">
        <f>IF(OR($B291="",$AR291=0),"",INDEX('Rework Log'!$G:$G,$AR291))</f>
        <v/>
      </c>
      <c r="AM291" s="12" t="str">
        <f t="shared" si="26"/>
        <v/>
      </c>
      <c r="AN291" s="12" t="str">
        <f t="shared" si="27"/>
        <v/>
      </c>
      <c r="AO291" s="12" t="str">
        <f t="shared" si="28"/>
        <v/>
      </c>
      <c r="AP291" s="12" t="str">
        <f t="shared" si="29"/>
        <v/>
      </c>
      <c r="AQ291" s="1"/>
      <c r="AR291" s="12" t="str">
        <f>IF($B291="","",SUMPRODUCT(MAX(('Rework Log'!$A$3:$A$500=$B291)*ROW('Rework Log'!$A$3:$A$500))))</f>
        <v/>
      </c>
    </row>
    <row r="292" spans="1:44" x14ac:dyDescent="0.25">
      <c r="A292" s="1"/>
      <c r="B292" s="1"/>
      <c r="C292" s="1"/>
      <c r="D292" s="12" t="str">
        <f t="shared" ca="1" si="24"/>
        <v/>
      </c>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2" t="str">
        <f t="shared" si="25"/>
        <v/>
      </c>
      <c r="AI292" s="12" t="str">
        <f>IF($B292="","",COUNTIF('Rework Log'!$A$3:$A$500,$B292))</f>
        <v/>
      </c>
      <c r="AJ292" s="12" t="str">
        <f>IF(OR($B292="",$AR292=0),"",INDEX('Rework Log'!$C:$C,$AR292))</f>
        <v/>
      </c>
      <c r="AK292" s="12" t="str">
        <f>IF(OR($B292="",$AR292=0),"",INDEX('Rework Log'!$H:$H,$AR292))</f>
        <v/>
      </c>
      <c r="AL292" s="12" t="str">
        <f>IF(OR($B292="",$AR292=0),"",INDEX('Rework Log'!$G:$G,$AR292))</f>
        <v/>
      </c>
      <c r="AM292" s="12" t="str">
        <f t="shared" si="26"/>
        <v/>
      </c>
      <c r="AN292" s="12" t="str">
        <f t="shared" si="27"/>
        <v/>
      </c>
      <c r="AO292" s="12" t="str">
        <f t="shared" si="28"/>
        <v/>
      </c>
      <c r="AP292" s="12" t="str">
        <f t="shared" si="29"/>
        <v/>
      </c>
      <c r="AQ292" s="1"/>
      <c r="AR292" s="12" t="str">
        <f>IF($B292="","",SUMPRODUCT(MAX(('Rework Log'!$A$3:$A$500=$B292)*ROW('Rework Log'!$A$3:$A$500))))</f>
        <v/>
      </c>
    </row>
    <row r="293" spans="1:44" x14ac:dyDescent="0.25">
      <c r="A293" s="1"/>
      <c r="B293" s="1"/>
      <c r="C293" s="1"/>
      <c r="D293" s="12" t="str">
        <f t="shared" ca="1" si="24"/>
        <v/>
      </c>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2" t="str">
        <f t="shared" si="25"/>
        <v/>
      </c>
      <c r="AI293" s="12" t="str">
        <f>IF($B293="","",COUNTIF('Rework Log'!$A$3:$A$500,$B293))</f>
        <v/>
      </c>
      <c r="AJ293" s="12" t="str">
        <f>IF(OR($B293="",$AR293=0),"",INDEX('Rework Log'!$C:$C,$AR293))</f>
        <v/>
      </c>
      <c r="AK293" s="12" t="str">
        <f>IF(OR($B293="",$AR293=0),"",INDEX('Rework Log'!$H:$H,$AR293))</f>
        <v/>
      </c>
      <c r="AL293" s="12" t="str">
        <f>IF(OR($B293="",$AR293=0),"",INDEX('Rework Log'!$G:$G,$AR293))</f>
        <v/>
      </c>
      <c r="AM293" s="12" t="str">
        <f t="shared" si="26"/>
        <v/>
      </c>
      <c r="AN293" s="12" t="str">
        <f t="shared" si="27"/>
        <v/>
      </c>
      <c r="AO293" s="12" t="str">
        <f t="shared" si="28"/>
        <v/>
      </c>
      <c r="AP293" s="12" t="str">
        <f t="shared" si="29"/>
        <v/>
      </c>
      <c r="AQ293" s="1"/>
      <c r="AR293" s="12" t="str">
        <f>IF($B293="","",SUMPRODUCT(MAX(('Rework Log'!$A$3:$A$500=$B293)*ROW('Rework Log'!$A$3:$A$500))))</f>
        <v/>
      </c>
    </row>
    <row r="294" spans="1:44" x14ac:dyDescent="0.25">
      <c r="A294" s="1"/>
      <c r="B294" s="1"/>
      <c r="C294" s="1"/>
      <c r="D294" s="12" t="str">
        <f t="shared" ca="1" si="24"/>
        <v/>
      </c>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2" t="str">
        <f t="shared" si="25"/>
        <v/>
      </c>
      <c r="AI294" s="12" t="str">
        <f>IF($B294="","",COUNTIF('Rework Log'!$A$3:$A$500,$B294))</f>
        <v/>
      </c>
      <c r="AJ294" s="12" t="str">
        <f>IF(OR($B294="",$AR294=0),"",INDEX('Rework Log'!$C:$C,$AR294))</f>
        <v/>
      </c>
      <c r="AK294" s="12" t="str">
        <f>IF(OR($B294="",$AR294=0),"",INDEX('Rework Log'!$H:$H,$AR294))</f>
        <v/>
      </c>
      <c r="AL294" s="12" t="str">
        <f>IF(OR($B294="",$AR294=0),"",INDEX('Rework Log'!$G:$G,$AR294))</f>
        <v/>
      </c>
      <c r="AM294" s="12" t="str">
        <f t="shared" si="26"/>
        <v/>
      </c>
      <c r="AN294" s="12" t="str">
        <f t="shared" si="27"/>
        <v/>
      </c>
      <c r="AO294" s="12" t="str">
        <f t="shared" si="28"/>
        <v/>
      </c>
      <c r="AP294" s="12" t="str">
        <f t="shared" si="29"/>
        <v/>
      </c>
      <c r="AQ294" s="1"/>
      <c r="AR294" s="12" t="str">
        <f>IF($B294="","",SUMPRODUCT(MAX(('Rework Log'!$A$3:$A$500=$B294)*ROW('Rework Log'!$A$3:$A$500))))</f>
        <v/>
      </c>
    </row>
    <row r="295" spans="1:44" x14ac:dyDescent="0.25">
      <c r="A295" s="1"/>
      <c r="B295" s="1"/>
      <c r="C295" s="1"/>
      <c r="D295" s="12" t="str">
        <f t="shared" ca="1" si="24"/>
        <v/>
      </c>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2" t="str">
        <f t="shared" si="25"/>
        <v/>
      </c>
      <c r="AI295" s="12" t="str">
        <f>IF($B295="","",COUNTIF('Rework Log'!$A$3:$A$500,$B295))</f>
        <v/>
      </c>
      <c r="AJ295" s="12" t="str">
        <f>IF(OR($B295="",$AR295=0),"",INDEX('Rework Log'!$C:$C,$AR295))</f>
        <v/>
      </c>
      <c r="AK295" s="12" t="str">
        <f>IF(OR($B295="",$AR295=0),"",INDEX('Rework Log'!$H:$H,$AR295))</f>
        <v/>
      </c>
      <c r="AL295" s="12" t="str">
        <f>IF(OR($B295="",$AR295=0),"",INDEX('Rework Log'!$G:$G,$AR295))</f>
        <v/>
      </c>
      <c r="AM295" s="12" t="str">
        <f t="shared" si="26"/>
        <v/>
      </c>
      <c r="AN295" s="12" t="str">
        <f t="shared" si="27"/>
        <v/>
      </c>
      <c r="AO295" s="12" t="str">
        <f t="shared" si="28"/>
        <v/>
      </c>
      <c r="AP295" s="12" t="str">
        <f t="shared" si="29"/>
        <v/>
      </c>
      <c r="AQ295" s="1"/>
      <c r="AR295" s="12" t="str">
        <f>IF($B295="","",SUMPRODUCT(MAX(('Rework Log'!$A$3:$A$500=$B295)*ROW('Rework Log'!$A$3:$A$500))))</f>
        <v/>
      </c>
    </row>
    <row r="296" spans="1:44" x14ac:dyDescent="0.25">
      <c r="A296" s="1"/>
      <c r="B296" s="1"/>
      <c r="C296" s="1"/>
      <c r="D296" s="12" t="str">
        <f t="shared" ca="1" si="24"/>
        <v/>
      </c>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2" t="str">
        <f t="shared" si="25"/>
        <v/>
      </c>
      <c r="AI296" s="12" t="str">
        <f>IF($B296="","",COUNTIF('Rework Log'!$A$3:$A$500,$B296))</f>
        <v/>
      </c>
      <c r="AJ296" s="12" t="str">
        <f>IF(OR($B296="",$AR296=0),"",INDEX('Rework Log'!$C:$C,$AR296))</f>
        <v/>
      </c>
      <c r="AK296" s="12" t="str">
        <f>IF(OR($B296="",$AR296=0),"",INDEX('Rework Log'!$H:$H,$AR296))</f>
        <v/>
      </c>
      <c r="AL296" s="12" t="str">
        <f>IF(OR($B296="",$AR296=0),"",INDEX('Rework Log'!$G:$G,$AR296))</f>
        <v/>
      </c>
      <c r="AM296" s="12" t="str">
        <f t="shared" si="26"/>
        <v/>
      </c>
      <c r="AN296" s="12" t="str">
        <f t="shared" si="27"/>
        <v/>
      </c>
      <c r="AO296" s="12" t="str">
        <f t="shared" si="28"/>
        <v/>
      </c>
      <c r="AP296" s="12" t="str">
        <f t="shared" si="29"/>
        <v/>
      </c>
      <c r="AQ296" s="1"/>
      <c r="AR296" s="12" t="str">
        <f>IF($B296="","",SUMPRODUCT(MAX(('Rework Log'!$A$3:$A$500=$B296)*ROW('Rework Log'!$A$3:$A$500))))</f>
        <v/>
      </c>
    </row>
    <row r="297" spans="1:44" x14ac:dyDescent="0.25">
      <c r="A297" s="1"/>
      <c r="B297" s="1"/>
      <c r="C297" s="1"/>
      <c r="D297" s="12" t="str">
        <f t="shared" ca="1" si="24"/>
        <v/>
      </c>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2" t="str">
        <f t="shared" si="25"/>
        <v/>
      </c>
      <c r="AI297" s="12" t="str">
        <f>IF($B297="","",COUNTIF('Rework Log'!$A$3:$A$500,$B297))</f>
        <v/>
      </c>
      <c r="AJ297" s="12" t="str">
        <f>IF(OR($B297="",$AR297=0),"",INDEX('Rework Log'!$C:$C,$AR297))</f>
        <v/>
      </c>
      <c r="AK297" s="12" t="str">
        <f>IF(OR($B297="",$AR297=0),"",INDEX('Rework Log'!$H:$H,$AR297))</f>
        <v/>
      </c>
      <c r="AL297" s="12" t="str">
        <f>IF(OR($B297="",$AR297=0),"",INDEX('Rework Log'!$G:$G,$AR297))</f>
        <v/>
      </c>
      <c r="AM297" s="12" t="str">
        <f t="shared" si="26"/>
        <v/>
      </c>
      <c r="AN297" s="12" t="str">
        <f t="shared" si="27"/>
        <v/>
      </c>
      <c r="AO297" s="12" t="str">
        <f t="shared" si="28"/>
        <v/>
      </c>
      <c r="AP297" s="12" t="str">
        <f t="shared" si="29"/>
        <v/>
      </c>
      <c r="AQ297" s="1"/>
      <c r="AR297" s="12" t="str">
        <f>IF($B297="","",SUMPRODUCT(MAX(('Rework Log'!$A$3:$A$500=$B297)*ROW('Rework Log'!$A$3:$A$500))))</f>
        <v/>
      </c>
    </row>
    <row r="298" spans="1:44" x14ac:dyDescent="0.25">
      <c r="A298" s="1"/>
      <c r="B298" s="1"/>
      <c r="C298" s="1"/>
      <c r="D298" s="12" t="str">
        <f t="shared" ca="1" si="24"/>
        <v/>
      </c>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2" t="str">
        <f t="shared" si="25"/>
        <v/>
      </c>
      <c r="AI298" s="12" t="str">
        <f>IF($B298="","",COUNTIF('Rework Log'!$A$3:$A$500,$B298))</f>
        <v/>
      </c>
      <c r="AJ298" s="12" t="str">
        <f>IF(OR($B298="",$AR298=0),"",INDEX('Rework Log'!$C:$C,$AR298))</f>
        <v/>
      </c>
      <c r="AK298" s="12" t="str">
        <f>IF(OR($B298="",$AR298=0),"",INDEX('Rework Log'!$H:$H,$AR298))</f>
        <v/>
      </c>
      <c r="AL298" s="12" t="str">
        <f>IF(OR($B298="",$AR298=0),"",INDEX('Rework Log'!$G:$G,$AR298))</f>
        <v/>
      </c>
      <c r="AM298" s="12" t="str">
        <f t="shared" si="26"/>
        <v/>
      </c>
      <c r="AN298" s="12" t="str">
        <f t="shared" si="27"/>
        <v/>
      </c>
      <c r="AO298" s="12" t="str">
        <f t="shared" si="28"/>
        <v/>
      </c>
      <c r="AP298" s="12" t="str">
        <f t="shared" si="29"/>
        <v/>
      </c>
      <c r="AQ298" s="1"/>
      <c r="AR298" s="12" t="str">
        <f>IF($B298="","",SUMPRODUCT(MAX(('Rework Log'!$A$3:$A$500=$B298)*ROW('Rework Log'!$A$3:$A$500))))</f>
        <v/>
      </c>
    </row>
    <row r="299" spans="1:44" x14ac:dyDescent="0.25">
      <c r="A299" s="1"/>
      <c r="B299" s="1"/>
      <c r="C299" s="1"/>
      <c r="D299" s="12" t="str">
        <f t="shared" ca="1" si="24"/>
        <v/>
      </c>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2" t="str">
        <f t="shared" si="25"/>
        <v/>
      </c>
      <c r="AI299" s="12" t="str">
        <f>IF($B299="","",COUNTIF('Rework Log'!$A$3:$A$500,$B299))</f>
        <v/>
      </c>
      <c r="AJ299" s="12" t="str">
        <f>IF(OR($B299="",$AR299=0),"",INDEX('Rework Log'!$C:$C,$AR299))</f>
        <v/>
      </c>
      <c r="AK299" s="12" t="str">
        <f>IF(OR($B299="",$AR299=0),"",INDEX('Rework Log'!$H:$H,$AR299))</f>
        <v/>
      </c>
      <c r="AL299" s="12" t="str">
        <f>IF(OR($B299="",$AR299=0),"",INDEX('Rework Log'!$G:$G,$AR299))</f>
        <v/>
      </c>
      <c r="AM299" s="12" t="str">
        <f t="shared" si="26"/>
        <v/>
      </c>
      <c r="AN299" s="12" t="str">
        <f t="shared" si="27"/>
        <v/>
      </c>
      <c r="AO299" s="12" t="str">
        <f t="shared" si="28"/>
        <v/>
      </c>
      <c r="AP299" s="12" t="str">
        <f t="shared" si="29"/>
        <v/>
      </c>
      <c r="AQ299" s="1"/>
      <c r="AR299" s="12" t="str">
        <f>IF($B299="","",SUMPRODUCT(MAX(('Rework Log'!$A$3:$A$500=$B299)*ROW('Rework Log'!$A$3:$A$500))))</f>
        <v/>
      </c>
    </row>
    <row r="300" spans="1:44" x14ac:dyDescent="0.25">
      <c r="A300" s="1"/>
      <c r="B300" s="1"/>
      <c r="C300" s="1"/>
      <c r="D300" s="12" t="str">
        <f t="shared" ca="1" si="24"/>
        <v/>
      </c>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2" t="str">
        <f t="shared" si="25"/>
        <v/>
      </c>
      <c r="AI300" s="12" t="str">
        <f>IF($B300="","",COUNTIF('Rework Log'!$A$3:$A$500,$B300))</f>
        <v/>
      </c>
      <c r="AJ300" s="12" t="str">
        <f>IF(OR($B300="",$AR300=0),"",INDEX('Rework Log'!$C:$C,$AR300))</f>
        <v/>
      </c>
      <c r="AK300" s="12" t="str">
        <f>IF(OR($B300="",$AR300=0),"",INDEX('Rework Log'!$H:$H,$AR300))</f>
        <v/>
      </c>
      <c r="AL300" s="12" t="str">
        <f>IF(OR($B300="",$AR300=0),"",INDEX('Rework Log'!$G:$G,$AR300))</f>
        <v/>
      </c>
      <c r="AM300" s="12" t="str">
        <f t="shared" si="26"/>
        <v/>
      </c>
      <c r="AN300" s="12" t="str">
        <f t="shared" si="27"/>
        <v/>
      </c>
      <c r="AO300" s="12" t="str">
        <f t="shared" si="28"/>
        <v/>
      </c>
      <c r="AP300" s="12" t="str">
        <f t="shared" si="29"/>
        <v/>
      </c>
      <c r="AQ300" s="1"/>
      <c r="AR300" s="12" t="str">
        <f>IF($B300="","",SUMPRODUCT(MAX(('Rework Log'!$A$3:$A$500=$B300)*ROW('Rework Log'!$A$3:$A$500))))</f>
        <v/>
      </c>
    </row>
    <row r="301" spans="1:44" x14ac:dyDescent="0.25">
      <c r="A301" s="1"/>
      <c r="B301" s="1"/>
      <c r="C301" s="1"/>
      <c r="D301" s="12" t="str">
        <f t="shared" ca="1" si="24"/>
        <v/>
      </c>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2" t="str">
        <f t="shared" si="25"/>
        <v/>
      </c>
      <c r="AI301" s="12" t="str">
        <f>IF($B301="","",COUNTIF('Rework Log'!$A$3:$A$500,$B301))</f>
        <v/>
      </c>
      <c r="AJ301" s="12" t="str">
        <f>IF(OR($B301="",$AR301=0),"",INDEX('Rework Log'!$C:$C,$AR301))</f>
        <v/>
      </c>
      <c r="AK301" s="12" t="str">
        <f>IF(OR($B301="",$AR301=0),"",INDEX('Rework Log'!$H:$H,$AR301))</f>
        <v/>
      </c>
      <c r="AL301" s="12" t="str">
        <f>IF(OR($B301="",$AR301=0),"",INDEX('Rework Log'!$G:$G,$AR301))</f>
        <v/>
      </c>
      <c r="AM301" s="12" t="str">
        <f t="shared" si="26"/>
        <v/>
      </c>
      <c r="AN301" s="12" t="str">
        <f t="shared" si="27"/>
        <v/>
      </c>
      <c r="AO301" s="12" t="str">
        <f t="shared" si="28"/>
        <v/>
      </c>
      <c r="AP301" s="12" t="str">
        <f t="shared" si="29"/>
        <v/>
      </c>
      <c r="AQ301" s="1"/>
      <c r="AR301" s="12" t="str">
        <f>IF($B301="","",SUMPRODUCT(MAX(('Rework Log'!$A$3:$A$500=$B301)*ROW('Rework Log'!$A$3:$A$500))))</f>
        <v/>
      </c>
    </row>
    <row r="302" spans="1:44" x14ac:dyDescent="0.25">
      <c r="A302" s="1"/>
      <c r="B302" s="1"/>
      <c r="C302" s="1"/>
      <c r="D302" s="12" t="str">
        <f t="shared" ca="1" si="24"/>
        <v/>
      </c>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2" t="str">
        <f t="shared" si="25"/>
        <v/>
      </c>
      <c r="AI302" s="12" t="str">
        <f>IF($B302="","",COUNTIF('Rework Log'!$A$3:$A$500,$B302))</f>
        <v/>
      </c>
      <c r="AJ302" s="12" t="str">
        <f>IF(OR($B302="",$AR302=0),"",INDEX('Rework Log'!$C:$C,$AR302))</f>
        <v/>
      </c>
      <c r="AK302" s="12" t="str">
        <f>IF(OR($B302="",$AR302=0),"",INDEX('Rework Log'!$H:$H,$AR302))</f>
        <v/>
      </c>
      <c r="AL302" s="12" t="str">
        <f>IF(OR($B302="",$AR302=0),"",INDEX('Rework Log'!$G:$G,$AR302))</f>
        <v/>
      </c>
      <c r="AM302" s="12" t="str">
        <f t="shared" si="26"/>
        <v/>
      </c>
      <c r="AN302" s="12" t="str">
        <f t="shared" si="27"/>
        <v/>
      </c>
      <c r="AO302" s="12" t="str">
        <f t="shared" si="28"/>
        <v/>
      </c>
      <c r="AP302" s="12" t="str">
        <f t="shared" si="29"/>
        <v/>
      </c>
      <c r="AQ302" s="1"/>
      <c r="AR302" s="12" t="str">
        <f>IF($B302="","",SUMPRODUCT(MAX(('Rework Log'!$A$3:$A$500=$B302)*ROW('Rework Log'!$A$3:$A$500))))</f>
        <v/>
      </c>
    </row>
    <row r="303" spans="1:44" x14ac:dyDescent="0.25">
      <c r="A303" s="1"/>
      <c r="B303" s="1"/>
      <c r="C303" s="1"/>
      <c r="D303" s="12" t="str">
        <f t="shared" ca="1" si="24"/>
        <v/>
      </c>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2" t="str">
        <f t="shared" si="25"/>
        <v/>
      </c>
      <c r="AI303" s="12" t="str">
        <f>IF($B303="","",COUNTIF('Rework Log'!$A$3:$A$500,$B303))</f>
        <v/>
      </c>
      <c r="AJ303" s="12" t="str">
        <f>IF(OR($B303="",$AR303=0),"",INDEX('Rework Log'!$C:$C,$AR303))</f>
        <v/>
      </c>
      <c r="AK303" s="12" t="str">
        <f>IF(OR($B303="",$AR303=0),"",INDEX('Rework Log'!$H:$H,$AR303))</f>
        <v/>
      </c>
      <c r="AL303" s="12" t="str">
        <f>IF(OR($B303="",$AR303=0),"",INDEX('Rework Log'!$G:$G,$AR303))</f>
        <v/>
      </c>
      <c r="AM303" s="12" t="str">
        <f t="shared" si="26"/>
        <v/>
      </c>
      <c r="AN303" s="12" t="str">
        <f t="shared" si="27"/>
        <v/>
      </c>
      <c r="AO303" s="12" t="str">
        <f t="shared" si="28"/>
        <v/>
      </c>
      <c r="AP303" s="12" t="str">
        <f t="shared" si="29"/>
        <v/>
      </c>
      <c r="AQ303" s="1"/>
      <c r="AR303" s="12" t="str">
        <f>IF($B303="","",SUMPRODUCT(MAX(('Rework Log'!$A$3:$A$500=$B303)*ROW('Rework Log'!$A$3:$A$500))))</f>
        <v/>
      </c>
    </row>
    <row r="304" spans="1:44" x14ac:dyDescent="0.25">
      <c r="A304" s="1"/>
      <c r="B304" s="1"/>
      <c r="C304" s="1"/>
      <c r="D304" s="12" t="str">
        <f t="shared" ca="1" si="24"/>
        <v/>
      </c>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2" t="str">
        <f t="shared" si="25"/>
        <v/>
      </c>
      <c r="AI304" s="12" t="str">
        <f>IF($B304="","",COUNTIF('Rework Log'!$A$3:$A$500,$B304))</f>
        <v/>
      </c>
      <c r="AJ304" s="12" t="str">
        <f>IF(OR($B304="",$AR304=0),"",INDEX('Rework Log'!$C:$C,$AR304))</f>
        <v/>
      </c>
      <c r="AK304" s="12" t="str">
        <f>IF(OR($B304="",$AR304=0),"",INDEX('Rework Log'!$H:$H,$AR304))</f>
        <v/>
      </c>
      <c r="AL304" s="12" t="str">
        <f>IF(OR($B304="",$AR304=0),"",INDEX('Rework Log'!$G:$G,$AR304))</f>
        <v/>
      </c>
      <c r="AM304" s="12" t="str">
        <f t="shared" si="26"/>
        <v/>
      </c>
      <c r="AN304" s="12" t="str">
        <f t="shared" si="27"/>
        <v/>
      </c>
      <c r="AO304" s="12" t="str">
        <f t="shared" si="28"/>
        <v/>
      </c>
      <c r="AP304" s="12" t="str">
        <f t="shared" si="29"/>
        <v/>
      </c>
      <c r="AQ304" s="1"/>
      <c r="AR304" s="12" t="str">
        <f>IF($B304="","",SUMPRODUCT(MAX(('Rework Log'!$A$3:$A$500=$B304)*ROW('Rework Log'!$A$3:$A$500))))</f>
        <v/>
      </c>
    </row>
    <row r="305" spans="1:44" x14ac:dyDescent="0.25">
      <c r="A305" s="1"/>
      <c r="B305" s="1"/>
      <c r="C305" s="1"/>
      <c r="D305" s="12" t="str">
        <f t="shared" ca="1" si="24"/>
        <v/>
      </c>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2" t="str">
        <f t="shared" si="25"/>
        <v/>
      </c>
      <c r="AI305" s="12" t="str">
        <f>IF($B305="","",COUNTIF('Rework Log'!$A$3:$A$500,$B305))</f>
        <v/>
      </c>
      <c r="AJ305" s="12" t="str">
        <f>IF(OR($B305="",$AR305=0),"",INDEX('Rework Log'!$C:$C,$AR305))</f>
        <v/>
      </c>
      <c r="AK305" s="12" t="str">
        <f>IF(OR($B305="",$AR305=0),"",INDEX('Rework Log'!$H:$H,$AR305))</f>
        <v/>
      </c>
      <c r="AL305" s="12" t="str">
        <f>IF(OR($B305="",$AR305=0),"",INDEX('Rework Log'!$G:$G,$AR305))</f>
        <v/>
      </c>
      <c r="AM305" s="12" t="str">
        <f t="shared" si="26"/>
        <v/>
      </c>
      <c r="AN305" s="12" t="str">
        <f t="shared" si="27"/>
        <v/>
      </c>
      <c r="AO305" s="12" t="str">
        <f t="shared" si="28"/>
        <v/>
      </c>
      <c r="AP305" s="12" t="str">
        <f t="shared" si="29"/>
        <v/>
      </c>
      <c r="AQ305" s="1"/>
      <c r="AR305" s="12" t="str">
        <f>IF($B305="","",SUMPRODUCT(MAX(('Rework Log'!$A$3:$A$500=$B305)*ROW('Rework Log'!$A$3:$A$500))))</f>
        <v/>
      </c>
    </row>
    <row r="306" spans="1:44" x14ac:dyDescent="0.25">
      <c r="A306" s="1"/>
      <c r="B306" s="1"/>
      <c r="C306" s="1"/>
      <c r="D306" s="12" t="str">
        <f t="shared" ca="1" si="24"/>
        <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2" t="str">
        <f t="shared" si="25"/>
        <v/>
      </c>
      <c r="AI306" s="12" t="str">
        <f>IF($B306="","",COUNTIF('Rework Log'!$A$3:$A$500,$B306))</f>
        <v/>
      </c>
      <c r="AJ306" s="12" t="str">
        <f>IF(OR($B306="",$AR306=0),"",INDEX('Rework Log'!$C:$C,$AR306))</f>
        <v/>
      </c>
      <c r="AK306" s="12" t="str">
        <f>IF(OR($B306="",$AR306=0),"",INDEX('Rework Log'!$H:$H,$AR306))</f>
        <v/>
      </c>
      <c r="AL306" s="12" t="str">
        <f>IF(OR($B306="",$AR306=0),"",INDEX('Rework Log'!$G:$G,$AR306))</f>
        <v/>
      </c>
      <c r="AM306" s="12" t="str">
        <f t="shared" si="26"/>
        <v/>
      </c>
      <c r="AN306" s="12" t="str">
        <f t="shared" si="27"/>
        <v/>
      </c>
      <c r="AO306" s="12" t="str">
        <f t="shared" si="28"/>
        <v/>
      </c>
      <c r="AP306" s="12" t="str">
        <f t="shared" si="29"/>
        <v/>
      </c>
      <c r="AQ306" s="1"/>
      <c r="AR306" s="12" t="str">
        <f>IF($B306="","",SUMPRODUCT(MAX(('Rework Log'!$A$3:$A$500=$B306)*ROW('Rework Log'!$A$3:$A$500))))</f>
        <v/>
      </c>
    </row>
    <row r="307" spans="1:44" x14ac:dyDescent="0.25">
      <c r="A307" s="1"/>
      <c r="B307" s="1"/>
      <c r="C307" s="1"/>
      <c r="D307" s="12" t="str">
        <f t="shared" ca="1" si="24"/>
        <v/>
      </c>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2" t="str">
        <f t="shared" si="25"/>
        <v/>
      </c>
      <c r="AI307" s="12" t="str">
        <f>IF($B307="","",COUNTIF('Rework Log'!$A$3:$A$500,$B307))</f>
        <v/>
      </c>
      <c r="AJ307" s="12" t="str">
        <f>IF(OR($B307="",$AR307=0),"",INDEX('Rework Log'!$C:$C,$AR307))</f>
        <v/>
      </c>
      <c r="AK307" s="12" t="str">
        <f>IF(OR($B307="",$AR307=0),"",INDEX('Rework Log'!$H:$H,$AR307))</f>
        <v/>
      </c>
      <c r="AL307" s="12" t="str">
        <f>IF(OR($B307="",$AR307=0),"",INDEX('Rework Log'!$G:$G,$AR307))</f>
        <v/>
      </c>
      <c r="AM307" s="12" t="str">
        <f t="shared" si="26"/>
        <v/>
      </c>
      <c r="AN307" s="12" t="str">
        <f t="shared" si="27"/>
        <v/>
      </c>
      <c r="AO307" s="12" t="str">
        <f t="shared" si="28"/>
        <v/>
      </c>
      <c r="AP307" s="12" t="str">
        <f t="shared" si="29"/>
        <v/>
      </c>
      <c r="AQ307" s="1"/>
      <c r="AR307" s="12" t="str">
        <f>IF($B307="","",SUMPRODUCT(MAX(('Rework Log'!$A$3:$A$500=$B307)*ROW('Rework Log'!$A$3:$A$500))))</f>
        <v/>
      </c>
    </row>
    <row r="308" spans="1:44" x14ac:dyDescent="0.25">
      <c r="A308" s="1"/>
      <c r="B308" s="1"/>
      <c r="C308" s="1"/>
      <c r="D308" s="12" t="str">
        <f t="shared" ca="1" si="24"/>
        <v/>
      </c>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2" t="str">
        <f t="shared" si="25"/>
        <v/>
      </c>
      <c r="AI308" s="12" t="str">
        <f>IF($B308="","",COUNTIF('Rework Log'!$A$3:$A$500,$B308))</f>
        <v/>
      </c>
      <c r="AJ308" s="12" t="str">
        <f>IF(OR($B308="",$AR308=0),"",INDEX('Rework Log'!$C:$C,$AR308))</f>
        <v/>
      </c>
      <c r="AK308" s="12" t="str">
        <f>IF(OR($B308="",$AR308=0),"",INDEX('Rework Log'!$H:$H,$AR308))</f>
        <v/>
      </c>
      <c r="AL308" s="12" t="str">
        <f>IF(OR($B308="",$AR308=0),"",INDEX('Rework Log'!$G:$G,$AR308))</f>
        <v/>
      </c>
      <c r="AM308" s="12" t="str">
        <f t="shared" si="26"/>
        <v/>
      </c>
      <c r="AN308" s="12" t="str">
        <f t="shared" si="27"/>
        <v/>
      </c>
      <c r="AO308" s="12" t="str">
        <f t="shared" si="28"/>
        <v/>
      </c>
      <c r="AP308" s="12" t="str">
        <f t="shared" si="29"/>
        <v/>
      </c>
      <c r="AQ308" s="1"/>
      <c r="AR308" s="12" t="str">
        <f>IF($B308="","",SUMPRODUCT(MAX(('Rework Log'!$A$3:$A$500=$B308)*ROW('Rework Log'!$A$3:$A$500))))</f>
        <v/>
      </c>
    </row>
    <row r="309" spans="1:44" x14ac:dyDescent="0.25">
      <c r="A309" s="1"/>
      <c r="B309" s="1"/>
      <c r="C309" s="1"/>
      <c r="D309" s="12" t="str">
        <f t="shared" ca="1" si="24"/>
        <v/>
      </c>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2" t="str">
        <f t="shared" si="25"/>
        <v/>
      </c>
      <c r="AI309" s="12" t="str">
        <f>IF($B309="","",COUNTIF('Rework Log'!$A$3:$A$500,$B309))</f>
        <v/>
      </c>
      <c r="AJ309" s="12" t="str">
        <f>IF(OR($B309="",$AR309=0),"",INDEX('Rework Log'!$C:$C,$AR309))</f>
        <v/>
      </c>
      <c r="AK309" s="12" t="str">
        <f>IF(OR($B309="",$AR309=0),"",INDEX('Rework Log'!$H:$H,$AR309))</f>
        <v/>
      </c>
      <c r="AL309" s="12" t="str">
        <f>IF(OR($B309="",$AR309=0),"",INDEX('Rework Log'!$G:$G,$AR309))</f>
        <v/>
      </c>
      <c r="AM309" s="12" t="str">
        <f t="shared" si="26"/>
        <v/>
      </c>
      <c r="AN309" s="12" t="str">
        <f t="shared" si="27"/>
        <v/>
      </c>
      <c r="AO309" s="12" t="str">
        <f t="shared" si="28"/>
        <v/>
      </c>
      <c r="AP309" s="12" t="str">
        <f t="shared" si="29"/>
        <v/>
      </c>
      <c r="AQ309" s="1"/>
      <c r="AR309" s="12" t="str">
        <f>IF($B309="","",SUMPRODUCT(MAX(('Rework Log'!$A$3:$A$500=$B309)*ROW('Rework Log'!$A$3:$A$500))))</f>
        <v/>
      </c>
    </row>
    <row r="310" spans="1:44" x14ac:dyDescent="0.25">
      <c r="A310" s="1"/>
      <c r="B310" s="1"/>
      <c r="C310" s="1"/>
      <c r="D310" s="12" t="str">
        <f t="shared" ca="1" si="24"/>
        <v/>
      </c>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2" t="str">
        <f t="shared" si="25"/>
        <v/>
      </c>
      <c r="AI310" s="12" t="str">
        <f>IF($B310="","",COUNTIF('Rework Log'!$A$3:$A$500,$B310))</f>
        <v/>
      </c>
      <c r="AJ310" s="12" t="str">
        <f>IF(OR($B310="",$AR310=0),"",INDEX('Rework Log'!$C:$C,$AR310))</f>
        <v/>
      </c>
      <c r="AK310" s="12" t="str">
        <f>IF(OR($B310="",$AR310=0),"",INDEX('Rework Log'!$H:$H,$AR310))</f>
        <v/>
      </c>
      <c r="AL310" s="12" t="str">
        <f>IF(OR($B310="",$AR310=0),"",INDEX('Rework Log'!$G:$G,$AR310))</f>
        <v/>
      </c>
      <c r="AM310" s="12" t="str">
        <f t="shared" si="26"/>
        <v/>
      </c>
      <c r="AN310" s="12" t="str">
        <f t="shared" si="27"/>
        <v/>
      </c>
      <c r="AO310" s="12" t="str">
        <f t="shared" si="28"/>
        <v/>
      </c>
      <c r="AP310" s="12" t="str">
        <f t="shared" si="29"/>
        <v/>
      </c>
      <c r="AQ310" s="1"/>
      <c r="AR310" s="12" t="str">
        <f>IF($B310="","",SUMPRODUCT(MAX(('Rework Log'!$A$3:$A$500=$B310)*ROW('Rework Log'!$A$3:$A$500))))</f>
        <v/>
      </c>
    </row>
    <row r="311" spans="1:44" x14ac:dyDescent="0.25">
      <c r="A311" s="1"/>
      <c r="B311" s="1"/>
      <c r="C311" s="1"/>
      <c r="D311" s="12" t="str">
        <f t="shared" ca="1" si="24"/>
        <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2" t="str">
        <f t="shared" si="25"/>
        <v/>
      </c>
      <c r="AI311" s="12" t="str">
        <f>IF($B311="","",COUNTIF('Rework Log'!$A$3:$A$500,$B311))</f>
        <v/>
      </c>
      <c r="AJ311" s="12" t="str">
        <f>IF(OR($B311="",$AR311=0),"",INDEX('Rework Log'!$C:$C,$AR311))</f>
        <v/>
      </c>
      <c r="AK311" s="12" t="str">
        <f>IF(OR($B311="",$AR311=0),"",INDEX('Rework Log'!$H:$H,$AR311))</f>
        <v/>
      </c>
      <c r="AL311" s="12" t="str">
        <f>IF(OR($B311="",$AR311=0),"",INDEX('Rework Log'!$G:$G,$AR311))</f>
        <v/>
      </c>
      <c r="AM311" s="12" t="str">
        <f t="shared" si="26"/>
        <v/>
      </c>
      <c r="AN311" s="12" t="str">
        <f t="shared" si="27"/>
        <v/>
      </c>
      <c r="AO311" s="12" t="str">
        <f t="shared" si="28"/>
        <v/>
      </c>
      <c r="AP311" s="12" t="str">
        <f t="shared" si="29"/>
        <v/>
      </c>
      <c r="AQ311" s="1"/>
      <c r="AR311" s="12" t="str">
        <f>IF($B311="","",SUMPRODUCT(MAX(('Rework Log'!$A$3:$A$500=$B311)*ROW('Rework Log'!$A$3:$A$500))))</f>
        <v/>
      </c>
    </row>
    <row r="312" spans="1:44" x14ac:dyDescent="0.25">
      <c r="A312" s="1"/>
      <c r="B312" s="1"/>
      <c r="C312" s="1"/>
      <c r="D312" s="12" t="str">
        <f t="shared" ca="1" si="24"/>
        <v/>
      </c>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2" t="str">
        <f t="shared" si="25"/>
        <v/>
      </c>
      <c r="AI312" s="12" t="str">
        <f>IF($B312="","",COUNTIF('Rework Log'!$A$3:$A$500,$B312))</f>
        <v/>
      </c>
      <c r="AJ312" s="12" t="str">
        <f>IF(OR($B312="",$AR312=0),"",INDEX('Rework Log'!$C:$C,$AR312))</f>
        <v/>
      </c>
      <c r="AK312" s="12" t="str">
        <f>IF(OR($B312="",$AR312=0),"",INDEX('Rework Log'!$H:$H,$AR312))</f>
        <v/>
      </c>
      <c r="AL312" s="12" t="str">
        <f>IF(OR($B312="",$AR312=0),"",INDEX('Rework Log'!$G:$G,$AR312))</f>
        <v/>
      </c>
      <c r="AM312" s="12" t="str">
        <f t="shared" si="26"/>
        <v/>
      </c>
      <c r="AN312" s="12" t="str">
        <f t="shared" si="27"/>
        <v/>
      </c>
      <c r="AO312" s="12" t="str">
        <f t="shared" si="28"/>
        <v/>
      </c>
      <c r="AP312" s="12" t="str">
        <f t="shared" si="29"/>
        <v/>
      </c>
      <c r="AQ312" s="1"/>
      <c r="AR312" s="12" t="str">
        <f>IF($B312="","",SUMPRODUCT(MAX(('Rework Log'!$A$3:$A$500=$B312)*ROW('Rework Log'!$A$3:$A$500))))</f>
        <v/>
      </c>
    </row>
    <row r="313" spans="1:44" x14ac:dyDescent="0.25">
      <c r="A313" s="1"/>
      <c r="B313" s="1"/>
      <c r="C313" s="1"/>
      <c r="D313" s="12" t="str">
        <f t="shared" ca="1" si="24"/>
        <v/>
      </c>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2" t="str">
        <f t="shared" si="25"/>
        <v/>
      </c>
      <c r="AI313" s="12" t="str">
        <f>IF($B313="","",COUNTIF('Rework Log'!$A$3:$A$500,$B313))</f>
        <v/>
      </c>
      <c r="AJ313" s="12" t="str">
        <f>IF(OR($B313="",$AR313=0),"",INDEX('Rework Log'!$C:$C,$AR313))</f>
        <v/>
      </c>
      <c r="AK313" s="12" t="str">
        <f>IF(OR($B313="",$AR313=0),"",INDEX('Rework Log'!$H:$H,$AR313))</f>
        <v/>
      </c>
      <c r="AL313" s="12" t="str">
        <f>IF(OR($B313="",$AR313=0),"",INDEX('Rework Log'!$G:$G,$AR313))</f>
        <v/>
      </c>
      <c r="AM313" s="12" t="str">
        <f t="shared" si="26"/>
        <v/>
      </c>
      <c r="AN313" s="12" t="str">
        <f t="shared" si="27"/>
        <v/>
      </c>
      <c r="AO313" s="12" t="str">
        <f t="shared" si="28"/>
        <v/>
      </c>
      <c r="AP313" s="12" t="str">
        <f t="shared" si="29"/>
        <v/>
      </c>
      <c r="AQ313" s="1"/>
      <c r="AR313" s="12" t="str">
        <f>IF($B313="","",SUMPRODUCT(MAX(('Rework Log'!$A$3:$A$500=$B313)*ROW('Rework Log'!$A$3:$A$500))))</f>
        <v/>
      </c>
    </row>
    <row r="314" spans="1:44" x14ac:dyDescent="0.25">
      <c r="A314" s="1"/>
      <c r="B314" s="1"/>
      <c r="C314" s="1"/>
      <c r="D314" s="12" t="str">
        <f t="shared" ca="1" si="24"/>
        <v/>
      </c>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2" t="str">
        <f t="shared" si="25"/>
        <v/>
      </c>
      <c r="AI314" s="12" t="str">
        <f>IF($B314="","",COUNTIF('Rework Log'!$A$3:$A$500,$B314))</f>
        <v/>
      </c>
      <c r="AJ314" s="12" t="str">
        <f>IF(OR($B314="",$AR314=0),"",INDEX('Rework Log'!$C:$C,$AR314))</f>
        <v/>
      </c>
      <c r="AK314" s="12" t="str">
        <f>IF(OR($B314="",$AR314=0),"",INDEX('Rework Log'!$H:$H,$AR314))</f>
        <v/>
      </c>
      <c r="AL314" s="12" t="str">
        <f>IF(OR($B314="",$AR314=0),"",INDEX('Rework Log'!$G:$G,$AR314))</f>
        <v/>
      </c>
      <c r="AM314" s="12" t="str">
        <f t="shared" si="26"/>
        <v/>
      </c>
      <c r="AN314" s="12" t="str">
        <f t="shared" si="27"/>
        <v/>
      </c>
      <c r="AO314" s="12" t="str">
        <f t="shared" si="28"/>
        <v/>
      </c>
      <c r="AP314" s="12" t="str">
        <f t="shared" si="29"/>
        <v/>
      </c>
      <c r="AQ314" s="1"/>
      <c r="AR314" s="12" t="str">
        <f>IF($B314="","",SUMPRODUCT(MAX(('Rework Log'!$A$3:$A$500=$B314)*ROW('Rework Log'!$A$3:$A$500))))</f>
        <v/>
      </c>
    </row>
    <row r="315" spans="1:44" x14ac:dyDescent="0.25">
      <c r="A315" s="1"/>
      <c r="B315" s="1"/>
      <c r="C315" s="1"/>
      <c r="D315" s="12" t="str">
        <f t="shared" ca="1" si="24"/>
        <v/>
      </c>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2" t="str">
        <f t="shared" si="25"/>
        <v/>
      </c>
      <c r="AI315" s="12" t="str">
        <f>IF($B315="","",COUNTIF('Rework Log'!$A$3:$A$500,$B315))</f>
        <v/>
      </c>
      <c r="AJ315" s="12" t="str">
        <f>IF(OR($B315="",$AR315=0),"",INDEX('Rework Log'!$C:$C,$AR315))</f>
        <v/>
      </c>
      <c r="AK315" s="12" t="str">
        <f>IF(OR($B315="",$AR315=0),"",INDEX('Rework Log'!$H:$H,$AR315))</f>
        <v/>
      </c>
      <c r="AL315" s="12" t="str">
        <f>IF(OR($B315="",$AR315=0),"",INDEX('Rework Log'!$G:$G,$AR315))</f>
        <v/>
      </c>
      <c r="AM315" s="12" t="str">
        <f t="shared" si="26"/>
        <v/>
      </c>
      <c r="AN315" s="12" t="str">
        <f t="shared" si="27"/>
        <v/>
      </c>
      <c r="AO315" s="12" t="str">
        <f t="shared" si="28"/>
        <v/>
      </c>
      <c r="AP315" s="12" t="str">
        <f t="shared" si="29"/>
        <v/>
      </c>
      <c r="AQ315" s="1"/>
      <c r="AR315" s="12" t="str">
        <f>IF($B315="","",SUMPRODUCT(MAX(('Rework Log'!$A$3:$A$500=$B315)*ROW('Rework Log'!$A$3:$A$500))))</f>
        <v/>
      </c>
    </row>
    <row r="316" spans="1:44" x14ac:dyDescent="0.25">
      <c r="A316" s="1"/>
      <c r="B316" s="1"/>
      <c r="C316" s="1"/>
      <c r="D316" s="12" t="str">
        <f t="shared" ca="1" si="24"/>
        <v/>
      </c>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2" t="str">
        <f t="shared" si="25"/>
        <v/>
      </c>
      <c r="AI316" s="12" t="str">
        <f>IF($B316="","",COUNTIF('Rework Log'!$A$3:$A$500,$B316))</f>
        <v/>
      </c>
      <c r="AJ316" s="12" t="str">
        <f>IF(OR($B316="",$AR316=0),"",INDEX('Rework Log'!$C:$C,$AR316))</f>
        <v/>
      </c>
      <c r="AK316" s="12" t="str">
        <f>IF(OR($B316="",$AR316=0),"",INDEX('Rework Log'!$H:$H,$AR316))</f>
        <v/>
      </c>
      <c r="AL316" s="12" t="str">
        <f>IF(OR($B316="",$AR316=0),"",INDEX('Rework Log'!$G:$G,$AR316))</f>
        <v/>
      </c>
      <c r="AM316" s="12" t="str">
        <f t="shared" si="26"/>
        <v/>
      </c>
      <c r="AN316" s="12" t="str">
        <f t="shared" si="27"/>
        <v/>
      </c>
      <c r="AO316" s="12" t="str">
        <f t="shared" si="28"/>
        <v/>
      </c>
      <c r="AP316" s="12" t="str">
        <f t="shared" si="29"/>
        <v/>
      </c>
      <c r="AQ316" s="1"/>
      <c r="AR316" s="12" t="str">
        <f>IF($B316="","",SUMPRODUCT(MAX(('Rework Log'!$A$3:$A$500=$B316)*ROW('Rework Log'!$A$3:$A$500))))</f>
        <v/>
      </c>
    </row>
    <row r="317" spans="1:44" x14ac:dyDescent="0.25">
      <c r="A317" s="1"/>
      <c r="B317" s="1"/>
      <c r="C317" s="1"/>
      <c r="D317" s="12" t="str">
        <f t="shared" ca="1" si="24"/>
        <v/>
      </c>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2" t="str">
        <f t="shared" si="25"/>
        <v/>
      </c>
      <c r="AI317" s="12" t="str">
        <f>IF($B317="","",COUNTIF('Rework Log'!$A$3:$A$500,$B317))</f>
        <v/>
      </c>
      <c r="AJ317" s="12" t="str">
        <f>IF(OR($B317="",$AR317=0),"",INDEX('Rework Log'!$C:$C,$AR317))</f>
        <v/>
      </c>
      <c r="AK317" s="12" t="str">
        <f>IF(OR($B317="",$AR317=0),"",INDEX('Rework Log'!$H:$H,$AR317))</f>
        <v/>
      </c>
      <c r="AL317" s="12" t="str">
        <f>IF(OR($B317="",$AR317=0),"",INDEX('Rework Log'!$G:$G,$AR317))</f>
        <v/>
      </c>
      <c r="AM317" s="12" t="str">
        <f t="shared" si="26"/>
        <v/>
      </c>
      <c r="AN317" s="12" t="str">
        <f t="shared" si="27"/>
        <v/>
      </c>
      <c r="AO317" s="12" t="str">
        <f t="shared" si="28"/>
        <v/>
      </c>
      <c r="AP317" s="12" t="str">
        <f t="shared" si="29"/>
        <v/>
      </c>
      <c r="AQ317" s="1"/>
      <c r="AR317" s="12" t="str">
        <f>IF($B317="","",SUMPRODUCT(MAX(('Rework Log'!$A$3:$A$500=$B317)*ROW('Rework Log'!$A$3:$A$500))))</f>
        <v/>
      </c>
    </row>
    <row r="318" spans="1:44" x14ac:dyDescent="0.25">
      <c r="A318" s="1"/>
      <c r="B318" s="1"/>
      <c r="C318" s="1"/>
      <c r="D318" s="12" t="str">
        <f t="shared" ca="1" si="24"/>
        <v/>
      </c>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2" t="str">
        <f t="shared" si="25"/>
        <v/>
      </c>
      <c r="AI318" s="12" t="str">
        <f>IF($B318="","",COUNTIF('Rework Log'!$A$3:$A$500,$B318))</f>
        <v/>
      </c>
      <c r="AJ318" s="12" t="str">
        <f>IF(OR($B318="",$AR318=0),"",INDEX('Rework Log'!$C:$C,$AR318))</f>
        <v/>
      </c>
      <c r="AK318" s="12" t="str">
        <f>IF(OR($B318="",$AR318=0),"",INDEX('Rework Log'!$H:$H,$AR318))</f>
        <v/>
      </c>
      <c r="AL318" s="12" t="str">
        <f>IF(OR($B318="",$AR318=0),"",INDEX('Rework Log'!$G:$G,$AR318))</f>
        <v/>
      </c>
      <c r="AM318" s="12" t="str">
        <f t="shared" si="26"/>
        <v/>
      </c>
      <c r="AN318" s="12" t="str">
        <f t="shared" si="27"/>
        <v/>
      </c>
      <c r="AO318" s="12" t="str">
        <f t="shared" si="28"/>
        <v/>
      </c>
      <c r="AP318" s="12" t="str">
        <f t="shared" si="29"/>
        <v/>
      </c>
      <c r="AQ318" s="1"/>
      <c r="AR318" s="12" t="str">
        <f>IF($B318="","",SUMPRODUCT(MAX(('Rework Log'!$A$3:$A$500=$B318)*ROW('Rework Log'!$A$3:$A$500))))</f>
        <v/>
      </c>
    </row>
    <row r="319" spans="1:44" x14ac:dyDescent="0.25">
      <c r="A319" s="1"/>
      <c r="B319" s="1"/>
      <c r="C319" s="1"/>
      <c r="D319" s="12" t="str">
        <f t="shared" ca="1" si="24"/>
        <v/>
      </c>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2" t="str">
        <f t="shared" si="25"/>
        <v/>
      </c>
      <c r="AI319" s="12" t="str">
        <f>IF($B319="","",COUNTIF('Rework Log'!$A$3:$A$500,$B319))</f>
        <v/>
      </c>
      <c r="AJ319" s="12" t="str">
        <f>IF(OR($B319="",$AR319=0),"",INDEX('Rework Log'!$C:$C,$AR319))</f>
        <v/>
      </c>
      <c r="AK319" s="12" t="str">
        <f>IF(OR($B319="",$AR319=0),"",INDEX('Rework Log'!$H:$H,$AR319))</f>
        <v/>
      </c>
      <c r="AL319" s="12" t="str">
        <f>IF(OR($B319="",$AR319=0),"",INDEX('Rework Log'!$G:$G,$AR319))</f>
        <v/>
      </c>
      <c r="AM319" s="12" t="str">
        <f t="shared" si="26"/>
        <v/>
      </c>
      <c r="AN319" s="12" t="str">
        <f t="shared" si="27"/>
        <v/>
      </c>
      <c r="AO319" s="12" t="str">
        <f t="shared" si="28"/>
        <v/>
      </c>
      <c r="AP319" s="12" t="str">
        <f t="shared" si="29"/>
        <v/>
      </c>
      <c r="AQ319" s="1"/>
      <c r="AR319" s="12" t="str">
        <f>IF($B319="","",SUMPRODUCT(MAX(('Rework Log'!$A$3:$A$500=$B319)*ROW('Rework Log'!$A$3:$A$500))))</f>
        <v/>
      </c>
    </row>
    <row r="320" spans="1:44" x14ac:dyDescent="0.25">
      <c r="A320" s="1"/>
      <c r="B320" s="1"/>
      <c r="C320" s="1"/>
      <c r="D320" s="12" t="str">
        <f t="shared" ca="1" si="24"/>
        <v/>
      </c>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2" t="str">
        <f t="shared" si="25"/>
        <v/>
      </c>
      <c r="AI320" s="12" t="str">
        <f>IF($B320="","",COUNTIF('Rework Log'!$A$3:$A$500,$B320))</f>
        <v/>
      </c>
      <c r="AJ320" s="12" t="str">
        <f>IF(OR($B320="",$AR320=0),"",INDEX('Rework Log'!$C:$C,$AR320))</f>
        <v/>
      </c>
      <c r="AK320" s="12" t="str">
        <f>IF(OR($B320="",$AR320=0),"",INDEX('Rework Log'!$H:$H,$AR320))</f>
        <v/>
      </c>
      <c r="AL320" s="12" t="str">
        <f>IF(OR($B320="",$AR320=0),"",INDEX('Rework Log'!$G:$G,$AR320))</f>
        <v/>
      </c>
      <c r="AM320" s="12" t="str">
        <f t="shared" si="26"/>
        <v/>
      </c>
      <c r="AN320" s="12" t="str">
        <f t="shared" si="27"/>
        <v/>
      </c>
      <c r="AO320" s="12" t="str">
        <f t="shared" si="28"/>
        <v/>
      </c>
      <c r="AP320" s="12" t="str">
        <f t="shared" si="29"/>
        <v/>
      </c>
      <c r="AQ320" s="1"/>
      <c r="AR320" s="12" t="str">
        <f>IF($B320="","",SUMPRODUCT(MAX(('Rework Log'!$A$3:$A$500=$B320)*ROW('Rework Log'!$A$3:$A$500))))</f>
        <v/>
      </c>
    </row>
    <row r="321" spans="1:44" x14ac:dyDescent="0.25">
      <c r="A321" s="1"/>
      <c r="B321" s="1"/>
      <c r="C321" s="1"/>
      <c r="D321" s="12" t="str">
        <f t="shared" ca="1" si="24"/>
        <v/>
      </c>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2" t="str">
        <f t="shared" si="25"/>
        <v/>
      </c>
      <c r="AI321" s="12" t="str">
        <f>IF($B321="","",COUNTIF('Rework Log'!$A$3:$A$500,$B321))</f>
        <v/>
      </c>
      <c r="AJ321" s="12" t="str">
        <f>IF(OR($B321="",$AR321=0),"",INDEX('Rework Log'!$C:$C,$AR321))</f>
        <v/>
      </c>
      <c r="AK321" s="12" t="str">
        <f>IF(OR($B321="",$AR321=0),"",INDEX('Rework Log'!$H:$H,$AR321))</f>
        <v/>
      </c>
      <c r="AL321" s="12" t="str">
        <f>IF(OR($B321="",$AR321=0),"",INDEX('Rework Log'!$G:$G,$AR321))</f>
        <v/>
      </c>
      <c r="AM321" s="12" t="str">
        <f t="shared" si="26"/>
        <v/>
      </c>
      <c r="AN321" s="12" t="str">
        <f t="shared" si="27"/>
        <v/>
      </c>
      <c r="AO321" s="12" t="str">
        <f t="shared" si="28"/>
        <v/>
      </c>
      <c r="AP321" s="12" t="str">
        <f t="shared" si="29"/>
        <v/>
      </c>
      <c r="AQ321" s="1"/>
      <c r="AR321" s="12" t="str">
        <f>IF($B321="","",SUMPRODUCT(MAX(('Rework Log'!$A$3:$A$500=$B321)*ROW('Rework Log'!$A$3:$A$500))))</f>
        <v/>
      </c>
    </row>
    <row r="322" spans="1:44" x14ac:dyDescent="0.25">
      <c r="A322" s="1"/>
      <c r="B322" s="1"/>
      <c r="C322" s="1"/>
      <c r="D322" s="12" t="str">
        <f t="shared" ref="D322:D385" ca="1" si="30">IF($B322="","",IF(C322="NOT STARTED",IF(K322="","No plan date set",IF(K322&lt;TODAY(),"Review - planned start passed","On track")),IF(C322="DB Dev",IF(N322="","No target set",IF(AND(N322&lt;TODAY(),P322=""),"Overdue","On track")),IF(C322="PBI Dev",IF(R322="","No target set",IF(AND(R322&lt;TODAY(),T322=""),"Overdue","On track")),IF(C322="QA",IF(V322="","No target set",IF(AND(V322&lt;TODAY(),X322=""),"Overdue","On track")),IF(C322="DPO Approval",IF(Z322="","No target set",IF(Z322&lt;TODAY(),"Overdue","On track")),IF(C322="RELEASED IN PROD","Delivered","")))))))</f>
        <v/>
      </c>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2" t="str">
        <f t="shared" ref="AH322:AH385" si="31">IF($AF322="Yes",IF($AG322&lt;&gt;"","Blocked - needs "&amp;$AG322&amp;" to fix","Blocked at "&amp;$C322),"")</f>
        <v/>
      </c>
      <c r="AI322" s="12" t="str">
        <f>IF($B322="","",COUNTIF('Rework Log'!$A$3:$A$500,$B322))</f>
        <v/>
      </c>
      <c r="AJ322" s="12" t="str">
        <f>IF(OR($B322="",$AR322=0),"",INDEX('Rework Log'!$C:$C,$AR322))</f>
        <v/>
      </c>
      <c r="AK322" s="12" t="str">
        <f>IF(OR($B322="",$AR322=0),"",INDEX('Rework Log'!$H:$H,$AR322))</f>
        <v/>
      </c>
      <c r="AL322" s="12" t="str">
        <f>IF(OR($B322="",$AR322=0),"",INDEX('Rework Log'!$G:$G,$AR322))</f>
        <v/>
      </c>
      <c r="AM322" s="12" t="str">
        <f t="shared" ref="AM322:AM385" si="32">IF($B322="","",IF(Z322&lt;&gt;"","DPO Approval",IF(V322&lt;&gt;"","QA",IF(R322&lt;&gt;"","PBI Dev",IF(N322&lt;&gt;"","DB Dev","NOT STARTED")))))</f>
        <v/>
      </c>
      <c r="AN322" s="12" t="str">
        <f t="shared" ref="AN322:AN385" si="33">IF($B322="","",IF(IF($C322="NOT STARTED",0,IF($C322="DB Dev",1,IF($C322="PBI Dev",2,IF($C322="QA",3,IF($C322="DPO Approval",4,IF($C322="RELEASED IN PROD",5,-1))))))&lt;IF($AM322="NOT STARTED",0,IF($AM322="DB Dev",1,IF($AM322="PBI Dev",2,IF($AM322="QA",3,IF($AM322="DPO Approval",4,IF($AM322="RELEASED IN PROD",5,-1)))))),"Yes - was already at "&amp;$AM322&amp;", now back at "&amp;$C322,"No"))</f>
        <v/>
      </c>
      <c r="AO322" s="12" t="str">
        <f t="shared" ref="AO322:AO385" si="34">IF($B322="","",IF(AND(V322&lt;&gt;"",N322&lt;&gt;"",V322&lt;N322),"QA target is before DB Dev target",IF(AND(V322&lt;&gt;"",R322&lt;&gt;"",V322&lt;R322),"QA target is before PBI Dev target",IF(AND(Z322&lt;&gt;"",V322&lt;&gt;"",Z322&lt;V322),"DPO Approval target is before QA target",IF(AND(AC322&lt;&gt;"",Z322&lt;&gt;"",AC322&lt;Z322),"Confirmed Deployed date is before DPO Approval target","")))))</f>
        <v/>
      </c>
      <c r="AP322" s="12" t="str">
        <f t="shared" ref="AP322:AP385" si="35">IF($B322="","",IF(COUNTIF($B$2:$B$500,$B322)&gt;1,"Duplicate name - check row",""))</f>
        <v/>
      </c>
      <c r="AQ322" s="1"/>
      <c r="AR322" s="12" t="str">
        <f>IF($B322="","",SUMPRODUCT(MAX(('Rework Log'!$A$3:$A$500=$B322)*ROW('Rework Log'!$A$3:$A$500))))</f>
        <v/>
      </c>
    </row>
    <row r="323" spans="1:44" x14ac:dyDescent="0.25">
      <c r="A323" s="1"/>
      <c r="B323" s="1"/>
      <c r="C323" s="1"/>
      <c r="D323" s="12" t="str">
        <f t="shared" ca="1" si="30"/>
        <v/>
      </c>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2" t="str">
        <f t="shared" si="31"/>
        <v/>
      </c>
      <c r="AI323" s="12" t="str">
        <f>IF($B323="","",COUNTIF('Rework Log'!$A$3:$A$500,$B323))</f>
        <v/>
      </c>
      <c r="AJ323" s="12" t="str">
        <f>IF(OR($B323="",$AR323=0),"",INDEX('Rework Log'!$C:$C,$AR323))</f>
        <v/>
      </c>
      <c r="AK323" s="12" t="str">
        <f>IF(OR($B323="",$AR323=0),"",INDEX('Rework Log'!$H:$H,$AR323))</f>
        <v/>
      </c>
      <c r="AL323" s="12" t="str">
        <f>IF(OR($B323="",$AR323=0),"",INDEX('Rework Log'!$G:$G,$AR323))</f>
        <v/>
      </c>
      <c r="AM323" s="12" t="str">
        <f t="shared" si="32"/>
        <v/>
      </c>
      <c r="AN323" s="12" t="str">
        <f t="shared" si="33"/>
        <v/>
      </c>
      <c r="AO323" s="12" t="str">
        <f t="shared" si="34"/>
        <v/>
      </c>
      <c r="AP323" s="12" t="str">
        <f t="shared" si="35"/>
        <v/>
      </c>
      <c r="AQ323" s="1"/>
      <c r="AR323" s="12" t="str">
        <f>IF($B323="","",SUMPRODUCT(MAX(('Rework Log'!$A$3:$A$500=$B323)*ROW('Rework Log'!$A$3:$A$500))))</f>
        <v/>
      </c>
    </row>
    <row r="324" spans="1:44" x14ac:dyDescent="0.25">
      <c r="A324" s="1"/>
      <c r="B324" s="1"/>
      <c r="C324" s="1"/>
      <c r="D324" s="12" t="str">
        <f t="shared" ca="1" si="30"/>
        <v/>
      </c>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2" t="str">
        <f t="shared" si="31"/>
        <v/>
      </c>
      <c r="AI324" s="12" t="str">
        <f>IF($B324="","",COUNTIF('Rework Log'!$A$3:$A$500,$B324))</f>
        <v/>
      </c>
      <c r="AJ324" s="12" t="str">
        <f>IF(OR($B324="",$AR324=0),"",INDEX('Rework Log'!$C:$C,$AR324))</f>
        <v/>
      </c>
      <c r="AK324" s="12" t="str">
        <f>IF(OR($B324="",$AR324=0),"",INDEX('Rework Log'!$H:$H,$AR324))</f>
        <v/>
      </c>
      <c r="AL324" s="12" t="str">
        <f>IF(OR($B324="",$AR324=0),"",INDEX('Rework Log'!$G:$G,$AR324))</f>
        <v/>
      </c>
      <c r="AM324" s="12" t="str">
        <f t="shared" si="32"/>
        <v/>
      </c>
      <c r="AN324" s="12" t="str">
        <f t="shared" si="33"/>
        <v/>
      </c>
      <c r="AO324" s="12" t="str">
        <f t="shared" si="34"/>
        <v/>
      </c>
      <c r="AP324" s="12" t="str">
        <f t="shared" si="35"/>
        <v/>
      </c>
      <c r="AQ324" s="1"/>
      <c r="AR324" s="12" t="str">
        <f>IF($B324="","",SUMPRODUCT(MAX(('Rework Log'!$A$3:$A$500=$B324)*ROW('Rework Log'!$A$3:$A$500))))</f>
        <v/>
      </c>
    </row>
    <row r="325" spans="1:44" x14ac:dyDescent="0.25">
      <c r="A325" s="1"/>
      <c r="B325" s="1"/>
      <c r="C325" s="1"/>
      <c r="D325" s="12" t="str">
        <f t="shared" ca="1" si="30"/>
        <v/>
      </c>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2" t="str">
        <f t="shared" si="31"/>
        <v/>
      </c>
      <c r="AI325" s="12" t="str">
        <f>IF($B325="","",COUNTIF('Rework Log'!$A$3:$A$500,$B325))</f>
        <v/>
      </c>
      <c r="AJ325" s="12" t="str">
        <f>IF(OR($B325="",$AR325=0),"",INDEX('Rework Log'!$C:$C,$AR325))</f>
        <v/>
      </c>
      <c r="AK325" s="12" t="str">
        <f>IF(OR($B325="",$AR325=0),"",INDEX('Rework Log'!$H:$H,$AR325))</f>
        <v/>
      </c>
      <c r="AL325" s="12" t="str">
        <f>IF(OR($B325="",$AR325=0),"",INDEX('Rework Log'!$G:$G,$AR325))</f>
        <v/>
      </c>
      <c r="AM325" s="12" t="str">
        <f t="shared" si="32"/>
        <v/>
      </c>
      <c r="AN325" s="12" t="str">
        <f t="shared" si="33"/>
        <v/>
      </c>
      <c r="AO325" s="12" t="str">
        <f t="shared" si="34"/>
        <v/>
      </c>
      <c r="AP325" s="12" t="str">
        <f t="shared" si="35"/>
        <v/>
      </c>
      <c r="AQ325" s="1"/>
      <c r="AR325" s="12" t="str">
        <f>IF($B325="","",SUMPRODUCT(MAX(('Rework Log'!$A$3:$A$500=$B325)*ROW('Rework Log'!$A$3:$A$500))))</f>
        <v/>
      </c>
    </row>
    <row r="326" spans="1:44" x14ac:dyDescent="0.25">
      <c r="A326" s="1"/>
      <c r="B326" s="1"/>
      <c r="C326" s="1"/>
      <c r="D326" s="12" t="str">
        <f t="shared" ca="1" si="30"/>
        <v/>
      </c>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2" t="str">
        <f t="shared" si="31"/>
        <v/>
      </c>
      <c r="AI326" s="12" t="str">
        <f>IF($B326="","",COUNTIF('Rework Log'!$A$3:$A$500,$B326))</f>
        <v/>
      </c>
      <c r="AJ326" s="12" t="str">
        <f>IF(OR($B326="",$AR326=0),"",INDEX('Rework Log'!$C:$C,$AR326))</f>
        <v/>
      </c>
      <c r="AK326" s="12" t="str">
        <f>IF(OR($B326="",$AR326=0),"",INDEX('Rework Log'!$H:$H,$AR326))</f>
        <v/>
      </c>
      <c r="AL326" s="12" t="str">
        <f>IF(OR($B326="",$AR326=0),"",INDEX('Rework Log'!$G:$G,$AR326))</f>
        <v/>
      </c>
      <c r="AM326" s="12" t="str">
        <f t="shared" si="32"/>
        <v/>
      </c>
      <c r="AN326" s="12" t="str">
        <f t="shared" si="33"/>
        <v/>
      </c>
      <c r="AO326" s="12" t="str">
        <f t="shared" si="34"/>
        <v/>
      </c>
      <c r="AP326" s="12" t="str">
        <f t="shared" si="35"/>
        <v/>
      </c>
      <c r="AQ326" s="1"/>
      <c r="AR326" s="12" t="str">
        <f>IF($B326="","",SUMPRODUCT(MAX(('Rework Log'!$A$3:$A$500=$B326)*ROW('Rework Log'!$A$3:$A$500))))</f>
        <v/>
      </c>
    </row>
    <row r="327" spans="1:44" x14ac:dyDescent="0.25">
      <c r="A327" s="1"/>
      <c r="B327" s="1"/>
      <c r="C327" s="1"/>
      <c r="D327" s="12" t="str">
        <f t="shared" ca="1" si="30"/>
        <v/>
      </c>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2" t="str">
        <f t="shared" si="31"/>
        <v/>
      </c>
      <c r="AI327" s="12" t="str">
        <f>IF($B327="","",COUNTIF('Rework Log'!$A$3:$A$500,$B327))</f>
        <v/>
      </c>
      <c r="AJ327" s="12" t="str">
        <f>IF(OR($B327="",$AR327=0),"",INDEX('Rework Log'!$C:$C,$AR327))</f>
        <v/>
      </c>
      <c r="AK327" s="12" t="str">
        <f>IF(OR($B327="",$AR327=0),"",INDEX('Rework Log'!$H:$H,$AR327))</f>
        <v/>
      </c>
      <c r="AL327" s="12" t="str">
        <f>IF(OR($B327="",$AR327=0),"",INDEX('Rework Log'!$G:$G,$AR327))</f>
        <v/>
      </c>
      <c r="AM327" s="12" t="str">
        <f t="shared" si="32"/>
        <v/>
      </c>
      <c r="AN327" s="12" t="str">
        <f t="shared" si="33"/>
        <v/>
      </c>
      <c r="AO327" s="12" t="str">
        <f t="shared" si="34"/>
        <v/>
      </c>
      <c r="AP327" s="12" t="str">
        <f t="shared" si="35"/>
        <v/>
      </c>
      <c r="AQ327" s="1"/>
      <c r="AR327" s="12" t="str">
        <f>IF($B327="","",SUMPRODUCT(MAX(('Rework Log'!$A$3:$A$500=$B327)*ROW('Rework Log'!$A$3:$A$500))))</f>
        <v/>
      </c>
    </row>
    <row r="328" spans="1:44" x14ac:dyDescent="0.25">
      <c r="A328" s="1"/>
      <c r="B328" s="1"/>
      <c r="C328" s="1"/>
      <c r="D328" s="12" t="str">
        <f t="shared" ca="1" si="30"/>
        <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2" t="str">
        <f t="shared" si="31"/>
        <v/>
      </c>
      <c r="AI328" s="12" t="str">
        <f>IF($B328="","",COUNTIF('Rework Log'!$A$3:$A$500,$B328))</f>
        <v/>
      </c>
      <c r="AJ328" s="12" t="str">
        <f>IF(OR($B328="",$AR328=0),"",INDEX('Rework Log'!$C:$C,$AR328))</f>
        <v/>
      </c>
      <c r="AK328" s="12" t="str">
        <f>IF(OR($B328="",$AR328=0),"",INDEX('Rework Log'!$H:$H,$AR328))</f>
        <v/>
      </c>
      <c r="AL328" s="12" t="str">
        <f>IF(OR($B328="",$AR328=0),"",INDEX('Rework Log'!$G:$G,$AR328))</f>
        <v/>
      </c>
      <c r="AM328" s="12" t="str">
        <f t="shared" si="32"/>
        <v/>
      </c>
      <c r="AN328" s="12" t="str">
        <f t="shared" si="33"/>
        <v/>
      </c>
      <c r="AO328" s="12" t="str">
        <f t="shared" si="34"/>
        <v/>
      </c>
      <c r="AP328" s="12" t="str">
        <f t="shared" si="35"/>
        <v/>
      </c>
      <c r="AQ328" s="1"/>
      <c r="AR328" s="12" t="str">
        <f>IF($B328="","",SUMPRODUCT(MAX(('Rework Log'!$A$3:$A$500=$B328)*ROW('Rework Log'!$A$3:$A$500))))</f>
        <v/>
      </c>
    </row>
    <row r="329" spans="1:44" x14ac:dyDescent="0.25">
      <c r="A329" s="1"/>
      <c r="B329" s="1"/>
      <c r="C329" s="1"/>
      <c r="D329" s="12" t="str">
        <f t="shared" ca="1" si="30"/>
        <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2" t="str">
        <f t="shared" si="31"/>
        <v/>
      </c>
      <c r="AI329" s="12" t="str">
        <f>IF($B329="","",COUNTIF('Rework Log'!$A$3:$A$500,$B329))</f>
        <v/>
      </c>
      <c r="AJ329" s="12" t="str">
        <f>IF(OR($B329="",$AR329=0),"",INDEX('Rework Log'!$C:$C,$AR329))</f>
        <v/>
      </c>
      <c r="AK329" s="12" t="str">
        <f>IF(OR($B329="",$AR329=0),"",INDEX('Rework Log'!$H:$H,$AR329))</f>
        <v/>
      </c>
      <c r="AL329" s="12" t="str">
        <f>IF(OR($B329="",$AR329=0),"",INDEX('Rework Log'!$G:$G,$AR329))</f>
        <v/>
      </c>
      <c r="AM329" s="12" t="str">
        <f t="shared" si="32"/>
        <v/>
      </c>
      <c r="AN329" s="12" t="str">
        <f t="shared" si="33"/>
        <v/>
      </c>
      <c r="AO329" s="12" t="str">
        <f t="shared" si="34"/>
        <v/>
      </c>
      <c r="AP329" s="12" t="str">
        <f t="shared" si="35"/>
        <v/>
      </c>
      <c r="AQ329" s="1"/>
      <c r="AR329" s="12" t="str">
        <f>IF($B329="","",SUMPRODUCT(MAX(('Rework Log'!$A$3:$A$500=$B329)*ROW('Rework Log'!$A$3:$A$500))))</f>
        <v/>
      </c>
    </row>
    <row r="330" spans="1:44" x14ac:dyDescent="0.25">
      <c r="A330" s="1"/>
      <c r="B330" s="1"/>
      <c r="C330" s="1"/>
      <c r="D330" s="12" t="str">
        <f t="shared" ca="1" si="30"/>
        <v/>
      </c>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2" t="str">
        <f t="shared" si="31"/>
        <v/>
      </c>
      <c r="AI330" s="12" t="str">
        <f>IF($B330="","",COUNTIF('Rework Log'!$A$3:$A$500,$B330))</f>
        <v/>
      </c>
      <c r="AJ330" s="12" t="str">
        <f>IF(OR($B330="",$AR330=0),"",INDEX('Rework Log'!$C:$C,$AR330))</f>
        <v/>
      </c>
      <c r="AK330" s="12" t="str">
        <f>IF(OR($B330="",$AR330=0),"",INDEX('Rework Log'!$H:$H,$AR330))</f>
        <v/>
      </c>
      <c r="AL330" s="12" t="str">
        <f>IF(OR($B330="",$AR330=0),"",INDEX('Rework Log'!$G:$G,$AR330))</f>
        <v/>
      </c>
      <c r="AM330" s="12" t="str">
        <f t="shared" si="32"/>
        <v/>
      </c>
      <c r="AN330" s="12" t="str">
        <f t="shared" si="33"/>
        <v/>
      </c>
      <c r="AO330" s="12" t="str">
        <f t="shared" si="34"/>
        <v/>
      </c>
      <c r="AP330" s="12" t="str">
        <f t="shared" si="35"/>
        <v/>
      </c>
      <c r="AQ330" s="1"/>
      <c r="AR330" s="12" t="str">
        <f>IF($B330="","",SUMPRODUCT(MAX(('Rework Log'!$A$3:$A$500=$B330)*ROW('Rework Log'!$A$3:$A$500))))</f>
        <v/>
      </c>
    </row>
    <row r="331" spans="1:44" x14ac:dyDescent="0.25">
      <c r="A331" s="1"/>
      <c r="B331" s="1"/>
      <c r="C331" s="1"/>
      <c r="D331" s="12" t="str">
        <f t="shared" ca="1" si="30"/>
        <v/>
      </c>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2" t="str">
        <f t="shared" si="31"/>
        <v/>
      </c>
      <c r="AI331" s="12" t="str">
        <f>IF($B331="","",COUNTIF('Rework Log'!$A$3:$A$500,$B331))</f>
        <v/>
      </c>
      <c r="AJ331" s="12" t="str">
        <f>IF(OR($B331="",$AR331=0),"",INDEX('Rework Log'!$C:$C,$AR331))</f>
        <v/>
      </c>
      <c r="AK331" s="12" t="str">
        <f>IF(OR($B331="",$AR331=0),"",INDEX('Rework Log'!$H:$H,$AR331))</f>
        <v/>
      </c>
      <c r="AL331" s="12" t="str">
        <f>IF(OR($B331="",$AR331=0),"",INDEX('Rework Log'!$G:$G,$AR331))</f>
        <v/>
      </c>
      <c r="AM331" s="12" t="str">
        <f t="shared" si="32"/>
        <v/>
      </c>
      <c r="AN331" s="12" t="str">
        <f t="shared" si="33"/>
        <v/>
      </c>
      <c r="AO331" s="12" t="str">
        <f t="shared" si="34"/>
        <v/>
      </c>
      <c r="AP331" s="12" t="str">
        <f t="shared" si="35"/>
        <v/>
      </c>
      <c r="AQ331" s="1"/>
      <c r="AR331" s="12" t="str">
        <f>IF($B331="","",SUMPRODUCT(MAX(('Rework Log'!$A$3:$A$500=$B331)*ROW('Rework Log'!$A$3:$A$500))))</f>
        <v/>
      </c>
    </row>
    <row r="332" spans="1:44" x14ac:dyDescent="0.25">
      <c r="A332" s="1"/>
      <c r="B332" s="1"/>
      <c r="C332" s="1"/>
      <c r="D332" s="12" t="str">
        <f t="shared" ca="1" si="30"/>
        <v/>
      </c>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2" t="str">
        <f t="shared" si="31"/>
        <v/>
      </c>
      <c r="AI332" s="12" t="str">
        <f>IF($B332="","",COUNTIF('Rework Log'!$A$3:$A$500,$B332))</f>
        <v/>
      </c>
      <c r="AJ332" s="12" t="str">
        <f>IF(OR($B332="",$AR332=0),"",INDEX('Rework Log'!$C:$C,$AR332))</f>
        <v/>
      </c>
      <c r="AK332" s="12" t="str">
        <f>IF(OR($B332="",$AR332=0),"",INDEX('Rework Log'!$H:$H,$AR332))</f>
        <v/>
      </c>
      <c r="AL332" s="12" t="str">
        <f>IF(OR($B332="",$AR332=0),"",INDEX('Rework Log'!$G:$G,$AR332))</f>
        <v/>
      </c>
      <c r="AM332" s="12" t="str">
        <f t="shared" si="32"/>
        <v/>
      </c>
      <c r="AN332" s="12" t="str">
        <f t="shared" si="33"/>
        <v/>
      </c>
      <c r="AO332" s="12" t="str">
        <f t="shared" si="34"/>
        <v/>
      </c>
      <c r="AP332" s="12" t="str">
        <f t="shared" si="35"/>
        <v/>
      </c>
      <c r="AQ332" s="1"/>
      <c r="AR332" s="12" t="str">
        <f>IF($B332="","",SUMPRODUCT(MAX(('Rework Log'!$A$3:$A$500=$B332)*ROW('Rework Log'!$A$3:$A$500))))</f>
        <v/>
      </c>
    </row>
    <row r="333" spans="1:44" x14ac:dyDescent="0.25">
      <c r="A333" s="1"/>
      <c r="B333" s="1"/>
      <c r="C333" s="1"/>
      <c r="D333" s="12" t="str">
        <f t="shared" ca="1" si="30"/>
        <v/>
      </c>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2" t="str">
        <f t="shared" si="31"/>
        <v/>
      </c>
      <c r="AI333" s="12" t="str">
        <f>IF($B333="","",COUNTIF('Rework Log'!$A$3:$A$500,$B333))</f>
        <v/>
      </c>
      <c r="AJ333" s="12" t="str">
        <f>IF(OR($B333="",$AR333=0),"",INDEX('Rework Log'!$C:$C,$AR333))</f>
        <v/>
      </c>
      <c r="AK333" s="12" t="str">
        <f>IF(OR($B333="",$AR333=0),"",INDEX('Rework Log'!$H:$H,$AR333))</f>
        <v/>
      </c>
      <c r="AL333" s="12" t="str">
        <f>IF(OR($B333="",$AR333=0),"",INDEX('Rework Log'!$G:$G,$AR333))</f>
        <v/>
      </c>
      <c r="AM333" s="12" t="str">
        <f t="shared" si="32"/>
        <v/>
      </c>
      <c r="AN333" s="12" t="str">
        <f t="shared" si="33"/>
        <v/>
      </c>
      <c r="AO333" s="12" t="str">
        <f t="shared" si="34"/>
        <v/>
      </c>
      <c r="AP333" s="12" t="str">
        <f t="shared" si="35"/>
        <v/>
      </c>
      <c r="AQ333" s="1"/>
      <c r="AR333" s="12" t="str">
        <f>IF($B333="","",SUMPRODUCT(MAX(('Rework Log'!$A$3:$A$500=$B333)*ROW('Rework Log'!$A$3:$A$500))))</f>
        <v/>
      </c>
    </row>
    <row r="334" spans="1:44" x14ac:dyDescent="0.25">
      <c r="A334" s="1"/>
      <c r="B334" s="1"/>
      <c r="C334" s="1"/>
      <c r="D334" s="12" t="str">
        <f t="shared" ca="1" si="30"/>
        <v/>
      </c>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2" t="str">
        <f t="shared" si="31"/>
        <v/>
      </c>
      <c r="AI334" s="12" t="str">
        <f>IF($B334="","",COUNTIF('Rework Log'!$A$3:$A$500,$B334))</f>
        <v/>
      </c>
      <c r="AJ334" s="12" t="str">
        <f>IF(OR($B334="",$AR334=0),"",INDEX('Rework Log'!$C:$C,$AR334))</f>
        <v/>
      </c>
      <c r="AK334" s="12" t="str">
        <f>IF(OR($B334="",$AR334=0),"",INDEX('Rework Log'!$H:$H,$AR334))</f>
        <v/>
      </c>
      <c r="AL334" s="12" t="str">
        <f>IF(OR($B334="",$AR334=0),"",INDEX('Rework Log'!$G:$G,$AR334))</f>
        <v/>
      </c>
      <c r="AM334" s="12" t="str">
        <f t="shared" si="32"/>
        <v/>
      </c>
      <c r="AN334" s="12" t="str">
        <f t="shared" si="33"/>
        <v/>
      </c>
      <c r="AO334" s="12" t="str">
        <f t="shared" si="34"/>
        <v/>
      </c>
      <c r="AP334" s="12" t="str">
        <f t="shared" si="35"/>
        <v/>
      </c>
      <c r="AQ334" s="1"/>
      <c r="AR334" s="12" t="str">
        <f>IF($B334="","",SUMPRODUCT(MAX(('Rework Log'!$A$3:$A$500=$B334)*ROW('Rework Log'!$A$3:$A$500))))</f>
        <v/>
      </c>
    </row>
    <row r="335" spans="1:44" x14ac:dyDescent="0.25">
      <c r="A335" s="1"/>
      <c r="B335" s="1"/>
      <c r="C335" s="1"/>
      <c r="D335" s="12" t="str">
        <f t="shared" ca="1" si="30"/>
        <v/>
      </c>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2" t="str">
        <f t="shared" si="31"/>
        <v/>
      </c>
      <c r="AI335" s="12" t="str">
        <f>IF($B335="","",COUNTIF('Rework Log'!$A$3:$A$500,$B335))</f>
        <v/>
      </c>
      <c r="AJ335" s="12" t="str">
        <f>IF(OR($B335="",$AR335=0),"",INDEX('Rework Log'!$C:$C,$AR335))</f>
        <v/>
      </c>
      <c r="AK335" s="12" t="str">
        <f>IF(OR($B335="",$AR335=0),"",INDEX('Rework Log'!$H:$H,$AR335))</f>
        <v/>
      </c>
      <c r="AL335" s="12" t="str">
        <f>IF(OR($B335="",$AR335=0),"",INDEX('Rework Log'!$G:$G,$AR335))</f>
        <v/>
      </c>
      <c r="AM335" s="12" t="str">
        <f t="shared" si="32"/>
        <v/>
      </c>
      <c r="AN335" s="12" t="str">
        <f t="shared" si="33"/>
        <v/>
      </c>
      <c r="AO335" s="12" t="str">
        <f t="shared" si="34"/>
        <v/>
      </c>
      <c r="AP335" s="12" t="str">
        <f t="shared" si="35"/>
        <v/>
      </c>
      <c r="AQ335" s="1"/>
      <c r="AR335" s="12" t="str">
        <f>IF($B335="","",SUMPRODUCT(MAX(('Rework Log'!$A$3:$A$500=$B335)*ROW('Rework Log'!$A$3:$A$500))))</f>
        <v/>
      </c>
    </row>
    <row r="336" spans="1:44" x14ac:dyDescent="0.25">
      <c r="A336" s="1"/>
      <c r="B336" s="1"/>
      <c r="C336" s="1"/>
      <c r="D336" s="12" t="str">
        <f t="shared" ca="1" si="30"/>
        <v/>
      </c>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2" t="str">
        <f t="shared" si="31"/>
        <v/>
      </c>
      <c r="AI336" s="12" t="str">
        <f>IF($B336="","",COUNTIF('Rework Log'!$A$3:$A$500,$B336))</f>
        <v/>
      </c>
      <c r="AJ336" s="12" t="str">
        <f>IF(OR($B336="",$AR336=0),"",INDEX('Rework Log'!$C:$C,$AR336))</f>
        <v/>
      </c>
      <c r="AK336" s="12" t="str">
        <f>IF(OR($B336="",$AR336=0),"",INDEX('Rework Log'!$H:$H,$AR336))</f>
        <v/>
      </c>
      <c r="AL336" s="12" t="str">
        <f>IF(OR($B336="",$AR336=0),"",INDEX('Rework Log'!$G:$G,$AR336))</f>
        <v/>
      </c>
      <c r="AM336" s="12" t="str">
        <f t="shared" si="32"/>
        <v/>
      </c>
      <c r="AN336" s="12" t="str">
        <f t="shared" si="33"/>
        <v/>
      </c>
      <c r="AO336" s="12" t="str">
        <f t="shared" si="34"/>
        <v/>
      </c>
      <c r="AP336" s="12" t="str">
        <f t="shared" si="35"/>
        <v/>
      </c>
      <c r="AQ336" s="1"/>
      <c r="AR336" s="12" t="str">
        <f>IF($B336="","",SUMPRODUCT(MAX(('Rework Log'!$A$3:$A$500=$B336)*ROW('Rework Log'!$A$3:$A$500))))</f>
        <v/>
      </c>
    </row>
    <row r="337" spans="1:44" x14ac:dyDescent="0.25">
      <c r="A337" s="1"/>
      <c r="B337" s="1"/>
      <c r="C337" s="1"/>
      <c r="D337" s="12" t="str">
        <f t="shared" ca="1" si="30"/>
        <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2" t="str">
        <f t="shared" si="31"/>
        <v/>
      </c>
      <c r="AI337" s="12" t="str">
        <f>IF($B337="","",COUNTIF('Rework Log'!$A$3:$A$500,$B337))</f>
        <v/>
      </c>
      <c r="AJ337" s="12" t="str">
        <f>IF(OR($B337="",$AR337=0),"",INDEX('Rework Log'!$C:$C,$AR337))</f>
        <v/>
      </c>
      <c r="AK337" s="12" t="str">
        <f>IF(OR($B337="",$AR337=0),"",INDEX('Rework Log'!$H:$H,$AR337))</f>
        <v/>
      </c>
      <c r="AL337" s="12" t="str">
        <f>IF(OR($B337="",$AR337=0),"",INDEX('Rework Log'!$G:$G,$AR337))</f>
        <v/>
      </c>
      <c r="AM337" s="12" t="str">
        <f t="shared" si="32"/>
        <v/>
      </c>
      <c r="AN337" s="12" t="str">
        <f t="shared" si="33"/>
        <v/>
      </c>
      <c r="AO337" s="12" t="str">
        <f t="shared" si="34"/>
        <v/>
      </c>
      <c r="AP337" s="12" t="str">
        <f t="shared" si="35"/>
        <v/>
      </c>
      <c r="AQ337" s="1"/>
      <c r="AR337" s="12" t="str">
        <f>IF($B337="","",SUMPRODUCT(MAX(('Rework Log'!$A$3:$A$500=$B337)*ROW('Rework Log'!$A$3:$A$500))))</f>
        <v/>
      </c>
    </row>
    <row r="338" spans="1:44" x14ac:dyDescent="0.25">
      <c r="A338" s="1"/>
      <c r="B338" s="1"/>
      <c r="C338" s="1"/>
      <c r="D338" s="12" t="str">
        <f t="shared" ca="1" si="30"/>
        <v/>
      </c>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2" t="str">
        <f t="shared" si="31"/>
        <v/>
      </c>
      <c r="AI338" s="12" t="str">
        <f>IF($B338="","",COUNTIF('Rework Log'!$A$3:$A$500,$B338))</f>
        <v/>
      </c>
      <c r="AJ338" s="12" t="str">
        <f>IF(OR($B338="",$AR338=0),"",INDEX('Rework Log'!$C:$C,$AR338))</f>
        <v/>
      </c>
      <c r="AK338" s="12" t="str">
        <f>IF(OR($B338="",$AR338=0),"",INDEX('Rework Log'!$H:$H,$AR338))</f>
        <v/>
      </c>
      <c r="AL338" s="12" t="str">
        <f>IF(OR($B338="",$AR338=0),"",INDEX('Rework Log'!$G:$G,$AR338))</f>
        <v/>
      </c>
      <c r="AM338" s="12" t="str">
        <f t="shared" si="32"/>
        <v/>
      </c>
      <c r="AN338" s="12" t="str">
        <f t="shared" si="33"/>
        <v/>
      </c>
      <c r="AO338" s="12" t="str">
        <f t="shared" si="34"/>
        <v/>
      </c>
      <c r="AP338" s="12" t="str">
        <f t="shared" si="35"/>
        <v/>
      </c>
      <c r="AQ338" s="1"/>
      <c r="AR338" s="12" t="str">
        <f>IF($B338="","",SUMPRODUCT(MAX(('Rework Log'!$A$3:$A$500=$B338)*ROW('Rework Log'!$A$3:$A$500))))</f>
        <v/>
      </c>
    </row>
    <row r="339" spans="1:44" x14ac:dyDescent="0.25">
      <c r="A339" s="1"/>
      <c r="B339" s="1"/>
      <c r="C339" s="1"/>
      <c r="D339" s="12" t="str">
        <f t="shared" ca="1" si="30"/>
        <v/>
      </c>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2" t="str">
        <f t="shared" si="31"/>
        <v/>
      </c>
      <c r="AI339" s="12" t="str">
        <f>IF($B339="","",COUNTIF('Rework Log'!$A$3:$A$500,$B339))</f>
        <v/>
      </c>
      <c r="AJ339" s="12" t="str">
        <f>IF(OR($B339="",$AR339=0),"",INDEX('Rework Log'!$C:$C,$AR339))</f>
        <v/>
      </c>
      <c r="AK339" s="12" t="str">
        <f>IF(OR($B339="",$AR339=0),"",INDEX('Rework Log'!$H:$H,$AR339))</f>
        <v/>
      </c>
      <c r="AL339" s="12" t="str">
        <f>IF(OR($B339="",$AR339=0),"",INDEX('Rework Log'!$G:$G,$AR339))</f>
        <v/>
      </c>
      <c r="AM339" s="12" t="str">
        <f t="shared" si="32"/>
        <v/>
      </c>
      <c r="AN339" s="12" t="str">
        <f t="shared" si="33"/>
        <v/>
      </c>
      <c r="AO339" s="12" t="str">
        <f t="shared" si="34"/>
        <v/>
      </c>
      <c r="AP339" s="12" t="str">
        <f t="shared" si="35"/>
        <v/>
      </c>
      <c r="AQ339" s="1"/>
      <c r="AR339" s="12" t="str">
        <f>IF($B339="","",SUMPRODUCT(MAX(('Rework Log'!$A$3:$A$500=$B339)*ROW('Rework Log'!$A$3:$A$500))))</f>
        <v/>
      </c>
    </row>
    <row r="340" spans="1:44" x14ac:dyDescent="0.25">
      <c r="A340" s="1"/>
      <c r="B340" s="1"/>
      <c r="C340" s="1"/>
      <c r="D340" s="12" t="str">
        <f t="shared" ca="1" si="30"/>
        <v/>
      </c>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2" t="str">
        <f t="shared" si="31"/>
        <v/>
      </c>
      <c r="AI340" s="12" t="str">
        <f>IF($B340="","",COUNTIF('Rework Log'!$A$3:$A$500,$B340))</f>
        <v/>
      </c>
      <c r="AJ340" s="12" t="str">
        <f>IF(OR($B340="",$AR340=0),"",INDEX('Rework Log'!$C:$C,$AR340))</f>
        <v/>
      </c>
      <c r="AK340" s="12" t="str">
        <f>IF(OR($B340="",$AR340=0),"",INDEX('Rework Log'!$H:$H,$AR340))</f>
        <v/>
      </c>
      <c r="AL340" s="12" t="str">
        <f>IF(OR($B340="",$AR340=0),"",INDEX('Rework Log'!$G:$G,$AR340))</f>
        <v/>
      </c>
      <c r="AM340" s="12" t="str">
        <f t="shared" si="32"/>
        <v/>
      </c>
      <c r="AN340" s="12" t="str">
        <f t="shared" si="33"/>
        <v/>
      </c>
      <c r="AO340" s="12" t="str">
        <f t="shared" si="34"/>
        <v/>
      </c>
      <c r="AP340" s="12" t="str">
        <f t="shared" si="35"/>
        <v/>
      </c>
      <c r="AQ340" s="1"/>
      <c r="AR340" s="12" t="str">
        <f>IF($B340="","",SUMPRODUCT(MAX(('Rework Log'!$A$3:$A$500=$B340)*ROW('Rework Log'!$A$3:$A$500))))</f>
        <v/>
      </c>
    </row>
    <row r="341" spans="1:44" x14ac:dyDescent="0.25">
      <c r="A341" s="1"/>
      <c r="B341" s="1"/>
      <c r="C341" s="1"/>
      <c r="D341" s="12" t="str">
        <f t="shared" ca="1" si="30"/>
        <v/>
      </c>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2" t="str">
        <f t="shared" si="31"/>
        <v/>
      </c>
      <c r="AI341" s="12" t="str">
        <f>IF($B341="","",COUNTIF('Rework Log'!$A$3:$A$500,$B341))</f>
        <v/>
      </c>
      <c r="AJ341" s="12" t="str">
        <f>IF(OR($B341="",$AR341=0),"",INDEX('Rework Log'!$C:$C,$AR341))</f>
        <v/>
      </c>
      <c r="AK341" s="12" t="str">
        <f>IF(OR($B341="",$AR341=0),"",INDEX('Rework Log'!$H:$H,$AR341))</f>
        <v/>
      </c>
      <c r="AL341" s="12" t="str">
        <f>IF(OR($B341="",$AR341=0),"",INDEX('Rework Log'!$G:$G,$AR341))</f>
        <v/>
      </c>
      <c r="AM341" s="12" t="str">
        <f t="shared" si="32"/>
        <v/>
      </c>
      <c r="AN341" s="12" t="str">
        <f t="shared" si="33"/>
        <v/>
      </c>
      <c r="AO341" s="12" t="str">
        <f t="shared" si="34"/>
        <v/>
      </c>
      <c r="AP341" s="12" t="str">
        <f t="shared" si="35"/>
        <v/>
      </c>
      <c r="AQ341" s="1"/>
      <c r="AR341" s="12" t="str">
        <f>IF($B341="","",SUMPRODUCT(MAX(('Rework Log'!$A$3:$A$500=$B341)*ROW('Rework Log'!$A$3:$A$500))))</f>
        <v/>
      </c>
    </row>
    <row r="342" spans="1:44" x14ac:dyDescent="0.25">
      <c r="A342" s="1"/>
      <c r="B342" s="1"/>
      <c r="C342" s="1"/>
      <c r="D342" s="12" t="str">
        <f t="shared" ca="1" si="30"/>
        <v/>
      </c>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2" t="str">
        <f t="shared" si="31"/>
        <v/>
      </c>
      <c r="AI342" s="12" t="str">
        <f>IF($B342="","",COUNTIF('Rework Log'!$A$3:$A$500,$B342))</f>
        <v/>
      </c>
      <c r="AJ342" s="12" t="str">
        <f>IF(OR($B342="",$AR342=0),"",INDEX('Rework Log'!$C:$C,$AR342))</f>
        <v/>
      </c>
      <c r="AK342" s="12" t="str">
        <f>IF(OR($B342="",$AR342=0),"",INDEX('Rework Log'!$H:$H,$AR342))</f>
        <v/>
      </c>
      <c r="AL342" s="12" t="str">
        <f>IF(OR($B342="",$AR342=0),"",INDEX('Rework Log'!$G:$G,$AR342))</f>
        <v/>
      </c>
      <c r="AM342" s="12" t="str">
        <f t="shared" si="32"/>
        <v/>
      </c>
      <c r="AN342" s="12" t="str">
        <f t="shared" si="33"/>
        <v/>
      </c>
      <c r="AO342" s="12" t="str">
        <f t="shared" si="34"/>
        <v/>
      </c>
      <c r="AP342" s="12" t="str">
        <f t="shared" si="35"/>
        <v/>
      </c>
      <c r="AQ342" s="1"/>
      <c r="AR342" s="12" t="str">
        <f>IF($B342="","",SUMPRODUCT(MAX(('Rework Log'!$A$3:$A$500=$B342)*ROW('Rework Log'!$A$3:$A$500))))</f>
        <v/>
      </c>
    </row>
    <row r="343" spans="1:44" x14ac:dyDescent="0.25">
      <c r="A343" s="1"/>
      <c r="B343" s="1"/>
      <c r="C343" s="1"/>
      <c r="D343" s="12" t="str">
        <f t="shared" ca="1" si="30"/>
        <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2" t="str">
        <f t="shared" si="31"/>
        <v/>
      </c>
      <c r="AI343" s="12" t="str">
        <f>IF($B343="","",COUNTIF('Rework Log'!$A$3:$A$500,$B343))</f>
        <v/>
      </c>
      <c r="AJ343" s="12" t="str">
        <f>IF(OR($B343="",$AR343=0),"",INDEX('Rework Log'!$C:$C,$AR343))</f>
        <v/>
      </c>
      <c r="AK343" s="12" t="str">
        <f>IF(OR($B343="",$AR343=0),"",INDEX('Rework Log'!$H:$H,$AR343))</f>
        <v/>
      </c>
      <c r="AL343" s="12" t="str">
        <f>IF(OR($B343="",$AR343=0),"",INDEX('Rework Log'!$G:$G,$AR343))</f>
        <v/>
      </c>
      <c r="AM343" s="12" t="str">
        <f t="shared" si="32"/>
        <v/>
      </c>
      <c r="AN343" s="12" t="str">
        <f t="shared" si="33"/>
        <v/>
      </c>
      <c r="AO343" s="12" t="str">
        <f t="shared" si="34"/>
        <v/>
      </c>
      <c r="AP343" s="12" t="str">
        <f t="shared" si="35"/>
        <v/>
      </c>
      <c r="AQ343" s="1"/>
      <c r="AR343" s="12" t="str">
        <f>IF($B343="","",SUMPRODUCT(MAX(('Rework Log'!$A$3:$A$500=$B343)*ROW('Rework Log'!$A$3:$A$500))))</f>
        <v/>
      </c>
    </row>
    <row r="344" spans="1:44" x14ac:dyDescent="0.25">
      <c r="A344" s="1"/>
      <c r="B344" s="1"/>
      <c r="C344" s="1"/>
      <c r="D344" s="12" t="str">
        <f t="shared" ca="1" si="30"/>
        <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2" t="str">
        <f t="shared" si="31"/>
        <v/>
      </c>
      <c r="AI344" s="12" t="str">
        <f>IF($B344="","",COUNTIF('Rework Log'!$A$3:$A$500,$B344))</f>
        <v/>
      </c>
      <c r="AJ344" s="12" t="str">
        <f>IF(OR($B344="",$AR344=0),"",INDEX('Rework Log'!$C:$C,$AR344))</f>
        <v/>
      </c>
      <c r="AK344" s="12" t="str">
        <f>IF(OR($B344="",$AR344=0),"",INDEX('Rework Log'!$H:$H,$AR344))</f>
        <v/>
      </c>
      <c r="AL344" s="12" t="str">
        <f>IF(OR($B344="",$AR344=0),"",INDEX('Rework Log'!$G:$G,$AR344))</f>
        <v/>
      </c>
      <c r="AM344" s="12" t="str">
        <f t="shared" si="32"/>
        <v/>
      </c>
      <c r="AN344" s="12" t="str">
        <f t="shared" si="33"/>
        <v/>
      </c>
      <c r="AO344" s="12" t="str">
        <f t="shared" si="34"/>
        <v/>
      </c>
      <c r="AP344" s="12" t="str">
        <f t="shared" si="35"/>
        <v/>
      </c>
      <c r="AQ344" s="1"/>
      <c r="AR344" s="12" t="str">
        <f>IF($B344="","",SUMPRODUCT(MAX(('Rework Log'!$A$3:$A$500=$B344)*ROW('Rework Log'!$A$3:$A$500))))</f>
        <v/>
      </c>
    </row>
    <row r="345" spans="1:44" x14ac:dyDescent="0.25">
      <c r="A345" s="1"/>
      <c r="B345" s="1"/>
      <c r="C345" s="1"/>
      <c r="D345" s="12" t="str">
        <f t="shared" ca="1" si="30"/>
        <v/>
      </c>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2" t="str">
        <f t="shared" si="31"/>
        <v/>
      </c>
      <c r="AI345" s="12" t="str">
        <f>IF($B345="","",COUNTIF('Rework Log'!$A$3:$A$500,$B345))</f>
        <v/>
      </c>
      <c r="AJ345" s="12" t="str">
        <f>IF(OR($B345="",$AR345=0),"",INDEX('Rework Log'!$C:$C,$AR345))</f>
        <v/>
      </c>
      <c r="AK345" s="12" t="str">
        <f>IF(OR($B345="",$AR345=0),"",INDEX('Rework Log'!$H:$H,$AR345))</f>
        <v/>
      </c>
      <c r="AL345" s="12" t="str">
        <f>IF(OR($B345="",$AR345=0),"",INDEX('Rework Log'!$G:$G,$AR345))</f>
        <v/>
      </c>
      <c r="AM345" s="12" t="str">
        <f t="shared" si="32"/>
        <v/>
      </c>
      <c r="AN345" s="12" t="str">
        <f t="shared" si="33"/>
        <v/>
      </c>
      <c r="AO345" s="12" t="str">
        <f t="shared" si="34"/>
        <v/>
      </c>
      <c r="AP345" s="12" t="str">
        <f t="shared" si="35"/>
        <v/>
      </c>
      <c r="AQ345" s="1"/>
      <c r="AR345" s="12" t="str">
        <f>IF($B345="","",SUMPRODUCT(MAX(('Rework Log'!$A$3:$A$500=$B345)*ROW('Rework Log'!$A$3:$A$500))))</f>
        <v/>
      </c>
    </row>
    <row r="346" spans="1:44" x14ac:dyDescent="0.25">
      <c r="A346" s="1"/>
      <c r="B346" s="1"/>
      <c r="C346" s="1"/>
      <c r="D346" s="12" t="str">
        <f t="shared" ca="1" si="30"/>
        <v/>
      </c>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2" t="str">
        <f t="shared" si="31"/>
        <v/>
      </c>
      <c r="AI346" s="12" t="str">
        <f>IF($B346="","",COUNTIF('Rework Log'!$A$3:$A$500,$B346))</f>
        <v/>
      </c>
      <c r="AJ346" s="12" t="str">
        <f>IF(OR($B346="",$AR346=0),"",INDEX('Rework Log'!$C:$C,$AR346))</f>
        <v/>
      </c>
      <c r="AK346" s="12" t="str">
        <f>IF(OR($B346="",$AR346=0),"",INDEX('Rework Log'!$H:$H,$AR346))</f>
        <v/>
      </c>
      <c r="AL346" s="12" t="str">
        <f>IF(OR($B346="",$AR346=0),"",INDEX('Rework Log'!$G:$G,$AR346))</f>
        <v/>
      </c>
      <c r="AM346" s="12" t="str">
        <f t="shared" si="32"/>
        <v/>
      </c>
      <c r="AN346" s="12" t="str">
        <f t="shared" si="33"/>
        <v/>
      </c>
      <c r="AO346" s="12" t="str">
        <f t="shared" si="34"/>
        <v/>
      </c>
      <c r="AP346" s="12" t="str">
        <f t="shared" si="35"/>
        <v/>
      </c>
      <c r="AQ346" s="1"/>
      <c r="AR346" s="12" t="str">
        <f>IF($B346="","",SUMPRODUCT(MAX(('Rework Log'!$A$3:$A$500=$B346)*ROW('Rework Log'!$A$3:$A$500))))</f>
        <v/>
      </c>
    </row>
    <row r="347" spans="1:44" x14ac:dyDescent="0.25">
      <c r="A347" s="1"/>
      <c r="B347" s="1"/>
      <c r="C347" s="1"/>
      <c r="D347" s="12" t="str">
        <f t="shared" ca="1" si="30"/>
        <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2" t="str">
        <f t="shared" si="31"/>
        <v/>
      </c>
      <c r="AI347" s="12" t="str">
        <f>IF($B347="","",COUNTIF('Rework Log'!$A$3:$A$500,$B347))</f>
        <v/>
      </c>
      <c r="AJ347" s="12" t="str">
        <f>IF(OR($B347="",$AR347=0),"",INDEX('Rework Log'!$C:$C,$AR347))</f>
        <v/>
      </c>
      <c r="AK347" s="12" t="str">
        <f>IF(OR($B347="",$AR347=0),"",INDEX('Rework Log'!$H:$H,$AR347))</f>
        <v/>
      </c>
      <c r="AL347" s="12" t="str">
        <f>IF(OR($B347="",$AR347=0),"",INDEX('Rework Log'!$G:$G,$AR347))</f>
        <v/>
      </c>
      <c r="AM347" s="12" t="str">
        <f t="shared" si="32"/>
        <v/>
      </c>
      <c r="AN347" s="12" t="str">
        <f t="shared" si="33"/>
        <v/>
      </c>
      <c r="AO347" s="12" t="str">
        <f t="shared" si="34"/>
        <v/>
      </c>
      <c r="AP347" s="12" t="str">
        <f t="shared" si="35"/>
        <v/>
      </c>
      <c r="AQ347" s="1"/>
      <c r="AR347" s="12" t="str">
        <f>IF($B347="","",SUMPRODUCT(MAX(('Rework Log'!$A$3:$A$500=$B347)*ROW('Rework Log'!$A$3:$A$500))))</f>
        <v/>
      </c>
    </row>
    <row r="348" spans="1:44" x14ac:dyDescent="0.25">
      <c r="A348" s="1"/>
      <c r="B348" s="1"/>
      <c r="C348" s="1"/>
      <c r="D348" s="12" t="str">
        <f t="shared" ca="1" si="30"/>
        <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2" t="str">
        <f t="shared" si="31"/>
        <v/>
      </c>
      <c r="AI348" s="12" t="str">
        <f>IF($B348="","",COUNTIF('Rework Log'!$A$3:$A$500,$B348))</f>
        <v/>
      </c>
      <c r="AJ348" s="12" t="str">
        <f>IF(OR($B348="",$AR348=0),"",INDEX('Rework Log'!$C:$C,$AR348))</f>
        <v/>
      </c>
      <c r="AK348" s="12" t="str">
        <f>IF(OR($B348="",$AR348=0),"",INDEX('Rework Log'!$H:$H,$AR348))</f>
        <v/>
      </c>
      <c r="AL348" s="12" t="str">
        <f>IF(OR($B348="",$AR348=0),"",INDEX('Rework Log'!$G:$G,$AR348))</f>
        <v/>
      </c>
      <c r="AM348" s="12" t="str">
        <f t="shared" si="32"/>
        <v/>
      </c>
      <c r="AN348" s="12" t="str">
        <f t="shared" si="33"/>
        <v/>
      </c>
      <c r="AO348" s="12" t="str">
        <f t="shared" si="34"/>
        <v/>
      </c>
      <c r="AP348" s="12" t="str">
        <f t="shared" si="35"/>
        <v/>
      </c>
      <c r="AQ348" s="1"/>
      <c r="AR348" s="12" t="str">
        <f>IF($B348="","",SUMPRODUCT(MAX(('Rework Log'!$A$3:$A$500=$B348)*ROW('Rework Log'!$A$3:$A$500))))</f>
        <v/>
      </c>
    </row>
    <row r="349" spans="1:44" x14ac:dyDescent="0.25">
      <c r="A349" s="1"/>
      <c r="B349" s="1"/>
      <c r="C349" s="1"/>
      <c r="D349" s="12" t="str">
        <f t="shared" ca="1" si="30"/>
        <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2" t="str">
        <f t="shared" si="31"/>
        <v/>
      </c>
      <c r="AI349" s="12" t="str">
        <f>IF($B349="","",COUNTIF('Rework Log'!$A$3:$A$500,$B349))</f>
        <v/>
      </c>
      <c r="AJ349" s="12" t="str">
        <f>IF(OR($B349="",$AR349=0),"",INDEX('Rework Log'!$C:$C,$AR349))</f>
        <v/>
      </c>
      <c r="AK349" s="12" t="str">
        <f>IF(OR($B349="",$AR349=0),"",INDEX('Rework Log'!$H:$H,$AR349))</f>
        <v/>
      </c>
      <c r="AL349" s="12" t="str">
        <f>IF(OR($B349="",$AR349=0),"",INDEX('Rework Log'!$G:$G,$AR349))</f>
        <v/>
      </c>
      <c r="AM349" s="12" t="str">
        <f t="shared" si="32"/>
        <v/>
      </c>
      <c r="AN349" s="12" t="str">
        <f t="shared" si="33"/>
        <v/>
      </c>
      <c r="AO349" s="12" t="str">
        <f t="shared" si="34"/>
        <v/>
      </c>
      <c r="AP349" s="12" t="str">
        <f t="shared" si="35"/>
        <v/>
      </c>
      <c r="AQ349" s="1"/>
      <c r="AR349" s="12" t="str">
        <f>IF($B349="","",SUMPRODUCT(MAX(('Rework Log'!$A$3:$A$500=$B349)*ROW('Rework Log'!$A$3:$A$500))))</f>
        <v/>
      </c>
    </row>
    <row r="350" spans="1:44" x14ac:dyDescent="0.25">
      <c r="A350" s="1"/>
      <c r="B350" s="1"/>
      <c r="C350" s="1"/>
      <c r="D350" s="12" t="str">
        <f t="shared" ca="1" si="30"/>
        <v/>
      </c>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2" t="str">
        <f t="shared" si="31"/>
        <v/>
      </c>
      <c r="AI350" s="12" t="str">
        <f>IF($B350="","",COUNTIF('Rework Log'!$A$3:$A$500,$B350))</f>
        <v/>
      </c>
      <c r="AJ350" s="12" t="str">
        <f>IF(OR($B350="",$AR350=0),"",INDEX('Rework Log'!$C:$C,$AR350))</f>
        <v/>
      </c>
      <c r="AK350" s="12" t="str">
        <f>IF(OR($B350="",$AR350=0),"",INDEX('Rework Log'!$H:$H,$AR350))</f>
        <v/>
      </c>
      <c r="AL350" s="12" t="str">
        <f>IF(OR($B350="",$AR350=0),"",INDEX('Rework Log'!$G:$G,$AR350))</f>
        <v/>
      </c>
      <c r="AM350" s="12" t="str">
        <f t="shared" si="32"/>
        <v/>
      </c>
      <c r="AN350" s="12" t="str">
        <f t="shared" si="33"/>
        <v/>
      </c>
      <c r="AO350" s="12" t="str">
        <f t="shared" si="34"/>
        <v/>
      </c>
      <c r="AP350" s="12" t="str">
        <f t="shared" si="35"/>
        <v/>
      </c>
      <c r="AQ350" s="1"/>
      <c r="AR350" s="12" t="str">
        <f>IF($B350="","",SUMPRODUCT(MAX(('Rework Log'!$A$3:$A$500=$B350)*ROW('Rework Log'!$A$3:$A$500))))</f>
        <v/>
      </c>
    </row>
    <row r="351" spans="1:44" x14ac:dyDescent="0.25">
      <c r="A351" s="1"/>
      <c r="B351" s="1"/>
      <c r="C351" s="1"/>
      <c r="D351" s="12" t="str">
        <f t="shared" ca="1" si="30"/>
        <v/>
      </c>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2" t="str">
        <f t="shared" si="31"/>
        <v/>
      </c>
      <c r="AI351" s="12" t="str">
        <f>IF($B351="","",COUNTIF('Rework Log'!$A$3:$A$500,$B351))</f>
        <v/>
      </c>
      <c r="AJ351" s="12" t="str">
        <f>IF(OR($B351="",$AR351=0),"",INDEX('Rework Log'!$C:$C,$AR351))</f>
        <v/>
      </c>
      <c r="AK351" s="12" t="str">
        <f>IF(OR($B351="",$AR351=0),"",INDEX('Rework Log'!$H:$H,$AR351))</f>
        <v/>
      </c>
      <c r="AL351" s="12" t="str">
        <f>IF(OR($B351="",$AR351=0),"",INDEX('Rework Log'!$G:$G,$AR351))</f>
        <v/>
      </c>
      <c r="AM351" s="12" t="str">
        <f t="shared" si="32"/>
        <v/>
      </c>
      <c r="AN351" s="12" t="str">
        <f t="shared" si="33"/>
        <v/>
      </c>
      <c r="AO351" s="12" t="str">
        <f t="shared" si="34"/>
        <v/>
      </c>
      <c r="AP351" s="12" t="str">
        <f t="shared" si="35"/>
        <v/>
      </c>
      <c r="AQ351" s="1"/>
      <c r="AR351" s="12" t="str">
        <f>IF($B351="","",SUMPRODUCT(MAX(('Rework Log'!$A$3:$A$500=$B351)*ROW('Rework Log'!$A$3:$A$500))))</f>
        <v/>
      </c>
    </row>
    <row r="352" spans="1:44" x14ac:dyDescent="0.25">
      <c r="A352" s="1"/>
      <c r="B352" s="1"/>
      <c r="C352" s="1"/>
      <c r="D352" s="12" t="str">
        <f t="shared" ca="1" si="30"/>
        <v/>
      </c>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2" t="str">
        <f t="shared" si="31"/>
        <v/>
      </c>
      <c r="AI352" s="12" t="str">
        <f>IF($B352="","",COUNTIF('Rework Log'!$A$3:$A$500,$B352))</f>
        <v/>
      </c>
      <c r="AJ352" s="12" t="str">
        <f>IF(OR($B352="",$AR352=0),"",INDEX('Rework Log'!$C:$C,$AR352))</f>
        <v/>
      </c>
      <c r="AK352" s="12" t="str">
        <f>IF(OR($B352="",$AR352=0),"",INDEX('Rework Log'!$H:$H,$AR352))</f>
        <v/>
      </c>
      <c r="AL352" s="12" t="str">
        <f>IF(OR($B352="",$AR352=0),"",INDEX('Rework Log'!$G:$G,$AR352))</f>
        <v/>
      </c>
      <c r="AM352" s="12" t="str">
        <f t="shared" si="32"/>
        <v/>
      </c>
      <c r="AN352" s="12" t="str">
        <f t="shared" si="33"/>
        <v/>
      </c>
      <c r="AO352" s="12" t="str">
        <f t="shared" si="34"/>
        <v/>
      </c>
      <c r="AP352" s="12" t="str">
        <f t="shared" si="35"/>
        <v/>
      </c>
      <c r="AQ352" s="1"/>
      <c r="AR352" s="12" t="str">
        <f>IF($B352="","",SUMPRODUCT(MAX(('Rework Log'!$A$3:$A$500=$B352)*ROW('Rework Log'!$A$3:$A$500))))</f>
        <v/>
      </c>
    </row>
    <row r="353" spans="1:44" x14ac:dyDescent="0.25">
      <c r="A353" s="1"/>
      <c r="B353" s="1"/>
      <c r="C353" s="1"/>
      <c r="D353" s="12" t="str">
        <f t="shared" ca="1" si="30"/>
        <v/>
      </c>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2" t="str">
        <f t="shared" si="31"/>
        <v/>
      </c>
      <c r="AI353" s="12" t="str">
        <f>IF($B353="","",COUNTIF('Rework Log'!$A$3:$A$500,$B353))</f>
        <v/>
      </c>
      <c r="AJ353" s="12" t="str">
        <f>IF(OR($B353="",$AR353=0),"",INDEX('Rework Log'!$C:$C,$AR353))</f>
        <v/>
      </c>
      <c r="AK353" s="12" t="str">
        <f>IF(OR($B353="",$AR353=0),"",INDEX('Rework Log'!$H:$H,$AR353))</f>
        <v/>
      </c>
      <c r="AL353" s="12" t="str">
        <f>IF(OR($B353="",$AR353=0),"",INDEX('Rework Log'!$G:$G,$AR353))</f>
        <v/>
      </c>
      <c r="AM353" s="12" t="str">
        <f t="shared" si="32"/>
        <v/>
      </c>
      <c r="AN353" s="12" t="str">
        <f t="shared" si="33"/>
        <v/>
      </c>
      <c r="AO353" s="12" t="str">
        <f t="shared" si="34"/>
        <v/>
      </c>
      <c r="AP353" s="12" t="str">
        <f t="shared" si="35"/>
        <v/>
      </c>
      <c r="AQ353" s="1"/>
      <c r="AR353" s="12" t="str">
        <f>IF($B353="","",SUMPRODUCT(MAX(('Rework Log'!$A$3:$A$500=$B353)*ROW('Rework Log'!$A$3:$A$500))))</f>
        <v/>
      </c>
    </row>
    <row r="354" spans="1:44" x14ac:dyDescent="0.25">
      <c r="A354" s="1"/>
      <c r="B354" s="1"/>
      <c r="C354" s="1"/>
      <c r="D354" s="12" t="str">
        <f t="shared" ca="1" si="30"/>
        <v/>
      </c>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2" t="str">
        <f t="shared" si="31"/>
        <v/>
      </c>
      <c r="AI354" s="12" t="str">
        <f>IF($B354="","",COUNTIF('Rework Log'!$A$3:$A$500,$B354))</f>
        <v/>
      </c>
      <c r="AJ354" s="12" t="str">
        <f>IF(OR($B354="",$AR354=0),"",INDEX('Rework Log'!$C:$C,$AR354))</f>
        <v/>
      </c>
      <c r="AK354" s="12" t="str">
        <f>IF(OR($B354="",$AR354=0),"",INDEX('Rework Log'!$H:$H,$AR354))</f>
        <v/>
      </c>
      <c r="AL354" s="12" t="str">
        <f>IF(OR($B354="",$AR354=0),"",INDEX('Rework Log'!$G:$G,$AR354))</f>
        <v/>
      </c>
      <c r="AM354" s="12" t="str">
        <f t="shared" si="32"/>
        <v/>
      </c>
      <c r="AN354" s="12" t="str">
        <f t="shared" si="33"/>
        <v/>
      </c>
      <c r="AO354" s="12" t="str">
        <f t="shared" si="34"/>
        <v/>
      </c>
      <c r="AP354" s="12" t="str">
        <f t="shared" si="35"/>
        <v/>
      </c>
      <c r="AQ354" s="1"/>
      <c r="AR354" s="12" t="str">
        <f>IF($B354="","",SUMPRODUCT(MAX(('Rework Log'!$A$3:$A$500=$B354)*ROW('Rework Log'!$A$3:$A$500))))</f>
        <v/>
      </c>
    </row>
    <row r="355" spans="1:44" x14ac:dyDescent="0.25">
      <c r="A355" s="1"/>
      <c r="B355" s="1"/>
      <c r="C355" s="1"/>
      <c r="D355" s="12" t="str">
        <f t="shared" ca="1" si="30"/>
        <v/>
      </c>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2" t="str">
        <f t="shared" si="31"/>
        <v/>
      </c>
      <c r="AI355" s="12" t="str">
        <f>IF($B355="","",COUNTIF('Rework Log'!$A$3:$A$500,$B355))</f>
        <v/>
      </c>
      <c r="AJ355" s="12" t="str">
        <f>IF(OR($B355="",$AR355=0),"",INDEX('Rework Log'!$C:$C,$AR355))</f>
        <v/>
      </c>
      <c r="AK355" s="12" t="str">
        <f>IF(OR($B355="",$AR355=0),"",INDEX('Rework Log'!$H:$H,$AR355))</f>
        <v/>
      </c>
      <c r="AL355" s="12" t="str">
        <f>IF(OR($B355="",$AR355=0),"",INDEX('Rework Log'!$G:$G,$AR355))</f>
        <v/>
      </c>
      <c r="AM355" s="12" t="str">
        <f t="shared" si="32"/>
        <v/>
      </c>
      <c r="AN355" s="12" t="str">
        <f t="shared" si="33"/>
        <v/>
      </c>
      <c r="AO355" s="12" t="str">
        <f t="shared" si="34"/>
        <v/>
      </c>
      <c r="AP355" s="12" t="str">
        <f t="shared" si="35"/>
        <v/>
      </c>
      <c r="AQ355" s="1"/>
      <c r="AR355" s="12" t="str">
        <f>IF($B355="","",SUMPRODUCT(MAX(('Rework Log'!$A$3:$A$500=$B355)*ROW('Rework Log'!$A$3:$A$500))))</f>
        <v/>
      </c>
    </row>
    <row r="356" spans="1:44" x14ac:dyDescent="0.25">
      <c r="A356" s="1"/>
      <c r="B356" s="1"/>
      <c r="C356" s="1"/>
      <c r="D356" s="12" t="str">
        <f t="shared" ca="1" si="30"/>
        <v/>
      </c>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2" t="str">
        <f t="shared" si="31"/>
        <v/>
      </c>
      <c r="AI356" s="12" t="str">
        <f>IF($B356="","",COUNTIF('Rework Log'!$A$3:$A$500,$B356))</f>
        <v/>
      </c>
      <c r="AJ356" s="12" t="str">
        <f>IF(OR($B356="",$AR356=0),"",INDEX('Rework Log'!$C:$C,$AR356))</f>
        <v/>
      </c>
      <c r="AK356" s="12" t="str">
        <f>IF(OR($B356="",$AR356=0),"",INDEX('Rework Log'!$H:$H,$AR356))</f>
        <v/>
      </c>
      <c r="AL356" s="12" t="str">
        <f>IF(OR($B356="",$AR356=0),"",INDEX('Rework Log'!$G:$G,$AR356))</f>
        <v/>
      </c>
      <c r="AM356" s="12" t="str">
        <f t="shared" si="32"/>
        <v/>
      </c>
      <c r="AN356" s="12" t="str">
        <f t="shared" si="33"/>
        <v/>
      </c>
      <c r="AO356" s="12" t="str">
        <f t="shared" si="34"/>
        <v/>
      </c>
      <c r="AP356" s="12" t="str">
        <f t="shared" si="35"/>
        <v/>
      </c>
      <c r="AQ356" s="1"/>
      <c r="AR356" s="12" t="str">
        <f>IF($B356="","",SUMPRODUCT(MAX(('Rework Log'!$A$3:$A$500=$B356)*ROW('Rework Log'!$A$3:$A$500))))</f>
        <v/>
      </c>
    </row>
    <row r="357" spans="1:44" x14ac:dyDescent="0.25">
      <c r="A357" s="1"/>
      <c r="B357" s="1"/>
      <c r="C357" s="1"/>
      <c r="D357" s="12" t="str">
        <f t="shared" ca="1" si="30"/>
        <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2" t="str">
        <f t="shared" si="31"/>
        <v/>
      </c>
      <c r="AI357" s="12" t="str">
        <f>IF($B357="","",COUNTIF('Rework Log'!$A$3:$A$500,$B357))</f>
        <v/>
      </c>
      <c r="AJ357" s="12" t="str">
        <f>IF(OR($B357="",$AR357=0),"",INDEX('Rework Log'!$C:$C,$AR357))</f>
        <v/>
      </c>
      <c r="AK357" s="12" t="str">
        <f>IF(OR($B357="",$AR357=0),"",INDEX('Rework Log'!$H:$H,$AR357))</f>
        <v/>
      </c>
      <c r="AL357" s="12" t="str">
        <f>IF(OR($B357="",$AR357=0),"",INDEX('Rework Log'!$G:$G,$AR357))</f>
        <v/>
      </c>
      <c r="AM357" s="12" t="str">
        <f t="shared" si="32"/>
        <v/>
      </c>
      <c r="AN357" s="12" t="str">
        <f t="shared" si="33"/>
        <v/>
      </c>
      <c r="AO357" s="12" t="str">
        <f t="shared" si="34"/>
        <v/>
      </c>
      <c r="AP357" s="12" t="str">
        <f t="shared" si="35"/>
        <v/>
      </c>
      <c r="AQ357" s="1"/>
      <c r="AR357" s="12" t="str">
        <f>IF($B357="","",SUMPRODUCT(MAX(('Rework Log'!$A$3:$A$500=$B357)*ROW('Rework Log'!$A$3:$A$500))))</f>
        <v/>
      </c>
    </row>
    <row r="358" spans="1:44" x14ac:dyDescent="0.25">
      <c r="A358" s="1"/>
      <c r="B358" s="1"/>
      <c r="C358" s="1"/>
      <c r="D358" s="12" t="str">
        <f t="shared" ca="1" si="30"/>
        <v/>
      </c>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2" t="str">
        <f t="shared" si="31"/>
        <v/>
      </c>
      <c r="AI358" s="12" t="str">
        <f>IF($B358="","",COUNTIF('Rework Log'!$A$3:$A$500,$B358))</f>
        <v/>
      </c>
      <c r="AJ358" s="12" t="str">
        <f>IF(OR($B358="",$AR358=0),"",INDEX('Rework Log'!$C:$C,$AR358))</f>
        <v/>
      </c>
      <c r="AK358" s="12" t="str">
        <f>IF(OR($B358="",$AR358=0),"",INDEX('Rework Log'!$H:$H,$AR358))</f>
        <v/>
      </c>
      <c r="AL358" s="12" t="str">
        <f>IF(OR($B358="",$AR358=0),"",INDEX('Rework Log'!$G:$G,$AR358))</f>
        <v/>
      </c>
      <c r="AM358" s="12" t="str">
        <f t="shared" si="32"/>
        <v/>
      </c>
      <c r="AN358" s="12" t="str">
        <f t="shared" si="33"/>
        <v/>
      </c>
      <c r="AO358" s="12" t="str">
        <f t="shared" si="34"/>
        <v/>
      </c>
      <c r="AP358" s="12" t="str">
        <f t="shared" si="35"/>
        <v/>
      </c>
      <c r="AQ358" s="1"/>
      <c r="AR358" s="12" t="str">
        <f>IF($B358="","",SUMPRODUCT(MAX(('Rework Log'!$A$3:$A$500=$B358)*ROW('Rework Log'!$A$3:$A$500))))</f>
        <v/>
      </c>
    </row>
    <row r="359" spans="1:44" x14ac:dyDescent="0.25">
      <c r="A359" s="1"/>
      <c r="B359" s="1"/>
      <c r="C359" s="1"/>
      <c r="D359" s="12" t="str">
        <f t="shared" ca="1" si="30"/>
        <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2" t="str">
        <f t="shared" si="31"/>
        <v/>
      </c>
      <c r="AI359" s="12" t="str">
        <f>IF($B359="","",COUNTIF('Rework Log'!$A$3:$A$500,$B359))</f>
        <v/>
      </c>
      <c r="AJ359" s="12" t="str">
        <f>IF(OR($B359="",$AR359=0),"",INDEX('Rework Log'!$C:$C,$AR359))</f>
        <v/>
      </c>
      <c r="AK359" s="12" t="str">
        <f>IF(OR($B359="",$AR359=0),"",INDEX('Rework Log'!$H:$H,$AR359))</f>
        <v/>
      </c>
      <c r="AL359" s="12" t="str">
        <f>IF(OR($B359="",$AR359=0),"",INDEX('Rework Log'!$G:$G,$AR359))</f>
        <v/>
      </c>
      <c r="AM359" s="12" t="str">
        <f t="shared" si="32"/>
        <v/>
      </c>
      <c r="AN359" s="12" t="str">
        <f t="shared" si="33"/>
        <v/>
      </c>
      <c r="AO359" s="12" t="str">
        <f t="shared" si="34"/>
        <v/>
      </c>
      <c r="AP359" s="12" t="str">
        <f t="shared" si="35"/>
        <v/>
      </c>
      <c r="AQ359" s="1"/>
      <c r="AR359" s="12" t="str">
        <f>IF($B359="","",SUMPRODUCT(MAX(('Rework Log'!$A$3:$A$500=$B359)*ROW('Rework Log'!$A$3:$A$500))))</f>
        <v/>
      </c>
    </row>
    <row r="360" spans="1:44" x14ac:dyDescent="0.25">
      <c r="A360" s="1"/>
      <c r="B360" s="1"/>
      <c r="C360" s="1"/>
      <c r="D360" s="12" t="str">
        <f t="shared" ca="1" si="30"/>
        <v/>
      </c>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2" t="str">
        <f t="shared" si="31"/>
        <v/>
      </c>
      <c r="AI360" s="12" t="str">
        <f>IF($B360="","",COUNTIF('Rework Log'!$A$3:$A$500,$B360))</f>
        <v/>
      </c>
      <c r="AJ360" s="12" t="str">
        <f>IF(OR($B360="",$AR360=0),"",INDEX('Rework Log'!$C:$C,$AR360))</f>
        <v/>
      </c>
      <c r="AK360" s="12" t="str">
        <f>IF(OR($B360="",$AR360=0),"",INDEX('Rework Log'!$H:$H,$AR360))</f>
        <v/>
      </c>
      <c r="AL360" s="12" t="str">
        <f>IF(OR($B360="",$AR360=0),"",INDEX('Rework Log'!$G:$G,$AR360))</f>
        <v/>
      </c>
      <c r="AM360" s="12" t="str">
        <f t="shared" si="32"/>
        <v/>
      </c>
      <c r="AN360" s="12" t="str">
        <f t="shared" si="33"/>
        <v/>
      </c>
      <c r="AO360" s="12" t="str">
        <f t="shared" si="34"/>
        <v/>
      </c>
      <c r="AP360" s="12" t="str">
        <f t="shared" si="35"/>
        <v/>
      </c>
      <c r="AQ360" s="1"/>
      <c r="AR360" s="12" t="str">
        <f>IF($B360="","",SUMPRODUCT(MAX(('Rework Log'!$A$3:$A$500=$B360)*ROW('Rework Log'!$A$3:$A$500))))</f>
        <v/>
      </c>
    </row>
    <row r="361" spans="1:44" x14ac:dyDescent="0.25">
      <c r="A361" s="1"/>
      <c r="B361" s="1"/>
      <c r="C361" s="1"/>
      <c r="D361" s="12" t="str">
        <f t="shared" ca="1" si="30"/>
        <v/>
      </c>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2" t="str">
        <f t="shared" si="31"/>
        <v/>
      </c>
      <c r="AI361" s="12" t="str">
        <f>IF($B361="","",COUNTIF('Rework Log'!$A$3:$A$500,$B361))</f>
        <v/>
      </c>
      <c r="AJ361" s="12" t="str">
        <f>IF(OR($B361="",$AR361=0),"",INDEX('Rework Log'!$C:$C,$AR361))</f>
        <v/>
      </c>
      <c r="AK361" s="12" t="str">
        <f>IF(OR($B361="",$AR361=0),"",INDEX('Rework Log'!$H:$H,$AR361))</f>
        <v/>
      </c>
      <c r="AL361" s="12" t="str">
        <f>IF(OR($B361="",$AR361=0),"",INDEX('Rework Log'!$G:$G,$AR361))</f>
        <v/>
      </c>
      <c r="AM361" s="12" t="str">
        <f t="shared" si="32"/>
        <v/>
      </c>
      <c r="AN361" s="12" t="str">
        <f t="shared" si="33"/>
        <v/>
      </c>
      <c r="AO361" s="12" t="str">
        <f t="shared" si="34"/>
        <v/>
      </c>
      <c r="AP361" s="12" t="str">
        <f t="shared" si="35"/>
        <v/>
      </c>
      <c r="AQ361" s="1"/>
      <c r="AR361" s="12" t="str">
        <f>IF($B361="","",SUMPRODUCT(MAX(('Rework Log'!$A$3:$A$500=$B361)*ROW('Rework Log'!$A$3:$A$500))))</f>
        <v/>
      </c>
    </row>
    <row r="362" spans="1:44" x14ac:dyDescent="0.25">
      <c r="A362" s="1"/>
      <c r="B362" s="1"/>
      <c r="C362" s="1"/>
      <c r="D362" s="12" t="str">
        <f t="shared" ca="1" si="30"/>
        <v/>
      </c>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2" t="str">
        <f t="shared" si="31"/>
        <v/>
      </c>
      <c r="AI362" s="12" t="str">
        <f>IF($B362="","",COUNTIF('Rework Log'!$A$3:$A$500,$B362))</f>
        <v/>
      </c>
      <c r="AJ362" s="12" t="str">
        <f>IF(OR($B362="",$AR362=0),"",INDEX('Rework Log'!$C:$C,$AR362))</f>
        <v/>
      </c>
      <c r="AK362" s="12" t="str">
        <f>IF(OR($B362="",$AR362=0),"",INDEX('Rework Log'!$H:$H,$AR362))</f>
        <v/>
      </c>
      <c r="AL362" s="12" t="str">
        <f>IF(OR($B362="",$AR362=0),"",INDEX('Rework Log'!$G:$G,$AR362))</f>
        <v/>
      </c>
      <c r="AM362" s="12" t="str">
        <f t="shared" si="32"/>
        <v/>
      </c>
      <c r="AN362" s="12" t="str">
        <f t="shared" si="33"/>
        <v/>
      </c>
      <c r="AO362" s="12" t="str">
        <f t="shared" si="34"/>
        <v/>
      </c>
      <c r="AP362" s="12" t="str">
        <f t="shared" si="35"/>
        <v/>
      </c>
      <c r="AQ362" s="1"/>
      <c r="AR362" s="12" t="str">
        <f>IF($B362="","",SUMPRODUCT(MAX(('Rework Log'!$A$3:$A$500=$B362)*ROW('Rework Log'!$A$3:$A$500))))</f>
        <v/>
      </c>
    </row>
    <row r="363" spans="1:44" x14ac:dyDescent="0.25">
      <c r="A363" s="1"/>
      <c r="B363" s="1"/>
      <c r="C363" s="1"/>
      <c r="D363" s="12" t="str">
        <f t="shared" ca="1" si="30"/>
        <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2" t="str">
        <f t="shared" si="31"/>
        <v/>
      </c>
      <c r="AI363" s="12" t="str">
        <f>IF($B363="","",COUNTIF('Rework Log'!$A$3:$A$500,$B363))</f>
        <v/>
      </c>
      <c r="AJ363" s="12" t="str">
        <f>IF(OR($B363="",$AR363=0),"",INDEX('Rework Log'!$C:$C,$AR363))</f>
        <v/>
      </c>
      <c r="AK363" s="12" t="str">
        <f>IF(OR($B363="",$AR363=0),"",INDEX('Rework Log'!$H:$H,$AR363))</f>
        <v/>
      </c>
      <c r="AL363" s="12" t="str">
        <f>IF(OR($B363="",$AR363=0),"",INDEX('Rework Log'!$G:$G,$AR363))</f>
        <v/>
      </c>
      <c r="AM363" s="12" t="str">
        <f t="shared" si="32"/>
        <v/>
      </c>
      <c r="AN363" s="12" t="str">
        <f t="shared" si="33"/>
        <v/>
      </c>
      <c r="AO363" s="12" t="str">
        <f t="shared" si="34"/>
        <v/>
      </c>
      <c r="AP363" s="12" t="str">
        <f t="shared" si="35"/>
        <v/>
      </c>
      <c r="AQ363" s="1"/>
      <c r="AR363" s="12" t="str">
        <f>IF($B363="","",SUMPRODUCT(MAX(('Rework Log'!$A$3:$A$500=$B363)*ROW('Rework Log'!$A$3:$A$500))))</f>
        <v/>
      </c>
    </row>
    <row r="364" spans="1:44" x14ac:dyDescent="0.25">
      <c r="A364" s="1"/>
      <c r="B364" s="1"/>
      <c r="C364" s="1"/>
      <c r="D364" s="12" t="str">
        <f t="shared" ca="1" si="30"/>
        <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2" t="str">
        <f t="shared" si="31"/>
        <v/>
      </c>
      <c r="AI364" s="12" t="str">
        <f>IF($B364="","",COUNTIF('Rework Log'!$A$3:$A$500,$B364))</f>
        <v/>
      </c>
      <c r="AJ364" s="12" t="str">
        <f>IF(OR($B364="",$AR364=0),"",INDEX('Rework Log'!$C:$C,$AR364))</f>
        <v/>
      </c>
      <c r="AK364" s="12" t="str">
        <f>IF(OR($B364="",$AR364=0),"",INDEX('Rework Log'!$H:$H,$AR364))</f>
        <v/>
      </c>
      <c r="AL364" s="12" t="str">
        <f>IF(OR($B364="",$AR364=0),"",INDEX('Rework Log'!$G:$G,$AR364))</f>
        <v/>
      </c>
      <c r="AM364" s="12" t="str">
        <f t="shared" si="32"/>
        <v/>
      </c>
      <c r="AN364" s="12" t="str">
        <f t="shared" si="33"/>
        <v/>
      </c>
      <c r="AO364" s="12" t="str">
        <f t="shared" si="34"/>
        <v/>
      </c>
      <c r="AP364" s="12" t="str">
        <f t="shared" si="35"/>
        <v/>
      </c>
      <c r="AQ364" s="1"/>
      <c r="AR364" s="12" t="str">
        <f>IF($B364="","",SUMPRODUCT(MAX(('Rework Log'!$A$3:$A$500=$B364)*ROW('Rework Log'!$A$3:$A$500))))</f>
        <v/>
      </c>
    </row>
    <row r="365" spans="1:44" x14ac:dyDescent="0.25">
      <c r="A365" s="1"/>
      <c r="B365" s="1"/>
      <c r="C365" s="1"/>
      <c r="D365" s="12" t="str">
        <f t="shared" ca="1" si="30"/>
        <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2" t="str">
        <f t="shared" si="31"/>
        <v/>
      </c>
      <c r="AI365" s="12" t="str">
        <f>IF($B365="","",COUNTIF('Rework Log'!$A$3:$A$500,$B365))</f>
        <v/>
      </c>
      <c r="AJ365" s="12" t="str">
        <f>IF(OR($B365="",$AR365=0),"",INDEX('Rework Log'!$C:$C,$AR365))</f>
        <v/>
      </c>
      <c r="AK365" s="12" t="str">
        <f>IF(OR($B365="",$AR365=0),"",INDEX('Rework Log'!$H:$H,$AR365))</f>
        <v/>
      </c>
      <c r="AL365" s="12" t="str">
        <f>IF(OR($B365="",$AR365=0),"",INDEX('Rework Log'!$G:$G,$AR365))</f>
        <v/>
      </c>
      <c r="AM365" s="12" t="str">
        <f t="shared" si="32"/>
        <v/>
      </c>
      <c r="AN365" s="12" t="str">
        <f t="shared" si="33"/>
        <v/>
      </c>
      <c r="AO365" s="12" t="str">
        <f t="shared" si="34"/>
        <v/>
      </c>
      <c r="AP365" s="12" t="str">
        <f t="shared" si="35"/>
        <v/>
      </c>
      <c r="AQ365" s="1"/>
      <c r="AR365" s="12" t="str">
        <f>IF($B365="","",SUMPRODUCT(MAX(('Rework Log'!$A$3:$A$500=$B365)*ROW('Rework Log'!$A$3:$A$500))))</f>
        <v/>
      </c>
    </row>
    <row r="366" spans="1:44" x14ac:dyDescent="0.25">
      <c r="A366" s="1"/>
      <c r="B366" s="1"/>
      <c r="C366" s="1"/>
      <c r="D366" s="12" t="str">
        <f t="shared" ca="1" si="30"/>
        <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2" t="str">
        <f t="shared" si="31"/>
        <v/>
      </c>
      <c r="AI366" s="12" t="str">
        <f>IF($B366="","",COUNTIF('Rework Log'!$A$3:$A$500,$B366))</f>
        <v/>
      </c>
      <c r="AJ366" s="12" t="str">
        <f>IF(OR($B366="",$AR366=0),"",INDEX('Rework Log'!$C:$C,$AR366))</f>
        <v/>
      </c>
      <c r="AK366" s="12" t="str">
        <f>IF(OR($B366="",$AR366=0),"",INDEX('Rework Log'!$H:$H,$AR366))</f>
        <v/>
      </c>
      <c r="AL366" s="12" t="str">
        <f>IF(OR($B366="",$AR366=0),"",INDEX('Rework Log'!$G:$G,$AR366))</f>
        <v/>
      </c>
      <c r="AM366" s="12" t="str">
        <f t="shared" si="32"/>
        <v/>
      </c>
      <c r="AN366" s="12" t="str">
        <f t="shared" si="33"/>
        <v/>
      </c>
      <c r="AO366" s="12" t="str">
        <f t="shared" si="34"/>
        <v/>
      </c>
      <c r="AP366" s="12" t="str">
        <f t="shared" si="35"/>
        <v/>
      </c>
      <c r="AQ366" s="1"/>
      <c r="AR366" s="12" t="str">
        <f>IF($B366="","",SUMPRODUCT(MAX(('Rework Log'!$A$3:$A$500=$B366)*ROW('Rework Log'!$A$3:$A$500))))</f>
        <v/>
      </c>
    </row>
    <row r="367" spans="1:44" x14ac:dyDescent="0.25">
      <c r="A367" s="1"/>
      <c r="B367" s="1"/>
      <c r="C367" s="1"/>
      <c r="D367" s="12" t="str">
        <f t="shared" ca="1" si="30"/>
        <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2" t="str">
        <f t="shared" si="31"/>
        <v/>
      </c>
      <c r="AI367" s="12" t="str">
        <f>IF($B367="","",COUNTIF('Rework Log'!$A$3:$A$500,$B367))</f>
        <v/>
      </c>
      <c r="AJ367" s="12" t="str">
        <f>IF(OR($B367="",$AR367=0),"",INDEX('Rework Log'!$C:$C,$AR367))</f>
        <v/>
      </c>
      <c r="AK367" s="12" t="str">
        <f>IF(OR($B367="",$AR367=0),"",INDEX('Rework Log'!$H:$H,$AR367))</f>
        <v/>
      </c>
      <c r="AL367" s="12" t="str">
        <f>IF(OR($B367="",$AR367=0),"",INDEX('Rework Log'!$G:$G,$AR367))</f>
        <v/>
      </c>
      <c r="AM367" s="12" t="str">
        <f t="shared" si="32"/>
        <v/>
      </c>
      <c r="AN367" s="12" t="str">
        <f t="shared" si="33"/>
        <v/>
      </c>
      <c r="AO367" s="12" t="str">
        <f t="shared" si="34"/>
        <v/>
      </c>
      <c r="AP367" s="12" t="str">
        <f t="shared" si="35"/>
        <v/>
      </c>
      <c r="AQ367" s="1"/>
      <c r="AR367" s="12" t="str">
        <f>IF($B367="","",SUMPRODUCT(MAX(('Rework Log'!$A$3:$A$500=$B367)*ROW('Rework Log'!$A$3:$A$500))))</f>
        <v/>
      </c>
    </row>
    <row r="368" spans="1:44" x14ac:dyDescent="0.25">
      <c r="A368" s="1"/>
      <c r="B368" s="1"/>
      <c r="C368" s="1"/>
      <c r="D368" s="12" t="str">
        <f t="shared" ca="1" si="30"/>
        <v/>
      </c>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2" t="str">
        <f t="shared" si="31"/>
        <v/>
      </c>
      <c r="AI368" s="12" t="str">
        <f>IF($B368="","",COUNTIF('Rework Log'!$A$3:$A$500,$B368))</f>
        <v/>
      </c>
      <c r="AJ368" s="12" t="str">
        <f>IF(OR($B368="",$AR368=0),"",INDEX('Rework Log'!$C:$C,$AR368))</f>
        <v/>
      </c>
      <c r="AK368" s="12" t="str">
        <f>IF(OR($B368="",$AR368=0),"",INDEX('Rework Log'!$H:$H,$AR368))</f>
        <v/>
      </c>
      <c r="AL368" s="12" t="str">
        <f>IF(OR($B368="",$AR368=0),"",INDEX('Rework Log'!$G:$G,$AR368))</f>
        <v/>
      </c>
      <c r="AM368" s="12" t="str">
        <f t="shared" si="32"/>
        <v/>
      </c>
      <c r="AN368" s="12" t="str">
        <f t="shared" si="33"/>
        <v/>
      </c>
      <c r="AO368" s="12" t="str">
        <f t="shared" si="34"/>
        <v/>
      </c>
      <c r="AP368" s="12" t="str">
        <f t="shared" si="35"/>
        <v/>
      </c>
      <c r="AQ368" s="1"/>
      <c r="AR368" s="12" t="str">
        <f>IF($B368="","",SUMPRODUCT(MAX(('Rework Log'!$A$3:$A$500=$B368)*ROW('Rework Log'!$A$3:$A$500))))</f>
        <v/>
      </c>
    </row>
    <row r="369" spans="1:44" x14ac:dyDescent="0.25">
      <c r="A369" s="1"/>
      <c r="B369" s="1"/>
      <c r="C369" s="1"/>
      <c r="D369" s="12" t="str">
        <f t="shared" ca="1" si="30"/>
        <v/>
      </c>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2" t="str">
        <f t="shared" si="31"/>
        <v/>
      </c>
      <c r="AI369" s="12" t="str">
        <f>IF($B369="","",COUNTIF('Rework Log'!$A$3:$A$500,$B369))</f>
        <v/>
      </c>
      <c r="AJ369" s="12" t="str">
        <f>IF(OR($B369="",$AR369=0),"",INDEX('Rework Log'!$C:$C,$AR369))</f>
        <v/>
      </c>
      <c r="AK369" s="12" t="str">
        <f>IF(OR($B369="",$AR369=0),"",INDEX('Rework Log'!$H:$H,$AR369))</f>
        <v/>
      </c>
      <c r="AL369" s="12" t="str">
        <f>IF(OR($B369="",$AR369=0),"",INDEX('Rework Log'!$G:$G,$AR369))</f>
        <v/>
      </c>
      <c r="AM369" s="12" t="str">
        <f t="shared" si="32"/>
        <v/>
      </c>
      <c r="AN369" s="12" t="str">
        <f t="shared" si="33"/>
        <v/>
      </c>
      <c r="AO369" s="12" t="str">
        <f t="shared" si="34"/>
        <v/>
      </c>
      <c r="AP369" s="12" t="str">
        <f t="shared" si="35"/>
        <v/>
      </c>
      <c r="AQ369" s="1"/>
      <c r="AR369" s="12" t="str">
        <f>IF($B369="","",SUMPRODUCT(MAX(('Rework Log'!$A$3:$A$500=$B369)*ROW('Rework Log'!$A$3:$A$500))))</f>
        <v/>
      </c>
    </row>
    <row r="370" spans="1:44" x14ac:dyDescent="0.25">
      <c r="A370" s="1"/>
      <c r="B370" s="1"/>
      <c r="C370" s="1"/>
      <c r="D370" s="12" t="str">
        <f t="shared" ca="1" si="30"/>
        <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2" t="str">
        <f t="shared" si="31"/>
        <v/>
      </c>
      <c r="AI370" s="12" t="str">
        <f>IF($B370="","",COUNTIF('Rework Log'!$A$3:$A$500,$B370))</f>
        <v/>
      </c>
      <c r="AJ370" s="12" t="str">
        <f>IF(OR($B370="",$AR370=0),"",INDEX('Rework Log'!$C:$C,$AR370))</f>
        <v/>
      </c>
      <c r="AK370" s="12" t="str">
        <f>IF(OR($B370="",$AR370=0),"",INDEX('Rework Log'!$H:$H,$AR370))</f>
        <v/>
      </c>
      <c r="AL370" s="12" t="str">
        <f>IF(OR($B370="",$AR370=0),"",INDEX('Rework Log'!$G:$G,$AR370))</f>
        <v/>
      </c>
      <c r="AM370" s="12" t="str">
        <f t="shared" si="32"/>
        <v/>
      </c>
      <c r="AN370" s="12" t="str">
        <f t="shared" si="33"/>
        <v/>
      </c>
      <c r="AO370" s="12" t="str">
        <f t="shared" si="34"/>
        <v/>
      </c>
      <c r="AP370" s="12" t="str">
        <f t="shared" si="35"/>
        <v/>
      </c>
      <c r="AQ370" s="1"/>
      <c r="AR370" s="12" t="str">
        <f>IF($B370="","",SUMPRODUCT(MAX(('Rework Log'!$A$3:$A$500=$B370)*ROW('Rework Log'!$A$3:$A$500))))</f>
        <v/>
      </c>
    </row>
    <row r="371" spans="1:44" x14ac:dyDescent="0.25">
      <c r="A371" s="1"/>
      <c r="B371" s="1"/>
      <c r="C371" s="1"/>
      <c r="D371" s="12" t="str">
        <f t="shared" ca="1" si="30"/>
        <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2" t="str">
        <f t="shared" si="31"/>
        <v/>
      </c>
      <c r="AI371" s="12" t="str">
        <f>IF($B371="","",COUNTIF('Rework Log'!$A$3:$A$500,$B371))</f>
        <v/>
      </c>
      <c r="AJ371" s="12" t="str">
        <f>IF(OR($B371="",$AR371=0),"",INDEX('Rework Log'!$C:$C,$AR371))</f>
        <v/>
      </c>
      <c r="AK371" s="12" t="str">
        <f>IF(OR($B371="",$AR371=0),"",INDEX('Rework Log'!$H:$H,$AR371))</f>
        <v/>
      </c>
      <c r="AL371" s="12" t="str">
        <f>IF(OR($B371="",$AR371=0),"",INDEX('Rework Log'!$G:$G,$AR371))</f>
        <v/>
      </c>
      <c r="AM371" s="12" t="str">
        <f t="shared" si="32"/>
        <v/>
      </c>
      <c r="AN371" s="12" t="str">
        <f t="shared" si="33"/>
        <v/>
      </c>
      <c r="AO371" s="12" t="str">
        <f t="shared" si="34"/>
        <v/>
      </c>
      <c r="AP371" s="12" t="str">
        <f t="shared" si="35"/>
        <v/>
      </c>
      <c r="AQ371" s="1"/>
      <c r="AR371" s="12" t="str">
        <f>IF($B371="","",SUMPRODUCT(MAX(('Rework Log'!$A$3:$A$500=$B371)*ROW('Rework Log'!$A$3:$A$500))))</f>
        <v/>
      </c>
    </row>
    <row r="372" spans="1:44" x14ac:dyDescent="0.25">
      <c r="A372" s="1"/>
      <c r="B372" s="1"/>
      <c r="C372" s="1"/>
      <c r="D372" s="12" t="str">
        <f t="shared" ca="1" si="30"/>
        <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2" t="str">
        <f t="shared" si="31"/>
        <v/>
      </c>
      <c r="AI372" s="12" t="str">
        <f>IF($B372="","",COUNTIF('Rework Log'!$A$3:$A$500,$B372))</f>
        <v/>
      </c>
      <c r="AJ372" s="12" t="str">
        <f>IF(OR($B372="",$AR372=0),"",INDEX('Rework Log'!$C:$C,$AR372))</f>
        <v/>
      </c>
      <c r="AK372" s="12" t="str">
        <f>IF(OR($B372="",$AR372=0),"",INDEX('Rework Log'!$H:$H,$AR372))</f>
        <v/>
      </c>
      <c r="AL372" s="12" t="str">
        <f>IF(OR($B372="",$AR372=0),"",INDEX('Rework Log'!$G:$G,$AR372))</f>
        <v/>
      </c>
      <c r="AM372" s="12" t="str">
        <f t="shared" si="32"/>
        <v/>
      </c>
      <c r="AN372" s="12" t="str">
        <f t="shared" si="33"/>
        <v/>
      </c>
      <c r="AO372" s="12" t="str">
        <f t="shared" si="34"/>
        <v/>
      </c>
      <c r="AP372" s="12" t="str">
        <f t="shared" si="35"/>
        <v/>
      </c>
      <c r="AQ372" s="1"/>
      <c r="AR372" s="12" t="str">
        <f>IF($B372="","",SUMPRODUCT(MAX(('Rework Log'!$A$3:$A$500=$B372)*ROW('Rework Log'!$A$3:$A$500))))</f>
        <v/>
      </c>
    </row>
    <row r="373" spans="1:44" x14ac:dyDescent="0.25">
      <c r="A373" s="1"/>
      <c r="B373" s="1"/>
      <c r="C373" s="1"/>
      <c r="D373" s="12" t="str">
        <f t="shared" ca="1" si="30"/>
        <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2" t="str">
        <f t="shared" si="31"/>
        <v/>
      </c>
      <c r="AI373" s="12" t="str">
        <f>IF($B373="","",COUNTIF('Rework Log'!$A$3:$A$500,$B373))</f>
        <v/>
      </c>
      <c r="AJ373" s="12" t="str">
        <f>IF(OR($B373="",$AR373=0),"",INDEX('Rework Log'!$C:$C,$AR373))</f>
        <v/>
      </c>
      <c r="AK373" s="12" t="str">
        <f>IF(OR($B373="",$AR373=0),"",INDEX('Rework Log'!$H:$H,$AR373))</f>
        <v/>
      </c>
      <c r="AL373" s="12" t="str">
        <f>IF(OR($B373="",$AR373=0),"",INDEX('Rework Log'!$G:$G,$AR373))</f>
        <v/>
      </c>
      <c r="AM373" s="12" t="str">
        <f t="shared" si="32"/>
        <v/>
      </c>
      <c r="AN373" s="12" t="str">
        <f t="shared" si="33"/>
        <v/>
      </c>
      <c r="AO373" s="12" t="str">
        <f t="shared" si="34"/>
        <v/>
      </c>
      <c r="AP373" s="12" t="str">
        <f t="shared" si="35"/>
        <v/>
      </c>
      <c r="AQ373" s="1"/>
      <c r="AR373" s="12" t="str">
        <f>IF($B373="","",SUMPRODUCT(MAX(('Rework Log'!$A$3:$A$500=$B373)*ROW('Rework Log'!$A$3:$A$500))))</f>
        <v/>
      </c>
    </row>
    <row r="374" spans="1:44" x14ac:dyDescent="0.25">
      <c r="A374" s="1"/>
      <c r="B374" s="1"/>
      <c r="C374" s="1"/>
      <c r="D374" s="12" t="str">
        <f t="shared" ca="1" si="30"/>
        <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2" t="str">
        <f t="shared" si="31"/>
        <v/>
      </c>
      <c r="AI374" s="12" t="str">
        <f>IF($B374="","",COUNTIF('Rework Log'!$A$3:$A$500,$B374))</f>
        <v/>
      </c>
      <c r="AJ374" s="12" t="str">
        <f>IF(OR($B374="",$AR374=0),"",INDEX('Rework Log'!$C:$C,$AR374))</f>
        <v/>
      </c>
      <c r="AK374" s="12" t="str">
        <f>IF(OR($B374="",$AR374=0),"",INDEX('Rework Log'!$H:$H,$AR374))</f>
        <v/>
      </c>
      <c r="AL374" s="12" t="str">
        <f>IF(OR($B374="",$AR374=0),"",INDEX('Rework Log'!$G:$G,$AR374))</f>
        <v/>
      </c>
      <c r="AM374" s="12" t="str">
        <f t="shared" si="32"/>
        <v/>
      </c>
      <c r="AN374" s="12" t="str">
        <f t="shared" si="33"/>
        <v/>
      </c>
      <c r="AO374" s="12" t="str">
        <f t="shared" si="34"/>
        <v/>
      </c>
      <c r="AP374" s="12" t="str">
        <f t="shared" si="35"/>
        <v/>
      </c>
      <c r="AQ374" s="1"/>
      <c r="AR374" s="12" t="str">
        <f>IF($B374="","",SUMPRODUCT(MAX(('Rework Log'!$A$3:$A$500=$B374)*ROW('Rework Log'!$A$3:$A$500))))</f>
        <v/>
      </c>
    </row>
    <row r="375" spans="1:44" x14ac:dyDescent="0.25">
      <c r="A375" s="1"/>
      <c r="B375" s="1"/>
      <c r="C375" s="1"/>
      <c r="D375" s="12" t="str">
        <f t="shared" ca="1" si="30"/>
        <v/>
      </c>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2" t="str">
        <f t="shared" si="31"/>
        <v/>
      </c>
      <c r="AI375" s="12" t="str">
        <f>IF($B375="","",COUNTIF('Rework Log'!$A$3:$A$500,$B375))</f>
        <v/>
      </c>
      <c r="AJ375" s="12" t="str">
        <f>IF(OR($B375="",$AR375=0),"",INDEX('Rework Log'!$C:$C,$AR375))</f>
        <v/>
      </c>
      <c r="AK375" s="12" t="str">
        <f>IF(OR($B375="",$AR375=0),"",INDEX('Rework Log'!$H:$H,$AR375))</f>
        <v/>
      </c>
      <c r="AL375" s="12" t="str">
        <f>IF(OR($B375="",$AR375=0),"",INDEX('Rework Log'!$G:$G,$AR375))</f>
        <v/>
      </c>
      <c r="AM375" s="12" t="str">
        <f t="shared" si="32"/>
        <v/>
      </c>
      <c r="AN375" s="12" t="str">
        <f t="shared" si="33"/>
        <v/>
      </c>
      <c r="AO375" s="12" t="str">
        <f t="shared" si="34"/>
        <v/>
      </c>
      <c r="AP375" s="12" t="str">
        <f t="shared" si="35"/>
        <v/>
      </c>
      <c r="AQ375" s="1"/>
      <c r="AR375" s="12" t="str">
        <f>IF($B375="","",SUMPRODUCT(MAX(('Rework Log'!$A$3:$A$500=$B375)*ROW('Rework Log'!$A$3:$A$500))))</f>
        <v/>
      </c>
    </row>
    <row r="376" spans="1:44" x14ac:dyDescent="0.25">
      <c r="A376" s="1"/>
      <c r="B376" s="1"/>
      <c r="C376" s="1"/>
      <c r="D376" s="12" t="str">
        <f t="shared" ca="1" si="30"/>
        <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2" t="str">
        <f t="shared" si="31"/>
        <v/>
      </c>
      <c r="AI376" s="12" t="str">
        <f>IF($B376="","",COUNTIF('Rework Log'!$A$3:$A$500,$B376))</f>
        <v/>
      </c>
      <c r="AJ376" s="12" t="str">
        <f>IF(OR($B376="",$AR376=0),"",INDEX('Rework Log'!$C:$C,$AR376))</f>
        <v/>
      </c>
      <c r="AK376" s="12" t="str">
        <f>IF(OR($B376="",$AR376=0),"",INDEX('Rework Log'!$H:$H,$AR376))</f>
        <v/>
      </c>
      <c r="AL376" s="12" t="str">
        <f>IF(OR($B376="",$AR376=0),"",INDEX('Rework Log'!$G:$G,$AR376))</f>
        <v/>
      </c>
      <c r="AM376" s="12" t="str">
        <f t="shared" si="32"/>
        <v/>
      </c>
      <c r="AN376" s="12" t="str">
        <f t="shared" si="33"/>
        <v/>
      </c>
      <c r="AO376" s="12" t="str">
        <f t="shared" si="34"/>
        <v/>
      </c>
      <c r="AP376" s="12" t="str">
        <f t="shared" si="35"/>
        <v/>
      </c>
      <c r="AQ376" s="1"/>
      <c r="AR376" s="12" t="str">
        <f>IF($B376="","",SUMPRODUCT(MAX(('Rework Log'!$A$3:$A$500=$B376)*ROW('Rework Log'!$A$3:$A$500))))</f>
        <v/>
      </c>
    </row>
    <row r="377" spans="1:44" x14ac:dyDescent="0.25">
      <c r="A377" s="1"/>
      <c r="B377" s="1"/>
      <c r="C377" s="1"/>
      <c r="D377" s="12" t="str">
        <f t="shared" ca="1" si="30"/>
        <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2" t="str">
        <f t="shared" si="31"/>
        <v/>
      </c>
      <c r="AI377" s="12" t="str">
        <f>IF($B377="","",COUNTIF('Rework Log'!$A$3:$A$500,$B377))</f>
        <v/>
      </c>
      <c r="AJ377" s="12" t="str">
        <f>IF(OR($B377="",$AR377=0),"",INDEX('Rework Log'!$C:$C,$AR377))</f>
        <v/>
      </c>
      <c r="AK377" s="12" t="str">
        <f>IF(OR($B377="",$AR377=0),"",INDEX('Rework Log'!$H:$H,$AR377))</f>
        <v/>
      </c>
      <c r="AL377" s="12" t="str">
        <f>IF(OR($B377="",$AR377=0),"",INDEX('Rework Log'!$G:$G,$AR377))</f>
        <v/>
      </c>
      <c r="AM377" s="12" t="str">
        <f t="shared" si="32"/>
        <v/>
      </c>
      <c r="AN377" s="12" t="str">
        <f t="shared" si="33"/>
        <v/>
      </c>
      <c r="AO377" s="12" t="str">
        <f t="shared" si="34"/>
        <v/>
      </c>
      <c r="AP377" s="12" t="str">
        <f t="shared" si="35"/>
        <v/>
      </c>
      <c r="AQ377" s="1"/>
      <c r="AR377" s="12" t="str">
        <f>IF($B377="","",SUMPRODUCT(MAX(('Rework Log'!$A$3:$A$500=$B377)*ROW('Rework Log'!$A$3:$A$500))))</f>
        <v/>
      </c>
    </row>
    <row r="378" spans="1:44" x14ac:dyDescent="0.25">
      <c r="A378" s="1"/>
      <c r="B378" s="1"/>
      <c r="C378" s="1"/>
      <c r="D378" s="12" t="str">
        <f t="shared" ca="1" si="30"/>
        <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2" t="str">
        <f t="shared" si="31"/>
        <v/>
      </c>
      <c r="AI378" s="12" t="str">
        <f>IF($B378="","",COUNTIF('Rework Log'!$A$3:$A$500,$B378))</f>
        <v/>
      </c>
      <c r="AJ378" s="12" t="str">
        <f>IF(OR($B378="",$AR378=0),"",INDEX('Rework Log'!$C:$C,$AR378))</f>
        <v/>
      </c>
      <c r="AK378" s="12" t="str">
        <f>IF(OR($B378="",$AR378=0),"",INDEX('Rework Log'!$H:$H,$AR378))</f>
        <v/>
      </c>
      <c r="AL378" s="12" t="str">
        <f>IF(OR($B378="",$AR378=0),"",INDEX('Rework Log'!$G:$G,$AR378))</f>
        <v/>
      </c>
      <c r="AM378" s="12" t="str">
        <f t="shared" si="32"/>
        <v/>
      </c>
      <c r="AN378" s="12" t="str">
        <f t="shared" si="33"/>
        <v/>
      </c>
      <c r="AO378" s="12" t="str">
        <f t="shared" si="34"/>
        <v/>
      </c>
      <c r="AP378" s="12" t="str">
        <f t="shared" si="35"/>
        <v/>
      </c>
      <c r="AQ378" s="1"/>
      <c r="AR378" s="12" t="str">
        <f>IF($B378="","",SUMPRODUCT(MAX(('Rework Log'!$A$3:$A$500=$B378)*ROW('Rework Log'!$A$3:$A$500))))</f>
        <v/>
      </c>
    </row>
    <row r="379" spans="1:44" x14ac:dyDescent="0.25">
      <c r="A379" s="1"/>
      <c r="B379" s="1"/>
      <c r="C379" s="1"/>
      <c r="D379" s="12" t="str">
        <f t="shared" ca="1" si="30"/>
        <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2" t="str">
        <f t="shared" si="31"/>
        <v/>
      </c>
      <c r="AI379" s="12" t="str">
        <f>IF($B379="","",COUNTIF('Rework Log'!$A$3:$A$500,$B379))</f>
        <v/>
      </c>
      <c r="AJ379" s="12" t="str">
        <f>IF(OR($B379="",$AR379=0),"",INDEX('Rework Log'!$C:$C,$AR379))</f>
        <v/>
      </c>
      <c r="AK379" s="12" t="str">
        <f>IF(OR($B379="",$AR379=0),"",INDEX('Rework Log'!$H:$H,$AR379))</f>
        <v/>
      </c>
      <c r="AL379" s="12" t="str">
        <f>IF(OR($B379="",$AR379=0),"",INDEX('Rework Log'!$G:$G,$AR379))</f>
        <v/>
      </c>
      <c r="AM379" s="12" t="str">
        <f t="shared" si="32"/>
        <v/>
      </c>
      <c r="AN379" s="12" t="str">
        <f t="shared" si="33"/>
        <v/>
      </c>
      <c r="AO379" s="12" t="str">
        <f t="shared" si="34"/>
        <v/>
      </c>
      <c r="AP379" s="12" t="str">
        <f t="shared" si="35"/>
        <v/>
      </c>
      <c r="AQ379" s="1"/>
      <c r="AR379" s="12" t="str">
        <f>IF($B379="","",SUMPRODUCT(MAX(('Rework Log'!$A$3:$A$500=$B379)*ROW('Rework Log'!$A$3:$A$500))))</f>
        <v/>
      </c>
    </row>
    <row r="380" spans="1:44" x14ac:dyDescent="0.25">
      <c r="A380" s="1"/>
      <c r="B380" s="1"/>
      <c r="C380" s="1"/>
      <c r="D380" s="12" t="str">
        <f t="shared" ca="1" si="30"/>
        <v/>
      </c>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2" t="str">
        <f t="shared" si="31"/>
        <v/>
      </c>
      <c r="AI380" s="12" t="str">
        <f>IF($B380="","",COUNTIF('Rework Log'!$A$3:$A$500,$B380))</f>
        <v/>
      </c>
      <c r="AJ380" s="12" t="str">
        <f>IF(OR($B380="",$AR380=0),"",INDEX('Rework Log'!$C:$C,$AR380))</f>
        <v/>
      </c>
      <c r="AK380" s="12" t="str">
        <f>IF(OR($B380="",$AR380=0),"",INDEX('Rework Log'!$H:$H,$AR380))</f>
        <v/>
      </c>
      <c r="AL380" s="12" t="str">
        <f>IF(OR($B380="",$AR380=0),"",INDEX('Rework Log'!$G:$G,$AR380))</f>
        <v/>
      </c>
      <c r="AM380" s="12" t="str">
        <f t="shared" si="32"/>
        <v/>
      </c>
      <c r="AN380" s="12" t="str">
        <f t="shared" si="33"/>
        <v/>
      </c>
      <c r="AO380" s="12" t="str">
        <f t="shared" si="34"/>
        <v/>
      </c>
      <c r="AP380" s="12" t="str">
        <f t="shared" si="35"/>
        <v/>
      </c>
      <c r="AQ380" s="1"/>
      <c r="AR380" s="12" t="str">
        <f>IF($B380="","",SUMPRODUCT(MAX(('Rework Log'!$A$3:$A$500=$B380)*ROW('Rework Log'!$A$3:$A$500))))</f>
        <v/>
      </c>
    </row>
    <row r="381" spans="1:44" x14ac:dyDescent="0.25">
      <c r="A381" s="1"/>
      <c r="B381" s="1"/>
      <c r="C381" s="1"/>
      <c r="D381" s="12" t="str">
        <f t="shared" ca="1" si="30"/>
        <v/>
      </c>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2" t="str">
        <f t="shared" si="31"/>
        <v/>
      </c>
      <c r="AI381" s="12" t="str">
        <f>IF($B381="","",COUNTIF('Rework Log'!$A$3:$A$500,$B381))</f>
        <v/>
      </c>
      <c r="AJ381" s="12" t="str">
        <f>IF(OR($B381="",$AR381=0),"",INDEX('Rework Log'!$C:$C,$AR381))</f>
        <v/>
      </c>
      <c r="AK381" s="12" t="str">
        <f>IF(OR($B381="",$AR381=0),"",INDEX('Rework Log'!$H:$H,$AR381))</f>
        <v/>
      </c>
      <c r="AL381" s="12" t="str">
        <f>IF(OR($B381="",$AR381=0),"",INDEX('Rework Log'!$G:$G,$AR381))</f>
        <v/>
      </c>
      <c r="AM381" s="12" t="str">
        <f t="shared" si="32"/>
        <v/>
      </c>
      <c r="AN381" s="12" t="str">
        <f t="shared" si="33"/>
        <v/>
      </c>
      <c r="AO381" s="12" t="str">
        <f t="shared" si="34"/>
        <v/>
      </c>
      <c r="AP381" s="12" t="str">
        <f t="shared" si="35"/>
        <v/>
      </c>
      <c r="AQ381" s="1"/>
      <c r="AR381" s="12" t="str">
        <f>IF($B381="","",SUMPRODUCT(MAX(('Rework Log'!$A$3:$A$500=$B381)*ROW('Rework Log'!$A$3:$A$500))))</f>
        <v/>
      </c>
    </row>
    <row r="382" spans="1:44" x14ac:dyDescent="0.25">
      <c r="A382" s="1"/>
      <c r="B382" s="1"/>
      <c r="C382" s="1"/>
      <c r="D382" s="12" t="str">
        <f t="shared" ca="1" si="30"/>
        <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2" t="str">
        <f t="shared" si="31"/>
        <v/>
      </c>
      <c r="AI382" s="12" t="str">
        <f>IF($B382="","",COUNTIF('Rework Log'!$A$3:$A$500,$B382))</f>
        <v/>
      </c>
      <c r="AJ382" s="12" t="str">
        <f>IF(OR($B382="",$AR382=0),"",INDEX('Rework Log'!$C:$C,$AR382))</f>
        <v/>
      </c>
      <c r="AK382" s="12" t="str">
        <f>IF(OR($B382="",$AR382=0),"",INDEX('Rework Log'!$H:$H,$AR382))</f>
        <v/>
      </c>
      <c r="AL382" s="12" t="str">
        <f>IF(OR($B382="",$AR382=0),"",INDEX('Rework Log'!$G:$G,$AR382))</f>
        <v/>
      </c>
      <c r="AM382" s="12" t="str">
        <f t="shared" si="32"/>
        <v/>
      </c>
      <c r="AN382" s="12" t="str">
        <f t="shared" si="33"/>
        <v/>
      </c>
      <c r="AO382" s="12" t="str">
        <f t="shared" si="34"/>
        <v/>
      </c>
      <c r="AP382" s="12" t="str">
        <f t="shared" si="35"/>
        <v/>
      </c>
      <c r="AQ382" s="1"/>
      <c r="AR382" s="12" t="str">
        <f>IF($B382="","",SUMPRODUCT(MAX(('Rework Log'!$A$3:$A$500=$B382)*ROW('Rework Log'!$A$3:$A$500))))</f>
        <v/>
      </c>
    </row>
    <row r="383" spans="1:44" x14ac:dyDescent="0.25">
      <c r="A383" s="1"/>
      <c r="B383" s="1"/>
      <c r="C383" s="1"/>
      <c r="D383" s="12" t="str">
        <f t="shared" ca="1" si="30"/>
        <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2" t="str">
        <f t="shared" si="31"/>
        <v/>
      </c>
      <c r="AI383" s="12" t="str">
        <f>IF($B383="","",COUNTIF('Rework Log'!$A$3:$A$500,$B383))</f>
        <v/>
      </c>
      <c r="AJ383" s="12" t="str">
        <f>IF(OR($B383="",$AR383=0),"",INDEX('Rework Log'!$C:$C,$AR383))</f>
        <v/>
      </c>
      <c r="AK383" s="12" t="str">
        <f>IF(OR($B383="",$AR383=0),"",INDEX('Rework Log'!$H:$H,$AR383))</f>
        <v/>
      </c>
      <c r="AL383" s="12" t="str">
        <f>IF(OR($B383="",$AR383=0),"",INDEX('Rework Log'!$G:$G,$AR383))</f>
        <v/>
      </c>
      <c r="AM383" s="12" t="str">
        <f t="shared" si="32"/>
        <v/>
      </c>
      <c r="AN383" s="12" t="str">
        <f t="shared" si="33"/>
        <v/>
      </c>
      <c r="AO383" s="12" t="str">
        <f t="shared" si="34"/>
        <v/>
      </c>
      <c r="AP383" s="12" t="str">
        <f t="shared" si="35"/>
        <v/>
      </c>
      <c r="AQ383" s="1"/>
      <c r="AR383" s="12" t="str">
        <f>IF($B383="","",SUMPRODUCT(MAX(('Rework Log'!$A$3:$A$500=$B383)*ROW('Rework Log'!$A$3:$A$500))))</f>
        <v/>
      </c>
    </row>
    <row r="384" spans="1:44" x14ac:dyDescent="0.25">
      <c r="A384" s="1"/>
      <c r="B384" s="1"/>
      <c r="C384" s="1"/>
      <c r="D384" s="12" t="str">
        <f t="shared" ca="1" si="30"/>
        <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2" t="str">
        <f t="shared" si="31"/>
        <v/>
      </c>
      <c r="AI384" s="12" t="str">
        <f>IF($B384="","",COUNTIF('Rework Log'!$A$3:$A$500,$B384))</f>
        <v/>
      </c>
      <c r="AJ384" s="12" t="str">
        <f>IF(OR($B384="",$AR384=0),"",INDEX('Rework Log'!$C:$C,$AR384))</f>
        <v/>
      </c>
      <c r="AK384" s="12" t="str">
        <f>IF(OR($B384="",$AR384=0),"",INDEX('Rework Log'!$H:$H,$AR384))</f>
        <v/>
      </c>
      <c r="AL384" s="12" t="str">
        <f>IF(OR($B384="",$AR384=0),"",INDEX('Rework Log'!$G:$G,$AR384))</f>
        <v/>
      </c>
      <c r="AM384" s="12" t="str">
        <f t="shared" si="32"/>
        <v/>
      </c>
      <c r="AN384" s="12" t="str">
        <f t="shared" si="33"/>
        <v/>
      </c>
      <c r="AO384" s="12" t="str">
        <f t="shared" si="34"/>
        <v/>
      </c>
      <c r="AP384" s="12" t="str">
        <f t="shared" si="35"/>
        <v/>
      </c>
      <c r="AQ384" s="1"/>
      <c r="AR384" s="12" t="str">
        <f>IF($B384="","",SUMPRODUCT(MAX(('Rework Log'!$A$3:$A$500=$B384)*ROW('Rework Log'!$A$3:$A$500))))</f>
        <v/>
      </c>
    </row>
    <row r="385" spans="1:44" x14ac:dyDescent="0.25">
      <c r="A385" s="1"/>
      <c r="B385" s="1"/>
      <c r="C385" s="1"/>
      <c r="D385" s="12" t="str">
        <f t="shared" ca="1" si="30"/>
        <v/>
      </c>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2" t="str">
        <f t="shared" si="31"/>
        <v/>
      </c>
      <c r="AI385" s="12" t="str">
        <f>IF($B385="","",COUNTIF('Rework Log'!$A$3:$A$500,$B385))</f>
        <v/>
      </c>
      <c r="AJ385" s="12" t="str">
        <f>IF(OR($B385="",$AR385=0),"",INDEX('Rework Log'!$C:$C,$AR385))</f>
        <v/>
      </c>
      <c r="AK385" s="12" t="str">
        <f>IF(OR($B385="",$AR385=0),"",INDEX('Rework Log'!$H:$H,$AR385))</f>
        <v/>
      </c>
      <c r="AL385" s="12" t="str">
        <f>IF(OR($B385="",$AR385=0),"",INDEX('Rework Log'!$G:$G,$AR385))</f>
        <v/>
      </c>
      <c r="AM385" s="12" t="str">
        <f t="shared" si="32"/>
        <v/>
      </c>
      <c r="AN385" s="12" t="str">
        <f t="shared" si="33"/>
        <v/>
      </c>
      <c r="AO385" s="12" t="str">
        <f t="shared" si="34"/>
        <v/>
      </c>
      <c r="AP385" s="12" t="str">
        <f t="shared" si="35"/>
        <v/>
      </c>
      <c r="AQ385" s="1"/>
      <c r="AR385" s="12" t="str">
        <f>IF($B385="","",SUMPRODUCT(MAX(('Rework Log'!$A$3:$A$500=$B385)*ROW('Rework Log'!$A$3:$A$500))))</f>
        <v/>
      </c>
    </row>
    <row r="386" spans="1:44" x14ac:dyDescent="0.25">
      <c r="A386" s="1"/>
      <c r="B386" s="1"/>
      <c r="C386" s="1"/>
      <c r="D386" s="12" t="str">
        <f t="shared" ref="D386:D449" ca="1" si="36">IF($B386="","",IF(C386="NOT STARTED",IF(K386="","No plan date set",IF(K386&lt;TODAY(),"Review - planned start passed","On track")),IF(C386="DB Dev",IF(N386="","No target set",IF(AND(N386&lt;TODAY(),P386=""),"Overdue","On track")),IF(C386="PBI Dev",IF(R386="","No target set",IF(AND(R386&lt;TODAY(),T386=""),"Overdue","On track")),IF(C386="QA",IF(V386="","No target set",IF(AND(V386&lt;TODAY(),X386=""),"Overdue","On track")),IF(C386="DPO Approval",IF(Z386="","No target set",IF(Z386&lt;TODAY(),"Overdue","On track")),IF(C386="RELEASED IN PROD","Delivered","")))))))</f>
        <v/>
      </c>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2" t="str">
        <f t="shared" ref="AH386:AH449" si="37">IF($AF386="Yes",IF($AG386&lt;&gt;"","Blocked - needs "&amp;$AG386&amp;" to fix","Blocked at "&amp;$C386),"")</f>
        <v/>
      </c>
      <c r="AI386" s="12" t="str">
        <f>IF($B386="","",COUNTIF('Rework Log'!$A$3:$A$500,$B386))</f>
        <v/>
      </c>
      <c r="AJ386" s="12" t="str">
        <f>IF(OR($B386="",$AR386=0),"",INDEX('Rework Log'!$C:$C,$AR386))</f>
        <v/>
      </c>
      <c r="AK386" s="12" t="str">
        <f>IF(OR($B386="",$AR386=0),"",INDEX('Rework Log'!$H:$H,$AR386))</f>
        <v/>
      </c>
      <c r="AL386" s="12" t="str">
        <f>IF(OR($B386="",$AR386=0),"",INDEX('Rework Log'!$G:$G,$AR386))</f>
        <v/>
      </c>
      <c r="AM386" s="12" t="str">
        <f t="shared" ref="AM386:AM449" si="38">IF($B386="","",IF(Z386&lt;&gt;"","DPO Approval",IF(V386&lt;&gt;"","QA",IF(R386&lt;&gt;"","PBI Dev",IF(N386&lt;&gt;"","DB Dev","NOT STARTED")))))</f>
        <v/>
      </c>
      <c r="AN386" s="12" t="str">
        <f t="shared" ref="AN386:AN449" si="39">IF($B386="","",IF(IF($C386="NOT STARTED",0,IF($C386="DB Dev",1,IF($C386="PBI Dev",2,IF($C386="QA",3,IF($C386="DPO Approval",4,IF($C386="RELEASED IN PROD",5,-1))))))&lt;IF($AM386="NOT STARTED",0,IF($AM386="DB Dev",1,IF($AM386="PBI Dev",2,IF($AM386="QA",3,IF($AM386="DPO Approval",4,IF($AM386="RELEASED IN PROD",5,-1)))))),"Yes - was already at "&amp;$AM386&amp;", now back at "&amp;$C386,"No"))</f>
        <v/>
      </c>
      <c r="AO386" s="12" t="str">
        <f t="shared" ref="AO386:AO449" si="40">IF($B386="","",IF(AND(V386&lt;&gt;"",N386&lt;&gt;"",V386&lt;N386),"QA target is before DB Dev target",IF(AND(V386&lt;&gt;"",R386&lt;&gt;"",V386&lt;R386),"QA target is before PBI Dev target",IF(AND(Z386&lt;&gt;"",V386&lt;&gt;"",Z386&lt;V386),"DPO Approval target is before QA target",IF(AND(AC386&lt;&gt;"",Z386&lt;&gt;"",AC386&lt;Z386),"Confirmed Deployed date is before DPO Approval target","")))))</f>
        <v/>
      </c>
      <c r="AP386" s="12" t="str">
        <f t="shared" ref="AP386:AP449" si="41">IF($B386="","",IF(COUNTIF($B$2:$B$500,$B386)&gt;1,"Duplicate name - check row",""))</f>
        <v/>
      </c>
      <c r="AQ386" s="1"/>
      <c r="AR386" s="12" t="str">
        <f>IF($B386="","",SUMPRODUCT(MAX(('Rework Log'!$A$3:$A$500=$B386)*ROW('Rework Log'!$A$3:$A$500))))</f>
        <v/>
      </c>
    </row>
    <row r="387" spans="1:44" x14ac:dyDescent="0.25">
      <c r="A387" s="1"/>
      <c r="B387" s="1"/>
      <c r="C387" s="1"/>
      <c r="D387" s="12" t="str">
        <f t="shared" ca="1" si="36"/>
        <v/>
      </c>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2" t="str">
        <f t="shared" si="37"/>
        <v/>
      </c>
      <c r="AI387" s="12" t="str">
        <f>IF($B387="","",COUNTIF('Rework Log'!$A$3:$A$500,$B387))</f>
        <v/>
      </c>
      <c r="AJ387" s="12" t="str">
        <f>IF(OR($B387="",$AR387=0),"",INDEX('Rework Log'!$C:$C,$AR387))</f>
        <v/>
      </c>
      <c r="AK387" s="12" t="str">
        <f>IF(OR($B387="",$AR387=0),"",INDEX('Rework Log'!$H:$H,$AR387))</f>
        <v/>
      </c>
      <c r="AL387" s="12" t="str">
        <f>IF(OR($B387="",$AR387=0),"",INDEX('Rework Log'!$G:$G,$AR387))</f>
        <v/>
      </c>
      <c r="AM387" s="12" t="str">
        <f t="shared" si="38"/>
        <v/>
      </c>
      <c r="AN387" s="12" t="str">
        <f t="shared" si="39"/>
        <v/>
      </c>
      <c r="AO387" s="12" t="str">
        <f t="shared" si="40"/>
        <v/>
      </c>
      <c r="AP387" s="12" t="str">
        <f t="shared" si="41"/>
        <v/>
      </c>
      <c r="AQ387" s="1"/>
      <c r="AR387" s="12" t="str">
        <f>IF($B387="","",SUMPRODUCT(MAX(('Rework Log'!$A$3:$A$500=$B387)*ROW('Rework Log'!$A$3:$A$500))))</f>
        <v/>
      </c>
    </row>
    <row r="388" spans="1:44" x14ac:dyDescent="0.25">
      <c r="A388" s="1"/>
      <c r="B388" s="1"/>
      <c r="C388" s="1"/>
      <c r="D388" s="12" t="str">
        <f t="shared" ca="1" si="36"/>
        <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2" t="str">
        <f t="shared" si="37"/>
        <v/>
      </c>
      <c r="AI388" s="12" t="str">
        <f>IF($B388="","",COUNTIF('Rework Log'!$A$3:$A$500,$B388))</f>
        <v/>
      </c>
      <c r="AJ388" s="12" t="str">
        <f>IF(OR($B388="",$AR388=0),"",INDEX('Rework Log'!$C:$C,$AR388))</f>
        <v/>
      </c>
      <c r="AK388" s="12" t="str">
        <f>IF(OR($B388="",$AR388=0),"",INDEX('Rework Log'!$H:$H,$AR388))</f>
        <v/>
      </c>
      <c r="AL388" s="12" t="str">
        <f>IF(OR($B388="",$AR388=0),"",INDEX('Rework Log'!$G:$G,$AR388))</f>
        <v/>
      </c>
      <c r="AM388" s="12" t="str">
        <f t="shared" si="38"/>
        <v/>
      </c>
      <c r="AN388" s="12" t="str">
        <f t="shared" si="39"/>
        <v/>
      </c>
      <c r="AO388" s="12" t="str">
        <f t="shared" si="40"/>
        <v/>
      </c>
      <c r="AP388" s="12" t="str">
        <f t="shared" si="41"/>
        <v/>
      </c>
      <c r="AQ388" s="1"/>
      <c r="AR388" s="12" t="str">
        <f>IF($B388="","",SUMPRODUCT(MAX(('Rework Log'!$A$3:$A$500=$B388)*ROW('Rework Log'!$A$3:$A$500))))</f>
        <v/>
      </c>
    </row>
    <row r="389" spans="1:44" x14ac:dyDescent="0.25">
      <c r="A389" s="1"/>
      <c r="B389" s="1"/>
      <c r="C389" s="1"/>
      <c r="D389" s="12" t="str">
        <f t="shared" ca="1" si="36"/>
        <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2" t="str">
        <f t="shared" si="37"/>
        <v/>
      </c>
      <c r="AI389" s="12" t="str">
        <f>IF($B389="","",COUNTIF('Rework Log'!$A$3:$A$500,$B389))</f>
        <v/>
      </c>
      <c r="AJ389" s="12" t="str">
        <f>IF(OR($B389="",$AR389=0),"",INDEX('Rework Log'!$C:$C,$AR389))</f>
        <v/>
      </c>
      <c r="AK389" s="12" t="str">
        <f>IF(OR($B389="",$AR389=0),"",INDEX('Rework Log'!$H:$H,$AR389))</f>
        <v/>
      </c>
      <c r="AL389" s="12" t="str">
        <f>IF(OR($B389="",$AR389=0),"",INDEX('Rework Log'!$G:$G,$AR389))</f>
        <v/>
      </c>
      <c r="AM389" s="12" t="str">
        <f t="shared" si="38"/>
        <v/>
      </c>
      <c r="AN389" s="12" t="str">
        <f t="shared" si="39"/>
        <v/>
      </c>
      <c r="AO389" s="12" t="str">
        <f t="shared" si="40"/>
        <v/>
      </c>
      <c r="AP389" s="12" t="str">
        <f t="shared" si="41"/>
        <v/>
      </c>
      <c r="AQ389" s="1"/>
      <c r="AR389" s="12" t="str">
        <f>IF($B389="","",SUMPRODUCT(MAX(('Rework Log'!$A$3:$A$500=$B389)*ROW('Rework Log'!$A$3:$A$500))))</f>
        <v/>
      </c>
    </row>
    <row r="390" spans="1:44" x14ac:dyDescent="0.25">
      <c r="A390" s="1"/>
      <c r="B390" s="1"/>
      <c r="C390" s="1"/>
      <c r="D390" s="12" t="str">
        <f t="shared" ca="1" si="36"/>
        <v/>
      </c>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2" t="str">
        <f t="shared" si="37"/>
        <v/>
      </c>
      <c r="AI390" s="12" t="str">
        <f>IF($B390="","",COUNTIF('Rework Log'!$A$3:$A$500,$B390))</f>
        <v/>
      </c>
      <c r="AJ390" s="12" t="str">
        <f>IF(OR($B390="",$AR390=0),"",INDEX('Rework Log'!$C:$C,$AR390))</f>
        <v/>
      </c>
      <c r="AK390" s="12" t="str">
        <f>IF(OR($B390="",$AR390=0),"",INDEX('Rework Log'!$H:$H,$AR390))</f>
        <v/>
      </c>
      <c r="AL390" s="12" t="str">
        <f>IF(OR($B390="",$AR390=0),"",INDEX('Rework Log'!$G:$G,$AR390))</f>
        <v/>
      </c>
      <c r="AM390" s="12" t="str">
        <f t="shared" si="38"/>
        <v/>
      </c>
      <c r="AN390" s="12" t="str">
        <f t="shared" si="39"/>
        <v/>
      </c>
      <c r="AO390" s="12" t="str">
        <f t="shared" si="40"/>
        <v/>
      </c>
      <c r="AP390" s="12" t="str">
        <f t="shared" si="41"/>
        <v/>
      </c>
      <c r="AQ390" s="1"/>
      <c r="AR390" s="12" t="str">
        <f>IF($B390="","",SUMPRODUCT(MAX(('Rework Log'!$A$3:$A$500=$B390)*ROW('Rework Log'!$A$3:$A$500))))</f>
        <v/>
      </c>
    </row>
    <row r="391" spans="1:44" x14ac:dyDescent="0.25">
      <c r="A391" s="1"/>
      <c r="B391" s="1"/>
      <c r="C391" s="1"/>
      <c r="D391" s="12" t="str">
        <f t="shared" ca="1" si="36"/>
        <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2" t="str">
        <f t="shared" si="37"/>
        <v/>
      </c>
      <c r="AI391" s="12" t="str">
        <f>IF($B391="","",COUNTIF('Rework Log'!$A$3:$A$500,$B391))</f>
        <v/>
      </c>
      <c r="AJ391" s="12" t="str">
        <f>IF(OR($B391="",$AR391=0),"",INDEX('Rework Log'!$C:$C,$AR391))</f>
        <v/>
      </c>
      <c r="AK391" s="12" t="str">
        <f>IF(OR($B391="",$AR391=0),"",INDEX('Rework Log'!$H:$H,$AR391))</f>
        <v/>
      </c>
      <c r="AL391" s="12" t="str">
        <f>IF(OR($B391="",$AR391=0),"",INDEX('Rework Log'!$G:$G,$AR391))</f>
        <v/>
      </c>
      <c r="AM391" s="12" t="str">
        <f t="shared" si="38"/>
        <v/>
      </c>
      <c r="AN391" s="12" t="str">
        <f t="shared" si="39"/>
        <v/>
      </c>
      <c r="AO391" s="12" t="str">
        <f t="shared" si="40"/>
        <v/>
      </c>
      <c r="AP391" s="12" t="str">
        <f t="shared" si="41"/>
        <v/>
      </c>
      <c r="AQ391" s="1"/>
      <c r="AR391" s="12" t="str">
        <f>IF($B391="","",SUMPRODUCT(MAX(('Rework Log'!$A$3:$A$500=$B391)*ROW('Rework Log'!$A$3:$A$500))))</f>
        <v/>
      </c>
    </row>
    <row r="392" spans="1:44" x14ac:dyDescent="0.25">
      <c r="A392" s="1"/>
      <c r="B392" s="1"/>
      <c r="C392" s="1"/>
      <c r="D392" s="12" t="str">
        <f t="shared" ca="1" si="36"/>
        <v/>
      </c>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2" t="str">
        <f t="shared" si="37"/>
        <v/>
      </c>
      <c r="AI392" s="12" t="str">
        <f>IF($B392="","",COUNTIF('Rework Log'!$A$3:$A$500,$B392))</f>
        <v/>
      </c>
      <c r="AJ392" s="12" t="str">
        <f>IF(OR($B392="",$AR392=0),"",INDEX('Rework Log'!$C:$C,$AR392))</f>
        <v/>
      </c>
      <c r="AK392" s="12" t="str">
        <f>IF(OR($B392="",$AR392=0),"",INDEX('Rework Log'!$H:$H,$AR392))</f>
        <v/>
      </c>
      <c r="AL392" s="12" t="str">
        <f>IF(OR($B392="",$AR392=0),"",INDEX('Rework Log'!$G:$G,$AR392))</f>
        <v/>
      </c>
      <c r="AM392" s="12" t="str">
        <f t="shared" si="38"/>
        <v/>
      </c>
      <c r="AN392" s="12" t="str">
        <f t="shared" si="39"/>
        <v/>
      </c>
      <c r="AO392" s="12" t="str">
        <f t="shared" si="40"/>
        <v/>
      </c>
      <c r="AP392" s="12" t="str">
        <f t="shared" si="41"/>
        <v/>
      </c>
      <c r="AQ392" s="1"/>
      <c r="AR392" s="12" t="str">
        <f>IF($B392="","",SUMPRODUCT(MAX(('Rework Log'!$A$3:$A$500=$B392)*ROW('Rework Log'!$A$3:$A$500))))</f>
        <v/>
      </c>
    </row>
    <row r="393" spans="1:44" x14ac:dyDescent="0.25">
      <c r="A393" s="1"/>
      <c r="B393" s="1"/>
      <c r="C393" s="1"/>
      <c r="D393" s="12" t="str">
        <f t="shared" ca="1" si="36"/>
        <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2" t="str">
        <f t="shared" si="37"/>
        <v/>
      </c>
      <c r="AI393" s="12" t="str">
        <f>IF($B393="","",COUNTIF('Rework Log'!$A$3:$A$500,$B393))</f>
        <v/>
      </c>
      <c r="AJ393" s="12" t="str">
        <f>IF(OR($B393="",$AR393=0),"",INDEX('Rework Log'!$C:$C,$AR393))</f>
        <v/>
      </c>
      <c r="AK393" s="12" t="str">
        <f>IF(OR($B393="",$AR393=0),"",INDEX('Rework Log'!$H:$H,$AR393))</f>
        <v/>
      </c>
      <c r="AL393" s="12" t="str">
        <f>IF(OR($B393="",$AR393=0),"",INDEX('Rework Log'!$G:$G,$AR393))</f>
        <v/>
      </c>
      <c r="AM393" s="12" t="str">
        <f t="shared" si="38"/>
        <v/>
      </c>
      <c r="AN393" s="12" t="str">
        <f t="shared" si="39"/>
        <v/>
      </c>
      <c r="AO393" s="12" t="str">
        <f t="shared" si="40"/>
        <v/>
      </c>
      <c r="AP393" s="12" t="str">
        <f t="shared" si="41"/>
        <v/>
      </c>
      <c r="AQ393" s="1"/>
      <c r="AR393" s="12" t="str">
        <f>IF($B393="","",SUMPRODUCT(MAX(('Rework Log'!$A$3:$A$500=$B393)*ROW('Rework Log'!$A$3:$A$500))))</f>
        <v/>
      </c>
    </row>
    <row r="394" spans="1:44" x14ac:dyDescent="0.25">
      <c r="A394" s="1"/>
      <c r="B394" s="1"/>
      <c r="C394" s="1"/>
      <c r="D394" s="12" t="str">
        <f t="shared" ca="1" si="36"/>
        <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2" t="str">
        <f t="shared" si="37"/>
        <v/>
      </c>
      <c r="AI394" s="12" t="str">
        <f>IF($B394="","",COUNTIF('Rework Log'!$A$3:$A$500,$B394))</f>
        <v/>
      </c>
      <c r="AJ394" s="12" t="str">
        <f>IF(OR($B394="",$AR394=0),"",INDEX('Rework Log'!$C:$C,$AR394))</f>
        <v/>
      </c>
      <c r="AK394" s="12" t="str">
        <f>IF(OR($B394="",$AR394=0),"",INDEX('Rework Log'!$H:$H,$AR394))</f>
        <v/>
      </c>
      <c r="AL394" s="12" t="str">
        <f>IF(OR($B394="",$AR394=0),"",INDEX('Rework Log'!$G:$G,$AR394))</f>
        <v/>
      </c>
      <c r="AM394" s="12" t="str">
        <f t="shared" si="38"/>
        <v/>
      </c>
      <c r="AN394" s="12" t="str">
        <f t="shared" si="39"/>
        <v/>
      </c>
      <c r="AO394" s="12" t="str">
        <f t="shared" si="40"/>
        <v/>
      </c>
      <c r="AP394" s="12" t="str">
        <f t="shared" si="41"/>
        <v/>
      </c>
      <c r="AQ394" s="1"/>
      <c r="AR394" s="12" t="str">
        <f>IF($B394="","",SUMPRODUCT(MAX(('Rework Log'!$A$3:$A$500=$B394)*ROW('Rework Log'!$A$3:$A$500))))</f>
        <v/>
      </c>
    </row>
    <row r="395" spans="1:44" x14ac:dyDescent="0.25">
      <c r="A395" s="1"/>
      <c r="B395" s="1"/>
      <c r="C395" s="1"/>
      <c r="D395" s="12" t="str">
        <f t="shared" ca="1" si="36"/>
        <v/>
      </c>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2" t="str">
        <f t="shared" si="37"/>
        <v/>
      </c>
      <c r="AI395" s="12" t="str">
        <f>IF($B395="","",COUNTIF('Rework Log'!$A$3:$A$500,$B395))</f>
        <v/>
      </c>
      <c r="AJ395" s="12" t="str">
        <f>IF(OR($B395="",$AR395=0),"",INDEX('Rework Log'!$C:$C,$AR395))</f>
        <v/>
      </c>
      <c r="AK395" s="12" t="str">
        <f>IF(OR($B395="",$AR395=0),"",INDEX('Rework Log'!$H:$H,$AR395))</f>
        <v/>
      </c>
      <c r="AL395" s="12" t="str">
        <f>IF(OR($B395="",$AR395=0),"",INDEX('Rework Log'!$G:$G,$AR395))</f>
        <v/>
      </c>
      <c r="AM395" s="12" t="str">
        <f t="shared" si="38"/>
        <v/>
      </c>
      <c r="AN395" s="12" t="str">
        <f t="shared" si="39"/>
        <v/>
      </c>
      <c r="AO395" s="12" t="str">
        <f t="shared" si="40"/>
        <v/>
      </c>
      <c r="AP395" s="12" t="str">
        <f t="shared" si="41"/>
        <v/>
      </c>
      <c r="AQ395" s="1"/>
      <c r="AR395" s="12" t="str">
        <f>IF($B395="","",SUMPRODUCT(MAX(('Rework Log'!$A$3:$A$500=$B395)*ROW('Rework Log'!$A$3:$A$500))))</f>
        <v/>
      </c>
    </row>
    <row r="396" spans="1:44" x14ac:dyDescent="0.25">
      <c r="A396" s="1"/>
      <c r="B396" s="1"/>
      <c r="C396" s="1"/>
      <c r="D396" s="12" t="str">
        <f t="shared" ca="1" si="36"/>
        <v/>
      </c>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2" t="str">
        <f t="shared" si="37"/>
        <v/>
      </c>
      <c r="AI396" s="12" t="str">
        <f>IF($B396="","",COUNTIF('Rework Log'!$A$3:$A$500,$B396))</f>
        <v/>
      </c>
      <c r="AJ396" s="12" t="str">
        <f>IF(OR($B396="",$AR396=0),"",INDEX('Rework Log'!$C:$C,$AR396))</f>
        <v/>
      </c>
      <c r="AK396" s="12" t="str">
        <f>IF(OR($B396="",$AR396=0),"",INDEX('Rework Log'!$H:$H,$AR396))</f>
        <v/>
      </c>
      <c r="AL396" s="12" t="str">
        <f>IF(OR($B396="",$AR396=0),"",INDEX('Rework Log'!$G:$G,$AR396))</f>
        <v/>
      </c>
      <c r="AM396" s="12" t="str">
        <f t="shared" si="38"/>
        <v/>
      </c>
      <c r="AN396" s="12" t="str">
        <f t="shared" si="39"/>
        <v/>
      </c>
      <c r="AO396" s="12" t="str">
        <f t="shared" si="40"/>
        <v/>
      </c>
      <c r="AP396" s="12" t="str">
        <f t="shared" si="41"/>
        <v/>
      </c>
      <c r="AQ396" s="1"/>
      <c r="AR396" s="12" t="str">
        <f>IF($B396="","",SUMPRODUCT(MAX(('Rework Log'!$A$3:$A$500=$B396)*ROW('Rework Log'!$A$3:$A$500))))</f>
        <v/>
      </c>
    </row>
    <row r="397" spans="1:44" x14ac:dyDescent="0.25">
      <c r="A397" s="1"/>
      <c r="B397" s="1"/>
      <c r="C397" s="1"/>
      <c r="D397" s="12" t="str">
        <f t="shared" ca="1" si="36"/>
        <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2" t="str">
        <f t="shared" si="37"/>
        <v/>
      </c>
      <c r="AI397" s="12" t="str">
        <f>IF($B397="","",COUNTIF('Rework Log'!$A$3:$A$500,$B397))</f>
        <v/>
      </c>
      <c r="AJ397" s="12" t="str">
        <f>IF(OR($B397="",$AR397=0),"",INDEX('Rework Log'!$C:$C,$AR397))</f>
        <v/>
      </c>
      <c r="AK397" s="12" t="str">
        <f>IF(OR($B397="",$AR397=0),"",INDEX('Rework Log'!$H:$H,$AR397))</f>
        <v/>
      </c>
      <c r="AL397" s="12" t="str">
        <f>IF(OR($B397="",$AR397=0),"",INDEX('Rework Log'!$G:$G,$AR397))</f>
        <v/>
      </c>
      <c r="AM397" s="12" t="str">
        <f t="shared" si="38"/>
        <v/>
      </c>
      <c r="AN397" s="12" t="str">
        <f t="shared" si="39"/>
        <v/>
      </c>
      <c r="AO397" s="12" t="str">
        <f t="shared" si="40"/>
        <v/>
      </c>
      <c r="AP397" s="12" t="str">
        <f t="shared" si="41"/>
        <v/>
      </c>
      <c r="AQ397" s="1"/>
      <c r="AR397" s="12" t="str">
        <f>IF($B397="","",SUMPRODUCT(MAX(('Rework Log'!$A$3:$A$500=$B397)*ROW('Rework Log'!$A$3:$A$500))))</f>
        <v/>
      </c>
    </row>
    <row r="398" spans="1:44" x14ac:dyDescent="0.25">
      <c r="A398" s="1"/>
      <c r="B398" s="1"/>
      <c r="C398" s="1"/>
      <c r="D398" s="12" t="str">
        <f t="shared" ca="1" si="36"/>
        <v/>
      </c>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2" t="str">
        <f t="shared" si="37"/>
        <v/>
      </c>
      <c r="AI398" s="12" t="str">
        <f>IF($B398="","",COUNTIF('Rework Log'!$A$3:$A$500,$B398))</f>
        <v/>
      </c>
      <c r="AJ398" s="12" t="str">
        <f>IF(OR($B398="",$AR398=0),"",INDEX('Rework Log'!$C:$C,$AR398))</f>
        <v/>
      </c>
      <c r="AK398" s="12" t="str">
        <f>IF(OR($B398="",$AR398=0),"",INDEX('Rework Log'!$H:$H,$AR398))</f>
        <v/>
      </c>
      <c r="AL398" s="12" t="str">
        <f>IF(OR($B398="",$AR398=0),"",INDEX('Rework Log'!$G:$G,$AR398))</f>
        <v/>
      </c>
      <c r="AM398" s="12" t="str">
        <f t="shared" si="38"/>
        <v/>
      </c>
      <c r="AN398" s="12" t="str">
        <f t="shared" si="39"/>
        <v/>
      </c>
      <c r="AO398" s="12" t="str">
        <f t="shared" si="40"/>
        <v/>
      </c>
      <c r="AP398" s="12" t="str">
        <f t="shared" si="41"/>
        <v/>
      </c>
      <c r="AQ398" s="1"/>
      <c r="AR398" s="12" t="str">
        <f>IF($B398="","",SUMPRODUCT(MAX(('Rework Log'!$A$3:$A$500=$B398)*ROW('Rework Log'!$A$3:$A$500))))</f>
        <v/>
      </c>
    </row>
    <row r="399" spans="1:44" x14ac:dyDescent="0.25">
      <c r="A399" s="1"/>
      <c r="B399" s="1"/>
      <c r="C399" s="1"/>
      <c r="D399" s="12" t="str">
        <f t="shared" ca="1" si="36"/>
        <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2" t="str">
        <f t="shared" si="37"/>
        <v/>
      </c>
      <c r="AI399" s="12" t="str">
        <f>IF($B399="","",COUNTIF('Rework Log'!$A$3:$A$500,$B399))</f>
        <v/>
      </c>
      <c r="AJ399" s="12" t="str">
        <f>IF(OR($B399="",$AR399=0),"",INDEX('Rework Log'!$C:$C,$AR399))</f>
        <v/>
      </c>
      <c r="AK399" s="12" t="str">
        <f>IF(OR($B399="",$AR399=0),"",INDEX('Rework Log'!$H:$H,$AR399))</f>
        <v/>
      </c>
      <c r="AL399" s="12" t="str">
        <f>IF(OR($B399="",$AR399=0),"",INDEX('Rework Log'!$G:$G,$AR399))</f>
        <v/>
      </c>
      <c r="AM399" s="12" t="str">
        <f t="shared" si="38"/>
        <v/>
      </c>
      <c r="AN399" s="12" t="str">
        <f t="shared" si="39"/>
        <v/>
      </c>
      <c r="AO399" s="12" t="str">
        <f t="shared" si="40"/>
        <v/>
      </c>
      <c r="AP399" s="12" t="str">
        <f t="shared" si="41"/>
        <v/>
      </c>
      <c r="AQ399" s="1"/>
      <c r="AR399" s="12" t="str">
        <f>IF($B399="","",SUMPRODUCT(MAX(('Rework Log'!$A$3:$A$500=$B399)*ROW('Rework Log'!$A$3:$A$500))))</f>
        <v/>
      </c>
    </row>
    <row r="400" spans="1:44" x14ac:dyDescent="0.25">
      <c r="A400" s="1"/>
      <c r="B400" s="1"/>
      <c r="C400" s="1"/>
      <c r="D400" s="12" t="str">
        <f t="shared" ca="1" si="36"/>
        <v/>
      </c>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2" t="str">
        <f t="shared" si="37"/>
        <v/>
      </c>
      <c r="AI400" s="12" t="str">
        <f>IF($B400="","",COUNTIF('Rework Log'!$A$3:$A$500,$B400))</f>
        <v/>
      </c>
      <c r="AJ400" s="12" t="str">
        <f>IF(OR($B400="",$AR400=0),"",INDEX('Rework Log'!$C:$C,$AR400))</f>
        <v/>
      </c>
      <c r="AK400" s="12" t="str">
        <f>IF(OR($B400="",$AR400=0),"",INDEX('Rework Log'!$H:$H,$AR400))</f>
        <v/>
      </c>
      <c r="AL400" s="12" t="str">
        <f>IF(OR($B400="",$AR400=0),"",INDEX('Rework Log'!$G:$G,$AR400))</f>
        <v/>
      </c>
      <c r="AM400" s="12" t="str">
        <f t="shared" si="38"/>
        <v/>
      </c>
      <c r="AN400" s="12" t="str">
        <f t="shared" si="39"/>
        <v/>
      </c>
      <c r="AO400" s="12" t="str">
        <f t="shared" si="40"/>
        <v/>
      </c>
      <c r="AP400" s="12" t="str">
        <f t="shared" si="41"/>
        <v/>
      </c>
      <c r="AQ400" s="1"/>
      <c r="AR400" s="12" t="str">
        <f>IF($B400="","",SUMPRODUCT(MAX(('Rework Log'!$A$3:$A$500=$B400)*ROW('Rework Log'!$A$3:$A$500))))</f>
        <v/>
      </c>
    </row>
    <row r="401" spans="1:44" x14ac:dyDescent="0.25">
      <c r="A401" s="1"/>
      <c r="B401" s="1"/>
      <c r="C401" s="1"/>
      <c r="D401" s="12" t="str">
        <f t="shared" ca="1" si="36"/>
        <v/>
      </c>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2" t="str">
        <f t="shared" si="37"/>
        <v/>
      </c>
      <c r="AI401" s="12" t="str">
        <f>IF($B401="","",COUNTIF('Rework Log'!$A$3:$A$500,$B401))</f>
        <v/>
      </c>
      <c r="AJ401" s="12" t="str">
        <f>IF(OR($B401="",$AR401=0),"",INDEX('Rework Log'!$C:$C,$AR401))</f>
        <v/>
      </c>
      <c r="AK401" s="12" t="str">
        <f>IF(OR($B401="",$AR401=0),"",INDEX('Rework Log'!$H:$H,$AR401))</f>
        <v/>
      </c>
      <c r="AL401" s="12" t="str">
        <f>IF(OR($B401="",$AR401=0),"",INDEX('Rework Log'!$G:$G,$AR401))</f>
        <v/>
      </c>
      <c r="AM401" s="12" t="str">
        <f t="shared" si="38"/>
        <v/>
      </c>
      <c r="AN401" s="12" t="str">
        <f t="shared" si="39"/>
        <v/>
      </c>
      <c r="AO401" s="12" t="str">
        <f t="shared" si="40"/>
        <v/>
      </c>
      <c r="AP401" s="12" t="str">
        <f t="shared" si="41"/>
        <v/>
      </c>
      <c r="AQ401" s="1"/>
      <c r="AR401" s="12" t="str">
        <f>IF($B401="","",SUMPRODUCT(MAX(('Rework Log'!$A$3:$A$500=$B401)*ROW('Rework Log'!$A$3:$A$500))))</f>
        <v/>
      </c>
    </row>
    <row r="402" spans="1:44" x14ac:dyDescent="0.25">
      <c r="A402" s="1"/>
      <c r="B402" s="1"/>
      <c r="C402" s="1"/>
      <c r="D402" s="12" t="str">
        <f t="shared" ca="1" si="36"/>
        <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2" t="str">
        <f t="shared" si="37"/>
        <v/>
      </c>
      <c r="AI402" s="12" t="str">
        <f>IF($B402="","",COUNTIF('Rework Log'!$A$3:$A$500,$B402))</f>
        <v/>
      </c>
      <c r="AJ402" s="12" t="str">
        <f>IF(OR($B402="",$AR402=0),"",INDEX('Rework Log'!$C:$C,$AR402))</f>
        <v/>
      </c>
      <c r="AK402" s="12" t="str">
        <f>IF(OR($B402="",$AR402=0),"",INDEX('Rework Log'!$H:$H,$AR402))</f>
        <v/>
      </c>
      <c r="AL402" s="12" t="str">
        <f>IF(OR($B402="",$AR402=0),"",INDEX('Rework Log'!$G:$G,$AR402))</f>
        <v/>
      </c>
      <c r="AM402" s="12" t="str">
        <f t="shared" si="38"/>
        <v/>
      </c>
      <c r="AN402" s="12" t="str">
        <f t="shared" si="39"/>
        <v/>
      </c>
      <c r="AO402" s="12" t="str">
        <f t="shared" si="40"/>
        <v/>
      </c>
      <c r="AP402" s="12" t="str">
        <f t="shared" si="41"/>
        <v/>
      </c>
      <c r="AQ402" s="1"/>
      <c r="AR402" s="12" t="str">
        <f>IF($B402="","",SUMPRODUCT(MAX(('Rework Log'!$A$3:$A$500=$B402)*ROW('Rework Log'!$A$3:$A$500))))</f>
        <v/>
      </c>
    </row>
    <row r="403" spans="1:44" x14ac:dyDescent="0.25">
      <c r="A403" s="1"/>
      <c r="B403" s="1"/>
      <c r="C403" s="1"/>
      <c r="D403" s="12" t="str">
        <f t="shared" ca="1" si="36"/>
        <v/>
      </c>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2" t="str">
        <f t="shared" si="37"/>
        <v/>
      </c>
      <c r="AI403" s="12" t="str">
        <f>IF($B403="","",COUNTIF('Rework Log'!$A$3:$A$500,$B403))</f>
        <v/>
      </c>
      <c r="AJ403" s="12" t="str">
        <f>IF(OR($B403="",$AR403=0),"",INDEX('Rework Log'!$C:$C,$AR403))</f>
        <v/>
      </c>
      <c r="AK403" s="12" t="str">
        <f>IF(OR($B403="",$AR403=0),"",INDEX('Rework Log'!$H:$H,$AR403))</f>
        <v/>
      </c>
      <c r="AL403" s="12" t="str">
        <f>IF(OR($B403="",$AR403=0),"",INDEX('Rework Log'!$G:$G,$AR403))</f>
        <v/>
      </c>
      <c r="AM403" s="12" t="str">
        <f t="shared" si="38"/>
        <v/>
      </c>
      <c r="AN403" s="12" t="str">
        <f t="shared" si="39"/>
        <v/>
      </c>
      <c r="AO403" s="12" t="str">
        <f t="shared" si="40"/>
        <v/>
      </c>
      <c r="AP403" s="12" t="str">
        <f t="shared" si="41"/>
        <v/>
      </c>
      <c r="AQ403" s="1"/>
      <c r="AR403" s="12" t="str">
        <f>IF($B403="","",SUMPRODUCT(MAX(('Rework Log'!$A$3:$A$500=$B403)*ROW('Rework Log'!$A$3:$A$500))))</f>
        <v/>
      </c>
    </row>
    <row r="404" spans="1:44" x14ac:dyDescent="0.25">
      <c r="A404" s="1"/>
      <c r="B404" s="1"/>
      <c r="C404" s="1"/>
      <c r="D404" s="12" t="str">
        <f t="shared" ca="1" si="36"/>
        <v/>
      </c>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2" t="str">
        <f t="shared" si="37"/>
        <v/>
      </c>
      <c r="AI404" s="12" t="str">
        <f>IF($B404="","",COUNTIF('Rework Log'!$A$3:$A$500,$B404))</f>
        <v/>
      </c>
      <c r="AJ404" s="12" t="str">
        <f>IF(OR($B404="",$AR404=0),"",INDEX('Rework Log'!$C:$C,$AR404))</f>
        <v/>
      </c>
      <c r="AK404" s="12" t="str">
        <f>IF(OR($B404="",$AR404=0),"",INDEX('Rework Log'!$H:$H,$AR404))</f>
        <v/>
      </c>
      <c r="AL404" s="12" t="str">
        <f>IF(OR($B404="",$AR404=0),"",INDEX('Rework Log'!$G:$G,$AR404))</f>
        <v/>
      </c>
      <c r="AM404" s="12" t="str">
        <f t="shared" si="38"/>
        <v/>
      </c>
      <c r="AN404" s="12" t="str">
        <f t="shared" si="39"/>
        <v/>
      </c>
      <c r="AO404" s="12" t="str">
        <f t="shared" si="40"/>
        <v/>
      </c>
      <c r="AP404" s="12" t="str">
        <f t="shared" si="41"/>
        <v/>
      </c>
      <c r="AQ404" s="1"/>
      <c r="AR404" s="12" t="str">
        <f>IF($B404="","",SUMPRODUCT(MAX(('Rework Log'!$A$3:$A$500=$B404)*ROW('Rework Log'!$A$3:$A$500))))</f>
        <v/>
      </c>
    </row>
    <row r="405" spans="1:44" x14ac:dyDescent="0.25">
      <c r="A405" s="1"/>
      <c r="B405" s="1"/>
      <c r="C405" s="1"/>
      <c r="D405" s="12" t="str">
        <f t="shared" ca="1" si="36"/>
        <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2" t="str">
        <f t="shared" si="37"/>
        <v/>
      </c>
      <c r="AI405" s="12" t="str">
        <f>IF($B405="","",COUNTIF('Rework Log'!$A$3:$A$500,$B405))</f>
        <v/>
      </c>
      <c r="AJ405" s="12" t="str">
        <f>IF(OR($B405="",$AR405=0),"",INDEX('Rework Log'!$C:$C,$AR405))</f>
        <v/>
      </c>
      <c r="AK405" s="12" t="str">
        <f>IF(OR($B405="",$AR405=0),"",INDEX('Rework Log'!$H:$H,$AR405))</f>
        <v/>
      </c>
      <c r="AL405" s="12" t="str">
        <f>IF(OR($B405="",$AR405=0),"",INDEX('Rework Log'!$G:$G,$AR405))</f>
        <v/>
      </c>
      <c r="AM405" s="12" t="str">
        <f t="shared" si="38"/>
        <v/>
      </c>
      <c r="AN405" s="12" t="str">
        <f t="shared" si="39"/>
        <v/>
      </c>
      <c r="AO405" s="12" t="str">
        <f t="shared" si="40"/>
        <v/>
      </c>
      <c r="AP405" s="12" t="str">
        <f t="shared" si="41"/>
        <v/>
      </c>
      <c r="AQ405" s="1"/>
      <c r="AR405" s="12" t="str">
        <f>IF($B405="","",SUMPRODUCT(MAX(('Rework Log'!$A$3:$A$500=$B405)*ROW('Rework Log'!$A$3:$A$500))))</f>
        <v/>
      </c>
    </row>
    <row r="406" spans="1:44" x14ac:dyDescent="0.25">
      <c r="A406" s="1"/>
      <c r="B406" s="1"/>
      <c r="C406" s="1"/>
      <c r="D406" s="12" t="str">
        <f t="shared" ca="1" si="36"/>
        <v/>
      </c>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2" t="str">
        <f t="shared" si="37"/>
        <v/>
      </c>
      <c r="AI406" s="12" t="str">
        <f>IF($B406="","",COUNTIF('Rework Log'!$A$3:$A$500,$B406))</f>
        <v/>
      </c>
      <c r="AJ406" s="12" t="str">
        <f>IF(OR($B406="",$AR406=0),"",INDEX('Rework Log'!$C:$C,$AR406))</f>
        <v/>
      </c>
      <c r="AK406" s="12" t="str">
        <f>IF(OR($B406="",$AR406=0),"",INDEX('Rework Log'!$H:$H,$AR406))</f>
        <v/>
      </c>
      <c r="AL406" s="12" t="str">
        <f>IF(OR($B406="",$AR406=0),"",INDEX('Rework Log'!$G:$G,$AR406))</f>
        <v/>
      </c>
      <c r="AM406" s="12" t="str">
        <f t="shared" si="38"/>
        <v/>
      </c>
      <c r="AN406" s="12" t="str">
        <f t="shared" si="39"/>
        <v/>
      </c>
      <c r="AO406" s="12" t="str">
        <f t="shared" si="40"/>
        <v/>
      </c>
      <c r="AP406" s="12" t="str">
        <f t="shared" si="41"/>
        <v/>
      </c>
      <c r="AQ406" s="1"/>
      <c r="AR406" s="12" t="str">
        <f>IF($B406="","",SUMPRODUCT(MAX(('Rework Log'!$A$3:$A$500=$B406)*ROW('Rework Log'!$A$3:$A$500))))</f>
        <v/>
      </c>
    </row>
    <row r="407" spans="1:44" x14ac:dyDescent="0.25">
      <c r="A407" s="1"/>
      <c r="B407" s="1"/>
      <c r="C407" s="1"/>
      <c r="D407" s="12" t="str">
        <f t="shared" ca="1" si="36"/>
        <v/>
      </c>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2" t="str">
        <f t="shared" si="37"/>
        <v/>
      </c>
      <c r="AI407" s="12" t="str">
        <f>IF($B407="","",COUNTIF('Rework Log'!$A$3:$A$500,$B407))</f>
        <v/>
      </c>
      <c r="AJ407" s="12" t="str">
        <f>IF(OR($B407="",$AR407=0),"",INDEX('Rework Log'!$C:$C,$AR407))</f>
        <v/>
      </c>
      <c r="AK407" s="12" t="str">
        <f>IF(OR($B407="",$AR407=0),"",INDEX('Rework Log'!$H:$H,$AR407))</f>
        <v/>
      </c>
      <c r="AL407" s="12" t="str">
        <f>IF(OR($B407="",$AR407=0),"",INDEX('Rework Log'!$G:$G,$AR407))</f>
        <v/>
      </c>
      <c r="AM407" s="12" t="str">
        <f t="shared" si="38"/>
        <v/>
      </c>
      <c r="AN407" s="12" t="str">
        <f t="shared" si="39"/>
        <v/>
      </c>
      <c r="AO407" s="12" t="str">
        <f t="shared" si="40"/>
        <v/>
      </c>
      <c r="AP407" s="12" t="str">
        <f t="shared" si="41"/>
        <v/>
      </c>
      <c r="AQ407" s="1"/>
      <c r="AR407" s="12" t="str">
        <f>IF($B407="","",SUMPRODUCT(MAX(('Rework Log'!$A$3:$A$500=$B407)*ROW('Rework Log'!$A$3:$A$500))))</f>
        <v/>
      </c>
    </row>
    <row r="408" spans="1:44" x14ac:dyDescent="0.25">
      <c r="A408" s="1"/>
      <c r="B408" s="1"/>
      <c r="C408" s="1"/>
      <c r="D408" s="12" t="str">
        <f t="shared" ca="1" si="36"/>
        <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2" t="str">
        <f t="shared" si="37"/>
        <v/>
      </c>
      <c r="AI408" s="12" t="str">
        <f>IF($B408="","",COUNTIF('Rework Log'!$A$3:$A$500,$B408))</f>
        <v/>
      </c>
      <c r="AJ408" s="12" t="str">
        <f>IF(OR($B408="",$AR408=0),"",INDEX('Rework Log'!$C:$C,$AR408))</f>
        <v/>
      </c>
      <c r="AK408" s="12" t="str">
        <f>IF(OR($B408="",$AR408=0),"",INDEX('Rework Log'!$H:$H,$AR408))</f>
        <v/>
      </c>
      <c r="AL408" s="12" t="str">
        <f>IF(OR($B408="",$AR408=0),"",INDEX('Rework Log'!$G:$G,$AR408))</f>
        <v/>
      </c>
      <c r="AM408" s="12" t="str">
        <f t="shared" si="38"/>
        <v/>
      </c>
      <c r="AN408" s="12" t="str">
        <f t="shared" si="39"/>
        <v/>
      </c>
      <c r="AO408" s="12" t="str">
        <f t="shared" si="40"/>
        <v/>
      </c>
      <c r="AP408" s="12" t="str">
        <f t="shared" si="41"/>
        <v/>
      </c>
      <c r="AQ408" s="1"/>
      <c r="AR408" s="12" t="str">
        <f>IF($B408="","",SUMPRODUCT(MAX(('Rework Log'!$A$3:$A$500=$B408)*ROW('Rework Log'!$A$3:$A$500))))</f>
        <v/>
      </c>
    </row>
    <row r="409" spans="1:44" x14ac:dyDescent="0.25">
      <c r="A409" s="1"/>
      <c r="B409" s="1"/>
      <c r="C409" s="1"/>
      <c r="D409" s="12" t="str">
        <f t="shared" ca="1" si="36"/>
        <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2" t="str">
        <f t="shared" si="37"/>
        <v/>
      </c>
      <c r="AI409" s="12" t="str">
        <f>IF($B409="","",COUNTIF('Rework Log'!$A$3:$A$500,$B409))</f>
        <v/>
      </c>
      <c r="AJ409" s="12" t="str">
        <f>IF(OR($B409="",$AR409=0),"",INDEX('Rework Log'!$C:$C,$AR409))</f>
        <v/>
      </c>
      <c r="AK409" s="12" t="str">
        <f>IF(OR($B409="",$AR409=0),"",INDEX('Rework Log'!$H:$H,$AR409))</f>
        <v/>
      </c>
      <c r="AL409" s="12" t="str">
        <f>IF(OR($B409="",$AR409=0),"",INDEX('Rework Log'!$G:$G,$AR409))</f>
        <v/>
      </c>
      <c r="AM409" s="12" t="str">
        <f t="shared" si="38"/>
        <v/>
      </c>
      <c r="AN409" s="12" t="str">
        <f t="shared" si="39"/>
        <v/>
      </c>
      <c r="AO409" s="12" t="str">
        <f t="shared" si="40"/>
        <v/>
      </c>
      <c r="AP409" s="12" t="str">
        <f t="shared" si="41"/>
        <v/>
      </c>
      <c r="AQ409" s="1"/>
      <c r="AR409" s="12" t="str">
        <f>IF($B409="","",SUMPRODUCT(MAX(('Rework Log'!$A$3:$A$500=$B409)*ROW('Rework Log'!$A$3:$A$500))))</f>
        <v/>
      </c>
    </row>
    <row r="410" spans="1:44" x14ac:dyDescent="0.25">
      <c r="A410" s="1"/>
      <c r="B410" s="1"/>
      <c r="C410" s="1"/>
      <c r="D410" s="12" t="str">
        <f t="shared" ca="1" si="36"/>
        <v/>
      </c>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2" t="str">
        <f t="shared" si="37"/>
        <v/>
      </c>
      <c r="AI410" s="12" t="str">
        <f>IF($B410="","",COUNTIF('Rework Log'!$A$3:$A$500,$B410))</f>
        <v/>
      </c>
      <c r="AJ410" s="12" t="str">
        <f>IF(OR($B410="",$AR410=0),"",INDEX('Rework Log'!$C:$C,$AR410))</f>
        <v/>
      </c>
      <c r="AK410" s="12" t="str">
        <f>IF(OR($B410="",$AR410=0),"",INDEX('Rework Log'!$H:$H,$AR410))</f>
        <v/>
      </c>
      <c r="AL410" s="12" t="str">
        <f>IF(OR($B410="",$AR410=0),"",INDEX('Rework Log'!$G:$G,$AR410))</f>
        <v/>
      </c>
      <c r="AM410" s="12" t="str">
        <f t="shared" si="38"/>
        <v/>
      </c>
      <c r="AN410" s="12" t="str">
        <f t="shared" si="39"/>
        <v/>
      </c>
      <c r="AO410" s="12" t="str">
        <f t="shared" si="40"/>
        <v/>
      </c>
      <c r="AP410" s="12" t="str">
        <f t="shared" si="41"/>
        <v/>
      </c>
      <c r="AQ410" s="1"/>
      <c r="AR410" s="12" t="str">
        <f>IF($B410="","",SUMPRODUCT(MAX(('Rework Log'!$A$3:$A$500=$B410)*ROW('Rework Log'!$A$3:$A$500))))</f>
        <v/>
      </c>
    </row>
    <row r="411" spans="1:44" x14ac:dyDescent="0.25">
      <c r="A411" s="1"/>
      <c r="B411" s="1"/>
      <c r="C411" s="1"/>
      <c r="D411" s="12" t="str">
        <f t="shared" ca="1" si="36"/>
        <v/>
      </c>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2" t="str">
        <f t="shared" si="37"/>
        <v/>
      </c>
      <c r="AI411" s="12" t="str">
        <f>IF($B411="","",COUNTIF('Rework Log'!$A$3:$A$500,$B411))</f>
        <v/>
      </c>
      <c r="AJ411" s="12" t="str">
        <f>IF(OR($B411="",$AR411=0),"",INDEX('Rework Log'!$C:$C,$AR411))</f>
        <v/>
      </c>
      <c r="AK411" s="12" t="str">
        <f>IF(OR($B411="",$AR411=0),"",INDEX('Rework Log'!$H:$H,$AR411))</f>
        <v/>
      </c>
      <c r="AL411" s="12" t="str">
        <f>IF(OR($B411="",$AR411=0),"",INDEX('Rework Log'!$G:$G,$AR411))</f>
        <v/>
      </c>
      <c r="AM411" s="12" t="str">
        <f t="shared" si="38"/>
        <v/>
      </c>
      <c r="AN411" s="12" t="str">
        <f t="shared" si="39"/>
        <v/>
      </c>
      <c r="AO411" s="12" t="str">
        <f t="shared" si="40"/>
        <v/>
      </c>
      <c r="AP411" s="12" t="str">
        <f t="shared" si="41"/>
        <v/>
      </c>
      <c r="AQ411" s="1"/>
      <c r="AR411" s="12" t="str">
        <f>IF($B411="","",SUMPRODUCT(MAX(('Rework Log'!$A$3:$A$500=$B411)*ROW('Rework Log'!$A$3:$A$500))))</f>
        <v/>
      </c>
    </row>
    <row r="412" spans="1:44" x14ac:dyDescent="0.25">
      <c r="A412" s="1"/>
      <c r="B412" s="1"/>
      <c r="C412" s="1"/>
      <c r="D412" s="12" t="str">
        <f t="shared" ca="1" si="36"/>
        <v/>
      </c>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2" t="str">
        <f t="shared" si="37"/>
        <v/>
      </c>
      <c r="AI412" s="12" t="str">
        <f>IF($B412="","",COUNTIF('Rework Log'!$A$3:$A$500,$B412))</f>
        <v/>
      </c>
      <c r="AJ412" s="12" t="str">
        <f>IF(OR($B412="",$AR412=0),"",INDEX('Rework Log'!$C:$C,$AR412))</f>
        <v/>
      </c>
      <c r="AK412" s="12" t="str">
        <f>IF(OR($B412="",$AR412=0),"",INDEX('Rework Log'!$H:$H,$AR412))</f>
        <v/>
      </c>
      <c r="AL412" s="12" t="str">
        <f>IF(OR($B412="",$AR412=0),"",INDEX('Rework Log'!$G:$G,$AR412))</f>
        <v/>
      </c>
      <c r="AM412" s="12" t="str">
        <f t="shared" si="38"/>
        <v/>
      </c>
      <c r="AN412" s="12" t="str">
        <f t="shared" si="39"/>
        <v/>
      </c>
      <c r="AO412" s="12" t="str">
        <f t="shared" si="40"/>
        <v/>
      </c>
      <c r="AP412" s="12" t="str">
        <f t="shared" si="41"/>
        <v/>
      </c>
      <c r="AQ412" s="1"/>
      <c r="AR412" s="12" t="str">
        <f>IF($B412="","",SUMPRODUCT(MAX(('Rework Log'!$A$3:$A$500=$B412)*ROW('Rework Log'!$A$3:$A$500))))</f>
        <v/>
      </c>
    </row>
    <row r="413" spans="1:44" x14ac:dyDescent="0.25">
      <c r="A413" s="1"/>
      <c r="B413" s="1"/>
      <c r="C413" s="1"/>
      <c r="D413" s="12" t="str">
        <f t="shared" ca="1" si="36"/>
        <v/>
      </c>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2" t="str">
        <f t="shared" si="37"/>
        <v/>
      </c>
      <c r="AI413" s="12" t="str">
        <f>IF($B413="","",COUNTIF('Rework Log'!$A$3:$A$500,$B413))</f>
        <v/>
      </c>
      <c r="AJ413" s="12" t="str">
        <f>IF(OR($B413="",$AR413=0),"",INDEX('Rework Log'!$C:$C,$AR413))</f>
        <v/>
      </c>
      <c r="AK413" s="12" t="str">
        <f>IF(OR($B413="",$AR413=0),"",INDEX('Rework Log'!$H:$H,$AR413))</f>
        <v/>
      </c>
      <c r="AL413" s="12" t="str">
        <f>IF(OR($B413="",$AR413=0),"",INDEX('Rework Log'!$G:$G,$AR413))</f>
        <v/>
      </c>
      <c r="AM413" s="12" t="str">
        <f t="shared" si="38"/>
        <v/>
      </c>
      <c r="AN413" s="12" t="str">
        <f t="shared" si="39"/>
        <v/>
      </c>
      <c r="AO413" s="12" t="str">
        <f t="shared" si="40"/>
        <v/>
      </c>
      <c r="AP413" s="12" t="str">
        <f t="shared" si="41"/>
        <v/>
      </c>
      <c r="AQ413" s="1"/>
      <c r="AR413" s="12" t="str">
        <f>IF($B413="","",SUMPRODUCT(MAX(('Rework Log'!$A$3:$A$500=$B413)*ROW('Rework Log'!$A$3:$A$500))))</f>
        <v/>
      </c>
    </row>
    <row r="414" spans="1:44" x14ac:dyDescent="0.25">
      <c r="A414" s="1"/>
      <c r="B414" s="1"/>
      <c r="C414" s="1"/>
      <c r="D414" s="12" t="str">
        <f t="shared" ca="1" si="36"/>
        <v/>
      </c>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2" t="str">
        <f t="shared" si="37"/>
        <v/>
      </c>
      <c r="AI414" s="12" t="str">
        <f>IF($B414="","",COUNTIF('Rework Log'!$A$3:$A$500,$B414))</f>
        <v/>
      </c>
      <c r="AJ414" s="12" t="str">
        <f>IF(OR($B414="",$AR414=0),"",INDEX('Rework Log'!$C:$C,$AR414))</f>
        <v/>
      </c>
      <c r="AK414" s="12" t="str">
        <f>IF(OR($B414="",$AR414=0),"",INDEX('Rework Log'!$H:$H,$AR414))</f>
        <v/>
      </c>
      <c r="AL414" s="12" t="str">
        <f>IF(OR($B414="",$AR414=0),"",INDEX('Rework Log'!$G:$G,$AR414))</f>
        <v/>
      </c>
      <c r="AM414" s="12" t="str">
        <f t="shared" si="38"/>
        <v/>
      </c>
      <c r="AN414" s="12" t="str">
        <f t="shared" si="39"/>
        <v/>
      </c>
      <c r="AO414" s="12" t="str">
        <f t="shared" si="40"/>
        <v/>
      </c>
      <c r="AP414" s="12" t="str">
        <f t="shared" si="41"/>
        <v/>
      </c>
      <c r="AQ414" s="1"/>
      <c r="AR414" s="12" t="str">
        <f>IF($B414="","",SUMPRODUCT(MAX(('Rework Log'!$A$3:$A$500=$B414)*ROW('Rework Log'!$A$3:$A$500))))</f>
        <v/>
      </c>
    </row>
    <row r="415" spans="1:44" x14ac:dyDescent="0.25">
      <c r="A415" s="1"/>
      <c r="B415" s="1"/>
      <c r="C415" s="1"/>
      <c r="D415" s="12" t="str">
        <f t="shared" ca="1" si="36"/>
        <v/>
      </c>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2" t="str">
        <f t="shared" si="37"/>
        <v/>
      </c>
      <c r="AI415" s="12" t="str">
        <f>IF($B415="","",COUNTIF('Rework Log'!$A$3:$A$500,$B415))</f>
        <v/>
      </c>
      <c r="AJ415" s="12" t="str">
        <f>IF(OR($B415="",$AR415=0),"",INDEX('Rework Log'!$C:$C,$AR415))</f>
        <v/>
      </c>
      <c r="AK415" s="12" t="str">
        <f>IF(OR($B415="",$AR415=0),"",INDEX('Rework Log'!$H:$H,$AR415))</f>
        <v/>
      </c>
      <c r="AL415" s="12" t="str">
        <f>IF(OR($B415="",$AR415=0),"",INDEX('Rework Log'!$G:$G,$AR415))</f>
        <v/>
      </c>
      <c r="AM415" s="12" t="str">
        <f t="shared" si="38"/>
        <v/>
      </c>
      <c r="AN415" s="12" t="str">
        <f t="shared" si="39"/>
        <v/>
      </c>
      <c r="AO415" s="12" t="str">
        <f t="shared" si="40"/>
        <v/>
      </c>
      <c r="AP415" s="12" t="str">
        <f t="shared" si="41"/>
        <v/>
      </c>
      <c r="AQ415" s="1"/>
      <c r="AR415" s="12" t="str">
        <f>IF($B415="","",SUMPRODUCT(MAX(('Rework Log'!$A$3:$A$500=$B415)*ROW('Rework Log'!$A$3:$A$500))))</f>
        <v/>
      </c>
    </row>
    <row r="416" spans="1:44" x14ac:dyDescent="0.25">
      <c r="A416" s="1"/>
      <c r="B416" s="1"/>
      <c r="C416" s="1"/>
      <c r="D416" s="12" t="str">
        <f t="shared" ca="1" si="36"/>
        <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2" t="str">
        <f t="shared" si="37"/>
        <v/>
      </c>
      <c r="AI416" s="12" t="str">
        <f>IF($B416="","",COUNTIF('Rework Log'!$A$3:$A$500,$B416))</f>
        <v/>
      </c>
      <c r="AJ416" s="12" t="str">
        <f>IF(OR($B416="",$AR416=0),"",INDEX('Rework Log'!$C:$C,$AR416))</f>
        <v/>
      </c>
      <c r="AK416" s="12" t="str">
        <f>IF(OR($B416="",$AR416=0),"",INDEX('Rework Log'!$H:$H,$AR416))</f>
        <v/>
      </c>
      <c r="AL416" s="12" t="str">
        <f>IF(OR($B416="",$AR416=0),"",INDEX('Rework Log'!$G:$G,$AR416))</f>
        <v/>
      </c>
      <c r="AM416" s="12" t="str">
        <f t="shared" si="38"/>
        <v/>
      </c>
      <c r="AN416" s="12" t="str">
        <f t="shared" si="39"/>
        <v/>
      </c>
      <c r="AO416" s="12" t="str">
        <f t="shared" si="40"/>
        <v/>
      </c>
      <c r="AP416" s="12" t="str">
        <f t="shared" si="41"/>
        <v/>
      </c>
      <c r="AQ416" s="1"/>
      <c r="AR416" s="12" t="str">
        <f>IF($B416="","",SUMPRODUCT(MAX(('Rework Log'!$A$3:$A$500=$B416)*ROW('Rework Log'!$A$3:$A$500))))</f>
        <v/>
      </c>
    </row>
    <row r="417" spans="1:44" x14ac:dyDescent="0.25">
      <c r="A417" s="1"/>
      <c r="B417" s="1"/>
      <c r="C417" s="1"/>
      <c r="D417" s="12" t="str">
        <f t="shared" ca="1" si="36"/>
        <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2" t="str">
        <f t="shared" si="37"/>
        <v/>
      </c>
      <c r="AI417" s="12" t="str">
        <f>IF($B417="","",COUNTIF('Rework Log'!$A$3:$A$500,$B417))</f>
        <v/>
      </c>
      <c r="AJ417" s="12" t="str">
        <f>IF(OR($B417="",$AR417=0),"",INDEX('Rework Log'!$C:$C,$AR417))</f>
        <v/>
      </c>
      <c r="AK417" s="12" t="str">
        <f>IF(OR($B417="",$AR417=0),"",INDEX('Rework Log'!$H:$H,$AR417))</f>
        <v/>
      </c>
      <c r="AL417" s="12" t="str">
        <f>IF(OR($B417="",$AR417=0),"",INDEX('Rework Log'!$G:$G,$AR417))</f>
        <v/>
      </c>
      <c r="AM417" s="12" t="str">
        <f t="shared" si="38"/>
        <v/>
      </c>
      <c r="AN417" s="12" t="str">
        <f t="shared" si="39"/>
        <v/>
      </c>
      <c r="AO417" s="12" t="str">
        <f t="shared" si="40"/>
        <v/>
      </c>
      <c r="AP417" s="12" t="str">
        <f t="shared" si="41"/>
        <v/>
      </c>
      <c r="AQ417" s="1"/>
      <c r="AR417" s="12" t="str">
        <f>IF($B417="","",SUMPRODUCT(MAX(('Rework Log'!$A$3:$A$500=$B417)*ROW('Rework Log'!$A$3:$A$500))))</f>
        <v/>
      </c>
    </row>
    <row r="418" spans="1:44" x14ac:dyDescent="0.25">
      <c r="A418" s="1"/>
      <c r="B418" s="1"/>
      <c r="C418" s="1"/>
      <c r="D418" s="12" t="str">
        <f t="shared" ca="1" si="36"/>
        <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2" t="str">
        <f t="shared" si="37"/>
        <v/>
      </c>
      <c r="AI418" s="12" t="str">
        <f>IF($B418="","",COUNTIF('Rework Log'!$A$3:$A$500,$B418))</f>
        <v/>
      </c>
      <c r="AJ418" s="12" t="str">
        <f>IF(OR($B418="",$AR418=0),"",INDEX('Rework Log'!$C:$C,$AR418))</f>
        <v/>
      </c>
      <c r="AK418" s="12" t="str">
        <f>IF(OR($B418="",$AR418=0),"",INDEX('Rework Log'!$H:$H,$AR418))</f>
        <v/>
      </c>
      <c r="AL418" s="12" t="str">
        <f>IF(OR($B418="",$AR418=0),"",INDEX('Rework Log'!$G:$G,$AR418))</f>
        <v/>
      </c>
      <c r="AM418" s="12" t="str">
        <f t="shared" si="38"/>
        <v/>
      </c>
      <c r="AN418" s="12" t="str">
        <f t="shared" si="39"/>
        <v/>
      </c>
      <c r="AO418" s="12" t="str">
        <f t="shared" si="40"/>
        <v/>
      </c>
      <c r="AP418" s="12" t="str">
        <f t="shared" si="41"/>
        <v/>
      </c>
      <c r="AQ418" s="1"/>
      <c r="AR418" s="12" t="str">
        <f>IF($B418="","",SUMPRODUCT(MAX(('Rework Log'!$A$3:$A$500=$B418)*ROW('Rework Log'!$A$3:$A$500))))</f>
        <v/>
      </c>
    </row>
    <row r="419" spans="1:44" x14ac:dyDescent="0.25">
      <c r="A419" s="1"/>
      <c r="B419" s="1"/>
      <c r="C419" s="1"/>
      <c r="D419" s="12" t="str">
        <f t="shared" ca="1" si="36"/>
        <v/>
      </c>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2" t="str">
        <f t="shared" si="37"/>
        <v/>
      </c>
      <c r="AI419" s="12" t="str">
        <f>IF($B419="","",COUNTIF('Rework Log'!$A$3:$A$500,$B419))</f>
        <v/>
      </c>
      <c r="AJ419" s="12" t="str">
        <f>IF(OR($B419="",$AR419=0),"",INDEX('Rework Log'!$C:$C,$AR419))</f>
        <v/>
      </c>
      <c r="AK419" s="12" t="str">
        <f>IF(OR($B419="",$AR419=0),"",INDEX('Rework Log'!$H:$H,$AR419))</f>
        <v/>
      </c>
      <c r="AL419" s="12" t="str">
        <f>IF(OR($B419="",$AR419=0),"",INDEX('Rework Log'!$G:$G,$AR419))</f>
        <v/>
      </c>
      <c r="AM419" s="12" t="str">
        <f t="shared" si="38"/>
        <v/>
      </c>
      <c r="AN419" s="12" t="str">
        <f t="shared" si="39"/>
        <v/>
      </c>
      <c r="AO419" s="12" t="str">
        <f t="shared" si="40"/>
        <v/>
      </c>
      <c r="AP419" s="12" t="str">
        <f t="shared" si="41"/>
        <v/>
      </c>
      <c r="AQ419" s="1"/>
      <c r="AR419" s="12" t="str">
        <f>IF($B419="","",SUMPRODUCT(MAX(('Rework Log'!$A$3:$A$500=$B419)*ROW('Rework Log'!$A$3:$A$500))))</f>
        <v/>
      </c>
    </row>
    <row r="420" spans="1:44" x14ac:dyDescent="0.25">
      <c r="A420" s="1"/>
      <c r="B420" s="1"/>
      <c r="C420" s="1"/>
      <c r="D420" s="12" t="str">
        <f t="shared" ca="1" si="36"/>
        <v/>
      </c>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2" t="str">
        <f t="shared" si="37"/>
        <v/>
      </c>
      <c r="AI420" s="12" t="str">
        <f>IF($B420="","",COUNTIF('Rework Log'!$A$3:$A$500,$B420))</f>
        <v/>
      </c>
      <c r="AJ420" s="12" t="str">
        <f>IF(OR($B420="",$AR420=0),"",INDEX('Rework Log'!$C:$C,$AR420))</f>
        <v/>
      </c>
      <c r="AK420" s="12" t="str">
        <f>IF(OR($B420="",$AR420=0),"",INDEX('Rework Log'!$H:$H,$AR420))</f>
        <v/>
      </c>
      <c r="AL420" s="12" t="str">
        <f>IF(OR($B420="",$AR420=0),"",INDEX('Rework Log'!$G:$G,$AR420))</f>
        <v/>
      </c>
      <c r="AM420" s="12" t="str">
        <f t="shared" si="38"/>
        <v/>
      </c>
      <c r="AN420" s="12" t="str">
        <f t="shared" si="39"/>
        <v/>
      </c>
      <c r="AO420" s="12" t="str">
        <f t="shared" si="40"/>
        <v/>
      </c>
      <c r="AP420" s="12" t="str">
        <f t="shared" si="41"/>
        <v/>
      </c>
      <c r="AQ420" s="1"/>
      <c r="AR420" s="12" t="str">
        <f>IF($B420="","",SUMPRODUCT(MAX(('Rework Log'!$A$3:$A$500=$B420)*ROW('Rework Log'!$A$3:$A$500))))</f>
        <v/>
      </c>
    </row>
    <row r="421" spans="1:44" x14ac:dyDescent="0.25">
      <c r="A421" s="1"/>
      <c r="B421" s="1"/>
      <c r="C421" s="1"/>
      <c r="D421" s="12" t="str">
        <f t="shared" ca="1" si="36"/>
        <v/>
      </c>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2" t="str">
        <f t="shared" si="37"/>
        <v/>
      </c>
      <c r="AI421" s="12" t="str">
        <f>IF($B421="","",COUNTIF('Rework Log'!$A$3:$A$500,$B421))</f>
        <v/>
      </c>
      <c r="AJ421" s="12" t="str">
        <f>IF(OR($B421="",$AR421=0),"",INDEX('Rework Log'!$C:$C,$AR421))</f>
        <v/>
      </c>
      <c r="AK421" s="12" t="str">
        <f>IF(OR($B421="",$AR421=0),"",INDEX('Rework Log'!$H:$H,$AR421))</f>
        <v/>
      </c>
      <c r="AL421" s="12" t="str">
        <f>IF(OR($B421="",$AR421=0),"",INDEX('Rework Log'!$G:$G,$AR421))</f>
        <v/>
      </c>
      <c r="AM421" s="12" t="str">
        <f t="shared" si="38"/>
        <v/>
      </c>
      <c r="AN421" s="12" t="str">
        <f t="shared" si="39"/>
        <v/>
      </c>
      <c r="AO421" s="12" t="str">
        <f t="shared" si="40"/>
        <v/>
      </c>
      <c r="AP421" s="12" t="str">
        <f t="shared" si="41"/>
        <v/>
      </c>
      <c r="AQ421" s="1"/>
      <c r="AR421" s="12" t="str">
        <f>IF($B421="","",SUMPRODUCT(MAX(('Rework Log'!$A$3:$A$500=$B421)*ROW('Rework Log'!$A$3:$A$500))))</f>
        <v/>
      </c>
    </row>
    <row r="422" spans="1:44" x14ac:dyDescent="0.25">
      <c r="A422" s="1"/>
      <c r="B422" s="1"/>
      <c r="C422" s="1"/>
      <c r="D422" s="12" t="str">
        <f t="shared" ca="1" si="36"/>
        <v/>
      </c>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2" t="str">
        <f t="shared" si="37"/>
        <v/>
      </c>
      <c r="AI422" s="12" t="str">
        <f>IF($B422="","",COUNTIF('Rework Log'!$A$3:$A$500,$B422))</f>
        <v/>
      </c>
      <c r="AJ422" s="12" t="str">
        <f>IF(OR($B422="",$AR422=0),"",INDEX('Rework Log'!$C:$C,$AR422))</f>
        <v/>
      </c>
      <c r="AK422" s="12" t="str">
        <f>IF(OR($B422="",$AR422=0),"",INDEX('Rework Log'!$H:$H,$AR422))</f>
        <v/>
      </c>
      <c r="AL422" s="12" t="str">
        <f>IF(OR($B422="",$AR422=0),"",INDEX('Rework Log'!$G:$G,$AR422))</f>
        <v/>
      </c>
      <c r="AM422" s="12" t="str">
        <f t="shared" si="38"/>
        <v/>
      </c>
      <c r="AN422" s="12" t="str">
        <f t="shared" si="39"/>
        <v/>
      </c>
      <c r="AO422" s="12" t="str">
        <f t="shared" si="40"/>
        <v/>
      </c>
      <c r="AP422" s="12" t="str">
        <f t="shared" si="41"/>
        <v/>
      </c>
      <c r="AQ422" s="1"/>
      <c r="AR422" s="12" t="str">
        <f>IF($B422="","",SUMPRODUCT(MAX(('Rework Log'!$A$3:$A$500=$B422)*ROW('Rework Log'!$A$3:$A$500))))</f>
        <v/>
      </c>
    </row>
    <row r="423" spans="1:44" x14ac:dyDescent="0.25">
      <c r="A423" s="1"/>
      <c r="B423" s="1"/>
      <c r="C423" s="1"/>
      <c r="D423" s="12" t="str">
        <f t="shared" ca="1" si="36"/>
        <v/>
      </c>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2" t="str">
        <f t="shared" si="37"/>
        <v/>
      </c>
      <c r="AI423" s="12" t="str">
        <f>IF($B423="","",COUNTIF('Rework Log'!$A$3:$A$500,$B423))</f>
        <v/>
      </c>
      <c r="AJ423" s="12" t="str">
        <f>IF(OR($B423="",$AR423=0),"",INDEX('Rework Log'!$C:$C,$AR423))</f>
        <v/>
      </c>
      <c r="AK423" s="12" t="str">
        <f>IF(OR($B423="",$AR423=0),"",INDEX('Rework Log'!$H:$H,$AR423))</f>
        <v/>
      </c>
      <c r="AL423" s="12" t="str">
        <f>IF(OR($B423="",$AR423=0),"",INDEX('Rework Log'!$G:$G,$AR423))</f>
        <v/>
      </c>
      <c r="AM423" s="12" t="str">
        <f t="shared" si="38"/>
        <v/>
      </c>
      <c r="AN423" s="12" t="str">
        <f t="shared" si="39"/>
        <v/>
      </c>
      <c r="AO423" s="12" t="str">
        <f t="shared" si="40"/>
        <v/>
      </c>
      <c r="AP423" s="12" t="str">
        <f t="shared" si="41"/>
        <v/>
      </c>
      <c r="AQ423" s="1"/>
      <c r="AR423" s="12" t="str">
        <f>IF($B423="","",SUMPRODUCT(MAX(('Rework Log'!$A$3:$A$500=$B423)*ROW('Rework Log'!$A$3:$A$500))))</f>
        <v/>
      </c>
    </row>
    <row r="424" spans="1:44" x14ac:dyDescent="0.25">
      <c r="A424" s="1"/>
      <c r="B424" s="1"/>
      <c r="C424" s="1"/>
      <c r="D424" s="12" t="str">
        <f t="shared" ca="1" si="36"/>
        <v/>
      </c>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2" t="str">
        <f t="shared" si="37"/>
        <v/>
      </c>
      <c r="AI424" s="12" t="str">
        <f>IF($B424="","",COUNTIF('Rework Log'!$A$3:$A$500,$B424))</f>
        <v/>
      </c>
      <c r="AJ424" s="12" t="str">
        <f>IF(OR($B424="",$AR424=0),"",INDEX('Rework Log'!$C:$C,$AR424))</f>
        <v/>
      </c>
      <c r="AK424" s="12" t="str">
        <f>IF(OR($B424="",$AR424=0),"",INDEX('Rework Log'!$H:$H,$AR424))</f>
        <v/>
      </c>
      <c r="AL424" s="12" t="str">
        <f>IF(OR($B424="",$AR424=0),"",INDEX('Rework Log'!$G:$G,$AR424))</f>
        <v/>
      </c>
      <c r="AM424" s="12" t="str">
        <f t="shared" si="38"/>
        <v/>
      </c>
      <c r="AN424" s="12" t="str">
        <f t="shared" si="39"/>
        <v/>
      </c>
      <c r="AO424" s="12" t="str">
        <f t="shared" si="40"/>
        <v/>
      </c>
      <c r="AP424" s="12" t="str">
        <f t="shared" si="41"/>
        <v/>
      </c>
      <c r="AQ424" s="1"/>
      <c r="AR424" s="12" t="str">
        <f>IF($B424="","",SUMPRODUCT(MAX(('Rework Log'!$A$3:$A$500=$B424)*ROW('Rework Log'!$A$3:$A$500))))</f>
        <v/>
      </c>
    </row>
    <row r="425" spans="1:44" x14ac:dyDescent="0.25">
      <c r="A425" s="1"/>
      <c r="B425" s="1"/>
      <c r="C425" s="1"/>
      <c r="D425" s="12" t="str">
        <f t="shared" ca="1" si="36"/>
        <v/>
      </c>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2" t="str">
        <f t="shared" si="37"/>
        <v/>
      </c>
      <c r="AI425" s="12" t="str">
        <f>IF($B425="","",COUNTIF('Rework Log'!$A$3:$A$500,$B425))</f>
        <v/>
      </c>
      <c r="AJ425" s="12" t="str">
        <f>IF(OR($B425="",$AR425=0),"",INDEX('Rework Log'!$C:$C,$AR425))</f>
        <v/>
      </c>
      <c r="AK425" s="12" t="str">
        <f>IF(OR($B425="",$AR425=0),"",INDEX('Rework Log'!$H:$H,$AR425))</f>
        <v/>
      </c>
      <c r="AL425" s="12" t="str">
        <f>IF(OR($B425="",$AR425=0),"",INDEX('Rework Log'!$G:$G,$AR425))</f>
        <v/>
      </c>
      <c r="AM425" s="12" t="str">
        <f t="shared" si="38"/>
        <v/>
      </c>
      <c r="AN425" s="12" t="str">
        <f t="shared" si="39"/>
        <v/>
      </c>
      <c r="AO425" s="12" t="str">
        <f t="shared" si="40"/>
        <v/>
      </c>
      <c r="AP425" s="12" t="str">
        <f t="shared" si="41"/>
        <v/>
      </c>
      <c r="AQ425" s="1"/>
      <c r="AR425" s="12" t="str">
        <f>IF($B425="","",SUMPRODUCT(MAX(('Rework Log'!$A$3:$A$500=$B425)*ROW('Rework Log'!$A$3:$A$500))))</f>
        <v/>
      </c>
    </row>
    <row r="426" spans="1:44" x14ac:dyDescent="0.25">
      <c r="A426" s="1"/>
      <c r="B426" s="1"/>
      <c r="C426" s="1"/>
      <c r="D426" s="12" t="str">
        <f t="shared" ca="1" si="36"/>
        <v/>
      </c>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2" t="str">
        <f t="shared" si="37"/>
        <v/>
      </c>
      <c r="AI426" s="12" t="str">
        <f>IF($B426="","",COUNTIF('Rework Log'!$A$3:$A$500,$B426))</f>
        <v/>
      </c>
      <c r="AJ426" s="12" t="str">
        <f>IF(OR($B426="",$AR426=0),"",INDEX('Rework Log'!$C:$C,$AR426))</f>
        <v/>
      </c>
      <c r="AK426" s="12" t="str">
        <f>IF(OR($B426="",$AR426=0),"",INDEX('Rework Log'!$H:$H,$AR426))</f>
        <v/>
      </c>
      <c r="AL426" s="12" t="str">
        <f>IF(OR($B426="",$AR426=0),"",INDEX('Rework Log'!$G:$G,$AR426))</f>
        <v/>
      </c>
      <c r="AM426" s="12" t="str">
        <f t="shared" si="38"/>
        <v/>
      </c>
      <c r="AN426" s="12" t="str">
        <f t="shared" si="39"/>
        <v/>
      </c>
      <c r="AO426" s="12" t="str">
        <f t="shared" si="40"/>
        <v/>
      </c>
      <c r="AP426" s="12" t="str">
        <f t="shared" si="41"/>
        <v/>
      </c>
      <c r="AQ426" s="1"/>
      <c r="AR426" s="12" t="str">
        <f>IF($B426="","",SUMPRODUCT(MAX(('Rework Log'!$A$3:$A$500=$B426)*ROW('Rework Log'!$A$3:$A$500))))</f>
        <v/>
      </c>
    </row>
    <row r="427" spans="1:44" x14ac:dyDescent="0.25">
      <c r="A427" s="1"/>
      <c r="B427" s="1"/>
      <c r="C427" s="1"/>
      <c r="D427" s="12" t="str">
        <f t="shared" ca="1" si="36"/>
        <v/>
      </c>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2" t="str">
        <f t="shared" si="37"/>
        <v/>
      </c>
      <c r="AI427" s="12" t="str">
        <f>IF($B427="","",COUNTIF('Rework Log'!$A$3:$A$500,$B427))</f>
        <v/>
      </c>
      <c r="AJ427" s="12" t="str">
        <f>IF(OR($B427="",$AR427=0),"",INDEX('Rework Log'!$C:$C,$AR427))</f>
        <v/>
      </c>
      <c r="AK427" s="12" t="str">
        <f>IF(OR($B427="",$AR427=0),"",INDEX('Rework Log'!$H:$H,$AR427))</f>
        <v/>
      </c>
      <c r="AL427" s="12" t="str">
        <f>IF(OR($B427="",$AR427=0),"",INDEX('Rework Log'!$G:$G,$AR427))</f>
        <v/>
      </c>
      <c r="AM427" s="12" t="str">
        <f t="shared" si="38"/>
        <v/>
      </c>
      <c r="AN427" s="12" t="str">
        <f t="shared" si="39"/>
        <v/>
      </c>
      <c r="AO427" s="12" t="str">
        <f t="shared" si="40"/>
        <v/>
      </c>
      <c r="AP427" s="12" t="str">
        <f t="shared" si="41"/>
        <v/>
      </c>
      <c r="AQ427" s="1"/>
      <c r="AR427" s="12" t="str">
        <f>IF($B427="","",SUMPRODUCT(MAX(('Rework Log'!$A$3:$A$500=$B427)*ROW('Rework Log'!$A$3:$A$500))))</f>
        <v/>
      </c>
    </row>
    <row r="428" spans="1:44" x14ac:dyDescent="0.25">
      <c r="A428" s="1"/>
      <c r="B428" s="1"/>
      <c r="C428" s="1"/>
      <c r="D428" s="12" t="str">
        <f t="shared" ca="1" si="36"/>
        <v/>
      </c>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2" t="str">
        <f t="shared" si="37"/>
        <v/>
      </c>
      <c r="AI428" s="12" t="str">
        <f>IF($B428="","",COUNTIF('Rework Log'!$A$3:$A$500,$B428))</f>
        <v/>
      </c>
      <c r="AJ428" s="12" t="str">
        <f>IF(OR($B428="",$AR428=0),"",INDEX('Rework Log'!$C:$C,$AR428))</f>
        <v/>
      </c>
      <c r="AK428" s="12" t="str">
        <f>IF(OR($B428="",$AR428=0),"",INDEX('Rework Log'!$H:$H,$AR428))</f>
        <v/>
      </c>
      <c r="AL428" s="12" t="str">
        <f>IF(OR($B428="",$AR428=0),"",INDEX('Rework Log'!$G:$G,$AR428))</f>
        <v/>
      </c>
      <c r="AM428" s="12" t="str">
        <f t="shared" si="38"/>
        <v/>
      </c>
      <c r="AN428" s="12" t="str">
        <f t="shared" si="39"/>
        <v/>
      </c>
      <c r="AO428" s="12" t="str">
        <f t="shared" si="40"/>
        <v/>
      </c>
      <c r="AP428" s="12" t="str">
        <f t="shared" si="41"/>
        <v/>
      </c>
      <c r="AQ428" s="1"/>
      <c r="AR428" s="12" t="str">
        <f>IF($B428="","",SUMPRODUCT(MAX(('Rework Log'!$A$3:$A$500=$B428)*ROW('Rework Log'!$A$3:$A$500))))</f>
        <v/>
      </c>
    </row>
    <row r="429" spans="1:44" x14ac:dyDescent="0.25">
      <c r="A429" s="1"/>
      <c r="B429" s="1"/>
      <c r="C429" s="1"/>
      <c r="D429" s="12" t="str">
        <f t="shared" ca="1" si="36"/>
        <v/>
      </c>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2" t="str">
        <f t="shared" si="37"/>
        <v/>
      </c>
      <c r="AI429" s="12" t="str">
        <f>IF($B429="","",COUNTIF('Rework Log'!$A$3:$A$500,$B429))</f>
        <v/>
      </c>
      <c r="AJ429" s="12" t="str">
        <f>IF(OR($B429="",$AR429=0),"",INDEX('Rework Log'!$C:$C,$AR429))</f>
        <v/>
      </c>
      <c r="AK429" s="12" t="str">
        <f>IF(OR($B429="",$AR429=0),"",INDEX('Rework Log'!$H:$H,$AR429))</f>
        <v/>
      </c>
      <c r="AL429" s="12" t="str">
        <f>IF(OR($B429="",$AR429=0),"",INDEX('Rework Log'!$G:$G,$AR429))</f>
        <v/>
      </c>
      <c r="AM429" s="12" t="str">
        <f t="shared" si="38"/>
        <v/>
      </c>
      <c r="AN429" s="12" t="str">
        <f t="shared" si="39"/>
        <v/>
      </c>
      <c r="AO429" s="12" t="str">
        <f t="shared" si="40"/>
        <v/>
      </c>
      <c r="AP429" s="12" t="str">
        <f t="shared" si="41"/>
        <v/>
      </c>
      <c r="AQ429" s="1"/>
      <c r="AR429" s="12" t="str">
        <f>IF($B429="","",SUMPRODUCT(MAX(('Rework Log'!$A$3:$A$500=$B429)*ROW('Rework Log'!$A$3:$A$500))))</f>
        <v/>
      </c>
    </row>
    <row r="430" spans="1:44" x14ac:dyDescent="0.25">
      <c r="A430" s="1"/>
      <c r="B430" s="1"/>
      <c r="C430" s="1"/>
      <c r="D430" s="12" t="str">
        <f t="shared" ca="1" si="36"/>
        <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2" t="str">
        <f t="shared" si="37"/>
        <v/>
      </c>
      <c r="AI430" s="12" t="str">
        <f>IF($B430="","",COUNTIF('Rework Log'!$A$3:$A$500,$B430))</f>
        <v/>
      </c>
      <c r="AJ430" s="12" t="str">
        <f>IF(OR($B430="",$AR430=0),"",INDEX('Rework Log'!$C:$C,$AR430))</f>
        <v/>
      </c>
      <c r="AK430" s="12" t="str">
        <f>IF(OR($B430="",$AR430=0),"",INDEX('Rework Log'!$H:$H,$AR430))</f>
        <v/>
      </c>
      <c r="AL430" s="12" t="str">
        <f>IF(OR($B430="",$AR430=0),"",INDEX('Rework Log'!$G:$G,$AR430))</f>
        <v/>
      </c>
      <c r="AM430" s="12" t="str">
        <f t="shared" si="38"/>
        <v/>
      </c>
      <c r="AN430" s="12" t="str">
        <f t="shared" si="39"/>
        <v/>
      </c>
      <c r="AO430" s="12" t="str">
        <f t="shared" si="40"/>
        <v/>
      </c>
      <c r="AP430" s="12" t="str">
        <f t="shared" si="41"/>
        <v/>
      </c>
      <c r="AQ430" s="1"/>
      <c r="AR430" s="12" t="str">
        <f>IF($B430="","",SUMPRODUCT(MAX(('Rework Log'!$A$3:$A$500=$B430)*ROW('Rework Log'!$A$3:$A$500))))</f>
        <v/>
      </c>
    </row>
    <row r="431" spans="1:44" x14ac:dyDescent="0.25">
      <c r="A431" s="1"/>
      <c r="B431" s="1"/>
      <c r="C431" s="1"/>
      <c r="D431" s="12" t="str">
        <f t="shared" ca="1" si="36"/>
        <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2" t="str">
        <f t="shared" si="37"/>
        <v/>
      </c>
      <c r="AI431" s="12" t="str">
        <f>IF($B431="","",COUNTIF('Rework Log'!$A$3:$A$500,$B431))</f>
        <v/>
      </c>
      <c r="AJ431" s="12" t="str">
        <f>IF(OR($B431="",$AR431=0),"",INDEX('Rework Log'!$C:$C,$AR431))</f>
        <v/>
      </c>
      <c r="AK431" s="12" t="str">
        <f>IF(OR($B431="",$AR431=0),"",INDEX('Rework Log'!$H:$H,$AR431))</f>
        <v/>
      </c>
      <c r="AL431" s="12" t="str">
        <f>IF(OR($B431="",$AR431=0),"",INDEX('Rework Log'!$G:$G,$AR431))</f>
        <v/>
      </c>
      <c r="AM431" s="12" t="str">
        <f t="shared" si="38"/>
        <v/>
      </c>
      <c r="AN431" s="12" t="str">
        <f t="shared" si="39"/>
        <v/>
      </c>
      <c r="AO431" s="12" t="str">
        <f t="shared" si="40"/>
        <v/>
      </c>
      <c r="AP431" s="12" t="str">
        <f t="shared" si="41"/>
        <v/>
      </c>
      <c r="AQ431" s="1"/>
      <c r="AR431" s="12" t="str">
        <f>IF($B431="","",SUMPRODUCT(MAX(('Rework Log'!$A$3:$A$500=$B431)*ROW('Rework Log'!$A$3:$A$500))))</f>
        <v/>
      </c>
    </row>
    <row r="432" spans="1:44" x14ac:dyDescent="0.25">
      <c r="A432" s="1"/>
      <c r="B432" s="1"/>
      <c r="C432" s="1"/>
      <c r="D432" s="12" t="str">
        <f t="shared" ca="1" si="36"/>
        <v/>
      </c>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2" t="str">
        <f t="shared" si="37"/>
        <v/>
      </c>
      <c r="AI432" s="12" t="str">
        <f>IF($B432="","",COUNTIF('Rework Log'!$A$3:$A$500,$B432))</f>
        <v/>
      </c>
      <c r="AJ432" s="12" t="str">
        <f>IF(OR($B432="",$AR432=0),"",INDEX('Rework Log'!$C:$C,$AR432))</f>
        <v/>
      </c>
      <c r="AK432" s="12" t="str">
        <f>IF(OR($B432="",$AR432=0),"",INDEX('Rework Log'!$H:$H,$AR432))</f>
        <v/>
      </c>
      <c r="AL432" s="12" t="str">
        <f>IF(OR($B432="",$AR432=0),"",INDEX('Rework Log'!$G:$G,$AR432))</f>
        <v/>
      </c>
      <c r="AM432" s="12" t="str">
        <f t="shared" si="38"/>
        <v/>
      </c>
      <c r="AN432" s="12" t="str">
        <f t="shared" si="39"/>
        <v/>
      </c>
      <c r="AO432" s="12" t="str">
        <f t="shared" si="40"/>
        <v/>
      </c>
      <c r="AP432" s="12" t="str">
        <f t="shared" si="41"/>
        <v/>
      </c>
      <c r="AQ432" s="1"/>
      <c r="AR432" s="12" t="str">
        <f>IF($B432="","",SUMPRODUCT(MAX(('Rework Log'!$A$3:$A$500=$B432)*ROW('Rework Log'!$A$3:$A$500))))</f>
        <v/>
      </c>
    </row>
    <row r="433" spans="1:44" x14ac:dyDescent="0.25">
      <c r="A433" s="1"/>
      <c r="B433" s="1"/>
      <c r="C433" s="1"/>
      <c r="D433" s="12" t="str">
        <f t="shared" ca="1" si="36"/>
        <v/>
      </c>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2" t="str">
        <f t="shared" si="37"/>
        <v/>
      </c>
      <c r="AI433" s="12" t="str">
        <f>IF($B433="","",COUNTIF('Rework Log'!$A$3:$A$500,$B433))</f>
        <v/>
      </c>
      <c r="AJ433" s="12" t="str">
        <f>IF(OR($B433="",$AR433=0),"",INDEX('Rework Log'!$C:$C,$AR433))</f>
        <v/>
      </c>
      <c r="AK433" s="12" t="str">
        <f>IF(OR($B433="",$AR433=0),"",INDEX('Rework Log'!$H:$H,$AR433))</f>
        <v/>
      </c>
      <c r="AL433" s="12" t="str">
        <f>IF(OR($B433="",$AR433=0),"",INDEX('Rework Log'!$G:$G,$AR433))</f>
        <v/>
      </c>
      <c r="AM433" s="12" t="str">
        <f t="shared" si="38"/>
        <v/>
      </c>
      <c r="AN433" s="12" t="str">
        <f t="shared" si="39"/>
        <v/>
      </c>
      <c r="AO433" s="12" t="str">
        <f t="shared" si="40"/>
        <v/>
      </c>
      <c r="AP433" s="12" t="str">
        <f t="shared" si="41"/>
        <v/>
      </c>
      <c r="AQ433" s="1"/>
      <c r="AR433" s="12" t="str">
        <f>IF($B433="","",SUMPRODUCT(MAX(('Rework Log'!$A$3:$A$500=$B433)*ROW('Rework Log'!$A$3:$A$500))))</f>
        <v/>
      </c>
    </row>
    <row r="434" spans="1:44" x14ac:dyDescent="0.25">
      <c r="A434" s="1"/>
      <c r="B434" s="1"/>
      <c r="C434" s="1"/>
      <c r="D434" s="12" t="str">
        <f t="shared" ca="1" si="36"/>
        <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2" t="str">
        <f t="shared" si="37"/>
        <v/>
      </c>
      <c r="AI434" s="12" t="str">
        <f>IF($B434="","",COUNTIF('Rework Log'!$A$3:$A$500,$B434))</f>
        <v/>
      </c>
      <c r="AJ434" s="12" t="str">
        <f>IF(OR($B434="",$AR434=0),"",INDEX('Rework Log'!$C:$C,$AR434))</f>
        <v/>
      </c>
      <c r="AK434" s="12" t="str">
        <f>IF(OR($B434="",$AR434=0),"",INDEX('Rework Log'!$H:$H,$AR434))</f>
        <v/>
      </c>
      <c r="AL434" s="12" t="str">
        <f>IF(OR($B434="",$AR434=0),"",INDEX('Rework Log'!$G:$G,$AR434))</f>
        <v/>
      </c>
      <c r="AM434" s="12" t="str">
        <f t="shared" si="38"/>
        <v/>
      </c>
      <c r="AN434" s="12" t="str">
        <f t="shared" si="39"/>
        <v/>
      </c>
      <c r="AO434" s="12" t="str">
        <f t="shared" si="40"/>
        <v/>
      </c>
      <c r="AP434" s="12" t="str">
        <f t="shared" si="41"/>
        <v/>
      </c>
      <c r="AQ434" s="1"/>
      <c r="AR434" s="12" t="str">
        <f>IF($B434="","",SUMPRODUCT(MAX(('Rework Log'!$A$3:$A$500=$B434)*ROW('Rework Log'!$A$3:$A$500))))</f>
        <v/>
      </c>
    </row>
    <row r="435" spans="1:44" x14ac:dyDescent="0.25">
      <c r="A435" s="1"/>
      <c r="B435" s="1"/>
      <c r="C435" s="1"/>
      <c r="D435" s="12" t="str">
        <f t="shared" ca="1" si="36"/>
        <v/>
      </c>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2" t="str">
        <f t="shared" si="37"/>
        <v/>
      </c>
      <c r="AI435" s="12" t="str">
        <f>IF($B435="","",COUNTIF('Rework Log'!$A$3:$A$500,$B435))</f>
        <v/>
      </c>
      <c r="AJ435" s="12" t="str">
        <f>IF(OR($B435="",$AR435=0),"",INDEX('Rework Log'!$C:$C,$AR435))</f>
        <v/>
      </c>
      <c r="AK435" s="12" t="str">
        <f>IF(OR($B435="",$AR435=0),"",INDEX('Rework Log'!$H:$H,$AR435))</f>
        <v/>
      </c>
      <c r="AL435" s="12" t="str">
        <f>IF(OR($B435="",$AR435=0),"",INDEX('Rework Log'!$G:$G,$AR435))</f>
        <v/>
      </c>
      <c r="AM435" s="12" t="str">
        <f t="shared" si="38"/>
        <v/>
      </c>
      <c r="AN435" s="12" t="str">
        <f t="shared" si="39"/>
        <v/>
      </c>
      <c r="AO435" s="12" t="str">
        <f t="shared" si="40"/>
        <v/>
      </c>
      <c r="AP435" s="12" t="str">
        <f t="shared" si="41"/>
        <v/>
      </c>
      <c r="AQ435" s="1"/>
      <c r="AR435" s="12" t="str">
        <f>IF($B435="","",SUMPRODUCT(MAX(('Rework Log'!$A$3:$A$500=$B435)*ROW('Rework Log'!$A$3:$A$500))))</f>
        <v/>
      </c>
    </row>
    <row r="436" spans="1:44" x14ac:dyDescent="0.25">
      <c r="A436" s="1"/>
      <c r="B436" s="1"/>
      <c r="C436" s="1"/>
      <c r="D436" s="12" t="str">
        <f t="shared" ca="1" si="36"/>
        <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2" t="str">
        <f t="shared" si="37"/>
        <v/>
      </c>
      <c r="AI436" s="12" t="str">
        <f>IF($B436="","",COUNTIF('Rework Log'!$A$3:$A$500,$B436))</f>
        <v/>
      </c>
      <c r="AJ436" s="12" t="str">
        <f>IF(OR($B436="",$AR436=0),"",INDEX('Rework Log'!$C:$C,$AR436))</f>
        <v/>
      </c>
      <c r="AK436" s="12" t="str">
        <f>IF(OR($B436="",$AR436=0),"",INDEX('Rework Log'!$H:$H,$AR436))</f>
        <v/>
      </c>
      <c r="AL436" s="12" t="str">
        <f>IF(OR($B436="",$AR436=0),"",INDEX('Rework Log'!$G:$G,$AR436))</f>
        <v/>
      </c>
      <c r="AM436" s="12" t="str">
        <f t="shared" si="38"/>
        <v/>
      </c>
      <c r="AN436" s="12" t="str">
        <f t="shared" si="39"/>
        <v/>
      </c>
      <c r="AO436" s="12" t="str">
        <f t="shared" si="40"/>
        <v/>
      </c>
      <c r="AP436" s="12" t="str">
        <f t="shared" si="41"/>
        <v/>
      </c>
      <c r="AQ436" s="1"/>
      <c r="AR436" s="12" t="str">
        <f>IF($B436="","",SUMPRODUCT(MAX(('Rework Log'!$A$3:$A$500=$B436)*ROW('Rework Log'!$A$3:$A$500))))</f>
        <v/>
      </c>
    </row>
    <row r="437" spans="1:44" x14ac:dyDescent="0.25">
      <c r="A437" s="1"/>
      <c r="B437" s="1"/>
      <c r="C437" s="1"/>
      <c r="D437" s="12" t="str">
        <f t="shared" ca="1" si="36"/>
        <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2" t="str">
        <f t="shared" si="37"/>
        <v/>
      </c>
      <c r="AI437" s="12" t="str">
        <f>IF($B437="","",COUNTIF('Rework Log'!$A$3:$A$500,$B437))</f>
        <v/>
      </c>
      <c r="AJ437" s="12" t="str">
        <f>IF(OR($B437="",$AR437=0),"",INDEX('Rework Log'!$C:$C,$AR437))</f>
        <v/>
      </c>
      <c r="AK437" s="12" t="str">
        <f>IF(OR($B437="",$AR437=0),"",INDEX('Rework Log'!$H:$H,$AR437))</f>
        <v/>
      </c>
      <c r="AL437" s="12" t="str">
        <f>IF(OR($B437="",$AR437=0),"",INDEX('Rework Log'!$G:$G,$AR437))</f>
        <v/>
      </c>
      <c r="AM437" s="12" t="str">
        <f t="shared" si="38"/>
        <v/>
      </c>
      <c r="AN437" s="12" t="str">
        <f t="shared" si="39"/>
        <v/>
      </c>
      <c r="AO437" s="12" t="str">
        <f t="shared" si="40"/>
        <v/>
      </c>
      <c r="AP437" s="12" t="str">
        <f t="shared" si="41"/>
        <v/>
      </c>
      <c r="AQ437" s="1"/>
      <c r="AR437" s="12" t="str">
        <f>IF($B437="","",SUMPRODUCT(MAX(('Rework Log'!$A$3:$A$500=$B437)*ROW('Rework Log'!$A$3:$A$500))))</f>
        <v/>
      </c>
    </row>
    <row r="438" spans="1:44" x14ac:dyDescent="0.25">
      <c r="A438" s="1"/>
      <c r="B438" s="1"/>
      <c r="C438" s="1"/>
      <c r="D438" s="12" t="str">
        <f t="shared" ca="1" si="36"/>
        <v/>
      </c>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2" t="str">
        <f t="shared" si="37"/>
        <v/>
      </c>
      <c r="AI438" s="12" t="str">
        <f>IF($B438="","",COUNTIF('Rework Log'!$A$3:$A$500,$B438))</f>
        <v/>
      </c>
      <c r="AJ438" s="12" t="str">
        <f>IF(OR($B438="",$AR438=0),"",INDEX('Rework Log'!$C:$C,$AR438))</f>
        <v/>
      </c>
      <c r="AK438" s="12" t="str">
        <f>IF(OR($B438="",$AR438=0),"",INDEX('Rework Log'!$H:$H,$AR438))</f>
        <v/>
      </c>
      <c r="AL438" s="12" t="str">
        <f>IF(OR($B438="",$AR438=0),"",INDEX('Rework Log'!$G:$G,$AR438))</f>
        <v/>
      </c>
      <c r="AM438" s="12" t="str">
        <f t="shared" si="38"/>
        <v/>
      </c>
      <c r="AN438" s="12" t="str">
        <f t="shared" si="39"/>
        <v/>
      </c>
      <c r="AO438" s="12" t="str">
        <f t="shared" si="40"/>
        <v/>
      </c>
      <c r="AP438" s="12" t="str">
        <f t="shared" si="41"/>
        <v/>
      </c>
      <c r="AQ438" s="1"/>
      <c r="AR438" s="12" t="str">
        <f>IF($B438="","",SUMPRODUCT(MAX(('Rework Log'!$A$3:$A$500=$B438)*ROW('Rework Log'!$A$3:$A$500))))</f>
        <v/>
      </c>
    </row>
    <row r="439" spans="1:44" x14ac:dyDescent="0.25">
      <c r="A439" s="1"/>
      <c r="B439" s="1"/>
      <c r="C439" s="1"/>
      <c r="D439" s="12" t="str">
        <f t="shared" ca="1" si="36"/>
        <v/>
      </c>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2" t="str">
        <f t="shared" si="37"/>
        <v/>
      </c>
      <c r="AI439" s="12" t="str">
        <f>IF($B439="","",COUNTIF('Rework Log'!$A$3:$A$500,$B439))</f>
        <v/>
      </c>
      <c r="AJ439" s="12" t="str">
        <f>IF(OR($B439="",$AR439=0),"",INDEX('Rework Log'!$C:$C,$AR439))</f>
        <v/>
      </c>
      <c r="AK439" s="12" t="str">
        <f>IF(OR($B439="",$AR439=0),"",INDEX('Rework Log'!$H:$H,$AR439))</f>
        <v/>
      </c>
      <c r="AL439" s="12" t="str">
        <f>IF(OR($B439="",$AR439=0),"",INDEX('Rework Log'!$G:$G,$AR439))</f>
        <v/>
      </c>
      <c r="AM439" s="12" t="str">
        <f t="shared" si="38"/>
        <v/>
      </c>
      <c r="AN439" s="12" t="str">
        <f t="shared" si="39"/>
        <v/>
      </c>
      <c r="AO439" s="12" t="str">
        <f t="shared" si="40"/>
        <v/>
      </c>
      <c r="AP439" s="12" t="str">
        <f t="shared" si="41"/>
        <v/>
      </c>
      <c r="AQ439" s="1"/>
      <c r="AR439" s="12" t="str">
        <f>IF($B439="","",SUMPRODUCT(MAX(('Rework Log'!$A$3:$A$500=$B439)*ROW('Rework Log'!$A$3:$A$500))))</f>
        <v/>
      </c>
    </row>
    <row r="440" spans="1:44" x14ac:dyDescent="0.25">
      <c r="A440" s="1"/>
      <c r="B440" s="1"/>
      <c r="C440" s="1"/>
      <c r="D440" s="12" t="str">
        <f t="shared" ca="1" si="36"/>
        <v/>
      </c>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2" t="str">
        <f t="shared" si="37"/>
        <v/>
      </c>
      <c r="AI440" s="12" t="str">
        <f>IF($B440="","",COUNTIF('Rework Log'!$A$3:$A$500,$B440))</f>
        <v/>
      </c>
      <c r="AJ440" s="12" t="str">
        <f>IF(OR($B440="",$AR440=0),"",INDEX('Rework Log'!$C:$C,$AR440))</f>
        <v/>
      </c>
      <c r="AK440" s="12" t="str">
        <f>IF(OR($B440="",$AR440=0),"",INDEX('Rework Log'!$H:$H,$AR440))</f>
        <v/>
      </c>
      <c r="AL440" s="12" t="str">
        <f>IF(OR($B440="",$AR440=0),"",INDEX('Rework Log'!$G:$G,$AR440))</f>
        <v/>
      </c>
      <c r="AM440" s="12" t="str">
        <f t="shared" si="38"/>
        <v/>
      </c>
      <c r="AN440" s="12" t="str">
        <f t="shared" si="39"/>
        <v/>
      </c>
      <c r="AO440" s="12" t="str">
        <f t="shared" si="40"/>
        <v/>
      </c>
      <c r="AP440" s="12" t="str">
        <f t="shared" si="41"/>
        <v/>
      </c>
      <c r="AQ440" s="1"/>
      <c r="AR440" s="12" t="str">
        <f>IF($B440="","",SUMPRODUCT(MAX(('Rework Log'!$A$3:$A$500=$B440)*ROW('Rework Log'!$A$3:$A$500))))</f>
        <v/>
      </c>
    </row>
    <row r="441" spans="1:44" x14ac:dyDescent="0.25">
      <c r="A441" s="1"/>
      <c r="B441" s="1"/>
      <c r="C441" s="1"/>
      <c r="D441" s="12" t="str">
        <f t="shared" ca="1" si="36"/>
        <v/>
      </c>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2" t="str">
        <f t="shared" si="37"/>
        <v/>
      </c>
      <c r="AI441" s="12" t="str">
        <f>IF($B441="","",COUNTIF('Rework Log'!$A$3:$A$500,$B441))</f>
        <v/>
      </c>
      <c r="AJ441" s="12" t="str">
        <f>IF(OR($B441="",$AR441=0),"",INDEX('Rework Log'!$C:$C,$AR441))</f>
        <v/>
      </c>
      <c r="AK441" s="12" t="str">
        <f>IF(OR($B441="",$AR441=0),"",INDEX('Rework Log'!$H:$H,$AR441))</f>
        <v/>
      </c>
      <c r="AL441" s="12" t="str">
        <f>IF(OR($B441="",$AR441=0),"",INDEX('Rework Log'!$G:$G,$AR441))</f>
        <v/>
      </c>
      <c r="AM441" s="12" t="str">
        <f t="shared" si="38"/>
        <v/>
      </c>
      <c r="AN441" s="12" t="str">
        <f t="shared" si="39"/>
        <v/>
      </c>
      <c r="AO441" s="12" t="str">
        <f t="shared" si="40"/>
        <v/>
      </c>
      <c r="AP441" s="12" t="str">
        <f t="shared" si="41"/>
        <v/>
      </c>
      <c r="AQ441" s="1"/>
      <c r="AR441" s="12" t="str">
        <f>IF($B441="","",SUMPRODUCT(MAX(('Rework Log'!$A$3:$A$500=$B441)*ROW('Rework Log'!$A$3:$A$500))))</f>
        <v/>
      </c>
    </row>
    <row r="442" spans="1:44" x14ac:dyDescent="0.25">
      <c r="A442" s="1"/>
      <c r="B442" s="1"/>
      <c r="C442" s="1"/>
      <c r="D442" s="12" t="str">
        <f t="shared" ca="1" si="36"/>
        <v/>
      </c>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2" t="str">
        <f t="shared" si="37"/>
        <v/>
      </c>
      <c r="AI442" s="12" t="str">
        <f>IF($B442="","",COUNTIF('Rework Log'!$A$3:$A$500,$B442))</f>
        <v/>
      </c>
      <c r="AJ442" s="12" t="str">
        <f>IF(OR($B442="",$AR442=0),"",INDEX('Rework Log'!$C:$C,$AR442))</f>
        <v/>
      </c>
      <c r="AK442" s="12" t="str">
        <f>IF(OR($B442="",$AR442=0),"",INDEX('Rework Log'!$H:$H,$AR442))</f>
        <v/>
      </c>
      <c r="AL442" s="12" t="str">
        <f>IF(OR($B442="",$AR442=0),"",INDEX('Rework Log'!$G:$G,$AR442))</f>
        <v/>
      </c>
      <c r="AM442" s="12" t="str">
        <f t="shared" si="38"/>
        <v/>
      </c>
      <c r="AN442" s="12" t="str">
        <f t="shared" si="39"/>
        <v/>
      </c>
      <c r="AO442" s="12" t="str">
        <f t="shared" si="40"/>
        <v/>
      </c>
      <c r="AP442" s="12" t="str">
        <f t="shared" si="41"/>
        <v/>
      </c>
      <c r="AQ442" s="1"/>
      <c r="AR442" s="12" t="str">
        <f>IF($B442="","",SUMPRODUCT(MAX(('Rework Log'!$A$3:$A$500=$B442)*ROW('Rework Log'!$A$3:$A$500))))</f>
        <v/>
      </c>
    </row>
    <row r="443" spans="1:44" x14ac:dyDescent="0.25">
      <c r="A443" s="1"/>
      <c r="B443" s="1"/>
      <c r="C443" s="1"/>
      <c r="D443" s="12" t="str">
        <f t="shared" ca="1" si="36"/>
        <v/>
      </c>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2" t="str">
        <f t="shared" si="37"/>
        <v/>
      </c>
      <c r="AI443" s="12" t="str">
        <f>IF($B443="","",COUNTIF('Rework Log'!$A$3:$A$500,$B443))</f>
        <v/>
      </c>
      <c r="AJ443" s="12" t="str">
        <f>IF(OR($B443="",$AR443=0),"",INDEX('Rework Log'!$C:$C,$AR443))</f>
        <v/>
      </c>
      <c r="AK443" s="12" t="str">
        <f>IF(OR($B443="",$AR443=0),"",INDEX('Rework Log'!$H:$H,$AR443))</f>
        <v/>
      </c>
      <c r="AL443" s="12" t="str">
        <f>IF(OR($B443="",$AR443=0),"",INDEX('Rework Log'!$G:$G,$AR443))</f>
        <v/>
      </c>
      <c r="AM443" s="12" t="str">
        <f t="shared" si="38"/>
        <v/>
      </c>
      <c r="AN443" s="12" t="str">
        <f t="shared" si="39"/>
        <v/>
      </c>
      <c r="AO443" s="12" t="str">
        <f t="shared" si="40"/>
        <v/>
      </c>
      <c r="AP443" s="12" t="str">
        <f t="shared" si="41"/>
        <v/>
      </c>
      <c r="AQ443" s="1"/>
      <c r="AR443" s="12" t="str">
        <f>IF($B443="","",SUMPRODUCT(MAX(('Rework Log'!$A$3:$A$500=$B443)*ROW('Rework Log'!$A$3:$A$500))))</f>
        <v/>
      </c>
    </row>
    <row r="444" spans="1:44" x14ac:dyDescent="0.25">
      <c r="A444" s="1"/>
      <c r="B444" s="1"/>
      <c r="C444" s="1"/>
      <c r="D444" s="12" t="str">
        <f t="shared" ca="1" si="36"/>
        <v/>
      </c>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2" t="str">
        <f t="shared" si="37"/>
        <v/>
      </c>
      <c r="AI444" s="12" t="str">
        <f>IF($B444="","",COUNTIF('Rework Log'!$A$3:$A$500,$B444))</f>
        <v/>
      </c>
      <c r="AJ444" s="12" t="str">
        <f>IF(OR($B444="",$AR444=0),"",INDEX('Rework Log'!$C:$C,$AR444))</f>
        <v/>
      </c>
      <c r="AK444" s="12" t="str">
        <f>IF(OR($B444="",$AR444=0),"",INDEX('Rework Log'!$H:$H,$AR444))</f>
        <v/>
      </c>
      <c r="AL444" s="12" t="str">
        <f>IF(OR($B444="",$AR444=0),"",INDEX('Rework Log'!$G:$G,$AR444))</f>
        <v/>
      </c>
      <c r="AM444" s="12" t="str">
        <f t="shared" si="38"/>
        <v/>
      </c>
      <c r="AN444" s="12" t="str">
        <f t="shared" si="39"/>
        <v/>
      </c>
      <c r="AO444" s="12" t="str">
        <f t="shared" si="40"/>
        <v/>
      </c>
      <c r="AP444" s="12" t="str">
        <f t="shared" si="41"/>
        <v/>
      </c>
      <c r="AQ444" s="1"/>
      <c r="AR444" s="12" t="str">
        <f>IF($B444="","",SUMPRODUCT(MAX(('Rework Log'!$A$3:$A$500=$B444)*ROW('Rework Log'!$A$3:$A$500))))</f>
        <v/>
      </c>
    </row>
    <row r="445" spans="1:44" x14ac:dyDescent="0.25">
      <c r="A445" s="1"/>
      <c r="B445" s="1"/>
      <c r="C445" s="1"/>
      <c r="D445" s="12" t="str">
        <f t="shared" ca="1" si="36"/>
        <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2" t="str">
        <f t="shared" si="37"/>
        <v/>
      </c>
      <c r="AI445" s="12" t="str">
        <f>IF($B445="","",COUNTIF('Rework Log'!$A$3:$A$500,$B445))</f>
        <v/>
      </c>
      <c r="AJ445" s="12" t="str">
        <f>IF(OR($B445="",$AR445=0),"",INDEX('Rework Log'!$C:$C,$AR445))</f>
        <v/>
      </c>
      <c r="AK445" s="12" t="str">
        <f>IF(OR($B445="",$AR445=0),"",INDEX('Rework Log'!$H:$H,$AR445))</f>
        <v/>
      </c>
      <c r="AL445" s="12" t="str">
        <f>IF(OR($B445="",$AR445=0),"",INDEX('Rework Log'!$G:$G,$AR445))</f>
        <v/>
      </c>
      <c r="AM445" s="12" t="str">
        <f t="shared" si="38"/>
        <v/>
      </c>
      <c r="AN445" s="12" t="str">
        <f t="shared" si="39"/>
        <v/>
      </c>
      <c r="AO445" s="12" t="str">
        <f t="shared" si="40"/>
        <v/>
      </c>
      <c r="AP445" s="12" t="str">
        <f t="shared" si="41"/>
        <v/>
      </c>
      <c r="AQ445" s="1"/>
      <c r="AR445" s="12" t="str">
        <f>IF($B445="","",SUMPRODUCT(MAX(('Rework Log'!$A$3:$A$500=$B445)*ROW('Rework Log'!$A$3:$A$500))))</f>
        <v/>
      </c>
    </row>
    <row r="446" spans="1:44" x14ac:dyDescent="0.25">
      <c r="A446" s="1"/>
      <c r="B446" s="1"/>
      <c r="C446" s="1"/>
      <c r="D446" s="12" t="str">
        <f t="shared" ca="1" si="36"/>
        <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2" t="str">
        <f t="shared" si="37"/>
        <v/>
      </c>
      <c r="AI446" s="12" t="str">
        <f>IF($B446="","",COUNTIF('Rework Log'!$A$3:$A$500,$B446))</f>
        <v/>
      </c>
      <c r="AJ446" s="12" t="str">
        <f>IF(OR($B446="",$AR446=0),"",INDEX('Rework Log'!$C:$C,$AR446))</f>
        <v/>
      </c>
      <c r="AK446" s="12" t="str">
        <f>IF(OR($B446="",$AR446=0),"",INDEX('Rework Log'!$H:$H,$AR446))</f>
        <v/>
      </c>
      <c r="AL446" s="12" t="str">
        <f>IF(OR($B446="",$AR446=0),"",INDEX('Rework Log'!$G:$G,$AR446))</f>
        <v/>
      </c>
      <c r="AM446" s="12" t="str">
        <f t="shared" si="38"/>
        <v/>
      </c>
      <c r="AN446" s="12" t="str">
        <f t="shared" si="39"/>
        <v/>
      </c>
      <c r="AO446" s="12" t="str">
        <f t="shared" si="40"/>
        <v/>
      </c>
      <c r="AP446" s="12" t="str">
        <f t="shared" si="41"/>
        <v/>
      </c>
      <c r="AQ446" s="1"/>
      <c r="AR446" s="12" t="str">
        <f>IF($B446="","",SUMPRODUCT(MAX(('Rework Log'!$A$3:$A$500=$B446)*ROW('Rework Log'!$A$3:$A$500))))</f>
        <v/>
      </c>
    </row>
    <row r="447" spans="1:44" x14ac:dyDescent="0.25">
      <c r="A447" s="1"/>
      <c r="B447" s="1"/>
      <c r="C447" s="1"/>
      <c r="D447" s="12" t="str">
        <f t="shared" ca="1" si="36"/>
        <v/>
      </c>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2" t="str">
        <f t="shared" si="37"/>
        <v/>
      </c>
      <c r="AI447" s="12" t="str">
        <f>IF($B447="","",COUNTIF('Rework Log'!$A$3:$A$500,$B447))</f>
        <v/>
      </c>
      <c r="AJ447" s="12" t="str">
        <f>IF(OR($B447="",$AR447=0),"",INDEX('Rework Log'!$C:$C,$AR447))</f>
        <v/>
      </c>
      <c r="AK447" s="12" t="str">
        <f>IF(OR($B447="",$AR447=0),"",INDEX('Rework Log'!$H:$H,$AR447))</f>
        <v/>
      </c>
      <c r="AL447" s="12" t="str">
        <f>IF(OR($B447="",$AR447=0),"",INDEX('Rework Log'!$G:$G,$AR447))</f>
        <v/>
      </c>
      <c r="AM447" s="12" t="str">
        <f t="shared" si="38"/>
        <v/>
      </c>
      <c r="AN447" s="12" t="str">
        <f t="shared" si="39"/>
        <v/>
      </c>
      <c r="AO447" s="12" t="str">
        <f t="shared" si="40"/>
        <v/>
      </c>
      <c r="AP447" s="12" t="str">
        <f t="shared" si="41"/>
        <v/>
      </c>
      <c r="AQ447" s="1"/>
      <c r="AR447" s="12" t="str">
        <f>IF($B447="","",SUMPRODUCT(MAX(('Rework Log'!$A$3:$A$500=$B447)*ROW('Rework Log'!$A$3:$A$500))))</f>
        <v/>
      </c>
    </row>
    <row r="448" spans="1:44" x14ac:dyDescent="0.25">
      <c r="A448" s="1"/>
      <c r="B448" s="1"/>
      <c r="C448" s="1"/>
      <c r="D448" s="12" t="str">
        <f t="shared" ca="1" si="36"/>
        <v/>
      </c>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2" t="str">
        <f t="shared" si="37"/>
        <v/>
      </c>
      <c r="AI448" s="12" t="str">
        <f>IF($B448="","",COUNTIF('Rework Log'!$A$3:$A$500,$B448))</f>
        <v/>
      </c>
      <c r="AJ448" s="12" t="str">
        <f>IF(OR($B448="",$AR448=0),"",INDEX('Rework Log'!$C:$C,$AR448))</f>
        <v/>
      </c>
      <c r="AK448" s="12" t="str">
        <f>IF(OR($B448="",$AR448=0),"",INDEX('Rework Log'!$H:$H,$AR448))</f>
        <v/>
      </c>
      <c r="AL448" s="12" t="str">
        <f>IF(OR($B448="",$AR448=0),"",INDEX('Rework Log'!$G:$G,$AR448))</f>
        <v/>
      </c>
      <c r="AM448" s="12" t="str">
        <f t="shared" si="38"/>
        <v/>
      </c>
      <c r="AN448" s="12" t="str">
        <f t="shared" si="39"/>
        <v/>
      </c>
      <c r="AO448" s="12" t="str">
        <f t="shared" si="40"/>
        <v/>
      </c>
      <c r="AP448" s="12" t="str">
        <f t="shared" si="41"/>
        <v/>
      </c>
      <c r="AQ448" s="1"/>
      <c r="AR448" s="12" t="str">
        <f>IF($B448="","",SUMPRODUCT(MAX(('Rework Log'!$A$3:$A$500=$B448)*ROW('Rework Log'!$A$3:$A$500))))</f>
        <v/>
      </c>
    </row>
    <row r="449" spans="1:44" x14ac:dyDescent="0.25">
      <c r="A449" s="1"/>
      <c r="B449" s="1"/>
      <c r="C449" s="1"/>
      <c r="D449" s="12" t="str">
        <f t="shared" ca="1" si="36"/>
        <v/>
      </c>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2" t="str">
        <f t="shared" si="37"/>
        <v/>
      </c>
      <c r="AI449" s="12" t="str">
        <f>IF($B449="","",COUNTIF('Rework Log'!$A$3:$A$500,$B449))</f>
        <v/>
      </c>
      <c r="AJ449" s="12" t="str">
        <f>IF(OR($B449="",$AR449=0),"",INDEX('Rework Log'!$C:$C,$AR449))</f>
        <v/>
      </c>
      <c r="AK449" s="12" t="str">
        <f>IF(OR($B449="",$AR449=0),"",INDEX('Rework Log'!$H:$H,$AR449))</f>
        <v/>
      </c>
      <c r="AL449" s="12" t="str">
        <f>IF(OR($B449="",$AR449=0),"",INDEX('Rework Log'!$G:$G,$AR449))</f>
        <v/>
      </c>
      <c r="AM449" s="12" t="str">
        <f t="shared" si="38"/>
        <v/>
      </c>
      <c r="AN449" s="12" t="str">
        <f t="shared" si="39"/>
        <v/>
      </c>
      <c r="AO449" s="12" t="str">
        <f t="shared" si="40"/>
        <v/>
      </c>
      <c r="AP449" s="12" t="str">
        <f t="shared" si="41"/>
        <v/>
      </c>
      <c r="AQ449" s="1"/>
      <c r="AR449" s="12" t="str">
        <f>IF($B449="","",SUMPRODUCT(MAX(('Rework Log'!$A$3:$A$500=$B449)*ROW('Rework Log'!$A$3:$A$500))))</f>
        <v/>
      </c>
    </row>
    <row r="450" spans="1:44" x14ac:dyDescent="0.25">
      <c r="A450" s="1"/>
      <c r="B450" s="1"/>
      <c r="C450" s="1"/>
      <c r="D450" s="12" t="str">
        <f t="shared" ref="D450:D513" ca="1" si="42">IF($B450="","",IF(C450="NOT STARTED",IF(K450="","No plan date set",IF(K450&lt;TODAY(),"Review - planned start passed","On track")),IF(C450="DB Dev",IF(N450="","No target set",IF(AND(N450&lt;TODAY(),P450=""),"Overdue","On track")),IF(C450="PBI Dev",IF(R450="","No target set",IF(AND(R450&lt;TODAY(),T450=""),"Overdue","On track")),IF(C450="QA",IF(V450="","No target set",IF(AND(V450&lt;TODAY(),X450=""),"Overdue","On track")),IF(C450="DPO Approval",IF(Z450="","No target set",IF(Z450&lt;TODAY(),"Overdue","On track")),IF(C450="RELEASED IN PROD","Delivered","")))))))</f>
        <v/>
      </c>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2" t="str">
        <f t="shared" ref="AH450:AH500" si="43">IF($AF450="Yes",IF($AG450&lt;&gt;"","Blocked - needs "&amp;$AG450&amp;" to fix","Blocked at "&amp;$C450),"")</f>
        <v/>
      </c>
      <c r="AI450" s="12" t="str">
        <f>IF($B450="","",COUNTIF('Rework Log'!$A$3:$A$500,$B450))</f>
        <v/>
      </c>
      <c r="AJ450" s="12" t="str">
        <f>IF(OR($B450="",$AR450=0),"",INDEX('Rework Log'!$C:$C,$AR450))</f>
        <v/>
      </c>
      <c r="AK450" s="12" t="str">
        <f>IF(OR($B450="",$AR450=0),"",INDEX('Rework Log'!$H:$H,$AR450))</f>
        <v/>
      </c>
      <c r="AL450" s="12" t="str">
        <f>IF(OR($B450="",$AR450=0),"",INDEX('Rework Log'!$G:$G,$AR450))</f>
        <v/>
      </c>
      <c r="AM450" s="12" t="str">
        <f t="shared" ref="AM450:AM500" si="44">IF($B450="","",IF(Z450&lt;&gt;"","DPO Approval",IF(V450&lt;&gt;"","QA",IF(R450&lt;&gt;"","PBI Dev",IF(N450&lt;&gt;"","DB Dev","NOT STARTED")))))</f>
        <v/>
      </c>
      <c r="AN450" s="12" t="str">
        <f t="shared" ref="AN450:AN500" si="45">IF($B450="","",IF(IF($C450="NOT STARTED",0,IF($C450="DB Dev",1,IF($C450="PBI Dev",2,IF($C450="QA",3,IF($C450="DPO Approval",4,IF($C450="RELEASED IN PROD",5,-1))))))&lt;IF($AM450="NOT STARTED",0,IF($AM450="DB Dev",1,IF($AM450="PBI Dev",2,IF($AM450="QA",3,IF($AM450="DPO Approval",4,IF($AM450="RELEASED IN PROD",5,-1)))))),"Yes - was already at "&amp;$AM450&amp;", now back at "&amp;$C450,"No"))</f>
        <v/>
      </c>
      <c r="AO450" s="12" t="str">
        <f t="shared" ref="AO450:AO500" si="46">IF($B450="","",IF(AND(V450&lt;&gt;"",N450&lt;&gt;"",V450&lt;N450),"QA target is before DB Dev target",IF(AND(V450&lt;&gt;"",R450&lt;&gt;"",V450&lt;R450),"QA target is before PBI Dev target",IF(AND(Z450&lt;&gt;"",V450&lt;&gt;"",Z450&lt;V450),"DPO Approval target is before QA target",IF(AND(AC450&lt;&gt;"",Z450&lt;&gt;"",AC450&lt;Z450),"Confirmed Deployed date is before DPO Approval target","")))))</f>
        <v/>
      </c>
      <c r="AP450" s="12" t="str">
        <f t="shared" ref="AP450:AP500" si="47">IF($B450="","",IF(COUNTIF($B$2:$B$500,$B450)&gt;1,"Duplicate name - check row",""))</f>
        <v/>
      </c>
      <c r="AQ450" s="1"/>
      <c r="AR450" s="12" t="str">
        <f>IF($B450="","",SUMPRODUCT(MAX(('Rework Log'!$A$3:$A$500=$B450)*ROW('Rework Log'!$A$3:$A$500))))</f>
        <v/>
      </c>
    </row>
    <row r="451" spans="1:44" x14ac:dyDescent="0.25">
      <c r="A451" s="1"/>
      <c r="B451" s="1"/>
      <c r="C451" s="1"/>
      <c r="D451" s="12" t="str">
        <f t="shared" ca="1" si="42"/>
        <v/>
      </c>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2" t="str">
        <f t="shared" si="43"/>
        <v/>
      </c>
      <c r="AI451" s="12" t="str">
        <f>IF($B451="","",COUNTIF('Rework Log'!$A$3:$A$500,$B451))</f>
        <v/>
      </c>
      <c r="AJ451" s="12" t="str">
        <f>IF(OR($B451="",$AR451=0),"",INDEX('Rework Log'!$C:$C,$AR451))</f>
        <v/>
      </c>
      <c r="AK451" s="12" t="str">
        <f>IF(OR($B451="",$AR451=0),"",INDEX('Rework Log'!$H:$H,$AR451))</f>
        <v/>
      </c>
      <c r="AL451" s="12" t="str">
        <f>IF(OR($B451="",$AR451=0),"",INDEX('Rework Log'!$G:$G,$AR451))</f>
        <v/>
      </c>
      <c r="AM451" s="12" t="str">
        <f t="shared" si="44"/>
        <v/>
      </c>
      <c r="AN451" s="12" t="str">
        <f t="shared" si="45"/>
        <v/>
      </c>
      <c r="AO451" s="12" t="str">
        <f t="shared" si="46"/>
        <v/>
      </c>
      <c r="AP451" s="12" t="str">
        <f t="shared" si="47"/>
        <v/>
      </c>
      <c r="AQ451" s="1"/>
      <c r="AR451" s="12" t="str">
        <f>IF($B451="","",SUMPRODUCT(MAX(('Rework Log'!$A$3:$A$500=$B451)*ROW('Rework Log'!$A$3:$A$500))))</f>
        <v/>
      </c>
    </row>
    <row r="452" spans="1:44" x14ac:dyDescent="0.25">
      <c r="A452" s="1"/>
      <c r="B452" s="1"/>
      <c r="C452" s="1"/>
      <c r="D452" s="12" t="str">
        <f t="shared" ca="1" si="42"/>
        <v/>
      </c>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2" t="str">
        <f t="shared" si="43"/>
        <v/>
      </c>
      <c r="AI452" s="12" t="str">
        <f>IF($B452="","",COUNTIF('Rework Log'!$A$3:$A$500,$B452))</f>
        <v/>
      </c>
      <c r="AJ452" s="12" t="str">
        <f>IF(OR($B452="",$AR452=0),"",INDEX('Rework Log'!$C:$C,$AR452))</f>
        <v/>
      </c>
      <c r="AK452" s="12" t="str">
        <f>IF(OR($B452="",$AR452=0),"",INDEX('Rework Log'!$H:$H,$AR452))</f>
        <v/>
      </c>
      <c r="AL452" s="12" t="str">
        <f>IF(OR($B452="",$AR452=0),"",INDEX('Rework Log'!$G:$G,$AR452))</f>
        <v/>
      </c>
      <c r="AM452" s="12" t="str">
        <f t="shared" si="44"/>
        <v/>
      </c>
      <c r="AN452" s="12" t="str">
        <f t="shared" si="45"/>
        <v/>
      </c>
      <c r="AO452" s="12" t="str">
        <f t="shared" si="46"/>
        <v/>
      </c>
      <c r="AP452" s="12" t="str">
        <f t="shared" si="47"/>
        <v/>
      </c>
      <c r="AQ452" s="1"/>
      <c r="AR452" s="12" t="str">
        <f>IF($B452="","",SUMPRODUCT(MAX(('Rework Log'!$A$3:$A$500=$B452)*ROW('Rework Log'!$A$3:$A$500))))</f>
        <v/>
      </c>
    </row>
    <row r="453" spans="1:44" x14ac:dyDescent="0.25">
      <c r="A453" s="1"/>
      <c r="B453" s="1"/>
      <c r="C453" s="1"/>
      <c r="D453" s="12" t="str">
        <f t="shared" ca="1" si="42"/>
        <v/>
      </c>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2" t="str">
        <f t="shared" si="43"/>
        <v/>
      </c>
      <c r="AI453" s="12" t="str">
        <f>IF($B453="","",COUNTIF('Rework Log'!$A$3:$A$500,$B453))</f>
        <v/>
      </c>
      <c r="AJ453" s="12" t="str">
        <f>IF(OR($B453="",$AR453=0),"",INDEX('Rework Log'!$C:$C,$AR453))</f>
        <v/>
      </c>
      <c r="AK453" s="12" t="str">
        <f>IF(OR($B453="",$AR453=0),"",INDEX('Rework Log'!$H:$H,$AR453))</f>
        <v/>
      </c>
      <c r="AL453" s="12" t="str">
        <f>IF(OR($B453="",$AR453=0),"",INDEX('Rework Log'!$G:$G,$AR453))</f>
        <v/>
      </c>
      <c r="AM453" s="12" t="str">
        <f t="shared" si="44"/>
        <v/>
      </c>
      <c r="AN453" s="12" t="str">
        <f t="shared" si="45"/>
        <v/>
      </c>
      <c r="AO453" s="12" t="str">
        <f t="shared" si="46"/>
        <v/>
      </c>
      <c r="AP453" s="12" t="str">
        <f t="shared" si="47"/>
        <v/>
      </c>
      <c r="AQ453" s="1"/>
      <c r="AR453" s="12" t="str">
        <f>IF($B453="","",SUMPRODUCT(MAX(('Rework Log'!$A$3:$A$500=$B453)*ROW('Rework Log'!$A$3:$A$500))))</f>
        <v/>
      </c>
    </row>
    <row r="454" spans="1:44" x14ac:dyDescent="0.25">
      <c r="A454" s="1"/>
      <c r="B454" s="1"/>
      <c r="C454" s="1"/>
      <c r="D454" s="12" t="str">
        <f t="shared" ca="1" si="42"/>
        <v/>
      </c>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2" t="str">
        <f t="shared" si="43"/>
        <v/>
      </c>
      <c r="AI454" s="12" t="str">
        <f>IF($B454="","",COUNTIF('Rework Log'!$A$3:$A$500,$B454))</f>
        <v/>
      </c>
      <c r="AJ454" s="12" t="str">
        <f>IF(OR($B454="",$AR454=0),"",INDEX('Rework Log'!$C:$C,$AR454))</f>
        <v/>
      </c>
      <c r="AK454" s="12" t="str">
        <f>IF(OR($B454="",$AR454=0),"",INDEX('Rework Log'!$H:$H,$AR454))</f>
        <v/>
      </c>
      <c r="AL454" s="12" t="str">
        <f>IF(OR($B454="",$AR454=0),"",INDEX('Rework Log'!$G:$G,$AR454))</f>
        <v/>
      </c>
      <c r="AM454" s="12" t="str">
        <f t="shared" si="44"/>
        <v/>
      </c>
      <c r="AN454" s="12" t="str">
        <f t="shared" si="45"/>
        <v/>
      </c>
      <c r="AO454" s="12" t="str">
        <f t="shared" si="46"/>
        <v/>
      </c>
      <c r="AP454" s="12" t="str">
        <f t="shared" si="47"/>
        <v/>
      </c>
      <c r="AQ454" s="1"/>
      <c r="AR454" s="12" t="str">
        <f>IF($B454="","",SUMPRODUCT(MAX(('Rework Log'!$A$3:$A$500=$B454)*ROW('Rework Log'!$A$3:$A$500))))</f>
        <v/>
      </c>
    </row>
    <row r="455" spans="1:44" x14ac:dyDescent="0.25">
      <c r="A455" s="1"/>
      <c r="B455" s="1"/>
      <c r="C455" s="1"/>
      <c r="D455" s="12" t="str">
        <f t="shared" ca="1" si="42"/>
        <v/>
      </c>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2" t="str">
        <f t="shared" si="43"/>
        <v/>
      </c>
      <c r="AI455" s="12" t="str">
        <f>IF($B455="","",COUNTIF('Rework Log'!$A$3:$A$500,$B455))</f>
        <v/>
      </c>
      <c r="AJ455" s="12" t="str">
        <f>IF(OR($B455="",$AR455=0),"",INDEX('Rework Log'!$C:$C,$AR455))</f>
        <v/>
      </c>
      <c r="AK455" s="12" t="str">
        <f>IF(OR($B455="",$AR455=0),"",INDEX('Rework Log'!$H:$H,$AR455))</f>
        <v/>
      </c>
      <c r="AL455" s="12" t="str">
        <f>IF(OR($B455="",$AR455=0),"",INDEX('Rework Log'!$G:$G,$AR455))</f>
        <v/>
      </c>
      <c r="AM455" s="12" t="str">
        <f t="shared" si="44"/>
        <v/>
      </c>
      <c r="AN455" s="12" t="str">
        <f t="shared" si="45"/>
        <v/>
      </c>
      <c r="AO455" s="12" t="str">
        <f t="shared" si="46"/>
        <v/>
      </c>
      <c r="AP455" s="12" t="str">
        <f t="shared" si="47"/>
        <v/>
      </c>
      <c r="AQ455" s="1"/>
      <c r="AR455" s="12" t="str">
        <f>IF($B455="","",SUMPRODUCT(MAX(('Rework Log'!$A$3:$A$500=$B455)*ROW('Rework Log'!$A$3:$A$500))))</f>
        <v/>
      </c>
    </row>
    <row r="456" spans="1:44" x14ac:dyDescent="0.25">
      <c r="A456" s="1"/>
      <c r="B456" s="1"/>
      <c r="C456" s="1"/>
      <c r="D456" s="12" t="str">
        <f t="shared" ca="1" si="42"/>
        <v/>
      </c>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2" t="str">
        <f t="shared" si="43"/>
        <v/>
      </c>
      <c r="AI456" s="12" t="str">
        <f>IF($B456="","",COUNTIF('Rework Log'!$A$3:$A$500,$B456))</f>
        <v/>
      </c>
      <c r="AJ456" s="12" t="str">
        <f>IF(OR($B456="",$AR456=0),"",INDEX('Rework Log'!$C:$C,$AR456))</f>
        <v/>
      </c>
      <c r="AK456" s="12" t="str">
        <f>IF(OR($B456="",$AR456=0),"",INDEX('Rework Log'!$H:$H,$AR456))</f>
        <v/>
      </c>
      <c r="AL456" s="12" t="str">
        <f>IF(OR($B456="",$AR456=0),"",INDEX('Rework Log'!$G:$G,$AR456))</f>
        <v/>
      </c>
      <c r="AM456" s="12" t="str">
        <f t="shared" si="44"/>
        <v/>
      </c>
      <c r="AN456" s="12" t="str">
        <f t="shared" si="45"/>
        <v/>
      </c>
      <c r="AO456" s="12" t="str">
        <f t="shared" si="46"/>
        <v/>
      </c>
      <c r="AP456" s="12" t="str">
        <f t="shared" si="47"/>
        <v/>
      </c>
      <c r="AQ456" s="1"/>
      <c r="AR456" s="12" t="str">
        <f>IF($B456="","",SUMPRODUCT(MAX(('Rework Log'!$A$3:$A$500=$B456)*ROW('Rework Log'!$A$3:$A$500))))</f>
        <v/>
      </c>
    </row>
    <row r="457" spans="1:44" x14ac:dyDescent="0.25">
      <c r="A457" s="1"/>
      <c r="B457" s="1"/>
      <c r="C457" s="1"/>
      <c r="D457" s="12" t="str">
        <f t="shared" ca="1" si="42"/>
        <v/>
      </c>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2" t="str">
        <f t="shared" si="43"/>
        <v/>
      </c>
      <c r="AI457" s="12" t="str">
        <f>IF($B457="","",COUNTIF('Rework Log'!$A$3:$A$500,$B457))</f>
        <v/>
      </c>
      <c r="AJ457" s="12" t="str">
        <f>IF(OR($B457="",$AR457=0),"",INDEX('Rework Log'!$C:$C,$AR457))</f>
        <v/>
      </c>
      <c r="AK457" s="12" t="str">
        <f>IF(OR($B457="",$AR457=0),"",INDEX('Rework Log'!$H:$H,$AR457))</f>
        <v/>
      </c>
      <c r="AL457" s="12" t="str">
        <f>IF(OR($B457="",$AR457=0),"",INDEX('Rework Log'!$G:$G,$AR457))</f>
        <v/>
      </c>
      <c r="AM457" s="12" t="str">
        <f t="shared" si="44"/>
        <v/>
      </c>
      <c r="AN457" s="12" t="str">
        <f t="shared" si="45"/>
        <v/>
      </c>
      <c r="AO457" s="12" t="str">
        <f t="shared" si="46"/>
        <v/>
      </c>
      <c r="AP457" s="12" t="str">
        <f t="shared" si="47"/>
        <v/>
      </c>
      <c r="AQ457" s="1"/>
      <c r="AR457" s="12" t="str">
        <f>IF($B457="","",SUMPRODUCT(MAX(('Rework Log'!$A$3:$A$500=$B457)*ROW('Rework Log'!$A$3:$A$500))))</f>
        <v/>
      </c>
    </row>
    <row r="458" spans="1:44" x14ac:dyDescent="0.25">
      <c r="A458" s="1"/>
      <c r="B458" s="1"/>
      <c r="C458" s="1"/>
      <c r="D458" s="12" t="str">
        <f t="shared" ca="1" si="42"/>
        <v/>
      </c>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2" t="str">
        <f t="shared" si="43"/>
        <v/>
      </c>
      <c r="AI458" s="12" t="str">
        <f>IF($B458="","",COUNTIF('Rework Log'!$A$3:$A$500,$B458))</f>
        <v/>
      </c>
      <c r="AJ458" s="12" t="str">
        <f>IF(OR($B458="",$AR458=0),"",INDEX('Rework Log'!$C:$C,$AR458))</f>
        <v/>
      </c>
      <c r="AK458" s="12" t="str">
        <f>IF(OR($B458="",$AR458=0),"",INDEX('Rework Log'!$H:$H,$AR458))</f>
        <v/>
      </c>
      <c r="AL458" s="12" t="str">
        <f>IF(OR($B458="",$AR458=0),"",INDEX('Rework Log'!$G:$G,$AR458))</f>
        <v/>
      </c>
      <c r="AM458" s="12" t="str">
        <f t="shared" si="44"/>
        <v/>
      </c>
      <c r="AN458" s="12" t="str">
        <f t="shared" si="45"/>
        <v/>
      </c>
      <c r="AO458" s="12" t="str">
        <f t="shared" si="46"/>
        <v/>
      </c>
      <c r="AP458" s="12" t="str">
        <f t="shared" si="47"/>
        <v/>
      </c>
      <c r="AQ458" s="1"/>
      <c r="AR458" s="12" t="str">
        <f>IF($B458="","",SUMPRODUCT(MAX(('Rework Log'!$A$3:$A$500=$B458)*ROW('Rework Log'!$A$3:$A$500))))</f>
        <v/>
      </c>
    </row>
    <row r="459" spans="1:44" x14ac:dyDescent="0.25">
      <c r="A459" s="1"/>
      <c r="B459" s="1"/>
      <c r="C459" s="1"/>
      <c r="D459" s="12" t="str">
        <f t="shared" ca="1" si="42"/>
        <v/>
      </c>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2" t="str">
        <f t="shared" si="43"/>
        <v/>
      </c>
      <c r="AI459" s="12" t="str">
        <f>IF($B459="","",COUNTIF('Rework Log'!$A$3:$A$500,$B459))</f>
        <v/>
      </c>
      <c r="AJ459" s="12" t="str">
        <f>IF(OR($B459="",$AR459=0),"",INDEX('Rework Log'!$C:$C,$AR459))</f>
        <v/>
      </c>
      <c r="AK459" s="12" t="str">
        <f>IF(OR($B459="",$AR459=0),"",INDEX('Rework Log'!$H:$H,$AR459))</f>
        <v/>
      </c>
      <c r="AL459" s="12" t="str">
        <f>IF(OR($B459="",$AR459=0),"",INDEX('Rework Log'!$G:$G,$AR459))</f>
        <v/>
      </c>
      <c r="AM459" s="12" t="str">
        <f t="shared" si="44"/>
        <v/>
      </c>
      <c r="AN459" s="12" t="str">
        <f t="shared" si="45"/>
        <v/>
      </c>
      <c r="AO459" s="12" t="str">
        <f t="shared" si="46"/>
        <v/>
      </c>
      <c r="AP459" s="12" t="str">
        <f t="shared" si="47"/>
        <v/>
      </c>
      <c r="AQ459" s="1"/>
      <c r="AR459" s="12" t="str">
        <f>IF($B459="","",SUMPRODUCT(MAX(('Rework Log'!$A$3:$A$500=$B459)*ROW('Rework Log'!$A$3:$A$500))))</f>
        <v/>
      </c>
    </row>
    <row r="460" spans="1:44" x14ac:dyDescent="0.25">
      <c r="A460" s="1"/>
      <c r="B460" s="1"/>
      <c r="C460" s="1"/>
      <c r="D460" s="12" t="str">
        <f t="shared" ca="1" si="42"/>
        <v/>
      </c>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2" t="str">
        <f t="shared" si="43"/>
        <v/>
      </c>
      <c r="AI460" s="12" t="str">
        <f>IF($B460="","",COUNTIF('Rework Log'!$A$3:$A$500,$B460))</f>
        <v/>
      </c>
      <c r="AJ460" s="12" t="str">
        <f>IF(OR($B460="",$AR460=0),"",INDEX('Rework Log'!$C:$C,$AR460))</f>
        <v/>
      </c>
      <c r="AK460" s="12" t="str">
        <f>IF(OR($B460="",$AR460=0),"",INDEX('Rework Log'!$H:$H,$AR460))</f>
        <v/>
      </c>
      <c r="AL460" s="12" t="str">
        <f>IF(OR($B460="",$AR460=0),"",INDEX('Rework Log'!$G:$G,$AR460))</f>
        <v/>
      </c>
      <c r="AM460" s="12" t="str">
        <f t="shared" si="44"/>
        <v/>
      </c>
      <c r="AN460" s="12" t="str">
        <f t="shared" si="45"/>
        <v/>
      </c>
      <c r="AO460" s="12" t="str">
        <f t="shared" si="46"/>
        <v/>
      </c>
      <c r="AP460" s="12" t="str">
        <f t="shared" si="47"/>
        <v/>
      </c>
      <c r="AQ460" s="1"/>
      <c r="AR460" s="12" t="str">
        <f>IF($B460="","",SUMPRODUCT(MAX(('Rework Log'!$A$3:$A$500=$B460)*ROW('Rework Log'!$A$3:$A$500))))</f>
        <v/>
      </c>
    </row>
    <row r="461" spans="1:44" x14ac:dyDescent="0.25">
      <c r="A461" s="1"/>
      <c r="B461" s="1"/>
      <c r="C461" s="1"/>
      <c r="D461" s="12" t="str">
        <f t="shared" ca="1" si="42"/>
        <v/>
      </c>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2" t="str">
        <f t="shared" si="43"/>
        <v/>
      </c>
      <c r="AI461" s="12" t="str">
        <f>IF($B461="","",COUNTIF('Rework Log'!$A$3:$A$500,$B461))</f>
        <v/>
      </c>
      <c r="AJ461" s="12" t="str">
        <f>IF(OR($B461="",$AR461=0),"",INDEX('Rework Log'!$C:$C,$AR461))</f>
        <v/>
      </c>
      <c r="AK461" s="12" t="str">
        <f>IF(OR($B461="",$AR461=0),"",INDEX('Rework Log'!$H:$H,$AR461))</f>
        <v/>
      </c>
      <c r="AL461" s="12" t="str">
        <f>IF(OR($B461="",$AR461=0),"",INDEX('Rework Log'!$G:$G,$AR461))</f>
        <v/>
      </c>
      <c r="AM461" s="12" t="str">
        <f t="shared" si="44"/>
        <v/>
      </c>
      <c r="AN461" s="12" t="str">
        <f t="shared" si="45"/>
        <v/>
      </c>
      <c r="AO461" s="12" t="str">
        <f t="shared" si="46"/>
        <v/>
      </c>
      <c r="AP461" s="12" t="str">
        <f t="shared" si="47"/>
        <v/>
      </c>
      <c r="AQ461" s="1"/>
      <c r="AR461" s="12" t="str">
        <f>IF($B461="","",SUMPRODUCT(MAX(('Rework Log'!$A$3:$A$500=$B461)*ROW('Rework Log'!$A$3:$A$500))))</f>
        <v/>
      </c>
    </row>
    <row r="462" spans="1:44" x14ac:dyDescent="0.25">
      <c r="A462" s="1"/>
      <c r="B462" s="1"/>
      <c r="C462" s="1"/>
      <c r="D462" s="12" t="str">
        <f t="shared" ca="1" si="42"/>
        <v/>
      </c>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2" t="str">
        <f t="shared" si="43"/>
        <v/>
      </c>
      <c r="AI462" s="12" t="str">
        <f>IF($B462="","",COUNTIF('Rework Log'!$A$3:$A$500,$B462))</f>
        <v/>
      </c>
      <c r="AJ462" s="12" t="str">
        <f>IF(OR($B462="",$AR462=0),"",INDEX('Rework Log'!$C:$C,$AR462))</f>
        <v/>
      </c>
      <c r="AK462" s="12" t="str">
        <f>IF(OR($B462="",$AR462=0),"",INDEX('Rework Log'!$H:$H,$AR462))</f>
        <v/>
      </c>
      <c r="AL462" s="12" t="str">
        <f>IF(OR($B462="",$AR462=0),"",INDEX('Rework Log'!$G:$G,$AR462))</f>
        <v/>
      </c>
      <c r="AM462" s="12" t="str">
        <f t="shared" si="44"/>
        <v/>
      </c>
      <c r="AN462" s="12" t="str">
        <f t="shared" si="45"/>
        <v/>
      </c>
      <c r="AO462" s="12" t="str">
        <f t="shared" si="46"/>
        <v/>
      </c>
      <c r="AP462" s="12" t="str">
        <f t="shared" si="47"/>
        <v/>
      </c>
      <c r="AQ462" s="1"/>
      <c r="AR462" s="12" t="str">
        <f>IF($B462="","",SUMPRODUCT(MAX(('Rework Log'!$A$3:$A$500=$B462)*ROW('Rework Log'!$A$3:$A$500))))</f>
        <v/>
      </c>
    </row>
    <row r="463" spans="1:44" x14ac:dyDescent="0.25">
      <c r="A463" s="1"/>
      <c r="B463" s="1"/>
      <c r="C463" s="1"/>
      <c r="D463" s="12" t="str">
        <f t="shared" ca="1" si="42"/>
        <v/>
      </c>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2" t="str">
        <f t="shared" si="43"/>
        <v/>
      </c>
      <c r="AI463" s="12" t="str">
        <f>IF($B463="","",COUNTIF('Rework Log'!$A$3:$A$500,$B463))</f>
        <v/>
      </c>
      <c r="AJ463" s="12" t="str">
        <f>IF(OR($B463="",$AR463=0),"",INDEX('Rework Log'!$C:$C,$AR463))</f>
        <v/>
      </c>
      <c r="AK463" s="12" t="str">
        <f>IF(OR($B463="",$AR463=0),"",INDEX('Rework Log'!$H:$H,$AR463))</f>
        <v/>
      </c>
      <c r="AL463" s="12" t="str">
        <f>IF(OR($B463="",$AR463=0),"",INDEX('Rework Log'!$G:$G,$AR463))</f>
        <v/>
      </c>
      <c r="AM463" s="12" t="str">
        <f t="shared" si="44"/>
        <v/>
      </c>
      <c r="AN463" s="12" t="str">
        <f t="shared" si="45"/>
        <v/>
      </c>
      <c r="AO463" s="12" t="str">
        <f t="shared" si="46"/>
        <v/>
      </c>
      <c r="AP463" s="12" t="str">
        <f t="shared" si="47"/>
        <v/>
      </c>
      <c r="AQ463" s="1"/>
      <c r="AR463" s="12" t="str">
        <f>IF($B463="","",SUMPRODUCT(MAX(('Rework Log'!$A$3:$A$500=$B463)*ROW('Rework Log'!$A$3:$A$500))))</f>
        <v/>
      </c>
    </row>
    <row r="464" spans="1:44" x14ac:dyDescent="0.25">
      <c r="A464" s="1"/>
      <c r="B464" s="1"/>
      <c r="C464" s="1"/>
      <c r="D464" s="12" t="str">
        <f t="shared" ca="1" si="42"/>
        <v/>
      </c>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2" t="str">
        <f t="shared" si="43"/>
        <v/>
      </c>
      <c r="AI464" s="12" t="str">
        <f>IF($B464="","",COUNTIF('Rework Log'!$A$3:$A$500,$B464))</f>
        <v/>
      </c>
      <c r="AJ464" s="12" t="str">
        <f>IF(OR($B464="",$AR464=0),"",INDEX('Rework Log'!$C:$C,$AR464))</f>
        <v/>
      </c>
      <c r="AK464" s="12" t="str">
        <f>IF(OR($B464="",$AR464=0),"",INDEX('Rework Log'!$H:$H,$AR464))</f>
        <v/>
      </c>
      <c r="AL464" s="12" t="str">
        <f>IF(OR($B464="",$AR464=0),"",INDEX('Rework Log'!$G:$G,$AR464))</f>
        <v/>
      </c>
      <c r="AM464" s="12" t="str">
        <f t="shared" si="44"/>
        <v/>
      </c>
      <c r="AN464" s="12" t="str">
        <f t="shared" si="45"/>
        <v/>
      </c>
      <c r="AO464" s="12" t="str">
        <f t="shared" si="46"/>
        <v/>
      </c>
      <c r="AP464" s="12" t="str">
        <f t="shared" si="47"/>
        <v/>
      </c>
      <c r="AQ464" s="1"/>
      <c r="AR464" s="12" t="str">
        <f>IF($B464="","",SUMPRODUCT(MAX(('Rework Log'!$A$3:$A$500=$B464)*ROW('Rework Log'!$A$3:$A$500))))</f>
        <v/>
      </c>
    </row>
    <row r="465" spans="1:44" x14ac:dyDescent="0.25">
      <c r="A465" s="1"/>
      <c r="B465" s="1"/>
      <c r="C465" s="1"/>
      <c r="D465" s="12" t="str">
        <f t="shared" ca="1" si="42"/>
        <v/>
      </c>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2" t="str">
        <f t="shared" si="43"/>
        <v/>
      </c>
      <c r="AI465" s="12" t="str">
        <f>IF($B465="","",COUNTIF('Rework Log'!$A$3:$A$500,$B465))</f>
        <v/>
      </c>
      <c r="AJ465" s="12" t="str">
        <f>IF(OR($B465="",$AR465=0),"",INDEX('Rework Log'!$C:$C,$AR465))</f>
        <v/>
      </c>
      <c r="AK465" s="12" t="str">
        <f>IF(OR($B465="",$AR465=0),"",INDEX('Rework Log'!$H:$H,$AR465))</f>
        <v/>
      </c>
      <c r="AL465" s="12" t="str">
        <f>IF(OR($B465="",$AR465=0),"",INDEX('Rework Log'!$G:$G,$AR465))</f>
        <v/>
      </c>
      <c r="AM465" s="12" t="str">
        <f t="shared" si="44"/>
        <v/>
      </c>
      <c r="AN465" s="12" t="str">
        <f t="shared" si="45"/>
        <v/>
      </c>
      <c r="AO465" s="12" t="str">
        <f t="shared" si="46"/>
        <v/>
      </c>
      <c r="AP465" s="12" t="str">
        <f t="shared" si="47"/>
        <v/>
      </c>
      <c r="AQ465" s="1"/>
      <c r="AR465" s="12" t="str">
        <f>IF($B465="","",SUMPRODUCT(MAX(('Rework Log'!$A$3:$A$500=$B465)*ROW('Rework Log'!$A$3:$A$500))))</f>
        <v/>
      </c>
    </row>
    <row r="466" spans="1:44" x14ac:dyDescent="0.25">
      <c r="A466" s="1"/>
      <c r="B466" s="1"/>
      <c r="C466" s="1"/>
      <c r="D466" s="12" t="str">
        <f t="shared" ca="1" si="42"/>
        <v/>
      </c>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2" t="str">
        <f t="shared" si="43"/>
        <v/>
      </c>
      <c r="AI466" s="12" t="str">
        <f>IF($B466="","",COUNTIF('Rework Log'!$A$3:$A$500,$B466))</f>
        <v/>
      </c>
      <c r="AJ466" s="12" t="str">
        <f>IF(OR($B466="",$AR466=0),"",INDEX('Rework Log'!$C:$C,$AR466))</f>
        <v/>
      </c>
      <c r="AK466" s="12" t="str">
        <f>IF(OR($B466="",$AR466=0),"",INDEX('Rework Log'!$H:$H,$AR466))</f>
        <v/>
      </c>
      <c r="AL466" s="12" t="str">
        <f>IF(OR($B466="",$AR466=0),"",INDEX('Rework Log'!$G:$G,$AR466))</f>
        <v/>
      </c>
      <c r="AM466" s="12" t="str">
        <f t="shared" si="44"/>
        <v/>
      </c>
      <c r="AN466" s="12" t="str">
        <f t="shared" si="45"/>
        <v/>
      </c>
      <c r="AO466" s="12" t="str">
        <f t="shared" si="46"/>
        <v/>
      </c>
      <c r="AP466" s="12" t="str">
        <f t="shared" si="47"/>
        <v/>
      </c>
      <c r="AQ466" s="1"/>
      <c r="AR466" s="12" t="str">
        <f>IF($B466="","",SUMPRODUCT(MAX(('Rework Log'!$A$3:$A$500=$B466)*ROW('Rework Log'!$A$3:$A$500))))</f>
        <v/>
      </c>
    </row>
    <row r="467" spans="1:44" x14ac:dyDescent="0.25">
      <c r="A467" s="1"/>
      <c r="B467" s="1"/>
      <c r="C467" s="1"/>
      <c r="D467" s="12" t="str">
        <f t="shared" ca="1" si="42"/>
        <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2" t="str">
        <f t="shared" si="43"/>
        <v/>
      </c>
      <c r="AI467" s="12" t="str">
        <f>IF($B467="","",COUNTIF('Rework Log'!$A$3:$A$500,$B467))</f>
        <v/>
      </c>
      <c r="AJ467" s="12" t="str">
        <f>IF(OR($B467="",$AR467=0),"",INDEX('Rework Log'!$C:$C,$AR467))</f>
        <v/>
      </c>
      <c r="AK467" s="12" t="str">
        <f>IF(OR($B467="",$AR467=0),"",INDEX('Rework Log'!$H:$H,$AR467))</f>
        <v/>
      </c>
      <c r="AL467" s="12" t="str">
        <f>IF(OR($B467="",$AR467=0),"",INDEX('Rework Log'!$G:$G,$AR467))</f>
        <v/>
      </c>
      <c r="AM467" s="12" t="str">
        <f t="shared" si="44"/>
        <v/>
      </c>
      <c r="AN467" s="12" t="str">
        <f t="shared" si="45"/>
        <v/>
      </c>
      <c r="AO467" s="12" t="str">
        <f t="shared" si="46"/>
        <v/>
      </c>
      <c r="AP467" s="12" t="str">
        <f t="shared" si="47"/>
        <v/>
      </c>
      <c r="AQ467" s="1"/>
      <c r="AR467" s="12" t="str">
        <f>IF($B467="","",SUMPRODUCT(MAX(('Rework Log'!$A$3:$A$500=$B467)*ROW('Rework Log'!$A$3:$A$500))))</f>
        <v/>
      </c>
    </row>
    <row r="468" spans="1:44" x14ac:dyDescent="0.25">
      <c r="A468" s="1"/>
      <c r="B468" s="1"/>
      <c r="C468" s="1"/>
      <c r="D468" s="12" t="str">
        <f t="shared" ca="1" si="42"/>
        <v/>
      </c>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2" t="str">
        <f t="shared" si="43"/>
        <v/>
      </c>
      <c r="AI468" s="12" t="str">
        <f>IF($B468="","",COUNTIF('Rework Log'!$A$3:$A$500,$B468))</f>
        <v/>
      </c>
      <c r="AJ468" s="12" t="str">
        <f>IF(OR($B468="",$AR468=0),"",INDEX('Rework Log'!$C:$C,$AR468))</f>
        <v/>
      </c>
      <c r="AK468" s="12" t="str">
        <f>IF(OR($B468="",$AR468=0),"",INDEX('Rework Log'!$H:$H,$AR468))</f>
        <v/>
      </c>
      <c r="AL468" s="12" t="str">
        <f>IF(OR($B468="",$AR468=0),"",INDEX('Rework Log'!$G:$G,$AR468))</f>
        <v/>
      </c>
      <c r="AM468" s="12" t="str">
        <f t="shared" si="44"/>
        <v/>
      </c>
      <c r="AN468" s="12" t="str">
        <f t="shared" si="45"/>
        <v/>
      </c>
      <c r="AO468" s="12" t="str">
        <f t="shared" si="46"/>
        <v/>
      </c>
      <c r="AP468" s="12" t="str">
        <f t="shared" si="47"/>
        <v/>
      </c>
      <c r="AQ468" s="1"/>
      <c r="AR468" s="12" t="str">
        <f>IF($B468="","",SUMPRODUCT(MAX(('Rework Log'!$A$3:$A$500=$B468)*ROW('Rework Log'!$A$3:$A$500))))</f>
        <v/>
      </c>
    </row>
    <row r="469" spans="1:44" x14ac:dyDescent="0.25">
      <c r="A469" s="1"/>
      <c r="B469" s="1"/>
      <c r="C469" s="1"/>
      <c r="D469" s="12" t="str">
        <f t="shared" ca="1" si="42"/>
        <v/>
      </c>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2" t="str">
        <f t="shared" si="43"/>
        <v/>
      </c>
      <c r="AI469" s="12" t="str">
        <f>IF($B469="","",COUNTIF('Rework Log'!$A$3:$A$500,$B469))</f>
        <v/>
      </c>
      <c r="AJ469" s="12" t="str">
        <f>IF(OR($B469="",$AR469=0),"",INDEX('Rework Log'!$C:$C,$AR469))</f>
        <v/>
      </c>
      <c r="AK469" s="12" t="str">
        <f>IF(OR($B469="",$AR469=0),"",INDEX('Rework Log'!$H:$H,$AR469))</f>
        <v/>
      </c>
      <c r="AL469" s="12" t="str">
        <f>IF(OR($B469="",$AR469=0),"",INDEX('Rework Log'!$G:$G,$AR469))</f>
        <v/>
      </c>
      <c r="AM469" s="12" t="str">
        <f t="shared" si="44"/>
        <v/>
      </c>
      <c r="AN469" s="12" t="str">
        <f t="shared" si="45"/>
        <v/>
      </c>
      <c r="AO469" s="12" t="str">
        <f t="shared" si="46"/>
        <v/>
      </c>
      <c r="AP469" s="12" t="str">
        <f t="shared" si="47"/>
        <v/>
      </c>
      <c r="AQ469" s="1"/>
      <c r="AR469" s="12" t="str">
        <f>IF($B469="","",SUMPRODUCT(MAX(('Rework Log'!$A$3:$A$500=$B469)*ROW('Rework Log'!$A$3:$A$500))))</f>
        <v/>
      </c>
    </row>
    <row r="470" spans="1:44" x14ac:dyDescent="0.25">
      <c r="A470" s="1"/>
      <c r="B470" s="1"/>
      <c r="C470" s="1"/>
      <c r="D470" s="12" t="str">
        <f t="shared" ca="1" si="42"/>
        <v/>
      </c>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2" t="str">
        <f t="shared" si="43"/>
        <v/>
      </c>
      <c r="AI470" s="12" t="str">
        <f>IF($B470="","",COUNTIF('Rework Log'!$A$3:$A$500,$B470))</f>
        <v/>
      </c>
      <c r="AJ470" s="12" t="str">
        <f>IF(OR($B470="",$AR470=0),"",INDEX('Rework Log'!$C:$C,$AR470))</f>
        <v/>
      </c>
      <c r="AK470" s="12" t="str">
        <f>IF(OR($B470="",$AR470=0),"",INDEX('Rework Log'!$H:$H,$AR470))</f>
        <v/>
      </c>
      <c r="AL470" s="12" t="str">
        <f>IF(OR($B470="",$AR470=0),"",INDEX('Rework Log'!$G:$G,$AR470))</f>
        <v/>
      </c>
      <c r="AM470" s="12" t="str">
        <f t="shared" si="44"/>
        <v/>
      </c>
      <c r="AN470" s="12" t="str">
        <f t="shared" si="45"/>
        <v/>
      </c>
      <c r="AO470" s="12" t="str">
        <f t="shared" si="46"/>
        <v/>
      </c>
      <c r="AP470" s="12" t="str">
        <f t="shared" si="47"/>
        <v/>
      </c>
      <c r="AQ470" s="1"/>
      <c r="AR470" s="12" t="str">
        <f>IF($B470="","",SUMPRODUCT(MAX(('Rework Log'!$A$3:$A$500=$B470)*ROW('Rework Log'!$A$3:$A$500))))</f>
        <v/>
      </c>
    </row>
    <row r="471" spans="1:44" x14ac:dyDescent="0.25">
      <c r="A471" s="1"/>
      <c r="B471" s="1"/>
      <c r="C471" s="1"/>
      <c r="D471" s="12" t="str">
        <f t="shared" ca="1" si="42"/>
        <v/>
      </c>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2" t="str">
        <f t="shared" si="43"/>
        <v/>
      </c>
      <c r="AI471" s="12" t="str">
        <f>IF($B471="","",COUNTIF('Rework Log'!$A$3:$A$500,$B471))</f>
        <v/>
      </c>
      <c r="AJ471" s="12" t="str">
        <f>IF(OR($B471="",$AR471=0),"",INDEX('Rework Log'!$C:$C,$AR471))</f>
        <v/>
      </c>
      <c r="AK471" s="12" t="str">
        <f>IF(OR($B471="",$AR471=0),"",INDEX('Rework Log'!$H:$H,$AR471))</f>
        <v/>
      </c>
      <c r="AL471" s="12" t="str">
        <f>IF(OR($B471="",$AR471=0),"",INDEX('Rework Log'!$G:$G,$AR471))</f>
        <v/>
      </c>
      <c r="AM471" s="12" t="str">
        <f t="shared" si="44"/>
        <v/>
      </c>
      <c r="AN471" s="12" t="str">
        <f t="shared" si="45"/>
        <v/>
      </c>
      <c r="AO471" s="12" t="str">
        <f t="shared" si="46"/>
        <v/>
      </c>
      <c r="AP471" s="12" t="str">
        <f t="shared" si="47"/>
        <v/>
      </c>
      <c r="AQ471" s="1"/>
      <c r="AR471" s="12" t="str">
        <f>IF($B471="","",SUMPRODUCT(MAX(('Rework Log'!$A$3:$A$500=$B471)*ROW('Rework Log'!$A$3:$A$500))))</f>
        <v/>
      </c>
    </row>
    <row r="472" spans="1:44" x14ac:dyDescent="0.25">
      <c r="A472" s="1"/>
      <c r="B472" s="1"/>
      <c r="C472" s="1"/>
      <c r="D472" s="12" t="str">
        <f t="shared" ca="1" si="42"/>
        <v/>
      </c>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2" t="str">
        <f t="shared" si="43"/>
        <v/>
      </c>
      <c r="AI472" s="12" t="str">
        <f>IF($B472="","",COUNTIF('Rework Log'!$A$3:$A$500,$B472))</f>
        <v/>
      </c>
      <c r="AJ472" s="12" t="str">
        <f>IF(OR($B472="",$AR472=0),"",INDEX('Rework Log'!$C:$C,$AR472))</f>
        <v/>
      </c>
      <c r="AK472" s="12" t="str">
        <f>IF(OR($B472="",$AR472=0),"",INDEX('Rework Log'!$H:$H,$AR472))</f>
        <v/>
      </c>
      <c r="AL472" s="12" t="str">
        <f>IF(OR($B472="",$AR472=0),"",INDEX('Rework Log'!$G:$G,$AR472))</f>
        <v/>
      </c>
      <c r="AM472" s="12" t="str">
        <f t="shared" si="44"/>
        <v/>
      </c>
      <c r="AN472" s="12" t="str">
        <f t="shared" si="45"/>
        <v/>
      </c>
      <c r="AO472" s="12" t="str">
        <f t="shared" si="46"/>
        <v/>
      </c>
      <c r="AP472" s="12" t="str">
        <f t="shared" si="47"/>
        <v/>
      </c>
      <c r="AQ472" s="1"/>
      <c r="AR472" s="12" t="str">
        <f>IF($B472="","",SUMPRODUCT(MAX(('Rework Log'!$A$3:$A$500=$B472)*ROW('Rework Log'!$A$3:$A$500))))</f>
        <v/>
      </c>
    </row>
    <row r="473" spans="1:44" x14ac:dyDescent="0.25">
      <c r="A473" s="1"/>
      <c r="B473" s="1"/>
      <c r="C473" s="1"/>
      <c r="D473" s="12" t="str">
        <f t="shared" ca="1" si="42"/>
        <v/>
      </c>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2" t="str">
        <f t="shared" si="43"/>
        <v/>
      </c>
      <c r="AI473" s="12" t="str">
        <f>IF($B473="","",COUNTIF('Rework Log'!$A$3:$A$500,$B473))</f>
        <v/>
      </c>
      <c r="AJ473" s="12" t="str">
        <f>IF(OR($B473="",$AR473=0),"",INDEX('Rework Log'!$C:$C,$AR473))</f>
        <v/>
      </c>
      <c r="AK473" s="12" t="str">
        <f>IF(OR($B473="",$AR473=0),"",INDEX('Rework Log'!$H:$H,$AR473))</f>
        <v/>
      </c>
      <c r="AL473" s="12" t="str">
        <f>IF(OR($B473="",$AR473=0),"",INDEX('Rework Log'!$G:$G,$AR473))</f>
        <v/>
      </c>
      <c r="AM473" s="12" t="str">
        <f t="shared" si="44"/>
        <v/>
      </c>
      <c r="AN473" s="12" t="str">
        <f t="shared" si="45"/>
        <v/>
      </c>
      <c r="AO473" s="12" t="str">
        <f t="shared" si="46"/>
        <v/>
      </c>
      <c r="AP473" s="12" t="str">
        <f t="shared" si="47"/>
        <v/>
      </c>
      <c r="AQ473" s="1"/>
      <c r="AR473" s="12" t="str">
        <f>IF($B473="","",SUMPRODUCT(MAX(('Rework Log'!$A$3:$A$500=$B473)*ROW('Rework Log'!$A$3:$A$500))))</f>
        <v/>
      </c>
    </row>
    <row r="474" spans="1:44" x14ac:dyDescent="0.25">
      <c r="A474" s="1"/>
      <c r="B474" s="1"/>
      <c r="C474" s="1"/>
      <c r="D474" s="12" t="str">
        <f t="shared" ca="1" si="42"/>
        <v/>
      </c>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2" t="str">
        <f t="shared" si="43"/>
        <v/>
      </c>
      <c r="AI474" s="12" t="str">
        <f>IF($B474="","",COUNTIF('Rework Log'!$A$3:$A$500,$B474))</f>
        <v/>
      </c>
      <c r="AJ474" s="12" t="str">
        <f>IF(OR($B474="",$AR474=0),"",INDEX('Rework Log'!$C:$C,$AR474))</f>
        <v/>
      </c>
      <c r="AK474" s="12" t="str">
        <f>IF(OR($B474="",$AR474=0),"",INDEX('Rework Log'!$H:$H,$AR474))</f>
        <v/>
      </c>
      <c r="AL474" s="12" t="str">
        <f>IF(OR($B474="",$AR474=0),"",INDEX('Rework Log'!$G:$G,$AR474))</f>
        <v/>
      </c>
      <c r="AM474" s="12" t="str">
        <f t="shared" si="44"/>
        <v/>
      </c>
      <c r="AN474" s="12" t="str">
        <f t="shared" si="45"/>
        <v/>
      </c>
      <c r="AO474" s="12" t="str">
        <f t="shared" si="46"/>
        <v/>
      </c>
      <c r="AP474" s="12" t="str">
        <f t="shared" si="47"/>
        <v/>
      </c>
      <c r="AQ474" s="1"/>
      <c r="AR474" s="12" t="str">
        <f>IF($B474="","",SUMPRODUCT(MAX(('Rework Log'!$A$3:$A$500=$B474)*ROW('Rework Log'!$A$3:$A$500))))</f>
        <v/>
      </c>
    </row>
    <row r="475" spans="1:44" x14ac:dyDescent="0.25">
      <c r="A475" s="1"/>
      <c r="B475" s="1"/>
      <c r="C475" s="1"/>
      <c r="D475" s="12" t="str">
        <f t="shared" ca="1" si="42"/>
        <v/>
      </c>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2" t="str">
        <f t="shared" si="43"/>
        <v/>
      </c>
      <c r="AI475" s="12" t="str">
        <f>IF($B475="","",COUNTIF('Rework Log'!$A$3:$A$500,$B475))</f>
        <v/>
      </c>
      <c r="AJ475" s="12" t="str">
        <f>IF(OR($B475="",$AR475=0),"",INDEX('Rework Log'!$C:$C,$AR475))</f>
        <v/>
      </c>
      <c r="AK475" s="12" t="str">
        <f>IF(OR($B475="",$AR475=0),"",INDEX('Rework Log'!$H:$H,$AR475))</f>
        <v/>
      </c>
      <c r="AL475" s="12" t="str">
        <f>IF(OR($B475="",$AR475=0),"",INDEX('Rework Log'!$G:$G,$AR475))</f>
        <v/>
      </c>
      <c r="AM475" s="12" t="str">
        <f t="shared" si="44"/>
        <v/>
      </c>
      <c r="AN475" s="12" t="str">
        <f t="shared" si="45"/>
        <v/>
      </c>
      <c r="AO475" s="12" t="str">
        <f t="shared" si="46"/>
        <v/>
      </c>
      <c r="AP475" s="12" t="str">
        <f t="shared" si="47"/>
        <v/>
      </c>
      <c r="AQ475" s="1"/>
      <c r="AR475" s="12" t="str">
        <f>IF($B475="","",SUMPRODUCT(MAX(('Rework Log'!$A$3:$A$500=$B475)*ROW('Rework Log'!$A$3:$A$500))))</f>
        <v/>
      </c>
    </row>
    <row r="476" spans="1:44" x14ac:dyDescent="0.25">
      <c r="A476" s="1"/>
      <c r="B476" s="1"/>
      <c r="C476" s="1"/>
      <c r="D476" s="12" t="str">
        <f t="shared" ca="1" si="42"/>
        <v/>
      </c>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2" t="str">
        <f t="shared" si="43"/>
        <v/>
      </c>
      <c r="AI476" s="12" t="str">
        <f>IF($B476="","",COUNTIF('Rework Log'!$A$3:$A$500,$B476))</f>
        <v/>
      </c>
      <c r="AJ476" s="12" t="str">
        <f>IF(OR($B476="",$AR476=0),"",INDEX('Rework Log'!$C:$C,$AR476))</f>
        <v/>
      </c>
      <c r="AK476" s="12" t="str">
        <f>IF(OR($B476="",$AR476=0),"",INDEX('Rework Log'!$H:$H,$AR476))</f>
        <v/>
      </c>
      <c r="AL476" s="12" t="str">
        <f>IF(OR($B476="",$AR476=0),"",INDEX('Rework Log'!$G:$G,$AR476))</f>
        <v/>
      </c>
      <c r="AM476" s="12" t="str">
        <f t="shared" si="44"/>
        <v/>
      </c>
      <c r="AN476" s="12" t="str">
        <f t="shared" si="45"/>
        <v/>
      </c>
      <c r="AO476" s="12" t="str">
        <f t="shared" si="46"/>
        <v/>
      </c>
      <c r="AP476" s="12" t="str">
        <f t="shared" si="47"/>
        <v/>
      </c>
      <c r="AQ476" s="1"/>
      <c r="AR476" s="12" t="str">
        <f>IF($B476="","",SUMPRODUCT(MAX(('Rework Log'!$A$3:$A$500=$B476)*ROW('Rework Log'!$A$3:$A$500))))</f>
        <v/>
      </c>
    </row>
    <row r="477" spans="1:44" x14ac:dyDescent="0.25">
      <c r="A477" s="1"/>
      <c r="B477" s="1"/>
      <c r="C477" s="1"/>
      <c r="D477" s="12" t="str">
        <f t="shared" ca="1" si="42"/>
        <v/>
      </c>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2" t="str">
        <f t="shared" si="43"/>
        <v/>
      </c>
      <c r="AI477" s="12" t="str">
        <f>IF($B477="","",COUNTIF('Rework Log'!$A$3:$A$500,$B477))</f>
        <v/>
      </c>
      <c r="AJ477" s="12" t="str">
        <f>IF(OR($B477="",$AR477=0),"",INDEX('Rework Log'!$C:$C,$AR477))</f>
        <v/>
      </c>
      <c r="AK477" s="12" t="str">
        <f>IF(OR($B477="",$AR477=0),"",INDEX('Rework Log'!$H:$H,$AR477))</f>
        <v/>
      </c>
      <c r="AL477" s="12" t="str">
        <f>IF(OR($B477="",$AR477=0),"",INDEX('Rework Log'!$G:$G,$AR477))</f>
        <v/>
      </c>
      <c r="AM477" s="12" t="str">
        <f t="shared" si="44"/>
        <v/>
      </c>
      <c r="AN477" s="12" t="str">
        <f t="shared" si="45"/>
        <v/>
      </c>
      <c r="AO477" s="12" t="str">
        <f t="shared" si="46"/>
        <v/>
      </c>
      <c r="AP477" s="12" t="str">
        <f t="shared" si="47"/>
        <v/>
      </c>
      <c r="AQ477" s="1"/>
      <c r="AR477" s="12" t="str">
        <f>IF($B477="","",SUMPRODUCT(MAX(('Rework Log'!$A$3:$A$500=$B477)*ROW('Rework Log'!$A$3:$A$500))))</f>
        <v/>
      </c>
    </row>
    <row r="478" spans="1:44" x14ac:dyDescent="0.25">
      <c r="A478" s="1"/>
      <c r="B478" s="1"/>
      <c r="C478" s="1"/>
      <c r="D478" s="12" t="str">
        <f t="shared" ca="1" si="42"/>
        <v/>
      </c>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2" t="str">
        <f t="shared" si="43"/>
        <v/>
      </c>
      <c r="AI478" s="12" t="str">
        <f>IF($B478="","",COUNTIF('Rework Log'!$A$3:$A$500,$B478))</f>
        <v/>
      </c>
      <c r="AJ478" s="12" t="str">
        <f>IF(OR($B478="",$AR478=0),"",INDEX('Rework Log'!$C:$C,$AR478))</f>
        <v/>
      </c>
      <c r="AK478" s="12" t="str">
        <f>IF(OR($B478="",$AR478=0),"",INDEX('Rework Log'!$H:$H,$AR478))</f>
        <v/>
      </c>
      <c r="AL478" s="12" t="str">
        <f>IF(OR($B478="",$AR478=0),"",INDEX('Rework Log'!$G:$G,$AR478))</f>
        <v/>
      </c>
      <c r="AM478" s="12" t="str">
        <f t="shared" si="44"/>
        <v/>
      </c>
      <c r="AN478" s="12" t="str">
        <f t="shared" si="45"/>
        <v/>
      </c>
      <c r="AO478" s="12" t="str">
        <f t="shared" si="46"/>
        <v/>
      </c>
      <c r="AP478" s="12" t="str">
        <f t="shared" si="47"/>
        <v/>
      </c>
      <c r="AQ478" s="1"/>
      <c r="AR478" s="12" t="str">
        <f>IF($B478="","",SUMPRODUCT(MAX(('Rework Log'!$A$3:$A$500=$B478)*ROW('Rework Log'!$A$3:$A$500))))</f>
        <v/>
      </c>
    </row>
    <row r="479" spans="1:44" x14ac:dyDescent="0.25">
      <c r="A479" s="1"/>
      <c r="B479" s="1"/>
      <c r="C479" s="1"/>
      <c r="D479" s="12" t="str">
        <f t="shared" ca="1" si="42"/>
        <v/>
      </c>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2" t="str">
        <f t="shared" si="43"/>
        <v/>
      </c>
      <c r="AI479" s="12" t="str">
        <f>IF($B479="","",COUNTIF('Rework Log'!$A$3:$A$500,$B479))</f>
        <v/>
      </c>
      <c r="AJ479" s="12" t="str">
        <f>IF(OR($B479="",$AR479=0),"",INDEX('Rework Log'!$C:$C,$AR479))</f>
        <v/>
      </c>
      <c r="AK479" s="12" t="str">
        <f>IF(OR($B479="",$AR479=0),"",INDEX('Rework Log'!$H:$H,$AR479))</f>
        <v/>
      </c>
      <c r="AL479" s="12" t="str">
        <f>IF(OR($B479="",$AR479=0),"",INDEX('Rework Log'!$G:$G,$AR479))</f>
        <v/>
      </c>
      <c r="AM479" s="12" t="str">
        <f t="shared" si="44"/>
        <v/>
      </c>
      <c r="AN479" s="12" t="str">
        <f t="shared" si="45"/>
        <v/>
      </c>
      <c r="AO479" s="12" t="str">
        <f t="shared" si="46"/>
        <v/>
      </c>
      <c r="AP479" s="12" t="str">
        <f t="shared" si="47"/>
        <v/>
      </c>
      <c r="AQ479" s="1"/>
      <c r="AR479" s="12" t="str">
        <f>IF($B479="","",SUMPRODUCT(MAX(('Rework Log'!$A$3:$A$500=$B479)*ROW('Rework Log'!$A$3:$A$500))))</f>
        <v/>
      </c>
    </row>
    <row r="480" spans="1:44" x14ac:dyDescent="0.25">
      <c r="A480" s="1"/>
      <c r="B480" s="1"/>
      <c r="C480" s="1"/>
      <c r="D480" s="12" t="str">
        <f t="shared" ca="1" si="42"/>
        <v/>
      </c>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2" t="str">
        <f t="shared" si="43"/>
        <v/>
      </c>
      <c r="AI480" s="12" t="str">
        <f>IF($B480="","",COUNTIF('Rework Log'!$A$3:$A$500,$B480))</f>
        <v/>
      </c>
      <c r="AJ480" s="12" t="str">
        <f>IF(OR($B480="",$AR480=0),"",INDEX('Rework Log'!$C:$C,$AR480))</f>
        <v/>
      </c>
      <c r="AK480" s="12" t="str">
        <f>IF(OR($B480="",$AR480=0),"",INDEX('Rework Log'!$H:$H,$AR480))</f>
        <v/>
      </c>
      <c r="AL480" s="12" t="str">
        <f>IF(OR($B480="",$AR480=0),"",INDEX('Rework Log'!$G:$G,$AR480))</f>
        <v/>
      </c>
      <c r="AM480" s="12" t="str">
        <f t="shared" si="44"/>
        <v/>
      </c>
      <c r="AN480" s="12" t="str">
        <f t="shared" si="45"/>
        <v/>
      </c>
      <c r="AO480" s="12" t="str">
        <f t="shared" si="46"/>
        <v/>
      </c>
      <c r="AP480" s="12" t="str">
        <f t="shared" si="47"/>
        <v/>
      </c>
      <c r="AQ480" s="1"/>
      <c r="AR480" s="12" t="str">
        <f>IF($B480="","",SUMPRODUCT(MAX(('Rework Log'!$A$3:$A$500=$B480)*ROW('Rework Log'!$A$3:$A$500))))</f>
        <v/>
      </c>
    </row>
    <row r="481" spans="1:44" x14ac:dyDescent="0.25">
      <c r="A481" s="1"/>
      <c r="B481" s="1"/>
      <c r="C481" s="1"/>
      <c r="D481" s="12" t="str">
        <f t="shared" ca="1" si="42"/>
        <v/>
      </c>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2" t="str">
        <f t="shared" si="43"/>
        <v/>
      </c>
      <c r="AI481" s="12" t="str">
        <f>IF($B481="","",COUNTIF('Rework Log'!$A$3:$A$500,$B481))</f>
        <v/>
      </c>
      <c r="AJ481" s="12" t="str">
        <f>IF(OR($B481="",$AR481=0),"",INDEX('Rework Log'!$C:$C,$AR481))</f>
        <v/>
      </c>
      <c r="AK481" s="12" t="str">
        <f>IF(OR($B481="",$AR481=0),"",INDEX('Rework Log'!$H:$H,$AR481))</f>
        <v/>
      </c>
      <c r="AL481" s="12" t="str">
        <f>IF(OR($B481="",$AR481=0),"",INDEX('Rework Log'!$G:$G,$AR481))</f>
        <v/>
      </c>
      <c r="AM481" s="12" t="str">
        <f t="shared" si="44"/>
        <v/>
      </c>
      <c r="AN481" s="12" t="str">
        <f t="shared" si="45"/>
        <v/>
      </c>
      <c r="AO481" s="12" t="str">
        <f t="shared" si="46"/>
        <v/>
      </c>
      <c r="AP481" s="12" t="str">
        <f t="shared" si="47"/>
        <v/>
      </c>
      <c r="AQ481" s="1"/>
      <c r="AR481" s="12" t="str">
        <f>IF($B481="","",SUMPRODUCT(MAX(('Rework Log'!$A$3:$A$500=$B481)*ROW('Rework Log'!$A$3:$A$500))))</f>
        <v/>
      </c>
    </row>
    <row r="482" spans="1:44" x14ac:dyDescent="0.25">
      <c r="A482" s="1"/>
      <c r="B482" s="1"/>
      <c r="C482" s="1"/>
      <c r="D482" s="12" t="str">
        <f t="shared" ca="1" si="42"/>
        <v/>
      </c>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2" t="str">
        <f t="shared" si="43"/>
        <v/>
      </c>
      <c r="AI482" s="12" t="str">
        <f>IF($B482="","",COUNTIF('Rework Log'!$A$3:$A$500,$B482))</f>
        <v/>
      </c>
      <c r="AJ482" s="12" t="str">
        <f>IF(OR($B482="",$AR482=0),"",INDEX('Rework Log'!$C:$C,$AR482))</f>
        <v/>
      </c>
      <c r="AK482" s="12" t="str">
        <f>IF(OR($B482="",$AR482=0),"",INDEX('Rework Log'!$H:$H,$AR482))</f>
        <v/>
      </c>
      <c r="AL482" s="12" t="str">
        <f>IF(OR($B482="",$AR482=0),"",INDEX('Rework Log'!$G:$G,$AR482))</f>
        <v/>
      </c>
      <c r="AM482" s="12" t="str">
        <f t="shared" si="44"/>
        <v/>
      </c>
      <c r="AN482" s="12" t="str">
        <f t="shared" si="45"/>
        <v/>
      </c>
      <c r="AO482" s="12" t="str">
        <f t="shared" si="46"/>
        <v/>
      </c>
      <c r="AP482" s="12" t="str">
        <f t="shared" si="47"/>
        <v/>
      </c>
      <c r="AQ482" s="1"/>
      <c r="AR482" s="12" t="str">
        <f>IF($B482="","",SUMPRODUCT(MAX(('Rework Log'!$A$3:$A$500=$B482)*ROW('Rework Log'!$A$3:$A$500))))</f>
        <v/>
      </c>
    </row>
    <row r="483" spans="1:44" x14ac:dyDescent="0.25">
      <c r="A483" s="1"/>
      <c r="B483" s="1"/>
      <c r="C483" s="1"/>
      <c r="D483" s="12" t="str">
        <f t="shared" ca="1" si="42"/>
        <v/>
      </c>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2" t="str">
        <f t="shared" si="43"/>
        <v/>
      </c>
      <c r="AI483" s="12" t="str">
        <f>IF($B483="","",COUNTIF('Rework Log'!$A$3:$A$500,$B483))</f>
        <v/>
      </c>
      <c r="AJ483" s="12" t="str">
        <f>IF(OR($B483="",$AR483=0),"",INDEX('Rework Log'!$C:$C,$AR483))</f>
        <v/>
      </c>
      <c r="AK483" s="12" t="str">
        <f>IF(OR($B483="",$AR483=0),"",INDEX('Rework Log'!$H:$H,$AR483))</f>
        <v/>
      </c>
      <c r="AL483" s="12" t="str">
        <f>IF(OR($B483="",$AR483=0),"",INDEX('Rework Log'!$G:$G,$AR483))</f>
        <v/>
      </c>
      <c r="AM483" s="12" t="str">
        <f t="shared" si="44"/>
        <v/>
      </c>
      <c r="AN483" s="12" t="str">
        <f t="shared" si="45"/>
        <v/>
      </c>
      <c r="AO483" s="12" t="str">
        <f t="shared" si="46"/>
        <v/>
      </c>
      <c r="AP483" s="12" t="str">
        <f t="shared" si="47"/>
        <v/>
      </c>
      <c r="AQ483" s="1"/>
      <c r="AR483" s="12" t="str">
        <f>IF($B483="","",SUMPRODUCT(MAX(('Rework Log'!$A$3:$A$500=$B483)*ROW('Rework Log'!$A$3:$A$500))))</f>
        <v/>
      </c>
    </row>
    <row r="484" spans="1:44" x14ac:dyDescent="0.25">
      <c r="A484" s="1"/>
      <c r="B484" s="1"/>
      <c r="C484" s="1"/>
      <c r="D484" s="12" t="str">
        <f t="shared" ca="1" si="42"/>
        <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2" t="str">
        <f t="shared" si="43"/>
        <v/>
      </c>
      <c r="AI484" s="12" t="str">
        <f>IF($B484="","",COUNTIF('Rework Log'!$A$3:$A$500,$B484))</f>
        <v/>
      </c>
      <c r="AJ484" s="12" t="str">
        <f>IF(OR($B484="",$AR484=0),"",INDEX('Rework Log'!$C:$C,$AR484))</f>
        <v/>
      </c>
      <c r="AK484" s="12" t="str">
        <f>IF(OR($B484="",$AR484=0),"",INDEX('Rework Log'!$H:$H,$AR484))</f>
        <v/>
      </c>
      <c r="AL484" s="12" t="str">
        <f>IF(OR($B484="",$AR484=0),"",INDEX('Rework Log'!$G:$G,$AR484))</f>
        <v/>
      </c>
      <c r="AM484" s="12" t="str">
        <f t="shared" si="44"/>
        <v/>
      </c>
      <c r="AN484" s="12" t="str">
        <f t="shared" si="45"/>
        <v/>
      </c>
      <c r="AO484" s="12" t="str">
        <f t="shared" si="46"/>
        <v/>
      </c>
      <c r="AP484" s="12" t="str">
        <f t="shared" si="47"/>
        <v/>
      </c>
      <c r="AQ484" s="1"/>
      <c r="AR484" s="12" t="str">
        <f>IF($B484="","",SUMPRODUCT(MAX(('Rework Log'!$A$3:$A$500=$B484)*ROW('Rework Log'!$A$3:$A$500))))</f>
        <v/>
      </c>
    </row>
    <row r="485" spans="1:44" x14ac:dyDescent="0.25">
      <c r="A485" s="1"/>
      <c r="B485" s="1"/>
      <c r="C485" s="1"/>
      <c r="D485" s="12" t="str">
        <f t="shared" ca="1" si="42"/>
        <v/>
      </c>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2" t="str">
        <f t="shared" si="43"/>
        <v/>
      </c>
      <c r="AI485" s="12" t="str">
        <f>IF($B485="","",COUNTIF('Rework Log'!$A$3:$A$500,$B485))</f>
        <v/>
      </c>
      <c r="AJ485" s="12" t="str">
        <f>IF(OR($B485="",$AR485=0),"",INDEX('Rework Log'!$C:$C,$AR485))</f>
        <v/>
      </c>
      <c r="AK485" s="12" t="str">
        <f>IF(OR($B485="",$AR485=0),"",INDEX('Rework Log'!$H:$H,$AR485))</f>
        <v/>
      </c>
      <c r="AL485" s="12" t="str">
        <f>IF(OR($B485="",$AR485=0),"",INDEX('Rework Log'!$G:$G,$AR485))</f>
        <v/>
      </c>
      <c r="AM485" s="12" t="str">
        <f t="shared" si="44"/>
        <v/>
      </c>
      <c r="AN485" s="12" t="str">
        <f t="shared" si="45"/>
        <v/>
      </c>
      <c r="AO485" s="12" t="str">
        <f t="shared" si="46"/>
        <v/>
      </c>
      <c r="AP485" s="12" t="str">
        <f t="shared" si="47"/>
        <v/>
      </c>
      <c r="AQ485" s="1"/>
      <c r="AR485" s="12" t="str">
        <f>IF($B485="","",SUMPRODUCT(MAX(('Rework Log'!$A$3:$A$500=$B485)*ROW('Rework Log'!$A$3:$A$500))))</f>
        <v/>
      </c>
    </row>
    <row r="486" spans="1:44" x14ac:dyDescent="0.25">
      <c r="A486" s="1"/>
      <c r="B486" s="1"/>
      <c r="C486" s="1"/>
      <c r="D486" s="12" t="str">
        <f t="shared" ca="1" si="42"/>
        <v/>
      </c>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2" t="str">
        <f t="shared" si="43"/>
        <v/>
      </c>
      <c r="AI486" s="12" t="str">
        <f>IF($B486="","",COUNTIF('Rework Log'!$A$3:$A$500,$B486))</f>
        <v/>
      </c>
      <c r="AJ486" s="12" t="str">
        <f>IF(OR($B486="",$AR486=0),"",INDEX('Rework Log'!$C:$C,$AR486))</f>
        <v/>
      </c>
      <c r="AK486" s="12" t="str">
        <f>IF(OR($B486="",$AR486=0),"",INDEX('Rework Log'!$H:$H,$AR486))</f>
        <v/>
      </c>
      <c r="AL486" s="12" t="str">
        <f>IF(OR($B486="",$AR486=0),"",INDEX('Rework Log'!$G:$G,$AR486))</f>
        <v/>
      </c>
      <c r="AM486" s="12" t="str">
        <f t="shared" si="44"/>
        <v/>
      </c>
      <c r="AN486" s="12" t="str">
        <f t="shared" si="45"/>
        <v/>
      </c>
      <c r="AO486" s="12" t="str">
        <f t="shared" si="46"/>
        <v/>
      </c>
      <c r="AP486" s="12" t="str">
        <f t="shared" si="47"/>
        <v/>
      </c>
      <c r="AQ486" s="1"/>
      <c r="AR486" s="12" t="str">
        <f>IF($B486="","",SUMPRODUCT(MAX(('Rework Log'!$A$3:$A$500=$B486)*ROW('Rework Log'!$A$3:$A$500))))</f>
        <v/>
      </c>
    </row>
    <row r="487" spans="1:44" x14ac:dyDescent="0.25">
      <c r="A487" s="1"/>
      <c r="B487" s="1"/>
      <c r="C487" s="1"/>
      <c r="D487" s="12" t="str">
        <f t="shared" ca="1" si="42"/>
        <v/>
      </c>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2" t="str">
        <f t="shared" si="43"/>
        <v/>
      </c>
      <c r="AI487" s="12" t="str">
        <f>IF($B487="","",COUNTIF('Rework Log'!$A$3:$A$500,$B487))</f>
        <v/>
      </c>
      <c r="AJ487" s="12" t="str">
        <f>IF(OR($B487="",$AR487=0),"",INDEX('Rework Log'!$C:$C,$AR487))</f>
        <v/>
      </c>
      <c r="AK487" s="12" t="str">
        <f>IF(OR($B487="",$AR487=0),"",INDEX('Rework Log'!$H:$H,$AR487))</f>
        <v/>
      </c>
      <c r="AL487" s="12" t="str">
        <f>IF(OR($B487="",$AR487=0),"",INDEX('Rework Log'!$G:$G,$AR487))</f>
        <v/>
      </c>
      <c r="AM487" s="12" t="str">
        <f t="shared" si="44"/>
        <v/>
      </c>
      <c r="AN487" s="12" t="str">
        <f t="shared" si="45"/>
        <v/>
      </c>
      <c r="AO487" s="12" t="str">
        <f t="shared" si="46"/>
        <v/>
      </c>
      <c r="AP487" s="12" t="str">
        <f t="shared" si="47"/>
        <v/>
      </c>
      <c r="AQ487" s="1"/>
      <c r="AR487" s="12" t="str">
        <f>IF($B487="","",SUMPRODUCT(MAX(('Rework Log'!$A$3:$A$500=$B487)*ROW('Rework Log'!$A$3:$A$500))))</f>
        <v/>
      </c>
    </row>
    <row r="488" spans="1:44" x14ac:dyDescent="0.25">
      <c r="A488" s="1"/>
      <c r="B488" s="1"/>
      <c r="C488" s="1"/>
      <c r="D488" s="12" t="str">
        <f t="shared" ca="1" si="42"/>
        <v/>
      </c>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2" t="str">
        <f t="shared" si="43"/>
        <v/>
      </c>
      <c r="AI488" s="12" t="str">
        <f>IF($B488="","",COUNTIF('Rework Log'!$A$3:$A$500,$B488))</f>
        <v/>
      </c>
      <c r="AJ488" s="12" t="str">
        <f>IF(OR($B488="",$AR488=0),"",INDEX('Rework Log'!$C:$C,$AR488))</f>
        <v/>
      </c>
      <c r="AK488" s="12" t="str">
        <f>IF(OR($B488="",$AR488=0),"",INDEX('Rework Log'!$H:$H,$AR488))</f>
        <v/>
      </c>
      <c r="AL488" s="12" t="str">
        <f>IF(OR($B488="",$AR488=0),"",INDEX('Rework Log'!$G:$G,$AR488))</f>
        <v/>
      </c>
      <c r="AM488" s="12" t="str">
        <f t="shared" si="44"/>
        <v/>
      </c>
      <c r="AN488" s="12" t="str">
        <f t="shared" si="45"/>
        <v/>
      </c>
      <c r="AO488" s="12" t="str">
        <f t="shared" si="46"/>
        <v/>
      </c>
      <c r="AP488" s="12" t="str">
        <f t="shared" si="47"/>
        <v/>
      </c>
      <c r="AQ488" s="1"/>
      <c r="AR488" s="12" t="str">
        <f>IF($B488="","",SUMPRODUCT(MAX(('Rework Log'!$A$3:$A$500=$B488)*ROW('Rework Log'!$A$3:$A$500))))</f>
        <v/>
      </c>
    </row>
    <row r="489" spans="1:44" x14ac:dyDescent="0.25">
      <c r="A489" s="1"/>
      <c r="B489" s="1"/>
      <c r="C489" s="1"/>
      <c r="D489" s="12" t="str">
        <f t="shared" ca="1" si="42"/>
        <v/>
      </c>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2" t="str">
        <f t="shared" si="43"/>
        <v/>
      </c>
      <c r="AI489" s="12" t="str">
        <f>IF($B489="","",COUNTIF('Rework Log'!$A$3:$A$500,$B489))</f>
        <v/>
      </c>
      <c r="AJ489" s="12" t="str">
        <f>IF(OR($B489="",$AR489=0),"",INDEX('Rework Log'!$C:$C,$AR489))</f>
        <v/>
      </c>
      <c r="AK489" s="12" t="str">
        <f>IF(OR($B489="",$AR489=0),"",INDEX('Rework Log'!$H:$H,$AR489))</f>
        <v/>
      </c>
      <c r="AL489" s="12" t="str">
        <f>IF(OR($B489="",$AR489=0),"",INDEX('Rework Log'!$G:$G,$AR489))</f>
        <v/>
      </c>
      <c r="AM489" s="12" t="str">
        <f t="shared" si="44"/>
        <v/>
      </c>
      <c r="AN489" s="12" t="str">
        <f t="shared" si="45"/>
        <v/>
      </c>
      <c r="AO489" s="12" t="str">
        <f t="shared" si="46"/>
        <v/>
      </c>
      <c r="AP489" s="12" t="str">
        <f t="shared" si="47"/>
        <v/>
      </c>
      <c r="AQ489" s="1"/>
      <c r="AR489" s="12" t="str">
        <f>IF($B489="","",SUMPRODUCT(MAX(('Rework Log'!$A$3:$A$500=$B489)*ROW('Rework Log'!$A$3:$A$500))))</f>
        <v/>
      </c>
    </row>
    <row r="490" spans="1:44" x14ac:dyDescent="0.25">
      <c r="A490" s="1"/>
      <c r="B490" s="1"/>
      <c r="C490" s="1"/>
      <c r="D490" s="12" t="str">
        <f t="shared" ca="1" si="42"/>
        <v/>
      </c>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2" t="str">
        <f t="shared" si="43"/>
        <v/>
      </c>
      <c r="AI490" s="12" t="str">
        <f>IF($B490="","",COUNTIF('Rework Log'!$A$3:$A$500,$B490))</f>
        <v/>
      </c>
      <c r="AJ490" s="12" t="str">
        <f>IF(OR($B490="",$AR490=0),"",INDEX('Rework Log'!$C:$C,$AR490))</f>
        <v/>
      </c>
      <c r="AK490" s="12" t="str">
        <f>IF(OR($B490="",$AR490=0),"",INDEX('Rework Log'!$H:$H,$AR490))</f>
        <v/>
      </c>
      <c r="AL490" s="12" t="str">
        <f>IF(OR($B490="",$AR490=0),"",INDEX('Rework Log'!$G:$G,$AR490))</f>
        <v/>
      </c>
      <c r="AM490" s="12" t="str">
        <f t="shared" si="44"/>
        <v/>
      </c>
      <c r="AN490" s="12" t="str">
        <f t="shared" si="45"/>
        <v/>
      </c>
      <c r="AO490" s="12" t="str">
        <f t="shared" si="46"/>
        <v/>
      </c>
      <c r="AP490" s="12" t="str">
        <f t="shared" si="47"/>
        <v/>
      </c>
      <c r="AQ490" s="1"/>
      <c r="AR490" s="12" t="str">
        <f>IF($B490="","",SUMPRODUCT(MAX(('Rework Log'!$A$3:$A$500=$B490)*ROW('Rework Log'!$A$3:$A$500))))</f>
        <v/>
      </c>
    </row>
    <row r="491" spans="1:44" x14ac:dyDescent="0.25">
      <c r="A491" s="1"/>
      <c r="B491" s="1"/>
      <c r="C491" s="1"/>
      <c r="D491" s="12" t="str">
        <f t="shared" ca="1" si="42"/>
        <v/>
      </c>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2" t="str">
        <f t="shared" si="43"/>
        <v/>
      </c>
      <c r="AI491" s="12" t="str">
        <f>IF($B491="","",COUNTIF('Rework Log'!$A$3:$A$500,$B491))</f>
        <v/>
      </c>
      <c r="AJ491" s="12" t="str">
        <f>IF(OR($B491="",$AR491=0),"",INDEX('Rework Log'!$C:$C,$AR491))</f>
        <v/>
      </c>
      <c r="AK491" s="12" t="str">
        <f>IF(OR($B491="",$AR491=0),"",INDEX('Rework Log'!$H:$H,$AR491))</f>
        <v/>
      </c>
      <c r="AL491" s="12" t="str">
        <f>IF(OR($B491="",$AR491=0),"",INDEX('Rework Log'!$G:$G,$AR491))</f>
        <v/>
      </c>
      <c r="AM491" s="12" t="str">
        <f t="shared" si="44"/>
        <v/>
      </c>
      <c r="AN491" s="12" t="str">
        <f t="shared" si="45"/>
        <v/>
      </c>
      <c r="AO491" s="12" t="str">
        <f t="shared" si="46"/>
        <v/>
      </c>
      <c r="AP491" s="12" t="str">
        <f t="shared" si="47"/>
        <v/>
      </c>
      <c r="AQ491" s="1"/>
      <c r="AR491" s="12" t="str">
        <f>IF($B491="","",SUMPRODUCT(MAX(('Rework Log'!$A$3:$A$500=$B491)*ROW('Rework Log'!$A$3:$A$500))))</f>
        <v/>
      </c>
    </row>
    <row r="492" spans="1:44" x14ac:dyDescent="0.25">
      <c r="A492" s="1"/>
      <c r="B492" s="1"/>
      <c r="C492" s="1"/>
      <c r="D492" s="12" t="str">
        <f t="shared" ca="1" si="42"/>
        <v/>
      </c>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2" t="str">
        <f t="shared" si="43"/>
        <v/>
      </c>
      <c r="AI492" s="12" t="str">
        <f>IF($B492="","",COUNTIF('Rework Log'!$A$3:$A$500,$B492))</f>
        <v/>
      </c>
      <c r="AJ492" s="12" t="str">
        <f>IF(OR($B492="",$AR492=0),"",INDEX('Rework Log'!$C:$C,$AR492))</f>
        <v/>
      </c>
      <c r="AK492" s="12" t="str">
        <f>IF(OR($B492="",$AR492=0),"",INDEX('Rework Log'!$H:$H,$AR492))</f>
        <v/>
      </c>
      <c r="AL492" s="12" t="str">
        <f>IF(OR($B492="",$AR492=0),"",INDEX('Rework Log'!$G:$G,$AR492))</f>
        <v/>
      </c>
      <c r="AM492" s="12" t="str">
        <f t="shared" si="44"/>
        <v/>
      </c>
      <c r="AN492" s="12" t="str">
        <f t="shared" si="45"/>
        <v/>
      </c>
      <c r="AO492" s="12" t="str">
        <f t="shared" si="46"/>
        <v/>
      </c>
      <c r="AP492" s="12" t="str">
        <f t="shared" si="47"/>
        <v/>
      </c>
      <c r="AQ492" s="1"/>
      <c r="AR492" s="12" t="str">
        <f>IF($B492="","",SUMPRODUCT(MAX(('Rework Log'!$A$3:$A$500=$B492)*ROW('Rework Log'!$A$3:$A$500))))</f>
        <v/>
      </c>
    </row>
    <row r="493" spans="1:44" x14ac:dyDescent="0.25">
      <c r="A493" s="1"/>
      <c r="B493" s="1"/>
      <c r="C493" s="1"/>
      <c r="D493" s="12" t="str">
        <f t="shared" ca="1" si="42"/>
        <v/>
      </c>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2" t="str">
        <f t="shared" si="43"/>
        <v/>
      </c>
      <c r="AI493" s="12" t="str">
        <f>IF($B493="","",COUNTIF('Rework Log'!$A$3:$A$500,$B493))</f>
        <v/>
      </c>
      <c r="AJ493" s="12" t="str">
        <f>IF(OR($B493="",$AR493=0),"",INDEX('Rework Log'!$C:$C,$AR493))</f>
        <v/>
      </c>
      <c r="AK493" s="12" t="str">
        <f>IF(OR($B493="",$AR493=0),"",INDEX('Rework Log'!$H:$H,$AR493))</f>
        <v/>
      </c>
      <c r="AL493" s="12" t="str">
        <f>IF(OR($B493="",$AR493=0),"",INDEX('Rework Log'!$G:$G,$AR493))</f>
        <v/>
      </c>
      <c r="AM493" s="12" t="str">
        <f t="shared" si="44"/>
        <v/>
      </c>
      <c r="AN493" s="12" t="str">
        <f t="shared" si="45"/>
        <v/>
      </c>
      <c r="AO493" s="12" t="str">
        <f t="shared" si="46"/>
        <v/>
      </c>
      <c r="AP493" s="12" t="str">
        <f t="shared" si="47"/>
        <v/>
      </c>
      <c r="AQ493" s="1"/>
      <c r="AR493" s="12" t="str">
        <f>IF($B493="","",SUMPRODUCT(MAX(('Rework Log'!$A$3:$A$500=$B493)*ROW('Rework Log'!$A$3:$A$500))))</f>
        <v/>
      </c>
    </row>
    <row r="494" spans="1:44" x14ac:dyDescent="0.25">
      <c r="A494" s="1"/>
      <c r="B494" s="1"/>
      <c r="C494" s="1"/>
      <c r="D494" s="12" t="str">
        <f t="shared" ca="1" si="42"/>
        <v/>
      </c>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2" t="str">
        <f t="shared" si="43"/>
        <v/>
      </c>
      <c r="AI494" s="12" t="str">
        <f>IF($B494="","",COUNTIF('Rework Log'!$A$3:$A$500,$B494))</f>
        <v/>
      </c>
      <c r="AJ494" s="12" t="str">
        <f>IF(OR($B494="",$AR494=0),"",INDEX('Rework Log'!$C:$C,$AR494))</f>
        <v/>
      </c>
      <c r="AK494" s="12" t="str">
        <f>IF(OR($B494="",$AR494=0),"",INDEX('Rework Log'!$H:$H,$AR494))</f>
        <v/>
      </c>
      <c r="AL494" s="12" t="str">
        <f>IF(OR($B494="",$AR494=0),"",INDEX('Rework Log'!$G:$G,$AR494))</f>
        <v/>
      </c>
      <c r="AM494" s="12" t="str">
        <f t="shared" si="44"/>
        <v/>
      </c>
      <c r="AN494" s="12" t="str">
        <f t="shared" si="45"/>
        <v/>
      </c>
      <c r="AO494" s="12" t="str">
        <f t="shared" si="46"/>
        <v/>
      </c>
      <c r="AP494" s="12" t="str">
        <f t="shared" si="47"/>
        <v/>
      </c>
      <c r="AQ494" s="1"/>
      <c r="AR494" s="12" t="str">
        <f>IF($B494="","",SUMPRODUCT(MAX(('Rework Log'!$A$3:$A$500=$B494)*ROW('Rework Log'!$A$3:$A$500))))</f>
        <v/>
      </c>
    </row>
    <row r="495" spans="1:44" x14ac:dyDescent="0.25">
      <c r="A495" s="1"/>
      <c r="B495" s="1"/>
      <c r="C495" s="1"/>
      <c r="D495" s="12" t="str">
        <f t="shared" ca="1" si="42"/>
        <v/>
      </c>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2" t="str">
        <f t="shared" si="43"/>
        <v/>
      </c>
      <c r="AI495" s="12" t="str">
        <f>IF($B495="","",COUNTIF('Rework Log'!$A$3:$A$500,$B495))</f>
        <v/>
      </c>
      <c r="AJ495" s="12" t="str">
        <f>IF(OR($B495="",$AR495=0),"",INDEX('Rework Log'!$C:$C,$AR495))</f>
        <v/>
      </c>
      <c r="AK495" s="12" t="str">
        <f>IF(OR($B495="",$AR495=0),"",INDEX('Rework Log'!$H:$H,$AR495))</f>
        <v/>
      </c>
      <c r="AL495" s="12" t="str">
        <f>IF(OR($B495="",$AR495=0),"",INDEX('Rework Log'!$G:$G,$AR495))</f>
        <v/>
      </c>
      <c r="AM495" s="12" t="str">
        <f t="shared" si="44"/>
        <v/>
      </c>
      <c r="AN495" s="12" t="str">
        <f t="shared" si="45"/>
        <v/>
      </c>
      <c r="AO495" s="12" t="str">
        <f t="shared" si="46"/>
        <v/>
      </c>
      <c r="AP495" s="12" t="str">
        <f t="shared" si="47"/>
        <v/>
      </c>
      <c r="AQ495" s="1"/>
      <c r="AR495" s="12" t="str">
        <f>IF($B495="","",SUMPRODUCT(MAX(('Rework Log'!$A$3:$A$500=$B495)*ROW('Rework Log'!$A$3:$A$500))))</f>
        <v/>
      </c>
    </row>
    <row r="496" spans="1:44" x14ac:dyDescent="0.25">
      <c r="A496" s="1"/>
      <c r="B496" s="1"/>
      <c r="C496" s="1"/>
      <c r="D496" s="12" t="str">
        <f t="shared" ca="1" si="42"/>
        <v/>
      </c>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2" t="str">
        <f t="shared" si="43"/>
        <v/>
      </c>
      <c r="AI496" s="12" t="str">
        <f>IF($B496="","",COUNTIF('Rework Log'!$A$3:$A$500,$B496))</f>
        <v/>
      </c>
      <c r="AJ496" s="12" t="str">
        <f>IF(OR($B496="",$AR496=0),"",INDEX('Rework Log'!$C:$C,$AR496))</f>
        <v/>
      </c>
      <c r="AK496" s="12" t="str">
        <f>IF(OR($B496="",$AR496=0),"",INDEX('Rework Log'!$H:$H,$AR496))</f>
        <v/>
      </c>
      <c r="AL496" s="12" t="str">
        <f>IF(OR($B496="",$AR496=0),"",INDEX('Rework Log'!$G:$G,$AR496))</f>
        <v/>
      </c>
      <c r="AM496" s="12" t="str">
        <f t="shared" si="44"/>
        <v/>
      </c>
      <c r="AN496" s="12" t="str">
        <f t="shared" si="45"/>
        <v/>
      </c>
      <c r="AO496" s="12" t="str">
        <f t="shared" si="46"/>
        <v/>
      </c>
      <c r="AP496" s="12" t="str">
        <f t="shared" si="47"/>
        <v/>
      </c>
      <c r="AQ496" s="1"/>
      <c r="AR496" s="12" t="str">
        <f>IF($B496="","",SUMPRODUCT(MAX(('Rework Log'!$A$3:$A$500=$B496)*ROW('Rework Log'!$A$3:$A$500))))</f>
        <v/>
      </c>
    </row>
    <row r="497" spans="1:44" x14ac:dyDescent="0.25">
      <c r="A497" s="1"/>
      <c r="B497" s="1"/>
      <c r="C497" s="1"/>
      <c r="D497" s="12" t="str">
        <f t="shared" ca="1" si="42"/>
        <v/>
      </c>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2" t="str">
        <f t="shared" si="43"/>
        <v/>
      </c>
      <c r="AI497" s="12" t="str">
        <f>IF($B497="","",COUNTIF('Rework Log'!$A$3:$A$500,$B497))</f>
        <v/>
      </c>
      <c r="AJ497" s="12" t="str">
        <f>IF(OR($B497="",$AR497=0),"",INDEX('Rework Log'!$C:$C,$AR497))</f>
        <v/>
      </c>
      <c r="AK497" s="12" t="str">
        <f>IF(OR($B497="",$AR497=0),"",INDEX('Rework Log'!$H:$H,$AR497))</f>
        <v/>
      </c>
      <c r="AL497" s="12" t="str">
        <f>IF(OR($B497="",$AR497=0),"",INDEX('Rework Log'!$G:$G,$AR497))</f>
        <v/>
      </c>
      <c r="AM497" s="12" t="str">
        <f t="shared" si="44"/>
        <v/>
      </c>
      <c r="AN497" s="12" t="str">
        <f t="shared" si="45"/>
        <v/>
      </c>
      <c r="AO497" s="12" t="str">
        <f t="shared" si="46"/>
        <v/>
      </c>
      <c r="AP497" s="12" t="str">
        <f t="shared" si="47"/>
        <v/>
      </c>
      <c r="AQ497" s="1"/>
      <c r="AR497" s="12" t="str">
        <f>IF($B497="","",SUMPRODUCT(MAX(('Rework Log'!$A$3:$A$500=$B497)*ROW('Rework Log'!$A$3:$A$500))))</f>
        <v/>
      </c>
    </row>
    <row r="498" spans="1:44" x14ac:dyDescent="0.25">
      <c r="A498" s="1"/>
      <c r="B498" s="1"/>
      <c r="C498" s="1"/>
      <c r="D498" s="12" t="str">
        <f t="shared" ca="1" si="42"/>
        <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2" t="str">
        <f t="shared" si="43"/>
        <v/>
      </c>
      <c r="AI498" s="12" t="str">
        <f>IF($B498="","",COUNTIF('Rework Log'!$A$3:$A$500,$B498))</f>
        <v/>
      </c>
      <c r="AJ498" s="12" t="str">
        <f>IF(OR($B498="",$AR498=0),"",INDEX('Rework Log'!$C:$C,$AR498))</f>
        <v/>
      </c>
      <c r="AK498" s="12" t="str">
        <f>IF(OR($B498="",$AR498=0),"",INDEX('Rework Log'!$H:$H,$AR498))</f>
        <v/>
      </c>
      <c r="AL498" s="12" t="str">
        <f>IF(OR($B498="",$AR498=0),"",INDEX('Rework Log'!$G:$G,$AR498))</f>
        <v/>
      </c>
      <c r="AM498" s="12" t="str">
        <f t="shared" si="44"/>
        <v/>
      </c>
      <c r="AN498" s="12" t="str">
        <f t="shared" si="45"/>
        <v/>
      </c>
      <c r="AO498" s="12" t="str">
        <f t="shared" si="46"/>
        <v/>
      </c>
      <c r="AP498" s="12" t="str">
        <f t="shared" si="47"/>
        <v/>
      </c>
      <c r="AQ498" s="1"/>
      <c r="AR498" s="12" t="str">
        <f>IF($B498="","",SUMPRODUCT(MAX(('Rework Log'!$A$3:$A$500=$B498)*ROW('Rework Log'!$A$3:$A$500))))</f>
        <v/>
      </c>
    </row>
    <row r="499" spans="1:44" x14ac:dyDescent="0.25">
      <c r="A499" s="1"/>
      <c r="B499" s="1"/>
      <c r="C499" s="1"/>
      <c r="D499" s="12" t="str">
        <f t="shared" ca="1" si="42"/>
        <v/>
      </c>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2" t="str">
        <f t="shared" si="43"/>
        <v/>
      </c>
      <c r="AI499" s="12" t="str">
        <f>IF($B499="","",COUNTIF('Rework Log'!$A$3:$A$500,$B499))</f>
        <v/>
      </c>
      <c r="AJ499" s="12" t="str">
        <f>IF(OR($B499="",$AR499=0),"",INDEX('Rework Log'!$C:$C,$AR499))</f>
        <v/>
      </c>
      <c r="AK499" s="12" t="str">
        <f>IF(OR($B499="",$AR499=0),"",INDEX('Rework Log'!$H:$H,$AR499))</f>
        <v/>
      </c>
      <c r="AL499" s="12" t="str">
        <f>IF(OR($B499="",$AR499=0),"",INDEX('Rework Log'!$G:$G,$AR499))</f>
        <v/>
      </c>
      <c r="AM499" s="12" t="str">
        <f t="shared" si="44"/>
        <v/>
      </c>
      <c r="AN499" s="12" t="str">
        <f t="shared" si="45"/>
        <v/>
      </c>
      <c r="AO499" s="12" t="str">
        <f t="shared" si="46"/>
        <v/>
      </c>
      <c r="AP499" s="12" t="str">
        <f t="shared" si="47"/>
        <v/>
      </c>
      <c r="AQ499" s="1"/>
      <c r="AR499" s="12" t="str">
        <f>IF($B499="","",SUMPRODUCT(MAX(('Rework Log'!$A$3:$A$500=$B499)*ROW('Rework Log'!$A$3:$A$500))))</f>
        <v/>
      </c>
    </row>
    <row r="500" spans="1:44" x14ac:dyDescent="0.25">
      <c r="A500" s="1"/>
      <c r="B500" s="1"/>
      <c r="C500" s="1"/>
      <c r="D500" s="12" t="str">
        <f t="shared" ca="1" si="42"/>
        <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2" t="str">
        <f t="shared" si="43"/>
        <v/>
      </c>
      <c r="AI500" s="12" t="str">
        <f>IF($B500="","",COUNTIF('Rework Log'!$A$3:$A$500,$B500))</f>
        <v/>
      </c>
      <c r="AJ500" s="12" t="str">
        <f>IF(OR($B500="",$AR500=0),"",INDEX('Rework Log'!$C:$C,$AR500))</f>
        <v/>
      </c>
      <c r="AK500" s="12" t="str">
        <f>IF(OR($B500="",$AR500=0),"",INDEX('Rework Log'!$H:$H,$AR500))</f>
        <v/>
      </c>
      <c r="AL500" s="12" t="str">
        <f>IF(OR($B500="",$AR500=0),"",INDEX('Rework Log'!$G:$G,$AR500))</f>
        <v/>
      </c>
      <c r="AM500" s="12" t="str">
        <f t="shared" si="44"/>
        <v/>
      </c>
      <c r="AN500" s="12" t="str">
        <f t="shared" si="45"/>
        <v/>
      </c>
      <c r="AO500" s="12" t="str">
        <f t="shared" si="46"/>
        <v/>
      </c>
      <c r="AP500" s="12" t="str">
        <f t="shared" si="47"/>
        <v/>
      </c>
      <c r="AQ500" s="1"/>
      <c r="AR500" s="12" t="str">
        <f>IF($B500="","",SUMPRODUCT(MAX(('Rework Log'!$A$3:$A$500=$B500)*ROW('Rework Log'!$A$3:$A$500))))</f>
        <v/>
      </c>
    </row>
  </sheetData>
  <conditionalFormatting sqref="D2:D500">
    <cfRule type="expression" dxfId="16" priority="1" stopIfTrue="1">
      <formula>ISNUMBER(SEARCH("overdue",$D2))</formula>
    </cfRule>
    <cfRule type="expression" dxfId="15" priority="2" stopIfTrue="1">
      <formula>ISNUMBER(SEARCH("no target",$D2))</formula>
    </cfRule>
    <cfRule type="expression" dxfId="14" priority="3" stopIfTrue="1">
      <formula>ISNUMBER(SEARCH("Review",$D2))</formula>
    </cfRule>
    <cfRule type="expression" dxfId="13" priority="4" stopIfTrue="1">
      <formula>OR($D2="On track",$D2="Delivered")</formula>
    </cfRule>
  </conditionalFormatting>
  <conditionalFormatting sqref="M2:P500">
    <cfRule type="expression" dxfId="12" priority="14">
      <formula>OR(AND($AF2="Yes",$AG2="DB Dev"),AND($AF2="Yes",$AG2="",$C2="DB Dev"))</formula>
    </cfRule>
  </conditionalFormatting>
  <conditionalFormatting sqref="Q2:T500">
    <cfRule type="expression" dxfId="11" priority="15">
      <formula>OR(AND($AF2="Yes",$AG2="PBI Dev"),AND($AF2="Yes",$AG2="",$C2="PBI Dev"))</formula>
    </cfRule>
  </conditionalFormatting>
  <conditionalFormatting sqref="U2:X500">
    <cfRule type="expression" dxfId="10" priority="16">
      <formula>OR(AND($AF2="Yes",$AG2="QA"),AND($AF2="Yes",$AG2="",$C2="QA"))</formula>
    </cfRule>
  </conditionalFormatting>
  <conditionalFormatting sqref="Y2:AA500">
    <cfRule type="expression" dxfId="9" priority="17">
      <formula>OR(AND($AF2="Yes",$AG2="DPO Approval"),AND($AF2="Yes",$AG2="",$C2="DPO Approval"))</formula>
    </cfRule>
  </conditionalFormatting>
  <conditionalFormatting sqref="AB2:AB500">
    <cfRule type="expression" dxfId="8" priority="13">
      <formula>$AB2="Yes"</formula>
    </cfRule>
  </conditionalFormatting>
  <conditionalFormatting sqref="AF2:AF500">
    <cfRule type="expression" dxfId="7" priority="5">
      <formula>$AF2="Yes"</formula>
    </cfRule>
  </conditionalFormatting>
  <conditionalFormatting sqref="AH2:AH500">
    <cfRule type="expression" dxfId="6" priority="6">
      <formula>$AH2&lt;&gt;""</formula>
    </cfRule>
  </conditionalFormatting>
  <conditionalFormatting sqref="AI2:AI500">
    <cfRule type="expression" dxfId="5" priority="7">
      <formula>$AI2&gt;0</formula>
    </cfRule>
  </conditionalFormatting>
  <conditionalFormatting sqref="AJ2:AJ500">
    <cfRule type="expression" dxfId="4" priority="8">
      <formula>$AJ2&lt;&gt;""</formula>
    </cfRule>
  </conditionalFormatting>
  <conditionalFormatting sqref="AL2:AL500">
    <cfRule type="expression" dxfId="3" priority="9">
      <formula>$AL2&lt;&gt;""</formula>
    </cfRule>
  </conditionalFormatting>
  <conditionalFormatting sqref="AN2:AN500">
    <cfRule type="expression" dxfId="2" priority="10">
      <formula>ISNUMBER(SEARCH("Yes",$AN2))</formula>
    </cfRule>
  </conditionalFormatting>
  <conditionalFormatting sqref="AO2:AO500">
    <cfRule type="expression" dxfId="1" priority="11">
      <formula>$AO2&lt;&gt;""</formula>
    </cfRule>
  </conditionalFormatting>
  <conditionalFormatting sqref="AP2:AP500">
    <cfRule type="expression" dxfId="0" priority="12">
      <formula>$AP2&lt;&gt;""</formula>
    </cfRule>
  </conditionalFormatting>
  <dataValidations count="1">
    <dataValidation type="date" allowBlank="1" showInputMessage="1" showErrorMessage="1" errorTitle="Dates only in this column" error="This column only accepts real dates._x000a_Put anything else in Comments instead." promptTitle="Enter a date" prompt="Use the date picker or type a date. Notes go in Comments." sqref="K2:K500 AC2:AC500 M2:Z500" xr:uid="{00000000-0002-0000-0100-000008000000}">
      <formula1>DATE(2020,1,1)</formula1>
      <formula2>DATE(2099,12,31)</formula2>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9">
        <x14:dataValidation type="list" allowBlank="1" showInputMessage="1" promptTitle="Domain" prompt="Pick from the list, or type a new domain." xr:uid="{00000000-0002-0000-0100-000000000000}">
          <x14:formula1>
            <xm:f>'Data Validation'!$A$3:$A$7</xm:f>
          </x14:formula1>
          <xm:sqref>A2:A500</xm:sqref>
        </x14:dataValidation>
        <x14:dataValidation type="list" allowBlank="1" showInputMessage="1" promptTitle="DB Developer" prompt="Pick from the list, or type a new name." xr:uid="{00000000-0002-0000-0100-000001000000}">
          <x14:formula1>
            <xm:f>'Data Validation'!$B$3:$B$10</xm:f>
          </x14:formula1>
          <xm:sqref>G2:G500</xm:sqref>
        </x14:dataValidation>
        <x14:dataValidation type="list" allowBlank="1" showInputMessage="1" promptTitle="PBI Developer" prompt="Pick from the list, or type a new name." xr:uid="{00000000-0002-0000-0100-000002000000}">
          <x14:formula1>
            <xm:f>'Data Validation'!$C$3:$C$5</xm:f>
          </x14:formula1>
          <xm:sqref>H2:H500</xm:sqref>
        </x14:dataValidation>
        <x14:dataValidation type="list" allowBlank="1" showInputMessage="1" promptTitle="PO" prompt="Pick from the list, or type a new PO name." xr:uid="{00000000-0002-0000-0100-000003000000}">
          <x14:formula1>
            <xm:f>'Data Validation'!$D$3:$D$4</xm:f>
          </x14:formula1>
          <xm:sqref>F2:F500</xm:sqref>
        </x14:dataValidation>
        <x14:dataValidation type="list" allowBlank="1" showInputMessage="1" promptTitle="QA Tester" prompt="Pick from the list, or type a new name." xr:uid="{00000000-0002-0000-0100-000004000000}">
          <x14:formula1>
            <xm:f>'Data Validation'!$H$3:$H$6</xm:f>
          </x14:formula1>
          <xm:sqref>I2:I500</xm:sqref>
        </x14:dataValidation>
        <x14:dataValidation type="list" allowBlank="1" showInputMessage="1" showErrorMessage="1" promptTitle="Blocked?" prompt="Is this report blocked? Yes/No." xr:uid="{00000000-0002-0000-0100-000005000000}">
          <x14:formula1>
            <xm:f>'Data Validation'!$E$3:$E$4</xm:f>
          </x14:formula1>
          <xm:sqref>AF2:AF500</xm:sqref>
        </x14:dataValidation>
        <x14:dataValidation type="list" allowBlank="1" showInputMessage="1" promptTitle="Current Status" prompt="Pick the stage this report is in." xr:uid="{00000000-0002-0000-0100-000006000000}">
          <x14:formula1>
            <xm:f>'Data Validation'!$F$3:$F$7</xm:f>
          </x14:formula1>
          <xm:sqref>C2:C500</xm:sqref>
        </x14:dataValidation>
        <x14:dataValidation type="list" allowBlank="1" showInputMessage="1" showErrorMessage="1" promptTitle="Confirmed Deployed?" prompt="Confirmed live in production? Yes/No." xr:uid="{00000000-0002-0000-0100-000007000000}">
          <x14:formula1>
            <xm:f>'Data Validation'!$E$3:$E$4</xm:f>
          </x14:formula1>
          <xm:sqref>AB2:AB500</xm:sqref>
        </x14:dataValidation>
        <x14:dataValidation type="list" allowBlank="1" showInputMessage="1" promptTitle="Blocked - Needs Return To" prompt="Only fill this in if a PREVIOUS stage needs to fix something (e.g. QA found a bug only DB Dev can fix). Leave blank if just stuck waiting on something in its current stage." xr:uid="{00000000-0002-0000-0100-000018000000}">
          <x14:formula1>
            <xm:f>'Data Validation'!$F$4:$F$7</xm:f>
          </x14:formula1>
          <xm:sqref>AG2:AG500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showGridLines="0" workbookViewId="0"/>
  </sheetViews>
  <sheetFormatPr defaultRowHeight="15" x14ac:dyDescent="0.25"/>
  <cols>
    <col min="1" max="1" width="24" customWidth="1"/>
    <col min="2" max="5" width="16" customWidth="1"/>
  </cols>
  <sheetData>
    <row r="1" spans="1:5" ht="21" x14ac:dyDescent="0.35">
      <c r="A1" s="54" t="s">
        <v>234</v>
      </c>
    </row>
    <row r="2" spans="1:5" x14ac:dyDescent="0.25">
      <c r="A2" s="16" t="s">
        <v>235</v>
      </c>
    </row>
    <row r="4" spans="1:5" ht="21.95" customHeight="1" x14ac:dyDescent="0.25">
      <c r="A4" s="55" t="s">
        <v>236</v>
      </c>
      <c r="B4" s="63"/>
      <c r="C4" s="64"/>
      <c r="D4" s="64"/>
      <c r="E4" s="64"/>
    </row>
    <row r="6" spans="1:5" x14ac:dyDescent="0.25">
      <c r="A6" s="56" t="s">
        <v>28</v>
      </c>
      <c r="B6" s="59" t="str">
        <f>IF($B$4="","",IFERROR(INDEX('Combined Delivery Data'!$A:$A,MATCH($B$4,'Combined Delivery Data'!$B:$B,0)),""))</f>
        <v/>
      </c>
      <c r="C6" s="60"/>
      <c r="D6" s="60"/>
      <c r="E6" s="61"/>
    </row>
    <row r="7" spans="1:5" x14ac:dyDescent="0.25">
      <c r="A7" s="56" t="s">
        <v>30</v>
      </c>
      <c r="B7" s="59" t="str">
        <f>IF($B$4="","",IFERROR(INDEX('Combined Delivery Data'!$C:$C,MATCH($B$4,'Combined Delivery Data'!$B:$B,0)),""))</f>
        <v/>
      </c>
      <c r="C7" s="60"/>
      <c r="D7" s="60"/>
      <c r="E7" s="61"/>
    </row>
    <row r="8" spans="1:5" x14ac:dyDescent="0.25">
      <c r="A8" s="56" t="s">
        <v>31</v>
      </c>
      <c r="B8" s="59" t="str">
        <f>IF($B$4="","",IFERROR(INDEX('Combined Delivery Data'!$D:$D,MATCH($B$4,'Combined Delivery Data'!$B:$B,0)),""))</f>
        <v/>
      </c>
      <c r="C8" s="60"/>
      <c r="D8" s="60"/>
      <c r="E8" s="61"/>
    </row>
    <row r="9" spans="1:5" x14ac:dyDescent="0.25">
      <c r="A9" s="56" t="s">
        <v>32</v>
      </c>
      <c r="B9" s="59" t="str">
        <f>IF($B$4="","",IFERROR(INDEX('Combined Delivery Data'!$E:$E,MATCH($B$4,'Combined Delivery Data'!$B:$B,0)),""))</f>
        <v/>
      </c>
      <c r="C9" s="60"/>
      <c r="D9" s="60"/>
      <c r="E9" s="61"/>
    </row>
    <row r="10" spans="1:5" x14ac:dyDescent="0.25">
      <c r="A10" s="56" t="s">
        <v>33</v>
      </c>
      <c r="B10" s="59" t="str">
        <f>IF($B$4="","",IFERROR(INDEX('Combined Delivery Data'!$F:$F,MATCH($B$4,'Combined Delivery Data'!$B:$B,0)),""))</f>
        <v/>
      </c>
      <c r="C10" s="60"/>
      <c r="D10" s="60"/>
      <c r="E10" s="61"/>
    </row>
    <row r="11" spans="1:5" x14ac:dyDescent="0.25">
      <c r="A11" s="56" t="s">
        <v>34</v>
      </c>
      <c r="B11" s="59" t="str">
        <f>IF($B$4="","",IFERROR(INDEX('Combined Delivery Data'!$G:$G,MATCH($B$4,'Combined Delivery Data'!$B:$B,0)),""))</f>
        <v/>
      </c>
      <c r="C11" s="60"/>
      <c r="D11" s="60"/>
      <c r="E11" s="61"/>
    </row>
    <row r="12" spans="1:5" x14ac:dyDescent="0.25">
      <c r="A12" s="56" t="s">
        <v>35</v>
      </c>
      <c r="B12" s="59" t="str">
        <f>IF($B$4="","",IFERROR(INDEX('Combined Delivery Data'!$H:$H,MATCH($B$4,'Combined Delivery Data'!$B:$B,0)),""))</f>
        <v/>
      </c>
      <c r="C12" s="60"/>
      <c r="D12" s="60"/>
      <c r="E12" s="61"/>
    </row>
    <row r="13" spans="1:5" x14ac:dyDescent="0.25">
      <c r="A13" s="56" t="s">
        <v>36</v>
      </c>
      <c r="B13" s="59" t="str">
        <f>IF($B$4="","",IFERROR(INDEX('Combined Delivery Data'!$I:$I,MATCH($B$4,'Combined Delivery Data'!$B:$B,0)),""))</f>
        <v/>
      </c>
      <c r="C13" s="60"/>
      <c r="D13" s="60"/>
      <c r="E13" s="61"/>
    </row>
    <row r="14" spans="1:5" x14ac:dyDescent="0.25">
      <c r="A14" s="56" t="s">
        <v>237</v>
      </c>
      <c r="B14" s="62" t="str">
        <f>IF($B$4="","",IFERROR(INDEX('Combined Delivery Data'!$N:$N,MATCH($B$4,'Combined Delivery Data'!$B:$B,0)),""))</f>
        <v/>
      </c>
      <c r="C14" s="60"/>
      <c r="D14" s="60"/>
      <c r="E14" s="61"/>
    </row>
    <row r="15" spans="1:5" x14ac:dyDescent="0.25">
      <c r="A15" s="56" t="s">
        <v>238</v>
      </c>
      <c r="B15" s="62" t="str">
        <f>IF($B$4="","",IFERROR(INDEX('Combined Delivery Data'!$P:$P,MATCH($B$4,'Combined Delivery Data'!$B:$B,0)),""))</f>
        <v/>
      </c>
      <c r="C15" s="60"/>
      <c r="D15" s="60"/>
      <c r="E15" s="61"/>
    </row>
    <row r="16" spans="1:5" x14ac:dyDescent="0.25">
      <c r="A16" s="56" t="s">
        <v>239</v>
      </c>
      <c r="B16" s="62" t="str">
        <f>IF($B$4="","",IFERROR(INDEX('Combined Delivery Data'!$R:$R,MATCH($B$4,'Combined Delivery Data'!$B:$B,0)),""))</f>
        <v/>
      </c>
      <c r="C16" s="60"/>
      <c r="D16" s="60"/>
      <c r="E16" s="61"/>
    </row>
    <row r="17" spans="1:5" x14ac:dyDescent="0.25">
      <c r="A17" s="56" t="s">
        <v>240</v>
      </c>
      <c r="B17" s="62" t="str">
        <f>IF($B$4="","",IFERROR(INDEX('Combined Delivery Data'!$T:$T,MATCH($B$4,'Combined Delivery Data'!$B:$B,0)),""))</f>
        <v/>
      </c>
      <c r="C17" s="60"/>
      <c r="D17" s="60"/>
      <c r="E17" s="61"/>
    </row>
    <row r="18" spans="1:5" x14ac:dyDescent="0.25">
      <c r="A18" s="56" t="s">
        <v>241</v>
      </c>
      <c r="B18" s="62" t="str">
        <f>IF($B$4="","",IFERROR(INDEX('Combined Delivery Data'!$V:$V,MATCH($B$4,'Combined Delivery Data'!$B:$B,0)),""))</f>
        <v/>
      </c>
      <c r="C18" s="60"/>
      <c r="D18" s="60"/>
      <c r="E18" s="61"/>
    </row>
    <row r="19" spans="1:5" x14ac:dyDescent="0.25">
      <c r="A19" s="56" t="s">
        <v>242</v>
      </c>
      <c r="B19" s="62" t="str">
        <f>IF($B$4="","",IFERROR(INDEX('Combined Delivery Data'!$X:$X,MATCH($B$4,'Combined Delivery Data'!$B:$B,0)),""))</f>
        <v/>
      </c>
      <c r="C19" s="60"/>
      <c r="D19" s="60"/>
      <c r="E19" s="61"/>
    </row>
    <row r="20" spans="1:5" x14ac:dyDescent="0.25">
      <c r="A20" s="56" t="s">
        <v>243</v>
      </c>
      <c r="B20" s="62" t="str">
        <f>IF($B$4="","",IFERROR(INDEX('Combined Delivery Data'!$Z:$Z,MATCH($B$4,'Combined Delivery Data'!$B:$B,0)),""))</f>
        <v/>
      </c>
      <c r="C20" s="60"/>
      <c r="D20" s="60"/>
      <c r="E20" s="61"/>
    </row>
    <row r="21" spans="1:5" x14ac:dyDescent="0.25">
      <c r="A21" s="56" t="s">
        <v>54</v>
      </c>
      <c r="B21" s="59" t="str">
        <f>IF($B$4="","",IFERROR(INDEX('Combined Delivery Data'!$AA:$AA,MATCH($B$4,'Combined Delivery Data'!$B:$B,0)),""))</f>
        <v/>
      </c>
      <c r="C21" s="60"/>
      <c r="D21" s="60"/>
      <c r="E21" s="61"/>
    </row>
    <row r="22" spans="1:5" x14ac:dyDescent="0.25">
      <c r="A22" s="56" t="s">
        <v>55</v>
      </c>
      <c r="B22" s="59" t="str">
        <f>IF($B$4="","",IFERROR(INDEX('Combined Delivery Data'!$AB:$AB,MATCH($B$4,'Combined Delivery Data'!$B:$B,0)),""))</f>
        <v/>
      </c>
      <c r="C22" s="60"/>
      <c r="D22" s="60"/>
      <c r="E22" s="61"/>
    </row>
    <row r="23" spans="1:5" x14ac:dyDescent="0.25">
      <c r="A23" s="56" t="s">
        <v>56</v>
      </c>
      <c r="B23" s="62" t="str">
        <f>IF($B$4="","",IFERROR(INDEX('Combined Delivery Data'!$AC:$AC,MATCH($B$4,'Combined Delivery Data'!$B:$B,0)),""))</f>
        <v/>
      </c>
      <c r="C23" s="60"/>
      <c r="D23" s="60"/>
      <c r="E23" s="61"/>
    </row>
    <row r="24" spans="1:5" x14ac:dyDescent="0.25">
      <c r="A24" s="56" t="s">
        <v>59</v>
      </c>
      <c r="B24" s="59" t="str">
        <f>IF($B$4="","",IFERROR(INDEX('Combined Delivery Data'!$AF:$AF,MATCH($B$4,'Combined Delivery Data'!$B:$B,0)),""))</f>
        <v/>
      </c>
      <c r="C24" s="60"/>
      <c r="D24" s="60"/>
      <c r="E24" s="61"/>
    </row>
    <row r="25" spans="1:5" x14ac:dyDescent="0.25">
      <c r="A25" s="56" t="s">
        <v>61</v>
      </c>
      <c r="B25" s="59" t="str">
        <f>IF($B$4="","",IFERROR(INDEX('Combined Delivery Data'!$AH:$AH,MATCH($B$4,'Combined Delivery Data'!$B:$B,0)),""))</f>
        <v/>
      </c>
      <c r="C25" s="60"/>
      <c r="D25" s="60"/>
      <c r="E25" s="61"/>
    </row>
    <row r="26" spans="1:5" x14ac:dyDescent="0.25">
      <c r="A26" s="56" t="s">
        <v>62</v>
      </c>
      <c r="B26" s="59" t="str">
        <f>IF($B$4="","",IFERROR(INDEX('Combined Delivery Data'!$AI:$AI,MATCH($B$4,'Combined Delivery Data'!$B:$B,0)),""))</f>
        <v/>
      </c>
      <c r="C26" s="60"/>
      <c r="D26" s="60"/>
      <c r="E26" s="61"/>
    </row>
    <row r="27" spans="1:5" x14ac:dyDescent="0.25">
      <c r="A27" s="56" t="s">
        <v>63</v>
      </c>
      <c r="B27" s="59" t="str">
        <f>IF($B$4="","",IFERROR(INDEX('Combined Delivery Data'!$AJ:$AJ,MATCH($B$4,'Combined Delivery Data'!$B:$B,0)),""))</f>
        <v/>
      </c>
      <c r="C27" s="60"/>
      <c r="D27" s="60"/>
      <c r="E27" s="61"/>
    </row>
    <row r="28" spans="1:5" x14ac:dyDescent="0.25">
      <c r="A28" s="56" t="s">
        <v>65</v>
      </c>
      <c r="B28" s="59" t="str">
        <f>IF($B$4="","",IFERROR(INDEX('Combined Delivery Data'!$AL:$AL,MATCH($B$4,'Combined Delivery Data'!$B:$B,0)),""))</f>
        <v/>
      </c>
      <c r="C28" s="60"/>
      <c r="D28" s="60"/>
      <c r="E28" s="61"/>
    </row>
    <row r="29" spans="1:5" x14ac:dyDescent="0.25">
      <c r="A29" s="56" t="s">
        <v>67</v>
      </c>
      <c r="B29" s="59" t="str">
        <f>IF($B$4="","",IFERROR(INDEX('Combined Delivery Data'!$AN:$AN,MATCH($B$4,'Combined Delivery Data'!$B:$B,0)),""))</f>
        <v/>
      </c>
      <c r="C29" s="60"/>
      <c r="D29" s="60"/>
      <c r="E29" s="61"/>
    </row>
    <row r="30" spans="1:5" x14ac:dyDescent="0.25">
      <c r="A30" s="56" t="s">
        <v>68</v>
      </c>
      <c r="B30" s="59" t="str">
        <f>IF($B$4="","",IFERROR(INDEX('Combined Delivery Data'!$AO:$AO,MATCH($B$4,'Combined Delivery Data'!$B:$B,0)),""))</f>
        <v/>
      </c>
      <c r="C30" s="60"/>
      <c r="D30" s="60"/>
      <c r="E30" s="61"/>
    </row>
    <row r="31" spans="1:5" x14ac:dyDescent="0.25">
      <c r="A31" s="56" t="s">
        <v>70</v>
      </c>
      <c r="B31" s="59" t="str">
        <f>IF($B$4="","",IFERROR(INDEX('Combined Delivery Data'!$AQ:$AQ,MATCH($B$4,'Combined Delivery Data'!$B:$B,0)),""))</f>
        <v/>
      </c>
      <c r="C31" s="60"/>
      <c r="D31" s="60"/>
      <c r="E31" s="61"/>
    </row>
  </sheetData>
  <mergeCells count="27">
    <mergeCell ref="B31:E31"/>
    <mergeCell ref="B18:E18"/>
    <mergeCell ref="B27:E27"/>
    <mergeCell ref="B12:E12"/>
    <mergeCell ref="B21:E21"/>
    <mergeCell ref="B14:E14"/>
    <mergeCell ref="B17:E17"/>
    <mergeCell ref="B23:E23"/>
    <mergeCell ref="B13:E13"/>
    <mergeCell ref="B29:E29"/>
    <mergeCell ref="B19:E19"/>
    <mergeCell ref="B28:E28"/>
    <mergeCell ref="B4:E4"/>
    <mergeCell ref="B16:E16"/>
    <mergeCell ref="B7:E7"/>
    <mergeCell ref="B25:E25"/>
    <mergeCell ref="B22:E22"/>
    <mergeCell ref="B11:E11"/>
    <mergeCell ref="B8:E8"/>
    <mergeCell ref="B10:E10"/>
    <mergeCell ref="B9:E9"/>
    <mergeCell ref="B6:E6"/>
    <mergeCell ref="B30:E30"/>
    <mergeCell ref="B15:E15"/>
    <mergeCell ref="B24:E24"/>
    <mergeCell ref="B20:E20"/>
    <mergeCell ref="B26:E26"/>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promptTitle="Report Name" prompt="Pick a report to see its details below." xr:uid="{00000000-0002-0000-0200-000000000000}">
          <x14:formula1>
            <xm:f>'Combined Delivery Data'!$B$2:$B$500</xm:f>
          </x14:formula1>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4"/>
  <sheetViews>
    <sheetView zoomScaleNormal="100" workbookViewId="0">
      <pane xSplit="3" ySplit="2" topLeftCell="D137" activePane="bottomRight" state="frozen"/>
      <selection pane="topRight" activeCell="D1" sqref="D1"/>
      <selection pane="bottomLeft" activeCell="A3" sqref="A3"/>
      <selection pane="bottomRight"/>
    </sheetView>
  </sheetViews>
  <sheetFormatPr defaultColWidth="8.7109375" defaultRowHeight="15" x14ac:dyDescent="0.25"/>
  <cols>
    <col min="1" max="1" width="12" customWidth="1"/>
    <col min="2" max="2" width="14" customWidth="1"/>
    <col min="3" max="3" width="34" customWidth="1"/>
    <col min="4" max="5" width="14" customWidth="1"/>
    <col min="6" max="6" width="12" customWidth="1"/>
    <col min="7" max="7" width="10" customWidth="1"/>
    <col min="8" max="8" width="14" customWidth="1"/>
    <col min="9" max="10" width="16" customWidth="1"/>
  </cols>
  <sheetData>
    <row r="1" spans="1:10" ht="14.25" customHeight="1" x14ac:dyDescent="0.25">
      <c r="A1" s="65" t="s">
        <v>244</v>
      </c>
      <c r="B1" s="64"/>
      <c r="C1" s="64"/>
      <c r="D1" s="64"/>
      <c r="E1" s="64"/>
      <c r="F1" s="64"/>
      <c r="G1" s="64"/>
      <c r="H1" s="64"/>
      <c r="I1" s="64"/>
      <c r="J1" s="64"/>
    </row>
    <row r="2" spans="1:10" ht="27" customHeight="1" x14ac:dyDescent="0.25">
      <c r="A2" s="2" t="s">
        <v>28</v>
      </c>
      <c r="B2" s="2" t="s">
        <v>245</v>
      </c>
      <c r="C2" s="2" t="s">
        <v>29</v>
      </c>
      <c r="D2" s="2" t="s">
        <v>246</v>
      </c>
      <c r="E2" s="2" t="s">
        <v>247</v>
      </c>
      <c r="F2" s="2" t="s">
        <v>37</v>
      </c>
      <c r="G2" s="2" t="s">
        <v>33</v>
      </c>
      <c r="H2" s="2" t="s">
        <v>248</v>
      </c>
      <c r="I2" s="2" t="s">
        <v>249</v>
      </c>
      <c r="J2" s="2" t="s">
        <v>250</v>
      </c>
    </row>
    <row r="3" spans="1:10" ht="14.25" customHeight="1" x14ac:dyDescent="0.25">
      <c r="A3" s="57" t="s">
        <v>72</v>
      </c>
      <c r="B3" s="57" t="s">
        <v>183</v>
      </c>
      <c r="C3" s="57" t="s">
        <v>73</v>
      </c>
      <c r="D3" s="57" t="s">
        <v>75</v>
      </c>
      <c r="E3" s="57" t="s">
        <v>76</v>
      </c>
      <c r="F3" s="57"/>
      <c r="G3" s="57"/>
      <c r="H3" s="57"/>
      <c r="I3" s="58">
        <v>46115</v>
      </c>
      <c r="J3" s="58">
        <v>46115</v>
      </c>
    </row>
    <row r="4" spans="1:10" ht="14.25" customHeight="1" x14ac:dyDescent="0.25">
      <c r="A4" s="57" t="s">
        <v>72</v>
      </c>
      <c r="B4" s="57" t="s">
        <v>251</v>
      </c>
      <c r="C4" s="57" t="s">
        <v>73</v>
      </c>
      <c r="D4" s="57" t="s">
        <v>75</v>
      </c>
      <c r="E4" s="57" t="s">
        <v>76</v>
      </c>
      <c r="F4" s="57"/>
      <c r="G4" s="57"/>
      <c r="H4" s="58">
        <v>46115</v>
      </c>
      <c r="I4" s="58">
        <v>46114</v>
      </c>
      <c r="J4" s="58">
        <v>46114</v>
      </c>
    </row>
    <row r="5" spans="1:10" ht="14.25" customHeight="1" x14ac:dyDescent="0.25">
      <c r="A5" s="57" t="s">
        <v>72</v>
      </c>
      <c r="B5" s="57" t="s">
        <v>158</v>
      </c>
      <c r="C5" s="57" t="s">
        <v>73</v>
      </c>
      <c r="D5" s="57" t="s">
        <v>75</v>
      </c>
      <c r="E5" s="57" t="s">
        <v>76</v>
      </c>
      <c r="F5" s="57"/>
      <c r="G5" s="57"/>
      <c r="H5" s="58">
        <v>46114</v>
      </c>
      <c r="I5" s="58">
        <v>46122</v>
      </c>
      <c r="J5" s="58">
        <v>46122</v>
      </c>
    </row>
    <row r="6" spans="1:10" ht="14.25" customHeight="1" x14ac:dyDescent="0.25">
      <c r="A6" s="57" t="s">
        <v>72</v>
      </c>
      <c r="B6" s="57" t="s">
        <v>252</v>
      </c>
      <c r="C6" s="57" t="s">
        <v>73</v>
      </c>
      <c r="D6" s="57" t="s">
        <v>75</v>
      </c>
      <c r="E6" s="57" t="s">
        <v>76</v>
      </c>
      <c r="F6" s="57"/>
      <c r="G6" s="57"/>
      <c r="H6" s="58">
        <v>46122</v>
      </c>
      <c r="I6" s="58"/>
      <c r="J6" s="58"/>
    </row>
    <row r="7" spans="1:10" ht="14.25" customHeight="1" x14ac:dyDescent="0.25">
      <c r="A7" s="57" t="s">
        <v>72</v>
      </c>
      <c r="B7" s="57" t="s">
        <v>74</v>
      </c>
      <c r="C7" s="57" t="s">
        <v>73</v>
      </c>
      <c r="D7" s="57" t="s">
        <v>75</v>
      </c>
      <c r="E7" s="57" t="s">
        <v>76</v>
      </c>
      <c r="F7" s="57"/>
      <c r="G7" s="57"/>
      <c r="H7" s="57"/>
      <c r="I7" s="58"/>
      <c r="J7" s="58"/>
    </row>
    <row r="8" spans="1:10" ht="14.25" customHeight="1" x14ac:dyDescent="0.25">
      <c r="A8" s="57" t="s">
        <v>72</v>
      </c>
      <c r="B8" s="57" t="s">
        <v>183</v>
      </c>
      <c r="C8" s="57" t="s">
        <v>85</v>
      </c>
      <c r="D8" s="57" t="s">
        <v>75</v>
      </c>
      <c r="E8" s="57" t="s">
        <v>76</v>
      </c>
      <c r="F8" s="57"/>
      <c r="G8" s="57"/>
      <c r="H8" s="58"/>
      <c r="I8" s="58">
        <v>46115</v>
      </c>
      <c r="J8" s="58">
        <v>46115</v>
      </c>
    </row>
    <row r="9" spans="1:10" ht="14.25" customHeight="1" x14ac:dyDescent="0.25">
      <c r="A9" s="57" t="s">
        <v>72</v>
      </c>
      <c r="B9" s="57" t="s">
        <v>251</v>
      </c>
      <c r="C9" s="57" t="s">
        <v>85</v>
      </c>
      <c r="D9" s="57" t="s">
        <v>75</v>
      </c>
      <c r="E9" s="57" t="s">
        <v>76</v>
      </c>
      <c r="F9" s="57"/>
      <c r="G9" s="57"/>
      <c r="H9" s="58">
        <v>46115</v>
      </c>
      <c r="I9" s="58">
        <v>46114</v>
      </c>
      <c r="J9" s="58">
        <v>46114</v>
      </c>
    </row>
    <row r="10" spans="1:10" ht="14.25" customHeight="1" x14ac:dyDescent="0.25">
      <c r="A10" s="57" t="s">
        <v>72</v>
      </c>
      <c r="B10" s="57" t="s">
        <v>158</v>
      </c>
      <c r="C10" s="57" t="s">
        <v>85</v>
      </c>
      <c r="D10" s="57" t="s">
        <v>75</v>
      </c>
      <c r="E10" s="57" t="s">
        <v>76</v>
      </c>
      <c r="F10" s="57"/>
      <c r="G10" s="57"/>
      <c r="H10" s="58">
        <v>46114</v>
      </c>
      <c r="I10" s="58">
        <v>46122</v>
      </c>
      <c r="J10" s="58">
        <v>46122</v>
      </c>
    </row>
    <row r="11" spans="1:10" ht="14.25" customHeight="1" x14ac:dyDescent="0.25">
      <c r="A11" s="57" t="s">
        <v>72</v>
      </c>
      <c r="B11" s="57" t="s">
        <v>252</v>
      </c>
      <c r="C11" s="57" t="s">
        <v>85</v>
      </c>
      <c r="D11" s="57" t="s">
        <v>75</v>
      </c>
      <c r="E11" s="57" t="s">
        <v>76</v>
      </c>
      <c r="F11" s="57"/>
      <c r="G11" s="57"/>
      <c r="H11" s="58">
        <v>46122</v>
      </c>
      <c r="I11" s="58"/>
      <c r="J11" s="58"/>
    </row>
    <row r="12" spans="1:10" ht="14.25" customHeight="1" x14ac:dyDescent="0.25">
      <c r="A12" s="57" t="s">
        <v>72</v>
      </c>
      <c r="B12" s="57" t="s">
        <v>74</v>
      </c>
      <c r="C12" s="57" t="s">
        <v>85</v>
      </c>
      <c r="D12" s="57" t="s">
        <v>75</v>
      </c>
      <c r="E12" s="57" t="s">
        <v>76</v>
      </c>
      <c r="F12" s="57"/>
      <c r="G12" s="57"/>
      <c r="H12" s="58"/>
      <c r="I12" s="58"/>
      <c r="J12" s="58"/>
    </row>
    <row r="13" spans="1:10" ht="14.25" customHeight="1" x14ac:dyDescent="0.25">
      <c r="A13" s="57" t="s">
        <v>72</v>
      </c>
      <c r="B13" s="57" t="s">
        <v>183</v>
      </c>
      <c r="C13" s="57" t="s">
        <v>88</v>
      </c>
      <c r="D13" s="57" t="s">
        <v>89</v>
      </c>
      <c r="E13" s="57" t="s">
        <v>76</v>
      </c>
      <c r="F13" s="57"/>
      <c r="G13" s="57"/>
      <c r="H13" s="58"/>
      <c r="I13" s="58">
        <v>46115</v>
      </c>
      <c r="J13" s="58">
        <v>46115</v>
      </c>
    </row>
    <row r="14" spans="1:10" ht="14.25" customHeight="1" x14ac:dyDescent="0.25">
      <c r="A14" s="57" t="s">
        <v>72</v>
      </c>
      <c r="B14" s="57" t="s">
        <v>251</v>
      </c>
      <c r="C14" s="57" t="s">
        <v>88</v>
      </c>
      <c r="D14" s="57" t="s">
        <v>89</v>
      </c>
      <c r="E14" s="57" t="s">
        <v>76</v>
      </c>
      <c r="F14" s="57"/>
      <c r="G14" s="57"/>
      <c r="H14" s="58">
        <v>46115</v>
      </c>
      <c r="I14" s="58">
        <v>46120</v>
      </c>
      <c r="J14" s="58">
        <v>46120</v>
      </c>
    </row>
    <row r="15" spans="1:10" ht="14.25" customHeight="1" x14ac:dyDescent="0.25">
      <c r="A15" s="57" t="s">
        <v>72</v>
      </c>
      <c r="B15" s="57" t="s">
        <v>158</v>
      </c>
      <c r="C15" s="57" t="s">
        <v>88</v>
      </c>
      <c r="D15" s="57" t="s">
        <v>89</v>
      </c>
      <c r="E15" s="57" t="s">
        <v>76</v>
      </c>
      <c r="F15" s="57"/>
      <c r="G15" s="57"/>
      <c r="H15" s="58">
        <v>46120</v>
      </c>
      <c r="I15" s="58">
        <v>46122</v>
      </c>
      <c r="J15" s="58">
        <v>46122</v>
      </c>
    </row>
    <row r="16" spans="1:10" ht="14.25" customHeight="1" x14ac:dyDescent="0.25">
      <c r="A16" s="57" t="s">
        <v>72</v>
      </c>
      <c r="B16" s="57" t="s">
        <v>252</v>
      </c>
      <c r="C16" s="57" t="s">
        <v>88</v>
      </c>
      <c r="D16" s="57" t="s">
        <v>89</v>
      </c>
      <c r="E16" s="57" t="s">
        <v>76</v>
      </c>
      <c r="F16" s="57"/>
      <c r="G16" s="57"/>
      <c r="H16" s="58">
        <v>46122</v>
      </c>
      <c r="I16" s="58"/>
      <c r="J16" s="58"/>
    </row>
    <row r="17" spans="1:10" ht="14.25" customHeight="1" x14ac:dyDescent="0.25">
      <c r="A17" s="57" t="s">
        <v>72</v>
      </c>
      <c r="B17" s="57" t="s">
        <v>74</v>
      </c>
      <c r="C17" s="57" t="s">
        <v>88</v>
      </c>
      <c r="D17" s="57" t="s">
        <v>89</v>
      </c>
      <c r="E17" s="57" t="s">
        <v>76</v>
      </c>
      <c r="F17" s="57"/>
      <c r="G17" s="57"/>
      <c r="H17" s="58"/>
      <c r="I17" s="58"/>
      <c r="J17" s="58"/>
    </row>
    <row r="18" spans="1:10" ht="14.25" customHeight="1" x14ac:dyDescent="0.25">
      <c r="A18" s="57" t="s">
        <v>72</v>
      </c>
      <c r="B18" s="57" t="s">
        <v>183</v>
      </c>
      <c r="C18" s="57" t="s">
        <v>90</v>
      </c>
      <c r="D18" s="57" t="s">
        <v>91</v>
      </c>
      <c r="E18" s="57" t="s">
        <v>92</v>
      </c>
      <c r="F18" s="57"/>
      <c r="G18" s="57"/>
      <c r="H18" s="57"/>
      <c r="I18" s="58">
        <v>46115</v>
      </c>
      <c r="J18" s="58">
        <v>46115</v>
      </c>
    </row>
    <row r="19" spans="1:10" ht="14.25" customHeight="1" x14ac:dyDescent="0.25">
      <c r="A19" s="57" t="s">
        <v>72</v>
      </c>
      <c r="B19" s="57" t="s">
        <v>251</v>
      </c>
      <c r="C19" s="57" t="s">
        <v>90</v>
      </c>
      <c r="D19" s="57" t="s">
        <v>91</v>
      </c>
      <c r="E19" s="57" t="s">
        <v>92</v>
      </c>
      <c r="F19" s="57"/>
      <c r="G19" s="57"/>
      <c r="H19" s="58">
        <v>46115</v>
      </c>
      <c r="I19" s="58">
        <v>46126</v>
      </c>
      <c r="J19" s="58">
        <v>46126</v>
      </c>
    </row>
    <row r="20" spans="1:10" ht="14.25" customHeight="1" x14ac:dyDescent="0.25">
      <c r="A20" s="57" t="s">
        <v>72</v>
      </c>
      <c r="B20" s="57" t="s">
        <v>158</v>
      </c>
      <c r="C20" s="57" t="s">
        <v>90</v>
      </c>
      <c r="D20" s="57" t="s">
        <v>91</v>
      </c>
      <c r="E20" s="57" t="s">
        <v>92</v>
      </c>
      <c r="F20" s="57"/>
      <c r="G20" s="57"/>
      <c r="H20" s="58">
        <v>46126</v>
      </c>
      <c r="I20" s="58">
        <v>46122</v>
      </c>
      <c r="J20" s="58">
        <v>46122</v>
      </c>
    </row>
    <row r="21" spans="1:10" ht="14.25" customHeight="1" x14ac:dyDescent="0.25">
      <c r="A21" s="57" t="s">
        <v>72</v>
      </c>
      <c r="B21" s="57" t="s">
        <v>252</v>
      </c>
      <c r="C21" s="57" t="s">
        <v>90</v>
      </c>
      <c r="D21" s="57" t="s">
        <v>91</v>
      </c>
      <c r="E21" s="57" t="s">
        <v>92</v>
      </c>
      <c r="F21" s="57"/>
      <c r="G21" s="57"/>
      <c r="H21" s="58">
        <v>46122</v>
      </c>
      <c r="I21" s="58"/>
      <c r="J21" s="58"/>
    </row>
    <row r="22" spans="1:10" ht="14.25" customHeight="1" x14ac:dyDescent="0.25">
      <c r="A22" s="57" t="s">
        <v>72</v>
      </c>
      <c r="B22" s="57" t="s">
        <v>74</v>
      </c>
      <c r="C22" s="57" t="s">
        <v>90</v>
      </c>
      <c r="D22" s="57" t="s">
        <v>91</v>
      </c>
      <c r="E22" s="57" t="s">
        <v>92</v>
      </c>
      <c r="F22" s="57"/>
      <c r="G22" s="57"/>
      <c r="H22" s="57"/>
      <c r="I22" s="58"/>
      <c r="J22" s="58"/>
    </row>
    <row r="23" spans="1:10" ht="14.25" customHeight="1" x14ac:dyDescent="0.25">
      <c r="A23" s="57" t="s">
        <v>72</v>
      </c>
      <c r="B23" s="57" t="s">
        <v>183</v>
      </c>
      <c r="C23" s="57" t="s">
        <v>96</v>
      </c>
      <c r="D23" s="57" t="s">
        <v>89</v>
      </c>
      <c r="E23" s="57" t="s">
        <v>76</v>
      </c>
      <c r="F23" s="57"/>
      <c r="G23" s="57"/>
      <c r="H23" s="58"/>
      <c r="I23" s="58">
        <v>46115</v>
      </c>
      <c r="J23" s="58">
        <v>46115</v>
      </c>
    </row>
    <row r="24" spans="1:10" ht="14.25" customHeight="1" x14ac:dyDescent="0.25">
      <c r="A24" s="57" t="s">
        <v>72</v>
      </c>
      <c r="B24" s="57" t="s">
        <v>251</v>
      </c>
      <c r="C24" s="57" t="s">
        <v>96</v>
      </c>
      <c r="D24" s="57" t="s">
        <v>89</v>
      </c>
      <c r="E24" s="57" t="s">
        <v>76</v>
      </c>
      <c r="F24" s="57"/>
      <c r="G24" s="57"/>
      <c r="H24" s="58">
        <v>46115</v>
      </c>
      <c r="I24" s="58">
        <v>46120</v>
      </c>
      <c r="J24" s="58">
        <v>46120</v>
      </c>
    </row>
    <row r="25" spans="1:10" ht="14.25" customHeight="1" x14ac:dyDescent="0.25">
      <c r="A25" s="57" t="s">
        <v>72</v>
      </c>
      <c r="B25" s="57" t="s">
        <v>158</v>
      </c>
      <c r="C25" s="57" t="s">
        <v>96</v>
      </c>
      <c r="D25" s="57" t="s">
        <v>89</v>
      </c>
      <c r="E25" s="57" t="s">
        <v>76</v>
      </c>
      <c r="F25" s="57"/>
      <c r="G25" s="57"/>
      <c r="H25" s="58">
        <v>46120</v>
      </c>
      <c r="I25" s="58">
        <v>46122</v>
      </c>
      <c r="J25" s="58">
        <v>46122</v>
      </c>
    </row>
    <row r="26" spans="1:10" ht="14.25" customHeight="1" x14ac:dyDescent="0.25">
      <c r="A26" s="57" t="s">
        <v>72</v>
      </c>
      <c r="B26" s="57" t="s">
        <v>252</v>
      </c>
      <c r="C26" s="57" t="s">
        <v>96</v>
      </c>
      <c r="D26" s="57" t="s">
        <v>89</v>
      </c>
      <c r="E26" s="57" t="s">
        <v>76</v>
      </c>
      <c r="F26" s="57"/>
      <c r="G26" s="57"/>
      <c r="H26" s="58">
        <v>46122</v>
      </c>
      <c r="I26" s="58"/>
      <c r="J26" s="58"/>
    </row>
    <row r="27" spans="1:10" ht="14.25" customHeight="1" x14ac:dyDescent="0.25">
      <c r="A27" s="57" t="s">
        <v>72</v>
      </c>
      <c r="B27" s="57" t="s">
        <v>74</v>
      </c>
      <c r="C27" s="57" t="s">
        <v>96</v>
      </c>
      <c r="D27" s="57" t="s">
        <v>89</v>
      </c>
      <c r="E27" s="57" t="s">
        <v>76</v>
      </c>
      <c r="F27" s="57"/>
      <c r="G27" s="57"/>
      <c r="H27" s="58"/>
      <c r="I27" s="58"/>
      <c r="J27" s="58"/>
    </row>
    <row r="28" spans="1:10" ht="14.25" customHeight="1" x14ac:dyDescent="0.25">
      <c r="A28" s="57" t="s">
        <v>72</v>
      </c>
      <c r="B28" s="57" t="s">
        <v>183</v>
      </c>
      <c r="C28" s="57" t="s">
        <v>100</v>
      </c>
      <c r="D28" s="57" t="s">
        <v>101</v>
      </c>
      <c r="E28" s="57" t="s">
        <v>92</v>
      </c>
      <c r="F28" s="57"/>
      <c r="G28" s="57"/>
      <c r="H28" s="58"/>
      <c r="I28" s="58">
        <v>46115</v>
      </c>
      <c r="J28" s="58">
        <v>46115</v>
      </c>
    </row>
    <row r="29" spans="1:10" ht="14.25" customHeight="1" x14ac:dyDescent="0.25">
      <c r="A29" s="57" t="s">
        <v>72</v>
      </c>
      <c r="B29" s="57" t="s">
        <v>251</v>
      </c>
      <c r="C29" s="57" t="s">
        <v>100</v>
      </c>
      <c r="D29" s="57" t="s">
        <v>101</v>
      </c>
      <c r="E29" s="57" t="s">
        <v>92</v>
      </c>
      <c r="F29" s="57"/>
      <c r="G29" s="57"/>
      <c r="H29" s="58">
        <v>46115</v>
      </c>
      <c r="I29" s="58">
        <v>46126</v>
      </c>
      <c r="J29" s="58">
        <v>46126</v>
      </c>
    </row>
    <row r="30" spans="1:10" ht="14.25" customHeight="1" x14ac:dyDescent="0.25">
      <c r="A30" s="57" t="s">
        <v>72</v>
      </c>
      <c r="B30" s="57" t="s">
        <v>158</v>
      </c>
      <c r="C30" s="57" t="s">
        <v>100</v>
      </c>
      <c r="D30" s="57" t="s">
        <v>101</v>
      </c>
      <c r="E30" s="57" t="s">
        <v>92</v>
      </c>
      <c r="F30" s="57"/>
      <c r="G30" s="57"/>
      <c r="H30" s="58">
        <v>46126</v>
      </c>
      <c r="I30" s="58">
        <v>46122</v>
      </c>
      <c r="J30" s="58">
        <v>46122</v>
      </c>
    </row>
    <row r="31" spans="1:10" ht="14.25" customHeight="1" x14ac:dyDescent="0.25">
      <c r="A31" s="57" t="s">
        <v>72</v>
      </c>
      <c r="B31" s="57" t="s">
        <v>252</v>
      </c>
      <c r="C31" s="57" t="s">
        <v>100</v>
      </c>
      <c r="D31" s="57" t="s">
        <v>101</v>
      </c>
      <c r="E31" s="57" t="s">
        <v>92</v>
      </c>
      <c r="F31" s="57"/>
      <c r="G31" s="57"/>
      <c r="H31" s="58">
        <v>46122</v>
      </c>
      <c r="I31" s="58"/>
      <c r="J31" s="58"/>
    </row>
    <row r="32" spans="1:10" ht="14.25" customHeight="1" x14ac:dyDescent="0.25">
      <c r="A32" s="57" t="s">
        <v>72</v>
      </c>
      <c r="B32" s="57" t="s">
        <v>74</v>
      </c>
      <c r="C32" s="57" t="s">
        <v>100</v>
      </c>
      <c r="D32" s="57" t="s">
        <v>101</v>
      </c>
      <c r="E32" s="57" t="s">
        <v>92</v>
      </c>
      <c r="F32" s="57"/>
      <c r="G32" s="57"/>
      <c r="H32" s="58"/>
      <c r="I32" s="58"/>
      <c r="J32" s="58"/>
    </row>
    <row r="33" spans="1:10" ht="14.25" customHeight="1" x14ac:dyDescent="0.25">
      <c r="A33" s="57" t="s">
        <v>72</v>
      </c>
      <c r="B33" s="57" t="s">
        <v>183</v>
      </c>
      <c r="C33" s="57" t="s">
        <v>105</v>
      </c>
      <c r="D33" s="57" t="s">
        <v>89</v>
      </c>
      <c r="E33" s="57" t="s">
        <v>92</v>
      </c>
      <c r="F33" s="57"/>
      <c r="G33" s="57"/>
      <c r="H33" s="58"/>
      <c r="I33" s="58">
        <v>46122</v>
      </c>
      <c r="J33" s="58">
        <v>46122</v>
      </c>
    </row>
    <row r="34" spans="1:10" ht="14.25" customHeight="1" x14ac:dyDescent="0.25">
      <c r="A34" s="57" t="s">
        <v>72</v>
      </c>
      <c r="B34" s="57" t="s">
        <v>251</v>
      </c>
      <c r="C34" s="57" t="s">
        <v>105</v>
      </c>
      <c r="D34" s="57" t="s">
        <v>89</v>
      </c>
      <c r="E34" s="57" t="s">
        <v>92</v>
      </c>
      <c r="F34" s="57"/>
      <c r="G34" s="57"/>
      <c r="H34" s="58">
        <v>46122</v>
      </c>
      <c r="I34" s="58">
        <v>46126</v>
      </c>
      <c r="J34" s="58">
        <v>46126</v>
      </c>
    </row>
    <row r="35" spans="1:10" ht="14.25" customHeight="1" x14ac:dyDescent="0.25">
      <c r="A35" s="57" t="s">
        <v>72</v>
      </c>
      <c r="B35" s="57" t="s">
        <v>158</v>
      </c>
      <c r="C35" s="57" t="s">
        <v>105</v>
      </c>
      <c r="D35" s="57" t="s">
        <v>89</v>
      </c>
      <c r="E35" s="57" t="s">
        <v>92</v>
      </c>
      <c r="F35" s="57"/>
      <c r="G35" s="57"/>
      <c r="H35" s="58">
        <v>46126</v>
      </c>
      <c r="I35" s="58">
        <v>46122</v>
      </c>
      <c r="J35" s="58">
        <v>46122</v>
      </c>
    </row>
    <row r="36" spans="1:10" ht="14.25" customHeight="1" x14ac:dyDescent="0.25">
      <c r="A36" s="57" t="s">
        <v>72</v>
      </c>
      <c r="B36" s="57" t="s">
        <v>252</v>
      </c>
      <c r="C36" s="57" t="s">
        <v>105</v>
      </c>
      <c r="D36" s="57" t="s">
        <v>89</v>
      </c>
      <c r="E36" s="57" t="s">
        <v>92</v>
      </c>
      <c r="F36" s="57"/>
      <c r="G36" s="57"/>
      <c r="H36" s="58">
        <v>46122</v>
      </c>
      <c r="I36" s="58"/>
      <c r="J36" s="58"/>
    </row>
    <row r="37" spans="1:10" ht="14.25" customHeight="1" x14ac:dyDescent="0.25">
      <c r="A37" s="57" t="s">
        <v>72</v>
      </c>
      <c r="B37" s="57" t="s">
        <v>74</v>
      </c>
      <c r="C37" s="57" t="s">
        <v>105</v>
      </c>
      <c r="D37" s="57" t="s">
        <v>89</v>
      </c>
      <c r="E37" s="57" t="s">
        <v>92</v>
      </c>
      <c r="F37" s="57"/>
      <c r="G37" s="57"/>
      <c r="H37" s="58"/>
      <c r="I37" s="58"/>
      <c r="J37" s="58"/>
    </row>
    <row r="38" spans="1:10" ht="14.25" customHeight="1" x14ac:dyDescent="0.25">
      <c r="A38" s="57" t="s">
        <v>72</v>
      </c>
      <c r="B38" s="57" t="s">
        <v>183</v>
      </c>
      <c r="C38" s="57" t="s">
        <v>108</v>
      </c>
      <c r="D38" s="57" t="s">
        <v>109</v>
      </c>
      <c r="E38" s="57" t="s">
        <v>92</v>
      </c>
      <c r="F38" s="57"/>
      <c r="G38" s="57"/>
      <c r="H38" s="57"/>
      <c r="I38" s="58">
        <v>46122</v>
      </c>
      <c r="J38" s="58">
        <v>46122</v>
      </c>
    </row>
    <row r="39" spans="1:10" ht="14.25" customHeight="1" x14ac:dyDescent="0.25">
      <c r="A39" s="57" t="s">
        <v>72</v>
      </c>
      <c r="B39" s="57" t="s">
        <v>251</v>
      </c>
      <c r="C39" s="57" t="s">
        <v>108</v>
      </c>
      <c r="D39" s="57" t="s">
        <v>109</v>
      </c>
      <c r="E39" s="57" t="s">
        <v>92</v>
      </c>
      <c r="F39" s="57"/>
      <c r="G39" s="57"/>
      <c r="H39" s="58">
        <v>46122</v>
      </c>
      <c r="I39" s="58">
        <v>46126</v>
      </c>
      <c r="J39" s="58">
        <v>46126</v>
      </c>
    </row>
    <row r="40" spans="1:10" ht="14.25" customHeight="1" x14ac:dyDescent="0.25">
      <c r="A40" s="57" t="s">
        <v>72</v>
      </c>
      <c r="B40" s="57" t="s">
        <v>158</v>
      </c>
      <c r="C40" s="57" t="s">
        <v>108</v>
      </c>
      <c r="D40" s="57" t="s">
        <v>109</v>
      </c>
      <c r="E40" s="57" t="s">
        <v>92</v>
      </c>
      <c r="F40" s="57"/>
      <c r="G40" s="57"/>
      <c r="H40" s="58">
        <v>46126</v>
      </c>
      <c r="I40" s="58">
        <v>46122</v>
      </c>
      <c r="J40" s="58">
        <v>46122</v>
      </c>
    </row>
    <row r="41" spans="1:10" ht="14.25" customHeight="1" x14ac:dyDescent="0.25">
      <c r="A41" s="57" t="s">
        <v>72</v>
      </c>
      <c r="B41" s="57" t="s">
        <v>252</v>
      </c>
      <c r="C41" s="57" t="s">
        <v>108</v>
      </c>
      <c r="D41" s="57" t="s">
        <v>109</v>
      </c>
      <c r="E41" s="57" t="s">
        <v>92</v>
      </c>
      <c r="F41" s="57"/>
      <c r="G41" s="57"/>
      <c r="H41" s="58">
        <v>46122</v>
      </c>
      <c r="I41" s="58"/>
      <c r="J41" s="58"/>
    </row>
    <row r="42" spans="1:10" ht="14.25" customHeight="1" x14ac:dyDescent="0.25">
      <c r="A42" s="57" t="s">
        <v>72</v>
      </c>
      <c r="B42" s="57" t="s">
        <v>74</v>
      </c>
      <c r="C42" s="57" t="s">
        <v>108</v>
      </c>
      <c r="D42" s="57" t="s">
        <v>109</v>
      </c>
      <c r="E42" s="57" t="s">
        <v>92</v>
      </c>
      <c r="F42" s="57"/>
      <c r="G42" s="57"/>
      <c r="H42" s="57"/>
      <c r="I42" s="58"/>
      <c r="J42" s="58"/>
    </row>
    <row r="43" spans="1:10" ht="14.25" customHeight="1" x14ac:dyDescent="0.25">
      <c r="A43" s="57" t="s">
        <v>72</v>
      </c>
      <c r="B43" s="57" t="s">
        <v>183</v>
      </c>
      <c r="C43" s="57" t="s">
        <v>112</v>
      </c>
      <c r="D43" s="57" t="s">
        <v>91</v>
      </c>
      <c r="E43" s="57" t="s">
        <v>92</v>
      </c>
      <c r="F43" s="57"/>
      <c r="G43" s="57"/>
      <c r="H43" s="58"/>
      <c r="I43" s="58">
        <v>46127</v>
      </c>
      <c r="J43" s="58">
        <v>46127</v>
      </c>
    </row>
    <row r="44" spans="1:10" ht="14.25" customHeight="1" x14ac:dyDescent="0.25">
      <c r="A44" s="57" t="s">
        <v>72</v>
      </c>
      <c r="B44" s="57" t="s">
        <v>251</v>
      </c>
      <c r="C44" s="57" t="s">
        <v>112</v>
      </c>
      <c r="D44" s="57" t="s">
        <v>91</v>
      </c>
      <c r="E44" s="57" t="s">
        <v>92</v>
      </c>
      <c r="F44" s="57"/>
      <c r="G44" s="57"/>
      <c r="H44" s="58">
        <v>46127</v>
      </c>
      <c r="I44" s="58">
        <v>46126</v>
      </c>
      <c r="J44" s="58">
        <v>46126</v>
      </c>
    </row>
    <row r="45" spans="1:10" ht="14.25" customHeight="1" x14ac:dyDescent="0.25">
      <c r="A45" s="57" t="s">
        <v>72</v>
      </c>
      <c r="B45" s="57" t="s">
        <v>158</v>
      </c>
      <c r="C45" s="57" t="s">
        <v>112</v>
      </c>
      <c r="D45" s="57" t="s">
        <v>91</v>
      </c>
      <c r="E45" s="57" t="s">
        <v>92</v>
      </c>
      <c r="F45" s="57"/>
      <c r="G45" s="57"/>
      <c r="H45" s="58">
        <v>46126</v>
      </c>
      <c r="I45" s="58">
        <v>46122</v>
      </c>
      <c r="J45" s="58">
        <v>46122</v>
      </c>
    </row>
    <row r="46" spans="1:10" ht="14.25" customHeight="1" x14ac:dyDescent="0.25">
      <c r="A46" s="57" t="s">
        <v>72</v>
      </c>
      <c r="B46" s="57" t="s">
        <v>252</v>
      </c>
      <c r="C46" s="57" t="s">
        <v>112</v>
      </c>
      <c r="D46" s="57" t="s">
        <v>91</v>
      </c>
      <c r="E46" s="57" t="s">
        <v>92</v>
      </c>
      <c r="F46" s="57"/>
      <c r="G46" s="57"/>
      <c r="H46" s="58">
        <v>46122</v>
      </c>
      <c r="I46" s="58"/>
      <c r="J46" s="58"/>
    </row>
    <row r="47" spans="1:10" ht="14.25" customHeight="1" x14ac:dyDescent="0.25">
      <c r="A47" s="57" t="s">
        <v>72</v>
      </c>
      <c r="B47" s="57" t="s">
        <v>74</v>
      </c>
      <c r="C47" s="57" t="s">
        <v>112</v>
      </c>
      <c r="D47" s="57" t="s">
        <v>91</v>
      </c>
      <c r="E47" s="57" t="s">
        <v>92</v>
      </c>
      <c r="F47" s="57"/>
      <c r="G47" s="57"/>
      <c r="H47" s="58"/>
      <c r="I47" s="58"/>
      <c r="J47" s="58"/>
    </row>
    <row r="48" spans="1:10" ht="14.25" customHeight="1" x14ac:dyDescent="0.25">
      <c r="A48" s="57" t="s">
        <v>72</v>
      </c>
      <c r="B48" s="57" t="s">
        <v>183</v>
      </c>
      <c r="C48" s="57" t="s">
        <v>116</v>
      </c>
      <c r="D48" s="57" t="s">
        <v>89</v>
      </c>
      <c r="E48" s="57" t="s">
        <v>92</v>
      </c>
      <c r="F48" s="57"/>
      <c r="G48" s="57"/>
      <c r="H48" s="58"/>
      <c r="I48" s="58"/>
      <c r="J48" s="58"/>
    </row>
    <row r="49" spans="1:10" ht="14.25" customHeight="1" x14ac:dyDescent="0.25">
      <c r="A49" s="57" t="s">
        <v>72</v>
      </c>
      <c r="B49" s="57" t="s">
        <v>251</v>
      </c>
      <c r="C49" s="57" t="s">
        <v>116</v>
      </c>
      <c r="D49" s="57" t="s">
        <v>89</v>
      </c>
      <c r="E49" s="57" t="s">
        <v>92</v>
      </c>
      <c r="F49" s="57"/>
      <c r="G49" s="57"/>
      <c r="H49" s="58"/>
      <c r="I49" s="58">
        <v>46139</v>
      </c>
      <c r="J49" s="58">
        <v>46139</v>
      </c>
    </row>
    <row r="50" spans="1:10" ht="14.25" customHeight="1" x14ac:dyDescent="0.25">
      <c r="A50" s="57" t="s">
        <v>72</v>
      </c>
      <c r="B50" s="57" t="s">
        <v>158</v>
      </c>
      <c r="C50" s="57" t="s">
        <v>116</v>
      </c>
      <c r="D50" s="57" t="s">
        <v>89</v>
      </c>
      <c r="E50" s="57" t="s">
        <v>92</v>
      </c>
      <c r="F50" s="57"/>
      <c r="G50" s="57"/>
      <c r="H50" s="58">
        <v>46139</v>
      </c>
      <c r="I50" s="58">
        <v>46139</v>
      </c>
      <c r="J50" s="58">
        <v>46139</v>
      </c>
    </row>
    <row r="51" spans="1:10" ht="14.25" customHeight="1" x14ac:dyDescent="0.25">
      <c r="A51" s="57" t="s">
        <v>72</v>
      </c>
      <c r="B51" s="57" t="s">
        <v>252</v>
      </c>
      <c r="C51" s="57" t="s">
        <v>116</v>
      </c>
      <c r="D51" s="57" t="s">
        <v>89</v>
      </c>
      <c r="E51" s="57" t="s">
        <v>92</v>
      </c>
      <c r="F51" s="57"/>
      <c r="G51" s="57"/>
      <c r="H51" s="58">
        <v>46139</v>
      </c>
      <c r="I51" s="58"/>
      <c r="J51" s="58"/>
    </row>
    <row r="52" spans="1:10" ht="14.25" customHeight="1" x14ac:dyDescent="0.25">
      <c r="A52" s="57" t="s">
        <v>72</v>
      </c>
      <c r="B52" s="57" t="s">
        <v>74</v>
      </c>
      <c r="C52" s="57" t="s">
        <v>116</v>
      </c>
      <c r="D52" s="57" t="s">
        <v>89</v>
      </c>
      <c r="E52" s="57" t="s">
        <v>92</v>
      </c>
      <c r="F52" s="57"/>
      <c r="G52" s="57"/>
      <c r="H52" s="58"/>
      <c r="I52" s="58"/>
      <c r="J52" s="58"/>
    </row>
    <row r="53" spans="1:10" ht="14.25" customHeight="1" x14ac:dyDescent="0.25">
      <c r="A53" s="57" t="s">
        <v>72</v>
      </c>
      <c r="B53" s="57" t="s">
        <v>183</v>
      </c>
      <c r="C53" s="57" t="s">
        <v>121</v>
      </c>
      <c r="D53" s="57" t="s">
        <v>89</v>
      </c>
      <c r="E53" s="57" t="s">
        <v>92</v>
      </c>
      <c r="F53" s="57"/>
      <c r="G53" s="57"/>
      <c r="H53" s="58"/>
      <c r="I53" s="58"/>
      <c r="J53" s="58"/>
    </row>
    <row r="54" spans="1:10" ht="14.25" customHeight="1" x14ac:dyDescent="0.25">
      <c r="A54" s="57" t="s">
        <v>72</v>
      </c>
      <c r="B54" s="57" t="s">
        <v>251</v>
      </c>
      <c r="C54" s="57" t="s">
        <v>121</v>
      </c>
      <c r="D54" s="57" t="s">
        <v>89</v>
      </c>
      <c r="E54" s="57" t="s">
        <v>92</v>
      </c>
      <c r="F54" s="57"/>
      <c r="G54" s="57"/>
      <c r="H54" s="57"/>
      <c r="I54" s="58">
        <v>46141</v>
      </c>
      <c r="J54" s="58">
        <v>46141</v>
      </c>
    </row>
    <row r="55" spans="1:10" ht="14.25" customHeight="1" x14ac:dyDescent="0.25">
      <c r="A55" s="57" t="s">
        <v>72</v>
      </c>
      <c r="B55" s="57" t="s">
        <v>158</v>
      </c>
      <c r="C55" s="57" t="s">
        <v>121</v>
      </c>
      <c r="D55" s="57" t="s">
        <v>89</v>
      </c>
      <c r="E55" s="57" t="s">
        <v>92</v>
      </c>
      <c r="F55" s="57"/>
      <c r="G55" s="57"/>
      <c r="H55" s="58">
        <v>46141</v>
      </c>
      <c r="I55" s="58">
        <v>46141</v>
      </c>
      <c r="J55" s="58">
        <v>46141</v>
      </c>
    </row>
    <row r="56" spans="1:10" ht="14.25" customHeight="1" x14ac:dyDescent="0.25">
      <c r="A56" s="57" t="s">
        <v>72</v>
      </c>
      <c r="B56" s="57" t="s">
        <v>252</v>
      </c>
      <c r="C56" s="57" t="s">
        <v>121</v>
      </c>
      <c r="D56" s="57" t="s">
        <v>89</v>
      </c>
      <c r="E56" s="57" t="s">
        <v>92</v>
      </c>
      <c r="F56" s="57"/>
      <c r="G56" s="57"/>
      <c r="H56" s="58">
        <v>46141</v>
      </c>
      <c r="I56" s="58"/>
      <c r="J56" s="58"/>
    </row>
    <row r="57" spans="1:10" ht="14.25" customHeight="1" x14ac:dyDescent="0.25">
      <c r="A57" s="57" t="s">
        <v>72</v>
      </c>
      <c r="B57" s="57" t="s">
        <v>74</v>
      </c>
      <c r="C57" s="57" t="s">
        <v>121</v>
      </c>
      <c r="D57" s="57" t="s">
        <v>89</v>
      </c>
      <c r="E57" s="57" t="s">
        <v>92</v>
      </c>
      <c r="F57" s="57"/>
      <c r="G57" s="57"/>
      <c r="H57" s="58"/>
      <c r="I57" s="58"/>
      <c r="J57" s="58"/>
    </row>
    <row r="58" spans="1:10" ht="14.25" customHeight="1" x14ac:dyDescent="0.25">
      <c r="A58" s="57" t="s">
        <v>72</v>
      </c>
      <c r="B58" s="57" t="s">
        <v>183</v>
      </c>
      <c r="C58" s="57" t="s">
        <v>125</v>
      </c>
      <c r="D58" s="57" t="s">
        <v>89</v>
      </c>
      <c r="E58" s="57" t="s">
        <v>76</v>
      </c>
      <c r="F58" s="57"/>
      <c r="G58" s="57"/>
      <c r="H58" s="57"/>
      <c r="I58" s="58"/>
      <c r="J58" s="58"/>
    </row>
    <row r="59" spans="1:10" ht="14.25" customHeight="1" x14ac:dyDescent="0.25">
      <c r="A59" s="57" t="s">
        <v>72</v>
      </c>
      <c r="B59" s="57" t="s">
        <v>251</v>
      </c>
      <c r="C59" s="57" t="s">
        <v>125</v>
      </c>
      <c r="D59" s="57" t="s">
        <v>89</v>
      </c>
      <c r="E59" s="57" t="s">
        <v>76</v>
      </c>
      <c r="F59" s="57"/>
      <c r="G59" s="57"/>
      <c r="H59" s="58"/>
      <c r="I59" s="58">
        <v>46161</v>
      </c>
      <c r="J59" s="58">
        <v>46161</v>
      </c>
    </row>
    <row r="60" spans="1:10" ht="14.25" customHeight="1" x14ac:dyDescent="0.25">
      <c r="A60" s="57" t="s">
        <v>72</v>
      </c>
      <c r="B60" s="57" t="s">
        <v>158</v>
      </c>
      <c r="C60" s="57" t="s">
        <v>125</v>
      </c>
      <c r="D60" s="57" t="s">
        <v>89</v>
      </c>
      <c r="E60" s="57" t="s">
        <v>76</v>
      </c>
      <c r="F60" s="57"/>
      <c r="G60" s="57"/>
      <c r="H60" s="58">
        <v>46161</v>
      </c>
      <c r="I60" s="58">
        <v>46161</v>
      </c>
      <c r="J60" s="58">
        <v>46161</v>
      </c>
    </row>
    <row r="61" spans="1:10" ht="14.25" customHeight="1" x14ac:dyDescent="0.25">
      <c r="A61" s="57" t="s">
        <v>72</v>
      </c>
      <c r="B61" s="57" t="s">
        <v>252</v>
      </c>
      <c r="C61" s="57" t="s">
        <v>125</v>
      </c>
      <c r="D61" s="57" t="s">
        <v>89</v>
      </c>
      <c r="E61" s="57" t="s">
        <v>76</v>
      </c>
      <c r="F61" s="57"/>
      <c r="G61" s="57"/>
      <c r="H61" s="58">
        <v>46161</v>
      </c>
      <c r="I61" s="58"/>
      <c r="J61" s="58"/>
    </row>
    <row r="62" spans="1:10" ht="14.25" customHeight="1" x14ac:dyDescent="0.25">
      <c r="A62" s="57" t="s">
        <v>72</v>
      </c>
      <c r="B62" s="57" t="s">
        <v>74</v>
      </c>
      <c r="C62" s="57" t="s">
        <v>125</v>
      </c>
      <c r="D62" s="57" t="s">
        <v>89</v>
      </c>
      <c r="E62" s="57" t="s">
        <v>76</v>
      </c>
      <c r="F62" s="57"/>
      <c r="G62" s="57"/>
      <c r="H62" s="57"/>
      <c r="I62" s="58"/>
      <c r="J62" s="58"/>
    </row>
    <row r="63" spans="1:10" ht="14.25" customHeight="1" x14ac:dyDescent="0.25">
      <c r="A63" s="57" t="s">
        <v>72</v>
      </c>
      <c r="B63" s="57" t="s">
        <v>183</v>
      </c>
      <c r="C63" s="57" t="s">
        <v>128</v>
      </c>
      <c r="D63" s="57" t="s">
        <v>129</v>
      </c>
      <c r="E63" s="57" t="s">
        <v>76</v>
      </c>
      <c r="F63" s="57"/>
      <c r="G63" s="57"/>
      <c r="H63" s="58"/>
      <c r="I63" s="58"/>
      <c r="J63" s="58"/>
    </row>
    <row r="64" spans="1:10" ht="14.25" customHeight="1" x14ac:dyDescent="0.25">
      <c r="A64" s="57" t="s">
        <v>72</v>
      </c>
      <c r="B64" s="57" t="s">
        <v>251</v>
      </c>
      <c r="C64" s="57" t="s">
        <v>128</v>
      </c>
      <c r="D64" s="57" t="s">
        <v>129</v>
      </c>
      <c r="E64" s="57" t="s">
        <v>76</v>
      </c>
      <c r="F64" s="57"/>
      <c r="G64" s="57"/>
      <c r="H64" s="58"/>
      <c r="I64" s="58">
        <v>46175</v>
      </c>
      <c r="J64" s="58">
        <v>46175</v>
      </c>
    </row>
    <row r="65" spans="1:10" ht="14.25" customHeight="1" x14ac:dyDescent="0.25">
      <c r="A65" s="57" t="s">
        <v>72</v>
      </c>
      <c r="B65" s="57" t="s">
        <v>158</v>
      </c>
      <c r="C65" s="57" t="s">
        <v>128</v>
      </c>
      <c r="D65" s="57" t="s">
        <v>129</v>
      </c>
      <c r="E65" s="57" t="s">
        <v>76</v>
      </c>
      <c r="F65" s="57"/>
      <c r="G65" s="57"/>
      <c r="H65" s="58">
        <v>46175</v>
      </c>
      <c r="I65" s="58">
        <v>46175</v>
      </c>
      <c r="J65" s="58">
        <v>46175</v>
      </c>
    </row>
    <row r="66" spans="1:10" ht="14.25" customHeight="1" x14ac:dyDescent="0.25">
      <c r="A66" s="57" t="s">
        <v>72</v>
      </c>
      <c r="B66" s="57" t="s">
        <v>252</v>
      </c>
      <c r="C66" s="57" t="s">
        <v>128</v>
      </c>
      <c r="D66" s="57" t="s">
        <v>129</v>
      </c>
      <c r="E66" s="57" t="s">
        <v>76</v>
      </c>
      <c r="F66" s="57"/>
      <c r="G66" s="57"/>
      <c r="H66" s="58">
        <v>46175</v>
      </c>
      <c r="I66" s="58"/>
      <c r="J66" s="58"/>
    </row>
    <row r="67" spans="1:10" ht="14.25" customHeight="1" x14ac:dyDescent="0.25">
      <c r="A67" s="57" t="s">
        <v>72</v>
      </c>
      <c r="B67" s="57" t="s">
        <v>74</v>
      </c>
      <c r="C67" s="57" t="s">
        <v>128</v>
      </c>
      <c r="D67" s="57" t="s">
        <v>129</v>
      </c>
      <c r="E67" s="57" t="s">
        <v>76</v>
      </c>
      <c r="F67" s="57"/>
      <c r="G67" s="57"/>
      <c r="H67" s="58"/>
      <c r="I67" s="58">
        <v>46184</v>
      </c>
      <c r="J67" s="58">
        <v>46184</v>
      </c>
    </row>
    <row r="68" spans="1:10" ht="14.25" customHeight="1" x14ac:dyDescent="0.25">
      <c r="A68" s="57" t="s">
        <v>72</v>
      </c>
      <c r="B68" s="57" t="s">
        <v>183</v>
      </c>
      <c r="C68" s="57" t="s">
        <v>131</v>
      </c>
      <c r="D68" s="57" t="s">
        <v>101</v>
      </c>
      <c r="E68" s="57" t="s">
        <v>132</v>
      </c>
      <c r="F68" s="57"/>
      <c r="G68" s="57"/>
      <c r="H68" s="58"/>
      <c r="I68" s="58"/>
      <c r="J68" s="57"/>
    </row>
    <row r="69" spans="1:10" ht="14.25" customHeight="1" x14ac:dyDescent="0.25">
      <c r="A69" s="57" t="s">
        <v>72</v>
      </c>
      <c r="B69" s="57" t="s">
        <v>251</v>
      </c>
      <c r="C69" s="57" t="s">
        <v>131</v>
      </c>
      <c r="D69" s="57" t="s">
        <v>101</v>
      </c>
      <c r="E69" s="57" t="s">
        <v>132</v>
      </c>
      <c r="F69" s="57"/>
      <c r="G69" s="57"/>
      <c r="H69" s="57"/>
      <c r="I69" s="58">
        <v>46134</v>
      </c>
      <c r="J69" s="58">
        <v>46134</v>
      </c>
    </row>
    <row r="70" spans="1:10" ht="14.25" customHeight="1" x14ac:dyDescent="0.25">
      <c r="A70" s="57" t="s">
        <v>72</v>
      </c>
      <c r="B70" s="57" t="s">
        <v>158</v>
      </c>
      <c r="C70" s="57" t="s">
        <v>131</v>
      </c>
      <c r="D70" s="57" t="s">
        <v>101</v>
      </c>
      <c r="E70" s="57" t="s">
        <v>132</v>
      </c>
      <c r="F70" s="57"/>
      <c r="G70" s="57"/>
      <c r="H70" s="58">
        <v>46134</v>
      </c>
      <c r="I70" s="58">
        <v>46134</v>
      </c>
      <c r="J70" s="58">
        <v>46134</v>
      </c>
    </row>
    <row r="71" spans="1:10" ht="14.25" customHeight="1" x14ac:dyDescent="0.25">
      <c r="A71" s="57" t="s">
        <v>72</v>
      </c>
      <c r="B71" s="57" t="s">
        <v>252</v>
      </c>
      <c r="C71" s="57" t="s">
        <v>131</v>
      </c>
      <c r="D71" s="57" t="s">
        <v>101</v>
      </c>
      <c r="E71" s="57" t="s">
        <v>132</v>
      </c>
      <c r="F71" s="57"/>
      <c r="G71" s="57"/>
      <c r="H71" s="58">
        <v>46134</v>
      </c>
      <c r="I71" s="58"/>
      <c r="J71" s="58"/>
    </row>
    <row r="72" spans="1:10" ht="14.25" customHeight="1" x14ac:dyDescent="0.25">
      <c r="A72" s="57" t="s">
        <v>72</v>
      </c>
      <c r="B72" s="57" t="s">
        <v>74</v>
      </c>
      <c r="C72" s="57" t="s">
        <v>131</v>
      </c>
      <c r="D72" s="57" t="s">
        <v>101</v>
      </c>
      <c r="E72" s="57" t="s">
        <v>132</v>
      </c>
      <c r="F72" s="57"/>
      <c r="G72" s="57"/>
      <c r="H72" s="58"/>
      <c r="I72" s="58"/>
      <c r="J72" s="58"/>
    </row>
    <row r="73" spans="1:10" ht="14.25" customHeight="1" x14ac:dyDescent="0.25">
      <c r="A73" s="57" t="s">
        <v>72</v>
      </c>
      <c r="B73" s="57" t="s">
        <v>183</v>
      </c>
      <c r="C73" s="57" t="s">
        <v>135</v>
      </c>
      <c r="D73" s="57" t="s">
        <v>91</v>
      </c>
      <c r="E73" s="57" t="s">
        <v>132</v>
      </c>
      <c r="F73" s="57"/>
      <c r="G73" s="57"/>
      <c r="H73" s="57"/>
      <c r="I73" s="58"/>
      <c r="J73" s="58"/>
    </row>
    <row r="74" spans="1:10" ht="14.25" customHeight="1" x14ac:dyDescent="0.25">
      <c r="A74" s="57" t="s">
        <v>72</v>
      </c>
      <c r="B74" s="57" t="s">
        <v>251</v>
      </c>
      <c r="C74" s="57" t="s">
        <v>135</v>
      </c>
      <c r="D74" s="57" t="s">
        <v>91</v>
      </c>
      <c r="E74" s="57" t="s">
        <v>132</v>
      </c>
      <c r="F74" s="57"/>
      <c r="G74" s="57"/>
      <c r="H74" s="58"/>
      <c r="I74" s="58">
        <v>46139</v>
      </c>
      <c r="J74" s="58">
        <v>46139</v>
      </c>
    </row>
    <row r="75" spans="1:10" ht="14.25" customHeight="1" x14ac:dyDescent="0.25">
      <c r="A75" s="57" t="s">
        <v>72</v>
      </c>
      <c r="B75" s="57" t="s">
        <v>158</v>
      </c>
      <c r="C75" s="57" t="s">
        <v>135</v>
      </c>
      <c r="D75" s="57" t="s">
        <v>91</v>
      </c>
      <c r="E75" s="57" t="s">
        <v>132</v>
      </c>
      <c r="F75" s="57"/>
      <c r="G75" s="57"/>
      <c r="H75" s="58">
        <v>46139</v>
      </c>
      <c r="I75" s="58">
        <v>46139</v>
      </c>
      <c r="J75" s="58">
        <v>46139</v>
      </c>
    </row>
    <row r="76" spans="1:10" ht="14.25" customHeight="1" x14ac:dyDescent="0.25">
      <c r="A76" s="57" t="s">
        <v>72</v>
      </c>
      <c r="B76" s="57" t="s">
        <v>252</v>
      </c>
      <c r="C76" s="57" t="s">
        <v>135</v>
      </c>
      <c r="D76" s="57" t="s">
        <v>91</v>
      </c>
      <c r="E76" s="57" t="s">
        <v>132</v>
      </c>
      <c r="F76" s="57"/>
      <c r="G76" s="57"/>
      <c r="H76" s="58">
        <v>46139</v>
      </c>
      <c r="I76" s="58"/>
      <c r="J76" s="58"/>
    </row>
    <row r="77" spans="1:10" ht="14.25" customHeight="1" x14ac:dyDescent="0.25">
      <c r="A77" s="57" t="s">
        <v>72</v>
      </c>
      <c r="B77" s="57" t="s">
        <v>74</v>
      </c>
      <c r="C77" s="57" t="s">
        <v>135</v>
      </c>
      <c r="D77" s="57" t="s">
        <v>91</v>
      </c>
      <c r="E77" s="57" t="s">
        <v>132</v>
      </c>
      <c r="F77" s="57"/>
      <c r="G77" s="57"/>
      <c r="H77" s="57"/>
      <c r="I77" s="58"/>
      <c r="J77" s="58"/>
    </row>
    <row r="78" spans="1:10" ht="14.25" customHeight="1" x14ac:dyDescent="0.25">
      <c r="A78" s="57" t="s">
        <v>72</v>
      </c>
      <c r="B78" s="57" t="s">
        <v>183</v>
      </c>
      <c r="C78" s="57" t="s">
        <v>138</v>
      </c>
      <c r="D78" s="57" t="s">
        <v>109</v>
      </c>
      <c r="E78" s="57" t="s">
        <v>92</v>
      </c>
      <c r="F78" s="57"/>
      <c r="G78" s="57"/>
      <c r="H78" s="58"/>
      <c r="I78" s="58"/>
      <c r="J78" s="57"/>
    </row>
    <row r="79" spans="1:10" ht="14.25" customHeight="1" x14ac:dyDescent="0.25">
      <c r="A79" s="57" t="s">
        <v>72</v>
      </c>
      <c r="B79" s="57" t="s">
        <v>251</v>
      </c>
      <c r="C79" s="57" t="s">
        <v>138</v>
      </c>
      <c r="D79" s="57" t="s">
        <v>109</v>
      </c>
      <c r="E79" s="57" t="s">
        <v>92</v>
      </c>
      <c r="F79" s="57"/>
      <c r="G79" s="57"/>
      <c r="H79" s="57"/>
      <c r="I79" s="58">
        <v>46147</v>
      </c>
      <c r="J79" s="58">
        <v>46147</v>
      </c>
    </row>
    <row r="80" spans="1:10" ht="14.25" customHeight="1" x14ac:dyDescent="0.25">
      <c r="A80" s="57" t="s">
        <v>72</v>
      </c>
      <c r="B80" s="57" t="s">
        <v>158</v>
      </c>
      <c r="C80" s="57" t="s">
        <v>138</v>
      </c>
      <c r="D80" s="57" t="s">
        <v>109</v>
      </c>
      <c r="E80" s="57" t="s">
        <v>92</v>
      </c>
      <c r="F80" s="57"/>
      <c r="G80" s="57"/>
      <c r="H80" s="58">
        <v>46147</v>
      </c>
      <c r="I80" s="58">
        <v>46147</v>
      </c>
      <c r="J80" s="58">
        <v>46147</v>
      </c>
    </row>
    <row r="81" spans="1:10" ht="14.25" customHeight="1" x14ac:dyDescent="0.25">
      <c r="A81" s="57" t="s">
        <v>72</v>
      </c>
      <c r="B81" s="57" t="s">
        <v>252</v>
      </c>
      <c r="C81" s="57" t="s">
        <v>138</v>
      </c>
      <c r="D81" s="57" t="s">
        <v>109</v>
      </c>
      <c r="E81" s="57" t="s">
        <v>92</v>
      </c>
      <c r="F81" s="57"/>
      <c r="G81" s="57"/>
      <c r="H81" s="58">
        <v>46147</v>
      </c>
      <c r="I81" s="58"/>
      <c r="J81" s="58"/>
    </row>
    <row r="82" spans="1:10" ht="14.25" customHeight="1" x14ac:dyDescent="0.25">
      <c r="A82" s="57" t="s">
        <v>72</v>
      </c>
      <c r="B82" s="57" t="s">
        <v>74</v>
      </c>
      <c r="C82" s="57" t="s">
        <v>138</v>
      </c>
      <c r="D82" s="57" t="s">
        <v>109</v>
      </c>
      <c r="E82" s="57" t="s">
        <v>92</v>
      </c>
      <c r="F82" s="57"/>
      <c r="G82" s="57"/>
      <c r="H82" s="58"/>
      <c r="I82" s="58"/>
      <c r="J82" s="57"/>
    </row>
    <row r="83" spans="1:10" ht="14.25" customHeight="1" x14ac:dyDescent="0.25">
      <c r="A83" s="57" t="s">
        <v>72</v>
      </c>
      <c r="B83" s="57" t="s">
        <v>183</v>
      </c>
      <c r="C83" s="57" t="s">
        <v>141</v>
      </c>
      <c r="D83" s="57" t="s">
        <v>109</v>
      </c>
      <c r="E83" s="57" t="s">
        <v>76</v>
      </c>
      <c r="F83" s="57"/>
      <c r="G83" s="57"/>
      <c r="H83" s="57"/>
      <c r="I83" s="58"/>
      <c r="J83" s="58"/>
    </row>
    <row r="84" spans="1:10" ht="14.25" customHeight="1" x14ac:dyDescent="0.25">
      <c r="A84" s="57" t="s">
        <v>72</v>
      </c>
      <c r="B84" s="57" t="s">
        <v>251</v>
      </c>
      <c r="C84" s="57" t="s">
        <v>141</v>
      </c>
      <c r="D84" s="57" t="s">
        <v>109</v>
      </c>
      <c r="E84" s="57" t="s">
        <v>76</v>
      </c>
      <c r="F84" s="57"/>
      <c r="G84" s="57"/>
      <c r="H84" s="58"/>
      <c r="I84" s="58">
        <v>46175</v>
      </c>
      <c r="J84" s="58">
        <v>46175</v>
      </c>
    </row>
    <row r="85" spans="1:10" ht="14.25" customHeight="1" x14ac:dyDescent="0.25">
      <c r="A85" s="57" t="s">
        <v>72</v>
      </c>
      <c r="B85" s="57" t="s">
        <v>158</v>
      </c>
      <c r="C85" s="57" t="s">
        <v>141</v>
      </c>
      <c r="D85" s="57" t="s">
        <v>109</v>
      </c>
      <c r="E85" s="57" t="s">
        <v>76</v>
      </c>
      <c r="F85" s="57"/>
      <c r="G85" s="57"/>
      <c r="H85" s="58">
        <v>46175</v>
      </c>
      <c r="I85" s="58">
        <v>46179</v>
      </c>
      <c r="J85" s="58">
        <v>46179</v>
      </c>
    </row>
    <row r="86" spans="1:10" ht="14.25" customHeight="1" x14ac:dyDescent="0.25">
      <c r="A86" s="57" t="s">
        <v>72</v>
      </c>
      <c r="B86" s="57" t="s">
        <v>252</v>
      </c>
      <c r="C86" s="57" t="s">
        <v>141</v>
      </c>
      <c r="D86" s="57" t="s">
        <v>109</v>
      </c>
      <c r="E86" s="57" t="s">
        <v>76</v>
      </c>
      <c r="F86" s="57"/>
      <c r="G86" s="57"/>
      <c r="H86" s="58">
        <v>46179</v>
      </c>
      <c r="I86" s="58"/>
      <c r="J86" s="58"/>
    </row>
    <row r="87" spans="1:10" ht="14.25" customHeight="1" x14ac:dyDescent="0.25">
      <c r="A87" s="57" t="s">
        <v>72</v>
      </c>
      <c r="B87" s="57" t="s">
        <v>74</v>
      </c>
      <c r="C87" s="57" t="s">
        <v>141</v>
      </c>
      <c r="D87" s="57" t="s">
        <v>109</v>
      </c>
      <c r="E87" s="57" t="s">
        <v>76</v>
      </c>
      <c r="F87" s="57"/>
      <c r="G87" s="57"/>
      <c r="H87" s="57"/>
      <c r="I87" s="58"/>
      <c r="J87" s="58"/>
    </row>
    <row r="88" spans="1:10" ht="14.25" customHeight="1" x14ac:dyDescent="0.25">
      <c r="A88" s="57" t="s">
        <v>72</v>
      </c>
      <c r="B88" s="57" t="s">
        <v>183</v>
      </c>
      <c r="C88" s="57" t="s">
        <v>143</v>
      </c>
      <c r="D88" s="57" t="s">
        <v>75</v>
      </c>
      <c r="E88" s="57" t="s">
        <v>92</v>
      </c>
      <c r="F88" s="57"/>
      <c r="G88" s="57"/>
      <c r="H88" s="58"/>
      <c r="I88" s="58"/>
      <c r="J88" s="57"/>
    </row>
    <row r="89" spans="1:10" ht="14.25" customHeight="1" x14ac:dyDescent="0.25">
      <c r="A89" s="57" t="s">
        <v>72</v>
      </c>
      <c r="B89" s="57" t="s">
        <v>251</v>
      </c>
      <c r="C89" s="57" t="s">
        <v>143</v>
      </c>
      <c r="D89" s="57" t="s">
        <v>75</v>
      </c>
      <c r="E89" s="57" t="s">
        <v>92</v>
      </c>
      <c r="F89" s="57"/>
      <c r="G89" s="57"/>
      <c r="H89" s="57"/>
      <c r="I89" s="58">
        <v>46143</v>
      </c>
      <c r="J89" s="58">
        <v>46143</v>
      </c>
    </row>
    <row r="90" spans="1:10" ht="14.25" customHeight="1" x14ac:dyDescent="0.25">
      <c r="A90" s="57" t="s">
        <v>72</v>
      </c>
      <c r="B90" s="57" t="s">
        <v>158</v>
      </c>
      <c r="C90" s="57" t="s">
        <v>143</v>
      </c>
      <c r="D90" s="57" t="s">
        <v>75</v>
      </c>
      <c r="E90" s="57" t="s">
        <v>92</v>
      </c>
      <c r="F90" s="57"/>
      <c r="G90" s="57"/>
      <c r="H90" s="58">
        <v>46143</v>
      </c>
      <c r="I90" s="58">
        <v>46175</v>
      </c>
      <c r="J90" s="58">
        <v>46175</v>
      </c>
    </row>
    <row r="91" spans="1:10" ht="14.25" customHeight="1" x14ac:dyDescent="0.25">
      <c r="A91" s="57" t="s">
        <v>72</v>
      </c>
      <c r="B91" s="57" t="s">
        <v>252</v>
      </c>
      <c r="C91" s="57" t="s">
        <v>143</v>
      </c>
      <c r="D91" s="57" t="s">
        <v>75</v>
      </c>
      <c r="E91" s="57" t="s">
        <v>92</v>
      </c>
      <c r="F91" s="57"/>
      <c r="G91" s="57"/>
      <c r="H91" s="58">
        <v>46175</v>
      </c>
      <c r="I91" s="58"/>
      <c r="J91" s="58"/>
    </row>
    <row r="92" spans="1:10" ht="14.25" customHeight="1" x14ac:dyDescent="0.25">
      <c r="A92" s="57" t="s">
        <v>72</v>
      </c>
      <c r="B92" s="57" t="s">
        <v>74</v>
      </c>
      <c r="C92" s="57" t="s">
        <v>143</v>
      </c>
      <c r="D92" s="57" t="s">
        <v>75</v>
      </c>
      <c r="E92" s="57" t="s">
        <v>92</v>
      </c>
      <c r="F92" s="57"/>
      <c r="G92" s="57"/>
      <c r="H92" s="58"/>
      <c r="I92" s="58">
        <v>46184</v>
      </c>
      <c r="J92" s="58">
        <v>46184</v>
      </c>
    </row>
    <row r="93" spans="1:10" ht="14.25" customHeight="1" x14ac:dyDescent="0.25">
      <c r="A93" s="57" t="s">
        <v>72</v>
      </c>
      <c r="B93" s="57" t="s">
        <v>183</v>
      </c>
      <c r="C93" s="57" t="s">
        <v>146</v>
      </c>
      <c r="D93" s="57" t="s">
        <v>75</v>
      </c>
      <c r="E93" s="57" t="s">
        <v>132</v>
      </c>
      <c r="F93" s="57"/>
      <c r="G93" s="57"/>
      <c r="H93" s="57"/>
      <c r="I93" s="58">
        <v>46175</v>
      </c>
      <c r="J93" s="58">
        <v>46175</v>
      </c>
    </row>
    <row r="94" spans="1:10" ht="14.25" customHeight="1" x14ac:dyDescent="0.25">
      <c r="A94" s="57" t="s">
        <v>72</v>
      </c>
      <c r="B94" s="57" t="s">
        <v>251</v>
      </c>
      <c r="C94" s="57" t="s">
        <v>146</v>
      </c>
      <c r="D94" s="57" t="s">
        <v>75</v>
      </c>
      <c r="E94" s="57" t="s">
        <v>132</v>
      </c>
      <c r="F94" s="57"/>
      <c r="G94" s="57"/>
      <c r="H94" s="58">
        <v>46175</v>
      </c>
      <c r="I94" s="58">
        <v>46178</v>
      </c>
      <c r="J94" s="58">
        <v>46178</v>
      </c>
    </row>
    <row r="95" spans="1:10" ht="14.25" customHeight="1" x14ac:dyDescent="0.25">
      <c r="A95" s="57" t="s">
        <v>72</v>
      </c>
      <c r="B95" s="57" t="s">
        <v>158</v>
      </c>
      <c r="C95" s="57" t="s">
        <v>146</v>
      </c>
      <c r="D95" s="57" t="s">
        <v>75</v>
      </c>
      <c r="E95" s="57" t="s">
        <v>132</v>
      </c>
      <c r="F95" s="57"/>
      <c r="G95" s="57"/>
      <c r="H95" s="58">
        <v>46178</v>
      </c>
      <c r="I95" s="58">
        <v>46175</v>
      </c>
      <c r="J95" s="58">
        <v>46175</v>
      </c>
    </row>
    <row r="96" spans="1:10" ht="14.25" customHeight="1" x14ac:dyDescent="0.25">
      <c r="A96" s="57" t="s">
        <v>72</v>
      </c>
      <c r="B96" s="57" t="s">
        <v>252</v>
      </c>
      <c r="C96" s="57" t="s">
        <v>146</v>
      </c>
      <c r="D96" s="57" t="s">
        <v>75</v>
      </c>
      <c r="E96" s="57" t="s">
        <v>132</v>
      </c>
      <c r="F96" s="57"/>
      <c r="G96" s="57"/>
      <c r="H96" s="58">
        <v>46175</v>
      </c>
      <c r="I96" s="58"/>
      <c r="J96" s="58"/>
    </row>
    <row r="97" spans="1:10" ht="14.25" customHeight="1" x14ac:dyDescent="0.25">
      <c r="A97" s="57" t="s">
        <v>72</v>
      </c>
      <c r="B97" s="57" t="s">
        <v>74</v>
      </c>
      <c r="C97" s="57" t="s">
        <v>146</v>
      </c>
      <c r="D97" s="57" t="s">
        <v>75</v>
      </c>
      <c r="E97" s="57" t="s">
        <v>132</v>
      </c>
      <c r="F97" s="57"/>
      <c r="G97" s="57"/>
      <c r="H97" s="57"/>
      <c r="I97" s="58">
        <v>46192</v>
      </c>
      <c r="J97" s="58">
        <v>46192</v>
      </c>
    </row>
    <row r="98" spans="1:10" ht="14.25" customHeight="1" x14ac:dyDescent="0.25">
      <c r="A98" s="57" t="s">
        <v>72</v>
      </c>
      <c r="B98" s="57" t="s">
        <v>183</v>
      </c>
      <c r="C98" s="57" t="s">
        <v>149</v>
      </c>
      <c r="D98" s="57" t="s">
        <v>129</v>
      </c>
      <c r="E98" s="57" t="s">
        <v>92</v>
      </c>
      <c r="F98" s="57"/>
      <c r="G98" s="57"/>
      <c r="H98" s="58"/>
      <c r="I98" s="58">
        <v>46148</v>
      </c>
      <c r="J98" s="58">
        <v>46148</v>
      </c>
    </row>
    <row r="99" spans="1:10" ht="14.25" customHeight="1" x14ac:dyDescent="0.25">
      <c r="A99" s="57" t="s">
        <v>72</v>
      </c>
      <c r="B99" s="57" t="s">
        <v>251</v>
      </c>
      <c r="C99" s="57" t="s">
        <v>149</v>
      </c>
      <c r="D99" s="57" t="s">
        <v>129</v>
      </c>
      <c r="E99" s="57" t="s">
        <v>92</v>
      </c>
      <c r="F99" s="57"/>
      <c r="G99" s="57"/>
      <c r="H99" s="58">
        <v>46148</v>
      </c>
      <c r="I99" s="58">
        <v>46183</v>
      </c>
      <c r="J99" s="58">
        <v>46183</v>
      </c>
    </row>
    <row r="100" spans="1:10" ht="14.25" customHeight="1" x14ac:dyDescent="0.25">
      <c r="A100" s="57" t="s">
        <v>72</v>
      </c>
      <c r="B100" s="57" t="s">
        <v>158</v>
      </c>
      <c r="C100" s="57" t="s">
        <v>149</v>
      </c>
      <c r="D100" s="57" t="s">
        <v>129</v>
      </c>
      <c r="E100" s="57" t="s">
        <v>92</v>
      </c>
      <c r="F100" s="57"/>
      <c r="G100" s="57"/>
      <c r="H100" s="58">
        <v>46183</v>
      </c>
      <c r="I100" s="58">
        <v>46195</v>
      </c>
      <c r="J100" s="58">
        <v>46195</v>
      </c>
    </row>
    <row r="101" spans="1:10" ht="14.25" customHeight="1" x14ac:dyDescent="0.25">
      <c r="A101" s="57" t="s">
        <v>72</v>
      </c>
      <c r="B101" s="57" t="s">
        <v>252</v>
      </c>
      <c r="C101" s="57" t="s">
        <v>149</v>
      </c>
      <c r="D101" s="57" t="s">
        <v>129</v>
      </c>
      <c r="E101" s="57" t="s">
        <v>92</v>
      </c>
      <c r="F101" s="57"/>
      <c r="G101" s="57"/>
      <c r="H101" s="58">
        <v>46195</v>
      </c>
      <c r="I101" s="58"/>
      <c r="J101" s="58"/>
    </row>
    <row r="102" spans="1:10" ht="14.25" customHeight="1" x14ac:dyDescent="0.25">
      <c r="A102" s="57" t="s">
        <v>72</v>
      </c>
      <c r="B102" s="57" t="s">
        <v>74</v>
      </c>
      <c r="C102" s="57" t="s">
        <v>149</v>
      </c>
      <c r="D102" s="57" t="s">
        <v>129</v>
      </c>
      <c r="E102" s="57" t="s">
        <v>92</v>
      </c>
      <c r="F102" s="57"/>
      <c r="G102" s="57"/>
      <c r="H102" s="58"/>
      <c r="I102" s="58"/>
      <c r="J102" s="57"/>
    </row>
    <row r="103" spans="1:10" ht="14.25" customHeight="1" x14ac:dyDescent="0.25">
      <c r="A103" s="57" t="s">
        <v>72</v>
      </c>
      <c r="B103" s="57" t="s">
        <v>183</v>
      </c>
      <c r="C103" s="57" t="s">
        <v>151</v>
      </c>
      <c r="D103" s="57" t="s">
        <v>129</v>
      </c>
      <c r="E103" s="57" t="s">
        <v>132</v>
      </c>
      <c r="F103" s="57"/>
      <c r="G103" s="57"/>
      <c r="H103" s="57"/>
      <c r="I103" s="58">
        <v>46162</v>
      </c>
      <c r="J103" s="58">
        <v>46162</v>
      </c>
    </row>
    <row r="104" spans="1:10" ht="14.25" customHeight="1" x14ac:dyDescent="0.25">
      <c r="A104" s="57" t="s">
        <v>72</v>
      </c>
      <c r="B104" s="57" t="s">
        <v>251</v>
      </c>
      <c r="C104" s="57" t="s">
        <v>151</v>
      </c>
      <c r="D104" s="57" t="s">
        <v>129</v>
      </c>
      <c r="E104" s="57" t="s">
        <v>132</v>
      </c>
      <c r="F104" s="57"/>
      <c r="G104" s="57"/>
      <c r="H104" s="58">
        <v>46162</v>
      </c>
      <c r="I104" s="58">
        <v>46182</v>
      </c>
      <c r="J104" s="58">
        <v>46182</v>
      </c>
    </row>
    <row r="105" spans="1:10" ht="14.25" customHeight="1" x14ac:dyDescent="0.25">
      <c r="A105" s="57" t="s">
        <v>72</v>
      </c>
      <c r="B105" s="57" t="s">
        <v>158</v>
      </c>
      <c r="C105" s="57" t="s">
        <v>151</v>
      </c>
      <c r="D105" s="57" t="s">
        <v>129</v>
      </c>
      <c r="E105" s="57" t="s">
        <v>132</v>
      </c>
      <c r="F105" s="57"/>
      <c r="G105" s="57"/>
      <c r="H105" s="58">
        <v>46182</v>
      </c>
      <c r="I105" s="58">
        <v>46198</v>
      </c>
      <c r="J105" s="58">
        <v>46198</v>
      </c>
    </row>
    <row r="106" spans="1:10" ht="14.25" customHeight="1" x14ac:dyDescent="0.25">
      <c r="A106" s="57" t="s">
        <v>72</v>
      </c>
      <c r="B106" s="57" t="s">
        <v>252</v>
      </c>
      <c r="C106" s="57" t="s">
        <v>151</v>
      </c>
      <c r="D106" s="57" t="s">
        <v>129</v>
      </c>
      <c r="E106" s="57" t="s">
        <v>132</v>
      </c>
      <c r="F106" s="57"/>
      <c r="G106" s="57"/>
      <c r="H106" s="58">
        <v>46198</v>
      </c>
      <c r="I106" s="58"/>
      <c r="J106" s="57"/>
    </row>
    <row r="107" spans="1:10" ht="14.25" customHeight="1" x14ac:dyDescent="0.25">
      <c r="A107" s="57" t="s">
        <v>72</v>
      </c>
      <c r="B107" s="57" t="s">
        <v>74</v>
      </c>
      <c r="C107" s="57" t="s">
        <v>151</v>
      </c>
      <c r="D107" s="57" t="s">
        <v>129</v>
      </c>
      <c r="E107" s="57" t="s">
        <v>132</v>
      </c>
      <c r="F107" s="57"/>
      <c r="G107" s="57"/>
      <c r="H107" s="57"/>
      <c r="I107" s="58"/>
      <c r="J107" s="58"/>
    </row>
    <row r="108" spans="1:10" ht="14.25" customHeight="1" x14ac:dyDescent="0.25">
      <c r="A108" s="57" t="s">
        <v>72</v>
      </c>
      <c r="B108" s="57" t="s">
        <v>183</v>
      </c>
      <c r="C108" s="57" t="s">
        <v>153</v>
      </c>
      <c r="D108" s="57" t="s">
        <v>75</v>
      </c>
      <c r="E108" s="57" t="s">
        <v>92</v>
      </c>
      <c r="F108" s="57"/>
      <c r="G108" s="57"/>
      <c r="H108" s="58"/>
      <c r="I108" s="58">
        <v>46168</v>
      </c>
      <c r="J108" s="58">
        <v>46168</v>
      </c>
    </row>
    <row r="109" spans="1:10" ht="14.25" customHeight="1" x14ac:dyDescent="0.25">
      <c r="A109" s="57" t="s">
        <v>72</v>
      </c>
      <c r="B109" s="57" t="s">
        <v>251</v>
      </c>
      <c r="C109" s="57" t="s">
        <v>153</v>
      </c>
      <c r="D109" s="57" t="s">
        <v>75</v>
      </c>
      <c r="E109" s="57" t="s">
        <v>92</v>
      </c>
      <c r="F109" s="57"/>
      <c r="G109" s="57"/>
      <c r="H109" s="58">
        <v>46168</v>
      </c>
      <c r="I109" s="58">
        <v>46183</v>
      </c>
      <c r="J109" s="58">
        <v>46183</v>
      </c>
    </row>
    <row r="110" spans="1:10" ht="14.25" customHeight="1" x14ac:dyDescent="0.25">
      <c r="A110" s="57" t="s">
        <v>72</v>
      </c>
      <c r="B110" s="57" t="s">
        <v>158</v>
      </c>
      <c r="C110" s="57" t="s">
        <v>153</v>
      </c>
      <c r="D110" s="57" t="s">
        <v>75</v>
      </c>
      <c r="E110" s="57" t="s">
        <v>92</v>
      </c>
      <c r="F110" s="57"/>
      <c r="G110" s="57"/>
      <c r="H110" s="58">
        <v>46183</v>
      </c>
      <c r="I110" s="58">
        <v>46198</v>
      </c>
      <c r="J110" s="58">
        <v>46198</v>
      </c>
    </row>
    <row r="111" spans="1:10" ht="14.25" customHeight="1" x14ac:dyDescent="0.25">
      <c r="A111" s="57" t="s">
        <v>72</v>
      </c>
      <c r="B111" s="57" t="s">
        <v>252</v>
      </c>
      <c r="C111" s="57" t="s">
        <v>153</v>
      </c>
      <c r="D111" s="57" t="s">
        <v>75</v>
      </c>
      <c r="E111" s="57" t="s">
        <v>92</v>
      </c>
      <c r="F111" s="57"/>
      <c r="G111" s="57"/>
      <c r="H111" s="58">
        <v>46198</v>
      </c>
      <c r="I111" s="58"/>
      <c r="J111" s="58"/>
    </row>
    <row r="112" spans="1:10" ht="14.25" customHeight="1" x14ac:dyDescent="0.25">
      <c r="A112" s="57" t="s">
        <v>72</v>
      </c>
      <c r="B112" s="57" t="s">
        <v>74</v>
      </c>
      <c r="C112" s="57" t="s">
        <v>153</v>
      </c>
      <c r="D112" s="57" t="s">
        <v>75</v>
      </c>
      <c r="E112" s="57" t="s">
        <v>92</v>
      </c>
      <c r="F112" s="57"/>
      <c r="G112" s="57"/>
      <c r="H112" s="58"/>
      <c r="I112" s="58"/>
      <c r="J112" s="57"/>
    </row>
    <row r="113" spans="1:10" ht="14.25" customHeight="1" x14ac:dyDescent="0.25">
      <c r="A113" s="57" t="s">
        <v>72</v>
      </c>
      <c r="B113" s="57" t="s">
        <v>183</v>
      </c>
      <c r="C113" s="57" t="s">
        <v>154</v>
      </c>
      <c r="D113" s="57" t="s">
        <v>75</v>
      </c>
      <c r="E113" s="57" t="s">
        <v>92</v>
      </c>
      <c r="F113" s="57"/>
      <c r="G113" s="57"/>
      <c r="H113" s="57"/>
      <c r="I113" s="58">
        <v>46165</v>
      </c>
      <c r="J113" s="58">
        <v>46165</v>
      </c>
    </row>
    <row r="114" spans="1:10" ht="14.25" customHeight="1" x14ac:dyDescent="0.25">
      <c r="A114" s="57" t="s">
        <v>72</v>
      </c>
      <c r="B114" s="57" t="s">
        <v>251</v>
      </c>
      <c r="C114" s="57" t="s">
        <v>154</v>
      </c>
      <c r="D114" s="57" t="s">
        <v>75</v>
      </c>
      <c r="E114" s="57" t="s">
        <v>92</v>
      </c>
      <c r="F114" s="57"/>
      <c r="G114" s="57"/>
      <c r="H114" s="58">
        <v>46165</v>
      </c>
      <c r="I114" s="58">
        <v>46153</v>
      </c>
      <c r="J114" s="58">
        <v>46153</v>
      </c>
    </row>
    <row r="115" spans="1:10" ht="14.25" customHeight="1" x14ac:dyDescent="0.25">
      <c r="A115" s="57" t="s">
        <v>72</v>
      </c>
      <c r="B115" s="57" t="s">
        <v>158</v>
      </c>
      <c r="C115" s="57" t="s">
        <v>154</v>
      </c>
      <c r="D115" s="57" t="s">
        <v>75</v>
      </c>
      <c r="E115" s="57" t="s">
        <v>92</v>
      </c>
      <c r="F115" s="57"/>
      <c r="G115" s="57"/>
      <c r="H115" s="58">
        <v>46153</v>
      </c>
      <c r="I115" s="58">
        <v>46154</v>
      </c>
      <c r="J115" s="58">
        <v>46154</v>
      </c>
    </row>
    <row r="116" spans="1:10" ht="14.25" customHeight="1" x14ac:dyDescent="0.25">
      <c r="A116" s="57" t="s">
        <v>72</v>
      </c>
      <c r="B116" s="57" t="s">
        <v>252</v>
      </c>
      <c r="C116" s="57" t="s">
        <v>154</v>
      </c>
      <c r="D116" s="57" t="s">
        <v>75</v>
      </c>
      <c r="E116" s="57" t="s">
        <v>92</v>
      </c>
      <c r="F116" s="57"/>
      <c r="G116" s="57"/>
      <c r="H116" s="58">
        <v>46154</v>
      </c>
      <c r="I116" s="58"/>
      <c r="J116" s="57"/>
    </row>
    <row r="117" spans="1:10" ht="14.25" customHeight="1" x14ac:dyDescent="0.25">
      <c r="A117" s="57" t="s">
        <v>72</v>
      </c>
      <c r="B117" s="57" t="s">
        <v>74</v>
      </c>
      <c r="C117" s="57" t="s">
        <v>154</v>
      </c>
      <c r="D117" s="57" t="s">
        <v>75</v>
      </c>
      <c r="E117" s="57" t="s">
        <v>92</v>
      </c>
      <c r="F117" s="57"/>
      <c r="G117" s="57"/>
      <c r="H117" s="57"/>
      <c r="I117" s="58">
        <v>46184</v>
      </c>
      <c r="J117" s="58">
        <v>46184</v>
      </c>
    </row>
    <row r="118" spans="1:10" ht="14.25" customHeight="1" x14ac:dyDescent="0.25">
      <c r="A118" s="57" t="s">
        <v>72</v>
      </c>
      <c r="B118" s="57" t="s">
        <v>183</v>
      </c>
      <c r="C118" s="57" t="s">
        <v>157</v>
      </c>
      <c r="D118" s="57" t="s">
        <v>91</v>
      </c>
      <c r="E118" s="57" t="s">
        <v>76</v>
      </c>
      <c r="F118" s="57"/>
      <c r="G118" s="57"/>
      <c r="H118" s="58"/>
      <c r="I118" s="58">
        <v>46162</v>
      </c>
      <c r="J118" s="58">
        <v>46162</v>
      </c>
    </row>
    <row r="119" spans="1:10" ht="14.25" customHeight="1" x14ac:dyDescent="0.25">
      <c r="A119" s="57" t="s">
        <v>72</v>
      </c>
      <c r="B119" s="57" t="s">
        <v>251</v>
      </c>
      <c r="C119" s="57" t="s">
        <v>157</v>
      </c>
      <c r="D119" s="57" t="s">
        <v>91</v>
      </c>
      <c r="E119" s="57" t="s">
        <v>76</v>
      </c>
      <c r="F119" s="57"/>
      <c r="G119" s="57"/>
      <c r="H119" s="58">
        <v>46162</v>
      </c>
      <c r="I119" s="58">
        <v>46186</v>
      </c>
      <c r="J119" s="58">
        <v>46186</v>
      </c>
    </row>
    <row r="120" spans="1:10" ht="14.25" customHeight="1" x14ac:dyDescent="0.25">
      <c r="A120" s="57" t="s">
        <v>72</v>
      </c>
      <c r="B120" s="57" t="s">
        <v>158</v>
      </c>
      <c r="C120" s="57" t="s">
        <v>157</v>
      </c>
      <c r="D120" s="57" t="s">
        <v>91</v>
      </c>
      <c r="E120" s="57" t="s">
        <v>76</v>
      </c>
      <c r="F120" s="57"/>
      <c r="G120" s="57"/>
      <c r="H120" s="58">
        <v>46186</v>
      </c>
      <c r="I120" s="58">
        <v>46188</v>
      </c>
      <c r="J120" s="58">
        <v>46188</v>
      </c>
    </row>
    <row r="121" spans="1:10" ht="14.25" customHeight="1" x14ac:dyDescent="0.25">
      <c r="A121" s="57" t="s">
        <v>72</v>
      </c>
      <c r="B121" s="57" t="s">
        <v>183</v>
      </c>
      <c r="C121" s="57" t="s">
        <v>160</v>
      </c>
      <c r="D121" s="57" t="s">
        <v>91</v>
      </c>
      <c r="E121" s="57" t="s">
        <v>132</v>
      </c>
      <c r="F121" s="57"/>
      <c r="G121" s="57"/>
      <c r="H121" s="57"/>
      <c r="I121" s="58">
        <v>46162</v>
      </c>
      <c r="J121" s="58">
        <v>46162</v>
      </c>
    </row>
    <row r="122" spans="1:10" ht="14.25" customHeight="1" x14ac:dyDescent="0.25">
      <c r="A122" s="57" t="s">
        <v>72</v>
      </c>
      <c r="B122" s="57" t="s">
        <v>251</v>
      </c>
      <c r="C122" s="57" t="s">
        <v>160</v>
      </c>
      <c r="D122" s="57" t="s">
        <v>91</v>
      </c>
      <c r="E122" s="57" t="s">
        <v>132</v>
      </c>
      <c r="F122" s="57"/>
      <c r="G122" s="57"/>
      <c r="H122" s="58">
        <v>46162</v>
      </c>
      <c r="I122" s="58">
        <v>46164</v>
      </c>
      <c r="J122" s="58">
        <v>46164</v>
      </c>
    </row>
    <row r="123" spans="1:10" ht="14.25" customHeight="1" x14ac:dyDescent="0.25">
      <c r="A123" s="57" t="s">
        <v>72</v>
      </c>
      <c r="B123" s="57" t="s">
        <v>158</v>
      </c>
      <c r="C123" s="57" t="s">
        <v>160</v>
      </c>
      <c r="D123" s="57" t="s">
        <v>91</v>
      </c>
      <c r="E123" s="57" t="s">
        <v>132</v>
      </c>
      <c r="F123" s="57"/>
      <c r="G123" s="57"/>
      <c r="H123" s="58">
        <v>46164</v>
      </c>
      <c r="I123" s="58">
        <v>46204</v>
      </c>
      <c r="J123" s="58">
        <v>46204</v>
      </c>
    </row>
    <row r="124" spans="1:10" ht="14.25" customHeight="1" x14ac:dyDescent="0.25">
      <c r="A124" s="57" t="s">
        <v>72</v>
      </c>
      <c r="B124" s="57" t="s">
        <v>252</v>
      </c>
      <c r="C124" s="57" t="s">
        <v>160</v>
      </c>
      <c r="D124" s="57" t="s">
        <v>91</v>
      </c>
      <c r="E124" s="57" t="s">
        <v>132</v>
      </c>
      <c r="F124" s="57"/>
      <c r="G124" s="57"/>
      <c r="H124" s="58">
        <v>46204</v>
      </c>
      <c r="I124" s="58"/>
      <c r="J124" s="57"/>
    </row>
    <row r="125" spans="1:10" ht="14.25" customHeight="1" x14ac:dyDescent="0.25">
      <c r="A125" s="57" t="s">
        <v>72</v>
      </c>
      <c r="B125" s="57" t="s">
        <v>74</v>
      </c>
      <c r="C125" s="57" t="s">
        <v>160</v>
      </c>
      <c r="D125" s="57" t="s">
        <v>91</v>
      </c>
      <c r="E125" s="57" t="s">
        <v>132</v>
      </c>
      <c r="F125" s="57"/>
      <c r="G125" s="57"/>
      <c r="H125" s="57"/>
      <c r="I125" s="58"/>
      <c r="J125" s="58"/>
    </row>
    <row r="126" spans="1:10" ht="14.25" customHeight="1" x14ac:dyDescent="0.25">
      <c r="A126" s="57" t="s">
        <v>72</v>
      </c>
      <c r="B126" s="57" t="s">
        <v>183</v>
      </c>
      <c r="C126" s="57" t="s">
        <v>161</v>
      </c>
      <c r="D126" s="57" t="s">
        <v>162</v>
      </c>
      <c r="E126" s="57" t="s">
        <v>92</v>
      </c>
      <c r="F126" s="57"/>
      <c r="G126" s="57"/>
      <c r="H126" s="58"/>
      <c r="I126" s="58">
        <v>46169</v>
      </c>
      <c r="J126" s="58">
        <v>46169</v>
      </c>
    </row>
    <row r="127" spans="1:10" ht="14.25" customHeight="1" x14ac:dyDescent="0.25">
      <c r="A127" s="57" t="s">
        <v>72</v>
      </c>
      <c r="B127" s="57" t="s">
        <v>251</v>
      </c>
      <c r="C127" s="57" t="s">
        <v>161</v>
      </c>
      <c r="D127" s="57" t="s">
        <v>162</v>
      </c>
      <c r="E127" s="57" t="s">
        <v>92</v>
      </c>
      <c r="F127" s="57"/>
      <c r="G127" s="57"/>
      <c r="H127" s="58">
        <v>46169</v>
      </c>
      <c r="I127" s="58">
        <v>46191</v>
      </c>
      <c r="J127" s="58">
        <v>46191</v>
      </c>
    </row>
    <row r="128" spans="1:10" ht="14.25" customHeight="1" x14ac:dyDescent="0.25">
      <c r="A128" s="57" t="s">
        <v>72</v>
      </c>
      <c r="B128" s="57" t="s">
        <v>158</v>
      </c>
      <c r="C128" s="57" t="s">
        <v>161</v>
      </c>
      <c r="D128" s="57" t="s">
        <v>162</v>
      </c>
      <c r="E128" s="57" t="s">
        <v>92</v>
      </c>
      <c r="F128" s="57"/>
      <c r="G128" s="57"/>
      <c r="H128" s="58">
        <v>46191</v>
      </c>
      <c r="I128" s="58">
        <v>46196</v>
      </c>
      <c r="J128" s="58">
        <v>46196</v>
      </c>
    </row>
    <row r="129" spans="1:10" ht="14.25" customHeight="1" x14ac:dyDescent="0.25">
      <c r="A129" s="57" t="s">
        <v>72</v>
      </c>
      <c r="B129" s="57" t="s">
        <v>252</v>
      </c>
      <c r="C129" s="57" t="s">
        <v>161</v>
      </c>
      <c r="D129" s="57" t="s">
        <v>162</v>
      </c>
      <c r="E129" s="57" t="s">
        <v>92</v>
      </c>
      <c r="F129" s="57"/>
      <c r="G129" s="57"/>
      <c r="H129" s="58">
        <v>46196</v>
      </c>
      <c r="I129" s="57"/>
      <c r="J129" s="57"/>
    </row>
    <row r="130" spans="1:10" ht="14.25" customHeight="1" x14ac:dyDescent="0.25">
      <c r="A130" s="57" t="s">
        <v>72</v>
      </c>
      <c r="B130" s="57" t="s">
        <v>74</v>
      </c>
      <c r="C130" s="57" t="s">
        <v>161</v>
      </c>
      <c r="D130" s="57" t="s">
        <v>162</v>
      </c>
      <c r="E130" s="57" t="s">
        <v>92</v>
      </c>
      <c r="F130" s="57"/>
      <c r="G130" s="57"/>
      <c r="H130" s="57"/>
      <c r="I130" s="58"/>
      <c r="J130" s="57"/>
    </row>
    <row r="131" spans="1:10" ht="14.25" customHeight="1" x14ac:dyDescent="0.25">
      <c r="A131" s="57" t="s">
        <v>72</v>
      </c>
      <c r="B131" s="57" t="s">
        <v>183</v>
      </c>
      <c r="C131" s="57" t="s">
        <v>165</v>
      </c>
      <c r="D131" s="57" t="s">
        <v>129</v>
      </c>
      <c r="E131" s="57" t="s">
        <v>132</v>
      </c>
      <c r="F131" s="57"/>
      <c r="G131" s="57"/>
      <c r="H131" s="57"/>
      <c r="I131" s="58">
        <v>46168</v>
      </c>
      <c r="J131" s="58">
        <v>46168</v>
      </c>
    </row>
    <row r="132" spans="1:10" ht="14.25" customHeight="1" x14ac:dyDescent="0.25">
      <c r="A132" s="57" t="s">
        <v>72</v>
      </c>
      <c r="B132" s="57" t="s">
        <v>251</v>
      </c>
      <c r="C132" s="57" t="s">
        <v>165</v>
      </c>
      <c r="D132" s="57" t="s">
        <v>129</v>
      </c>
      <c r="E132" s="57" t="s">
        <v>132</v>
      </c>
      <c r="F132" s="57"/>
      <c r="G132" s="57"/>
      <c r="H132" s="58">
        <v>46168</v>
      </c>
      <c r="I132" s="58">
        <v>46189</v>
      </c>
      <c r="J132" s="58">
        <v>46189</v>
      </c>
    </row>
    <row r="133" spans="1:10" ht="14.25" customHeight="1" x14ac:dyDescent="0.25">
      <c r="A133" s="57" t="s">
        <v>72</v>
      </c>
      <c r="B133" s="57" t="s">
        <v>158</v>
      </c>
      <c r="C133" s="57" t="s">
        <v>165</v>
      </c>
      <c r="D133" s="57" t="s">
        <v>129</v>
      </c>
      <c r="E133" s="57" t="s">
        <v>132</v>
      </c>
      <c r="F133" s="57"/>
      <c r="G133" s="57"/>
      <c r="H133" s="58">
        <v>46189</v>
      </c>
      <c r="I133" s="58">
        <v>46189</v>
      </c>
      <c r="J133" s="58">
        <v>46189</v>
      </c>
    </row>
    <row r="134" spans="1:10" ht="14.25" customHeight="1" x14ac:dyDescent="0.25">
      <c r="A134" s="57" t="s">
        <v>72</v>
      </c>
      <c r="B134" s="57" t="s">
        <v>252</v>
      </c>
      <c r="C134" s="57" t="s">
        <v>165</v>
      </c>
      <c r="D134" s="57" t="s">
        <v>129</v>
      </c>
      <c r="E134" s="57" t="s">
        <v>132</v>
      </c>
      <c r="F134" s="57"/>
      <c r="G134" s="57"/>
      <c r="H134" s="58">
        <v>46189</v>
      </c>
      <c r="I134" s="57"/>
      <c r="J134" s="57"/>
    </row>
    <row r="135" spans="1:10" ht="14.25" customHeight="1" x14ac:dyDescent="0.25">
      <c r="A135" s="57" t="s">
        <v>72</v>
      </c>
      <c r="B135" s="57" t="s">
        <v>74</v>
      </c>
      <c r="C135" s="57" t="s">
        <v>165</v>
      </c>
      <c r="D135" s="57" t="s">
        <v>129</v>
      </c>
      <c r="E135" s="57" t="s">
        <v>132</v>
      </c>
      <c r="F135" s="57"/>
      <c r="G135" s="57"/>
      <c r="H135" s="57"/>
      <c r="I135" s="58">
        <v>46192</v>
      </c>
      <c r="J135" s="58">
        <v>46192</v>
      </c>
    </row>
    <row r="136" spans="1:10" ht="14.25" customHeight="1" x14ac:dyDescent="0.25">
      <c r="A136" s="57" t="s">
        <v>72</v>
      </c>
      <c r="B136" s="57" t="s">
        <v>183</v>
      </c>
      <c r="C136" s="57" t="s">
        <v>167</v>
      </c>
      <c r="D136" s="57" t="s">
        <v>109</v>
      </c>
      <c r="E136" s="57" t="s">
        <v>132</v>
      </c>
      <c r="F136" s="57"/>
      <c r="G136" s="57"/>
      <c r="H136" s="57"/>
      <c r="I136" s="58">
        <v>46169</v>
      </c>
      <c r="J136" s="58">
        <v>46169</v>
      </c>
    </row>
    <row r="137" spans="1:10" ht="14.25" customHeight="1" x14ac:dyDescent="0.25">
      <c r="A137" s="57" t="s">
        <v>72</v>
      </c>
      <c r="B137" s="57" t="s">
        <v>251</v>
      </c>
      <c r="C137" s="57" t="s">
        <v>167</v>
      </c>
      <c r="D137" s="57" t="s">
        <v>109</v>
      </c>
      <c r="E137" s="57" t="s">
        <v>132</v>
      </c>
      <c r="F137" s="57"/>
      <c r="G137" s="57"/>
      <c r="H137" s="58">
        <v>46169</v>
      </c>
      <c r="I137" s="58">
        <v>46195</v>
      </c>
      <c r="J137" s="58">
        <v>46195</v>
      </c>
    </row>
    <row r="138" spans="1:10" ht="14.25" customHeight="1" x14ac:dyDescent="0.25">
      <c r="A138" s="57" t="s">
        <v>72</v>
      </c>
      <c r="B138" s="57" t="s">
        <v>158</v>
      </c>
      <c r="C138" s="57" t="s">
        <v>167</v>
      </c>
      <c r="D138" s="57" t="s">
        <v>109</v>
      </c>
      <c r="E138" s="57" t="s">
        <v>132</v>
      </c>
      <c r="F138" s="57"/>
      <c r="G138" s="57"/>
      <c r="H138" s="58">
        <v>46195</v>
      </c>
      <c r="I138" s="58">
        <v>46197</v>
      </c>
      <c r="J138" s="58">
        <v>46197</v>
      </c>
    </row>
    <row r="139" spans="1:10" ht="14.25" customHeight="1" x14ac:dyDescent="0.25">
      <c r="A139" s="57" t="s">
        <v>72</v>
      </c>
      <c r="B139" s="57" t="s">
        <v>252</v>
      </c>
      <c r="C139" s="57" t="s">
        <v>167</v>
      </c>
      <c r="D139" s="57" t="s">
        <v>109</v>
      </c>
      <c r="E139" s="57" t="s">
        <v>132</v>
      </c>
      <c r="F139" s="57"/>
      <c r="G139" s="57"/>
      <c r="H139" s="58">
        <v>46197</v>
      </c>
      <c r="I139" s="57"/>
      <c r="J139" s="57"/>
    </row>
    <row r="140" spans="1:10" ht="14.25" customHeight="1" x14ac:dyDescent="0.25">
      <c r="A140" s="57" t="s">
        <v>72</v>
      </c>
      <c r="B140" s="57" t="s">
        <v>74</v>
      </c>
      <c r="C140" s="57" t="s">
        <v>167</v>
      </c>
      <c r="D140" s="57" t="s">
        <v>109</v>
      </c>
      <c r="E140" s="57" t="s">
        <v>132</v>
      </c>
      <c r="F140" s="57"/>
      <c r="G140" s="57"/>
      <c r="H140" s="57"/>
      <c r="I140" s="57"/>
      <c r="J140" s="57"/>
    </row>
    <row r="141" spans="1:10" ht="14.25" customHeight="1" x14ac:dyDescent="0.25">
      <c r="A141" s="57" t="s">
        <v>169</v>
      </c>
      <c r="B141" s="57" t="s">
        <v>183</v>
      </c>
      <c r="C141" s="57" t="s">
        <v>170</v>
      </c>
      <c r="D141" s="57" t="s">
        <v>101</v>
      </c>
      <c r="E141" s="57" t="s">
        <v>92</v>
      </c>
      <c r="F141" s="57"/>
      <c r="G141" s="57" t="s">
        <v>171</v>
      </c>
      <c r="H141" s="57"/>
      <c r="I141" s="57"/>
      <c r="J141" s="57"/>
    </row>
    <row r="142" spans="1:10" ht="14.25" customHeight="1" x14ac:dyDescent="0.25">
      <c r="A142" s="57" t="s">
        <v>169</v>
      </c>
      <c r="B142" s="57" t="s">
        <v>251</v>
      </c>
      <c r="C142" s="57" t="s">
        <v>170</v>
      </c>
      <c r="D142" s="57" t="s">
        <v>101</v>
      </c>
      <c r="E142" s="57" t="s">
        <v>92</v>
      </c>
      <c r="F142" s="57"/>
      <c r="G142" s="57" t="s">
        <v>171</v>
      </c>
      <c r="H142" s="57"/>
      <c r="I142" s="58">
        <v>46213</v>
      </c>
      <c r="J142" s="58">
        <v>46213</v>
      </c>
    </row>
    <row r="143" spans="1:10" ht="14.25" customHeight="1" x14ac:dyDescent="0.25">
      <c r="A143" s="57" t="s">
        <v>169</v>
      </c>
      <c r="B143" s="57" t="s">
        <v>158</v>
      </c>
      <c r="C143" s="57" t="s">
        <v>170</v>
      </c>
      <c r="D143" s="57" t="s">
        <v>101</v>
      </c>
      <c r="E143" s="57" t="s">
        <v>92</v>
      </c>
      <c r="F143" s="57"/>
      <c r="G143" s="57" t="s">
        <v>171</v>
      </c>
      <c r="H143" s="58">
        <v>46213</v>
      </c>
      <c r="I143" s="58">
        <v>46223</v>
      </c>
      <c r="J143" s="58">
        <v>46223</v>
      </c>
    </row>
    <row r="144" spans="1:10" ht="14.25" customHeight="1" x14ac:dyDescent="0.25">
      <c r="A144" s="57" t="s">
        <v>169</v>
      </c>
      <c r="B144" s="57" t="s">
        <v>183</v>
      </c>
      <c r="C144" s="57" t="s">
        <v>174</v>
      </c>
      <c r="D144" s="57" t="s">
        <v>162</v>
      </c>
      <c r="E144" s="57" t="s">
        <v>132</v>
      </c>
      <c r="F144" s="57"/>
      <c r="G144" s="57" t="s">
        <v>171</v>
      </c>
      <c r="H144" s="57"/>
      <c r="I144" s="57"/>
      <c r="J144" s="57"/>
    </row>
    <row r="145" spans="1:10" ht="14.25" customHeight="1" x14ac:dyDescent="0.25">
      <c r="A145" s="57" t="s">
        <v>169</v>
      </c>
      <c r="B145" s="57" t="s">
        <v>251</v>
      </c>
      <c r="C145" s="57" t="s">
        <v>174</v>
      </c>
      <c r="D145" s="57" t="s">
        <v>162</v>
      </c>
      <c r="E145" s="57" t="s">
        <v>132</v>
      </c>
      <c r="F145" s="57"/>
      <c r="G145" s="57" t="s">
        <v>171</v>
      </c>
      <c r="H145" s="57"/>
      <c r="I145" s="58">
        <v>46218</v>
      </c>
      <c r="J145" s="58">
        <v>46218</v>
      </c>
    </row>
    <row r="146" spans="1:10" ht="14.25" customHeight="1" x14ac:dyDescent="0.25">
      <c r="A146" s="57" t="s">
        <v>169</v>
      </c>
      <c r="B146" s="57" t="s">
        <v>158</v>
      </c>
      <c r="C146" s="57" t="s">
        <v>174</v>
      </c>
      <c r="D146" s="57" t="s">
        <v>162</v>
      </c>
      <c r="E146" s="57" t="s">
        <v>132</v>
      </c>
      <c r="F146" s="57"/>
      <c r="G146" s="57" t="s">
        <v>171</v>
      </c>
      <c r="H146" s="58">
        <v>46218</v>
      </c>
      <c r="I146" s="58">
        <v>46223</v>
      </c>
      <c r="J146" s="58">
        <v>46223</v>
      </c>
    </row>
    <row r="147" spans="1:10" ht="14.25" customHeight="1" x14ac:dyDescent="0.25">
      <c r="A147" s="57" t="s">
        <v>169</v>
      </c>
      <c r="B147" s="57" t="s">
        <v>183</v>
      </c>
      <c r="C147" s="57" t="s">
        <v>176</v>
      </c>
      <c r="D147" s="57" t="s">
        <v>162</v>
      </c>
      <c r="E147" s="57" t="s">
        <v>132</v>
      </c>
      <c r="F147" s="57"/>
      <c r="G147" s="57" t="s">
        <v>171</v>
      </c>
      <c r="H147" s="57"/>
      <c r="I147" s="57"/>
      <c r="J147" s="57"/>
    </row>
    <row r="148" spans="1:10" ht="14.25" customHeight="1" x14ac:dyDescent="0.25">
      <c r="A148" s="57" t="s">
        <v>169</v>
      </c>
      <c r="B148" s="57" t="s">
        <v>251</v>
      </c>
      <c r="C148" s="57" t="s">
        <v>176</v>
      </c>
      <c r="D148" s="57" t="s">
        <v>162</v>
      </c>
      <c r="E148" s="57" t="s">
        <v>132</v>
      </c>
      <c r="F148" s="57"/>
      <c r="G148" s="57" t="s">
        <v>171</v>
      </c>
      <c r="H148" s="57"/>
      <c r="I148" s="58">
        <v>46225</v>
      </c>
      <c r="J148" s="58">
        <v>46225</v>
      </c>
    </row>
    <row r="149" spans="1:10" ht="14.25" customHeight="1" x14ac:dyDescent="0.25">
      <c r="A149" s="57" t="s">
        <v>169</v>
      </c>
      <c r="B149" s="57" t="s">
        <v>158</v>
      </c>
      <c r="C149" s="57" t="s">
        <v>176</v>
      </c>
      <c r="D149" s="57" t="s">
        <v>162</v>
      </c>
      <c r="E149" s="57" t="s">
        <v>132</v>
      </c>
      <c r="F149" s="57"/>
      <c r="G149" s="57" t="s">
        <v>171</v>
      </c>
      <c r="H149" s="58">
        <v>46225</v>
      </c>
      <c r="I149" s="58">
        <v>46223</v>
      </c>
      <c r="J149" s="58">
        <v>46223</v>
      </c>
    </row>
    <row r="150" spans="1:10" ht="14.25" customHeight="1" x14ac:dyDescent="0.25">
      <c r="A150" s="57" t="s">
        <v>169</v>
      </c>
      <c r="B150" s="57" t="s">
        <v>183</v>
      </c>
      <c r="C150" s="57" t="s">
        <v>178</v>
      </c>
      <c r="D150" s="57" t="s">
        <v>91</v>
      </c>
      <c r="E150" s="57" t="s">
        <v>76</v>
      </c>
      <c r="F150" s="57"/>
      <c r="G150" s="57" t="s">
        <v>171</v>
      </c>
      <c r="H150" s="57"/>
      <c r="I150" s="57"/>
      <c r="J150" s="57"/>
    </row>
    <row r="151" spans="1:10" ht="14.25" customHeight="1" x14ac:dyDescent="0.25">
      <c r="A151" s="57" t="s">
        <v>169</v>
      </c>
      <c r="B151" s="57" t="s">
        <v>251</v>
      </c>
      <c r="C151" s="57" t="s">
        <v>178</v>
      </c>
      <c r="D151" s="57" t="s">
        <v>91</v>
      </c>
      <c r="E151" s="57" t="s">
        <v>76</v>
      </c>
      <c r="F151" s="57"/>
      <c r="G151" s="57" t="s">
        <v>171</v>
      </c>
      <c r="H151" s="57"/>
      <c r="I151" s="58">
        <v>46227</v>
      </c>
      <c r="J151" s="58">
        <v>46227</v>
      </c>
    </row>
    <row r="152" spans="1:10" ht="14.25" customHeight="1" x14ac:dyDescent="0.25">
      <c r="A152" s="57" t="s">
        <v>169</v>
      </c>
      <c r="B152" s="57" t="s">
        <v>158</v>
      </c>
      <c r="C152" s="57" t="s">
        <v>178</v>
      </c>
      <c r="D152" s="57" t="s">
        <v>91</v>
      </c>
      <c r="E152" s="57" t="s">
        <v>76</v>
      </c>
      <c r="F152" s="57"/>
      <c r="G152" s="57" t="s">
        <v>171</v>
      </c>
      <c r="H152" s="58">
        <v>46227</v>
      </c>
      <c r="I152" s="58">
        <v>46223</v>
      </c>
      <c r="J152" s="58">
        <v>46223</v>
      </c>
    </row>
    <row r="153" spans="1:10" ht="14.25" customHeight="1" x14ac:dyDescent="0.25">
      <c r="A153" s="57" t="s">
        <v>169</v>
      </c>
      <c r="B153" s="57" t="s">
        <v>183</v>
      </c>
      <c r="C153" s="57" t="s">
        <v>180</v>
      </c>
      <c r="D153" s="57" t="s">
        <v>129</v>
      </c>
      <c r="E153" s="57" t="s">
        <v>132</v>
      </c>
      <c r="F153" s="57"/>
      <c r="G153" s="57" t="s">
        <v>171</v>
      </c>
      <c r="H153" s="57"/>
      <c r="I153" s="57"/>
      <c r="J153" s="57"/>
    </row>
    <row r="154" spans="1:10" ht="14.25" customHeight="1" x14ac:dyDescent="0.25">
      <c r="A154" s="57" t="s">
        <v>169</v>
      </c>
      <c r="B154" s="57" t="s">
        <v>251</v>
      </c>
      <c r="C154" s="57" t="s">
        <v>180</v>
      </c>
      <c r="D154" s="57" t="s">
        <v>129</v>
      </c>
      <c r="E154" s="57" t="s">
        <v>132</v>
      </c>
      <c r="F154" s="57"/>
      <c r="G154" s="57" t="s">
        <v>171</v>
      </c>
      <c r="H154" s="57"/>
      <c r="I154" s="58">
        <v>46216</v>
      </c>
      <c r="J154" s="58">
        <v>46216</v>
      </c>
    </row>
    <row r="155" spans="1:10" ht="14.25" customHeight="1" x14ac:dyDescent="0.25">
      <c r="A155" s="57" t="s">
        <v>169</v>
      </c>
      <c r="B155" s="57" t="s">
        <v>158</v>
      </c>
      <c r="C155" s="57" t="s">
        <v>180</v>
      </c>
      <c r="D155" s="57" t="s">
        <v>129</v>
      </c>
      <c r="E155" s="57" t="s">
        <v>132</v>
      </c>
      <c r="F155" s="57"/>
      <c r="G155" s="57" t="s">
        <v>171</v>
      </c>
      <c r="H155" s="58">
        <v>46216</v>
      </c>
      <c r="I155" s="58">
        <v>46225</v>
      </c>
      <c r="J155" s="58">
        <v>46225</v>
      </c>
    </row>
    <row r="156" spans="1:10" ht="14.25" customHeight="1" x14ac:dyDescent="0.25">
      <c r="A156" s="57" t="s">
        <v>169</v>
      </c>
      <c r="B156" s="57" t="s">
        <v>183</v>
      </c>
      <c r="C156" s="57" t="s">
        <v>182</v>
      </c>
      <c r="D156" s="57" t="s">
        <v>109</v>
      </c>
      <c r="E156" s="57" t="s">
        <v>92</v>
      </c>
      <c r="F156" s="57"/>
      <c r="G156" s="57" t="s">
        <v>184</v>
      </c>
      <c r="H156" s="57"/>
      <c r="I156" s="57"/>
      <c r="J156" s="57"/>
    </row>
    <row r="157" spans="1:10" x14ac:dyDescent="0.25">
      <c r="A157" s="7" t="s">
        <v>169</v>
      </c>
      <c r="B157" s="7" t="s">
        <v>183</v>
      </c>
      <c r="C157" s="7" t="s">
        <v>186</v>
      </c>
      <c r="D157" s="7" t="s">
        <v>162</v>
      </c>
      <c r="E157" s="7" t="s">
        <v>76</v>
      </c>
      <c r="F157" s="7"/>
      <c r="G157" s="7" t="s">
        <v>184</v>
      </c>
      <c r="H157" s="7"/>
      <c r="I157" s="7"/>
      <c r="J157" s="7"/>
    </row>
    <row r="158" spans="1:10" x14ac:dyDescent="0.25">
      <c r="A158" s="7" t="s">
        <v>169</v>
      </c>
      <c r="B158" s="7" t="s">
        <v>183</v>
      </c>
      <c r="C158" s="7" t="s">
        <v>188</v>
      </c>
      <c r="D158" s="7" t="s">
        <v>162</v>
      </c>
      <c r="E158" s="7" t="s">
        <v>76</v>
      </c>
      <c r="F158" s="7"/>
      <c r="G158" s="7" t="s">
        <v>184</v>
      </c>
      <c r="H158" s="7"/>
      <c r="I158" s="7"/>
      <c r="J158" s="7"/>
    </row>
    <row r="159" spans="1:10" x14ac:dyDescent="0.25">
      <c r="A159" s="7" t="s">
        <v>169</v>
      </c>
      <c r="B159" s="7" t="s">
        <v>251</v>
      </c>
      <c r="C159" s="7" t="s">
        <v>188</v>
      </c>
      <c r="D159" s="7" t="s">
        <v>162</v>
      </c>
      <c r="E159" s="7" t="s">
        <v>76</v>
      </c>
      <c r="F159" s="7"/>
      <c r="G159" s="7" t="s">
        <v>184</v>
      </c>
      <c r="H159" s="7"/>
      <c r="I159" s="8">
        <v>46221</v>
      </c>
      <c r="J159" s="8">
        <v>46221</v>
      </c>
    </row>
    <row r="160" spans="1:10" x14ac:dyDescent="0.25">
      <c r="A160" s="7" t="s">
        <v>169</v>
      </c>
      <c r="B160" s="7" t="s">
        <v>158</v>
      </c>
      <c r="C160" s="7" t="s">
        <v>188</v>
      </c>
      <c r="D160" s="7" t="s">
        <v>162</v>
      </c>
      <c r="E160" s="7" t="s">
        <v>76</v>
      </c>
      <c r="F160" s="7"/>
      <c r="G160" s="7" t="s">
        <v>184</v>
      </c>
      <c r="H160" s="8">
        <v>46221</v>
      </c>
      <c r="I160" s="8">
        <v>46223</v>
      </c>
      <c r="J160" s="8">
        <v>46223</v>
      </c>
    </row>
    <row r="161" spans="1:10" x14ac:dyDescent="0.25">
      <c r="A161" s="7" t="s">
        <v>169</v>
      </c>
      <c r="B161" s="7" t="s">
        <v>183</v>
      </c>
      <c r="C161" s="7" t="s">
        <v>190</v>
      </c>
      <c r="D161" s="7" t="s">
        <v>109</v>
      </c>
      <c r="E161" s="7" t="s">
        <v>92</v>
      </c>
      <c r="F161" s="7"/>
      <c r="G161" s="7" t="s">
        <v>184</v>
      </c>
      <c r="H161" s="7"/>
      <c r="I161" s="7"/>
      <c r="J161" s="7"/>
    </row>
    <row r="162" spans="1:10" x14ac:dyDescent="0.25">
      <c r="A162" s="7" t="s">
        <v>169</v>
      </c>
      <c r="B162" s="7" t="s">
        <v>251</v>
      </c>
      <c r="C162" s="7" t="s">
        <v>190</v>
      </c>
      <c r="D162" s="7" t="s">
        <v>109</v>
      </c>
      <c r="E162" s="7" t="s">
        <v>92</v>
      </c>
      <c r="F162" s="7"/>
      <c r="G162" s="7" t="s">
        <v>184</v>
      </c>
      <c r="H162" s="7"/>
      <c r="I162" s="8">
        <v>46220</v>
      </c>
      <c r="J162" s="8">
        <v>46220</v>
      </c>
    </row>
    <row r="163" spans="1:10" x14ac:dyDescent="0.25">
      <c r="A163" s="7" t="s">
        <v>169</v>
      </c>
      <c r="B163" s="7" t="s">
        <v>158</v>
      </c>
      <c r="C163" s="7" t="s">
        <v>190</v>
      </c>
      <c r="D163" s="7" t="s">
        <v>109</v>
      </c>
      <c r="E163" s="7" t="s">
        <v>92</v>
      </c>
      <c r="F163" s="7"/>
      <c r="G163" s="7" t="s">
        <v>184</v>
      </c>
      <c r="H163" s="8">
        <v>46220</v>
      </c>
      <c r="I163" s="8">
        <v>46223</v>
      </c>
      <c r="J163" s="8">
        <v>46223</v>
      </c>
    </row>
    <row r="164" spans="1:10" x14ac:dyDescent="0.25">
      <c r="A164" s="7" t="s">
        <v>169</v>
      </c>
      <c r="B164" s="7" t="s">
        <v>183</v>
      </c>
      <c r="C164" s="7" t="s">
        <v>192</v>
      </c>
      <c r="D164" s="7" t="s">
        <v>194</v>
      </c>
      <c r="E164" s="7" t="s">
        <v>92</v>
      </c>
      <c r="F164" s="7"/>
      <c r="G164" s="7" t="s">
        <v>184</v>
      </c>
      <c r="H164" s="7"/>
      <c r="I164" s="7"/>
      <c r="J164" s="7"/>
    </row>
    <row r="165" spans="1:10" x14ac:dyDescent="0.25">
      <c r="A165" s="7" t="s">
        <v>169</v>
      </c>
      <c r="B165" s="7" t="s">
        <v>251</v>
      </c>
      <c r="C165" s="7" t="s">
        <v>192</v>
      </c>
      <c r="D165" s="7" t="s">
        <v>194</v>
      </c>
      <c r="E165" s="7" t="s">
        <v>92</v>
      </c>
      <c r="F165" s="7"/>
      <c r="G165" s="7" t="s">
        <v>184</v>
      </c>
      <c r="H165" s="7"/>
      <c r="I165" s="8">
        <v>46224</v>
      </c>
      <c r="J165" s="8">
        <v>46224</v>
      </c>
    </row>
    <row r="166" spans="1:10" x14ac:dyDescent="0.25">
      <c r="A166" s="7" t="s">
        <v>169</v>
      </c>
      <c r="B166" s="7" t="s">
        <v>158</v>
      </c>
      <c r="C166" s="7" t="s">
        <v>192</v>
      </c>
      <c r="D166" s="7" t="s">
        <v>194</v>
      </c>
      <c r="E166" s="7" t="s">
        <v>92</v>
      </c>
      <c r="F166" s="7"/>
      <c r="G166" s="7" t="s">
        <v>184</v>
      </c>
      <c r="H166" s="8">
        <v>46224</v>
      </c>
      <c r="I166" s="8">
        <v>46223</v>
      </c>
      <c r="J166" s="8">
        <v>46223</v>
      </c>
    </row>
    <row r="167" spans="1:10" x14ac:dyDescent="0.25">
      <c r="A167" s="7" t="s">
        <v>169</v>
      </c>
      <c r="B167" s="7" t="s">
        <v>183</v>
      </c>
      <c r="C167" s="7" t="s">
        <v>195</v>
      </c>
      <c r="D167" s="7" t="s">
        <v>194</v>
      </c>
      <c r="E167" s="7" t="s">
        <v>132</v>
      </c>
      <c r="F167" s="7"/>
      <c r="G167" s="7" t="s">
        <v>184</v>
      </c>
      <c r="H167" s="7"/>
      <c r="I167" s="7"/>
      <c r="J167" s="7"/>
    </row>
    <row r="168" spans="1:10" x14ac:dyDescent="0.25">
      <c r="A168" s="7" t="s">
        <v>169</v>
      </c>
      <c r="B168" s="7" t="s">
        <v>251</v>
      </c>
      <c r="C168" s="7" t="s">
        <v>195</v>
      </c>
      <c r="D168" s="7" t="s">
        <v>194</v>
      </c>
      <c r="E168" s="7" t="s">
        <v>132</v>
      </c>
      <c r="F168" s="7"/>
      <c r="G168" s="7" t="s">
        <v>184</v>
      </c>
      <c r="H168" s="7"/>
      <c r="I168" s="8">
        <v>46225</v>
      </c>
      <c r="J168" s="8">
        <v>46225</v>
      </c>
    </row>
    <row r="169" spans="1:10" x14ac:dyDescent="0.25">
      <c r="A169" s="7" t="s">
        <v>169</v>
      </c>
      <c r="B169" s="7" t="s">
        <v>158</v>
      </c>
      <c r="C169" s="7" t="s">
        <v>195</v>
      </c>
      <c r="D169" s="7" t="s">
        <v>194</v>
      </c>
      <c r="E169" s="7" t="s">
        <v>132</v>
      </c>
      <c r="F169" s="7"/>
      <c r="G169" s="7" t="s">
        <v>184</v>
      </c>
      <c r="H169" s="8">
        <v>46225</v>
      </c>
      <c r="I169" s="8">
        <v>46223</v>
      </c>
      <c r="J169" s="8">
        <v>46223</v>
      </c>
    </row>
    <row r="170" spans="1:10" x14ac:dyDescent="0.25">
      <c r="A170" s="7" t="s">
        <v>169</v>
      </c>
      <c r="B170" s="7" t="s">
        <v>183</v>
      </c>
      <c r="C170" s="7" t="s">
        <v>197</v>
      </c>
      <c r="D170" s="7" t="s">
        <v>101</v>
      </c>
      <c r="E170" s="7" t="s">
        <v>76</v>
      </c>
      <c r="F170" s="7"/>
      <c r="G170" s="7" t="s">
        <v>171</v>
      </c>
      <c r="H170" s="7"/>
      <c r="I170" s="7"/>
      <c r="J170" s="7"/>
    </row>
    <row r="171" spans="1:10" x14ac:dyDescent="0.25">
      <c r="A171" s="7" t="s">
        <v>169</v>
      </c>
      <c r="B171" s="7" t="s">
        <v>251</v>
      </c>
      <c r="C171" s="7" t="s">
        <v>197</v>
      </c>
      <c r="D171" s="7" t="s">
        <v>101</v>
      </c>
      <c r="E171" s="7" t="s">
        <v>76</v>
      </c>
      <c r="F171" s="7"/>
      <c r="G171" s="7" t="s">
        <v>171</v>
      </c>
      <c r="H171" s="7"/>
      <c r="I171" s="8">
        <v>46226</v>
      </c>
      <c r="J171" s="8">
        <v>46226</v>
      </c>
    </row>
    <row r="172" spans="1:10" x14ac:dyDescent="0.25">
      <c r="A172" s="7" t="s">
        <v>169</v>
      </c>
      <c r="B172" s="7" t="s">
        <v>158</v>
      </c>
      <c r="C172" s="7" t="s">
        <v>197</v>
      </c>
      <c r="D172" s="7" t="s">
        <v>101</v>
      </c>
      <c r="E172" s="7" t="s">
        <v>76</v>
      </c>
      <c r="F172" s="7"/>
      <c r="G172" s="7" t="s">
        <v>171</v>
      </c>
      <c r="H172" s="8">
        <v>46226</v>
      </c>
      <c r="I172" s="8">
        <v>46223</v>
      </c>
      <c r="J172" s="8">
        <v>46223</v>
      </c>
    </row>
    <row r="173" spans="1:10" x14ac:dyDescent="0.25">
      <c r="A173" s="7" t="s">
        <v>169</v>
      </c>
      <c r="B173" s="7" t="s">
        <v>183</v>
      </c>
      <c r="C173" s="7" t="s">
        <v>198</v>
      </c>
      <c r="D173" s="7" t="s">
        <v>91</v>
      </c>
      <c r="E173" s="7" t="s">
        <v>92</v>
      </c>
      <c r="F173" s="7"/>
      <c r="G173" s="7" t="s">
        <v>171</v>
      </c>
      <c r="H173" s="7"/>
      <c r="I173" s="7"/>
      <c r="J173" s="7"/>
    </row>
    <row r="174" spans="1:10" x14ac:dyDescent="0.25">
      <c r="A174" s="7" t="s">
        <v>169</v>
      </c>
      <c r="B174" s="7" t="s">
        <v>251</v>
      </c>
      <c r="C174" s="7" t="s">
        <v>198</v>
      </c>
      <c r="D174" s="7" t="s">
        <v>91</v>
      </c>
      <c r="E174" s="7" t="s">
        <v>92</v>
      </c>
      <c r="F174" s="7"/>
      <c r="G174" s="7" t="s">
        <v>171</v>
      </c>
      <c r="H174" s="7"/>
      <c r="I174" s="8">
        <v>46225</v>
      </c>
      <c r="J174" s="8">
        <v>46225</v>
      </c>
    </row>
    <row r="175" spans="1:10" x14ac:dyDescent="0.25">
      <c r="A175" s="7" t="s">
        <v>169</v>
      </c>
      <c r="B175" s="7" t="s">
        <v>158</v>
      </c>
      <c r="C175" s="7" t="s">
        <v>198</v>
      </c>
      <c r="D175" s="7" t="s">
        <v>91</v>
      </c>
      <c r="E175" s="7" t="s">
        <v>92</v>
      </c>
      <c r="F175" s="7"/>
      <c r="G175" s="7" t="s">
        <v>171</v>
      </c>
      <c r="H175" s="8">
        <v>46225</v>
      </c>
      <c r="I175" s="8">
        <v>46223</v>
      </c>
      <c r="J175" s="8">
        <v>46223</v>
      </c>
    </row>
    <row r="176" spans="1:10" x14ac:dyDescent="0.25">
      <c r="A176" s="7" t="s">
        <v>169</v>
      </c>
      <c r="B176" s="7" t="s">
        <v>183</v>
      </c>
      <c r="C176" s="7" t="s">
        <v>199</v>
      </c>
      <c r="D176" s="7" t="s">
        <v>101</v>
      </c>
      <c r="E176" s="7" t="s">
        <v>132</v>
      </c>
      <c r="F176" s="7"/>
      <c r="G176" s="7" t="s">
        <v>184</v>
      </c>
      <c r="H176" s="7"/>
      <c r="I176" s="7"/>
      <c r="J176" s="7"/>
    </row>
    <row r="177" spans="1:10" x14ac:dyDescent="0.25">
      <c r="A177" s="7" t="s">
        <v>169</v>
      </c>
      <c r="B177" s="7" t="s">
        <v>251</v>
      </c>
      <c r="C177" s="7" t="s">
        <v>199</v>
      </c>
      <c r="D177" s="7" t="s">
        <v>101</v>
      </c>
      <c r="E177" s="7" t="s">
        <v>132</v>
      </c>
      <c r="F177" s="7"/>
      <c r="G177" s="7" t="s">
        <v>184</v>
      </c>
      <c r="H177" s="7"/>
      <c r="I177" s="8">
        <v>46225</v>
      </c>
      <c r="J177" s="8">
        <v>46225</v>
      </c>
    </row>
    <row r="178" spans="1:10" x14ac:dyDescent="0.25">
      <c r="A178" s="7" t="s">
        <v>169</v>
      </c>
      <c r="B178" s="7" t="s">
        <v>158</v>
      </c>
      <c r="C178" s="7" t="s">
        <v>199</v>
      </c>
      <c r="D178" s="7" t="s">
        <v>101</v>
      </c>
      <c r="E178" s="7" t="s">
        <v>132</v>
      </c>
      <c r="F178" s="7"/>
      <c r="G178" s="7" t="s">
        <v>184</v>
      </c>
      <c r="H178" s="8">
        <v>46225</v>
      </c>
      <c r="I178" s="8">
        <v>46230</v>
      </c>
      <c r="J178" s="8">
        <v>46230</v>
      </c>
    </row>
    <row r="179" spans="1:10" x14ac:dyDescent="0.25">
      <c r="A179" s="7" t="s">
        <v>169</v>
      </c>
      <c r="B179" s="7" t="s">
        <v>183</v>
      </c>
      <c r="C179" s="7" t="s">
        <v>200</v>
      </c>
      <c r="D179" s="7" t="s">
        <v>129</v>
      </c>
      <c r="E179" s="7"/>
      <c r="F179" s="7"/>
      <c r="G179" s="7"/>
      <c r="H179" s="7"/>
      <c r="I179" s="7"/>
      <c r="J179" s="7"/>
    </row>
    <row r="180" spans="1:10" x14ac:dyDescent="0.25">
      <c r="A180" s="7" t="s">
        <v>169</v>
      </c>
      <c r="B180" s="7" t="s">
        <v>251</v>
      </c>
      <c r="C180" s="7" t="s">
        <v>200</v>
      </c>
      <c r="D180" s="7" t="s">
        <v>129</v>
      </c>
      <c r="E180" s="7"/>
      <c r="F180" s="7"/>
      <c r="G180" s="7"/>
      <c r="H180" s="7"/>
      <c r="I180" s="7"/>
      <c r="J180" s="7"/>
    </row>
    <row r="181" spans="1:10" x14ac:dyDescent="0.25">
      <c r="A181" s="7" t="s">
        <v>169</v>
      </c>
      <c r="B181" s="7" t="s">
        <v>158</v>
      </c>
      <c r="C181" s="7" t="s">
        <v>200</v>
      </c>
      <c r="D181" s="7" t="s">
        <v>129</v>
      </c>
      <c r="E181" s="7"/>
      <c r="F181" s="7"/>
      <c r="G181" s="7"/>
      <c r="H181" s="7"/>
      <c r="I181" s="7"/>
      <c r="J181" s="7"/>
    </row>
    <row r="182" spans="1:10" x14ac:dyDescent="0.25">
      <c r="A182" s="7" t="s">
        <v>169</v>
      </c>
      <c r="B182" s="7" t="s">
        <v>183</v>
      </c>
      <c r="C182" s="7" t="s">
        <v>206</v>
      </c>
      <c r="D182" s="7" t="s">
        <v>109</v>
      </c>
      <c r="E182" s="7"/>
      <c r="F182" s="7"/>
      <c r="G182" s="7"/>
      <c r="H182" s="7"/>
      <c r="I182" s="7"/>
      <c r="J182" s="7"/>
    </row>
    <row r="183" spans="1:10" x14ac:dyDescent="0.25">
      <c r="A183" s="7" t="s">
        <v>169</v>
      </c>
      <c r="B183" s="7" t="s">
        <v>251</v>
      </c>
      <c r="C183" s="7" t="s">
        <v>206</v>
      </c>
      <c r="D183" s="7" t="s">
        <v>109</v>
      </c>
      <c r="E183" s="7"/>
      <c r="F183" s="7"/>
      <c r="G183" s="7"/>
      <c r="H183" s="7"/>
      <c r="I183" s="7"/>
      <c r="J183" s="7"/>
    </row>
    <row r="184" spans="1:10" x14ac:dyDescent="0.25">
      <c r="A184" s="7" t="s">
        <v>169</v>
      </c>
      <c r="B184" s="7" t="s">
        <v>158</v>
      </c>
      <c r="C184" s="7" t="s">
        <v>206</v>
      </c>
      <c r="D184" s="7" t="s">
        <v>109</v>
      </c>
      <c r="E184" s="7"/>
      <c r="F184" s="7"/>
      <c r="G184" s="7"/>
      <c r="H184" s="7"/>
      <c r="I184" s="7"/>
      <c r="J184" s="7"/>
    </row>
  </sheetData>
  <sheetProtection sheet="1"/>
  <autoFilter ref="A2:J156" xr:uid="{00000000-0009-0000-0000-000003000000}"/>
  <mergeCells count="1">
    <mergeCell ref="A1:J1"/>
  </mergeCells>
  <pageMargins left="0.75" right="0.75" top="1" bottom="1" header="0.511811023622047" footer="0.5"/>
  <pageSetup paperSize="9" orientation="portrait" horizontalDpi="300" verticalDpi="300"/>
  <headerFooter>
    <oddFooter>&amp;L&amp;"Aptos,Regular"&amp;10 _x000D_# This content is for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zoomScaleNormal="100" workbookViewId="0">
      <pane ySplit="2" topLeftCell="A3" activePane="bottomLeft" state="frozen"/>
      <selection pane="bottomLeft"/>
    </sheetView>
  </sheetViews>
  <sheetFormatPr defaultColWidth="8.7109375" defaultRowHeight="15" x14ac:dyDescent="0.25"/>
  <cols>
    <col min="1" max="3" width="22" customWidth="1"/>
  </cols>
  <sheetData>
    <row r="1" spans="1:3" ht="14.25" customHeight="1" x14ac:dyDescent="0.25">
      <c r="A1" s="66" t="s">
        <v>253</v>
      </c>
      <c r="B1" s="64"/>
      <c r="C1" s="64"/>
    </row>
    <row r="2" spans="1:3" ht="14.25" customHeight="1" x14ac:dyDescent="0.25">
      <c r="A2" s="2" t="s">
        <v>28</v>
      </c>
      <c r="B2" s="2" t="s">
        <v>254</v>
      </c>
      <c r="C2" s="2" t="s">
        <v>249</v>
      </c>
    </row>
    <row r="3" spans="1:3" ht="14.25" customHeight="1" x14ac:dyDescent="0.25">
      <c r="A3" s="3" t="s">
        <v>72</v>
      </c>
      <c r="B3" s="3">
        <v>8</v>
      </c>
      <c r="C3" s="4">
        <v>46142</v>
      </c>
    </row>
    <row r="4" spans="1:3" ht="14.25" customHeight="1" x14ac:dyDescent="0.25">
      <c r="A4" s="3" t="s">
        <v>72</v>
      </c>
      <c r="B4" s="3">
        <v>10</v>
      </c>
      <c r="C4" s="4">
        <v>46172</v>
      </c>
    </row>
    <row r="5" spans="1:3" ht="14.25" customHeight="1" x14ac:dyDescent="0.25">
      <c r="A5" s="3" t="s">
        <v>72</v>
      </c>
      <c r="B5" s="3">
        <v>9</v>
      </c>
      <c r="C5" s="4">
        <v>46203</v>
      </c>
    </row>
    <row r="6" spans="1:3" ht="14.25" customHeight="1" x14ac:dyDescent="0.25">
      <c r="A6" s="3" t="s">
        <v>169</v>
      </c>
      <c r="B6" s="3">
        <v>15</v>
      </c>
      <c r="C6" s="4">
        <v>46233</v>
      </c>
    </row>
    <row r="7" spans="1:3" ht="14.25" customHeight="1" x14ac:dyDescent="0.25">
      <c r="A7" s="3" t="s">
        <v>169</v>
      </c>
      <c r="B7" s="3">
        <v>15</v>
      </c>
      <c r="C7" s="4">
        <v>46264</v>
      </c>
    </row>
    <row r="8" spans="1:3" ht="14.25" customHeight="1" x14ac:dyDescent="0.25">
      <c r="A8" s="3" t="s">
        <v>169</v>
      </c>
      <c r="B8" s="3">
        <v>17</v>
      </c>
      <c r="C8" s="4">
        <v>46295</v>
      </c>
    </row>
    <row r="9" spans="1:3" ht="14.25" customHeight="1" x14ac:dyDescent="0.25">
      <c r="A9" s="3" t="s">
        <v>169</v>
      </c>
      <c r="B9" s="3">
        <v>20</v>
      </c>
      <c r="C9" s="4">
        <v>46325</v>
      </c>
    </row>
    <row r="10" spans="1:3" ht="14.25" customHeight="1" x14ac:dyDescent="0.25">
      <c r="A10" s="3" t="s">
        <v>169</v>
      </c>
      <c r="B10" s="3">
        <v>20</v>
      </c>
      <c r="C10" s="4">
        <v>46356</v>
      </c>
    </row>
    <row r="11" spans="1:3" ht="14.25" customHeight="1" x14ac:dyDescent="0.25">
      <c r="A11" s="3" t="s">
        <v>255</v>
      </c>
      <c r="B11" s="3">
        <v>18</v>
      </c>
      <c r="C11" s="4">
        <v>46386</v>
      </c>
    </row>
    <row r="12" spans="1:3" ht="14.25" customHeight="1" x14ac:dyDescent="0.25">
      <c r="A12" s="3" t="s">
        <v>255</v>
      </c>
      <c r="B12" s="3">
        <v>18</v>
      </c>
      <c r="C12" s="4">
        <v>46417</v>
      </c>
    </row>
    <row r="13" spans="1:3" ht="14.25" customHeight="1" x14ac:dyDescent="0.25">
      <c r="A13" s="3" t="s">
        <v>255</v>
      </c>
      <c r="B13" s="3">
        <v>19</v>
      </c>
      <c r="C13" s="4">
        <v>46446</v>
      </c>
    </row>
    <row r="14" spans="1:3" ht="14.25" customHeight="1" x14ac:dyDescent="0.25">
      <c r="A14" s="3" t="s">
        <v>256</v>
      </c>
      <c r="B14" s="3">
        <v>9</v>
      </c>
      <c r="C14" s="4">
        <v>46476</v>
      </c>
    </row>
    <row r="15" spans="1:3" ht="14.25" customHeight="1" x14ac:dyDescent="0.25">
      <c r="A15" s="3" t="s">
        <v>257</v>
      </c>
      <c r="B15" s="3">
        <v>8</v>
      </c>
      <c r="C15" s="4">
        <v>46476</v>
      </c>
    </row>
  </sheetData>
  <autoFilter ref="A2:C15" xr:uid="{00000000-0009-0000-0000-000004000000}"/>
  <mergeCells count="1">
    <mergeCell ref="A1:C1"/>
  </mergeCells>
  <pageMargins left="0.75" right="0.75" top="1" bottom="1" header="0.511811023622047" footer="0.5"/>
  <pageSetup paperSize="9" orientation="portrait" horizontalDpi="300" verticalDpi="300"/>
  <headerFooter>
    <oddFooter>&amp;L&amp;"Aptos,Regular"&amp;10 _x000D_# This content is for internal use only</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
  <sheetViews>
    <sheetView zoomScaleNormal="100" workbookViewId="0"/>
  </sheetViews>
  <sheetFormatPr defaultColWidth="8.7109375" defaultRowHeight="15" x14ac:dyDescent="0.25"/>
  <cols>
    <col min="1" max="1" width="26" customWidth="1"/>
    <col min="2" max="3" width="14" customWidth="1"/>
    <col min="4" max="5" width="10" customWidth="1"/>
    <col min="6" max="6" width="18" customWidth="1"/>
    <col min="7" max="7" width="16" customWidth="1"/>
    <col min="8" max="8" width="14" customWidth="1"/>
  </cols>
  <sheetData>
    <row r="1" spans="1:8" ht="15" customHeight="1" x14ac:dyDescent="0.25">
      <c r="A1" s="5" t="s">
        <v>28</v>
      </c>
      <c r="B1" s="5" t="s">
        <v>34</v>
      </c>
      <c r="C1" s="5" t="s">
        <v>35</v>
      </c>
      <c r="D1" s="5" t="s">
        <v>33</v>
      </c>
      <c r="E1" s="5" t="s">
        <v>59</v>
      </c>
      <c r="F1" s="5" t="s">
        <v>30</v>
      </c>
      <c r="G1" s="9" t="s">
        <v>258</v>
      </c>
      <c r="H1" s="9" t="s">
        <v>36</v>
      </c>
    </row>
    <row r="2" spans="1:8" ht="13.5" customHeight="1" x14ac:dyDescent="0.25">
      <c r="A2" s="6" t="s">
        <v>259</v>
      </c>
      <c r="B2" s="6" t="s">
        <v>260</v>
      </c>
      <c r="C2" s="6" t="s">
        <v>261</v>
      </c>
      <c r="D2" s="6" t="s">
        <v>262</v>
      </c>
      <c r="E2" s="6" t="s">
        <v>263</v>
      </c>
      <c r="F2" s="6" t="s">
        <v>264</v>
      </c>
      <c r="G2" t="s">
        <v>265</v>
      </c>
      <c r="H2" t="s">
        <v>266</v>
      </c>
    </row>
    <row r="3" spans="1:8" ht="15" customHeight="1" x14ac:dyDescent="0.25">
      <c r="A3" t="s">
        <v>72</v>
      </c>
      <c r="B3" t="s">
        <v>75</v>
      </c>
      <c r="C3" t="s">
        <v>92</v>
      </c>
      <c r="D3" t="s">
        <v>171</v>
      </c>
      <c r="E3" t="s">
        <v>80</v>
      </c>
      <c r="F3" t="s">
        <v>204</v>
      </c>
      <c r="G3" t="s">
        <v>75</v>
      </c>
      <c r="H3" t="s">
        <v>77</v>
      </c>
    </row>
    <row r="4" spans="1:8" ht="15" customHeight="1" x14ac:dyDescent="0.25">
      <c r="A4" t="s">
        <v>169</v>
      </c>
      <c r="B4" t="s">
        <v>91</v>
      </c>
      <c r="C4" t="s">
        <v>76</v>
      </c>
      <c r="D4" t="s">
        <v>184</v>
      </c>
      <c r="E4" t="s">
        <v>83</v>
      </c>
      <c r="F4" t="s">
        <v>183</v>
      </c>
      <c r="G4" t="s">
        <v>91</v>
      </c>
      <c r="H4" t="s">
        <v>117</v>
      </c>
    </row>
    <row r="5" spans="1:8" ht="15" customHeight="1" x14ac:dyDescent="0.25">
      <c r="A5" t="s">
        <v>255</v>
      </c>
      <c r="B5" t="s">
        <v>89</v>
      </c>
      <c r="C5" t="s">
        <v>132</v>
      </c>
      <c r="F5" t="s">
        <v>251</v>
      </c>
      <c r="G5" t="s">
        <v>89</v>
      </c>
      <c r="H5" t="s">
        <v>171</v>
      </c>
    </row>
    <row r="6" spans="1:8" ht="15" customHeight="1" x14ac:dyDescent="0.25">
      <c r="A6" t="s">
        <v>256</v>
      </c>
      <c r="B6" t="s">
        <v>109</v>
      </c>
      <c r="F6" t="s">
        <v>158</v>
      </c>
      <c r="G6" t="s">
        <v>109</v>
      </c>
      <c r="H6" t="s">
        <v>184</v>
      </c>
    </row>
    <row r="7" spans="1:8" ht="15" customHeight="1" x14ac:dyDescent="0.25">
      <c r="A7" t="s">
        <v>257</v>
      </c>
      <c r="B7" t="s">
        <v>162</v>
      </c>
      <c r="F7" t="s">
        <v>252</v>
      </c>
      <c r="G7" t="s">
        <v>162</v>
      </c>
    </row>
    <row r="8" spans="1:8" ht="15" customHeight="1" x14ac:dyDescent="0.25">
      <c r="B8" t="s">
        <v>101</v>
      </c>
      <c r="F8" t="s">
        <v>74</v>
      </c>
      <c r="G8" t="s">
        <v>101</v>
      </c>
    </row>
    <row r="9" spans="1:8" ht="15" customHeight="1" x14ac:dyDescent="0.25">
      <c r="B9" t="s">
        <v>129</v>
      </c>
      <c r="G9" t="s">
        <v>129</v>
      </c>
    </row>
    <row r="10" spans="1:8" ht="15" customHeight="1" x14ac:dyDescent="0.25">
      <c r="B10" t="s">
        <v>194</v>
      </c>
      <c r="G10" t="s">
        <v>194</v>
      </c>
    </row>
    <row r="11" spans="1:8" x14ac:dyDescent="0.25">
      <c r="G11" t="s">
        <v>92</v>
      </c>
    </row>
    <row r="12" spans="1:8" x14ac:dyDescent="0.25">
      <c r="G12" t="s">
        <v>76</v>
      </c>
    </row>
    <row r="13" spans="1:8" x14ac:dyDescent="0.25">
      <c r="G13" t="s">
        <v>132</v>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00"/>
  <sheetViews>
    <sheetView showGridLines="0" workbookViewId="0">
      <pane ySplit="2" topLeftCell="A3" activePane="bottomLeft" state="frozen"/>
      <selection pane="bottomLeft"/>
    </sheetView>
  </sheetViews>
  <sheetFormatPr defaultRowHeight="15" x14ac:dyDescent="0.25"/>
  <cols>
    <col min="1" max="1" width="38" customWidth="1"/>
    <col min="2" max="2" width="16" customWidth="1"/>
    <col min="3" max="4" width="14" customWidth="1"/>
    <col min="5" max="5" width="46" customWidth="1"/>
    <col min="6" max="6" width="22" customWidth="1"/>
    <col min="7" max="7" width="16" customWidth="1"/>
    <col min="10" max="10" width="38" customWidth="1"/>
    <col min="11" max="11" width="15" customWidth="1"/>
    <col min="12" max="12" width="17" customWidth="1"/>
    <col min="13" max="14" width="15" customWidth="1"/>
  </cols>
  <sheetData>
    <row r="1" spans="1:14" ht="27.95" customHeight="1" x14ac:dyDescent="0.25">
      <c r="A1" s="67" t="s">
        <v>267</v>
      </c>
      <c r="B1" s="64"/>
      <c r="C1" s="64"/>
      <c r="D1" s="64"/>
      <c r="E1" s="64"/>
      <c r="F1" s="64"/>
      <c r="G1" s="64"/>
      <c r="J1" s="67" t="s">
        <v>268</v>
      </c>
      <c r="K1" s="64"/>
      <c r="L1" s="64"/>
      <c r="M1" s="64"/>
      <c r="N1" s="64"/>
    </row>
    <row r="2" spans="1:14" ht="18" customHeight="1" x14ac:dyDescent="0.25">
      <c r="A2" s="10" t="s">
        <v>29</v>
      </c>
      <c r="B2" s="10" t="s">
        <v>269</v>
      </c>
      <c r="C2" s="10" t="s">
        <v>270</v>
      </c>
      <c r="D2" s="10" t="s">
        <v>271</v>
      </c>
      <c r="E2" s="10" t="s">
        <v>272</v>
      </c>
      <c r="F2" s="10" t="s">
        <v>273</v>
      </c>
      <c r="G2" s="10" t="s">
        <v>274</v>
      </c>
      <c r="J2" s="10" t="s">
        <v>29</v>
      </c>
      <c r="K2" s="10" t="s">
        <v>275</v>
      </c>
      <c r="L2" s="10" t="s">
        <v>276</v>
      </c>
      <c r="M2" s="10" t="s">
        <v>277</v>
      </c>
      <c r="N2" s="10" t="s">
        <v>278</v>
      </c>
    </row>
    <row r="3" spans="1:14" x14ac:dyDescent="0.25">
      <c r="A3" s="7" t="s">
        <v>182</v>
      </c>
      <c r="B3" s="8">
        <v>46226</v>
      </c>
      <c r="C3" s="7" t="s">
        <v>158</v>
      </c>
      <c r="D3" s="7" t="s">
        <v>183</v>
      </c>
      <c r="E3" s="7" t="s">
        <v>279</v>
      </c>
      <c r="F3" s="7"/>
      <c r="G3" s="7"/>
      <c r="J3" s="7" t="str">
        <f>'Combined Delivery Data'!B2</f>
        <v>RPT_04_Active Leaks</v>
      </c>
      <c r="K3" s="7">
        <f t="shared" ref="K3:K34" si="0">IF($J3="","",COUNTIF($A$3:$A$500,$J3))</f>
        <v>0</v>
      </c>
      <c r="L3" s="8" t="str">
        <f t="shared" ref="L3:L34" si="1">IF($J3="","",IF(SUMPRODUCT(MAX(($A$3:$A$500=$J3)*ROW($A$3:$A$500)))=0,"",INDEX($B:$B,SUMPRODUCT(MAX(($A$3:$A$500=$J3)*ROW($A$3:$A$500))))))</f>
        <v/>
      </c>
      <c r="M3" s="7" t="str">
        <f t="shared" ref="M3:M34" si="2">IF($J3="","",IF(SUMPRODUCT(MAX(($A$3:$A$500=$J3)*ROW($A$3:$A$500)))=0,"",INDEX($C:$C,SUMPRODUCT(MAX(($A$3:$A$500=$J3)*ROW($A$3:$A$500))))))</f>
        <v/>
      </c>
      <c r="N3" s="7" t="str">
        <f t="shared" ref="N3:N34" si="3">IF($J3="","",IF(SUMPRODUCT(MAX(($A$3:$A$500=$J3)*ROW($A$3:$A$500)))=0,"",INDEX($D:$D,SUMPRODUCT(MAX(($A$3:$A$500=$J3)*ROW($A$3:$A$500))))))</f>
        <v/>
      </c>
    </row>
    <row r="4" spans="1:14" x14ac:dyDescent="0.25">
      <c r="A4" s="7" t="s">
        <v>186</v>
      </c>
      <c r="B4" s="8">
        <v>46226</v>
      </c>
      <c r="C4" s="7" t="s">
        <v>158</v>
      </c>
      <c r="D4" s="7" t="s">
        <v>183</v>
      </c>
      <c r="E4" s="7" t="s">
        <v>279</v>
      </c>
      <c r="F4" s="7"/>
      <c r="G4" s="7"/>
      <c r="J4" s="7" t="str">
        <f>'Combined Delivery Data'!B3</f>
        <v>RPT_04_Count of Active Leaks On Hand</v>
      </c>
      <c r="K4" s="7">
        <f t="shared" si="0"/>
        <v>0</v>
      </c>
      <c r="L4" s="8" t="str">
        <f t="shared" si="1"/>
        <v/>
      </c>
      <c r="M4" s="7" t="str">
        <f t="shared" si="2"/>
        <v/>
      </c>
      <c r="N4" s="7" t="str">
        <f t="shared" si="3"/>
        <v/>
      </c>
    </row>
    <row r="5" spans="1:14" x14ac:dyDescent="0.25">
      <c r="A5" s="7"/>
      <c r="B5" s="7"/>
      <c r="C5" s="7"/>
      <c r="D5" s="7"/>
      <c r="E5" s="7"/>
      <c r="F5" s="7"/>
      <c r="G5" s="7"/>
      <c r="J5" s="7" t="str">
        <f>'Combined Delivery Data'!B4</f>
        <v>RPT_04_Leak Scheduling</v>
      </c>
      <c r="K5" s="7">
        <f t="shared" si="0"/>
        <v>0</v>
      </c>
      <c r="L5" s="8" t="str">
        <f t="shared" si="1"/>
        <v/>
      </c>
      <c r="M5" s="7" t="str">
        <f t="shared" si="2"/>
        <v/>
      </c>
      <c r="N5" s="7" t="str">
        <f t="shared" si="3"/>
        <v/>
      </c>
    </row>
    <row r="6" spans="1:14" x14ac:dyDescent="0.25">
      <c r="A6" s="7"/>
      <c r="B6" s="7"/>
      <c r="C6" s="7"/>
      <c r="D6" s="7"/>
      <c r="E6" s="7"/>
      <c r="F6" s="7"/>
      <c r="G6" s="7"/>
      <c r="J6" s="7" t="str">
        <f>'Combined Delivery Data'!B5</f>
        <v>RPT_04_Leak Days Remaining</v>
      </c>
      <c r="K6" s="7">
        <f t="shared" si="0"/>
        <v>0</v>
      </c>
      <c r="L6" s="8" t="str">
        <f t="shared" si="1"/>
        <v/>
      </c>
      <c r="M6" s="7" t="str">
        <f t="shared" si="2"/>
        <v/>
      </c>
      <c r="N6" s="7" t="str">
        <f t="shared" si="3"/>
        <v/>
      </c>
    </row>
    <row r="7" spans="1:14" x14ac:dyDescent="0.25">
      <c r="A7" s="7"/>
      <c r="B7" s="7"/>
      <c r="C7" s="7"/>
      <c r="D7" s="7"/>
      <c r="E7" s="7"/>
      <c r="F7" s="7"/>
      <c r="G7" s="7"/>
      <c r="J7" s="7" t="str">
        <f>'Combined Delivery Data'!B6</f>
        <v>RPT_04_Cleared Leaks</v>
      </c>
      <c r="K7" s="7">
        <f t="shared" si="0"/>
        <v>0</v>
      </c>
      <c r="L7" s="8" t="str">
        <f t="shared" si="1"/>
        <v/>
      </c>
      <c r="M7" s="7" t="str">
        <f t="shared" si="2"/>
        <v/>
      </c>
      <c r="N7" s="7" t="str">
        <f t="shared" si="3"/>
        <v/>
      </c>
    </row>
    <row r="8" spans="1:14" x14ac:dyDescent="0.25">
      <c r="A8" s="7"/>
      <c r="B8" s="7"/>
      <c r="C8" s="7"/>
      <c r="D8" s="7"/>
      <c r="E8" s="7"/>
      <c r="F8" s="7"/>
      <c r="G8" s="7"/>
      <c r="J8" s="7" t="str">
        <f>'Combined Delivery Data'!B7</f>
        <v>RPT_04_Leaks Repaired Detail</v>
      </c>
      <c r="K8" s="7">
        <f t="shared" si="0"/>
        <v>0</v>
      </c>
      <c r="L8" s="8" t="str">
        <f t="shared" si="1"/>
        <v/>
      </c>
      <c r="M8" s="7" t="str">
        <f t="shared" si="2"/>
        <v/>
      </c>
      <c r="N8" s="7" t="str">
        <f t="shared" si="3"/>
        <v/>
      </c>
    </row>
    <row r="9" spans="1:14" x14ac:dyDescent="0.25">
      <c r="A9" s="7"/>
      <c r="B9" s="7"/>
      <c r="C9" s="7"/>
      <c r="D9" s="7"/>
      <c r="E9" s="7"/>
      <c r="F9" s="7"/>
      <c r="G9" s="7"/>
      <c r="J9" s="7" t="str">
        <f>'Combined Delivery Data'!B8</f>
        <v>RPT_04_Leaks Aging</v>
      </c>
      <c r="K9" s="7">
        <f t="shared" si="0"/>
        <v>0</v>
      </c>
      <c r="L9" s="8" t="str">
        <f t="shared" si="1"/>
        <v/>
      </c>
      <c r="M9" s="7" t="str">
        <f t="shared" si="2"/>
        <v/>
      </c>
      <c r="N9" s="7" t="str">
        <f t="shared" si="3"/>
        <v/>
      </c>
    </row>
    <row r="10" spans="1:14" x14ac:dyDescent="0.25">
      <c r="A10" s="7"/>
      <c r="B10" s="7"/>
      <c r="C10" s="7"/>
      <c r="D10" s="7"/>
      <c r="E10" s="7"/>
      <c r="F10" s="7"/>
      <c r="G10" s="7"/>
      <c r="J10" s="7" t="str">
        <f>'Combined Delivery Data'!B9</f>
        <v>RPT_04_Prior Leak Readings</v>
      </c>
      <c r="K10" s="7">
        <f t="shared" si="0"/>
        <v>0</v>
      </c>
      <c r="L10" s="8" t="str">
        <f t="shared" si="1"/>
        <v/>
      </c>
      <c r="M10" s="7" t="str">
        <f t="shared" si="2"/>
        <v/>
      </c>
      <c r="N10" s="7" t="str">
        <f t="shared" si="3"/>
        <v/>
      </c>
    </row>
    <row r="11" spans="1:14" x14ac:dyDescent="0.25">
      <c r="A11" s="7"/>
      <c r="B11" s="7"/>
      <c r="C11" s="7"/>
      <c r="D11" s="7"/>
      <c r="E11" s="7"/>
      <c r="F11" s="7"/>
      <c r="G11" s="7"/>
      <c r="J11" s="7" t="str">
        <f>'Combined Delivery Data'!B10</f>
        <v>RSS_04_Leak Grade Change History</v>
      </c>
      <c r="K11" s="7">
        <f t="shared" si="0"/>
        <v>0</v>
      </c>
      <c r="L11" s="8" t="str">
        <f t="shared" si="1"/>
        <v/>
      </c>
      <c r="M11" s="7" t="str">
        <f t="shared" si="2"/>
        <v/>
      </c>
      <c r="N11" s="7" t="str">
        <f t="shared" si="3"/>
        <v/>
      </c>
    </row>
    <row r="12" spans="1:14" x14ac:dyDescent="0.25">
      <c r="A12" s="7"/>
      <c r="B12" s="7"/>
      <c r="C12" s="7"/>
      <c r="D12" s="7"/>
      <c r="E12" s="7"/>
      <c r="F12" s="7"/>
      <c r="G12" s="7"/>
      <c r="J12" s="7" t="str">
        <f>'Combined Delivery Data'!B11</f>
        <v>RPT_04_Surveillances With Zero Readings</v>
      </c>
      <c r="K12" s="7">
        <f t="shared" si="0"/>
        <v>0</v>
      </c>
      <c r="L12" s="8" t="str">
        <f t="shared" si="1"/>
        <v/>
      </c>
      <c r="M12" s="7" t="str">
        <f t="shared" si="2"/>
        <v/>
      </c>
      <c r="N12" s="7" t="str">
        <f t="shared" si="3"/>
        <v/>
      </c>
    </row>
    <row r="13" spans="1:14" x14ac:dyDescent="0.25">
      <c r="A13" s="7"/>
      <c r="B13" s="7"/>
      <c r="C13" s="7"/>
      <c r="D13" s="7"/>
      <c r="E13" s="7"/>
      <c r="F13" s="7"/>
      <c r="G13" s="7"/>
      <c r="J13" s="7" t="str">
        <f>'Combined Delivery Data'!B12</f>
        <v>RPT_04 High Emitter leaks</v>
      </c>
      <c r="K13" s="7">
        <f t="shared" si="0"/>
        <v>0</v>
      </c>
      <c r="L13" s="8" t="str">
        <f t="shared" si="1"/>
        <v/>
      </c>
      <c r="M13" s="7" t="str">
        <f t="shared" si="2"/>
        <v/>
      </c>
      <c r="N13" s="7" t="str">
        <f t="shared" si="3"/>
        <v/>
      </c>
    </row>
    <row r="14" spans="1:14" x14ac:dyDescent="0.25">
      <c r="A14" s="7"/>
      <c r="B14" s="7"/>
      <c r="C14" s="7"/>
      <c r="D14" s="7"/>
      <c r="E14" s="7"/>
      <c r="F14" s="7"/>
      <c r="G14" s="7"/>
      <c r="J14" s="7" t="str">
        <f>'Combined Delivery Data'!B13</f>
        <v>RPT_04_School Zone Leaks Without Repair</v>
      </c>
      <c r="K14" s="7">
        <f t="shared" si="0"/>
        <v>0</v>
      </c>
      <c r="L14" s="8" t="str">
        <f t="shared" si="1"/>
        <v/>
      </c>
      <c r="M14" s="7" t="str">
        <f t="shared" si="2"/>
        <v/>
      </c>
      <c r="N14" s="7" t="str">
        <f t="shared" si="3"/>
        <v/>
      </c>
    </row>
    <row r="15" spans="1:14" x14ac:dyDescent="0.25">
      <c r="A15" s="7"/>
      <c r="B15" s="7"/>
      <c r="C15" s="7"/>
      <c r="D15" s="7"/>
      <c r="E15" s="7"/>
      <c r="F15" s="7"/>
      <c r="G15" s="7"/>
      <c r="J15" s="7" t="str">
        <f>'Combined Delivery Data'!B14</f>
        <v>RPT_04_PSC Quarterly Leak</v>
      </c>
      <c r="K15" s="7">
        <f t="shared" si="0"/>
        <v>0</v>
      </c>
      <c r="L15" s="8" t="str">
        <f t="shared" si="1"/>
        <v/>
      </c>
      <c r="M15" s="7" t="str">
        <f t="shared" si="2"/>
        <v/>
      </c>
      <c r="N15" s="7" t="str">
        <f t="shared" si="3"/>
        <v/>
      </c>
    </row>
    <row r="16" spans="1:14" x14ac:dyDescent="0.25">
      <c r="A16" s="7"/>
      <c r="B16" s="7"/>
      <c r="C16" s="7"/>
      <c r="D16" s="7"/>
      <c r="E16" s="7"/>
      <c r="F16" s="7"/>
      <c r="G16" s="7"/>
      <c r="J16" s="7" t="str">
        <f>'Combined Delivery Data'!B15</f>
        <v>RPT_04_Rechecks Completed less than 14 days</v>
      </c>
      <c r="K16" s="7">
        <f t="shared" si="0"/>
        <v>0</v>
      </c>
      <c r="L16" s="8" t="str">
        <f t="shared" si="1"/>
        <v/>
      </c>
      <c r="M16" s="7" t="str">
        <f t="shared" si="2"/>
        <v/>
      </c>
      <c r="N16" s="7" t="str">
        <f t="shared" si="3"/>
        <v/>
      </c>
    </row>
    <row r="17" spans="1:14" x14ac:dyDescent="0.25">
      <c r="A17" s="7"/>
      <c r="B17" s="7"/>
      <c r="C17" s="7"/>
      <c r="D17" s="7"/>
      <c r="E17" s="7"/>
      <c r="F17" s="7"/>
      <c r="G17" s="7"/>
      <c r="J17" s="7" t="str">
        <f>'Combined Delivery Data'!B16</f>
        <v>RPT_04_SEI Leak Activity</v>
      </c>
      <c r="K17" s="7">
        <f t="shared" si="0"/>
        <v>0</v>
      </c>
      <c r="L17" s="8" t="str">
        <f t="shared" si="1"/>
        <v/>
      </c>
      <c r="M17" s="7" t="str">
        <f t="shared" si="2"/>
        <v/>
      </c>
      <c r="N17" s="7" t="str">
        <f t="shared" si="3"/>
        <v/>
      </c>
    </row>
    <row r="18" spans="1:14" x14ac:dyDescent="0.25">
      <c r="A18" s="7"/>
      <c r="B18" s="7"/>
      <c r="C18" s="7"/>
      <c r="D18" s="7"/>
      <c r="E18" s="7"/>
      <c r="F18" s="7"/>
      <c r="G18" s="7"/>
      <c r="J18" s="7" t="str">
        <f>'Combined Delivery Data'!B17</f>
        <v>RPT_04_CMS Leak Productivity</v>
      </c>
      <c r="K18" s="7">
        <f t="shared" si="0"/>
        <v>0</v>
      </c>
      <c r="L18" s="8" t="str">
        <f t="shared" si="1"/>
        <v/>
      </c>
      <c r="M18" s="7" t="str">
        <f t="shared" si="2"/>
        <v/>
      </c>
      <c r="N18" s="7" t="str">
        <f t="shared" si="3"/>
        <v/>
      </c>
    </row>
    <row r="19" spans="1:14" x14ac:dyDescent="0.25">
      <c r="A19" s="7"/>
      <c r="B19" s="7"/>
      <c r="C19" s="7"/>
      <c r="D19" s="7"/>
      <c r="E19" s="7"/>
      <c r="F19" s="7"/>
      <c r="G19" s="7"/>
      <c r="J19" s="7" t="str">
        <f>'Combined Delivery Data'!B18</f>
        <v>RPT_04_Main Break Corrosion and Leak Cluster</v>
      </c>
      <c r="K19" s="7">
        <f t="shared" si="0"/>
        <v>0</v>
      </c>
      <c r="L19" s="8" t="str">
        <f t="shared" si="1"/>
        <v/>
      </c>
      <c r="M19" s="7" t="str">
        <f t="shared" si="2"/>
        <v/>
      </c>
      <c r="N19" s="7" t="str">
        <f t="shared" si="3"/>
        <v/>
      </c>
    </row>
    <row r="20" spans="1:14" x14ac:dyDescent="0.25">
      <c r="A20" s="7"/>
      <c r="B20" s="7"/>
      <c r="C20" s="7"/>
      <c r="D20" s="7"/>
      <c r="E20" s="7"/>
      <c r="F20" s="7"/>
      <c r="G20" s="7"/>
      <c r="J20" s="7" t="str">
        <f>'Combined Delivery Data'!B19</f>
        <v>RPT_04_Leak Summary Status</v>
      </c>
      <c r="K20" s="7">
        <f t="shared" si="0"/>
        <v>0</v>
      </c>
      <c r="L20" s="8" t="str">
        <f t="shared" si="1"/>
        <v/>
      </c>
      <c r="M20" s="7" t="str">
        <f t="shared" si="2"/>
        <v/>
      </c>
      <c r="N20" s="7" t="str">
        <f t="shared" si="3"/>
        <v/>
      </c>
    </row>
    <row r="21" spans="1:14" x14ac:dyDescent="0.25">
      <c r="A21" s="7"/>
      <c r="B21" s="7"/>
      <c r="C21" s="7"/>
      <c r="D21" s="7"/>
      <c r="E21" s="7"/>
      <c r="F21" s="7"/>
      <c r="G21" s="7"/>
      <c r="J21" s="7" t="str">
        <f>'Combined Delivery Data'!B20</f>
        <v>RPT_04_PSC Leak Printout</v>
      </c>
      <c r="K21" s="7">
        <f t="shared" si="0"/>
        <v>0</v>
      </c>
      <c r="L21" s="8" t="str">
        <f t="shared" si="1"/>
        <v/>
      </c>
      <c r="M21" s="7" t="str">
        <f t="shared" si="2"/>
        <v/>
      </c>
      <c r="N21" s="7" t="str">
        <f t="shared" si="3"/>
        <v/>
      </c>
    </row>
    <row r="22" spans="1:14" x14ac:dyDescent="0.25">
      <c r="A22" s="7"/>
      <c r="B22" s="7"/>
      <c r="C22" s="7"/>
      <c r="D22" s="7"/>
      <c r="E22" s="7"/>
      <c r="F22" s="7"/>
      <c r="G22" s="7"/>
      <c r="J22" s="7" t="str">
        <f>'Combined Delivery Data'!B21</f>
        <v>RPT_04_Leak Control Report</v>
      </c>
      <c r="K22" s="7">
        <f t="shared" si="0"/>
        <v>0</v>
      </c>
      <c r="L22" s="8" t="str">
        <f t="shared" si="1"/>
        <v/>
      </c>
      <c r="M22" s="7" t="str">
        <f t="shared" si="2"/>
        <v/>
      </c>
      <c r="N22" s="7" t="str">
        <f t="shared" si="3"/>
        <v/>
      </c>
    </row>
    <row r="23" spans="1:14" x14ac:dyDescent="0.25">
      <c r="A23" s="7"/>
      <c r="B23" s="7"/>
      <c r="C23" s="7"/>
      <c r="D23" s="7"/>
      <c r="E23" s="7"/>
      <c r="F23" s="7"/>
      <c r="G23" s="7"/>
      <c r="J23" s="7" t="str">
        <f>'Combined Delivery Data'!B22</f>
        <v>RPT_04_Leak Life Cycle</v>
      </c>
      <c r="K23" s="7">
        <f t="shared" si="0"/>
        <v>0</v>
      </c>
      <c r="L23" s="8" t="str">
        <f t="shared" si="1"/>
        <v/>
      </c>
      <c r="M23" s="7" t="str">
        <f t="shared" si="2"/>
        <v/>
      </c>
      <c r="N23" s="7" t="str">
        <f t="shared" si="3"/>
        <v/>
      </c>
    </row>
    <row r="24" spans="1:14" x14ac:dyDescent="0.25">
      <c r="A24" s="7"/>
      <c r="B24" s="7"/>
      <c r="C24" s="7"/>
      <c r="D24" s="7"/>
      <c r="E24" s="7"/>
      <c r="F24" s="7"/>
      <c r="G24" s="7"/>
      <c r="J24" s="7" t="str">
        <f>'Combined Delivery Data'!B23</f>
        <v>RPT_04_Leak Life Cycle Legacy LMS LI</v>
      </c>
      <c r="K24" s="7">
        <f t="shared" si="0"/>
        <v>0</v>
      </c>
      <c r="L24" s="8" t="str">
        <f t="shared" si="1"/>
        <v/>
      </c>
      <c r="M24" s="7" t="str">
        <f t="shared" si="2"/>
        <v/>
      </c>
      <c r="N24" s="7" t="str">
        <f t="shared" si="3"/>
        <v/>
      </c>
    </row>
    <row r="25" spans="1:14" x14ac:dyDescent="0.25">
      <c r="A25" s="7"/>
      <c r="B25" s="7"/>
      <c r="C25" s="7"/>
      <c r="D25" s="7"/>
      <c r="E25" s="7"/>
      <c r="F25" s="7"/>
      <c r="G25" s="7"/>
      <c r="J25" s="7" t="str">
        <f>'Combined Delivery Data'!B24</f>
        <v>RPT_04_Leak Increase Reads</v>
      </c>
      <c r="K25" s="7">
        <f t="shared" si="0"/>
        <v>0</v>
      </c>
      <c r="L25" s="8" t="str">
        <f t="shared" si="1"/>
        <v/>
      </c>
      <c r="M25" s="7" t="str">
        <f t="shared" si="2"/>
        <v/>
      </c>
      <c r="N25" s="7" t="str">
        <f t="shared" si="3"/>
        <v/>
      </c>
    </row>
    <row r="26" spans="1:14" x14ac:dyDescent="0.25">
      <c r="A26" s="7"/>
      <c r="B26" s="7"/>
      <c r="C26" s="7"/>
      <c r="D26" s="7"/>
      <c r="E26" s="7"/>
      <c r="F26" s="7"/>
      <c r="G26" s="7"/>
      <c r="J26" s="7" t="str">
        <f>'Combined Delivery Data'!B25</f>
        <v>Leak 360 Dashboard</v>
      </c>
      <c r="K26" s="7">
        <f t="shared" si="0"/>
        <v>0</v>
      </c>
      <c r="L26" s="8" t="str">
        <f t="shared" si="1"/>
        <v/>
      </c>
      <c r="M26" s="7" t="str">
        <f t="shared" si="2"/>
        <v/>
      </c>
      <c r="N26" s="7" t="str">
        <f t="shared" si="3"/>
        <v/>
      </c>
    </row>
    <row r="27" spans="1:14" x14ac:dyDescent="0.25">
      <c r="A27" s="7"/>
      <c r="B27" s="7"/>
      <c r="C27" s="7"/>
      <c r="D27" s="7"/>
      <c r="E27" s="7"/>
      <c r="F27" s="7"/>
      <c r="G27" s="7"/>
      <c r="J27" s="7" t="str">
        <f>'Combined Delivery Data'!B26</f>
        <v>RPT_04_Leak Recheck Control</v>
      </c>
      <c r="K27" s="7">
        <f t="shared" si="0"/>
        <v>0</v>
      </c>
      <c r="L27" s="8" t="str">
        <f t="shared" si="1"/>
        <v/>
      </c>
      <c r="M27" s="7" t="str">
        <f t="shared" si="2"/>
        <v/>
      </c>
      <c r="N27" s="7" t="str">
        <f t="shared" si="3"/>
        <v/>
      </c>
    </row>
    <row r="28" spans="1:14" x14ac:dyDescent="0.25">
      <c r="A28" s="7"/>
      <c r="B28" s="7"/>
      <c r="C28" s="7"/>
      <c r="D28" s="7"/>
      <c r="E28" s="7"/>
      <c r="F28" s="7"/>
      <c r="G28" s="7"/>
      <c r="J28" s="7" t="str">
        <f>'Combined Delivery Data'!B27</f>
        <v>RPT_04_Main_Replacement Report</v>
      </c>
      <c r="K28" s="7">
        <f t="shared" si="0"/>
        <v>0</v>
      </c>
      <c r="L28" s="8" t="str">
        <f t="shared" si="1"/>
        <v/>
      </c>
      <c r="M28" s="7" t="str">
        <f t="shared" si="2"/>
        <v/>
      </c>
      <c r="N28" s="7" t="str">
        <f t="shared" si="3"/>
        <v/>
      </c>
    </row>
    <row r="29" spans="1:14" x14ac:dyDescent="0.25">
      <c r="A29" s="7"/>
      <c r="B29" s="7"/>
      <c r="C29" s="7"/>
      <c r="D29" s="7"/>
      <c r="E29" s="7"/>
      <c r="F29" s="7"/>
      <c r="G29" s="7"/>
      <c r="J29" s="7" t="str">
        <f>'Combined Delivery Data'!B28</f>
        <v>New Report: Leak Repair Exception</v>
      </c>
      <c r="K29" s="7">
        <f t="shared" si="0"/>
        <v>0</v>
      </c>
      <c r="L29" s="8" t="str">
        <f t="shared" si="1"/>
        <v/>
      </c>
      <c r="M29" s="7" t="str">
        <f t="shared" si="2"/>
        <v/>
      </c>
      <c r="N29" s="7" t="str">
        <f t="shared" si="3"/>
        <v/>
      </c>
    </row>
    <row r="30" spans="1:14" x14ac:dyDescent="0.25">
      <c r="A30" s="7"/>
      <c r="B30" s="7"/>
      <c r="C30" s="7"/>
      <c r="D30" s="7"/>
      <c r="E30" s="7"/>
      <c r="F30" s="7"/>
      <c r="G30" s="7"/>
      <c r="J30" s="7" t="str">
        <f>'Combined Delivery Data'!B29</f>
        <v>New Report: (Leak reading sample point mismatch ) Creating a new report that...</v>
      </c>
      <c r="K30" s="7">
        <f t="shared" si="0"/>
        <v>0</v>
      </c>
      <c r="L30" s="8" t="str">
        <f t="shared" si="1"/>
        <v/>
      </c>
      <c r="M30" s="7" t="str">
        <f t="shared" si="2"/>
        <v/>
      </c>
      <c r="N30" s="7" t="str">
        <f t="shared" si="3"/>
        <v/>
      </c>
    </row>
    <row r="31" spans="1:14" x14ac:dyDescent="0.25">
      <c r="A31" s="7"/>
      <c r="B31" s="7"/>
      <c r="C31" s="7"/>
      <c r="D31" s="7"/>
      <c r="E31" s="7"/>
      <c r="F31" s="7"/>
      <c r="G31" s="7"/>
      <c r="J31" s="7" t="str">
        <f>'Combined Delivery Data'!B30</f>
        <v>RPT_02_CO Flue Warning Tag Control</v>
      </c>
      <c r="K31" s="7">
        <f t="shared" si="0"/>
        <v>0</v>
      </c>
      <c r="L31" s="8" t="str">
        <f t="shared" si="1"/>
        <v/>
      </c>
      <c r="M31" s="7" t="str">
        <f t="shared" si="2"/>
        <v/>
      </c>
      <c r="N31" s="7" t="str">
        <f t="shared" si="3"/>
        <v/>
      </c>
    </row>
    <row r="32" spans="1:14" x14ac:dyDescent="0.25">
      <c r="A32" s="7"/>
      <c r="B32" s="7"/>
      <c r="C32" s="7"/>
      <c r="D32" s="7"/>
      <c r="E32" s="7"/>
      <c r="F32" s="7"/>
      <c r="G32" s="7"/>
      <c r="J32" s="7" t="str">
        <f>'Combined Delivery Data'!B31</f>
        <v>RPT_02_Warning Tag HEFPA</v>
      </c>
      <c r="K32" s="7">
        <f t="shared" si="0"/>
        <v>0</v>
      </c>
      <c r="L32" s="8" t="str">
        <f t="shared" si="1"/>
        <v/>
      </c>
      <c r="M32" s="7" t="str">
        <f t="shared" si="2"/>
        <v/>
      </c>
      <c r="N32" s="7" t="str">
        <f t="shared" si="3"/>
        <v/>
      </c>
    </row>
    <row r="33" spans="1:14" x14ac:dyDescent="0.25">
      <c r="A33" s="7"/>
      <c r="B33" s="7"/>
      <c r="C33" s="7"/>
      <c r="D33" s="7"/>
      <c r="E33" s="7"/>
      <c r="F33" s="7"/>
      <c r="G33" s="7"/>
      <c r="J33" s="7" t="str">
        <f>'Combined Delivery Data'!B32</f>
        <v>RPT_02_Warning tag Printout</v>
      </c>
      <c r="K33" s="7">
        <f t="shared" si="0"/>
        <v>0</v>
      </c>
      <c r="L33" s="8" t="str">
        <f t="shared" si="1"/>
        <v/>
      </c>
      <c r="M33" s="7" t="str">
        <f t="shared" si="2"/>
        <v/>
      </c>
      <c r="N33" s="7" t="str">
        <f t="shared" si="3"/>
        <v/>
      </c>
    </row>
    <row r="34" spans="1:14" x14ac:dyDescent="0.25">
      <c r="A34" s="7"/>
      <c r="B34" s="7"/>
      <c r="C34" s="7"/>
      <c r="D34" s="7"/>
      <c r="E34" s="7"/>
      <c r="F34" s="7"/>
      <c r="G34" s="7"/>
      <c r="J34" s="7" t="str">
        <f>'Combined Delivery Data'!B33</f>
        <v>RPT_02_Corrosion</v>
      </c>
      <c r="K34" s="7">
        <f t="shared" si="0"/>
        <v>0</v>
      </c>
      <c r="L34" s="8" t="str">
        <f t="shared" si="1"/>
        <v/>
      </c>
      <c r="M34" s="7" t="str">
        <f t="shared" si="2"/>
        <v/>
      </c>
      <c r="N34" s="7" t="str">
        <f t="shared" si="3"/>
        <v/>
      </c>
    </row>
    <row r="35" spans="1:14" x14ac:dyDescent="0.25">
      <c r="A35" s="7"/>
      <c r="B35" s="7"/>
      <c r="C35" s="7"/>
      <c r="D35" s="7"/>
      <c r="E35" s="7"/>
      <c r="F35" s="7"/>
      <c r="G35" s="7"/>
      <c r="J35" s="7" t="str">
        <f>'Combined Delivery Data'!B34</f>
        <v>RPT_02_House Pipe Test Comment Control</v>
      </c>
      <c r="K35" s="7">
        <f t="shared" ref="K35:K66" si="4">IF($J35="","",COUNTIF($A$3:$A$500,$J35))</f>
        <v>0</v>
      </c>
      <c r="L35" s="8" t="str">
        <f t="shared" ref="L35:L66" si="5">IF($J35="","",IF(SUMPRODUCT(MAX(($A$3:$A$500=$J35)*ROW($A$3:$A$500)))=0,"",INDEX($B:$B,SUMPRODUCT(MAX(($A$3:$A$500=$J35)*ROW($A$3:$A$500))))))</f>
        <v/>
      </c>
      <c r="M35" s="7" t="str">
        <f t="shared" ref="M35:M66" si="6">IF($J35="","",IF(SUMPRODUCT(MAX(($A$3:$A$500=$J35)*ROW($A$3:$A$500)))=0,"",INDEX($C:$C,SUMPRODUCT(MAX(($A$3:$A$500=$J35)*ROW($A$3:$A$500))))))</f>
        <v/>
      </c>
      <c r="N35" s="7" t="str">
        <f t="shared" ref="N35:N66" si="7">IF($J35="","",IF(SUMPRODUCT(MAX(($A$3:$A$500=$J35)*ROW($A$3:$A$500)))=0,"",INDEX($D:$D,SUMPRODUCT(MAX(($A$3:$A$500=$J35)*ROW($A$3:$A$500))))))</f>
        <v/>
      </c>
    </row>
    <row r="36" spans="1:14" x14ac:dyDescent="0.25">
      <c r="A36" s="7"/>
      <c r="B36" s="7"/>
      <c r="C36" s="7"/>
      <c r="D36" s="7"/>
      <c r="E36" s="7"/>
      <c r="F36" s="7"/>
      <c r="G36" s="7"/>
      <c r="J36" s="7" t="str">
        <f>'Combined Delivery Data'!B35</f>
        <v>RPT_02_Required Regulator Inspection Performed Control</v>
      </c>
      <c r="K36" s="7">
        <f t="shared" si="4"/>
        <v>1</v>
      </c>
      <c r="L36" s="8">
        <f t="shared" si="5"/>
        <v>46226</v>
      </c>
      <c r="M36" s="7" t="str">
        <f t="shared" si="6"/>
        <v>QA</v>
      </c>
      <c r="N36" s="7" t="str">
        <f t="shared" si="7"/>
        <v>DB Dev</v>
      </c>
    </row>
    <row r="37" spans="1:14" x14ac:dyDescent="0.25">
      <c r="A37" s="7"/>
      <c r="B37" s="7"/>
      <c r="C37" s="7"/>
      <c r="D37" s="7"/>
      <c r="E37" s="7"/>
      <c r="F37" s="7"/>
      <c r="G37" s="7"/>
      <c r="J37" s="7" t="str">
        <f>'Combined Delivery Data'!B36</f>
        <v>RPT_02_Service Regulator Inspections</v>
      </c>
      <c r="K37" s="7">
        <f t="shared" si="4"/>
        <v>1</v>
      </c>
      <c r="L37" s="8">
        <f t="shared" si="5"/>
        <v>46226</v>
      </c>
      <c r="M37" s="7" t="str">
        <f t="shared" si="6"/>
        <v>QA</v>
      </c>
      <c r="N37" s="7" t="str">
        <f t="shared" si="7"/>
        <v>DB Dev</v>
      </c>
    </row>
    <row r="38" spans="1:14" x14ac:dyDescent="0.25">
      <c r="A38" s="7"/>
      <c r="B38" s="7"/>
      <c r="C38" s="7"/>
      <c r="D38" s="7"/>
      <c r="E38" s="7"/>
      <c r="F38" s="7"/>
      <c r="G38" s="7"/>
      <c r="J38" s="7" t="str">
        <f>'Combined Delivery Data'!B37</f>
        <v>RPT_02_Service Regulator Inspection Printout</v>
      </c>
      <c r="K38" s="7">
        <f t="shared" si="4"/>
        <v>0</v>
      </c>
      <c r="L38" s="8" t="str">
        <f t="shared" si="5"/>
        <v/>
      </c>
      <c r="M38" s="7" t="str">
        <f t="shared" si="6"/>
        <v/>
      </c>
      <c r="N38" s="7" t="str">
        <f t="shared" si="7"/>
        <v/>
      </c>
    </row>
    <row r="39" spans="1:14" x14ac:dyDescent="0.25">
      <c r="A39" s="7"/>
      <c r="B39" s="7"/>
      <c r="C39" s="7"/>
      <c r="D39" s="7"/>
      <c r="E39" s="7"/>
      <c r="F39" s="7"/>
      <c r="G39" s="7"/>
      <c r="J39" s="7" t="str">
        <f>'Combined Delivery Data'!B38</f>
        <v>RPT_02_20 Year Regulator Inspection</v>
      </c>
      <c r="K39" s="7">
        <f t="shared" si="4"/>
        <v>0</v>
      </c>
      <c r="L39" s="8" t="str">
        <f t="shared" si="5"/>
        <v/>
      </c>
      <c r="M39" s="7" t="str">
        <f t="shared" si="6"/>
        <v/>
      </c>
      <c r="N39" s="7" t="str">
        <f t="shared" si="7"/>
        <v/>
      </c>
    </row>
    <row r="40" spans="1:14" x14ac:dyDescent="0.25">
      <c r="A40" s="7"/>
      <c r="B40" s="7"/>
      <c r="C40" s="7"/>
      <c r="D40" s="7"/>
      <c r="E40" s="7"/>
      <c r="F40" s="7"/>
      <c r="G40" s="7"/>
      <c r="J40" s="7" t="str">
        <f>'Combined Delivery Data'!B39</f>
        <v>RPT_02_Fixed Factor</v>
      </c>
      <c r="K40" s="7">
        <f t="shared" si="4"/>
        <v>0</v>
      </c>
      <c r="L40" s="8" t="str">
        <f t="shared" si="5"/>
        <v/>
      </c>
      <c r="M40" s="7" t="str">
        <f t="shared" si="6"/>
        <v/>
      </c>
      <c r="N40" s="7" t="str">
        <f t="shared" si="7"/>
        <v/>
      </c>
    </row>
    <row r="41" spans="1:14" x14ac:dyDescent="0.25">
      <c r="A41" s="7"/>
      <c r="B41" s="7"/>
      <c r="C41" s="7"/>
      <c r="D41" s="7"/>
      <c r="E41" s="7"/>
      <c r="F41" s="7"/>
      <c r="G41" s="7"/>
      <c r="J41" s="7" t="str">
        <f>'Combined Delivery Data'!B40</f>
        <v>RPT_02_Fixed Factor Printout</v>
      </c>
      <c r="K41" s="7">
        <f t="shared" si="4"/>
        <v>0</v>
      </c>
      <c r="L41" s="8" t="str">
        <f t="shared" si="5"/>
        <v/>
      </c>
      <c r="M41" s="7" t="str">
        <f t="shared" si="6"/>
        <v/>
      </c>
      <c r="N41" s="7" t="str">
        <f t="shared" si="7"/>
        <v/>
      </c>
    </row>
    <row r="42" spans="1:14" x14ac:dyDescent="0.25">
      <c r="A42" s="7"/>
      <c r="B42" s="7"/>
      <c r="C42" s="7"/>
      <c r="D42" s="7"/>
      <c r="E42" s="7"/>
      <c r="F42" s="7"/>
      <c r="G42" s="7"/>
      <c r="J42" s="7" t="str">
        <f>'Combined Delivery Data'!B41</f>
        <v>RPT_02_Work Order Completion Printout</v>
      </c>
      <c r="K42" s="7">
        <f t="shared" si="4"/>
        <v>0</v>
      </c>
      <c r="L42" s="8" t="str">
        <f t="shared" si="5"/>
        <v/>
      </c>
      <c r="M42" s="7" t="str">
        <f t="shared" si="6"/>
        <v/>
      </c>
      <c r="N42" s="7" t="str">
        <f t="shared" si="7"/>
        <v/>
      </c>
    </row>
    <row r="43" spans="1:14" x14ac:dyDescent="0.25">
      <c r="A43" s="7"/>
      <c r="B43" s="7"/>
      <c r="C43" s="7"/>
      <c r="D43" s="7"/>
      <c r="E43" s="7"/>
      <c r="F43" s="7"/>
      <c r="G43" s="7"/>
      <c r="J43" s="7" t="str">
        <f>'Combined Delivery Data'!B42</f>
        <v>RPT_02_GRO Control</v>
      </c>
      <c r="K43" s="7">
        <f t="shared" si="4"/>
        <v>0</v>
      </c>
      <c r="L43" s="8" t="str">
        <f t="shared" si="5"/>
        <v/>
      </c>
      <c r="M43" s="7" t="str">
        <f t="shared" si="6"/>
        <v/>
      </c>
      <c r="N43" s="7" t="str">
        <f t="shared" si="7"/>
        <v/>
      </c>
    </row>
    <row r="44" spans="1:14" x14ac:dyDescent="0.25">
      <c r="A44" s="7"/>
      <c r="B44" s="7"/>
      <c r="C44" s="7"/>
      <c r="D44" s="7"/>
      <c r="E44" s="7"/>
      <c r="F44" s="7"/>
      <c r="G44" s="7"/>
      <c r="J44" s="7" t="str">
        <f>'Combined Delivery Data'!B43</f>
        <v>RPT_02_GRO Monitor</v>
      </c>
      <c r="K44" s="7">
        <f t="shared" si="4"/>
        <v>0</v>
      </c>
      <c r="L44" s="8" t="str">
        <f t="shared" si="5"/>
        <v/>
      </c>
      <c r="M44" s="7" t="str">
        <f t="shared" si="6"/>
        <v/>
      </c>
      <c r="N44" s="7" t="str">
        <f t="shared" si="7"/>
        <v/>
      </c>
    </row>
    <row r="45" spans="1:14" x14ac:dyDescent="0.25">
      <c r="A45" s="7"/>
      <c r="B45" s="7"/>
      <c r="C45" s="7"/>
      <c r="D45" s="7"/>
      <c r="E45" s="7"/>
      <c r="F45" s="7"/>
      <c r="G45" s="7"/>
      <c r="J45" s="7" t="str">
        <f>'Combined Delivery Data'!B44</f>
        <v>RPT_02_Public Buildings Inspection</v>
      </c>
      <c r="K45" s="7">
        <f t="shared" si="4"/>
        <v>0</v>
      </c>
      <c r="L45" s="8" t="str">
        <f t="shared" si="5"/>
        <v/>
      </c>
      <c r="M45" s="7" t="str">
        <f t="shared" si="6"/>
        <v/>
      </c>
      <c r="N45" s="7" t="str">
        <f t="shared" si="7"/>
        <v/>
      </c>
    </row>
    <row r="46" spans="1:14" x14ac:dyDescent="0.25">
      <c r="A46" s="7"/>
      <c r="B46" s="7"/>
      <c r="C46" s="7"/>
      <c r="D46" s="7"/>
      <c r="E46" s="7"/>
      <c r="F46" s="7"/>
      <c r="G46" s="7"/>
      <c r="J46" s="7" t="str">
        <f>'Combined Delivery Data'!B45</f>
        <v>RPT_02_Investigate Wall Check and Service Check</v>
      </c>
      <c r="K46" s="7">
        <f t="shared" si="4"/>
        <v>0</v>
      </c>
      <c r="L46" s="8" t="str">
        <f t="shared" si="5"/>
        <v/>
      </c>
      <c r="M46" s="7" t="str">
        <f t="shared" si="6"/>
        <v/>
      </c>
      <c r="N46" s="7" t="str">
        <f t="shared" si="7"/>
        <v/>
      </c>
    </row>
    <row r="47" spans="1:14" x14ac:dyDescent="0.25">
      <c r="A47" s="7"/>
      <c r="B47" s="7"/>
      <c r="C47" s="7"/>
      <c r="D47" s="7"/>
      <c r="E47" s="7"/>
      <c r="F47" s="7"/>
      <c r="G47" s="7"/>
      <c r="J47" s="7" t="str">
        <f>'Combined Delivery Data'!B46</f>
        <v>RPT_02_Cut Out Orders</v>
      </c>
      <c r="K47" s="7">
        <f t="shared" si="4"/>
        <v>0</v>
      </c>
      <c r="L47" s="8" t="str">
        <f t="shared" si="5"/>
        <v/>
      </c>
      <c r="M47" s="7" t="str">
        <f t="shared" si="6"/>
        <v/>
      </c>
      <c r="N47" s="7" t="str">
        <f t="shared" si="7"/>
        <v/>
      </c>
    </row>
    <row r="48" spans="1:14" x14ac:dyDescent="0.25">
      <c r="A48" s="7"/>
      <c r="B48" s="7"/>
      <c r="C48" s="7"/>
      <c r="D48" s="7"/>
      <c r="E48" s="7"/>
      <c r="F48" s="7"/>
      <c r="G48" s="7"/>
      <c r="J48" s="7" t="str">
        <f>'Combined Delivery Data'!B47</f>
        <v>RPT_02_Gas Trouble</v>
      </c>
      <c r="K48" s="7">
        <f t="shared" si="4"/>
        <v>0</v>
      </c>
      <c r="L48" s="8" t="str">
        <f t="shared" si="5"/>
        <v/>
      </c>
      <c r="M48" s="7" t="str">
        <f t="shared" si="6"/>
        <v/>
      </c>
      <c r="N48" s="7" t="str">
        <f t="shared" si="7"/>
        <v/>
      </c>
    </row>
    <row r="49" spans="1:14" x14ac:dyDescent="0.25">
      <c r="A49" s="7"/>
      <c r="B49" s="7"/>
      <c r="C49" s="7"/>
      <c r="D49" s="7"/>
      <c r="E49" s="7"/>
      <c r="F49" s="7"/>
      <c r="G49" s="7"/>
      <c r="J49" s="7" t="str">
        <f>'Combined Delivery Data'!B48</f>
        <v>RPT_02_Wall Check Control</v>
      </c>
      <c r="K49" s="7">
        <f t="shared" si="4"/>
        <v>0</v>
      </c>
      <c r="L49" s="8" t="str">
        <f t="shared" si="5"/>
        <v/>
      </c>
      <c r="M49" s="7" t="str">
        <f t="shared" si="6"/>
        <v/>
      </c>
      <c r="N49" s="7" t="str">
        <f t="shared" si="7"/>
        <v/>
      </c>
    </row>
    <row r="50" spans="1:14" x14ac:dyDescent="0.25">
      <c r="A50" s="7"/>
      <c r="B50" s="7"/>
      <c r="C50" s="7"/>
      <c r="D50" s="7"/>
      <c r="E50" s="7"/>
      <c r="F50" s="7"/>
      <c r="G50" s="7"/>
      <c r="J50" s="7" t="str">
        <f>'Combined Delivery Data'!B49</f>
        <v>RPT_02_High Pressure Steel Inside Inspection</v>
      </c>
      <c r="K50" s="7">
        <f t="shared" si="4"/>
        <v>0</v>
      </c>
      <c r="L50" s="8" t="str">
        <f t="shared" si="5"/>
        <v/>
      </c>
      <c r="M50" s="7" t="str">
        <f t="shared" si="6"/>
        <v/>
      </c>
      <c r="N50" s="7" t="str">
        <f t="shared" si="7"/>
        <v/>
      </c>
    </row>
    <row r="51" spans="1:14" x14ac:dyDescent="0.25">
      <c r="A51" s="7"/>
      <c r="B51" s="7"/>
      <c r="C51" s="7"/>
      <c r="D51" s="7"/>
      <c r="E51" s="7"/>
      <c r="F51" s="7"/>
      <c r="G51" s="7"/>
      <c r="J51" s="7" t="str">
        <f>'Combined Delivery Data'!B50</f>
        <v>RPT_02_Large Gas Outage</v>
      </c>
      <c r="K51" s="7">
        <f t="shared" si="4"/>
        <v>0</v>
      </c>
      <c r="L51" s="8" t="str">
        <f t="shared" si="5"/>
        <v/>
      </c>
      <c r="M51" s="7" t="str">
        <f t="shared" si="6"/>
        <v/>
      </c>
      <c r="N51" s="7" t="str">
        <f t="shared" si="7"/>
        <v/>
      </c>
    </row>
    <row r="52" spans="1:14" x14ac:dyDescent="0.25">
      <c r="A52" s="7"/>
      <c r="B52" s="7"/>
      <c r="C52" s="7"/>
      <c r="D52" s="7"/>
      <c r="E52" s="7"/>
      <c r="F52" s="7"/>
      <c r="G52" s="7"/>
      <c r="J52" s="7" t="str">
        <f>'Combined Delivery Data'!B51</f>
        <v>RPT_02_Fitting Work</v>
      </c>
      <c r="K52" s="7">
        <f t="shared" si="4"/>
        <v>0</v>
      </c>
      <c r="L52" s="8" t="str">
        <f t="shared" si="5"/>
        <v/>
      </c>
      <c r="M52" s="7" t="str">
        <f t="shared" si="6"/>
        <v/>
      </c>
      <c r="N52" s="7" t="str">
        <f t="shared" si="7"/>
        <v/>
      </c>
    </row>
    <row r="53" spans="1:14" x14ac:dyDescent="0.25">
      <c r="A53" s="7"/>
      <c r="B53" s="7"/>
      <c r="C53" s="7"/>
      <c r="D53" s="7"/>
      <c r="E53" s="7"/>
      <c r="F53" s="7"/>
      <c r="G53" s="7"/>
      <c r="J53" s="7" t="str">
        <f>'Combined Delivery Data'!B52</f>
        <v>RPT_02_Field Collector Report</v>
      </c>
      <c r="K53" s="7">
        <f t="shared" si="4"/>
        <v>0</v>
      </c>
      <c r="L53" s="8" t="str">
        <f t="shared" si="5"/>
        <v/>
      </c>
      <c r="M53" s="7" t="str">
        <f t="shared" si="6"/>
        <v/>
      </c>
      <c r="N53" s="7" t="str">
        <f t="shared" si="7"/>
        <v/>
      </c>
    </row>
    <row r="54" spans="1:14" x14ac:dyDescent="0.25">
      <c r="A54" s="7"/>
      <c r="B54" s="7"/>
      <c r="C54" s="7"/>
      <c r="D54" s="7"/>
      <c r="E54" s="7"/>
      <c r="F54" s="7"/>
      <c r="G54" s="7"/>
      <c r="J54" s="7" t="str">
        <f>'Combined Delivery Data'!B53</f>
        <v>RPT_02_Turn On for Non-Payment</v>
      </c>
      <c r="K54" s="7">
        <f t="shared" si="4"/>
        <v>0</v>
      </c>
      <c r="L54" s="8" t="str">
        <f t="shared" si="5"/>
        <v/>
      </c>
      <c r="M54" s="7" t="str">
        <f t="shared" si="6"/>
        <v/>
      </c>
      <c r="N54" s="7" t="str">
        <f t="shared" si="7"/>
        <v/>
      </c>
    </row>
    <row r="55" spans="1:14" x14ac:dyDescent="0.25">
      <c r="A55" s="7"/>
      <c r="B55" s="7"/>
      <c r="C55" s="7"/>
      <c r="D55" s="7"/>
      <c r="E55" s="7"/>
      <c r="F55" s="7"/>
      <c r="G55" s="7"/>
      <c r="J55" s="7" t="str">
        <f>'Combined Delivery Data'!B54</f>
        <v>RPT_02_Collector Payment Recap</v>
      </c>
      <c r="K55" s="7">
        <f t="shared" si="4"/>
        <v>0</v>
      </c>
      <c r="L55" s="8" t="str">
        <f t="shared" si="5"/>
        <v/>
      </c>
      <c r="M55" s="7" t="str">
        <f t="shared" si="6"/>
        <v/>
      </c>
      <c r="N55" s="7" t="str">
        <f t="shared" si="7"/>
        <v/>
      </c>
    </row>
    <row r="56" spans="1:14" x14ac:dyDescent="0.25">
      <c r="A56" s="7"/>
      <c r="B56" s="7"/>
      <c r="C56" s="7"/>
      <c r="D56" s="7"/>
      <c r="E56" s="7"/>
      <c r="F56" s="7"/>
      <c r="G56" s="7"/>
      <c r="J56" s="7" t="str">
        <f>'Combined Delivery Data'!B55</f>
        <v>RPT_02_Incentive Management</v>
      </c>
      <c r="K56" s="7">
        <f t="shared" si="4"/>
        <v>0</v>
      </c>
      <c r="L56" s="8" t="str">
        <f t="shared" si="5"/>
        <v/>
      </c>
      <c r="M56" s="7" t="str">
        <f t="shared" si="6"/>
        <v/>
      </c>
      <c r="N56" s="7" t="str">
        <f t="shared" si="7"/>
        <v/>
      </c>
    </row>
    <row r="57" spans="1:14" x14ac:dyDescent="0.25">
      <c r="A57" s="7"/>
      <c r="B57" s="7"/>
      <c r="C57" s="7"/>
      <c r="D57" s="7"/>
      <c r="E57" s="7"/>
      <c r="F57" s="7"/>
      <c r="G57" s="7"/>
      <c r="J57" s="7" t="str">
        <f>'Combined Delivery Data'!B56</f>
        <v>RPT_02_UTC Report</v>
      </c>
      <c r="K57" s="7">
        <f t="shared" si="4"/>
        <v>0</v>
      </c>
      <c r="L57" s="8" t="str">
        <f t="shared" si="5"/>
        <v/>
      </c>
      <c r="M57" s="7" t="str">
        <f t="shared" si="6"/>
        <v/>
      </c>
      <c r="N57" s="7" t="str">
        <f t="shared" si="7"/>
        <v/>
      </c>
    </row>
    <row r="58" spans="1:14" x14ac:dyDescent="0.25">
      <c r="A58" s="7"/>
      <c r="B58" s="7"/>
      <c r="C58" s="7"/>
      <c r="D58" s="7"/>
      <c r="E58" s="7"/>
      <c r="F58" s="7"/>
      <c r="G58" s="7"/>
      <c r="J58" s="7" t="str">
        <f>'Combined Delivery Data'!B57</f>
        <v>RPT_02_Adjacent Property Checks</v>
      </c>
      <c r="K58" s="7">
        <f t="shared" si="4"/>
        <v>0</v>
      </c>
      <c r="L58" s="8" t="str">
        <f t="shared" si="5"/>
        <v/>
      </c>
      <c r="M58" s="7" t="str">
        <f t="shared" si="6"/>
        <v/>
      </c>
      <c r="N58" s="7" t="str">
        <f t="shared" si="7"/>
        <v/>
      </c>
    </row>
    <row r="59" spans="1:14" x14ac:dyDescent="0.25">
      <c r="A59" s="7"/>
      <c r="B59" s="7"/>
      <c r="C59" s="7"/>
      <c r="D59" s="7"/>
      <c r="E59" s="7"/>
      <c r="F59" s="7"/>
      <c r="G59" s="7"/>
      <c r="J59" s="7" t="str">
        <f>'Combined Delivery Data'!B58</f>
        <v>RPT_02_High Bill Investigations</v>
      </c>
      <c r="K59" s="7">
        <f t="shared" si="4"/>
        <v>0</v>
      </c>
      <c r="L59" s="8" t="str">
        <f t="shared" si="5"/>
        <v/>
      </c>
      <c r="M59" s="7" t="str">
        <f t="shared" si="6"/>
        <v/>
      </c>
      <c r="N59" s="7" t="str">
        <f t="shared" si="7"/>
        <v/>
      </c>
    </row>
    <row r="60" spans="1:14" x14ac:dyDescent="0.25">
      <c r="A60" s="7"/>
      <c r="B60" s="7"/>
      <c r="C60" s="7"/>
      <c r="D60" s="7"/>
      <c r="E60" s="7"/>
      <c r="F60" s="7"/>
      <c r="G60" s="7"/>
      <c r="J60" s="7" t="str">
        <f>'Combined Delivery Data'!B59</f>
        <v>RPT_02_Emergency Order Type</v>
      </c>
      <c r="K60" s="7">
        <f t="shared" si="4"/>
        <v>0</v>
      </c>
      <c r="L60" s="8" t="str">
        <f t="shared" si="5"/>
        <v/>
      </c>
      <c r="M60" s="7" t="str">
        <f t="shared" si="6"/>
        <v/>
      </c>
      <c r="N60" s="7" t="str">
        <f t="shared" si="7"/>
        <v/>
      </c>
    </row>
    <row r="61" spans="1:14" x14ac:dyDescent="0.25">
      <c r="A61" s="7"/>
      <c r="B61" s="7"/>
      <c r="C61" s="7"/>
      <c r="D61" s="7"/>
      <c r="E61" s="7"/>
      <c r="F61" s="7"/>
      <c r="G61" s="7"/>
      <c r="J61" s="7" t="str">
        <f>'Combined Delivery Data'!B60</f>
        <v>RPT_02_Cut Out Curb Box</v>
      </c>
      <c r="K61" s="7">
        <f t="shared" si="4"/>
        <v>0</v>
      </c>
      <c r="L61" s="8" t="str">
        <f t="shared" si="5"/>
        <v/>
      </c>
      <c r="M61" s="7" t="str">
        <f t="shared" si="6"/>
        <v/>
      </c>
      <c r="N61" s="7" t="str">
        <f t="shared" si="7"/>
        <v/>
      </c>
    </row>
    <row r="62" spans="1:14" x14ac:dyDescent="0.25">
      <c r="A62" s="7"/>
      <c r="B62" s="7"/>
      <c r="C62" s="7"/>
      <c r="D62" s="7"/>
      <c r="E62" s="7"/>
      <c r="F62" s="7"/>
      <c r="G62" s="7"/>
      <c r="J62" s="7" t="str">
        <f>'Combined Delivery Data'!B61</f>
        <v>RPT_02_New York Incident</v>
      </c>
      <c r="K62" s="7">
        <f t="shared" si="4"/>
        <v>0</v>
      </c>
      <c r="L62" s="8" t="str">
        <f t="shared" si="5"/>
        <v/>
      </c>
      <c r="M62" s="7" t="str">
        <f t="shared" si="6"/>
        <v/>
      </c>
      <c r="N62" s="7" t="str">
        <f t="shared" si="7"/>
        <v/>
      </c>
    </row>
    <row r="63" spans="1:14" x14ac:dyDescent="0.25">
      <c r="A63" s="7"/>
      <c r="B63" s="7"/>
      <c r="C63" s="7"/>
      <c r="D63" s="7"/>
      <c r="E63" s="7"/>
      <c r="F63" s="7"/>
      <c r="G63" s="7"/>
      <c r="J63" s="7" t="str">
        <f>'Combined Delivery Data'!B62</f>
        <v>RPT_02_Outside Repeat Leaks</v>
      </c>
      <c r="K63" s="7">
        <f t="shared" si="4"/>
        <v>0</v>
      </c>
      <c r="L63" s="8" t="str">
        <f t="shared" si="5"/>
        <v/>
      </c>
      <c r="M63" s="7" t="str">
        <f t="shared" si="6"/>
        <v/>
      </c>
      <c r="N63" s="7" t="str">
        <f t="shared" si="7"/>
        <v/>
      </c>
    </row>
    <row r="64" spans="1:14" x14ac:dyDescent="0.25">
      <c r="A64" s="7"/>
      <c r="B64" s="7"/>
      <c r="C64" s="7"/>
      <c r="D64" s="7"/>
      <c r="E64" s="7"/>
      <c r="F64" s="7"/>
      <c r="G64" s="7"/>
      <c r="J64" s="7" t="str">
        <f>'Combined Delivery Data'!B63</f>
        <v>RPT_02_Meter Change</v>
      </c>
      <c r="K64" s="7">
        <f t="shared" si="4"/>
        <v>0</v>
      </c>
      <c r="L64" s="8" t="str">
        <f t="shared" si="5"/>
        <v/>
      </c>
      <c r="M64" s="7" t="str">
        <f t="shared" si="6"/>
        <v/>
      </c>
      <c r="N64" s="7" t="str">
        <f t="shared" si="7"/>
        <v/>
      </c>
    </row>
    <row r="65" spans="1:14" x14ac:dyDescent="0.25">
      <c r="A65" s="7"/>
      <c r="B65" s="7"/>
      <c r="C65" s="7"/>
      <c r="D65" s="7"/>
      <c r="E65" s="7"/>
      <c r="F65" s="7"/>
      <c r="G65" s="7"/>
      <c r="J65" s="7" t="str">
        <f>'Combined Delivery Data'!B64</f>
        <v>RPT_02_Field Order Value</v>
      </c>
      <c r="K65" s="7">
        <f t="shared" si="4"/>
        <v>0</v>
      </c>
      <c r="L65" s="8" t="str">
        <f t="shared" si="5"/>
        <v/>
      </c>
      <c r="M65" s="7" t="str">
        <f t="shared" si="6"/>
        <v/>
      </c>
      <c r="N65" s="7" t="str">
        <f t="shared" si="7"/>
        <v/>
      </c>
    </row>
    <row r="66" spans="1:14" x14ac:dyDescent="0.25">
      <c r="A66" s="7"/>
      <c r="B66" s="7"/>
      <c r="C66" s="7"/>
      <c r="D66" s="7"/>
      <c r="E66" s="7"/>
      <c r="F66" s="7"/>
      <c r="G66" s="7"/>
      <c r="J66" s="7" t="str">
        <f>'Combined Delivery Data'!B65</f>
        <v>RPT_02_Same Day Reconnect</v>
      </c>
      <c r="K66" s="7">
        <f t="shared" si="4"/>
        <v>0</v>
      </c>
      <c r="L66" s="8" t="str">
        <f t="shared" si="5"/>
        <v/>
      </c>
      <c r="M66" s="7" t="str">
        <f t="shared" si="6"/>
        <v/>
      </c>
      <c r="N66" s="7" t="str">
        <f t="shared" si="7"/>
        <v/>
      </c>
    </row>
    <row r="67" spans="1:14" x14ac:dyDescent="0.25">
      <c r="A67" s="7"/>
      <c r="B67" s="7"/>
      <c r="C67" s="7"/>
      <c r="D67" s="7"/>
      <c r="E67" s="7"/>
      <c r="F67" s="7"/>
      <c r="G67" s="7"/>
      <c r="J67" s="7" t="str">
        <f>'Combined Delivery Data'!B66</f>
        <v>RPT_02_Site Specific Analysis</v>
      </c>
      <c r="K67" s="7">
        <f t="shared" ref="K67:K74" si="8">IF($J67="","",COUNTIF($A$3:$A$500,$J67))</f>
        <v>0</v>
      </c>
      <c r="L67" s="8" t="str">
        <f t="shared" ref="L67:L74" si="9">IF($J67="","",IF(SUMPRODUCT(MAX(($A$3:$A$500=$J67)*ROW($A$3:$A$500)))=0,"",INDEX($B:$B,SUMPRODUCT(MAX(($A$3:$A$500=$J67)*ROW($A$3:$A$500))))))</f>
        <v/>
      </c>
      <c r="M67" s="7" t="str">
        <f t="shared" ref="M67:M74" si="10">IF($J67="","",IF(SUMPRODUCT(MAX(($A$3:$A$500=$J67)*ROW($A$3:$A$500)))=0,"",INDEX($C:$C,SUMPRODUCT(MAX(($A$3:$A$500=$J67)*ROW($A$3:$A$500))))))</f>
        <v/>
      </c>
      <c r="N67" s="7" t="str">
        <f t="shared" ref="N67:N74" si="11">IF($J67="","",IF(SUMPRODUCT(MAX(($A$3:$A$500=$J67)*ROW($A$3:$A$500)))=0,"",INDEX($D:$D,SUMPRODUCT(MAX(($A$3:$A$500=$J67)*ROW($A$3:$A$500))))))</f>
        <v/>
      </c>
    </row>
    <row r="68" spans="1:14" x14ac:dyDescent="0.25">
      <c r="A68" s="7"/>
      <c r="B68" s="7"/>
      <c r="C68" s="7"/>
      <c r="D68" s="7"/>
      <c r="E68" s="7"/>
      <c r="F68" s="7"/>
      <c r="G68" s="7"/>
      <c r="J68" s="7" t="str">
        <f>'Combined Delivery Data'!B67</f>
        <v>RPT_02_PSC Wire Down Response Time</v>
      </c>
      <c r="K68" s="7">
        <f t="shared" si="8"/>
        <v>0</v>
      </c>
      <c r="L68" s="8" t="str">
        <f t="shared" si="9"/>
        <v/>
      </c>
      <c r="M68" s="7" t="str">
        <f t="shared" si="10"/>
        <v/>
      </c>
      <c r="N68" s="7" t="str">
        <f t="shared" si="11"/>
        <v/>
      </c>
    </row>
    <row r="69" spans="1:14" x14ac:dyDescent="0.25">
      <c r="A69" s="7"/>
      <c r="B69" s="7"/>
      <c r="C69" s="7"/>
      <c r="D69" s="7"/>
      <c r="E69" s="7"/>
      <c r="F69" s="7"/>
      <c r="G69" s="7"/>
      <c r="J69" s="7" t="str">
        <f>'Combined Delivery Data'!B68</f>
        <v>RPT_02_Hazardous Above Ground Leak</v>
      </c>
      <c r="K69" s="7">
        <f t="shared" si="8"/>
        <v>0</v>
      </c>
      <c r="L69" s="8" t="str">
        <f t="shared" si="9"/>
        <v/>
      </c>
      <c r="M69" s="7" t="str">
        <f t="shared" si="10"/>
        <v/>
      </c>
      <c r="N69" s="7" t="str">
        <f t="shared" si="11"/>
        <v/>
      </c>
    </row>
    <row r="70" spans="1:14" x14ac:dyDescent="0.25">
      <c r="A70" s="7"/>
      <c r="B70" s="7"/>
      <c r="C70" s="7"/>
      <c r="D70" s="7"/>
      <c r="E70" s="7"/>
      <c r="F70" s="7"/>
      <c r="G70" s="7"/>
      <c r="J70" s="7" t="str">
        <f>'Combined Delivery Data'!B69</f>
        <v>RPT_02_AMI Contractor Completion Report</v>
      </c>
      <c r="K70" s="7">
        <f t="shared" si="8"/>
        <v>0</v>
      </c>
      <c r="L70" s="8" t="str">
        <f t="shared" si="9"/>
        <v/>
      </c>
      <c r="M70" s="7" t="str">
        <f t="shared" si="10"/>
        <v/>
      </c>
      <c r="N70" s="7" t="str">
        <f t="shared" si="11"/>
        <v/>
      </c>
    </row>
    <row r="71" spans="1:14" x14ac:dyDescent="0.25">
      <c r="A71" s="7"/>
      <c r="B71" s="7"/>
      <c r="C71" s="7"/>
      <c r="D71" s="7"/>
      <c r="E71" s="7"/>
      <c r="F71" s="7"/>
      <c r="G71" s="7"/>
      <c r="J71" s="7" t="str">
        <f>'Combined Delivery Data'!B70</f>
        <v>RPT_02_Collection Statistic</v>
      </c>
      <c r="K71" s="7">
        <f t="shared" si="8"/>
        <v>0</v>
      </c>
      <c r="L71" s="8" t="str">
        <f t="shared" si="9"/>
        <v/>
      </c>
      <c r="M71" s="7" t="str">
        <f t="shared" si="10"/>
        <v/>
      </c>
      <c r="N71" s="7" t="str">
        <f t="shared" si="11"/>
        <v/>
      </c>
    </row>
    <row r="72" spans="1:14" x14ac:dyDescent="0.25">
      <c r="A72" s="7"/>
      <c r="B72" s="7"/>
      <c r="C72" s="7"/>
      <c r="D72" s="7"/>
      <c r="E72" s="7"/>
      <c r="F72" s="7"/>
      <c r="G72" s="7"/>
      <c r="J72" s="7" t="str">
        <f>'Combined Delivery Data'!B71</f>
        <v>RPT_02_First and Last Job</v>
      </c>
      <c r="K72" s="7">
        <f t="shared" si="8"/>
        <v>0</v>
      </c>
      <c r="L72" s="8" t="str">
        <f t="shared" si="9"/>
        <v/>
      </c>
      <c r="M72" s="7" t="str">
        <f t="shared" si="10"/>
        <v/>
      </c>
      <c r="N72" s="7" t="str">
        <f t="shared" si="11"/>
        <v/>
      </c>
    </row>
    <row r="73" spans="1:14" x14ac:dyDescent="0.25">
      <c r="A73" s="7"/>
      <c r="B73" s="7"/>
      <c r="C73" s="7"/>
      <c r="D73" s="7"/>
      <c r="E73" s="7"/>
      <c r="F73" s="7"/>
      <c r="G73" s="7"/>
      <c r="J73" s="7" t="str">
        <f>'Combined Delivery Data'!B72</f>
        <v>RPT_02_Rate Class</v>
      </c>
      <c r="K73" s="7">
        <f t="shared" si="8"/>
        <v>0</v>
      </c>
      <c r="L73" s="8" t="str">
        <f t="shared" si="9"/>
        <v/>
      </c>
      <c r="M73" s="7" t="str">
        <f t="shared" si="10"/>
        <v/>
      </c>
      <c r="N73" s="7" t="str">
        <f t="shared" si="11"/>
        <v/>
      </c>
    </row>
    <row r="74" spans="1:14" x14ac:dyDescent="0.25">
      <c r="A74" s="7"/>
      <c r="B74" s="7"/>
      <c r="C74" s="7"/>
      <c r="D74" s="7"/>
      <c r="E74" s="7"/>
      <c r="F74" s="7"/>
      <c r="G74" s="7"/>
      <c r="J74" s="7" t="str">
        <f>'Combined Delivery Data'!B73</f>
        <v>RPT_04_Leak Recheck Times</v>
      </c>
      <c r="K74" s="7">
        <f t="shared" si="8"/>
        <v>0</v>
      </c>
      <c r="L74" s="8" t="str">
        <f t="shared" si="9"/>
        <v/>
      </c>
      <c r="M74" s="7" t="str">
        <f t="shared" si="10"/>
        <v/>
      </c>
      <c r="N74" s="7" t="str">
        <f t="shared" si="11"/>
        <v/>
      </c>
    </row>
    <row r="75" spans="1:14" x14ac:dyDescent="0.25">
      <c r="A75" s="7"/>
      <c r="B75" s="7"/>
      <c r="C75" s="7"/>
      <c r="D75" s="7"/>
      <c r="E75" s="7"/>
      <c r="F75" s="7"/>
      <c r="G75" s="7"/>
    </row>
    <row r="76" spans="1:14" x14ac:dyDescent="0.25">
      <c r="A76" s="7"/>
      <c r="B76" s="7"/>
      <c r="C76" s="7"/>
      <c r="D76" s="7"/>
      <c r="E76" s="7"/>
      <c r="F76" s="7"/>
      <c r="G76" s="7"/>
    </row>
    <row r="77" spans="1:14" x14ac:dyDescent="0.25">
      <c r="A77" s="7"/>
      <c r="B77" s="7"/>
      <c r="C77" s="7"/>
      <c r="D77" s="7"/>
      <c r="E77" s="7"/>
      <c r="F77" s="7"/>
      <c r="G77" s="7"/>
    </row>
    <row r="78" spans="1:14" x14ac:dyDescent="0.25">
      <c r="A78" s="7"/>
      <c r="B78" s="7"/>
      <c r="C78" s="7"/>
      <c r="D78" s="7"/>
      <c r="E78" s="7"/>
      <c r="F78" s="7"/>
      <c r="G78" s="7"/>
    </row>
    <row r="79" spans="1:14" x14ac:dyDescent="0.25">
      <c r="A79" s="7"/>
      <c r="B79" s="7"/>
      <c r="C79" s="7"/>
      <c r="D79" s="7"/>
      <c r="E79" s="7"/>
      <c r="F79" s="7"/>
      <c r="G79" s="7"/>
    </row>
    <row r="80" spans="1:14" x14ac:dyDescent="0.25">
      <c r="A80" s="7"/>
      <c r="B80" s="7"/>
      <c r="C80" s="7"/>
      <c r="D80" s="7"/>
      <c r="E80" s="7"/>
      <c r="F80" s="7"/>
      <c r="G80" s="7"/>
    </row>
    <row r="81" spans="1:7" x14ac:dyDescent="0.25">
      <c r="A81" s="7"/>
      <c r="B81" s="7"/>
      <c r="C81" s="7"/>
      <c r="D81" s="7"/>
      <c r="E81" s="7"/>
      <c r="F81" s="7"/>
      <c r="G81" s="7"/>
    </row>
    <row r="82" spans="1:7" x14ac:dyDescent="0.25">
      <c r="A82" s="7"/>
      <c r="B82" s="7"/>
      <c r="C82" s="7"/>
      <c r="D82" s="7"/>
      <c r="E82" s="7"/>
      <c r="F82" s="7"/>
      <c r="G82" s="7"/>
    </row>
    <row r="83" spans="1:7" x14ac:dyDescent="0.25">
      <c r="A83" s="7"/>
      <c r="B83" s="7"/>
      <c r="C83" s="7"/>
      <c r="D83" s="7"/>
      <c r="E83" s="7"/>
      <c r="F83" s="7"/>
      <c r="G83" s="7"/>
    </row>
    <row r="84" spans="1:7" x14ac:dyDescent="0.25">
      <c r="A84" s="7"/>
      <c r="B84" s="7"/>
      <c r="C84" s="7"/>
      <c r="D84" s="7"/>
      <c r="E84" s="7"/>
      <c r="F84" s="7"/>
      <c r="G84" s="7"/>
    </row>
    <row r="85" spans="1:7" x14ac:dyDescent="0.25">
      <c r="A85" s="7"/>
      <c r="B85" s="7"/>
      <c r="C85" s="7"/>
      <c r="D85" s="7"/>
      <c r="E85" s="7"/>
      <c r="F85" s="7"/>
      <c r="G85" s="7"/>
    </row>
    <row r="86" spans="1:7" x14ac:dyDescent="0.25">
      <c r="A86" s="7"/>
      <c r="B86" s="7"/>
      <c r="C86" s="7"/>
      <c r="D86" s="7"/>
      <c r="E86" s="7"/>
      <c r="F86" s="7"/>
      <c r="G86" s="7"/>
    </row>
    <row r="87" spans="1:7" x14ac:dyDescent="0.25">
      <c r="A87" s="7"/>
      <c r="B87" s="7"/>
      <c r="C87" s="7"/>
      <c r="D87" s="7"/>
      <c r="E87" s="7"/>
      <c r="F87" s="7"/>
      <c r="G87" s="7"/>
    </row>
    <row r="88" spans="1:7" x14ac:dyDescent="0.25">
      <c r="A88" s="7"/>
      <c r="B88" s="7"/>
      <c r="C88" s="7"/>
      <c r="D88" s="7"/>
      <c r="E88" s="7"/>
      <c r="F88" s="7"/>
      <c r="G88" s="7"/>
    </row>
    <row r="89" spans="1:7" x14ac:dyDescent="0.25">
      <c r="A89" s="7"/>
      <c r="B89" s="7"/>
      <c r="C89" s="7"/>
      <c r="D89" s="7"/>
      <c r="E89" s="7"/>
      <c r="F89" s="7"/>
      <c r="G89" s="7"/>
    </row>
    <row r="90" spans="1:7" x14ac:dyDescent="0.25">
      <c r="A90" s="7"/>
      <c r="B90" s="7"/>
      <c r="C90" s="7"/>
      <c r="D90" s="7"/>
      <c r="E90" s="7"/>
      <c r="F90" s="7"/>
      <c r="G90" s="7"/>
    </row>
    <row r="91" spans="1:7" x14ac:dyDescent="0.25">
      <c r="A91" s="7"/>
      <c r="B91" s="7"/>
      <c r="C91" s="7"/>
      <c r="D91" s="7"/>
      <c r="E91" s="7"/>
      <c r="F91" s="7"/>
      <c r="G91" s="7"/>
    </row>
    <row r="92" spans="1:7" x14ac:dyDescent="0.25">
      <c r="A92" s="7"/>
      <c r="B92" s="7"/>
      <c r="C92" s="7"/>
      <c r="D92" s="7"/>
      <c r="E92" s="7"/>
      <c r="F92" s="7"/>
      <c r="G92" s="7"/>
    </row>
    <row r="93" spans="1:7" x14ac:dyDescent="0.25">
      <c r="A93" s="7"/>
      <c r="B93" s="7"/>
      <c r="C93" s="7"/>
      <c r="D93" s="7"/>
      <c r="E93" s="7"/>
      <c r="F93" s="7"/>
      <c r="G93" s="7"/>
    </row>
    <row r="94" spans="1:7" x14ac:dyDescent="0.25">
      <c r="A94" s="7"/>
      <c r="B94" s="7"/>
      <c r="C94" s="7"/>
      <c r="D94" s="7"/>
      <c r="E94" s="7"/>
      <c r="F94" s="7"/>
      <c r="G94" s="7"/>
    </row>
    <row r="95" spans="1:7" x14ac:dyDescent="0.25">
      <c r="A95" s="7"/>
      <c r="B95" s="7"/>
      <c r="C95" s="7"/>
      <c r="D95" s="7"/>
      <c r="E95" s="7"/>
      <c r="F95" s="7"/>
      <c r="G95" s="7"/>
    </row>
    <row r="96" spans="1:7" x14ac:dyDescent="0.25">
      <c r="A96" s="7"/>
      <c r="B96" s="7"/>
      <c r="C96" s="7"/>
      <c r="D96" s="7"/>
      <c r="E96" s="7"/>
      <c r="F96" s="7"/>
      <c r="G96" s="7"/>
    </row>
    <row r="97" spans="1:7" x14ac:dyDescent="0.25">
      <c r="A97" s="7"/>
      <c r="B97" s="7"/>
      <c r="C97" s="7"/>
      <c r="D97" s="7"/>
      <c r="E97" s="7"/>
      <c r="F97" s="7"/>
      <c r="G97" s="7"/>
    </row>
    <row r="98" spans="1:7" x14ac:dyDescent="0.25">
      <c r="A98" s="7"/>
      <c r="B98" s="7"/>
      <c r="C98" s="7"/>
      <c r="D98" s="7"/>
      <c r="E98" s="7"/>
      <c r="F98" s="7"/>
      <c r="G98" s="7"/>
    </row>
    <row r="99" spans="1:7" x14ac:dyDescent="0.25">
      <c r="A99" s="7"/>
      <c r="B99" s="7"/>
      <c r="C99" s="7"/>
      <c r="D99" s="7"/>
      <c r="E99" s="7"/>
      <c r="F99" s="7"/>
      <c r="G99" s="7"/>
    </row>
    <row r="100" spans="1:7" x14ac:dyDescent="0.25">
      <c r="A100" s="7"/>
      <c r="B100" s="7"/>
      <c r="C100" s="7"/>
      <c r="D100" s="7"/>
      <c r="E100" s="7"/>
      <c r="F100" s="7"/>
      <c r="G100" s="7"/>
    </row>
    <row r="101" spans="1:7" x14ac:dyDescent="0.25">
      <c r="A101" s="7"/>
      <c r="B101" s="7"/>
      <c r="C101" s="7"/>
      <c r="D101" s="7"/>
      <c r="E101" s="7"/>
      <c r="F101" s="7"/>
      <c r="G101" s="7"/>
    </row>
    <row r="102" spans="1:7" x14ac:dyDescent="0.25">
      <c r="A102" s="7"/>
      <c r="B102" s="7"/>
      <c r="C102" s="7"/>
      <c r="D102" s="7"/>
      <c r="E102" s="7"/>
      <c r="F102" s="7"/>
      <c r="G102" s="7"/>
    </row>
    <row r="103" spans="1:7" x14ac:dyDescent="0.25">
      <c r="A103" s="7"/>
      <c r="B103" s="7"/>
      <c r="C103" s="7"/>
      <c r="D103" s="7"/>
      <c r="E103" s="7"/>
      <c r="F103" s="7"/>
      <c r="G103" s="7"/>
    </row>
    <row r="104" spans="1:7" x14ac:dyDescent="0.25">
      <c r="A104" s="7"/>
      <c r="B104" s="7"/>
      <c r="C104" s="7"/>
      <c r="D104" s="7"/>
      <c r="E104" s="7"/>
      <c r="F104" s="7"/>
      <c r="G104" s="7"/>
    </row>
    <row r="105" spans="1:7" x14ac:dyDescent="0.25">
      <c r="A105" s="7"/>
      <c r="B105" s="7"/>
      <c r="C105" s="7"/>
      <c r="D105" s="7"/>
      <c r="E105" s="7"/>
      <c r="F105" s="7"/>
      <c r="G105" s="7"/>
    </row>
    <row r="106" spans="1:7" x14ac:dyDescent="0.25">
      <c r="A106" s="7"/>
      <c r="B106" s="7"/>
      <c r="C106" s="7"/>
      <c r="D106" s="7"/>
      <c r="E106" s="7"/>
      <c r="F106" s="7"/>
      <c r="G106" s="7"/>
    </row>
    <row r="107" spans="1:7" x14ac:dyDescent="0.25">
      <c r="A107" s="7"/>
      <c r="B107" s="7"/>
      <c r="C107" s="7"/>
      <c r="D107" s="7"/>
      <c r="E107" s="7"/>
      <c r="F107" s="7"/>
      <c r="G107" s="7"/>
    </row>
    <row r="108" spans="1:7" x14ac:dyDescent="0.25">
      <c r="A108" s="7"/>
      <c r="B108" s="7"/>
      <c r="C108" s="7"/>
      <c r="D108" s="7"/>
      <c r="E108" s="7"/>
      <c r="F108" s="7"/>
      <c r="G108" s="7"/>
    </row>
    <row r="109" spans="1:7" x14ac:dyDescent="0.25">
      <c r="A109" s="7"/>
      <c r="B109" s="7"/>
      <c r="C109" s="7"/>
      <c r="D109" s="7"/>
      <c r="E109" s="7"/>
      <c r="F109" s="7"/>
      <c r="G109" s="7"/>
    </row>
    <row r="110" spans="1:7" x14ac:dyDescent="0.25">
      <c r="A110" s="7"/>
      <c r="B110" s="7"/>
      <c r="C110" s="7"/>
      <c r="D110" s="7"/>
      <c r="E110" s="7"/>
      <c r="F110" s="7"/>
      <c r="G110" s="7"/>
    </row>
    <row r="111" spans="1:7" x14ac:dyDescent="0.25">
      <c r="A111" s="7"/>
      <c r="B111" s="7"/>
      <c r="C111" s="7"/>
      <c r="D111" s="7"/>
      <c r="E111" s="7"/>
      <c r="F111" s="7"/>
      <c r="G111" s="7"/>
    </row>
    <row r="112" spans="1:7" x14ac:dyDescent="0.25">
      <c r="A112" s="7"/>
      <c r="B112" s="7"/>
      <c r="C112" s="7"/>
      <c r="D112" s="7"/>
      <c r="E112" s="7"/>
      <c r="F112" s="7"/>
      <c r="G112" s="7"/>
    </row>
    <row r="113" spans="1:7" x14ac:dyDescent="0.25">
      <c r="A113" s="7"/>
      <c r="B113" s="7"/>
      <c r="C113" s="7"/>
      <c r="D113" s="7"/>
      <c r="E113" s="7"/>
      <c r="F113" s="7"/>
      <c r="G113" s="7"/>
    </row>
    <row r="114" spans="1:7" x14ac:dyDescent="0.25">
      <c r="A114" s="7"/>
      <c r="B114" s="7"/>
      <c r="C114" s="7"/>
      <c r="D114" s="7"/>
      <c r="E114" s="7"/>
      <c r="F114" s="7"/>
      <c r="G114" s="7"/>
    </row>
    <row r="115" spans="1:7" x14ac:dyDescent="0.25">
      <c r="A115" s="7"/>
      <c r="B115" s="7"/>
      <c r="C115" s="7"/>
      <c r="D115" s="7"/>
      <c r="E115" s="7"/>
      <c r="F115" s="7"/>
      <c r="G115" s="7"/>
    </row>
    <row r="116" spans="1:7" x14ac:dyDescent="0.25">
      <c r="A116" s="7"/>
      <c r="B116" s="7"/>
      <c r="C116" s="7"/>
      <c r="D116" s="7"/>
      <c r="E116" s="7"/>
      <c r="F116" s="7"/>
      <c r="G116" s="7"/>
    </row>
    <row r="117" spans="1:7" x14ac:dyDescent="0.25">
      <c r="A117" s="7"/>
      <c r="B117" s="7"/>
      <c r="C117" s="7"/>
      <c r="D117" s="7"/>
      <c r="E117" s="7"/>
      <c r="F117" s="7"/>
      <c r="G117" s="7"/>
    </row>
    <row r="118" spans="1:7" x14ac:dyDescent="0.25">
      <c r="A118" s="7"/>
      <c r="B118" s="7"/>
      <c r="C118" s="7"/>
      <c r="D118" s="7"/>
      <c r="E118" s="7"/>
      <c r="F118" s="7"/>
      <c r="G118" s="7"/>
    </row>
    <row r="119" spans="1:7" x14ac:dyDescent="0.25">
      <c r="A119" s="7"/>
      <c r="B119" s="7"/>
      <c r="C119" s="7"/>
      <c r="D119" s="7"/>
      <c r="E119" s="7"/>
      <c r="F119" s="7"/>
      <c r="G119" s="7"/>
    </row>
    <row r="120" spans="1:7" x14ac:dyDescent="0.25">
      <c r="A120" s="7"/>
      <c r="B120" s="7"/>
      <c r="C120" s="7"/>
      <c r="D120" s="7"/>
      <c r="E120" s="7"/>
      <c r="F120" s="7"/>
      <c r="G120" s="7"/>
    </row>
    <row r="121" spans="1:7" x14ac:dyDescent="0.25">
      <c r="A121" s="7"/>
      <c r="B121" s="7"/>
      <c r="C121" s="7"/>
      <c r="D121" s="7"/>
      <c r="E121" s="7"/>
      <c r="F121" s="7"/>
      <c r="G121" s="7"/>
    </row>
    <row r="122" spans="1:7" x14ac:dyDescent="0.25">
      <c r="A122" s="7"/>
      <c r="B122" s="7"/>
      <c r="C122" s="7"/>
      <c r="D122" s="7"/>
      <c r="E122" s="7"/>
      <c r="F122" s="7"/>
      <c r="G122" s="7"/>
    </row>
    <row r="123" spans="1:7" x14ac:dyDescent="0.25">
      <c r="A123" s="7"/>
      <c r="B123" s="7"/>
      <c r="C123" s="7"/>
      <c r="D123" s="7"/>
      <c r="E123" s="7"/>
      <c r="F123" s="7"/>
      <c r="G123" s="7"/>
    </row>
    <row r="124" spans="1:7" x14ac:dyDescent="0.25">
      <c r="A124" s="7"/>
      <c r="B124" s="7"/>
      <c r="C124" s="7"/>
      <c r="D124" s="7"/>
      <c r="E124" s="7"/>
      <c r="F124" s="7"/>
      <c r="G124" s="7"/>
    </row>
    <row r="125" spans="1:7" x14ac:dyDescent="0.25">
      <c r="A125" s="7"/>
      <c r="B125" s="7"/>
      <c r="C125" s="7"/>
      <c r="D125" s="7"/>
      <c r="E125" s="7"/>
      <c r="F125" s="7"/>
      <c r="G125" s="7"/>
    </row>
    <row r="126" spans="1:7" x14ac:dyDescent="0.25">
      <c r="A126" s="7"/>
      <c r="B126" s="7"/>
      <c r="C126" s="7"/>
      <c r="D126" s="7"/>
      <c r="E126" s="7"/>
      <c r="F126" s="7"/>
      <c r="G126" s="7"/>
    </row>
    <row r="127" spans="1:7" x14ac:dyDescent="0.25">
      <c r="A127" s="7"/>
      <c r="B127" s="7"/>
      <c r="C127" s="7"/>
      <c r="D127" s="7"/>
      <c r="E127" s="7"/>
      <c r="F127" s="7"/>
      <c r="G127" s="7"/>
    </row>
    <row r="128" spans="1:7" x14ac:dyDescent="0.25">
      <c r="A128" s="7"/>
      <c r="B128" s="7"/>
      <c r="C128" s="7"/>
      <c r="D128" s="7"/>
      <c r="E128" s="7"/>
      <c r="F128" s="7"/>
      <c r="G128" s="7"/>
    </row>
    <row r="129" spans="1:7" x14ac:dyDescent="0.25">
      <c r="A129" s="7"/>
      <c r="B129" s="7"/>
      <c r="C129" s="7"/>
      <c r="D129" s="7"/>
      <c r="E129" s="7"/>
      <c r="F129" s="7"/>
      <c r="G129" s="7"/>
    </row>
    <row r="130" spans="1:7" x14ac:dyDescent="0.25">
      <c r="A130" s="7"/>
      <c r="B130" s="7"/>
      <c r="C130" s="7"/>
      <c r="D130" s="7"/>
      <c r="E130" s="7"/>
      <c r="F130" s="7"/>
      <c r="G130" s="7"/>
    </row>
    <row r="131" spans="1:7" x14ac:dyDescent="0.25">
      <c r="A131" s="7"/>
      <c r="B131" s="7"/>
      <c r="C131" s="7"/>
      <c r="D131" s="7"/>
      <c r="E131" s="7"/>
      <c r="F131" s="7"/>
      <c r="G131" s="7"/>
    </row>
    <row r="132" spans="1:7" x14ac:dyDescent="0.25">
      <c r="A132" s="7"/>
      <c r="B132" s="7"/>
      <c r="C132" s="7"/>
      <c r="D132" s="7"/>
      <c r="E132" s="7"/>
      <c r="F132" s="7"/>
      <c r="G132" s="7"/>
    </row>
    <row r="133" spans="1:7" x14ac:dyDescent="0.25">
      <c r="A133" s="7"/>
      <c r="B133" s="7"/>
      <c r="C133" s="7"/>
      <c r="D133" s="7"/>
      <c r="E133" s="7"/>
      <c r="F133" s="7"/>
      <c r="G133" s="7"/>
    </row>
    <row r="134" spans="1:7" x14ac:dyDescent="0.25">
      <c r="A134" s="7"/>
      <c r="B134" s="7"/>
      <c r="C134" s="7"/>
      <c r="D134" s="7"/>
      <c r="E134" s="7"/>
      <c r="F134" s="7"/>
      <c r="G134" s="7"/>
    </row>
    <row r="135" spans="1:7" x14ac:dyDescent="0.25">
      <c r="A135" s="7"/>
      <c r="B135" s="7"/>
      <c r="C135" s="7"/>
      <c r="D135" s="7"/>
      <c r="E135" s="7"/>
      <c r="F135" s="7"/>
      <c r="G135" s="7"/>
    </row>
    <row r="136" spans="1:7" x14ac:dyDescent="0.25">
      <c r="A136" s="7"/>
      <c r="B136" s="7"/>
      <c r="C136" s="7"/>
      <c r="D136" s="7"/>
      <c r="E136" s="7"/>
      <c r="F136" s="7"/>
      <c r="G136" s="7"/>
    </row>
    <row r="137" spans="1:7" x14ac:dyDescent="0.25">
      <c r="A137" s="7"/>
      <c r="B137" s="7"/>
      <c r="C137" s="7"/>
      <c r="D137" s="7"/>
      <c r="E137" s="7"/>
      <c r="F137" s="7"/>
      <c r="G137" s="7"/>
    </row>
    <row r="138" spans="1:7" x14ac:dyDescent="0.25">
      <c r="A138" s="7"/>
      <c r="B138" s="7"/>
      <c r="C138" s="7"/>
      <c r="D138" s="7"/>
      <c r="E138" s="7"/>
      <c r="F138" s="7"/>
      <c r="G138" s="7"/>
    </row>
    <row r="139" spans="1:7" x14ac:dyDescent="0.25">
      <c r="A139" s="7"/>
      <c r="B139" s="7"/>
      <c r="C139" s="7"/>
      <c r="D139" s="7"/>
      <c r="E139" s="7"/>
      <c r="F139" s="7"/>
      <c r="G139" s="7"/>
    </row>
    <row r="140" spans="1:7" x14ac:dyDescent="0.25">
      <c r="A140" s="7"/>
      <c r="B140" s="7"/>
      <c r="C140" s="7"/>
      <c r="D140" s="7"/>
      <c r="E140" s="7"/>
      <c r="F140" s="7"/>
      <c r="G140" s="7"/>
    </row>
    <row r="141" spans="1:7" x14ac:dyDescent="0.25">
      <c r="A141" s="7"/>
      <c r="B141" s="7"/>
      <c r="C141" s="7"/>
      <c r="D141" s="7"/>
      <c r="E141" s="7"/>
      <c r="F141" s="7"/>
      <c r="G141" s="7"/>
    </row>
    <row r="142" spans="1:7" x14ac:dyDescent="0.25">
      <c r="A142" s="7"/>
      <c r="B142" s="7"/>
      <c r="C142" s="7"/>
      <c r="D142" s="7"/>
      <c r="E142" s="7"/>
      <c r="F142" s="7"/>
      <c r="G142" s="7"/>
    </row>
    <row r="143" spans="1:7" x14ac:dyDescent="0.25">
      <c r="A143" s="7"/>
      <c r="B143" s="7"/>
      <c r="C143" s="7"/>
      <c r="D143" s="7"/>
      <c r="E143" s="7"/>
      <c r="F143" s="7"/>
      <c r="G143" s="7"/>
    </row>
    <row r="144" spans="1:7" x14ac:dyDescent="0.25">
      <c r="A144" s="7"/>
      <c r="B144" s="7"/>
      <c r="C144" s="7"/>
      <c r="D144" s="7"/>
      <c r="E144" s="7"/>
      <c r="F144" s="7"/>
      <c r="G144" s="7"/>
    </row>
    <row r="145" spans="1:7" x14ac:dyDescent="0.25">
      <c r="A145" s="7"/>
      <c r="B145" s="7"/>
      <c r="C145" s="7"/>
      <c r="D145" s="7"/>
      <c r="E145" s="7"/>
      <c r="F145" s="7"/>
      <c r="G145" s="7"/>
    </row>
    <row r="146" spans="1:7" x14ac:dyDescent="0.25">
      <c r="A146" s="7"/>
      <c r="B146" s="7"/>
      <c r="C146" s="7"/>
      <c r="D146" s="7"/>
      <c r="E146" s="7"/>
      <c r="F146" s="7"/>
      <c r="G146" s="7"/>
    </row>
    <row r="147" spans="1:7" x14ac:dyDescent="0.25">
      <c r="A147" s="7"/>
      <c r="B147" s="7"/>
      <c r="C147" s="7"/>
      <c r="D147" s="7"/>
      <c r="E147" s="7"/>
      <c r="F147" s="7"/>
      <c r="G147" s="7"/>
    </row>
    <row r="148" spans="1:7" x14ac:dyDescent="0.25">
      <c r="A148" s="7"/>
      <c r="B148" s="7"/>
      <c r="C148" s="7"/>
      <c r="D148" s="7"/>
      <c r="E148" s="7"/>
      <c r="F148" s="7"/>
      <c r="G148" s="7"/>
    </row>
    <row r="149" spans="1:7" x14ac:dyDescent="0.25">
      <c r="A149" s="7"/>
      <c r="B149" s="7"/>
      <c r="C149" s="7"/>
      <c r="D149" s="7"/>
      <c r="E149" s="7"/>
      <c r="F149" s="7"/>
      <c r="G149" s="7"/>
    </row>
    <row r="150" spans="1:7" x14ac:dyDescent="0.25">
      <c r="A150" s="7"/>
      <c r="B150" s="7"/>
      <c r="C150" s="7"/>
      <c r="D150" s="7"/>
      <c r="E150" s="7"/>
      <c r="F150" s="7"/>
      <c r="G150" s="7"/>
    </row>
    <row r="151" spans="1:7" x14ac:dyDescent="0.25">
      <c r="A151" s="7"/>
      <c r="B151" s="7"/>
      <c r="C151" s="7"/>
      <c r="D151" s="7"/>
      <c r="E151" s="7"/>
      <c r="F151" s="7"/>
      <c r="G151" s="7"/>
    </row>
    <row r="152" spans="1:7" x14ac:dyDescent="0.25">
      <c r="A152" s="7"/>
      <c r="B152" s="7"/>
      <c r="C152" s="7"/>
      <c r="D152" s="7"/>
      <c r="E152" s="7"/>
      <c r="F152" s="7"/>
      <c r="G152" s="7"/>
    </row>
    <row r="153" spans="1:7" x14ac:dyDescent="0.25">
      <c r="A153" s="7"/>
      <c r="B153" s="7"/>
      <c r="C153" s="7"/>
      <c r="D153" s="7"/>
      <c r="E153" s="7"/>
      <c r="F153" s="7"/>
      <c r="G153" s="7"/>
    </row>
    <row r="154" spans="1:7" x14ac:dyDescent="0.25">
      <c r="A154" s="7"/>
      <c r="B154" s="7"/>
      <c r="C154" s="7"/>
      <c r="D154" s="7"/>
      <c r="E154" s="7"/>
      <c r="F154" s="7"/>
      <c r="G154" s="7"/>
    </row>
    <row r="155" spans="1:7" x14ac:dyDescent="0.25">
      <c r="A155" s="7"/>
      <c r="B155" s="7"/>
      <c r="C155" s="7"/>
      <c r="D155" s="7"/>
      <c r="E155" s="7"/>
      <c r="F155" s="7"/>
      <c r="G155" s="7"/>
    </row>
    <row r="156" spans="1:7" x14ac:dyDescent="0.25">
      <c r="A156" s="7"/>
      <c r="B156" s="7"/>
      <c r="C156" s="7"/>
      <c r="D156" s="7"/>
      <c r="E156" s="7"/>
      <c r="F156" s="7"/>
      <c r="G156" s="7"/>
    </row>
    <row r="157" spans="1:7" x14ac:dyDescent="0.25">
      <c r="A157" s="7"/>
      <c r="B157" s="7"/>
      <c r="C157" s="7"/>
      <c r="D157" s="7"/>
      <c r="E157" s="7"/>
      <c r="F157" s="7"/>
      <c r="G157" s="7"/>
    </row>
    <row r="158" spans="1:7" x14ac:dyDescent="0.25">
      <c r="A158" s="7"/>
      <c r="B158" s="7"/>
      <c r="C158" s="7"/>
      <c r="D158" s="7"/>
      <c r="E158" s="7"/>
      <c r="F158" s="7"/>
      <c r="G158" s="7"/>
    </row>
    <row r="159" spans="1:7" x14ac:dyDescent="0.25">
      <c r="A159" s="7"/>
      <c r="B159" s="7"/>
      <c r="C159" s="7"/>
      <c r="D159" s="7"/>
      <c r="E159" s="7"/>
      <c r="F159" s="7"/>
      <c r="G159" s="7"/>
    </row>
    <row r="160" spans="1:7" x14ac:dyDescent="0.25">
      <c r="A160" s="7"/>
      <c r="B160" s="7"/>
      <c r="C160" s="7"/>
      <c r="D160" s="7"/>
      <c r="E160" s="7"/>
      <c r="F160" s="7"/>
      <c r="G160" s="7"/>
    </row>
    <row r="161" spans="1:7" x14ac:dyDescent="0.25">
      <c r="A161" s="7"/>
      <c r="B161" s="7"/>
      <c r="C161" s="7"/>
      <c r="D161" s="7"/>
      <c r="E161" s="7"/>
      <c r="F161" s="7"/>
      <c r="G161" s="7"/>
    </row>
    <row r="162" spans="1:7" x14ac:dyDescent="0.25">
      <c r="A162" s="7"/>
      <c r="B162" s="7"/>
      <c r="C162" s="7"/>
      <c r="D162" s="7"/>
      <c r="E162" s="7"/>
      <c r="F162" s="7"/>
      <c r="G162" s="7"/>
    </row>
    <row r="163" spans="1:7" x14ac:dyDescent="0.25">
      <c r="A163" s="7"/>
      <c r="B163" s="7"/>
      <c r="C163" s="7"/>
      <c r="D163" s="7"/>
      <c r="E163" s="7"/>
      <c r="F163" s="7"/>
      <c r="G163" s="7"/>
    </row>
    <row r="164" spans="1:7" x14ac:dyDescent="0.25">
      <c r="A164" s="7"/>
      <c r="B164" s="7"/>
      <c r="C164" s="7"/>
      <c r="D164" s="7"/>
      <c r="E164" s="7"/>
      <c r="F164" s="7"/>
      <c r="G164" s="7"/>
    </row>
    <row r="165" spans="1:7" x14ac:dyDescent="0.25">
      <c r="A165" s="7"/>
      <c r="B165" s="7"/>
      <c r="C165" s="7"/>
      <c r="D165" s="7"/>
      <c r="E165" s="7"/>
      <c r="F165" s="7"/>
      <c r="G165" s="7"/>
    </row>
    <row r="166" spans="1:7" x14ac:dyDescent="0.25">
      <c r="A166" s="7"/>
      <c r="B166" s="7"/>
      <c r="C166" s="7"/>
      <c r="D166" s="7"/>
      <c r="E166" s="7"/>
      <c r="F166" s="7"/>
      <c r="G166" s="7"/>
    </row>
    <row r="167" spans="1:7" x14ac:dyDescent="0.25">
      <c r="A167" s="7"/>
      <c r="B167" s="7"/>
      <c r="C167" s="7"/>
      <c r="D167" s="7"/>
      <c r="E167" s="7"/>
      <c r="F167" s="7"/>
      <c r="G167" s="7"/>
    </row>
    <row r="168" spans="1:7" x14ac:dyDescent="0.25">
      <c r="A168" s="7"/>
      <c r="B168" s="7"/>
      <c r="C168" s="7"/>
      <c r="D168" s="7"/>
      <c r="E168" s="7"/>
      <c r="F168" s="7"/>
      <c r="G168" s="7"/>
    </row>
    <row r="169" spans="1:7" x14ac:dyDescent="0.25">
      <c r="A169" s="7"/>
      <c r="B169" s="7"/>
      <c r="C169" s="7"/>
      <c r="D169" s="7"/>
      <c r="E169" s="7"/>
      <c r="F169" s="7"/>
      <c r="G169" s="7"/>
    </row>
    <row r="170" spans="1:7" x14ac:dyDescent="0.25">
      <c r="A170" s="7"/>
      <c r="B170" s="7"/>
      <c r="C170" s="7"/>
      <c r="D170" s="7"/>
      <c r="E170" s="7"/>
      <c r="F170" s="7"/>
      <c r="G170" s="7"/>
    </row>
    <row r="171" spans="1:7" x14ac:dyDescent="0.25">
      <c r="A171" s="7"/>
      <c r="B171" s="7"/>
      <c r="C171" s="7"/>
      <c r="D171" s="7"/>
      <c r="E171" s="7"/>
      <c r="F171" s="7"/>
      <c r="G171" s="7"/>
    </row>
    <row r="172" spans="1:7" x14ac:dyDescent="0.25">
      <c r="A172" s="7"/>
      <c r="B172" s="7"/>
      <c r="C172" s="7"/>
      <c r="D172" s="7"/>
      <c r="E172" s="7"/>
      <c r="F172" s="7"/>
      <c r="G172" s="7"/>
    </row>
    <row r="173" spans="1:7" x14ac:dyDescent="0.25">
      <c r="A173" s="7"/>
      <c r="B173" s="7"/>
      <c r="C173" s="7"/>
      <c r="D173" s="7"/>
      <c r="E173" s="7"/>
      <c r="F173" s="7"/>
      <c r="G173" s="7"/>
    </row>
    <row r="174" spans="1:7" x14ac:dyDescent="0.25">
      <c r="A174" s="7"/>
      <c r="B174" s="7"/>
      <c r="C174" s="7"/>
      <c r="D174" s="7"/>
      <c r="E174" s="7"/>
      <c r="F174" s="7"/>
      <c r="G174" s="7"/>
    </row>
    <row r="175" spans="1:7" x14ac:dyDescent="0.25">
      <c r="A175" s="7"/>
      <c r="B175" s="7"/>
      <c r="C175" s="7"/>
      <c r="D175" s="7"/>
      <c r="E175" s="7"/>
      <c r="F175" s="7"/>
      <c r="G175" s="7"/>
    </row>
    <row r="176" spans="1:7" x14ac:dyDescent="0.25">
      <c r="A176" s="7"/>
      <c r="B176" s="7"/>
      <c r="C176" s="7"/>
      <c r="D176" s="7"/>
      <c r="E176" s="7"/>
      <c r="F176" s="7"/>
      <c r="G176" s="7"/>
    </row>
    <row r="177" spans="1:7" x14ac:dyDescent="0.25">
      <c r="A177" s="7"/>
      <c r="B177" s="7"/>
      <c r="C177" s="7"/>
      <c r="D177" s="7"/>
      <c r="E177" s="7"/>
      <c r="F177" s="7"/>
      <c r="G177" s="7"/>
    </row>
    <row r="178" spans="1:7" x14ac:dyDescent="0.25">
      <c r="A178" s="7"/>
      <c r="B178" s="7"/>
      <c r="C178" s="7"/>
      <c r="D178" s="7"/>
      <c r="E178" s="7"/>
      <c r="F178" s="7"/>
      <c r="G178" s="7"/>
    </row>
    <row r="179" spans="1:7" x14ac:dyDescent="0.25">
      <c r="A179" s="7"/>
      <c r="B179" s="7"/>
      <c r="C179" s="7"/>
      <c r="D179" s="7"/>
      <c r="E179" s="7"/>
      <c r="F179" s="7"/>
      <c r="G179" s="7"/>
    </row>
    <row r="180" spans="1:7" x14ac:dyDescent="0.25">
      <c r="A180" s="7"/>
      <c r="B180" s="7"/>
      <c r="C180" s="7"/>
      <c r="D180" s="7"/>
      <c r="E180" s="7"/>
      <c r="F180" s="7"/>
      <c r="G180" s="7"/>
    </row>
    <row r="181" spans="1:7" x14ac:dyDescent="0.25">
      <c r="A181" s="7"/>
      <c r="B181" s="7"/>
      <c r="C181" s="7"/>
      <c r="D181" s="7"/>
      <c r="E181" s="7"/>
      <c r="F181" s="7"/>
      <c r="G181" s="7"/>
    </row>
    <row r="182" spans="1:7" x14ac:dyDescent="0.25">
      <c r="A182" s="7"/>
      <c r="B182" s="7"/>
      <c r="C182" s="7"/>
      <c r="D182" s="7"/>
      <c r="E182" s="7"/>
      <c r="F182" s="7"/>
      <c r="G182" s="7"/>
    </row>
    <row r="183" spans="1:7" x14ac:dyDescent="0.25">
      <c r="A183" s="7"/>
      <c r="B183" s="7"/>
      <c r="C183" s="7"/>
      <c r="D183" s="7"/>
      <c r="E183" s="7"/>
      <c r="F183" s="7"/>
      <c r="G183" s="7"/>
    </row>
    <row r="184" spans="1:7" x14ac:dyDescent="0.25">
      <c r="A184" s="7"/>
      <c r="B184" s="7"/>
      <c r="C184" s="7"/>
      <c r="D184" s="7"/>
      <c r="E184" s="7"/>
      <c r="F184" s="7"/>
      <c r="G184" s="7"/>
    </row>
    <row r="185" spans="1:7" x14ac:dyDescent="0.25">
      <c r="A185" s="7"/>
      <c r="B185" s="7"/>
      <c r="C185" s="7"/>
      <c r="D185" s="7"/>
      <c r="E185" s="7"/>
      <c r="F185" s="7"/>
      <c r="G185" s="7"/>
    </row>
    <row r="186" spans="1:7" x14ac:dyDescent="0.25">
      <c r="A186" s="7"/>
      <c r="B186" s="7"/>
      <c r="C186" s="7"/>
      <c r="D186" s="7"/>
      <c r="E186" s="7"/>
      <c r="F186" s="7"/>
      <c r="G186" s="7"/>
    </row>
    <row r="187" spans="1:7" x14ac:dyDescent="0.25">
      <c r="A187" s="7"/>
      <c r="B187" s="7"/>
      <c r="C187" s="7"/>
      <c r="D187" s="7"/>
      <c r="E187" s="7"/>
      <c r="F187" s="7"/>
      <c r="G187" s="7"/>
    </row>
    <row r="188" spans="1:7" x14ac:dyDescent="0.25">
      <c r="A188" s="7"/>
      <c r="B188" s="7"/>
      <c r="C188" s="7"/>
      <c r="D188" s="7"/>
      <c r="E188" s="7"/>
      <c r="F188" s="7"/>
      <c r="G188" s="7"/>
    </row>
    <row r="189" spans="1:7" x14ac:dyDescent="0.25">
      <c r="A189" s="7"/>
      <c r="B189" s="7"/>
      <c r="C189" s="7"/>
      <c r="D189" s="7"/>
      <c r="E189" s="7"/>
      <c r="F189" s="7"/>
      <c r="G189" s="7"/>
    </row>
    <row r="190" spans="1:7" x14ac:dyDescent="0.25">
      <c r="A190" s="7"/>
      <c r="B190" s="7"/>
      <c r="C190" s="7"/>
      <c r="D190" s="7"/>
      <c r="E190" s="7"/>
      <c r="F190" s="7"/>
      <c r="G190" s="7"/>
    </row>
    <row r="191" spans="1:7" x14ac:dyDescent="0.25">
      <c r="A191" s="7"/>
      <c r="B191" s="7"/>
      <c r="C191" s="7"/>
      <c r="D191" s="7"/>
      <c r="E191" s="7"/>
      <c r="F191" s="7"/>
      <c r="G191" s="7"/>
    </row>
    <row r="192" spans="1:7" x14ac:dyDescent="0.25">
      <c r="A192" s="7"/>
      <c r="B192" s="7"/>
      <c r="C192" s="7"/>
      <c r="D192" s="7"/>
      <c r="E192" s="7"/>
      <c r="F192" s="7"/>
      <c r="G192" s="7"/>
    </row>
    <row r="193" spans="1:7" x14ac:dyDescent="0.25">
      <c r="A193" s="7"/>
      <c r="B193" s="7"/>
      <c r="C193" s="7"/>
      <c r="D193" s="7"/>
      <c r="E193" s="7"/>
      <c r="F193" s="7"/>
      <c r="G193" s="7"/>
    </row>
    <row r="194" spans="1:7" x14ac:dyDescent="0.25">
      <c r="A194" s="7"/>
      <c r="B194" s="7"/>
      <c r="C194" s="7"/>
      <c r="D194" s="7"/>
      <c r="E194" s="7"/>
      <c r="F194" s="7"/>
      <c r="G194" s="7"/>
    </row>
    <row r="195" spans="1:7" x14ac:dyDescent="0.25">
      <c r="A195" s="7"/>
      <c r="B195" s="7"/>
      <c r="C195" s="7"/>
      <c r="D195" s="7"/>
      <c r="E195" s="7"/>
      <c r="F195" s="7"/>
      <c r="G195" s="7"/>
    </row>
    <row r="196" spans="1:7" x14ac:dyDescent="0.25">
      <c r="A196" s="7"/>
      <c r="B196" s="7"/>
      <c r="C196" s="7"/>
      <c r="D196" s="7"/>
      <c r="E196" s="7"/>
      <c r="F196" s="7"/>
      <c r="G196" s="7"/>
    </row>
    <row r="197" spans="1:7" x14ac:dyDescent="0.25">
      <c r="A197" s="7"/>
      <c r="B197" s="7"/>
      <c r="C197" s="7"/>
      <c r="D197" s="7"/>
      <c r="E197" s="7"/>
      <c r="F197" s="7"/>
      <c r="G197" s="7"/>
    </row>
    <row r="198" spans="1:7" x14ac:dyDescent="0.25">
      <c r="A198" s="7"/>
      <c r="B198" s="7"/>
      <c r="C198" s="7"/>
      <c r="D198" s="7"/>
      <c r="E198" s="7"/>
      <c r="F198" s="7"/>
      <c r="G198" s="7"/>
    </row>
    <row r="199" spans="1:7" x14ac:dyDescent="0.25">
      <c r="A199" s="7"/>
      <c r="B199" s="7"/>
      <c r="C199" s="7"/>
      <c r="D199" s="7"/>
      <c r="E199" s="7"/>
      <c r="F199" s="7"/>
      <c r="G199" s="7"/>
    </row>
    <row r="200" spans="1:7" x14ac:dyDescent="0.25">
      <c r="A200" s="7"/>
      <c r="B200" s="7"/>
      <c r="C200" s="7"/>
      <c r="D200" s="7"/>
      <c r="E200" s="7"/>
      <c r="F200" s="7"/>
      <c r="G200" s="7"/>
    </row>
    <row r="201" spans="1:7" x14ac:dyDescent="0.25">
      <c r="A201" s="7"/>
      <c r="B201" s="7"/>
      <c r="C201" s="7"/>
      <c r="D201" s="7"/>
      <c r="E201" s="7"/>
      <c r="F201" s="7"/>
      <c r="G201" s="7"/>
    </row>
    <row r="202" spans="1:7" x14ac:dyDescent="0.25">
      <c r="A202" s="7"/>
      <c r="B202" s="7"/>
      <c r="C202" s="7"/>
      <c r="D202" s="7"/>
      <c r="E202" s="7"/>
      <c r="F202" s="7"/>
      <c r="G202" s="7"/>
    </row>
    <row r="203" spans="1:7" x14ac:dyDescent="0.25">
      <c r="A203" s="7"/>
      <c r="B203" s="7"/>
      <c r="C203" s="7"/>
      <c r="D203" s="7"/>
      <c r="E203" s="7"/>
      <c r="F203" s="7"/>
      <c r="G203" s="7"/>
    </row>
    <row r="204" spans="1:7" x14ac:dyDescent="0.25">
      <c r="A204" s="7"/>
      <c r="B204" s="7"/>
      <c r="C204" s="7"/>
      <c r="D204" s="7"/>
      <c r="E204" s="7"/>
      <c r="F204" s="7"/>
      <c r="G204" s="7"/>
    </row>
    <row r="205" spans="1:7" x14ac:dyDescent="0.25">
      <c r="A205" s="7"/>
      <c r="B205" s="7"/>
      <c r="C205" s="7"/>
      <c r="D205" s="7"/>
      <c r="E205" s="7"/>
      <c r="F205" s="7"/>
      <c r="G205" s="7"/>
    </row>
    <row r="206" spans="1:7" x14ac:dyDescent="0.25">
      <c r="A206" s="7"/>
      <c r="B206" s="7"/>
      <c r="C206" s="7"/>
      <c r="D206" s="7"/>
      <c r="E206" s="7"/>
      <c r="F206" s="7"/>
      <c r="G206" s="7"/>
    </row>
    <row r="207" spans="1:7" x14ac:dyDescent="0.25">
      <c r="A207" s="7"/>
      <c r="B207" s="7"/>
      <c r="C207" s="7"/>
      <c r="D207" s="7"/>
      <c r="E207" s="7"/>
      <c r="F207" s="7"/>
      <c r="G207" s="7"/>
    </row>
    <row r="208" spans="1:7" x14ac:dyDescent="0.25">
      <c r="A208" s="7"/>
      <c r="B208" s="7"/>
      <c r="C208" s="7"/>
      <c r="D208" s="7"/>
      <c r="E208" s="7"/>
      <c r="F208" s="7"/>
      <c r="G208" s="7"/>
    </row>
    <row r="209" spans="1:7" x14ac:dyDescent="0.25">
      <c r="A209" s="7"/>
      <c r="B209" s="7"/>
      <c r="C209" s="7"/>
      <c r="D209" s="7"/>
      <c r="E209" s="7"/>
      <c r="F209" s="7"/>
      <c r="G209" s="7"/>
    </row>
    <row r="210" spans="1:7" x14ac:dyDescent="0.25">
      <c r="A210" s="7"/>
      <c r="B210" s="7"/>
      <c r="C210" s="7"/>
      <c r="D210" s="7"/>
      <c r="E210" s="7"/>
      <c r="F210" s="7"/>
      <c r="G210" s="7"/>
    </row>
    <row r="211" spans="1:7" x14ac:dyDescent="0.25">
      <c r="A211" s="7"/>
      <c r="B211" s="7"/>
      <c r="C211" s="7"/>
      <c r="D211" s="7"/>
      <c r="E211" s="7"/>
      <c r="F211" s="7"/>
      <c r="G211" s="7"/>
    </row>
    <row r="212" spans="1:7" x14ac:dyDescent="0.25">
      <c r="A212" s="7"/>
      <c r="B212" s="7"/>
      <c r="C212" s="7"/>
      <c r="D212" s="7"/>
      <c r="E212" s="7"/>
      <c r="F212" s="7"/>
      <c r="G212" s="7"/>
    </row>
    <row r="213" spans="1:7" x14ac:dyDescent="0.25">
      <c r="A213" s="7"/>
      <c r="B213" s="7"/>
      <c r="C213" s="7"/>
      <c r="D213" s="7"/>
      <c r="E213" s="7"/>
      <c r="F213" s="7"/>
      <c r="G213" s="7"/>
    </row>
    <row r="214" spans="1:7" x14ac:dyDescent="0.25">
      <c r="A214" s="7"/>
      <c r="B214" s="7"/>
      <c r="C214" s="7"/>
      <c r="D214" s="7"/>
      <c r="E214" s="7"/>
      <c r="F214" s="7"/>
      <c r="G214" s="7"/>
    </row>
    <row r="215" spans="1:7" x14ac:dyDescent="0.25">
      <c r="A215" s="7"/>
      <c r="B215" s="7"/>
      <c r="C215" s="7"/>
      <c r="D215" s="7"/>
      <c r="E215" s="7"/>
      <c r="F215" s="7"/>
      <c r="G215" s="7"/>
    </row>
    <row r="216" spans="1:7" x14ac:dyDescent="0.25">
      <c r="A216" s="7"/>
      <c r="B216" s="7"/>
      <c r="C216" s="7"/>
      <c r="D216" s="7"/>
      <c r="E216" s="7"/>
      <c r="F216" s="7"/>
      <c r="G216" s="7"/>
    </row>
    <row r="217" spans="1:7" x14ac:dyDescent="0.25">
      <c r="A217" s="7"/>
      <c r="B217" s="7"/>
      <c r="C217" s="7"/>
      <c r="D217" s="7"/>
      <c r="E217" s="7"/>
      <c r="F217" s="7"/>
      <c r="G217" s="7"/>
    </row>
    <row r="218" spans="1:7" x14ac:dyDescent="0.25">
      <c r="A218" s="7"/>
      <c r="B218" s="7"/>
      <c r="C218" s="7"/>
      <c r="D218" s="7"/>
      <c r="E218" s="7"/>
      <c r="F218" s="7"/>
      <c r="G218" s="7"/>
    </row>
    <row r="219" spans="1:7" x14ac:dyDescent="0.25">
      <c r="A219" s="7"/>
      <c r="B219" s="7"/>
      <c r="C219" s="7"/>
      <c r="D219" s="7"/>
      <c r="E219" s="7"/>
      <c r="F219" s="7"/>
      <c r="G219" s="7"/>
    </row>
    <row r="220" spans="1:7" x14ac:dyDescent="0.25">
      <c r="A220" s="7"/>
      <c r="B220" s="7"/>
      <c r="C220" s="7"/>
      <c r="D220" s="7"/>
      <c r="E220" s="7"/>
      <c r="F220" s="7"/>
      <c r="G220" s="7"/>
    </row>
    <row r="221" spans="1:7" x14ac:dyDescent="0.25">
      <c r="A221" s="7"/>
      <c r="B221" s="7"/>
      <c r="C221" s="7"/>
      <c r="D221" s="7"/>
      <c r="E221" s="7"/>
      <c r="F221" s="7"/>
      <c r="G221" s="7"/>
    </row>
    <row r="222" spans="1:7" x14ac:dyDescent="0.25">
      <c r="A222" s="7"/>
      <c r="B222" s="7"/>
      <c r="C222" s="7"/>
      <c r="D222" s="7"/>
      <c r="E222" s="7"/>
      <c r="F222" s="7"/>
      <c r="G222" s="7"/>
    </row>
    <row r="223" spans="1:7" x14ac:dyDescent="0.25">
      <c r="A223" s="7"/>
      <c r="B223" s="7"/>
      <c r="C223" s="7"/>
      <c r="D223" s="7"/>
      <c r="E223" s="7"/>
      <c r="F223" s="7"/>
      <c r="G223" s="7"/>
    </row>
    <row r="224" spans="1:7" x14ac:dyDescent="0.25">
      <c r="A224" s="7"/>
      <c r="B224" s="7"/>
      <c r="C224" s="7"/>
      <c r="D224" s="7"/>
      <c r="E224" s="7"/>
      <c r="F224" s="7"/>
      <c r="G224" s="7"/>
    </row>
    <row r="225" spans="1:7" x14ac:dyDescent="0.25">
      <c r="A225" s="7"/>
      <c r="B225" s="7"/>
      <c r="C225" s="7"/>
      <c r="D225" s="7"/>
      <c r="E225" s="7"/>
      <c r="F225" s="7"/>
      <c r="G225" s="7"/>
    </row>
    <row r="226" spans="1:7" x14ac:dyDescent="0.25">
      <c r="A226" s="7"/>
      <c r="B226" s="7"/>
      <c r="C226" s="7"/>
      <c r="D226" s="7"/>
      <c r="E226" s="7"/>
      <c r="F226" s="7"/>
      <c r="G226" s="7"/>
    </row>
    <row r="227" spans="1:7" x14ac:dyDescent="0.25">
      <c r="A227" s="7"/>
      <c r="B227" s="7"/>
      <c r="C227" s="7"/>
      <c r="D227" s="7"/>
      <c r="E227" s="7"/>
      <c r="F227" s="7"/>
      <c r="G227" s="7"/>
    </row>
    <row r="228" spans="1:7" x14ac:dyDescent="0.25">
      <c r="A228" s="7"/>
      <c r="B228" s="7"/>
      <c r="C228" s="7"/>
      <c r="D228" s="7"/>
      <c r="E228" s="7"/>
      <c r="F228" s="7"/>
      <c r="G228" s="7"/>
    </row>
    <row r="229" spans="1:7" x14ac:dyDescent="0.25">
      <c r="A229" s="7"/>
      <c r="B229" s="7"/>
      <c r="C229" s="7"/>
      <c r="D229" s="7"/>
      <c r="E229" s="7"/>
      <c r="F229" s="7"/>
      <c r="G229" s="7"/>
    </row>
    <row r="230" spans="1:7" x14ac:dyDescent="0.25">
      <c r="A230" s="7"/>
      <c r="B230" s="7"/>
      <c r="C230" s="7"/>
      <c r="D230" s="7"/>
      <c r="E230" s="7"/>
      <c r="F230" s="7"/>
      <c r="G230" s="7"/>
    </row>
    <row r="231" spans="1:7" x14ac:dyDescent="0.25">
      <c r="A231" s="7"/>
      <c r="B231" s="7"/>
      <c r="C231" s="7"/>
      <c r="D231" s="7"/>
      <c r="E231" s="7"/>
      <c r="F231" s="7"/>
      <c r="G231" s="7"/>
    </row>
    <row r="232" spans="1:7" x14ac:dyDescent="0.25">
      <c r="A232" s="7"/>
      <c r="B232" s="7"/>
      <c r="C232" s="7"/>
      <c r="D232" s="7"/>
      <c r="E232" s="7"/>
      <c r="F232" s="7"/>
      <c r="G232" s="7"/>
    </row>
    <row r="233" spans="1:7" x14ac:dyDescent="0.25">
      <c r="A233" s="7"/>
      <c r="B233" s="7"/>
      <c r="C233" s="7"/>
      <c r="D233" s="7"/>
      <c r="E233" s="7"/>
      <c r="F233" s="7"/>
      <c r="G233" s="7"/>
    </row>
    <row r="234" spans="1:7" x14ac:dyDescent="0.25">
      <c r="A234" s="7"/>
      <c r="B234" s="7"/>
      <c r="C234" s="7"/>
      <c r="D234" s="7"/>
      <c r="E234" s="7"/>
      <c r="F234" s="7"/>
      <c r="G234" s="7"/>
    </row>
    <row r="235" spans="1:7" x14ac:dyDescent="0.25">
      <c r="A235" s="7"/>
      <c r="B235" s="7"/>
      <c r="C235" s="7"/>
      <c r="D235" s="7"/>
      <c r="E235" s="7"/>
      <c r="F235" s="7"/>
      <c r="G235" s="7"/>
    </row>
    <row r="236" spans="1:7" x14ac:dyDescent="0.25">
      <c r="A236" s="7"/>
      <c r="B236" s="7"/>
      <c r="C236" s="7"/>
      <c r="D236" s="7"/>
      <c r="E236" s="7"/>
      <c r="F236" s="7"/>
      <c r="G236" s="7"/>
    </row>
    <row r="237" spans="1:7" x14ac:dyDescent="0.25">
      <c r="A237" s="7"/>
      <c r="B237" s="7"/>
      <c r="C237" s="7"/>
      <c r="D237" s="7"/>
      <c r="E237" s="7"/>
      <c r="F237" s="7"/>
      <c r="G237" s="7"/>
    </row>
    <row r="238" spans="1:7" x14ac:dyDescent="0.25">
      <c r="A238" s="7"/>
      <c r="B238" s="7"/>
      <c r="C238" s="7"/>
      <c r="D238" s="7"/>
      <c r="E238" s="7"/>
      <c r="F238" s="7"/>
      <c r="G238" s="7"/>
    </row>
    <row r="239" spans="1:7" x14ac:dyDescent="0.25">
      <c r="A239" s="7"/>
      <c r="B239" s="7"/>
      <c r="C239" s="7"/>
      <c r="D239" s="7"/>
      <c r="E239" s="7"/>
      <c r="F239" s="7"/>
      <c r="G239" s="7"/>
    </row>
    <row r="240" spans="1:7" x14ac:dyDescent="0.25">
      <c r="A240" s="7"/>
      <c r="B240" s="7"/>
      <c r="C240" s="7"/>
      <c r="D240" s="7"/>
      <c r="E240" s="7"/>
      <c r="F240" s="7"/>
      <c r="G240" s="7"/>
    </row>
    <row r="241" spans="1:7" x14ac:dyDescent="0.25">
      <c r="A241" s="7"/>
      <c r="B241" s="7"/>
      <c r="C241" s="7"/>
      <c r="D241" s="7"/>
      <c r="E241" s="7"/>
      <c r="F241" s="7"/>
      <c r="G241" s="7"/>
    </row>
    <row r="242" spans="1:7" x14ac:dyDescent="0.25">
      <c r="A242" s="7"/>
      <c r="B242" s="7"/>
      <c r="C242" s="7"/>
      <c r="D242" s="7"/>
      <c r="E242" s="7"/>
      <c r="F242" s="7"/>
      <c r="G242" s="7"/>
    </row>
    <row r="243" spans="1:7" x14ac:dyDescent="0.25">
      <c r="A243" s="7"/>
      <c r="B243" s="7"/>
      <c r="C243" s="7"/>
      <c r="D243" s="7"/>
      <c r="E243" s="7"/>
      <c r="F243" s="7"/>
      <c r="G243" s="7"/>
    </row>
    <row r="244" spans="1:7" x14ac:dyDescent="0.25">
      <c r="A244" s="7"/>
      <c r="B244" s="7"/>
      <c r="C244" s="7"/>
      <c r="D244" s="7"/>
      <c r="E244" s="7"/>
      <c r="F244" s="7"/>
      <c r="G244" s="7"/>
    </row>
    <row r="245" spans="1:7" x14ac:dyDescent="0.25">
      <c r="A245" s="7"/>
      <c r="B245" s="7"/>
      <c r="C245" s="7"/>
      <c r="D245" s="7"/>
      <c r="E245" s="7"/>
      <c r="F245" s="7"/>
      <c r="G245" s="7"/>
    </row>
    <row r="246" spans="1:7" x14ac:dyDescent="0.25">
      <c r="A246" s="7"/>
      <c r="B246" s="7"/>
      <c r="C246" s="7"/>
      <c r="D246" s="7"/>
      <c r="E246" s="7"/>
      <c r="F246" s="7"/>
      <c r="G246" s="7"/>
    </row>
    <row r="247" spans="1:7" x14ac:dyDescent="0.25">
      <c r="A247" s="7"/>
      <c r="B247" s="7"/>
      <c r="C247" s="7"/>
      <c r="D247" s="7"/>
      <c r="E247" s="7"/>
      <c r="F247" s="7"/>
      <c r="G247" s="7"/>
    </row>
    <row r="248" spans="1:7" x14ac:dyDescent="0.25">
      <c r="A248" s="7"/>
      <c r="B248" s="7"/>
      <c r="C248" s="7"/>
      <c r="D248" s="7"/>
      <c r="E248" s="7"/>
      <c r="F248" s="7"/>
      <c r="G248" s="7"/>
    </row>
    <row r="249" spans="1:7" x14ac:dyDescent="0.25">
      <c r="A249" s="7"/>
      <c r="B249" s="7"/>
      <c r="C249" s="7"/>
      <c r="D249" s="7"/>
      <c r="E249" s="7"/>
      <c r="F249" s="7"/>
      <c r="G249" s="7"/>
    </row>
    <row r="250" spans="1:7" x14ac:dyDescent="0.25">
      <c r="A250" s="7"/>
      <c r="B250" s="7"/>
      <c r="C250" s="7"/>
      <c r="D250" s="7"/>
      <c r="E250" s="7"/>
      <c r="F250" s="7"/>
      <c r="G250" s="7"/>
    </row>
    <row r="251" spans="1:7" x14ac:dyDescent="0.25">
      <c r="A251" s="7"/>
      <c r="B251" s="7"/>
      <c r="C251" s="7"/>
      <c r="D251" s="7"/>
      <c r="E251" s="7"/>
      <c r="F251" s="7"/>
      <c r="G251" s="7"/>
    </row>
    <row r="252" spans="1:7" x14ac:dyDescent="0.25">
      <c r="A252" s="7"/>
      <c r="B252" s="7"/>
      <c r="C252" s="7"/>
      <c r="D252" s="7"/>
      <c r="E252" s="7"/>
      <c r="F252" s="7"/>
      <c r="G252" s="7"/>
    </row>
    <row r="253" spans="1:7" x14ac:dyDescent="0.25">
      <c r="A253" s="7"/>
      <c r="B253" s="7"/>
      <c r="C253" s="7"/>
      <c r="D253" s="7"/>
      <c r="E253" s="7"/>
      <c r="F253" s="7"/>
      <c r="G253" s="7"/>
    </row>
    <row r="254" spans="1:7" x14ac:dyDescent="0.25">
      <c r="A254" s="7"/>
      <c r="B254" s="7"/>
      <c r="C254" s="7"/>
      <c r="D254" s="7"/>
      <c r="E254" s="7"/>
      <c r="F254" s="7"/>
      <c r="G254" s="7"/>
    </row>
    <row r="255" spans="1:7" x14ac:dyDescent="0.25">
      <c r="A255" s="7"/>
      <c r="B255" s="7"/>
      <c r="C255" s="7"/>
      <c r="D255" s="7"/>
      <c r="E255" s="7"/>
      <c r="F255" s="7"/>
      <c r="G255" s="7"/>
    </row>
    <row r="256" spans="1:7" x14ac:dyDescent="0.25">
      <c r="A256" s="7"/>
      <c r="B256" s="7"/>
      <c r="C256" s="7"/>
      <c r="D256" s="7"/>
      <c r="E256" s="7"/>
      <c r="F256" s="7"/>
      <c r="G256" s="7"/>
    </row>
    <row r="257" spans="1:7" x14ac:dyDescent="0.25">
      <c r="A257" s="7"/>
      <c r="B257" s="7"/>
      <c r="C257" s="7"/>
      <c r="D257" s="7"/>
      <c r="E257" s="7"/>
      <c r="F257" s="7"/>
      <c r="G257" s="7"/>
    </row>
    <row r="258" spans="1:7" x14ac:dyDescent="0.25">
      <c r="A258" s="7"/>
      <c r="B258" s="7"/>
      <c r="C258" s="7"/>
      <c r="D258" s="7"/>
      <c r="E258" s="7"/>
      <c r="F258" s="7"/>
      <c r="G258" s="7"/>
    </row>
    <row r="259" spans="1:7" x14ac:dyDescent="0.25">
      <c r="A259" s="7"/>
      <c r="B259" s="7"/>
      <c r="C259" s="7"/>
      <c r="D259" s="7"/>
      <c r="E259" s="7"/>
      <c r="F259" s="7"/>
      <c r="G259" s="7"/>
    </row>
    <row r="260" spans="1:7" x14ac:dyDescent="0.25">
      <c r="A260" s="7"/>
      <c r="B260" s="7"/>
      <c r="C260" s="7"/>
      <c r="D260" s="7"/>
      <c r="E260" s="7"/>
      <c r="F260" s="7"/>
      <c r="G260" s="7"/>
    </row>
    <row r="261" spans="1:7" x14ac:dyDescent="0.25">
      <c r="A261" s="7"/>
      <c r="B261" s="7"/>
      <c r="C261" s="7"/>
      <c r="D261" s="7"/>
      <c r="E261" s="7"/>
      <c r="F261" s="7"/>
      <c r="G261" s="7"/>
    </row>
    <row r="262" spans="1:7" x14ac:dyDescent="0.25">
      <c r="A262" s="7"/>
      <c r="B262" s="7"/>
      <c r="C262" s="7"/>
      <c r="D262" s="7"/>
      <c r="E262" s="7"/>
      <c r="F262" s="7"/>
      <c r="G262" s="7"/>
    </row>
    <row r="263" spans="1:7" x14ac:dyDescent="0.25">
      <c r="A263" s="7"/>
      <c r="B263" s="7"/>
      <c r="C263" s="7"/>
      <c r="D263" s="7"/>
      <c r="E263" s="7"/>
      <c r="F263" s="7"/>
      <c r="G263" s="7"/>
    </row>
    <row r="264" spans="1:7" x14ac:dyDescent="0.25">
      <c r="A264" s="7"/>
      <c r="B264" s="7"/>
      <c r="C264" s="7"/>
      <c r="D264" s="7"/>
      <c r="E264" s="7"/>
      <c r="F264" s="7"/>
      <c r="G264" s="7"/>
    </row>
    <row r="265" spans="1:7" x14ac:dyDescent="0.25">
      <c r="A265" s="7"/>
      <c r="B265" s="7"/>
      <c r="C265" s="7"/>
      <c r="D265" s="7"/>
      <c r="E265" s="7"/>
      <c r="F265" s="7"/>
      <c r="G265" s="7"/>
    </row>
    <row r="266" spans="1:7" x14ac:dyDescent="0.25">
      <c r="A266" s="7"/>
      <c r="B266" s="7"/>
      <c r="C266" s="7"/>
      <c r="D266" s="7"/>
      <c r="E266" s="7"/>
      <c r="F266" s="7"/>
      <c r="G266" s="7"/>
    </row>
    <row r="267" spans="1:7" x14ac:dyDescent="0.25">
      <c r="A267" s="7"/>
      <c r="B267" s="7"/>
      <c r="C267" s="7"/>
      <c r="D267" s="7"/>
      <c r="E267" s="7"/>
      <c r="F267" s="7"/>
      <c r="G267" s="7"/>
    </row>
    <row r="268" spans="1:7" x14ac:dyDescent="0.25">
      <c r="A268" s="7"/>
      <c r="B268" s="7"/>
      <c r="C268" s="7"/>
      <c r="D268" s="7"/>
      <c r="E268" s="7"/>
      <c r="F268" s="7"/>
      <c r="G268" s="7"/>
    </row>
    <row r="269" spans="1:7" x14ac:dyDescent="0.25">
      <c r="A269" s="7"/>
      <c r="B269" s="7"/>
      <c r="C269" s="7"/>
      <c r="D269" s="7"/>
      <c r="E269" s="7"/>
      <c r="F269" s="7"/>
      <c r="G269" s="7"/>
    </row>
    <row r="270" spans="1:7" x14ac:dyDescent="0.25">
      <c r="A270" s="7"/>
      <c r="B270" s="7"/>
      <c r="C270" s="7"/>
      <c r="D270" s="7"/>
      <c r="E270" s="7"/>
      <c r="F270" s="7"/>
      <c r="G270" s="7"/>
    </row>
    <row r="271" spans="1:7" x14ac:dyDescent="0.25">
      <c r="A271" s="7"/>
      <c r="B271" s="7"/>
      <c r="C271" s="7"/>
      <c r="D271" s="7"/>
      <c r="E271" s="7"/>
      <c r="F271" s="7"/>
      <c r="G271" s="7"/>
    </row>
    <row r="272" spans="1:7" x14ac:dyDescent="0.25">
      <c r="A272" s="7"/>
      <c r="B272" s="7"/>
      <c r="C272" s="7"/>
      <c r="D272" s="7"/>
      <c r="E272" s="7"/>
      <c r="F272" s="7"/>
      <c r="G272" s="7"/>
    </row>
    <row r="273" spans="1:7" x14ac:dyDescent="0.25">
      <c r="A273" s="7"/>
      <c r="B273" s="7"/>
      <c r="C273" s="7"/>
      <c r="D273" s="7"/>
      <c r="E273" s="7"/>
      <c r="F273" s="7"/>
      <c r="G273" s="7"/>
    </row>
    <row r="274" spans="1:7" x14ac:dyDescent="0.25">
      <c r="A274" s="7"/>
      <c r="B274" s="7"/>
      <c r="C274" s="7"/>
      <c r="D274" s="7"/>
      <c r="E274" s="7"/>
      <c r="F274" s="7"/>
      <c r="G274" s="7"/>
    </row>
    <row r="275" spans="1:7" x14ac:dyDescent="0.25">
      <c r="A275" s="7"/>
      <c r="B275" s="7"/>
      <c r="C275" s="7"/>
      <c r="D275" s="7"/>
      <c r="E275" s="7"/>
      <c r="F275" s="7"/>
      <c r="G275" s="7"/>
    </row>
    <row r="276" spans="1:7" x14ac:dyDescent="0.25">
      <c r="A276" s="7"/>
      <c r="B276" s="7"/>
      <c r="C276" s="7"/>
      <c r="D276" s="7"/>
      <c r="E276" s="7"/>
      <c r="F276" s="7"/>
      <c r="G276" s="7"/>
    </row>
    <row r="277" spans="1:7" x14ac:dyDescent="0.25">
      <c r="A277" s="7"/>
      <c r="B277" s="7"/>
      <c r="C277" s="7"/>
      <c r="D277" s="7"/>
      <c r="E277" s="7"/>
      <c r="F277" s="7"/>
      <c r="G277" s="7"/>
    </row>
    <row r="278" spans="1:7" x14ac:dyDescent="0.25">
      <c r="A278" s="7"/>
      <c r="B278" s="7"/>
      <c r="C278" s="7"/>
      <c r="D278" s="7"/>
      <c r="E278" s="7"/>
      <c r="F278" s="7"/>
      <c r="G278" s="7"/>
    </row>
    <row r="279" spans="1:7" x14ac:dyDescent="0.25">
      <c r="A279" s="7"/>
      <c r="B279" s="7"/>
      <c r="C279" s="7"/>
      <c r="D279" s="7"/>
      <c r="E279" s="7"/>
      <c r="F279" s="7"/>
      <c r="G279" s="7"/>
    </row>
    <row r="280" spans="1:7" x14ac:dyDescent="0.25">
      <c r="A280" s="7"/>
      <c r="B280" s="7"/>
      <c r="C280" s="7"/>
      <c r="D280" s="7"/>
      <c r="E280" s="7"/>
      <c r="F280" s="7"/>
      <c r="G280" s="7"/>
    </row>
    <row r="281" spans="1:7" x14ac:dyDescent="0.25">
      <c r="A281" s="7"/>
      <c r="B281" s="7"/>
      <c r="C281" s="7"/>
      <c r="D281" s="7"/>
      <c r="E281" s="7"/>
      <c r="F281" s="7"/>
      <c r="G281" s="7"/>
    </row>
    <row r="282" spans="1:7" x14ac:dyDescent="0.25">
      <c r="A282" s="7"/>
      <c r="B282" s="7"/>
      <c r="C282" s="7"/>
      <c r="D282" s="7"/>
      <c r="E282" s="7"/>
      <c r="F282" s="7"/>
      <c r="G282" s="7"/>
    </row>
    <row r="283" spans="1:7" x14ac:dyDescent="0.25">
      <c r="A283" s="7"/>
      <c r="B283" s="7"/>
      <c r="C283" s="7"/>
      <c r="D283" s="7"/>
      <c r="E283" s="7"/>
      <c r="F283" s="7"/>
      <c r="G283" s="7"/>
    </row>
    <row r="284" spans="1:7" x14ac:dyDescent="0.25">
      <c r="A284" s="7"/>
      <c r="B284" s="7"/>
      <c r="C284" s="7"/>
      <c r="D284" s="7"/>
      <c r="E284" s="7"/>
      <c r="F284" s="7"/>
      <c r="G284" s="7"/>
    </row>
    <row r="285" spans="1:7" x14ac:dyDescent="0.25">
      <c r="A285" s="7"/>
      <c r="B285" s="7"/>
      <c r="C285" s="7"/>
      <c r="D285" s="7"/>
      <c r="E285" s="7"/>
      <c r="F285" s="7"/>
      <c r="G285" s="7"/>
    </row>
    <row r="286" spans="1:7" x14ac:dyDescent="0.25">
      <c r="A286" s="7"/>
      <c r="B286" s="7"/>
      <c r="C286" s="7"/>
      <c r="D286" s="7"/>
      <c r="E286" s="7"/>
      <c r="F286" s="7"/>
      <c r="G286" s="7"/>
    </row>
    <row r="287" spans="1:7" x14ac:dyDescent="0.25">
      <c r="A287" s="7"/>
      <c r="B287" s="7"/>
      <c r="C287" s="7"/>
      <c r="D287" s="7"/>
      <c r="E287" s="7"/>
      <c r="F287" s="7"/>
      <c r="G287" s="7"/>
    </row>
    <row r="288" spans="1:7" x14ac:dyDescent="0.25">
      <c r="A288" s="7"/>
      <c r="B288" s="7"/>
      <c r="C288" s="7"/>
      <c r="D288" s="7"/>
      <c r="E288" s="7"/>
      <c r="F288" s="7"/>
      <c r="G288" s="7"/>
    </row>
    <row r="289" spans="1:7" x14ac:dyDescent="0.25">
      <c r="A289" s="7"/>
      <c r="B289" s="7"/>
      <c r="C289" s="7"/>
      <c r="D289" s="7"/>
      <c r="E289" s="7"/>
      <c r="F289" s="7"/>
      <c r="G289" s="7"/>
    </row>
    <row r="290" spans="1:7" x14ac:dyDescent="0.25">
      <c r="A290" s="7"/>
      <c r="B290" s="7"/>
      <c r="C290" s="7"/>
      <c r="D290" s="7"/>
      <c r="E290" s="7"/>
      <c r="F290" s="7"/>
      <c r="G290" s="7"/>
    </row>
    <row r="291" spans="1:7" x14ac:dyDescent="0.25">
      <c r="A291" s="7"/>
      <c r="B291" s="7"/>
      <c r="C291" s="7"/>
      <c r="D291" s="7"/>
      <c r="E291" s="7"/>
      <c r="F291" s="7"/>
      <c r="G291" s="7"/>
    </row>
    <row r="292" spans="1:7" x14ac:dyDescent="0.25">
      <c r="A292" s="7"/>
      <c r="B292" s="7"/>
      <c r="C292" s="7"/>
      <c r="D292" s="7"/>
      <c r="E292" s="7"/>
      <c r="F292" s="7"/>
      <c r="G292" s="7"/>
    </row>
    <row r="293" spans="1:7" x14ac:dyDescent="0.25">
      <c r="A293" s="7"/>
      <c r="B293" s="7"/>
      <c r="C293" s="7"/>
      <c r="D293" s="7"/>
      <c r="E293" s="7"/>
      <c r="F293" s="7"/>
      <c r="G293" s="7"/>
    </row>
    <row r="294" spans="1:7" x14ac:dyDescent="0.25">
      <c r="A294" s="7"/>
      <c r="B294" s="7"/>
      <c r="C294" s="7"/>
      <c r="D294" s="7"/>
      <c r="E294" s="7"/>
      <c r="F294" s="7"/>
      <c r="G294" s="7"/>
    </row>
    <row r="295" spans="1:7" x14ac:dyDescent="0.25">
      <c r="A295" s="7"/>
      <c r="B295" s="7"/>
      <c r="C295" s="7"/>
      <c r="D295" s="7"/>
      <c r="E295" s="7"/>
      <c r="F295" s="7"/>
      <c r="G295" s="7"/>
    </row>
    <row r="296" spans="1:7" x14ac:dyDescent="0.25">
      <c r="A296" s="7"/>
      <c r="B296" s="7"/>
      <c r="C296" s="7"/>
      <c r="D296" s="7"/>
      <c r="E296" s="7"/>
      <c r="F296" s="7"/>
      <c r="G296" s="7"/>
    </row>
    <row r="297" spans="1:7" x14ac:dyDescent="0.25">
      <c r="A297" s="7"/>
      <c r="B297" s="7"/>
      <c r="C297" s="7"/>
      <c r="D297" s="7"/>
      <c r="E297" s="7"/>
      <c r="F297" s="7"/>
      <c r="G297" s="7"/>
    </row>
    <row r="298" spans="1:7" x14ac:dyDescent="0.25">
      <c r="A298" s="7"/>
      <c r="B298" s="7"/>
      <c r="C298" s="7"/>
      <c r="D298" s="7"/>
      <c r="E298" s="7"/>
      <c r="F298" s="7"/>
      <c r="G298" s="7"/>
    </row>
    <row r="299" spans="1:7" x14ac:dyDescent="0.25">
      <c r="A299" s="7"/>
      <c r="B299" s="7"/>
      <c r="C299" s="7"/>
      <c r="D299" s="7"/>
      <c r="E299" s="7"/>
      <c r="F299" s="7"/>
      <c r="G299" s="7"/>
    </row>
    <row r="300" spans="1:7" x14ac:dyDescent="0.25">
      <c r="A300" s="7"/>
      <c r="B300" s="7"/>
      <c r="C300" s="7"/>
      <c r="D300" s="7"/>
      <c r="E300" s="7"/>
      <c r="F300" s="7"/>
      <c r="G300" s="7"/>
    </row>
    <row r="301" spans="1:7" x14ac:dyDescent="0.25">
      <c r="A301" s="7"/>
      <c r="B301" s="7"/>
      <c r="C301" s="7"/>
      <c r="D301" s="7"/>
      <c r="E301" s="7"/>
      <c r="F301" s="7"/>
      <c r="G301" s="7"/>
    </row>
    <row r="302" spans="1:7" x14ac:dyDescent="0.25">
      <c r="A302" s="7"/>
      <c r="B302" s="7"/>
      <c r="C302" s="7"/>
      <c r="D302" s="7"/>
      <c r="E302" s="7"/>
      <c r="F302" s="7"/>
      <c r="G302" s="7"/>
    </row>
    <row r="303" spans="1:7" x14ac:dyDescent="0.25">
      <c r="A303" s="7"/>
      <c r="B303" s="7"/>
      <c r="C303" s="7"/>
      <c r="D303" s="7"/>
      <c r="E303" s="7"/>
      <c r="F303" s="7"/>
      <c r="G303" s="7"/>
    </row>
    <row r="304" spans="1:7" x14ac:dyDescent="0.25">
      <c r="A304" s="7"/>
      <c r="B304" s="7"/>
      <c r="C304" s="7"/>
      <c r="D304" s="7"/>
      <c r="E304" s="7"/>
      <c r="F304" s="7"/>
      <c r="G304" s="7"/>
    </row>
    <row r="305" spans="1:7" x14ac:dyDescent="0.25">
      <c r="A305" s="7"/>
      <c r="B305" s="7"/>
      <c r="C305" s="7"/>
      <c r="D305" s="7"/>
      <c r="E305" s="7"/>
      <c r="F305" s="7"/>
      <c r="G305" s="7"/>
    </row>
    <row r="306" spans="1:7" x14ac:dyDescent="0.25">
      <c r="A306" s="7"/>
      <c r="B306" s="7"/>
      <c r="C306" s="7"/>
      <c r="D306" s="7"/>
      <c r="E306" s="7"/>
      <c r="F306" s="7"/>
      <c r="G306" s="7"/>
    </row>
    <row r="307" spans="1:7" x14ac:dyDescent="0.25">
      <c r="A307" s="7"/>
      <c r="B307" s="7"/>
      <c r="C307" s="7"/>
      <c r="D307" s="7"/>
      <c r="E307" s="7"/>
      <c r="F307" s="7"/>
      <c r="G307" s="7"/>
    </row>
    <row r="308" spans="1:7" x14ac:dyDescent="0.25">
      <c r="A308" s="7"/>
      <c r="B308" s="7"/>
      <c r="C308" s="7"/>
      <c r="D308" s="7"/>
      <c r="E308" s="7"/>
      <c r="F308" s="7"/>
      <c r="G308" s="7"/>
    </row>
    <row r="309" spans="1:7" x14ac:dyDescent="0.25">
      <c r="A309" s="7"/>
      <c r="B309" s="7"/>
      <c r="C309" s="7"/>
      <c r="D309" s="7"/>
      <c r="E309" s="7"/>
      <c r="F309" s="7"/>
      <c r="G309" s="7"/>
    </row>
    <row r="310" spans="1:7" x14ac:dyDescent="0.25">
      <c r="A310" s="7"/>
      <c r="B310" s="7"/>
      <c r="C310" s="7"/>
      <c r="D310" s="7"/>
      <c r="E310" s="7"/>
      <c r="F310" s="7"/>
      <c r="G310" s="7"/>
    </row>
    <row r="311" spans="1:7" x14ac:dyDescent="0.25">
      <c r="A311" s="7"/>
      <c r="B311" s="7"/>
      <c r="C311" s="7"/>
      <c r="D311" s="7"/>
      <c r="E311" s="7"/>
      <c r="F311" s="7"/>
      <c r="G311" s="7"/>
    </row>
    <row r="312" spans="1:7" x14ac:dyDescent="0.25">
      <c r="A312" s="7"/>
      <c r="B312" s="7"/>
      <c r="C312" s="7"/>
      <c r="D312" s="7"/>
      <c r="E312" s="7"/>
      <c r="F312" s="7"/>
      <c r="G312" s="7"/>
    </row>
    <row r="313" spans="1:7" x14ac:dyDescent="0.25">
      <c r="A313" s="7"/>
      <c r="B313" s="7"/>
      <c r="C313" s="7"/>
      <c r="D313" s="7"/>
      <c r="E313" s="7"/>
      <c r="F313" s="7"/>
      <c r="G313" s="7"/>
    </row>
    <row r="314" spans="1:7" x14ac:dyDescent="0.25">
      <c r="A314" s="7"/>
      <c r="B314" s="7"/>
      <c r="C314" s="7"/>
      <c r="D314" s="7"/>
      <c r="E314" s="7"/>
      <c r="F314" s="7"/>
      <c r="G314" s="7"/>
    </row>
    <row r="315" spans="1:7" x14ac:dyDescent="0.25">
      <c r="A315" s="7"/>
      <c r="B315" s="7"/>
      <c r="C315" s="7"/>
      <c r="D315" s="7"/>
      <c r="E315" s="7"/>
      <c r="F315" s="7"/>
      <c r="G315" s="7"/>
    </row>
    <row r="316" spans="1:7" x14ac:dyDescent="0.25">
      <c r="A316" s="7"/>
      <c r="B316" s="7"/>
      <c r="C316" s="7"/>
      <c r="D316" s="7"/>
      <c r="E316" s="7"/>
      <c r="F316" s="7"/>
      <c r="G316" s="7"/>
    </row>
    <row r="317" spans="1:7" x14ac:dyDescent="0.25">
      <c r="A317" s="7"/>
      <c r="B317" s="7"/>
      <c r="C317" s="7"/>
      <c r="D317" s="7"/>
      <c r="E317" s="7"/>
      <c r="F317" s="7"/>
      <c r="G317" s="7"/>
    </row>
    <row r="318" spans="1:7" x14ac:dyDescent="0.25">
      <c r="A318" s="7"/>
      <c r="B318" s="7"/>
      <c r="C318" s="7"/>
      <c r="D318" s="7"/>
      <c r="E318" s="7"/>
      <c r="F318" s="7"/>
      <c r="G318" s="7"/>
    </row>
    <row r="319" spans="1:7" x14ac:dyDescent="0.25">
      <c r="A319" s="7"/>
      <c r="B319" s="7"/>
      <c r="C319" s="7"/>
      <c r="D319" s="7"/>
      <c r="E319" s="7"/>
      <c r="F319" s="7"/>
      <c r="G319" s="7"/>
    </row>
    <row r="320" spans="1:7" x14ac:dyDescent="0.25">
      <c r="A320" s="7"/>
      <c r="B320" s="7"/>
      <c r="C320" s="7"/>
      <c r="D320" s="7"/>
      <c r="E320" s="7"/>
      <c r="F320" s="7"/>
      <c r="G320" s="7"/>
    </row>
    <row r="321" spans="1:7" x14ac:dyDescent="0.25">
      <c r="A321" s="7"/>
      <c r="B321" s="7"/>
      <c r="C321" s="7"/>
      <c r="D321" s="7"/>
      <c r="E321" s="7"/>
      <c r="F321" s="7"/>
      <c r="G321" s="7"/>
    </row>
    <row r="322" spans="1:7" x14ac:dyDescent="0.25">
      <c r="A322" s="7"/>
      <c r="B322" s="7"/>
      <c r="C322" s="7"/>
      <c r="D322" s="7"/>
      <c r="E322" s="7"/>
      <c r="F322" s="7"/>
      <c r="G322" s="7"/>
    </row>
    <row r="323" spans="1:7" x14ac:dyDescent="0.25">
      <c r="A323" s="7"/>
      <c r="B323" s="7"/>
      <c r="C323" s="7"/>
      <c r="D323" s="7"/>
      <c r="E323" s="7"/>
      <c r="F323" s="7"/>
      <c r="G323" s="7"/>
    </row>
    <row r="324" spans="1:7" x14ac:dyDescent="0.25">
      <c r="A324" s="7"/>
      <c r="B324" s="7"/>
      <c r="C324" s="7"/>
      <c r="D324" s="7"/>
      <c r="E324" s="7"/>
      <c r="F324" s="7"/>
      <c r="G324" s="7"/>
    </row>
    <row r="325" spans="1:7" x14ac:dyDescent="0.25">
      <c r="A325" s="7"/>
      <c r="B325" s="7"/>
      <c r="C325" s="7"/>
      <c r="D325" s="7"/>
      <c r="E325" s="7"/>
      <c r="F325" s="7"/>
      <c r="G325" s="7"/>
    </row>
    <row r="326" spans="1:7" x14ac:dyDescent="0.25">
      <c r="A326" s="7"/>
      <c r="B326" s="7"/>
      <c r="C326" s="7"/>
      <c r="D326" s="7"/>
      <c r="E326" s="7"/>
      <c r="F326" s="7"/>
      <c r="G326" s="7"/>
    </row>
    <row r="327" spans="1:7" x14ac:dyDescent="0.25">
      <c r="A327" s="7"/>
      <c r="B327" s="7"/>
      <c r="C327" s="7"/>
      <c r="D327" s="7"/>
      <c r="E327" s="7"/>
      <c r="F327" s="7"/>
      <c r="G327" s="7"/>
    </row>
    <row r="328" spans="1:7" x14ac:dyDescent="0.25">
      <c r="A328" s="7"/>
      <c r="B328" s="7"/>
      <c r="C328" s="7"/>
      <c r="D328" s="7"/>
      <c r="E328" s="7"/>
      <c r="F328" s="7"/>
      <c r="G328" s="7"/>
    </row>
    <row r="329" spans="1:7" x14ac:dyDescent="0.25">
      <c r="A329" s="7"/>
      <c r="B329" s="7"/>
      <c r="C329" s="7"/>
      <c r="D329" s="7"/>
      <c r="E329" s="7"/>
      <c r="F329" s="7"/>
      <c r="G329" s="7"/>
    </row>
    <row r="330" spans="1:7" x14ac:dyDescent="0.25">
      <c r="A330" s="7"/>
      <c r="B330" s="7"/>
      <c r="C330" s="7"/>
      <c r="D330" s="7"/>
      <c r="E330" s="7"/>
      <c r="F330" s="7"/>
      <c r="G330" s="7"/>
    </row>
    <row r="331" spans="1:7" x14ac:dyDescent="0.25">
      <c r="A331" s="7"/>
      <c r="B331" s="7"/>
      <c r="C331" s="7"/>
      <c r="D331" s="7"/>
      <c r="E331" s="7"/>
      <c r="F331" s="7"/>
      <c r="G331" s="7"/>
    </row>
    <row r="332" spans="1:7" x14ac:dyDescent="0.25">
      <c r="A332" s="7"/>
      <c r="B332" s="7"/>
      <c r="C332" s="7"/>
      <c r="D332" s="7"/>
      <c r="E332" s="7"/>
      <c r="F332" s="7"/>
      <c r="G332" s="7"/>
    </row>
    <row r="333" spans="1:7" x14ac:dyDescent="0.25">
      <c r="A333" s="7"/>
      <c r="B333" s="7"/>
      <c r="C333" s="7"/>
      <c r="D333" s="7"/>
      <c r="E333" s="7"/>
      <c r="F333" s="7"/>
      <c r="G333" s="7"/>
    </row>
    <row r="334" spans="1:7" x14ac:dyDescent="0.25">
      <c r="A334" s="7"/>
      <c r="B334" s="7"/>
      <c r="C334" s="7"/>
      <c r="D334" s="7"/>
      <c r="E334" s="7"/>
      <c r="F334" s="7"/>
      <c r="G334" s="7"/>
    </row>
    <row r="335" spans="1:7" x14ac:dyDescent="0.25">
      <c r="A335" s="7"/>
      <c r="B335" s="7"/>
      <c r="C335" s="7"/>
      <c r="D335" s="7"/>
      <c r="E335" s="7"/>
      <c r="F335" s="7"/>
      <c r="G335" s="7"/>
    </row>
    <row r="336" spans="1:7" x14ac:dyDescent="0.25">
      <c r="A336" s="7"/>
      <c r="B336" s="7"/>
      <c r="C336" s="7"/>
      <c r="D336" s="7"/>
      <c r="E336" s="7"/>
      <c r="F336" s="7"/>
      <c r="G336" s="7"/>
    </row>
    <row r="337" spans="1:7" x14ac:dyDescent="0.25">
      <c r="A337" s="7"/>
      <c r="B337" s="7"/>
      <c r="C337" s="7"/>
      <c r="D337" s="7"/>
      <c r="E337" s="7"/>
      <c r="F337" s="7"/>
      <c r="G337" s="7"/>
    </row>
    <row r="338" spans="1:7" x14ac:dyDescent="0.25">
      <c r="A338" s="7"/>
      <c r="B338" s="7"/>
      <c r="C338" s="7"/>
      <c r="D338" s="7"/>
      <c r="E338" s="7"/>
      <c r="F338" s="7"/>
      <c r="G338" s="7"/>
    </row>
    <row r="339" spans="1:7" x14ac:dyDescent="0.25">
      <c r="A339" s="7"/>
      <c r="B339" s="7"/>
      <c r="C339" s="7"/>
      <c r="D339" s="7"/>
      <c r="E339" s="7"/>
      <c r="F339" s="7"/>
      <c r="G339" s="7"/>
    </row>
    <row r="340" spans="1:7" x14ac:dyDescent="0.25">
      <c r="A340" s="7"/>
      <c r="B340" s="7"/>
      <c r="C340" s="7"/>
      <c r="D340" s="7"/>
      <c r="E340" s="7"/>
      <c r="F340" s="7"/>
      <c r="G340" s="7"/>
    </row>
    <row r="341" spans="1:7" x14ac:dyDescent="0.25">
      <c r="A341" s="7"/>
      <c r="B341" s="7"/>
      <c r="C341" s="7"/>
      <c r="D341" s="7"/>
      <c r="E341" s="7"/>
      <c r="F341" s="7"/>
      <c r="G341" s="7"/>
    </row>
    <row r="342" spans="1:7" x14ac:dyDescent="0.25">
      <c r="A342" s="7"/>
      <c r="B342" s="7"/>
      <c r="C342" s="7"/>
      <c r="D342" s="7"/>
      <c r="E342" s="7"/>
      <c r="F342" s="7"/>
      <c r="G342" s="7"/>
    </row>
    <row r="343" spans="1:7" x14ac:dyDescent="0.25">
      <c r="A343" s="7"/>
      <c r="B343" s="7"/>
      <c r="C343" s="7"/>
      <c r="D343" s="7"/>
      <c r="E343" s="7"/>
      <c r="F343" s="7"/>
      <c r="G343" s="7"/>
    </row>
    <row r="344" spans="1:7" x14ac:dyDescent="0.25">
      <c r="A344" s="7"/>
      <c r="B344" s="7"/>
      <c r="C344" s="7"/>
      <c r="D344" s="7"/>
      <c r="E344" s="7"/>
      <c r="F344" s="7"/>
      <c r="G344" s="7"/>
    </row>
    <row r="345" spans="1:7" x14ac:dyDescent="0.25">
      <c r="A345" s="7"/>
      <c r="B345" s="7"/>
      <c r="C345" s="7"/>
      <c r="D345" s="7"/>
      <c r="E345" s="7"/>
      <c r="F345" s="7"/>
      <c r="G345" s="7"/>
    </row>
    <row r="346" spans="1:7" x14ac:dyDescent="0.25">
      <c r="A346" s="7"/>
      <c r="B346" s="7"/>
      <c r="C346" s="7"/>
      <c r="D346" s="7"/>
      <c r="E346" s="7"/>
      <c r="F346" s="7"/>
      <c r="G346" s="7"/>
    </row>
    <row r="347" spans="1:7" x14ac:dyDescent="0.25">
      <c r="A347" s="7"/>
      <c r="B347" s="7"/>
      <c r="C347" s="7"/>
      <c r="D347" s="7"/>
      <c r="E347" s="7"/>
      <c r="F347" s="7"/>
      <c r="G347" s="7"/>
    </row>
    <row r="348" spans="1:7" x14ac:dyDescent="0.25">
      <c r="A348" s="7"/>
      <c r="B348" s="7"/>
      <c r="C348" s="7"/>
      <c r="D348" s="7"/>
      <c r="E348" s="7"/>
      <c r="F348" s="7"/>
      <c r="G348" s="7"/>
    </row>
    <row r="349" spans="1:7" x14ac:dyDescent="0.25">
      <c r="A349" s="7"/>
      <c r="B349" s="7"/>
      <c r="C349" s="7"/>
      <c r="D349" s="7"/>
      <c r="E349" s="7"/>
      <c r="F349" s="7"/>
      <c r="G349" s="7"/>
    </row>
    <row r="350" spans="1:7" x14ac:dyDescent="0.25">
      <c r="A350" s="7"/>
      <c r="B350" s="7"/>
      <c r="C350" s="7"/>
      <c r="D350" s="7"/>
      <c r="E350" s="7"/>
      <c r="F350" s="7"/>
      <c r="G350" s="7"/>
    </row>
    <row r="351" spans="1:7" x14ac:dyDescent="0.25">
      <c r="A351" s="7"/>
      <c r="B351" s="7"/>
      <c r="C351" s="7"/>
      <c r="D351" s="7"/>
      <c r="E351" s="7"/>
      <c r="F351" s="7"/>
      <c r="G351" s="7"/>
    </row>
    <row r="352" spans="1:7" x14ac:dyDescent="0.25">
      <c r="A352" s="7"/>
      <c r="B352" s="7"/>
      <c r="C352" s="7"/>
      <c r="D352" s="7"/>
      <c r="E352" s="7"/>
      <c r="F352" s="7"/>
      <c r="G352" s="7"/>
    </row>
    <row r="353" spans="1:7" x14ac:dyDescent="0.25">
      <c r="A353" s="7"/>
      <c r="B353" s="7"/>
      <c r="C353" s="7"/>
      <c r="D353" s="7"/>
      <c r="E353" s="7"/>
      <c r="F353" s="7"/>
      <c r="G353" s="7"/>
    </row>
    <row r="354" spans="1:7" x14ac:dyDescent="0.25">
      <c r="A354" s="7"/>
      <c r="B354" s="7"/>
      <c r="C354" s="7"/>
      <c r="D354" s="7"/>
      <c r="E354" s="7"/>
      <c r="F354" s="7"/>
      <c r="G354" s="7"/>
    </row>
    <row r="355" spans="1:7" x14ac:dyDescent="0.25">
      <c r="A355" s="7"/>
      <c r="B355" s="7"/>
      <c r="C355" s="7"/>
      <c r="D355" s="7"/>
      <c r="E355" s="7"/>
      <c r="F355" s="7"/>
      <c r="G355" s="7"/>
    </row>
    <row r="356" spans="1:7" x14ac:dyDescent="0.25">
      <c r="A356" s="7"/>
      <c r="B356" s="7"/>
      <c r="C356" s="7"/>
      <c r="D356" s="7"/>
      <c r="E356" s="7"/>
      <c r="F356" s="7"/>
      <c r="G356" s="7"/>
    </row>
    <row r="357" spans="1:7" x14ac:dyDescent="0.25">
      <c r="A357" s="7"/>
      <c r="B357" s="7"/>
      <c r="C357" s="7"/>
      <c r="D357" s="7"/>
      <c r="E357" s="7"/>
      <c r="F357" s="7"/>
      <c r="G357" s="7"/>
    </row>
    <row r="358" spans="1:7" x14ac:dyDescent="0.25">
      <c r="A358" s="7"/>
      <c r="B358" s="7"/>
      <c r="C358" s="7"/>
      <c r="D358" s="7"/>
      <c r="E358" s="7"/>
      <c r="F358" s="7"/>
      <c r="G358" s="7"/>
    </row>
    <row r="359" spans="1:7" x14ac:dyDescent="0.25">
      <c r="A359" s="7"/>
      <c r="B359" s="7"/>
      <c r="C359" s="7"/>
      <c r="D359" s="7"/>
      <c r="E359" s="7"/>
      <c r="F359" s="7"/>
      <c r="G359" s="7"/>
    </row>
    <row r="360" spans="1:7" x14ac:dyDescent="0.25">
      <c r="A360" s="7"/>
      <c r="B360" s="7"/>
      <c r="C360" s="7"/>
      <c r="D360" s="7"/>
      <c r="E360" s="7"/>
      <c r="F360" s="7"/>
      <c r="G360" s="7"/>
    </row>
    <row r="361" spans="1:7" x14ac:dyDescent="0.25">
      <c r="A361" s="7"/>
      <c r="B361" s="7"/>
      <c r="C361" s="7"/>
      <c r="D361" s="7"/>
      <c r="E361" s="7"/>
      <c r="F361" s="7"/>
      <c r="G361" s="7"/>
    </row>
    <row r="362" spans="1:7" x14ac:dyDescent="0.25">
      <c r="A362" s="7"/>
      <c r="B362" s="7"/>
      <c r="C362" s="7"/>
      <c r="D362" s="7"/>
      <c r="E362" s="7"/>
      <c r="F362" s="7"/>
      <c r="G362" s="7"/>
    </row>
    <row r="363" spans="1:7" x14ac:dyDescent="0.25">
      <c r="A363" s="7"/>
      <c r="B363" s="7"/>
      <c r="C363" s="7"/>
      <c r="D363" s="7"/>
      <c r="E363" s="7"/>
      <c r="F363" s="7"/>
      <c r="G363" s="7"/>
    </row>
    <row r="364" spans="1:7" x14ac:dyDescent="0.25">
      <c r="A364" s="7"/>
      <c r="B364" s="7"/>
      <c r="C364" s="7"/>
      <c r="D364" s="7"/>
      <c r="E364" s="7"/>
      <c r="F364" s="7"/>
      <c r="G364" s="7"/>
    </row>
    <row r="365" spans="1:7" x14ac:dyDescent="0.25">
      <c r="A365" s="7"/>
      <c r="B365" s="7"/>
      <c r="C365" s="7"/>
      <c r="D365" s="7"/>
      <c r="E365" s="7"/>
      <c r="F365" s="7"/>
      <c r="G365" s="7"/>
    </row>
    <row r="366" spans="1:7" x14ac:dyDescent="0.25">
      <c r="A366" s="7"/>
      <c r="B366" s="7"/>
      <c r="C366" s="7"/>
      <c r="D366" s="7"/>
      <c r="E366" s="7"/>
      <c r="F366" s="7"/>
      <c r="G366" s="7"/>
    </row>
    <row r="367" spans="1:7" x14ac:dyDescent="0.25">
      <c r="A367" s="7"/>
      <c r="B367" s="7"/>
      <c r="C367" s="7"/>
      <c r="D367" s="7"/>
      <c r="E367" s="7"/>
      <c r="F367" s="7"/>
      <c r="G367" s="7"/>
    </row>
    <row r="368" spans="1:7" x14ac:dyDescent="0.25">
      <c r="A368" s="7"/>
      <c r="B368" s="7"/>
      <c r="C368" s="7"/>
      <c r="D368" s="7"/>
      <c r="E368" s="7"/>
      <c r="F368" s="7"/>
      <c r="G368" s="7"/>
    </row>
    <row r="369" spans="1:7" x14ac:dyDescent="0.25">
      <c r="A369" s="7"/>
      <c r="B369" s="7"/>
      <c r="C369" s="7"/>
      <c r="D369" s="7"/>
      <c r="E369" s="7"/>
      <c r="F369" s="7"/>
      <c r="G369" s="7"/>
    </row>
    <row r="370" spans="1:7" x14ac:dyDescent="0.25">
      <c r="A370" s="7"/>
      <c r="B370" s="7"/>
      <c r="C370" s="7"/>
      <c r="D370" s="7"/>
      <c r="E370" s="7"/>
      <c r="F370" s="7"/>
      <c r="G370" s="7"/>
    </row>
    <row r="371" spans="1:7" x14ac:dyDescent="0.25">
      <c r="A371" s="7"/>
      <c r="B371" s="7"/>
      <c r="C371" s="7"/>
      <c r="D371" s="7"/>
      <c r="E371" s="7"/>
      <c r="F371" s="7"/>
      <c r="G371" s="7"/>
    </row>
    <row r="372" spans="1:7" x14ac:dyDescent="0.25">
      <c r="A372" s="7"/>
      <c r="B372" s="7"/>
      <c r="C372" s="7"/>
      <c r="D372" s="7"/>
      <c r="E372" s="7"/>
      <c r="F372" s="7"/>
      <c r="G372" s="7"/>
    </row>
    <row r="373" spans="1:7" x14ac:dyDescent="0.25">
      <c r="A373" s="7"/>
      <c r="B373" s="7"/>
      <c r="C373" s="7"/>
      <c r="D373" s="7"/>
      <c r="E373" s="7"/>
      <c r="F373" s="7"/>
      <c r="G373" s="7"/>
    </row>
    <row r="374" spans="1:7" x14ac:dyDescent="0.25">
      <c r="A374" s="7"/>
      <c r="B374" s="7"/>
      <c r="C374" s="7"/>
      <c r="D374" s="7"/>
      <c r="E374" s="7"/>
      <c r="F374" s="7"/>
      <c r="G374" s="7"/>
    </row>
    <row r="375" spans="1:7" x14ac:dyDescent="0.25">
      <c r="A375" s="7"/>
      <c r="B375" s="7"/>
      <c r="C375" s="7"/>
      <c r="D375" s="7"/>
      <c r="E375" s="7"/>
      <c r="F375" s="7"/>
      <c r="G375" s="7"/>
    </row>
    <row r="376" spans="1:7" x14ac:dyDescent="0.25">
      <c r="A376" s="7"/>
      <c r="B376" s="7"/>
      <c r="C376" s="7"/>
      <c r="D376" s="7"/>
      <c r="E376" s="7"/>
      <c r="F376" s="7"/>
      <c r="G376" s="7"/>
    </row>
    <row r="377" spans="1:7" x14ac:dyDescent="0.25">
      <c r="A377" s="7"/>
      <c r="B377" s="7"/>
      <c r="C377" s="7"/>
      <c r="D377" s="7"/>
      <c r="E377" s="7"/>
      <c r="F377" s="7"/>
      <c r="G377" s="7"/>
    </row>
    <row r="378" spans="1:7" x14ac:dyDescent="0.25">
      <c r="A378" s="7"/>
      <c r="B378" s="7"/>
      <c r="C378" s="7"/>
      <c r="D378" s="7"/>
      <c r="E378" s="7"/>
      <c r="F378" s="7"/>
      <c r="G378" s="7"/>
    </row>
    <row r="379" spans="1:7" x14ac:dyDescent="0.25">
      <c r="A379" s="7"/>
      <c r="B379" s="7"/>
      <c r="C379" s="7"/>
      <c r="D379" s="7"/>
      <c r="E379" s="7"/>
      <c r="F379" s="7"/>
      <c r="G379" s="7"/>
    </row>
    <row r="380" spans="1:7" x14ac:dyDescent="0.25">
      <c r="A380" s="7"/>
      <c r="B380" s="7"/>
      <c r="C380" s="7"/>
      <c r="D380" s="7"/>
      <c r="E380" s="7"/>
      <c r="F380" s="7"/>
      <c r="G380" s="7"/>
    </row>
    <row r="381" spans="1:7" x14ac:dyDescent="0.25">
      <c r="A381" s="7"/>
      <c r="B381" s="7"/>
      <c r="C381" s="7"/>
      <c r="D381" s="7"/>
      <c r="E381" s="7"/>
      <c r="F381" s="7"/>
      <c r="G381" s="7"/>
    </row>
    <row r="382" spans="1:7" x14ac:dyDescent="0.25">
      <c r="A382" s="7"/>
      <c r="B382" s="7"/>
      <c r="C382" s="7"/>
      <c r="D382" s="7"/>
      <c r="E382" s="7"/>
      <c r="F382" s="7"/>
      <c r="G382" s="7"/>
    </row>
    <row r="383" spans="1:7" x14ac:dyDescent="0.25">
      <c r="A383" s="7"/>
      <c r="B383" s="7"/>
      <c r="C383" s="7"/>
      <c r="D383" s="7"/>
      <c r="E383" s="7"/>
      <c r="F383" s="7"/>
      <c r="G383" s="7"/>
    </row>
    <row r="384" spans="1:7" x14ac:dyDescent="0.25">
      <c r="A384" s="7"/>
      <c r="B384" s="7"/>
      <c r="C384" s="7"/>
      <c r="D384" s="7"/>
      <c r="E384" s="7"/>
      <c r="F384" s="7"/>
      <c r="G384" s="7"/>
    </row>
    <row r="385" spans="1:7" x14ac:dyDescent="0.25">
      <c r="A385" s="7"/>
      <c r="B385" s="7"/>
      <c r="C385" s="7"/>
      <c r="D385" s="7"/>
      <c r="E385" s="7"/>
      <c r="F385" s="7"/>
      <c r="G385" s="7"/>
    </row>
    <row r="386" spans="1:7" x14ac:dyDescent="0.25">
      <c r="A386" s="7"/>
      <c r="B386" s="7"/>
      <c r="C386" s="7"/>
      <c r="D386" s="7"/>
      <c r="E386" s="7"/>
      <c r="F386" s="7"/>
      <c r="G386" s="7"/>
    </row>
    <row r="387" spans="1:7" x14ac:dyDescent="0.25">
      <c r="A387" s="7"/>
      <c r="B387" s="7"/>
      <c r="C387" s="7"/>
      <c r="D387" s="7"/>
      <c r="E387" s="7"/>
      <c r="F387" s="7"/>
      <c r="G387" s="7"/>
    </row>
    <row r="388" spans="1:7" x14ac:dyDescent="0.25">
      <c r="A388" s="7"/>
      <c r="B388" s="7"/>
      <c r="C388" s="7"/>
      <c r="D388" s="7"/>
      <c r="E388" s="7"/>
      <c r="F388" s="7"/>
      <c r="G388" s="7"/>
    </row>
    <row r="389" spans="1:7" x14ac:dyDescent="0.25">
      <c r="A389" s="7"/>
      <c r="B389" s="7"/>
      <c r="C389" s="7"/>
      <c r="D389" s="7"/>
      <c r="E389" s="7"/>
      <c r="F389" s="7"/>
      <c r="G389" s="7"/>
    </row>
    <row r="390" spans="1:7" x14ac:dyDescent="0.25">
      <c r="A390" s="7"/>
      <c r="B390" s="7"/>
      <c r="C390" s="7"/>
      <c r="D390" s="7"/>
      <c r="E390" s="7"/>
      <c r="F390" s="7"/>
      <c r="G390" s="7"/>
    </row>
    <row r="391" spans="1:7" x14ac:dyDescent="0.25">
      <c r="A391" s="7"/>
      <c r="B391" s="7"/>
      <c r="C391" s="7"/>
      <c r="D391" s="7"/>
      <c r="E391" s="7"/>
      <c r="F391" s="7"/>
      <c r="G391" s="7"/>
    </row>
    <row r="392" spans="1:7" x14ac:dyDescent="0.25">
      <c r="A392" s="7"/>
      <c r="B392" s="7"/>
      <c r="C392" s="7"/>
      <c r="D392" s="7"/>
      <c r="E392" s="7"/>
      <c r="F392" s="7"/>
      <c r="G392" s="7"/>
    </row>
    <row r="393" spans="1:7" x14ac:dyDescent="0.25">
      <c r="A393" s="7"/>
      <c r="B393" s="7"/>
      <c r="C393" s="7"/>
      <c r="D393" s="7"/>
      <c r="E393" s="7"/>
      <c r="F393" s="7"/>
      <c r="G393" s="7"/>
    </row>
    <row r="394" spans="1:7" x14ac:dyDescent="0.25">
      <c r="A394" s="7"/>
      <c r="B394" s="7"/>
      <c r="C394" s="7"/>
      <c r="D394" s="7"/>
      <c r="E394" s="7"/>
      <c r="F394" s="7"/>
      <c r="G394" s="7"/>
    </row>
    <row r="395" spans="1:7" x14ac:dyDescent="0.25">
      <c r="A395" s="7"/>
      <c r="B395" s="7"/>
      <c r="C395" s="7"/>
      <c r="D395" s="7"/>
      <c r="E395" s="7"/>
      <c r="F395" s="7"/>
      <c r="G395" s="7"/>
    </row>
    <row r="396" spans="1:7" x14ac:dyDescent="0.25">
      <c r="A396" s="7"/>
      <c r="B396" s="7"/>
      <c r="C396" s="7"/>
      <c r="D396" s="7"/>
      <c r="E396" s="7"/>
      <c r="F396" s="7"/>
      <c r="G396" s="7"/>
    </row>
    <row r="397" spans="1:7" x14ac:dyDescent="0.25">
      <c r="A397" s="7"/>
      <c r="B397" s="7"/>
      <c r="C397" s="7"/>
      <c r="D397" s="7"/>
      <c r="E397" s="7"/>
      <c r="F397" s="7"/>
      <c r="G397" s="7"/>
    </row>
    <row r="398" spans="1:7" x14ac:dyDescent="0.25">
      <c r="A398" s="7"/>
      <c r="B398" s="7"/>
      <c r="C398" s="7"/>
      <c r="D398" s="7"/>
      <c r="E398" s="7"/>
      <c r="F398" s="7"/>
      <c r="G398" s="7"/>
    </row>
    <row r="399" spans="1:7" x14ac:dyDescent="0.25">
      <c r="A399" s="7"/>
      <c r="B399" s="7"/>
      <c r="C399" s="7"/>
      <c r="D399" s="7"/>
      <c r="E399" s="7"/>
      <c r="F399" s="7"/>
      <c r="G399" s="7"/>
    </row>
    <row r="400" spans="1:7" x14ac:dyDescent="0.25">
      <c r="A400" s="7"/>
      <c r="B400" s="7"/>
      <c r="C400" s="7"/>
      <c r="D400" s="7"/>
      <c r="E400" s="7"/>
      <c r="F400" s="7"/>
      <c r="G400" s="7"/>
    </row>
    <row r="401" spans="1:7" x14ac:dyDescent="0.25">
      <c r="A401" s="7"/>
      <c r="B401" s="7"/>
      <c r="C401" s="7"/>
      <c r="D401" s="7"/>
      <c r="E401" s="7"/>
      <c r="F401" s="7"/>
      <c r="G401" s="7"/>
    </row>
    <row r="402" spans="1:7" x14ac:dyDescent="0.25">
      <c r="A402" s="7"/>
      <c r="B402" s="7"/>
      <c r="C402" s="7"/>
      <c r="D402" s="7"/>
      <c r="E402" s="7"/>
      <c r="F402" s="7"/>
      <c r="G402" s="7"/>
    </row>
    <row r="403" spans="1:7" x14ac:dyDescent="0.25">
      <c r="A403" s="7"/>
      <c r="B403" s="7"/>
      <c r="C403" s="7"/>
      <c r="D403" s="7"/>
      <c r="E403" s="7"/>
      <c r="F403" s="7"/>
      <c r="G403" s="7"/>
    </row>
    <row r="404" spans="1:7" x14ac:dyDescent="0.25">
      <c r="A404" s="7"/>
      <c r="B404" s="7"/>
      <c r="C404" s="7"/>
      <c r="D404" s="7"/>
      <c r="E404" s="7"/>
      <c r="F404" s="7"/>
      <c r="G404" s="7"/>
    </row>
    <row r="405" spans="1:7" x14ac:dyDescent="0.25">
      <c r="A405" s="7"/>
      <c r="B405" s="7"/>
      <c r="C405" s="7"/>
      <c r="D405" s="7"/>
      <c r="E405" s="7"/>
      <c r="F405" s="7"/>
      <c r="G405" s="7"/>
    </row>
    <row r="406" spans="1:7" x14ac:dyDescent="0.25">
      <c r="A406" s="7"/>
      <c r="B406" s="7"/>
      <c r="C406" s="7"/>
      <c r="D406" s="7"/>
      <c r="E406" s="7"/>
      <c r="F406" s="7"/>
      <c r="G406" s="7"/>
    </row>
    <row r="407" spans="1:7" x14ac:dyDescent="0.25">
      <c r="A407" s="7"/>
      <c r="B407" s="7"/>
      <c r="C407" s="7"/>
      <c r="D407" s="7"/>
      <c r="E407" s="7"/>
      <c r="F407" s="7"/>
      <c r="G407" s="7"/>
    </row>
    <row r="408" spans="1:7" x14ac:dyDescent="0.25">
      <c r="A408" s="7"/>
      <c r="B408" s="7"/>
      <c r="C408" s="7"/>
      <c r="D408" s="7"/>
      <c r="E408" s="7"/>
      <c r="F408" s="7"/>
      <c r="G408" s="7"/>
    </row>
    <row r="409" spans="1:7" x14ac:dyDescent="0.25">
      <c r="A409" s="7"/>
      <c r="B409" s="7"/>
      <c r="C409" s="7"/>
      <c r="D409" s="7"/>
      <c r="E409" s="7"/>
      <c r="F409" s="7"/>
      <c r="G409" s="7"/>
    </row>
    <row r="410" spans="1:7" x14ac:dyDescent="0.25">
      <c r="A410" s="7"/>
      <c r="B410" s="7"/>
      <c r="C410" s="7"/>
      <c r="D410" s="7"/>
      <c r="E410" s="7"/>
      <c r="F410" s="7"/>
      <c r="G410" s="7"/>
    </row>
    <row r="411" spans="1:7" x14ac:dyDescent="0.25">
      <c r="A411" s="7"/>
      <c r="B411" s="7"/>
      <c r="C411" s="7"/>
      <c r="D411" s="7"/>
      <c r="E411" s="7"/>
      <c r="F411" s="7"/>
      <c r="G411" s="7"/>
    </row>
    <row r="412" spans="1:7" x14ac:dyDescent="0.25">
      <c r="A412" s="7"/>
      <c r="B412" s="7"/>
      <c r="C412" s="7"/>
      <c r="D412" s="7"/>
      <c r="E412" s="7"/>
      <c r="F412" s="7"/>
      <c r="G412" s="7"/>
    </row>
    <row r="413" spans="1:7" x14ac:dyDescent="0.25">
      <c r="A413" s="7"/>
      <c r="B413" s="7"/>
      <c r="C413" s="7"/>
      <c r="D413" s="7"/>
      <c r="E413" s="7"/>
      <c r="F413" s="7"/>
      <c r="G413" s="7"/>
    </row>
    <row r="414" spans="1:7" x14ac:dyDescent="0.25">
      <c r="A414" s="7"/>
      <c r="B414" s="7"/>
      <c r="C414" s="7"/>
      <c r="D414" s="7"/>
      <c r="E414" s="7"/>
      <c r="F414" s="7"/>
      <c r="G414" s="7"/>
    </row>
    <row r="415" spans="1:7" x14ac:dyDescent="0.25">
      <c r="A415" s="7"/>
      <c r="B415" s="7"/>
      <c r="C415" s="7"/>
      <c r="D415" s="7"/>
      <c r="E415" s="7"/>
      <c r="F415" s="7"/>
      <c r="G415" s="7"/>
    </row>
    <row r="416" spans="1:7" x14ac:dyDescent="0.25">
      <c r="A416" s="7"/>
      <c r="B416" s="7"/>
      <c r="C416" s="7"/>
      <c r="D416" s="7"/>
      <c r="E416" s="7"/>
      <c r="F416" s="7"/>
      <c r="G416" s="7"/>
    </row>
    <row r="417" spans="1:7" x14ac:dyDescent="0.25">
      <c r="A417" s="7"/>
      <c r="B417" s="7"/>
      <c r="C417" s="7"/>
      <c r="D417" s="7"/>
      <c r="E417" s="7"/>
      <c r="F417" s="7"/>
      <c r="G417" s="7"/>
    </row>
    <row r="418" spans="1:7" x14ac:dyDescent="0.25">
      <c r="A418" s="7"/>
      <c r="B418" s="7"/>
      <c r="C418" s="7"/>
      <c r="D418" s="7"/>
      <c r="E418" s="7"/>
      <c r="F418" s="7"/>
      <c r="G418" s="7"/>
    </row>
    <row r="419" spans="1:7" x14ac:dyDescent="0.25">
      <c r="A419" s="7"/>
      <c r="B419" s="7"/>
      <c r="C419" s="7"/>
      <c r="D419" s="7"/>
      <c r="E419" s="7"/>
      <c r="F419" s="7"/>
      <c r="G419" s="7"/>
    </row>
    <row r="420" spans="1:7" x14ac:dyDescent="0.25">
      <c r="A420" s="7"/>
      <c r="B420" s="7"/>
      <c r="C420" s="7"/>
      <c r="D420" s="7"/>
      <c r="E420" s="7"/>
      <c r="F420" s="7"/>
      <c r="G420" s="7"/>
    </row>
    <row r="421" spans="1:7" x14ac:dyDescent="0.25">
      <c r="A421" s="7"/>
      <c r="B421" s="7"/>
      <c r="C421" s="7"/>
      <c r="D421" s="7"/>
      <c r="E421" s="7"/>
      <c r="F421" s="7"/>
      <c r="G421" s="7"/>
    </row>
    <row r="422" spans="1:7" x14ac:dyDescent="0.25">
      <c r="A422" s="7"/>
      <c r="B422" s="7"/>
      <c r="C422" s="7"/>
      <c r="D422" s="7"/>
      <c r="E422" s="7"/>
      <c r="F422" s="7"/>
      <c r="G422" s="7"/>
    </row>
    <row r="423" spans="1:7" x14ac:dyDescent="0.25">
      <c r="A423" s="7"/>
      <c r="B423" s="7"/>
      <c r="C423" s="7"/>
      <c r="D423" s="7"/>
      <c r="E423" s="7"/>
      <c r="F423" s="7"/>
      <c r="G423" s="7"/>
    </row>
    <row r="424" spans="1:7" x14ac:dyDescent="0.25">
      <c r="A424" s="7"/>
      <c r="B424" s="7"/>
      <c r="C424" s="7"/>
      <c r="D424" s="7"/>
      <c r="E424" s="7"/>
      <c r="F424" s="7"/>
      <c r="G424" s="7"/>
    </row>
    <row r="425" spans="1:7" x14ac:dyDescent="0.25">
      <c r="A425" s="7"/>
      <c r="B425" s="7"/>
      <c r="C425" s="7"/>
      <c r="D425" s="7"/>
      <c r="E425" s="7"/>
      <c r="F425" s="7"/>
      <c r="G425" s="7"/>
    </row>
    <row r="426" spans="1:7" x14ac:dyDescent="0.25">
      <c r="A426" s="7"/>
      <c r="B426" s="7"/>
      <c r="C426" s="7"/>
      <c r="D426" s="7"/>
      <c r="E426" s="7"/>
      <c r="F426" s="7"/>
      <c r="G426" s="7"/>
    </row>
    <row r="427" spans="1:7" x14ac:dyDescent="0.25">
      <c r="A427" s="7"/>
      <c r="B427" s="7"/>
      <c r="C427" s="7"/>
      <c r="D427" s="7"/>
      <c r="E427" s="7"/>
      <c r="F427" s="7"/>
      <c r="G427" s="7"/>
    </row>
    <row r="428" spans="1:7" x14ac:dyDescent="0.25">
      <c r="A428" s="7"/>
      <c r="B428" s="7"/>
      <c r="C428" s="7"/>
      <c r="D428" s="7"/>
      <c r="E428" s="7"/>
      <c r="F428" s="7"/>
      <c r="G428" s="7"/>
    </row>
    <row r="429" spans="1:7" x14ac:dyDescent="0.25">
      <c r="A429" s="7"/>
      <c r="B429" s="7"/>
      <c r="C429" s="7"/>
      <c r="D429" s="7"/>
      <c r="E429" s="7"/>
      <c r="F429" s="7"/>
      <c r="G429" s="7"/>
    </row>
    <row r="430" spans="1:7" x14ac:dyDescent="0.25">
      <c r="A430" s="7"/>
      <c r="B430" s="7"/>
      <c r="C430" s="7"/>
      <c r="D430" s="7"/>
      <c r="E430" s="7"/>
      <c r="F430" s="7"/>
      <c r="G430" s="7"/>
    </row>
    <row r="431" spans="1:7" x14ac:dyDescent="0.25">
      <c r="A431" s="7"/>
      <c r="B431" s="7"/>
      <c r="C431" s="7"/>
      <c r="D431" s="7"/>
      <c r="E431" s="7"/>
      <c r="F431" s="7"/>
      <c r="G431" s="7"/>
    </row>
    <row r="432" spans="1:7" x14ac:dyDescent="0.25">
      <c r="A432" s="7"/>
      <c r="B432" s="7"/>
      <c r="C432" s="7"/>
      <c r="D432" s="7"/>
      <c r="E432" s="7"/>
      <c r="F432" s="7"/>
      <c r="G432" s="7"/>
    </row>
    <row r="433" spans="1:7" x14ac:dyDescent="0.25">
      <c r="A433" s="7"/>
      <c r="B433" s="7"/>
      <c r="C433" s="7"/>
      <c r="D433" s="7"/>
      <c r="E433" s="7"/>
      <c r="F433" s="7"/>
      <c r="G433" s="7"/>
    </row>
    <row r="434" spans="1:7" x14ac:dyDescent="0.25">
      <c r="A434" s="7"/>
      <c r="B434" s="7"/>
      <c r="C434" s="7"/>
      <c r="D434" s="7"/>
      <c r="E434" s="7"/>
      <c r="F434" s="7"/>
      <c r="G434" s="7"/>
    </row>
    <row r="435" spans="1:7" x14ac:dyDescent="0.25">
      <c r="A435" s="7"/>
      <c r="B435" s="7"/>
      <c r="C435" s="7"/>
      <c r="D435" s="7"/>
      <c r="E435" s="7"/>
      <c r="F435" s="7"/>
      <c r="G435" s="7"/>
    </row>
    <row r="436" spans="1:7" x14ac:dyDescent="0.25">
      <c r="A436" s="7"/>
      <c r="B436" s="7"/>
      <c r="C436" s="7"/>
      <c r="D436" s="7"/>
      <c r="E436" s="7"/>
      <c r="F436" s="7"/>
      <c r="G436" s="7"/>
    </row>
    <row r="437" spans="1:7" x14ac:dyDescent="0.25">
      <c r="A437" s="7"/>
      <c r="B437" s="7"/>
      <c r="C437" s="7"/>
      <c r="D437" s="7"/>
      <c r="E437" s="7"/>
      <c r="F437" s="7"/>
      <c r="G437" s="7"/>
    </row>
    <row r="438" spans="1:7" x14ac:dyDescent="0.25">
      <c r="A438" s="7"/>
      <c r="B438" s="7"/>
      <c r="C438" s="7"/>
      <c r="D438" s="7"/>
      <c r="E438" s="7"/>
      <c r="F438" s="7"/>
      <c r="G438" s="7"/>
    </row>
    <row r="439" spans="1:7" x14ac:dyDescent="0.25">
      <c r="A439" s="7"/>
      <c r="B439" s="7"/>
      <c r="C439" s="7"/>
      <c r="D439" s="7"/>
      <c r="E439" s="7"/>
      <c r="F439" s="7"/>
      <c r="G439" s="7"/>
    </row>
    <row r="440" spans="1:7" x14ac:dyDescent="0.25">
      <c r="A440" s="7"/>
      <c r="B440" s="7"/>
      <c r="C440" s="7"/>
      <c r="D440" s="7"/>
      <c r="E440" s="7"/>
      <c r="F440" s="7"/>
      <c r="G440" s="7"/>
    </row>
    <row r="441" spans="1:7" x14ac:dyDescent="0.25">
      <c r="A441" s="7"/>
      <c r="B441" s="7"/>
      <c r="C441" s="7"/>
      <c r="D441" s="7"/>
      <c r="E441" s="7"/>
      <c r="F441" s="7"/>
      <c r="G441" s="7"/>
    </row>
    <row r="442" spans="1:7" x14ac:dyDescent="0.25">
      <c r="A442" s="7"/>
      <c r="B442" s="7"/>
      <c r="C442" s="7"/>
      <c r="D442" s="7"/>
      <c r="E442" s="7"/>
      <c r="F442" s="7"/>
      <c r="G442" s="7"/>
    </row>
    <row r="443" spans="1:7" x14ac:dyDescent="0.25">
      <c r="A443" s="7"/>
      <c r="B443" s="7"/>
      <c r="C443" s="7"/>
      <c r="D443" s="7"/>
      <c r="E443" s="7"/>
      <c r="F443" s="7"/>
      <c r="G443" s="7"/>
    </row>
    <row r="444" spans="1:7" x14ac:dyDescent="0.25">
      <c r="A444" s="7"/>
      <c r="B444" s="7"/>
      <c r="C444" s="7"/>
      <c r="D444" s="7"/>
      <c r="E444" s="7"/>
      <c r="F444" s="7"/>
      <c r="G444" s="7"/>
    </row>
    <row r="445" spans="1:7" x14ac:dyDescent="0.25">
      <c r="A445" s="7"/>
      <c r="B445" s="7"/>
      <c r="C445" s="7"/>
      <c r="D445" s="7"/>
      <c r="E445" s="7"/>
      <c r="F445" s="7"/>
      <c r="G445" s="7"/>
    </row>
    <row r="446" spans="1:7" x14ac:dyDescent="0.25">
      <c r="A446" s="7"/>
      <c r="B446" s="7"/>
      <c r="C446" s="7"/>
      <c r="D446" s="7"/>
      <c r="E446" s="7"/>
      <c r="F446" s="7"/>
      <c r="G446" s="7"/>
    </row>
    <row r="447" spans="1:7" x14ac:dyDescent="0.25">
      <c r="A447" s="7"/>
      <c r="B447" s="7"/>
      <c r="C447" s="7"/>
      <c r="D447" s="7"/>
      <c r="E447" s="7"/>
      <c r="F447" s="7"/>
      <c r="G447" s="7"/>
    </row>
    <row r="448" spans="1:7" x14ac:dyDescent="0.25">
      <c r="A448" s="7"/>
      <c r="B448" s="7"/>
      <c r="C448" s="7"/>
      <c r="D448" s="7"/>
      <c r="E448" s="7"/>
      <c r="F448" s="7"/>
      <c r="G448" s="7"/>
    </row>
    <row r="449" spans="1:7" x14ac:dyDescent="0.25">
      <c r="A449" s="7"/>
      <c r="B449" s="7"/>
      <c r="C449" s="7"/>
      <c r="D449" s="7"/>
      <c r="E449" s="7"/>
      <c r="F449" s="7"/>
      <c r="G449" s="7"/>
    </row>
    <row r="450" spans="1:7" x14ac:dyDescent="0.25">
      <c r="A450" s="7"/>
      <c r="B450" s="7"/>
      <c r="C450" s="7"/>
      <c r="D450" s="7"/>
      <c r="E450" s="7"/>
      <c r="F450" s="7"/>
      <c r="G450" s="7"/>
    </row>
    <row r="451" spans="1:7" x14ac:dyDescent="0.25">
      <c r="A451" s="7"/>
      <c r="B451" s="7"/>
      <c r="C451" s="7"/>
      <c r="D451" s="7"/>
      <c r="E451" s="7"/>
      <c r="F451" s="7"/>
      <c r="G451" s="7"/>
    </row>
    <row r="452" spans="1:7" x14ac:dyDescent="0.25">
      <c r="A452" s="7"/>
      <c r="B452" s="7"/>
      <c r="C452" s="7"/>
      <c r="D452" s="7"/>
      <c r="E452" s="7"/>
      <c r="F452" s="7"/>
      <c r="G452" s="7"/>
    </row>
    <row r="453" spans="1:7" x14ac:dyDescent="0.25">
      <c r="A453" s="7"/>
      <c r="B453" s="7"/>
      <c r="C453" s="7"/>
      <c r="D453" s="7"/>
      <c r="E453" s="7"/>
      <c r="F453" s="7"/>
      <c r="G453" s="7"/>
    </row>
    <row r="454" spans="1:7" x14ac:dyDescent="0.25">
      <c r="A454" s="7"/>
      <c r="B454" s="7"/>
      <c r="C454" s="7"/>
      <c r="D454" s="7"/>
      <c r="E454" s="7"/>
      <c r="F454" s="7"/>
      <c r="G454" s="7"/>
    </row>
    <row r="455" spans="1:7" x14ac:dyDescent="0.25">
      <c r="A455" s="7"/>
      <c r="B455" s="7"/>
      <c r="C455" s="7"/>
      <c r="D455" s="7"/>
      <c r="E455" s="7"/>
      <c r="F455" s="7"/>
      <c r="G455" s="7"/>
    </row>
    <row r="456" spans="1:7" x14ac:dyDescent="0.25">
      <c r="A456" s="7"/>
      <c r="B456" s="7"/>
      <c r="C456" s="7"/>
      <c r="D456" s="7"/>
      <c r="E456" s="7"/>
      <c r="F456" s="7"/>
      <c r="G456" s="7"/>
    </row>
    <row r="457" spans="1:7" x14ac:dyDescent="0.25">
      <c r="A457" s="7"/>
      <c r="B457" s="7"/>
      <c r="C457" s="7"/>
      <c r="D457" s="7"/>
      <c r="E457" s="7"/>
      <c r="F457" s="7"/>
      <c r="G457" s="7"/>
    </row>
    <row r="458" spans="1:7" x14ac:dyDescent="0.25">
      <c r="A458" s="7"/>
      <c r="B458" s="7"/>
      <c r="C458" s="7"/>
      <c r="D458" s="7"/>
      <c r="E458" s="7"/>
      <c r="F458" s="7"/>
      <c r="G458" s="7"/>
    </row>
    <row r="459" spans="1:7" x14ac:dyDescent="0.25">
      <c r="A459" s="7"/>
      <c r="B459" s="7"/>
      <c r="C459" s="7"/>
      <c r="D459" s="7"/>
      <c r="E459" s="7"/>
      <c r="F459" s="7"/>
      <c r="G459" s="7"/>
    </row>
    <row r="460" spans="1:7" x14ac:dyDescent="0.25">
      <c r="A460" s="7"/>
      <c r="B460" s="7"/>
      <c r="C460" s="7"/>
      <c r="D460" s="7"/>
      <c r="E460" s="7"/>
      <c r="F460" s="7"/>
      <c r="G460" s="7"/>
    </row>
    <row r="461" spans="1:7" x14ac:dyDescent="0.25">
      <c r="A461" s="7"/>
      <c r="B461" s="7"/>
      <c r="C461" s="7"/>
      <c r="D461" s="7"/>
      <c r="E461" s="7"/>
      <c r="F461" s="7"/>
      <c r="G461" s="7"/>
    </row>
    <row r="462" spans="1:7" x14ac:dyDescent="0.25">
      <c r="A462" s="7"/>
      <c r="B462" s="7"/>
      <c r="C462" s="7"/>
      <c r="D462" s="7"/>
      <c r="E462" s="7"/>
      <c r="F462" s="7"/>
      <c r="G462" s="7"/>
    </row>
    <row r="463" spans="1:7" x14ac:dyDescent="0.25">
      <c r="A463" s="7"/>
      <c r="B463" s="7"/>
      <c r="C463" s="7"/>
      <c r="D463" s="7"/>
      <c r="E463" s="7"/>
      <c r="F463" s="7"/>
      <c r="G463" s="7"/>
    </row>
    <row r="464" spans="1:7" x14ac:dyDescent="0.25">
      <c r="A464" s="7"/>
      <c r="B464" s="7"/>
      <c r="C464" s="7"/>
      <c r="D464" s="7"/>
      <c r="E464" s="7"/>
      <c r="F464" s="7"/>
      <c r="G464" s="7"/>
    </row>
    <row r="465" spans="1:7" x14ac:dyDescent="0.25">
      <c r="A465" s="7"/>
      <c r="B465" s="7"/>
      <c r="C465" s="7"/>
      <c r="D465" s="7"/>
      <c r="E465" s="7"/>
      <c r="F465" s="7"/>
      <c r="G465" s="7"/>
    </row>
    <row r="466" spans="1:7" x14ac:dyDescent="0.25">
      <c r="A466" s="7"/>
      <c r="B466" s="7"/>
      <c r="C466" s="7"/>
      <c r="D466" s="7"/>
      <c r="E466" s="7"/>
      <c r="F466" s="7"/>
      <c r="G466" s="7"/>
    </row>
    <row r="467" spans="1:7" x14ac:dyDescent="0.25">
      <c r="A467" s="7"/>
      <c r="B467" s="7"/>
      <c r="C467" s="7"/>
      <c r="D467" s="7"/>
      <c r="E467" s="7"/>
      <c r="F467" s="7"/>
      <c r="G467" s="7"/>
    </row>
    <row r="468" spans="1:7" x14ac:dyDescent="0.25">
      <c r="A468" s="7"/>
      <c r="B468" s="7"/>
      <c r="C468" s="7"/>
      <c r="D468" s="7"/>
      <c r="E468" s="7"/>
      <c r="F468" s="7"/>
      <c r="G468" s="7"/>
    </row>
    <row r="469" spans="1:7" x14ac:dyDescent="0.25">
      <c r="A469" s="7"/>
      <c r="B469" s="7"/>
      <c r="C469" s="7"/>
      <c r="D469" s="7"/>
      <c r="E469" s="7"/>
      <c r="F469" s="7"/>
      <c r="G469" s="7"/>
    </row>
    <row r="470" spans="1:7" x14ac:dyDescent="0.25">
      <c r="A470" s="7"/>
      <c r="B470" s="7"/>
      <c r="C470" s="7"/>
      <c r="D470" s="7"/>
      <c r="E470" s="7"/>
      <c r="F470" s="7"/>
      <c r="G470" s="7"/>
    </row>
    <row r="471" spans="1:7" x14ac:dyDescent="0.25">
      <c r="A471" s="7"/>
      <c r="B471" s="7"/>
      <c r="C471" s="7"/>
      <c r="D471" s="7"/>
      <c r="E471" s="7"/>
      <c r="F471" s="7"/>
      <c r="G471" s="7"/>
    </row>
    <row r="472" spans="1:7" x14ac:dyDescent="0.25">
      <c r="A472" s="7"/>
      <c r="B472" s="7"/>
      <c r="C472" s="7"/>
      <c r="D472" s="7"/>
      <c r="E472" s="7"/>
      <c r="F472" s="7"/>
      <c r="G472" s="7"/>
    </row>
    <row r="473" spans="1:7" x14ac:dyDescent="0.25">
      <c r="A473" s="7"/>
      <c r="B473" s="7"/>
      <c r="C473" s="7"/>
      <c r="D473" s="7"/>
      <c r="E473" s="7"/>
      <c r="F473" s="7"/>
      <c r="G473" s="7"/>
    </row>
    <row r="474" spans="1:7" x14ac:dyDescent="0.25">
      <c r="A474" s="7"/>
      <c r="B474" s="7"/>
      <c r="C474" s="7"/>
      <c r="D474" s="7"/>
      <c r="E474" s="7"/>
      <c r="F474" s="7"/>
      <c r="G474" s="7"/>
    </row>
    <row r="475" spans="1:7" x14ac:dyDescent="0.25">
      <c r="A475" s="7"/>
      <c r="B475" s="7"/>
      <c r="C475" s="7"/>
      <c r="D475" s="7"/>
      <c r="E475" s="7"/>
      <c r="F475" s="7"/>
      <c r="G475" s="7"/>
    </row>
    <row r="476" spans="1:7" x14ac:dyDescent="0.25">
      <c r="A476" s="7"/>
      <c r="B476" s="7"/>
      <c r="C476" s="7"/>
      <c r="D476" s="7"/>
      <c r="E476" s="7"/>
      <c r="F476" s="7"/>
      <c r="G476" s="7"/>
    </row>
    <row r="477" spans="1:7" x14ac:dyDescent="0.25">
      <c r="A477" s="7"/>
      <c r="B477" s="7"/>
      <c r="C477" s="7"/>
      <c r="D477" s="7"/>
      <c r="E477" s="7"/>
      <c r="F477" s="7"/>
      <c r="G477" s="7"/>
    </row>
    <row r="478" spans="1:7" x14ac:dyDescent="0.25">
      <c r="A478" s="7"/>
      <c r="B478" s="7"/>
      <c r="C478" s="7"/>
      <c r="D478" s="7"/>
      <c r="E478" s="7"/>
      <c r="F478" s="7"/>
      <c r="G478" s="7"/>
    </row>
    <row r="479" spans="1:7" x14ac:dyDescent="0.25">
      <c r="A479" s="7"/>
      <c r="B479" s="7"/>
      <c r="C479" s="7"/>
      <c r="D479" s="7"/>
      <c r="E479" s="7"/>
      <c r="F479" s="7"/>
      <c r="G479" s="7"/>
    </row>
    <row r="480" spans="1:7" x14ac:dyDescent="0.25">
      <c r="A480" s="7"/>
      <c r="B480" s="7"/>
      <c r="C480" s="7"/>
      <c r="D480" s="7"/>
      <c r="E480" s="7"/>
      <c r="F480" s="7"/>
      <c r="G480" s="7"/>
    </row>
    <row r="481" spans="1:7" x14ac:dyDescent="0.25">
      <c r="A481" s="7"/>
      <c r="B481" s="7"/>
      <c r="C481" s="7"/>
      <c r="D481" s="7"/>
      <c r="E481" s="7"/>
      <c r="F481" s="7"/>
      <c r="G481" s="7"/>
    </row>
    <row r="482" spans="1:7" x14ac:dyDescent="0.25">
      <c r="A482" s="7"/>
      <c r="B482" s="7"/>
      <c r="C482" s="7"/>
      <c r="D482" s="7"/>
      <c r="E482" s="7"/>
      <c r="F482" s="7"/>
      <c r="G482" s="7"/>
    </row>
    <row r="483" spans="1:7" x14ac:dyDescent="0.25">
      <c r="A483" s="7"/>
      <c r="B483" s="7"/>
      <c r="C483" s="7"/>
      <c r="D483" s="7"/>
      <c r="E483" s="7"/>
      <c r="F483" s="7"/>
      <c r="G483" s="7"/>
    </row>
    <row r="484" spans="1:7" x14ac:dyDescent="0.25">
      <c r="A484" s="7"/>
      <c r="B484" s="7"/>
      <c r="C484" s="7"/>
      <c r="D484" s="7"/>
      <c r="E484" s="7"/>
      <c r="F484" s="7"/>
      <c r="G484" s="7"/>
    </row>
    <row r="485" spans="1:7" x14ac:dyDescent="0.25">
      <c r="A485" s="7"/>
      <c r="B485" s="7"/>
      <c r="C485" s="7"/>
      <c r="D485" s="7"/>
      <c r="E485" s="7"/>
      <c r="F485" s="7"/>
      <c r="G485" s="7"/>
    </row>
    <row r="486" spans="1:7" x14ac:dyDescent="0.25">
      <c r="A486" s="7"/>
      <c r="B486" s="7"/>
      <c r="C486" s="7"/>
      <c r="D486" s="7"/>
      <c r="E486" s="7"/>
      <c r="F486" s="7"/>
      <c r="G486" s="7"/>
    </row>
    <row r="487" spans="1:7" x14ac:dyDescent="0.25">
      <c r="A487" s="7"/>
      <c r="B487" s="7"/>
      <c r="C487" s="7"/>
      <c r="D487" s="7"/>
      <c r="E487" s="7"/>
      <c r="F487" s="7"/>
      <c r="G487" s="7"/>
    </row>
    <row r="488" spans="1:7" x14ac:dyDescent="0.25">
      <c r="A488" s="7"/>
      <c r="B488" s="7"/>
      <c r="C488" s="7"/>
      <c r="D488" s="7"/>
      <c r="E488" s="7"/>
      <c r="F488" s="7"/>
      <c r="G488" s="7"/>
    </row>
    <row r="489" spans="1:7" x14ac:dyDescent="0.25">
      <c r="A489" s="7"/>
      <c r="B489" s="7"/>
      <c r="C489" s="7"/>
      <c r="D489" s="7"/>
      <c r="E489" s="7"/>
      <c r="F489" s="7"/>
      <c r="G489" s="7"/>
    </row>
    <row r="490" spans="1:7" x14ac:dyDescent="0.25">
      <c r="A490" s="7"/>
      <c r="B490" s="7"/>
      <c r="C490" s="7"/>
      <c r="D490" s="7"/>
      <c r="E490" s="7"/>
      <c r="F490" s="7"/>
      <c r="G490" s="7"/>
    </row>
    <row r="491" spans="1:7" x14ac:dyDescent="0.25">
      <c r="A491" s="7"/>
      <c r="B491" s="7"/>
      <c r="C491" s="7"/>
      <c r="D491" s="7"/>
      <c r="E491" s="7"/>
      <c r="F491" s="7"/>
      <c r="G491" s="7"/>
    </row>
    <row r="492" spans="1:7" x14ac:dyDescent="0.25">
      <c r="A492" s="7"/>
      <c r="B492" s="7"/>
      <c r="C492" s="7"/>
      <c r="D492" s="7"/>
      <c r="E492" s="7"/>
      <c r="F492" s="7"/>
      <c r="G492" s="7"/>
    </row>
    <row r="493" spans="1:7" x14ac:dyDescent="0.25">
      <c r="A493" s="7"/>
      <c r="B493" s="7"/>
      <c r="C493" s="7"/>
      <c r="D493" s="7"/>
      <c r="E493" s="7"/>
      <c r="F493" s="7"/>
      <c r="G493" s="7"/>
    </row>
    <row r="494" spans="1:7" x14ac:dyDescent="0.25">
      <c r="A494" s="7"/>
      <c r="B494" s="7"/>
      <c r="C494" s="7"/>
      <c r="D494" s="7"/>
      <c r="E494" s="7"/>
      <c r="F494" s="7"/>
      <c r="G494" s="7"/>
    </row>
    <row r="495" spans="1:7" x14ac:dyDescent="0.25">
      <c r="A495" s="7"/>
      <c r="B495" s="7"/>
      <c r="C495" s="7"/>
      <c r="D495" s="7"/>
      <c r="E495" s="7"/>
      <c r="F495" s="7"/>
      <c r="G495" s="7"/>
    </row>
    <row r="496" spans="1:7" x14ac:dyDescent="0.25">
      <c r="A496" s="7"/>
      <c r="B496" s="7"/>
      <c r="C496" s="7"/>
      <c r="D496" s="7"/>
      <c r="E496" s="7"/>
      <c r="F496" s="7"/>
      <c r="G496" s="7"/>
    </row>
    <row r="497" spans="1:7" x14ac:dyDescent="0.25">
      <c r="A497" s="7"/>
      <c r="B497" s="7"/>
      <c r="C497" s="7"/>
      <c r="D497" s="7"/>
      <c r="E497" s="7"/>
      <c r="F497" s="7"/>
      <c r="G497" s="7"/>
    </row>
    <row r="498" spans="1:7" x14ac:dyDescent="0.25">
      <c r="A498" s="7"/>
      <c r="B498" s="7"/>
      <c r="C498" s="7"/>
      <c r="D498" s="7"/>
      <c r="E498" s="7"/>
      <c r="F498" s="7"/>
      <c r="G498" s="7"/>
    </row>
    <row r="499" spans="1:7" x14ac:dyDescent="0.25">
      <c r="A499" s="7"/>
      <c r="B499" s="7"/>
      <c r="C499" s="7"/>
      <c r="D499" s="7"/>
      <c r="E499" s="7"/>
      <c r="F499" s="7"/>
      <c r="G499" s="7"/>
    </row>
    <row r="500" spans="1:7" x14ac:dyDescent="0.25">
      <c r="A500" s="7"/>
      <c r="B500" s="7"/>
      <c r="C500" s="7"/>
      <c r="D500" s="7"/>
      <c r="E500" s="7"/>
      <c r="F500" s="7"/>
      <c r="G500" s="7"/>
    </row>
  </sheetData>
  <autoFilter ref="A2:G2" xr:uid="{00000000-0009-0000-0000-000006000000}"/>
  <mergeCells count="2">
    <mergeCell ref="J1:N1"/>
    <mergeCell ref="A1:G1"/>
  </mergeCells>
  <dataValidations count="1">
    <dataValidation type="date" allowBlank="1" showErrorMessage="1" errorTitle="Dates only" error="Enter a real date here." sqref="B3:B500 G3:G500" xr:uid="{00000000-0002-0000-0600-000003000000}">
      <formula1>DATE(2020,1,1)</formula1>
      <formula2>DATE(2099,12,31)</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promptTitle="Report Name" prompt="Pick the report this rework applies to." xr:uid="{00000000-0002-0000-0600-000000000000}">
          <x14:formula1>
            <xm:f>'Combined Delivery Data'!$B$2:$B$500</xm:f>
          </x14:formula1>
          <xm:sqref>A3:A500</xm:sqref>
        </x14:dataValidation>
        <x14:dataValidation type="list" allowBlank="1" showInputMessage="1" promptTitle="From Stage" prompt="Which stage was it sent back FROM?" xr:uid="{00000000-0002-0000-0600-000001000000}">
          <x14:formula1>
            <xm:f>'Data Validation'!$F$3:$F$7</xm:f>
          </x14:formula1>
          <xm:sqref>C3:C500</xm:sqref>
        </x14:dataValidation>
        <x14:dataValidation type="list" allowBlank="1" showInputMessage="1" promptTitle="To Stage" prompt="Which stage was it sent back TO?" xr:uid="{00000000-0002-0000-0600-000002000000}">
          <x14:formula1>
            <xm:f>'Data Validation'!$F$3:$F$7</xm:f>
          </x14:formula1>
          <xm:sqref>D3:D500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4A9A80021CA64FA26BF7E6361FF67B" ma:contentTypeVersion="10" ma:contentTypeDescription="Create a new document." ma:contentTypeScope="" ma:versionID="fc3bebc7da97300976451ef85ecb6a93">
  <xsd:schema xmlns:xsd="http://www.w3.org/2001/XMLSchema" xmlns:xs="http://www.w3.org/2001/XMLSchema" xmlns:p="http://schemas.microsoft.com/office/2006/metadata/properties" xmlns:ns3="e55b47df-8f8c-4db9-8351-4eeff34c899b" targetNamespace="http://schemas.microsoft.com/office/2006/metadata/properties" ma:root="true" ma:fieldsID="5af8b34700e1b3441b25185e60a9135d" ns3:_="">
    <xsd:import namespace="e55b47df-8f8c-4db9-8351-4eeff34c899b"/>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5b47df-8f8c-4db9-8351-4eeff34c899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55b47df-8f8c-4db9-8351-4eeff34c899b" xsi:nil="true"/>
  </documentManagement>
</p:properties>
</file>

<file path=customXml/itemProps1.xml><?xml version="1.0" encoding="utf-8"?>
<ds:datastoreItem xmlns:ds="http://schemas.openxmlformats.org/officeDocument/2006/customXml" ds:itemID="{B1C5A762-CA26-4392-83ED-8A4E6B8B1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5b47df-8f8c-4db9-8351-4eeff34c89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D19179-A3C8-439A-86B3-09FC162EF7AF}">
  <ds:schemaRefs>
    <ds:schemaRef ds:uri="http://schemas.microsoft.com/sharepoint/v3/contenttype/forms"/>
  </ds:schemaRefs>
</ds:datastoreItem>
</file>

<file path=customXml/itemProps3.xml><?xml version="1.0" encoding="utf-8"?>
<ds:datastoreItem xmlns:ds="http://schemas.openxmlformats.org/officeDocument/2006/customXml" ds:itemID="{B10E486C-3E69-489D-8A95-E3581B239D3C}">
  <ds:schemaRefs>
    <ds:schemaRef ds:uri="http://schemas.microsoft.com/office/infopath/2007/PartnerControls"/>
    <ds:schemaRef ds:uri="http://schemas.microsoft.com/office/2006/documentManagement/types"/>
    <ds:schemaRef ds:uri="e55b47df-8f8c-4db9-8351-4eeff34c899b"/>
    <ds:schemaRef ds:uri="http://www.w3.org/XML/1998/namespace"/>
    <ds:schemaRef ds:uri="http://purl.org/dc/elements/1.1/"/>
    <ds:schemaRef ds:uri="http://purl.org/dc/term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 - Instructions</vt:lpstr>
      <vt:lpstr>Combined Delivery Data</vt:lpstr>
      <vt:lpstr>Find a Report</vt:lpstr>
      <vt:lpstr>Fact Table</vt:lpstr>
      <vt:lpstr>Dim Table</vt:lpstr>
      <vt:lpstr>Data Validation</vt:lpstr>
      <vt:lpstr>Rework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Bezawit Getaneh</cp:lastModifiedBy>
  <cp:revision>0</cp:revision>
  <dcterms:created xsi:type="dcterms:W3CDTF">2026-07-21T14:32:59Z</dcterms:created>
  <dcterms:modified xsi:type="dcterms:W3CDTF">2026-07-23T19:15:54Z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0x010100EC4A9A80021CA64FA26BF7E6361FF67B</vt:lpwstr>
  </property>
  <property fmtid="{D5CDD505-2E9C-101B-9397-08002B2CF9AE}" pid="3" name="MSIP_Label_8bd75a54-f2be-4ffa-b165-74c609d83991_Enabled">
    <vt:lpwstr>true</vt:lpwstr>
  </property>
  <property fmtid="{D5CDD505-2E9C-101B-9397-08002B2CF9AE}" pid="4" name="MSIP_Label_8bd75a54-f2be-4ffa-b165-74c609d83991_SetDate">
    <vt:lpwstr>2026-07-21T20:46:14Z</vt:lpwstr>
  </property>
  <property fmtid="{D5CDD505-2E9C-101B-9397-08002B2CF9AE}" pid="5" name="MSIP_Label_8bd75a54-f2be-4ffa-b165-74c609d83991_Method">
    <vt:lpwstr>Standard</vt:lpwstr>
  </property>
  <property fmtid="{D5CDD505-2E9C-101B-9397-08002B2CF9AE}" pid="6" name="MSIP_Label_8bd75a54-f2be-4ffa-b165-74c609d83991_Name">
    <vt:lpwstr>Internal use only</vt:lpwstr>
  </property>
  <property fmtid="{D5CDD505-2E9C-101B-9397-08002B2CF9AE}" pid="7" name="MSIP_Label_8bd75a54-f2be-4ffa-b165-74c609d83991_SiteId">
    <vt:lpwstr>f98a6a53-25f3-4212-901c-c7787fcd3495</vt:lpwstr>
  </property>
  <property fmtid="{D5CDD505-2E9C-101B-9397-08002B2CF9AE}" pid="8" name="MSIP_Label_8bd75a54-f2be-4ffa-b165-74c609d83991_ActionId">
    <vt:lpwstr>c5162870-5a3f-42c9-89f6-4aa8cb35f675</vt:lpwstr>
  </property>
  <property fmtid="{D5CDD505-2E9C-101B-9397-08002B2CF9AE}" pid="9" name="MSIP_Label_8bd75a54-f2be-4ffa-b165-74c609d83991_ContentBits">
    <vt:lpwstr>0</vt:lpwstr>
  </property>
  <property fmtid="{D5CDD505-2E9C-101B-9397-08002B2CF9AE}" pid="10" name="MSIP_Label_8bd75a54-f2be-4ffa-b165-74c609d83991_Tag">
    <vt:lpwstr>10, 3, 0, 2</vt:lpwstr>
  </property>
</Properties>
</file>