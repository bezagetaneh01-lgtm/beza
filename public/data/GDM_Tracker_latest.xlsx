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134" documentId="13_ncr:1_{52745E9B-3AA1-4770-AAD3-E6166BFC13AE}" xr6:coauthVersionLast="47" xr6:coauthVersionMax="47" xr10:uidLastSave="{DE50E1BD-1F1D-4923-89A2-F37448ABF86F}"/>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D64" i="2" s="1" a="1"/>
  <c r="D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<sst xmlns="http://schemas.openxmlformats.org/spreadsheetml/2006/main" count="3134" uniqueCount="462">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</sst>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8" Type="http://schemas.openxmlformats.org/officeDocument/2006/relationships/hyperlink" Target="mailto:Kushal.Shah@nationalgrid.com" TargetMode="External"/><Relationship Id="rId13" Type="http://schemas.openxmlformats.org/officeDocument/2006/relationships/hyperlink" Target="mailto:Sarath.Neela@nationalgrid.com" TargetMode="External"/><Relationship Id="rId18" Type="http://schemas.openxmlformats.org/officeDocument/2006/relationships/vmlDrawing" Target="../drawings/vmlDrawing2.vml"/><Relationship Id="rId3" Type="http://schemas.openxmlformats.org/officeDocument/2006/relationships/hyperlink" Target="mailto:Siddharoodh.Hiregoudar@nationalgrid.com" TargetMode="External"/><Relationship Id="rId7" Type="http://schemas.openxmlformats.org/officeDocument/2006/relationships/hyperlink" Target="mailto:Yuehua.Hu@nationalgrid.com" TargetMode="External"/><Relationship Id="rId12" Type="http://schemas.openxmlformats.org/officeDocument/2006/relationships/hyperlink" Target="mailto:Rupa.Koduru@nationalgrid.com" TargetMode="External"/><Relationship Id="rId17" Type="http://schemas.openxmlformats.org/officeDocument/2006/relationships/hyperlink" Target="mailto:Sreevarsha.Potluri@nationalgrid.com" TargetMode="External"/><Relationship Id="rId2" Type="http://schemas.openxmlformats.org/officeDocument/2006/relationships/hyperlink" Target="mailto:Bardia.Mouhebat@nationalgrid.com" TargetMode="External"/><Relationship Id="rId16" Type="http://schemas.openxmlformats.org/officeDocument/2006/relationships/hyperlink" Target="mailto:Sreevarsha.Potluri@nationalgrid.com" TargetMode="External"/><Relationship Id="rId20" Type="http://schemas.openxmlformats.org/officeDocument/2006/relationships/comments" Target="../comments2.xml"/><Relationship Id="rId1" Type="http://schemas.openxmlformats.org/officeDocument/2006/relationships/hyperlink" Target="mailto:bezawit.getaneh1@nationalgrid.com" TargetMode="External"/><Relationship Id="rId6" Type="http://schemas.openxmlformats.org/officeDocument/2006/relationships/hyperlink" Target="mailto:Yuehua.Hu@nationalgrid.com" TargetMode="External"/><Relationship Id="rId11" Type="http://schemas.openxmlformats.org/officeDocument/2006/relationships/hyperlink" Target="mailto:Preety.Jha@nationalgrid.com" TargetMode="External"/><Relationship Id="rId5" Type="http://schemas.openxmlformats.org/officeDocument/2006/relationships/hyperlink" Target="mailto:Geetha.S1@nationalgrid.com" TargetMode="External"/><Relationship Id="rId15" Type="http://schemas.openxmlformats.org/officeDocument/2006/relationships/hyperlink" Target="mailto:Sivaram.Kanda1@nationalgrid.com" TargetMode="External"/><Relationship Id="rId10" Type="http://schemas.openxmlformats.org/officeDocument/2006/relationships/hyperlink" Target="mailto:Nick.Virdi@nationalgrid.com" TargetMode="External"/><Relationship Id="rId19" Type="http://schemas.openxmlformats.org/officeDocument/2006/relationships/table" Target="../tables/table4.xml"/><Relationship Id="rId4" Type="http://schemas.openxmlformats.org/officeDocument/2006/relationships/hyperlink" Target="mailto:Fetwi.Hayelom@nationalgrid.com" TargetMode="External"/><Relationship Id="rId9" Type="http://schemas.openxmlformats.org/officeDocument/2006/relationships/hyperlink" Target="mailto:Navya.ChowdarySaimpu@nationalgrid.com" TargetMode="External"/><Relationship Id="rId14" Type="http://schemas.openxmlformats.org/officeDocument/2006/relationships/hyperlink" Target="mailto:Shraddha.TC@nationalgrid.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E127" sqref="E127"/>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132</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132</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143</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50">
        <v>46234</v>
      </c>
      <c r="I35" s="61" t="s">
        <v>130</v>
      </c>
      <c r="J35" s="33" t="s">
        <v>65</v>
      </c>
      <c r="K35" s="4">
        <v>46213</v>
      </c>
      <c r="L35" s="36">
        <v>46244</v>
      </c>
      <c r="M35" s="35">
        <v>46258</v>
      </c>
      <c r="N35" s="47" t="s">
        <v>146</v>
      </c>
      <c r="O35" s="36" t="s">
        <v>131</v>
      </c>
      <c r="P35" s="65" t="s">
        <v>46</v>
      </c>
      <c r="Q35" s="4">
        <v>46220</v>
      </c>
      <c r="R35" s="36">
        <v>46251</v>
      </c>
      <c r="S35" s="36">
        <v>46266</v>
      </c>
      <c r="T35" s="69"/>
      <c r="U35" s="54" t="s">
        <v>143</v>
      </c>
      <c r="V35" s="59">
        <v>46227</v>
      </c>
      <c r="W35" s="36">
        <v>46269</v>
      </c>
      <c r="X35" s="36"/>
      <c r="Y35" s="36">
        <v>46267</v>
      </c>
      <c r="Z35" s="36"/>
      <c r="AA35" s="52">
        <v>46232</v>
      </c>
      <c r="AB35" s="36">
        <v>46275</v>
      </c>
      <c r="AC35" s="36">
        <v>46273</v>
      </c>
      <c r="AD35" s="33" t="s">
        <v>132</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143</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143</v>
      </c>
      <c r="V37" s="59">
        <v>46227</v>
      </c>
      <c r="W37" s="36">
        <v>46260</v>
      </c>
      <c r="X37" s="36"/>
      <c r="Y37" s="36">
        <v>46255</v>
      </c>
      <c r="Z37" s="36"/>
      <c r="AA37" s="52">
        <v>46232</v>
      </c>
      <c r="AB37" s="36">
        <v>46269</v>
      </c>
      <c r="AC37" s="36">
        <v>46269</v>
      </c>
      <c r="AD37" s="33" t="s">
        <v>150</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50">
        <v>46234</v>
      </c>
      <c r="I38" s="61" t="s">
        <v>130</v>
      </c>
      <c r="J38" s="33" t="s">
        <v>154</v>
      </c>
      <c r="K38" s="4">
        <v>46213</v>
      </c>
      <c r="L38" s="36">
        <v>46246</v>
      </c>
      <c r="M38" s="35">
        <v>46254</v>
      </c>
      <c r="N38" s="47" t="s">
        <v>45</v>
      </c>
      <c r="O38" s="36" t="s">
        <v>131</v>
      </c>
      <c r="P38" s="65" t="s">
        <v>60</v>
      </c>
      <c r="Q38" s="4">
        <v>46220</v>
      </c>
      <c r="R38" s="36">
        <v>46254</v>
      </c>
      <c r="S38" s="36">
        <v>46254</v>
      </c>
      <c r="T38" s="69"/>
      <c r="U38" s="54" t="s">
        <v>143</v>
      </c>
      <c r="V38" s="59">
        <v>46227</v>
      </c>
      <c r="W38" s="36">
        <v>46259</v>
      </c>
      <c r="X38" s="36"/>
      <c r="Y38" s="36">
        <v>46254</v>
      </c>
      <c r="Z38" s="36"/>
      <c r="AA38" s="52">
        <v>46232</v>
      </c>
      <c r="AB38" s="36">
        <v>46269</v>
      </c>
      <c r="AC38" s="36">
        <v>46269</v>
      </c>
      <c r="AD38" s="33" t="s">
        <v>150</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50">
        <v>46234</v>
      </c>
      <c r="I39" s="61" t="s">
        <v>130</v>
      </c>
      <c r="J39" s="33" t="s">
        <v>154</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150</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50">
        <v>46234</v>
      </c>
      <c r="I42" s="61" t="s">
        <v>130</v>
      </c>
      <c r="J42" s="33" t="s">
        <v>76</v>
      </c>
      <c r="K42" s="4">
        <v>46213</v>
      </c>
      <c r="L42" s="36">
        <v>46245</v>
      </c>
      <c r="M42" s="36">
        <v>46245</v>
      </c>
      <c r="N42" s="36" t="s">
        <v>45</v>
      </c>
      <c r="O42" s="36" t="s">
        <v>161</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150</v>
      </c>
      <c r="AE42" s="33" t="s">
        <v>49</v>
      </c>
      <c r="AF42" s="38"/>
      <c r="AG42" s="36"/>
      <c r="AH42" s="39"/>
      <c r="AI42" s="33"/>
      <c r="AJ42" s="40" t="s">
        <v>53</v>
      </c>
      <c r="AK42" s="48"/>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50">
        <v>46265</v>
      </c>
      <c r="I43" s="61" t="s">
        <v>166</v>
      </c>
      <c r="J43" s="33" t="s">
        <v>103</v>
      </c>
      <c r="K43" s="4">
        <v>46234</v>
      </c>
      <c r="L43" s="36">
        <v>46251</v>
      </c>
      <c r="M43" s="36">
        <v>46252</v>
      </c>
      <c r="N43" s="47" t="s">
        <v>146</v>
      </c>
      <c r="O43" s="36" t="s">
        <v>167</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50">
        <v>46265</v>
      </c>
      <c r="I44" s="61" t="s">
        <v>166</v>
      </c>
      <c r="J44" s="33" t="s">
        <v>59</v>
      </c>
      <c r="K44" s="4">
        <v>46234</v>
      </c>
      <c r="L44" s="36">
        <v>46255</v>
      </c>
      <c r="M44" s="36">
        <v>46255</v>
      </c>
      <c r="N44" s="36" t="s">
        <v>45</v>
      </c>
      <c r="O44" s="36" t="s">
        <v>167</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170</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166</v>
      </c>
      <c r="J45" s="33" t="s">
        <v>44</v>
      </c>
      <c r="K45" s="4">
        <v>46234</v>
      </c>
      <c r="L45" s="36">
        <v>46249</v>
      </c>
      <c r="M45" s="36">
        <v>46244</v>
      </c>
      <c r="N45" s="36"/>
      <c r="O45" s="36" t="s">
        <v>167</v>
      </c>
      <c r="P45" s="65" t="s">
        <v>77</v>
      </c>
      <c r="Q45" s="4">
        <v>46241</v>
      </c>
      <c r="R45" s="36">
        <v>46252</v>
      </c>
      <c r="S45" s="36">
        <v>46265</v>
      </c>
      <c r="T45" s="69"/>
      <c r="U45" s="54" t="s">
        <v>47</v>
      </c>
      <c r="V45" s="59">
        <v>46255</v>
      </c>
      <c r="W45" s="36">
        <v>46268</v>
      </c>
      <c r="X45" s="36"/>
      <c r="Y45" s="36">
        <v>46265</v>
      </c>
      <c r="Z45" s="36"/>
      <c r="AA45" s="52">
        <v>46260</v>
      </c>
      <c r="AB45" s="36">
        <v>46283</v>
      </c>
      <c r="AC45" s="36"/>
      <c r="AD45" s="33" t="s">
        <v>170</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174</v>
      </c>
      <c r="C46" s="33" t="s">
        <v>164</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166</v>
      </c>
      <c r="J46" s="33" t="s">
        <v>84</v>
      </c>
      <c r="K46" s="4">
        <v>46234</v>
      </c>
      <c r="L46" s="36">
        <v>46213</v>
      </c>
      <c r="M46" s="36">
        <v>46244</v>
      </c>
      <c r="N46" s="36"/>
      <c r="O46" s="36" t="s">
        <v>175</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176</v>
      </c>
      <c r="C47" s="33" t="s">
        <v>164</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166</v>
      </c>
      <c r="J47" s="33" t="s">
        <v>154</v>
      </c>
      <c r="K47" s="4">
        <v>46234</v>
      </c>
      <c r="L47" s="36">
        <v>46246</v>
      </c>
      <c r="M47" s="36">
        <v>46246</v>
      </c>
      <c r="N47" s="36" t="s">
        <v>45</v>
      </c>
      <c r="O47" s="36" t="s">
        <v>177</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178</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50">
        <v>46265</v>
      </c>
      <c r="I48" s="61" t="s">
        <v>166</v>
      </c>
      <c r="J48" s="33" t="s">
        <v>103</v>
      </c>
      <c r="K48" s="4">
        <v>46234</v>
      </c>
      <c r="L48" s="36">
        <v>46255</v>
      </c>
      <c r="M48" s="36">
        <v>46253</v>
      </c>
      <c r="N48" s="36" t="s">
        <v>45</v>
      </c>
      <c r="O48" s="36" t="s">
        <v>177</v>
      </c>
      <c r="P48" s="65" t="s">
        <v>46</v>
      </c>
      <c r="Q48" s="4">
        <v>46241</v>
      </c>
      <c r="R48" s="36">
        <v>46255</v>
      </c>
      <c r="S48" s="36">
        <v>46255</v>
      </c>
      <c r="T48" s="69"/>
      <c r="U48" s="54" t="s">
        <v>143</v>
      </c>
      <c r="V48" s="59">
        <v>46255</v>
      </c>
      <c r="W48" s="36">
        <v>46269</v>
      </c>
      <c r="X48" s="36"/>
      <c r="Y48" s="36">
        <v>46269</v>
      </c>
      <c r="Z48" s="36"/>
      <c r="AA48" s="52">
        <v>46260</v>
      </c>
      <c r="AB48" s="47">
        <v>46283</v>
      </c>
      <c r="AC48" s="36"/>
      <c r="AD48" s="33" t="s">
        <v>170</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50">
        <v>46265</v>
      </c>
      <c r="I49" s="61" t="s">
        <v>166</v>
      </c>
      <c r="J49" s="33" t="s">
        <v>154</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46295</v>
      </c>
      <c r="AC49" s="36"/>
      <c r="AD49" s="33" t="s">
        <v>150</v>
      </c>
      <c r="AE49" s="33" t="s">
        <v>72</v>
      </c>
      <c r="AF49" s="38"/>
      <c r="AG49" s="36"/>
      <c r="AH49" s="39"/>
      <c r="AI49" s="33"/>
      <c r="AJ49" s="40" t="s">
        <v>182</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50">
        <v>46265</v>
      </c>
      <c r="I50" s="61" t="s">
        <v>166</v>
      </c>
      <c r="J50" s="33" t="s">
        <v>44</v>
      </c>
      <c r="K50" s="117">
        <v>46234</v>
      </c>
      <c r="L50" s="118">
        <v>46249</v>
      </c>
      <c r="M50" s="118">
        <v>46245</v>
      </c>
      <c r="N50" s="118" t="s">
        <v>184</v>
      </c>
      <c r="O50" s="118" t="s">
        <v>177</v>
      </c>
      <c r="P50" s="65" t="s">
        <v>60</v>
      </c>
      <c r="Q50" s="4">
        <v>46241</v>
      </c>
      <c r="R50" s="36">
        <v>46252</v>
      </c>
      <c r="S50" s="36">
        <v>46252</v>
      </c>
      <c r="T50" s="69"/>
      <c r="U50" s="54" t="s">
        <v>143</v>
      </c>
      <c r="V50" s="59">
        <v>46255</v>
      </c>
      <c r="W50" s="36">
        <v>46274</v>
      </c>
      <c r="X50" s="36"/>
      <c r="Y50" s="36">
        <v>46273</v>
      </c>
      <c r="Z50" s="36"/>
      <c r="AA50" s="52">
        <v>46260</v>
      </c>
      <c r="AB50" s="36">
        <v>46283</v>
      </c>
      <c r="AC50" s="36"/>
      <c r="AD50" s="33" t="s">
        <v>170</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50">
        <v>46265</v>
      </c>
      <c r="I51" s="61" t="s">
        <v>166</v>
      </c>
      <c r="J51" s="33" t="s">
        <v>76</v>
      </c>
      <c r="K51" s="4">
        <v>46234</v>
      </c>
      <c r="L51" s="36">
        <v>46248</v>
      </c>
      <c r="M51" s="36">
        <v>46248</v>
      </c>
      <c r="N51" s="36" t="s">
        <v>45</v>
      </c>
      <c r="O51" s="36" t="s">
        <v>177</v>
      </c>
      <c r="P51" s="65" t="s">
        <v>77</v>
      </c>
      <c r="Q51" s="4">
        <v>46241</v>
      </c>
      <c r="R51" s="36">
        <v>46255</v>
      </c>
      <c r="S51" s="36">
        <v>46260</v>
      </c>
      <c r="T51" s="69"/>
      <c r="U51" s="54" t="s">
        <v>143</v>
      </c>
      <c r="V51" s="59">
        <v>46255</v>
      </c>
      <c r="W51" s="36">
        <v>46276</v>
      </c>
      <c r="X51" s="36"/>
      <c r="Y51" s="36">
        <v>46276</v>
      </c>
      <c r="Z51" s="36"/>
      <c r="AA51" s="52">
        <v>46260</v>
      </c>
      <c r="AB51" s="36">
        <v>46283</v>
      </c>
      <c r="AC51" s="36"/>
      <c r="AD51" s="33" t="s">
        <v>186</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50">
        <v>46265</v>
      </c>
      <c r="I52" s="61" t="s">
        <v>166</v>
      </c>
      <c r="J52" s="33" t="s">
        <v>65</v>
      </c>
      <c r="K52" s="4">
        <v>46234</v>
      </c>
      <c r="L52" s="36">
        <v>46253</v>
      </c>
      <c r="M52" s="36">
        <v>46252</v>
      </c>
      <c r="N52" s="47" t="s">
        <v>146</v>
      </c>
      <c r="O52" s="36" t="s">
        <v>177</v>
      </c>
      <c r="P52" s="65" t="s">
        <v>46</v>
      </c>
      <c r="Q52" s="4">
        <v>46241</v>
      </c>
      <c r="R52" s="36">
        <v>46266</v>
      </c>
      <c r="S52" s="36">
        <v>46267</v>
      </c>
      <c r="T52" s="69"/>
      <c r="U52" s="54" t="s">
        <v>47</v>
      </c>
      <c r="V52" s="59">
        <v>46255</v>
      </c>
      <c r="W52" s="36">
        <v>46269</v>
      </c>
      <c r="X52" s="36"/>
      <c r="Y52" s="36"/>
      <c r="Z52" s="36"/>
      <c r="AA52" s="52">
        <v>46260</v>
      </c>
      <c r="AB52" s="36">
        <v>46295</v>
      </c>
      <c r="AC52" s="36"/>
      <c r="AD52" s="33" t="s">
        <v>189</v>
      </c>
      <c r="AE52" s="33" t="s">
        <v>72</v>
      </c>
      <c r="AF52" s="38"/>
      <c r="AG52" s="36"/>
      <c r="AH52" s="39"/>
      <c r="AI52" s="33"/>
      <c r="AJ52" s="40" t="s">
        <v>190</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188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143</v>
      </c>
      <c r="G53" s="33"/>
      <c r="H53" s="50">
        <v>46265</v>
      </c>
      <c r="I53" s="61" t="s">
        <v>166</v>
      </c>
      <c r="J53" s="33" t="s">
        <v>76</v>
      </c>
      <c r="K53" s="4">
        <v>46234</v>
      </c>
      <c r="L53" s="36">
        <v>46251</v>
      </c>
      <c r="M53" s="36">
        <v>46251</v>
      </c>
      <c r="N53" s="36" t="s">
        <v>184</v>
      </c>
      <c r="O53" s="36" t="s">
        <v>131</v>
      </c>
      <c r="P53" s="65" t="s">
        <v>77</v>
      </c>
      <c r="Q53" s="4">
        <v>46241</v>
      </c>
      <c r="R53" s="36">
        <v>46265</v>
      </c>
      <c r="S53" s="36">
        <v>46262</v>
      </c>
      <c r="T53" s="69"/>
      <c r="U53" s="54" t="s">
        <v>47</v>
      </c>
      <c r="V53" s="59">
        <v>46255</v>
      </c>
      <c r="W53" s="36"/>
      <c r="X53" s="36"/>
      <c r="Y53" s="36"/>
      <c r="Z53" s="36"/>
      <c r="AA53" s="52">
        <v>46260</v>
      </c>
      <c r="AB53" s="47">
        <v>46295</v>
      </c>
      <c r="AC53" s="36"/>
      <c r="AD53" s="33" t="s">
        <v>124</v>
      </c>
      <c r="AE53" s="33" t="s">
        <v>72</v>
      </c>
      <c r="AF53" s="38"/>
      <c r="AG53" s="36"/>
      <c r="AH53" s="39"/>
      <c r="AI53" s="33"/>
      <c r="AJ53" s="40" t="s">
        <v>190</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166</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196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196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197</v>
      </c>
      <c r="J56" s="33" t="s">
        <v>76</v>
      </c>
      <c r="K56" s="4">
        <v>46262</v>
      </c>
      <c r="L56" s="36">
        <v>46253</v>
      </c>
      <c r="M56" s="36">
        <v>46253</v>
      </c>
      <c r="N56" s="36" t="s">
        <v>184</v>
      </c>
      <c r="O56" s="36" t="s">
        <v>198</v>
      </c>
      <c r="P56" s="63" t="s">
        <v>60</v>
      </c>
      <c r="Q56" s="4">
        <v>46269</v>
      </c>
      <c r="R56" s="36">
        <v>46266</v>
      </c>
      <c r="S56" s="36">
        <v>46266</v>
      </c>
      <c r="T56" s="69" t="s">
        <v>199</v>
      </c>
      <c r="U56" s="33" t="s">
        <v>203</v>
      </c>
      <c r="V56" s="59">
        <v>46276</v>
      </c>
      <c r="W56" s="36">
        <v>46285</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188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143</v>
      </c>
      <c r="G57" s="33"/>
      <c r="H57" s="50">
        <v>46295</v>
      </c>
      <c r="I57" s="55" t="s">
        <v>197</v>
      </c>
      <c r="J57" s="33" t="s">
        <v>65</v>
      </c>
      <c r="K57" s="4">
        <v>46262</v>
      </c>
      <c r="L57" s="36">
        <v>46254</v>
      </c>
      <c r="M57" s="36"/>
      <c r="N57" s="47" t="s">
        <v>146</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190</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146</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182</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t="s">
        <v>47</v>
      </c>
      <c r="V59" s="59">
        <v>46276</v>
      </c>
      <c r="W59" s="36"/>
      <c r="X59" s="36"/>
      <c r="Y59" s="36"/>
      <c r="Z59" s="36"/>
      <c r="AA59" s="52">
        <v>46290</v>
      </c>
      <c r="AB59" s="36"/>
      <c r="AC59" s="36"/>
      <c r="AD59" s="33" t="s">
        <v>124</v>
      </c>
      <c r="AE59" s="33" t="s">
        <v>49</v>
      </c>
      <c r="AF59" s="38"/>
      <c r="AG59" s="36"/>
      <c r="AH59" s="39"/>
      <c r="AI59" s="33"/>
      <c r="AJ59" s="40" t="s">
        <v>211</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196</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50">
        <v>46295</v>
      </c>
      <c r="I60" s="55" t="s">
        <v>197</v>
      </c>
      <c r="J60" s="33" t="s">
        <v>154</v>
      </c>
      <c r="K60" s="4">
        <v>46262</v>
      </c>
      <c r="L60" s="36">
        <v>46255</v>
      </c>
      <c r="M60" s="36">
        <v>46255</v>
      </c>
      <c r="N60" s="36" t="s">
        <v>184</v>
      </c>
      <c r="O60" s="36" t="s">
        <v>198</v>
      </c>
      <c r="P60" s="63" t="s">
        <v>46</v>
      </c>
      <c r="Q60" s="4">
        <v>46269</v>
      </c>
      <c r="R60" s="36">
        <v>46273</v>
      </c>
      <c r="S60" s="36">
        <v>46273</v>
      </c>
      <c r="T60" s="69" t="s">
        <v>199</v>
      </c>
      <c r="U60" s="33" t="s">
        <v>47</v>
      </c>
      <c r="V60" s="59">
        <v>46276</v>
      </c>
      <c r="W60" s="36"/>
      <c r="X60" s="36"/>
      <c r="Y60" s="36"/>
      <c r="Z60" s="36"/>
      <c r="AA60" s="52">
        <v>46290</v>
      </c>
      <c r="AB60" s="36"/>
      <c r="AC60" s="36"/>
      <c r="AD60" s="33" t="s">
        <v>213</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196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t="s">
        <v>47</v>
      </c>
      <c r="V61" s="59">
        <v>46276</v>
      </c>
      <c r="W61" s="36">
        <v>46283</v>
      </c>
      <c r="X61" s="36"/>
      <c r="Y61" s="36"/>
      <c r="Z61" s="36"/>
      <c r="AA61" s="52">
        <v>46290</v>
      </c>
      <c r="AB61" s="36"/>
      <c r="AC61" s="36"/>
      <c r="AD61" s="33" t="s">
        <v>215</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188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143</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220</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221</v>
      </c>
      <c r="C64" s="119" t="s">
        <v>196</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184</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222</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196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154</v>
      </c>
      <c r="K65" s="4">
        <v>46276</v>
      </c>
      <c r="L65" s="4">
        <v>46262</v>
      </c>
      <c r="M65" s="36">
        <v>46265</v>
      </c>
      <c r="N65" s="36" t="s">
        <v>45</v>
      </c>
      <c r="O65" s="36" t="s">
        <v>198</v>
      </c>
      <c r="P65" s="63" t="s">
        <v>77</v>
      </c>
      <c r="Q65" s="4">
        <v>46286</v>
      </c>
      <c r="R65" s="43">
        <v>46273</v>
      </c>
      <c r="S65" s="32">
        <v>46273</v>
      </c>
      <c r="T65" s="69" t="s">
        <v>199</v>
      </c>
      <c r="U65" s="33" t="s">
        <v>203</v>
      </c>
      <c r="V65" s="59">
        <v>46290</v>
      </c>
      <c r="W65" s="36"/>
      <c r="X65" s="36">
        <v>46280</v>
      </c>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224</v>
      </c>
      <c r="C66" s="158" t="s">
        <v>219</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222</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196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226</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227</v>
      </c>
      <c r="C68" s="81" t="s">
        <v>188</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228</v>
      </c>
      <c r="K68" s="86">
        <v>46276</v>
      </c>
      <c r="L68" s="87">
        <v>46258</v>
      </c>
      <c r="M68" s="87">
        <v>46258</v>
      </c>
      <c r="N68" s="87"/>
      <c r="O68" s="87" t="s">
        <v>198</v>
      </c>
      <c r="P68" s="88" t="s">
        <v>77</v>
      </c>
      <c r="Q68" s="86">
        <v>46286</v>
      </c>
      <c r="R68" s="87"/>
      <c r="S68" s="87"/>
      <c r="T68" s="89" t="s">
        <v>229</v>
      </c>
      <c r="U68" s="81"/>
      <c r="V68" s="90">
        <v>46290</v>
      </c>
      <c r="W68" s="87"/>
      <c r="X68" s="87"/>
      <c r="Y68" s="87"/>
      <c r="Z68" s="87"/>
      <c r="AA68" s="91">
        <v>46295</v>
      </c>
      <c r="AB68" s="87"/>
      <c r="AC68" s="87"/>
      <c r="AD68" s="78" t="s">
        <v>230</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231</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232</v>
      </c>
      <c r="C69" s="98" t="s">
        <v>219</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143</v>
      </c>
      <c r="G69" s="98"/>
      <c r="H69" s="101">
        <v>46295</v>
      </c>
      <c r="I69" s="102" t="s">
        <v>197</v>
      </c>
      <c r="J69" s="98" t="s">
        <v>59</v>
      </c>
      <c r="K69" s="103">
        <v>46276</v>
      </c>
      <c r="L69" s="104"/>
      <c r="M69" s="104"/>
      <c r="N69" s="104"/>
      <c r="O69" s="104" t="s">
        <v>198</v>
      </c>
      <c r="P69" s="105" t="s">
        <v>46</v>
      </c>
      <c r="Q69" s="103">
        <v>46286</v>
      </c>
      <c r="R69" s="104"/>
      <c r="S69" s="104"/>
      <c r="T69" s="106" t="s">
        <v>229</v>
      </c>
      <c r="U69" s="98"/>
      <c r="V69" s="107">
        <v>46290</v>
      </c>
      <c r="W69" s="104"/>
      <c r="X69" s="104"/>
      <c r="Y69" s="104"/>
      <c r="Z69" s="104"/>
      <c r="AA69" s="108">
        <v>46295</v>
      </c>
      <c r="AB69" s="104"/>
      <c r="AC69" s="104"/>
      <c r="AD69" s="79" t="s">
        <v>233</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234</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50">
        <v>46295</v>
      </c>
      <c r="I70" s="55" t="s">
        <v>197</v>
      </c>
      <c r="J70" s="33" t="s">
        <v>65</v>
      </c>
      <c r="K70" s="4">
        <v>46276</v>
      </c>
      <c r="L70" s="36">
        <v>46262</v>
      </c>
      <c r="M70" s="36">
        <v>46276</v>
      </c>
      <c r="N70" s="47" t="s">
        <v>146</v>
      </c>
      <c r="O70" s="36" t="s">
        <v>198</v>
      </c>
      <c r="P70" s="63" t="s">
        <v>46</v>
      </c>
      <c r="Q70" s="4">
        <v>46286</v>
      </c>
      <c r="R70" s="36"/>
      <c r="S70" s="36"/>
      <c r="T70" s="69" t="s">
        <v>229</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143</v>
      </c>
      <c r="G71" s="33"/>
      <c r="H71" s="50">
        <v>46295</v>
      </c>
      <c r="I71" s="55" t="s">
        <v>197</v>
      </c>
      <c r="J71" s="33" t="s">
        <v>44</v>
      </c>
      <c r="K71" s="4">
        <v>46276</v>
      </c>
      <c r="L71" s="36">
        <v>46259</v>
      </c>
      <c r="M71" s="36">
        <v>46259</v>
      </c>
      <c r="N71" s="36"/>
      <c r="O71" s="36" t="s">
        <v>198</v>
      </c>
      <c r="P71" s="63" t="s">
        <v>60</v>
      </c>
      <c r="Q71" s="4">
        <v>46286</v>
      </c>
      <c r="R71" s="36">
        <v>46281</v>
      </c>
      <c r="S71" s="36"/>
      <c r="T71" s="69" t="s">
        <v>229</v>
      </c>
      <c r="U71" s="33" t="s">
        <v>47</v>
      </c>
      <c r="V71" s="59">
        <v>46290</v>
      </c>
      <c r="W71" s="36"/>
      <c r="X71" s="36"/>
      <c r="Y71" s="36"/>
      <c r="Z71" s="36"/>
      <c r="AA71" s="52">
        <v>46295</v>
      </c>
      <c r="AB71" s="36"/>
      <c r="AC71" s="36"/>
      <c r="AD71" s="33" t="s">
        <v>237</v>
      </c>
      <c r="AE71" s="33" t="s">
        <v>94</v>
      </c>
      <c r="AF71" s="38"/>
      <c r="AG71" s="36"/>
      <c r="AH71" s="39"/>
      <c r="AI71" s="33"/>
      <c r="AJ71" s="40" t="s">
        <v>211</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229</v>
      </c>
      <c r="U72" s="33" t="s">
        <v>47</v>
      </c>
      <c r="V72" s="59">
        <v>46290</v>
      </c>
      <c r="W72" s="36">
        <v>46280</v>
      </c>
      <c r="X72" s="36">
        <v>46280</v>
      </c>
      <c r="Y72" s="36">
        <v>46280</v>
      </c>
      <c r="Z72" s="36"/>
      <c r="AA72" s="52">
        <v>46295</v>
      </c>
      <c r="AB72" s="36"/>
      <c r="AC72" s="36"/>
      <c r="AD72" s="33" t="s">
        <v>170</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50">
        <v>46325</v>
      </c>
      <c r="I73" s="56" t="s">
        <v>241</v>
      </c>
      <c r="J73" s="31" t="s">
        <v>76</v>
      </c>
      <c r="K73" s="43">
        <v>46304</v>
      </c>
      <c r="L73" s="43">
        <v>46259</v>
      </c>
      <c r="M73" s="47">
        <v>46259</v>
      </c>
      <c r="N73" s="44" t="s">
        <v>45</v>
      </c>
      <c r="O73" s="44" t="s">
        <v>198</v>
      </c>
      <c r="P73" s="66"/>
      <c r="Q73" s="43">
        <v>46313</v>
      </c>
      <c r="R73" s="43"/>
      <c r="S73" s="44"/>
      <c r="T73" s="70" t="s">
        <v>242</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219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50">
        <v>46325</v>
      </c>
      <c r="I74" s="56" t="s">
        <v>241</v>
      </c>
      <c r="J74" s="54" t="s">
        <v>228</v>
      </c>
      <c r="K74" s="43">
        <v>46304</v>
      </c>
      <c r="L74" s="43">
        <v>46269</v>
      </c>
      <c r="M74" s="44">
        <v>46269</v>
      </c>
      <c r="N74" s="44"/>
      <c r="O74" s="44" t="s">
        <v>198</v>
      </c>
      <c r="P74" s="75"/>
      <c r="Q74" s="43">
        <v>46313</v>
      </c>
      <c r="R74" s="43"/>
      <c r="S74" s="44"/>
      <c r="T74" s="70" t="s">
        <v>242</v>
      </c>
      <c r="U74" s="47"/>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244</v>
      </c>
      <c r="C75" s="136" t="s">
        <v>219</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198</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246</v>
      </c>
      <c r="C76" s="136" t="s">
        <v>219</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198</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247</v>
      </c>
      <c r="C77" s="136" t="s">
        <v>219</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154</v>
      </c>
      <c r="K77" s="140">
        <v>46304</v>
      </c>
      <c r="L77" s="140"/>
      <c r="M77" s="141"/>
      <c r="N77" s="141"/>
      <c r="O77" s="141" t="s">
        <v>198</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248</v>
      </c>
      <c r="C78" s="147" t="s">
        <v>219</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198</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253</v>
      </c>
      <c r="C80" s="31" t="s">
        <v>219</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7">
        <v>46280</v>
      </c>
      <c r="N80" s="44" t="s">
        <v>45</v>
      </c>
      <c r="O80" s="44" t="s">
        <v>249</v>
      </c>
      <c r="P80" s="75"/>
      <c r="Q80" s="43">
        <v>46313</v>
      </c>
      <c r="R80" s="43"/>
      <c r="S80" s="44"/>
      <c r="T80" s="70" t="s">
        <v>242</v>
      </c>
      <c r="U80" s="47"/>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254</v>
      </c>
      <c r="C81" s="147" t="s">
        <v>219</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222</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219</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154</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219</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219</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219</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219</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219</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269</v>
      </c>
      <c r="C89" s="31" t="s">
        <v>219</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50">
        <v>46356</v>
      </c>
      <c r="I89" s="56" t="s">
        <v>264</v>
      </c>
      <c r="J89" s="54" t="s">
        <v>228</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219</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272</v>
      </c>
      <c r="C91" s="31" t="s">
        <v>219</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146</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219</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170</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219</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219</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219</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219</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219</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219</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219</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219</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219</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219</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219</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219</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219</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219</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219</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219</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219</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219</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219</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219</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219</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219</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219</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0">
      <formula>ISNUMBER(SEARCH("Blocked",$D2))</formula>
    </cfRule>
    <cfRule type="expression" dxfId="139" priority="41">
      <formula>ISNUMBER(SEARCH("overdue",$D2))</formula>
    </cfRule>
    <cfRule type="expression" dxfId="138" priority="42">
      <formula>ISNUMBER(SEARCH("no target",$D2))</formula>
    </cfRule>
    <cfRule type="expression" dxfId="137" priority="43">
      <formula>ISNUMBER(SEARCH("Review",$D2))</formula>
    </cfRule>
    <cfRule type="expression" dxfId="136" priority="44">
      <formula>OR($D2="On track",$D2="Delivered")</formula>
    </cfRule>
  </conditionalFormatting>
  <conditionalFormatting sqref="J2:O115">
    <cfRule type="expression" dxfId="135" priority="18">
      <formula>$AJ2="Yes – needs DB Dev to fix"</formula>
    </cfRule>
  </conditionalFormatting>
  <conditionalFormatting sqref="J116:O192">
    <cfRule type="expression" dxfId="134" priority="23">
      <formula>$AH116="Yes – needs DB Dev to fix"</formula>
    </cfRule>
  </conditionalFormatting>
  <conditionalFormatting sqref="K41">
    <cfRule type="expression" dxfId="133" priority="599">
      <formula>AND($B41&lt;&gt;"",MOD(ROW(),2)=0)</formula>
    </cfRule>
    <cfRule type="expression" dxfId="132" priority="600">
      <formula>$AJ41="Yes – needs DB Dev to fix"</formula>
    </cfRule>
  </conditionalFormatting>
  <conditionalFormatting sqref="K42">
    <cfRule type="expression" dxfId="131" priority="601">
      <formula>AND($B41&lt;&gt;"",MOD(ROW(),2)=0)</formula>
    </cfRule>
    <cfRule type="expression" dxfId="130" priority="602">
      <formula>$AJ41="Yes – needs DB Dev to fix"</formula>
    </cfRule>
  </conditionalFormatting>
  <conditionalFormatting sqref="K73:L100">
    <cfRule type="expression" dxfId="129" priority="115">
      <formula>$AF73="Yes – needs DB Dev to fix"</formula>
    </cfRule>
  </conditionalFormatting>
  <conditionalFormatting sqref="K101:L115">
    <cfRule type="expression" dxfId="128" priority="345">
      <formula>$AA101="Yes – needs DB Dev to fix"</formula>
    </cfRule>
  </conditionalFormatting>
  <conditionalFormatting sqref="K116:L527">
    <cfRule type="expression" dxfId="127" priority="572">
      <formula>$X116="Yes – needs DB Dev to fix"</formula>
    </cfRule>
  </conditionalFormatting>
  <conditionalFormatting sqref="M73">
    <cfRule type="expression" dxfId="126" priority="22">
      <formula>$AF73="Yes – needs DB Dev to fix"</formula>
    </cfRule>
  </conditionalFormatting>
  <conditionalFormatting sqref="M79">
    <cfRule type="expression" dxfId="125" priority="9">
      <formula>$AF79="Yes – needs DB Dev to fix"</formula>
    </cfRule>
  </conditionalFormatting>
  <conditionalFormatting sqref="M73:P100">
    <cfRule type="expression" dxfId="124" priority="300">
      <formula>$AD73="Yes – needs PBI Dev to fix"</formula>
    </cfRule>
  </conditionalFormatting>
  <conditionalFormatting sqref="M101:P115">
    <cfRule type="expression" dxfId="123" priority="347">
      <formula>$AA101="Yes – needs PBI Dev to fix"</formula>
    </cfRule>
  </conditionalFormatting>
  <conditionalFormatting sqref="M116:P527">
    <cfRule type="expression" dxfId="122" priority="573">
      <formula>$X116="Yes – needs PBI Dev to fix"</formula>
    </cfRule>
  </conditionalFormatting>
  <conditionalFormatting sqref="O101:O113">
    <cfRule type="expression" dxfId="121" priority="21">
      <formula>$AD101="Yes – needs PBI Dev to fix"</formula>
    </cfRule>
  </conditionalFormatting>
  <conditionalFormatting sqref="Q73:Q100">
    <cfRule type="expression" dxfId="120" priority="16">
      <formula>$AJ73="Yes – needs DB Dev to fix"</formula>
    </cfRule>
    <cfRule type="expression" dxfId="119" priority="17">
      <formula>$AF73="Yes – needs DB Dev to fix"</formula>
    </cfRule>
    <cfRule type="expression" dxfId="118" priority="119">
      <formula>$AF73="Yes – needs PBI Dev to fix"</formula>
    </cfRule>
  </conditionalFormatting>
  <conditionalFormatting sqref="Q101:R115 V101:V115 X101:X115">
    <cfRule type="expression" dxfId="117" priority="15">
      <formula>$AA101="Yes – needs QA to fix"</formula>
    </cfRule>
  </conditionalFormatting>
  <conditionalFormatting sqref="Q116:R527">
    <cfRule type="expression" dxfId="116" priority="574">
      <formula>$X116="Yes – needs QA to fix"</formula>
    </cfRule>
  </conditionalFormatting>
  <conditionalFormatting sqref="U10:V19 X10:X19 J29 M29:P29 J32:J33 M32:P33 K40:K41 M40:P41 Q65 T65:U65 V101:V115 X101:X115 Q66:U115 Q2:U64">
    <cfRule type="expression" dxfId="115" priority="30">
      <formula>$AJ2="Yes – needs PBI Dev to fix"</formula>
    </cfRule>
  </conditionalFormatting>
  <conditionalFormatting sqref="R58">
    <cfRule type="expression" dxfId="114" priority="315">
      <formula>AND($B65&lt;&gt;"",MOD(ROW(),2)=0)</formula>
    </cfRule>
    <cfRule type="expression" dxfId="113" priority="317">
      <formula>$AJ65="Yes – needs PBI Dev to fix"</formula>
    </cfRule>
  </conditionalFormatting>
  <conditionalFormatting sqref="R73:U100 T96:T101">
    <cfRule type="expression" dxfId="112" priority="121">
      <formula>$AF73="Yes – needs QA to fix"</formula>
    </cfRule>
  </conditionalFormatting>
  <conditionalFormatting sqref="S101:U115">
    <cfRule type="expression" dxfId="111" priority="361">
      <formula>$AA101="Yes – needs DPO Approval to fix"</formula>
    </cfRule>
  </conditionalFormatting>
  <conditionalFormatting sqref="S116:U527">
    <cfRule type="expression" dxfId="110" priority="575">
      <formula>$X116="Yes – needs DPO Approval to fix"</formula>
    </cfRule>
  </conditionalFormatting>
  <conditionalFormatting sqref="U101:V527 X101:X527">
    <cfRule type="expression" dxfId="109" priority="48">
      <formula>$V101="Yes"</formula>
    </cfRule>
  </conditionalFormatting>
  <conditionalFormatting sqref="U73:Y100">
    <cfRule type="expression" dxfId="108" priority="123">
      <formula>$AF73="Yes – needs DPO Approval to fix"</formula>
    </cfRule>
  </conditionalFormatting>
  <conditionalFormatting sqref="X116:X527">
    <cfRule type="expression" dxfId="107" priority="576">
      <formula>LEFT($X116,3)="Yes"</formula>
    </cfRule>
  </conditionalFormatting>
  <conditionalFormatting sqref="X73:Z100">
    <cfRule type="expression" dxfId="106" priority="475">
      <formula>$Y73="Yes"</formula>
    </cfRule>
  </conditionalFormatting>
  <conditionalFormatting sqref="Z116:AA527">
    <cfRule type="expression" dxfId="105" priority="53">
      <formula>ISNUMBER(SEARCH("Move old",$Z116))</formula>
    </cfRule>
    <cfRule type="expression" dxfId="104" priority="53">
      <formula>ISNUMBER(SEARCH("log it",$Z116))</formula>
    </cfRule>
    <cfRule type="expression" dxfId="103" priority="53">
      <formula>ISNUMBER(SEARCH("Open rework",$Z116))</formula>
    </cfRule>
    <cfRule type="expression" dxfId="102" priority="54">
      <formula>ISNUMBER(SEARCH("Duplicate",$Z116))</formula>
    </cfRule>
    <cfRule type="expression" dxfId="101" priority="55">
      <formula>$Z116&lt;&gt;""</formula>
    </cfRule>
  </conditionalFormatting>
  <conditionalFormatting sqref="Z116:AC527 G2:V40 N3:N44 L41:V42 T65:V65 G41:J42 Z2:AL2 Z3 Z4:AL41 Z42:AK42 Z43:AL44 Z45:AK47 Z101:AE115 AB3:AL3 A2:F87 G65:Q65 G66:V73 Z48:AL72 Z73:AH100 G43:V64 W2:Y527 A74:V527">
    <cfRule type="expression" dxfId="100" priority="56">
      <formula>AND($B2&lt;&gt;"",MOD(ROW(),2)=0)</formula>
    </cfRule>
  </conditionalFormatting>
  <conditionalFormatting sqref="AA3">
    <cfRule type="expression" dxfId="99" priority="603">
      <formula>AND($B3&lt;&gt;"",MOD(ROW(),2)=0)</formula>
    </cfRule>
    <cfRule type="expression" dxfId="98" priority="604">
      <formula>$AJ3="Yes – needs DPO Approval to fix"</formula>
    </cfRule>
  </conditionalFormatting>
  <conditionalFormatting sqref="AA101:AA115 U2:Z115">
    <cfRule type="expression" dxfId="97" priority="13">
      <formula>$AJ2="Yes – needs QA to fix"</formula>
    </cfRule>
  </conditionalFormatting>
  <conditionalFormatting sqref="AA101:AA115">
    <cfRule type="expression" dxfId="96" priority="10">
      <formula>$AJ101="Yes – needs PBI Dev to fix"</formula>
    </cfRule>
    <cfRule type="expression" dxfId="95" priority="11">
      <formula>$AA101="Yes – needs QA to fix"</formula>
    </cfRule>
    <cfRule type="expression" dxfId="94" priority="12">
      <formula>$V101="Yes"</formula>
    </cfRule>
    <cfRule type="expression" dxfId="93" priority="369">
      <formula>LEFT($AA101,3)="Yes"</formula>
    </cfRule>
  </conditionalFormatting>
  <conditionalFormatting sqref="AA2:AE2 AB3:AE3 AA4:AE100">
    <cfRule type="expression" dxfId="92" priority="97">
      <formula>$AJ2="Yes – needs DPO Approval to fix"</formula>
    </cfRule>
  </conditionalFormatting>
  <conditionalFormatting sqref="AB101:AC115">
    <cfRule type="expression" dxfId="91" priority="377">
      <formula>ISNUMBER(SEARCH("Open rework",$AB101))</formula>
    </cfRule>
    <cfRule type="expression" dxfId="90" priority="378">
      <formula>ISNUMBER(SEARCH("Move old",$AB101))</formula>
    </cfRule>
    <cfRule type="expression" dxfId="89" priority="379">
      <formula>ISNUMBER(SEARCH("log it",$AB101))</formula>
    </cfRule>
    <cfRule type="expression" dxfId="88" priority="380">
      <formula>ISNUMBER(SEARCH("Duplicate",$AB101))</formula>
    </cfRule>
    <cfRule type="expression" dxfId="87" priority="381">
      <formula>$AB101&lt;&gt;""</formula>
    </cfRule>
  </conditionalFormatting>
  <conditionalFormatting sqref="AF2:AF115">
    <cfRule type="expression" dxfId="86" priority="69">
      <formula>$AF2="Yes"</formula>
    </cfRule>
  </conditionalFormatting>
  <conditionalFormatting sqref="AF73:AF100">
    <cfRule type="expression" dxfId="85" priority="127">
      <formula>LEFT($AF73,3)="Yes"</formula>
    </cfRule>
  </conditionalFormatting>
  <conditionalFormatting sqref="AG73:AG100">
    <cfRule type="expression" dxfId="84" priority="133">
      <formula>ISNUMBER(SEARCH("Open rework",$AG73))</formula>
    </cfRule>
    <cfRule type="expression" dxfId="83" priority="134">
      <formula>ISNUMBER(SEARCH("Move old",$AG73))</formula>
    </cfRule>
    <cfRule type="expression" dxfId="82" priority="135">
      <formula>ISNUMBER(SEARCH("log it",$AG73))</formula>
    </cfRule>
    <cfRule type="expression" dxfId="81" priority="136">
      <formula>ISNUMBER(SEARCH("Duplicate",$AG73))</formula>
    </cfRule>
    <cfRule type="expression" dxfId="80" priority="137">
      <formula>$AG73&lt;&gt;""</formula>
    </cfRule>
  </conditionalFormatting>
  <conditionalFormatting sqref="AJ2:AJ115">
    <cfRule type="expression" dxfId="79" priority="71">
      <formula>LEFT($AJ2,3)="Yes"</formula>
    </cfRule>
  </conditionalFormatting>
  <conditionalFormatting sqref="AK2:AK115">
    <cfRule type="expression" dxfId="78" priority="77">
      <formula>ISNUMBER(SEARCH("log it",$AK2))</formula>
    </cfRule>
    <cfRule type="expression" dxfId="77" priority="78">
      <formula>ISNUMBER(SEARCH("Open rework",$AK2))</formula>
    </cfRule>
    <cfRule type="expression" dxfId="76" priority="79">
      <formula>ISNUMBER(SEARCH("Move old",$AK2))</formula>
    </cfRule>
    <cfRule type="expression" dxfId="75" priority="80">
      <formula>ISNUMBER(SEARCH("Duplicate",$AK2))</formula>
    </cfRule>
    <cfRule type="expression" dxfId="74" priority="81">
      <formula>$AK2&lt;&gt;""</formula>
    </cfRule>
  </conditionalFormatting>
  <conditionalFormatting sqref="AL45:AL47">
    <cfRule type="expression" dxfId="73" priority="20">
      <formula>AND($B49&lt;&gt;"",MOD(ROW(),2)=0)</formula>
    </cfRule>
  </conditionalFormatting>
  <conditionalFormatting sqref="D88">
    <cfRule type="expression" dxfId="72" priority="616">
      <formula>AND($B50&lt;&gt;"",MOD(ROW(),2)=0)</formula>
    </cfRule>
  </conditionalFormatting>
  <conditionalFormatting sqref="R60">
    <cfRule type="expression" dxfId="71" priority="7">
      <formula>AND($B67&lt;&gt;"",MOD(ROW(),2)=0)</formula>
    </cfRule>
    <cfRule type="expression" dxfId="70" priority="8">
      <formula>$AJ67="Yes – needs PBI Dev to fix"</formula>
    </cfRule>
  </conditionalFormatting>
  <conditionalFormatting sqref="R60:S60">
    <cfRule type="expression" dxfId="69" priority="5">
      <formula>AND($B67&lt;&gt;"",MOD(ROW(),2)=0)</formula>
    </cfRule>
    <cfRule type="expression" dxfId="68" priority="6">
      <formula>$AJ67="Yes – needs PBI Dev to fix"</formula>
    </cfRule>
  </conditionalFormatting>
  <conditionalFormatting sqref="N70">
    <cfRule type="expression" dxfId="67" priority="4">
      <formula>$AD70="Yes – needs PBI Dev to fix"</formula>
    </cfRule>
  </conditionalFormatting>
  <conditionalFormatting sqref="N58">
    <cfRule type="expression" dxfId="66" priority="3">
      <formula>$AD58="Yes – needs PBI Dev to fix"</formula>
    </cfRule>
  </conditionalFormatting>
  <conditionalFormatting sqref="M91">
    <cfRule type="expression" dxfId="65" priority="2">
      <formula>$AF91="Yes – needs DB Dev to fix"</formula>
    </cfRule>
  </conditionalFormatting>
  <conditionalFormatting sqref="M80">
    <cfRule type="expression" dxfId="64"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5"/>
      <c r="C4" s="176"/>
      <c r="D4" s="176"/>
      <c r="E4" s="176"/>
    </row>
    <row r="6" spans="1:5" ht="15">
      <c r="A6" s="42" t="s">
        <v>0</v>
      </c>
      <c r="B6" s="173" t="str">
        <f>IF($B$4="","",IFERROR(INDEX('Combined Delivery Data'!$A:$A,MATCH($B$4,'Combined Delivery Data'!$B:$B,0)),""))</f>
        <v/>
      </c>
      <c r="C6" s="177"/>
      <c r="D6" s="177"/>
      <c r="E6" s="178"/>
    </row>
    <row r="7" spans="1:5" ht="15">
      <c r="A7" s="42" t="s">
        <v>331</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332</v>
      </c>
      <c r="B14" s="172" t="str">
        <f>IF($B$4="","",IFERROR(INDEX('Combined Delivery Data'!$K:$K,MATCH($B$4,'Combined Delivery Data'!$B:$B,0)),""))</f>
        <v/>
      </c>
      <c r="C14" s="177"/>
      <c r="D14" s="177"/>
      <c r="E14" s="178"/>
    </row>
    <row r="15" spans="1:5" ht="15">
      <c r="A15" s="42" t="s">
        <v>333</v>
      </c>
      <c r="B15" s="172" t="str">
        <f>IF($B$4="","",IFERROR(INDEX('Combined Delivery Data'!$L:$L,MATCH($B$4,'Combined Delivery Data'!$B:$B,0)),""))</f>
        <v/>
      </c>
      <c r="C15" s="177"/>
      <c r="D15" s="177"/>
      <c r="E15" s="178"/>
    </row>
    <row r="16" spans="1:5" ht="15">
      <c r="A16" s="42" t="s">
        <v>334</v>
      </c>
      <c r="B16" s="172" t="str">
        <f>IF($B$4="","",IFERROR(INDEX('Combined Delivery Data'!$M:$M,MATCH($B$4,'Combined Delivery Data'!$B:$B,0)),""))</f>
        <v/>
      </c>
      <c r="C16" s="177"/>
      <c r="D16" s="177"/>
      <c r="E16" s="178"/>
    </row>
    <row r="17" spans="1:5" ht="15">
      <c r="A17" s="42" t="s">
        <v>335</v>
      </c>
      <c r="B17" s="172" t="str">
        <f>IF($B$4="","",IFERROR(INDEX('Combined Delivery Data'!$O:$O,MATCH($B$4,'Combined Delivery Data'!$B:$B,0)),""))</f>
        <v/>
      </c>
      <c r="C17" s="177"/>
      <c r="D17" s="177"/>
      <c r="E17" s="178"/>
    </row>
    <row r="18" spans="1:5" ht="15">
      <c r="A18" s="42" t="s">
        <v>336</v>
      </c>
      <c r="B18" s="172" t="str">
        <f>IF($B$4="","",IFERROR(INDEX('Combined Delivery Data'!$Q:$Q,MATCH($B$4,'Combined Delivery Data'!$B:$B,0)),""))</f>
        <v/>
      </c>
      <c r="C18" s="177"/>
      <c r="D18" s="177"/>
      <c r="E18" s="178"/>
    </row>
    <row r="19" spans="1:5" ht="15">
      <c r="A19" s="42" t="s">
        <v>337</v>
      </c>
      <c r="B19" s="172" t="str">
        <f>IF($B$4="","",IFERROR(INDEX('Combined Delivery Data'!$R:$R,MATCH($B$4,'Combined Delivery Data'!$B:$B,0)),""))</f>
        <v/>
      </c>
      <c r="C19" s="177"/>
      <c r="D19" s="177"/>
      <c r="E19" s="178"/>
    </row>
    <row r="20" spans="1:5" ht="15">
      <c r="A20" s="42" t="s">
        <v>338</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339</v>
      </c>
      <c r="B26" s="173" t="str">
        <f>IF($B$4="","",IFERROR(INDEX('Rework Log'!$Q:$Q,MATCH($B$4,'Rework Log'!$P:$P,0)),""))</f>
        <v/>
      </c>
      <c r="C26" s="177"/>
      <c r="D26" s="177"/>
      <c r="E26" s="178"/>
    </row>
    <row r="27" spans="1:5">
      <c r="A27" s="42" t="s">
        <v>340</v>
      </c>
      <c r="B27" s="173" t="str">
        <f>IF($B$4="","",IFERROR(INDEX('Rework Log'!$R:$R,MATCH($B$4,'Rework Log'!$P:$P,0)),""))</f>
        <v/>
      </c>
      <c r="C27" s="177"/>
      <c r="D27" s="177"/>
      <c r="E27" s="178"/>
    </row>
    <row r="28" spans="1:5">
      <c r="A28" s="42" t="s">
        <v>341</v>
      </c>
      <c r="B28" s="173" t="str">
        <f>IF($B$4="","",IFERROR(INDEX('Rework Log'!$S:$S,MATCH($B$4,'Rework Log'!$P:$P,0)),""))</f>
        <v/>
      </c>
      <c r="C28" s="177"/>
      <c r="D28" s="177"/>
      <c r="E28" s="178"/>
    </row>
    <row r="29" spans="1:5">
      <c r="A29" s="42" t="s">
        <v>342</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 activePane="bottomLeft" state="frozen"/>
      <selection pane="bottomLeft" activeCell="D13" sqref="D1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343</v>
      </c>
      <c r="B1" s="174"/>
      <c r="C1" s="174"/>
      <c r="D1" s="174"/>
      <c r="E1" s="174"/>
      <c r="F1" s="174"/>
      <c r="G1" s="174"/>
      <c r="H1" s="174"/>
      <c r="I1" s="174"/>
      <c r="J1" s="174"/>
      <c r="K1" s="174"/>
      <c r="L1" s="174"/>
      <c r="M1" s="174"/>
      <c r="P1" s="180" t="s">
        <v>344</v>
      </c>
      <c r="Q1" s="180"/>
      <c r="R1" s="180"/>
      <c r="S1" s="180"/>
      <c r="T1" s="180"/>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196</v>
      </c>
      <c r="D3" s="33" t="s">
        <v>181</v>
      </c>
      <c r="E3" s="33" t="s">
        <v>143</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196</v>
      </c>
      <c r="D4" s="31" t="s">
        <v>181</v>
      </c>
      <c r="E4" s="31" t="s">
        <v>143</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196</v>
      </c>
      <c r="D5" s="31" t="s">
        <v>181</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140</v>
      </c>
      <c r="B6" s="32">
        <v>46234</v>
      </c>
      <c r="C6" s="31" t="s">
        <v>196</v>
      </c>
      <c r="D6" s="31" t="s">
        <v>181</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196</v>
      </c>
      <c r="D7" s="31" t="s">
        <v>181</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196</v>
      </c>
      <c r="D8" s="31" t="s">
        <v>181</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196</v>
      </c>
      <c r="D9" s="31" t="s">
        <v>181</v>
      </c>
      <c r="E9" s="31" t="s">
        <v>143</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196</v>
      </c>
      <c r="D10" s="31" t="s">
        <v>181</v>
      </c>
      <c r="E10" s="31" t="s">
        <v>143</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196</v>
      </c>
      <c r="D11" s="31" t="s">
        <v>181</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149</v>
      </c>
      <c r="B12" s="32">
        <v>46254</v>
      </c>
      <c r="C12" s="31" t="s">
        <v>196</v>
      </c>
      <c r="D12" s="31" t="s">
        <v>181</v>
      </c>
      <c r="E12" s="31" t="s">
        <v>143</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138</v>
      </c>
      <c r="B13" s="32">
        <v>46258</v>
      </c>
      <c r="C13" s="31" t="s">
        <v>196</v>
      </c>
      <c r="D13" s="31" t="s">
        <v>181</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196</v>
      </c>
      <c r="D14" s="31" t="s">
        <v>188</v>
      </c>
      <c r="E14" s="31" t="s">
        <v>143</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155</v>
      </c>
      <c r="B15" s="32">
        <v>46258</v>
      </c>
      <c r="C15" s="31" t="s">
        <v>196</v>
      </c>
      <c r="D15" s="31" t="s">
        <v>188</v>
      </c>
      <c r="E15" s="31" t="s">
        <v>143</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196</v>
      </c>
      <c r="D16" s="31" t="s">
        <v>181</v>
      </c>
      <c r="E16" s="31" t="s">
        <v>143</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145</v>
      </c>
      <c r="B17" s="32">
        <v>46260</v>
      </c>
      <c r="C17" s="31" t="s">
        <v>196</v>
      </c>
      <c r="D17" s="31" t="s">
        <v>188</v>
      </c>
      <c r="E17" s="31" t="s">
        <v>143</v>
      </c>
      <c r="F17" s="31" t="s">
        <v>373</v>
      </c>
      <c r="G17" s="31" t="s">
        <v>50</v>
      </c>
      <c r="H17" s="32"/>
      <c r="I17" s="32"/>
      <c r="J17" s="32"/>
      <c r="K17" s="31"/>
      <c r="L17" s="31"/>
      <c r="M17" s="3"/>
      <c r="S17" s="28"/>
    </row>
    <row r="18" spans="1:20">
      <c r="A18" s="33" t="s">
        <v>180</v>
      </c>
      <c r="B18" s="32">
        <v>46261</v>
      </c>
      <c r="C18" s="31" t="s">
        <v>196</v>
      </c>
      <c r="D18" s="31" t="s">
        <v>181</v>
      </c>
      <c r="E18" s="31" t="s">
        <v>129</v>
      </c>
      <c r="F18" s="31" t="s">
        <v>374</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196</v>
      </c>
      <c r="D19" s="31" t="s">
        <v>188</v>
      </c>
      <c r="E19" s="31" t="s">
        <v>143</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196</v>
      </c>
      <c r="D20" s="31" t="s">
        <v>188</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174</v>
      </c>
      <c r="B21" s="32">
        <v>46265</v>
      </c>
      <c r="C21" s="31" t="s">
        <v>196</v>
      </c>
      <c r="D21" s="31" t="s">
        <v>181</v>
      </c>
      <c r="E21" s="31" t="s">
        <v>47</v>
      </c>
      <c r="F21" s="31" t="s">
        <v>379</v>
      </c>
      <c r="G21" s="31" t="s">
        <v>50</v>
      </c>
      <c r="H21" s="32"/>
      <c r="I21" s="32">
        <v>46266</v>
      </c>
      <c r="J21" s="32">
        <v>46266</v>
      </c>
      <c r="K21" s="31"/>
      <c r="L21" s="31" t="s">
        <v>380</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138</v>
      </c>
      <c r="B22" s="32">
        <v>46265</v>
      </c>
      <c r="C22" s="31" t="s">
        <v>196</v>
      </c>
      <c r="D22" s="31" t="s">
        <v>181</v>
      </c>
      <c r="E22" s="31" t="s">
        <v>129</v>
      </c>
      <c r="F22" s="31" t="s">
        <v>381</v>
      </c>
      <c r="G22" s="31" t="s">
        <v>50</v>
      </c>
      <c r="H22" s="32"/>
      <c r="I22" s="32"/>
      <c r="J22" s="32">
        <v>46266</v>
      </c>
      <c r="K22" s="31" t="s">
        <v>59</v>
      </c>
      <c r="L22" s="31"/>
      <c r="M22" s="3" t="str">
        <f t="shared" ca="1" si="0"/>
        <v>Fixed</v>
      </c>
      <c r="N22" t="s">
        <v>368</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196</v>
      </c>
      <c r="D23" s="31" t="s">
        <v>188</v>
      </c>
      <c r="E23" s="31" t="s">
        <v>47</v>
      </c>
      <c r="F23" s="31" t="s">
        <v>382</v>
      </c>
      <c r="G23" s="31" t="s">
        <v>50</v>
      </c>
      <c r="H23" s="32"/>
      <c r="I23" s="32">
        <v>46267</v>
      </c>
      <c r="J23" s="32">
        <v>46268</v>
      </c>
      <c r="K23" s="31" t="s">
        <v>46</v>
      </c>
      <c r="L23" s="31" t="s">
        <v>380</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196</v>
      </c>
      <c r="D24" s="31" t="s">
        <v>188</v>
      </c>
      <c r="E24" s="31" t="s">
        <v>47</v>
      </c>
      <c r="F24" s="31" t="s">
        <v>383</v>
      </c>
      <c r="G24" s="31" t="s">
        <v>50</v>
      </c>
      <c r="H24" s="32"/>
      <c r="I24" s="171">
        <v>46267</v>
      </c>
      <c r="J24" s="32">
        <v>46268</v>
      </c>
      <c r="K24" s="31" t="s">
        <v>46</v>
      </c>
      <c r="L24" s="31" t="s">
        <v>380</v>
      </c>
      <c r="M24" s="3" t="str">
        <f t="shared" ca="1" si="0"/>
        <v>Fixed</v>
      </c>
      <c r="N24" t="s">
        <v>368</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196</v>
      </c>
      <c r="D25" s="31" t="s">
        <v>188</v>
      </c>
      <c r="E25" s="31" t="s">
        <v>47</v>
      </c>
      <c r="F25" s="77" t="s">
        <v>384</v>
      </c>
      <c r="G25" s="31" t="s">
        <v>50</v>
      </c>
      <c r="H25" s="32"/>
      <c r="I25" s="32">
        <v>46267</v>
      </c>
      <c r="J25" s="32">
        <v>46268</v>
      </c>
      <c r="K25" s="31" t="s">
        <v>46</v>
      </c>
      <c r="L25" s="31" t="s">
        <v>380</v>
      </c>
      <c r="M25" s="3" t="str">
        <f t="shared" ca="1" si="0"/>
        <v>Fixed</v>
      </c>
      <c r="N25" s="33" t="s">
        <v>178</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187</v>
      </c>
      <c r="B26" s="32">
        <v>46267</v>
      </c>
      <c r="C26" s="31" t="s">
        <v>196</v>
      </c>
      <c r="D26" s="31" t="s">
        <v>188</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180</v>
      </c>
      <c r="B27" s="32">
        <v>46267</v>
      </c>
      <c r="C27" s="31" t="s">
        <v>196</v>
      </c>
      <c r="D27" s="31" t="s">
        <v>181</v>
      </c>
      <c r="E27" s="31" t="s">
        <v>129</v>
      </c>
      <c r="F27" s="31" t="s">
        <v>374</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196</v>
      </c>
      <c r="D28" s="31" t="s">
        <v>188</v>
      </c>
      <c r="E28" s="31" t="s">
        <v>143</v>
      </c>
      <c r="F28" s="31" t="s">
        <v>386</v>
      </c>
      <c r="G28" s="31" t="s">
        <v>50</v>
      </c>
      <c r="H28" s="32"/>
      <c r="I28" s="32"/>
      <c r="J28" s="32">
        <v>46267</v>
      </c>
      <c r="K28" s="31" t="s">
        <v>77</v>
      </c>
      <c r="L28" s="31" t="s">
        <v>387</v>
      </c>
      <c r="M28" s="3" t="str">
        <f t="shared" ca="1" si="0"/>
        <v>Fixed</v>
      </c>
      <c r="N28" t="s">
        <v>368</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196</v>
      </c>
      <c r="D29" s="31" t="s">
        <v>188</v>
      </c>
      <c r="E29" s="31" t="s">
        <v>129</v>
      </c>
      <c r="F29" s="31" t="s">
        <v>386</v>
      </c>
      <c r="G29" s="31" t="s">
        <v>50</v>
      </c>
      <c r="H29" s="32"/>
      <c r="I29" s="32"/>
      <c r="J29" s="32">
        <v>46267</v>
      </c>
      <c r="K29" s="31" t="s">
        <v>77</v>
      </c>
      <c r="L29" s="115"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196</v>
      </c>
      <c r="D30" s="31" t="s">
        <v>188</v>
      </c>
      <c r="E30" s="31" t="s">
        <v>129</v>
      </c>
      <c r="F30" s="31" t="s">
        <v>386</v>
      </c>
      <c r="G30" s="31" t="s">
        <v>50</v>
      </c>
      <c r="H30" s="32"/>
      <c r="I30" s="32"/>
      <c r="J30" s="32">
        <v>46267</v>
      </c>
      <c r="K30" s="31" t="s">
        <v>77</v>
      </c>
      <c r="L30" s="115"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180</v>
      </c>
      <c r="B31" s="32">
        <v>46267</v>
      </c>
      <c r="C31" s="31" t="s">
        <v>196</v>
      </c>
      <c r="D31" s="31" t="s">
        <v>181</v>
      </c>
      <c r="E31" s="31" t="s">
        <v>129</v>
      </c>
      <c r="F31" s="31" t="s">
        <v>388</v>
      </c>
      <c r="G31" s="31" t="s">
        <v>50</v>
      </c>
      <c r="H31" s="32"/>
      <c r="I31" s="32"/>
      <c r="J31" s="32">
        <v>46267</v>
      </c>
      <c r="K31" s="31" t="s">
        <v>154</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196</v>
      </c>
      <c r="D32" s="31" t="s">
        <v>181</v>
      </c>
      <c r="E32" s="31" t="s">
        <v>47</v>
      </c>
      <c r="F32" s="31" t="s">
        <v>389</v>
      </c>
      <c r="G32" s="31" t="s">
        <v>50</v>
      </c>
      <c r="H32" s="32"/>
      <c r="I32" s="32">
        <v>46269</v>
      </c>
      <c r="J32" s="32">
        <v>46269</v>
      </c>
      <c r="K32" s="31"/>
      <c r="L32" s="31" t="s">
        <v>380</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183</v>
      </c>
      <c r="B33" s="32">
        <v>46267</v>
      </c>
      <c r="C33" s="31" t="s">
        <v>196</v>
      </c>
      <c r="D33" s="31" t="s">
        <v>181</v>
      </c>
      <c r="E33" s="31" t="s">
        <v>203</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196</v>
      </c>
      <c r="D34" s="31" t="s">
        <v>181</v>
      </c>
      <c r="E34" s="31" t="s">
        <v>47</v>
      </c>
      <c r="F34" s="31" t="s">
        <v>391</v>
      </c>
      <c r="G34" s="31" t="s">
        <v>50</v>
      </c>
      <c r="H34" s="32"/>
      <c r="I34" s="32">
        <v>46274</v>
      </c>
      <c r="J34" s="32">
        <v>46274</v>
      </c>
      <c r="K34" s="31"/>
      <c r="L34" s="31" t="s">
        <v>380</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196</v>
      </c>
      <c r="D35" s="31" t="s">
        <v>188</v>
      </c>
      <c r="E35" s="31" t="s">
        <v>47</v>
      </c>
      <c r="F35" s="77" t="s">
        <v>392</v>
      </c>
      <c r="G35" s="31" t="s">
        <v>50</v>
      </c>
      <c r="H35" s="32"/>
      <c r="I35" s="32">
        <v>46275</v>
      </c>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180</v>
      </c>
      <c r="B36" s="32">
        <v>46275</v>
      </c>
      <c r="C36" s="31" t="s">
        <v>196</v>
      </c>
      <c r="D36" s="31" t="s">
        <v>181</v>
      </c>
      <c r="E36" s="31" t="s">
        <v>129</v>
      </c>
      <c r="F36" s="31" t="s">
        <v>394</v>
      </c>
      <c r="G36" s="31" t="s">
        <v>50</v>
      </c>
      <c r="H36" s="32"/>
      <c r="I36" s="32"/>
      <c r="J36" s="32">
        <v>46276</v>
      </c>
      <c r="K36" s="31" t="s">
        <v>154</v>
      </c>
      <c r="L36" s="31"/>
      <c r="M36" s="3" t="str">
        <f t="shared" ca="1" si="0"/>
        <v>Fixed</v>
      </c>
      <c r="N36" t="s">
        <v>368</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187</v>
      </c>
      <c r="B37" s="32">
        <v>46275</v>
      </c>
      <c r="C37" s="31" t="s">
        <v>196</v>
      </c>
      <c r="D37" s="31" t="s">
        <v>181</v>
      </c>
      <c r="E37" s="31" t="s">
        <v>129</v>
      </c>
      <c r="F37" s="31" t="s">
        <v>395</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180</v>
      </c>
      <c r="B38" s="32">
        <v>46279</v>
      </c>
      <c r="C38" s="31" t="s">
        <v>196</v>
      </c>
      <c r="D38" s="31" t="s">
        <v>181</v>
      </c>
      <c r="E38" s="31" t="s">
        <v>129</v>
      </c>
      <c r="F38" s="31" t="s">
        <v>396</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196</v>
      </c>
      <c r="D39" s="31" t="s">
        <v>188</v>
      </c>
      <c r="E39" s="31" t="s">
        <v>143</v>
      </c>
      <c r="F39" s="31" t="s">
        <v>397</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196</v>
      </c>
      <c r="D40" s="31" t="s">
        <v>181</v>
      </c>
      <c r="E40" s="31" t="s">
        <v>47</v>
      </c>
      <c r="F40" s="31" t="s">
        <v>398</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196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196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196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196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196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196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196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196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196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196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196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196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196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196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196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196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196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196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196</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196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196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196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196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196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196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196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196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196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196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196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196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196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196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196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196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196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196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196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196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196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196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196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196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196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196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196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196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196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196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196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196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196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196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196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196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196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196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196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196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196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196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196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196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196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196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196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196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196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196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196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196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196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196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196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196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196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196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196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196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196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196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196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196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196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196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196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196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196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196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196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196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196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196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196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196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196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196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196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196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196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196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196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196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196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196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196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196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196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196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196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196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196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196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196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196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196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196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196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196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196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196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196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196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196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196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196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196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196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196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196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196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196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196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196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196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196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196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196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196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196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196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196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196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196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196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196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196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196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196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196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196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196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196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196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196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196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196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196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399</v>
      </c>
      <c r="B1" s="176"/>
      <c r="C1" s="176"/>
    </row>
    <row r="2" spans="1:8" ht="14.25" customHeight="1">
      <c r="A2" s="8" t="s">
        <v>0</v>
      </c>
      <c r="B2" s="8" t="s">
        <v>400</v>
      </c>
      <c r="C2" s="8" t="s">
        <v>401</v>
      </c>
      <c r="E2" t="s">
        <v>402</v>
      </c>
      <c r="F2" t="s">
        <v>403</v>
      </c>
      <c r="G2" t="s">
        <v>404</v>
      </c>
      <c r="H2" t="s">
        <v>405</v>
      </c>
    </row>
    <row r="3" spans="1:8" ht="14.25" customHeight="1">
      <c r="A3" s="11" t="s">
        <v>40</v>
      </c>
      <c r="B3" s="11">
        <v>8</v>
      </c>
      <c r="C3" s="12">
        <v>46142</v>
      </c>
      <c r="E3" t="s">
        <v>406</v>
      </c>
      <c r="F3" s="28">
        <v>46233</v>
      </c>
      <c r="G3" s="28">
        <v>46274</v>
      </c>
    </row>
    <row r="4" spans="1:8" ht="14.25" customHeight="1">
      <c r="A4" s="11" t="s">
        <v>40</v>
      </c>
      <c r="B4" s="11">
        <v>10</v>
      </c>
      <c r="C4" s="12">
        <v>46172</v>
      </c>
      <c r="E4" t="s">
        <v>407</v>
      </c>
      <c r="F4" s="28">
        <v>46264</v>
      </c>
      <c r="G4" s="28">
        <v>46295</v>
      </c>
    </row>
    <row r="5" spans="1:8" ht="14.25" customHeight="1">
      <c r="A5" s="11" t="s">
        <v>40</v>
      </c>
      <c r="B5" s="11">
        <v>9</v>
      </c>
      <c r="C5" s="12">
        <v>46203</v>
      </c>
      <c r="E5" t="s">
        <v>408</v>
      </c>
      <c r="F5" s="28">
        <v>46295</v>
      </c>
      <c r="G5" s="28">
        <v>46325</v>
      </c>
    </row>
    <row r="6" spans="1:8" ht="14.25" customHeight="1">
      <c r="A6" s="11" t="s">
        <v>126</v>
      </c>
      <c r="B6" s="11">
        <v>15</v>
      </c>
      <c r="C6" s="12">
        <v>46233</v>
      </c>
      <c r="E6" t="s">
        <v>409</v>
      </c>
      <c r="F6" s="28">
        <v>46325</v>
      </c>
      <c r="G6" s="28">
        <v>46356</v>
      </c>
    </row>
    <row r="7" spans="1:8" ht="14.25" customHeight="1">
      <c r="A7" s="11" t="s">
        <v>126</v>
      </c>
      <c r="B7" s="11">
        <v>15</v>
      </c>
      <c r="C7" s="12">
        <v>46264</v>
      </c>
      <c r="E7" t="s">
        <v>410</v>
      </c>
      <c r="F7" s="28">
        <v>46356</v>
      </c>
      <c r="G7" s="28">
        <v>46387</v>
      </c>
    </row>
    <row r="8" spans="1:8" ht="14.25" customHeight="1">
      <c r="A8" s="11" t="s">
        <v>126</v>
      </c>
      <c r="B8" s="11">
        <v>17</v>
      </c>
      <c r="C8" s="12">
        <v>46295</v>
      </c>
      <c r="E8" t="s">
        <v>411</v>
      </c>
      <c r="F8" s="28">
        <v>46387</v>
      </c>
      <c r="G8" s="28">
        <v>46417</v>
      </c>
    </row>
    <row r="9" spans="1:8" ht="14.25" customHeight="1">
      <c r="A9" s="11" t="s">
        <v>126</v>
      </c>
      <c r="B9" s="11">
        <v>20</v>
      </c>
      <c r="C9" s="12">
        <v>46325</v>
      </c>
      <c r="E9" t="s">
        <v>412</v>
      </c>
      <c r="F9" s="28">
        <v>46417</v>
      </c>
      <c r="G9" s="28">
        <v>46445</v>
      </c>
    </row>
    <row r="10" spans="1:8" ht="14.25" customHeight="1">
      <c r="A10" s="11" t="s">
        <v>126</v>
      </c>
      <c r="B10" s="11">
        <v>20</v>
      </c>
      <c r="C10" s="12">
        <v>46356</v>
      </c>
      <c r="E10" t="s">
        <v>413</v>
      </c>
      <c r="F10" s="28">
        <v>46446</v>
      </c>
      <c r="G10" s="28">
        <v>46477</v>
      </c>
    </row>
    <row r="11" spans="1:8" ht="14.25" customHeight="1">
      <c r="A11" s="11" t="s">
        <v>414</v>
      </c>
      <c r="B11" s="11">
        <v>18</v>
      </c>
      <c r="C11" s="12">
        <v>46417</v>
      </c>
      <c r="E11" t="s">
        <v>415</v>
      </c>
      <c r="F11" s="28">
        <v>46477</v>
      </c>
      <c r="G11" s="28">
        <v>46480</v>
      </c>
    </row>
    <row r="12" spans="1:8" ht="14.25" customHeight="1">
      <c r="A12" s="11" t="s">
        <v>414</v>
      </c>
      <c r="B12" s="11">
        <v>18</v>
      </c>
      <c r="C12" s="12">
        <v>46446</v>
      </c>
    </row>
    <row r="13" spans="1:8" ht="14.25" customHeight="1">
      <c r="A13" s="11" t="s">
        <v>414</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416</v>
      </c>
      <c r="B1" s="176"/>
      <c r="C1" s="176"/>
      <c r="D1" s="176"/>
      <c r="E1" s="176"/>
      <c r="F1" s="176"/>
      <c r="G1" s="176"/>
      <c r="H1" s="176"/>
      <c r="I1" s="176"/>
      <c r="J1" s="176"/>
    </row>
    <row r="2" spans="1:10" ht="27" customHeight="1">
      <c r="A2" s="8" t="s">
        <v>0</v>
      </c>
      <c r="B2" s="8" t="s">
        <v>417</v>
      </c>
      <c r="C2" s="8" t="s">
        <v>1</v>
      </c>
      <c r="D2" s="8" t="s">
        <v>418</v>
      </c>
      <c r="E2" s="8" t="s">
        <v>419</v>
      </c>
      <c r="F2" s="8" t="s">
        <v>6</v>
      </c>
      <c r="G2" s="8" t="s">
        <v>5</v>
      </c>
      <c r="H2" s="8" t="s">
        <v>420</v>
      </c>
      <c r="I2" s="8" t="s">
        <v>401</v>
      </c>
      <c r="J2" s="8" t="s">
        <v>421</v>
      </c>
    </row>
    <row r="3" spans="1:10" ht="14.25" customHeight="1">
      <c r="A3" s="9" t="s">
        <v>40</v>
      </c>
      <c r="B3" s="9" t="s">
        <v>181</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196</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181</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196</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181</v>
      </c>
      <c r="C13" s="9" t="s">
        <v>422</v>
      </c>
      <c r="D13" s="9" t="s">
        <v>423</v>
      </c>
      <c r="E13" s="9" t="s">
        <v>46</v>
      </c>
      <c r="F13" s="9"/>
      <c r="G13" s="9"/>
      <c r="H13" s="10"/>
      <c r="I13" s="10">
        <v>46115</v>
      </c>
      <c r="J13" s="10">
        <v>46115</v>
      </c>
    </row>
    <row r="14" spans="1:10" ht="14.25" customHeight="1">
      <c r="A14" s="9" t="s">
        <v>40</v>
      </c>
      <c r="B14" s="9" t="s">
        <v>188</v>
      </c>
      <c r="C14" s="9" t="s">
        <v>422</v>
      </c>
      <c r="D14" s="9" t="s">
        <v>423</v>
      </c>
      <c r="E14" s="9" t="s">
        <v>46</v>
      </c>
      <c r="F14" s="9"/>
      <c r="G14" s="9"/>
      <c r="H14" s="10">
        <v>46115</v>
      </c>
      <c r="I14" s="10">
        <v>46120</v>
      </c>
      <c r="J14" s="10">
        <v>46120</v>
      </c>
    </row>
    <row r="15" spans="1:10" ht="14.25" customHeight="1">
      <c r="A15" s="9" t="s">
        <v>40</v>
      </c>
      <c r="B15" s="9" t="s">
        <v>196</v>
      </c>
      <c r="C15" s="9" t="s">
        <v>422</v>
      </c>
      <c r="D15" s="9" t="s">
        <v>423</v>
      </c>
      <c r="E15" s="9" t="s">
        <v>46</v>
      </c>
      <c r="F15" s="9"/>
      <c r="G15" s="9"/>
      <c r="H15" s="10">
        <v>46120</v>
      </c>
      <c r="I15" s="10">
        <v>46122</v>
      </c>
      <c r="J15" s="10">
        <v>46122</v>
      </c>
    </row>
    <row r="16" spans="1:10" ht="14.25" customHeight="1">
      <c r="A16" s="9" t="s">
        <v>40</v>
      </c>
      <c r="B16" s="9" t="s">
        <v>164</v>
      </c>
      <c r="C16" s="9" t="s">
        <v>422</v>
      </c>
      <c r="D16" s="9" t="s">
        <v>423</v>
      </c>
      <c r="E16" s="9" t="s">
        <v>46</v>
      </c>
      <c r="F16" s="9"/>
      <c r="G16" s="9"/>
      <c r="H16" s="10">
        <v>46122</v>
      </c>
      <c r="I16" s="10"/>
      <c r="J16" s="10"/>
    </row>
    <row r="17" spans="1:10" ht="14.25" customHeight="1">
      <c r="A17" s="9" t="s">
        <v>40</v>
      </c>
      <c r="B17" s="9" t="s">
        <v>42</v>
      </c>
      <c r="C17" s="9" t="s">
        <v>422</v>
      </c>
      <c r="D17" s="9" t="s">
        <v>423</v>
      </c>
      <c r="E17" s="9" t="s">
        <v>46</v>
      </c>
      <c r="F17" s="9"/>
      <c r="G17" s="9"/>
      <c r="H17" s="10"/>
      <c r="I17" s="10"/>
      <c r="J17" s="10"/>
    </row>
    <row r="18" spans="1:10" ht="14.25" customHeight="1">
      <c r="A18" s="9" t="s">
        <v>40</v>
      </c>
      <c r="B18" s="9" t="s">
        <v>181</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196</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181</v>
      </c>
      <c r="C23" s="9" t="s">
        <v>64</v>
      </c>
      <c r="D23" s="9" t="s">
        <v>423</v>
      </c>
      <c r="E23" s="9" t="s">
        <v>46</v>
      </c>
      <c r="F23" s="9"/>
      <c r="G23" s="9"/>
      <c r="H23" s="10"/>
      <c r="I23" s="10">
        <v>46115</v>
      </c>
      <c r="J23" s="10">
        <v>46115</v>
      </c>
    </row>
    <row r="24" spans="1:10" ht="14.25" customHeight="1">
      <c r="A24" s="9" t="s">
        <v>40</v>
      </c>
      <c r="B24" s="9" t="s">
        <v>188</v>
      </c>
      <c r="C24" s="9" t="s">
        <v>64</v>
      </c>
      <c r="D24" s="9" t="s">
        <v>423</v>
      </c>
      <c r="E24" s="9" t="s">
        <v>46</v>
      </c>
      <c r="F24" s="9"/>
      <c r="G24" s="9"/>
      <c r="H24" s="10">
        <v>46115</v>
      </c>
      <c r="I24" s="10">
        <v>46120</v>
      </c>
      <c r="J24" s="10">
        <v>46120</v>
      </c>
    </row>
    <row r="25" spans="1:10" ht="14.25" customHeight="1">
      <c r="A25" s="9" t="s">
        <v>40</v>
      </c>
      <c r="B25" s="9" t="s">
        <v>196</v>
      </c>
      <c r="C25" s="9" t="s">
        <v>64</v>
      </c>
      <c r="D25" s="9" t="s">
        <v>423</v>
      </c>
      <c r="E25" s="9" t="s">
        <v>46</v>
      </c>
      <c r="F25" s="9"/>
      <c r="G25" s="9"/>
      <c r="H25" s="10">
        <v>46120</v>
      </c>
      <c r="I25" s="10">
        <v>46122</v>
      </c>
      <c r="J25" s="10">
        <v>46122</v>
      </c>
    </row>
    <row r="26" spans="1:10" ht="14.25" customHeight="1">
      <c r="A26" s="9" t="s">
        <v>40</v>
      </c>
      <c r="B26" s="9" t="s">
        <v>164</v>
      </c>
      <c r="C26" s="9" t="s">
        <v>64</v>
      </c>
      <c r="D26" s="9" t="s">
        <v>423</v>
      </c>
      <c r="E26" s="9" t="s">
        <v>46</v>
      </c>
      <c r="F26" s="9"/>
      <c r="G26" s="9"/>
      <c r="H26" s="10">
        <v>46122</v>
      </c>
      <c r="I26" s="10"/>
      <c r="J26" s="10"/>
    </row>
    <row r="27" spans="1:10" ht="14.25" customHeight="1">
      <c r="A27" s="9" t="s">
        <v>40</v>
      </c>
      <c r="B27" s="9" t="s">
        <v>42</v>
      </c>
      <c r="C27" s="9" t="s">
        <v>64</v>
      </c>
      <c r="D27" s="9" t="s">
        <v>423</v>
      </c>
      <c r="E27" s="9" t="s">
        <v>46</v>
      </c>
      <c r="F27" s="9"/>
      <c r="G27" s="9"/>
      <c r="H27" s="10"/>
      <c r="I27" s="10"/>
      <c r="J27" s="10"/>
    </row>
    <row r="28" spans="1:10" ht="14.25" customHeight="1">
      <c r="A28" s="9" t="s">
        <v>40</v>
      </c>
      <c r="B28" s="9" t="s">
        <v>181</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196</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181</v>
      </c>
      <c r="C33" s="9" t="s">
        <v>70</v>
      </c>
      <c r="D33" s="9" t="s">
        <v>423</v>
      </c>
      <c r="E33" s="9" t="s">
        <v>60</v>
      </c>
      <c r="F33" s="9"/>
      <c r="G33" s="9"/>
      <c r="H33" s="10"/>
      <c r="I33" s="10">
        <v>46122</v>
      </c>
      <c r="J33" s="10">
        <v>46122</v>
      </c>
    </row>
    <row r="34" spans="1:10" ht="14.25" customHeight="1">
      <c r="A34" s="9" t="s">
        <v>40</v>
      </c>
      <c r="B34" s="9" t="s">
        <v>188</v>
      </c>
      <c r="C34" s="9" t="s">
        <v>70</v>
      </c>
      <c r="D34" s="9" t="s">
        <v>423</v>
      </c>
      <c r="E34" s="9" t="s">
        <v>60</v>
      </c>
      <c r="F34" s="9"/>
      <c r="G34" s="9"/>
      <c r="H34" s="10">
        <v>46122</v>
      </c>
      <c r="I34" s="10">
        <v>46126</v>
      </c>
      <c r="J34" s="10">
        <v>46126</v>
      </c>
    </row>
    <row r="35" spans="1:10" ht="14.25" customHeight="1">
      <c r="A35" s="9" t="s">
        <v>40</v>
      </c>
      <c r="B35" s="9" t="s">
        <v>196</v>
      </c>
      <c r="C35" s="9" t="s">
        <v>70</v>
      </c>
      <c r="D35" s="9" t="s">
        <v>423</v>
      </c>
      <c r="E35" s="9" t="s">
        <v>60</v>
      </c>
      <c r="F35" s="9"/>
      <c r="G35" s="9"/>
      <c r="H35" s="10">
        <v>46126</v>
      </c>
      <c r="I35" s="10">
        <v>46122</v>
      </c>
      <c r="J35" s="10">
        <v>46122</v>
      </c>
    </row>
    <row r="36" spans="1:10" ht="14.25" customHeight="1">
      <c r="A36" s="9" t="s">
        <v>40</v>
      </c>
      <c r="B36" s="9" t="s">
        <v>164</v>
      </c>
      <c r="C36" s="9" t="s">
        <v>70</v>
      </c>
      <c r="D36" s="9" t="s">
        <v>423</v>
      </c>
      <c r="E36" s="9" t="s">
        <v>60</v>
      </c>
      <c r="F36" s="9"/>
      <c r="G36" s="9"/>
      <c r="H36" s="10">
        <v>46122</v>
      </c>
      <c r="I36" s="10"/>
      <c r="J36" s="10"/>
    </row>
    <row r="37" spans="1:10" ht="14.25" customHeight="1">
      <c r="A37" s="9" t="s">
        <v>40</v>
      </c>
      <c r="B37" s="9" t="s">
        <v>42</v>
      </c>
      <c r="C37" s="9" t="s">
        <v>70</v>
      </c>
      <c r="D37" s="9" t="s">
        <v>423</v>
      </c>
      <c r="E37" s="9" t="s">
        <v>60</v>
      </c>
      <c r="F37" s="9"/>
      <c r="G37" s="9"/>
      <c r="H37" s="10"/>
      <c r="I37" s="10"/>
      <c r="J37" s="10"/>
    </row>
    <row r="38" spans="1:10" ht="14.25" customHeight="1">
      <c r="A38" s="9" t="s">
        <v>40</v>
      </c>
      <c r="B38" s="9" t="s">
        <v>181</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196</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181</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196</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181</v>
      </c>
      <c r="C48" s="9" t="s">
        <v>97</v>
      </c>
      <c r="D48" s="9" t="s">
        <v>423</v>
      </c>
      <c r="E48" s="9" t="s">
        <v>60</v>
      </c>
      <c r="F48" s="9"/>
      <c r="G48" s="9"/>
      <c r="H48" s="10"/>
      <c r="I48" s="10"/>
      <c r="J48" s="10"/>
    </row>
    <row r="49" spans="1:10" ht="14.25" customHeight="1">
      <c r="A49" s="9" t="s">
        <v>40</v>
      </c>
      <c r="B49" s="9" t="s">
        <v>188</v>
      </c>
      <c r="C49" s="9" t="s">
        <v>97</v>
      </c>
      <c r="D49" s="9" t="s">
        <v>423</v>
      </c>
      <c r="E49" s="9" t="s">
        <v>60</v>
      </c>
      <c r="F49" s="9"/>
      <c r="G49" s="9"/>
      <c r="H49" s="10"/>
      <c r="I49" s="10">
        <v>46139</v>
      </c>
      <c r="J49" s="10">
        <v>46139</v>
      </c>
    </row>
    <row r="50" spans="1:10" ht="14.25" customHeight="1">
      <c r="A50" s="9" t="s">
        <v>40</v>
      </c>
      <c r="B50" s="9" t="s">
        <v>196</v>
      </c>
      <c r="C50" s="9" t="s">
        <v>97</v>
      </c>
      <c r="D50" s="9" t="s">
        <v>423</v>
      </c>
      <c r="E50" s="9" t="s">
        <v>60</v>
      </c>
      <c r="F50" s="9"/>
      <c r="G50" s="9"/>
      <c r="H50" s="10">
        <v>46139</v>
      </c>
      <c r="I50" s="10">
        <v>46139</v>
      </c>
      <c r="J50" s="10">
        <v>46139</v>
      </c>
    </row>
    <row r="51" spans="1:10" ht="14.25" customHeight="1">
      <c r="A51" s="9" t="s">
        <v>40</v>
      </c>
      <c r="B51" s="9" t="s">
        <v>164</v>
      </c>
      <c r="C51" s="9" t="s">
        <v>97</v>
      </c>
      <c r="D51" s="9" t="s">
        <v>423</v>
      </c>
      <c r="E51" s="9" t="s">
        <v>60</v>
      </c>
      <c r="F51" s="9"/>
      <c r="G51" s="9"/>
      <c r="H51" s="10">
        <v>46139</v>
      </c>
      <c r="I51" s="10"/>
      <c r="J51" s="10"/>
    </row>
    <row r="52" spans="1:10" ht="14.25" customHeight="1">
      <c r="A52" s="9" t="s">
        <v>40</v>
      </c>
      <c r="B52" s="9" t="s">
        <v>42</v>
      </c>
      <c r="C52" s="9" t="s">
        <v>97</v>
      </c>
      <c r="D52" s="9" t="s">
        <v>423</v>
      </c>
      <c r="E52" s="9" t="s">
        <v>60</v>
      </c>
      <c r="F52" s="9"/>
      <c r="G52" s="9"/>
      <c r="H52" s="10"/>
      <c r="I52" s="10"/>
      <c r="J52" s="10"/>
    </row>
    <row r="53" spans="1:10" ht="14.25" customHeight="1">
      <c r="A53" s="9" t="s">
        <v>40</v>
      </c>
      <c r="B53" s="9" t="s">
        <v>181</v>
      </c>
      <c r="C53" s="9" t="s">
        <v>98</v>
      </c>
      <c r="D53" s="9" t="s">
        <v>423</v>
      </c>
      <c r="E53" s="9" t="s">
        <v>60</v>
      </c>
      <c r="F53" s="9"/>
      <c r="G53" s="9"/>
      <c r="H53" s="10"/>
      <c r="I53" s="10"/>
      <c r="J53" s="10"/>
    </row>
    <row r="54" spans="1:10" ht="14.25" customHeight="1">
      <c r="A54" s="9" t="s">
        <v>40</v>
      </c>
      <c r="B54" s="9" t="s">
        <v>188</v>
      </c>
      <c r="C54" s="9" t="s">
        <v>98</v>
      </c>
      <c r="D54" s="9" t="s">
        <v>423</v>
      </c>
      <c r="E54" s="9" t="s">
        <v>60</v>
      </c>
      <c r="F54" s="9"/>
      <c r="G54" s="9"/>
      <c r="H54" s="9"/>
      <c r="I54" s="10">
        <v>46141</v>
      </c>
      <c r="J54" s="10">
        <v>46141</v>
      </c>
    </row>
    <row r="55" spans="1:10" ht="14.25" customHeight="1">
      <c r="A55" s="9" t="s">
        <v>40</v>
      </c>
      <c r="B55" s="9" t="s">
        <v>196</v>
      </c>
      <c r="C55" s="9" t="s">
        <v>98</v>
      </c>
      <c r="D55" s="9" t="s">
        <v>423</v>
      </c>
      <c r="E55" s="9" t="s">
        <v>60</v>
      </c>
      <c r="F55" s="9"/>
      <c r="G55" s="9"/>
      <c r="H55" s="10">
        <v>46141</v>
      </c>
      <c r="I55" s="10">
        <v>46141</v>
      </c>
      <c r="J55" s="10">
        <v>46141</v>
      </c>
    </row>
    <row r="56" spans="1:10" ht="14.25" customHeight="1">
      <c r="A56" s="9" t="s">
        <v>40</v>
      </c>
      <c r="B56" s="9" t="s">
        <v>164</v>
      </c>
      <c r="C56" s="9" t="s">
        <v>98</v>
      </c>
      <c r="D56" s="9" t="s">
        <v>423</v>
      </c>
      <c r="E56" s="9" t="s">
        <v>60</v>
      </c>
      <c r="F56" s="9"/>
      <c r="G56" s="9"/>
      <c r="H56" s="10">
        <v>46141</v>
      </c>
      <c r="I56" s="10"/>
      <c r="J56" s="10"/>
    </row>
    <row r="57" spans="1:10" ht="14.25" customHeight="1">
      <c r="A57" s="9" t="s">
        <v>40</v>
      </c>
      <c r="B57" s="9" t="s">
        <v>42</v>
      </c>
      <c r="C57" s="9" t="s">
        <v>98</v>
      </c>
      <c r="D57" s="9" t="s">
        <v>423</v>
      </c>
      <c r="E57" s="9" t="s">
        <v>60</v>
      </c>
      <c r="F57" s="9"/>
      <c r="G57" s="9"/>
      <c r="H57" s="10"/>
      <c r="I57" s="10"/>
      <c r="J57" s="10"/>
    </row>
    <row r="58" spans="1:10" ht="14.25" customHeight="1">
      <c r="A58" s="9" t="s">
        <v>40</v>
      </c>
      <c r="B58" s="9" t="s">
        <v>181</v>
      </c>
      <c r="C58" s="9" t="s">
        <v>99</v>
      </c>
      <c r="D58" s="9" t="s">
        <v>423</v>
      </c>
      <c r="E58" s="9" t="s">
        <v>46</v>
      </c>
      <c r="F58" s="9"/>
      <c r="G58" s="9"/>
      <c r="H58" s="9"/>
      <c r="I58" s="10"/>
      <c r="J58" s="10"/>
    </row>
    <row r="59" spans="1:10" ht="14.25" customHeight="1">
      <c r="A59" s="9" t="s">
        <v>40</v>
      </c>
      <c r="B59" s="9" t="s">
        <v>188</v>
      </c>
      <c r="C59" s="9" t="s">
        <v>99</v>
      </c>
      <c r="D59" s="9" t="s">
        <v>423</v>
      </c>
      <c r="E59" s="9" t="s">
        <v>46</v>
      </c>
      <c r="F59" s="9"/>
      <c r="G59" s="9"/>
      <c r="H59" s="10"/>
      <c r="I59" s="10">
        <v>46161</v>
      </c>
      <c r="J59" s="10">
        <v>46161</v>
      </c>
    </row>
    <row r="60" spans="1:10" ht="14.25" customHeight="1">
      <c r="A60" s="9" t="s">
        <v>40</v>
      </c>
      <c r="B60" s="9" t="s">
        <v>196</v>
      </c>
      <c r="C60" s="9" t="s">
        <v>99</v>
      </c>
      <c r="D60" s="9" t="s">
        <v>423</v>
      </c>
      <c r="E60" s="9" t="s">
        <v>46</v>
      </c>
      <c r="F60" s="9"/>
      <c r="G60" s="9"/>
      <c r="H60" s="10">
        <v>46161</v>
      </c>
      <c r="I60" s="10">
        <v>46161</v>
      </c>
      <c r="J60" s="10">
        <v>46161</v>
      </c>
    </row>
    <row r="61" spans="1:10" ht="14.25" customHeight="1">
      <c r="A61" s="9" t="s">
        <v>40</v>
      </c>
      <c r="B61" s="9" t="s">
        <v>164</v>
      </c>
      <c r="C61" s="9" t="s">
        <v>99</v>
      </c>
      <c r="D61" s="9" t="s">
        <v>423</v>
      </c>
      <c r="E61" s="9" t="s">
        <v>46</v>
      </c>
      <c r="F61" s="9"/>
      <c r="G61" s="9"/>
      <c r="H61" s="10">
        <v>46161</v>
      </c>
      <c r="I61" s="10"/>
      <c r="J61" s="10"/>
    </row>
    <row r="62" spans="1:10" ht="14.25" customHeight="1">
      <c r="A62" s="9" t="s">
        <v>40</v>
      </c>
      <c r="B62" s="9" t="s">
        <v>42</v>
      </c>
      <c r="C62" s="9" t="s">
        <v>99</v>
      </c>
      <c r="D62" s="9" t="s">
        <v>423</v>
      </c>
      <c r="E62" s="9" t="s">
        <v>46</v>
      </c>
      <c r="F62" s="9"/>
      <c r="G62" s="9"/>
      <c r="H62" s="9"/>
      <c r="I62" s="10"/>
      <c r="J62" s="10"/>
    </row>
    <row r="63" spans="1:10" ht="14.25" customHeight="1">
      <c r="A63" s="9" t="s">
        <v>40</v>
      </c>
      <c r="B63" s="9" t="s">
        <v>181</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196</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181</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196</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181</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196</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181</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196</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181</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196</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181</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196</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181</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196</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181</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196</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181</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196</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181</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196</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181</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196</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181</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196</v>
      </c>
      <c r="C120" s="9" t="s">
        <v>113</v>
      </c>
      <c r="D120" s="9" t="s">
        <v>59</v>
      </c>
      <c r="E120" s="9" t="s">
        <v>46</v>
      </c>
      <c r="F120" s="9"/>
      <c r="G120" s="9"/>
      <c r="H120" s="10">
        <v>46186</v>
      </c>
      <c r="I120" s="10">
        <v>46188</v>
      </c>
      <c r="J120" s="10">
        <v>46188</v>
      </c>
    </row>
    <row r="121" spans="1:10" ht="14.25" customHeight="1">
      <c r="A121" s="9" t="s">
        <v>40</v>
      </c>
      <c r="B121" s="9" t="s">
        <v>181</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196</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181</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196</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181</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196</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181</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196</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181</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196</v>
      </c>
      <c r="C143" s="9" t="s">
        <v>127</v>
      </c>
      <c r="D143" s="9" t="s">
        <v>76</v>
      </c>
      <c r="E143" s="9" t="s">
        <v>60</v>
      </c>
      <c r="F143" s="9"/>
      <c r="G143" s="9" t="s">
        <v>129</v>
      </c>
      <c r="H143" s="10">
        <v>46213</v>
      </c>
      <c r="I143" s="10">
        <v>46223</v>
      </c>
      <c r="J143" s="10">
        <v>46223</v>
      </c>
    </row>
    <row r="144" spans="1:10" ht="14.25" customHeight="1">
      <c r="A144" s="9" t="s">
        <v>126</v>
      </c>
      <c r="B144" s="9" t="s">
        <v>181</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196</v>
      </c>
      <c r="C146" s="9" t="s">
        <v>134</v>
      </c>
      <c r="D146" s="9" t="s">
        <v>65</v>
      </c>
      <c r="E146" s="9" t="s">
        <v>77</v>
      </c>
      <c r="F146" s="9"/>
      <c r="G146" s="9" t="s">
        <v>129</v>
      </c>
      <c r="H146" s="10">
        <v>46218</v>
      </c>
      <c r="I146" s="10">
        <v>46223</v>
      </c>
      <c r="J146" s="10">
        <v>46223</v>
      </c>
    </row>
    <row r="147" spans="1:10" ht="14.25" customHeight="1">
      <c r="A147" s="9" t="s">
        <v>126</v>
      </c>
      <c r="B147" s="9" t="s">
        <v>181</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196</v>
      </c>
      <c r="C149" s="9" t="s">
        <v>136</v>
      </c>
      <c r="D149" s="9" t="s">
        <v>65</v>
      </c>
      <c r="E149" s="9" t="s">
        <v>77</v>
      </c>
      <c r="F149" s="9"/>
      <c r="G149" s="9" t="s">
        <v>129</v>
      </c>
      <c r="H149" s="10">
        <v>46225</v>
      </c>
      <c r="I149" s="10">
        <v>46223</v>
      </c>
      <c r="J149" s="10">
        <v>46223</v>
      </c>
    </row>
    <row r="150" spans="1:10" ht="14.25" customHeight="1">
      <c r="A150" s="9" t="s">
        <v>126</v>
      </c>
      <c r="B150" s="9" t="s">
        <v>181</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196</v>
      </c>
      <c r="C152" s="9" t="s">
        <v>138</v>
      </c>
      <c r="D152" s="9" t="s">
        <v>59</v>
      </c>
      <c r="E152" s="9" t="s">
        <v>46</v>
      </c>
      <c r="F152" s="9"/>
      <c r="G152" s="9" t="s">
        <v>129</v>
      </c>
      <c r="H152" s="10">
        <v>46227</v>
      </c>
      <c r="I152" s="10">
        <v>46223</v>
      </c>
      <c r="J152" s="10">
        <v>46223</v>
      </c>
    </row>
    <row r="153" spans="1:10" ht="14.25" customHeight="1">
      <c r="A153" s="9" t="s">
        <v>126</v>
      </c>
      <c r="B153" s="9" t="s">
        <v>181</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196</v>
      </c>
      <c r="C155" s="9" t="s">
        <v>140</v>
      </c>
      <c r="D155" s="9" t="s">
        <v>103</v>
      </c>
      <c r="E155" s="9" t="s">
        <v>77</v>
      </c>
      <c r="F155" s="9"/>
      <c r="G155" s="9" t="s">
        <v>129</v>
      </c>
      <c r="H155" s="10">
        <v>46216</v>
      </c>
      <c r="I155" s="10">
        <v>46225</v>
      </c>
      <c r="J155" s="10">
        <v>46225</v>
      </c>
    </row>
    <row r="156" spans="1:10" ht="14.25" customHeight="1">
      <c r="A156" s="9" t="s">
        <v>126</v>
      </c>
      <c r="B156" s="9" t="s">
        <v>181</v>
      </c>
      <c r="C156" s="9" t="s">
        <v>142</v>
      </c>
      <c r="D156" s="9" t="s">
        <v>84</v>
      </c>
      <c r="E156" s="9" t="s">
        <v>60</v>
      </c>
      <c r="F156" s="9"/>
      <c r="G156" s="9" t="s">
        <v>143</v>
      </c>
      <c r="H156" s="9"/>
      <c r="I156" s="9"/>
      <c r="J156" s="9"/>
    </row>
    <row r="157" spans="1:10">
      <c r="A157" s="3" t="s">
        <v>126</v>
      </c>
      <c r="B157" s="3" t="s">
        <v>181</v>
      </c>
      <c r="C157" s="3" t="s">
        <v>145</v>
      </c>
      <c r="D157" s="3" t="s">
        <v>65</v>
      </c>
      <c r="E157" s="3" t="s">
        <v>46</v>
      </c>
      <c r="F157" s="3"/>
      <c r="G157" s="3" t="s">
        <v>143</v>
      </c>
      <c r="H157" s="3"/>
      <c r="I157" s="3"/>
      <c r="J157" s="3"/>
    </row>
    <row r="158" spans="1:10">
      <c r="A158" s="3" t="s">
        <v>126</v>
      </c>
      <c r="B158" s="3" t="s">
        <v>181</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196</v>
      </c>
      <c r="C160" s="3" t="s">
        <v>148</v>
      </c>
      <c r="D160" s="3" t="s">
        <v>65</v>
      </c>
      <c r="E160" s="3" t="s">
        <v>46</v>
      </c>
      <c r="F160" s="3"/>
      <c r="G160" s="3" t="s">
        <v>143</v>
      </c>
      <c r="H160" s="4">
        <v>46221</v>
      </c>
      <c r="I160" s="4">
        <v>46223</v>
      </c>
      <c r="J160" s="4">
        <v>46223</v>
      </c>
    </row>
    <row r="161" spans="1:10">
      <c r="A161" s="3" t="s">
        <v>126</v>
      </c>
      <c r="B161" s="3" t="s">
        <v>181</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196</v>
      </c>
      <c r="C163" s="3" t="s">
        <v>149</v>
      </c>
      <c r="D163" s="3" t="s">
        <v>84</v>
      </c>
      <c r="E163" s="3" t="s">
        <v>60</v>
      </c>
      <c r="F163" s="3"/>
      <c r="G163" s="3" t="s">
        <v>143</v>
      </c>
      <c r="H163" s="4">
        <v>46220</v>
      </c>
      <c r="I163" s="4">
        <v>46223</v>
      </c>
      <c r="J163" s="4">
        <v>46223</v>
      </c>
    </row>
    <row r="164" spans="1:10">
      <c r="A164" s="3" t="s">
        <v>126</v>
      </c>
      <c r="B164" s="3" t="s">
        <v>181</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196</v>
      </c>
      <c r="C166" s="3" t="s">
        <v>152</v>
      </c>
      <c r="D166" s="3" t="s">
        <v>154</v>
      </c>
      <c r="E166" s="3" t="s">
        <v>60</v>
      </c>
      <c r="F166" s="3"/>
      <c r="G166" s="3" t="s">
        <v>143</v>
      </c>
      <c r="H166" s="4">
        <v>46224</v>
      </c>
      <c r="I166" s="4">
        <v>46223</v>
      </c>
      <c r="J166" s="4">
        <v>46223</v>
      </c>
    </row>
    <row r="167" spans="1:10">
      <c r="A167" s="3" t="s">
        <v>126</v>
      </c>
      <c r="B167" s="3" t="s">
        <v>181</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196</v>
      </c>
      <c r="C169" s="3" t="s">
        <v>155</v>
      </c>
      <c r="D169" s="3" t="s">
        <v>154</v>
      </c>
      <c r="E169" s="3" t="s">
        <v>77</v>
      </c>
      <c r="F169" s="3"/>
      <c r="G169" s="3" t="s">
        <v>143</v>
      </c>
      <c r="H169" s="4">
        <v>46225</v>
      </c>
      <c r="I169" s="4">
        <v>46223</v>
      </c>
      <c r="J169" s="4">
        <v>46223</v>
      </c>
    </row>
    <row r="170" spans="1:10">
      <c r="A170" s="3" t="s">
        <v>126</v>
      </c>
      <c r="B170" s="3" t="s">
        <v>181</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196</v>
      </c>
      <c r="C172" s="3" t="s">
        <v>156</v>
      </c>
      <c r="D172" s="3" t="s">
        <v>76</v>
      </c>
      <c r="E172" s="3" t="s">
        <v>46</v>
      </c>
      <c r="F172" s="3"/>
      <c r="G172" s="3" t="s">
        <v>129</v>
      </c>
      <c r="H172" s="4">
        <v>46226</v>
      </c>
      <c r="I172" s="4">
        <v>46223</v>
      </c>
      <c r="J172" s="4">
        <v>46223</v>
      </c>
    </row>
    <row r="173" spans="1:10">
      <c r="A173" s="3" t="s">
        <v>126</v>
      </c>
      <c r="B173" s="3" t="s">
        <v>181</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196</v>
      </c>
      <c r="C175" s="3" t="s">
        <v>158</v>
      </c>
      <c r="D175" s="3" t="s">
        <v>59</v>
      </c>
      <c r="E175" s="3" t="s">
        <v>60</v>
      </c>
      <c r="F175" s="3"/>
      <c r="G175" s="3" t="s">
        <v>129</v>
      </c>
      <c r="H175" s="4">
        <v>46225</v>
      </c>
      <c r="I175" s="4">
        <v>46223</v>
      </c>
      <c r="J175" s="4">
        <v>46223</v>
      </c>
    </row>
    <row r="176" spans="1:10">
      <c r="A176" s="3" t="s">
        <v>126</v>
      </c>
      <c r="B176" s="3" t="s">
        <v>181</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196</v>
      </c>
      <c r="C178" s="3" t="s">
        <v>160</v>
      </c>
      <c r="D178" s="3" t="s">
        <v>76</v>
      </c>
      <c r="E178" s="3" t="s">
        <v>77</v>
      </c>
      <c r="F178" s="3"/>
      <c r="G178" s="3" t="s">
        <v>143</v>
      </c>
      <c r="H178" s="4">
        <v>46225</v>
      </c>
      <c r="I178" s="4">
        <v>46230</v>
      </c>
      <c r="J178" s="4">
        <v>46230</v>
      </c>
    </row>
    <row r="179" spans="1:10">
      <c r="A179" s="3" t="s">
        <v>126</v>
      </c>
      <c r="B179" s="3" t="s">
        <v>181</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196</v>
      </c>
      <c r="C181" s="3" t="s">
        <v>163</v>
      </c>
      <c r="D181" s="3" t="s">
        <v>103</v>
      </c>
      <c r="E181" s="3"/>
      <c r="F181" s="3"/>
      <c r="G181" s="3"/>
      <c r="H181" s="3"/>
      <c r="I181" s="3"/>
      <c r="J181" s="3"/>
    </row>
    <row r="182" spans="1:10">
      <c r="A182" s="3" t="s">
        <v>126</v>
      </c>
      <c r="B182" s="3" t="s">
        <v>181</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196</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G1" zoomScaleNormal="100" workbookViewId="0">
      <selection activeCell="N6" sqref="N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424</v>
      </c>
      <c r="F1" s="1" t="s">
        <v>331</v>
      </c>
      <c r="G1" s="5" t="s">
        <v>425</v>
      </c>
      <c r="H1" s="5" t="s">
        <v>20</v>
      </c>
      <c r="I1" t="s">
        <v>35</v>
      </c>
      <c r="J1" s="5" t="s">
        <v>426</v>
      </c>
      <c r="K1" s="5" t="s">
        <v>164</v>
      </c>
      <c r="L1" s="5" t="s">
        <v>350</v>
      </c>
      <c r="M1" s="1" t="s">
        <v>427</v>
      </c>
      <c r="N1" s="1" t="s">
        <v>428</v>
      </c>
      <c r="R1" t="s">
        <v>13</v>
      </c>
      <c r="T1" t="s">
        <v>429</v>
      </c>
    </row>
    <row r="2" spans="1:20" ht="13.5" customHeight="1">
      <c r="A2" s="2" t="s">
        <v>430</v>
      </c>
      <c r="B2" s="2" t="s">
        <v>431</v>
      </c>
      <c r="C2" s="2" t="s">
        <v>432</v>
      </c>
      <c r="D2" s="2" t="s">
        <v>433</v>
      </c>
      <c r="E2" s="2" t="s">
        <v>434</v>
      </c>
      <c r="F2" s="2" t="s">
        <v>435</v>
      </c>
      <c r="G2" t="s">
        <v>436</v>
      </c>
      <c r="H2" t="s">
        <v>437</v>
      </c>
      <c r="I2" t="s">
        <v>438</v>
      </c>
      <c r="J2" s="29" t="s">
        <v>439</v>
      </c>
      <c r="K2" s="29" t="s">
        <v>440</v>
      </c>
      <c r="L2" s="29" t="s">
        <v>441</v>
      </c>
      <c r="M2" t="s">
        <v>143</v>
      </c>
      <c r="N2" s="45" t="s">
        <v>442</v>
      </c>
      <c r="R2" t="s">
        <v>251</v>
      </c>
      <c r="T2" t="s">
        <v>49</v>
      </c>
    </row>
    <row r="3" spans="1:20" ht="15" customHeight="1">
      <c r="A3" t="s">
        <v>40</v>
      </c>
      <c r="B3" t="s">
        <v>44</v>
      </c>
      <c r="C3" t="s">
        <v>60</v>
      </c>
      <c r="D3" t="s">
        <v>129</v>
      </c>
      <c r="E3" t="s">
        <v>50</v>
      </c>
      <c r="F3" t="s">
        <v>219</v>
      </c>
      <c r="G3" t="s">
        <v>44</v>
      </c>
      <c r="H3" t="s">
        <v>47</v>
      </c>
      <c r="I3" t="s">
        <v>53</v>
      </c>
      <c r="J3" t="s">
        <v>181</v>
      </c>
      <c r="K3" t="s">
        <v>48</v>
      </c>
      <c r="L3" t="s">
        <v>53</v>
      </c>
      <c r="M3" t="s">
        <v>44</v>
      </c>
      <c r="N3" s="45" t="s">
        <v>443</v>
      </c>
      <c r="R3" t="s">
        <v>45</v>
      </c>
      <c r="T3" t="s">
        <v>94</v>
      </c>
    </row>
    <row r="4" spans="1:20" ht="15" customHeight="1">
      <c r="A4" t="s">
        <v>126</v>
      </c>
      <c r="B4" t="s">
        <v>59</v>
      </c>
      <c r="C4" t="s">
        <v>46</v>
      </c>
      <c r="D4" t="s">
        <v>143</v>
      </c>
      <c r="E4" t="s">
        <v>53</v>
      </c>
      <c r="F4" t="s">
        <v>181</v>
      </c>
      <c r="G4" t="s">
        <v>59</v>
      </c>
      <c r="H4" t="s">
        <v>88</v>
      </c>
      <c r="I4" t="s">
        <v>182</v>
      </c>
      <c r="J4" t="s">
        <v>188</v>
      </c>
      <c r="L4" t="s">
        <v>50</v>
      </c>
      <c r="M4" t="s">
        <v>103</v>
      </c>
      <c r="N4" s="45" t="s">
        <v>444</v>
      </c>
      <c r="R4" t="s">
        <v>184</v>
      </c>
      <c r="T4" t="s">
        <v>72</v>
      </c>
    </row>
    <row r="5" spans="1:20" ht="15" customHeight="1">
      <c r="A5" t="s">
        <v>414</v>
      </c>
      <c r="B5" t="s">
        <v>423</v>
      </c>
      <c r="C5" t="s">
        <v>77</v>
      </c>
      <c r="F5" t="s">
        <v>188</v>
      </c>
      <c r="G5" t="s">
        <v>423</v>
      </c>
      <c r="H5" t="s">
        <v>129</v>
      </c>
      <c r="I5" t="s">
        <v>211</v>
      </c>
      <c r="J5" t="s">
        <v>196</v>
      </c>
      <c r="L5" t="s">
        <v>445</v>
      </c>
      <c r="M5" t="s">
        <v>88</v>
      </c>
      <c r="N5" s="45" t="s">
        <v>446</v>
      </c>
    </row>
    <row r="6" spans="1:20" ht="15" customHeight="1">
      <c r="A6" t="s">
        <v>304</v>
      </c>
      <c r="B6" t="s">
        <v>84</v>
      </c>
      <c r="F6" t="s">
        <v>196</v>
      </c>
      <c r="G6" t="s">
        <v>84</v>
      </c>
      <c r="H6" t="s">
        <v>143</v>
      </c>
      <c r="I6" t="s">
        <v>190</v>
      </c>
      <c r="J6" t="s">
        <v>164</v>
      </c>
      <c r="M6" t="s">
        <v>48</v>
      </c>
      <c r="N6" s="45" t="s">
        <v>446</v>
      </c>
    </row>
    <row r="7" spans="1:20" ht="15" customHeight="1">
      <c r="A7" t="s">
        <v>294</v>
      </c>
      <c r="B7" t="s">
        <v>65</v>
      </c>
      <c r="F7" t="s">
        <v>164</v>
      </c>
      <c r="G7" t="s">
        <v>65</v>
      </c>
      <c r="H7" t="s">
        <v>203</v>
      </c>
      <c r="I7" t="s">
        <v>447</v>
      </c>
      <c r="M7" t="s">
        <v>129</v>
      </c>
      <c r="N7" s="45" t="s">
        <v>448</v>
      </c>
    </row>
    <row r="8" spans="1:20" ht="15" customHeight="1">
      <c r="B8" t="s">
        <v>76</v>
      </c>
      <c r="F8" t="s">
        <v>128</v>
      </c>
      <c r="G8" t="s">
        <v>76</v>
      </c>
      <c r="I8" t="s">
        <v>449</v>
      </c>
      <c r="M8" t="s">
        <v>60</v>
      </c>
      <c r="N8" s="45" t="s">
        <v>450</v>
      </c>
    </row>
    <row r="9" spans="1:20" ht="15" customHeight="1">
      <c r="B9" t="s">
        <v>103</v>
      </c>
      <c r="F9" t="s">
        <v>42</v>
      </c>
      <c r="G9" t="s">
        <v>103</v>
      </c>
      <c r="I9" t="s">
        <v>451</v>
      </c>
      <c r="M9" t="s">
        <v>154</v>
      </c>
      <c r="N9" s="45" t="s">
        <v>452</v>
      </c>
    </row>
    <row r="10" spans="1:20" ht="15" customHeight="1">
      <c r="B10" t="s">
        <v>154</v>
      </c>
      <c r="G10" t="s">
        <v>154</v>
      </c>
      <c r="M10" t="s">
        <v>47</v>
      </c>
      <c r="N10" s="45" t="s">
        <v>453</v>
      </c>
    </row>
    <row r="11" spans="1:20" ht="15">
      <c r="B11" t="s">
        <v>454</v>
      </c>
      <c r="G11" t="s">
        <v>60</v>
      </c>
      <c r="M11" t="s">
        <v>76</v>
      </c>
      <c r="N11" s="45" t="s">
        <v>455</v>
      </c>
    </row>
    <row r="12" spans="1:20" ht="15">
      <c r="B12" t="s">
        <v>456</v>
      </c>
      <c r="G12" t="s">
        <v>46</v>
      </c>
      <c r="M12" t="s">
        <v>46</v>
      </c>
      <c r="N12" s="45" t="s">
        <v>457</v>
      </c>
    </row>
    <row r="13" spans="1:20" ht="15">
      <c r="G13" t="s">
        <v>77</v>
      </c>
      <c r="M13" t="s">
        <v>77</v>
      </c>
      <c r="N13" s="45" t="s">
        <v>458</v>
      </c>
    </row>
    <row r="14" spans="1:20" ht="15">
      <c r="M14" t="s">
        <v>84</v>
      </c>
      <c r="N14" s="45" t="s">
        <v>459</v>
      </c>
    </row>
    <row r="15" spans="1:20" ht="15">
      <c r="M15" t="s">
        <v>59</v>
      </c>
      <c r="N15" s="45" t="s">
        <v>460</v>
      </c>
    </row>
    <row r="16" spans="1:20" ht="15">
      <c r="M16" t="s">
        <v>65</v>
      </c>
      <c r="N16" s="45" t="s">
        <v>461</v>
      </c>
    </row>
    <row r="17" spans="13:14" ht="15">
      <c r="M17" t="s">
        <v>423</v>
      </c>
      <c r="N17" s="45" t="s">
        <v>461</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 ref="N3" r:id="rId4" xr:uid="{B8C9D6DC-719D-48FE-83B6-1B759F8867CA}"/>
    <hyperlink ref="N4" r:id="rId5" xr:uid="{5A3B1871-0459-4792-9610-56B779FB43DD}"/>
    <hyperlink ref="N5" r:id="rId6" xr:uid="{934C35CC-721E-4685-B45A-7F7D238C1820}"/>
    <hyperlink ref="N6" r:id="rId7" xr:uid="{2683076B-E9D1-47AA-ABBD-3A2D2189D92A}"/>
    <hyperlink ref="N7" r:id="rId8" xr:uid="{3984E0C3-890A-4056-A3D1-CBC7BBC2C107}"/>
    <hyperlink ref="N8" r:id="rId9" xr:uid="{0241C7C4-850A-4123-B249-84A95100E159}"/>
    <hyperlink ref="N9" r:id="rId10" xr:uid="{679BBCDC-757E-49DC-B295-B21E031B5187}"/>
    <hyperlink ref="N10" r:id="rId11" xr:uid="{9BBEA0B4-5F66-49D5-95D7-A78DA283400A}"/>
    <hyperlink ref="N11" r:id="rId12" xr:uid="{990AA851-3419-4DD4-AB11-71D1829DD138}"/>
    <hyperlink ref="N12" r:id="rId13" xr:uid="{860C2C65-0999-4646-A31A-94EFA619CF29}"/>
    <hyperlink ref="N13" r:id="rId14" xr:uid="{EDE2E549-E92D-4287-B768-C4F50744D487}"/>
    <hyperlink ref="N15" r:id="rId15" xr:uid="{720A819D-CE7A-4F2B-BA12-AA5B6CECD9F0}"/>
    <hyperlink ref="N16" r:id="rId16" xr:uid="{3D864BBA-7367-4EB0-A1FB-CF61BF674180}"/>
    <hyperlink ref="N17" r:id="rId17" xr:uid="{61128B9D-1709-4C0E-A02C-9A1FCCCAAF6A}"/>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8"/>
  <tableParts count="1">
    <tablePart r:id="rId1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2026-09-15T23:46:29Z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