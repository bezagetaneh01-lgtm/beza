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48" documentId="13_ncr:1_{52745E9B-3AA1-4770-AAD3-E6166BFC13AE}" xr6:coauthVersionLast="47" xr6:coauthVersionMax="47" xr10:uidLastSave="{26F36783-7B20-49CC-8E62-5741ECDB3A0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<sst xmlns="http://schemas.openxmlformats.org/spreadsheetml/2006/main" count="3691" uniqueCount="532">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</sst>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5</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B92" activePane="bottomLeft" state="frozen"/>
      <selection pane="bottomLeft" activeCell="P86" sqref="P86:P99"/>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193</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222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Move status to DPO Approval</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187</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187</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33" t="s">
        <v>103</v>
      </c>
      <c r="K97" s="49">
        <v>46332</v>
      </c>
      <c r="L97" s="49">
        <v>46332</v>
      </c>
      <c r="M97" s="44"/>
      <c r="N97" s="44"/>
      <c r="O97" s="36" t="s">
        <v>283</v>
      </c>
      <c r="P97" s="74" t="s">
        <v>77</v>
      </c>
      <c r="Q97" s="49">
        <v>46339</v>
      </c>
      <c r="R97" s="43"/>
      <c r="S97" s="44"/>
      <c r="T97" s="68" t="s">
        <v>292</v>
      </c>
      <c r="U97" s="46"/>
      <c r="V97" s="28">
        <v>46344</v>
      </c>
      <c r="W97" s="43"/>
      <c r="X97" s="31"/>
      <c r="Y97" s="31"/>
      <c r="Z97" s="36"/>
      <c r="AA97" s="28">
        <v>46356</v>
      </c>
      <c r="AB97" s="43"/>
      <c r="AC97" s="43"/>
      <c r="AD97" s="31" t="s">
        <v>297</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298</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33" t="s">
        <v>103</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299</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300</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301</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302</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303</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304</v>
      </c>
      <c r="B101" s="31" t="s">
        <v>305</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306</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307</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304</v>
      </c>
      <c r="B102" s="31" t="s">
        <v>308</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306</v>
      </c>
      <c r="J102" s="53" t="s">
        <v>44</v>
      </c>
      <c r="K102" s="28">
        <v>46363</v>
      </c>
      <c r="L102" s="43"/>
      <c r="M102" s="31"/>
      <c r="N102" s="31"/>
      <c r="O102" s="36" t="s">
        <v>283</v>
      </c>
      <c r="P102" s="74"/>
      <c r="Q102" s="28">
        <v>46370</v>
      </c>
      <c r="R102" s="43"/>
      <c r="S102" s="31"/>
      <c r="T102" s="68" t="s">
        <v>309</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304</v>
      </c>
      <c r="B103" s="31" t="s">
        <v>311</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306</v>
      </c>
      <c r="J103" s="53" t="s">
        <v>44</v>
      </c>
      <c r="K103" s="28">
        <v>46363</v>
      </c>
      <c r="L103" s="43"/>
      <c r="M103" s="31"/>
      <c r="N103" s="31"/>
      <c r="O103" s="36" t="s">
        <v>283</v>
      </c>
      <c r="P103" s="74"/>
      <c r="Q103" s="28">
        <v>46370</v>
      </c>
      <c r="R103" s="43"/>
      <c r="S103" s="31"/>
      <c r="T103" s="68" t="s">
        <v>309</v>
      </c>
      <c r="U103" s="46"/>
      <c r="V103" s="28">
        <v>46373</v>
      </c>
      <c r="W103" s="43"/>
      <c r="X103" s="31"/>
      <c r="Y103" s="31"/>
      <c r="Z103" s="36"/>
      <c r="AA103" s="28">
        <v>46386</v>
      </c>
      <c r="AB103" s="43"/>
      <c r="AC103" s="43"/>
      <c r="AD103" s="31" t="s">
        <v>312</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313</v>
      </c>
      <c r="B104" s="31" t="s">
        <v>314</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306</v>
      </c>
      <c r="J104" s="53" t="s">
        <v>84</v>
      </c>
      <c r="K104" s="28">
        <v>46363</v>
      </c>
      <c r="L104" s="43">
        <v>46304</v>
      </c>
      <c r="M104" s="32">
        <v>46302</v>
      </c>
      <c r="N104" s="31"/>
      <c r="O104" s="36" t="s">
        <v>283</v>
      </c>
      <c r="P104" s="74"/>
      <c r="Q104" s="28">
        <v>46370</v>
      </c>
      <c r="R104" s="43"/>
      <c r="S104" s="31"/>
      <c r="T104" s="68" t="s">
        <v>309</v>
      </c>
      <c r="U104" s="46"/>
      <c r="V104" s="28">
        <v>46373</v>
      </c>
      <c r="W104" s="43"/>
      <c r="X104" s="31"/>
      <c r="Y104" s="31"/>
      <c r="Z104" s="36"/>
      <c r="AA104" s="28">
        <v>46386</v>
      </c>
      <c r="AB104" s="43"/>
      <c r="AC104" s="43"/>
      <c r="AD104" s="31" t="s">
        <v>315</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304</v>
      </c>
      <c r="B105" s="31" t="s">
        <v>316</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306</v>
      </c>
      <c r="J105" s="53" t="s">
        <v>84</v>
      </c>
      <c r="K105" s="28">
        <v>46363</v>
      </c>
      <c r="L105" s="28">
        <v>46363</v>
      </c>
      <c r="M105" s="32">
        <v>46310</v>
      </c>
      <c r="N105" s="31"/>
      <c r="O105" s="36" t="s">
        <v>317</v>
      </c>
      <c r="P105" s="74"/>
      <c r="Q105" s="28">
        <v>46370</v>
      </c>
      <c r="R105" s="43"/>
      <c r="S105" s="31"/>
      <c r="T105" s="68" t="s">
        <v>309</v>
      </c>
      <c r="U105" s="46"/>
      <c r="V105" s="28">
        <v>46373</v>
      </c>
      <c r="W105" s="43"/>
      <c r="X105" s="31"/>
      <c r="Y105" s="31"/>
      <c r="Z105" s="36"/>
      <c r="AA105" s="28">
        <v>46386</v>
      </c>
      <c r="AB105" s="43"/>
      <c r="AC105" s="43"/>
      <c r="AD105" s="31" t="s">
        <v>318</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304</v>
      </c>
      <c r="B106" s="31" t="s">
        <v>319</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306</v>
      </c>
      <c r="J106" s="53" t="s">
        <v>84</v>
      </c>
      <c r="K106" s="28">
        <v>46363</v>
      </c>
      <c r="L106" s="28">
        <v>46363</v>
      </c>
      <c r="M106" s="32">
        <v>46307</v>
      </c>
      <c r="N106" s="31"/>
      <c r="O106" s="36" t="s">
        <v>317</v>
      </c>
      <c r="P106" s="74"/>
      <c r="Q106" s="28">
        <v>46370</v>
      </c>
      <c r="R106" s="43"/>
      <c r="S106" s="31"/>
      <c r="T106" s="68" t="s">
        <v>309</v>
      </c>
      <c r="U106" s="46"/>
      <c r="V106" s="28">
        <v>46373</v>
      </c>
      <c r="W106" s="43"/>
      <c r="X106" s="31"/>
      <c r="Y106" s="31"/>
      <c r="Z106" s="36"/>
      <c r="AA106" s="28">
        <v>46386</v>
      </c>
      <c r="AB106" s="43"/>
      <c r="AC106" s="43"/>
      <c r="AD106" s="31" t="s">
        <v>320</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304</v>
      </c>
      <c r="B107" s="31" t="s">
        <v>321</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306</v>
      </c>
      <c r="J107" s="53" t="s">
        <v>84</v>
      </c>
      <c r="K107" s="28">
        <v>46363</v>
      </c>
      <c r="L107" s="28">
        <v>46363</v>
      </c>
      <c r="M107" s="32">
        <v>46308</v>
      </c>
      <c r="N107" s="31"/>
      <c r="O107" s="36" t="s">
        <v>317</v>
      </c>
      <c r="P107" s="74"/>
      <c r="Q107" s="28">
        <v>46370</v>
      </c>
      <c r="R107" s="43"/>
      <c r="S107" s="31"/>
      <c r="T107" s="68" t="s">
        <v>309</v>
      </c>
      <c r="U107" s="46"/>
      <c r="V107" s="28">
        <v>46373</v>
      </c>
      <c r="W107" s="43"/>
      <c r="X107" s="31"/>
      <c r="Y107" s="31"/>
      <c r="Z107" s="36"/>
      <c r="AA107" s="28">
        <v>46386</v>
      </c>
      <c r="AB107" s="43"/>
      <c r="AC107" s="43"/>
      <c r="AD107" s="31" t="s">
        <v>322</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304</v>
      </c>
      <c r="B108" s="31" t="s">
        <v>323</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306</v>
      </c>
      <c r="J108" s="53" t="s">
        <v>324</v>
      </c>
      <c r="K108" s="28">
        <v>46363</v>
      </c>
      <c r="L108" s="43"/>
      <c r="M108" s="31"/>
      <c r="N108" s="31"/>
      <c r="O108" s="36" t="s">
        <v>317</v>
      </c>
      <c r="P108" s="74"/>
      <c r="Q108" s="28">
        <v>46370</v>
      </c>
      <c r="R108" s="43"/>
      <c r="S108" s="31"/>
      <c r="T108" s="68" t="s">
        <v>309</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313</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306</v>
      </c>
      <c r="J109" s="53" t="s">
        <v>155</v>
      </c>
      <c r="K109" s="28">
        <v>46363</v>
      </c>
      <c r="L109" s="32">
        <v>46315</v>
      </c>
      <c r="M109" s="32">
        <v>46310</v>
      </c>
      <c r="N109" s="44" t="s">
        <v>259</v>
      </c>
      <c r="O109" s="36" t="s">
        <v>317</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304</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306</v>
      </c>
      <c r="J110" s="53" t="s">
        <v>155</v>
      </c>
      <c r="K110" s="28">
        <v>46363</v>
      </c>
      <c r="L110" s="32">
        <v>46310</v>
      </c>
      <c r="M110" s="32">
        <v>46308</v>
      </c>
      <c r="N110" s="44" t="s">
        <v>259</v>
      </c>
      <c r="O110" s="36" t="s">
        <v>317</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313</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306</v>
      </c>
      <c r="J111" s="53" t="s">
        <v>76</v>
      </c>
      <c r="K111" s="28">
        <v>46363</v>
      </c>
      <c r="L111" s="43"/>
      <c r="M111" s="31"/>
      <c r="N111" s="31"/>
      <c r="O111" s="36" t="s">
        <v>317</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313</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306</v>
      </c>
      <c r="J112" s="53" t="s">
        <v>231</v>
      </c>
      <c r="K112" s="28">
        <v>46363</v>
      </c>
      <c r="L112" s="43"/>
      <c r="M112" s="31"/>
      <c r="N112" s="31"/>
      <c r="O112" s="36" t="s">
        <v>317</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313</v>
      </c>
      <c r="B113" s="31" t="s">
        <v>334</v>
      </c>
      <c r="C113" s="31" t="s">
        <v>265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306</v>
      </c>
      <c r="J113" s="53" t="s">
        <v>155</v>
      </c>
      <c r="K113" s="28">
        <v>46363</v>
      </c>
      <c r="L113" s="32">
        <v>46318</v>
      </c>
      <c r="M113" s="31"/>
      <c r="N113" s="31"/>
      <c r="O113" s="36" t="s">
        <v>317</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313</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306</v>
      </c>
      <c r="J114" s="53" t="s">
        <v>84</v>
      </c>
      <c r="K114" s="28">
        <v>46363</v>
      </c>
      <c r="L114" s="43"/>
      <c r="M114" s="31"/>
      <c r="N114" s="31"/>
      <c r="O114" s="36" t="s">
        <v>317</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313</v>
      </c>
      <c r="B115" s="31" t="s">
        <v>336</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306</v>
      </c>
      <c r="J115" s="53" t="s">
        <v>155</v>
      </c>
      <c r="K115" s="28">
        <v>46363</v>
      </c>
      <c r="L115" s="43"/>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2:F87 A74:V115">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313</v>
      </c>
      <c r="B14" s="11">
        <v>9</v>
      </c>
      <c r="C14" s="12">
        <v>46387</v>
      </c>
    </row>
    <row r="15" spans="1:8" ht="14.25" customHeight="1">
      <c r="A15" s="11" t="s">
        <v>304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193</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193</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193</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193</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193</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193</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193</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313</v>
      </c>
      <c r="B6" t="s">
        <v>84</v>
      </c>
      <c r="F6" t="s">
        <v>222</v>
      </c>
      <c r="G6" t="s">
        <v>84</v>
      </c>
      <c r="H6" t="s">
        <v>144</v>
      </c>
      <c r="I6" t="s">
        <v>208</v>
      </c>
      <c r="J6" t="s">
        <v>193</v>
      </c>
      <c r="M6" t="s">
        <v>48</v>
      </c>
      <c r="N6" t="s">
        <v>475</v>
      </c>
    </row>
    <row r="7" spans="1:20" ht="15" customHeight="1">
      <c r="A7" t="s">
        <v>304</v>
      </c>
      <c r="B7" t="s">
        <v>65</v>
      </c>
      <c r="F7" t="s">
        <v>193</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23" t="str">
        <f ca="1">"As of "&amp;TEXT(TODAY(),"d mmm yyyy")&amp;". Live from Combined Delivery Data."</f>
        <v>As of 20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38 of 72</v>
      </c>
      <c r="C5" s="224" t="str">
        <f>IF(C7+E7=0,"No CMS reports are blocked.","reports are blocked. "&amp;C7&amp;" are approved and waiting for a production release, "&amp;E7&amp;" are blocked in build or QA.")</f>
        <v>reports are blocked. 31 are approved and waiting for a production release, 7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31</v>
      </c>
      <c r="D7" s="226"/>
      <c r="E7" s="229" cm="1">
        <f t="array" ref="E7">COUNTIFS(cmsDom,"CMS",cmsBlocked,"Yes*",cmsStatus,"&lt;&gt;Ready for Release in Prod",cmsStatus,"&lt;&gt;RELEASED IN PROD")</f>
        <v>7</v>
      </c>
      <c r="F7" s="230"/>
      <c r="G7" s="231" cm="1">
        <f t="array" ref="G7">SUM(COUNTIFS(cmsDom,"CMS",cmsBlocked,"&lt;&gt;Yes*",cmsStatus,{"DB Dev","PBI Dev","QA","DPO Approval"}))</f>
        <v>18</v>
      </c>
      <c r="H7" s="232"/>
      <c r="I7" s="233" cm="1">
        <f t="array" ref="I7">COUNTIFS(cmsDom,"CMS",cmsBlocked,"&lt;&gt;Yes*",cmsStatus,"NOT STARTED")</f>
        <v>12</v>
      </c>
      <c r="J7" s="234"/>
      <c r="K7" s="235" cm="1">
        <f t="array" ref="K7">COUNTIFS(cmsDom,"CMS",cmsStatus,"RELEASED IN PROD")</f>
        <v>4</v>
      </c>
      <c r="L7" s="236"/>
      <c r="M7" s="237" t="s">
        <v>493</v>
      </c>
      <c r="N7" s="238"/>
      <c r="O7" s="239"/>
      <c r="P7" s="142"/>
      <c r="Q7" s="142"/>
      <c r="R7" s="142"/>
      <c r="S7" s="142"/>
      <c r="T7" s="142"/>
      <c r="U7" s="142"/>
      <c r="V7" s="142"/>
      <c r="W7" s="142"/>
      <c r="X7" s="142"/>
      <c r="Y7" s="142"/>
      <c r="Z7" s="142"/>
    </row>
    <row r="8" spans="1:26" ht="30" customHeight="1">
      <c r="A8" s="142"/>
      <c r="B8" s="142"/>
      <c r="C8" s="227" t="s">
        <v>494</v>
      </c>
      <c r="D8" s="228"/>
      <c r="E8" s="227" t="s">
        <v>495</v>
      </c>
      <c r="F8" s="228"/>
      <c r="G8" s="227" t="s">
        <v>496</v>
      </c>
      <c r="H8" s="228"/>
      <c r="I8" s="227" t="s">
        <v>497</v>
      </c>
      <c r="J8" s="228"/>
      <c r="K8" s="227" t="s">
        <v>498</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47" t="s">
        <v>500</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501</v>
      </c>
      <c r="C11" s="156" t="s">
        <v>502</v>
      </c>
      <c r="D11" s="156" t="s">
        <v>503</v>
      </c>
      <c r="E11" s="156" t="s">
        <v>193</v>
      </c>
      <c r="F11" s="156" t="s">
        <v>222</v>
      </c>
      <c r="G11" s="156" t="s">
        <v>207</v>
      </c>
      <c r="H11" s="156" t="s">
        <v>265</v>
      </c>
      <c r="I11" s="156" t="s">
        <v>497</v>
      </c>
      <c r="J11" s="156" t="s">
        <v>504</v>
      </c>
      <c r="K11" s="156" t="s">
        <v>505</v>
      </c>
      <c r="L11" s="156" t="s">
        <v>506</v>
      </c>
      <c r="M11" s="248" t="s">
        <v>507</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41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20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5</v>
      </c>
      <c r="D14" s="167" cm="1">
        <f t="array" ref="D14">COUNTIFS(cmsDom,"CMS",cmsMonth,$B14,cmsBlocked,"Yes*",cmsStatus,"&lt;&gt;Ready for Release in Prod",cmsStatus,"&lt;&gt;RELEASED IN PROD")</f>
        <v>3</v>
      </c>
      <c r="E14" s="167" cm="1">
        <f t="array" ref="E14">COUNTIFS(cmsDom,"CMS",cmsMonth,$B14,cmsBlocked,"&lt;&gt;Yes*",cmsStatus,"DPO Approval")</f>
        <v>1</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10 days to milestone, 3 blocked</v>
      </c>
      <c r="N14" s="242"/>
      <c r="O14" s="243"/>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41 days to milestone, 4 blocked</v>
      </c>
      <c r="N15" s="242"/>
      <c r="O15" s="243"/>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72 days to milestone</v>
      </c>
      <c r="N16" s="245"/>
      <c r="O16" s="246"/>
      <c r="P16" s="142"/>
      <c r="Q16" s="142"/>
      <c r="R16" s="142"/>
      <c r="S16" s="142"/>
      <c r="T16" s="142"/>
      <c r="U16" s="142"/>
      <c r="V16" s="142"/>
      <c r="W16" s="142"/>
      <c r="X16" s="142"/>
      <c r="Y16" s="142"/>
      <c r="Z16" s="142"/>
    </row>
    <row r="17" spans="1:26" ht="24" customHeight="1">
      <c r="A17" s="142"/>
      <c r="B17" s="157" t="s">
        <v>508</v>
      </c>
      <c r="C17" s="169">
        <f t="shared" ref="C17:K17" si="0">SUM(C12:C16)</f>
        <v>31</v>
      </c>
      <c r="D17" s="169">
        <f t="shared" si="0"/>
        <v>7</v>
      </c>
      <c r="E17" s="169">
        <f t="shared" si="0"/>
        <v>1</v>
      </c>
      <c r="F17" s="169">
        <f t="shared" si="0"/>
        <v>5</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47" t="s">
        <v>510</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47" t="s">
        <v>511</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501</v>
      </c>
      <c r="D49" s="259"/>
      <c r="E49" s="259" t="s">
        <v>444</v>
      </c>
      <c r="F49" s="259"/>
      <c r="G49" s="259" t="s">
        <v>454</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515</v>
      </c>
      <c r="D50" s="261"/>
      <c r="E50" s="260" t="s">
        <v>515</v>
      </c>
      <c r="F50" s="261"/>
      <c r="G50" s="260" t="s">
        <v>515</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QA</v>
      </c>
      <c r="E97" s="173" t="str">
        <v/>
      </c>
      <c r="F97" s="173" t="str">
        <v>Rupa</v>
      </c>
      <c r="G97" s="173" t="str">
        <v>Shraddha</v>
      </c>
      <c r="H97" s="173" t="str">
        <v>Preety</v>
      </c>
      <c r="I97" s="173" t="str">
        <v>Simone Brooks</v>
      </c>
      <c r="J97" s="184">
        <v>46259</v>
      </c>
      <c r="K97" s="184">
        <v>46289</v>
      </c>
      <c r="L97" s="184">
        <v>46298</v>
      </c>
      <c r="M97" s="184" t="str">
        <v/>
      </c>
      <c r="N97" s="185">
        <v>0</v>
      </c>
      <c r="O97" s="173" t="str">
        <v>Move status to DPO Approval</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193</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193</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298</v>
      </c>
      <c r="B71" t="s">
        <v>275</v>
      </c>
      <c r="C71" t="s">
        <v>236</v>
      </c>
      <c r="E71" t="str">
        <f t="shared" si="2"/>
        <v>Not Started</v>
      </c>
    </row>
    <row r="72" spans="1:5">
      <c r="A72" t="s">
        <v>299</v>
      </c>
      <c r="B72" t="s">
        <v>275</v>
      </c>
      <c r="C72" t="s">
        <v>236</v>
      </c>
      <c r="E72" t="str">
        <f t="shared" si="2"/>
        <v>Not Started</v>
      </c>
    </row>
    <row r="73" spans="1:5">
      <c r="A73" t="s">
        <v>302</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7"/>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7">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193</v>
      </c>
      <c r="C5" t="str">
        <v>Geetha</v>
      </c>
    </row>
    <row r="6" spans="1:3">
      <c r="A6" t="str">
        <v>October</v>
      </c>
      <c r="B6" t="s">
        <v>222</v>
      </c>
      <c r="C6" t="str">
        <v>Kushal</v>
      </c>
    </row>
    <row r="7" spans="1:3">
      <c r="A7" t="str">
        <v>November</v>
      </c>
      <c r="B7" t="s">
        <v>207</v>
      </c>
      <c r="C7" t="str">
        <v>Michael</v>
      </c>
    </row>
    <row r="8" spans="1:3">
      <c r="B8" t="s">
        <v>265</v>
      </c>
      <c r="C8" t="str">
        <v>Navya</v>
      </c>
    </row>
    <row r="9" spans="1:3">
      <c r="B9" t="s">
        <v>497</v>
      </c>
      <c r="C9" t="str">
        <v>Nick</v>
      </c>
    </row>
    <row r="10" spans="1:3">
      <c r="B10" t="s">
        <v>504</v>
      </c>
      <c r="C10" t="str">
        <v>Olu</v>
      </c>
    </row>
    <row r="11" spans="1:3">
      <c r="C11" t="str">
        <v>Preety</v>
      </c>
    </row>
    <row r="12" spans="1:3">
      <c r="C12" t="str">
        <v>Rupa</v>
      </c>
    </row>
    <row r="13" spans="1:3">
      <c r="C13" t="str">
        <v>Sarath</v>
      </c>
    </row>
    <row r="14" spans="1:3">
      <c r="C14" t="str">
        <v>Shraddha</v>
      </c>
    </row>
    <row r="15" spans="1:3">
      <c r="C15" t="str">
        <v>Siddu</v>
      </c>
    </row>
    <row r="16" spans="1:3">
      <c r="C16" t="str">
        <v>Siva</v>
      </c>
    </row>
    <row r="17" spans="3:3">
      <c r="C17"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2026-10-21T02:02:23Z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2026-10-20T15:51:14Z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