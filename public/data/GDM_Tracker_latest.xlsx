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752" documentId="13_ncr:1_{52745E9B-3AA1-4770-AAD3-E6166BFC13AE}" xr6:coauthVersionLast="47" xr6:coauthVersionMax="47" xr10:uidLastSave="{1E688B2C-E7EE-4169-9BFE-F99698783800}"/>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Data'!$N$120:$N$120</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5" i="2" l="1"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<sst xmlns="http://schemas.openxmlformats.org/spreadsheetml/2006/main" count="3247" uniqueCount="474">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</sst>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5">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1" activePane="topRight" state="frozen"/>
      <selection pane="topRight" activeCell="B116" sqref="B116"/>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46294</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hidden="1">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hidden="1">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hidden="1">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hidden="1">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hidden="1">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46276</v>
      </c>
      <c r="Y55" s="58">
        <v>46293</v>
      </c>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v>46297</v>
      </c>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204</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46286</v>
      </c>
      <c r="Y59" s="36">
        <v>46288</v>
      </c>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v>46295</v>
      </c>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c r="X61" s="36">
        <v>46281</v>
      </c>
      <c r="Y61" s="36"/>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46300</v>
      </c>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217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v>46300</v>
      </c>
      <c r="X63" s="36">
        <v>46295</v>
      </c>
      <c r="Y63" s="36"/>
      <c r="Z63" s="36"/>
      <c r="AA63" s="51">
        <v>46295</v>
      </c>
      <c r="AB63" s="36"/>
      <c r="AC63" s="36"/>
      <c r="AD63" s="33" t="s">
        <v>218</v>
      </c>
      <c r="AE63" s="33" t="s">
        <v>72</v>
      </c>
      <c r="AF63" s="38"/>
      <c r="AG63" s="36"/>
      <c r="AH63" s="39"/>
      <c r="AI63" s="33"/>
      <c r="AJ63" s="40" t="s">
        <v>53</v>
      </c>
      <c r="AK63" s="72"/>
      <c r="AL63" s="41" t="s">
        <v>203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219</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Move status to QA</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223</v>
      </c>
      <c r="C67" s="33" t="s">
        <v>217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46259</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225</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226</v>
      </c>
      <c r="K68" s="85">
        <v>46276</v>
      </c>
      <c r="L68" s="86">
        <v>46258</v>
      </c>
      <c r="M68" s="86">
        <v>46258</v>
      </c>
      <c r="N68" s="86"/>
      <c r="O68" s="86" t="s">
        <v>194</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234</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235</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227</v>
      </c>
      <c r="U71" s="33" t="s">
        <v>47</v>
      </c>
      <c r="V71" s="58">
        <v>46290</v>
      </c>
      <c r="W71" s="36"/>
      <c r="X71" s="36">
        <v>46293</v>
      </c>
      <c r="Y71" s="36">
        <v>46296</v>
      </c>
      <c r="Z71" s="36"/>
      <c r="AA71" s="51">
        <v>46295</v>
      </c>
      <c r="AB71" s="36">
        <v>46304</v>
      </c>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238</v>
      </c>
      <c r="C72" s="33" t="s">
        <v>217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227</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239</v>
      </c>
      <c r="C73" s="31" t="s">
        <v>217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240</v>
      </c>
      <c r="J73" s="31" t="s">
        <v>76</v>
      </c>
      <c r="K73" s="43">
        <v>46304</v>
      </c>
      <c r="L73" s="43">
        <v>46259</v>
      </c>
      <c r="M73" s="46">
        <v>46259</v>
      </c>
      <c r="N73" s="44" t="s">
        <v>45</v>
      </c>
      <c r="O73" s="44" t="s">
        <v>194</v>
      </c>
      <c r="P73" s="65" t="s">
        <v>77</v>
      </c>
      <c r="Q73" s="43">
        <v>46313</v>
      </c>
      <c r="R73" s="43">
        <v>46289</v>
      </c>
      <c r="S73" s="43">
        <v>46289</v>
      </c>
      <c r="T73" s="69" t="s">
        <v>241</v>
      </c>
      <c r="U73" s="31"/>
      <c r="V73" s="28">
        <v>46316</v>
      </c>
      <c r="W73" s="43"/>
      <c r="X73" s="31"/>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242</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240</v>
      </c>
      <c r="J74" s="53" t="s">
        <v>226</v>
      </c>
      <c r="K74" s="43">
        <v>46304</v>
      </c>
      <c r="L74" s="43">
        <v>46269</v>
      </c>
      <c r="M74" s="44">
        <v>46269</v>
      </c>
      <c r="N74" s="44"/>
      <c r="O74" s="44" t="s">
        <v>194</v>
      </c>
      <c r="P74" s="74" t="s">
        <v>77</v>
      </c>
      <c r="Q74" s="43">
        <v>46313</v>
      </c>
      <c r="R74" s="43"/>
      <c r="S74" s="44"/>
      <c r="T74" s="69" t="s">
        <v>241</v>
      </c>
      <c r="U74" s="46" t="s">
        <v>47</v>
      </c>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243</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194</v>
      </c>
      <c r="P75" s="139"/>
      <c r="Q75" s="137">
        <v>46313</v>
      </c>
      <c r="R75" s="137"/>
      <c r="S75" s="138"/>
      <c r="T75" s="140" t="s">
        <v>241</v>
      </c>
      <c r="U75" s="141"/>
      <c r="V75" s="142">
        <v>46316</v>
      </c>
      <c r="W75" s="137"/>
      <c r="X75" s="133"/>
      <c r="Y75" s="133"/>
      <c r="Z75" s="143"/>
      <c r="AA75" s="142">
        <v>46325</v>
      </c>
      <c r="AB75" s="137"/>
      <c r="AC75" s="137"/>
      <c r="AD75" s="133" t="s">
        <v>244</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245</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194</v>
      </c>
      <c r="P76" s="139"/>
      <c r="Q76" s="137">
        <v>46313</v>
      </c>
      <c r="R76" s="137"/>
      <c r="S76" s="138"/>
      <c r="T76" s="140" t="s">
        <v>241</v>
      </c>
      <c r="U76" s="141"/>
      <c r="V76" s="142">
        <v>46316</v>
      </c>
      <c r="W76" s="137"/>
      <c r="X76" s="133"/>
      <c r="Y76" s="133"/>
      <c r="Z76" s="143"/>
      <c r="AA76" s="142">
        <v>46325</v>
      </c>
      <c r="AB76" s="137"/>
      <c r="AC76" s="137"/>
      <c r="AD76" s="133" t="s">
        <v>244</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246</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194</v>
      </c>
      <c r="P77" s="139"/>
      <c r="Q77" s="137">
        <v>46313</v>
      </c>
      <c r="R77" s="137"/>
      <c r="S77" s="138"/>
      <c r="T77" s="140" t="s">
        <v>241</v>
      </c>
      <c r="U77" s="141"/>
      <c r="V77" s="142">
        <v>46316</v>
      </c>
      <c r="W77" s="137"/>
      <c r="X77" s="133"/>
      <c r="Y77" s="133"/>
      <c r="Z77" s="143"/>
      <c r="AA77" s="142">
        <v>46325</v>
      </c>
      <c r="AB77" s="137"/>
      <c r="AC77" s="137"/>
      <c r="AD77" s="133" t="s">
        <v>244</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247</v>
      </c>
      <c r="C78" s="144" t="s">
        <v>217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240</v>
      </c>
      <c r="J78" s="144" t="s">
        <v>44</v>
      </c>
      <c r="K78" s="148">
        <v>46304</v>
      </c>
      <c r="L78" s="148">
        <v>46266</v>
      </c>
      <c r="M78" s="149">
        <v>46266</v>
      </c>
      <c r="N78" s="149"/>
      <c r="O78" s="149" t="s">
        <v>248</v>
      </c>
      <c r="P78" s="150" t="s">
        <v>60</v>
      </c>
      <c r="Q78" s="148">
        <v>46313</v>
      </c>
      <c r="R78" s="148">
        <v>46289</v>
      </c>
      <c r="S78" s="149"/>
      <c r="T78" s="151" t="s">
        <v>241</v>
      </c>
      <c r="U78" s="152"/>
      <c r="V78" s="153">
        <v>46316</v>
      </c>
      <c r="W78" s="148"/>
      <c r="X78" s="144"/>
      <c r="Y78" s="144"/>
      <c r="Z78" s="154"/>
      <c r="AA78" s="153">
        <v>46325</v>
      </c>
      <c r="AB78" s="148"/>
      <c r="AC78" s="148"/>
      <c r="AD78" s="144" t="s">
        <v>187</v>
      </c>
      <c r="AE78" s="144" t="s">
        <v>94</v>
      </c>
      <c r="AF78" s="144"/>
      <c r="AG78" s="144"/>
      <c r="AH78" s="144"/>
      <c r="AI78" s="144"/>
      <c r="AJ78" s="144" t="s">
        <v>213</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249</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251</v>
      </c>
      <c r="O79" s="44" t="s">
        <v>194</v>
      </c>
      <c r="P79" s="74" t="s">
        <v>60</v>
      </c>
      <c r="Q79" s="43">
        <v>46313</v>
      </c>
      <c r="R79" s="43"/>
      <c r="S79" s="44"/>
      <c r="T79" s="69" t="s">
        <v>241</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253</v>
      </c>
      <c r="C80" s="31" t="s">
        <v>231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248</v>
      </c>
      <c r="P80" s="74" t="s">
        <v>60</v>
      </c>
      <c r="Q80" s="43">
        <v>46313</v>
      </c>
      <c r="R80" s="43"/>
      <c r="S80" s="44"/>
      <c r="T80" s="69" t="s">
        <v>241</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254</v>
      </c>
      <c r="C81" s="144" t="s">
        <v>231</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8">
        <v>46287</v>
      </c>
      <c r="N81" s="149" t="s">
        <v>251</v>
      </c>
      <c r="O81" s="149" t="s">
        <v>248</v>
      </c>
      <c r="P81" s="150" t="s">
        <v>60</v>
      </c>
      <c r="Q81" s="148">
        <v>46313</v>
      </c>
      <c r="R81" s="148">
        <v>46295</v>
      </c>
      <c r="S81" s="149">
        <v>46294</v>
      </c>
      <c r="T81" s="167" t="s">
        <v>255</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257</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248</v>
      </c>
      <c r="P82" s="74" t="s">
        <v>77</v>
      </c>
      <c r="Q82" s="43">
        <v>46313</v>
      </c>
      <c r="R82" s="43"/>
      <c r="S82" s="44"/>
      <c r="T82" s="68" t="s">
        <v>255</v>
      </c>
      <c r="U82" s="46" t="s">
        <v>47</v>
      </c>
      <c r="V82" s="28">
        <v>46316</v>
      </c>
      <c r="W82" s="43"/>
      <c r="X82" s="31"/>
      <c r="Y82" s="31"/>
      <c r="Z82" s="36"/>
      <c r="AA82" s="28">
        <v>46325</v>
      </c>
      <c r="AB82" s="43"/>
      <c r="AC82" s="43"/>
      <c r="AD82" s="31" t="s">
        <v>258</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259</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251</v>
      </c>
      <c r="O83" s="44" t="s">
        <v>248</v>
      </c>
      <c r="P83" s="74" t="s">
        <v>77</v>
      </c>
      <c r="Q83" s="43">
        <v>46313</v>
      </c>
      <c r="R83" s="43"/>
      <c r="S83" s="44"/>
      <c r="T83" s="68" t="s">
        <v>255</v>
      </c>
      <c r="U83" s="46" t="s">
        <v>47</v>
      </c>
      <c r="V83" s="28">
        <v>46316</v>
      </c>
      <c r="W83" s="43"/>
      <c r="X83" s="31"/>
      <c r="Y83" s="31"/>
      <c r="Z83" s="36"/>
      <c r="AA83" s="28">
        <v>46325</v>
      </c>
      <c r="AB83" s="43"/>
      <c r="AC83" s="43"/>
      <c r="AD83" s="31" t="s">
        <v>260</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261</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240</v>
      </c>
      <c r="J84" s="53" t="s">
        <v>76</v>
      </c>
      <c r="K84" s="43">
        <v>46304</v>
      </c>
      <c r="L84" s="43">
        <v>46286</v>
      </c>
      <c r="M84" s="46">
        <v>46286</v>
      </c>
      <c r="N84" s="44" t="s">
        <v>251</v>
      </c>
      <c r="O84" s="44" t="s">
        <v>248</v>
      </c>
      <c r="P84" s="74" t="s">
        <v>60</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262</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4" t="s">
        <v>208</v>
      </c>
      <c r="G85" s="31"/>
      <c r="H85" s="49">
        <v>46325</v>
      </c>
      <c r="I85" s="55" t="s">
        <v>240</v>
      </c>
      <c r="J85" s="53" t="s">
        <v>44</v>
      </c>
      <c r="K85" s="43">
        <v>46304</v>
      </c>
      <c r="L85" s="43">
        <v>46276</v>
      </c>
      <c r="M85" s="44"/>
      <c r="N85" s="44"/>
      <c r="O85" s="44" t="s">
        <v>248</v>
      </c>
      <c r="P85" s="74" t="s">
        <v>60</v>
      </c>
      <c r="Q85" s="43">
        <v>46313</v>
      </c>
      <c r="R85" s="43"/>
      <c r="S85" s="44"/>
      <c r="T85" s="68" t="s">
        <v>255</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264</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265</v>
      </c>
      <c r="J86" s="53" t="s">
        <v>84</v>
      </c>
      <c r="K86" s="49">
        <v>46332</v>
      </c>
      <c r="L86" s="43">
        <v>46332</v>
      </c>
      <c r="M86" s="44">
        <v>46290</v>
      </c>
      <c r="N86" s="44"/>
      <c r="O86" s="44" t="s">
        <v>248</v>
      </c>
      <c r="P86" s="74"/>
      <c r="Q86" s="49">
        <v>46339</v>
      </c>
      <c r="R86" s="43"/>
      <c r="S86" s="44"/>
      <c r="T86" s="68" t="s">
        <v>255</v>
      </c>
      <c r="U86" s="46"/>
      <c r="V86" s="28">
        <v>46344</v>
      </c>
      <c r="W86" s="43"/>
      <c r="X86" s="31"/>
      <c r="Y86" s="31"/>
      <c r="Z86" s="36"/>
      <c r="AA86" s="28">
        <v>46356</v>
      </c>
      <c r="AB86" s="43"/>
      <c r="AC86" s="43"/>
      <c r="AD86" s="31" t="s">
        <v>266</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267</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265</v>
      </c>
      <c r="J87" s="53" t="s">
        <v>59</v>
      </c>
      <c r="K87" s="49">
        <v>46332</v>
      </c>
      <c r="L87" s="43"/>
      <c r="M87" s="44"/>
      <c r="N87" s="44"/>
      <c r="O87" s="44" t="s">
        <v>248</v>
      </c>
      <c r="P87" s="74"/>
      <c r="Q87" s="49">
        <v>46339</v>
      </c>
      <c r="R87" s="43"/>
      <c r="S87" s="44"/>
      <c r="T87" s="68" t="s">
        <v>255</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265</v>
      </c>
      <c r="J88" s="53" t="s">
        <v>59</v>
      </c>
      <c r="K88" s="49">
        <v>46332</v>
      </c>
      <c r="L88" s="43"/>
      <c r="M88" s="44"/>
      <c r="N88" s="44"/>
      <c r="O88" s="44" t="s">
        <v>248</v>
      </c>
      <c r="P88" s="74"/>
      <c r="Q88" s="49">
        <v>46339</v>
      </c>
      <c r="R88" s="43"/>
      <c r="S88" s="44"/>
      <c r="T88" s="68" t="s">
        <v>270</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271</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265</v>
      </c>
      <c r="J89" s="53" t="s">
        <v>226</v>
      </c>
      <c r="K89" s="49">
        <v>46332</v>
      </c>
      <c r="L89" s="43">
        <v>46282</v>
      </c>
      <c r="M89" s="44">
        <v>46282</v>
      </c>
      <c r="N89" s="44"/>
      <c r="O89" s="44" t="s">
        <v>248</v>
      </c>
      <c r="P89" s="74"/>
      <c r="Q89" s="49">
        <v>46339</v>
      </c>
      <c r="R89" s="43"/>
      <c r="S89" s="44"/>
      <c r="T89" s="68" t="s">
        <v>270</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265</v>
      </c>
      <c r="J90" s="53" t="s">
        <v>226</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274</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248</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265</v>
      </c>
      <c r="J92" s="53" t="s">
        <v>84</v>
      </c>
      <c r="K92" s="49">
        <v>46332</v>
      </c>
      <c r="L92" s="43">
        <v>46332</v>
      </c>
      <c r="M92" s="44">
        <v>46275</v>
      </c>
      <c r="N92" s="44"/>
      <c r="O92" s="44" t="s">
        <v>248</v>
      </c>
      <c r="P92" s="74"/>
      <c r="Q92" s="49">
        <v>46339</v>
      </c>
      <c r="R92" s="43"/>
      <c r="S92" s="44"/>
      <c r="T92" s="68" t="s">
        <v>270</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281</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265</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282</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265</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285</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287</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t="s">
        <v>288</v>
      </c>
      <c r="K97" s="49">
        <v>46332</v>
      </c>
      <c r="L97" s="49">
        <v>46332</v>
      </c>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265</v>
      </c>
      <c r="J98" s="53" t="s">
        <v>288</v>
      </c>
      <c r="K98" s="49">
        <v>46332</v>
      </c>
      <c r="L98" s="49">
        <v>46332</v>
      </c>
      <c r="M98" s="44"/>
      <c r="N98" s="44"/>
      <c r="O98" s="36" t="s">
        <v>273</v>
      </c>
      <c r="P98" s="74"/>
      <c r="Q98" s="49">
        <v>46339</v>
      </c>
      <c r="R98" s="43"/>
      <c r="S98" s="44"/>
      <c r="T98" s="68" t="s">
        <v>283</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265</v>
      </c>
      <c r="J99" s="53" t="s">
        <v>65</v>
      </c>
      <c r="K99" s="49">
        <v>46332</v>
      </c>
      <c r="L99" s="43"/>
      <c r="M99" s="44"/>
      <c r="N99" s="44"/>
      <c r="O99" s="44" t="s">
        <v>248</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257</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300</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303</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t="s">
        <v>44</v>
      </c>
      <c r="K103" s="28">
        <v>46363</v>
      </c>
      <c r="L103" s="43"/>
      <c r="M103" s="31"/>
      <c r="N103" s="31"/>
      <c r="O103" s="36" t="s">
        <v>273</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t="s">
        <v>84</v>
      </c>
      <c r="K104" s="28">
        <v>46363</v>
      </c>
      <c r="L104" s="43"/>
      <c r="M104" s="31"/>
      <c r="N104" s="31"/>
      <c r="O104" s="36" t="s">
        <v>273</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308</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309</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309</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309</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257</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318</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323</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325</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326</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327</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329</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266</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4" priority="45">
      <formula>ISNUMBER(SEARCH("Blocked",$D2))</formula>
    </cfRule>
    <cfRule type="expression" dxfId="143" priority="46">
      <formula>ISNUMBER(SEARCH("overdue",$D2))</formula>
    </cfRule>
    <cfRule type="expression" dxfId="142" priority="47">
      <formula>ISNUMBER(SEARCH("no target",$D2))</formula>
    </cfRule>
    <cfRule type="expression" dxfId="141" priority="48">
      <formula>ISNUMBER(SEARCH("Review",$D2))</formula>
    </cfRule>
    <cfRule type="expression" dxfId="140" priority="49">
      <formula>OR($D2="On track",$D2="Delivered")</formula>
    </cfRule>
  </conditionalFormatting>
  <conditionalFormatting sqref="J2:O115">
    <cfRule type="expression" dxfId="139" priority="23">
      <formula>$AJ2="Yes – needs DB Dev to fix"</formula>
    </cfRule>
  </conditionalFormatting>
  <conditionalFormatting sqref="J116:O192">
    <cfRule type="expression" dxfId="138" priority="28">
      <formula>$AH116="Yes – needs DB Dev to fix"</formula>
    </cfRule>
  </conditionalFormatting>
  <conditionalFormatting sqref="K41">
    <cfRule type="expression" dxfId="137" priority="604">
      <formula>AND($B41&lt;&gt;"",MOD(ROW(),2)=0)</formula>
    </cfRule>
    <cfRule type="expression" dxfId="136" priority="605">
      <formula>$AJ41="Yes – needs DB Dev to fix"</formula>
    </cfRule>
  </conditionalFormatting>
  <conditionalFormatting sqref="K42">
    <cfRule type="expression" dxfId="135" priority="606">
      <formula>AND($B41&lt;&gt;"",MOD(ROW(),2)=0)</formula>
    </cfRule>
    <cfRule type="expression" dxfId="134" priority="607">
      <formula>$AJ41="Yes – needs DB Dev to fix"</formula>
    </cfRule>
  </conditionalFormatting>
  <conditionalFormatting sqref="K73:L100">
    <cfRule type="expression" dxfId="133" priority="120">
      <formula>$AF73="Yes – needs DB Dev to fix"</formula>
    </cfRule>
  </conditionalFormatting>
  <conditionalFormatting sqref="K101:L115">
    <cfRule type="expression" dxfId="132" priority="350">
      <formula>$AA101="Yes – needs DB Dev to fix"</formula>
    </cfRule>
  </conditionalFormatting>
  <conditionalFormatting sqref="K116:L527">
    <cfRule type="expression" dxfId="131" priority="577">
      <formula>$X116="Yes – needs DB Dev to fix"</formula>
    </cfRule>
  </conditionalFormatting>
  <conditionalFormatting sqref="M73">
    <cfRule type="expression" dxfId="130" priority="27">
      <formula>$AF73="Yes – needs DB Dev to fix"</formula>
    </cfRule>
  </conditionalFormatting>
  <conditionalFormatting sqref="M79">
    <cfRule type="expression" dxfId="129" priority="14">
      <formula>$AF79="Yes – needs DB Dev to fix"</formula>
    </cfRule>
  </conditionalFormatting>
  <conditionalFormatting sqref="M73:P100">
    <cfRule type="expression" dxfId="128" priority="305">
      <formula>$AD73="Yes – needs PBI Dev to fix"</formula>
    </cfRule>
  </conditionalFormatting>
  <conditionalFormatting sqref="M101:P115">
    <cfRule type="expression" dxfId="127" priority="352">
      <formula>$AA101="Yes – needs PBI Dev to fix"</formula>
    </cfRule>
  </conditionalFormatting>
  <conditionalFormatting sqref="M116:P527">
    <cfRule type="expression" dxfId="126" priority="578">
      <formula>$X116="Yes – needs PBI Dev to fix"</formula>
    </cfRule>
  </conditionalFormatting>
  <conditionalFormatting sqref="O101:O113">
    <cfRule type="expression" dxfId="125" priority="26">
      <formula>$AD101="Yes – needs PBI Dev to fix"</formula>
    </cfRule>
  </conditionalFormatting>
  <conditionalFormatting sqref="Q73:Q100">
    <cfRule type="expression" dxfId="124" priority="21">
      <formula>$AJ73="Yes – needs DB Dev to fix"</formula>
    </cfRule>
    <cfRule type="expression" dxfId="123" priority="22">
      <formula>$AF73="Yes – needs DB Dev to fix"</formula>
    </cfRule>
    <cfRule type="expression" dxfId="122" priority="124">
      <formula>$AF73="Yes – needs PBI Dev to fix"</formula>
    </cfRule>
  </conditionalFormatting>
  <conditionalFormatting sqref="Q101:R115 V101:V115 X101:X115">
    <cfRule type="expression" dxfId="121" priority="20">
      <formula>$AA101="Yes – needs QA to fix"</formula>
    </cfRule>
  </conditionalFormatting>
  <conditionalFormatting sqref="Q116:R527">
    <cfRule type="expression" dxfId="120" priority="579">
      <formula>$X116="Yes – needs QA to fix"</formula>
    </cfRule>
  </conditionalFormatting>
  <conditionalFormatting sqref="U10:V19 X10:X19 J29 M29:P29 J32:J33 M32:P33 K40:K41 M40:P41 Q65 T65:U65 V101:V115 X101:X115 Q2:U64 Q66:U115">
    <cfRule type="expression" dxfId="119" priority="35">
      <formula>$AJ2="Yes – needs PBI Dev to fix"</formula>
    </cfRule>
  </conditionalFormatting>
  <conditionalFormatting sqref="R58">
    <cfRule type="expression" dxfId="118" priority="320">
      <formula>AND($B65&lt;&gt;"",MOD(ROW(),2)=0)</formula>
    </cfRule>
    <cfRule type="expression" dxfId="117" priority="322">
      <formula>$AJ65="Yes – needs PBI Dev to fix"</formula>
    </cfRule>
  </conditionalFormatting>
  <conditionalFormatting sqref="T96:T101 R73:U100">
    <cfRule type="expression" dxfId="116" priority="126">
      <formula>$AF73="Yes – needs QA to fix"</formula>
    </cfRule>
  </conditionalFormatting>
  <conditionalFormatting sqref="S101:U115">
    <cfRule type="expression" dxfId="115" priority="366">
      <formula>$AA101="Yes – needs DPO Approval to fix"</formula>
    </cfRule>
  </conditionalFormatting>
  <conditionalFormatting sqref="S116:U527">
    <cfRule type="expression" dxfId="114" priority="580">
      <formula>$X116="Yes – needs DPO Approval to fix"</formula>
    </cfRule>
  </conditionalFormatting>
  <conditionalFormatting sqref="U101:V527 X101:X527">
    <cfRule type="expression" dxfId="113" priority="53">
      <formula>$V101="Yes"</formula>
    </cfRule>
  </conditionalFormatting>
  <conditionalFormatting sqref="U73:Y100">
    <cfRule type="expression" dxfId="112" priority="128">
      <formula>$AF73="Yes – needs DPO Approval to fix"</formula>
    </cfRule>
  </conditionalFormatting>
  <conditionalFormatting sqref="X116:X527">
    <cfRule type="expression" dxfId="111" priority="581">
      <formula>LEFT($X116,3)="Yes"</formula>
    </cfRule>
  </conditionalFormatting>
  <conditionalFormatting sqref="X73:Z100">
    <cfRule type="expression" dxfId="110" priority="480">
      <formula>$Y73="Yes"</formula>
    </cfRule>
  </conditionalFormatting>
  <conditionalFormatting sqref="Z116:AA527">
    <cfRule type="expression" dxfId="109" priority="58">
      <formula>ISNUMBER(SEARCH("Move old",$Z116))</formula>
    </cfRule>
    <cfRule type="expression" dxfId="108" priority="58">
      <formula>ISNUMBER(SEARCH("log it",$Z116))</formula>
    </cfRule>
    <cfRule type="expression" dxfId="107" priority="58">
      <formula>ISNUMBER(SEARCH("Open rework",$Z116))</formula>
    </cfRule>
    <cfRule type="expression" dxfId="106" priority="59">
      <formula>ISNUMBER(SEARCH("Duplicate",$Z116))</formula>
    </cfRule>
    <cfRule type="expression" dxfId="105" priority="60">
      <formula>$Z116&lt;&gt;""</formula>
    </cfRule>
  </conditionalFormatting>
  <conditionalFormatting sqref="Z116:AC527 G2:V40 N3:N44 L41:V42 T65:V65 G41:J42 Z2:AL2 Z3 Z4:AL41 Z42:AK42 Z43:AL44 Z45:AK47 Z101:AE115 AB3:AL3 G65:Q65 Z48:AL72 Z73:AH100 G43:V64 A2:F87 G66:V73 A74:V527 W2:Y527">
    <cfRule type="expression" dxfId="104" priority="61">
      <formula>AND($B2&lt;&gt;"",MOD(ROW(),2)=0)</formula>
    </cfRule>
  </conditionalFormatting>
  <conditionalFormatting sqref="AA3">
    <cfRule type="expression" dxfId="103" priority="608">
      <formula>AND($B3&lt;&gt;"",MOD(ROW(),2)=0)</formula>
    </cfRule>
    <cfRule type="expression" dxfId="102" priority="609">
      <formula>$AJ3="Yes – needs DPO Approval to fix"</formula>
    </cfRule>
  </conditionalFormatting>
  <conditionalFormatting sqref="AA101:AA115 U2:Z115">
    <cfRule type="expression" dxfId="101" priority="18">
      <formula>$AJ2="Yes – needs QA to fix"</formula>
    </cfRule>
  </conditionalFormatting>
  <conditionalFormatting sqref="AA101:AA115">
    <cfRule type="expression" dxfId="100" priority="15">
      <formula>$AJ101="Yes – needs PBI Dev to fix"</formula>
    </cfRule>
    <cfRule type="expression" dxfId="99" priority="16">
      <formula>$AA101="Yes – needs QA to fix"</formula>
    </cfRule>
    <cfRule type="expression" dxfId="98" priority="17">
      <formula>$V101="Yes"</formula>
    </cfRule>
    <cfRule type="expression" dxfId="97" priority="374">
      <formula>LEFT($AA101,3)="Yes"</formula>
    </cfRule>
  </conditionalFormatting>
  <conditionalFormatting sqref="AA2:AE2 AB3:AE3 AA4:AE100">
    <cfRule type="expression" dxfId="96" priority="102">
      <formula>$AJ2="Yes – needs DPO Approval to fix"</formula>
    </cfRule>
  </conditionalFormatting>
  <conditionalFormatting sqref="AB101:AC115">
    <cfRule type="expression" dxfId="95" priority="382">
      <formula>ISNUMBER(SEARCH("Open rework",$AB101))</formula>
    </cfRule>
    <cfRule type="expression" dxfId="94" priority="383">
      <formula>ISNUMBER(SEARCH("Move old",$AB101))</formula>
    </cfRule>
    <cfRule type="expression" dxfId="93" priority="384">
      <formula>ISNUMBER(SEARCH("log it",$AB101))</formula>
    </cfRule>
    <cfRule type="expression" dxfId="92" priority="385">
      <formula>ISNUMBER(SEARCH("Duplicate",$AB101))</formula>
    </cfRule>
    <cfRule type="expression" dxfId="91" priority="386">
      <formula>$AB101&lt;&gt;""</formula>
    </cfRule>
  </conditionalFormatting>
  <conditionalFormatting sqref="AF2:AF115">
    <cfRule type="expression" dxfId="90" priority="74">
      <formula>$AF2="Yes"</formula>
    </cfRule>
  </conditionalFormatting>
  <conditionalFormatting sqref="AF73:AF100">
    <cfRule type="expression" dxfId="89" priority="132">
      <formula>LEFT($AF73,3)="Yes"</formula>
    </cfRule>
  </conditionalFormatting>
  <conditionalFormatting sqref="AG73:AG100">
    <cfRule type="expression" dxfId="88" priority="138">
      <formula>ISNUMBER(SEARCH("Open rework",$AG73))</formula>
    </cfRule>
    <cfRule type="expression" dxfId="87" priority="139">
      <formula>ISNUMBER(SEARCH("Move old",$AG73))</formula>
    </cfRule>
    <cfRule type="expression" dxfId="86" priority="140">
      <formula>ISNUMBER(SEARCH("log it",$AG73))</formula>
    </cfRule>
    <cfRule type="expression" dxfId="85" priority="141">
      <formula>ISNUMBER(SEARCH("Duplicate",$AG73))</formula>
    </cfRule>
    <cfRule type="expression" dxfId="84" priority="142">
      <formula>$AG73&lt;&gt;""</formula>
    </cfRule>
  </conditionalFormatting>
  <conditionalFormatting sqref="AJ2:AJ115">
    <cfRule type="expression" dxfId="83" priority="76">
      <formula>LEFT($AJ2,3)="Yes"</formula>
    </cfRule>
  </conditionalFormatting>
  <conditionalFormatting sqref="AK2:AK115">
    <cfRule type="expression" dxfId="82" priority="82">
      <formula>ISNUMBER(SEARCH("log it",$AK2))</formula>
    </cfRule>
    <cfRule type="expression" dxfId="81" priority="83">
      <formula>ISNUMBER(SEARCH("Open rework",$AK2))</formula>
    </cfRule>
    <cfRule type="expression" dxfId="80" priority="84">
      <formula>ISNUMBER(SEARCH("Move old",$AK2))</formula>
    </cfRule>
    <cfRule type="expression" dxfId="79" priority="85">
      <formula>ISNUMBER(SEARCH("Duplicate",$AK2))</formula>
    </cfRule>
    <cfRule type="expression" dxfId="78" priority="86">
      <formula>$AK2&lt;&gt;""</formula>
    </cfRule>
  </conditionalFormatting>
  <conditionalFormatting sqref="AL45:AL47">
    <cfRule type="expression" dxfId="77" priority="25">
      <formula>AND($B49&lt;&gt;"",MOD(ROW(),2)=0)</formula>
    </cfRule>
  </conditionalFormatting>
  <conditionalFormatting sqref="D88">
    <cfRule type="expression" dxfId="76" priority="621">
      <formula>AND($B50&lt;&gt;"",MOD(ROW(),2)=0)</formula>
    </cfRule>
  </conditionalFormatting>
  <conditionalFormatting sqref="R60">
    <cfRule type="expression" dxfId="75" priority="12">
      <formula>AND($B67&lt;&gt;"",MOD(ROW(),2)=0)</formula>
    </cfRule>
    <cfRule type="expression" dxfId="74" priority="13">
      <formula>$AJ67="Yes – needs PBI Dev to fix"</formula>
    </cfRule>
  </conditionalFormatting>
  <conditionalFormatting sqref="R60:S60">
    <cfRule type="expression" dxfId="73" priority="10">
      <formula>AND($B67&lt;&gt;"",MOD(ROW(),2)=0)</formula>
    </cfRule>
    <cfRule type="expression" dxfId="72" priority="11">
      <formula>$AJ67="Yes – needs PBI Dev to fix"</formula>
    </cfRule>
  </conditionalFormatting>
  <conditionalFormatting sqref="N70">
    <cfRule type="expression" dxfId="71" priority="9">
      <formula>$AD70="Yes – needs PBI Dev to fix"</formula>
    </cfRule>
  </conditionalFormatting>
  <conditionalFormatting sqref="N58">
    <cfRule type="expression" dxfId="70" priority="8">
      <formula>$AD58="Yes – needs PBI Dev to fix"</formula>
    </cfRule>
  </conditionalFormatting>
  <conditionalFormatting sqref="M91">
    <cfRule type="expression" dxfId="69" priority="7">
      <formula>$AF91="Yes – needs DB Dev to fix"</formula>
    </cfRule>
  </conditionalFormatting>
  <conditionalFormatting sqref="M80">
    <cfRule type="expression" dxfId="68" priority="6">
      <formula>$AF80="Yes – needs DB Dev to fix"</formula>
    </cfRule>
  </conditionalFormatting>
  <conditionalFormatting sqref="N82">
    <cfRule type="expression" dxfId="67" priority="5">
      <formula>$AD82="Yes – needs PBI Dev to fix"</formula>
    </cfRule>
  </conditionalFormatting>
  <conditionalFormatting sqref="M83">
    <cfRule type="expression" dxfId="66" priority="4">
      <formula>$AF83="Yes – needs DB Dev to fix"</formula>
    </cfRule>
  </conditionalFormatting>
  <conditionalFormatting sqref="C2:C115">
    <cfRule type="expression" dxfId="65" priority="622">
      <formula>LEFT($AK2,4)="Move"</formula>
    </cfRule>
  </conditionalFormatting>
  <conditionalFormatting sqref="M84">
    <cfRule type="expression" dxfId="64" priority="3">
      <formula>$AF84="Yes – needs DB Dev to fix"</formula>
    </cfRule>
  </conditionalFormatting>
  <conditionalFormatting sqref="O101:O104">
    <cfRule type="expression" dxfId="63" priority="2">
      <formula>$AD101="Yes – needs PBI Dev to fix"</formula>
    </cfRule>
  </conditionalFormatting>
  <conditionalFormatting sqref="M81">
    <cfRule type="expression" dxfId="62"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M81 W2:W72 X2:X60 K2:L115 M84 S73 X62:X70 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85:M115 M2:M80 M82:M8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7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7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5"/>
      <c r="C4" s="176"/>
      <c r="D4" s="176"/>
      <c r="E4" s="176"/>
    </row>
    <row r="6" spans="1:5">
      <c r="A6" s="42" t="s">
        <v>0</v>
      </c>
      <c r="B6" s="173" t="str">
        <f>IF($B$4="","",IFERROR(INDEX('Combined Delivery Data'!$A:$A,MATCH($B$4,'Combined Delivery Data'!$B:$B,0)),""))</f>
        <v/>
      </c>
      <c r="C6" s="177"/>
      <c r="D6" s="177"/>
      <c r="E6" s="178"/>
    </row>
    <row r="7" spans="1:5">
      <c r="A7" s="42" t="s">
        <v>333</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334</v>
      </c>
      <c r="B14" s="172" t="str">
        <f>IF($B$4="","",IFERROR(INDEX('Combined Delivery Data'!$K:$K,MATCH($B$4,'Combined Delivery Data'!$B:$B,0)),""))</f>
        <v/>
      </c>
      <c r="C14" s="177"/>
      <c r="D14" s="177"/>
      <c r="E14" s="178"/>
    </row>
    <row r="15" spans="1:5">
      <c r="A15" s="42" t="s">
        <v>335</v>
      </c>
      <c r="B15" s="172" t="str">
        <f>IF($B$4="","",IFERROR(INDEX('Combined Delivery Data'!$L:$L,MATCH($B$4,'Combined Delivery Data'!$B:$B,0)),""))</f>
        <v/>
      </c>
      <c r="C15" s="177"/>
      <c r="D15" s="177"/>
      <c r="E15" s="178"/>
    </row>
    <row r="16" spans="1:5">
      <c r="A16" s="42" t="s">
        <v>336</v>
      </c>
      <c r="B16" s="172" t="str">
        <f>IF($B$4="","",IFERROR(INDEX('Combined Delivery Data'!$M:$M,MATCH($B$4,'Combined Delivery Data'!$B:$B,0)),""))</f>
        <v/>
      </c>
      <c r="C16" s="177"/>
      <c r="D16" s="177"/>
      <c r="E16" s="178"/>
    </row>
    <row r="17" spans="1:5">
      <c r="A17" s="42" t="s">
        <v>337</v>
      </c>
      <c r="B17" s="172" t="str">
        <f>IF($B$4="","",IFERROR(INDEX('Combined Delivery Data'!$O:$O,MATCH($B$4,'Combined Delivery Data'!$B:$B,0)),""))</f>
        <v/>
      </c>
      <c r="C17" s="177"/>
      <c r="D17" s="177"/>
      <c r="E17" s="178"/>
    </row>
    <row r="18" spans="1:5">
      <c r="A18" s="42" t="s">
        <v>338</v>
      </c>
      <c r="B18" s="172" t="str">
        <f>IF($B$4="","",IFERROR(INDEX('Combined Delivery Data'!$Q:$Q,MATCH($B$4,'Combined Delivery Data'!$B:$B,0)),""))</f>
        <v/>
      </c>
      <c r="C18" s="177"/>
      <c r="D18" s="177"/>
      <c r="E18" s="178"/>
    </row>
    <row r="19" spans="1:5">
      <c r="A19" s="42" t="s">
        <v>339</v>
      </c>
      <c r="B19" s="172" t="str">
        <f>IF($B$4="","",IFERROR(INDEX('Combined Delivery Data'!$R:$R,MATCH($B$4,'Combined Delivery Data'!$B:$B,0)),""))</f>
        <v/>
      </c>
      <c r="C19" s="177"/>
      <c r="D19" s="177"/>
      <c r="E19" s="178"/>
    </row>
    <row r="20" spans="1:5">
      <c r="A20" s="42" t="s">
        <v>340</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341</v>
      </c>
      <c r="B26" s="173" t="str">
        <f>IF($B$4="","",IFERROR(INDEX('Rework Log'!$Q:$Q,MATCH($B$4,'Rework Log'!$P:$P,0)),""))</f>
        <v/>
      </c>
      <c r="C26" s="177"/>
      <c r="D26" s="177"/>
      <c r="E26" s="178"/>
    </row>
    <row r="27" spans="1:5">
      <c r="A27" s="42" t="s">
        <v>342</v>
      </c>
      <c r="B27" s="173" t="str">
        <f>IF($B$4="","",IFERROR(INDEX('Rework Log'!$R:$R,MATCH($B$4,'Rework Log'!$P:$P,0)),""))</f>
        <v/>
      </c>
      <c r="C27" s="177"/>
      <c r="D27" s="177"/>
      <c r="E27" s="178"/>
    </row>
    <row r="28" spans="1:5">
      <c r="A28" s="42" t="s">
        <v>343</v>
      </c>
      <c r="B28" s="173" t="str">
        <f>IF($B$4="","",IFERROR(INDEX('Rework Log'!$S:$S,MATCH($B$4,'Rework Log'!$P:$P,0)),""))</f>
        <v/>
      </c>
      <c r="C28" s="177"/>
      <c r="D28" s="177"/>
      <c r="E28" s="178"/>
    </row>
    <row r="29" spans="1:5">
      <c r="A29" s="42" t="s">
        <v>344</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B25" activePane="bottomLeft" state="frozen"/>
      <selection pane="bottomLeft" activeCell="H47" sqref="H47"/>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345</v>
      </c>
      <c r="B1" s="174"/>
      <c r="C1" s="174"/>
      <c r="D1" s="174"/>
      <c r="E1" s="174"/>
      <c r="F1" s="174"/>
      <c r="G1" s="174"/>
      <c r="H1" s="174"/>
      <c r="I1" s="174"/>
      <c r="J1" s="174"/>
      <c r="K1" s="174"/>
      <c r="L1" s="174"/>
      <c r="M1" s="174"/>
      <c r="P1" s="180" t="s">
        <v>346</v>
      </c>
      <c r="Q1" s="180"/>
      <c r="R1" s="180"/>
      <c r="S1" s="180"/>
      <c r="T1" s="180"/>
    </row>
    <row r="2" spans="1:20" ht="30" customHeight="1">
      <c r="A2" s="17" t="s">
        <v>1</v>
      </c>
      <c r="B2" s="17" t="s">
        <v>347</v>
      </c>
      <c r="C2" s="17" t="s">
        <v>348</v>
      </c>
      <c r="D2" s="17" t="s">
        <v>349</v>
      </c>
      <c r="E2" s="17" t="s">
        <v>350</v>
      </c>
      <c r="F2" s="17" t="s">
        <v>351</v>
      </c>
      <c r="G2" s="17" t="s">
        <v>352</v>
      </c>
      <c r="H2" s="56" t="s">
        <v>353</v>
      </c>
      <c r="I2" s="30" t="s">
        <v>354</v>
      </c>
      <c r="J2" s="30" t="s">
        <v>355</v>
      </c>
      <c r="K2" s="30" t="s">
        <v>356</v>
      </c>
      <c r="L2" s="30" t="s">
        <v>357</v>
      </c>
      <c r="M2" s="21" t="s">
        <v>358</v>
      </c>
      <c r="N2" s="21" t="s">
        <v>359</v>
      </c>
      <c r="P2" s="13" t="s">
        <v>1</v>
      </c>
      <c r="Q2" s="13" t="s">
        <v>341</v>
      </c>
      <c r="R2" s="13" t="s">
        <v>342</v>
      </c>
      <c r="S2" s="13" t="s">
        <v>343</v>
      </c>
      <c r="T2" s="13" t="s">
        <v>344</v>
      </c>
    </row>
    <row r="3" spans="1:20">
      <c r="A3" s="33" t="s">
        <v>142</v>
      </c>
      <c r="B3" s="36">
        <v>46230</v>
      </c>
      <c r="C3" s="33" t="s">
        <v>217</v>
      </c>
      <c r="D3" s="33" t="s">
        <v>257</v>
      </c>
      <c r="E3" s="33" t="s">
        <v>143</v>
      </c>
      <c r="F3" s="33" t="s">
        <v>360</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217</v>
      </c>
      <c r="D4" s="31" t="s">
        <v>257</v>
      </c>
      <c r="E4" s="31" t="s">
        <v>143</v>
      </c>
      <c r="F4" s="31" t="s">
        <v>361</v>
      </c>
      <c r="G4" s="31" t="s">
        <v>50</v>
      </c>
      <c r="H4" s="32" t="s">
        <v>154</v>
      </c>
      <c r="I4" s="32"/>
      <c r="J4" s="32">
        <v>46247</v>
      </c>
      <c r="K4" s="31" t="s">
        <v>60</v>
      </c>
      <c r="L4" s="31" t="s">
        <v>362</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217</v>
      </c>
      <c r="D5" s="31" t="s">
        <v>257</v>
      </c>
      <c r="E5" s="31" t="s">
        <v>129</v>
      </c>
      <c r="F5" s="31" t="s">
        <v>363</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217</v>
      </c>
      <c r="D6" s="31" t="s">
        <v>257</v>
      </c>
      <c r="E6" s="31" t="s">
        <v>129</v>
      </c>
      <c r="F6" s="31" t="s">
        <v>364</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217</v>
      </c>
      <c r="D7" s="31" t="s">
        <v>257</v>
      </c>
      <c r="E7" s="31" t="s">
        <v>129</v>
      </c>
      <c r="F7" s="31" t="s">
        <v>365</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217</v>
      </c>
      <c r="D8" s="31" t="s">
        <v>257</v>
      </c>
      <c r="E8" s="31" t="s">
        <v>129</v>
      </c>
      <c r="F8" s="31" t="s">
        <v>366</v>
      </c>
      <c r="G8" s="31" t="s">
        <v>50</v>
      </c>
      <c r="H8" s="32" t="s">
        <v>65</v>
      </c>
      <c r="I8" s="32"/>
      <c r="J8" s="32">
        <v>46251</v>
      </c>
      <c r="K8" s="31"/>
      <c r="L8" s="31"/>
      <c r="M8" s="3" t="str">
        <f t="shared" ca="1" si="4"/>
        <v>Fixed</v>
      </c>
      <c r="N8" t="s">
        <v>367</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217</v>
      </c>
      <c r="D9" s="31" t="s">
        <v>257</v>
      </c>
      <c r="E9" s="31" t="s">
        <v>143</v>
      </c>
      <c r="F9" s="31" t="s">
        <v>368</v>
      </c>
      <c r="G9" s="31" t="s">
        <v>50</v>
      </c>
      <c r="H9" s="32" t="s">
        <v>154</v>
      </c>
      <c r="I9" s="32"/>
      <c r="J9" s="32">
        <v>46254</v>
      </c>
      <c r="K9" s="31"/>
      <c r="L9" s="31"/>
      <c r="M9" s="3" t="str">
        <f t="shared" ca="1" si="4"/>
        <v>Fixed</v>
      </c>
      <c r="N9" t="s">
        <v>367</v>
      </c>
      <c r="P9" t="str">
        <f>'Combined Delivery Data'!B11</f>
        <v>RPT_04_SEI Leak Activity</v>
      </c>
      <c r="Q9">
        <f t="shared" si="0"/>
        <v>0</v>
      </c>
      <c r="R9">
        <f t="shared" si="1"/>
        <v>0</v>
      </c>
      <c r="S9" s="28" t="str">
        <f t="shared" si="2"/>
        <v/>
      </c>
      <c r="T9" t="str">
        <f t="shared" si="3"/>
        <v/>
      </c>
    </row>
    <row r="10" spans="1:20">
      <c r="A10" s="31" t="s">
        <v>142</v>
      </c>
      <c r="B10" s="32">
        <v>46237</v>
      </c>
      <c r="C10" s="31" t="s">
        <v>217</v>
      </c>
      <c r="D10" s="31" t="s">
        <v>257</v>
      </c>
      <c r="E10" s="31" t="s">
        <v>143</v>
      </c>
      <c r="F10" s="31" t="s">
        <v>361</v>
      </c>
      <c r="G10" s="31" t="s">
        <v>50</v>
      </c>
      <c r="H10" s="32" t="s">
        <v>84</v>
      </c>
      <c r="I10" s="32"/>
      <c r="J10" s="32">
        <v>46252</v>
      </c>
      <c r="K10" s="31"/>
      <c r="L10" s="31"/>
      <c r="M10" s="3" t="str">
        <f t="shared" ca="1" si="4"/>
        <v>Fixed</v>
      </c>
      <c r="N10" t="s">
        <v>367</v>
      </c>
      <c r="P10" t="str">
        <f>'Combined Delivery Data'!B12</f>
        <v>RPT_04_CMS Leak Productivity</v>
      </c>
      <c r="Q10">
        <f t="shared" si="0"/>
        <v>0</v>
      </c>
      <c r="R10">
        <f t="shared" si="1"/>
        <v>0</v>
      </c>
      <c r="S10" s="28" t="str">
        <f t="shared" si="2"/>
        <v/>
      </c>
      <c r="T10" t="str">
        <f t="shared" si="3"/>
        <v/>
      </c>
    </row>
    <row r="11" spans="1:20">
      <c r="A11" s="53" t="s">
        <v>134</v>
      </c>
      <c r="B11" s="32">
        <v>46254</v>
      </c>
      <c r="C11" s="31" t="s">
        <v>217</v>
      </c>
      <c r="D11" s="31" t="s">
        <v>257</v>
      </c>
      <c r="E11" s="31" t="s">
        <v>129</v>
      </c>
      <c r="F11" s="31" t="s">
        <v>363</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217</v>
      </c>
      <c r="D12" s="31" t="s">
        <v>257</v>
      </c>
      <c r="E12" s="31" t="s">
        <v>143</v>
      </c>
      <c r="F12" s="31" t="s">
        <v>369</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 t="shared" si="0"/>
        <v>0</v>
      </c>
      <c r="R12">
        <f t="shared" si="1"/>
        <v>0</v>
      </c>
      <c r="S12" s="28" t="str">
        <f t="shared" si="2"/>
        <v/>
      </c>
      <c r="T12" t="str">
        <f t="shared" si="3"/>
        <v/>
      </c>
    </row>
    <row r="13" spans="1:20">
      <c r="A13" s="53" t="s">
        <v>138</v>
      </c>
      <c r="B13" s="32">
        <v>46258</v>
      </c>
      <c r="C13" s="31" t="s">
        <v>217</v>
      </c>
      <c r="D13" s="31" t="s">
        <v>257</v>
      </c>
      <c r="E13" s="31" t="s">
        <v>129</v>
      </c>
      <c r="F13" s="31" t="s">
        <v>371</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217</v>
      </c>
      <c r="D14" s="31" t="s">
        <v>164</v>
      </c>
      <c r="E14" s="31" t="s">
        <v>143</v>
      </c>
      <c r="F14" s="31" t="s">
        <v>372</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217</v>
      </c>
      <c r="D15" s="31" t="s">
        <v>164</v>
      </c>
      <c r="E15" s="31" t="s">
        <v>143</v>
      </c>
      <c r="F15" s="31" t="s">
        <v>373</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217</v>
      </c>
      <c r="D16" s="31" t="s">
        <v>257</v>
      </c>
      <c r="E16" s="31" t="s">
        <v>143</v>
      </c>
      <c r="F16" s="31" t="s">
        <v>374</v>
      </c>
      <c r="G16" s="31" t="s">
        <v>50</v>
      </c>
      <c r="H16" s="32" t="s">
        <v>65</v>
      </c>
      <c r="I16" s="32"/>
      <c r="J16" s="32">
        <v>46258</v>
      </c>
      <c r="K16" s="31"/>
      <c r="L16" s="31"/>
      <c r="M16" s="3" t="str">
        <f t="shared" ca="1" si="4"/>
        <v>Fixed</v>
      </c>
      <c r="N16" t="s">
        <v>370</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217</v>
      </c>
      <c r="D17" s="31" t="s">
        <v>164</v>
      </c>
      <c r="E17" s="31" t="s">
        <v>143</v>
      </c>
      <c r="F17" s="31" t="s">
        <v>375</v>
      </c>
      <c r="G17" s="31" t="s">
        <v>50</v>
      </c>
      <c r="H17" s="32" t="s">
        <v>46</v>
      </c>
      <c r="I17" s="32"/>
      <c r="J17" s="32"/>
      <c r="K17" s="31"/>
      <c r="L17" s="31"/>
      <c r="M17" s="3"/>
      <c r="S17" s="28"/>
    </row>
    <row r="18" spans="1:20">
      <c r="A18" s="33" t="s">
        <v>181</v>
      </c>
      <c r="B18" s="32">
        <v>46261</v>
      </c>
      <c r="C18" s="31" t="s">
        <v>217</v>
      </c>
      <c r="D18" s="31" t="s">
        <v>257</v>
      </c>
      <c r="E18" s="31" t="s">
        <v>129</v>
      </c>
      <c r="F18" s="31" t="s">
        <v>376</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217</v>
      </c>
      <c r="D19" s="31" t="s">
        <v>164</v>
      </c>
      <c r="E19" s="31" t="s">
        <v>143</v>
      </c>
      <c r="F19" s="31" t="s">
        <v>377</v>
      </c>
      <c r="G19" s="31" t="s">
        <v>50</v>
      </c>
      <c r="H19" s="32" t="s">
        <v>46</v>
      </c>
      <c r="I19" s="32"/>
      <c r="J19" s="32">
        <v>46266</v>
      </c>
      <c r="K19" s="31"/>
      <c r="L19" s="31"/>
      <c r="M19" s="3" t="str">
        <f t="shared" ca="1" si="4"/>
        <v>Fixed</v>
      </c>
      <c r="N19" t="s">
        <v>367</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217</v>
      </c>
      <c r="D20" s="31" t="s">
        <v>164</v>
      </c>
      <c r="E20" s="31" t="s">
        <v>47</v>
      </c>
      <c r="F20" s="31" t="s">
        <v>378</v>
      </c>
      <c r="G20" s="31" t="s">
        <v>50</v>
      </c>
      <c r="H20" s="32" t="s">
        <v>77</v>
      </c>
      <c r="I20" s="32">
        <v>46265</v>
      </c>
      <c r="J20" s="32">
        <v>46265</v>
      </c>
      <c r="K20" s="31" t="s">
        <v>77</v>
      </c>
      <c r="L20" s="31" t="s">
        <v>379</v>
      </c>
      <c r="M20" s="3" t="str">
        <f t="shared" ca="1" si="4"/>
        <v>Fixed</v>
      </c>
      <c r="N20" t="s">
        <v>370</v>
      </c>
      <c r="P20" t="str">
        <f>'Combined Delivery Data'!B14</f>
        <v>RPT_04_Leak Summary Status</v>
      </c>
      <c r="Q20">
        <f t="shared" si="5"/>
        <v>0</v>
      </c>
      <c r="R20">
        <f t="shared" si="6"/>
        <v>0</v>
      </c>
      <c r="S20" s="28" t="str">
        <f t="shared" si="7"/>
        <v/>
      </c>
      <c r="T20" t="str">
        <f t="shared" si="8"/>
        <v/>
      </c>
    </row>
    <row r="21" spans="1:20">
      <c r="A21" s="31" t="s">
        <v>175</v>
      </c>
      <c r="B21" s="32">
        <v>46265</v>
      </c>
      <c r="C21" s="31" t="s">
        <v>217</v>
      </c>
      <c r="D21" s="31" t="s">
        <v>257</v>
      </c>
      <c r="E21" s="31" t="s">
        <v>47</v>
      </c>
      <c r="F21" s="31" t="s">
        <v>380</v>
      </c>
      <c r="G21" s="31" t="s">
        <v>50</v>
      </c>
      <c r="H21" s="32" t="s">
        <v>84</v>
      </c>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217</v>
      </c>
      <c r="D22" s="31" t="s">
        <v>257</v>
      </c>
      <c r="E22" s="31" t="s">
        <v>129</v>
      </c>
      <c r="F22" s="31" t="s">
        <v>382</v>
      </c>
      <c r="G22" s="31" t="s">
        <v>50</v>
      </c>
      <c r="H22" s="32" t="s">
        <v>59</v>
      </c>
      <c r="I22" s="32"/>
      <c r="J22" s="32">
        <v>46266</v>
      </c>
      <c r="K22" s="31" t="s">
        <v>59</v>
      </c>
      <c r="L22" s="31"/>
      <c r="M22" s="3" t="str">
        <f t="shared" ca="1" si="4"/>
        <v>Fixed</v>
      </c>
      <c r="N22" t="s">
        <v>370</v>
      </c>
      <c r="P22" t="str">
        <f>'Combined Delivery Data'!B21</f>
        <v>RPT_04_Leak Life Cycle</v>
      </c>
      <c r="Q22">
        <f t="shared" si="5"/>
        <v>0</v>
      </c>
      <c r="R22">
        <f t="shared" si="6"/>
        <v>0</v>
      </c>
      <c r="S22" s="28" t="str">
        <f t="shared" si="7"/>
        <v/>
      </c>
      <c r="T22" t="str">
        <f t="shared" si="8"/>
        <v/>
      </c>
    </row>
    <row r="23" spans="1:20">
      <c r="A23" s="31" t="s">
        <v>170</v>
      </c>
      <c r="B23" s="32">
        <v>46266</v>
      </c>
      <c r="C23" s="31" t="s">
        <v>217</v>
      </c>
      <c r="D23" s="31" t="s">
        <v>164</v>
      </c>
      <c r="E23" s="31" t="s">
        <v>47</v>
      </c>
      <c r="F23" s="31" t="s">
        <v>383</v>
      </c>
      <c r="G23" s="31" t="s">
        <v>50</v>
      </c>
      <c r="H23" s="32" t="s">
        <v>46</v>
      </c>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217</v>
      </c>
      <c r="D24" s="31" t="s">
        <v>164</v>
      </c>
      <c r="E24" s="31" t="s">
        <v>47</v>
      </c>
      <c r="F24" s="31" t="s">
        <v>384</v>
      </c>
      <c r="G24" s="31" t="s">
        <v>50</v>
      </c>
      <c r="H24" s="32" t="s">
        <v>46</v>
      </c>
      <c r="I24" s="168">
        <v>46267</v>
      </c>
      <c r="J24" s="32">
        <v>46268</v>
      </c>
      <c r="K24" s="31" t="s">
        <v>46</v>
      </c>
      <c r="L24" s="31" t="s">
        <v>381</v>
      </c>
      <c r="M24" s="3" t="str">
        <f t="shared" ca="1" si="4"/>
        <v>Fixed</v>
      </c>
      <c r="N24" t="s">
        <v>370</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217</v>
      </c>
      <c r="D25" s="31" t="s">
        <v>164</v>
      </c>
      <c r="E25" s="31" t="s">
        <v>47</v>
      </c>
      <c r="F25" s="76" t="s">
        <v>385</v>
      </c>
      <c r="G25" s="31" t="s">
        <v>50</v>
      </c>
      <c r="H25" s="32" t="s">
        <v>46</v>
      </c>
      <c r="I25" s="32">
        <v>46267</v>
      </c>
      <c r="J25" s="32">
        <v>46268</v>
      </c>
      <c r="K25" s="31" t="s">
        <v>46</v>
      </c>
      <c r="L25" s="31" t="s">
        <v>381</v>
      </c>
      <c r="M25" s="3" t="str">
        <f t="shared" ca="1" si="4"/>
        <v>Fixed</v>
      </c>
      <c r="N25" s="33" t="s">
        <v>370</v>
      </c>
      <c r="P25" t="str">
        <f>'Combined Delivery Data'!B24</f>
        <v>Leak 360 Dashboard</v>
      </c>
      <c r="Q25">
        <f t="shared" si="5"/>
        <v>0</v>
      </c>
      <c r="R25">
        <f t="shared" si="6"/>
        <v>0</v>
      </c>
      <c r="S25" s="28" t="str">
        <f t="shared" si="7"/>
        <v/>
      </c>
      <c r="T25" t="str">
        <f t="shared" si="8"/>
        <v/>
      </c>
    </row>
    <row r="26" spans="1:20">
      <c r="A26" s="53" t="s">
        <v>186</v>
      </c>
      <c r="B26" s="32">
        <v>46267</v>
      </c>
      <c r="C26" s="31" t="s">
        <v>217</v>
      </c>
      <c r="D26" s="31" t="s">
        <v>164</v>
      </c>
      <c r="E26" s="31" t="s">
        <v>129</v>
      </c>
      <c r="F26" s="31" t="s">
        <v>386</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28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217</v>
      </c>
      <c r="D27" s="31" t="s">
        <v>257</v>
      </c>
      <c r="E27" s="31" t="s">
        <v>129</v>
      </c>
      <c r="F27" s="31" t="s">
        <v>376</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 t="shared" si="5"/>
        <v>0</v>
      </c>
      <c r="R27">
        <f t="shared" si="6"/>
        <v>0</v>
      </c>
      <c r="S27" s="28" t="str">
        <f t="shared" si="7"/>
        <v/>
      </c>
      <c r="T27" t="str">
        <f t="shared" si="8"/>
        <v/>
      </c>
    </row>
    <row r="28" spans="1:20">
      <c r="A28" s="31" t="s">
        <v>155</v>
      </c>
      <c r="B28" s="32">
        <v>46267</v>
      </c>
      <c r="C28" s="31" t="s">
        <v>217</v>
      </c>
      <c r="D28" s="31" t="s">
        <v>164</v>
      </c>
      <c r="E28" s="31" t="s">
        <v>143</v>
      </c>
      <c r="F28" s="31" t="s">
        <v>387</v>
      </c>
      <c r="G28" s="31" t="s">
        <v>50</v>
      </c>
      <c r="H28" s="32" t="s">
        <v>77</v>
      </c>
      <c r="I28" s="32"/>
      <c r="J28" s="32">
        <v>46267</v>
      </c>
      <c r="K28" s="31" t="s">
        <v>77</v>
      </c>
      <c r="L28" s="31" t="s">
        <v>388</v>
      </c>
      <c r="M28" s="3" t="str">
        <f t="shared" ca="1" si="4"/>
        <v>Fixed</v>
      </c>
      <c r="N28" t="s">
        <v>370</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217</v>
      </c>
      <c r="D29" s="31" t="s">
        <v>164</v>
      </c>
      <c r="E29" s="31" t="s">
        <v>129</v>
      </c>
      <c r="F29" s="31" t="s">
        <v>387</v>
      </c>
      <c r="G29" s="31" t="s">
        <v>50</v>
      </c>
      <c r="H29" s="32" t="s">
        <v>77</v>
      </c>
      <c r="I29" s="32"/>
      <c r="J29" s="32">
        <v>46267</v>
      </c>
      <c r="K29" s="31" t="s">
        <v>77</v>
      </c>
      <c r="L29" s="113"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217</v>
      </c>
      <c r="D30" s="31" t="s">
        <v>164</v>
      </c>
      <c r="E30" s="31" t="s">
        <v>129</v>
      </c>
      <c r="F30" s="31" t="s">
        <v>387</v>
      </c>
      <c r="G30" s="31" t="s">
        <v>50</v>
      </c>
      <c r="H30" s="32" t="s">
        <v>77</v>
      </c>
      <c r="I30" s="32"/>
      <c r="J30" s="32">
        <v>46267</v>
      </c>
      <c r="K30" s="31" t="s">
        <v>77</v>
      </c>
      <c r="L30" s="113"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217</v>
      </c>
      <c r="D31" s="31" t="s">
        <v>257</v>
      </c>
      <c r="E31" s="31" t="s">
        <v>129</v>
      </c>
      <c r="F31" s="31" t="s">
        <v>389</v>
      </c>
      <c r="G31" s="31" t="s">
        <v>50</v>
      </c>
      <c r="H31" s="32" t="s">
        <v>154</v>
      </c>
      <c r="I31" s="32"/>
      <c r="J31" s="32">
        <v>46267</v>
      </c>
      <c r="K31" s="31" t="s">
        <v>154</v>
      </c>
      <c r="L31" s="31"/>
      <c r="M31" s="3" t="str">
        <f t="shared" ca="1" si="4"/>
        <v>Fixed</v>
      </c>
      <c r="N31" t="s">
        <v>370</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217</v>
      </c>
      <c r="D32" s="31" t="s">
        <v>257</v>
      </c>
      <c r="E32" s="31" t="s">
        <v>47</v>
      </c>
      <c r="F32" s="31" t="s">
        <v>390</v>
      </c>
      <c r="G32" s="31" t="s">
        <v>50</v>
      </c>
      <c r="H32" s="32" t="s">
        <v>103</v>
      </c>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217</v>
      </c>
      <c r="D33" s="31" t="s">
        <v>257</v>
      </c>
      <c r="E33" s="31" t="s">
        <v>199</v>
      </c>
      <c r="F33" s="31" t="s">
        <v>391</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217</v>
      </c>
      <c r="D34" s="31" t="s">
        <v>257</v>
      </c>
      <c r="E34" s="31" t="s">
        <v>47</v>
      </c>
      <c r="F34" s="31" t="s">
        <v>392</v>
      </c>
      <c r="G34" s="31" t="s">
        <v>50</v>
      </c>
      <c r="H34" s="32" t="s">
        <v>103</v>
      </c>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217</v>
      </c>
      <c r="D35" s="31" t="s">
        <v>164</v>
      </c>
      <c r="E35" s="31" t="s">
        <v>47</v>
      </c>
      <c r="F35" s="76" t="s">
        <v>393</v>
      </c>
      <c r="G35" s="31" t="s">
        <v>50</v>
      </c>
      <c r="H35" s="32" t="s">
        <v>77</v>
      </c>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217</v>
      </c>
      <c r="D36" s="31" t="s">
        <v>257</v>
      </c>
      <c r="E36" s="31" t="s">
        <v>129</v>
      </c>
      <c r="F36" s="31" t="s">
        <v>395</v>
      </c>
      <c r="G36" s="31" t="s">
        <v>50</v>
      </c>
      <c r="H36" s="32" t="s">
        <v>154</v>
      </c>
      <c r="I36" s="32"/>
      <c r="J36" s="32">
        <v>46276</v>
      </c>
      <c r="K36" s="31" t="s">
        <v>154</v>
      </c>
      <c r="L36" s="31"/>
      <c r="M36" s="3" t="str">
        <f t="shared" ca="1" si="4"/>
        <v>Fixed</v>
      </c>
      <c r="N36" t="s">
        <v>370</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217</v>
      </c>
      <c r="D37" s="31" t="s">
        <v>257</v>
      </c>
      <c r="E37" s="31" t="s">
        <v>129</v>
      </c>
      <c r="F37" s="31" t="s">
        <v>396</v>
      </c>
      <c r="G37" s="31" t="s">
        <v>53</v>
      </c>
      <c r="H37" s="32" t="s">
        <v>65</v>
      </c>
      <c r="I37" s="32"/>
      <c r="J37" s="32">
        <v>46288</v>
      </c>
      <c r="K37" s="31"/>
      <c r="L37" s="31"/>
      <c r="M37" s="3" t="str">
        <f t="shared" ca="1" si="4"/>
        <v>Fixed</v>
      </c>
      <c r="N37" t="s">
        <v>370</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217</v>
      </c>
      <c r="D38" s="31" t="s">
        <v>257</v>
      </c>
      <c r="E38" s="31" t="s">
        <v>129</v>
      </c>
      <c r="F38" s="31" t="s">
        <v>397</v>
      </c>
      <c r="G38" s="31" t="s">
        <v>50</v>
      </c>
      <c r="H38" s="32" t="s">
        <v>154</v>
      </c>
      <c r="I38" s="32">
        <v>46282</v>
      </c>
      <c r="J38" s="32">
        <v>46282</v>
      </c>
      <c r="K38" s="31" t="s">
        <v>154</v>
      </c>
      <c r="L38" s="31" t="s">
        <v>398</v>
      </c>
      <c r="M38" s="3" t="str">
        <f t="shared" ca="1" si="4"/>
        <v>Fixed</v>
      </c>
      <c r="N38" t="s">
        <v>370</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217</v>
      </c>
      <c r="D39" s="31" t="s">
        <v>164</v>
      </c>
      <c r="E39" s="31" t="s">
        <v>143</v>
      </c>
      <c r="F39" s="31" t="s">
        <v>399</v>
      </c>
      <c r="G39" s="31" t="s">
        <v>50</v>
      </c>
      <c r="H39" s="32" t="s">
        <v>77</v>
      </c>
      <c r="I39" s="32">
        <v>46281</v>
      </c>
      <c r="J39" s="32">
        <v>46281</v>
      </c>
      <c r="K39" s="31" t="s">
        <v>77</v>
      </c>
      <c r="L39" s="31" t="s">
        <v>400</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217</v>
      </c>
      <c r="D40" s="31" t="s">
        <v>257</v>
      </c>
      <c r="E40" s="31" t="s">
        <v>47</v>
      </c>
      <c r="F40" s="31" t="s">
        <v>401</v>
      </c>
      <c r="G40" s="31" t="s">
        <v>50</v>
      </c>
      <c r="H40" s="32" t="s">
        <v>44</v>
      </c>
      <c r="I40" s="32">
        <v>46283</v>
      </c>
      <c r="J40" s="32">
        <v>46283</v>
      </c>
      <c r="K40" s="31"/>
      <c r="L40" s="31" t="s">
        <v>402</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217</v>
      </c>
      <c r="D41" s="31" t="s">
        <v>164</v>
      </c>
      <c r="E41" s="31" t="s">
        <v>199</v>
      </c>
      <c r="F41" s="31" t="s">
        <v>403</v>
      </c>
      <c r="G41" s="31" t="s">
        <v>50</v>
      </c>
      <c r="H41" s="32" t="s">
        <v>46</v>
      </c>
      <c r="I41" s="32"/>
      <c r="J41" s="32"/>
      <c r="K41" s="31"/>
      <c r="L41" s="31"/>
      <c r="M41" s="3" t="str">
        <f t="shared" ca="1" si="4"/>
        <v>UNCLAIMED 14 d</v>
      </c>
      <c r="P41" t="str">
        <f>'Combined Delivery Data'!B41</f>
        <v>RPT_02_GRO Control</v>
      </c>
      <c r="Q41">
        <f t="shared" si="5"/>
        <v>0</v>
      </c>
      <c r="R41">
        <f t="shared" si="6"/>
        <v>0</v>
      </c>
      <c r="S41" s="28" t="str">
        <f t="shared" si="7"/>
        <v/>
      </c>
      <c r="T41" t="str">
        <f t="shared" si="8"/>
        <v/>
      </c>
    </row>
    <row r="42" spans="1:20" hidden="1">
      <c r="A42" s="31" t="s">
        <v>209</v>
      </c>
      <c r="B42" s="32">
        <v>46282</v>
      </c>
      <c r="C42" s="31" t="s">
        <v>217</v>
      </c>
      <c r="D42" s="31" t="s">
        <v>257</v>
      </c>
      <c r="E42" s="31" t="s">
        <v>47</v>
      </c>
      <c r="F42" s="31" t="s">
        <v>404</v>
      </c>
      <c r="G42" s="31" t="s">
        <v>50</v>
      </c>
      <c r="H42" s="32" t="s">
        <v>154</v>
      </c>
      <c r="I42" s="32">
        <v>46282</v>
      </c>
      <c r="J42" s="32">
        <v>46282</v>
      </c>
      <c r="K42" s="31"/>
      <c r="L42" s="31" t="s">
        <v>405</v>
      </c>
      <c r="M42" s="3" t="str">
        <f t="shared" ca="1" si="4"/>
        <v>Fixed</v>
      </c>
      <c r="P42" t="str">
        <f>'Combined Delivery Data'!B42</f>
        <v>RPT_02_GRO Monitor</v>
      </c>
      <c r="Q42">
        <f t="shared" si="5"/>
        <v>0</v>
      </c>
      <c r="R42">
        <f t="shared" si="6"/>
        <v>0</v>
      </c>
      <c r="S42" s="28" t="str">
        <f t="shared" si="7"/>
        <v/>
      </c>
      <c r="T42" t="str">
        <f t="shared" si="8"/>
        <v/>
      </c>
    </row>
    <row r="43" spans="1:20" ht="15">
      <c r="A43" s="33" t="s">
        <v>211</v>
      </c>
      <c r="B43" s="32">
        <v>46287</v>
      </c>
      <c r="C43" s="31" t="s">
        <v>217</v>
      </c>
      <c r="D43" s="31" t="s">
        <v>257</v>
      </c>
      <c r="E43" s="31" t="s">
        <v>129</v>
      </c>
      <c r="F43" s="31" t="s">
        <v>406</v>
      </c>
      <c r="G43" s="31" t="s">
        <v>53</v>
      </c>
      <c r="H43" s="32" t="s">
        <v>44</v>
      </c>
      <c r="I43" s="32"/>
      <c r="J43" s="32"/>
      <c r="K43" s="31"/>
      <c r="L43" s="31"/>
      <c r="M43" s="3" t="str">
        <f t="shared" ca="1" si="4"/>
        <v>UNCLAIMED 8 d</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407</v>
      </c>
      <c r="G44" s="31" t="s">
        <v>53</v>
      </c>
      <c r="H44" s="32" t="s">
        <v>60</v>
      </c>
      <c r="I44" s="32">
        <v>46294</v>
      </c>
      <c r="J44" s="32"/>
      <c r="K44" s="31"/>
      <c r="L44" s="31"/>
      <c r="M44" s="3" t="str">
        <f t="shared" ca="1" si="4"/>
        <v>1 d LATE</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217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217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217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217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217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217</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217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217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217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217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217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217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217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217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217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217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217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217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217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217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217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217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217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217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217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217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217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217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217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217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217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217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217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217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217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217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217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217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217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217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217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217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217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217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217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217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217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217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217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217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217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217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217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217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217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217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217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217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217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217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217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217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217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217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217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217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217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217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217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217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217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217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217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217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217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217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217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217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217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217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217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217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217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217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217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217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217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217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217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217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217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217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217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217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217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217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217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217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217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217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217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217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217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217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217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217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217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217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217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217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217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217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217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217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408</v>
      </c>
      <c r="B1" s="176"/>
      <c r="C1" s="176"/>
    </row>
    <row r="2" spans="1:8" ht="14.25" customHeight="1">
      <c r="A2" s="8" t="s">
        <v>0</v>
      </c>
      <c r="B2" s="8" t="s">
        <v>409</v>
      </c>
      <c r="C2" s="8" t="s">
        <v>410</v>
      </c>
      <c r="E2" t="s">
        <v>411</v>
      </c>
      <c r="F2" t="s">
        <v>412</v>
      </c>
      <c r="G2" t="s">
        <v>413</v>
      </c>
      <c r="H2" t="s">
        <v>414</v>
      </c>
    </row>
    <row r="3" spans="1:8" ht="14.25" customHeight="1">
      <c r="A3" s="11" t="s">
        <v>40</v>
      </c>
      <c r="B3" s="11">
        <v>8</v>
      </c>
      <c r="C3" s="12">
        <v>46142</v>
      </c>
      <c r="E3" t="s">
        <v>415</v>
      </c>
      <c r="F3" s="28">
        <v>46233</v>
      </c>
      <c r="G3" s="28">
        <v>46274</v>
      </c>
    </row>
    <row r="4" spans="1:8" ht="14.25" customHeight="1">
      <c r="A4" s="11" t="s">
        <v>40</v>
      </c>
      <c r="B4" s="11">
        <v>10</v>
      </c>
      <c r="C4" s="12">
        <v>46172</v>
      </c>
      <c r="E4" t="s">
        <v>416</v>
      </c>
      <c r="F4" s="28">
        <v>46264</v>
      </c>
      <c r="G4" s="28">
        <v>46295</v>
      </c>
    </row>
    <row r="5" spans="1:8" ht="14.25" customHeight="1">
      <c r="A5" s="11" t="s">
        <v>40</v>
      </c>
      <c r="B5" s="11">
        <v>9</v>
      </c>
      <c r="C5" s="12">
        <v>46203</v>
      </c>
      <c r="E5" t="s">
        <v>417</v>
      </c>
      <c r="F5" s="28">
        <v>46295</v>
      </c>
      <c r="G5" s="28">
        <v>46325</v>
      </c>
    </row>
    <row r="6" spans="1:8" ht="14.25" customHeight="1">
      <c r="A6" s="11" t="s">
        <v>126</v>
      </c>
      <c r="B6" s="11">
        <v>15</v>
      </c>
      <c r="C6" s="12">
        <v>46233</v>
      </c>
      <c r="E6" t="s">
        <v>418</v>
      </c>
      <c r="F6" s="28">
        <v>46325</v>
      </c>
      <c r="G6" s="28">
        <v>46356</v>
      </c>
    </row>
    <row r="7" spans="1:8" ht="14.25" customHeight="1">
      <c r="A7" s="11" t="s">
        <v>126</v>
      </c>
      <c r="B7" s="11">
        <v>15</v>
      </c>
      <c r="C7" s="12">
        <v>46264</v>
      </c>
      <c r="E7" t="s">
        <v>419</v>
      </c>
      <c r="F7" s="28">
        <v>46356</v>
      </c>
      <c r="G7" s="28">
        <v>46387</v>
      </c>
    </row>
    <row r="8" spans="1:8" ht="14.25" customHeight="1">
      <c r="A8" s="11" t="s">
        <v>126</v>
      </c>
      <c r="B8" s="11">
        <v>17</v>
      </c>
      <c r="C8" s="12">
        <v>46295</v>
      </c>
      <c r="E8" t="s">
        <v>420</v>
      </c>
      <c r="F8" s="28">
        <v>46387</v>
      </c>
      <c r="G8" s="28">
        <v>46417</v>
      </c>
    </row>
    <row r="9" spans="1:8" ht="14.25" customHeight="1">
      <c r="A9" s="11" t="s">
        <v>126</v>
      </c>
      <c r="B9" s="11">
        <v>20</v>
      </c>
      <c r="C9" s="12">
        <v>46325</v>
      </c>
      <c r="E9" t="s">
        <v>421</v>
      </c>
      <c r="F9" s="28">
        <v>46417</v>
      </c>
      <c r="G9" s="28">
        <v>46445</v>
      </c>
    </row>
    <row r="10" spans="1:8" ht="14.25" customHeight="1">
      <c r="A10" s="11" t="s">
        <v>126</v>
      </c>
      <c r="B10" s="11">
        <v>20</v>
      </c>
      <c r="C10" s="12">
        <v>46356</v>
      </c>
      <c r="E10" t="s">
        <v>422</v>
      </c>
      <c r="F10" s="28">
        <v>46446</v>
      </c>
      <c r="G10" s="28">
        <v>46477</v>
      </c>
    </row>
    <row r="11" spans="1:8" ht="14.25" customHeight="1">
      <c r="A11" s="11" t="s">
        <v>423</v>
      </c>
      <c r="B11" s="11">
        <v>18</v>
      </c>
      <c r="C11" s="12">
        <v>46417</v>
      </c>
      <c r="E11" t="s">
        <v>424</v>
      </c>
      <c r="F11" s="28">
        <v>46477</v>
      </c>
      <c r="G11" s="28">
        <v>46480</v>
      </c>
    </row>
    <row r="12" spans="1:8" ht="14.25" customHeight="1">
      <c r="A12" s="11" t="s">
        <v>423</v>
      </c>
      <c r="B12" s="11">
        <v>18</v>
      </c>
      <c r="C12" s="12">
        <v>46446</v>
      </c>
    </row>
    <row r="13" spans="1:8" ht="14.25" customHeight="1">
      <c r="A13" s="11" t="s">
        <v>423</v>
      </c>
      <c r="B13" s="11">
        <v>19</v>
      </c>
      <c r="C13" s="12">
        <v>46477</v>
      </c>
    </row>
    <row r="14" spans="1:8" ht="14.25" customHeight="1">
      <c r="A14" s="11" t="s">
        <v>305</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425</v>
      </c>
      <c r="B1" s="176"/>
      <c r="C1" s="176"/>
      <c r="D1" s="176"/>
      <c r="E1" s="176"/>
      <c r="F1" s="176"/>
      <c r="G1" s="176"/>
      <c r="H1" s="176"/>
      <c r="I1" s="176"/>
      <c r="J1" s="176"/>
    </row>
    <row r="2" spans="1:10" ht="27" customHeight="1">
      <c r="A2" s="8" t="s">
        <v>0</v>
      </c>
      <c r="B2" s="8" t="s">
        <v>426</v>
      </c>
      <c r="C2" s="8" t="s">
        <v>1</v>
      </c>
      <c r="D2" s="8" t="s">
        <v>427</v>
      </c>
      <c r="E2" s="8" t="s">
        <v>428</v>
      </c>
      <c r="F2" s="8" t="s">
        <v>6</v>
      </c>
      <c r="G2" s="8" t="s">
        <v>5</v>
      </c>
      <c r="H2" s="8" t="s">
        <v>429</v>
      </c>
      <c r="I2" s="8" t="s">
        <v>410</v>
      </c>
      <c r="J2" s="8" t="s">
        <v>430</v>
      </c>
    </row>
    <row r="3" spans="1:10" ht="14.25" customHeight="1">
      <c r="A3" s="9" t="s">
        <v>40</v>
      </c>
      <c r="B3" s="9" t="s">
        <v>257</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257</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257</v>
      </c>
      <c r="C13" s="9" t="s">
        <v>431</v>
      </c>
      <c r="D13" s="9" t="s">
        <v>432</v>
      </c>
      <c r="E13" s="9" t="s">
        <v>46</v>
      </c>
      <c r="F13" s="9"/>
      <c r="G13" s="9"/>
      <c r="H13" s="10"/>
      <c r="I13" s="10">
        <v>46115</v>
      </c>
      <c r="J13" s="10">
        <v>46115</v>
      </c>
    </row>
    <row r="14" spans="1:10" ht="14.25" customHeight="1">
      <c r="A14" s="9" t="s">
        <v>40</v>
      </c>
      <c r="B14" s="9" t="s">
        <v>164</v>
      </c>
      <c r="C14" s="9" t="s">
        <v>431</v>
      </c>
      <c r="D14" s="9" t="s">
        <v>432</v>
      </c>
      <c r="E14" s="9" t="s">
        <v>46</v>
      </c>
      <c r="F14" s="9"/>
      <c r="G14" s="9"/>
      <c r="H14" s="10">
        <v>46115</v>
      </c>
      <c r="I14" s="10">
        <v>46120</v>
      </c>
      <c r="J14" s="10">
        <v>46120</v>
      </c>
    </row>
    <row r="15" spans="1:10" ht="14.25" customHeight="1">
      <c r="A15" s="9" t="s">
        <v>40</v>
      </c>
      <c r="B15" s="9" t="s">
        <v>217</v>
      </c>
      <c r="C15" s="9" t="s">
        <v>431</v>
      </c>
      <c r="D15" s="9" t="s">
        <v>432</v>
      </c>
      <c r="E15" s="9" t="s">
        <v>46</v>
      </c>
      <c r="F15" s="9"/>
      <c r="G15" s="9"/>
      <c r="H15" s="10">
        <v>46120</v>
      </c>
      <c r="I15" s="10">
        <v>46122</v>
      </c>
      <c r="J15" s="10">
        <v>46122</v>
      </c>
    </row>
    <row r="16" spans="1:10" ht="14.25" customHeight="1">
      <c r="A16" s="9" t="s">
        <v>40</v>
      </c>
      <c r="B16" s="9" t="s">
        <v>182</v>
      </c>
      <c r="C16" s="9" t="s">
        <v>431</v>
      </c>
      <c r="D16" s="9" t="s">
        <v>432</v>
      </c>
      <c r="E16" s="9" t="s">
        <v>46</v>
      </c>
      <c r="F16" s="9"/>
      <c r="G16" s="9"/>
      <c r="H16" s="10">
        <v>46122</v>
      </c>
      <c r="I16" s="10"/>
      <c r="J16" s="10"/>
    </row>
    <row r="17" spans="1:10" ht="14.25" customHeight="1">
      <c r="A17" s="9" t="s">
        <v>40</v>
      </c>
      <c r="B17" s="9" t="s">
        <v>42</v>
      </c>
      <c r="C17" s="9" t="s">
        <v>431</v>
      </c>
      <c r="D17" s="9" t="s">
        <v>432</v>
      </c>
      <c r="E17" s="9" t="s">
        <v>46</v>
      </c>
      <c r="F17" s="9"/>
      <c r="G17" s="9"/>
      <c r="H17" s="10"/>
      <c r="I17" s="10"/>
      <c r="J17" s="10"/>
    </row>
    <row r="18" spans="1:10" ht="14.25" customHeight="1">
      <c r="A18" s="9" t="s">
        <v>40</v>
      </c>
      <c r="B18" s="9" t="s">
        <v>257</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257</v>
      </c>
      <c r="C23" s="9" t="s">
        <v>64</v>
      </c>
      <c r="D23" s="9" t="s">
        <v>432</v>
      </c>
      <c r="E23" s="9" t="s">
        <v>46</v>
      </c>
      <c r="F23" s="9"/>
      <c r="G23" s="9"/>
      <c r="H23" s="10"/>
      <c r="I23" s="10">
        <v>46115</v>
      </c>
      <c r="J23" s="10">
        <v>46115</v>
      </c>
    </row>
    <row r="24" spans="1:10" ht="14.25" customHeight="1">
      <c r="A24" s="9" t="s">
        <v>40</v>
      </c>
      <c r="B24" s="9" t="s">
        <v>164</v>
      </c>
      <c r="C24" s="9" t="s">
        <v>64</v>
      </c>
      <c r="D24" s="9" t="s">
        <v>432</v>
      </c>
      <c r="E24" s="9" t="s">
        <v>46</v>
      </c>
      <c r="F24" s="9"/>
      <c r="G24" s="9"/>
      <c r="H24" s="10">
        <v>46115</v>
      </c>
      <c r="I24" s="10">
        <v>46120</v>
      </c>
      <c r="J24" s="10">
        <v>46120</v>
      </c>
    </row>
    <row r="25" spans="1:10" ht="14.25" customHeight="1">
      <c r="A25" s="9" t="s">
        <v>40</v>
      </c>
      <c r="B25" s="9" t="s">
        <v>217</v>
      </c>
      <c r="C25" s="9" t="s">
        <v>64</v>
      </c>
      <c r="D25" s="9" t="s">
        <v>432</v>
      </c>
      <c r="E25" s="9" t="s">
        <v>46</v>
      </c>
      <c r="F25" s="9"/>
      <c r="G25" s="9"/>
      <c r="H25" s="10">
        <v>46120</v>
      </c>
      <c r="I25" s="10">
        <v>46122</v>
      </c>
      <c r="J25" s="10">
        <v>46122</v>
      </c>
    </row>
    <row r="26" spans="1:10" ht="14.25" customHeight="1">
      <c r="A26" s="9" t="s">
        <v>40</v>
      </c>
      <c r="B26" s="9" t="s">
        <v>182</v>
      </c>
      <c r="C26" s="9" t="s">
        <v>64</v>
      </c>
      <c r="D26" s="9" t="s">
        <v>432</v>
      </c>
      <c r="E26" s="9" t="s">
        <v>46</v>
      </c>
      <c r="F26" s="9"/>
      <c r="G26" s="9"/>
      <c r="H26" s="10">
        <v>46122</v>
      </c>
      <c r="I26" s="10"/>
      <c r="J26" s="10"/>
    </row>
    <row r="27" spans="1:10" ht="14.25" customHeight="1">
      <c r="A27" s="9" t="s">
        <v>40</v>
      </c>
      <c r="B27" s="9" t="s">
        <v>42</v>
      </c>
      <c r="C27" s="9" t="s">
        <v>64</v>
      </c>
      <c r="D27" s="9" t="s">
        <v>432</v>
      </c>
      <c r="E27" s="9" t="s">
        <v>46</v>
      </c>
      <c r="F27" s="9"/>
      <c r="G27" s="9"/>
      <c r="H27" s="10"/>
      <c r="I27" s="10"/>
      <c r="J27" s="10"/>
    </row>
    <row r="28" spans="1:10" ht="14.25" customHeight="1">
      <c r="A28" s="9" t="s">
        <v>40</v>
      </c>
      <c r="B28" s="9" t="s">
        <v>257</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257</v>
      </c>
      <c r="C33" s="9" t="s">
        <v>70</v>
      </c>
      <c r="D33" s="9" t="s">
        <v>432</v>
      </c>
      <c r="E33" s="9" t="s">
        <v>60</v>
      </c>
      <c r="F33" s="9"/>
      <c r="G33" s="9"/>
      <c r="H33" s="10"/>
      <c r="I33" s="10">
        <v>46122</v>
      </c>
      <c r="J33" s="10">
        <v>46122</v>
      </c>
    </row>
    <row r="34" spans="1:10" ht="14.25" customHeight="1">
      <c r="A34" s="9" t="s">
        <v>40</v>
      </c>
      <c r="B34" s="9" t="s">
        <v>164</v>
      </c>
      <c r="C34" s="9" t="s">
        <v>70</v>
      </c>
      <c r="D34" s="9" t="s">
        <v>432</v>
      </c>
      <c r="E34" s="9" t="s">
        <v>60</v>
      </c>
      <c r="F34" s="9"/>
      <c r="G34" s="9"/>
      <c r="H34" s="10">
        <v>46122</v>
      </c>
      <c r="I34" s="10">
        <v>46126</v>
      </c>
      <c r="J34" s="10">
        <v>46126</v>
      </c>
    </row>
    <row r="35" spans="1:10" ht="14.25" customHeight="1">
      <c r="A35" s="9" t="s">
        <v>40</v>
      </c>
      <c r="B35" s="9" t="s">
        <v>217</v>
      </c>
      <c r="C35" s="9" t="s">
        <v>70</v>
      </c>
      <c r="D35" s="9" t="s">
        <v>432</v>
      </c>
      <c r="E35" s="9" t="s">
        <v>60</v>
      </c>
      <c r="F35" s="9"/>
      <c r="G35" s="9"/>
      <c r="H35" s="10">
        <v>46126</v>
      </c>
      <c r="I35" s="10">
        <v>46122</v>
      </c>
      <c r="J35" s="10">
        <v>46122</v>
      </c>
    </row>
    <row r="36" spans="1:10" ht="14.25" customHeight="1">
      <c r="A36" s="9" t="s">
        <v>40</v>
      </c>
      <c r="B36" s="9" t="s">
        <v>182</v>
      </c>
      <c r="C36" s="9" t="s">
        <v>70</v>
      </c>
      <c r="D36" s="9" t="s">
        <v>432</v>
      </c>
      <c r="E36" s="9" t="s">
        <v>60</v>
      </c>
      <c r="F36" s="9"/>
      <c r="G36" s="9"/>
      <c r="H36" s="10">
        <v>46122</v>
      </c>
      <c r="I36" s="10"/>
      <c r="J36" s="10"/>
    </row>
    <row r="37" spans="1:10" ht="14.25" customHeight="1">
      <c r="A37" s="9" t="s">
        <v>40</v>
      </c>
      <c r="B37" s="9" t="s">
        <v>42</v>
      </c>
      <c r="C37" s="9" t="s">
        <v>70</v>
      </c>
      <c r="D37" s="9" t="s">
        <v>432</v>
      </c>
      <c r="E37" s="9" t="s">
        <v>60</v>
      </c>
      <c r="F37" s="9"/>
      <c r="G37" s="9"/>
      <c r="H37" s="10"/>
      <c r="I37" s="10"/>
      <c r="J37" s="10"/>
    </row>
    <row r="38" spans="1:10" ht="14.25" customHeight="1">
      <c r="A38" s="9" t="s">
        <v>40</v>
      </c>
      <c r="B38" s="9" t="s">
        <v>257</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257</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257</v>
      </c>
      <c r="C48" s="9" t="s">
        <v>97</v>
      </c>
      <c r="D48" s="9" t="s">
        <v>432</v>
      </c>
      <c r="E48" s="9" t="s">
        <v>60</v>
      </c>
      <c r="F48" s="9"/>
      <c r="G48" s="9"/>
      <c r="H48" s="10"/>
      <c r="I48" s="10"/>
      <c r="J48" s="10"/>
    </row>
    <row r="49" spans="1:10" ht="14.25" customHeight="1">
      <c r="A49" s="9" t="s">
        <v>40</v>
      </c>
      <c r="B49" s="9" t="s">
        <v>164</v>
      </c>
      <c r="C49" s="9" t="s">
        <v>97</v>
      </c>
      <c r="D49" s="9" t="s">
        <v>432</v>
      </c>
      <c r="E49" s="9" t="s">
        <v>60</v>
      </c>
      <c r="F49" s="9"/>
      <c r="G49" s="9"/>
      <c r="H49" s="10"/>
      <c r="I49" s="10">
        <v>46139</v>
      </c>
      <c r="J49" s="10">
        <v>46139</v>
      </c>
    </row>
    <row r="50" spans="1:10" ht="14.25" customHeight="1">
      <c r="A50" s="9" t="s">
        <v>40</v>
      </c>
      <c r="B50" s="9" t="s">
        <v>217</v>
      </c>
      <c r="C50" s="9" t="s">
        <v>97</v>
      </c>
      <c r="D50" s="9" t="s">
        <v>432</v>
      </c>
      <c r="E50" s="9" t="s">
        <v>60</v>
      </c>
      <c r="F50" s="9"/>
      <c r="G50" s="9"/>
      <c r="H50" s="10">
        <v>46139</v>
      </c>
      <c r="I50" s="10">
        <v>46139</v>
      </c>
      <c r="J50" s="10">
        <v>46139</v>
      </c>
    </row>
    <row r="51" spans="1:10" ht="14.25" customHeight="1">
      <c r="A51" s="9" t="s">
        <v>40</v>
      </c>
      <c r="B51" s="9" t="s">
        <v>182</v>
      </c>
      <c r="C51" s="9" t="s">
        <v>97</v>
      </c>
      <c r="D51" s="9" t="s">
        <v>432</v>
      </c>
      <c r="E51" s="9" t="s">
        <v>60</v>
      </c>
      <c r="F51" s="9"/>
      <c r="G51" s="9"/>
      <c r="H51" s="10">
        <v>46139</v>
      </c>
      <c r="I51" s="10"/>
      <c r="J51" s="10"/>
    </row>
    <row r="52" spans="1:10" ht="14.25" customHeight="1">
      <c r="A52" s="9" t="s">
        <v>40</v>
      </c>
      <c r="B52" s="9" t="s">
        <v>42</v>
      </c>
      <c r="C52" s="9" t="s">
        <v>97</v>
      </c>
      <c r="D52" s="9" t="s">
        <v>432</v>
      </c>
      <c r="E52" s="9" t="s">
        <v>60</v>
      </c>
      <c r="F52" s="9"/>
      <c r="G52" s="9"/>
      <c r="H52" s="10"/>
      <c r="I52" s="10"/>
      <c r="J52" s="10"/>
    </row>
    <row r="53" spans="1:10" ht="14.25" customHeight="1">
      <c r="A53" s="9" t="s">
        <v>40</v>
      </c>
      <c r="B53" s="9" t="s">
        <v>257</v>
      </c>
      <c r="C53" s="9" t="s">
        <v>98</v>
      </c>
      <c r="D53" s="9" t="s">
        <v>432</v>
      </c>
      <c r="E53" s="9" t="s">
        <v>60</v>
      </c>
      <c r="F53" s="9"/>
      <c r="G53" s="9"/>
      <c r="H53" s="10"/>
      <c r="I53" s="10"/>
      <c r="J53" s="10"/>
    </row>
    <row r="54" spans="1:10" ht="14.25" customHeight="1">
      <c r="A54" s="9" t="s">
        <v>40</v>
      </c>
      <c r="B54" s="9" t="s">
        <v>164</v>
      </c>
      <c r="C54" s="9" t="s">
        <v>98</v>
      </c>
      <c r="D54" s="9" t="s">
        <v>432</v>
      </c>
      <c r="E54" s="9" t="s">
        <v>60</v>
      </c>
      <c r="F54" s="9"/>
      <c r="G54" s="9"/>
      <c r="H54" s="9"/>
      <c r="I54" s="10">
        <v>46141</v>
      </c>
      <c r="J54" s="10">
        <v>46141</v>
      </c>
    </row>
    <row r="55" spans="1:10" ht="14.25" customHeight="1">
      <c r="A55" s="9" t="s">
        <v>40</v>
      </c>
      <c r="B55" s="9" t="s">
        <v>217</v>
      </c>
      <c r="C55" s="9" t="s">
        <v>98</v>
      </c>
      <c r="D55" s="9" t="s">
        <v>432</v>
      </c>
      <c r="E55" s="9" t="s">
        <v>60</v>
      </c>
      <c r="F55" s="9"/>
      <c r="G55" s="9"/>
      <c r="H55" s="10">
        <v>46141</v>
      </c>
      <c r="I55" s="10">
        <v>46141</v>
      </c>
      <c r="J55" s="10">
        <v>46141</v>
      </c>
    </row>
    <row r="56" spans="1:10" ht="14.25" customHeight="1">
      <c r="A56" s="9" t="s">
        <v>40</v>
      </c>
      <c r="B56" s="9" t="s">
        <v>182</v>
      </c>
      <c r="C56" s="9" t="s">
        <v>98</v>
      </c>
      <c r="D56" s="9" t="s">
        <v>432</v>
      </c>
      <c r="E56" s="9" t="s">
        <v>60</v>
      </c>
      <c r="F56" s="9"/>
      <c r="G56" s="9"/>
      <c r="H56" s="10">
        <v>46141</v>
      </c>
      <c r="I56" s="10"/>
      <c r="J56" s="10"/>
    </row>
    <row r="57" spans="1:10" ht="14.25" customHeight="1">
      <c r="A57" s="9" t="s">
        <v>40</v>
      </c>
      <c r="B57" s="9" t="s">
        <v>42</v>
      </c>
      <c r="C57" s="9" t="s">
        <v>98</v>
      </c>
      <c r="D57" s="9" t="s">
        <v>432</v>
      </c>
      <c r="E57" s="9" t="s">
        <v>60</v>
      </c>
      <c r="F57" s="9"/>
      <c r="G57" s="9"/>
      <c r="H57" s="10"/>
      <c r="I57" s="10"/>
      <c r="J57" s="10"/>
    </row>
    <row r="58" spans="1:10" ht="14.25" customHeight="1">
      <c r="A58" s="9" t="s">
        <v>40</v>
      </c>
      <c r="B58" s="9" t="s">
        <v>257</v>
      </c>
      <c r="C58" s="9" t="s">
        <v>99</v>
      </c>
      <c r="D58" s="9" t="s">
        <v>432</v>
      </c>
      <c r="E58" s="9" t="s">
        <v>46</v>
      </c>
      <c r="F58" s="9"/>
      <c r="G58" s="9"/>
      <c r="H58" s="9"/>
      <c r="I58" s="10"/>
      <c r="J58" s="10"/>
    </row>
    <row r="59" spans="1:10" ht="14.25" customHeight="1">
      <c r="A59" s="9" t="s">
        <v>40</v>
      </c>
      <c r="B59" s="9" t="s">
        <v>164</v>
      </c>
      <c r="C59" s="9" t="s">
        <v>99</v>
      </c>
      <c r="D59" s="9" t="s">
        <v>432</v>
      </c>
      <c r="E59" s="9" t="s">
        <v>46</v>
      </c>
      <c r="F59" s="9"/>
      <c r="G59" s="9"/>
      <c r="H59" s="10"/>
      <c r="I59" s="10">
        <v>46161</v>
      </c>
      <c r="J59" s="10">
        <v>46161</v>
      </c>
    </row>
    <row r="60" spans="1:10" ht="14.25" customHeight="1">
      <c r="A60" s="9" t="s">
        <v>40</v>
      </c>
      <c r="B60" s="9" t="s">
        <v>217</v>
      </c>
      <c r="C60" s="9" t="s">
        <v>99</v>
      </c>
      <c r="D60" s="9" t="s">
        <v>432</v>
      </c>
      <c r="E60" s="9" t="s">
        <v>46</v>
      </c>
      <c r="F60" s="9"/>
      <c r="G60" s="9"/>
      <c r="H60" s="10">
        <v>46161</v>
      </c>
      <c r="I60" s="10">
        <v>46161</v>
      </c>
      <c r="J60" s="10">
        <v>46161</v>
      </c>
    </row>
    <row r="61" spans="1:10" ht="14.25" customHeight="1">
      <c r="A61" s="9" t="s">
        <v>40</v>
      </c>
      <c r="B61" s="9" t="s">
        <v>182</v>
      </c>
      <c r="C61" s="9" t="s">
        <v>99</v>
      </c>
      <c r="D61" s="9" t="s">
        <v>432</v>
      </c>
      <c r="E61" s="9" t="s">
        <v>46</v>
      </c>
      <c r="F61" s="9"/>
      <c r="G61" s="9"/>
      <c r="H61" s="10">
        <v>46161</v>
      </c>
      <c r="I61" s="10"/>
      <c r="J61" s="10"/>
    </row>
    <row r="62" spans="1:10" ht="14.25" customHeight="1">
      <c r="A62" s="9" t="s">
        <v>40</v>
      </c>
      <c r="B62" s="9" t="s">
        <v>42</v>
      </c>
      <c r="C62" s="9" t="s">
        <v>99</v>
      </c>
      <c r="D62" s="9" t="s">
        <v>432</v>
      </c>
      <c r="E62" s="9" t="s">
        <v>46</v>
      </c>
      <c r="F62" s="9"/>
      <c r="G62" s="9"/>
      <c r="H62" s="9"/>
      <c r="I62" s="10"/>
      <c r="J62" s="10"/>
    </row>
    <row r="63" spans="1:10" ht="14.25" customHeight="1">
      <c r="A63" s="9" t="s">
        <v>40</v>
      </c>
      <c r="B63" s="9" t="s">
        <v>257</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257</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257</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257</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257</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257</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257</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257</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257</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257</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257</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257</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217</v>
      </c>
      <c r="C120" s="9" t="s">
        <v>113</v>
      </c>
      <c r="D120" s="9" t="s">
        <v>59</v>
      </c>
      <c r="E120" s="9" t="s">
        <v>46</v>
      </c>
      <c r="F120" s="9"/>
      <c r="G120" s="9"/>
      <c r="H120" s="10">
        <v>46186</v>
      </c>
      <c r="I120" s="10">
        <v>46188</v>
      </c>
      <c r="J120" s="10">
        <v>46188</v>
      </c>
    </row>
    <row r="121" spans="1:10" ht="14.25" customHeight="1">
      <c r="A121" s="9" t="s">
        <v>40</v>
      </c>
      <c r="B121" s="9" t="s">
        <v>257</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257</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257</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257</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257</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217</v>
      </c>
      <c r="C143" s="9" t="s">
        <v>127</v>
      </c>
      <c r="D143" s="9" t="s">
        <v>76</v>
      </c>
      <c r="E143" s="9" t="s">
        <v>60</v>
      </c>
      <c r="F143" s="9"/>
      <c r="G143" s="9" t="s">
        <v>129</v>
      </c>
      <c r="H143" s="10">
        <v>46213</v>
      </c>
      <c r="I143" s="10">
        <v>46223</v>
      </c>
      <c r="J143" s="10">
        <v>46223</v>
      </c>
    </row>
    <row r="144" spans="1:10" ht="14.25" customHeight="1">
      <c r="A144" s="9" t="s">
        <v>126</v>
      </c>
      <c r="B144" s="9" t="s">
        <v>257</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217</v>
      </c>
      <c r="C146" s="9" t="s">
        <v>134</v>
      </c>
      <c r="D146" s="9" t="s">
        <v>65</v>
      </c>
      <c r="E146" s="9" t="s">
        <v>77</v>
      </c>
      <c r="F146" s="9"/>
      <c r="G146" s="9" t="s">
        <v>129</v>
      </c>
      <c r="H146" s="10">
        <v>46218</v>
      </c>
      <c r="I146" s="10">
        <v>46223</v>
      </c>
      <c r="J146" s="10">
        <v>46223</v>
      </c>
    </row>
    <row r="147" spans="1:10" ht="14.25" customHeight="1">
      <c r="A147" s="9" t="s">
        <v>126</v>
      </c>
      <c r="B147" s="9" t="s">
        <v>257</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217</v>
      </c>
      <c r="C149" s="9" t="s">
        <v>136</v>
      </c>
      <c r="D149" s="9" t="s">
        <v>65</v>
      </c>
      <c r="E149" s="9" t="s">
        <v>77</v>
      </c>
      <c r="F149" s="9"/>
      <c r="G149" s="9" t="s">
        <v>129</v>
      </c>
      <c r="H149" s="10">
        <v>46225</v>
      </c>
      <c r="I149" s="10">
        <v>46223</v>
      </c>
      <c r="J149" s="10">
        <v>46223</v>
      </c>
    </row>
    <row r="150" spans="1:10" ht="14.25" customHeight="1">
      <c r="A150" s="9" t="s">
        <v>126</v>
      </c>
      <c r="B150" s="9" t="s">
        <v>257</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217</v>
      </c>
      <c r="C152" s="9" t="s">
        <v>138</v>
      </c>
      <c r="D152" s="9" t="s">
        <v>59</v>
      </c>
      <c r="E152" s="9" t="s">
        <v>46</v>
      </c>
      <c r="F152" s="9"/>
      <c r="G152" s="9" t="s">
        <v>129</v>
      </c>
      <c r="H152" s="10">
        <v>46227</v>
      </c>
      <c r="I152" s="10">
        <v>46223</v>
      </c>
      <c r="J152" s="10">
        <v>46223</v>
      </c>
    </row>
    <row r="153" spans="1:10" ht="14.25" customHeight="1">
      <c r="A153" s="9" t="s">
        <v>126</v>
      </c>
      <c r="B153" s="9" t="s">
        <v>257</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217</v>
      </c>
      <c r="C155" s="9" t="s">
        <v>140</v>
      </c>
      <c r="D155" s="9" t="s">
        <v>103</v>
      </c>
      <c r="E155" s="9" t="s">
        <v>77</v>
      </c>
      <c r="F155" s="9"/>
      <c r="G155" s="9" t="s">
        <v>129</v>
      </c>
      <c r="H155" s="10">
        <v>46216</v>
      </c>
      <c r="I155" s="10">
        <v>46225</v>
      </c>
      <c r="J155" s="10">
        <v>46225</v>
      </c>
    </row>
    <row r="156" spans="1:10" ht="14.25" customHeight="1">
      <c r="A156" s="9" t="s">
        <v>126</v>
      </c>
      <c r="B156" s="9" t="s">
        <v>257</v>
      </c>
      <c r="C156" s="9" t="s">
        <v>142</v>
      </c>
      <c r="D156" s="9" t="s">
        <v>84</v>
      </c>
      <c r="E156" s="9" t="s">
        <v>60</v>
      </c>
      <c r="F156" s="9"/>
      <c r="G156" s="9" t="s">
        <v>143</v>
      </c>
      <c r="H156" s="9"/>
      <c r="I156" s="9"/>
      <c r="J156" s="9"/>
    </row>
    <row r="157" spans="1:10">
      <c r="A157" s="3" t="s">
        <v>126</v>
      </c>
      <c r="B157" s="3" t="s">
        <v>257</v>
      </c>
      <c r="C157" s="3" t="s">
        <v>145</v>
      </c>
      <c r="D157" s="3" t="s">
        <v>65</v>
      </c>
      <c r="E157" s="3" t="s">
        <v>46</v>
      </c>
      <c r="F157" s="3"/>
      <c r="G157" s="3" t="s">
        <v>143</v>
      </c>
      <c r="H157" s="3"/>
      <c r="I157" s="3"/>
      <c r="J157" s="3"/>
    </row>
    <row r="158" spans="1:10">
      <c r="A158" s="3" t="s">
        <v>126</v>
      </c>
      <c r="B158" s="3" t="s">
        <v>257</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217</v>
      </c>
      <c r="C160" s="3" t="s">
        <v>148</v>
      </c>
      <c r="D160" s="3" t="s">
        <v>65</v>
      </c>
      <c r="E160" s="3" t="s">
        <v>46</v>
      </c>
      <c r="F160" s="3"/>
      <c r="G160" s="3" t="s">
        <v>143</v>
      </c>
      <c r="H160" s="4">
        <v>46221</v>
      </c>
      <c r="I160" s="4">
        <v>46223</v>
      </c>
      <c r="J160" s="4">
        <v>46223</v>
      </c>
    </row>
    <row r="161" spans="1:10">
      <c r="A161" s="3" t="s">
        <v>126</v>
      </c>
      <c r="B161" s="3" t="s">
        <v>257</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217</v>
      </c>
      <c r="C163" s="3" t="s">
        <v>149</v>
      </c>
      <c r="D163" s="3" t="s">
        <v>84</v>
      </c>
      <c r="E163" s="3" t="s">
        <v>60</v>
      </c>
      <c r="F163" s="3"/>
      <c r="G163" s="3" t="s">
        <v>143</v>
      </c>
      <c r="H163" s="4">
        <v>46220</v>
      </c>
      <c r="I163" s="4">
        <v>46223</v>
      </c>
      <c r="J163" s="4">
        <v>46223</v>
      </c>
    </row>
    <row r="164" spans="1:10">
      <c r="A164" s="3" t="s">
        <v>126</v>
      </c>
      <c r="B164" s="3" t="s">
        <v>257</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217</v>
      </c>
      <c r="C166" s="3" t="s">
        <v>152</v>
      </c>
      <c r="D166" s="3" t="s">
        <v>154</v>
      </c>
      <c r="E166" s="3" t="s">
        <v>60</v>
      </c>
      <c r="F166" s="3"/>
      <c r="G166" s="3" t="s">
        <v>143</v>
      </c>
      <c r="H166" s="4">
        <v>46224</v>
      </c>
      <c r="I166" s="4">
        <v>46223</v>
      </c>
      <c r="J166" s="4">
        <v>46223</v>
      </c>
    </row>
    <row r="167" spans="1:10">
      <c r="A167" s="3" t="s">
        <v>126</v>
      </c>
      <c r="B167" s="3" t="s">
        <v>257</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217</v>
      </c>
      <c r="C169" s="3" t="s">
        <v>155</v>
      </c>
      <c r="D169" s="3" t="s">
        <v>154</v>
      </c>
      <c r="E169" s="3" t="s">
        <v>77</v>
      </c>
      <c r="F169" s="3"/>
      <c r="G169" s="3" t="s">
        <v>143</v>
      </c>
      <c r="H169" s="4">
        <v>46225</v>
      </c>
      <c r="I169" s="4">
        <v>46223</v>
      </c>
      <c r="J169" s="4">
        <v>46223</v>
      </c>
    </row>
    <row r="170" spans="1:10">
      <c r="A170" s="3" t="s">
        <v>126</v>
      </c>
      <c r="B170" s="3" t="s">
        <v>257</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217</v>
      </c>
      <c r="C172" s="3" t="s">
        <v>156</v>
      </c>
      <c r="D172" s="3" t="s">
        <v>76</v>
      </c>
      <c r="E172" s="3" t="s">
        <v>46</v>
      </c>
      <c r="F172" s="3"/>
      <c r="G172" s="3" t="s">
        <v>129</v>
      </c>
      <c r="H172" s="4">
        <v>46226</v>
      </c>
      <c r="I172" s="4">
        <v>46223</v>
      </c>
      <c r="J172" s="4">
        <v>46223</v>
      </c>
    </row>
    <row r="173" spans="1:10">
      <c r="A173" s="3" t="s">
        <v>126</v>
      </c>
      <c r="B173" s="3" t="s">
        <v>257</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217</v>
      </c>
      <c r="C175" s="3" t="s">
        <v>158</v>
      </c>
      <c r="D175" s="3" t="s">
        <v>59</v>
      </c>
      <c r="E175" s="3" t="s">
        <v>60</v>
      </c>
      <c r="F175" s="3"/>
      <c r="G175" s="3" t="s">
        <v>129</v>
      </c>
      <c r="H175" s="4">
        <v>46225</v>
      </c>
      <c r="I175" s="4">
        <v>46223</v>
      </c>
      <c r="J175" s="4">
        <v>46223</v>
      </c>
    </row>
    <row r="176" spans="1:10">
      <c r="A176" s="3" t="s">
        <v>126</v>
      </c>
      <c r="B176" s="3" t="s">
        <v>257</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217</v>
      </c>
      <c r="C178" s="3" t="s">
        <v>160</v>
      </c>
      <c r="D178" s="3" t="s">
        <v>76</v>
      </c>
      <c r="E178" s="3" t="s">
        <v>77</v>
      </c>
      <c r="F178" s="3"/>
      <c r="G178" s="3" t="s">
        <v>143</v>
      </c>
      <c r="H178" s="4">
        <v>46225</v>
      </c>
      <c r="I178" s="4">
        <v>46230</v>
      </c>
      <c r="J178" s="4">
        <v>46230</v>
      </c>
    </row>
    <row r="179" spans="1:10">
      <c r="A179" s="3" t="s">
        <v>126</v>
      </c>
      <c r="B179" s="3" t="s">
        <v>257</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217</v>
      </c>
      <c r="C181" s="3" t="s">
        <v>163</v>
      </c>
      <c r="D181" s="3" t="s">
        <v>103</v>
      </c>
      <c r="E181" s="3"/>
      <c r="F181" s="3"/>
      <c r="G181" s="3"/>
      <c r="H181" s="3"/>
      <c r="I181" s="3"/>
      <c r="J181" s="3"/>
    </row>
    <row r="182" spans="1:10">
      <c r="A182" s="3" t="s">
        <v>126</v>
      </c>
      <c r="B182" s="3" t="s">
        <v>257</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217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433</v>
      </c>
      <c r="F1" s="1" t="s">
        <v>333</v>
      </c>
      <c r="G1" s="5" t="s">
        <v>434</v>
      </c>
      <c r="H1" s="5" t="s">
        <v>20</v>
      </c>
      <c r="I1" t="s">
        <v>35</v>
      </c>
      <c r="J1" s="5" t="s">
        <v>435</v>
      </c>
      <c r="K1" s="5" t="s">
        <v>182</v>
      </c>
      <c r="L1" s="5" t="s">
        <v>352</v>
      </c>
      <c r="M1" s="1" t="s">
        <v>436</v>
      </c>
      <c r="N1" s="1" t="s">
        <v>437</v>
      </c>
      <c r="R1" t="s">
        <v>13</v>
      </c>
      <c r="T1" t="s">
        <v>438</v>
      </c>
    </row>
    <row r="2" spans="1:20" ht="13.5" customHeight="1">
      <c r="A2" s="2" t="s">
        <v>439</v>
      </c>
      <c r="B2" s="2" t="s">
        <v>440</v>
      </c>
      <c r="C2" s="2" t="s">
        <v>441</v>
      </c>
      <c r="D2" s="2" t="s">
        <v>442</v>
      </c>
      <c r="E2" s="2" t="s">
        <v>443</v>
      </c>
      <c r="F2" s="2" t="s">
        <v>444</v>
      </c>
      <c r="G2" t="s">
        <v>445</v>
      </c>
      <c r="H2" t="s">
        <v>446</v>
      </c>
      <c r="I2" t="s">
        <v>447</v>
      </c>
      <c r="J2" s="29" t="s">
        <v>448</v>
      </c>
      <c r="K2" s="29" t="s">
        <v>449</v>
      </c>
      <c r="L2" s="29" t="s">
        <v>450</v>
      </c>
      <c r="M2" t="s">
        <v>143</v>
      </c>
      <c r="N2" t="s">
        <v>451</v>
      </c>
      <c r="R2" t="s">
        <v>251</v>
      </c>
      <c r="T2" t="s">
        <v>49</v>
      </c>
    </row>
    <row r="3" spans="1:20" ht="15" customHeight="1">
      <c r="A3" t="s">
        <v>40</v>
      </c>
      <c r="B3" t="s">
        <v>44</v>
      </c>
      <c r="C3" t="s">
        <v>60</v>
      </c>
      <c r="D3" t="s">
        <v>129</v>
      </c>
      <c r="E3" t="s">
        <v>50</v>
      </c>
      <c r="F3" t="s">
        <v>231</v>
      </c>
      <c r="G3" t="s">
        <v>44</v>
      </c>
      <c r="H3" t="s">
        <v>47</v>
      </c>
      <c r="I3" t="s">
        <v>53</v>
      </c>
      <c r="J3" t="s">
        <v>257</v>
      </c>
      <c r="K3" t="s">
        <v>48</v>
      </c>
      <c r="L3" t="s">
        <v>53</v>
      </c>
      <c r="M3" t="s">
        <v>44</v>
      </c>
      <c r="N3" t="s">
        <v>452</v>
      </c>
      <c r="R3" t="s">
        <v>45</v>
      </c>
      <c r="T3" t="s">
        <v>94</v>
      </c>
    </row>
    <row r="4" spans="1:20" ht="15" customHeight="1">
      <c r="A4" t="s">
        <v>126</v>
      </c>
      <c r="B4" t="s">
        <v>59</v>
      </c>
      <c r="C4" t="s">
        <v>46</v>
      </c>
      <c r="D4" t="s">
        <v>143</v>
      </c>
      <c r="E4" t="s">
        <v>53</v>
      </c>
      <c r="F4" t="s">
        <v>257</v>
      </c>
      <c r="G4" t="s">
        <v>59</v>
      </c>
      <c r="H4" t="s">
        <v>88</v>
      </c>
      <c r="I4" t="s">
        <v>205</v>
      </c>
      <c r="J4" t="s">
        <v>164</v>
      </c>
      <c r="L4" t="s">
        <v>50</v>
      </c>
      <c r="M4" t="s">
        <v>103</v>
      </c>
      <c r="N4" t="s">
        <v>453</v>
      </c>
      <c r="R4" t="s">
        <v>454</v>
      </c>
      <c r="T4" t="s">
        <v>72</v>
      </c>
    </row>
    <row r="5" spans="1:20" ht="15" customHeight="1">
      <c r="A5" t="s">
        <v>423</v>
      </c>
      <c r="B5" t="s">
        <v>432</v>
      </c>
      <c r="C5" t="s">
        <v>77</v>
      </c>
      <c r="F5" t="s">
        <v>164</v>
      </c>
      <c r="G5" t="s">
        <v>432</v>
      </c>
      <c r="H5" t="s">
        <v>129</v>
      </c>
      <c r="I5" t="s">
        <v>213</v>
      </c>
      <c r="J5" t="s">
        <v>217</v>
      </c>
      <c r="L5" t="s">
        <v>455</v>
      </c>
      <c r="M5" t="s">
        <v>88</v>
      </c>
      <c r="N5" t="s">
        <v>456</v>
      </c>
    </row>
    <row r="6" spans="1:20" ht="15" customHeight="1">
      <c r="A6" t="s">
        <v>305</v>
      </c>
      <c r="B6" t="s">
        <v>84</v>
      </c>
      <c r="F6" t="s">
        <v>217</v>
      </c>
      <c r="G6" t="s">
        <v>84</v>
      </c>
      <c r="H6" t="s">
        <v>143</v>
      </c>
      <c r="I6" t="s">
        <v>168</v>
      </c>
      <c r="J6" t="s">
        <v>182</v>
      </c>
      <c r="M6" t="s">
        <v>48</v>
      </c>
      <c r="N6" t="s">
        <v>456</v>
      </c>
    </row>
    <row r="7" spans="1:20" ht="15" customHeight="1">
      <c r="A7" t="s">
        <v>296</v>
      </c>
      <c r="B7" t="s">
        <v>65</v>
      </c>
      <c r="F7" t="s">
        <v>182</v>
      </c>
      <c r="G7" t="s">
        <v>65</v>
      </c>
      <c r="H7" t="s">
        <v>199</v>
      </c>
      <c r="I7" t="s">
        <v>457</v>
      </c>
      <c r="M7" t="s">
        <v>129</v>
      </c>
      <c r="N7" t="s">
        <v>458</v>
      </c>
    </row>
    <row r="8" spans="1:20" ht="15" customHeight="1">
      <c r="B8" t="s">
        <v>76</v>
      </c>
      <c r="F8" t="s">
        <v>128</v>
      </c>
      <c r="G8" t="s">
        <v>76</v>
      </c>
      <c r="I8" t="s">
        <v>459</v>
      </c>
      <c r="M8" t="s">
        <v>60</v>
      </c>
      <c r="N8" t="s">
        <v>460</v>
      </c>
    </row>
    <row r="9" spans="1:20" ht="15" customHeight="1">
      <c r="B9" t="s">
        <v>103</v>
      </c>
      <c r="F9" t="s">
        <v>42</v>
      </c>
      <c r="G9" t="s">
        <v>103</v>
      </c>
      <c r="I9" t="s">
        <v>461</v>
      </c>
      <c r="M9" t="s">
        <v>154</v>
      </c>
      <c r="N9" t="s">
        <v>462</v>
      </c>
    </row>
    <row r="10" spans="1:20" ht="15" customHeight="1">
      <c r="B10" t="s">
        <v>154</v>
      </c>
      <c r="G10" t="s">
        <v>154</v>
      </c>
      <c r="M10" t="s">
        <v>47</v>
      </c>
      <c r="N10" t="s">
        <v>463</v>
      </c>
    </row>
    <row r="11" spans="1:20">
      <c r="B11" t="s">
        <v>464</v>
      </c>
      <c r="G11" t="s">
        <v>60</v>
      </c>
      <c r="M11" t="s">
        <v>76</v>
      </c>
      <c r="N11" t="s">
        <v>465</v>
      </c>
    </row>
    <row r="12" spans="1:20">
      <c r="B12" t="s">
        <v>466</v>
      </c>
      <c r="G12" t="s">
        <v>46</v>
      </c>
      <c r="M12" t="s">
        <v>46</v>
      </c>
      <c r="N12" t="s">
        <v>467</v>
      </c>
    </row>
    <row r="13" spans="1:20">
      <c r="G13" t="s">
        <v>77</v>
      </c>
      <c r="M13" t="s">
        <v>77</v>
      </c>
      <c r="N13" t="s">
        <v>468</v>
      </c>
    </row>
    <row r="14" spans="1:20">
      <c r="M14" t="s">
        <v>84</v>
      </c>
      <c r="N14" t="s">
        <v>469</v>
      </c>
    </row>
    <row r="15" spans="1:20">
      <c r="M15" t="s">
        <v>59</v>
      </c>
      <c r="N15" t="s">
        <v>470</v>
      </c>
    </row>
    <row r="16" spans="1:20">
      <c r="M16" t="s">
        <v>65</v>
      </c>
      <c r="N16" t="s">
        <v>471</v>
      </c>
    </row>
    <row r="17" spans="13:14">
      <c r="M17" t="s">
        <v>432</v>
      </c>
      <c r="N17" t="s">
        <v>471</v>
      </c>
    </row>
    <row r="18" spans="13:14">
      <c r="M18" t="s">
        <v>226</v>
      </c>
      <c r="N18" t="s">
        <v>472</v>
      </c>
    </row>
    <row r="19" spans="13:14">
      <c r="M19" t="s">
        <v>199</v>
      </c>
      <c r="N19" t="s">
        <v>473</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Bardia Mouhebat</cp:lastModifiedBy>
  <cp:revision>0</cp:revision>
  <dcterms:created xsi:type="dcterms:W3CDTF">2026-07-21T14:32:59Z</dcterms:created>
  <dcterms:modified xsi:type="dcterms:W3CDTF">2026-09-30T15:09:12Z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