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429" documentId="13_ncr:1_{52745E9B-3AA1-4770-AAD3-E6166BFC13AE}" xr6:coauthVersionLast="47" xr6:coauthVersionMax="47" xr10:uidLastSave="{1C01EC9A-483D-4B38-A97D-69F486B87B3B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<sst xmlns="http://schemas.openxmlformats.org/spreadsheetml/2006/main" count="2183" uniqueCount="266">
  <si>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</si>
  <si>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</si>
  <si>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</si>
  <si>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</si>
  <si>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</si>
  <si>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</si>
  <si>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</si>
  <si>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</si>
  <si>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</si>
  <si>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</si>
  <si>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</si>
  <si>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</si>
  <si>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</si>
  <si>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</si>
  <si>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</si>
  <si>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</si>
  <si>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</si>
  <si>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</si>
  <si>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</si>
  <si>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</si>
  <si>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</si>
  <si>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</si>
  <si>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</si>
  <si>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</si>
  <si>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</si>
  <si>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</si>
  <si>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</si>
  <si>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</si>
  <si>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</si>
  <si>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</si>
  <si>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</si>
  <si>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</si>
  <si>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</si>
  <si>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</si>
  <si>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</si>
  <si>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</si>
  <si>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</si>
  <si>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</si>
  <si>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</si>
  <si>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</si>
  <si>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</si>
  <si>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</si>
  <si>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</si>
  <si>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</si>
  <si>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</si>
  <si>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</si>
  <si>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</si>
  <si>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</si>
  <si>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</si>
  <si>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</si>
  <si>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</si>
  <si>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</si>
  <si>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</si>
  <si>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</si>
  <si>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</si>
  <si>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</si>
  <si>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</si>
  <si>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</si>
  <si>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</si>
  <si>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</si>
  <si>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</si>
  <si>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</si>
  <si>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</si>
  <si>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</si>
  <si>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</si>
  <si>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</si>
  <si>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</si>
  <si>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</si>
  <si>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</si>
  <si>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</si>
  <si>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</si>
  <si>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</si>
  <si>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</si>
  <si>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</si>
  <si>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</si>
  <si>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</si>
  <si>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</si>
  <si>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</si>
  <si>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</si>
  <si>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</si>
  <si>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</si>
  <si>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</si>
  <si>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</si>
  <si>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</si>
  <si>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</si>
  <si>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</si>
  <si>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</si>
  <si>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</si>
  <si>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</si>
  <si>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</si>
  <si>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</si>
  <si>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</si>
  <si>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</si>
  <si>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</si>
  <si>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</si>
  <si>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</si>
  <si>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</si>
  <si>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</si>
  <si>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</si>
  <si>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</si>
  <si>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</si>
  <si>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</si>
  <si>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</si>
  <si>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</si>
  <si>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</si>
  <si>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</si>
  <si>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</si>
  <si>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</si>
  <si>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</si>
  <si>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</si>
  <si>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</si>
  <si>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</si>
  <si>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</si>
  <si>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</si>
  <si>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</si>
  <si>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</si>
  <si>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</si>
  <si>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S4</t>
  </si>
  <si>
    <t>Yes – needs DB Dev to fix</t>
  </si>
  <si>
    <t>Blocked with  https://jira.prod.nationalgrid.com/browse/GDMP-2875</t>
  </si>
  <si>
    <t>RPT_02_Warning Tag HEFPA</t>
  </si>
  <si>
    <t>S4, S6, S1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</si>
  <si>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</si>
  <si>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</si>
  <si>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</si>
  <si>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</si>
  <si>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</si>
  <si>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S4, S6, S1, S2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</si>
  <si>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</si>
  <si>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</si>
  <si>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S4, S6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</si>
  <si>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</si>
  <si>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</si>
  <si>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</si>
  <si>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</si>
  <si>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</si>
  <si>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</si>
  <si>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QA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</si>
  <si>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</si>
  <si>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</si>
  <si>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</si>
  <si>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</si>
  <si>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</si>
  <si>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</si>
  <si>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</si>
  <si>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</si>
  <si>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PI2, S1, S2</t>
  </si>
  <si>
    <t>RPT_02_Fixed Factor Printout</t>
  </si>
  <si>
    <t>PI2, S2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</si>
  <si>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</si>
  <si>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</si>
  <si>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</si>
  <si>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</si>
  <si>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</si>
  <si>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</si>
  <si>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PI2, S2,S3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</si>
  <si>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</si>
  <si>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</si>
  <si>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</si>
  <si>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</si>
  <si>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</si>
  <si>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</si>
  <si>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</si>
  <si>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</si>
  <si>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PI2, S3</t>
  </si>
  <si>
    <t>RPT_02_High Pressure Steel Inside Inspection</t>
  </si>
  <si>
    <t>RPT_02_Large Gas Outage</t>
  </si>
  <si>
    <t>PI2, S4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</si>
  <si>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</si>
  <si>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</si>
  <si>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</si>
  <si>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</si>
  <si>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</si>
  <si>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</si>
  <si>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</si>
  <si>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</si>
  <si>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</si>
  <si>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</si>
  <si>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</si>
  <si>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</si>
  <si>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</si>
  <si>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</si>
  <si>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</si>
  <si>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</si>
  <si>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</si>
  <si>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</si>
  <si>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</si>
  <si>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</si>
  <si>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</si>
  <si>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</si>
  <si>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</si>
  <si>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</si>
  <si>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</si>
  <si>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</si>
  <si>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</si>
  <si>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</si>
  <si>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</si>
  <si>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</si>
  <si>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</si>
  <si>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</si>
  <si>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</si>
  <si>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</si>
  <si>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</si>
  <si>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</si>
  <si>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</si>
  <si>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</si>
  <si>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</si>
  <si>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</si>
  <si>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</si>
  <si>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</si>
  <si>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</si>
  <si>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</si>
  <si>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</si>
  <si>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</si>
  <si>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</si>
  <si>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</si>
  <si>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</si>
  <si>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</si>
  <si>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</si>
  <si>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</si>
  <si>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</si>
  <si>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</si>
  <si>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</si>
  <si>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>yes</t>
  </si>
  <si>
    <t>Count mismatch</t>
  </si>
  <si>
    <t xml:space="preserve">Yes 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</si>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</sst>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9">
  <autoFilter ref="A1:AH73" xr:uid="{00000000-0009-0000-0100-000001000000}">
    <filterColumn colId="0">
      <filters>
        <filter val="CMS"/>
      </filters>
    </filterColumn>
    <filterColumn colId="6">
      <filters>
        <filter val="Nick"/>
      </filters>
    </filterColumn>
    <filterColumn colId="11">
      <filters>
        <filter val="July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7" xr3:uid="{00000000-0010-0000-0000-000007000000}" name="DB Developer" dataDxfId="42"/>
    <tableColumn id="8" xr3:uid="{00000000-0010-0000-0000-000008000000}" name="PBI Developer" dataDxfId="41"/>
    <tableColumn id="9" xr3:uid="{00000000-0010-0000-0000-000009000000}" name="QA Tester" dataDxfId="40"/>
    <tableColumn id="10" xr3:uid="{00000000-0010-0000-0000-00000A000000}" name="Schema" dataDxfId="39"/>
    <tableColumn id="11" xr3:uid="{00000000-0010-0000-0000-00000B000000}" name="Plan Delivery Date" dataDxfId="38"/>
    <tableColumn id="12" xr3:uid="{00000000-0010-0000-0000-00000C000000}" name="Plan Delivery Month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C33" activePane="bottomRight" state="frozen"/>
      <selection pane="bottomRight" activeCell="D33" sqref="D33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 hidden="1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46241</v>
      </c>
      <c r="O29" s="37"/>
      <c r="P29" s="37" t="s">
        <v>117</v>
      </c>
      <c r="Q29" s="54">
        <v>46220</v>
      </c>
      <c r="R29" s="36">
        <v>46223</v>
      </c>
      <c r="S29" s="36">
        <v>46223</v>
      </c>
      <c r="T29" s="36"/>
      <c r="U29" s="56">
        <v>46227</v>
      </c>
      <c r="V29" s="36"/>
      <c r="W29" s="36"/>
      <c r="X29" s="36"/>
      <c r="Y29" s="58">
        <v>46232</v>
      </c>
      <c r="Z29" s="36"/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 hidden="1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46241</v>
      </c>
      <c r="O30" s="35">
        <v>46224</v>
      </c>
      <c r="P30" s="36" t="s">
        <v>121</v>
      </c>
      <c r="Q30" s="54">
        <v>46220</v>
      </c>
      <c r="R30" s="36">
        <v>46244</v>
      </c>
      <c r="S30" s="36">
        <v>46224</v>
      </c>
      <c r="T30" s="36"/>
      <c r="U30" s="56">
        <v>46227</v>
      </c>
      <c r="V30" s="36"/>
      <c r="W30" s="36"/>
      <c r="X30" s="36"/>
      <c r="Y30" s="58">
        <v>46232</v>
      </c>
      <c r="Z30" s="36"/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122</v>
      </c>
    </row>
    <row r="31" spans="1:34" ht="14.45" hidden="1">
      <c r="A31" s="33" t="s">
        <v>112</v>
      </c>
      <c r="B31" s="33" t="s">
        <v>123</v>
      </c>
      <c r="C31" s="33" t="s">
        <v>124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46241</v>
      </c>
      <c r="O31" s="35">
        <v>46224</v>
      </c>
      <c r="P31" s="36" t="s">
        <v>121</v>
      </c>
      <c r="Q31" s="54">
        <v>46220</v>
      </c>
      <c r="R31" s="36">
        <v>46245</v>
      </c>
      <c r="S31" s="36"/>
      <c r="T31" s="36"/>
      <c r="U31" s="56">
        <v>46227</v>
      </c>
      <c r="V31" s="36"/>
      <c r="W31" s="36"/>
      <c r="X31" s="36"/>
      <c r="Y31" s="58">
        <v>46232</v>
      </c>
      <c r="Z31" s="36"/>
      <c r="AA31" s="33"/>
      <c r="AB31" s="38"/>
      <c r="AC31" s="36"/>
      <c r="AD31" s="39"/>
      <c r="AE31" s="33"/>
      <c r="AF31" s="40" t="s">
        <v>45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125</v>
      </c>
    </row>
    <row r="32" spans="1:34" ht="14.45" hidden="1">
      <c r="A32" s="33" t="s">
        <v>112</v>
      </c>
      <c r="B32" s="33" t="s">
        <v>126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On track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115</v>
      </c>
      <c r="J32" s="33"/>
      <c r="K32" s="50">
        <v>46234</v>
      </c>
      <c r="L32" s="3" t="s">
        <v>116</v>
      </c>
      <c r="M32" s="54">
        <v>46213</v>
      </c>
      <c r="N32" s="36">
        <v>46245</v>
      </c>
      <c r="O32" s="37">
        <v>46217</v>
      </c>
      <c r="P32" s="37" t="s">
        <v>127</v>
      </c>
      <c r="Q32" s="54">
        <v>46220</v>
      </c>
      <c r="R32" s="36">
        <v>46230</v>
      </c>
      <c r="S32" s="36">
        <v>46234</v>
      </c>
      <c r="T32" s="36"/>
      <c r="U32" s="56">
        <v>46227</v>
      </c>
      <c r="V32" s="36"/>
      <c r="W32" s="36"/>
      <c r="X32" s="36"/>
      <c r="Y32" s="58">
        <v>46232</v>
      </c>
      <c r="Z32" s="36"/>
      <c r="AA32" s="33"/>
      <c r="AB32" s="38"/>
      <c r="AC32" s="36"/>
      <c r="AD32" s="39"/>
      <c r="AE32" s="33"/>
      <c r="AF32" s="40" t="s">
        <v>45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128</v>
      </c>
    </row>
    <row r="33" spans="1:34" ht="14.45" hidden="1">
      <c r="A33" s="33" t="s">
        <v>112</v>
      </c>
      <c r="B33" s="33" t="s">
        <v>129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46241</v>
      </c>
      <c r="O33" s="37">
        <v>46215</v>
      </c>
      <c r="P33" s="37" t="s">
        <v>130</v>
      </c>
      <c r="Q33" s="54">
        <v>46220</v>
      </c>
      <c r="R33" s="36">
        <v>46246</v>
      </c>
      <c r="S33" s="36">
        <v>46226</v>
      </c>
      <c r="T33" s="36"/>
      <c r="U33" s="56">
        <v>46227</v>
      </c>
      <c r="V33" s="36"/>
      <c r="W33" s="36"/>
      <c r="X33" s="36"/>
      <c r="Y33" s="58">
        <v>46232</v>
      </c>
      <c r="Z33" s="36"/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131</v>
      </c>
    </row>
    <row r="34" spans="1:34" ht="14.45" hidden="1">
      <c r="A34" s="33" t="s">
        <v>112</v>
      </c>
      <c r="B34" s="33" t="s">
        <v>132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133</v>
      </c>
      <c r="G34" s="33" t="s">
        <v>76</v>
      </c>
      <c r="H34" s="33" t="s">
        <v>52</v>
      </c>
      <c r="I34" s="33" t="s">
        <v>133</v>
      </c>
      <c r="J34" s="33"/>
      <c r="K34" s="50">
        <v>46234</v>
      </c>
      <c r="L34" s="3" t="s">
        <v>116</v>
      </c>
      <c r="M34" s="60">
        <v>46213</v>
      </c>
      <c r="N34" s="36">
        <v>46234</v>
      </c>
      <c r="O34" s="36">
        <v>46239</v>
      </c>
      <c r="P34" s="36" t="s">
        <v>121</v>
      </c>
      <c r="Q34" s="54">
        <v>46220</v>
      </c>
      <c r="R34" s="36">
        <v>46220</v>
      </c>
      <c r="S34" s="36">
        <v>46220</v>
      </c>
      <c r="T34" s="36"/>
      <c r="U34" s="56">
        <v>46227</v>
      </c>
      <c r="V34" s="36">
        <v>46225</v>
      </c>
      <c r="W34" s="36">
        <v>46225</v>
      </c>
      <c r="X34" s="36"/>
      <c r="Y34" s="58">
        <v>46232</v>
      </c>
      <c r="Z34" s="36"/>
      <c r="AA34" s="33"/>
      <c r="AB34" s="38"/>
      <c r="AC34" s="36"/>
      <c r="AD34" s="39"/>
      <c r="AE34" s="33"/>
      <c r="AF34" s="40" t="s">
        <v>134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135</v>
      </c>
    </row>
    <row r="35" spans="1:34" ht="14.45" hidden="1">
      <c r="A35" s="33" t="s">
        <v>112</v>
      </c>
      <c r="B35" s="33" t="s">
        <v>136</v>
      </c>
      <c r="C35" s="33" t="s">
        <v>137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133</v>
      </c>
      <c r="G35" s="33" t="s">
        <v>105</v>
      </c>
      <c r="H35" s="33" t="s">
        <v>38</v>
      </c>
      <c r="I35" s="33" t="s">
        <v>133</v>
      </c>
      <c r="J35" s="33"/>
      <c r="K35" s="50">
        <v>46234</v>
      </c>
      <c r="L35" s="3" t="s">
        <v>116</v>
      </c>
      <c r="M35" s="60">
        <v>46213</v>
      </c>
      <c r="N35" s="36">
        <v>46241</v>
      </c>
      <c r="O35" s="35">
        <v>46227</v>
      </c>
      <c r="P35" s="36" t="s">
        <v>121</v>
      </c>
      <c r="Q35" s="54">
        <v>46220</v>
      </c>
      <c r="R35" s="36">
        <v>46223</v>
      </c>
      <c r="S35" s="36">
        <v>46223</v>
      </c>
      <c r="T35" s="36"/>
      <c r="U35" s="56">
        <v>46227</v>
      </c>
      <c r="V35" s="36">
        <v>46241</v>
      </c>
      <c r="W35" s="36"/>
      <c r="X35" s="36"/>
      <c r="Y35" s="58">
        <v>46232</v>
      </c>
      <c r="Z35" s="36"/>
      <c r="AA35" s="33"/>
      <c r="AB35" s="38"/>
      <c r="AC35" s="36"/>
      <c r="AD35" s="39"/>
      <c r="AE35" s="33"/>
      <c r="AF35" s="40" t="s">
        <v>45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138</v>
      </c>
    </row>
    <row r="36" spans="1:34" ht="14.45" hidden="1">
      <c r="A36" s="33" t="s">
        <v>112</v>
      </c>
      <c r="B36" s="33" t="s">
        <v>139</v>
      </c>
      <c r="C36" s="33" t="s">
        <v>137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133</v>
      </c>
      <c r="G36" s="33" t="s">
        <v>105</v>
      </c>
      <c r="H36" s="33" t="s">
        <v>68</v>
      </c>
      <c r="I36" s="33" t="s">
        <v>133</v>
      </c>
      <c r="J36" s="33"/>
      <c r="K36" s="50">
        <v>46234</v>
      </c>
      <c r="L36" s="3" t="s">
        <v>116</v>
      </c>
      <c r="M36" s="60">
        <v>46213</v>
      </c>
      <c r="N36" s="36">
        <v>46241</v>
      </c>
      <c r="O36" s="36">
        <v>46231</v>
      </c>
      <c r="P36" s="36" t="s">
        <v>130</v>
      </c>
      <c r="Q36" s="54">
        <v>46220</v>
      </c>
      <c r="R36" s="36">
        <v>46244</v>
      </c>
      <c r="S36" s="36">
        <v>46234</v>
      </c>
      <c r="T36" s="36"/>
      <c r="U36" s="56">
        <v>46227</v>
      </c>
      <c r="V36" s="36">
        <v>46240</v>
      </c>
      <c r="W36" s="36"/>
      <c r="X36" s="36"/>
      <c r="Y36" s="58">
        <v>46232</v>
      </c>
      <c r="Z36" s="36"/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140</v>
      </c>
    </row>
    <row r="37" spans="1:34" ht="14.45" hidden="1">
      <c r="A37" s="33" t="s">
        <v>112</v>
      </c>
      <c r="B37" s="33" t="s">
        <v>141</v>
      </c>
      <c r="C37" s="33" t="s">
        <v>137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133</v>
      </c>
      <c r="G37" s="33" t="s">
        <v>76</v>
      </c>
      <c r="H37" s="33" t="s">
        <v>52</v>
      </c>
      <c r="I37" s="33" t="s">
        <v>133</v>
      </c>
      <c r="J37" s="33"/>
      <c r="K37" s="50">
        <v>46234</v>
      </c>
      <c r="L37" s="3" t="s">
        <v>116</v>
      </c>
      <c r="M37" s="60">
        <v>46213</v>
      </c>
      <c r="N37" s="36">
        <v>46234</v>
      </c>
      <c r="O37" s="36">
        <v>46239</v>
      </c>
      <c r="P37" s="36" t="s">
        <v>127</v>
      </c>
      <c r="Q37" s="54">
        <v>46220</v>
      </c>
      <c r="R37" s="36">
        <v>46230</v>
      </c>
      <c r="S37" s="36"/>
      <c r="T37" s="36"/>
      <c r="U37" s="56">
        <v>46227</v>
      </c>
      <c r="V37" s="36">
        <v>46240</v>
      </c>
      <c r="W37" s="36"/>
      <c r="X37" s="36"/>
      <c r="Y37" s="58">
        <v>46232</v>
      </c>
      <c r="Z37" s="36"/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142</v>
      </c>
    </row>
    <row r="38" spans="1:34" ht="14.45">
      <c r="A38" s="33" t="s">
        <v>112</v>
      </c>
      <c r="B38" s="33" t="s">
        <v>143</v>
      </c>
      <c r="C38" s="33" t="s">
        <v>124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144</v>
      </c>
      <c r="F38" s="34" t="s">
        <v>133</v>
      </c>
      <c r="G38" s="33" t="s">
        <v>145</v>
      </c>
      <c r="H38" s="33" t="s">
        <v>52</v>
      </c>
      <c r="I38" s="33" t="s">
        <v>133</v>
      </c>
      <c r="J38" s="33"/>
      <c r="K38" s="50">
        <v>46234</v>
      </c>
      <c r="L38" s="3" t="s">
        <v>116</v>
      </c>
      <c r="M38" s="60">
        <v>46213</v>
      </c>
      <c r="N38" s="36">
        <v>46241</v>
      </c>
      <c r="O38" s="35"/>
      <c r="P38" s="36" t="s">
        <v>146</v>
      </c>
      <c r="Q38" s="54">
        <v>46220</v>
      </c>
      <c r="R38" s="36">
        <v>46230</v>
      </c>
      <c r="S38" s="36"/>
      <c r="T38" s="36"/>
      <c r="U38" s="56">
        <v>46227</v>
      </c>
      <c r="V38" s="36">
        <v>46238</v>
      </c>
      <c r="W38" s="36"/>
      <c r="X38" s="36"/>
      <c r="Y38" s="58">
        <v>46232</v>
      </c>
      <c r="Z38" s="36"/>
      <c r="AA38" s="33"/>
      <c r="AB38" s="38"/>
      <c r="AC38" s="36"/>
      <c r="AD38" s="39"/>
      <c r="AE38" s="33"/>
      <c r="AF38" s="40" t="s">
        <v>134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147</v>
      </c>
      <c r="C39" s="33" t="s">
        <v>137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133</v>
      </c>
      <c r="G39" s="33" t="s">
        <v>145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46241</v>
      </c>
      <c r="O39" s="36"/>
      <c r="P39" s="36" t="s">
        <v>148</v>
      </c>
      <c r="Q39" s="54">
        <v>46220</v>
      </c>
      <c r="R39" s="36">
        <v>46245</v>
      </c>
      <c r="S39" s="36">
        <v>46226</v>
      </c>
      <c r="T39" s="36"/>
      <c r="U39" s="56">
        <v>46227</v>
      </c>
      <c r="V39" s="36">
        <v>46238</v>
      </c>
      <c r="W39" s="36"/>
      <c r="X39" s="36"/>
      <c r="Y39" s="58">
        <v>46232</v>
      </c>
      <c r="Z39" s="36"/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149</v>
      </c>
    </row>
    <row r="40" spans="1:34" ht="14.45" hidden="1">
      <c r="A40" s="33" t="s">
        <v>112</v>
      </c>
      <c r="B40" s="33" t="s">
        <v>150</v>
      </c>
      <c r="C40" s="33" t="s">
        <v>124</v>
      </c>
      <c r="D40" s="3" t="s">
        <v>151</v>
      </c>
      <c r="E40" s="33">
        <v>13</v>
      </c>
      <c r="F40" s="34" t="s">
        <v>115</v>
      </c>
      <c r="G40" s="33" t="s">
        <v>67</v>
      </c>
      <c r="H40" s="33" t="s">
        <v>68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46249</v>
      </c>
      <c r="O40" s="37"/>
      <c r="P40" s="37" t="s">
        <v>148</v>
      </c>
      <c r="Q40" s="54">
        <v>46220</v>
      </c>
      <c r="R40" s="36">
        <v>46251</v>
      </c>
      <c r="S40" s="36"/>
      <c r="T40" s="36"/>
      <c r="U40" s="56">
        <v>46227</v>
      </c>
      <c r="V40" s="36"/>
      <c r="W40" s="36"/>
      <c r="X40" s="36"/>
      <c r="Y40" s="58">
        <v>46232</v>
      </c>
      <c r="Z40" s="36"/>
      <c r="AA40" s="33"/>
      <c r="AB40" s="38"/>
      <c r="AC40" s="36"/>
      <c r="AD40" s="39"/>
      <c r="AE40" s="33"/>
      <c r="AF40" s="40" t="s">
        <v>152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 hidden="1">
      <c r="A41" s="33" t="s">
        <v>112</v>
      </c>
      <c r="B41" s="33" t="s">
        <v>153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On track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46226</v>
      </c>
      <c r="O41" s="37">
        <v>46233</v>
      </c>
      <c r="P41" s="37" t="s">
        <v>146</v>
      </c>
      <c r="Q41" s="54">
        <v>46220</v>
      </c>
      <c r="R41" s="36">
        <v>46230</v>
      </c>
      <c r="S41" s="36"/>
      <c r="T41" s="36"/>
      <c r="U41" s="56">
        <v>46227</v>
      </c>
      <c r="V41" s="36"/>
      <c r="W41" s="36"/>
      <c r="X41" s="36"/>
      <c r="Y41" s="58">
        <v>46232</v>
      </c>
      <c r="Z41" s="36"/>
      <c r="AA41" s="33"/>
      <c r="AB41" s="38"/>
      <c r="AC41" s="36"/>
      <c r="AD41" s="39"/>
      <c r="AE41" s="33"/>
      <c r="AF41" s="40" t="s">
        <v>45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/>
    </row>
    <row r="42" spans="1:34" ht="14.45" hidden="1">
      <c r="A42" s="33" t="s">
        <v>112</v>
      </c>
      <c r="B42" s="33" t="s">
        <v>154</v>
      </c>
      <c r="C42" s="33" t="s">
        <v>124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133</v>
      </c>
      <c r="G42" s="33" t="s">
        <v>67</v>
      </c>
      <c r="H42" s="33" t="s">
        <v>38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46245</v>
      </c>
      <c r="O42" s="36"/>
      <c r="P42" s="36" t="s">
        <v>155</v>
      </c>
      <c r="Q42" s="54">
        <v>46220</v>
      </c>
      <c r="R42" s="36">
        <v>46230</v>
      </c>
      <c r="S42" s="36"/>
      <c r="T42" s="36"/>
      <c r="U42" s="56">
        <v>46227</v>
      </c>
      <c r="V42" s="36"/>
      <c r="W42" s="36"/>
      <c r="X42" s="36"/>
      <c r="Y42" s="58">
        <v>46232</v>
      </c>
      <c r="Z42" s="36"/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 hidden="1">
      <c r="A43" s="33" t="s">
        <v>112</v>
      </c>
      <c r="B43" s="33" t="s">
        <v>156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157</v>
      </c>
      <c r="F43" s="34"/>
      <c r="G43" s="33" t="s">
        <v>93</v>
      </c>
      <c r="H43" s="33"/>
      <c r="I43" s="33"/>
      <c r="J43" s="33"/>
      <c r="K43" s="50">
        <v>46265</v>
      </c>
      <c r="L43" s="3" t="s">
        <v>158</v>
      </c>
      <c r="M43" s="60">
        <v>46234</v>
      </c>
      <c r="N43" s="36">
        <v>46246</v>
      </c>
      <c r="O43" s="36"/>
      <c r="P43" s="36" t="s">
        <v>148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 hidden="1">
      <c r="A44" s="33" t="s">
        <v>112</v>
      </c>
      <c r="B44" s="33" t="s">
        <v>159</v>
      </c>
      <c r="C44" s="33" t="s">
        <v>160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/>
      <c r="I44" s="33"/>
      <c r="J44" s="33"/>
      <c r="K44" s="50">
        <v>46265</v>
      </c>
      <c r="L44" s="3" t="s">
        <v>158</v>
      </c>
      <c r="M44" s="60">
        <v>46234</v>
      </c>
      <c r="N44" s="36"/>
      <c r="O44" s="36"/>
      <c r="P44" s="36" t="s">
        <v>148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 hidden="1">
      <c r="A45" s="33" t="s">
        <v>112</v>
      </c>
      <c r="B45" s="33" t="s">
        <v>161</v>
      </c>
      <c r="C45" s="33" t="s">
        <v>160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/>
      <c r="I45" s="33"/>
      <c r="J45" s="33"/>
      <c r="K45" s="50">
        <v>46265</v>
      </c>
      <c r="L45" s="3" t="s">
        <v>158</v>
      </c>
      <c r="M45" s="60">
        <v>46234</v>
      </c>
      <c r="N45" s="36"/>
      <c r="O45" s="36"/>
      <c r="P45" s="36" t="s">
        <v>148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 hidden="1">
      <c r="A46" s="33" t="s">
        <v>112</v>
      </c>
      <c r="B46" s="33" t="s">
        <v>162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/>
      <c r="I46" s="33"/>
      <c r="J46" s="33"/>
      <c r="K46" s="50">
        <v>46265</v>
      </c>
      <c r="L46" s="3" t="s">
        <v>158</v>
      </c>
      <c r="M46" s="60">
        <v>46234</v>
      </c>
      <c r="N46" s="36">
        <v>46213</v>
      </c>
      <c r="O46" s="36">
        <v>46213</v>
      </c>
      <c r="P46" s="36" t="s">
        <v>148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 hidden="1">
      <c r="A47" s="33" t="s">
        <v>112</v>
      </c>
      <c r="B47" s="33" t="s">
        <v>163</v>
      </c>
      <c r="C47" s="33" t="s">
        <v>160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145</v>
      </c>
      <c r="H47" s="33"/>
      <c r="I47" s="33"/>
      <c r="J47" s="33"/>
      <c r="K47" s="50">
        <v>46265</v>
      </c>
      <c r="L47" s="3" t="s">
        <v>158</v>
      </c>
      <c r="M47" s="60">
        <v>46234</v>
      </c>
      <c r="N47" s="36">
        <v>46239</v>
      </c>
      <c r="O47" s="36"/>
      <c r="P47" s="36" t="s">
        <v>164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 hidden="1">
      <c r="A48" s="33" t="s">
        <v>112</v>
      </c>
      <c r="B48" s="33" t="s">
        <v>165</v>
      </c>
      <c r="C48" s="33" t="s">
        <v>160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/>
      <c r="I48" s="33"/>
      <c r="J48" s="33"/>
      <c r="K48" s="50">
        <v>46265</v>
      </c>
      <c r="L48" s="3" t="s">
        <v>158</v>
      </c>
      <c r="M48" s="60">
        <v>46234</v>
      </c>
      <c r="N48" s="36"/>
      <c r="O48" s="36"/>
      <c r="P48" s="36" t="s">
        <v>164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 hidden="1">
      <c r="A49" s="33" t="s">
        <v>112</v>
      </c>
      <c r="B49" s="33" t="s">
        <v>166</v>
      </c>
      <c r="C49" s="33" t="s">
        <v>160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145</v>
      </c>
      <c r="H49" s="33"/>
      <c r="I49" s="33"/>
      <c r="J49" s="33"/>
      <c r="K49" s="50">
        <v>46265</v>
      </c>
      <c r="L49" s="3" t="s">
        <v>158</v>
      </c>
      <c r="M49" s="60">
        <v>46234</v>
      </c>
      <c r="N49" s="36">
        <v>46253</v>
      </c>
      <c r="O49" s="36"/>
      <c r="P49" s="36" t="s">
        <v>167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 hidden="1">
      <c r="A50" s="33" t="s">
        <v>112</v>
      </c>
      <c r="B50" s="33" t="s">
        <v>168</v>
      </c>
      <c r="C50" s="33" t="s">
        <v>160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/>
      <c r="I50" s="33"/>
      <c r="J50" s="33"/>
      <c r="K50" s="50">
        <v>46265</v>
      </c>
      <c r="L50" s="3" t="s">
        <v>158</v>
      </c>
      <c r="M50" s="60">
        <v>46234</v>
      </c>
      <c r="N50" s="36"/>
      <c r="O50" s="36"/>
      <c r="P50" s="36" t="s">
        <v>164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 hidden="1">
      <c r="A51" s="33" t="s">
        <v>112</v>
      </c>
      <c r="B51" s="33" t="s">
        <v>169</v>
      </c>
      <c r="C51" s="33" t="s">
        <v>160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/>
      <c r="I51" s="33"/>
      <c r="J51" s="33"/>
      <c r="K51" s="50">
        <v>46265</v>
      </c>
      <c r="L51" s="3" t="s">
        <v>158</v>
      </c>
      <c r="M51" s="60">
        <v>46234</v>
      </c>
      <c r="N51" s="36">
        <v>46255</v>
      </c>
      <c r="O51" s="36">
        <v>46255</v>
      </c>
      <c r="P51" s="36" t="s">
        <v>164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 hidden="1">
      <c r="A52" s="33" t="s">
        <v>112</v>
      </c>
      <c r="B52" s="33" t="s">
        <v>170</v>
      </c>
      <c r="C52" s="33" t="s">
        <v>160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/>
      <c r="I52" s="33"/>
      <c r="J52" s="33"/>
      <c r="K52" s="50">
        <v>46265</v>
      </c>
      <c r="L52" s="3" t="s">
        <v>158</v>
      </c>
      <c r="M52" s="60">
        <v>46234</v>
      </c>
      <c r="N52" s="36">
        <v>46253</v>
      </c>
      <c r="O52" s="36"/>
      <c r="P52" s="36" t="s">
        <v>164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 hidden="1">
      <c r="A53" s="33" t="s">
        <v>112</v>
      </c>
      <c r="B53" s="33" t="s">
        <v>171</v>
      </c>
      <c r="C53" s="33" t="s">
        <v>160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/>
      <c r="I53" s="33"/>
      <c r="J53" s="33"/>
      <c r="K53" s="50">
        <v>46265</v>
      </c>
      <c r="L53" s="3" t="s">
        <v>158</v>
      </c>
      <c r="M53" s="60">
        <v>46234</v>
      </c>
      <c r="N53" s="36"/>
      <c r="O53" s="36"/>
      <c r="P53" s="36" t="s">
        <v>167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 hidden="1">
      <c r="A54" s="33" t="s">
        <v>112</v>
      </c>
      <c r="B54" s="33" t="s">
        <v>172</v>
      </c>
      <c r="C54" s="33" t="s">
        <v>160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/>
      <c r="I54" s="33"/>
      <c r="J54" s="33"/>
      <c r="K54" s="50">
        <v>46265</v>
      </c>
      <c r="L54" s="3" t="s">
        <v>158</v>
      </c>
      <c r="M54" s="60">
        <v>46234</v>
      </c>
      <c r="N54" s="36"/>
      <c r="O54" s="36"/>
      <c r="P54" s="36" t="s">
        <v>167</v>
      </c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173</v>
      </c>
      <c r="C55" s="33" t="s">
        <v>160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174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175</v>
      </c>
      <c r="C56" s="33" t="s">
        <v>160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174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176</v>
      </c>
      <c r="C57" s="33" t="s">
        <v>160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174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177</v>
      </c>
      <c r="C58" s="33" t="s">
        <v>160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174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178</v>
      </c>
      <c r="C59" s="33" t="s">
        <v>160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174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179</v>
      </c>
      <c r="C60" s="33" t="s">
        <v>160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174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180</v>
      </c>
      <c r="C61" s="33" t="s">
        <v>160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174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181</v>
      </c>
      <c r="C62" s="33" t="s">
        <v>160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174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182</v>
      </c>
      <c r="C63" s="33" t="s">
        <v>160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174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183</v>
      </c>
      <c r="C64" s="33" t="s">
        <v>160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174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184</v>
      </c>
      <c r="C65" s="33" t="s">
        <v>160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174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185</v>
      </c>
      <c r="C66" s="33" t="s">
        <v>160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174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186</v>
      </c>
      <c r="C67" s="33" t="s">
        <v>160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174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187</v>
      </c>
      <c r="C68" s="33" t="s">
        <v>160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174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188</v>
      </c>
      <c r="C69" s="33" t="s">
        <v>160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174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189</v>
      </c>
      <c r="C70" s="33" t="s">
        <v>160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174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190</v>
      </c>
      <c r="C71" s="33" t="s">
        <v>160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174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191</v>
      </c>
      <c r="C72" s="33" t="s">
        <v>160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174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A74:AA499 A2:AH2 A3:E28 A29:AH40 A41:L42 A43:AH72 A73:AD73 F3:X3 F4:AH28 N41:AH42 Z3:AH3">
    <cfRule type="expression" dxfId="102" priority="34">
      <formula>AND($B2&lt;&gt;"",MOD(ROW(),2)=0)</formula>
    </cfRule>
  </conditionalFormatting>
  <conditionalFormatting sqref="D2:D499">
    <cfRule type="expression" dxfId="101" priority="18">
      <formula>ISNUMBER(SEARCH("Blocked",$D2))</formula>
    </cfRule>
    <cfRule type="expression" dxfId="100" priority="19">
      <formula>ISNUMBER(SEARCH("overdue",$D2))</formula>
    </cfRule>
    <cfRule type="expression" dxfId="99" priority="20">
      <formula>ISNUMBER(SEARCH("no target",$D2))</formula>
    </cfRule>
    <cfRule type="expression" dxfId="98" priority="21">
      <formula>ISNUMBER(SEARCH("Review",$D2))</formula>
    </cfRule>
    <cfRule type="expression" dxfId="97" priority="22">
      <formula>OR($D2="On track",$D2="Delivered")</formula>
    </cfRule>
  </conditionalFormatting>
  <conditionalFormatting sqref="M32:M33">
    <cfRule type="expression" dxfId="96" priority="17">
      <formula>$AF32="Yes – needs PBI Dev to fix"</formula>
    </cfRule>
  </conditionalFormatting>
  <conditionalFormatting sqref="M40:M41">
    <cfRule type="expression" dxfId="95" priority="8">
      <formula>$AF40="Yes – needs PBI Dev to fix"</formula>
    </cfRule>
  </conditionalFormatting>
  <conditionalFormatting sqref="M41">
    <cfRule type="expression" dxfId="94" priority="143">
      <formula>AND($B41&lt;&gt;"",MOD(ROW(),2)=0)</formula>
    </cfRule>
    <cfRule type="expression" dxfId="93" priority="144">
      <formula>$AF41="Yes – needs DB Dev to fix"</formula>
    </cfRule>
  </conditionalFormatting>
  <conditionalFormatting sqref="M42">
    <cfRule type="expression" dxfId="92" priority="145">
      <formula>AND($B41&lt;&gt;"",MOD(ROW(),2)=0)</formula>
    </cfRule>
    <cfRule type="expression" dxfId="91" priority="146">
      <formula>$AF41="Yes – needs DB Dev to fix"</formula>
    </cfRule>
  </conditionalFormatting>
  <conditionalFormatting sqref="M73:N73">
    <cfRule type="expression" dxfId="90" priority="93">
      <formula>$AB73="Yes – needs DB Dev to fix"</formula>
    </cfRule>
  </conditionalFormatting>
  <conditionalFormatting sqref="M74:N499">
    <cfRule type="expression" dxfId="89" priority="27">
      <formula>$Y74="Yes – needs DB Dev to fix"</formula>
    </cfRule>
  </conditionalFormatting>
  <conditionalFormatting sqref="M2:P40 N41:P42 M43:P72">
    <cfRule type="expression" dxfId="88" priority="66">
      <formula>$AF2="Yes – needs DB Dev to fix"</formula>
    </cfRule>
  </conditionalFormatting>
  <conditionalFormatting sqref="O29:P29">
    <cfRule type="expression" dxfId="87" priority="14">
      <formula>$AF29="Yes – needs PBI Dev to fix"</formula>
    </cfRule>
  </conditionalFormatting>
  <conditionalFormatting sqref="O32:P33">
    <cfRule type="expression" dxfId="86" priority="11">
      <formula>$AF32="Yes – needs PBI Dev to fix"</formula>
    </cfRule>
  </conditionalFormatting>
  <conditionalFormatting sqref="O40:P41">
    <cfRule type="expression" dxfId="85" priority="7">
      <formula>$AF40="Yes – needs PBI Dev to fix"</formula>
    </cfRule>
  </conditionalFormatting>
  <conditionalFormatting sqref="O73:P73">
    <cfRule type="expression" dxfId="84" priority="127">
      <formula>$AA73="Yes – needs PBI Dev to fix"</formula>
    </cfRule>
  </conditionalFormatting>
  <conditionalFormatting sqref="O74:P499">
    <cfRule type="expression" dxfId="83" priority="28">
      <formula>$Y74="Yes – needs PBI Dev to fix"</formula>
    </cfRule>
  </conditionalFormatting>
  <conditionalFormatting sqref="Q10:Q19">
    <cfRule type="expression" dxfId="82" priority="1">
      <formula>$AF10="Yes – needs DB Dev to fix"</formula>
    </cfRule>
  </conditionalFormatting>
  <conditionalFormatting sqref="Q73">
    <cfRule type="expression" dxfId="81" priority="97">
      <formula>$AB73="Yes – needs PBI Dev to fix"</formula>
    </cfRule>
  </conditionalFormatting>
  <conditionalFormatting sqref="Q74:R499">
    <cfRule type="expression" dxfId="80" priority="29">
      <formula>$Y74="Yes – needs QA to fix"</formula>
    </cfRule>
  </conditionalFormatting>
  <conditionalFormatting sqref="Q2:T73 M29">
    <cfRule type="expression" dxfId="79" priority="15">
      <formula>$AF2="Yes – needs PBI Dev to fix"</formula>
    </cfRule>
  </conditionalFormatting>
  <conditionalFormatting sqref="R73:T73">
    <cfRule type="expression" dxfId="78" priority="99">
      <formula>$AB73="Yes – needs QA to fix"</formula>
    </cfRule>
  </conditionalFormatting>
  <conditionalFormatting sqref="S74:T499">
    <cfRule type="expression" dxfId="77" priority="30">
      <formula>$Y74="Yes – needs DPO Approval to fix"</formula>
    </cfRule>
  </conditionalFormatting>
  <conditionalFormatting sqref="U10:U19">
    <cfRule type="expression" dxfId="76" priority="2">
      <formula>$AF10="Yes – needs PBI Dev to fix"</formula>
    </cfRule>
  </conditionalFormatting>
  <conditionalFormatting sqref="U74:U499">
    <cfRule type="expression" dxfId="75" priority="26">
      <formula>$U74="Yes"</formula>
    </cfRule>
  </conditionalFormatting>
  <conditionalFormatting sqref="U73:V73">
    <cfRule type="expression" dxfId="74" priority="101">
      <formula>$AB73="Yes – needs DPO Approval to fix"</formula>
    </cfRule>
  </conditionalFormatting>
  <conditionalFormatting sqref="U2:X73">
    <cfRule type="expression" dxfId="73" priority="72">
      <formula>$AF2="Yes – needs QA to fix"</formula>
    </cfRule>
  </conditionalFormatting>
  <conditionalFormatting sqref="W73:X73">
    <cfRule type="expression" dxfId="72" priority="103">
      <formula>$W73="Yes"</formula>
    </cfRule>
  </conditionalFormatting>
  <conditionalFormatting sqref="Y3">
    <cfRule type="expression" dxfId="71" priority="5">
      <formula>AND($B3&lt;&gt;"",MOD(ROW(),2)=0)</formula>
    </cfRule>
    <cfRule type="expression" dxfId="70" priority="6">
      <formula>$AF3="Yes – needs DPO Approval to fix"</formula>
    </cfRule>
  </conditionalFormatting>
  <conditionalFormatting sqref="Y74:Y499">
    <cfRule type="expression" dxfId="69" priority="23">
      <formula>LEFT($Y74,3)="Yes"</formula>
    </cfRule>
  </conditionalFormatting>
  <conditionalFormatting sqref="Y2:AA2 Z3:AA3 Y4:AA73">
    <cfRule type="expression" dxfId="68" priority="75">
      <formula>$AF2="Yes – needs DPO Approval to fix"</formula>
    </cfRule>
  </conditionalFormatting>
  <conditionalFormatting sqref="Z74:Z499">
    <cfRule type="expression" dxfId="67" priority="31">
      <formula>ISNUMBER(SEARCH("Move old",$Z74))</formula>
    </cfRule>
    <cfRule type="expression" dxfId="66" priority="31">
      <formula>ISNUMBER(SEARCH("Open rework",$Z74))</formula>
    </cfRule>
    <cfRule type="expression" dxfId="65" priority="31">
      <formula>ISNUMBER(SEARCH("log it",$Z74))</formula>
    </cfRule>
    <cfRule type="expression" dxfId="64" priority="32">
      <formula>ISNUMBER(SEARCH("Duplicate",$Z74))</formula>
    </cfRule>
    <cfRule type="expression" dxfId="63" priority="33">
      <formula>$Z74&lt;&gt;""</formula>
    </cfRule>
  </conditionalFormatting>
  <conditionalFormatting sqref="AB2:AB73">
    <cfRule type="expression" dxfId="62" priority="47">
      <formula>$AB2="Yes"</formula>
    </cfRule>
  </conditionalFormatting>
  <conditionalFormatting sqref="AB73">
    <cfRule type="expression" dxfId="61" priority="105">
      <formula>LEFT($AB73,3)="Yes"</formula>
    </cfRule>
  </conditionalFormatting>
  <conditionalFormatting sqref="AC73">
    <cfRule type="expression" dxfId="60" priority="111">
      <formula>ISNUMBER(SEARCH("Open rework",$AC73))</formula>
    </cfRule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</conditionalFormatting>
  <conditionalFormatting sqref="AF2:AF73">
    <cfRule type="expression" dxfId="55" priority="49">
      <formula>LEFT($AF2,3)="Yes"</formula>
    </cfRule>
  </conditionalFormatting>
  <conditionalFormatting sqref="AG2:AG73">
    <cfRule type="expression" dxfId="54" priority="55">
      <formula>ISNUMBER(SEARCH("log it",$AG2))</formula>
    </cfRule>
    <cfRule type="expression" dxfId="53" priority="56">
      <formula>ISNUMBER(SEARCH("Open rework",$AG2))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Q73:U73 Q2:X72 AC2:AC72 K2:K499 Y2:Y73 Z2:Z72 M2:O72 M73:O73 M74:O499 Q74:S499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P1:P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192</v>
      </c>
    </row>
    <row r="2" spans="1:5">
      <c r="A2" s="6" t="s">
        <v>193</v>
      </c>
    </row>
    <row r="4" spans="1:5" ht="21.95" customHeight="1">
      <c r="A4" s="5" t="s">
        <v>194</v>
      </c>
      <c r="B4" s="66"/>
      <c r="C4" s="67"/>
      <c r="D4" s="67"/>
      <c r="E4" s="67"/>
    </row>
    <row r="6" spans="1:5">
      <c r="A6" s="42" t="s">
        <v>0</v>
      </c>
      <c r="B6" s="64" t="str">
        <f>IF($B$4="","",IFERROR(INDEX('Combined Delivery Data'!$A:$A,MATCH($B$4,'Combined Delivery Data'!$B:$B,0)),""))</f>
        <v/>
      </c>
      <c r="C6" s="68"/>
      <c r="D6" s="68"/>
      <c r="E6" s="69"/>
    </row>
    <row r="7" spans="1:5">
      <c r="A7" s="42" t="s">
        <v>2</v>
      </c>
      <c r="B7" s="64" t="str">
        <f>IF($B$4="","",IFERROR(INDEX('Combined Delivery Data'!$C:$C,MATCH($B$4,'Combined Delivery Data'!$B:$B,0)),""))</f>
        <v/>
      </c>
      <c r="C7" s="68"/>
      <c r="D7" s="68"/>
      <c r="E7" s="69"/>
    </row>
    <row r="8" spans="1:5">
      <c r="A8" s="42" t="s">
        <v>3</v>
      </c>
      <c r="B8" s="64" t="str">
        <f>IF($B$4="","",IFERROR(INDEX('Combined Delivery Data'!$D:$D,MATCH($B$4,'Combined Delivery Data'!$B:$B,0)),""))</f>
        <v/>
      </c>
      <c r="C8" s="68"/>
      <c r="D8" s="68"/>
      <c r="E8" s="69"/>
    </row>
    <row r="9" spans="1:5">
      <c r="A9" s="42" t="s">
        <v>4</v>
      </c>
      <c r="B9" s="64" t="str">
        <f>IF($B$4="","",IFERROR(INDEX('Combined Delivery Data'!$E:$E,MATCH($B$4,'Combined Delivery Data'!$B:$B,0)),""))</f>
        <v/>
      </c>
      <c r="C9" s="68"/>
      <c r="D9" s="68"/>
      <c r="E9" s="69"/>
    </row>
    <row r="10" spans="1:5">
      <c r="A10" s="42" t="s">
        <v>5</v>
      </c>
      <c r="B10" s="64" t="str">
        <f>IF($B$4="","",IFERROR(INDEX('Combined Delivery Data'!$F:$F,MATCH($B$4,'Combined Delivery Data'!$B:$B,0)),""))</f>
        <v/>
      </c>
      <c r="C10" s="68"/>
      <c r="D10" s="68"/>
      <c r="E10" s="69"/>
    </row>
    <row r="11" spans="1:5">
      <c r="A11" s="42" t="s">
        <v>6</v>
      </c>
      <c r="B11" s="64" t="str">
        <f>IF($B$4="","",IFERROR(INDEX('Combined Delivery Data'!$G:$G,MATCH($B$4,'Combined Delivery Data'!$B:$B,0)),""))</f>
        <v/>
      </c>
      <c r="C11" s="68"/>
      <c r="D11" s="68"/>
      <c r="E11" s="69"/>
    </row>
    <row r="12" spans="1:5">
      <c r="A12" s="42" t="s">
        <v>7</v>
      </c>
      <c r="B12" s="64" t="str">
        <f>IF($B$4="","",IFERROR(INDEX('Combined Delivery Data'!$H:$H,MATCH($B$4,'Combined Delivery Data'!$B:$B,0)),""))</f>
        <v/>
      </c>
      <c r="C12" s="68"/>
      <c r="D12" s="68"/>
      <c r="E12" s="69"/>
    </row>
    <row r="13" spans="1:5">
      <c r="A13" s="42" t="s">
        <v>8</v>
      </c>
      <c r="B13" s="64" t="str">
        <f>IF($B$4="","",IFERROR(INDEX('Combined Delivery Data'!$I:$I,MATCH($B$4,'Combined Delivery Data'!$B:$B,0)),""))</f>
        <v/>
      </c>
      <c r="C13" s="68"/>
      <c r="D13" s="68"/>
      <c r="E13" s="69"/>
    </row>
    <row r="14" spans="1:5">
      <c r="A14" s="42" t="s">
        <v>195</v>
      </c>
      <c r="B14" s="63" t="str">
        <f>IF($B$4="","",IFERROR(INDEX('Combined Delivery Data'!$M:$M,MATCH($B$4,'Combined Delivery Data'!$B:$B,0)),""))</f>
        <v/>
      </c>
      <c r="C14" s="68"/>
      <c r="D14" s="68"/>
      <c r="E14" s="69"/>
    </row>
    <row r="15" spans="1:5">
      <c r="A15" s="42" t="s">
        <v>196</v>
      </c>
      <c r="B15" s="63" t="str">
        <f>IF($B$4="","",IFERROR(INDEX('Combined Delivery Data'!$N:$N,MATCH($B$4,'Combined Delivery Data'!$B:$B,0)),""))</f>
        <v/>
      </c>
      <c r="C15" s="68"/>
      <c r="D15" s="68"/>
      <c r="E15" s="69"/>
    </row>
    <row r="16" spans="1:5">
      <c r="A16" s="42" t="s">
        <v>197</v>
      </c>
      <c r="B16" s="63" t="str">
        <f>IF($B$4="","",IFERROR(INDEX('Combined Delivery Data'!$O:$O,MATCH($B$4,'Combined Delivery Data'!$B:$B,0)),""))</f>
        <v/>
      </c>
      <c r="C16" s="68"/>
      <c r="D16" s="68"/>
      <c r="E16" s="69"/>
    </row>
    <row r="17" spans="1:5">
      <c r="A17" s="42" t="s">
        <v>198</v>
      </c>
      <c r="B17" s="63" t="str">
        <f>IF($B$4="","",IFERROR(INDEX('Combined Delivery Data'!$P:$P,MATCH($B$4,'Combined Delivery Data'!$B:$B,0)),""))</f>
        <v/>
      </c>
      <c r="C17" s="68"/>
      <c r="D17" s="68"/>
      <c r="E17" s="69"/>
    </row>
    <row r="18" spans="1:5">
      <c r="A18" s="42" t="s">
        <v>199</v>
      </c>
      <c r="B18" s="63" t="str">
        <f>IF($B$4="","",IFERROR(INDEX('Combined Delivery Data'!$Q:$Q,MATCH($B$4,'Combined Delivery Data'!$B:$B,0)),""))</f>
        <v/>
      </c>
      <c r="C18" s="68"/>
      <c r="D18" s="68"/>
      <c r="E18" s="69"/>
    </row>
    <row r="19" spans="1:5">
      <c r="A19" s="42" t="s">
        <v>200</v>
      </c>
      <c r="B19" s="63" t="str">
        <f>IF($B$4="","",IFERROR(INDEX('Combined Delivery Data'!$R:$R,MATCH($B$4,'Combined Delivery Data'!$B:$B,0)),""))</f>
        <v/>
      </c>
      <c r="C19" s="68"/>
      <c r="D19" s="68"/>
      <c r="E19" s="69"/>
    </row>
    <row r="20" spans="1:5">
      <c r="A20" s="42" t="s">
        <v>201</v>
      </c>
      <c r="B20" s="63" t="str">
        <f>IF($B$4="","",IFERROR(INDEX('Combined Delivery Data'!$S:$S,MATCH($B$4,'Combined Delivery Data'!$B:$B,0)),""))</f>
        <v/>
      </c>
      <c r="C20" s="68"/>
      <c r="D20" s="68"/>
      <c r="E20" s="69"/>
    </row>
    <row r="21" spans="1:5">
      <c r="A21" s="42" t="s">
        <v>26</v>
      </c>
      <c r="B21" s="64" t="str">
        <f>IF($B$4="","",IFERROR(INDEX('Combined Delivery Data'!$T:$T,MATCH($B$4,'Combined Delivery Data'!$B:$B,0)),""))</f>
        <v/>
      </c>
      <c r="C21" s="68"/>
      <c r="D21" s="68"/>
      <c r="E21" s="69"/>
    </row>
    <row r="22" spans="1:5">
      <c r="A22" s="42" t="s">
        <v>27</v>
      </c>
      <c r="B22" s="64" t="str">
        <f>IF($B$4="","",IFERROR(INDEX('Combined Delivery Data'!$U:$U,MATCH($B$4,'Combined Delivery Data'!$B:$B,0)),""))</f>
        <v/>
      </c>
      <c r="C22" s="68"/>
      <c r="D22" s="68"/>
      <c r="E22" s="69"/>
    </row>
    <row r="23" spans="1:5">
      <c r="A23" s="42" t="s">
        <v>28</v>
      </c>
      <c r="B23" s="63" t="str">
        <f>IF($B$4="","",IFERROR(INDEX('Combined Delivery Data'!$V:$V,MATCH($B$4,'Combined Delivery Data'!$B:$B,0)),""))</f>
        <v/>
      </c>
      <c r="C23" s="68"/>
      <c r="D23" s="68"/>
      <c r="E23" s="69"/>
    </row>
    <row r="24" spans="1:5">
      <c r="A24" s="42" t="s">
        <v>31</v>
      </c>
      <c r="B24" s="64" t="str">
        <f>IF($B$4="","",IFERROR(INDEX('Combined Delivery Data'!$Y:$Y,MATCH($B$4,'Combined Delivery Data'!$B:$B,0)),""))</f>
        <v/>
      </c>
      <c r="C24" s="68"/>
      <c r="D24" s="68"/>
      <c r="E24" s="69"/>
    </row>
    <row r="25" spans="1:5">
      <c r="A25" s="42" t="s">
        <v>32</v>
      </c>
      <c r="B25" s="64" t="str">
        <f>IF($B$4="","",IFERROR(INDEX('Combined Delivery Data'!$Z:$Z,MATCH($B$4,'Combined Delivery Data'!$B:$B,0)),""))</f>
        <v/>
      </c>
      <c r="C25" s="68"/>
      <c r="D25" s="68"/>
      <c r="E25" s="69"/>
    </row>
    <row r="26" spans="1:5">
      <c r="A26" s="42" t="s">
        <v>202</v>
      </c>
      <c r="B26" s="64" t="str">
        <f>IF($B$4="","",IFERROR(INDEX('Rework Log'!$Q:$Q,MATCH($B$4,'Rework Log'!$P:$P,0)),""))</f>
        <v/>
      </c>
      <c r="C26" s="68"/>
      <c r="D26" s="68"/>
      <c r="E26" s="69"/>
    </row>
    <row r="27" spans="1:5">
      <c r="A27" s="42" t="s">
        <v>203</v>
      </c>
      <c r="B27" s="64" t="str">
        <f>IF($B$4="","",IFERROR(INDEX('Rework Log'!$R:$R,MATCH($B$4,'Rework Log'!$P:$P,0)),""))</f>
        <v/>
      </c>
      <c r="C27" s="68"/>
      <c r="D27" s="68"/>
      <c r="E27" s="69"/>
    </row>
    <row r="28" spans="1:5">
      <c r="A28" s="42" t="s">
        <v>204</v>
      </c>
      <c r="B28" s="64" t="str">
        <f>IF($B$4="","",IFERROR(INDEX('Rework Log'!$S:$S,MATCH($B$4,'Rework Log'!$P:$P,0)),""))</f>
        <v/>
      </c>
      <c r="C28" s="68"/>
      <c r="D28" s="68"/>
      <c r="E28" s="69"/>
    </row>
    <row r="29" spans="1:5">
      <c r="A29" s="42" t="s">
        <v>205</v>
      </c>
      <c r="B29" s="64" t="str">
        <f>IF($B$4="","",IFERROR(INDEX('Rework Log'!$T:$T,MATCH($B$4,'Rework Log'!$P:$P,0)),""))</f>
        <v/>
      </c>
      <c r="C29" s="68"/>
      <c r="D29" s="68"/>
      <c r="E29" s="69"/>
    </row>
    <row r="30" spans="1:5" ht="15.6" customHeight="1">
      <c r="A30" s="42"/>
      <c r="B30" s="64"/>
      <c r="C30" s="68"/>
      <c r="D30" s="68"/>
      <c r="E30" s="69"/>
    </row>
    <row r="31" spans="1:5" ht="15.6" customHeight="1">
      <c r="A31" s="5" t="s">
        <v>33</v>
      </c>
      <c r="B31" s="70" t="str">
        <f>IF($B$4="","",IFERROR(INDEX('Combined Delivery Data'!$AA:$AA,MATCH($B$4,'Combined Delivery Data'!$B:$B,0)),""))</f>
        <v/>
      </c>
      <c r="C31" s="67"/>
      <c r="D31" s="67"/>
      <c r="E31" s="67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A5" sqref="A5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5" t="s">
        <v>206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P1" s="71" t="s">
        <v>207</v>
      </c>
      <c r="Q1" s="67"/>
      <c r="R1" s="67"/>
      <c r="S1" s="67"/>
      <c r="T1" s="67"/>
    </row>
    <row r="2" spans="1:20" ht="30" customHeight="1">
      <c r="A2" s="17" t="s">
        <v>1</v>
      </c>
      <c r="B2" s="17" t="s">
        <v>208</v>
      </c>
      <c r="C2" s="17" t="s">
        <v>209</v>
      </c>
      <c r="D2" s="17" t="s">
        <v>210</v>
      </c>
      <c r="E2" s="17" t="s">
        <v>211</v>
      </c>
      <c r="F2" s="17" t="s">
        <v>212</v>
      </c>
      <c r="G2" s="17" t="s">
        <v>213</v>
      </c>
      <c r="H2" s="30" t="s">
        <v>214</v>
      </c>
      <c r="I2" s="30" t="s">
        <v>215</v>
      </c>
      <c r="J2" s="30" t="s">
        <v>216</v>
      </c>
      <c r="K2" s="30" t="s">
        <v>217</v>
      </c>
      <c r="L2" s="30" t="s">
        <v>218</v>
      </c>
      <c r="M2" s="21" t="s">
        <v>219</v>
      </c>
      <c r="N2" s="21" t="s">
        <v>220</v>
      </c>
      <c r="P2" s="13" t="s">
        <v>1</v>
      </c>
      <c r="Q2" s="13" t="s">
        <v>202</v>
      </c>
      <c r="R2" s="13" t="s">
        <v>203</v>
      </c>
      <c r="S2" s="13" t="s">
        <v>204</v>
      </c>
      <c r="T2" s="13" t="s">
        <v>205</v>
      </c>
    </row>
    <row r="3" spans="1:20" ht="15">
      <c r="A3" s="33" t="s">
        <v>132</v>
      </c>
      <c r="B3" s="36">
        <v>46230</v>
      </c>
      <c r="C3" s="33" t="s">
        <v>137</v>
      </c>
      <c r="D3" s="33" t="s">
        <v>114</v>
      </c>
      <c r="E3" s="33" t="s">
        <v>133</v>
      </c>
      <c r="F3" s="33" t="s">
        <v>221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9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143</v>
      </c>
      <c r="B4" s="32">
        <v>46237</v>
      </c>
      <c r="C4" s="31" t="s">
        <v>137</v>
      </c>
      <c r="D4" s="31" t="s">
        <v>114</v>
      </c>
      <c r="E4" s="31" t="s">
        <v>133</v>
      </c>
      <c r="F4" s="31" t="s">
        <v>222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2 d</v>
      </c>
      <c r="N4" t="s">
        <v>223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 ht="15">
      <c r="A5" s="62" t="s">
        <v>113</v>
      </c>
      <c r="B5" s="32">
        <v>46238</v>
      </c>
      <c r="C5" s="31" t="s">
        <v>137</v>
      </c>
      <c r="D5" s="31" t="s">
        <v>114</v>
      </c>
      <c r="E5" s="31" t="s">
        <v>115</v>
      </c>
      <c r="F5" s="31" t="s">
        <v>224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1 d</v>
      </c>
      <c r="N5" t="s">
        <v>225</v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 ht="15">
      <c r="A6" s="62" t="s">
        <v>129</v>
      </c>
      <c r="B6" s="32">
        <v>46234</v>
      </c>
      <c r="C6" s="31" t="s">
        <v>137</v>
      </c>
      <c r="D6" s="31" t="s">
        <v>114</v>
      </c>
      <c r="E6" s="31" t="s">
        <v>115</v>
      </c>
      <c r="F6" s="31" t="s">
        <v>226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5 d</v>
      </c>
      <c r="N6" t="s">
        <v>225</v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 ht="15">
      <c r="A7" s="33" t="s">
        <v>120</v>
      </c>
      <c r="B7" s="32">
        <v>46239</v>
      </c>
      <c r="C7" s="31" t="s">
        <v>137</v>
      </c>
      <c r="D7" s="31" t="s">
        <v>114</v>
      </c>
      <c r="E7" s="31" t="s">
        <v>115</v>
      </c>
      <c r="F7" s="31" t="s">
        <v>227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0 d</v>
      </c>
      <c r="N7" t="s">
        <v>225</v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137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137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137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137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137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137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137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137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137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137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137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137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137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137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137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137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137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137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137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137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137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137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137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137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1</v>
      </c>
      <c r="R31">
        <f t="shared" si="2"/>
        <v>1</v>
      </c>
      <c r="S31" s="28">
        <f t="shared" si="3"/>
        <v>46238</v>
      </c>
      <c r="T31" t="str">
        <f t="shared" si="4"/>
        <v>QA -&gt; DB Dev</v>
      </c>
    </row>
    <row r="32" spans="1:20">
      <c r="A32" s="31"/>
      <c r="B32" s="32"/>
      <c r="C32" s="31" t="s">
        <v>137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1</v>
      </c>
      <c r="R32">
        <f t="shared" si="2"/>
        <v>1</v>
      </c>
      <c r="S32" s="28">
        <f t="shared" si="3"/>
        <v>46239</v>
      </c>
      <c r="T32" t="str">
        <f t="shared" si="4"/>
        <v>QA -&gt; DB Dev</v>
      </c>
    </row>
    <row r="33" spans="1:20">
      <c r="A33" s="31"/>
      <c r="B33" s="32"/>
      <c r="C33" s="31" t="s">
        <v>137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137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137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1</v>
      </c>
      <c r="R35">
        <f t="shared" si="2"/>
        <v>1</v>
      </c>
      <c r="S35" s="28">
        <f t="shared" si="3"/>
        <v>46234</v>
      </c>
      <c r="T35" t="str">
        <f t="shared" si="4"/>
        <v>QA -&gt; DB Dev</v>
      </c>
    </row>
    <row r="36" spans="1:20">
      <c r="A36" s="31"/>
      <c r="B36" s="32"/>
      <c r="C36" s="31" t="s">
        <v>137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137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137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137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137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137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137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137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137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137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137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137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137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137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137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137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137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137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137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137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137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137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137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137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137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137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137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137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137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137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137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137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137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137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137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137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137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137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137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137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493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137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493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137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493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137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493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137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493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137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493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137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493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137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493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137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493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137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493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137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493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137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493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137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493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137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493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137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493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137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493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137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493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137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493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137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493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137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493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137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493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137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493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137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493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137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493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137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493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137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493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137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493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137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493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137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493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137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493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137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493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137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493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137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493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137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493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137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493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137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493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137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493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137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493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137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493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137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493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137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493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137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493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137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493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137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493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137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493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137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493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137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493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137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493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137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493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137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493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137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493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137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493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137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493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137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493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137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493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137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493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137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493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137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493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137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493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137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493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137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493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137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493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137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493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137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493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137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493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137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493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137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493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137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493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137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493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137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493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137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493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137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493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137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493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137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493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137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493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137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493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137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493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137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493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137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493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137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493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137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493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137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493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137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493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137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493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137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493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137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493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137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493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137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493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137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493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137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493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137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493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137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493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137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493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137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493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137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493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137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493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137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493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137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493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137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493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137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493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137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493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137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493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137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493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137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493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137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493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137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493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137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493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137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493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137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493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137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493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137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493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137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493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137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493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137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493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137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493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137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493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137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493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137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493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137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493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137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493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137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493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137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493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137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493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137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493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137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493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137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493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493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493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493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493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493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493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493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493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493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493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493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493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493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493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493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493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493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493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493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493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493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493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493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493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493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493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493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493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493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493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493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493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493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493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493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493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493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493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493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493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493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493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493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493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493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493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493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493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493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493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493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493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493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493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493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493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493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493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493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493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493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493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493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493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493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493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493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493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493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493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493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493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493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493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493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493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493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493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493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493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493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493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493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493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493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493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493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493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493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493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493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493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493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493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493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493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493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493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493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493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493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493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493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493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493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493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493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493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493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493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493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493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493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493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493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493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493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493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493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493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493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493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493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493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493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493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493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493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493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493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493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493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493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493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493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493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493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493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493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493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493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493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493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493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493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493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493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493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493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493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493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493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493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493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493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493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493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493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493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493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493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493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493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493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493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493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493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493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493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493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493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493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493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493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493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493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493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493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493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493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493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493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493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493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493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493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493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493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493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493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493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493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493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493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493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493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493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493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493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493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493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493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493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493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493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493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493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493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493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493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493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493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493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493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493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493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493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493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493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493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493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493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493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493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493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493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493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493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493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493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493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493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493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493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493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493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493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493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493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493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493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493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493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493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493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493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493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493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493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493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493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493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493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493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493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493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493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493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493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493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493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493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493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493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493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493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493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493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493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493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493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493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493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493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493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493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493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493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493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493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493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493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493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493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493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493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493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493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493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493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493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493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493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493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493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493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493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493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493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493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4 A3:H3 K3:M3 A8:M500 B5:M7">
    <cfRule type="expression" dxfId="14" priority="10">
      <formula>AND($A3&lt;&gt;"",$G3="Did not pass re-test")</formula>
    </cfRule>
    <cfRule type="expression" dxfId="13" priority="11">
      <formula>AND($A3&lt;&gt;"",$G3="Yes")</formula>
    </cfRule>
    <cfRule type="expression" dxfId="12" priority="12">
      <formula>AND($A3&lt;&gt;"",$J3&lt;&gt;"")</formula>
    </cfRule>
    <cfRule type="expression" dxfId="11" priority="13">
      <formula>$A3&lt;&gt;""</formula>
    </cfRule>
  </conditionalFormatting>
  <conditionalFormatting sqref="C3:C200">
    <cfRule type="expression" dxfId="10" priority="14">
      <formula>$A3=""</formula>
    </cfRule>
  </conditionalFormatting>
  <conditionalFormatting sqref="G3:G200">
    <cfRule type="expression" dxfId="9" priority="15">
      <formula>$A3=""</formula>
    </cfRule>
  </conditionalFormatting>
  <conditionalFormatting sqref="M3:M500">
    <cfRule type="expression" dxfId="8" priority="4">
      <formula>ISNUMBER(SEARCH("Sent back again",$M3))</formula>
    </cfRule>
    <cfRule type="expression" dxfId="7" priority="5">
      <formula>ISNUMBER(SEARCH("LATE",$M3))</formula>
    </cfRule>
    <cfRule type="expression" dxfId="6" priority="6">
      <formula>ISNUMBER(SEARCH("UNCLAIMED",$M3))</formula>
    </cfRule>
    <cfRule type="expression" dxfId="5" priority="7">
      <formula>ISNUMBER(SEARCH("Missing",$M3))</formula>
    </cfRule>
    <cfRule type="expression" dxfId="4" priority="8">
      <formula>ISNUMBER(SEARCH("Fixed in",$M3))</formula>
    </cfRule>
    <cfRule type="expression" dxfId="3" priority="9">
      <formula>ISNUMBER(SEARCH("Open",$M3))</formula>
    </cfRule>
  </conditionalFormatting>
  <conditionalFormatting sqref="A5">
    <cfRule type="expression" dxfId="2" priority="3">
      <formula>AND($B5&lt;&gt;"",MOD(ROW(),2)=0)</formula>
    </cfRule>
  </conditionalFormatting>
  <conditionalFormatting sqref="A6">
    <cfRule type="expression" dxfId="1" priority="2">
      <formula>AND($B6&lt;&gt;"",MOD(ROW(),2)=0)</formula>
    </cfRule>
  </conditionalFormatting>
  <conditionalFormatting sqref="A7">
    <cfRule type="expression" dxfId="0" priority="1">
      <formula>AND($B7&lt;&gt;"",MOD(ROW(),2)=0)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2" t="s">
        <v>228</v>
      </c>
      <c r="B1" s="67"/>
      <c r="C1" s="67"/>
      <c r="D1" s="67"/>
      <c r="E1" s="67"/>
      <c r="F1" s="67"/>
      <c r="G1" s="67"/>
      <c r="H1" s="67"/>
      <c r="I1" s="67"/>
      <c r="J1" s="67"/>
    </row>
    <row r="2" spans="1:10" ht="27" customHeight="1">
      <c r="A2" s="8" t="s">
        <v>0</v>
      </c>
      <c r="B2" s="8" t="s">
        <v>229</v>
      </c>
      <c r="C2" s="8" t="s">
        <v>1</v>
      </c>
      <c r="D2" s="8" t="s">
        <v>230</v>
      </c>
      <c r="E2" s="8" t="s">
        <v>231</v>
      </c>
      <c r="F2" s="8" t="s">
        <v>9</v>
      </c>
      <c r="G2" s="8" t="s">
        <v>5</v>
      </c>
      <c r="H2" s="8" t="s">
        <v>232</v>
      </c>
      <c r="I2" s="8" t="s">
        <v>233</v>
      </c>
      <c r="J2" s="8" t="s">
        <v>234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124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137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235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124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137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235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236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124</v>
      </c>
      <c r="C14" s="9" t="s">
        <v>236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137</v>
      </c>
      <c r="C15" s="9" t="s">
        <v>236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235</v>
      </c>
      <c r="C16" s="9" t="s">
        <v>236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236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124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137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235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124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137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235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124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137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235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124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137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235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124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137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235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124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137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235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124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137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235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124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137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235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124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137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235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124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137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235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124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137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235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124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137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235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124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137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235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124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137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235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124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137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235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124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137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235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124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137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235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124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137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235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124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137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235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124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137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235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124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137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124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137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235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124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137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235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124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137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235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124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137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235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124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137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124</v>
      </c>
      <c r="C145" s="9" t="s">
        <v>120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137</v>
      </c>
      <c r="C146" s="9" t="s">
        <v>120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123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124</v>
      </c>
      <c r="C148" s="9" t="s">
        <v>123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137</v>
      </c>
      <c r="C149" s="9" t="s">
        <v>123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126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124</v>
      </c>
      <c r="C151" s="9" t="s">
        <v>126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137</v>
      </c>
      <c r="C152" s="9" t="s">
        <v>126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129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124</v>
      </c>
      <c r="C154" s="9" t="s">
        <v>129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137</v>
      </c>
      <c r="C155" s="9" t="s">
        <v>129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132</v>
      </c>
      <c r="D156" s="9" t="s">
        <v>76</v>
      </c>
      <c r="E156" s="9" t="s">
        <v>52</v>
      </c>
      <c r="F156" s="9"/>
      <c r="G156" s="9" t="s">
        <v>133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136</v>
      </c>
      <c r="D157" s="3" t="s">
        <v>105</v>
      </c>
      <c r="E157" s="3" t="s">
        <v>38</v>
      </c>
      <c r="F157" s="3"/>
      <c r="G157" s="3" t="s">
        <v>133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139</v>
      </c>
      <c r="D158" s="3" t="s">
        <v>105</v>
      </c>
      <c r="E158" s="3" t="s">
        <v>38</v>
      </c>
      <c r="F158" s="3"/>
      <c r="G158" s="3" t="s">
        <v>133</v>
      </c>
      <c r="H158" s="3"/>
      <c r="I158" s="3"/>
      <c r="J158" s="3"/>
    </row>
    <row r="159" spans="1:10">
      <c r="A159" s="3" t="s">
        <v>112</v>
      </c>
      <c r="B159" s="3" t="s">
        <v>124</v>
      </c>
      <c r="C159" s="3" t="s">
        <v>139</v>
      </c>
      <c r="D159" s="3" t="s">
        <v>105</v>
      </c>
      <c r="E159" s="3" t="s">
        <v>38</v>
      </c>
      <c r="F159" s="3"/>
      <c r="G159" s="3" t="s">
        <v>133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137</v>
      </c>
      <c r="C160" s="3" t="s">
        <v>139</v>
      </c>
      <c r="D160" s="3" t="s">
        <v>105</v>
      </c>
      <c r="E160" s="3" t="s">
        <v>38</v>
      </c>
      <c r="F160" s="3"/>
      <c r="G160" s="3" t="s">
        <v>133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141</v>
      </c>
      <c r="D161" s="3" t="s">
        <v>76</v>
      </c>
      <c r="E161" s="3" t="s">
        <v>52</v>
      </c>
      <c r="F161" s="3"/>
      <c r="G161" s="3" t="s">
        <v>133</v>
      </c>
      <c r="H161" s="3"/>
      <c r="I161" s="3"/>
      <c r="J161" s="3"/>
    </row>
    <row r="162" spans="1:10">
      <c r="A162" s="3" t="s">
        <v>112</v>
      </c>
      <c r="B162" s="3" t="s">
        <v>124</v>
      </c>
      <c r="C162" s="3" t="s">
        <v>141</v>
      </c>
      <c r="D162" s="3" t="s">
        <v>76</v>
      </c>
      <c r="E162" s="3" t="s">
        <v>52</v>
      </c>
      <c r="F162" s="3"/>
      <c r="G162" s="3" t="s">
        <v>133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137</v>
      </c>
      <c r="C163" s="3" t="s">
        <v>141</v>
      </c>
      <c r="D163" s="3" t="s">
        <v>76</v>
      </c>
      <c r="E163" s="3" t="s">
        <v>52</v>
      </c>
      <c r="F163" s="3"/>
      <c r="G163" s="3" t="s">
        <v>133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143</v>
      </c>
      <c r="D164" s="3" t="s">
        <v>145</v>
      </c>
      <c r="E164" s="3" t="s">
        <v>52</v>
      </c>
      <c r="F164" s="3"/>
      <c r="G164" s="3" t="s">
        <v>133</v>
      </c>
      <c r="H164" s="3"/>
      <c r="I164" s="3"/>
      <c r="J164" s="3"/>
    </row>
    <row r="165" spans="1:10">
      <c r="A165" s="3" t="s">
        <v>112</v>
      </c>
      <c r="B165" s="3" t="s">
        <v>124</v>
      </c>
      <c r="C165" s="3" t="s">
        <v>143</v>
      </c>
      <c r="D165" s="3" t="s">
        <v>145</v>
      </c>
      <c r="E165" s="3" t="s">
        <v>52</v>
      </c>
      <c r="F165" s="3"/>
      <c r="G165" s="3" t="s">
        <v>133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137</v>
      </c>
      <c r="C166" s="3" t="s">
        <v>143</v>
      </c>
      <c r="D166" s="3" t="s">
        <v>145</v>
      </c>
      <c r="E166" s="3" t="s">
        <v>52</v>
      </c>
      <c r="F166" s="3"/>
      <c r="G166" s="3" t="s">
        <v>133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147</v>
      </c>
      <c r="D167" s="3" t="s">
        <v>145</v>
      </c>
      <c r="E167" s="3" t="s">
        <v>68</v>
      </c>
      <c r="F167" s="3"/>
      <c r="G167" s="3" t="s">
        <v>133</v>
      </c>
      <c r="H167" s="3"/>
      <c r="I167" s="3"/>
      <c r="J167" s="3"/>
    </row>
    <row r="168" spans="1:10">
      <c r="A168" s="3" t="s">
        <v>112</v>
      </c>
      <c r="B168" s="3" t="s">
        <v>124</v>
      </c>
      <c r="C168" s="3" t="s">
        <v>147</v>
      </c>
      <c r="D168" s="3" t="s">
        <v>145</v>
      </c>
      <c r="E168" s="3" t="s">
        <v>68</v>
      </c>
      <c r="F168" s="3"/>
      <c r="G168" s="3" t="s">
        <v>133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137</v>
      </c>
      <c r="C169" s="3" t="s">
        <v>147</v>
      </c>
      <c r="D169" s="3" t="s">
        <v>145</v>
      </c>
      <c r="E169" s="3" t="s">
        <v>68</v>
      </c>
      <c r="F169" s="3"/>
      <c r="G169" s="3" t="s">
        <v>133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150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124</v>
      </c>
      <c r="C171" s="3" t="s">
        <v>150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137</v>
      </c>
      <c r="C172" s="3" t="s">
        <v>150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153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124</v>
      </c>
      <c r="C174" s="3" t="s">
        <v>153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137</v>
      </c>
      <c r="C175" s="3" t="s">
        <v>153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154</v>
      </c>
      <c r="D176" s="3" t="s">
        <v>67</v>
      </c>
      <c r="E176" s="3" t="s">
        <v>68</v>
      </c>
      <c r="F176" s="3"/>
      <c r="G176" s="3" t="s">
        <v>133</v>
      </c>
      <c r="H176" s="3"/>
      <c r="I176" s="3"/>
      <c r="J176" s="3"/>
    </row>
    <row r="177" spans="1:10">
      <c r="A177" s="3" t="s">
        <v>112</v>
      </c>
      <c r="B177" s="3" t="s">
        <v>124</v>
      </c>
      <c r="C177" s="3" t="s">
        <v>154</v>
      </c>
      <c r="D177" s="3" t="s">
        <v>67</v>
      </c>
      <c r="E177" s="3" t="s">
        <v>68</v>
      </c>
      <c r="F177" s="3"/>
      <c r="G177" s="3" t="s">
        <v>133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137</v>
      </c>
      <c r="C178" s="3" t="s">
        <v>154</v>
      </c>
      <c r="D178" s="3" t="s">
        <v>67</v>
      </c>
      <c r="E178" s="3" t="s">
        <v>68</v>
      </c>
      <c r="F178" s="3"/>
      <c r="G178" s="3" t="s">
        <v>133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156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124</v>
      </c>
      <c r="C180" s="3" t="s">
        <v>156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137</v>
      </c>
      <c r="C181" s="3" t="s">
        <v>156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162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124</v>
      </c>
      <c r="C183" s="3" t="s">
        <v>162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137</v>
      </c>
      <c r="C184" s="3" t="s">
        <v>162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3" t="s">
        <v>237</v>
      </c>
      <c r="B1" s="67"/>
      <c r="C1" s="67"/>
    </row>
    <row r="2" spans="1:3" ht="14.25" customHeight="1">
      <c r="A2" s="8" t="s">
        <v>0</v>
      </c>
      <c r="B2" s="8" t="s">
        <v>238</v>
      </c>
      <c r="C2" s="8" t="s">
        <v>233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239</v>
      </c>
      <c r="B11" s="11">
        <v>18</v>
      </c>
      <c r="C11" s="12">
        <v>46386</v>
      </c>
    </row>
    <row r="12" spans="1:3" ht="14.25" customHeight="1">
      <c r="A12" s="11" t="s">
        <v>239</v>
      </c>
      <c r="B12" s="11">
        <v>18</v>
      </c>
      <c r="C12" s="12">
        <v>46417</v>
      </c>
    </row>
    <row r="13" spans="1:3" ht="14.25" customHeight="1">
      <c r="A13" s="11" t="s">
        <v>239</v>
      </c>
      <c r="B13" s="11">
        <v>19</v>
      </c>
      <c r="C13" s="12">
        <v>46446</v>
      </c>
    </row>
    <row r="14" spans="1:3" ht="14.25" customHeight="1">
      <c r="A14" s="11" t="s">
        <v>240</v>
      </c>
      <c r="B14" s="11">
        <v>9</v>
      </c>
      <c r="C14" s="12">
        <v>46476</v>
      </c>
    </row>
    <row r="15" spans="1:3" ht="14.25" customHeight="1">
      <c r="A15" s="11" t="s">
        <v>241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242</v>
      </c>
      <c r="F1" s="1" t="s">
        <v>2</v>
      </c>
      <c r="G1" s="5" t="s">
        <v>243</v>
      </c>
      <c r="H1" s="5" t="s">
        <v>8</v>
      </c>
      <c r="I1" t="s">
        <v>31</v>
      </c>
      <c r="J1" s="5" t="s">
        <v>244</v>
      </c>
      <c r="K1" s="5" t="s">
        <v>235</v>
      </c>
      <c r="L1" s="5" t="s">
        <v>213</v>
      </c>
      <c r="M1" s="1" t="s">
        <v>245</v>
      </c>
      <c r="N1" s="1" t="s">
        <v>246</v>
      </c>
    </row>
    <row r="2" spans="1:14" ht="13.5" customHeight="1">
      <c r="A2" s="2" t="s">
        <v>247</v>
      </c>
      <c r="B2" s="2" t="s">
        <v>248</v>
      </c>
      <c r="C2" s="2" t="s">
        <v>249</v>
      </c>
      <c r="D2" s="2" t="s">
        <v>250</v>
      </c>
      <c r="E2" s="2" t="s">
        <v>251</v>
      </c>
      <c r="F2" s="2" t="s">
        <v>252</v>
      </c>
      <c r="G2" t="s">
        <v>253</v>
      </c>
      <c r="H2" t="s">
        <v>254</v>
      </c>
      <c r="I2" t="s">
        <v>255</v>
      </c>
      <c r="J2" s="29" t="s">
        <v>256</v>
      </c>
      <c r="K2" s="29" t="s">
        <v>257</v>
      </c>
      <c r="L2" s="29" t="s">
        <v>258</v>
      </c>
      <c r="M2" t="s">
        <v>133</v>
      </c>
      <c r="N2" s="45" t="s">
        <v>259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160</v>
      </c>
      <c r="G3" t="s">
        <v>37</v>
      </c>
      <c r="H3" t="s">
        <v>39</v>
      </c>
      <c r="I3" t="s">
        <v>45</v>
      </c>
      <c r="J3" t="s">
        <v>114</v>
      </c>
      <c r="K3" t="s">
        <v>41</v>
      </c>
      <c r="L3" t="s">
        <v>45</v>
      </c>
      <c r="M3" t="s">
        <v>37</v>
      </c>
      <c r="N3" s="45" t="s">
        <v>260</v>
      </c>
    </row>
    <row r="4" spans="1:14" ht="15" customHeight="1">
      <c r="A4" t="s">
        <v>112</v>
      </c>
      <c r="B4" t="s">
        <v>51</v>
      </c>
      <c r="C4" t="s">
        <v>38</v>
      </c>
      <c r="D4" t="s">
        <v>133</v>
      </c>
      <c r="E4" t="s">
        <v>45</v>
      </c>
      <c r="F4" t="s">
        <v>114</v>
      </c>
      <c r="G4" t="s">
        <v>51</v>
      </c>
      <c r="H4" t="s">
        <v>80</v>
      </c>
      <c r="I4" t="s">
        <v>152</v>
      </c>
      <c r="J4" t="s">
        <v>124</v>
      </c>
      <c r="L4" t="s">
        <v>42</v>
      </c>
      <c r="M4" t="s">
        <v>93</v>
      </c>
      <c r="N4" s="45" t="s">
        <v>260</v>
      </c>
    </row>
    <row r="5" spans="1:14" ht="15" customHeight="1">
      <c r="A5" t="s">
        <v>239</v>
      </c>
      <c r="B5" t="s">
        <v>57</v>
      </c>
      <c r="C5" t="s">
        <v>68</v>
      </c>
      <c r="F5" t="s">
        <v>124</v>
      </c>
      <c r="G5" t="s">
        <v>57</v>
      </c>
      <c r="H5" t="s">
        <v>115</v>
      </c>
      <c r="I5" t="s">
        <v>118</v>
      </c>
      <c r="J5" t="s">
        <v>137</v>
      </c>
      <c r="L5" t="s">
        <v>261</v>
      </c>
      <c r="M5" t="s">
        <v>80</v>
      </c>
      <c r="N5" s="45" t="s">
        <v>260</v>
      </c>
    </row>
    <row r="6" spans="1:14" ht="15" customHeight="1">
      <c r="A6" t="s">
        <v>240</v>
      </c>
      <c r="B6" t="s">
        <v>76</v>
      </c>
      <c r="F6" t="s">
        <v>137</v>
      </c>
      <c r="G6" t="s">
        <v>76</v>
      </c>
      <c r="H6" t="s">
        <v>133</v>
      </c>
      <c r="I6" t="s">
        <v>134</v>
      </c>
      <c r="J6" t="s">
        <v>235</v>
      </c>
      <c r="M6" t="s">
        <v>41</v>
      </c>
      <c r="N6" s="45" t="s">
        <v>260</v>
      </c>
    </row>
    <row r="7" spans="1:14" ht="15" customHeight="1">
      <c r="A7" t="s">
        <v>241</v>
      </c>
      <c r="B7" t="s">
        <v>105</v>
      </c>
      <c r="F7" t="s">
        <v>235</v>
      </c>
      <c r="G7" t="s">
        <v>105</v>
      </c>
      <c r="I7" t="s">
        <v>262</v>
      </c>
      <c r="M7" t="s">
        <v>115</v>
      </c>
      <c r="N7" s="45" t="s">
        <v>260</v>
      </c>
    </row>
    <row r="8" spans="1:14" ht="15" customHeight="1">
      <c r="B8" t="s">
        <v>67</v>
      </c>
      <c r="F8" t="s">
        <v>36</v>
      </c>
      <c r="G8" t="s">
        <v>67</v>
      </c>
      <c r="I8" t="s">
        <v>263</v>
      </c>
      <c r="M8" t="s">
        <v>52</v>
      </c>
      <c r="N8" s="45" t="s">
        <v>260</v>
      </c>
    </row>
    <row r="9" spans="1:14" ht="15" customHeight="1">
      <c r="B9" t="s">
        <v>93</v>
      </c>
      <c r="G9" t="s">
        <v>93</v>
      </c>
      <c r="I9" t="s">
        <v>264</v>
      </c>
      <c r="M9" t="s">
        <v>145</v>
      </c>
      <c r="N9" s="45" t="s">
        <v>260</v>
      </c>
    </row>
    <row r="10" spans="1:14" ht="15" customHeight="1">
      <c r="B10" t="s">
        <v>145</v>
      </c>
      <c r="G10" t="s">
        <v>145</v>
      </c>
      <c r="M10" t="s">
        <v>39</v>
      </c>
      <c r="N10" s="45" t="s">
        <v>260</v>
      </c>
    </row>
    <row r="11" spans="1:14">
      <c r="G11" t="s">
        <v>52</v>
      </c>
      <c r="M11" t="s">
        <v>67</v>
      </c>
      <c r="N11" s="45" t="s">
        <v>260</v>
      </c>
    </row>
    <row r="12" spans="1:14">
      <c r="G12" t="s">
        <v>38</v>
      </c>
      <c r="M12" t="s">
        <v>38</v>
      </c>
      <c r="N12" s="45" t="s">
        <v>260</v>
      </c>
    </row>
    <row r="13" spans="1:14">
      <c r="G13" t="s">
        <v>68</v>
      </c>
      <c r="M13" t="s">
        <v>68</v>
      </c>
      <c r="N13" s="45" t="s">
        <v>260</v>
      </c>
    </row>
    <row r="14" spans="1:14">
      <c r="M14" t="s">
        <v>76</v>
      </c>
      <c r="N14" s="45" t="s">
        <v>265</v>
      </c>
    </row>
    <row r="15" spans="1:14">
      <c r="M15" t="s">
        <v>51</v>
      </c>
      <c r="N15" s="45" t="s">
        <v>260</v>
      </c>
    </row>
    <row r="16" spans="1:14">
      <c r="M16" t="s">
        <v>105</v>
      </c>
      <c r="N16" s="45" t="s">
        <v>260</v>
      </c>
    </row>
    <row r="17" spans="13:14">
      <c r="M17" t="s">
        <v>57</v>
      </c>
      <c r="N17" s="45" t="s">
        <v>260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Geetha S</cp:lastModifiedBy>
  <cp:revision>0</cp:revision>
  <dcterms:created xsi:type="dcterms:W3CDTF">2026-07-21T14:32:59Z</dcterms:created>
  <dcterms:modified xsi:type="dcterms:W3CDTF">2026-08-05T15:16:53Z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