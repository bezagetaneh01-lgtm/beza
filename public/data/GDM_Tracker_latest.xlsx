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97" documentId="13_ncr:1_{52745E9B-3AA1-4770-AAD3-E6166BFC13AE}" xr6:coauthVersionLast="47" xr6:coauthVersionMax="47" xr10:uidLastSave="{34E50796-09CB-41E1-ACB9-892A46C20ADA}"/>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<sst xmlns="http://schemas.openxmlformats.org/spreadsheetml/2006/main" count="3632" uniqueCount="521">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</sst>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topLeftCell="A65" zoomScaleNormal="100" workbookViewId="0">
      <pane xSplit="2" topLeftCell="C51" activePane="topRight" state="frozen"/>
      <selection pane="topRight" activeCell="B65" sqref="B65"/>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232" customFormat="1">
      <c r="A64" s="231" t="s">
        <v>126</v>
      </c>
      <c r="B64" s="231" t="s">
        <v>218</v>
      </c>
      <c r="C64" s="231" t="s">
        <v>219</v>
      </c>
      <c r="D64" s="232"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231">
        <v>40</v>
      </c>
      <c r="F64" s="233" t="s">
        <v>129</v>
      </c>
      <c r="G64" s="231"/>
      <c r="H64" s="234">
        <v>46295</v>
      </c>
      <c r="I64" s="235" t="s">
        <v>193</v>
      </c>
      <c r="J64" s="231" t="s">
        <v>103</v>
      </c>
      <c r="K64" s="236">
        <v>46276</v>
      </c>
      <c r="L64" s="237">
        <v>46265</v>
      </c>
      <c r="M64" s="237">
        <v>46266</v>
      </c>
      <c r="N64" s="237" t="s">
        <v>147</v>
      </c>
      <c r="O64" s="237" t="s">
        <v>194</v>
      </c>
      <c r="P64" s="238" t="s">
        <v>60</v>
      </c>
      <c r="Q64" s="236">
        <v>46286</v>
      </c>
      <c r="R64" s="237">
        <v>46269</v>
      </c>
      <c r="S64" s="237">
        <v>46269</v>
      </c>
      <c r="T64" s="239" t="s">
        <v>195</v>
      </c>
      <c r="U64" s="231" t="s">
        <v>47</v>
      </c>
      <c r="V64" s="240">
        <v>46290</v>
      </c>
      <c r="W64" s="237"/>
      <c r="X64" s="237">
        <v>46295</v>
      </c>
      <c r="Y64" s="237"/>
      <c r="Z64" s="237"/>
      <c r="AA64" s="241">
        <v>46295</v>
      </c>
      <c r="AB64" s="237"/>
      <c r="AC64" s="237"/>
      <c r="AD64" s="231" t="s">
        <v>220</v>
      </c>
      <c r="AE64" s="231" t="s">
        <v>72</v>
      </c>
      <c r="AF64" s="242"/>
      <c r="AG64" s="237"/>
      <c r="AH64" s="243"/>
      <c r="AI64" s="231"/>
      <c r="AJ64" s="244" t="s">
        <v>53</v>
      </c>
      <c r="AK64" s="245"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46" t="s">
        <v>174</v>
      </c>
      <c r="AM64" s="247"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47"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49" customFormat="1">
      <c r="A66" s="248" t="s">
        <v>126</v>
      </c>
      <c r="B66" s="248" t="s">
        <v>222</v>
      </c>
      <c r="C66" s="248" t="s">
        <v>204</v>
      </c>
      <c r="D66" s="249"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48">
        <v>42</v>
      </c>
      <c r="F66" s="250" t="s">
        <v>129</v>
      </c>
      <c r="G66" s="248"/>
      <c r="H66" s="251">
        <v>46295</v>
      </c>
      <c r="I66" s="252" t="s">
        <v>193</v>
      </c>
      <c r="J66" s="248" t="s">
        <v>44</v>
      </c>
      <c r="K66" s="253">
        <v>46276</v>
      </c>
      <c r="L66" s="254">
        <v>46276</v>
      </c>
      <c r="M66" s="254">
        <v>46282</v>
      </c>
      <c r="N66" s="254"/>
      <c r="O66" s="254" t="s">
        <v>194</v>
      </c>
      <c r="P66" s="255" t="s">
        <v>46</v>
      </c>
      <c r="Q66" s="253">
        <v>46286</v>
      </c>
      <c r="R66" s="254">
        <v>46273</v>
      </c>
      <c r="S66" s="254"/>
      <c r="T66" s="256" t="s">
        <v>195</v>
      </c>
      <c r="U66" s="248"/>
      <c r="V66" s="257">
        <v>46290</v>
      </c>
      <c r="W66" s="254"/>
      <c r="X66" s="254"/>
      <c r="Y66" s="254"/>
      <c r="Z66" s="254"/>
      <c r="AA66" s="258">
        <v>46295</v>
      </c>
      <c r="AB66" s="254"/>
      <c r="AC66" s="254"/>
      <c r="AD66" s="248" t="s">
        <v>220</v>
      </c>
      <c r="AE66" s="248" t="s">
        <v>94</v>
      </c>
      <c r="AF66" s="259"/>
      <c r="AG66" s="254"/>
      <c r="AH66" s="260"/>
      <c r="AI66" s="248"/>
      <c r="AJ66" s="261" t="s">
        <v>53</v>
      </c>
      <c r="AK66" s="262"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63"/>
      <c r="AM66" s="264"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64"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182</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247</v>
      </c>
      <c r="C75" s="116" t="s">
        <v>233</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243</v>
      </c>
      <c r="J75" s="116" t="s">
        <v>59</v>
      </c>
      <c r="K75" s="120">
        <v>46304</v>
      </c>
      <c r="L75" s="120"/>
      <c r="M75" s="121"/>
      <c r="N75" s="121"/>
      <c r="O75" s="121" t="s">
        <v>194</v>
      </c>
      <c r="P75" s="122"/>
      <c r="Q75" s="120">
        <v>46313</v>
      </c>
      <c r="R75" s="120"/>
      <c r="S75" s="121"/>
      <c r="T75" s="123" t="s">
        <v>244</v>
      </c>
      <c r="U75" s="124"/>
      <c r="V75" s="125">
        <v>46316</v>
      </c>
      <c r="W75" s="120"/>
      <c r="X75" s="116"/>
      <c r="Y75" s="116"/>
      <c r="Z75" s="126"/>
      <c r="AA75" s="125">
        <v>46325</v>
      </c>
      <c r="AB75" s="120"/>
      <c r="AC75" s="120"/>
      <c r="AD75" s="116" t="s">
        <v>248</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249</v>
      </c>
      <c r="C76" s="116" t="s">
        <v>233</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243</v>
      </c>
      <c r="J76" s="116" t="s">
        <v>59</v>
      </c>
      <c r="K76" s="120">
        <v>46304</v>
      </c>
      <c r="L76" s="120"/>
      <c r="M76" s="121"/>
      <c r="N76" s="121"/>
      <c r="O76" s="121" t="s">
        <v>194</v>
      </c>
      <c r="P76" s="122"/>
      <c r="Q76" s="120">
        <v>46313</v>
      </c>
      <c r="R76" s="120"/>
      <c r="S76" s="121"/>
      <c r="T76" s="123" t="s">
        <v>244</v>
      </c>
      <c r="U76" s="124"/>
      <c r="V76" s="125">
        <v>46316</v>
      </c>
      <c r="W76" s="120"/>
      <c r="X76" s="116"/>
      <c r="Y76" s="116"/>
      <c r="Z76" s="126"/>
      <c r="AA76" s="125">
        <v>46325</v>
      </c>
      <c r="AB76" s="120"/>
      <c r="AC76" s="120"/>
      <c r="AD76" s="116" t="s">
        <v>248</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250</v>
      </c>
      <c r="C77" s="116" t="s">
        <v>233</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243</v>
      </c>
      <c r="J77" s="116" t="s">
        <v>155</v>
      </c>
      <c r="K77" s="120">
        <v>46304</v>
      </c>
      <c r="L77" s="120"/>
      <c r="M77" s="121"/>
      <c r="N77" s="121"/>
      <c r="O77" s="121" t="s">
        <v>194</v>
      </c>
      <c r="P77" s="122"/>
      <c r="Q77" s="120">
        <v>46313</v>
      </c>
      <c r="R77" s="120"/>
      <c r="S77" s="121"/>
      <c r="T77" s="123" t="s">
        <v>244</v>
      </c>
      <c r="U77" s="124"/>
      <c r="V77" s="125">
        <v>46316</v>
      </c>
      <c r="W77" s="120"/>
      <c r="X77" s="116"/>
      <c r="Y77" s="116"/>
      <c r="Z77" s="126"/>
      <c r="AA77" s="125">
        <v>46325</v>
      </c>
      <c r="AB77" s="120"/>
      <c r="AC77" s="120"/>
      <c r="AD77" s="116" t="s">
        <v>248</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251</v>
      </c>
      <c r="C78" s="127" t="s">
        <v>204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243</v>
      </c>
      <c r="J78" s="127" t="s">
        <v>44</v>
      </c>
      <c r="K78" s="131">
        <v>46304</v>
      </c>
      <c r="L78" s="131">
        <v>46266</v>
      </c>
      <c r="M78" s="132">
        <v>46266</v>
      </c>
      <c r="N78" s="132"/>
      <c r="O78" s="132" t="s">
        <v>252</v>
      </c>
      <c r="P78" s="133" t="s">
        <v>60</v>
      </c>
      <c r="Q78" s="131">
        <v>46313</v>
      </c>
      <c r="R78" s="131">
        <v>46302</v>
      </c>
      <c r="S78" s="132"/>
      <c r="T78" s="134" t="s">
        <v>244</v>
      </c>
      <c r="U78" s="135"/>
      <c r="V78" s="136">
        <v>46316</v>
      </c>
      <c r="W78" s="131">
        <v>46296</v>
      </c>
      <c r="X78" s="127"/>
      <c r="Y78" s="127"/>
      <c r="Z78" s="137"/>
      <c r="AA78" s="136">
        <v>46325</v>
      </c>
      <c r="AB78" s="131"/>
      <c r="AC78" s="131"/>
      <c r="AD78" s="127" t="s">
        <v>187</v>
      </c>
      <c r="AE78" s="127" t="s">
        <v>94</v>
      </c>
      <c r="AF78" s="127"/>
      <c r="AG78" s="127"/>
      <c r="AH78" s="127"/>
      <c r="AI78" s="127"/>
      <c r="AJ78" s="127" t="s">
        <v>253</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254</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46302</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260</v>
      </c>
      <c r="C81" s="127" t="s">
        <v>219</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243</v>
      </c>
      <c r="J81" s="33" t="s">
        <v>103</v>
      </c>
      <c r="K81" s="131">
        <v>46304</v>
      </c>
      <c r="L81" s="131">
        <v>46287</v>
      </c>
      <c r="M81" s="131">
        <v>46287</v>
      </c>
      <c r="N81" s="132" t="s">
        <v>256</v>
      </c>
      <c r="O81" s="132" t="s">
        <v>252</v>
      </c>
      <c r="P81" s="133" t="s">
        <v>60</v>
      </c>
      <c r="Q81" s="131">
        <v>46313</v>
      </c>
      <c r="R81" s="131">
        <v>46295</v>
      </c>
      <c r="S81" s="132">
        <v>46294</v>
      </c>
      <c r="T81" s="69" t="s">
        <v>244</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46302</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268</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269</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270</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271</v>
      </c>
      <c r="J86" s="53" t="s">
        <v>84</v>
      </c>
      <c r="K86" s="49">
        <v>46332</v>
      </c>
      <c r="L86" s="43">
        <v>46332</v>
      </c>
      <c r="M86" s="44">
        <v>46290</v>
      </c>
      <c r="N86" s="44"/>
      <c r="O86" s="44" t="s">
        <v>252</v>
      </c>
      <c r="P86" s="74" t="s">
        <v>60</v>
      </c>
      <c r="Q86" s="49">
        <v>46339</v>
      </c>
      <c r="R86" s="43"/>
      <c r="S86" s="44"/>
      <c r="T86" s="68" t="s">
        <v>263</v>
      </c>
      <c r="U86" s="46"/>
      <c r="V86" s="28">
        <v>46344</v>
      </c>
      <c r="W86" s="43"/>
      <c r="X86" s="31"/>
      <c r="Y86" s="31"/>
      <c r="Z86" s="36"/>
      <c r="AA86" s="28">
        <v>46356</v>
      </c>
      <c r="AB86" s="43"/>
      <c r="AC86" s="43"/>
      <c r="AD86" s="31" t="s">
        <v>272</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273</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274</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271</v>
      </c>
      <c r="J87" s="53" t="s">
        <v>59</v>
      </c>
      <c r="K87" s="49">
        <v>46332</v>
      </c>
      <c r="L87" s="43"/>
      <c r="M87" s="44"/>
      <c r="N87" s="44"/>
      <c r="O87" s="44" t="s">
        <v>252</v>
      </c>
      <c r="P87" s="74" t="s">
        <v>60</v>
      </c>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275</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271</v>
      </c>
      <c r="J88" s="53" t="s">
        <v>59</v>
      </c>
      <c r="K88" s="49">
        <v>46332</v>
      </c>
      <c r="L88" s="43"/>
      <c r="M88" s="44"/>
      <c r="N88" s="44"/>
      <c r="O88" s="44" t="s">
        <v>252</v>
      </c>
      <c r="P88" s="74" t="s">
        <v>77</v>
      </c>
      <c r="Q88" s="49">
        <v>46339</v>
      </c>
      <c r="R88" s="43"/>
      <c r="S88" s="44"/>
      <c r="T88" s="68" t="s">
        <v>276</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277</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271</v>
      </c>
      <c r="J89" s="53" t="s">
        <v>228</v>
      </c>
      <c r="K89" s="49">
        <v>46332</v>
      </c>
      <c r="L89" s="43">
        <v>46282</v>
      </c>
      <c r="M89" s="44">
        <v>46282</v>
      </c>
      <c r="N89" s="44"/>
      <c r="O89" s="44" t="s">
        <v>252</v>
      </c>
      <c r="P89" s="74" t="s">
        <v>77</v>
      </c>
      <c r="Q89" s="49">
        <v>46339</v>
      </c>
      <c r="R89" s="43"/>
      <c r="S89" s="44"/>
      <c r="T89" s="68" t="s">
        <v>276</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278</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271</v>
      </c>
      <c r="J90" s="53" t="s">
        <v>228</v>
      </c>
      <c r="K90" s="49">
        <v>46332</v>
      </c>
      <c r="L90" s="43"/>
      <c r="M90" s="44"/>
      <c r="N90" s="44"/>
      <c r="O90" s="36" t="s">
        <v>279</v>
      </c>
      <c r="P90" s="74" t="s">
        <v>60</v>
      </c>
      <c r="Q90" s="49">
        <v>46339</v>
      </c>
      <c r="R90" s="43"/>
      <c r="S90" s="44"/>
      <c r="T90" s="68" t="s">
        <v>276</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280</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271</v>
      </c>
      <c r="J91" s="53" t="s">
        <v>65</v>
      </c>
      <c r="K91" s="49">
        <v>46332</v>
      </c>
      <c r="L91" s="43">
        <v>46273</v>
      </c>
      <c r="M91" s="46">
        <v>46273</v>
      </c>
      <c r="N91" s="46" t="s">
        <v>147</v>
      </c>
      <c r="O91" s="44" t="s">
        <v>252</v>
      </c>
      <c r="P91" s="74" t="s">
        <v>60</v>
      </c>
      <c r="Q91" s="49">
        <v>46339</v>
      </c>
      <c r="R91" s="43"/>
      <c r="S91" s="44"/>
      <c r="T91" s="68" t="s">
        <v>276</v>
      </c>
      <c r="U91" s="46"/>
      <c r="V91" s="28">
        <v>46344</v>
      </c>
      <c r="W91" s="43"/>
      <c r="X91" s="31"/>
      <c r="Y91" s="31"/>
      <c r="Z91" s="36"/>
      <c r="AA91" s="28">
        <v>46356</v>
      </c>
      <c r="AB91" s="43"/>
      <c r="AC91" s="43"/>
      <c r="AD91" s="31" t="s">
        <v>281</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282</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271</v>
      </c>
      <c r="J92" s="53" t="s">
        <v>84</v>
      </c>
      <c r="K92" s="49">
        <v>46332</v>
      </c>
      <c r="L92" s="43">
        <v>46332</v>
      </c>
      <c r="M92" s="44">
        <v>46275</v>
      </c>
      <c r="N92" s="44"/>
      <c r="O92" s="44" t="s">
        <v>252</v>
      </c>
      <c r="P92" s="74" t="s">
        <v>77</v>
      </c>
      <c r="Q92" s="49">
        <v>46339</v>
      </c>
      <c r="R92" s="43"/>
      <c r="S92" s="44"/>
      <c r="T92" s="68" t="s">
        <v>276</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283</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284</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271</v>
      </c>
      <c r="J93" s="53" t="s">
        <v>155</v>
      </c>
      <c r="K93" s="49">
        <v>46332</v>
      </c>
      <c r="L93" s="43">
        <v>46303</v>
      </c>
      <c r="M93" s="44"/>
      <c r="N93" s="46" t="s">
        <v>147</v>
      </c>
      <c r="O93" s="36" t="s">
        <v>279</v>
      </c>
      <c r="P93" s="74" t="s">
        <v>60</v>
      </c>
      <c r="Q93" s="49">
        <v>46339</v>
      </c>
      <c r="R93" s="43"/>
      <c r="S93" s="44"/>
      <c r="T93" s="68" t="s">
        <v>276</v>
      </c>
      <c r="U93" s="46"/>
      <c r="V93" s="28">
        <v>46344</v>
      </c>
      <c r="W93" s="43"/>
      <c r="X93" s="31"/>
      <c r="Y93" s="31"/>
      <c r="Z93" s="36"/>
      <c r="AA93" s="28">
        <v>46356</v>
      </c>
      <c r="AB93" s="43"/>
      <c r="AC93" s="43"/>
      <c r="AD93" s="31" t="s">
        <v>285</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286</v>
      </c>
      <c r="C94" s="31" t="s">
        <v>204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271</v>
      </c>
      <c r="J94" s="53" t="s">
        <v>155</v>
      </c>
      <c r="K94" s="49">
        <v>46332</v>
      </c>
      <c r="L94" s="43">
        <v>46301</v>
      </c>
      <c r="M94" s="43">
        <v>46301</v>
      </c>
      <c r="N94" s="46" t="s">
        <v>147</v>
      </c>
      <c r="O94" s="36" t="s">
        <v>279</v>
      </c>
      <c r="P94" s="74" t="s">
        <v>77</v>
      </c>
      <c r="Q94" s="49">
        <v>46339</v>
      </c>
      <c r="R94" s="43"/>
      <c r="S94" s="44"/>
      <c r="T94" s="68" t="s">
        <v>276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287</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271</v>
      </c>
      <c r="J95" s="53" t="s">
        <v>76</v>
      </c>
      <c r="K95" s="49">
        <v>46332</v>
      </c>
      <c r="L95" s="43"/>
      <c r="M95" s="44"/>
      <c r="N95" s="44"/>
      <c r="O95" s="36" t="s">
        <v>279</v>
      </c>
      <c r="P95" s="74" t="s">
        <v>77</v>
      </c>
      <c r="Q95" s="49">
        <v>46339</v>
      </c>
      <c r="R95" s="43"/>
      <c r="S95" s="44"/>
      <c r="T95" s="68" t="s">
        <v>288</v>
      </c>
      <c r="U95" s="46"/>
      <c r="V95" s="28">
        <v>46344</v>
      </c>
      <c r="W95" s="43"/>
      <c r="X95" s="31"/>
      <c r="Y95" s="31"/>
      <c r="Z95" s="36"/>
      <c r="AA95" s="28">
        <v>46356</v>
      </c>
      <c r="AB95" s="43"/>
      <c r="AC95" s="43"/>
      <c r="AD95" s="31" t="s">
        <v>289</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290</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271</v>
      </c>
      <c r="J96" s="53" t="s">
        <v>76</v>
      </c>
      <c r="K96" s="49">
        <v>46332</v>
      </c>
      <c r="L96" s="43">
        <v>46297</v>
      </c>
      <c r="M96" s="44"/>
      <c r="N96" s="44" t="s">
        <v>256</v>
      </c>
      <c r="O96" s="36" t="s">
        <v>279</v>
      </c>
      <c r="P96" s="74" t="s">
        <v>60</v>
      </c>
      <c r="Q96" s="49">
        <v>46339</v>
      </c>
      <c r="R96" s="43"/>
      <c r="S96" s="44"/>
      <c r="T96" s="68" t="s">
        <v>288</v>
      </c>
      <c r="U96" s="46"/>
      <c r="V96" s="28">
        <v>46344</v>
      </c>
      <c r="W96" s="43"/>
      <c r="X96" s="31"/>
      <c r="Y96" s="31"/>
      <c r="Z96" s="36"/>
      <c r="AA96" s="28">
        <v>46356</v>
      </c>
      <c r="AB96" s="43"/>
      <c r="AC96" s="43"/>
      <c r="AD96" s="31" t="s">
        <v>291</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292</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271</v>
      </c>
      <c r="J97" s="53" t="s">
        <v>293</v>
      </c>
      <c r="K97" s="49">
        <v>46332</v>
      </c>
      <c r="L97" s="49">
        <v>46332</v>
      </c>
      <c r="M97" s="44"/>
      <c r="N97" s="44"/>
      <c r="O97" s="36" t="s">
        <v>279</v>
      </c>
      <c r="P97" s="74" t="s">
        <v>77</v>
      </c>
      <c r="Q97" s="49">
        <v>46339</v>
      </c>
      <c r="R97" s="43"/>
      <c r="S97" s="44"/>
      <c r="T97" s="68" t="s">
        <v>288</v>
      </c>
      <c r="U97" s="46"/>
      <c r="V97" s="28">
        <v>46344</v>
      </c>
      <c r="W97" s="43"/>
      <c r="X97" s="31"/>
      <c r="Y97" s="31"/>
      <c r="Z97" s="36"/>
      <c r="AA97" s="28">
        <v>46356</v>
      </c>
      <c r="AB97" s="43"/>
      <c r="AC97" s="43"/>
      <c r="AD97" s="31" t="s">
        <v>294</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295</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271</v>
      </c>
      <c r="J98" s="53" t="s">
        <v>293</v>
      </c>
      <c r="K98" s="49">
        <v>46332</v>
      </c>
      <c r="L98" s="49">
        <v>46332</v>
      </c>
      <c r="M98" s="44">
        <v>46296</v>
      </c>
      <c r="N98" s="44" t="s">
        <v>147</v>
      </c>
      <c r="O98" s="36" t="s">
        <v>279</v>
      </c>
      <c r="P98" s="74" t="s">
        <v>60</v>
      </c>
      <c r="Q98" s="49">
        <v>46339</v>
      </c>
      <c r="R98" s="43"/>
      <c r="S98" s="44"/>
      <c r="T98" s="68" t="s">
        <v>288</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296</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297</v>
      </c>
      <c r="F99" s="31" t="s">
        <v>129</v>
      </c>
      <c r="G99" s="31"/>
      <c r="H99" s="49">
        <v>46356</v>
      </c>
      <c r="I99" s="55" t="s">
        <v>271</v>
      </c>
      <c r="J99" s="53" t="s">
        <v>65</v>
      </c>
      <c r="K99" s="49">
        <v>46332</v>
      </c>
      <c r="L99" s="43">
        <v>46302</v>
      </c>
      <c r="M99" s="44"/>
      <c r="N99" s="46" t="s">
        <v>147</v>
      </c>
      <c r="O99" s="44" t="s">
        <v>252</v>
      </c>
      <c r="P99" s="74" t="s">
        <v>60</v>
      </c>
      <c r="Q99" s="49">
        <v>46339</v>
      </c>
      <c r="R99" s="43"/>
      <c r="S99" s="44"/>
      <c r="T99" s="68" t="s">
        <v>288</v>
      </c>
      <c r="U99" s="46"/>
      <c r="V99" s="28">
        <v>46344</v>
      </c>
      <c r="W99" s="43"/>
      <c r="X99" s="31"/>
      <c r="Y99" s="31"/>
      <c r="Z99" s="36"/>
      <c r="AA99" s="28">
        <v>46356</v>
      </c>
      <c r="AB99" s="43"/>
      <c r="AC99" s="43"/>
      <c r="AD99" s="31" t="s">
        <v>298</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299</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271</v>
      </c>
      <c r="J100" s="53" t="s">
        <v>84</v>
      </c>
      <c r="K100" s="49">
        <v>46332</v>
      </c>
      <c r="L100" s="43">
        <v>46332</v>
      </c>
      <c r="M100" s="44">
        <v>46297</v>
      </c>
      <c r="N100" s="44"/>
      <c r="O100" s="36" t="s">
        <v>279</v>
      </c>
      <c r="P100" s="74" t="s">
        <v>77</v>
      </c>
      <c r="Q100" s="49">
        <v>46339</v>
      </c>
      <c r="R100" s="43"/>
      <c r="S100" s="44"/>
      <c r="T100" s="68" t="s">
        <v>288</v>
      </c>
      <c r="U100" s="46"/>
      <c r="V100" s="28">
        <v>46344</v>
      </c>
      <c r="W100" s="43"/>
      <c r="X100" s="31"/>
      <c r="Y100" s="31"/>
      <c r="Z100" s="36"/>
      <c r="AA100" s="28">
        <v>46356</v>
      </c>
      <c r="AB100" s="43"/>
      <c r="AC100" s="43"/>
      <c r="AD100" s="31" t="s">
        <v>300</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301</v>
      </c>
      <c r="B101" s="31" t="s">
        <v>302</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303</v>
      </c>
      <c r="J101" s="53" t="s">
        <v>59</v>
      </c>
      <c r="K101" s="28">
        <v>46363</v>
      </c>
      <c r="L101" s="43"/>
      <c r="M101" s="31"/>
      <c r="N101" s="31"/>
      <c r="O101" s="36" t="s">
        <v>279</v>
      </c>
      <c r="P101" s="74"/>
      <c r="Q101" s="28">
        <v>46370</v>
      </c>
      <c r="R101" s="43"/>
      <c r="S101" s="31"/>
      <c r="T101" s="68" t="s">
        <v>288</v>
      </c>
      <c r="U101" s="46"/>
      <c r="V101" s="28">
        <v>46373</v>
      </c>
      <c r="W101" s="43"/>
      <c r="X101" s="31"/>
      <c r="Y101" s="31"/>
      <c r="Z101" s="36"/>
      <c r="AA101" s="28">
        <v>46386</v>
      </c>
      <c r="AB101" s="43"/>
      <c r="AC101" s="43"/>
      <c r="AD101" s="31" t="s">
        <v>304</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301</v>
      </c>
      <c r="B102" s="31" t="s">
        <v>305</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303</v>
      </c>
      <c r="J102" s="53" t="s">
        <v>44</v>
      </c>
      <c r="K102" s="28">
        <v>46363</v>
      </c>
      <c r="L102" s="43"/>
      <c r="M102" s="31"/>
      <c r="N102" s="31"/>
      <c r="O102" s="36" t="s">
        <v>279</v>
      </c>
      <c r="P102" s="74"/>
      <c r="Q102" s="28">
        <v>46370</v>
      </c>
      <c r="R102" s="43"/>
      <c r="S102" s="31"/>
      <c r="T102" s="68" t="s">
        <v>306</v>
      </c>
      <c r="U102" s="46"/>
      <c r="V102" s="28">
        <v>46373</v>
      </c>
      <c r="W102" s="43"/>
      <c r="X102" s="31"/>
      <c r="Y102" s="31"/>
      <c r="Z102" s="36"/>
      <c r="AA102" s="28">
        <v>46386</v>
      </c>
      <c r="AB102" s="43"/>
      <c r="AC102" s="43"/>
      <c r="AD102" s="31" t="s">
        <v>307</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301</v>
      </c>
      <c r="B103" s="31" t="s">
        <v>308</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303</v>
      </c>
      <c r="J103" s="53" t="s">
        <v>44</v>
      </c>
      <c r="K103" s="28">
        <v>46363</v>
      </c>
      <c r="L103" s="43"/>
      <c r="M103" s="31"/>
      <c r="N103" s="31"/>
      <c r="O103" s="36" t="s">
        <v>279</v>
      </c>
      <c r="P103" s="74"/>
      <c r="Q103" s="28">
        <v>46370</v>
      </c>
      <c r="R103" s="43"/>
      <c r="S103" s="31"/>
      <c r="T103" s="68" t="s">
        <v>306</v>
      </c>
      <c r="U103" s="46"/>
      <c r="V103" s="28">
        <v>46373</v>
      </c>
      <c r="W103" s="43"/>
      <c r="X103" s="31"/>
      <c r="Y103" s="31"/>
      <c r="Z103" s="36"/>
      <c r="AA103" s="28">
        <v>46386</v>
      </c>
      <c r="AB103" s="43"/>
      <c r="AC103" s="43"/>
      <c r="AD103" s="31" t="s">
        <v>309</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310</v>
      </c>
      <c r="B104" s="31" t="s">
        <v>311</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303</v>
      </c>
      <c r="J104" s="53" t="s">
        <v>84</v>
      </c>
      <c r="K104" s="28">
        <v>46363</v>
      </c>
      <c r="L104" s="43">
        <v>46304</v>
      </c>
      <c r="M104" s="32">
        <v>46302</v>
      </c>
      <c r="N104" s="31"/>
      <c r="O104" s="36" t="s">
        <v>279</v>
      </c>
      <c r="P104" s="74"/>
      <c r="Q104" s="28">
        <v>46370</v>
      </c>
      <c r="R104" s="43"/>
      <c r="S104" s="31"/>
      <c r="T104" s="68" t="s">
        <v>306</v>
      </c>
      <c r="U104" s="46"/>
      <c r="V104" s="28">
        <v>46373</v>
      </c>
      <c r="W104" s="43"/>
      <c r="X104" s="31"/>
      <c r="Y104" s="31"/>
      <c r="Z104" s="36"/>
      <c r="AA104" s="28">
        <v>46386</v>
      </c>
      <c r="AB104" s="43"/>
      <c r="AC104" s="43"/>
      <c r="AD104" s="31" t="s">
        <v>312</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301</v>
      </c>
      <c r="B105" s="31" t="s">
        <v>313</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303</v>
      </c>
      <c r="J105" s="53"/>
      <c r="K105" s="28">
        <v>46363</v>
      </c>
      <c r="L105" s="43"/>
      <c r="M105" s="31"/>
      <c r="N105" s="31"/>
      <c r="O105" s="36" t="s">
        <v>314</v>
      </c>
      <c r="P105" s="74"/>
      <c r="Q105" s="28">
        <v>46370</v>
      </c>
      <c r="R105" s="43"/>
      <c r="S105" s="31"/>
      <c r="T105" s="68" t="s">
        <v>306</v>
      </c>
      <c r="U105" s="46"/>
      <c r="V105" s="28">
        <v>46373</v>
      </c>
      <c r="W105" s="43"/>
      <c r="X105" s="31"/>
      <c r="Y105" s="31"/>
      <c r="Z105" s="36"/>
      <c r="AA105" s="28">
        <v>46386</v>
      </c>
      <c r="AB105" s="43"/>
      <c r="AC105" s="43"/>
      <c r="AD105" s="31" t="s">
        <v>315</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301</v>
      </c>
      <c r="B106" s="31" t="s">
        <v>316</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303</v>
      </c>
      <c r="J106" s="53"/>
      <c r="K106" s="28">
        <v>46363</v>
      </c>
      <c r="L106" s="43"/>
      <c r="M106" s="31"/>
      <c r="N106" s="31"/>
      <c r="O106" s="36" t="s">
        <v>314</v>
      </c>
      <c r="P106" s="74"/>
      <c r="Q106" s="28">
        <v>46370</v>
      </c>
      <c r="R106" s="43"/>
      <c r="S106" s="31"/>
      <c r="T106" s="68" t="s">
        <v>306</v>
      </c>
      <c r="U106" s="46"/>
      <c r="V106" s="28">
        <v>46373</v>
      </c>
      <c r="W106" s="43"/>
      <c r="X106" s="31"/>
      <c r="Y106" s="31"/>
      <c r="Z106" s="36"/>
      <c r="AA106" s="28">
        <v>46386</v>
      </c>
      <c r="AB106" s="43"/>
      <c r="AC106" s="43"/>
      <c r="AD106" s="31" t="s">
        <v>317</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301</v>
      </c>
      <c r="B107" s="31" t="s">
        <v>318</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303</v>
      </c>
      <c r="J107" s="53"/>
      <c r="K107" s="28">
        <v>46363</v>
      </c>
      <c r="L107" s="43"/>
      <c r="M107" s="31"/>
      <c r="N107" s="31"/>
      <c r="O107" s="36" t="s">
        <v>314</v>
      </c>
      <c r="P107" s="74"/>
      <c r="Q107" s="28">
        <v>46370</v>
      </c>
      <c r="R107" s="43"/>
      <c r="S107" s="31"/>
      <c r="T107" s="68" t="s">
        <v>306</v>
      </c>
      <c r="U107" s="46"/>
      <c r="V107" s="28">
        <v>46373</v>
      </c>
      <c r="W107" s="43"/>
      <c r="X107" s="31"/>
      <c r="Y107" s="31"/>
      <c r="Z107" s="36"/>
      <c r="AA107" s="28">
        <v>46386</v>
      </c>
      <c r="AB107" s="43"/>
      <c r="AC107" s="43"/>
      <c r="AD107" s="31" t="s">
        <v>319</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301</v>
      </c>
      <c r="B108" s="31" t="s">
        <v>320</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303</v>
      </c>
      <c r="J108" s="53"/>
      <c r="K108" s="28">
        <v>46363</v>
      </c>
      <c r="L108" s="43"/>
      <c r="M108" s="31"/>
      <c r="N108" s="31"/>
      <c r="O108" s="36" t="s">
        <v>321</v>
      </c>
      <c r="P108" s="74"/>
      <c r="Q108" s="28">
        <v>46370</v>
      </c>
      <c r="R108" s="43"/>
      <c r="S108" s="31"/>
      <c r="T108" s="68" t="s">
        <v>306</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310</v>
      </c>
      <c r="B109" s="31" t="s">
        <v>323</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303</v>
      </c>
      <c r="J109" s="53"/>
      <c r="K109" s="28">
        <v>46363</v>
      </c>
      <c r="L109" s="43"/>
      <c r="M109" s="31"/>
      <c r="N109" s="31"/>
      <c r="O109" s="36" t="s">
        <v>321</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301</v>
      </c>
      <c r="B110" s="31" t="s">
        <v>326</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303</v>
      </c>
      <c r="J110" s="53"/>
      <c r="K110" s="28">
        <v>46363</v>
      </c>
      <c r="L110" s="43"/>
      <c r="M110" s="31"/>
      <c r="N110" s="31"/>
      <c r="O110" s="36" t="s">
        <v>321</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310</v>
      </c>
      <c r="B111" s="31" t="s">
        <v>328</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303</v>
      </c>
      <c r="J111" s="53"/>
      <c r="K111" s="28">
        <v>46363</v>
      </c>
      <c r="L111" s="43"/>
      <c r="M111" s="31"/>
      <c r="N111" s="31"/>
      <c r="O111" s="36" t="s">
        <v>321</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310</v>
      </c>
      <c r="B112" s="31" t="s">
        <v>330</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303</v>
      </c>
      <c r="J112" s="53"/>
      <c r="K112" s="28">
        <v>46363</v>
      </c>
      <c r="L112" s="43"/>
      <c r="M112" s="31"/>
      <c r="N112" s="31"/>
      <c r="O112" s="36" t="s">
        <v>321</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310</v>
      </c>
      <c r="B113" s="31" t="s">
        <v>331</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303</v>
      </c>
      <c r="J113" s="53"/>
      <c r="K113" s="28">
        <v>46363</v>
      </c>
      <c r="L113" s="43"/>
      <c r="M113" s="31"/>
      <c r="N113" s="31"/>
      <c r="O113" s="36" t="s">
        <v>321</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310</v>
      </c>
      <c r="B114" s="31" t="s">
        <v>332</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303</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310</v>
      </c>
      <c r="B115" s="31" t="s">
        <v>334</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303</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272</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335</v>
      </c>
    </row>
    <row r="2" spans="1:5">
      <c r="A2" s="6" t="s">
        <v>336</v>
      </c>
    </row>
    <row r="4" spans="1:5" ht="21.95" customHeight="1">
      <c r="A4" s="5" t="s">
        <v>337</v>
      </c>
      <c r="B4" s="265"/>
      <c r="C4" s="266"/>
      <c r="D4" s="266"/>
      <c r="E4" s="266"/>
    </row>
    <row r="6" spans="1:5">
      <c r="A6" s="42" t="s">
        <v>0</v>
      </c>
      <c r="B6" s="187" t="str">
        <f>IF($B$4="","",IFERROR(INDEX('Combined Delivery Data'!$A:$A,MATCH($B$4,'Combined Delivery Data'!$B:$B,0)),""))</f>
        <v/>
      </c>
      <c r="C6" s="267"/>
      <c r="D6" s="267"/>
      <c r="E6" s="268"/>
    </row>
    <row r="7" spans="1:5">
      <c r="A7" s="42" t="s">
        <v>338</v>
      </c>
      <c r="B7" s="187" t="str">
        <f>IF($B$4="","",IFERROR(INDEX('Combined Delivery Data'!$C:$C,MATCH($B$4,'Combined Delivery Data'!$B:$B,0)),""))</f>
        <v/>
      </c>
      <c r="C7" s="267"/>
      <c r="D7" s="267"/>
      <c r="E7" s="268"/>
    </row>
    <row r="8" spans="1:5">
      <c r="A8" s="42" t="s">
        <v>3</v>
      </c>
      <c r="B8" s="187" t="str">
        <f>IF($B$4="","",IFERROR(INDEX('Combined Delivery Data'!$D:$D,MATCH($B$4,'Combined Delivery Data'!$B:$B,0)),""))</f>
        <v/>
      </c>
      <c r="C8" s="267"/>
      <c r="D8" s="267"/>
      <c r="E8" s="268"/>
    </row>
    <row r="9" spans="1:5">
      <c r="A9" s="42" t="s">
        <v>4</v>
      </c>
      <c r="B9" s="187" t="str">
        <f>IF($B$4="","",IFERROR(INDEX('Combined Delivery Data'!$E:$E,MATCH($B$4,'Combined Delivery Data'!$B:$B,0)),""))</f>
        <v/>
      </c>
      <c r="C9" s="267"/>
      <c r="D9" s="267"/>
      <c r="E9" s="268"/>
    </row>
    <row r="10" spans="1:5">
      <c r="A10" s="42" t="s">
        <v>5</v>
      </c>
      <c r="B10" s="187" t="str">
        <f>IF($B$4="","",IFERROR(INDEX('Combined Delivery Data'!$F:$F,MATCH($B$4,'Combined Delivery Data'!$B:$B,0)),""))</f>
        <v/>
      </c>
      <c r="C10" s="267"/>
      <c r="D10" s="267"/>
      <c r="E10" s="268"/>
    </row>
    <row r="11" spans="1:5">
      <c r="A11" s="42" t="s">
        <v>9</v>
      </c>
      <c r="B11" s="187" t="str">
        <f>IF($B$4="","",IFERROR(INDEX('Combined Delivery Data'!$J:$J,MATCH($B$4,'Combined Delivery Data'!$B:$B,0)),""))</f>
        <v/>
      </c>
      <c r="C11" s="267"/>
      <c r="D11" s="267"/>
      <c r="E11" s="268"/>
    </row>
    <row r="12" spans="1:5">
      <c r="A12" s="42" t="s">
        <v>15</v>
      </c>
      <c r="B12" s="187" t="str">
        <f>IF($B$4="","",IFERROR(INDEX('Combined Delivery Data'!$P:$P,MATCH($B$4,'Combined Delivery Data'!$B:$B,0)),""))</f>
        <v/>
      </c>
      <c r="C12" s="267"/>
      <c r="D12" s="267"/>
      <c r="E12" s="268"/>
    </row>
    <row r="13" spans="1:5">
      <c r="A13" s="42" t="s">
        <v>20</v>
      </c>
      <c r="B13" s="187" t="str">
        <f>IF($B$4="","",IFERROR(INDEX('Combined Delivery Data'!$U:$U,MATCH($B$4,'Combined Delivery Data'!$B:$B,0)),""))</f>
        <v/>
      </c>
      <c r="C13" s="267"/>
      <c r="D13" s="267"/>
      <c r="E13" s="268"/>
    </row>
    <row r="14" spans="1:5">
      <c r="A14" s="42" t="s">
        <v>339</v>
      </c>
      <c r="B14" s="186" t="str">
        <f>IF($B$4="","",IFERROR(INDEX('Combined Delivery Data'!$K:$K,MATCH($B$4,'Combined Delivery Data'!$B:$B,0)),""))</f>
        <v/>
      </c>
      <c r="C14" s="267"/>
      <c r="D14" s="267"/>
      <c r="E14" s="268"/>
    </row>
    <row r="15" spans="1:5">
      <c r="A15" s="42" t="s">
        <v>340</v>
      </c>
      <c r="B15" s="186" t="str">
        <f>IF($B$4="","",IFERROR(INDEX('Combined Delivery Data'!$L:$L,MATCH($B$4,'Combined Delivery Data'!$B:$B,0)),""))</f>
        <v/>
      </c>
      <c r="C15" s="267"/>
      <c r="D15" s="267"/>
      <c r="E15" s="268"/>
    </row>
    <row r="16" spans="1:5">
      <c r="A16" s="42" t="s">
        <v>341</v>
      </c>
      <c r="B16" s="186" t="str">
        <f>IF($B$4="","",IFERROR(INDEX('Combined Delivery Data'!$M:$M,MATCH($B$4,'Combined Delivery Data'!$B:$B,0)),""))</f>
        <v/>
      </c>
      <c r="C16" s="267"/>
      <c r="D16" s="267"/>
      <c r="E16" s="268"/>
    </row>
    <row r="17" spans="1:5">
      <c r="A17" s="42" t="s">
        <v>342</v>
      </c>
      <c r="B17" s="186" t="str">
        <f>IF($B$4="","",IFERROR(INDEX('Combined Delivery Data'!$O:$O,MATCH($B$4,'Combined Delivery Data'!$B:$B,0)),""))</f>
        <v/>
      </c>
      <c r="C17" s="267"/>
      <c r="D17" s="267"/>
      <c r="E17" s="268"/>
    </row>
    <row r="18" spans="1:5">
      <c r="A18" s="42" t="s">
        <v>343</v>
      </c>
      <c r="B18" s="186" t="str">
        <f>IF($B$4="","",IFERROR(INDEX('Combined Delivery Data'!$Q:$Q,MATCH($B$4,'Combined Delivery Data'!$B:$B,0)),""))</f>
        <v/>
      </c>
      <c r="C18" s="267"/>
      <c r="D18" s="267"/>
      <c r="E18" s="268"/>
    </row>
    <row r="19" spans="1:5">
      <c r="A19" s="42" t="s">
        <v>344</v>
      </c>
      <c r="B19" s="186" t="str">
        <f>IF($B$4="","",IFERROR(INDEX('Combined Delivery Data'!$R:$R,MATCH($B$4,'Combined Delivery Data'!$B:$B,0)),""))</f>
        <v/>
      </c>
      <c r="C19" s="267"/>
      <c r="D19" s="267"/>
      <c r="E19" s="268"/>
    </row>
    <row r="20" spans="1:5">
      <c r="A20" s="42" t="s">
        <v>345</v>
      </c>
      <c r="B20" s="186" t="str">
        <f>IF($B$4="","",IFERROR(INDEX('Combined Delivery Data'!$S:$S,MATCH($B$4,'Combined Delivery Data'!$B:$B,0)),""))</f>
        <v/>
      </c>
      <c r="C20" s="267"/>
      <c r="D20" s="267"/>
      <c r="E20" s="268"/>
    </row>
    <row r="21" spans="1:5">
      <c r="A21" s="42" t="s">
        <v>29</v>
      </c>
      <c r="B21" s="187" t="str">
        <f>IF($B$4="","",IFERROR(INDEX('Combined Delivery Data'!$T:$T,MATCH($B$4,'Combined Delivery Data'!$B:$B,0)),""))</f>
        <v/>
      </c>
      <c r="C21" s="267"/>
      <c r="D21" s="267"/>
      <c r="E21" s="268"/>
    </row>
    <row r="22" spans="1:5">
      <c r="A22" s="42" t="s">
        <v>31</v>
      </c>
      <c r="B22" s="187" t="str">
        <f>IF($B$4="","",IFERROR(INDEX('Combined Delivery Data'!$V:$V,MATCH($B$4,'Combined Delivery Data'!$B:$B,0)),""))</f>
        <v/>
      </c>
      <c r="C22" s="267"/>
      <c r="D22" s="267"/>
      <c r="E22" s="268"/>
    </row>
    <row r="23" spans="1:5">
      <c r="A23" s="42" t="s">
        <v>32</v>
      </c>
      <c r="B23" s="186" t="str">
        <f>IF($B$4="","",IFERROR(INDEX('Combined Delivery Data'!$W:$W,MATCH($B$4,'Combined Delivery Data'!$B:$B,0)),""))</f>
        <v/>
      </c>
      <c r="C23" s="267"/>
      <c r="D23" s="267"/>
      <c r="E23" s="268"/>
    </row>
    <row r="24" spans="1:5">
      <c r="A24" s="42" t="s">
        <v>35</v>
      </c>
      <c r="B24" s="187" t="str">
        <f>IF($B$4="","",IFERROR(INDEX('Combined Delivery Data'!$X:$X,MATCH($B$4,'Combined Delivery Data'!$B:$B,0)),""))</f>
        <v/>
      </c>
      <c r="C24" s="267"/>
      <c r="D24" s="267"/>
      <c r="E24" s="268"/>
    </row>
    <row r="25" spans="1:5">
      <c r="A25" s="42" t="s">
        <v>36</v>
      </c>
      <c r="B25" s="187" t="str">
        <f>IF($B$4="","",IFERROR(INDEX('Combined Delivery Data'!$Z:$Z,MATCH($B$4,'Combined Delivery Data'!$B:$B,0)),""))</f>
        <v/>
      </c>
      <c r="C25" s="267"/>
      <c r="D25" s="267"/>
      <c r="E25" s="268"/>
    </row>
    <row r="26" spans="1:5">
      <c r="A26" s="42" t="s">
        <v>346</v>
      </c>
      <c r="B26" s="187" t="str">
        <f>IF($B$4="","",IFERROR(INDEX('Rework Log'!$Q:$Q,MATCH($B$4,'Rework Log'!$P:$P,0)),""))</f>
        <v/>
      </c>
      <c r="C26" s="267"/>
      <c r="D26" s="267"/>
      <c r="E26" s="268"/>
    </row>
    <row r="27" spans="1:5">
      <c r="A27" s="42" t="s">
        <v>347</v>
      </c>
      <c r="B27" s="187" t="str">
        <f>IF($B$4="","",IFERROR(INDEX('Rework Log'!$R:$R,MATCH($B$4,'Rework Log'!$P:$P,0)),""))</f>
        <v/>
      </c>
      <c r="C27" s="267"/>
      <c r="D27" s="267"/>
      <c r="E27" s="268"/>
    </row>
    <row r="28" spans="1:5">
      <c r="A28" s="42" t="s">
        <v>348</v>
      </c>
      <c r="B28" s="187" t="str">
        <f>IF($B$4="","",IFERROR(INDEX('Rework Log'!$S:$S,MATCH($B$4,'Rework Log'!$P:$P,0)),""))</f>
        <v/>
      </c>
      <c r="C28" s="267"/>
      <c r="D28" s="267"/>
      <c r="E28" s="268"/>
    </row>
    <row r="29" spans="1:5">
      <c r="A29" s="42" t="s">
        <v>349</v>
      </c>
      <c r="B29" s="187" t="str">
        <f>IF($B$4="","",IFERROR(INDEX('Rework Log'!$T:$T,MATCH($B$4,'Rework Log'!$P:$P,0)),""))</f>
        <v/>
      </c>
      <c r="C29" s="267"/>
      <c r="D29" s="267"/>
      <c r="E29" s="268"/>
    </row>
    <row r="30" spans="1:5" ht="15.6" customHeight="1">
      <c r="A30" s="42"/>
      <c r="B30" s="187"/>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5"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350</v>
      </c>
      <c r="C1" s="17" t="s">
        <v>351</v>
      </c>
      <c r="D1" s="17" t="s">
        <v>352</v>
      </c>
      <c r="E1" s="17" t="s">
        <v>353</v>
      </c>
      <c r="F1" s="17" t="s">
        <v>354</v>
      </c>
      <c r="G1" s="17" t="s">
        <v>355</v>
      </c>
      <c r="H1" s="56" t="s">
        <v>356</v>
      </c>
      <c r="I1" s="30" t="s">
        <v>357</v>
      </c>
      <c r="J1" s="30" t="s">
        <v>358</v>
      </c>
      <c r="K1" s="30" t="s">
        <v>359</v>
      </c>
      <c r="L1" s="30" t="s">
        <v>360</v>
      </c>
      <c r="M1" s="21" t="s">
        <v>361</v>
      </c>
      <c r="N1" s="21" t="s">
        <v>362</v>
      </c>
      <c r="P1" s="13" t="s">
        <v>1</v>
      </c>
      <c r="Q1" s="13" t="s">
        <v>346</v>
      </c>
      <c r="R1" s="13" t="s">
        <v>347</v>
      </c>
      <c r="S1" s="13" t="s">
        <v>348</v>
      </c>
      <c r="T1" s="13" t="s">
        <v>349</v>
      </c>
    </row>
    <row r="2" spans="1:20">
      <c r="A2" s="33" t="s">
        <v>143</v>
      </c>
      <c r="B2" s="36">
        <v>46230</v>
      </c>
      <c r="C2" s="33" t="s">
        <v>219</v>
      </c>
      <c r="D2" s="33" t="s">
        <v>262</v>
      </c>
      <c r="E2" s="33" t="s">
        <v>144</v>
      </c>
      <c r="F2" s="33" t="s">
        <v>363</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219</v>
      </c>
      <c r="D3" s="31" t="s">
        <v>262</v>
      </c>
      <c r="E3" s="31" t="s">
        <v>144</v>
      </c>
      <c r="F3" s="31" t="s">
        <v>364</v>
      </c>
      <c r="G3" s="31" t="s">
        <v>50</v>
      </c>
      <c r="H3" s="32" t="s">
        <v>155</v>
      </c>
      <c r="I3" s="32"/>
      <c r="J3" s="32">
        <v>46247</v>
      </c>
      <c r="K3" s="31" t="s">
        <v>60</v>
      </c>
      <c r="L3" s="31" t="s">
        <v>365</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219</v>
      </c>
      <c r="D4" s="31" t="s">
        <v>262</v>
      </c>
      <c r="E4" s="31" t="s">
        <v>129</v>
      </c>
      <c r="F4" s="31" t="s">
        <v>366</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219</v>
      </c>
      <c r="D5" s="31" t="s">
        <v>262</v>
      </c>
      <c r="E5" s="31" t="s">
        <v>129</v>
      </c>
      <c r="F5" s="31" t="s">
        <v>367</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219</v>
      </c>
      <c r="D6" s="31" t="s">
        <v>262</v>
      </c>
      <c r="E6" s="31" t="s">
        <v>129</v>
      </c>
      <c r="F6" s="31" t="s">
        <v>368</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219</v>
      </c>
      <c r="D7" s="31" t="s">
        <v>262</v>
      </c>
      <c r="E7" s="31" t="s">
        <v>129</v>
      </c>
      <c r="F7" s="31" t="s">
        <v>369</v>
      </c>
      <c r="G7" s="31" t="s">
        <v>50</v>
      </c>
      <c r="H7" s="32" t="s">
        <v>65</v>
      </c>
      <c r="I7" s="32"/>
      <c r="J7" s="32">
        <v>46251</v>
      </c>
      <c r="K7" s="31"/>
      <c r="L7" s="31"/>
      <c r="M7" s="3" t="str">
        <f t="shared" ca="1" si="4"/>
        <v>Fixed</v>
      </c>
      <c r="N7" t="s">
        <v>370</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219</v>
      </c>
      <c r="D8" s="31" t="s">
        <v>262</v>
      </c>
      <c r="E8" s="31" t="s">
        <v>144</v>
      </c>
      <c r="F8" s="31" t="s">
        <v>371</v>
      </c>
      <c r="G8" s="31" t="s">
        <v>50</v>
      </c>
      <c r="H8" s="32" t="s">
        <v>155</v>
      </c>
      <c r="I8" s="32"/>
      <c r="J8" s="32">
        <v>46254</v>
      </c>
      <c r="K8" s="31"/>
      <c r="L8" s="31"/>
      <c r="M8" s="3" t="str">
        <f t="shared" ca="1" si="4"/>
        <v>Fixed</v>
      </c>
      <c r="N8" t="s">
        <v>370</v>
      </c>
      <c r="P8" t="str">
        <f>'Combined Delivery Data'!B11</f>
        <v>RPT_04_SEI Leak Activity</v>
      </c>
      <c r="Q8">
        <f t="shared" si="0"/>
        <v>0</v>
      </c>
      <c r="R8">
        <f t="shared" si="1"/>
        <v>0</v>
      </c>
      <c r="S8" s="28" t="str">
        <f t="shared" si="2"/>
        <v/>
      </c>
      <c r="T8" t="str">
        <f t="shared" si="3"/>
        <v/>
      </c>
    </row>
    <row r="9" spans="1:20">
      <c r="A9" s="31" t="s">
        <v>143</v>
      </c>
      <c r="B9" s="32">
        <v>46237</v>
      </c>
      <c r="C9" s="31" t="s">
        <v>219</v>
      </c>
      <c r="D9" s="31" t="s">
        <v>262</v>
      </c>
      <c r="E9" s="31" t="s">
        <v>144</v>
      </c>
      <c r="F9" s="31" t="s">
        <v>364</v>
      </c>
      <c r="G9" s="31" t="s">
        <v>50</v>
      </c>
      <c r="H9" s="32" t="s">
        <v>84</v>
      </c>
      <c r="I9" s="32"/>
      <c r="J9" s="32">
        <v>46252</v>
      </c>
      <c r="K9" s="31"/>
      <c r="L9" s="31"/>
      <c r="M9" s="3" t="str">
        <f t="shared" ca="1" si="4"/>
        <v>Fixed</v>
      </c>
      <c r="N9" t="s">
        <v>370</v>
      </c>
      <c r="P9" t="str">
        <f>'Combined Delivery Data'!B12</f>
        <v>RPT_04_CMS Leak Productivity</v>
      </c>
      <c r="Q9">
        <f t="shared" si="0"/>
        <v>0</v>
      </c>
      <c r="R9">
        <f t="shared" si="1"/>
        <v>0</v>
      </c>
      <c r="S9" s="28" t="str">
        <f t="shared" si="2"/>
        <v/>
      </c>
      <c r="T9" t="str">
        <f t="shared" si="3"/>
        <v/>
      </c>
    </row>
    <row r="10" spans="1:20">
      <c r="A10" s="53" t="s">
        <v>135</v>
      </c>
      <c r="B10" s="32">
        <v>46254</v>
      </c>
      <c r="C10" s="31" t="s">
        <v>219</v>
      </c>
      <c r="D10" s="31" t="s">
        <v>262</v>
      </c>
      <c r="E10" s="31" t="s">
        <v>129</v>
      </c>
      <c r="F10" s="31" t="s">
        <v>366</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219</v>
      </c>
      <c r="D11" s="31" t="s">
        <v>262</v>
      </c>
      <c r="E11" s="31" t="s">
        <v>144</v>
      </c>
      <c r="F11" s="31" t="s">
        <v>372</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373</v>
      </c>
      <c r="P11" t="str">
        <f>'Combined Delivery Data'!B14</f>
        <v>RPT_04_Leak Summary Status</v>
      </c>
      <c r="Q11">
        <f t="shared" si="0"/>
        <v>0</v>
      </c>
      <c r="R11">
        <f t="shared" si="1"/>
        <v>0</v>
      </c>
      <c r="S11" s="28" t="str">
        <f t="shared" si="2"/>
        <v/>
      </c>
      <c r="T11" t="str">
        <f t="shared" si="3"/>
        <v/>
      </c>
    </row>
    <row r="12" spans="1:20">
      <c r="A12" s="53" t="s">
        <v>139</v>
      </c>
      <c r="B12" s="32">
        <v>46258</v>
      </c>
      <c r="C12" s="31" t="s">
        <v>219</v>
      </c>
      <c r="D12" s="31" t="s">
        <v>262</v>
      </c>
      <c r="E12" s="31" t="s">
        <v>129</v>
      </c>
      <c r="F12" s="31" t="s">
        <v>374</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219</v>
      </c>
      <c r="D13" s="31" t="s">
        <v>204</v>
      </c>
      <c r="E13" s="31" t="s">
        <v>144</v>
      </c>
      <c r="F13" s="31" t="s">
        <v>375</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219</v>
      </c>
      <c r="D14" s="31" t="s">
        <v>204</v>
      </c>
      <c r="E14" s="31" t="s">
        <v>144</v>
      </c>
      <c r="F14" s="31" t="s">
        <v>376</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219</v>
      </c>
      <c r="D15" s="31" t="s">
        <v>262</v>
      </c>
      <c r="E15" s="31" t="s">
        <v>144</v>
      </c>
      <c r="F15" s="31" t="s">
        <v>377</v>
      </c>
      <c r="G15" s="31" t="s">
        <v>50</v>
      </c>
      <c r="H15" s="32" t="s">
        <v>65</v>
      </c>
      <c r="I15" s="32"/>
      <c r="J15" s="32">
        <v>46258</v>
      </c>
      <c r="K15" s="31"/>
      <c r="L15" s="31"/>
      <c r="M15" s="3" t="str">
        <f t="shared" ca="1" si="4"/>
        <v>Fixed</v>
      </c>
      <c r="N15" t="s">
        <v>373</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219</v>
      </c>
      <c r="D16" s="31" t="s">
        <v>204</v>
      </c>
      <c r="E16" s="31" t="s">
        <v>144</v>
      </c>
      <c r="F16" s="31" t="s">
        <v>378</v>
      </c>
      <c r="G16" s="31" t="s">
        <v>50</v>
      </c>
      <c r="H16" s="32" t="s">
        <v>46</v>
      </c>
      <c r="I16" s="32"/>
      <c r="J16" s="32"/>
      <c r="K16" s="31"/>
      <c r="L16" s="31"/>
      <c r="M16" s="3"/>
      <c r="S16" s="28"/>
    </row>
    <row r="17" spans="1:20">
      <c r="A17" s="33" t="s">
        <v>181</v>
      </c>
      <c r="B17" s="32">
        <v>46261</v>
      </c>
      <c r="C17" s="31" t="s">
        <v>219</v>
      </c>
      <c r="D17" s="31" t="s">
        <v>262</v>
      </c>
      <c r="E17" s="31" t="s">
        <v>129</v>
      </c>
      <c r="F17" s="31" t="s">
        <v>379</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219</v>
      </c>
      <c r="D18" s="31" t="s">
        <v>204</v>
      </c>
      <c r="E18" s="31" t="s">
        <v>144</v>
      </c>
      <c r="F18" s="31" t="s">
        <v>380</v>
      </c>
      <c r="G18" s="31" t="s">
        <v>50</v>
      </c>
      <c r="H18" s="32" t="s">
        <v>46</v>
      </c>
      <c r="I18" s="32"/>
      <c r="J18" s="32">
        <v>46266</v>
      </c>
      <c r="K18" s="31"/>
      <c r="L18" s="31"/>
      <c r="M18" s="3" t="str">
        <f t="shared" ca="1" si="4"/>
        <v>Fixed</v>
      </c>
      <c r="N18" t="s">
        <v>370</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219</v>
      </c>
      <c r="D19" s="31" t="s">
        <v>204</v>
      </c>
      <c r="E19" s="31" t="s">
        <v>47</v>
      </c>
      <c r="F19" s="31" t="s">
        <v>381</v>
      </c>
      <c r="G19" s="31" t="s">
        <v>50</v>
      </c>
      <c r="H19" s="32" t="s">
        <v>77</v>
      </c>
      <c r="I19" s="32">
        <v>46265</v>
      </c>
      <c r="J19" s="32">
        <v>46265</v>
      </c>
      <c r="K19" s="31" t="s">
        <v>77</v>
      </c>
      <c r="L19" s="31" t="s">
        <v>382</v>
      </c>
      <c r="M19" s="3" t="str">
        <f t="shared" ca="1" si="4"/>
        <v>Fixed</v>
      </c>
      <c r="N19" t="s">
        <v>373</v>
      </c>
      <c r="P19" t="str">
        <f>'Combined Delivery Data'!B14</f>
        <v>RPT_04_Leak Summary Status</v>
      </c>
      <c r="Q19">
        <f t="shared" si="5"/>
        <v>0</v>
      </c>
      <c r="R19">
        <f t="shared" si="6"/>
        <v>0</v>
      </c>
      <c r="S19" s="28" t="str">
        <f t="shared" si="7"/>
        <v/>
      </c>
      <c r="T19" t="str">
        <f t="shared" si="8"/>
        <v/>
      </c>
    </row>
    <row r="20" spans="1:20">
      <c r="A20" s="31" t="s">
        <v>175</v>
      </c>
      <c r="B20" s="32">
        <v>46265</v>
      </c>
      <c r="C20" s="31" t="s">
        <v>219</v>
      </c>
      <c r="D20" s="31" t="s">
        <v>262</v>
      </c>
      <c r="E20" s="31" t="s">
        <v>47</v>
      </c>
      <c r="F20" s="31" t="s">
        <v>383</v>
      </c>
      <c r="G20" s="31" t="s">
        <v>50</v>
      </c>
      <c r="H20" s="32" t="s">
        <v>84</v>
      </c>
      <c r="I20" s="32">
        <v>46266</v>
      </c>
      <c r="J20" s="32">
        <v>46266</v>
      </c>
      <c r="K20" s="31"/>
      <c r="L20" s="31" t="s">
        <v>384</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219</v>
      </c>
      <c r="D21" s="31" t="s">
        <v>262</v>
      </c>
      <c r="E21" s="31" t="s">
        <v>129</v>
      </c>
      <c r="F21" s="31" t="s">
        <v>385</v>
      </c>
      <c r="G21" s="31" t="s">
        <v>50</v>
      </c>
      <c r="H21" s="32" t="s">
        <v>59</v>
      </c>
      <c r="I21" s="32"/>
      <c r="J21" s="32">
        <v>46266</v>
      </c>
      <c r="K21" s="31" t="s">
        <v>59</v>
      </c>
      <c r="L21" s="31"/>
      <c r="M21" s="3" t="str">
        <f t="shared" ca="1" si="4"/>
        <v>Fixed</v>
      </c>
      <c r="N21" t="s">
        <v>373</v>
      </c>
      <c r="P21" t="str">
        <f>'Combined Delivery Data'!B21</f>
        <v>RPT_04_Leak Life Cycle</v>
      </c>
      <c r="Q21">
        <f t="shared" si="5"/>
        <v>0</v>
      </c>
      <c r="R21">
        <f t="shared" si="6"/>
        <v>0</v>
      </c>
      <c r="S21" s="28" t="str">
        <f t="shared" si="7"/>
        <v/>
      </c>
      <c r="T21" t="str">
        <f t="shared" si="8"/>
        <v/>
      </c>
    </row>
    <row r="22" spans="1:20">
      <c r="A22" s="31" t="s">
        <v>169</v>
      </c>
      <c r="B22" s="32">
        <v>46266</v>
      </c>
      <c r="C22" s="31" t="s">
        <v>219</v>
      </c>
      <c r="D22" s="31" t="s">
        <v>204</v>
      </c>
      <c r="E22" s="31" t="s">
        <v>47</v>
      </c>
      <c r="F22" s="31" t="s">
        <v>386</v>
      </c>
      <c r="G22" s="31" t="s">
        <v>50</v>
      </c>
      <c r="H22" s="32" t="s">
        <v>46</v>
      </c>
      <c r="I22" s="32">
        <v>46267</v>
      </c>
      <c r="J22" s="32">
        <v>46268</v>
      </c>
      <c r="K22" s="31" t="s">
        <v>46</v>
      </c>
      <c r="L22" s="31" t="s">
        <v>384</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219</v>
      </c>
      <c r="D23" s="31" t="s">
        <v>204</v>
      </c>
      <c r="E23" s="31" t="s">
        <v>47</v>
      </c>
      <c r="F23" s="31" t="s">
        <v>387</v>
      </c>
      <c r="G23" s="31" t="s">
        <v>50</v>
      </c>
      <c r="H23" s="32" t="s">
        <v>46</v>
      </c>
      <c r="I23" s="138">
        <v>46267</v>
      </c>
      <c r="J23" s="32">
        <v>46268</v>
      </c>
      <c r="K23" s="31" t="s">
        <v>46</v>
      </c>
      <c r="L23" s="31" t="s">
        <v>384</v>
      </c>
      <c r="M23" s="3" t="str">
        <f t="shared" ca="1" si="4"/>
        <v>Fixed</v>
      </c>
      <c r="N23" t="s">
        <v>373</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219</v>
      </c>
      <c r="D24" s="31" t="s">
        <v>204</v>
      </c>
      <c r="E24" s="31" t="s">
        <v>47</v>
      </c>
      <c r="F24" s="76" t="s">
        <v>388</v>
      </c>
      <c r="G24" s="31" t="s">
        <v>50</v>
      </c>
      <c r="H24" s="32" t="s">
        <v>46</v>
      </c>
      <c r="I24" s="32">
        <v>46267</v>
      </c>
      <c r="J24" s="32">
        <v>46268</v>
      </c>
      <c r="K24" s="31" t="s">
        <v>46</v>
      </c>
      <c r="L24" s="31" t="s">
        <v>384</v>
      </c>
      <c r="M24" s="3" t="str">
        <f t="shared" ca="1" si="4"/>
        <v>Fixed</v>
      </c>
      <c r="N24" s="33" t="s">
        <v>373</v>
      </c>
      <c r="P24" t="str">
        <f>'Combined Delivery Data'!B24</f>
        <v>Leak 360 Dashboard</v>
      </c>
      <c r="Q24">
        <f t="shared" si="5"/>
        <v>0</v>
      </c>
      <c r="R24">
        <f t="shared" si="6"/>
        <v>0</v>
      </c>
      <c r="S24" s="28" t="str">
        <f t="shared" si="7"/>
        <v/>
      </c>
      <c r="T24" t="str">
        <f t="shared" si="8"/>
        <v/>
      </c>
    </row>
    <row r="25" spans="1:20">
      <c r="A25" s="53" t="s">
        <v>186</v>
      </c>
      <c r="B25" s="32">
        <v>46267</v>
      </c>
      <c r="C25" s="31" t="s">
        <v>219</v>
      </c>
      <c r="D25" s="31" t="s">
        <v>204</v>
      </c>
      <c r="E25" s="31" t="s">
        <v>129</v>
      </c>
      <c r="F25" s="31" t="s">
        <v>389</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219</v>
      </c>
      <c r="D26" s="31" t="s">
        <v>262</v>
      </c>
      <c r="E26" s="31" t="s">
        <v>129</v>
      </c>
      <c r="F26" s="31" t="s">
        <v>379</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373</v>
      </c>
      <c r="P26" t="str">
        <f>'Combined Delivery Data'!B26</f>
        <v>RPT_04_Main_Replacement Report</v>
      </c>
      <c r="Q26">
        <f t="shared" si="5"/>
        <v>0</v>
      </c>
      <c r="R26">
        <f t="shared" si="6"/>
        <v>0</v>
      </c>
      <c r="S26" s="28" t="str">
        <f t="shared" si="7"/>
        <v/>
      </c>
      <c r="T26" t="str">
        <f t="shared" si="8"/>
        <v/>
      </c>
    </row>
    <row r="27" spans="1:20">
      <c r="A27" s="31" t="s">
        <v>156</v>
      </c>
      <c r="B27" s="32">
        <v>46267</v>
      </c>
      <c r="C27" s="31" t="s">
        <v>219</v>
      </c>
      <c r="D27" s="31" t="s">
        <v>204</v>
      </c>
      <c r="E27" s="31" t="s">
        <v>144</v>
      </c>
      <c r="F27" s="31" t="s">
        <v>390</v>
      </c>
      <c r="G27" s="31" t="s">
        <v>50</v>
      </c>
      <c r="H27" s="32" t="s">
        <v>77</v>
      </c>
      <c r="I27" s="32"/>
      <c r="J27" s="32">
        <v>46267</v>
      </c>
      <c r="K27" s="31" t="s">
        <v>77</v>
      </c>
      <c r="L27" s="31" t="s">
        <v>391</v>
      </c>
      <c r="M27" s="3" t="str">
        <f t="shared" ca="1" si="4"/>
        <v>Fixed</v>
      </c>
      <c r="N27" t="s">
        <v>373</v>
      </c>
      <c r="P27" t="str">
        <f>'Combined Delivery Data'!B27</f>
        <v>New Report: Leak Repair Exception</v>
      </c>
      <c r="Q27">
        <f t="shared" si="5"/>
        <v>0</v>
      </c>
      <c r="R27">
        <f t="shared" si="6"/>
        <v>0</v>
      </c>
      <c r="S27" s="28" t="str">
        <f t="shared" si="7"/>
        <v/>
      </c>
      <c r="T27" t="str">
        <f t="shared" si="8"/>
        <v/>
      </c>
    </row>
    <row r="28" spans="1:20">
      <c r="A28" s="31" t="s">
        <v>137</v>
      </c>
      <c r="B28" s="32">
        <v>46267</v>
      </c>
      <c r="C28" s="31" t="s">
        <v>219</v>
      </c>
      <c r="D28" s="31" t="s">
        <v>204</v>
      </c>
      <c r="E28" s="31" t="s">
        <v>129</v>
      </c>
      <c r="F28" s="31" t="s">
        <v>390</v>
      </c>
      <c r="G28" s="31" t="s">
        <v>50</v>
      </c>
      <c r="H28" s="32" t="s">
        <v>77</v>
      </c>
      <c r="I28" s="32"/>
      <c r="J28" s="32">
        <v>46267</v>
      </c>
      <c r="K28" s="31" t="s">
        <v>77</v>
      </c>
      <c r="L28" s="113" t="s">
        <v>391</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219</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219</v>
      </c>
      <c r="D30" s="31" t="s">
        <v>262</v>
      </c>
      <c r="E30" s="31" t="s">
        <v>129</v>
      </c>
      <c r="F30" s="31" t="s">
        <v>392</v>
      </c>
      <c r="G30" s="31" t="s">
        <v>50</v>
      </c>
      <c r="H30" s="32" t="s">
        <v>155</v>
      </c>
      <c r="I30" s="32"/>
      <c r="J30" s="32">
        <v>46267</v>
      </c>
      <c r="K30" s="31" t="s">
        <v>155</v>
      </c>
      <c r="L30" s="31"/>
      <c r="M30" s="3" t="str">
        <f t="shared" ca="1" si="4"/>
        <v>Fixed</v>
      </c>
      <c r="N30" t="s">
        <v>373</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219</v>
      </c>
      <c r="D31" s="31" t="s">
        <v>262</v>
      </c>
      <c r="E31" s="31" t="s">
        <v>47</v>
      </c>
      <c r="F31" s="31" t="s">
        <v>393</v>
      </c>
      <c r="G31" s="31" t="s">
        <v>50</v>
      </c>
      <c r="H31" s="32" t="s">
        <v>103</v>
      </c>
      <c r="I31" s="32">
        <v>46269</v>
      </c>
      <c r="J31" s="32">
        <v>46269</v>
      </c>
      <c r="K31" s="31"/>
      <c r="L31" s="31" t="s">
        <v>384</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219</v>
      </c>
      <c r="D32" s="31" t="s">
        <v>262</v>
      </c>
      <c r="E32" s="31" t="s">
        <v>199</v>
      </c>
      <c r="F32" s="31" t="s">
        <v>394</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219</v>
      </c>
      <c r="D33" s="31" t="s">
        <v>262</v>
      </c>
      <c r="E33" s="31" t="s">
        <v>47</v>
      </c>
      <c r="F33" s="31" t="s">
        <v>395</v>
      </c>
      <c r="G33" s="31" t="s">
        <v>50</v>
      </c>
      <c r="H33" s="32" t="s">
        <v>103</v>
      </c>
      <c r="I33" s="32">
        <v>46274</v>
      </c>
      <c r="J33" s="32">
        <v>46274</v>
      </c>
      <c r="K33" s="31"/>
      <c r="L33" s="31" t="s">
        <v>384</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219</v>
      </c>
      <c r="D34" s="31" t="s">
        <v>204</v>
      </c>
      <c r="E34" s="31" t="s">
        <v>47</v>
      </c>
      <c r="F34" s="76" t="s">
        <v>396</v>
      </c>
      <c r="G34" s="31" t="s">
        <v>50</v>
      </c>
      <c r="H34" s="32" t="s">
        <v>77</v>
      </c>
      <c r="I34" s="32">
        <v>46275</v>
      </c>
      <c r="J34" s="32">
        <v>46275</v>
      </c>
      <c r="K34" s="31" t="s">
        <v>77</v>
      </c>
      <c r="L34" s="31" t="s">
        <v>397</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219</v>
      </c>
      <c r="D35" s="31" t="s">
        <v>262</v>
      </c>
      <c r="E35" s="31" t="s">
        <v>129</v>
      </c>
      <c r="F35" s="31" t="s">
        <v>398</v>
      </c>
      <c r="G35" s="31" t="s">
        <v>50</v>
      </c>
      <c r="H35" s="32" t="s">
        <v>155</v>
      </c>
      <c r="I35" s="32"/>
      <c r="J35" s="32">
        <v>46276</v>
      </c>
      <c r="K35" s="31" t="s">
        <v>155</v>
      </c>
      <c r="L35" s="31"/>
      <c r="M35" s="3" t="str">
        <f t="shared" ca="1" si="4"/>
        <v>Fixed</v>
      </c>
      <c r="N35" t="s">
        <v>373</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219</v>
      </c>
      <c r="D36" s="31" t="s">
        <v>262</v>
      </c>
      <c r="E36" s="31" t="s">
        <v>129</v>
      </c>
      <c r="F36" s="31" t="s">
        <v>399</v>
      </c>
      <c r="G36" s="31" t="s">
        <v>53</v>
      </c>
      <c r="H36" s="32" t="s">
        <v>65</v>
      </c>
      <c r="I36" s="32"/>
      <c r="J36" s="32">
        <v>46288</v>
      </c>
      <c r="K36" s="31"/>
      <c r="L36" s="31"/>
      <c r="M36" s="3" t="str">
        <f t="shared" ca="1" si="4"/>
        <v>Fixed</v>
      </c>
      <c r="N36" t="s">
        <v>373</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219</v>
      </c>
      <c r="D37" s="31" t="s">
        <v>262</v>
      </c>
      <c r="E37" s="31" t="s">
        <v>129</v>
      </c>
      <c r="F37" s="31" t="s">
        <v>400</v>
      </c>
      <c r="G37" s="31" t="s">
        <v>50</v>
      </c>
      <c r="H37" s="32" t="s">
        <v>155</v>
      </c>
      <c r="I37" s="32">
        <v>46282</v>
      </c>
      <c r="J37" s="32">
        <v>46282</v>
      </c>
      <c r="K37" s="31" t="s">
        <v>155</v>
      </c>
      <c r="L37" s="31" t="s">
        <v>401</v>
      </c>
      <c r="M37" s="3" t="str">
        <f t="shared" ca="1" si="4"/>
        <v>Fixed</v>
      </c>
      <c r="N37" t="s">
        <v>373</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219</v>
      </c>
      <c r="D38" s="31" t="s">
        <v>204</v>
      </c>
      <c r="E38" s="31" t="s">
        <v>144</v>
      </c>
      <c r="F38" s="31" t="s">
        <v>402</v>
      </c>
      <c r="G38" s="31" t="s">
        <v>50</v>
      </c>
      <c r="H38" s="32" t="s">
        <v>77</v>
      </c>
      <c r="I38" s="32">
        <v>46281</v>
      </c>
      <c r="J38" s="32">
        <v>46281</v>
      </c>
      <c r="K38" s="31" t="s">
        <v>77</v>
      </c>
      <c r="L38" s="31" t="s">
        <v>403</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207</v>
      </c>
      <c r="B39" s="32">
        <v>46280</v>
      </c>
      <c r="C39" s="31" t="s">
        <v>219</v>
      </c>
      <c r="D39" s="31" t="s">
        <v>262</v>
      </c>
      <c r="E39" s="31" t="s">
        <v>47</v>
      </c>
      <c r="F39" s="31" t="s">
        <v>404</v>
      </c>
      <c r="G39" s="31" t="s">
        <v>50</v>
      </c>
      <c r="H39" s="32" t="s">
        <v>44</v>
      </c>
      <c r="I39" s="32">
        <v>46283</v>
      </c>
      <c r="J39" s="32">
        <v>46283</v>
      </c>
      <c r="K39" s="31"/>
      <c r="L39" s="31" t="s">
        <v>405</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202</v>
      </c>
      <c r="B40" s="32">
        <v>46281</v>
      </c>
      <c r="C40" s="31" t="s">
        <v>219</v>
      </c>
      <c r="D40" s="31" t="s">
        <v>204</v>
      </c>
      <c r="E40" s="31" t="s">
        <v>199</v>
      </c>
      <c r="F40" s="31" t="s">
        <v>406</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209</v>
      </c>
      <c r="B41" s="32">
        <v>46282</v>
      </c>
      <c r="C41" s="31" t="s">
        <v>219</v>
      </c>
      <c r="D41" s="31" t="s">
        <v>262</v>
      </c>
      <c r="E41" s="31" t="s">
        <v>47</v>
      </c>
      <c r="F41" s="31" t="s">
        <v>407</v>
      </c>
      <c r="G41" s="31" t="s">
        <v>50</v>
      </c>
      <c r="H41" s="32" t="s">
        <v>155</v>
      </c>
      <c r="I41" s="32">
        <v>46282</v>
      </c>
      <c r="J41" s="32">
        <v>46282</v>
      </c>
      <c r="K41" s="31"/>
      <c r="L41" s="31" t="s">
        <v>408</v>
      </c>
      <c r="M41" s="3" t="str">
        <f t="shared" ca="1" si="4"/>
        <v>Fixed</v>
      </c>
      <c r="P41" t="str">
        <f>'Combined Delivery Data'!B42</f>
        <v>RPT_02_GRO Monitor</v>
      </c>
      <c r="Q41">
        <f t="shared" si="5"/>
        <v>0</v>
      </c>
      <c r="R41">
        <f t="shared" si="6"/>
        <v>0</v>
      </c>
      <c r="S41" s="28" t="str">
        <f t="shared" si="7"/>
        <v/>
      </c>
      <c r="T41" t="str">
        <f t="shared" si="8"/>
        <v/>
      </c>
    </row>
    <row r="42" spans="1:20">
      <c r="A42" s="33" t="s">
        <v>211</v>
      </c>
      <c r="B42" s="32">
        <v>46287</v>
      </c>
      <c r="C42" s="31" t="s">
        <v>219</v>
      </c>
      <c r="D42" s="31" t="s">
        <v>262</v>
      </c>
      <c r="E42" s="31" t="s">
        <v>129</v>
      </c>
      <c r="F42" s="31" t="s">
        <v>409</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182</v>
      </c>
      <c r="D43" s="31" t="s">
        <v>204</v>
      </c>
      <c r="E43" s="31" t="s">
        <v>144</v>
      </c>
      <c r="F43" s="31" t="s">
        <v>410</v>
      </c>
      <c r="G43" s="31" t="s">
        <v>50</v>
      </c>
      <c r="H43" s="32" t="s">
        <v>60</v>
      </c>
      <c r="I43" s="32">
        <v>46294</v>
      </c>
      <c r="J43" s="32">
        <v>46295</v>
      </c>
      <c r="K43" s="31" t="s">
        <v>60</v>
      </c>
      <c r="L43" s="31" t="s">
        <v>411</v>
      </c>
      <c r="M43" s="3" t="str">
        <f t="shared" ca="1" si="4"/>
        <v>Fixed</v>
      </c>
      <c r="N43" t="s">
        <v>373</v>
      </c>
      <c r="P43" t="str">
        <f>'Combined Delivery Data'!B44</f>
        <v>RPT_02_Investigate Wall Check and Service Check</v>
      </c>
      <c r="Q43">
        <f t="shared" si="5"/>
        <v>3</v>
      </c>
      <c r="R43">
        <f t="shared" si="6"/>
        <v>0</v>
      </c>
      <c r="S43" s="28">
        <f t="shared" si="7"/>
        <v>46267</v>
      </c>
      <c r="T43" t="str">
        <f t="shared" si="8"/>
        <v>QA -&gt; PBI Dev</v>
      </c>
    </row>
    <row r="44" spans="1:20">
      <c r="A44" s="33" t="s">
        <v>223</v>
      </c>
      <c r="B44" s="32">
        <v>46295</v>
      </c>
      <c r="C44" s="31" t="s">
        <v>219</v>
      </c>
      <c r="D44" s="31" t="s">
        <v>262</v>
      </c>
      <c r="E44" s="31" t="s">
        <v>129</v>
      </c>
      <c r="F44" s="31" t="s">
        <v>412</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216</v>
      </c>
      <c r="B45" s="32">
        <v>46297</v>
      </c>
      <c r="C45" s="31" t="s">
        <v>219</v>
      </c>
      <c r="D45" s="31" t="s">
        <v>262</v>
      </c>
      <c r="E45" s="31" t="s">
        <v>199</v>
      </c>
      <c r="F45" s="31" t="s">
        <v>413</v>
      </c>
      <c r="G45" s="31" t="s">
        <v>50</v>
      </c>
      <c r="H45" s="32" t="s">
        <v>84</v>
      </c>
      <c r="I45" s="32"/>
      <c r="J45" s="32">
        <v>46300</v>
      </c>
      <c r="K45" s="31" t="s">
        <v>84</v>
      </c>
      <c r="L45" s="31"/>
      <c r="M45" s="3" t="s">
        <v>414</v>
      </c>
      <c r="N45" t="s">
        <v>50</v>
      </c>
      <c r="S45" s="28"/>
    </row>
    <row r="46" spans="1:20">
      <c r="A46" s="31"/>
      <c r="B46" s="32"/>
      <c r="C46" s="31" t="s">
        <v>219</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219</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219</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219</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219</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219</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219</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219</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219</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219</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219</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219</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219</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219</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219</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219</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219</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219</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219</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219</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219</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219</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219</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219</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219</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219</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219</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219</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219</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219</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219</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219</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219</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219</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219</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219</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219</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219</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219</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219</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219</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219</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219</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219</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219</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219</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219</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219</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219</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219</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219</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219</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219</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219</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219</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219</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219</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219</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219</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219</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219</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219</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219</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219</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219</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219</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219</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219</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219</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219</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219</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219</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219</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219</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219</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219</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219</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219</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219</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219</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219</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219</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219</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219</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219</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219</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219</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219</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219</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219</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219</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219</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219</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219</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219</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219</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219</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219</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219</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219</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219</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219</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219</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219</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219</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219</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219</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219</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219</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219</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219</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219</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219</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219</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219</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219</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219</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219</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219</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219</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219</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219</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219</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219</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219</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219</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219</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219</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219</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219</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219</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219</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219</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219</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219</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219</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219</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219</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219</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219</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219</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219</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219</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219</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219</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219</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219</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219</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219</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415</v>
      </c>
      <c r="B1" s="266"/>
      <c r="C1" s="266"/>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310</v>
      </c>
      <c r="B14" s="11">
        <v>9</v>
      </c>
      <c r="C14" s="12">
        <v>46387</v>
      </c>
    </row>
    <row r="15" spans="1:8" ht="14.25" customHeight="1">
      <c r="A15" s="11" t="s">
        <v>301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432</v>
      </c>
      <c r="B1" s="266"/>
      <c r="C1" s="266"/>
      <c r="D1" s="266"/>
      <c r="E1" s="266"/>
      <c r="F1" s="266"/>
      <c r="G1" s="266"/>
      <c r="H1" s="266"/>
      <c r="I1" s="266"/>
      <c r="J1" s="266"/>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438</v>
      </c>
      <c r="D13" s="9" t="s">
        <v>439</v>
      </c>
      <c r="E13" s="9" t="s">
        <v>46</v>
      </c>
      <c r="F13" s="9"/>
      <c r="G13" s="9"/>
      <c r="H13" s="10"/>
      <c r="I13" s="10">
        <v>46115</v>
      </c>
      <c r="J13" s="10">
        <v>46115</v>
      </c>
    </row>
    <row r="14" spans="1:10" ht="14.25" customHeight="1">
      <c r="A14" s="9" t="s">
        <v>40</v>
      </c>
      <c r="B14" s="9" t="s">
        <v>204</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182</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439</v>
      </c>
      <c r="E23" s="9" t="s">
        <v>46</v>
      </c>
      <c r="F23" s="9"/>
      <c r="G23" s="9"/>
      <c r="H23" s="10"/>
      <c r="I23" s="10">
        <v>46115</v>
      </c>
      <c r="J23" s="10">
        <v>46115</v>
      </c>
    </row>
    <row r="24" spans="1:10" ht="14.25" customHeight="1">
      <c r="A24" s="9" t="s">
        <v>40</v>
      </c>
      <c r="B24" s="9" t="s">
        <v>204</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182</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439</v>
      </c>
      <c r="E33" s="9" t="s">
        <v>60</v>
      </c>
      <c r="F33" s="9"/>
      <c r="G33" s="9"/>
      <c r="H33" s="10"/>
      <c r="I33" s="10">
        <v>46122</v>
      </c>
      <c r="J33" s="10">
        <v>46122</v>
      </c>
    </row>
    <row r="34" spans="1:10" ht="14.25" customHeight="1">
      <c r="A34" s="9" t="s">
        <v>40</v>
      </c>
      <c r="B34" s="9" t="s">
        <v>204</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182</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439</v>
      </c>
      <c r="E48" s="9" t="s">
        <v>60</v>
      </c>
      <c r="F48" s="9"/>
      <c r="G48" s="9"/>
      <c r="H48" s="10"/>
      <c r="I48" s="10"/>
      <c r="J48" s="10"/>
    </row>
    <row r="49" spans="1:10" ht="14.25" customHeight="1">
      <c r="A49" s="9" t="s">
        <v>40</v>
      </c>
      <c r="B49" s="9" t="s">
        <v>204</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182</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262</v>
      </c>
      <c r="C53" s="9" t="s">
        <v>98</v>
      </c>
      <c r="D53" s="9" t="s">
        <v>439</v>
      </c>
      <c r="E53" s="9" t="s">
        <v>60</v>
      </c>
      <c r="F53" s="9"/>
      <c r="G53" s="9"/>
      <c r="H53" s="10"/>
      <c r="I53" s="10"/>
      <c r="J53" s="10"/>
    </row>
    <row r="54" spans="1:10" ht="14.25" customHeight="1">
      <c r="A54" s="9" t="s">
        <v>40</v>
      </c>
      <c r="B54" s="9" t="s">
        <v>204</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182</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262</v>
      </c>
      <c r="C58" s="9" t="s">
        <v>99</v>
      </c>
      <c r="D58" s="9" t="s">
        <v>439</v>
      </c>
      <c r="E58" s="9" t="s">
        <v>46</v>
      </c>
      <c r="F58" s="9"/>
      <c r="G58" s="9"/>
      <c r="H58" s="9"/>
      <c r="I58" s="10"/>
      <c r="J58" s="10"/>
    </row>
    <row r="59" spans="1:10" ht="14.25" customHeight="1">
      <c r="A59" s="9" t="s">
        <v>40</v>
      </c>
      <c r="B59" s="9" t="s">
        <v>204</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182</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338</v>
      </c>
      <c r="G1" s="5" t="s">
        <v>441</v>
      </c>
      <c r="H1" s="5" t="s">
        <v>20</v>
      </c>
      <c r="I1" t="s">
        <v>35</v>
      </c>
      <c r="J1" s="5" t="s">
        <v>442</v>
      </c>
      <c r="K1" s="5" t="s">
        <v>182</v>
      </c>
      <c r="L1" s="5" t="s">
        <v>355</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144</v>
      </c>
      <c r="N2" t="s">
        <v>458</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459</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460</v>
      </c>
      <c r="R4" t="s">
        <v>461</v>
      </c>
      <c r="T4" t="s">
        <v>72</v>
      </c>
    </row>
    <row r="5" spans="1:20" ht="15" customHeight="1">
      <c r="A5" t="s">
        <v>430</v>
      </c>
      <c r="B5" t="s">
        <v>439</v>
      </c>
      <c r="C5" t="s">
        <v>77</v>
      </c>
      <c r="F5" t="s">
        <v>204</v>
      </c>
      <c r="G5" t="s">
        <v>439</v>
      </c>
      <c r="H5" t="s">
        <v>129</v>
      </c>
      <c r="I5" t="s">
        <v>253</v>
      </c>
      <c r="J5" t="s">
        <v>219</v>
      </c>
      <c r="L5" t="s">
        <v>462</v>
      </c>
      <c r="M5" t="s">
        <v>88</v>
      </c>
      <c r="N5" t="s">
        <v>463</v>
      </c>
    </row>
    <row r="6" spans="1:20" ht="15" customHeight="1">
      <c r="A6" t="s">
        <v>310</v>
      </c>
      <c r="B6" t="s">
        <v>84</v>
      </c>
      <c r="F6" t="s">
        <v>219</v>
      </c>
      <c r="G6" t="s">
        <v>84</v>
      </c>
      <c r="H6" t="s">
        <v>144</v>
      </c>
      <c r="I6" t="s">
        <v>464</v>
      </c>
      <c r="J6" t="s">
        <v>182</v>
      </c>
      <c r="M6" t="s">
        <v>48</v>
      </c>
      <c r="N6" t="s">
        <v>463</v>
      </c>
    </row>
    <row r="7" spans="1:20" ht="15" customHeight="1">
      <c r="A7" t="s">
        <v>301</v>
      </c>
      <c r="B7" t="s">
        <v>65</v>
      </c>
      <c r="F7" t="s">
        <v>182</v>
      </c>
      <c r="G7" t="s">
        <v>65</v>
      </c>
      <c r="H7" t="s">
        <v>199</v>
      </c>
      <c r="I7" t="s">
        <v>465</v>
      </c>
      <c r="M7" t="s">
        <v>129</v>
      </c>
      <c r="N7" t="s">
        <v>466</v>
      </c>
    </row>
    <row r="8" spans="1:20" ht="15" customHeight="1">
      <c r="B8" t="s">
        <v>76</v>
      </c>
      <c r="F8" t="s">
        <v>128</v>
      </c>
      <c r="G8" t="s">
        <v>76</v>
      </c>
      <c r="I8" t="s">
        <v>171</v>
      </c>
      <c r="M8" t="s">
        <v>60</v>
      </c>
      <c r="N8" t="s">
        <v>467</v>
      </c>
    </row>
    <row r="9" spans="1:20" ht="15" customHeight="1">
      <c r="B9" t="s">
        <v>103</v>
      </c>
      <c r="F9" t="s">
        <v>42</v>
      </c>
      <c r="G9" t="s">
        <v>103</v>
      </c>
      <c r="I9" t="s">
        <v>133</v>
      </c>
      <c r="M9" t="s">
        <v>155</v>
      </c>
      <c r="N9" t="s">
        <v>468</v>
      </c>
    </row>
    <row r="10" spans="1:20" ht="15" customHeight="1">
      <c r="B10" t="s">
        <v>155</v>
      </c>
      <c r="G10" t="s">
        <v>155</v>
      </c>
      <c r="I10" t="s">
        <v>469</v>
      </c>
      <c r="M10" t="s">
        <v>47</v>
      </c>
      <c r="N10" t="s">
        <v>470</v>
      </c>
    </row>
    <row r="11" spans="1:20">
      <c r="B11" t="s">
        <v>471</v>
      </c>
      <c r="G11" t="s">
        <v>60</v>
      </c>
      <c r="M11" t="s">
        <v>76</v>
      </c>
      <c r="N11" t="s">
        <v>472</v>
      </c>
    </row>
    <row r="12" spans="1:20">
      <c r="B12" t="s">
        <v>473</v>
      </c>
      <c r="G12" t="s">
        <v>46</v>
      </c>
      <c r="M12" t="s">
        <v>46</v>
      </c>
      <c r="N12" t="s">
        <v>474</v>
      </c>
    </row>
    <row r="13" spans="1:20">
      <c r="G13" t="s">
        <v>77</v>
      </c>
      <c r="M13" t="s">
        <v>77</v>
      </c>
      <c r="N13" t="s">
        <v>475</v>
      </c>
    </row>
    <row r="14" spans="1:20">
      <c r="M14" t="s">
        <v>84</v>
      </c>
      <c r="N14" t="s">
        <v>476</v>
      </c>
    </row>
    <row r="15" spans="1:20">
      <c r="M15" t="s">
        <v>59</v>
      </c>
      <c r="N15" t="s">
        <v>477</v>
      </c>
    </row>
    <row r="16" spans="1:20">
      <c r="M16" t="s">
        <v>65</v>
      </c>
      <c r="N16" t="s">
        <v>478</v>
      </c>
    </row>
    <row r="17" spans="13:14">
      <c r="M17" t="s">
        <v>439</v>
      </c>
      <c r="N17" t="s">
        <v>478</v>
      </c>
    </row>
    <row r="18" spans="13:14">
      <c r="M18" t="s">
        <v>228</v>
      </c>
      <c r="N18" t="s">
        <v>479</v>
      </c>
    </row>
    <row r="19" spans="13:14">
      <c r="M19" t="s">
        <v>199</v>
      </c>
      <c r="N19" t="s">
        <v>480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481</v>
      </c>
      <c r="C2" s="142"/>
      <c r="D2" s="142"/>
      <c r="E2" s="142"/>
      <c r="F2" s="142"/>
      <c r="G2" s="142"/>
      <c r="H2" s="142"/>
      <c r="I2" s="142"/>
      <c r="J2" s="142"/>
      <c r="K2" s="142"/>
      <c r="L2" s="142"/>
      <c r="M2" s="188" t="str">
        <f ca="1">"As of "&amp;TEXT(TODAY(),"d mmm yyyy")&amp;". Live from Combined Delivery Data."</f>
        <v>As of 7 Oct 2026. Live from Combined Delivery Data.</v>
      </c>
      <c r="N2" s="188"/>
      <c r="O2" s="18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32 of 72</v>
      </c>
      <c r="C5" s="189" t="str">
        <f>IF(C7+E7=0,"No CMS reports are blocked.","reports are blocked. "&amp;C7&amp;" are approved and waiting for a production release, "&amp;E7&amp;" are blocked in build or QA.")</f>
        <v>reports are blocked. 27 are approved and waiting for a production release, 5 are blocked in build or QA.</v>
      </c>
      <c r="D5" s="189"/>
      <c r="E5" s="189"/>
      <c r="F5" s="189"/>
      <c r="G5" s="189"/>
      <c r="H5" s="189"/>
      <c r="I5" s="189"/>
      <c r="J5" s="189"/>
      <c r="K5" s="189"/>
      <c r="L5" s="189"/>
      <c r="M5" s="189"/>
      <c r="N5" s="189"/>
      <c r="O5" s="18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190" cm="1">
        <f t="array" ref="C7">COUNTIFS(cmsDom,"CMS",cmsStatus,"Ready for Release in Prod")</f>
        <v>27</v>
      </c>
      <c r="D7" s="191"/>
      <c r="E7" s="194" cm="1">
        <f t="array" ref="E7">COUNTIFS(cmsDom,"CMS",cmsBlocked,"Yes*",cmsStatus,"&lt;&gt;Ready for Release in Prod",cmsStatus,"&lt;&gt;RELEASED IN PROD")</f>
        <v>5</v>
      </c>
      <c r="F7" s="195"/>
      <c r="G7" s="196" cm="1">
        <f t="array" ref="G7">SUM(COUNTIFS(cmsDom,"CMS",cmsBlocked,"&lt;&gt;Yes*",cmsStatus,{"DB Dev","PBI Dev","QA","DPO Approval"}))</f>
        <v>25</v>
      </c>
      <c r="H7" s="197"/>
      <c r="I7" s="198" cm="1">
        <f t="array" ref="I7">COUNTIFS(cmsDom,"CMS",cmsBlocked,"&lt;&gt;Yes*",cmsStatus,"NOT STARTED")</f>
        <v>14</v>
      </c>
      <c r="J7" s="199"/>
      <c r="K7" s="200" cm="1">
        <f t="array" ref="K7">COUNTIFS(cmsDom,"CMS",cmsStatus,"RELEASED IN PROD")</f>
        <v>1</v>
      </c>
      <c r="L7" s="201"/>
      <c r="M7" s="202" t="s">
        <v>482</v>
      </c>
      <c r="N7" s="203"/>
      <c r="O7" s="204"/>
      <c r="P7" s="142"/>
      <c r="Q7" s="142"/>
      <c r="R7" s="142"/>
      <c r="S7" s="142"/>
      <c r="T7" s="142"/>
      <c r="U7" s="142"/>
      <c r="V7" s="142"/>
      <c r="W7" s="142"/>
      <c r="X7" s="142"/>
      <c r="Y7" s="142"/>
      <c r="Z7" s="142"/>
    </row>
    <row r="8" spans="1:26" ht="30" customHeight="1">
      <c r="A8" s="142"/>
      <c r="B8" s="142"/>
      <c r="C8" s="192" t="s">
        <v>483</v>
      </c>
      <c r="D8" s="193"/>
      <c r="E8" s="192" t="s">
        <v>484</v>
      </c>
      <c r="F8" s="193"/>
      <c r="G8" s="192" t="s">
        <v>485</v>
      </c>
      <c r="H8" s="193"/>
      <c r="I8" s="192" t="s">
        <v>486</v>
      </c>
      <c r="J8" s="193"/>
      <c r="K8" s="192" t="s">
        <v>487</v>
      </c>
      <c r="L8" s="193"/>
      <c r="M8" s="19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193"/>
      <c r="O8" s="20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488</v>
      </c>
      <c r="C10" s="212" t="s">
        <v>489</v>
      </c>
      <c r="D10" s="212"/>
      <c r="E10" s="212"/>
      <c r="F10" s="212"/>
      <c r="G10" s="212"/>
      <c r="H10" s="212"/>
      <c r="I10" s="212"/>
      <c r="J10" s="212"/>
      <c r="K10" s="212"/>
      <c r="L10" s="212"/>
      <c r="M10" s="212"/>
      <c r="N10" s="212"/>
      <c r="O10" s="212"/>
      <c r="P10" s="142"/>
      <c r="Q10" s="142"/>
      <c r="R10" s="142"/>
      <c r="S10" s="142"/>
      <c r="T10" s="142"/>
      <c r="U10" s="142"/>
      <c r="V10" s="142"/>
      <c r="W10" s="142"/>
      <c r="X10" s="142"/>
      <c r="Y10" s="142"/>
      <c r="Z10" s="142"/>
    </row>
    <row r="11" spans="1:26" ht="30" customHeight="1">
      <c r="A11" s="142"/>
      <c r="B11" s="159" t="s">
        <v>490</v>
      </c>
      <c r="C11" s="156" t="s">
        <v>491</v>
      </c>
      <c r="D11" s="156" t="s">
        <v>492</v>
      </c>
      <c r="E11" s="156" t="s">
        <v>182</v>
      </c>
      <c r="F11" s="156" t="s">
        <v>219</v>
      </c>
      <c r="G11" s="156" t="s">
        <v>204</v>
      </c>
      <c r="H11" s="156" t="s">
        <v>262</v>
      </c>
      <c r="I11" s="156" t="s">
        <v>486</v>
      </c>
      <c r="J11" s="156" t="s">
        <v>493</v>
      </c>
      <c r="K11" s="156" t="s">
        <v>494</v>
      </c>
      <c r="L11" s="156" t="s">
        <v>495</v>
      </c>
      <c r="M11" s="213" t="s">
        <v>496</v>
      </c>
      <c r="N11" s="214"/>
      <c r="O11" s="21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16" t="str">
        <f ca="1">IF($K12=0,"",IF($J12=$K12,"Delivered",IF($L12="","No milestone in Dim Table",IF(TODAY()&gt;$L12,TEXT(TODAY()-$L12,"0")&amp;" days past milestone, "&amp;($K12-$J12)&amp;" of "&amp;$K12&amp;" not released",TEXT($L12-TODAY(),"0")&amp;" days to milestone"&amp;IF($D12&gt;0,", "&amp;$D12&amp;" blocked","")))))</f>
        <v>28 days past milestone, 14 of 14 not released</v>
      </c>
      <c r="N12" s="217"/>
      <c r="O12" s="21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10</v>
      </c>
      <c r="D13" s="167" cm="1">
        <f t="array" ref="D13">COUNTIFS(cmsDom,"CMS",cmsMonth,$B13,cmsBlocked,"Yes*",cmsStatus,"&lt;&gt;Ready for Release in Prod",cmsStatus,"&lt;&gt;RELEASED IN PROD")</f>
        <v>0</v>
      </c>
      <c r="E13" s="167" cm="1">
        <f t="array" ref="E13">COUNTIFS(cmsDom,"CMS",cmsMonth,$B13,cmsBlocked,"&lt;&gt;Yes*",cmsStatus,"DPO Approval")</f>
        <v>2</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06" t="str">
        <f ca="1">IF($K13=0,"",IF($J13=$K13,"Delivered",IF($L13="","No milestone in Dim Table",IF(TODAY()&gt;$L13,TEXT(TODAY()-$L13,"0")&amp;" days past milestone, "&amp;($K13-$J13)&amp;" of "&amp;$K13&amp;" not released",TEXT($L13-TODAY(),"0")&amp;" days to milestone"&amp;IF($D13&gt;0,", "&amp;$D13&amp;" blocked","")))))</f>
        <v>7 days past milestone, 12 of 12 not released</v>
      </c>
      <c r="N13" s="207"/>
      <c r="O13" s="208"/>
      <c r="P13" s="142"/>
      <c r="Q13" s="142"/>
      <c r="R13" s="142"/>
      <c r="S13" s="142"/>
      <c r="T13" s="142"/>
      <c r="U13" s="142"/>
      <c r="V13" s="142"/>
      <c r="W13" s="142"/>
      <c r="X13" s="142"/>
      <c r="Y13" s="142"/>
      <c r="Z13" s="142"/>
    </row>
    <row r="14" spans="1:26" ht="21.75" customHeight="1">
      <c r="A14" s="142"/>
      <c r="B14" s="166" t="s">
        <v>193</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06" t="str">
        <f ca="1">IF($K14=0,"",IF($J14=$K14,"Delivered",IF($L14="","No milestone in Dim Table",IF(TODAY()&gt;$L14,TEXT(TODAY()-$L14,"0")&amp;" days past milestone, "&amp;($K14-$J14)&amp;" of "&amp;$K14&amp;" not released",TEXT($L14-TODAY(),"0")&amp;" days to milestone"&amp;IF($D14&gt;0,", "&amp;$D14&amp;" blocked","")))))</f>
        <v>23 days to milestone, 3 blocked</v>
      </c>
      <c r="N14" s="207"/>
      <c r="O14" s="208"/>
      <c r="P14" s="142"/>
      <c r="Q14" s="142"/>
      <c r="R14" s="142"/>
      <c r="S14" s="142"/>
      <c r="T14" s="142"/>
      <c r="U14" s="142"/>
      <c r="V14" s="142"/>
      <c r="W14" s="142"/>
      <c r="X14" s="142"/>
      <c r="Y14" s="142"/>
      <c r="Z14" s="142"/>
    </row>
    <row r="15" spans="1:26" ht="21.75" customHeight="1">
      <c r="A15" s="142"/>
      <c r="B15" s="166" t="s">
        <v>243</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06" t="str">
        <f ca="1">IF($K15=0,"",IF($J15=$K15,"Delivered",IF($L15="","No milestone in Dim Table",IF(TODAY()&gt;$L15,TEXT(TODAY()-$L15,"0")&amp;" days past milestone, "&amp;($K15-$J15)&amp;" of "&amp;$K15&amp;" not released",TEXT($L15-TODAY(),"0")&amp;" days to milestone"&amp;IF($D15&gt;0,", "&amp;$D15&amp;" blocked","")))))</f>
        <v>54 days to milestone, 2 blocked</v>
      </c>
      <c r="N15" s="207"/>
      <c r="O15" s="208"/>
      <c r="P15" s="142"/>
      <c r="Q15" s="142"/>
      <c r="R15" s="142"/>
      <c r="S15" s="142"/>
      <c r="T15" s="142"/>
      <c r="U15" s="142"/>
      <c r="V15" s="142"/>
      <c r="W15" s="142"/>
      <c r="X15" s="142"/>
      <c r="Y15" s="142"/>
      <c r="Z15" s="142"/>
    </row>
    <row r="16" spans="1:26" ht="21.75" customHeight="1">
      <c r="A16" s="142"/>
      <c r="B16" s="163" t="s">
        <v>271</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09" t="str">
        <f ca="1">IF($K16=0,"",IF($J16=$K16,"Delivered",IF($L16="","No milestone in Dim Table",IF(TODAY()&gt;$L16,TEXT(TODAY()-$L16,"0")&amp;" days past milestone, "&amp;($K16-$J16)&amp;" of "&amp;$K16&amp;" not released",TEXT($L16-TODAY(),"0")&amp;" days to milestone"&amp;IF($D16&gt;0,", "&amp;$D16&amp;" blocked","")))))</f>
        <v>85 days to milestone</v>
      </c>
      <c r="N16" s="210"/>
      <c r="O16" s="211"/>
      <c r="P16" s="142"/>
      <c r="Q16" s="142"/>
      <c r="R16" s="142"/>
      <c r="S16" s="142"/>
      <c r="T16" s="142"/>
      <c r="U16" s="142"/>
      <c r="V16" s="142"/>
      <c r="W16" s="142"/>
      <c r="X16" s="142"/>
      <c r="Y16" s="142"/>
      <c r="Z16" s="142"/>
    </row>
    <row r="17" spans="1:26" ht="24" customHeight="1">
      <c r="A17" s="142"/>
      <c r="B17" s="157" t="s">
        <v>497</v>
      </c>
      <c r="C17" s="169">
        <f t="shared" ref="C17:K17" si="0">SUM(C12:C16)</f>
        <v>27</v>
      </c>
      <c r="D17" s="169">
        <f t="shared" si="0"/>
        <v>5</v>
      </c>
      <c r="E17" s="169">
        <f t="shared" si="0"/>
        <v>9</v>
      </c>
      <c r="F17" s="169">
        <f t="shared" si="0"/>
        <v>4</v>
      </c>
      <c r="G17" s="169">
        <f t="shared" si="0"/>
        <v>8</v>
      </c>
      <c r="H17" s="169">
        <f t="shared" si="0"/>
        <v>4</v>
      </c>
      <c r="I17" s="169">
        <f t="shared" si="0"/>
        <v>14</v>
      </c>
      <c r="J17" s="169">
        <f t="shared" si="0"/>
        <v>1</v>
      </c>
      <c r="K17" s="169">
        <f t="shared" si="0"/>
        <v>72</v>
      </c>
      <c r="L17" s="158"/>
      <c r="M17" s="219" t="str">
        <f>IF(SUM(C17:J17)=K17,"","Counts do not add up to the report total")</f>
        <v/>
      </c>
      <c r="N17" s="220"/>
      <c r="O17" s="221"/>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498</v>
      </c>
      <c r="C19" s="212" t="s">
        <v>499</v>
      </c>
      <c r="D19" s="212"/>
      <c r="E19" s="212"/>
      <c r="F19" s="212"/>
      <c r="G19" s="212"/>
      <c r="H19" s="212"/>
      <c r="I19" s="212"/>
      <c r="J19" s="212"/>
      <c r="K19" s="212"/>
      <c r="L19" s="212"/>
      <c r="M19" s="212"/>
      <c r="N19" s="212"/>
      <c r="O19" s="212"/>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12" t="s">
        <v>500</v>
      </c>
      <c r="D35" s="212"/>
      <c r="E35" s="212"/>
      <c r="F35" s="212"/>
      <c r="G35" s="212"/>
      <c r="H35" s="212"/>
      <c r="I35" s="212"/>
      <c r="J35" s="212"/>
      <c r="K35" s="212"/>
      <c r="L35" s="212"/>
      <c r="M35" s="212"/>
      <c r="N35" s="212"/>
      <c r="O35" s="212"/>
      <c r="P35" s="142"/>
      <c r="Q35" s="142"/>
      <c r="R35" s="142"/>
      <c r="S35" s="142"/>
      <c r="T35" s="142"/>
      <c r="U35" s="142"/>
      <c r="V35" s="142"/>
      <c r="W35" s="142"/>
      <c r="X35" s="142"/>
      <c r="Y35" s="142"/>
      <c r="Z35" s="142"/>
    </row>
    <row r="36" spans="1:26" ht="21.75" customHeight="1">
      <c r="A36" s="142"/>
      <c r="B36" s="172" t="s">
        <v>501</v>
      </c>
      <c r="C36" s="170" t="s">
        <v>490</v>
      </c>
      <c r="D36" s="170" t="s">
        <v>502</v>
      </c>
      <c r="E36" s="170" t="s">
        <v>433</v>
      </c>
      <c r="F36" s="170" t="s">
        <v>503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494</v>
      </c>
      <c r="C48" s="212"/>
      <c r="D48" s="212"/>
      <c r="E48" s="212"/>
      <c r="F48" s="212"/>
      <c r="G48" s="212"/>
      <c r="H48" s="212"/>
      <c r="I48" s="212"/>
      <c r="J48" s="212"/>
      <c r="K48" s="212"/>
      <c r="L48" s="212"/>
      <c r="M48" s="212"/>
      <c r="N48" s="212"/>
      <c r="O48" s="212"/>
      <c r="P48" s="142"/>
      <c r="Q48" s="142"/>
      <c r="R48" s="142"/>
      <c r="S48" s="142"/>
      <c r="T48" s="142"/>
      <c r="U48" s="142"/>
      <c r="V48" s="142"/>
      <c r="W48" s="142"/>
      <c r="X48" s="142"/>
      <c r="Y48" s="142"/>
      <c r="Z48" s="142"/>
    </row>
    <row r="49" spans="1:26" ht="15.75" customHeight="1">
      <c r="A49" s="142"/>
      <c r="B49" s="222"/>
      <c r="C49" s="224" t="s">
        <v>490</v>
      </c>
      <c r="D49" s="224"/>
      <c r="E49" s="224" t="s">
        <v>433</v>
      </c>
      <c r="F49" s="224"/>
      <c r="G49" s="224" t="s">
        <v>443</v>
      </c>
      <c r="H49" s="224"/>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3"/>
      <c r="C50" s="225" t="s">
        <v>504</v>
      </c>
      <c r="D50" s="226"/>
      <c r="E50" s="225" t="s">
        <v>504</v>
      </c>
      <c r="F50" s="226"/>
      <c r="G50" s="225" t="s">
        <v>504</v>
      </c>
      <c r="H50" s="227"/>
      <c r="I50" s="228" t="str">
        <f>IF(ISTEXT(B53),"No reports match",IF(ROWS(_xlfn.ANCHORARRAY(B53))=1,"1 report","" &amp; ROWS(_xlfn.ANCHORARRAY(B53)) &amp; " reports"))</f>
        <v>No reports match</v>
      </c>
      <c r="J50" s="229"/>
      <c r="K50" s="229"/>
      <c r="L50" s="229"/>
      <c r="M50" s="229"/>
      <c r="N50" s="229"/>
      <c r="O50" s="230"/>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501</v>
      </c>
      <c r="C52" s="179" t="s">
        <v>490</v>
      </c>
      <c r="D52" s="179" t="s">
        <v>502</v>
      </c>
      <c r="E52" s="179" t="s">
        <v>35</v>
      </c>
      <c r="F52" s="179" t="s">
        <v>505</v>
      </c>
      <c r="G52" s="179" t="s">
        <v>506</v>
      </c>
      <c r="H52" s="179" t="s">
        <v>507</v>
      </c>
      <c r="I52" s="179" t="s">
        <v>508</v>
      </c>
      <c r="J52" s="181" t="s">
        <v>509</v>
      </c>
      <c r="K52" s="181" t="s">
        <v>510</v>
      </c>
      <c r="L52" s="181" t="s">
        <v>511</v>
      </c>
      <c r="M52" s="181" t="s">
        <v>512</v>
      </c>
      <c r="N52" s="181" t="s">
        <v>513</v>
      </c>
      <c r="O52" s="179" t="s">
        <v>514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DPO Approval</v>
      </c>
      <c r="E73" s="173" t="str">
        <v>No</v>
      </c>
      <c r="F73" s="173" t="str">
        <v>Nick</v>
      </c>
      <c r="G73" s="173" t="str">
        <v>Sarath</v>
      </c>
      <c r="H73" s="173" t="str">
        <v>Kushal</v>
      </c>
      <c r="I73" s="173" t="str">
        <v>Natalie Lattanzio</v>
      </c>
      <c r="J73" s="184">
        <v>46265</v>
      </c>
      <c r="K73" s="184">
        <v>46266</v>
      </c>
      <c r="L73" s="184">
        <v>46286</v>
      </c>
      <c r="M73" s="184" t="str">
        <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QA</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268</v>
      </c>
      <c r="B58" t="s">
        <v>243</v>
      </c>
      <c r="C58" t="s">
        <v>233</v>
      </c>
      <c r="E58" t="str">
        <f t="shared" si="1"/>
        <v>Not Started</v>
      </c>
    </row>
    <row r="59" spans="1:5">
      <c r="A59" t="s">
        <v>270</v>
      </c>
      <c r="B59" t="s">
        <v>271</v>
      </c>
      <c r="C59" t="s">
        <v>233</v>
      </c>
      <c r="E59" t="str">
        <f t="shared" si="1"/>
        <v>Not Started</v>
      </c>
    </row>
    <row r="60" spans="1:5">
      <c r="A60" t="s">
        <v>274</v>
      </c>
      <c r="B60" t="s">
        <v>271</v>
      </c>
      <c r="C60" t="s">
        <v>233</v>
      </c>
      <c r="E60" t="str">
        <f t="shared" si="1"/>
        <v>Not Started</v>
      </c>
    </row>
    <row r="61" spans="1:5">
      <c r="A61" t="s">
        <v>275</v>
      </c>
      <c r="B61" t="s">
        <v>271</v>
      </c>
      <c r="C61" t="s">
        <v>233</v>
      </c>
      <c r="E61" t="str">
        <f t="shared" si="1"/>
        <v>Not Started</v>
      </c>
    </row>
    <row r="62" spans="1:5">
      <c r="A62" t="s">
        <v>277</v>
      </c>
      <c r="B62" t="s">
        <v>271</v>
      </c>
      <c r="C62" t="s">
        <v>233</v>
      </c>
      <c r="E62" t="str">
        <f t="shared" si="1"/>
        <v>Not Started</v>
      </c>
    </row>
    <row r="63" spans="1:5">
      <c r="A63" t="s">
        <v>278</v>
      </c>
      <c r="B63" t="s">
        <v>271</v>
      </c>
      <c r="C63" t="s">
        <v>233</v>
      </c>
      <c r="E63" t="str">
        <f t="shared" si="1"/>
        <v>Not Started</v>
      </c>
    </row>
    <row r="64" spans="1:5">
      <c r="A64" t="s">
        <v>280</v>
      </c>
      <c r="B64" t="s">
        <v>271</v>
      </c>
      <c r="C64" t="s">
        <v>233</v>
      </c>
      <c r="E64" t="str">
        <f t="shared" si="1"/>
        <v>Not Started</v>
      </c>
    </row>
    <row r="65" spans="1:5">
      <c r="A65" t="s">
        <v>282</v>
      </c>
      <c r="B65" t="s">
        <v>271</v>
      </c>
      <c r="C65" t="s">
        <v>233</v>
      </c>
      <c r="E65" t="str">
        <f t="shared" si="1"/>
        <v>Not Started</v>
      </c>
    </row>
    <row r="66" spans="1:5">
      <c r="A66" t="s">
        <v>284</v>
      </c>
      <c r="B66" t="s">
        <v>271</v>
      </c>
      <c r="C66" t="s">
        <v>233</v>
      </c>
      <c r="E66" t="str">
        <f t="shared" ref="E66:E73" si="2">IF(C66="Ready for Release in Prod","Blocked in Prod",IF(C66="RELEASED IN PROD","Released",IF(LEFT(D66,3)="Yes","Blocked - Build/QA",IF(C66="NOT STARTED","Not Started",C66))))</f>
        <v>Not Started</v>
      </c>
    </row>
    <row r="67" spans="1:5">
      <c r="A67" t="s">
        <v>286</v>
      </c>
      <c r="B67" t="s">
        <v>271</v>
      </c>
      <c r="C67" t="s">
        <v>233</v>
      </c>
      <c r="E67" t="str">
        <f t="shared" si="2"/>
        <v>Not Started</v>
      </c>
    </row>
    <row r="68" spans="1:5">
      <c r="A68" t="s">
        <v>287</v>
      </c>
      <c r="B68" t="s">
        <v>271</v>
      </c>
      <c r="C68" t="s">
        <v>233</v>
      </c>
      <c r="E68" t="str">
        <f t="shared" si="2"/>
        <v>Not Started</v>
      </c>
    </row>
    <row r="69" spans="1:5">
      <c r="A69" t="s">
        <v>290</v>
      </c>
      <c r="B69" t="s">
        <v>271</v>
      </c>
      <c r="C69" t="s">
        <v>233</v>
      </c>
      <c r="E69" t="str">
        <f t="shared" si="2"/>
        <v>Not Started</v>
      </c>
    </row>
    <row r="70" spans="1:5">
      <c r="A70" t="s">
        <v>292</v>
      </c>
      <c r="B70" t="s">
        <v>271</v>
      </c>
      <c r="C70" t="s">
        <v>233</v>
      </c>
      <c r="E70" t="str">
        <f t="shared" si="2"/>
        <v>Not Started</v>
      </c>
    </row>
    <row r="71" spans="1:5">
      <c r="A71" t="s">
        <v>295</v>
      </c>
      <c r="B71" t="s">
        <v>271</v>
      </c>
      <c r="C71" t="s">
        <v>233</v>
      </c>
      <c r="E71" t="str">
        <f t="shared" si="2"/>
        <v>Not Started</v>
      </c>
    </row>
    <row r="72" spans="1:5">
      <c r="A72" t="s">
        <v>296</v>
      </c>
      <c r="B72" t="s">
        <v>271</v>
      </c>
      <c r="C72" t="s">
        <v>233</v>
      </c>
      <c r="E72" t="str">
        <f t="shared" si="2"/>
        <v>Not Started</v>
      </c>
    </row>
    <row r="73" spans="1:5">
      <c r="A73" t="s">
        <v>299</v>
      </c>
      <c r="B73" t="s">
        <v>271</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2026-10-07T15:20:31Z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