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331" documentId="13_ncr:1_{52745E9B-3AA1-4770-AAD3-E6166BFC13AE}" xr6:coauthVersionLast="47" xr6:coauthVersionMax="47" xr10:uidLastSave="{83406268-B8EA-46A8-B23B-8594C89345DB}"/>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100" i="2" l="1"/>
  <c r="AK99" i="2"/>
  <c r="AK98" i="2"/>
  <c r="AK97" i="2"/>
  <c r="AK96" i="2"/>
  <c r="AK95" i="2"/>
  <c r="AK94" i="2"/>
  <c r="AK93" i="2"/>
  <c r="AK92" i="2"/>
  <c r="AK91" i="2"/>
  <c r="AK90" i="2"/>
  <c r="AK89" i="2"/>
  <c r="AK88" i="2"/>
  <c r="AK87" i="2"/>
  <c r="AK86" i="2"/>
  <c r="AK85" i="2"/>
  <c r="AK84" i="2"/>
  <c r="AK83" i="2"/>
  <c r="AK82" i="2"/>
  <c r="AK81" i="2"/>
  <c r="AK80" i="2"/>
  <c r="AK79" i="2"/>
  <c r="AK78" i="2"/>
  <c r="AK77" i="2"/>
  <c r="AK76" i="2"/>
  <c r="AK75" i="2"/>
  <c r="AK74" i="2"/>
  <c r="AK73" i="2"/>
  <c r="AK42" i="2"/>
  <c r="AK33" i="2"/>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s="1"/>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<sst xmlns="http://schemas.openxmlformats.org/spreadsheetml/2006/main" count="3206" uniqueCount="467">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</sst>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0">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C56" activePane="topRight" state="frozen"/>
      <selection pane="topRight" activeCell="N50" sqref="N50"/>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f>IF($B33="","",IF(AND(LEFT($AJ33,3)="Yes",SUMPRODUCT(('Rework Log'!$A$3:$A$498=$B33)*('Rework Log'!$G$3:$G$498&lt;&gt;"Yes")*('Rework Log'!$G$3:$G$498&lt;&gt;"Did not pass re-test"))=0),"Blocked - log it on Rework Log",IF(AND(LEFT($AJ33,3)&lt;&gt;"Yes",SUMPRODUCT(('Rework Log'!$A$3:$A$498=$B33)*('Rework Log'!$G$3:$G$498&lt;&gt;"Yes")*('Rework Log'!$G$3:$G$498&lt;&gt;"Did not pass re-test"))&gt;0),"Open rework row - mark Blocked? or close it",IF(AND($AJ33="Yes – needs DB Dev to fix",M33&lt;&gt;"",SUMPRODUCT(MAX((('Rework Log'!$A$3:$A$498=$B33)*('Rework Log'!$G$3:$G$498&lt;&gt;"Yes")*('Rework Log'!$G$3:$G$498&lt;&gt;"Did not pass re-test"))*'Rework Log'!$I$3:$I$498))&gt;0),"Move old DB Dev completion date to Rework Log (col H)",IF(AND($AJ33="Yes – needs PBI Dev to fix",S33&lt;&gt;"",SUMPRODUCT(MAX((('Rework Log'!$A$3:$A$498=$B33)*('Rework Log'!$G$3:$G$498&lt;&gt;"Yes")*('Rework Log'!$G$3:$G$498&lt;&gt;"Did not pass re-test"))*'Rework Log'!$I$3:$I$498))&gt;0),"Move old PBI Dev completion date to Rework Log (col H)",IF(AND($AJ33="Yes – needs QA to fix",Y33&lt;&gt;"",SUMPRODUCT(MAX((('Rework Log'!$A$3:$A$498=$B33)*('Rework Log'!$G$3:$G$498&lt;&gt;"Yes")*('Rework Log'!$G$3:$G$498&lt;&gt;"Did not pass re-test"))*'Rework Log'!$I$3:$I$498))&gt;0),"Move old QA completion date to Rework Log (col H)",IF(COUNTIF($B$2:$B$527,$B33)&gt;1,"Duplicate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t="str">
        <f>IF($B42="","",IF(AND(LEFT($AJ42,3)="Yes",SUMPRODUCT(('Rework Log'!$A$3:$A$498=$B42)*('Rework Log'!$G$3:$G$498&lt;&gt;"Yes")*('Rework Log'!$G$3:$G$498&lt;&gt;"Did not pass re-test"))=0),"Blocked - log it on Rework Log",IF(AND(LEFT($AJ42,3)&lt;&gt;"Yes",SUMPRODUCT(('Rework Log'!$A$3:$A$498=$B42)*('Rework Log'!$G$3:$G$498&lt;&gt;"Yes")*('Rework Log'!$G$3:$G$498&lt;&gt;"Did not pass re-test"))&gt;0),"Open rework row - mark Blocked? or close it",IF(AND($AJ42="Yes – needs DB Dev to fix",M42&lt;&gt;"",SUMPRODUCT(MAX((('Rework Log'!$A$3:$A$498=$B42)*('Rework Log'!$G$3:$G$498&lt;&gt;"Yes")*('Rework Log'!$G$3:$G$498&lt;&gt;"Did not pass re-test"))*'Rework Log'!$I$3:$I$498))&gt;0),"Move old DB Dev completion date to Rework Log (col H)",IF(AND($AJ42="Yes – needs PBI Dev to fix",S42&lt;&gt;"",SUMPRODUCT(MAX((('Rework Log'!$A$3:$A$498=$B42)*('Rework Log'!$G$3:$G$498&lt;&gt;"Yes")*('Rework Log'!$G$3:$G$498&lt;&gt;"Did not pass re-test"))*'Rework Log'!$I$3:$I$498))&gt;0),"Move old PBI Dev completion date to Rework Log (col H)",IF(AND($AJ42="Yes – needs QA to fix",Y42&lt;&gt;"",SUMPRODUCT(MAX((('Rework Log'!$A$3:$A$498=$B42)*('Rework Log'!$G$3:$G$498&lt;&gt;"Yes")*('Rework Log'!$G$3:$G$498&lt;&gt;"Did not pass re-test"))*'Rework Log'!$I$3:$I$498))&gt;0),"Move old QA completion date to Rework Log (col H)",IF(COUNTIF($B$2:$B$527,$B42)&gt;1,"Duplicate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146</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194</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195</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201</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c r="X59" s="36"/>
      <c r="Y59" s="36"/>
      <c r="Z59" s="36"/>
      <c r="AA59" s="51">
        <v>46290</v>
      </c>
      <c r="AB59" s="36"/>
      <c r="AC59" s="36"/>
      <c r="AD59" s="33" t="s">
        <v>124</v>
      </c>
      <c r="AE59" s="33" t="s">
        <v>49</v>
      </c>
      <c r="AF59" s="38"/>
      <c r="AG59" s="36"/>
      <c r="AH59" s="39"/>
      <c r="AI59" s="33"/>
      <c r="AJ59" s="40" t="s">
        <v>210</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211</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213</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c r="N61" s="36"/>
      <c r="O61" s="36" t="s">
        <v>197</v>
      </c>
      <c r="P61" s="62" t="s">
        <v>60</v>
      </c>
      <c r="Q61" s="4">
        <v>46269</v>
      </c>
      <c r="R61" s="36">
        <v>46268</v>
      </c>
      <c r="S61" s="36">
        <v>46268</v>
      </c>
      <c r="T61" s="68" t="s">
        <v>198</v>
      </c>
      <c r="U61" s="33" t="s">
        <v>47</v>
      </c>
      <c r="V61" s="58">
        <v>46276</v>
      </c>
      <c r="W61" s="36">
        <v>46283</v>
      </c>
      <c r="X61" s="36">
        <v>46281</v>
      </c>
      <c r="Y61" s="36">
        <v>46281</v>
      </c>
      <c r="Z61" s="36"/>
      <c r="AA61" s="51">
        <v>46290</v>
      </c>
      <c r="AB61" s="36"/>
      <c r="AC61" s="36"/>
      <c r="AD61" s="33" t="s">
        <v>214</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215</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c r="V62" s="58">
        <v>46276</v>
      </c>
      <c r="W62" s="36"/>
      <c r="X62" s="36"/>
      <c r="Y62" s="36"/>
      <c r="Z62" s="36"/>
      <c r="AA62" s="51">
        <v>46290</v>
      </c>
      <c r="AB62" s="36"/>
      <c r="AC62" s="36"/>
      <c r="AD62" s="33" t="s">
        <v>216</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217</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5" hidden="1">
      <c r="A64" s="118" t="s">
        <v>126</v>
      </c>
      <c r="B64" s="118" t="s">
        <v>220</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196</v>
      </c>
      <c r="J64" s="118" t="s">
        <v>103</v>
      </c>
      <c r="K64" s="123">
        <v>46276</v>
      </c>
      <c r="L64" s="124">
        <v>46265</v>
      </c>
      <c r="M64" s="124">
        <v>46266</v>
      </c>
      <c r="N64" s="124" t="s">
        <v>146</v>
      </c>
      <c r="O64" s="124" t="s">
        <v>197</v>
      </c>
      <c r="P64" s="125" t="s">
        <v>60</v>
      </c>
      <c r="Q64" s="123">
        <v>46286</v>
      </c>
      <c r="R64" s="124">
        <v>46269</v>
      </c>
      <c r="S64" s="124">
        <v>46269</v>
      </c>
      <c r="T64" s="126" t="s">
        <v>198</v>
      </c>
      <c r="U64" s="118"/>
      <c r="V64" s="127">
        <v>46290</v>
      </c>
      <c r="W64" s="124"/>
      <c r="X64" s="124"/>
      <c r="Y64" s="124"/>
      <c r="Z64" s="124"/>
      <c r="AA64" s="128">
        <v>46295</v>
      </c>
      <c r="AB64" s="124"/>
      <c r="AC64" s="124"/>
      <c r="AD64" s="118" t="s">
        <v>221</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222</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5" hidden="1">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196</v>
      </c>
      <c r="J66" s="157" t="s">
        <v>44</v>
      </c>
      <c r="K66" s="160">
        <v>46276</v>
      </c>
      <c r="L66" s="145"/>
      <c r="M66" s="145"/>
      <c r="N66" s="145"/>
      <c r="O66" s="145" t="s">
        <v>197</v>
      </c>
      <c r="P66" s="161" t="s">
        <v>46</v>
      </c>
      <c r="Q66" s="160">
        <v>46286</v>
      </c>
      <c r="R66" s="145">
        <v>46273</v>
      </c>
      <c r="S66" s="145"/>
      <c r="T66" s="162" t="s">
        <v>198</v>
      </c>
      <c r="U66" s="157"/>
      <c r="V66" s="144">
        <v>46290</v>
      </c>
      <c r="W66" s="145"/>
      <c r="X66" s="145"/>
      <c r="Y66" s="145"/>
      <c r="Z66" s="145"/>
      <c r="AA66" s="163">
        <v>46295</v>
      </c>
      <c r="AB66" s="145"/>
      <c r="AC66" s="145"/>
      <c r="AD66" s="157" t="s">
        <v>221</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hidden="1">
      <c r="A67" s="33" t="s">
        <v>126</v>
      </c>
      <c r="B67" s="33" t="s">
        <v>225</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c r="V67" s="58">
        <v>46290</v>
      </c>
      <c r="W67" s="36">
        <v>46259</v>
      </c>
      <c r="X67" s="36"/>
      <c r="Y67" s="36"/>
      <c r="Z67" s="36"/>
      <c r="AA67" s="51">
        <v>46295</v>
      </c>
      <c r="AB67" s="36">
        <v>46268</v>
      </c>
      <c r="AC67" s="36"/>
      <c r="AD67" s="33" t="s">
        <v>226</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196</v>
      </c>
      <c r="J69" s="97" t="s">
        <v>59</v>
      </c>
      <c r="K69" s="102">
        <v>46276</v>
      </c>
      <c r="L69" s="103"/>
      <c r="M69" s="103"/>
      <c r="N69" s="103"/>
      <c r="O69" s="103" t="s">
        <v>197</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hidden="1">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237</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f>IF($B73="","",IF(AND(LEFT($AJ73,3)="Yes",SUMPRODUCT(('Rework Log'!$A$3:$A$498=$B73)*('Rework Log'!$G$3:$G$498&lt;&gt;"Yes")*('Rework Log'!$G$3:$G$498&lt;&gt;"Did not pass re-test"))=0),"Blocked - log it on Rework Log",IF(AND(LEFT($AJ73,3)&lt;&gt;"Yes",SUMPRODUCT(('Rework Log'!$A$3:$A$498=$B73)*('Rework Log'!$G$3:$G$498&lt;&gt;"Yes")*('Rework Log'!$G$3:$G$498&lt;&gt;"Did not pass re-test"))&gt;0),"Open rework row - mark Blocked? or close it",IF(AND($AJ73="Yes – needs DB Dev to fix",M73&lt;&gt;"",SUMPRODUCT(MAX((('Rework Log'!$A$3:$A$498=$B73)*('Rework Log'!$G$3:$G$498&lt;&gt;"Yes")*('Rework Log'!$G$3:$G$498&lt;&gt;"Did not pass re-test"))*'Rework Log'!$I$3:$I$498))&gt;0),"Move old DB Dev completion date to Rework Log (col H)",IF(AND($AJ73="Yes – needs PBI Dev to fix",S73&lt;&gt;"",SUMPRODUCT(MAX((('Rework Log'!$A$3:$A$498=$B73)*('Rework Log'!$G$3:$G$498&lt;&gt;"Yes")*('Rework Log'!$G$3:$G$498&lt;&gt;"Did not pass re-test"))*'Rework Log'!$I$3:$I$498))&gt;0),"Move old PBI Dev completion date to Rework Log (col H)",IF(AND($AJ73="Yes – needs QA to fix",Y73&lt;&gt;"",SUMPRODUCT(MAX((('Rework Log'!$A$3:$A$498=$B73)*('Rework Log'!$G$3:$G$498&lt;&gt;"Yes")*('Rework Log'!$G$3:$G$498&lt;&gt;"Did not pass re-test"))*'Rework Log'!$I$3:$I$498))&gt;0),"Move old QA completion date to Rework Log (col H)",IF(COUNTIF($B$2:$B$527,$B73)&gt;1,"Duplicate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f>IF($B74="","",IF(AND(LEFT($AJ74,3)="Yes",SUMPRODUCT(('Rework Log'!$A$3:$A$498=$B74)*('Rework Log'!$G$3:$G$498&lt;&gt;"Yes")*('Rework Log'!$G$3:$G$498&lt;&gt;"Did not pass re-test"))=0),"Blocked - log it on Rework Log",IF(AND(LEFT($AJ74,3)&lt;&gt;"Yes",SUMPRODUCT(('Rework Log'!$A$3:$A$498=$B74)*('Rework Log'!$G$3:$G$498&lt;&gt;"Yes")*('Rework Log'!$G$3:$G$498&lt;&gt;"Did not pass re-test"))&gt;0),"Open rework row - mark Blocked? or close it",IF(AND($AJ74="Yes – needs DB Dev to fix",M74&lt;&gt;"",SUMPRODUCT(MAX((('Rework Log'!$A$3:$A$498=$B74)*('Rework Log'!$G$3:$G$498&lt;&gt;"Yes")*('Rework Log'!$G$3:$G$498&lt;&gt;"Did not pass re-test"))*'Rework Log'!$I$3:$I$498))&gt;0),"Move old DB Dev completion date to Rework Log (col H)",IF(AND($AJ74="Yes – needs PBI Dev to fix",S74&lt;&gt;"",SUMPRODUCT(MAX((('Rework Log'!$A$3:$A$498=$B74)*('Rework Log'!$G$3:$G$498&lt;&gt;"Yes")*('Rework Log'!$G$3:$G$498&lt;&gt;"Did not pass re-test"))*'Rework Log'!$I$3:$I$498))&gt;0),"Move old PBI Dev completion date to Rework Log (col H)",IF(AND($AJ74="Yes – needs QA to fix",Y74&lt;&gt;"",SUMPRODUCT(MAX((('Rework Log'!$A$3:$A$498=$B74)*('Rework Log'!$G$3:$G$498&lt;&gt;"Yes")*('Rework Log'!$G$3:$G$498&lt;&gt;"Did not pass re-test"))*'Rework Log'!$I$3:$I$498))&gt;0),"Move old QA completion date to Rework Log (col H)",IF(COUNTIF($B$2:$B$527,$B74)&gt;1,"Duplicate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5" hidden="1">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197</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t="str">
        <f>IF($B75="","",IF(AND(LEFT($AJ75,3)="Yes",SUMPRODUCT(('Rework Log'!$A$3:$A$498=$B75)*('Rework Log'!$G$3:$G$498&lt;&gt;"Yes")*('Rework Log'!$G$3:$G$498&lt;&gt;"Did not pass re-test"))=0),"Blocked - log it on Rework Log",IF(AND(LEFT($AJ75,3)&lt;&gt;"Yes",SUMPRODUCT(('Rework Log'!$A$3:$A$498=$B75)*('Rework Log'!$G$3:$G$498&lt;&gt;"Yes")*('Rework Log'!$G$3:$G$498&lt;&gt;"Did not pass re-test"))&gt;0),"Open rework row - mark Blocked? or close it",IF(AND($AJ75="Yes – needs DB Dev to fix",M75&lt;&gt;"",SUMPRODUCT(MAX((('Rework Log'!$A$3:$A$498=$B75)*('Rework Log'!$G$3:$G$498&lt;&gt;"Yes")*('Rework Log'!$G$3:$G$498&lt;&gt;"Did not pass re-test"))*'Rework Log'!$I$3:$I$498))&gt;0),"Move old DB Dev completion date to Rework Log (col H)",IF(AND($AJ75="Yes – needs PBI Dev to fix",S75&lt;&gt;"",SUMPRODUCT(MAX((('Rework Log'!$A$3:$A$498=$B75)*('Rework Log'!$G$3:$G$498&lt;&gt;"Yes")*('Rework Log'!$G$3:$G$498&lt;&gt;"Did not pass re-test"))*'Rework Log'!$I$3:$I$498))&gt;0),"Move old PBI Dev completion date to Rework Log (col H)",IF(AND($AJ75="Yes – needs QA to fix",Y75&lt;&gt;"",SUMPRODUCT(MAX((('Rework Log'!$A$3:$A$498=$B75)*('Rework Log'!$G$3:$G$498&lt;&gt;"Yes")*('Rework Log'!$G$3:$G$498&lt;&gt;"Did not pass re-test"))*'Rework Log'!$I$3:$I$498))&gt;0),"Move old QA completion date to Rework Log (col H)",IF(COUNTIF($B$2:$B$527,$B75)&gt;1,"Duplicate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5" hidden="1">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197</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t="str">
        <f>IF($B76="","",IF(AND(LEFT($AJ76,3)="Yes",SUMPRODUCT(('Rework Log'!$A$3:$A$498=$B76)*('Rework Log'!$G$3:$G$498&lt;&gt;"Yes")*('Rework Log'!$G$3:$G$498&lt;&gt;"Did not pass re-test"))=0),"Blocked - log it on Rework Log",IF(AND(LEFT($AJ76,3)&lt;&gt;"Yes",SUMPRODUCT(('Rework Log'!$A$3:$A$498=$B76)*('Rework Log'!$G$3:$G$498&lt;&gt;"Yes")*('Rework Log'!$G$3:$G$498&lt;&gt;"Did not pass re-test"))&gt;0),"Open rework row - mark Blocked? or close it",IF(AND($AJ76="Yes – needs DB Dev to fix",M76&lt;&gt;"",SUMPRODUCT(MAX((('Rework Log'!$A$3:$A$498=$B76)*('Rework Log'!$G$3:$G$498&lt;&gt;"Yes")*('Rework Log'!$G$3:$G$498&lt;&gt;"Did not pass re-test"))*'Rework Log'!$I$3:$I$498))&gt;0),"Move old DB Dev completion date to Rework Log (col H)",IF(AND($AJ76="Yes – needs PBI Dev to fix",S76&lt;&gt;"",SUMPRODUCT(MAX((('Rework Log'!$A$3:$A$498=$B76)*('Rework Log'!$G$3:$G$498&lt;&gt;"Yes")*('Rework Log'!$G$3:$G$498&lt;&gt;"Did not pass re-test"))*'Rework Log'!$I$3:$I$498))&gt;0),"Move old PBI Dev completion date to Rework Log (col H)",IF(AND($AJ76="Yes – needs QA to fix",Y76&lt;&gt;"",SUMPRODUCT(MAX((('Rework Log'!$A$3:$A$498=$B76)*('Rework Log'!$G$3:$G$498&lt;&gt;"Yes")*('Rework Log'!$G$3:$G$498&lt;&gt;"Did not pass re-test"))*'Rework Log'!$I$3:$I$498))&gt;0),"Move old QA completion date to Rework Log (col H)",IF(COUNTIF($B$2:$B$527,$B76)&gt;1,"Duplicate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5" hidden="1">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197</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t="str">
        <f>IF($B77="","",IF(AND(LEFT($AJ77,3)="Yes",SUMPRODUCT(('Rework Log'!$A$3:$A$498=$B77)*('Rework Log'!$G$3:$G$498&lt;&gt;"Yes")*('Rework Log'!$G$3:$G$498&lt;&gt;"Did not pass re-test"))=0),"Blocked - log it on Rework Log",IF(AND(LEFT($AJ77,3)&lt;&gt;"Yes",SUMPRODUCT(('Rework Log'!$A$3:$A$498=$B77)*('Rework Log'!$G$3:$G$498&lt;&gt;"Yes")*('Rework Log'!$G$3:$G$498&lt;&gt;"Did not pass re-test"))&gt;0),"Open rework row - mark Blocked? or close it",IF(AND($AJ77="Yes – needs DB Dev to fix",M77&lt;&gt;"",SUMPRODUCT(MAX((('Rework Log'!$A$3:$A$498=$B77)*('Rework Log'!$G$3:$G$498&lt;&gt;"Yes")*('Rework Log'!$G$3:$G$498&lt;&gt;"Did not pass re-test"))*'Rework Log'!$I$3:$I$498))&gt;0),"Move old DB Dev completion date to Rework Log (col H)",IF(AND($AJ77="Yes – needs PBI Dev to fix",S77&lt;&gt;"",SUMPRODUCT(MAX((('Rework Log'!$A$3:$A$498=$B77)*('Rework Log'!$G$3:$G$498&lt;&gt;"Yes")*('Rework Log'!$G$3:$G$498&lt;&gt;"Did not pass re-test"))*'Rework Log'!$I$3:$I$498))&gt;0),"Move old PBI Dev completion date to Rework Log (col H)",IF(AND($AJ77="Yes – needs QA to fix",Y77&lt;&gt;"",SUMPRODUCT(MAX((('Rework Log'!$A$3:$A$498=$B77)*('Rework Log'!$G$3:$G$498&lt;&gt;"Yes")*('Rework Log'!$G$3:$G$498&lt;&gt;"Did not pass re-test"))*'Rework Log'!$I$3:$I$498))&gt;0),"Move old QA completion date to Rework Log (col H)",IF(COUNTIF($B$2:$B$527,$B77)&gt;1,"Duplicate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5" hidden="1">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189</v>
      </c>
      <c r="AE78" s="146" t="s">
        <v>94</v>
      </c>
      <c r="AF78" s="146"/>
      <c r="AG78" s="146"/>
      <c r="AH78" s="146"/>
      <c r="AI78" s="146"/>
      <c r="AJ78" s="146"/>
      <c r="AK78" s="146" t="str">
        <f>IF($B78="","",IF(AND(LEFT($AJ78,3)="Yes",SUMPRODUCT(('Rework Log'!$A$3:$A$498=$B78)*('Rework Log'!$G$3:$G$498&lt;&gt;"Yes")*('Rework Log'!$G$3:$G$498&lt;&gt;"Did not pass re-test"))=0),"Blocked - log it on Rework Log",IF(AND(LEFT($AJ78,3)&lt;&gt;"Yes",SUMPRODUCT(('Rework Log'!$A$3:$A$498=$B78)*('Rework Log'!$G$3:$G$498&lt;&gt;"Yes")*('Rework Log'!$G$3:$G$498&lt;&gt;"Did not pass re-test"))&gt;0),"Open rework row - mark Blocked? or close it",IF(AND($AJ78="Yes – needs DB Dev to fix",M78&lt;&gt;"",SUMPRODUCT(MAX((('Rework Log'!$A$3:$A$498=$B78)*('Rework Log'!$G$3:$G$498&lt;&gt;"Yes")*('Rework Log'!$G$3:$G$498&lt;&gt;"Did not pass re-test"))*'Rework Log'!$I$3:$I$498))&gt;0),"Move old DB Dev completion date to Rework Log (col H)",IF(AND($AJ78="Yes – needs PBI Dev to fix",S78&lt;&gt;"",SUMPRODUCT(MAX((('Rework Log'!$A$3:$A$498=$B78)*('Rework Log'!$G$3:$G$498&lt;&gt;"Yes")*('Rework Log'!$G$3:$G$498&lt;&gt;"Did not pass re-test"))*'Rework Log'!$I$3:$I$498))&gt;0),"Move old PBI Dev completion date to Rework Log (col H)",IF(AND($AJ78="Yes – needs QA to fix",Y78&lt;&gt;"",SUMPRODUCT(MAX((('Rework Log'!$A$3:$A$498=$B78)*('Rework Log'!$G$3:$G$498&lt;&gt;"Yes")*('Rework Log'!$G$3:$G$498&lt;&gt;"Did not pass re-test"))*'Rework Log'!$I$3:$I$498))&gt;0),"Move old QA completion date to Rework Log (col H)",IF(COUNTIF($B$2:$B$527,$B78)&gt;1,"Duplicate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f>IF($B79="","",IF(AND(LEFT($AJ79,3)="Yes",SUMPRODUCT(('Rework Log'!$A$3:$A$498=$B79)*('Rework Log'!$G$3:$G$498&lt;&gt;"Yes")*('Rework Log'!$G$3:$G$498&lt;&gt;"Did not pass re-test"))=0),"Blocked - log it on Rework Log",IF(AND(LEFT($AJ79,3)&lt;&gt;"Yes",SUMPRODUCT(('Rework Log'!$A$3:$A$498=$B79)*('Rework Log'!$G$3:$G$498&lt;&gt;"Yes")*('Rework Log'!$G$3:$G$498&lt;&gt;"Did not pass re-test"))&gt;0),"Open rework row - mark Blocked? or close it",IF(AND($AJ79="Yes – needs DB Dev to fix",M79&lt;&gt;"",SUMPRODUCT(MAX((('Rework Log'!$A$3:$A$498=$B79)*('Rework Log'!$G$3:$G$498&lt;&gt;"Yes")*('Rework Log'!$G$3:$G$498&lt;&gt;"Did not pass re-test"))*'Rework Log'!$I$3:$I$498))&gt;0),"Move old DB Dev completion date to Rework Log (col H)",IF(AND($AJ79="Yes – needs PBI Dev to fix",S79&lt;&gt;"",SUMPRODUCT(MAX((('Rework Log'!$A$3:$A$498=$B79)*('Rework Log'!$G$3:$G$498&lt;&gt;"Yes")*('Rework Log'!$G$3:$G$498&lt;&gt;"Did not pass re-test"))*'Rework Log'!$I$3:$I$498))&gt;0),"Move old PBI Dev completion date to Rework Log (col H)",IF(AND($AJ79="Yes – needs QA to fix",Y79&lt;&gt;"",SUMPRODUCT(MAX((('Rework Log'!$A$3:$A$498=$B79)*('Rework Log'!$G$3:$G$498&lt;&gt;"Yes")*('Rework Log'!$G$3:$G$498&lt;&gt;"Did not pass re-test"))*'Rework Log'!$I$3:$I$498))&gt;0),"Move old QA completion date to Rework Log (col H)",IF(COUNTIF($B$2:$B$527,$B79)&gt;1,"Duplicate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f>IF($B80="","",IF(AND(LEFT($AJ80,3)="Yes",SUMPRODUCT(('Rework Log'!$A$3:$A$498=$B80)*('Rework Log'!$G$3:$G$498&lt;&gt;"Yes")*('Rework Log'!$G$3:$G$498&lt;&gt;"Did not pass re-test"))=0),"Blocked - log it on Rework Log",IF(AND(LEFT($AJ80,3)&lt;&gt;"Yes",SUMPRODUCT(('Rework Log'!$A$3:$A$498=$B80)*('Rework Log'!$G$3:$G$498&lt;&gt;"Yes")*('Rework Log'!$G$3:$G$498&lt;&gt;"Did not pass re-test"))&gt;0),"Open rework row - mark Blocked? or close it",IF(AND($AJ80="Yes – needs DB Dev to fix",M80&lt;&gt;"",SUMPRODUCT(MAX((('Rework Log'!$A$3:$A$498=$B80)*('Rework Log'!$G$3:$G$498&lt;&gt;"Yes")*('Rework Log'!$G$3:$G$498&lt;&gt;"Did not pass re-test"))*'Rework Log'!$I$3:$I$498))&gt;0),"Move old DB Dev completion date to Rework Log (col H)",IF(AND($AJ80="Yes – needs PBI Dev to fix",S80&lt;&gt;"",SUMPRODUCT(MAX((('Rework Log'!$A$3:$A$498=$B80)*('Rework Log'!$G$3:$G$498&lt;&gt;"Yes")*('Rework Log'!$G$3:$G$498&lt;&gt;"Did not pass re-test"))*'Rework Log'!$I$3:$I$498))&gt;0),"Move old PBI Dev completion date to Rework Log (col H)",IF(AND($AJ80="Yes – needs QA to fix",Y80&lt;&gt;"",SUMPRODUCT(MAX((('Rework Log'!$A$3:$A$498=$B80)*('Rework Log'!$G$3:$G$498&lt;&gt;"Yes")*('Rework Log'!$G$3:$G$498&lt;&gt;"Did not pass re-test"))*'Rework Log'!$I$3:$I$498))&gt;0),"Move old QA completion date to Rework Log (col H)",IF(COUNTIF($B$2:$B$527,$B80)&gt;1,"Duplicate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5" hidden="1">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t="str">
        <f>IF($B81="","",IF(AND(LEFT($AJ81,3)="Yes",SUMPRODUCT(('Rework Log'!$A$3:$A$498=$B81)*('Rework Log'!$G$3:$G$498&lt;&gt;"Yes")*('Rework Log'!$G$3:$G$498&lt;&gt;"Did not pass re-test"))=0),"Blocked - log it on Rework Log",IF(AND(LEFT($AJ81,3)&lt;&gt;"Yes",SUMPRODUCT(('Rework Log'!$A$3:$A$498=$B81)*('Rework Log'!$G$3:$G$498&lt;&gt;"Yes")*('Rework Log'!$G$3:$G$498&lt;&gt;"Did not pass re-test"))&gt;0),"Open rework row - mark Blocked? or close it",IF(AND($AJ81="Yes – needs DB Dev to fix",M81&lt;&gt;"",SUMPRODUCT(MAX((('Rework Log'!$A$3:$A$498=$B81)*('Rework Log'!$G$3:$G$498&lt;&gt;"Yes")*('Rework Log'!$G$3:$G$498&lt;&gt;"Did not pass re-test"))*'Rework Log'!$I$3:$I$498))&gt;0),"Move old DB Dev completion date to Rework Log (col H)",IF(AND($AJ81="Yes – needs PBI Dev to fix",S81&lt;&gt;"",SUMPRODUCT(MAX((('Rework Log'!$A$3:$A$498=$B81)*('Rework Log'!$G$3:$G$498&lt;&gt;"Yes")*('Rework Log'!$G$3:$G$498&lt;&gt;"Did not pass re-test"))*'Rework Log'!$I$3:$I$498))&gt;0),"Move old PBI Dev completion date to Rework Log (col H)",IF(AND($AJ81="Yes – needs QA to fix",Y81&lt;&gt;"",SUMPRODUCT(MAX((('Rework Log'!$A$3:$A$498=$B81)*('Rework Log'!$G$3:$G$498&lt;&gt;"Yes")*('Rework Log'!$G$3:$G$498&lt;&gt;"Did not pass re-test"))*'Rework Log'!$I$3:$I$498))&gt;0),"Move old QA completion date to Rework Log (col H)",IF(COUNTIF($B$2:$B$527,$B81)&gt;1,"Duplicate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f>IF($B82="","",IF(AND(LEFT($AJ82,3)="Yes",SUMPRODUCT(('Rework Log'!$A$3:$A$498=$B82)*('Rework Log'!$G$3:$G$498&lt;&gt;"Yes")*('Rework Log'!$G$3:$G$498&lt;&gt;"Did not pass re-test"))=0),"Blocked - log it on Rework Log",IF(AND(LEFT($AJ82,3)&lt;&gt;"Yes",SUMPRODUCT(('Rework Log'!$A$3:$A$498=$B82)*('Rework Log'!$G$3:$G$498&lt;&gt;"Yes")*('Rework Log'!$G$3:$G$498&lt;&gt;"Did not pass re-test"))&gt;0),"Open rework row - mark Blocked? or close it",IF(AND($AJ82="Yes – needs DB Dev to fix",M82&lt;&gt;"",SUMPRODUCT(MAX((('Rework Log'!$A$3:$A$498=$B82)*('Rework Log'!$G$3:$G$498&lt;&gt;"Yes")*('Rework Log'!$G$3:$G$498&lt;&gt;"Did not pass re-test"))*'Rework Log'!$I$3:$I$498))&gt;0),"Move old DB Dev completion date to Rework Log (col H)",IF(AND($AJ82="Yes – needs PBI Dev to fix",S82&lt;&gt;"",SUMPRODUCT(MAX((('Rework Log'!$A$3:$A$498=$B82)*('Rework Log'!$G$3:$G$498&lt;&gt;"Yes")*('Rework Log'!$G$3:$G$498&lt;&gt;"Did not pass re-test"))*'Rework Log'!$I$3:$I$498))&gt;0),"Move old PBI Dev completion date to Rework Log (col H)",IF(AND($AJ82="Yes – needs QA to fix",Y82&lt;&gt;"",SUMPRODUCT(MAX((('Rework Log'!$A$3:$A$498=$B82)*('Rework Log'!$G$3:$G$498&lt;&gt;"Yes")*('Rework Log'!$G$3:$G$498&lt;&gt;"Did not pass re-test"))*'Rework Log'!$I$3:$I$498))&gt;0),"Move old QA completion date to Rework Log (col H)",IF(COUNTIF($B$2:$B$527,$B82)&gt;1,"Duplicate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f>IF($B83="","",IF(AND(LEFT($AJ83,3)="Yes",SUMPRODUCT(('Rework Log'!$A$3:$A$498=$B83)*('Rework Log'!$G$3:$G$498&lt;&gt;"Yes")*('Rework Log'!$G$3:$G$498&lt;&gt;"Did not pass re-test"))=0),"Blocked - log it on Rework Log",IF(AND(LEFT($AJ83,3)&lt;&gt;"Yes",SUMPRODUCT(('Rework Log'!$A$3:$A$498=$B83)*('Rework Log'!$G$3:$G$498&lt;&gt;"Yes")*('Rework Log'!$G$3:$G$498&lt;&gt;"Did not pass re-test"))&gt;0),"Open rework row - mark Blocked? or close it",IF(AND($AJ83="Yes – needs DB Dev to fix",M83&lt;&gt;"",SUMPRODUCT(MAX((('Rework Log'!$A$3:$A$498=$B83)*('Rework Log'!$G$3:$G$498&lt;&gt;"Yes")*('Rework Log'!$G$3:$G$498&lt;&gt;"Did not pass re-test"))*'Rework Log'!$I$3:$I$498))&gt;0),"Move old DB Dev completion date to Rework Log (col H)",IF(AND($AJ83="Yes – needs PBI Dev to fix",S83&lt;&gt;"",SUMPRODUCT(MAX((('Rework Log'!$A$3:$A$498=$B83)*('Rework Log'!$G$3:$G$498&lt;&gt;"Yes")*('Rework Log'!$G$3:$G$498&lt;&gt;"Did not pass re-test"))*'Rework Log'!$I$3:$I$498))&gt;0),"Move old PBI Dev completion date to Rework Log (col H)",IF(AND($AJ83="Yes – needs QA to fix",Y83&lt;&gt;"",SUMPRODUCT(MAX((('Rework Log'!$A$3:$A$498=$B83)*('Rework Log'!$G$3:$G$498&lt;&gt;"Yes")*('Rework Log'!$G$3:$G$498&lt;&gt;"Did not pass re-test"))*'Rework Log'!$I$3:$I$498))&gt;0),"Move old QA completion date to Rework Log (col H)",IF(COUNTIF($B$2:$B$527,$B83)&gt;1,"Duplicate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f>IF($B84="","",IF(AND(LEFT($AJ84,3)="Yes",SUMPRODUCT(('Rework Log'!$A$3:$A$498=$B84)*('Rework Log'!$G$3:$G$498&lt;&gt;"Yes")*('Rework Log'!$G$3:$G$498&lt;&gt;"Did not pass re-test"))=0),"Blocked - log it on Rework Log",IF(AND(LEFT($AJ84,3)&lt;&gt;"Yes",SUMPRODUCT(('Rework Log'!$A$3:$A$498=$B84)*('Rework Log'!$G$3:$G$498&lt;&gt;"Yes")*('Rework Log'!$G$3:$G$498&lt;&gt;"Did not pass re-test"))&gt;0),"Open rework row - mark Blocked? or close it",IF(AND($AJ84="Yes – needs DB Dev to fix",M84&lt;&gt;"",SUMPRODUCT(MAX((('Rework Log'!$A$3:$A$498=$B84)*('Rework Log'!$G$3:$G$498&lt;&gt;"Yes")*('Rework Log'!$G$3:$G$498&lt;&gt;"Did not pass re-test"))*'Rework Log'!$I$3:$I$498))&gt;0),"Move old DB Dev completion date to Rework Log (col H)",IF(AND($AJ84="Yes – needs PBI Dev to fix",S84&lt;&gt;"",SUMPRODUCT(MAX((('Rework Log'!$A$3:$A$498=$B84)*('Rework Log'!$G$3:$G$498&lt;&gt;"Yes")*('Rework Log'!$G$3:$G$498&lt;&gt;"Did not pass re-test"))*'Rework Log'!$I$3:$I$498))&gt;0),"Move old PBI Dev completion date to Rework Log (col H)",IF(AND($AJ84="Yes – needs QA to fix",Y84&lt;&gt;"",SUMPRODUCT(MAX((('Rework Log'!$A$3:$A$498=$B84)*('Rework Log'!$G$3:$G$498&lt;&gt;"Yes")*('Rework Log'!$G$3:$G$498&lt;&gt;"Did not pass re-test"))*'Rework Log'!$I$3:$I$498))&gt;0),"Move old QA completion date to Rework Log (col H)",IF(COUNTIF($B$2:$B$527,$B84)&gt;1,"Duplicate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f>IF($B85="","",IF(AND(LEFT($AJ85,3)="Yes",SUMPRODUCT(('Rework Log'!$A$3:$A$498=$B85)*('Rework Log'!$G$3:$G$498&lt;&gt;"Yes")*('Rework Log'!$G$3:$G$498&lt;&gt;"Did not pass re-test"))=0),"Blocked - log it on Rework Log",IF(AND(LEFT($AJ85,3)&lt;&gt;"Yes",SUMPRODUCT(('Rework Log'!$A$3:$A$498=$B85)*('Rework Log'!$G$3:$G$498&lt;&gt;"Yes")*('Rework Log'!$G$3:$G$498&lt;&gt;"Did not pass re-test"))&gt;0),"Open rework row - mark Blocked? or close it",IF(AND($AJ85="Yes – needs DB Dev to fix",M85&lt;&gt;"",SUMPRODUCT(MAX((('Rework Log'!$A$3:$A$498=$B85)*('Rework Log'!$G$3:$G$498&lt;&gt;"Yes")*('Rework Log'!$G$3:$G$498&lt;&gt;"Did not pass re-test"))*'Rework Log'!$I$3:$I$498))&gt;0),"Move old DB Dev completion date to Rework Log (col H)",IF(AND($AJ85="Yes – needs PBI Dev to fix",S85&lt;&gt;"",SUMPRODUCT(MAX((('Rework Log'!$A$3:$A$498=$B85)*('Rework Log'!$G$3:$G$498&lt;&gt;"Yes")*('Rework Log'!$G$3:$G$498&lt;&gt;"Did not pass re-test"))*'Rework Log'!$I$3:$I$498))&gt;0),"Move old PBI Dev completion date to Rework Log (col H)",IF(AND($AJ85="Yes – needs QA to fix",Y85&lt;&gt;"",SUMPRODUCT(MAX((('Rework Log'!$A$3:$A$498=$B85)*('Rework Log'!$G$3:$G$498&lt;&gt;"Yes")*('Rework Log'!$G$3:$G$498&lt;&gt;"Did not pass re-test"))*'Rework Log'!$I$3:$I$498))&gt;0),"Move old QA completion date to Rework Log (col H)",IF(COUNTIF($B$2:$B$527,$B85)&gt;1,"Duplicate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f>IF($B86="","",IF(AND(LEFT($AJ86,3)="Yes",SUMPRODUCT(('Rework Log'!$A$3:$A$498=$B86)*('Rework Log'!$G$3:$G$498&lt;&gt;"Yes")*('Rework Log'!$G$3:$G$498&lt;&gt;"Did not pass re-test"))=0),"Blocked - log it on Rework Log",IF(AND(LEFT($AJ86,3)&lt;&gt;"Yes",SUMPRODUCT(('Rework Log'!$A$3:$A$498=$B86)*('Rework Log'!$G$3:$G$498&lt;&gt;"Yes")*('Rework Log'!$G$3:$G$498&lt;&gt;"Did not pass re-test"))&gt;0),"Open rework row - mark Blocked? or close it",IF(AND($AJ86="Yes – needs DB Dev to fix",M86&lt;&gt;"",SUMPRODUCT(MAX((('Rework Log'!$A$3:$A$498=$B86)*('Rework Log'!$G$3:$G$498&lt;&gt;"Yes")*('Rework Log'!$G$3:$G$498&lt;&gt;"Did not pass re-test"))*'Rework Log'!$I$3:$I$498))&gt;0),"Move old DB Dev completion date to Rework Log (col H)",IF(AND($AJ86="Yes – needs PBI Dev to fix",S86&lt;&gt;"",SUMPRODUCT(MAX((('Rework Log'!$A$3:$A$498=$B86)*('Rework Log'!$G$3:$G$498&lt;&gt;"Yes")*('Rework Log'!$G$3:$G$498&lt;&gt;"Did not pass re-test"))*'Rework Log'!$I$3:$I$498))&gt;0),"Move old PBI Dev completion date to Rework Log (col H)",IF(AND($AJ86="Yes – needs QA to fix",Y86&lt;&gt;"",SUMPRODUCT(MAX((('Rework Log'!$A$3:$A$498=$B86)*('Rework Log'!$G$3:$G$498&lt;&gt;"Yes")*('Rework Log'!$G$3:$G$498&lt;&gt;"Did not pass re-test"))*'Rework Log'!$I$3:$I$498))&gt;0),"Move old QA completion date to Rework Log (col H)",IF(COUNTIF($B$2:$B$527,$B86)&gt;1,"Duplicate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f>IF($B87="","",IF(AND(LEFT($AJ87,3)="Yes",SUMPRODUCT(('Rework Log'!$A$3:$A$498=$B87)*('Rework Log'!$G$3:$G$498&lt;&gt;"Yes")*('Rework Log'!$G$3:$G$498&lt;&gt;"Did not pass re-test"))=0),"Blocked - log it on Rework Log",IF(AND(LEFT($AJ87,3)&lt;&gt;"Yes",SUMPRODUCT(('Rework Log'!$A$3:$A$498=$B87)*('Rework Log'!$G$3:$G$498&lt;&gt;"Yes")*('Rework Log'!$G$3:$G$498&lt;&gt;"Did not pass re-test"))&gt;0),"Open rework row - mark Blocked? or close it",IF(AND($AJ87="Yes – needs DB Dev to fix",M87&lt;&gt;"",SUMPRODUCT(MAX((('Rework Log'!$A$3:$A$498=$B87)*('Rework Log'!$G$3:$G$498&lt;&gt;"Yes")*('Rework Log'!$G$3:$G$498&lt;&gt;"Did not pass re-test"))*'Rework Log'!$I$3:$I$498))&gt;0),"Move old DB Dev completion date to Rework Log (col H)",IF(AND($AJ87="Yes – needs PBI Dev to fix",S87&lt;&gt;"",SUMPRODUCT(MAX((('Rework Log'!$A$3:$A$498=$B87)*('Rework Log'!$G$3:$G$498&lt;&gt;"Yes")*('Rework Log'!$G$3:$G$498&lt;&gt;"Did not pass re-test"))*'Rework Log'!$I$3:$I$498))&gt;0),"Move old PBI Dev completion date to Rework Log (col H)",IF(AND($AJ87="Yes – needs QA to fix",Y87&lt;&gt;"",SUMPRODUCT(MAX((('Rework Log'!$A$3:$A$498=$B87)*('Rework Log'!$G$3:$G$498&lt;&gt;"Yes")*('Rework Log'!$G$3:$G$498&lt;&gt;"Did not pass re-test"))*'Rework Log'!$I$3:$I$498))&gt;0),"Move old QA completion date to Rework Log (col H)",IF(COUNTIF($B$2:$B$527,$B87)&gt;1,"Duplicate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f>IF($B88="","",IF(AND(LEFT($AJ88,3)="Yes",SUMPRODUCT(('Rework Log'!$A$3:$A$498=$B88)*('Rework Log'!$G$3:$G$498&lt;&gt;"Yes")*('Rework Log'!$G$3:$G$498&lt;&gt;"Did not pass re-test"))=0),"Blocked - log it on Rework Log",IF(AND(LEFT($AJ88,3)&lt;&gt;"Yes",SUMPRODUCT(('Rework Log'!$A$3:$A$498=$B88)*('Rework Log'!$G$3:$G$498&lt;&gt;"Yes")*('Rework Log'!$G$3:$G$498&lt;&gt;"Did not pass re-test"))&gt;0),"Open rework row - mark Blocked? or close it",IF(AND($AJ88="Yes – needs DB Dev to fix",M88&lt;&gt;"",SUMPRODUCT(MAX((('Rework Log'!$A$3:$A$498=$B88)*('Rework Log'!$G$3:$G$498&lt;&gt;"Yes")*('Rework Log'!$G$3:$G$498&lt;&gt;"Did not pass re-test"))*'Rework Log'!$I$3:$I$498))&gt;0),"Move old DB Dev completion date to Rework Log (col H)",IF(AND($AJ88="Yes – needs PBI Dev to fix",S88&lt;&gt;"",SUMPRODUCT(MAX((('Rework Log'!$A$3:$A$498=$B88)*('Rework Log'!$G$3:$G$498&lt;&gt;"Yes")*('Rework Log'!$G$3:$G$498&lt;&gt;"Did not pass re-test"))*'Rework Log'!$I$3:$I$498))&gt;0),"Move old PBI Dev completion date to Rework Log (col H)",IF(AND($AJ88="Yes – needs QA to fix",Y88&lt;&gt;"",SUMPRODUCT(MAX((('Rework Log'!$A$3:$A$498=$B88)*('Rework Log'!$G$3:$G$498&lt;&gt;"Yes")*('Rework Log'!$G$3:$G$498&lt;&gt;"Did not pass re-test"))*'Rework Log'!$I$3:$I$498))&gt;0),"Move old QA completion date to Rework Log (col H)",IF(COUNTIF($B$2:$B$527,$B88)&gt;1,"Duplicate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f>IF($B89="","",IF(AND(LEFT($AJ89,3)="Yes",SUMPRODUCT(('Rework Log'!$A$3:$A$498=$B89)*('Rework Log'!$G$3:$G$498&lt;&gt;"Yes")*('Rework Log'!$G$3:$G$498&lt;&gt;"Did not pass re-test"))=0),"Blocked - log it on Rework Log",IF(AND(LEFT($AJ89,3)&lt;&gt;"Yes",SUMPRODUCT(('Rework Log'!$A$3:$A$498=$B89)*('Rework Log'!$G$3:$G$498&lt;&gt;"Yes")*('Rework Log'!$G$3:$G$498&lt;&gt;"Did not pass re-test"))&gt;0),"Open rework row - mark Blocked? or close it",IF(AND($AJ89="Yes – needs DB Dev to fix",M89&lt;&gt;"",SUMPRODUCT(MAX((('Rework Log'!$A$3:$A$498=$B89)*('Rework Log'!$G$3:$G$498&lt;&gt;"Yes")*('Rework Log'!$G$3:$G$498&lt;&gt;"Did not pass re-test"))*'Rework Log'!$I$3:$I$498))&gt;0),"Move old DB Dev completion date to Rework Log (col H)",IF(AND($AJ89="Yes – needs PBI Dev to fix",S89&lt;&gt;"",SUMPRODUCT(MAX((('Rework Log'!$A$3:$A$498=$B89)*('Rework Log'!$G$3:$G$498&lt;&gt;"Yes")*('Rework Log'!$G$3:$G$498&lt;&gt;"Did not pass re-test"))*'Rework Log'!$I$3:$I$498))&gt;0),"Move old PBI Dev completion date to Rework Log (col H)",IF(AND($AJ89="Yes – needs QA to fix",Y89&lt;&gt;"",SUMPRODUCT(MAX((('Rework Log'!$A$3:$A$498=$B89)*('Rework Log'!$G$3:$G$498&lt;&gt;"Yes")*('Rework Log'!$G$3:$G$498&lt;&gt;"Did not pass re-test"))*'Rework Log'!$I$3:$I$498))&gt;0),"Move old QA completion date to Rework Log (col H)",IF(COUNTIF($B$2:$B$527,$B89)&gt;1,"Duplicate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f>IF($B90="","",IF(AND(LEFT($AJ90,3)="Yes",SUMPRODUCT(('Rework Log'!$A$3:$A$498=$B90)*('Rework Log'!$G$3:$G$498&lt;&gt;"Yes")*('Rework Log'!$G$3:$G$498&lt;&gt;"Did not pass re-test"))=0),"Blocked - log it on Rework Log",IF(AND(LEFT($AJ90,3)&lt;&gt;"Yes",SUMPRODUCT(('Rework Log'!$A$3:$A$498=$B90)*('Rework Log'!$G$3:$G$498&lt;&gt;"Yes")*('Rework Log'!$G$3:$G$498&lt;&gt;"Did not pass re-test"))&gt;0),"Open rework row - mark Blocked? or close it",IF(AND($AJ90="Yes – needs DB Dev to fix",M90&lt;&gt;"",SUMPRODUCT(MAX((('Rework Log'!$A$3:$A$498=$B90)*('Rework Log'!$G$3:$G$498&lt;&gt;"Yes")*('Rework Log'!$G$3:$G$498&lt;&gt;"Did not pass re-test"))*'Rework Log'!$I$3:$I$498))&gt;0),"Move old DB Dev completion date to Rework Log (col H)",IF(AND($AJ90="Yes – needs PBI Dev to fix",S90&lt;&gt;"",SUMPRODUCT(MAX((('Rework Log'!$A$3:$A$498=$B90)*('Rework Log'!$G$3:$G$498&lt;&gt;"Yes")*('Rework Log'!$G$3:$G$498&lt;&gt;"Did not pass re-test"))*'Rework Log'!$I$3:$I$498))&gt;0),"Move old PBI Dev completion date to Rework Log (col H)",IF(AND($AJ90="Yes – needs QA to fix",Y90&lt;&gt;"",SUMPRODUCT(MAX((('Rework Log'!$A$3:$A$498=$B90)*('Rework Log'!$G$3:$G$498&lt;&gt;"Yes")*('Rework Log'!$G$3:$G$498&lt;&gt;"Did not pass re-test"))*'Rework Log'!$I$3:$I$498))&gt;0),"Move old QA completion date to Rework Log (col H)",IF(COUNTIF($B$2:$B$527,$B90)&gt;1,"Duplicate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f>IF($B91="","",IF(AND(LEFT($AJ91,3)="Yes",SUMPRODUCT(('Rework Log'!$A$3:$A$498=$B91)*('Rework Log'!$G$3:$G$498&lt;&gt;"Yes")*('Rework Log'!$G$3:$G$498&lt;&gt;"Did not pass re-test"))=0),"Blocked - log it on Rework Log",IF(AND(LEFT($AJ91,3)&lt;&gt;"Yes",SUMPRODUCT(('Rework Log'!$A$3:$A$498=$B91)*('Rework Log'!$G$3:$G$498&lt;&gt;"Yes")*('Rework Log'!$G$3:$G$498&lt;&gt;"Did not pass re-test"))&gt;0),"Open rework row - mark Blocked? or close it",IF(AND($AJ91="Yes – needs DB Dev to fix",M91&lt;&gt;"",SUMPRODUCT(MAX((('Rework Log'!$A$3:$A$498=$B91)*('Rework Log'!$G$3:$G$498&lt;&gt;"Yes")*('Rework Log'!$G$3:$G$498&lt;&gt;"Did not pass re-test"))*'Rework Log'!$I$3:$I$498))&gt;0),"Move old DB Dev completion date to Rework Log (col H)",IF(AND($AJ91="Yes – needs PBI Dev to fix",S91&lt;&gt;"",SUMPRODUCT(MAX((('Rework Log'!$A$3:$A$498=$B91)*('Rework Log'!$G$3:$G$498&lt;&gt;"Yes")*('Rework Log'!$G$3:$G$498&lt;&gt;"Did not pass re-test"))*'Rework Log'!$I$3:$I$498))&gt;0),"Move old PBI Dev completion date to Rework Log (col H)",IF(AND($AJ91="Yes – needs QA to fix",Y91&lt;&gt;"",SUMPRODUCT(MAX((('Rework Log'!$A$3:$A$498=$B91)*('Rework Log'!$G$3:$G$498&lt;&gt;"Yes")*('Rework Log'!$G$3:$G$498&lt;&gt;"Did not pass re-test"))*'Rework Log'!$I$3:$I$498))&gt;0),"Move old QA completion date to Rework Log (col H)",IF(COUNTIF($B$2:$B$527,$B91)&gt;1,"Duplicate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f>IF($B92="","",IF(AND(LEFT($AJ92,3)="Yes",SUMPRODUCT(('Rework Log'!$A$3:$A$498=$B92)*('Rework Log'!$G$3:$G$498&lt;&gt;"Yes")*('Rework Log'!$G$3:$G$498&lt;&gt;"Did not pass re-test"))=0),"Blocked - log it on Rework Log",IF(AND(LEFT($AJ92,3)&lt;&gt;"Yes",SUMPRODUCT(('Rework Log'!$A$3:$A$498=$B92)*('Rework Log'!$G$3:$G$498&lt;&gt;"Yes")*('Rework Log'!$G$3:$G$498&lt;&gt;"Did not pass re-test"))&gt;0),"Open rework row - mark Blocked? or close it",IF(AND($AJ92="Yes – needs DB Dev to fix",M92&lt;&gt;"",SUMPRODUCT(MAX((('Rework Log'!$A$3:$A$498=$B92)*('Rework Log'!$G$3:$G$498&lt;&gt;"Yes")*('Rework Log'!$G$3:$G$498&lt;&gt;"Did not pass re-test"))*'Rework Log'!$I$3:$I$498))&gt;0),"Move old DB Dev completion date to Rework Log (col H)",IF(AND($AJ92="Yes – needs PBI Dev to fix",S92&lt;&gt;"",SUMPRODUCT(MAX((('Rework Log'!$A$3:$A$498=$B92)*('Rework Log'!$G$3:$G$498&lt;&gt;"Yes")*('Rework Log'!$G$3:$G$498&lt;&gt;"Did not pass re-test"))*'Rework Log'!$I$3:$I$498))&gt;0),"Move old PBI Dev completion date to Rework Log (col H)",IF(AND($AJ92="Yes – needs QA to fix",Y92&lt;&gt;"",SUMPRODUCT(MAX((('Rework Log'!$A$3:$A$498=$B92)*('Rework Log'!$G$3:$G$498&lt;&gt;"Yes")*('Rework Log'!$G$3:$G$498&lt;&gt;"Did not pass re-test"))*'Rework Log'!$I$3:$I$498))&gt;0),"Move old QA completion date to Rework Log (col H)",IF(COUNTIF($B$2:$B$527,$B92)&gt;1,"Duplicate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t="str">
        <f>IF($B93="","",IF(AND(LEFT($AJ93,3)="Yes",SUMPRODUCT(('Rework Log'!$A$3:$A$498=$B93)*('Rework Log'!$G$3:$G$498&lt;&gt;"Yes")*('Rework Log'!$G$3:$G$498&lt;&gt;"Did not pass re-test"))=0),"Blocked - log it on Rework Log",IF(AND(LEFT($AJ93,3)&lt;&gt;"Yes",SUMPRODUCT(('Rework Log'!$A$3:$A$498=$B93)*('Rework Log'!$G$3:$G$498&lt;&gt;"Yes")*('Rework Log'!$G$3:$G$498&lt;&gt;"Did not pass re-test"))&gt;0),"Open rework row - mark Blocked? or close it",IF(AND($AJ93="Yes – needs DB Dev to fix",M93&lt;&gt;"",SUMPRODUCT(MAX((('Rework Log'!$A$3:$A$498=$B93)*('Rework Log'!$G$3:$G$498&lt;&gt;"Yes")*('Rework Log'!$G$3:$G$498&lt;&gt;"Did not pass re-test"))*'Rework Log'!$I$3:$I$498))&gt;0),"Move old DB Dev completion date to Rework Log (col H)",IF(AND($AJ93="Yes – needs PBI Dev to fix",S93&lt;&gt;"",SUMPRODUCT(MAX((('Rework Log'!$A$3:$A$498=$B93)*('Rework Log'!$G$3:$G$498&lt;&gt;"Yes")*('Rework Log'!$G$3:$G$498&lt;&gt;"Did not pass re-test"))*'Rework Log'!$I$3:$I$498))&gt;0),"Move old PBI Dev completion date to Rework Log (col H)",IF(AND($AJ93="Yes – needs QA to fix",Y93&lt;&gt;"",SUMPRODUCT(MAX((('Rework Log'!$A$3:$A$498=$B93)*('Rework Log'!$G$3:$G$498&lt;&gt;"Yes")*('Rework Log'!$G$3:$G$498&lt;&gt;"Did not pass re-test"))*'Rework Log'!$I$3:$I$498))&gt;0),"Move old QA completion date to Rework Log (col H)",IF(COUNTIF($B$2:$B$527,$B93)&gt;1,"Duplicate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f>IF($B94="","",IF(AND(LEFT($AJ94,3)="Yes",SUMPRODUCT(('Rework Log'!$A$3:$A$498=$B94)*('Rework Log'!$G$3:$G$498&lt;&gt;"Yes")*('Rework Log'!$G$3:$G$498&lt;&gt;"Did not pass re-test"))=0),"Blocked - log it on Rework Log",IF(AND(LEFT($AJ94,3)&lt;&gt;"Yes",SUMPRODUCT(('Rework Log'!$A$3:$A$498=$B94)*('Rework Log'!$G$3:$G$498&lt;&gt;"Yes")*('Rework Log'!$G$3:$G$498&lt;&gt;"Did not pass re-test"))&gt;0),"Open rework row - mark Blocked? or close it",IF(AND($AJ94="Yes – needs DB Dev to fix",M94&lt;&gt;"",SUMPRODUCT(MAX((('Rework Log'!$A$3:$A$498=$B94)*('Rework Log'!$G$3:$G$498&lt;&gt;"Yes")*('Rework Log'!$G$3:$G$498&lt;&gt;"Did not pass re-test"))*'Rework Log'!$I$3:$I$498))&gt;0),"Move old DB Dev completion date to Rework Log (col H)",IF(AND($AJ94="Yes – needs PBI Dev to fix",S94&lt;&gt;"",SUMPRODUCT(MAX((('Rework Log'!$A$3:$A$498=$B94)*('Rework Log'!$G$3:$G$498&lt;&gt;"Yes")*('Rework Log'!$G$3:$G$498&lt;&gt;"Did not pass re-test"))*'Rework Log'!$I$3:$I$498))&gt;0),"Move old PBI Dev completion date to Rework Log (col H)",IF(AND($AJ94="Yes – needs QA to fix",Y94&lt;&gt;"",SUMPRODUCT(MAX((('Rework Log'!$A$3:$A$498=$B94)*('Rework Log'!$G$3:$G$498&lt;&gt;"Yes")*('Rework Log'!$G$3:$G$498&lt;&gt;"Did not pass re-test"))*'Rework Log'!$I$3:$I$498))&gt;0),"Move old QA completion date to Rework Log (col H)",IF(COUNTIF($B$2:$B$527,$B94)&gt;1,"Duplicate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t="s">
        <v>76</v>
      </c>
      <c r="K95" s="49">
        <v>46332</v>
      </c>
      <c r="L95" s="43"/>
      <c r="M95" s="44"/>
      <c r="N95" s="44"/>
      <c r="O95" s="36" t="s">
        <v>271</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f>IF($B95="","",IF(AND(LEFT($AJ95,3)="Yes",SUMPRODUCT(('Rework Log'!$A$3:$A$498=$B95)*('Rework Log'!$G$3:$G$498&lt;&gt;"Yes")*('Rework Log'!$G$3:$G$498&lt;&gt;"Did not pass re-test"))=0),"Blocked - log it on Rework Log",IF(AND(LEFT($AJ95,3)&lt;&gt;"Yes",SUMPRODUCT(('Rework Log'!$A$3:$A$498=$B95)*('Rework Log'!$G$3:$G$498&lt;&gt;"Yes")*('Rework Log'!$G$3:$G$498&lt;&gt;"Did not pass re-test"))&gt;0),"Open rework row - mark Blocked? or close it",IF(AND($AJ95="Yes – needs DB Dev to fix",M95&lt;&gt;"",SUMPRODUCT(MAX((('Rework Log'!$A$3:$A$498=$B95)*('Rework Log'!$G$3:$G$498&lt;&gt;"Yes")*('Rework Log'!$G$3:$G$498&lt;&gt;"Did not pass re-test"))*'Rework Log'!$I$3:$I$498))&gt;0),"Move old DB Dev completion date to Rework Log (col H)",IF(AND($AJ95="Yes – needs PBI Dev to fix",S95&lt;&gt;"",SUMPRODUCT(MAX((('Rework Log'!$A$3:$A$498=$B95)*('Rework Log'!$G$3:$G$498&lt;&gt;"Yes")*('Rework Log'!$G$3:$G$498&lt;&gt;"Did not pass re-test"))*'Rework Log'!$I$3:$I$498))&gt;0),"Move old PBI Dev completion date to Rework Log (col H)",IF(AND($AJ95="Yes – needs QA to fix",Y95&lt;&gt;"",SUMPRODUCT(MAX((('Rework Log'!$A$3:$A$498=$B95)*('Rework Log'!$G$3:$G$498&lt;&gt;"Yes")*('Rework Log'!$G$3:$G$498&lt;&gt;"Did not pass re-test"))*'Rework Log'!$I$3:$I$498))&gt;0),"Move old QA completion date to Rework Log (col H)",IF(COUNTIF($B$2:$B$527,$B95)&gt;1,"Duplicate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f>IF($B96="","",IF(AND(LEFT($AJ96,3)="Yes",SUMPRODUCT(('Rework Log'!$A$3:$A$498=$B96)*('Rework Log'!$G$3:$G$498&lt;&gt;"Yes")*('Rework Log'!$G$3:$G$498&lt;&gt;"Did not pass re-test"))=0),"Blocked - log it on Rework Log",IF(AND(LEFT($AJ96,3)&lt;&gt;"Yes",SUMPRODUCT(('Rework Log'!$A$3:$A$498=$B96)*('Rework Log'!$G$3:$G$498&lt;&gt;"Yes")*('Rework Log'!$G$3:$G$498&lt;&gt;"Did not pass re-test"))&gt;0),"Open rework row - mark Blocked? or close it",IF(AND($AJ96="Yes – needs DB Dev to fix",M96&lt;&gt;"",SUMPRODUCT(MAX((('Rework Log'!$A$3:$A$498=$B96)*('Rework Log'!$G$3:$G$498&lt;&gt;"Yes")*('Rework Log'!$G$3:$G$498&lt;&gt;"Did not pass re-test"))*'Rework Log'!$I$3:$I$498))&gt;0),"Move old DB Dev completion date to Rework Log (col H)",IF(AND($AJ96="Yes – needs PBI Dev to fix",S96&lt;&gt;"",SUMPRODUCT(MAX((('Rework Log'!$A$3:$A$498=$B96)*('Rework Log'!$G$3:$G$498&lt;&gt;"Yes")*('Rework Log'!$G$3:$G$498&lt;&gt;"Did not pass re-test"))*'Rework Log'!$I$3:$I$498))&gt;0),"Move old PBI Dev completion date to Rework Log (col H)",IF(AND($AJ96="Yes – needs QA to fix",Y96&lt;&gt;"",SUMPRODUCT(MAX((('Rework Log'!$A$3:$A$498=$B96)*('Rework Log'!$G$3:$G$498&lt;&gt;"Yes")*('Rework Log'!$G$3:$G$498&lt;&gt;"Did not pass re-test"))*'Rework Log'!$I$3:$I$498))&gt;0),"Move old QA completion date to Rework Log (col H)",IF(COUNTIF($B$2:$B$527,$B96)&gt;1,"Duplicate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t="str">
        <f>IF($B97="","",IF(AND(LEFT($AJ97,3)="Yes",SUMPRODUCT(('Rework Log'!$A$3:$A$498=$B97)*('Rework Log'!$G$3:$G$498&lt;&gt;"Yes")*('Rework Log'!$G$3:$G$498&lt;&gt;"Did not pass re-test"))=0),"Blocked - log it on Rework Log",IF(AND(LEFT($AJ97,3)&lt;&gt;"Yes",SUMPRODUCT(('Rework Log'!$A$3:$A$498=$B97)*('Rework Log'!$G$3:$G$498&lt;&gt;"Yes")*('Rework Log'!$G$3:$G$498&lt;&gt;"Did not pass re-test"))&gt;0),"Open rework row - mark Blocked? or close it",IF(AND($AJ97="Yes – needs DB Dev to fix",M97&lt;&gt;"",SUMPRODUCT(MAX((('Rework Log'!$A$3:$A$498=$B97)*('Rework Log'!$G$3:$G$498&lt;&gt;"Yes")*('Rework Log'!$G$3:$G$498&lt;&gt;"Did not pass re-test"))*'Rework Log'!$I$3:$I$498))&gt;0),"Move old DB Dev completion date to Rework Log (col H)",IF(AND($AJ97="Yes – needs PBI Dev to fix",S97&lt;&gt;"",SUMPRODUCT(MAX((('Rework Log'!$A$3:$A$498=$B97)*('Rework Log'!$G$3:$G$498&lt;&gt;"Yes")*('Rework Log'!$G$3:$G$498&lt;&gt;"Did not pass re-test"))*'Rework Log'!$I$3:$I$498))&gt;0),"Move old PBI Dev completion date to Rework Log (col H)",IF(AND($AJ97="Yes – needs QA to fix",Y97&lt;&gt;"",SUMPRODUCT(MAX((('Rework Log'!$A$3:$A$498=$B97)*('Rework Log'!$G$3:$G$498&lt;&gt;"Yes")*('Rework Log'!$G$3:$G$498&lt;&gt;"Did not pass re-test"))*'Rework Log'!$I$3:$I$498))&gt;0),"Move old QA completion date to Rework Log (col H)",IF(COUNTIF($B$2:$B$527,$B97)&gt;1,"Duplicate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f>IF($B98="","",IF(AND(LEFT($AJ98,3)="Yes",SUMPRODUCT(('Rework Log'!$A$3:$A$498=$B98)*('Rework Log'!$G$3:$G$498&lt;&gt;"Yes")*('Rework Log'!$G$3:$G$498&lt;&gt;"Did not pass re-test"))=0),"Blocked - log it on Rework Log",IF(AND(LEFT($AJ98,3)&lt;&gt;"Yes",SUMPRODUCT(('Rework Log'!$A$3:$A$498=$B98)*('Rework Log'!$G$3:$G$498&lt;&gt;"Yes")*('Rework Log'!$G$3:$G$498&lt;&gt;"Did not pass re-test"))&gt;0),"Open rework row - mark Blocked? or close it",IF(AND($AJ98="Yes – needs DB Dev to fix",M98&lt;&gt;"",SUMPRODUCT(MAX((('Rework Log'!$A$3:$A$498=$B98)*('Rework Log'!$G$3:$G$498&lt;&gt;"Yes")*('Rework Log'!$G$3:$G$498&lt;&gt;"Did not pass re-test"))*'Rework Log'!$I$3:$I$498))&gt;0),"Move old DB Dev completion date to Rework Log (col H)",IF(AND($AJ98="Yes – needs PBI Dev to fix",S98&lt;&gt;"",SUMPRODUCT(MAX((('Rework Log'!$A$3:$A$498=$B98)*('Rework Log'!$G$3:$G$498&lt;&gt;"Yes")*('Rework Log'!$G$3:$G$498&lt;&gt;"Did not pass re-test"))*'Rework Log'!$I$3:$I$498))&gt;0),"Move old PBI Dev completion date to Rework Log (col H)",IF(AND($AJ98="Yes – needs QA to fix",Y98&lt;&gt;"",SUMPRODUCT(MAX((('Rework Log'!$A$3:$A$498=$B98)*('Rework Log'!$G$3:$G$498&lt;&gt;"Yes")*('Rework Log'!$G$3:$G$498&lt;&gt;"Did not pass re-test"))*'Rework Log'!$I$3:$I$498))&gt;0),"Move old QA completion date to Rework Log (col H)",IF(COUNTIF($B$2:$B$527,$B98)&gt;1,"Duplicate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t="str">
        <f>IF($B99="","",IF(AND(LEFT($AJ99,3)="Yes",SUMPRODUCT(('Rework Log'!$A$3:$A$498=$B99)*('Rework Log'!$G$3:$G$498&lt;&gt;"Yes")*('Rework Log'!$G$3:$G$498&lt;&gt;"Did not pass re-test"))=0),"Blocked - log it on Rework Log",IF(AND(LEFT($AJ99,3)&lt;&gt;"Yes",SUMPRODUCT(('Rework Log'!$A$3:$A$498=$B99)*('Rework Log'!$G$3:$G$498&lt;&gt;"Yes")*('Rework Log'!$G$3:$G$498&lt;&gt;"Did not pass re-test"))&gt;0),"Open rework row - mark Blocked? or close it",IF(AND($AJ99="Yes – needs DB Dev to fix",M99&lt;&gt;"",SUMPRODUCT(MAX((('Rework Log'!$A$3:$A$498=$B99)*('Rework Log'!$G$3:$G$498&lt;&gt;"Yes")*('Rework Log'!$G$3:$G$498&lt;&gt;"Did not pass re-test"))*'Rework Log'!$I$3:$I$498))&gt;0),"Move old DB Dev completion date to Rework Log (col H)",IF(AND($AJ99="Yes – needs PBI Dev to fix",S99&lt;&gt;"",SUMPRODUCT(MAX((('Rework Log'!$A$3:$A$498=$B99)*('Rework Log'!$G$3:$G$498&lt;&gt;"Yes")*('Rework Log'!$G$3:$G$498&lt;&gt;"Did not pass re-test"))*'Rework Log'!$I$3:$I$498))&gt;0),"Move old PBI Dev completion date to Rework Log (col H)",IF(AND($AJ99="Yes – needs QA to fix",Y99&lt;&gt;"",SUMPRODUCT(MAX((('Rework Log'!$A$3:$A$498=$B99)*('Rework Log'!$G$3:$G$498&lt;&gt;"Yes")*('Rework Log'!$G$3:$G$498&lt;&gt;"Did not pass re-test"))*'Rework Log'!$I$3:$I$498))&gt;0),"Move old QA completion date to Rework Log (col H)",IF(COUNTIF($B$2:$B$527,$B99)&gt;1,"Duplicate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t="str">
        <f>IF($B100="","",IF(AND(LEFT($AJ100,3)="Yes",SUMPRODUCT(('Rework Log'!$A$3:$A$498=$B100)*('Rework Log'!$G$3:$G$498&lt;&gt;"Yes")*('Rework Log'!$G$3:$G$498&lt;&gt;"Did not pass re-test"))=0),"Blocked - log it on Rework Log",IF(AND(LEFT($AJ100,3)&lt;&gt;"Yes",SUMPRODUCT(('Rework Log'!$A$3:$A$498=$B100)*('Rework Log'!$G$3:$G$498&lt;&gt;"Yes")*('Rework Log'!$G$3:$G$498&lt;&gt;"Did not pass re-test"))&gt;0),"Open rework row - mark Blocked? or close it",IF(AND($AJ100="Yes – needs DB Dev to fix",M100&lt;&gt;"",SUMPRODUCT(MAX((('Rework Log'!$A$3:$A$498=$B100)*('Rework Log'!$G$3:$G$498&lt;&gt;"Yes")*('Rework Log'!$G$3:$G$498&lt;&gt;"Did not pass re-test"))*'Rework Log'!$I$3:$I$498))&gt;0),"Move old DB Dev completion date to Rework Log (col H)",IF(AND($AJ100="Yes – needs PBI Dev to fix",S100&lt;&gt;"",SUMPRODUCT(MAX((('Rework Log'!$A$3:$A$498=$B100)*('Rework Log'!$G$3:$G$498&lt;&gt;"Yes")*('Rework Log'!$G$3:$G$498&lt;&gt;"Did not pass re-test"))*'Rework Log'!$I$3:$I$498))&gt;0),"Move old PBI Dev completion date to Rework Log (col H)",IF(AND($AJ100="Yes – needs QA to fix",Y100&lt;&gt;"",SUMPRODUCT(MAX((('Rework Log'!$A$3:$A$498=$B100)*('Rework Log'!$G$3:$G$498&lt;&gt;"Yes")*('Rework Log'!$G$3:$G$498&lt;&gt;"Did not pass re-test"))*'Rework Log'!$I$3:$I$498))&gt;0),"Move old QA completion date to Rework Log (col H)",IF(COUNTIF($B$2:$B$527,$B100)&gt;1,"Duplicate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9" priority="42">
      <formula>ISNUMBER(SEARCH("Blocked",$D2))</formula>
    </cfRule>
    <cfRule type="expression" dxfId="138" priority="43">
      <formula>ISNUMBER(SEARCH("overdue",$D2))</formula>
    </cfRule>
    <cfRule type="expression" dxfId="137" priority="44">
      <formula>ISNUMBER(SEARCH("no target",$D2))</formula>
    </cfRule>
    <cfRule type="expression" dxfId="136" priority="45">
      <formula>ISNUMBER(SEARCH("Review",$D2))</formula>
    </cfRule>
    <cfRule type="expression" dxfId="135" priority="46">
      <formula>OR($D2="On track",$D2="Delivered")</formula>
    </cfRule>
  </conditionalFormatting>
  <conditionalFormatting sqref="J2:O115">
    <cfRule type="expression" dxfId="134" priority="20">
      <formula>$AJ2="Yes – needs DB Dev to fix"</formula>
    </cfRule>
  </conditionalFormatting>
  <conditionalFormatting sqref="J116:O192">
    <cfRule type="expression" dxfId="133" priority="25">
      <formula>$AH116="Yes – needs DB Dev to fix"</formula>
    </cfRule>
  </conditionalFormatting>
  <conditionalFormatting sqref="K41">
    <cfRule type="expression" dxfId="132" priority="601">
      <formula>AND($B41&lt;&gt;"",MOD(ROW(),2)=0)</formula>
    </cfRule>
    <cfRule type="expression" dxfId="131" priority="602">
      <formula>$AJ41="Yes – needs DB Dev to fix"</formula>
    </cfRule>
  </conditionalFormatting>
  <conditionalFormatting sqref="K42">
    <cfRule type="expression" dxfId="130" priority="603">
      <formula>AND($B41&lt;&gt;"",MOD(ROW(),2)=0)</formula>
    </cfRule>
    <cfRule type="expression" dxfId="129" priority="604">
      <formula>$AJ41="Yes – needs DB Dev to fix"</formula>
    </cfRule>
  </conditionalFormatting>
  <conditionalFormatting sqref="K73:L100">
    <cfRule type="expression" dxfId="128" priority="117">
      <formula>$AF73="Yes – needs DB Dev to fix"</formula>
    </cfRule>
  </conditionalFormatting>
  <conditionalFormatting sqref="K101:L115">
    <cfRule type="expression" dxfId="127" priority="347">
      <formula>$AA101="Yes – needs DB Dev to fix"</formula>
    </cfRule>
  </conditionalFormatting>
  <conditionalFormatting sqref="K116:L527">
    <cfRule type="expression" dxfId="126" priority="574">
      <formula>$X116="Yes – needs DB Dev to fix"</formula>
    </cfRule>
  </conditionalFormatting>
  <conditionalFormatting sqref="M73">
    <cfRule type="expression" dxfId="125" priority="24">
      <formula>$AF73="Yes – needs DB Dev to fix"</formula>
    </cfRule>
  </conditionalFormatting>
  <conditionalFormatting sqref="M79">
    <cfRule type="expression" dxfId="124" priority="11">
      <formula>$AF79="Yes – needs DB Dev to fix"</formula>
    </cfRule>
  </conditionalFormatting>
  <conditionalFormatting sqref="M73:P100">
    <cfRule type="expression" dxfId="123" priority="302">
      <formula>$AD73="Yes – needs PBI Dev to fix"</formula>
    </cfRule>
  </conditionalFormatting>
  <conditionalFormatting sqref="M101:P115">
    <cfRule type="expression" dxfId="122" priority="349">
      <formula>$AA101="Yes – needs PBI Dev to fix"</formula>
    </cfRule>
  </conditionalFormatting>
  <conditionalFormatting sqref="M116:P527">
    <cfRule type="expression" dxfId="121" priority="575">
      <formula>$X116="Yes – needs PBI Dev to fix"</formula>
    </cfRule>
  </conditionalFormatting>
  <conditionalFormatting sqref="O101:O113">
    <cfRule type="expression" dxfId="120" priority="23">
      <formula>$AD101="Yes – needs PBI Dev to fix"</formula>
    </cfRule>
  </conditionalFormatting>
  <conditionalFormatting sqref="Q73:Q100">
    <cfRule type="expression" dxfId="119" priority="18">
      <formula>$AJ73="Yes – needs DB Dev to fix"</formula>
    </cfRule>
    <cfRule type="expression" dxfId="118" priority="19">
      <formula>$AF73="Yes – needs DB Dev to fix"</formula>
    </cfRule>
    <cfRule type="expression" dxfId="117" priority="121">
      <formula>$AF73="Yes – needs PBI Dev to fix"</formula>
    </cfRule>
  </conditionalFormatting>
  <conditionalFormatting sqref="Q101:R115 V101:V115 X101:X115">
    <cfRule type="expression" dxfId="116" priority="17">
      <formula>$AA101="Yes – needs QA to fix"</formula>
    </cfRule>
  </conditionalFormatting>
  <conditionalFormatting sqref="Q116:R527">
    <cfRule type="expression" dxfId="115" priority="576">
      <formula>$X116="Yes – needs QA to fix"</formula>
    </cfRule>
  </conditionalFormatting>
  <conditionalFormatting sqref="U10:V19 X10:X19 J29 M29:P29 J32:J33 M32:P33 K40:K41 M40:P41 Q65 T65:U65 V101:V115 X101:X115 Q2:U64 Q66:U115">
    <cfRule type="expression" dxfId="114" priority="32">
      <formula>$AJ2="Yes – needs PBI Dev to fix"</formula>
    </cfRule>
  </conditionalFormatting>
  <conditionalFormatting sqref="R58">
    <cfRule type="expression" dxfId="113" priority="317">
      <formula>AND($B65&lt;&gt;"",MOD(ROW(),2)=0)</formula>
    </cfRule>
    <cfRule type="expression" dxfId="112" priority="319">
      <formula>$AJ65="Yes – needs PBI Dev to fix"</formula>
    </cfRule>
  </conditionalFormatting>
  <conditionalFormatting sqref="R73:U100 T96:T101">
    <cfRule type="expression" dxfId="111" priority="123">
      <formula>$AF73="Yes – needs QA to fix"</formula>
    </cfRule>
  </conditionalFormatting>
  <conditionalFormatting sqref="S101:U115">
    <cfRule type="expression" dxfId="110" priority="363">
      <formula>$AA101="Yes – needs DPO Approval to fix"</formula>
    </cfRule>
  </conditionalFormatting>
  <conditionalFormatting sqref="S116:U527">
    <cfRule type="expression" dxfId="109" priority="577">
      <formula>$X116="Yes – needs DPO Approval to fix"</formula>
    </cfRule>
  </conditionalFormatting>
  <conditionalFormatting sqref="U101:V527 X101:X527">
    <cfRule type="expression" dxfId="108" priority="50">
      <formula>$V101="Yes"</formula>
    </cfRule>
  </conditionalFormatting>
  <conditionalFormatting sqref="U73:Y100">
    <cfRule type="expression" dxfId="107" priority="125">
      <formula>$AF73="Yes – needs DPO Approval to fix"</formula>
    </cfRule>
  </conditionalFormatting>
  <conditionalFormatting sqref="X116:X527">
    <cfRule type="expression" dxfId="106" priority="578">
      <formula>LEFT($X116,3)="Yes"</formula>
    </cfRule>
  </conditionalFormatting>
  <conditionalFormatting sqref="X73:Z100">
    <cfRule type="expression" dxfId="105" priority="477">
      <formula>$Y73="Yes"</formula>
    </cfRule>
  </conditionalFormatting>
  <conditionalFormatting sqref="Z116:AA527">
    <cfRule type="expression" dxfId="104" priority="55">
      <formula>ISNUMBER(SEARCH("Move old",$Z116))</formula>
    </cfRule>
    <cfRule type="expression" dxfId="103" priority="55">
      <formula>ISNUMBER(SEARCH("log it",$Z116))</formula>
    </cfRule>
    <cfRule type="expression" dxfId="102" priority="55">
      <formula>ISNUMBER(SEARCH("Open rework",$Z116))</formula>
    </cfRule>
    <cfRule type="expression" dxfId="101" priority="56">
      <formula>ISNUMBER(SEARCH("Duplicate",$Z116))</formula>
    </cfRule>
    <cfRule type="expression" dxfId="100" priority="57">
      <formula>$Z116&lt;&gt;""</formula>
    </cfRule>
  </conditionalFormatting>
  <conditionalFormatting sqref="Z116:AC527 G2:V40 N3:N44 L41:V42 T65:V65 G41:J42 Z2:AL2 Z3 Z4:AL41 Z42:AK42 Z43:AL44 Z45:AK47 Z101:AE115 AB3:AL3 A2:F87 G65:Q65 Z48:AL72 Z73:AH100 W2:Y527 G43:V64 G66:V73 A74:V527">
    <cfRule type="expression" dxfId="99" priority="58">
      <formula>AND($B2&lt;&gt;"",MOD(ROW(),2)=0)</formula>
    </cfRule>
  </conditionalFormatting>
  <conditionalFormatting sqref="AA3">
    <cfRule type="expression" dxfId="98" priority="605">
      <formula>AND($B3&lt;&gt;"",MOD(ROW(),2)=0)</formula>
    </cfRule>
    <cfRule type="expression" dxfId="97" priority="606">
      <formula>$AJ3="Yes – needs DPO Approval to fix"</formula>
    </cfRule>
  </conditionalFormatting>
  <conditionalFormatting sqref="AA101:AA115 U2:Z115">
    <cfRule type="expression" dxfId="96" priority="15">
      <formula>$AJ2="Yes – needs QA to fix"</formula>
    </cfRule>
  </conditionalFormatting>
  <conditionalFormatting sqref="AA101:AA115">
    <cfRule type="expression" dxfId="95" priority="12">
      <formula>$AJ101="Yes – needs PBI Dev to fix"</formula>
    </cfRule>
    <cfRule type="expression" dxfId="94" priority="13">
      <formula>$AA101="Yes – needs QA to fix"</formula>
    </cfRule>
    <cfRule type="expression" dxfId="93" priority="14">
      <formula>$V101="Yes"</formula>
    </cfRule>
    <cfRule type="expression" dxfId="92" priority="371">
      <formula>LEFT($AA101,3)="Yes"</formula>
    </cfRule>
  </conditionalFormatting>
  <conditionalFormatting sqref="AA2:AE2 AB3:AE3 AA4:AE100">
    <cfRule type="expression" dxfId="91" priority="99">
      <formula>$AJ2="Yes – needs DPO Approval to fix"</formula>
    </cfRule>
  </conditionalFormatting>
  <conditionalFormatting sqref="AB101:AC115">
    <cfRule type="expression" dxfId="90" priority="379">
      <formula>ISNUMBER(SEARCH("Open rework",$AB101))</formula>
    </cfRule>
    <cfRule type="expression" dxfId="89" priority="380">
      <formula>ISNUMBER(SEARCH("Move old",$AB101))</formula>
    </cfRule>
    <cfRule type="expression" dxfId="88" priority="381">
      <formula>ISNUMBER(SEARCH("log it",$AB101))</formula>
    </cfRule>
    <cfRule type="expression" dxfId="87" priority="382">
      <formula>ISNUMBER(SEARCH("Duplicate",$AB101))</formula>
    </cfRule>
    <cfRule type="expression" dxfId="86" priority="383">
      <formula>$AB101&lt;&gt;""</formula>
    </cfRule>
  </conditionalFormatting>
  <conditionalFormatting sqref="AF2:AF115">
    <cfRule type="expression" dxfId="85" priority="71">
      <formula>$AF2="Yes"</formula>
    </cfRule>
  </conditionalFormatting>
  <conditionalFormatting sqref="AF73:AF100">
    <cfRule type="expression" dxfId="84" priority="129">
      <formula>LEFT($AF73,3)="Yes"</formula>
    </cfRule>
  </conditionalFormatting>
  <conditionalFormatting sqref="AG73:AG100">
    <cfRule type="expression" dxfId="83" priority="135">
      <formula>ISNUMBER(SEARCH("Open rework",$AG73))</formula>
    </cfRule>
    <cfRule type="expression" dxfId="82" priority="136">
      <formula>ISNUMBER(SEARCH("Move old",$AG73))</formula>
    </cfRule>
    <cfRule type="expression" dxfId="81" priority="137">
      <formula>ISNUMBER(SEARCH("log it",$AG73))</formula>
    </cfRule>
    <cfRule type="expression" dxfId="80" priority="138">
      <formula>ISNUMBER(SEARCH("Duplicate",$AG73))</formula>
    </cfRule>
    <cfRule type="expression" dxfId="79" priority="139">
      <formula>$AG73&lt;&gt;""</formula>
    </cfRule>
  </conditionalFormatting>
  <conditionalFormatting sqref="AJ2:AJ115">
    <cfRule type="expression" dxfId="78" priority="73">
      <formula>LEFT($AJ2,3)="Yes"</formula>
    </cfRule>
  </conditionalFormatting>
  <conditionalFormatting sqref="AK2:AK115">
    <cfRule type="expression" dxfId="77" priority="79">
      <formula>ISNUMBER(SEARCH("log it",$AK2))</formula>
    </cfRule>
    <cfRule type="expression" dxfId="76" priority="80">
      <formula>ISNUMBER(SEARCH("Open rework",$AK2))</formula>
    </cfRule>
    <cfRule type="expression" dxfId="75" priority="81">
      <formula>ISNUMBER(SEARCH("Move old",$AK2))</formula>
    </cfRule>
    <cfRule type="expression" dxfId="74" priority="82">
      <formula>ISNUMBER(SEARCH("Duplicate",$AK2))</formula>
    </cfRule>
    <cfRule type="expression" dxfId="73" priority="83">
      <formula>$AK2&lt;&gt;""</formula>
    </cfRule>
  </conditionalFormatting>
  <conditionalFormatting sqref="AL45:AL47">
    <cfRule type="expression" dxfId="72" priority="22">
      <formula>AND($B49&lt;&gt;"",MOD(ROW(),2)=0)</formula>
    </cfRule>
  </conditionalFormatting>
  <conditionalFormatting sqref="D88">
    <cfRule type="expression" dxfId="71" priority="618">
      <formula>AND($B50&lt;&gt;"",MOD(ROW(),2)=0)</formula>
    </cfRule>
  </conditionalFormatting>
  <conditionalFormatting sqref="R60">
    <cfRule type="expression" dxfId="70" priority="9">
      <formula>AND($B67&lt;&gt;"",MOD(ROW(),2)=0)</formula>
    </cfRule>
    <cfRule type="expression" dxfId="69" priority="10">
      <formula>$AJ67="Yes – needs PBI Dev to fix"</formula>
    </cfRule>
  </conditionalFormatting>
  <conditionalFormatting sqref="R60:S60">
    <cfRule type="expression" dxfId="68" priority="7">
      <formula>AND($B67&lt;&gt;"",MOD(ROW(),2)=0)</formula>
    </cfRule>
    <cfRule type="expression" dxfId="67" priority="8">
      <formula>$AJ67="Yes – needs PBI Dev to fix"</formula>
    </cfRule>
  </conditionalFormatting>
  <conditionalFormatting sqref="N70">
    <cfRule type="expression" dxfId="66" priority="6">
      <formula>$AD70="Yes – needs PBI Dev to fix"</formula>
    </cfRule>
  </conditionalFormatting>
  <conditionalFormatting sqref="N58">
    <cfRule type="expression" dxfId="65" priority="5">
      <formula>$AD58="Yes – needs PBI Dev to fix"</formula>
    </cfRule>
  </conditionalFormatting>
  <conditionalFormatting sqref="M91">
    <cfRule type="expression" dxfId="64" priority="4">
      <formula>$AF91="Yes – needs DB Dev to fix"</formula>
    </cfRule>
  </conditionalFormatting>
  <conditionalFormatting sqref="M80">
    <cfRule type="expression" dxfId="63" priority="3">
      <formula>$AF80="Yes – needs DB Dev to fix"</formula>
    </cfRule>
  </conditionalFormatting>
  <conditionalFormatting sqref="N82">
    <cfRule type="expression" dxfId="62" priority="2">
      <formula>$AD82="Yes – needs PBI Dev to fix"</formula>
    </cfRule>
  </conditionalFormatting>
  <conditionalFormatting sqref="M83">
    <cfRule type="expression" dxfId="61"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K2:M527 W2:W72 X2:X72 X101:X115"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0">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F3" activePane="bottomLeft" state="frozen"/>
      <selection pane="bottomLeft" activeCell="G2" sqref="G2"/>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173</v>
      </c>
      <c r="D3" s="33" t="s">
        <v>182</v>
      </c>
      <c r="E3" s="33" t="s">
        <v>143</v>
      </c>
      <c r="F3" s="33" t="s">
        <v>358</v>
      </c>
      <c r="G3" s="33" t="s">
        <v>50</v>
      </c>
      <c r="H3" s="3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173</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173</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173</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173</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173</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173</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173</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173</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173</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173</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173</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173</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173</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173</v>
      </c>
      <c r="D17" s="31" t="s">
        <v>188</v>
      </c>
      <c r="E17" s="31" t="s">
        <v>143</v>
      </c>
      <c r="F17" s="31" t="s">
        <v>373</v>
      </c>
      <c r="G17" s="31" t="s">
        <v>50</v>
      </c>
      <c r="H17" s="32" t="s">
        <v>46</v>
      </c>
      <c r="I17" s="32"/>
      <c r="J17" s="32"/>
      <c r="K17" s="31"/>
      <c r="L17" s="31"/>
      <c r="M17" s="3"/>
      <c r="S17" s="28"/>
    </row>
    <row r="18" spans="1:20">
      <c r="A18" s="33" t="s">
        <v>181</v>
      </c>
      <c r="B18" s="32">
        <v>46261</v>
      </c>
      <c r="C18" s="31" t="s">
        <v>173</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173</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173</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175</v>
      </c>
      <c r="B21" s="32">
        <v>46265</v>
      </c>
      <c r="C21" s="31" t="s">
        <v>173</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173</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173</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173</v>
      </c>
      <c r="D24" s="31" t="s">
        <v>188</v>
      </c>
      <c r="E24" s="31" t="s">
        <v>47</v>
      </c>
      <c r="F24" s="31" t="s">
        <v>382</v>
      </c>
      <c r="G24" s="31" t="s">
        <v>50</v>
      </c>
      <c r="H24" s="32" t="s">
        <v>46</v>
      </c>
      <c r="I24" s="170">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173</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187</v>
      </c>
      <c r="B26" s="32">
        <v>46267</v>
      </c>
      <c r="C26" s="31" t="s">
        <v>173</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173</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173</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173</v>
      </c>
      <c r="D29" s="31" t="s">
        <v>188</v>
      </c>
      <c r="E29" s="31" t="s">
        <v>129</v>
      </c>
      <c r="F29" s="31" t="s">
        <v>385</v>
      </c>
      <c r="G29" s="31" t="s">
        <v>50</v>
      </c>
      <c r="H29" s="32" t="s">
        <v>77</v>
      </c>
      <c r="I29" s="32"/>
      <c r="J29" s="32">
        <v>46267</v>
      </c>
      <c r="K29" s="31" t="s">
        <v>77</v>
      </c>
      <c r="L29" s="114"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173</v>
      </c>
      <c r="D30" s="31" t="s">
        <v>188</v>
      </c>
      <c r="E30" s="31" t="s">
        <v>129</v>
      </c>
      <c r="F30" s="31" t="s">
        <v>385</v>
      </c>
      <c r="G30" s="31" t="s">
        <v>50</v>
      </c>
      <c r="H30" s="32" t="s">
        <v>77</v>
      </c>
      <c r="I30" s="32"/>
      <c r="J30" s="32">
        <v>46267</v>
      </c>
      <c r="K30" s="31" t="s">
        <v>77</v>
      </c>
      <c r="L30" s="114"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173</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173</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173</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173</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173</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173</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173</v>
      </c>
      <c r="D37" s="31" t="s">
        <v>182</v>
      </c>
      <c r="E37" s="31" t="s">
        <v>129</v>
      </c>
      <c r="F37" s="31" t="s">
        <v>394</v>
      </c>
      <c r="G37" s="31" t="s">
        <v>53</v>
      </c>
      <c r="H37" s="32" t="s">
        <v>65</v>
      </c>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173</v>
      </c>
      <c r="D38" s="31" t="s">
        <v>182</v>
      </c>
      <c r="E38" s="31" t="s">
        <v>129</v>
      </c>
      <c r="F38" s="31" t="s">
        <v>395</v>
      </c>
      <c r="G38" s="31" t="s">
        <v>53</v>
      </c>
      <c r="H38" s="32" t="s">
        <v>154</v>
      </c>
      <c r="I38" s="32"/>
      <c r="J38" s="32"/>
      <c r="K38" s="31"/>
      <c r="L38" s="31"/>
      <c r="M38" s="3" t="str">
        <f t="shared" ca="1" si="4"/>
        <v>UNCLAIMED 3 d</v>
      </c>
      <c r="N38" t="s">
        <v>368</v>
      </c>
      <c r="P38" t="str">
        <f>'Combined Delivery Data'!B38</f>
        <v>RPT_02_Fixed Factor</v>
      </c>
      <c r="Q38">
        <f t="shared" si="5"/>
        <v>2</v>
      </c>
      <c r="R38">
        <f t="shared" si="6"/>
        <v>0</v>
      </c>
      <c r="S38" s="28">
        <f t="shared" si="7"/>
        <v>46251</v>
      </c>
      <c r="T38" t="str">
        <f t="shared" si="8"/>
        <v>QA -&gt; DB Dev</v>
      </c>
    </row>
    <row r="39" spans="1:20">
      <c r="A39" s="31" t="s">
        <v>192</v>
      </c>
      <c r="B39" s="32">
        <v>46279</v>
      </c>
      <c r="C39" s="31" t="s">
        <v>173</v>
      </c>
      <c r="D39" s="31" t="s">
        <v>188</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173</v>
      </c>
      <c r="D40" s="31" t="s">
        <v>182</v>
      </c>
      <c r="E40" s="31" t="s">
        <v>47</v>
      </c>
      <c r="F40" s="31" t="s">
        <v>398</v>
      </c>
      <c r="G40" s="31" t="s">
        <v>53</v>
      </c>
      <c r="H40" s="32" t="s">
        <v>44</v>
      </c>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173</v>
      </c>
      <c r="D41" s="31" t="s">
        <v>188</v>
      </c>
      <c r="E41" s="31" t="s">
        <v>202</v>
      </c>
      <c r="F41" s="31" t="s">
        <v>399</v>
      </c>
      <c r="G41" s="31" t="s">
        <v>50</v>
      </c>
      <c r="H41" s="32" t="s">
        <v>46</v>
      </c>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c r="A42" s="31" t="s">
        <v>211</v>
      </c>
      <c r="B42" s="32">
        <v>46282</v>
      </c>
      <c r="C42" s="31" t="s">
        <v>173</v>
      </c>
      <c r="D42" s="31" t="s">
        <v>182</v>
      </c>
      <c r="E42" s="31" t="s">
        <v>47</v>
      </c>
      <c r="F42" s="31" t="s">
        <v>400</v>
      </c>
      <c r="G42" s="31" t="s">
        <v>53</v>
      </c>
      <c r="H42" s="32" t="s">
        <v>154</v>
      </c>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c r="A43" s="31"/>
      <c r="B43" s="32"/>
      <c r="C43" s="31" t="s">
        <v>173</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173</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173</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173</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173</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173</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173</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173</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173</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173</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173</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173</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173</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173</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173</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173</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173</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173</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c r="A61" s="31"/>
      <c r="B61" s="32"/>
      <c r="C61" s="31" t="s">
        <v>173</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173</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173</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173</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173</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173</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173</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173</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173</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173</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173</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173</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173</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173</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173</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173</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173</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173</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173</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173</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173</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173</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173</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173</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173</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173</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173</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173</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173</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173</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173</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173</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173</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173</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173</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173</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173</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173</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173</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173</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173</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173</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173</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173</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173</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173</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173</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173</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173</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173</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173</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173</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173</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173</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173</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173</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173</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173</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173</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173</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173</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173</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173</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173</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173</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173</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173</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173</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173</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173</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173</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173</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173</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173</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173</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173</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173</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173</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173</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173</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173</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173</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173</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173</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173</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173</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173</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173</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173</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173</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173</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173</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173</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173</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173</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173</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173</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173</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173</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173</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173</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173</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173</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173</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173</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173</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173</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173</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173</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173</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173</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173</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173</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173</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173</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173</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173</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173</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173</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173</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173</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173</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173</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173</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173</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173</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173</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173</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173</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173</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173</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173</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173</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173</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173</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173</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188</v>
      </c>
      <c r="C14" s="9" t="s">
        <v>424</v>
      </c>
      <c r="D14" s="9" t="s">
        <v>425</v>
      </c>
      <c r="E14" s="9" t="s">
        <v>46</v>
      </c>
      <c r="F14" s="9"/>
      <c r="G14" s="9"/>
      <c r="H14" s="10">
        <v>46115</v>
      </c>
      <c r="I14" s="10">
        <v>46120</v>
      </c>
      <c r="J14" s="10">
        <v>46120</v>
      </c>
    </row>
    <row r="15" spans="1:10" ht="14.25" customHeight="1">
      <c r="A15" s="9" t="s">
        <v>40</v>
      </c>
      <c r="B15" s="9" t="s">
        <v>173</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188</v>
      </c>
      <c r="C24" s="9" t="s">
        <v>64</v>
      </c>
      <c r="D24" s="9" t="s">
        <v>425</v>
      </c>
      <c r="E24" s="9" t="s">
        <v>46</v>
      </c>
      <c r="F24" s="9"/>
      <c r="G24" s="9"/>
      <c r="H24" s="10">
        <v>46115</v>
      </c>
      <c r="I24" s="10">
        <v>46120</v>
      </c>
      <c r="J24" s="10">
        <v>46120</v>
      </c>
    </row>
    <row r="25" spans="1:10" ht="14.25" customHeight="1">
      <c r="A25" s="9" t="s">
        <v>40</v>
      </c>
      <c r="B25" s="9" t="s">
        <v>173</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188</v>
      </c>
      <c r="C34" s="9" t="s">
        <v>70</v>
      </c>
      <c r="D34" s="9" t="s">
        <v>425</v>
      </c>
      <c r="E34" s="9" t="s">
        <v>60</v>
      </c>
      <c r="F34" s="9"/>
      <c r="G34" s="9"/>
      <c r="H34" s="10">
        <v>46122</v>
      </c>
      <c r="I34" s="10">
        <v>46126</v>
      </c>
      <c r="J34" s="10">
        <v>46126</v>
      </c>
    </row>
    <row r="35" spans="1:10" ht="14.25" customHeight="1">
      <c r="A35" s="9" t="s">
        <v>40</v>
      </c>
      <c r="B35" s="9" t="s">
        <v>173</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188</v>
      </c>
      <c r="C49" s="9" t="s">
        <v>97</v>
      </c>
      <c r="D49" s="9" t="s">
        <v>425</v>
      </c>
      <c r="E49" s="9" t="s">
        <v>60</v>
      </c>
      <c r="F49" s="9"/>
      <c r="G49" s="9"/>
      <c r="H49" s="10"/>
      <c r="I49" s="10">
        <v>46139</v>
      </c>
      <c r="J49" s="10">
        <v>46139</v>
      </c>
    </row>
    <row r="50" spans="1:10" ht="14.25" customHeight="1">
      <c r="A50" s="9" t="s">
        <v>40</v>
      </c>
      <c r="B50" s="9" t="s">
        <v>173</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188</v>
      </c>
      <c r="C54" s="9" t="s">
        <v>98</v>
      </c>
      <c r="D54" s="9" t="s">
        <v>425</v>
      </c>
      <c r="E54" s="9" t="s">
        <v>60</v>
      </c>
      <c r="F54" s="9"/>
      <c r="G54" s="9"/>
      <c r="H54" s="9"/>
      <c r="I54" s="10">
        <v>46141</v>
      </c>
      <c r="J54" s="10">
        <v>46141</v>
      </c>
    </row>
    <row r="55" spans="1:10" ht="14.25" customHeight="1">
      <c r="A55" s="9" t="s">
        <v>40</v>
      </c>
      <c r="B55" s="9" t="s">
        <v>173</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188</v>
      </c>
      <c r="C59" s="9" t="s">
        <v>99</v>
      </c>
      <c r="D59" s="9" t="s">
        <v>425</v>
      </c>
      <c r="E59" s="9" t="s">
        <v>46</v>
      </c>
      <c r="F59" s="9"/>
      <c r="G59" s="9"/>
      <c r="H59" s="10"/>
      <c r="I59" s="10">
        <v>46161</v>
      </c>
      <c r="J59" s="10">
        <v>46161</v>
      </c>
    </row>
    <row r="60" spans="1:10" ht="14.25" customHeight="1">
      <c r="A60" s="9" t="s">
        <v>40</v>
      </c>
      <c r="B60" s="9" t="s">
        <v>173</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188</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446</v>
      </c>
      <c r="R4" t="s">
        <v>447</v>
      </c>
      <c r="T4" t="s">
        <v>72</v>
      </c>
    </row>
    <row r="5" spans="1:20" ht="15" customHeight="1">
      <c r="A5" t="s">
        <v>416</v>
      </c>
      <c r="B5" t="s">
        <v>425</v>
      </c>
      <c r="C5" t="s">
        <v>77</v>
      </c>
      <c r="F5" t="s">
        <v>188</v>
      </c>
      <c r="G5" t="s">
        <v>425</v>
      </c>
      <c r="H5" t="s">
        <v>129</v>
      </c>
      <c r="I5" t="s">
        <v>210</v>
      </c>
      <c r="J5" t="s">
        <v>173</v>
      </c>
      <c r="L5" t="s">
        <v>448</v>
      </c>
      <c r="M5" t="s">
        <v>88</v>
      </c>
      <c r="N5" t="s">
        <v>449</v>
      </c>
    </row>
    <row r="6" spans="1:20" ht="15" customHeight="1">
      <c r="A6" t="s">
        <v>304</v>
      </c>
      <c r="B6" t="s">
        <v>84</v>
      </c>
      <c r="F6" t="s">
        <v>173</v>
      </c>
      <c r="G6" t="s">
        <v>84</v>
      </c>
      <c r="H6" t="s">
        <v>143</v>
      </c>
      <c r="I6" t="s">
        <v>190</v>
      </c>
      <c r="J6" t="s">
        <v>164</v>
      </c>
      <c r="M6" t="s">
        <v>48</v>
      </c>
      <c r="N6" t="s">
        <v>449</v>
      </c>
    </row>
    <row r="7" spans="1:20" ht="15" customHeight="1">
      <c r="A7" t="s">
        <v>294</v>
      </c>
      <c r="B7" t="s">
        <v>65</v>
      </c>
      <c r="F7" t="s">
        <v>164</v>
      </c>
      <c r="G7" t="s">
        <v>65</v>
      </c>
      <c r="H7" t="s">
        <v>202</v>
      </c>
      <c r="I7" t="s">
        <v>450</v>
      </c>
      <c r="M7" t="s">
        <v>129</v>
      </c>
      <c r="N7" t="s">
        <v>451</v>
      </c>
    </row>
    <row r="8" spans="1:20" ht="15" customHeight="1">
      <c r="B8" t="s">
        <v>76</v>
      </c>
      <c r="F8" t="s">
        <v>128</v>
      </c>
      <c r="G8" t="s">
        <v>76</v>
      </c>
      <c r="I8" t="s">
        <v>452</v>
      </c>
      <c r="M8" t="s">
        <v>60</v>
      </c>
      <c r="N8" t="s">
        <v>453</v>
      </c>
    </row>
    <row r="9" spans="1:20" ht="15" customHeight="1">
      <c r="B9" t="s">
        <v>103</v>
      </c>
      <c r="F9" t="s">
        <v>42</v>
      </c>
      <c r="G9" t="s">
        <v>103</v>
      </c>
      <c r="I9" t="s">
        <v>454</v>
      </c>
      <c r="M9" t="s">
        <v>154</v>
      </c>
      <c r="N9" t="s">
        <v>455</v>
      </c>
    </row>
    <row r="10" spans="1:20" ht="15" customHeight="1">
      <c r="B10" t="s">
        <v>154</v>
      </c>
      <c r="G10" t="s">
        <v>154</v>
      </c>
      <c r="M10" t="s">
        <v>47</v>
      </c>
      <c r="N10" t="s">
        <v>456</v>
      </c>
    </row>
    <row r="11" spans="1:20">
      <c r="B11" t="s">
        <v>457</v>
      </c>
      <c r="G11" t="s">
        <v>60</v>
      </c>
      <c r="M11" t="s">
        <v>76</v>
      </c>
      <c r="N11" t="s">
        <v>458</v>
      </c>
    </row>
    <row r="12" spans="1:20">
      <c r="B12" t="s">
        <v>459</v>
      </c>
      <c r="G12" t="s">
        <v>46</v>
      </c>
      <c r="M12" t="s">
        <v>46</v>
      </c>
      <c r="N12" t="s">
        <v>460</v>
      </c>
    </row>
    <row r="13" spans="1:20">
      <c r="G13" t="s">
        <v>77</v>
      </c>
      <c r="M13" t="s">
        <v>77</v>
      </c>
      <c r="N13" t="s">
        <v>461</v>
      </c>
    </row>
    <row r="14" spans="1:20">
      <c r="M14" t="s">
        <v>84</v>
      </c>
      <c r="N14" t="s">
        <v>462</v>
      </c>
    </row>
    <row r="15" spans="1:20">
      <c r="M15" t="s">
        <v>59</v>
      </c>
      <c r="N15" t="s">
        <v>463</v>
      </c>
    </row>
    <row r="16" spans="1:20">
      <c r="M16" t="s">
        <v>65</v>
      </c>
      <c r="N16" t="s">
        <v>464</v>
      </c>
    </row>
    <row r="17" spans="13:14">
      <c r="M17" t="s">
        <v>425</v>
      </c>
      <c r="N17" t="s">
        <v>464</v>
      </c>
    </row>
    <row r="18" spans="13:14">
      <c r="M18" t="s">
        <v>228</v>
      </c>
      <c r="N18" t="s">
        <v>465</v>
      </c>
    </row>
    <row r="19" spans="13:14">
      <c r="M19" t="s">
        <v>202</v>
      </c>
      <c r="N19" t="s">
        <v>466</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2026-09-17T17:32:16Z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