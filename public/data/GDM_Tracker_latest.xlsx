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94" documentId="13_ncr:1_{52745E9B-3AA1-4770-AAD3-E6166BFC13AE}" xr6:coauthVersionLast="47" xr6:coauthVersionMax="47" xr10:uidLastSave="{64EB1F39-DBAC-4786-B519-0A353EC4FE35}"/>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<sst xmlns="http://schemas.openxmlformats.org/spreadsheetml/2006/main" count="3107" uniqueCount="438">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</sst>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R58" activePane="topRight" state="frozen"/>
      <selection pane="topRight" activeCell="U60" sqref="U6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v>46280</v>
      </c>
      <c r="X72" s="36">
        <v>46280</v>
      </c>
      <c r="Y72" s="36">
        <v>46280</v>
      </c>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3" t="str">
        <f>IF($B$4="","",IFERROR(INDEX('Combined Delivery Data'!$A:$A,MATCH($B$4,'Combined Delivery Data'!$B:$B,0)),""))</f>
        <v/>
      </c>
      <c r="C6" s="176"/>
      <c r="D6" s="176"/>
      <c r="E6" s="177"/>
    </row>
    <row r="7" spans="1:5" ht="15">
      <c r="A7" s="42" t="s">
        <v>333</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334</v>
      </c>
      <c r="B14" s="172" t="str">
        <f>IF($B$4="","",IFERROR(INDEX('Combined Delivery Data'!$K:$K,MATCH($B$4,'Combined Delivery Data'!$B:$B,0)),""))</f>
        <v/>
      </c>
      <c r="C14" s="176"/>
      <c r="D14" s="176"/>
      <c r="E14" s="177"/>
    </row>
    <row r="15" spans="1:5" ht="15">
      <c r="A15" s="42" t="s">
        <v>335</v>
      </c>
      <c r="B15" s="172" t="str">
        <f>IF($B$4="","",IFERROR(INDEX('Combined Delivery Data'!$L:$L,MATCH($B$4,'Combined Delivery Data'!$B:$B,0)),""))</f>
        <v/>
      </c>
      <c r="C15" s="176"/>
      <c r="D15" s="176"/>
      <c r="E15" s="177"/>
    </row>
    <row r="16" spans="1:5" ht="15">
      <c r="A16" s="42" t="s">
        <v>336</v>
      </c>
      <c r="B16" s="172" t="str">
        <f>IF($B$4="","",IFERROR(INDEX('Combined Delivery Data'!$M:$M,MATCH($B$4,'Combined Delivery Data'!$B:$B,0)),""))</f>
        <v/>
      </c>
      <c r="C16" s="176"/>
      <c r="D16" s="176"/>
      <c r="E16" s="177"/>
    </row>
    <row r="17" spans="1:5" ht="15">
      <c r="A17" s="42" t="s">
        <v>337</v>
      </c>
      <c r="B17" s="172" t="str">
        <f>IF($B$4="","",IFERROR(INDEX('Combined Delivery Data'!$O:$O,MATCH($B$4,'Combined Delivery Data'!$B:$B,0)),""))</f>
        <v/>
      </c>
      <c r="C17" s="176"/>
      <c r="D17" s="176"/>
      <c r="E17" s="177"/>
    </row>
    <row r="18" spans="1:5" ht="15">
      <c r="A18" s="42" t="s">
        <v>338</v>
      </c>
      <c r="B18" s="172" t="str">
        <f>IF($B$4="","",IFERROR(INDEX('Combined Delivery Data'!$Q:$Q,MATCH($B$4,'Combined Delivery Data'!$B:$B,0)),""))</f>
        <v/>
      </c>
      <c r="C18" s="176"/>
      <c r="D18" s="176"/>
      <c r="E18" s="177"/>
    </row>
    <row r="19" spans="1:5" ht="15">
      <c r="A19" s="42" t="s">
        <v>339</v>
      </c>
      <c r="B19" s="172" t="str">
        <f>IF($B$4="","",IFERROR(INDEX('Combined Delivery Data'!$R:$R,MATCH($B$4,'Combined Delivery Data'!$B:$B,0)),""))</f>
        <v/>
      </c>
      <c r="C19" s="176"/>
      <c r="D19" s="176"/>
      <c r="E19" s="177"/>
    </row>
    <row r="20" spans="1:5" ht="15">
      <c r="A20" s="42" t="s">
        <v>340</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F26" activePane="bottomLeft" state="frozen"/>
      <selection pane="bottomLeft" activeCell="O34" sqref="O34"/>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15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14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14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13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12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7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2026-09-15T15:16:35Z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