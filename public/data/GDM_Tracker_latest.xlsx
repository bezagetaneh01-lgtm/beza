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47" documentId="13_ncr:1_{52745E9B-3AA1-4770-AAD3-E6166BFC13AE}" xr6:coauthVersionLast="47" xr6:coauthVersionMax="47" xr10:uidLastSave="{1F0F94D7-E947-4D7B-A51D-722617960C96}"/>
  <bookViews>
    <workbookView xWindow="28680" yWindow="-120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<sst xmlns="http://schemas.openxmlformats.org/spreadsheetml/2006/main" count="2948" uniqueCount="416">
  <si>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</si>
  <si>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</si>
  <si>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</si>
  <si>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</si>
  <si>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</si>
  <si>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</si>
  <si>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</si>
  <si>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</si>
  <si>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</si>
  <si>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</si>
  <si>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</si>
  <si>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</si>
  <si>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</si>
  <si>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</si>
  <si>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</si>
  <si>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</si>
  <si>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</si>
  <si>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</si>
  <si>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</si>
  <si>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</si>
  <si>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</si>
  <si>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</si>
  <si>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</si>
  <si>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</si>
  <si>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</si>
  <si>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</si>
  <si>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</si>
  <si>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</si>
  <si>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</si>
  <si>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</si>
  <si>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</si>
  <si>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</si>
  <si>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</si>
  <si>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</si>
  <si>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</si>
  <si>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</si>
  <si>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</si>
  <si>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</si>
  <si>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</si>
  <si>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</si>
  <si>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</si>
  <si>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</si>
  <si>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</si>
  <si>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</si>
  <si>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</si>
  <si>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</si>
  <si>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</si>
  <si>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</si>
  <si>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</si>
  <si>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</si>
  <si>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</si>
  <si>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</si>
  <si>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</si>
  <si>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</si>
  <si>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</si>
  <si>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</si>
  <si>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</si>
  <si>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</si>
  <si>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</si>
  <si>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</si>
  <si>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</si>
  <si>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</si>
  <si>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</si>
  <si>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</si>
  <si>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</si>
  <si>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</si>
  <si>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</si>
  <si>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</si>
  <si>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</si>
  <si>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</si>
  <si>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</si>
  <si>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</si>
  <si>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</si>
  <si>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</si>
  <si>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</si>
  <si>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</si>
  <si>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</si>
  <si>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</si>
  <si>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</si>
  <si>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</si>
  <si>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</si>
  <si>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</si>
  <si>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</si>
  <si>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</si>
  <si>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</si>
  <si>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</si>
  <si>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</si>
  <si>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</si>
  <si>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</si>
  <si>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</si>
  <si>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</si>
  <si>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</si>
  <si>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</si>
  <si>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</si>
  <si>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</si>
  <si>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</si>
  <si>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</si>
  <si>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</si>
  <si>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</si>
  <si>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</si>
  <si>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</si>
  <si>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</si>
  <si>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</si>
  <si>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</si>
  <si>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</si>
  <si>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</si>
  <si>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</si>
  <si>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</si>
  <si>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</si>
  <si>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</si>
  <si>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</si>
  <si>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</si>
  <si>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</si>
  <si>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</si>
  <si>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</si>
  <si>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</si>
  <si>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</si>
  <si>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</si>
  <si>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</si>
  <si>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</si>
  <si>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</si>
  <si>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</si>
  <si>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</si>
  <si>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</si>
  <si>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</si>
  <si>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</si>
  <si>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</si>
  <si>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</si>
  <si>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</si>
  <si>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</si>
  <si>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</si>
  <si>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</si>
  <si>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</si>
  <si>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</si>
  <si>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</si>
  <si>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</si>
  <si>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</si>
  <si>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</si>
  <si>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</si>
  <si>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</si>
  <si>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</si>
  <si>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</si>
  <si>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</si>
  <si>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</si>
  <si>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</si>
  <si>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</si>
  <si>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</si>
  <si>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</si>
  <si>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</si>
  <si>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</si>
  <si>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</si>
  <si>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</si>
  <si>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</si>
  <si>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</si>
  <si>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</si>
  <si>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</si>
  <si>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</si>
  <si>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</si>
  <si>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</si>
  <si>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</si>
  <si>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</si>
  <si>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</si>
  <si>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</si>
  <si>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</si>
  <si>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</si>
  <si>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</si>
  <si>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</si>
  <si>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</si>
  <si>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</si>
  <si>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</si>
  <si>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</si>
  <si>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</si>
  <si>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</si>
  <si>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</si>
  <si>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</si>
  <si>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</si>
  <si>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</si>
  <si>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</si>
  <si>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</si>
  <si>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</si>
  <si>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</si>
  <si>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</si>
  <si>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</si>
  <si>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</si>
  <si>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</si>
  <si>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</si>
  <si>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</si>
  <si>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</si>
  <si>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</si>
  <si>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</si>
  <si>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</si>
  <si>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 xml:space="preserve">Waiting for DB View to deploy to QA 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</si>
  <si>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</si>
  <si>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</si>
  <si>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</si>
  <si>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</si>
  <si>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</si>
  <si>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</si>
  <si>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</si>
  <si>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</si>
  <si>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</si>
  <si>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</si>
  <si>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</si>
  <si>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</si>
  <si>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</si>
  <si>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</si>
  <si>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</si>
  <si>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</si>
  <si>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</si>
  <si>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</si>
  <si>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</si>
  <si>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</si>
  <si>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</si>
  <si>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</si>
  <si>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</si>
  <si>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</si>
  <si>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</si>
  <si>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</si>
  <si>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</si>
  <si>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</si>
  <si>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</si>
  <si>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</si>
  <si>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</si>
  <si>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</si>
  <si>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</si>
  <si>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</si>
  <si>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</si>
  <si>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</si>
  <si>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</si>
  <si>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</si>
  <si>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</si>
  <si>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</si>
  <si>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</si>
  <si>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</si>
  <si>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</si>
  <si>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</si>
  <si>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</si>
  <si>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</si>
  <si>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</si>
  <si>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</si>
  <si>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</si>
  <si>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</si>
  <si>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</si>
  <si>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</si>
  <si>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</si>
  <si>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</si>
  <si>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</si>
  <si>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</si>
  <si>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</si>
  <si>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</si>
  <si>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</si>
  <si>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</si>
  <si>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</si>
  <si>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</si>
  <si>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</si>
  <si>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</si>
  <si>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</si>
  <si>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</si>
  <si>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</si>
  <si>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</si>
  <si>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</si>
  <si>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</si>
  <si>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</si>
  <si>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</si>
  <si>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</si>
  <si>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</si>
  <si>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</si>
  <si>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</si>
  <si>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</si>
  <si>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</si>
  <si>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</si>
  <si>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</si>
  <si>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</si>
  <si>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</si>
  <si>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</si>
  <si>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</si>
  <si>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</si>
  <si>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</si>
  <si>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</si>
  <si>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</si>
  <si>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</si>
  <si>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</si>
  <si>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</si>
  <si>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</si>
  <si>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</si>
  <si>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</si>
  <si>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</si>
  <si>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</si>
  <si>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</si>
  <si>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</si>
  <si>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</si>
  <si>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</si>
  <si>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</si>
  <si>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</si>
  <si>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</si>
  <si>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</si>
  <si>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</si>
  <si>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</si>
  <si>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</si>
  <si>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</si>
  <si>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</si>
  <si>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</si>
  <si>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</si>
  <si>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</si>
  <si>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</si>
  <si>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</si>
  <si>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</si>
  <si>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</si>
  <si>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</si>
  <si>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</si>
  <si>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</si>
  <si>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</si>
  <si>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</si>
  <si>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</si>
  <si>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</si>
  <si>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</si>
  <si>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</si>
  <si>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</si>
  <si>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</si>
  <si>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</si>
  <si>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</si>
  <si>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</si>
  <si>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</si>
  <si>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</si>
  <si>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</si>
  <si>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</si>
  <si>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</si>
  <si>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</si>
  <si>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</si>
  <si>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</si>
  <si>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</si>
  <si>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</si>
  <si>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</si>
  <si>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</si>
  <si>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</si>
  <si>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</si>
  <si>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</si>
  <si>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</si>
  <si>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</si>
  <si>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</si>
  <si>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</si>
  <si>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</si>
  <si>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</si>
  <si>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</si>
  <si>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</si>
  <si>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</si>
  <si>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</si>
  <si>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</si>
  <si>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</si>
  <si>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</si>
  <si>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</si>
  <si>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</si>
  <si>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</si>
  <si>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</si>
  <si>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</si>
  <si>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</si>
  <si>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</si>
  <si>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</si>
  <si>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</si>
  <si>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</si>
  <si>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</si>
  <si>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</si>
  <si>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</si>
  <si>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</si>
  <si>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</si>
  <si>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</si>
  <si>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</si>
  <si>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</si>
  <si>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</si>
  <si>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</si>
  <si>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</si>
  <si>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</si>
  <si>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</si>
  <si>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Perfomance issue and data not loading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</si>
  <si>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</si>
  <si>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</si>
  <si>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</si>
  <si>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</si>
  <si>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</si>
  <si>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</si>
  <si>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</si>
  <si>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</si>
  <si>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</si>
  <si>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</si>
  <si>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</si>
  <si>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</si>
  <si>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</si>
  <si>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</si>
  <si>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</si>
  <si>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</si>
  <si>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</si>
  <si>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</si>
  <si>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</si>
  <si>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</si>
  <si>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</si>
  <si>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</si>
  <si>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</si>
  <si>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</si>
  <si>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</si>
  <si>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</si>
  <si>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</si>
  <si>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</si>
  <si>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</si>
  <si>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</si>
  <si>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</si>
  <si>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</si>
  <si>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</si>
  <si>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</si>
  <si>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</si>
  <si>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</si>
  <si>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</si>
  <si>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</si>
  <si>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</si>
  <si>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</si>
  <si>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</si>
  <si>
    <t xml:space="preserve">ASsigned Tech difference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</si>
</sst>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15" fillId="0" borderId="0" xfId="0" applyFont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0" fillId="15" borderId="0" xfId="0" applyFont="1" applyFill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10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107">
  <autoFilter ref="A1:AM115" xr:uid="{00000000-0009-0000-0100-000001000000}">
    <filterColumn colId="5">
      <filters>
        <filter val="Bardia"/>
        <filter val="Kushal"/>
      </filters>
    </filterColumn>
  </autoFilter>
  <tableColumns count="39">
    <tableColumn id="1" xr3:uid="{00000000-0010-0000-0000-000001000000}" name="Domain" dataDxfId="106"/>
    <tableColumn id="2" xr3:uid="{00000000-0010-0000-0000-000002000000}" name="Report Name" dataDxfId="105"/>
    <tableColumn id="3" xr3:uid="{00000000-0010-0000-0000-000003000000}" name="Current Status  (Update next stage after completion date)" dataDxfId="104"/>
    <tableColumn id="4" xr3:uid="{00000000-0010-0000-0000-000004000000}" name="Status Flag" dataDxfId="103"/>
    <tableColumn id="5" xr3:uid="{00000000-0010-0000-0000-000005000000}" name="Business Value Rank" dataDxfId="102"/>
    <tableColumn id="6" xr3:uid="{00000000-0010-0000-0000-000006000000}" name="PO" dataDxfId="101"/>
    <tableColumn id="10" xr3:uid="{00000000-0010-0000-0000-00000A000000}" name="Schema" dataDxfId="100"/>
    <tableColumn id="11" xr3:uid="{00000000-0010-0000-0000-00000B000000}" name="Plan Delivery Date" dataDxfId="99"/>
    <tableColumn id="12" xr3:uid="{00000000-0010-0000-0000-00000C000000}" name="Plan Delivery Month" dataDxfId="98"/>
    <tableColumn id="7" xr3:uid="{00000000-0010-0000-0000-000007000000}" name="DB Developer" dataDxfId="97"/>
    <tableColumn id="13" xr3:uid="{00000000-0010-0000-0000-00000D000000}" name="DB Dev Baseline Completion Date" dataDxfId="96"/>
    <tableColumn id="30" xr3:uid="{00000000-0010-0000-0000-00001E000000}" name="DB Dev Reforecast Completion Date" dataDxfId="95"/>
    <tableColumn id="14" xr3:uid="{00000000-0010-0000-0000-00000E000000}" name="DB Dev Actual Completion Date" dataDxfId="94"/>
    <tableColumn id="35" xr3:uid="{1A518B0C-8D73-4DAB-8F10-7B4DFF037343}" name="Build Source" dataDxfId="93"/>
    <tableColumn id="28" xr3:uid="{EFCDFAEE-1B00-42CE-9649-7541F5DDC136}" name="Sprint DB" dataDxfId="92"/>
    <tableColumn id="8" xr3:uid="{00000000-0010-0000-0000-000008000000}" name="PBI Developer" dataDxfId="91"/>
    <tableColumn id="15" xr3:uid="{00000000-0010-0000-0000-00000F000000}" name="PBI Dev Baseline Completion Date" dataDxfId="90"/>
    <tableColumn id="31" xr3:uid="{00000000-0010-0000-0000-00001F000000}" name="PBI Dev Reforecast Completion Date" dataDxfId="89"/>
    <tableColumn id="16" xr3:uid="{00000000-0010-0000-0000-000010000000}" name="PBI Dev Actual Completion Date" dataDxfId="88"/>
    <tableColumn id="29" xr3:uid="{4630D178-9B47-4360-A40B-22C7384DB9C9}" name="Sprint PBI" dataDxfId="87"/>
    <tableColumn id="9" xr3:uid="{00000000-0010-0000-0000-000009000000}" name="QA Tester" dataDxfId="86"/>
    <tableColumn id="17" xr3:uid="{00000000-0010-0000-0000-000011000000}" name="QA Baseline Completion Date" dataDxfId="85"/>
    <tableColumn id="32" xr3:uid="{00000000-0010-0000-0000-000020000000}" name="QA Reforecast Completion Date" dataDxfId="84"/>
    <tableColumn id="18" xr3:uid="{00000000-0010-0000-0000-000012000000}" name="QA Actual Completion Date" dataDxfId="83"/>
    <tableColumn id="34" xr3:uid="{70C5E8CB-08B0-4A84-9B68-89630FC3C5C7}" name="Sprint QA" dataDxfId="82"/>
    <tableColumn id="19" xr3:uid="{00000000-0010-0000-0000-000013000000}" name="DPO Approval Baseline Completion Date" dataDxfId="81"/>
    <tableColumn id="33" xr3:uid="{00000000-0010-0000-0000-000021000000}" name="DPO Approval Reforecast Completion Date" dataDxfId="80"/>
    <tableColumn id="36" xr3:uid="{86D482BF-E7A4-45A2-B2F5-CA0223EBDDD1}" name="DPO Approval Completion Date" dataDxfId="79"/>
    <tableColumn id="20" xr3:uid="{00000000-0010-0000-0000-000014000000}" name="DPO Approval Reviewer" dataDxfId="78"/>
    <tableColumn id="39" xr3:uid="{D4F67DF1-1A6D-469A-AA66-A681F9EBF81F}" name="Report Type" dataDxfId="77"/>
    <tableColumn id="21" xr3:uid="{00000000-0010-0000-0000-000015000000}" name="Confirmed Deployed?" dataDxfId="76"/>
    <tableColumn id="22" xr3:uid="{00000000-0010-0000-0000-000016000000}" name="Confirmed Deployed Date" dataDxfId="75"/>
    <tableColumn id="23" xr3:uid="{00000000-0010-0000-0000-000017000000}" name="UAT Report URL" dataDxfId="74"/>
    <tableColumn id="24" xr3:uid="{00000000-0010-0000-0000-000018000000}" name="Production URL" dataDxfId="73"/>
    <tableColumn id="25" xr3:uid="{00000000-0010-0000-0000-000019000000}" name="Blocked?" dataDxfId="72"/>
    <tableColumn id="26" xr3:uid="{00000000-0010-0000-0000-00001A000000}" name="Data Check" dataDxfId="71"/>
    <tableColumn id="27" xr3:uid="{00000000-0010-0000-0000-00001B000000}" name="Comments" dataDxfId="70"/>
    <tableColumn id="37" xr3:uid="{80A8E094-8F50-434A-A9E3-195269D50436}" name="QA Rework Due_x0009_DPO Rework Due" dataDxfId="69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68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C1" activePane="topRight" state="frozen"/>
      <selection activeCell="A29" sqref="A29"/>
      <selection pane="topRight" activeCell="F68" sqref="F68"/>
    </sheetView>
  </sheetViews>
  <sheetFormatPr defaultRowHeight="15" customHeight="1" x14ac:dyDescent="0.25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idden="1" x14ac:dyDescent="0.25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idden="1" x14ac:dyDescent="0.25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idden="1" x14ac:dyDescent="0.25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idden="1" x14ac:dyDescent="0.25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idden="1" x14ac:dyDescent="0.25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idden="1" x14ac:dyDescent="0.25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idden="1" x14ac:dyDescent="0.25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idden="1" x14ac:dyDescent="0.25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idden="1" x14ac:dyDescent="0.25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idden="1" x14ac:dyDescent="0.25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idden="1" x14ac:dyDescent="0.25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idden="1" x14ac:dyDescent="0.25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idden="1" x14ac:dyDescent="0.25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idden="1" x14ac:dyDescent="0.25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idden="1" x14ac:dyDescent="0.25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idden="1" x14ac:dyDescent="0.25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idden="1" x14ac:dyDescent="0.25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idden="1" x14ac:dyDescent="0.25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idden="1" x14ac:dyDescent="0.25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idden="1" x14ac:dyDescent="0.25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idden="1" x14ac:dyDescent="0.25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idden="1" x14ac:dyDescent="0.25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idden="1" x14ac:dyDescent="0.25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idden="1" x14ac:dyDescent="0.25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idden="1" x14ac:dyDescent="0.25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idden="1" x14ac:dyDescent="0.25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idden="1" x14ac:dyDescent="0.25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 x14ac:dyDescent="0.25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 x14ac:dyDescent="0.25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 x14ac:dyDescent="0.25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 x14ac:dyDescent="0.25">
      <c r="A32" s="33" t="s">
        <v>126</v>
      </c>
      <c r="B32" s="33" t="s">
        <v>139</v>
      </c>
      <c r="C32" s="33" t="s">
        <v>185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t="str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 x14ac:dyDescent="0.25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 x14ac:dyDescent="0.25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 x14ac:dyDescent="0.25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 x14ac:dyDescent="0.25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 x14ac:dyDescent="0.25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 x14ac:dyDescent="0.25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 x14ac:dyDescent="0.25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 x14ac:dyDescent="0.25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 x14ac:dyDescent="0.25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 x14ac:dyDescent="0.25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 x14ac:dyDescent="0.25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 x14ac:dyDescent="0.25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 x14ac:dyDescent="0.25">
      <c r="A45" s="33" t="s">
        <v>126</v>
      </c>
      <c r="B45" s="33" t="s">
        <v>175</v>
      </c>
      <c r="C45" s="33" t="s">
        <v>128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46265</v>
      </c>
      <c r="X45" s="36">
        <v>46265</v>
      </c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 x14ac:dyDescent="0.25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>Open rework row - mark Blocked? or close it</v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 x14ac:dyDescent="0.25">
      <c r="A47" s="33" t="s">
        <v>126</v>
      </c>
      <c r="B47" s="33" t="s">
        <v>180</v>
      </c>
      <c r="C47" s="33" t="s">
        <v>128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 x14ac:dyDescent="0.25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 x14ac:dyDescent="0.25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 x14ac:dyDescent="0.25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 x14ac:dyDescent="0.25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x14ac:dyDescent="0.25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46266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 x14ac:dyDescent="0.25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 x14ac:dyDescent="0.25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 x14ac:dyDescent="0.25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 x14ac:dyDescent="0.25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204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 x14ac:dyDescent="0.25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204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 x14ac:dyDescent="0.25">
      <c r="A58" s="33" t="s">
        <v>126</v>
      </c>
      <c r="B58" s="33" t="s">
        <v>207</v>
      </c>
      <c r="C58" s="33" t="s">
        <v>206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 x14ac:dyDescent="0.25">
      <c r="A59" s="33" t="s">
        <v>126</v>
      </c>
      <c r="B59" s="33" t="s">
        <v>208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46265</v>
      </c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 x14ac:dyDescent="0.25">
      <c r="A60" s="33" t="s">
        <v>126</v>
      </c>
      <c r="B60" s="33" t="s">
        <v>209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210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 x14ac:dyDescent="0.25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212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 x14ac:dyDescent="0.25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214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x14ac:dyDescent="0.25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216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x14ac:dyDescent="0.25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218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 x14ac:dyDescent="0.25">
      <c r="A65" s="33" t="s">
        <v>126</v>
      </c>
      <c r="B65" s="33" t="s">
        <v>219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x14ac:dyDescent="0.25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218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x14ac:dyDescent="0.25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222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 x14ac:dyDescent="0.25">
      <c r="A68" s="82" t="s">
        <v>126</v>
      </c>
      <c r="B68" s="80" t="s">
        <v>223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224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225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226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227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x14ac:dyDescent="0.25">
      <c r="A69" s="33" t="s">
        <v>126</v>
      </c>
      <c r="B69" s="81" t="s">
        <v>228</v>
      </c>
      <c r="C69" s="33" t="s">
        <v>206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229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230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x14ac:dyDescent="0.25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x14ac:dyDescent="0.25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233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 x14ac:dyDescent="0.25">
      <c r="A72" s="33" t="s">
        <v>126</v>
      </c>
      <c r="B72" s="33" t="s">
        <v>234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 x14ac:dyDescent="0.25">
      <c r="A73" s="79" t="s">
        <v>126</v>
      </c>
      <c r="B73" s="31" t="s">
        <v>235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236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237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 x14ac:dyDescent="0.25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236</v>
      </c>
      <c r="J74" s="55" t="s">
        <v>224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237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 x14ac:dyDescent="0.25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236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237</v>
      </c>
      <c r="U75" s="47"/>
      <c r="W75" s="43"/>
      <c r="X75" s="31"/>
      <c r="Y75" s="36"/>
      <c r="AA75" s="43"/>
      <c r="AB75" s="43"/>
      <c r="AC75" s="31" t="s">
        <v>240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 x14ac:dyDescent="0.25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236</v>
      </c>
      <c r="J76" s="55" t="s">
        <v>58</v>
      </c>
      <c r="K76" s="51"/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237</v>
      </c>
      <c r="U76" s="47"/>
      <c r="W76" s="43"/>
      <c r="X76" s="31"/>
      <c r="Y76" s="36"/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 x14ac:dyDescent="0.25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236</v>
      </c>
      <c r="J77" s="55" t="s">
        <v>158</v>
      </c>
      <c r="K77" s="51"/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237</v>
      </c>
      <c r="U77" s="47"/>
      <c r="W77" s="43"/>
      <c r="X77" s="31"/>
      <c r="Y77" s="36"/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 x14ac:dyDescent="0.25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236</v>
      </c>
      <c r="J78" s="55" t="s">
        <v>43</v>
      </c>
      <c r="K78" s="51"/>
      <c r="L78" s="43"/>
      <c r="M78" s="44"/>
      <c r="N78" s="44"/>
      <c r="O78" s="44" t="s">
        <v>244</v>
      </c>
      <c r="P78" s="76"/>
      <c r="Q78" s="51"/>
      <c r="R78" s="43"/>
      <c r="S78" s="44"/>
      <c r="T78" s="71" t="s">
        <v>237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 x14ac:dyDescent="0.25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236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237</v>
      </c>
      <c r="U79" s="47"/>
      <c r="W79" s="43"/>
      <c r="X79" s="31"/>
      <c r="Y79" s="36"/>
      <c r="AA79" s="43"/>
      <c r="AB79" s="43"/>
      <c r="AC79" s="31" t="s">
        <v>246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 x14ac:dyDescent="0.25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236</v>
      </c>
      <c r="J80" s="55"/>
      <c r="K80" s="51"/>
      <c r="L80" s="43"/>
      <c r="M80" s="44"/>
      <c r="N80" s="44"/>
      <c r="O80" s="44" t="s">
        <v>244</v>
      </c>
      <c r="P80" s="76"/>
      <c r="Q80" s="51"/>
      <c r="R80" s="43"/>
      <c r="S80" s="44"/>
      <c r="T80" s="71" t="s">
        <v>237</v>
      </c>
      <c r="U80" s="47"/>
      <c r="W80" s="43"/>
      <c r="X80" s="31"/>
      <c r="Y80" s="36"/>
      <c r="AA80" s="43"/>
      <c r="AB80" s="43"/>
      <c r="AC80" s="31" t="s">
        <v>210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 x14ac:dyDescent="0.25">
      <c r="A81" s="31" t="s">
        <v>126</v>
      </c>
      <c r="B81" s="31" t="s">
        <v>248</v>
      </c>
      <c r="C81" s="31" t="s">
        <v>206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236</v>
      </c>
      <c r="J81" s="55"/>
      <c r="K81" s="51"/>
      <c r="L81" s="43"/>
      <c r="M81" s="44"/>
      <c r="N81" s="44"/>
      <c r="O81" s="44" t="s">
        <v>244</v>
      </c>
      <c r="P81" s="76"/>
      <c r="Q81" s="51"/>
      <c r="R81" s="43"/>
      <c r="S81" s="44"/>
      <c r="T81" s="70" t="s">
        <v>249</v>
      </c>
      <c r="U81" s="47"/>
      <c r="W81" s="43"/>
      <c r="X81" s="31"/>
      <c r="Y81" s="36"/>
      <c r="AA81" s="43"/>
      <c r="AB81" s="43"/>
      <c r="AC81" s="31" t="s">
        <v>218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 x14ac:dyDescent="0.25">
      <c r="A82" s="31" t="s">
        <v>126</v>
      </c>
      <c r="B82" s="31" t="s">
        <v>250</v>
      </c>
      <c r="C82" s="31" t="s">
        <v>206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236</v>
      </c>
      <c r="J82" s="55"/>
      <c r="K82" s="51"/>
      <c r="L82" s="43"/>
      <c r="M82" s="44"/>
      <c r="N82" s="44"/>
      <c r="O82" s="36" t="s">
        <v>251</v>
      </c>
      <c r="P82" s="76"/>
      <c r="Q82" s="51"/>
      <c r="R82" s="43"/>
      <c r="S82" s="44"/>
      <c r="T82" s="70" t="s">
        <v>249</v>
      </c>
      <c r="U82" s="47"/>
      <c r="W82" s="43"/>
      <c r="X82" s="31"/>
      <c r="Y82" s="36"/>
      <c r="AA82" s="43"/>
      <c r="AB82" s="43"/>
      <c r="AC82" s="31" t="s">
        <v>252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 x14ac:dyDescent="0.25">
      <c r="A83" s="31" t="s">
        <v>126</v>
      </c>
      <c r="B83" s="31" t="s">
        <v>253</v>
      </c>
      <c r="C83" s="31" t="s">
        <v>206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236</v>
      </c>
      <c r="J83" s="55"/>
      <c r="K83" s="51"/>
      <c r="L83" s="43"/>
      <c r="M83" s="44"/>
      <c r="N83" s="44"/>
      <c r="O83" s="36" t="s">
        <v>251</v>
      </c>
      <c r="P83" s="76"/>
      <c r="Q83" s="51"/>
      <c r="R83" s="43"/>
      <c r="S83" s="44"/>
      <c r="T83" s="70" t="s">
        <v>249</v>
      </c>
      <c r="U83" s="47"/>
      <c r="W83" s="43"/>
      <c r="X83" s="31"/>
      <c r="Y83" s="36"/>
      <c r="AA83" s="43"/>
      <c r="AB83" s="43"/>
      <c r="AC83" s="31" t="s">
        <v>254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 x14ac:dyDescent="0.25">
      <c r="A84" s="31" t="s">
        <v>126</v>
      </c>
      <c r="B84" s="31" t="s">
        <v>255</v>
      </c>
      <c r="C84" s="31" t="s">
        <v>206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236</v>
      </c>
      <c r="J84" s="55"/>
      <c r="K84" s="51"/>
      <c r="L84" s="43"/>
      <c r="M84" s="44"/>
      <c r="N84" s="44"/>
      <c r="O84" s="36" t="s">
        <v>251</v>
      </c>
      <c r="P84" s="76"/>
      <c r="Q84" s="51"/>
      <c r="R84" s="43"/>
      <c r="S84" s="44"/>
      <c r="T84" s="70" t="s">
        <v>249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 x14ac:dyDescent="0.25">
      <c r="A85" s="31" t="s">
        <v>126</v>
      </c>
      <c r="B85" s="31" t="s">
        <v>256</v>
      </c>
      <c r="C85" s="31" t="s">
        <v>206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257</v>
      </c>
      <c r="F85" s="31"/>
      <c r="G85" s="31"/>
      <c r="H85" s="50">
        <v>46325</v>
      </c>
      <c r="I85" s="57" t="s">
        <v>236</v>
      </c>
      <c r="J85" s="55"/>
      <c r="K85" s="51"/>
      <c r="L85" s="43"/>
      <c r="M85" s="44"/>
      <c r="N85" s="44"/>
      <c r="O85" s="36" t="s">
        <v>258</v>
      </c>
      <c r="P85" s="76"/>
      <c r="Q85" s="51"/>
      <c r="R85" s="43"/>
      <c r="S85" s="44"/>
      <c r="T85" s="70" t="s">
        <v>249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 x14ac:dyDescent="0.25">
      <c r="A86" s="31" t="s">
        <v>126</v>
      </c>
      <c r="B86" s="31" t="s">
        <v>259</v>
      </c>
      <c r="C86" s="31" t="s">
        <v>206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260</v>
      </c>
      <c r="J86" s="55"/>
      <c r="K86" s="51"/>
      <c r="L86" s="43"/>
      <c r="M86" s="44"/>
      <c r="N86" s="44"/>
      <c r="O86" s="36" t="s">
        <v>258</v>
      </c>
      <c r="P86" s="76"/>
      <c r="Q86" s="51"/>
      <c r="R86" s="43"/>
      <c r="S86" s="44"/>
      <c r="T86" s="70" t="s">
        <v>249</v>
      </c>
      <c r="U86" s="47"/>
      <c r="W86" s="43"/>
      <c r="X86" s="31"/>
      <c r="Y86" s="36"/>
      <c r="AA86" s="43"/>
      <c r="AB86" s="43"/>
      <c r="AC86" s="31" t="s">
        <v>261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 x14ac:dyDescent="0.25">
      <c r="A87" s="31" t="s">
        <v>126</v>
      </c>
      <c r="B87" s="31" t="s">
        <v>262</v>
      </c>
      <c r="C87" s="31" t="s">
        <v>206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260</v>
      </c>
      <c r="J87" s="55"/>
      <c r="K87" s="51"/>
      <c r="L87" s="43"/>
      <c r="M87" s="44"/>
      <c r="N87" s="44"/>
      <c r="O87" s="36" t="s">
        <v>258</v>
      </c>
      <c r="P87" s="76"/>
      <c r="Q87" s="51"/>
      <c r="R87" s="43"/>
      <c r="S87" s="44"/>
      <c r="T87" s="70" t="s">
        <v>249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 x14ac:dyDescent="0.25">
      <c r="A88" s="31" t="s">
        <v>126</v>
      </c>
      <c r="B88" s="31" t="s">
        <v>263</v>
      </c>
      <c r="C88" s="31" t="s">
        <v>206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260</v>
      </c>
      <c r="J88" s="55"/>
      <c r="K88" s="51"/>
      <c r="L88" s="43"/>
      <c r="M88" s="44"/>
      <c r="N88" s="44"/>
      <c r="O88" s="36" t="s">
        <v>258</v>
      </c>
      <c r="P88" s="76"/>
      <c r="Q88" s="51"/>
      <c r="R88" s="43"/>
      <c r="S88" s="44"/>
      <c r="T88" s="70" t="s">
        <v>264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 x14ac:dyDescent="0.25">
      <c r="A89" s="31" t="s">
        <v>126</v>
      </c>
      <c r="B89" s="31" t="s">
        <v>265</v>
      </c>
      <c r="C89" s="31" t="s">
        <v>206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260</v>
      </c>
      <c r="J89" s="55"/>
      <c r="K89" s="51"/>
      <c r="L89" s="43"/>
      <c r="M89" s="44"/>
      <c r="N89" s="44"/>
      <c r="O89" s="36" t="s">
        <v>258</v>
      </c>
      <c r="P89" s="76"/>
      <c r="Q89" s="51"/>
      <c r="R89" s="43"/>
      <c r="S89" s="44"/>
      <c r="T89" s="70" t="s">
        <v>264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 x14ac:dyDescent="0.25">
      <c r="A90" s="31" t="s">
        <v>126</v>
      </c>
      <c r="B90" s="31" t="s">
        <v>266</v>
      </c>
      <c r="C90" s="31" t="s">
        <v>206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260</v>
      </c>
      <c r="J90" s="55"/>
      <c r="K90" s="51"/>
      <c r="L90" s="43"/>
      <c r="M90" s="44"/>
      <c r="N90" s="44"/>
      <c r="O90" s="36" t="s">
        <v>258</v>
      </c>
      <c r="P90" s="76"/>
      <c r="Q90" s="51"/>
      <c r="R90" s="43"/>
      <c r="S90" s="44"/>
      <c r="T90" s="70" t="s">
        <v>264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 x14ac:dyDescent="0.25">
      <c r="A91" s="31" t="s">
        <v>126</v>
      </c>
      <c r="B91" s="31" t="s">
        <v>267</v>
      </c>
      <c r="C91" s="31" t="s">
        <v>206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260</v>
      </c>
      <c r="J91" s="55"/>
      <c r="K91" s="51"/>
      <c r="L91" s="43"/>
      <c r="M91" s="44"/>
      <c r="N91" s="44"/>
      <c r="O91" s="36" t="s">
        <v>258</v>
      </c>
      <c r="P91" s="76"/>
      <c r="Q91" s="51"/>
      <c r="R91" s="43"/>
      <c r="S91" s="44"/>
      <c r="T91" s="70" t="s">
        <v>264</v>
      </c>
      <c r="U91" s="47"/>
      <c r="W91" s="43"/>
      <c r="X91" s="31"/>
      <c r="Y91" s="36"/>
      <c r="AA91" s="43"/>
      <c r="AB91" s="43"/>
      <c r="AC91" s="31" t="s">
        <v>268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 x14ac:dyDescent="0.25">
      <c r="A92" s="31" t="s">
        <v>126</v>
      </c>
      <c r="B92" s="31" t="s">
        <v>269</v>
      </c>
      <c r="C92" s="31" t="s">
        <v>206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260</v>
      </c>
      <c r="J92" s="55"/>
      <c r="K92" s="51"/>
      <c r="L92" s="43"/>
      <c r="M92" s="44"/>
      <c r="N92" s="44"/>
      <c r="O92" s="36" t="s">
        <v>270</v>
      </c>
      <c r="P92" s="76"/>
      <c r="Q92" s="51"/>
      <c r="R92" s="43"/>
      <c r="S92" s="44"/>
      <c r="T92" s="70" t="s">
        <v>264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 x14ac:dyDescent="0.25">
      <c r="A93" s="31" t="s">
        <v>126</v>
      </c>
      <c r="B93" s="31" t="s">
        <v>271</v>
      </c>
      <c r="C93" s="31" t="s">
        <v>206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260</v>
      </c>
      <c r="J93" s="55"/>
      <c r="K93" s="51"/>
      <c r="L93" s="43"/>
      <c r="M93" s="44"/>
      <c r="N93" s="44"/>
      <c r="O93" s="36" t="s">
        <v>270</v>
      </c>
      <c r="P93" s="76"/>
      <c r="Q93" s="51"/>
      <c r="R93" s="43"/>
      <c r="S93" s="44"/>
      <c r="T93" s="70" t="s">
        <v>264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 x14ac:dyDescent="0.25">
      <c r="A94" s="31" t="s">
        <v>126</v>
      </c>
      <c r="B94" s="31" t="s">
        <v>272</v>
      </c>
      <c r="C94" s="31" t="s">
        <v>206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260</v>
      </c>
      <c r="J94" s="55"/>
      <c r="K94" s="51"/>
      <c r="L94" s="43"/>
      <c r="M94" s="44"/>
      <c r="N94" s="44"/>
      <c r="O94" s="36" t="s">
        <v>270</v>
      </c>
      <c r="P94" s="76"/>
      <c r="Q94" s="51"/>
      <c r="R94" s="43"/>
      <c r="S94" s="44"/>
      <c r="T94" s="70" t="s">
        <v>264</v>
      </c>
      <c r="U94" s="47"/>
      <c r="W94" s="43"/>
      <c r="X94" s="31"/>
      <c r="Y94" s="36"/>
      <c r="AA94" s="43"/>
      <c r="AB94" s="43"/>
      <c r="AC94" s="31" t="s">
        <v>273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 x14ac:dyDescent="0.25">
      <c r="A95" s="31" t="s">
        <v>126</v>
      </c>
      <c r="B95" s="31" t="s">
        <v>274</v>
      </c>
      <c r="C95" s="31" t="s">
        <v>206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260</v>
      </c>
      <c r="J95" s="55"/>
      <c r="K95" s="51"/>
      <c r="L95" s="43"/>
      <c r="M95" s="44"/>
      <c r="N95" s="44"/>
      <c r="O95" s="36" t="s">
        <v>270</v>
      </c>
      <c r="P95" s="76"/>
      <c r="Q95" s="51"/>
      <c r="R95" s="43"/>
      <c r="S95" s="44"/>
      <c r="T95" s="70" t="s">
        <v>275</v>
      </c>
      <c r="U95" s="47"/>
      <c r="W95" s="43"/>
      <c r="X95" s="31"/>
      <c r="Y95" s="36"/>
      <c r="AA95" s="43"/>
      <c r="AB95" s="43"/>
      <c r="AC95" s="31" t="s">
        <v>276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 x14ac:dyDescent="0.25">
      <c r="A96" s="31" t="s">
        <v>126</v>
      </c>
      <c r="B96" s="31" t="s">
        <v>277</v>
      </c>
      <c r="C96" s="31" t="s">
        <v>206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260</v>
      </c>
      <c r="J96" s="55"/>
      <c r="K96" s="51"/>
      <c r="L96" s="43"/>
      <c r="M96" s="44"/>
      <c r="N96" s="44"/>
      <c r="O96" s="36" t="s">
        <v>270</v>
      </c>
      <c r="P96" s="76"/>
      <c r="Q96" s="51"/>
      <c r="R96" s="43"/>
      <c r="S96" s="44"/>
      <c r="T96" s="70" t="s">
        <v>275</v>
      </c>
      <c r="U96" s="47"/>
      <c r="W96" s="43"/>
      <c r="X96" s="31"/>
      <c r="Y96" s="36"/>
      <c r="AA96" s="43"/>
      <c r="AB96" s="43"/>
      <c r="AC96" s="31" t="s">
        <v>278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 x14ac:dyDescent="0.25">
      <c r="A97" s="31" t="s">
        <v>126</v>
      </c>
      <c r="B97" s="31" t="s">
        <v>279</v>
      </c>
      <c r="C97" s="31" t="s">
        <v>206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260</v>
      </c>
      <c r="J97" s="55"/>
      <c r="K97" s="51"/>
      <c r="L97" s="43"/>
      <c r="M97" s="44"/>
      <c r="N97" s="44"/>
      <c r="O97" s="36" t="s">
        <v>270</v>
      </c>
      <c r="P97" s="76"/>
      <c r="Q97" s="51"/>
      <c r="R97" s="43"/>
      <c r="S97" s="44"/>
      <c r="T97" s="70" t="s">
        <v>275</v>
      </c>
      <c r="U97" s="47"/>
      <c r="W97" s="43"/>
      <c r="X97" s="31"/>
      <c r="Y97" s="36"/>
      <c r="AA97" s="43"/>
      <c r="AB97" s="43"/>
      <c r="AC97" s="31" t="s">
        <v>280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 x14ac:dyDescent="0.25">
      <c r="A98" s="31" t="s">
        <v>126</v>
      </c>
      <c r="B98" s="31" t="s">
        <v>281</v>
      </c>
      <c r="C98" s="31" t="s">
        <v>206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260</v>
      </c>
      <c r="J98" s="55"/>
      <c r="K98" s="51"/>
      <c r="L98" s="43"/>
      <c r="M98" s="44"/>
      <c r="N98" s="44"/>
      <c r="O98" s="36" t="s">
        <v>270</v>
      </c>
      <c r="P98" s="76"/>
      <c r="Q98" s="51"/>
      <c r="R98" s="43"/>
      <c r="S98" s="44"/>
      <c r="T98" s="70" t="s">
        <v>275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 x14ac:dyDescent="0.25">
      <c r="A99" s="31" t="s">
        <v>126</v>
      </c>
      <c r="B99" s="31" t="s">
        <v>282</v>
      </c>
      <c r="C99" s="31" t="s">
        <v>206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283</v>
      </c>
      <c r="F99" s="31"/>
      <c r="G99" s="31"/>
      <c r="H99" s="50">
        <v>46356</v>
      </c>
      <c r="I99" s="57" t="s">
        <v>260</v>
      </c>
      <c r="J99" s="55"/>
      <c r="K99" s="51"/>
      <c r="L99" s="43"/>
      <c r="M99" s="44"/>
      <c r="N99" s="44"/>
      <c r="O99" s="36" t="s">
        <v>270</v>
      </c>
      <c r="P99" s="76"/>
      <c r="Q99" s="51"/>
      <c r="R99" s="43"/>
      <c r="S99" s="44"/>
      <c r="T99" s="70" t="s">
        <v>275</v>
      </c>
      <c r="U99" s="47"/>
      <c r="W99" s="43"/>
      <c r="X99" s="31"/>
      <c r="Y99" s="36"/>
      <c r="AA99" s="43"/>
      <c r="AB99" s="43"/>
      <c r="AC99" s="31" t="s">
        <v>284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 x14ac:dyDescent="0.25">
      <c r="A100" s="31" t="s">
        <v>126</v>
      </c>
      <c r="B100" s="31" t="s">
        <v>285</v>
      </c>
      <c r="C100" s="31" t="s">
        <v>206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260</v>
      </c>
      <c r="J100" s="55"/>
      <c r="K100" s="51"/>
      <c r="L100" s="43"/>
      <c r="M100" s="44"/>
      <c r="N100" s="44"/>
      <c r="O100" s="36" t="s">
        <v>270</v>
      </c>
      <c r="P100" s="76"/>
      <c r="Q100" s="51"/>
      <c r="R100" s="43"/>
      <c r="S100" s="44"/>
      <c r="T100" s="70" t="s">
        <v>275</v>
      </c>
      <c r="U100" s="47"/>
      <c r="W100" s="43"/>
      <c r="X100" s="31"/>
      <c r="Y100" s="36"/>
      <c r="AA100" s="43"/>
      <c r="AB100" s="43"/>
      <c r="AC100" s="31" t="s">
        <v>286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x14ac:dyDescent="0.25">
      <c r="A101" s="31" t="s">
        <v>287</v>
      </c>
      <c r="B101" s="31" t="s">
        <v>288</v>
      </c>
      <c r="C101" s="31" t="s">
        <v>206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289</v>
      </c>
      <c r="J101" s="55"/>
      <c r="L101" s="43"/>
      <c r="M101" s="31"/>
      <c r="N101" s="31"/>
      <c r="O101" s="36" t="s">
        <v>290</v>
      </c>
      <c r="P101" s="76"/>
      <c r="R101" s="43"/>
      <c r="S101" s="31"/>
      <c r="T101" s="70" t="s">
        <v>275</v>
      </c>
      <c r="U101" s="47"/>
      <c r="W101" s="43"/>
      <c r="X101" s="31"/>
      <c r="Y101" s="36"/>
      <c r="AA101" s="43"/>
      <c r="AB101" s="43"/>
      <c r="AC101" s="31" t="s">
        <v>291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x14ac:dyDescent="0.25">
      <c r="A102" s="31" t="s">
        <v>287</v>
      </c>
      <c r="B102" s="31" t="s">
        <v>292</v>
      </c>
      <c r="C102" s="31" t="s">
        <v>206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289</v>
      </c>
      <c r="J102" s="55"/>
      <c r="L102" s="43"/>
      <c r="M102" s="31"/>
      <c r="N102" s="31"/>
      <c r="O102" s="36" t="s">
        <v>290</v>
      </c>
      <c r="P102" s="76"/>
      <c r="R102" s="43"/>
      <c r="S102" s="31"/>
      <c r="T102" s="70" t="s">
        <v>293</v>
      </c>
      <c r="U102" s="47"/>
      <c r="W102" s="43"/>
      <c r="X102" s="31"/>
      <c r="Y102" s="36"/>
      <c r="AA102" s="43"/>
      <c r="AB102" s="43"/>
      <c r="AC102" s="31" t="s">
        <v>294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x14ac:dyDescent="0.25">
      <c r="A103" s="31" t="s">
        <v>287</v>
      </c>
      <c r="B103" s="31" t="s">
        <v>295</v>
      </c>
      <c r="C103" s="31" t="s">
        <v>206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289</v>
      </c>
      <c r="J103" s="55"/>
      <c r="L103" s="43"/>
      <c r="M103" s="31"/>
      <c r="N103" s="31"/>
      <c r="O103" s="36" t="s">
        <v>290</v>
      </c>
      <c r="P103" s="76"/>
      <c r="R103" s="43"/>
      <c r="S103" s="31"/>
      <c r="T103" s="70" t="s">
        <v>293</v>
      </c>
      <c r="U103" s="47"/>
      <c r="W103" s="43"/>
      <c r="X103" s="31"/>
      <c r="Y103" s="36"/>
      <c r="AA103" s="43"/>
      <c r="AB103" s="43"/>
      <c r="AC103" s="31" t="s">
        <v>296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x14ac:dyDescent="0.25">
      <c r="A104" s="31" t="s">
        <v>297</v>
      </c>
      <c r="B104" s="31" t="s">
        <v>298</v>
      </c>
      <c r="C104" s="31" t="s">
        <v>206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289</v>
      </c>
      <c r="J104" s="55"/>
      <c r="L104" s="43"/>
      <c r="M104" s="31"/>
      <c r="N104" s="31"/>
      <c r="O104" s="36" t="s">
        <v>290</v>
      </c>
      <c r="P104" s="76"/>
      <c r="R104" s="43"/>
      <c r="S104" s="31"/>
      <c r="T104" s="70" t="s">
        <v>293</v>
      </c>
      <c r="U104" s="47"/>
      <c r="W104" s="43"/>
      <c r="X104" s="31"/>
      <c r="Y104" s="36"/>
      <c r="AA104" s="43"/>
      <c r="AB104" s="43"/>
      <c r="AC104" s="31" t="s">
        <v>299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x14ac:dyDescent="0.25">
      <c r="A105" s="31" t="s">
        <v>287</v>
      </c>
      <c r="B105" s="31" t="s">
        <v>300</v>
      </c>
      <c r="C105" s="31" t="s">
        <v>206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289</v>
      </c>
      <c r="J105" s="55"/>
      <c r="L105" s="43"/>
      <c r="M105" s="31"/>
      <c r="N105" s="31"/>
      <c r="O105" s="36" t="s">
        <v>290</v>
      </c>
      <c r="P105" s="76"/>
      <c r="R105" s="43"/>
      <c r="S105" s="31"/>
      <c r="T105" s="70" t="s">
        <v>293</v>
      </c>
      <c r="U105" s="47"/>
      <c r="W105" s="43"/>
      <c r="X105" s="31"/>
      <c r="Y105" s="36"/>
      <c r="AA105" s="43"/>
      <c r="AB105" s="43"/>
      <c r="AC105" s="31" t="s">
        <v>301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x14ac:dyDescent="0.25">
      <c r="A106" s="31" t="s">
        <v>287</v>
      </c>
      <c r="B106" s="31" t="s">
        <v>302</v>
      </c>
      <c r="C106" s="31" t="s">
        <v>206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289</v>
      </c>
      <c r="J106" s="55"/>
      <c r="L106" s="43"/>
      <c r="M106" s="31"/>
      <c r="N106" s="31"/>
      <c r="O106" s="36" t="s">
        <v>290</v>
      </c>
      <c r="P106" s="76"/>
      <c r="R106" s="43"/>
      <c r="S106" s="31"/>
      <c r="T106" s="70" t="s">
        <v>293</v>
      </c>
      <c r="U106" s="47"/>
      <c r="W106" s="43"/>
      <c r="X106" s="31"/>
      <c r="Y106" s="36"/>
      <c r="AA106" s="43"/>
      <c r="AB106" s="43"/>
      <c r="AC106" s="31" t="s">
        <v>303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x14ac:dyDescent="0.25">
      <c r="A107" s="31" t="s">
        <v>287</v>
      </c>
      <c r="B107" s="31" t="s">
        <v>304</v>
      </c>
      <c r="C107" s="31" t="s">
        <v>206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289</v>
      </c>
      <c r="J107" s="55"/>
      <c r="L107" s="43"/>
      <c r="M107" s="31"/>
      <c r="N107" s="31"/>
      <c r="O107" s="36" t="s">
        <v>290</v>
      </c>
      <c r="P107" s="76"/>
      <c r="R107" s="43"/>
      <c r="S107" s="31"/>
      <c r="T107" s="70" t="s">
        <v>293</v>
      </c>
      <c r="U107" s="47"/>
      <c r="W107" s="43"/>
      <c r="X107" s="31"/>
      <c r="Y107" s="36"/>
      <c r="AA107" s="43"/>
      <c r="AB107" s="43"/>
      <c r="AC107" s="31" t="s">
        <v>305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x14ac:dyDescent="0.25">
      <c r="A108" s="31" t="s">
        <v>287</v>
      </c>
      <c r="B108" s="31" t="s">
        <v>306</v>
      </c>
      <c r="C108" s="31" t="s">
        <v>206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289</v>
      </c>
      <c r="J108" s="55"/>
      <c r="L108" s="43"/>
      <c r="M108" s="31"/>
      <c r="N108" s="31"/>
      <c r="O108" s="36" t="s">
        <v>307</v>
      </c>
      <c r="P108" s="76"/>
      <c r="R108" s="43"/>
      <c r="S108" s="31"/>
      <c r="T108" s="70" t="s">
        <v>293</v>
      </c>
      <c r="U108" s="47"/>
      <c r="W108" s="43"/>
      <c r="X108" s="31"/>
      <c r="Y108" s="36"/>
      <c r="AA108" s="43"/>
      <c r="AB108" s="43"/>
      <c r="AC108" s="31" t="s">
        <v>308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x14ac:dyDescent="0.25">
      <c r="A109" s="31" t="s">
        <v>297</v>
      </c>
      <c r="B109" s="31" t="s">
        <v>309</v>
      </c>
      <c r="C109" s="31" t="s">
        <v>206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289</v>
      </c>
      <c r="J109" s="55"/>
      <c r="L109" s="43"/>
      <c r="M109" s="31"/>
      <c r="N109" s="31"/>
      <c r="O109" s="36" t="s">
        <v>307</v>
      </c>
      <c r="P109" s="76"/>
      <c r="R109" s="43"/>
      <c r="S109" s="31"/>
      <c r="T109" s="70" t="s">
        <v>310</v>
      </c>
      <c r="U109" s="47"/>
      <c r="W109" s="43"/>
      <c r="X109" s="31"/>
      <c r="Y109" s="36"/>
      <c r="AA109" s="43"/>
      <c r="AB109" s="43"/>
      <c r="AC109" s="31" t="s">
        <v>311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x14ac:dyDescent="0.25">
      <c r="A110" s="31" t="s">
        <v>287</v>
      </c>
      <c r="B110" s="31" t="s">
        <v>312</v>
      </c>
      <c r="C110" s="31" t="s">
        <v>206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289</v>
      </c>
      <c r="J110" s="55"/>
      <c r="L110" s="43"/>
      <c r="M110" s="31"/>
      <c r="N110" s="31"/>
      <c r="O110" s="36" t="s">
        <v>307</v>
      </c>
      <c r="P110" s="76"/>
      <c r="R110" s="43"/>
      <c r="S110" s="31"/>
      <c r="T110" s="70" t="s">
        <v>310</v>
      </c>
      <c r="U110" s="47"/>
      <c r="W110" s="43"/>
      <c r="X110" s="31"/>
      <c r="Y110" s="36"/>
      <c r="AA110" s="43"/>
      <c r="AB110" s="43"/>
      <c r="AC110" s="31" t="s">
        <v>313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x14ac:dyDescent="0.25">
      <c r="A111" s="31" t="s">
        <v>297</v>
      </c>
      <c r="B111" s="31" t="s">
        <v>314</v>
      </c>
      <c r="C111" s="31" t="s">
        <v>206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289</v>
      </c>
      <c r="J111" s="55"/>
      <c r="L111" s="43"/>
      <c r="M111" s="31"/>
      <c r="N111" s="31"/>
      <c r="O111" s="36" t="s">
        <v>307</v>
      </c>
      <c r="P111" s="76"/>
      <c r="R111" s="43"/>
      <c r="S111" s="31"/>
      <c r="T111" s="70" t="s">
        <v>310</v>
      </c>
      <c r="U111" s="47"/>
      <c r="W111" s="43"/>
      <c r="X111" s="31"/>
      <c r="Y111" s="36"/>
      <c r="AA111" s="43"/>
      <c r="AB111" s="43"/>
      <c r="AC111" s="31" t="s">
        <v>315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x14ac:dyDescent="0.25">
      <c r="A112" s="31" t="s">
        <v>297</v>
      </c>
      <c r="B112" s="31" t="s">
        <v>316</v>
      </c>
      <c r="C112" s="31" t="s">
        <v>206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289</v>
      </c>
      <c r="J112" s="55"/>
      <c r="L112" s="43"/>
      <c r="M112" s="31"/>
      <c r="N112" s="31"/>
      <c r="O112" s="36" t="s">
        <v>307</v>
      </c>
      <c r="P112" s="76"/>
      <c r="R112" s="43"/>
      <c r="S112" s="31"/>
      <c r="T112" s="70" t="s">
        <v>310</v>
      </c>
      <c r="U112" s="47"/>
      <c r="W112" s="43"/>
      <c r="X112" s="31"/>
      <c r="Y112" s="36"/>
      <c r="AA112" s="43"/>
      <c r="AB112" s="43"/>
      <c r="AC112" s="31" t="s">
        <v>311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x14ac:dyDescent="0.25">
      <c r="A113" s="31" t="s">
        <v>297</v>
      </c>
      <c r="B113" s="31" t="s">
        <v>317</v>
      </c>
      <c r="C113" s="31" t="s">
        <v>206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289</v>
      </c>
      <c r="J113" s="55"/>
      <c r="L113" s="43"/>
      <c r="M113" s="31"/>
      <c r="N113" s="31"/>
      <c r="O113" s="36" t="s">
        <v>307</v>
      </c>
      <c r="P113" s="76"/>
      <c r="R113" s="43"/>
      <c r="S113" s="31"/>
      <c r="T113" s="70" t="s">
        <v>310</v>
      </c>
      <c r="U113" s="47"/>
      <c r="W113" s="43"/>
      <c r="X113" s="31"/>
      <c r="Y113" s="36"/>
      <c r="AA113" s="43"/>
      <c r="AB113" s="43"/>
      <c r="AC113" s="31" t="s">
        <v>311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x14ac:dyDescent="0.25">
      <c r="A114" s="31" t="s">
        <v>297</v>
      </c>
      <c r="B114" s="31" t="s">
        <v>318</v>
      </c>
      <c r="C114" s="31" t="s">
        <v>206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289</v>
      </c>
      <c r="J114" s="55"/>
      <c r="L114" s="43"/>
      <c r="M114" s="31"/>
      <c r="N114" s="31"/>
      <c r="O114" s="36" t="s">
        <v>319</v>
      </c>
      <c r="P114" s="76"/>
      <c r="R114" s="43"/>
      <c r="S114" s="31"/>
      <c r="T114" s="70" t="s">
        <v>310</v>
      </c>
      <c r="U114" s="47"/>
      <c r="W114" s="43"/>
      <c r="X114" s="31"/>
      <c r="Y114" s="36"/>
      <c r="AA114" s="43"/>
      <c r="AB114" s="43"/>
      <c r="AC114" s="31" t="s">
        <v>315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x14ac:dyDescent="0.25">
      <c r="A115" s="31" t="s">
        <v>297</v>
      </c>
      <c r="B115" s="31" t="s">
        <v>320</v>
      </c>
      <c r="C115" s="31" t="s">
        <v>206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289</v>
      </c>
      <c r="J115" s="55"/>
      <c r="L115" s="43"/>
      <c r="M115" s="31"/>
      <c r="N115" s="31"/>
      <c r="O115" s="36" t="s">
        <v>319</v>
      </c>
      <c r="P115" s="76"/>
      <c r="R115" s="43"/>
      <c r="S115" s="31"/>
      <c r="T115" s="70" t="s">
        <v>310</v>
      </c>
      <c r="U115" s="47"/>
      <c r="W115" s="43"/>
      <c r="X115" s="31"/>
      <c r="Y115" s="36"/>
      <c r="AA115" s="43"/>
      <c r="AB115" s="43"/>
      <c r="AC115" s="31" t="s">
        <v>261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 x14ac:dyDescent="0.2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 x14ac:dyDescent="0.2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 x14ac:dyDescent="0.2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 x14ac:dyDescent="0.2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 x14ac:dyDescent="0.2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 x14ac:dyDescent="0.2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 x14ac:dyDescent="0.2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 x14ac:dyDescent="0.2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 x14ac:dyDescent="0.2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 x14ac:dyDescent="0.2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 x14ac:dyDescent="0.2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 x14ac:dyDescent="0.2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 x14ac:dyDescent="0.2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 x14ac:dyDescent="0.2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 x14ac:dyDescent="0.2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 x14ac:dyDescent="0.2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 x14ac:dyDescent="0.2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 x14ac:dyDescent="0.2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 x14ac:dyDescent="0.2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 x14ac:dyDescent="0.2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 x14ac:dyDescent="0.2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 x14ac:dyDescent="0.2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 x14ac:dyDescent="0.2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 x14ac:dyDescent="0.2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 x14ac:dyDescent="0.2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 x14ac:dyDescent="0.2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 x14ac:dyDescent="0.2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 x14ac:dyDescent="0.2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 x14ac:dyDescent="0.2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 x14ac:dyDescent="0.2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 x14ac:dyDescent="0.2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 x14ac:dyDescent="0.2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 x14ac:dyDescent="0.2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 x14ac:dyDescent="0.2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 x14ac:dyDescent="0.2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 x14ac:dyDescent="0.2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 x14ac:dyDescent="0.2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 x14ac:dyDescent="0.2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 x14ac:dyDescent="0.2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 x14ac:dyDescent="0.2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 x14ac:dyDescent="0.2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 x14ac:dyDescent="0.2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 x14ac:dyDescent="0.2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 x14ac:dyDescent="0.2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 x14ac:dyDescent="0.2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 x14ac:dyDescent="0.2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 x14ac:dyDescent="0.2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 x14ac:dyDescent="0.2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 x14ac:dyDescent="0.2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 x14ac:dyDescent="0.2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 x14ac:dyDescent="0.2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 x14ac:dyDescent="0.2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 x14ac:dyDescent="0.2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 x14ac:dyDescent="0.2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 x14ac:dyDescent="0.2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 x14ac:dyDescent="0.2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 x14ac:dyDescent="0.2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 x14ac:dyDescent="0.2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 x14ac:dyDescent="0.2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 x14ac:dyDescent="0.2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 x14ac:dyDescent="0.2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 x14ac:dyDescent="0.2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 x14ac:dyDescent="0.2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 x14ac:dyDescent="0.2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 x14ac:dyDescent="0.2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 x14ac:dyDescent="0.2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 x14ac:dyDescent="0.2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 x14ac:dyDescent="0.2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 x14ac:dyDescent="0.2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 x14ac:dyDescent="0.2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 x14ac:dyDescent="0.2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 x14ac:dyDescent="0.2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 x14ac:dyDescent="0.2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 x14ac:dyDescent="0.2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 x14ac:dyDescent="0.2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 x14ac:dyDescent="0.2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 x14ac:dyDescent="0.2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 x14ac:dyDescent="0.2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 x14ac:dyDescent="0.2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 x14ac:dyDescent="0.2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 x14ac:dyDescent="0.2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 x14ac:dyDescent="0.2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 x14ac:dyDescent="0.2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 x14ac:dyDescent="0.2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 x14ac:dyDescent="0.2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 x14ac:dyDescent="0.2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 x14ac:dyDescent="0.2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 x14ac:dyDescent="0.2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 x14ac:dyDescent="0.2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 x14ac:dyDescent="0.2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 x14ac:dyDescent="0.2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 x14ac:dyDescent="0.2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 x14ac:dyDescent="0.2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 x14ac:dyDescent="0.2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 x14ac:dyDescent="0.2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 x14ac:dyDescent="0.2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 x14ac:dyDescent="0.2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 x14ac:dyDescent="0.2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 x14ac:dyDescent="0.2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 x14ac:dyDescent="0.2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 x14ac:dyDescent="0.2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 x14ac:dyDescent="0.2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 x14ac:dyDescent="0.2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 x14ac:dyDescent="0.2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 x14ac:dyDescent="0.2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 x14ac:dyDescent="0.2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 x14ac:dyDescent="0.2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 x14ac:dyDescent="0.2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 x14ac:dyDescent="0.2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 x14ac:dyDescent="0.2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 x14ac:dyDescent="0.2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 x14ac:dyDescent="0.2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 x14ac:dyDescent="0.2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 x14ac:dyDescent="0.2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 x14ac:dyDescent="0.2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 x14ac:dyDescent="0.2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 x14ac:dyDescent="0.2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 x14ac:dyDescent="0.2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 x14ac:dyDescent="0.2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 x14ac:dyDescent="0.2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 x14ac:dyDescent="0.2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 x14ac:dyDescent="0.2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 x14ac:dyDescent="0.2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 x14ac:dyDescent="0.2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 x14ac:dyDescent="0.2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 x14ac:dyDescent="0.2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 x14ac:dyDescent="0.2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 x14ac:dyDescent="0.2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 x14ac:dyDescent="0.2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 x14ac:dyDescent="0.2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 x14ac:dyDescent="0.2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 x14ac:dyDescent="0.2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 x14ac:dyDescent="0.2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 x14ac:dyDescent="0.2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 x14ac:dyDescent="0.2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 x14ac:dyDescent="0.2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 x14ac:dyDescent="0.2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 x14ac:dyDescent="0.2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 x14ac:dyDescent="0.2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 x14ac:dyDescent="0.2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 x14ac:dyDescent="0.2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 x14ac:dyDescent="0.2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 x14ac:dyDescent="0.2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 x14ac:dyDescent="0.2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 x14ac:dyDescent="0.2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 x14ac:dyDescent="0.2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 x14ac:dyDescent="0.2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 x14ac:dyDescent="0.2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 x14ac:dyDescent="0.2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 x14ac:dyDescent="0.2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 x14ac:dyDescent="0.2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 x14ac:dyDescent="0.2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 x14ac:dyDescent="0.2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 x14ac:dyDescent="0.2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 x14ac:dyDescent="0.2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 x14ac:dyDescent="0.2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 x14ac:dyDescent="0.2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 x14ac:dyDescent="0.2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 x14ac:dyDescent="0.2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 x14ac:dyDescent="0.2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 x14ac:dyDescent="0.2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 x14ac:dyDescent="0.2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 x14ac:dyDescent="0.2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 x14ac:dyDescent="0.2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 x14ac:dyDescent="0.2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 x14ac:dyDescent="0.2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 x14ac:dyDescent="0.2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 x14ac:dyDescent="0.2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 x14ac:dyDescent="0.2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 x14ac:dyDescent="0.2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 x14ac:dyDescent="0.2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 x14ac:dyDescent="0.2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 x14ac:dyDescent="0.2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 x14ac:dyDescent="0.2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 x14ac:dyDescent="0.2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 x14ac:dyDescent="0.2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 x14ac:dyDescent="0.2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 x14ac:dyDescent="0.2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 x14ac:dyDescent="0.2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 x14ac:dyDescent="0.2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 x14ac:dyDescent="0.2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 x14ac:dyDescent="0.2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 x14ac:dyDescent="0.2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 x14ac:dyDescent="0.2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 x14ac:dyDescent="0.2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 x14ac:dyDescent="0.2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 x14ac:dyDescent="0.2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 x14ac:dyDescent="0.2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 x14ac:dyDescent="0.2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 x14ac:dyDescent="0.2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 x14ac:dyDescent="0.2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 x14ac:dyDescent="0.2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 x14ac:dyDescent="0.2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 x14ac:dyDescent="0.2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 x14ac:dyDescent="0.2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 x14ac:dyDescent="0.2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 x14ac:dyDescent="0.2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 x14ac:dyDescent="0.2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 x14ac:dyDescent="0.2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 x14ac:dyDescent="0.2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 x14ac:dyDescent="0.2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 x14ac:dyDescent="0.2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 x14ac:dyDescent="0.2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 x14ac:dyDescent="0.2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 x14ac:dyDescent="0.2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 x14ac:dyDescent="0.2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 x14ac:dyDescent="0.2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 x14ac:dyDescent="0.2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 x14ac:dyDescent="0.2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 x14ac:dyDescent="0.2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 x14ac:dyDescent="0.2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 x14ac:dyDescent="0.2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 x14ac:dyDescent="0.2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 x14ac:dyDescent="0.2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 x14ac:dyDescent="0.2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 x14ac:dyDescent="0.2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 x14ac:dyDescent="0.2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 x14ac:dyDescent="0.2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 x14ac:dyDescent="0.2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 x14ac:dyDescent="0.2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 x14ac:dyDescent="0.2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 x14ac:dyDescent="0.2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 x14ac:dyDescent="0.2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 x14ac:dyDescent="0.2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 x14ac:dyDescent="0.2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 x14ac:dyDescent="0.2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 x14ac:dyDescent="0.2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 x14ac:dyDescent="0.2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 x14ac:dyDescent="0.2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 x14ac:dyDescent="0.2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 x14ac:dyDescent="0.2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 x14ac:dyDescent="0.2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 x14ac:dyDescent="0.2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 x14ac:dyDescent="0.2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 x14ac:dyDescent="0.2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 x14ac:dyDescent="0.2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 x14ac:dyDescent="0.2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 x14ac:dyDescent="0.2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 x14ac:dyDescent="0.2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 x14ac:dyDescent="0.2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 x14ac:dyDescent="0.2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 x14ac:dyDescent="0.2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 x14ac:dyDescent="0.2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 x14ac:dyDescent="0.2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 x14ac:dyDescent="0.2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 x14ac:dyDescent="0.2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 x14ac:dyDescent="0.2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 x14ac:dyDescent="0.2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 x14ac:dyDescent="0.2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 x14ac:dyDescent="0.2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 x14ac:dyDescent="0.2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 x14ac:dyDescent="0.2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 x14ac:dyDescent="0.2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 x14ac:dyDescent="0.2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 x14ac:dyDescent="0.2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 x14ac:dyDescent="0.2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 x14ac:dyDescent="0.2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 x14ac:dyDescent="0.2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 x14ac:dyDescent="0.2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 x14ac:dyDescent="0.2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 x14ac:dyDescent="0.2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 x14ac:dyDescent="0.2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 x14ac:dyDescent="0.2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 x14ac:dyDescent="0.2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 x14ac:dyDescent="0.2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 x14ac:dyDescent="0.2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 x14ac:dyDescent="0.2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 x14ac:dyDescent="0.2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 x14ac:dyDescent="0.2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 x14ac:dyDescent="0.2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 x14ac:dyDescent="0.2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 x14ac:dyDescent="0.2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 x14ac:dyDescent="0.2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 x14ac:dyDescent="0.2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 x14ac:dyDescent="0.2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 x14ac:dyDescent="0.2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 x14ac:dyDescent="0.2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 x14ac:dyDescent="0.2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 x14ac:dyDescent="0.2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 x14ac:dyDescent="0.2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 x14ac:dyDescent="0.2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 x14ac:dyDescent="0.2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 x14ac:dyDescent="0.2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 x14ac:dyDescent="0.2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 x14ac:dyDescent="0.2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 x14ac:dyDescent="0.2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 x14ac:dyDescent="0.2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 x14ac:dyDescent="0.2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 x14ac:dyDescent="0.2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 x14ac:dyDescent="0.2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 x14ac:dyDescent="0.2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 x14ac:dyDescent="0.2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 x14ac:dyDescent="0.2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 x14ac:dyDescent="0.2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 x14ac:dyDescent="0.2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 x14ac:dyDescent="0.2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 x14ac:dyDescent="0.2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 x14ac:dyDescent="0.2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 x14ac:dyDescent="0.2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 x14ac:dyDescent="0.2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 x14ac:dyDescent="0.2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 x14ac:dyDescent="0.2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 x14ac:dyDescent="0.2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 x14ac:dyDescent="0.2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 x14ac:dyDescent="0.2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 x14ac:dyDescent="0.2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 x14ac:dyDescent="0.2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 x14ac:dyDescent="0.2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 x14ac:dyDescent="0.2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 x14ac:dyDescent="0.2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 x14ac:dyDescent="0.2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 x14ac:dyDescent="0.2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 x14ac:dyDescent="0.2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 x14ac:dyDescent="0.2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 x14ac:dyDescent="0.2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 x14ac:dyDescent="0.2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 x14ac:dyDescent="0.2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 x14ac:dyDescent="0.2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 x14ac:dyDescent="0.2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 x14ac:dyDescent="0.2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 x14ac:dyDescent="0.2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 x14ac:dyDescent="0.2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 x14ac:dyDescent="0.2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 x14ac:dyDescent="0.2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 x14ac:dyDescent="0.2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 x14ac:dyDescent="0.2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 x14ac:dyDescent="0.2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 x14ac:dyDescent="0.2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 x14ac:dyDescent="0.2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 x14ac:dyDescent="0.2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 x14ac:dyDescent="0.2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 x14ac:dyDescent="0.2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 x14ac:dyDescent="0.2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 x14ac:dyDescent="0.2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 x14ac:dyDescent="0.2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 x14ac:dyDescent="0.2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 x14ac:dyDescent="0.2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 x14ac:dyDescent="0.2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 x14ac:dyDescent="0.2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 x14ac:dyDescent="0.2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 x14ac:dyDescent="0.2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 x14ac:dyDescent="0.2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 x14ac:dyDescent="0.2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 x14ac:dyDescent="0.2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 x14ac:dyDescent="0.2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 x14ac:dyDescent="0.2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 x14ac:dyDescent="0.2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 x14ac:dyDescent="0.2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 x14ac:dyDescent="0.2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 x14ac:dyDescent="0.2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 x14ac:dyDescent="0.2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 x14ac:dyDescent="0.2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 x14ac:dyDescent="0.2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 x14ac:dyDescent="0.2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 x14ac:dyDescent="0.2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 x14ac:dyDescent="0.2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 x14ac:dyDescent="0.2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 x14ac:dyDescent="0.2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 x14ac:dyDescent="0.2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 x14ac:dyDescent="0.2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 x14ac:dyDescent="0.2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 x14ac:dyDescent="0.2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 x14ac:dyDescent="0.2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 x14ac:dyDescent="0.2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 x14ac:dyDescent="0.2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 x14ac:dyDescent="0.2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 x14ac:dyDescent="0.2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 x14ac:dyDescent="0.2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 x14ac:dyDescent="0.2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 x14ac:dyDescent="0.2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 x14ac:dyDescent="0.2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 x14ac:dyDescent="0.2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 x14ac:dyDescent="0.2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 x14ac:dyDescent="0.2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 x14ac:dyDescent="0.2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 x14ac:dyDescent="0.2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 x14ac:dyDescent="0.2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 x14ac:dyDescent="0.2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 x14ac:dyDescent="0.2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 x14ac:dyDescent="0.2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 x14ac:dyDescent="0.2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 x14ac:dyDescent="0.2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 x14ac:dyDescent="0.2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 x14ac:dyDescent="0.2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 x14ac:dyDescent="0.25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 x14ac:dyDescent="0.25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 x14ac:dyDescent="0.25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 x14ac:dyDescent="0.25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 x14ac:dyDescent="0.25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 x14ac:dyDescent="0.25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 x14ac:dyDescent="0.25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 x14ac:dyDescent="0.25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 x14ac:dyDescent="0.25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 x14ac:dyDescent="0.25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 x14ac:dyDescent="0.25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 x14ac:dyDescent="0.25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 x14ac:dyDescent="0.25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 x14ac:dyDescent="0.25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 x14ac:dyDescent="0.25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 x14ac:dyDescent="0.25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 x14ac:dyDescent="0.25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 x14ac:dyDescent="0.25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 x14ac:dyDescent="0.25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 x14ac:dyDescent="0.25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 x14ac:dyDescent="0.25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 x14ac:dyDescent="0.25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 x14ac:dyDescent="0.25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 x14ac:dyDescent="0.25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 x14ac:dyDescent="0.25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 x14ac:dyDescent="0.25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 x14ac:dyDescent="0.25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3:V73 G41:J42 W2:AK2 W3:Y3 AA3:AK3 W4:AK41 W42:AJ42 W43:AK44 W45:AJ45 W46:AK46 W47:AJ47 W48:AK72 W73:AG73">
    <cfRule type="expression" dxfId="67" priority="37">
      <formula>AND($B2&lt;&gt;"",MOD(ROW(),2)=0)</formula>
    </cfRule>
  </conditionalFormatting>
  <conditionalFormatting sqref="D2:D526">
    <cfRule type="expression" dxfId="66" priority="21">
      <formula>ISNUMBER(SEARCH("Blocked",$D2))</formula>
    </cfRule>
    <cfRule type="expression" dxfId="65" priority="22">
      <formula>ISNUMBER(SEARCH("overdue",$D2))</formula>
    </cfRule>
    <cfRule type="expression" dxfId="64" priority="23">
      <formula>ISNUMBER(SEARCH("no target",$D2))</formula>
    </cfRule>
    <cfRule type="expression" dxfId="63" priority="24">
      <formula>ISNUMBER(SEARCH("Review",$D2))</formula>
    </cfRule>
    <cfRule type="expression" dxfId="62" priority="25">
      <formula>OR($D2="On track",$D2="Delivered")</formula>
    </cfRule>
  </conditionalFormatting>
  <conditionalFormatting sqref="J2:O191">
    <cfRule type="expression" dxfId="61" priority="4">
      <formula>$AI2="Yes – needs DB Dev to fix"</formula>
    </cfRule>
  </conditionalFormatting>
  <conditionalFormatting sqref="K41">
    <cfRule type="expression" dxfId="60" priority="287">
      <formula>AND($B41&lt;&gt;"",MOD(ROW(),2)=0)</formula>
    </cfRule>
    <cfRule type="expression" dxfId="59" priority="288">
      <formula>$AI41="Yes – needs DB Dev to fix"</formula>
    </cfRule>
  </conditionalFormatting>
  <conditionalFormatting sqref="K42">
    <cfRule type="expression" dxfId="58" priority="289">
      <formula>AND($B41&lt;&gt;"",MOD(ROW(),2)=0)</formula>
    </cfRule>
    <cfRule type="expression" dxfId="57" priority="290">
      <formula>$AI41="Yes – needs DB Dev to fix"</formula>
    </cfRule>
  </conditionalFormatting>
  <conditionalFormatting sqref="K73:L100">
    <cfRule type="expression" dxfId="56" priority="96">
      <formula>$AE73="Yes – needs DB Dev to fix"</formula>
    </cfRule>
  </conditionalFormatting>
  <conditionalFormatting sqref="K101:L526">
    <cfRule type="expression" dxfId="55" priority="30">
      <formula>$Z101="Yes – needs DB Dev to fix"</formula>
    </cfRule>
  </conditionalFormatting>
  <conditionalFormatting sqref="M73">
    <cfRule type="expression" dxfId="54" priority="3">
      <formula>$AE73="Yes – needs DB Dev to fix"</formula>
    </cfRule>
  </conditionalFormatting>
  <conditionalFormatting sqref="M73:P100">
    <cfRule type="expression" dxfId="53" priority="281">
      <formula>$AC73="Yes – needs PBI Dev to fix"</formula>
    </cfRule>
  </conditionalFormatting>
  <conditionalFormatting sqref="M101:P526">
    <cfRule type="expression" dxfId="52" priority="283">
      <formula>$Z101="Yes – needs PBI Dev to fix"</formula>
    </cfRule>
  </conditionalFormatting>
  <conditionalFormatting sqref="O101:O113">
    <cfRule type="expression" dxfId="51" priority="2">
      <formula>$AC101="Yes – needs PBI Dev to fix"</formula>
    </cfRule>
  </conditionalFormatting>
  <conditionalFormatting sqref="Q73:Q100">
    <cfRule type="expression" dxfId="50" priority="100">
      <formula>$AE73="Yes – needs PBI Dev to fix"</formula>
    </cfRule>
  </conditionalFormatting>
  <conditionalFormatting sqref="Q101:R526">
    <cfRule type="expression" dxfId="49" priority="32">
      <formula>$Z101="Yes – needs QA to fix"</formula>
    </cfRule>
  </conditionalFormatting>
  <conditionalFormatting sqref="Q2:U115 J29 M29:P29 J32:J33 M32:P33 K40:K41 M40:P41">
    <cfRule type="expression" dxfId="48" priority="11">
      <formula>$AI2="Yes – needs PBI Dev to fix"</formula>
    </cfRule>
  </conditionalFormatting>
  <conditionalFormatting sqref="R73:U100 T96:T101">
    <cfRule type="expression" dxfId="47" priority="102">
      <formula>$AE73="Yes – needs QA to fix"</formula>
    </cfRule>
  </conditionalFormatting>
  <conditionalFormatting sqref="S101:U526">
    <cfRule type="expression" dxfId="46" priority="33">
      <formula>$Z101="Yes – needs DPO Approval to fix"</formula>
    </cfRule>
  </conditionalFormatting>
  <conditionalFormatting sqref="U10:V19">
    <cfRule type="expression" dxfId="45" priority="20">
      <formula>$AI10="Yes – needs PBI Dev to fix"</formula>
    </cfRule>
  </conditionalFormatting>
  <conditionalFormatting sqref="U101:V526">
    <cfRule type="expression" dxfId="44" priority="29">
      <formula>$V101="Yes"</formula>
    </cfRule>
  </conditionalFormatting>
  <conditionalFormatting sqref="U73:W100">
    <cfRule type="expression" dxfId="43" priority="104">
      <formula>$AE73="Yes – needs DPO Approval to fix"</formula>
    </cfRule>
  </conditionalFormatting>
  <conditionalFormatting sqref="U2:Y115">
    <cfRule type="expression" dxfId="42" priority="75">
      <formula>$AI2="Yes – needs QA to fix"</formula>
    </cfRule>
  </conditionalFormatting>
  <conditionalFormatting sqref="X73:Y100">
    <cfRule type="expression" dxfId="41" priority="106">
      <formula>$X73="Yes"</formula>
    </cfRule>
  </conditionalFormatting>
  <conditionalFormatting sqref="Z3">
    <cfRule type="expression" dxfId="40" priority="291">
      <formula>AND($B3&lt;&gt;"",MOD(ROW(),2)=0)</formula>
    </cfRule>
    <cfRule type="expression" dxfId="39" priority="292">
      <formula>$AI3="Yes – needs DPO Approval to fix"</formula>
    </cfRule>
  </conditionalFormatting>
  <conditionalFormatting sqref="Z101:Z526">
    <cfRule type="expression" dxfId="38" priority="26">
      <formula>LEFT($Z101,3)="Yes"</formula>
    </cfRule>
  </conditionalFormatting>
  <conditionalFormatting sqref="Z2:AD2 AA3:AD3 Z4:AD100">
    <cfRule type="expression" dxfId="37" priority="78">
      <formula>$AI2="Yes – needs DPO Approval to fix"</formula>
    </cfRule>
  </conditionalFormatting>
  <conditionalFormatting sqref="AA101:AB526">
    <cfRule type="expression" dxfId="36" priority="34">
      <formula>ISNUMBER(SEARCH("Open rework",$AA101))</formula>
    </cfRule>
    <cfRule type="expression" dxfId="35" priority="34">
      <formula>ISNUMBER(SEARCH("Move old",$AA101))</formula>
    </cfRule>
    <cfRule type="expression" dxfId="34" priority="34">
      <formula>ISNUMBER(SEARCH("log it",$AA101))</formula>
    </cfRule>
    <cfRule type="expression" dxfId="33" priority="36">
      <formula>$AA101&lt;&gt;""</formula>
    </cfRule>
    <cfRule type="expression" dxfId="32" priority="35">
      <formula>ISNUMBER(SEARCH("Duplicate",$AA101))</formula>
    </cfRule>
  </conditionalFormatting>
  <conditionalFormatting sqref="AE2:AE115">
    <cfRule type="expression" dxfId="31" priority="50">
      <formula>$AE2="Yes"</formula>
    </cfRule>
  </conditionalFormatting>
  <conditionalFormatting sqref="AE73:AE100">
    <cfRule type="expression" dxfId="30" priority="108">
      <formula>LEFT($AE73,3)="Yes"</formula>
    </cfRule>
  </conditionalFormatting>
  <conditionalFormatting sqref="AF73:AF100">
    <cfRule type="expression" dxfId="29" priority="114">
      <formula>ISNUMBER(SEARCH("Open rework",$AF73))</formula>
    </cfRule>
    <cfRule type="expression" dxfId="28" priority="116">
      <formula>ISNUMBER(SEARCH("log it",$AF73))</formula>
    </cfRule>
    <cfRule type="expression" dxfId="27" priority="117">
      <formula>ISNUMBER(SEARCH("Duplicate",$AF73))</formula>
    </cfRule>
    <cfRule type="expression" dxfId="26" priority="118">
      <formula>$AF73&lt;&gt;""</formula>
    </cfRule>
    <cfRule type="expression" dxfId="25" priority="115">
      <formula>ISNUMBER(SEARCH("Move old",$AF73))</formula>
    </cfRule>
  </conditionalFormatting>
  <conditionalFormatting sqref="AI2:AI115">
    <cfRule type="expression" dxfId="24" priority="52">
      <formula>LEFT($AI2,3)="Yes"</formula>
    </cfRule>
  </conditionalFormatting>
  <conditionalFormatting sqref="AJ2:AJ115">
    <cfRule type="expression" dxfId="23" priority="62">
      <formula>$AJ2&lt;&gt;""</formula>
    </cfRule>
    <cfRule type="expression" dxfId="22" priority="58">
      <formula>ISNUMBER(SEARCH("log it",$AJ2))</formula>
    </cfRule>
    <cfRule type="expression" dxfId="21" priority="59">
      <formula>ISNUMBER(SEARCH("Open rework",$AJ2))</formula>
    </cfRule>
    <cfRule type="expression" dxfId="20" priority="60">
      <formula>ISNUMBER(SEARCH("Move old",$AJ2))</formula>
    </cfRule>
    <cfRule type="expression" dxfId="19" priority="61">
      <formula>ISNUMBER(SEARCH("Duplicate",$AJ2))</formula>
    </cfRule>
  </conditionalFormatting>
  <conditionalFormatting sqref="AK45">
    <cfRule type="expression" dxfId="18" priority="1">
      <formula>AND($B49&lt;&gt;"",MOD(ROW(),2)=0)</formula>
    </cfRule>
  </conditionalFormatting>
  <conditionalFormatting sqref="AK47">
    <cfRule type="expression" dxfId="17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 x14ac:dyDescent="0.25"/>
  <cols>
    <col min="1" max="1" width="24" customWidth="1"/>
    <col min="2" max="5" width="16" customWidth="1"/>
  </cols>
  <sheetData>
    <row r="1" spans="1:5" ht="21" customHeight="1" x14ac:dyDescent="0.35">
      <c r="A1" s="7" t="s">
        <v>321</v>
      </c>
    </row>
    <row r="2" spans="1:5" x14ac:dyDescent="0.25">
      <c r="A2" s="6" t="s">
        <v>322</v>
      </c>
    </row>
    <row r="4" spans="1:5" ht="21.95" customHeight="1" x14ac:dyDescent="0.25">
      <c r="A4" s="5" t="s">
        <v>323</v>
      </c>
      <c r="B4" s="105"/>
      <c r="C4" s="100"/>
      <c r="D4" s="100"/>
      <c r="E4" s="100"/>
    </row>
    <row r="6" spans="1:5" x14ac:dyDescent="0.25">
      <c r="A6" s="42" t="s">
        <v>0</v>
      </c>
      <c r="B6" s="104" t="str">
        <f>IF($B$4="","",IFERROR(INDEX('Combined Delivery Data'!$A:$A,MATCH($B$4,'Combined Delivery Data'!$B:$B,0)),""))</f>
        <v/>
      </c>
      <c r="C6" s="102"/>
      <c r="D6" s="102"/>
      <c r="E6" s="103"/>
    </row>
    <row r="7" spans="1:5" x14ac:dyDescent="0.25">
      <c r="A7" s="42" t="s">
        <v>324</v>
      </c>
      <c r="B7" s="104" t="str">
        <f>IF($B$4="","",IFERROR(INDEX('Combined Delivery Data'!$C:$C,MATCH($B$4,'Combined Delivery Data'!$B:$B,0)),""))</f>
        <v/>
      </c>
      <c r="C7" s="102"/>
      <c r="D7" s="102"/>
      <c r="E7" s="103"/>
    </row>
    <row r="8" spans="1:5" x14ac:dyDescent="0.25">
      <c r="A8" s="42" t="s">
        <v>3</v>
      </c>
      <c r="B8" s="104" t="str">
        <f>IF($B$4="","",IFERROR(INDEX('Combined Delivery Data'!$D:$D,MATCH($B$4,'Combined Delivery Data'!$B:$B,0)),""))</f>
        <v/>
      </c>
      <c r="C8" s="102"/>
      <c r="D8" s="102"/>
      <c r="E8" s="103"/>
    </row>
    <row r="9" spans="1:5" x14ac:dyDescent="0.25">
      <c r="A9" s="42" t="s">
        <v>4</v>
      </c>
      <c r="B9" s="104" t="str">
        <f>IF($B$4="","",IFERROR(INDEX('Combined Delivery Data'!$E:$E,MATCH($B$4,'Combined Delivery Data'!$B:$B,0)),""))</f>
        <v/>
      </c>
      <c r="C9" s="102"/>
      <c r="D9" s="102"/>
      <c r="E9" s="103"/>
    </row>
    <row r="10" spans="1:5" x14ac:dyDescent="0.25">
      <c r="A10" s="42" t="s">
        <v>5</v>
      </c>
      <c r="B10" s="104" t="str">
        <f>IF($B$4="","",IFERROR(INDEX('Combined Delivery Data'!$F:$F,MATCH($B$4,'Combined Delivery Data'!$B:$B,0)),""))</f>
        <v/>
      </c>
      <c r="C10" s="102"/>
      <c r="D10" s="102"/>
      <c r="E10" s="103"/>
    </row>
    <row r="11" spans="1:5" x14ac:dyDescent="0.25">
      <c r="A11" s="42" t="s">
        <v>9</v>
      </c>
      <c r="B11" s="104" t="str">
        <f>IF($B$4="","",IFERROR(INDEX('Combined Delivery Data'!$J:$J,MATCH($B$4,'Combined Delivery Data'!$B:$B,0)),""))</f>
        <v/>
      </c>
      <c r="C11" s="102"/>
      <c r="D11" s="102"/>
      <c r="E11" s="103"/>
    </row>
    <row r="12" spans="1:5" x14ac:dyDescent="0.25">
      <c r="A12" s="42" t="s">
        <v>15</v>
      </c>
      <c r="B12" s="104" t="str">
        <f>IF($B$4="","",IFERROR(INDEX('Combined Delivery Data'!$P:$P,MATCH($B$4,'Combined Delivery Data'!$B:$B,0)),""))</f>
        <v/>
      </c>
      <c r="C12" s="102"/>
      <c r="D12" s="102"/>
      <c r="E12" s="103"/>
    </row>
    <row r="13" spans="1:5" x14ac:dyDescent="0.25">
      <c r="A13" s="42" t="s">
        <v>20</v>
      </c>
      <c r="B13" s="104" t="str">
        <f>IF($B$4="","",IFERROR(INDEX('Combined Delivery Data'!$U:$U,MATCH($B$4,'Combined Delivery Data'!$B:$B,0)),""))</f>
        <v/>
      </c>
      <c r="C13" s="102"/>
      <c r="D13" s="102"/>
      <c r="E13" s="103"/>
    </row>
    <row r="14" spans="1:5" x14ac:dyDescent="0.25">
      <c r="A14" s="42" t="s">
        <v>325</v>
      </c>
      <c r="B14" s="101" t="str">
        <f>IF($B$4="","",IFERROR(INDEX('Combined Delivery Data'!$K:$K,MATCH($B$4,'Combined Delivery Data'!$B:$B,0)),""))</f>
        <v/>
      </c>
      <c r="C14" s="102"/>
      <c r="D14" s="102"/>
      <c r="E14" s="103"/>
    </row>
    <row r="15" spans="1:5" x14ac:dyDescent="0.25">
      <c r="A15" s="42" t="s">
        <v>326</v>
      </c>
      <c r="B15" s="101" t="str">
        <f>IF($B$4="","",IFERROR(INDEX('Combined Delivery Data'!$L:$L,MATCH($B$4,'Combined Delivery Data'!$B:$B,0)),""))</f>
        <v/>
      </c>
      <c r="C15" s="102"/>
      <c r="D15" s="102"/>
      <c r="E15" s="103"/>
    </row>
    <row r="16" spans="1:5" x14ac:dyDescent="0.25">
      <c r="A16" s="42" t="s">
        <v>327</v>
      </c>
      <c r="B16" s="101" t="str">
        <f>IF($B$4="","",IFERROR(INDEX('Combined Delivery Data'!$M:$M,MATCH($B$4,'Combined Delivery Data'!$B:$B,0)),""))</f>
        <v/>
      </c>
      <c r="C16" s="102"/>
      <c r="D16" s="102"/>
      <c r="E16" s="103"/>
    </row>
    <row r="17" spans="1:5" x14ac:dyDescent="0.25">
      <c r="A17" s="42" t="s">
        <v>328</v>
      </c>
      <c r="B17" s="101" t="str">
        <f>IF($B$4="","",IFERROR(INDEX('Combined Delivery Data'!$O:$O,MATCH($B$4,'Combined Delivery Data'!$B:$B,0)),""))</f>
        <v/>
      </c>
      <c r="C17" s="102"/>
      <c r="D17" s="102"/>
      <c r="E17" s="103"/>
    </row>
    <row r="18" spans="1:5" x14ac:dyDescent="0.25">
      <c r="A18" s="42" t="s">
        <v>329</v>
      </c>
      <c r="B18" s="101" t="str">
        <f>IF($B$4="","",IFERROR(INDEX('Combined Delivery Data'!$Q:$Q,MATCH($B$4,'Combined Delivery Data'!$B:$B,0)),""))</f>
        <v/>
      </c>
      <c r="C18" s="102"/>
      <c r="D18" s="102"/>
      <c r="E18" s="103"/>
    </row>
    <row r="19" spans="1:5" x14ac:dyDescent="0.25">
      <c r="A19" s="42" t="s">
        <v>330</v>
      </c>
      <c r="B19" s="101" t="str">
        <f>IF($B$4="","",IFERROR(INDEX('Combined Delivery Data'!$R:$R,MATCH($B$4,'Combined Delivery Data'!$B:$B,0)),""))</f>
        <v/>
      </c>
      <c r="C19" s="102"/>
      <c r="D19" s="102"/>
      <c r="E19" s="103"/>
    </row>
    <row r="20" spans="1:5" x14ac:dyDescent="0.25">
      <c r="A20" s="42" t="s">
        <v>331</v>
      </c>
      <c r="B20" s="101" t="str">
        <f>IF($B$4="","",IFERROR(INDEX('Combined Delivery Data'!$S:$S,MATCH($B$4,'Combined Delivery Data'!$B:$B,0)),""))</f>
        <v/>
      </c>
      <c r="C20" s="102"/>
      <c r="D20" s="102"/>
      <c r="E20" s="103"/>
    </row>
    <row r="21" spans="1:5" x14ac:dyDescent="0.25">
      <c r="A21" s="42" t="s">
        <v>28</v>
      </c>
      <c r="B21" s="104" t="str">
        <f>IF($B$4="","",IFERROR(INDEX('Combined Delivery Data'!$T:$T,MATCH($B$4,'Combined Delivery Data'!$B:$B,0)),""))</f>
        <v/>
      </c>
      <c r="C21" s="102"/>
      <c r="D21" s="102"/>
      <c r="E21" s="103"/>
    </row>
    <row r="22" spans="1:5" x14ac:dyDescent="0.25">
      <c r="A22" s="42" t="s">
        <v>30</v>
      </c>
      <c r="B22" s="104" t="str">
        <f>IF($B$4="","",IFERROR(INDEX('Combined Delivery Data'!$V:$V,MATCH($B$4,'Combined Delivery Data'!$B:$B,0)),""))</f>
        <v/>
      </c>
      <c r="C22" s="102"/>
      <c r="D22" s="102"/>
      <c r="E22" s="103"/>
    </row>
    <row r="23" spans="1:5" x14ac:dyDescent="0.25">
      <c r="A23" s="42" t="s">
        <v>31</v>
      </c>
      <c r="B23" s="101" t="str">
        <f>IF($B$4="","",IFERROR(INDEX('Combined Delivery Data'!$W:$W,MATCH($B$4,'Combined Delivery Data'!$B:$B,0)),""))</f>
        <v/>
      </c>
      <c r="C23" s="102"/>
      <c r="D23" s="102"/>
      <c r="E23" s="103"/>
    </row>
    <row r="24" spans="1:5" x14ac:dyDescent="0.25">
      <c r="A24" s="42" t="s">
        <v>34</v>
      </c>
      <c r="B24" s="104" t="str">
        <f>IF($B$4="","",IFERROR(INDEX('Combined Delivery Data'!$Z:$Z,MATCH($B$4,'Combined Delivery Data'!$B:$B,0)),""))</f>
        <v/>
      </c>
      <c r="C24" s="102"/>
      <c r="D24" s="102"/>
      <c r="E24" s="103"/>
    </row>
    <row r="25" spans="1:5" x14ac:dyDescent="0.25">
      <c r="A25" s="42" t="s">
        <v>35</v>
      </c>
      <c r="B25" s="104" t="str">
        <f>IF($B$4="","",IFERROR(INDEX('Combined Delivery Data'!$AA:$AA,MATCH($B$4,'Combined Delivery Data'!$B:$B,0)),""))</f>
        <v/>
      </c>
      <c r="C25" s="102"/>
      <c r="D25" s="102"/>
      <c r="E25" s="103"/>
    </row>
    <row r="26" spans="1:5" x14ac:dyDescent="0.25">
      <c r="A26" s="42" t="s">
        <v>332</v>
      </c>
      <c r="B26" s="104" t="str">
        <f>IF($B$4="","",IFERROR(INDEX('Rework Log'!$Q:$Q,MATCH($B$4,'Rework Log'!$P:$P,0)),""))</f>
        <v/>
      </c>
      <c r="C26" s="102"/>
      <c r="D26" s="102"/>
      <c r="E26" s="103"/>
    </row>
    <row r="27" spans="1:5" x14ac:dyDescent="0.25">
      <c r="A27" s="42" t="s">
        <v>333</v>
      </c>
      <c r="B27" s="104" t="str">
        <f>IF($B$4="","",IFERROR(INDEX('Rework Log'!$R:$R,MATCH($B$4,'Rework Log'!$P:$P,0)),""))</f>
        <v/>
      </c>
      <c r="C27" s="102"/>
      <c r="D27" s="102"/>
      <c r="E27" s="103"/>
    </row>
    <row r="28" spans="1:5" x14ac:dyDescent="0.25">
      <c r="A28" s="42" t="s">
        <v>334</v>
      </c>
      <c r="B28" s="104" t="str">
        <f>IF($B$4="","",IFERROR(INDEX('Rework Log'!$S:$S,MATCH($B$4,'Rework Log'!$P:$P,0)),""))</f>
        <v/>
      </c>
      <c r="C28" s="102"/>
      <c r="D28" s="102"/>
      <c r="E28" s="103"/>
    </row>
    <row r="29" spans="1:5" x14ac:dyDescent="0.25">
      <c r="A29" s="42" t="s">
        <v>335</v>
      </c>
      <c r="B29" s="104" t="str">
        <f>IF($B$4="","",IFERROR(INDEX('Rework Log'!$T:$T,MATCH($B$4,'Rework Log'!$P:$P,0)),""))</f>
        <v/>
      </c>
      <c r="C29" s="102"/>
      <c r="D29" s="102"/>
      <c r="E29" s="103"/>
    </row>
    <row r="30" spans="1:5" ht="15.6" customHeight="1" x14ac:dyDescent="0.25">
      <c r="A30" s="42"/>
      <c r="B30" s="104"/>
      <c r="C30" s="102"/>
      <c r="D30" s="102"/>
      <c r="E30" s="103"/>
    </row>
    <row r="31" spans="1:5" ht="15.6" customHeight="1" x14ac:dyDescent="0.25">
      <c r="A31" s="5" t="s">
        <v>36</v>
      </c>
      <c r="B31" s="99" t="str">
        <f>IF($B$4="","",IFERROR(INDEX('Combined Delivery Data'!$AC:$AC,MATCH($B$4,'Combined Delivery Data'!$B:$B,0)),""))</f>
        <v/>
      </c>
      <c r="C31" s="100"/>
      <c r="D31" s="100"/>
      <c r="E31" s="10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13" activePane="bottomLeft" state="frozen"/>
      <selection pane="bottomLeft" activeCell="L27" sqref="L27"/>
    </sheetView>
  </sheetViews>
  <sheetFormatPr defaultRowHeight="15" x14ac:dyDescent="0.2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 x14ac:dyDescent="0.25">
      <c r="A1" s="106" t="s">
        <v>336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P1" s="107" t="s">
        <v>337</v>
      </c>
      <c r="Q1" s="107"/>
      <c r="R1" s="107"/>
      <c r="S1" s="107"/>
      <c r="T1" s="107"/>
    </row>
    <row r="2" spans="1:20" ht="30" customHeight="1" x14ac:dyDescent="0.25">
      <c r="A2" s="17" t="s">
        <v>1</v>
      </c>
      <c r="B2" s="17" t="s">
        <v>338</v>
      </c>
      <c r="C2" s="17" t="s">
        <v>339</v>
      </c>
      <c r="D2" s="17" t="s">
        <v>340</v>
      </c>
      <c r="E2" s="17" t="s">
        <v>341</v>
      </c>
      <c r="F2" s="17" t="s">
        <v>342</v>
      </c>
      <c r="G2" s="17" t="s">
        <v>343</v>
      </c>
      <c r="H2" s="30" t="s">
        <v>344</v>
      </c>
      <c r="I2" s="30" t="s">
        <v>345</v>
      </c>
      <c r="J2" s="30" t="s">
        <v>346</v>
      </c>
      <c r="K2" s="30" t="s">
        <v>347</v>
      </c>
      <c r="L2" s="30" t="s">
        <v>348</v>
      </c>
      <c r="M2" s="21" t="s">
        <v>349</v>
      </c>
      <c r="N2" s="21" t="s">
        <v>350</v>
      </c>
      <c r="P2" s="13" t="s">
        <v>1</v>
      </c>
      <c r="Q2" s="13" t="s">
        <v>332</v>
      </c>
      <c r="R2" s="13" t="s">
        <v>333</v>
      </c>
      <c r="S2" s="13" t="s">
        <v>334</v>
      </c>
      <c r="T2" s="13" t="s">
        <v>335</v>
      </c>
    </row>
    <row r="3" spans="1:20" hidden="1" x14ac:dyDescent="0.25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351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35 d</v>
      </c>
      <c r="N3" t="s">
        <v>49</v>
      </c>
      <c r="P3" t="str">
        <f>'Combined Delivery Data'!B2</f>
        <v>RPT_04_Active Leaks</v>
      </c>
      <c r="Q3">
        <f t="shared" ref="Q3:Q16" si="0">IF($P3="","",COUNTIF($A$3:$A$500,$P3))</f>
        <v>0</v>
      </c>
      <c r="R3">
        <f t="shared" ref="R3:R16" si="1">IF($P3="","",SUMPRODUCT(($A$3:$A$500=$P3)*($G$3:$G$500&lt;&gt;"Yes")*($G$3:$G$500&lt;&gt;"Did not pass re-test")))</f>
        <v>0</v>
      </c>
      <c r="S3" s="28" t="str">
        <f t="shared" ref="S3:S16" si="2">IF($P3="","",IF(SUMPRODUCT(MAX(($A$3:$A$500=$P3)*ROW($A$3:$A$500)))=0,"",INDEX($B:$B,SUMPRODUCT(MAX(($A$3:$A$500=$P3)*ROW($A$3:$A$500))))))</f>
        <v/>
      </c>
      <c r="T3" t="str">
        <f t="shared" ref="T3:T1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 x14ac:dyDescent="0.25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352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353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 hidden="1" x14ac:dyDescent="0.25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354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49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 hidden="1" x14ac:dyDescent="0.25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355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49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 hidden="1" x14ac:dyDescent="0.25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356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49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 hidden="1" x14ac:dyDescent="0.25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357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358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idden="1" x14ac:dyDescent="0.25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359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358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 hidden="1" x14ac:dyDescent="0.25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352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358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idden="1" x14ac:dyDescent="0.25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354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idden="1" x14ac:dyDescent="0.25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360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361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x14ac:dyDescent="0.25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362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361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 x14ac:dyDescent="0.25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363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49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 x14ac:dyDescent="0.25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364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361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 x14ac:dyDescent="0.25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365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361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 x14ac:dyDescent="0.25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366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x14ac:dyDescent="0.2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367</v>
      </c>
      <c r="G18" s="31" t="s">
        <v>52</v>
      </c>
      <c r="H18" s="32"/>
      <c r="I18" s="32"/>
      <c r="J18" s="32"/>
      <c r="K18" s="31"/>
      <c r="L18" s="31"/>
      <c r="M18" s="3" t="str">
        <f t="shared" ca="1" si="4"/>
        <v>UNCLAIMED 4 d</v>
      </c>
      <c r="N18" t="s">
        <v>361</v>
      </c>
      <c r="P18" t="str">
        <f>'Combined Delivery Data'!B12</f>
        <v>RPT_04_CMS Leak Productivity</v>
      </c>
      <c r="Q18">
        <f t="shared" ref="Q18:Q81" si="5">IF($P18="","",COUNTIF($A$3:$A$500,$P18))</f>
        <v>0</v>
      </c>
      <c r="R18">
        <f t="shared" ref="R18:R81" si="6">IF($P18="","",SUMPRODUCT(($A$3:$A$500=$P18)*($G$3:$G$500&lt;&gt;"Yes")*($G$3:$G$500&lt;&gt;"Did not pass re-test")))</f>
        <v>0</v>
      </c>
      <c r="S18" s="28" t="str">
        <f t="shared" ref="S18:S81" si="7">IF($P18="","",IF(SUMPRODUCT(MAX(($A$3:$A$500=$P18)*ROW($A$3:$A$500)))=0,"",INDEX($B:$B,SUMPRODUCT(MAX(($A$3:$A$500=$P18)*ROW($A$3:$A$500))))))</f>
        <v/>
      </c>
      <c r="T18" t="str">
        <f t="shared" ref="T18:T81" si="8"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x14ac:dyDescent="0.25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368</v>
      </c>
      <c r="G19" s="31" t="s">
        <v>52</v>
      </c>
      <c r="H19" s="32"/>
      <c r="I19" s="32"/>
      <c r="J19" s="32"/>
      <c r="K19" s="31"/>
      <c r="L19" s="31"/>
      <c r="M19" s="3" t="str">
        <f t="shared" ca="1" si="4"/>
        <v>UNCLAIMED 3 d</v>
      </c>
      <c r="N19" t="s">
        <v>358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 x14ac:dyDescent="0.25">
      <c r="A20" s="31" t="s">
        <v>369</v>
      </c>
      <c r="B20" s="32">
        <v>46265</v>
      </c>
      <c r="C20" s="31" t="s">
        <v>140</v>
      </c>
      <c r="D20" s="31" t="s">
        <v>178</v>
      </c>
      <c r="E20" s="31" t="s">
        <v>46</v>
      </c>
      <c r="F20" s="31" t="s">
        <v>370</v>
      </c>
      <c r="G20" s="31" t="s">
        <v>52</v>
      </c>
      <c r="H20" s="32"/>
      <c r="I20" s="32">
        <v>46265</v>
      </c>
      <c r="J20" s="32">
        <v>46265</v>
      </c>
      <c r="K20" s="31" t="s">
        <v>76</v>
      </c>
      <c r="L20" s="31" t="s">
        <v>371</v>
      </c>
      <c r="M20" s="3" t="str">
        <f t="shared" ca="1" si="4"/>
        <v>Fixed</v>
      </c>
      <c r="N20" t="s">
        <v>361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 x14ac:dyDescent="0.25">
      <c r="A21" s="31" t="s">
        <v>177</v>
      </c>
      <c r="B21" s="32">
        <v>46265</v>
      </c>
      <c r="C21" s="31" t="s">
        <v>140</v>
      </c>
      <c r="D21" s="31" t="s">
        <v>185</v>
      </c>
      <c r="E21" s="31" t="s">
        <v>46</v>
      </c>
      <c r="F21" s="31" t="s">
        <v>372</v>
      </c>
      <c r="G21" s="31" t="s">
        <v>52</v>
      </c>
      <c r="H21" s="32"/>
      <c r="I21" s="32"/>
      <c r="J21" s="32"/>
      <c r="K21" s="31"/>
      <c r="L21" s="31"/>
      <c r="M21" s="3" t="str">
        <f t="shared" ca="1" si="4"/>
        <v>UNCLAIMED 0 d</v>
      </c>
      <c r="N21" t="s">
        <v>49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 x14ac:dyDescent="0.25">
      <c r="A22" s="55" t="s">
        <v>184</v>
      </c>
      <c r="B22" s="32">
        <v>46265</v>
      </c>
      <c r="C22" s="31" t="s">
        <v>140</v>
      </c>
      <c r="D22" s="31" t="s">
        <v>178</v>
      </c>
      <c r="E22" s="31" t="s">
        <v>129</v>
      </c>
      <c r="F22" s="31" t="s">
        <v>373</v>
      </c>
      <c r="G22" s="31" t="s">
        <v>52</v>
      </c>
      <c r="H22" s="32"/>
      <c r="I22" s="32"/>
      <c r="J22" s="32"/>
      <c r="K22" s="31"/>
      <c r="L22" s="31"/>
      <c r="M22" s="3" t="str">
        <f t="shared" ca="1" si="4"/>
        <v>UNCLAIMED 0 d</v>
      </c>
      <c r="P22" t="str">
        <f>'Combined Delivery Data'!B20</f>
        <v>RPT_04_Leak Control Report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 x14ac:dyDescent="0.25">
      <c r="A23" s="55" t="s">
        <v>139</v>
      </c>
      <c r="B23" s="32">
        <v>46265</v>
      </c>
      <c r="C23" s="31" t="s">
        <v>140</v>
      </c>
      <c r="D23" s="31" t="s">
        <v>185</v>
      </c>
      <c r="E23" s="31" t="s">
        <v>129</v>
      </c>
      <c r="F23" s="31" t="s">
        <v>415</v>
      </c>
      <c r="G23" s="31" t="s">
        <v>52</v>
      </c>
      <c r="H23" s="32"/>
      <c r="I23" s="32"/>
      <c r="J23" s="32"/>
      <c r="K23" s="31"/>
      <c r="L23" s="31"/>
      <c r="M23" s="3" t="str">
        <f t="shared" ca="1" si="4"/>
        <v>UNCLAIMED 0 d</v>
      </c>
      <c r="P23" t="str">
        <f>'Combined Delivery Data'!B21</f>
        <v>RPT_04_Leak Life Cycle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 x14ac:dyDescent="0.25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 x14ac:dyDescent="0.25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 x14ac:dyDescent="0.25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 x14ac:dyDescent="0.25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 x14ac:dyDescent="0.25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 x14ac:dyDescent="0.25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 x14ac:dyDescent="0.25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5"/>
        <v>0</v>
      </c>
      <c r="R30">
        <f t="shared" si="6"/>
        <v>0</v>
      </c>
      <c r="S30" s="28" t="str">
        <f t="shared" si="7"/>
        <v/>
      </c>
      <c r="T30" t="str">
        <f t="shared" si="8"/>
        <v/>
      </c>
    </row>
    <row r="31" spans="1:20" x14ac:dyDescent="0.25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5"/>
        <v>1</v>
      </c>
      <c r="R31">
        <f t="shared" si="6"/>
        <v>0</v>
      </c>
      <c r="S31" s="28">
        <f t="shared" si="7"/>
        <v>46238</v>
      </c>
      <c r="T31" t="str">
        <f t="shared" si="8"/>
        <v>QA -&gt; DB Dev</v>
      </c>
    </row>
    <row r="32" spans="1:20" x14ac:dyDescent="0.25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5"/>
        <v>3</v>
      </c>
      <c r="R32">
        <f t="shared" si="6"/>
        <v>0</v>
      </c>
      <c r="S32" s="28">
        <f t="shared" si="7"/>
        <v>46254</v>
      </c>
      <c r="T32" t="str">
        <f t="shared" si="8"/>
        <v>QA -&gt; DB Dev</v>
      </c>
    </row>
    <row r="33" spans="1:20" x14ac:dyDescent="0.25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5"/>
        <v>0</v>
      </c>
      <c r="R33">
        <f t="shared" si="6"/>
        <v>0</v>
      </c>
      <c r="S33" s="28" t="str">
        <f t="shared" si="7"/>
        <v/>
      </c>
      <c r="T33" t="str">
        <f t="shared" si="8"/>
        <v/>
      </c>
    </row>
    <row r="34" spans="1:20" x14ac:dyDescent="0.25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5"/>
        <v>2</v>
      </c>
      <c r="R34">
        <f t="shared" si="6"/>
        <v>2</v>
      </c>
      <c r="S34" s="28">
        <f t="shared" si="7"/>
        <v>46265</v>
      </c>
      <c r="T34" t="str">
        <f t="shared" si="8"/>
        <v>QA -&gt; DB Dev</v>
      </c>
    </row>
    <row r="35" spans="1:20" x14ac:dyDescent="0.25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5"/>
        <v>1</v>
      </c>
      <c r="R35">
        <f t="shared" si="6"/>
        <v>0</v>
      </c>
      <c r="S35" s="28">
        <f t="shared" si="7"/>
        <v>46234</v>
      </c>
      <c r="T35" t="str">
        <f t="shared" si="8"/>
        <v>QA -&gt; DB Dev</v>
      </c>
    </row>
    <row r="36" spans="1:20" x14ac:dyDescent="0.25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5"/>
        <v>2</v>
      </c>
      <c r="R36">
        <f t="shared" si="6"/>
        <v>0</v>
      </c>
      <c r="S36" s="28">
        <f t="shared" si="7"/>
        <v>46237</v>
      </c>
      <c r="T36" t="str">
        <f t="shared" si="8"/>
        <v>QA -&gt; DB Dev</v>
      </c>
    </row>
    <row r="37" spans="1:20" x14ac:dyDescent="0.25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5"/>
        <v>3</v>
      </c>
      <c r="R37">
        <f t="shared" si="6"/>
        <v>2</v>
      </c>
      <c r="S37" s="28">
        <f t="shared" si="7"/>
        <v>46262</v>
      </c>
      <c r="T37" t="str">
        <f t="shared" si="8"/>
        <v>QA -&gt; PBI Dev</v>
      </c>
    </row>
    <row r="38" spans="1:20" x14ac:dyDescent="0.25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5"/>
        <v>1</v>
      </c>
      <c r="R38">
        <f t="shared" si="6"/>
        <v>1</v>
      </c>
      <c r="S38" s="28">
        <f t="shared" si="7"/>
        <v>46258</v>
      </c>
      <c r="T38" t="str">
        <f t="shared" si="8"/>
        <v>QA -&gt; DB Dev</v>
      </c>
    </row>
    <row r="39" spans="1:20" x14ac:dyDescent="0.25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5"/>
        <v>1</v>
      </c>
      <c r="R39">
        <f t="shared" si="6"/>
        <v>0</v>
      </c>
      <c r="S39" s="28">
        <f t="shared" si="7"/>
        <v>46254</v>
      </c>
      <c r="T39" t="str">
        <f t="shared" si="8"/>
        <v>QA -&gt; DB Dev</v>
      </c>
    </row>
    <row r="40" spans="1:20" x14ac:dyDescent="0.25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5"/>
        <v>2</v>
      </c>
      <c r="R40">
        <f t="shared" si="6"/>
        <v>0</v>
      </c>
      <c r="S40" s="28">
        <f t="shared" si="7"/>
        <v>46251</v>
      </c>
      <c r="T40" t="str">
        <f t="shared" si="8"/>
        <v>QA -&gt; DB Dev</v>
      </c>
    </row>
    <row r="41" spans="1:20" x14ac:dyDescent="0.25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5"/>
        <v>1</v>
      </c>
      <c r="R41">
        <f t="shared" si="6"/>
        <v>0</v>
      </c>
      <c r="S41" s="28">
        <f t="shared" si="7"/>
        <v>46258</v>
      </c>
      <c r="T41" t="str">
        <f t="shared" si="8"/>
        <v>QA -&gt; PBI Dev</v>
      </c>
    </row>
    <row r="42" spans="1:20" x14ac:dyDescent="0.25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 x14ac:dyDescent="0.25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 x14ac:dyDescent="0.25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 x14ac:dyDescent="0.25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5"/>
        <v>0</v>
      </c>
      <c r="R45">
        <f t="shared" si="6"/>
        <v>0</v>
      </c>
      <c r="S45" s="28" t="str">
        <f t="shared" si="7"/>
        <v/>
      </c>
      <c r="T45" t="str">
        <f t="shared" si="8"/>
        <v/>
      </c>
    </row>
    <row r="46" spans="1:20" x14ac:dyDescent="0.25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5"/>
        <v>0</v>
      </c>
      <c r="R46">
        <f t="shared" si="6"/>
        <v>0</v>
      </c>
      <c r="S46" s="28" t="str">
        <f t="shared" si="7"/>
        <v/>
      </c>
      <c r="T46" t="str">
        <f t="shared" si="8"/>
        <v/>
      </c>
    </row>
    <row r="47" spans="1:20" x14ac:dyDescent="0.25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5"/>
        <v>0</v>
      </c>
      <c r="R47">
        <f t="shared" si="6"/>
        <v>0</v>
      </c>
      <c r="S47" s="28" t="str">
        <f t="shared" si="7"/>
        <v/>
      </c>
      <c r="T47" t="str">
        <f t="shared" si="8"/>
        <v/>
      </c>
    </row>
    <row r="48" spans="1:20" x14ac:dyDescent="0.25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5"/>
        <v>1</v>
      </c>
      <c r="R48">
        <f t="shared" si="6"/>
        <v>1</v>
      </c>
      <c r="S48" s="28">
        <f t="shared" si="7"/>
        <v>46265</v>
      </c>
      <c r="T48" t="str">
        <f t="shared" si="8"/>
        <v>QA -&gt; DB Dev</v>
      </c>
    </row>
    <row r="49" spans="1:20" x14ac:dyDescent="0.25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 x14ac:dyDescent="0.25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5"/>
        <v>0</v>
      </c>
      <c r="R50">
        <f t="shared" si="6"/>
        <v>0</v>
      </c>
      <c r="S50" s="28" t="str">
        <f t="shared" si="7"/>
        <v/>
      </c>
      <c r="T50" t="str">
        <f t="shared" si="8"/>
        <v/>
      </c>
    </row>
    <row r="51" spans="1:20" x14ac:dyDescent="0.25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5"/>
        <v>2</v>
      </c>
      <c r="R51">
        <f t="shared" si="6"/>
        <v>2</v>
      </c>
      <c r="S51" s="28">
        <f t="shared" si="7"/>
        <v>46265</v>
      </c>
      <c r="T51" t="str">
        <f t="shared" si="8"/>
        <v>QA -&gt; PBI Dev</v>
      </c>
    </row>
    <row r="52" spans="1:20" x14ac:dyDescent="0.25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 x14ac:dyDescent="0.25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5"/>
        <v>0</v>
      </c>
      <c r="R53">
        <f t="shared" si="6"/>
        <v>0</v>
      </c>
      <c r="S53" s="28" t="str">
        <f t="shared" si="7"/>
        <v/>
      </c>
      <c r="T53" t="str">
        <f t="shared" si="8"/>
        <v/>
      </c>
    </row>
    <row r="54" spans="1:20" x14ac:dyDescent="0.25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 x14ac:dyDescent="0.25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 x14ac:dyDescent="0.25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 x14ac:dyDescent="0.25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 x14ac:dyDescent="0.25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 x14ac:dyDescent="0.25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 x14ac:dyDescent="0.25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 x14ac:dyDescent="0.25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 x14ac:dyDescent="0.25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 x14ac:dyDescent="0.25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 x14ac:dyDescent="0.25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 x14ac:dyDescent="0.25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 x14ac:dyDescent="0.25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 x14ac:dyDescent="0.25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 x14ac:dyDescent="0.25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 x14ac:dyDescent="0.25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 x14ac:dyDescent="0.25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 x14ac:dyDescent="0.25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 x14ac:dyDescent="0.25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 x14ac:dyDescent="0.25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 x14ac:dyDescent="0.25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 x14ac:dyDescent="0.25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 x14ac:dyDescent="0.25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 x14ac:dyDescent="0.25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 x14ac:dyDescent="0.25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 x14ac:dyDescent="0.25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 x14ac:dyDescent="0.25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 x14ac:dyDescent="0.25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 x14ac:dyDescent="0.25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ref="Q82:Q145" si="11">IF($P82="","",COUNTIF($A$3:$A$500,$P82))</f>
        <v>0</v>
      </c>
      <c r="R82">
        <f t="shared" ref="R82:R145" si="12">IF($P82="","",SUMPRODUCT(($A$3:$A$500=$P82)*($G$3:$G$500&lt;&gt;"Yes")*($G$3:$G$500&lt;&gt;"Did not pass re-test")))</f>
        <v>0</v>
      </c>
      <c r="S82" s="28" t="str">
        <f t="shared" ref="S82:S145" si="13">IF($P82="","",IF(SUMPRODUCT(MAX(($A$3:$A$500=$P82)*ROW($A$3:$A$500)))=0,"",INDEX($B:$B,SUMPRODUCT(MAX(($A$3:$A$500=$P82)*ROW($A$3:$A$500))))))</f>
        <v/>
      </c>
      <c r="T82" t="str">
        <f t="shared" ref="T82:T145" si="14"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x14ac:dyDescent="0.25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 x14ac:dyDescent="0.25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 x14ac:dyDescent="0.25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 x14ac:dyDescent="0.25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 x14ac:dyDescent="0.25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 x14ac:dyDescent="0.25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 x14ac:dyDescent="0.25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 x14ac:dyDescent="0.25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11"/>
        <v>0</v>
      </c>
      <c r="R90">
        <f t="shared" si="12"/>
        <v>0</v>
      </c>
      <c r="S90" s="28" t="str">
        <f t="shared" si="13"/>
        <v/>
      </c>
      <c r="T90" t="str">
        <f t="shared" si="14"/>
        <v/>
      </c>
    </row>
    <row r="91" spans="1:20" x14ac:dyDescent="0.25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11"/>
        <v>0</v>
      </c>
      <c r="R91">
        <f t="shared" si="12"/>
        <v>477</v>
      </c>
      <c r="S91" s="28">
        <f t="shared" si="13"/>
        <v>0</v>
      </c>
      <c r="T91" t="str">
        <f t="shared" si="14"/>
        <v xml:space="preserve"> -&gt; </v>
      </c>
    </row>
    <row r="92" spans="1:20" x14ac:dyDescent="0.25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11"/>
        <v>0</v>
      </c>
      <c r="R92">
        <f t="shared" si="12"/>
        <v>477</v>
      </c>
      <c r="S92" s="28">
        <f t="shared" si="13"/>
        <v>0</v>
      </c>
      <c r="T92" t="str">
        <f t="shared" si="14"/>
        <v xml:space="preserve"> -&gt; </v>
      </c>
    </row>
    <row r="93" spans="1:20" x14ac:dyDescent="0.25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11"/>
        <v>0</v>
      </c>
      <c r="R93">
        <f t="shared" si="12"/>
        <v>477</v>
      </c>
      <c r="S93" s="28">
        <f t="shared" si="13"/>
        <v>0</v>
      </c>
      <c r="T93" t="str">
        <f t="shared" si="14"/>
        <v xml:space="preserve"> -&gt; </v>
      </c>
    </row>
    <row r="94" spans="1:20" x14ac:dyDescent="0.25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11"/>
        <v>0</v>
      </c>
      <c r="R94">
        <f t="shared" si="12"/>
        <v>477</v>
      </c>
      <c r="S94" s="28">
        <f t="shared" si="13"/>
        <v>0</v>
      </c>
      <c r="T94" t="str">
        <f t="shared" si="14"/>
        <v xml:space="preserve"> -&gt; </v>
      </c>
    </row>
    <row r="95" spans="1:20" x14ac:dyDescent="0.25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11"/>
        <v>0</v>
      </c>
      <c r="R95">
        <f t="shared" si="12"/>
        <v>477</v>
      </c>
      <c r="S95" s="28">
        <f t="shared" si="13"/>
        <v>0</v>
      </c>
      <c r="T95" t="str">
        <f t="shared" si="14"/>
        <v xml:space="preserve"> -&gt; </v>
      </c>
    </row>
    <row r="96" spans="1:20" x14ac:dyDescent="0.25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11"/>
        <v>0</v>
      </c>
      <c r="R96">
        <f t="shared" si="12"/>
        <v>477</v>
      </c>
      <c r="S96" s="28">
        <f t="shared" si="13"/>
        <v>0</v>
      </c>
      <c r="T96" t="str">
        <f t="shared" si="14"/>
        <v xml:space="preserve"> -&gt; </v>
      </c>
    </row>
    <row r="97" spans="1:20" x14ac:dyDescent="0.25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11"/>
        <v>0</v>
      </c>
      <c r="R97">
        <f t="shared" si="12"/>
        <v>477</v>
      </c>
      <c r="S97" s="28">
        <f t="shared" si="13"/>
        <v>0</v>
      </c>
      <c r="T97" t="str">
        <f t="shared" si="14"/>
        <v xml:space="preserve"> -&gt; </v>
      </c>
    </row>
    <row r="98" spans="1:20" x14ac:dyDescent="0.25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11"/>
        <v>0</v>
      </c>
      <c r="R98">
        <f t="shared" si="12"/>
        <v>477</v>
      </c>
      <c r="S98" s="28">
        <f t="shared" si="13"/>
        <v>0</v>
      </c>
      <c r="T98" t="str">
        <f t="shared" si="14"/>
        <v xml:space="preserve"> -&gt; </v>
      </c>
    </row>
    <row r="99" spans="1:20" x14ac:dyDescent="0.25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11"/>
        <v>0</v>
      </c>
      <c r="R99">
        <f t="shared" si="12"/>
        <v>477</v>
      </c>
      <c r="S99" s="28">
        <f t="shared" si="13"/>
        <v>0</v>
      </c>
      <c r="T99" t="str">
        <f t="shared" si="14"/>
        <v xml:space="preserve"> -&gt; </v>
      </c>
    </row>
    <row r="100" spans="1:20" x14ac:dyDescent="0.25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11"/>
        <v>0</v>
      </c>
      <c r="R100">
        <f t="shared" si="12"/>
        <v>477</v>
      </c>
      <c r="S100" s="28">
        <f t="shared" si="13"/>
        <v>0</v>
      </c>
      <c r="T100" t="str">
        <f t="shared" si="14"/>
        <v xml:space="preserve"> -&gt; </v>
      </c>
    </row>
    <row r="101" spans="1:20" x14ac:dyDescent="0.25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11"/>
        <v>0</v>
      </c>
      <c r="R101">
        <f t="shared" si="12"/>
        <v>477</v>
      </c>
      <c r="S101" s="28">
        <f t="shared" si="13"/>
        <v>0</v>
      </c>
      <c r="T101" t="str">
        <f t="shared" si="14"/>
        <v xml:space="preserve"> -&gt; </v>
      </c>
    </row>
    <row r="102" spans="1:20" x14ac:dyDescent="0.25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11"/>
        <v>0</v>
      </c>
      <c r="R102">
        <f t="shared" si="12"/>
        <v>477</v>
      </c>
      <c r="S102" s="28">
        <f t="shared" si="13"/>
        <v>0</v>
      </c>
      <c r="T102" t="str">
        <f t="shared" si="14"/>
        <v xml:space="preserve"> -&gt; </v>
      </c>
    </row>
    <row r="103" spans="1:20" x14ac:dyDescent="0.25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11"/>
        <v>0</v>
      </c>
      <c r="R103">
        <f t="shared" si="12"/>
        <v>477</v>
      </c>
      <c r="S103" s="28">
        <f t="shared" si="13"/>
        <v>0</v>
      </c>
      <c r="T103" t="str">
        <f t="shared" si="14"/>
        <v xml:space="preserve"> -&gt; </v>
      </c>
    </row>
    <row r="104" spans="1:20" x14ac:dyDescent="0.25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11"/>
        <v>0</v>
      </c>
      <c r="R104">
        <f t="shared" si="12"/>
        <v>477</v>
      </c>
      <c r="S104" s="28">
        <f t="shared" si="13"/>
        <v>0</v>
      </c>
      <c r="T104" t="str">
        <f t="shared" si="14"/>
        <v xml:space="preserve"> -&gt; </v>
      </c>
    </row>
    <row r="105" spans="1:20" x14ac:dyDescent="0.25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11"/>
        <v>0</v>
      </c>
      <c r="R105">
        <f t="shared" si="12"/>
        <v>477</v>
      </c>
      <c r="S105" s="28">
        <f t="shared" si="13"/>
        <v>0</v>
      </c>
      <c r="T105" t="str">
        <f t="shared" si="14"/>
        <v xml:space="preserve"> -&gt; </v>
      </c>
    </row>
    <row r="106" spans="1:20" x14ac:dyDescent="0.25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11"/>
        <v>0</v>
      </c>
      <c r="R106">
        <f t="shared" si="12"/>
        <v>477</v>
      </c>
      <c r="S106" s="28">
        <f t="shared" si="13"/>
        <v>0</v>
      </c>
      <c r="T106" t="str">
        <f t="shared" si="14"/>
        <v xml:space="preserve"> -&gt; </v>
      </c>
    </row>
    <row r="107" spans="1:20" x14ac:dyDescent="0.25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11"/>
        <v>0</v>
      </c>
      <c r="R107">
        <f t="shared" si="12"/>
        <v>477</v>
      </c>
      <c r="S107" s="28">
        <f t="shared" si="13"/>
        <v>0</v>
      </c>
      <c r="T107" t="str">
        <f t="shared" si="14"/>
        <v xml:space="preserve"> -&gt; </v>
      </c>
    </row>
    <row r="108" spans="1:20" x14ac:dyDescent="0.25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11"/>
        <v>0</v>
      </c>
      <c r="R108">
        <f t="shared" si="12"/>
        <v>477</v>
      </c>
      <c r="S108" s="28">
        <f t="shared" si="13"/>
        <v>0</v>
      </c>
      <c r="T108" t="str">
        <f t="shared" si="14"/>
        <v xml:space="preserve"> -&gt; </v>
      </c>
    </row>
    <row r="109" spans="1:20" x14ac:dyDescent="0.25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11"/>
        <v>0</v>
      </c>
      <c r="R109">
        <f t="shared" si="12"/>
        <v>477</v>
      </c>
      <c r="S109" s="28">
        <f t="shared" si="13"/>
        <v>0</v>
      </c>
      <c r="T109" t="str">
        <f t="shared" si="14"/>
        <v xml:space="preserve"> -&gt; </v>
      </c>
    </row>
    <row r="110" spans="1:20" x14ac:dyDescent="0.25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11"/>
        <v>0</v>
      </c>
      <c r="R110">
        <f t="shared" si="12"/>
        <v>477</v>
      </c>
      <c r="S110" s="28">
        <f t="shared" si="13"/>
        <v>0</v>
      </c>
      <c r="T110" t="str">
        <f t="shared" si="14"/>
        <v xml:space="preserve"> -&gt; </v>
      </c>
    </row>
    <row r="111" spans="1:20" x14ac:dyDescent="0.25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11"/>
        <v>0</v>
      </c>
      <c r="R111">
        <f t="shared" si="12"/>
        <v>477</v>
      </c>
      <c r="S111" s="28">
        <f t="shared" si="13"/>
        <v>0</v>
      </c>
      <c r="T111" t="str">
        <f t="shared" si="14"/>
        <v xml:space="preserve"> -&gt; </v>
      </c>
    </row>
    <row r="112" spans="1:20" x14ac:dyDescent="0.25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11"/>
        <v>0</v>
      </c>
      <c r="R112">
        <f t="shared" si="12"/>
        <v>477</v>
      </c>
      <c r="S112" s="28">
        <f t="shared" si="13"/>
        <v>0</v>
      </c>
      <c r="T112" t="str">
        <f t="shared" si="14"/>
        <v xml:space="preserve"> -&gt; </v>
      </c>
    </row>
    <row r="113" spans="1:20" x14ac:dyDescent="0.25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11"/>
        <v>0</v>
      </c>
      <c r="R113">
        <f t="shared" si="12"/>
        <v>477</v>
      </c>
      <c r="S113" s="28">
        <f t="shared" si="13"/>
        <v>0</v>
      </c>
      <c r="T113" t="str">
        <f t="shared" si="14"/>
        <v xml:space="preserve"> -&gt; </v>
      </c>
    </row>
    <row r="114" spans="1:20" x14ac:dyDescent="0.25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11"/>
        <v>0</v>
      </c>
      <c r="R114">
        <f t="shared" si="12"/>
        <v>477</v>
      </c>
      <c r="S114" s="28">
        <f t="shared" si="13"/>
        <v>0</v>
      </c>
      <c r="T114" t="str">
        <f t="shared" si="14"/>
        <v xml:space="preserve"> -&gt; </v>
      </c>
    </row>
    <row r="115" spans="1:20" x14ac:dyDescent="0.25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11"/>
        <v>0</v>
      </c>
      <c r="R115">
        <f t="shared" si="12"/>
        <v>477</v>
      </c>
      <c r="S115" s="28">
        <f t="shared" si="13"/>
        <v>0</v>
      </c>
      <c r="T115" t="str">
        <f t="shared" si="14"/>
        <v xml:space="preserve"> -&gt; </v>
      </c>
    </row>
    <row r="116" spans="1:20" x14ac:dyDescent="0.25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11"/>
        <v>0</v>
      </c>
      <c r="R116">
        <f t="shared" si="12"/>
        <v>477</v>
      </c>
      <c r="S116" s="28">
        <f t="shared" si="13"/>
        <v>0</v>
      </c>
      <c r="T116" t="str">
        <f t="shared" si="14"/>
        <v xml:space="preserve"> -&gt; </v>
      </c>
    </row>
    <row r="117" spans="1:20" x14ac:dyDescent="0.25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11"/>
        <v>0</v>
      </c>
      <c r="R117">
        <f t="shared" si="12"/>
        <v>477</v>
      </c>
      <c r="S117" s="28">
        <f t="shared" si="13"/>
        <v>0</v>
      </c>
      <c r="T117" t="str">
        <f t="shared" si="14"/>
        <v xml:space="preserve"> -&gt; </v>
      </c>
    </row>
    <row r="118" spans="1:20" x14ac:dyDescent="0.25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11"/>
        <v>0</v>
      </c>
      <c r="R118">
        <f t="shared" si="12"/>
        <v>477</v>
      </c>
      <c r="S118" s="28">
        <f t="shared" si="13"/>
        <v>0</v>
      </c>
      <c r="T118" t="str">
        <f t="shared" si="14"/>
        <v xml:space="preserve"> -&gt; </v>
      </c>
    </row>
    <row r="119" spans="1:20" x14ac:dyDescent="0.25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11"/>
        <v>0</v>
      </c>
      <c r="R119">
        <f t="shared" si="12"/>
        <v>477</v>
      </c>
      <c r="S119" s="28">
        <f t="shared" si="13"/>
        <v>0</v>
      </c>
      <c r="T119" t="str">
        <f t="shared" si="14"/>
        <v xml:space="preserve"> -&gt; </v>
      </c>
    </row>
    <row r="120" spans="1:20" x14ac:dyDescent="0.25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11"/>
        <v>0</v>
      </c>
      <c r="R120">
        <f t="shared" si="12"/>
        <v>477</v>
      </c>
      <c r="S120" s="28">
        <f t="shared" si="13"/>
        <v>0</v>
      </c>
      <c r="T120" t="str">
        <f t="shared" si="14"/>
        <v xml:space="preserve"> -&gt; </v>
      </c>
    </row>
    <row r="121" spans="1:20" x14ac:dyDescent="0.25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11"/>
        <v>0</v>
      </c>
      <c r="R121">
        <f t="shared" si="12"/>
        <v>477</v>
      </c>
      <c r="S121" s="28">
        <f t="shared" si="13"/>
        <v>0</v>
      </c>
      <c r="T121" t="str">
        <f t="shared" si="14"/>
        <v xml:space="preserve"> -&gt; </v>
      </c>
    </row>
    <row r="122" spans="1:20" x14ac:dyDescent="0.25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11"/>
        <v>0</v>
      </c>
      <c r="R122">
        <f t="shared" si="12"/>
        <v>477</v>
      </c>
      <c r="S122" s="28">
        <f t="shared" si="13"/>
        <v>0</v>
      </c>
      <c r="T122" t="str">
        <f t="shared" si="14"/>
        <v xml:space="preserve"> -&gt; </v>
      </c>
    </row>
    <row r="123" spans="1:20" x14ac:dyDescent="0.25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11"/>
        <v>0</v>
      </c>
      <c r="R123">
        <f t="shared" si="12"/>
        <v>477</v>
      </c>
      <c r="S123" s="28">
        <f t="shared" si="13"/>
        <v>0</v>
      </c>
      <c r="T123" t="str">
        <f t="shared" si="14"/>
        <v xml:space="preserve"> -&gt; </v>
      </c>
    </row>
    <row r="124" spans="1:20" x14ac:dyDescent="0.25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11"/>
        <v>0</v>
      </c>
      <c r="R124">
        <f t="shared" si="12"/>
        <v>477</v>
      </c>
      <c r="S124" s="28">
        <f t="shared" si="13"/>
        <v>0</v>
      </c>
      <c r="T124" t="str">
        <f t="shared" si="14"/>
        <v xml:space="preserve"> -&gt; </v>
      </c>
    </row>
    <row r="125" spans="1:20" x14ac:dyDescent="0.25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11"/>
        <v>0</v>
      </c>
      <c r="R125">
        <f t="shared" si="12"/>
        <v>477</v>
      </c>
      <c r="S125" s="28">
        <f t="shared" si="13"/>
        <v>0</v>
      </c>
      <c r="T125" t="str">
        <f t="shared" si="14"/>
        <v xml:space="preserve"> -&gt; </v>
      </c>
    </row>
    <row r="126" spans="1:20" x14ac:dyDescent="0.25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11"/>
        <v>0</v>
      </c>
      <c r="R126">
        <f t="shared" si="12"/>
        <v>477</v>
      </c>
      <c r="S126" s="28">
        <f t="shared" si="13"/>
        <v>0</v>
      </c>
      <c r="T126" t="str">
        <f t="shared" si="14"/>
        <v xml:space="preserve"> -&gt; </v>
      </c>
    </row>
    <row r="127" spans="1:20" x14ac:dyDescent="0.25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11"/>
        <v>0</v>
      </c>
      <c r="R127">
        <f t="shared" si="12"/>
        <v>477</v>
      </c>
      <c r="S127" s="28">
        <f t="shared" si="13"/>
        <v>0</v>
      </c>
      <c r="T127" t="str">
        <f t="shared" si="14"/>
        <v xml:space="preserve"> -&gt; </v>
      </c>
    </row>
    <row r="128" spans="1:20" x14ac:dyDescent="0.25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11"/>
        <v>0</v>
      </c>
      <c r="R128">
        <f t="shared" si="12"/>
        <v>477</v>
      </c>
      <c r="S128" s="28">
        <f t="shared" si="13"/>
        <v>0</v>
      </c>
      <c r="T128" t="str">
        <f t="shared" si="14"/>
        <v xml:space="preserve"> -&gt; </v>
      </c>
    </row>
    <row r="129" spans="1:20" x14ac:dyDescent="0.25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11"/>
        <v>0</v>
      </c>
      <c r="R129">
        <f t="shared" si="12"/>
        <v>477</v>
      </c>
      <c r="S129" s="28">
        <f t="shared" si="13"/>
        <v>0</v>
      </c>
      <c r="T129" t="str">
        <f t="shared" si="14"/>
        <v xml:space="preserve"> -&gt; </v>
      </c>
    </row>
    <row r="130" spans="1:20" x14ac:dyDescent="0.25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11"/>
        <v>0</v>
      </c>
      <c r="R130">
        <f t="shared" si="12"/>
        <v>477</v>
      </c>
      <c r="S130" s="28">
        <f t="shared" si="13"/>
        <v>0</v>
      </c>
      <c r="T130" t="str">
        <f t="shared" si="14"/>
        <v xml:space="preserve"> -&gt; </v>
      </c>
    </row>
    <row r="131" spans="1:20" x14ac:dyDescent="0.25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15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si="11"/>
        <v>0</v>
      </c>
      <c r="R131">
        <f t="shared" si="12"/>
        <v>477</v>
      </c>
      <c r="S131" s="28">
        <f t="shared" si="13"/>
        <v>0</v>
      </c>
      <c r="T131" t="str">
        <f t="shared" si="14"/>
        <v xml:space="preserve"> -&gt; </v>
      </c>
    </row>
    <row r="132" spans="1:20" x14ac:dyDescent="0.25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Data'!B157</f>
        <v>0</v>
      </c>
      <c r="Q132">
        <f t="shared" si="11"/>
        <v>0</v>
      </c>
      <c r="R132">
        <f t="shared" si="12"/>
        <v>477</v>
      </c>
      <c r="S132" s="28">
        <f t="shared" si="13"/>
        <v>0</v>
      </c>
      <c r="T132" t="str">
        <f t="shared" si="14"/>
        <v xml:space="preserve"> -&gt; </v>
      </c>
    </row>
    <row r="133" spans="1:20" x14ac:dyDescent="0.25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Data'!B158</f>
        <v>0</v>
      </c>
      <c r="Q133">
        <f t="shared" si="11"/>
        <v>0</v>
      </c>
      <c r="R133">
        <f t="shared" si="12"/>
        <v>477</v>
      </c>
      <c r="S133" s="28">
        <f t="shared" si="13"/>
        <v>0</v>
      </c>
      <c r="T133" t="str">
        <f t="shared" si="14"/>
        <v xml:space="preserve"> -&gt; </v>
      </c>
    </row>
    <row r="134" spans="1:20" x14ac:dyDescent="0.25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Data'!B159</f>
        <v>0</v>
      </c>
      <c r="Q134">
        <f t="shared" si="11"/>
        <v>0</v>
      </c>
      <c r="R134">
        <f t="shared" si="12"/>
        <v>477</v>
      </c>
      <c r="S134" s="28">
        <f t="shared" si="13"/>
        <v>0</v>
      </c>
      <c r="T134" t="str">
        <f t="shared" si="14"/>
        <v xml:space="preserve"> -&gt; </v>
      </c>
    </row>
    <row r="135" spans="1:20" x14ac:dyDescent="0.25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Data'!B160</f>
        <v>0</v>
      </c>
      <c r="Q135">
        <f t="shared" si="11"/>
        <v>0</v>
      </c>
      <c r="R135">
        <f t="shared" si="12"/>
        <v>477</v>
      </c>
      <c r="S135" s="28">
        <f t="shared" si="13"/>
        <v>0</v>
      </c>
      <c r="T135" t="str">
        <f t="shared" si="14"/>
        <v xml:space="preserve"> -&gt; </v>
      </c>
    </row>
    <row r="136" spans="1:20" x14ac:dyDescent="0.25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Data'!B161</f>
        <v>0</v>
      </c>
      <c r="Q136">
        <f t="shared" si="11"/>
        <v>0</v>
      </c>
      <c r="R136">
        <f t="shared" si="12"/>
        <v>477</v>
      </c>
      <c r="S136" s="28">
        <f t="shared" si="13"/>
        <v>0</v>
      </c>
      <c r="T136" t="str">
        <f t="shared" si="14"/>
        <v xml:space="preserve"> -&gt; </v>
      </c>
    </row>
    <row r="137" spans="1:20" x14ac:dyDescent="0.25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Data'!B162</f>
        <v>0</v>
      </c>
      <c r="Q137">
        <f t="shared" si="11"/>
        <v>0</v>
      </c>
      <c r="R137">
        <f t="shared" si="12"/>
        <v>477</v>
      </c>
      <c r="S137" s="28">
        <f t="shared" si="13"/>
        <v>0</v>
      </c>
      <c r="T137" t="str">
        <f t="shared" si="14"/>
        <v xml:space="preserve"> -&gt; </v>
      </c>
    </row>
    <row r="138" spans="1:20" x14ac:dyDescent="0.25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Data'!B163</f>
        <v>0</v>
      </c>
      <c r="Q138">
        <f t="shared" si="11"/>
        <v>0</v>
      </c>
      <c r="R138">
        <f t="shared" si="12"/>
        <v>477</v>
      </c>
      <c r="S138" s="28">
        <f t="shared" si="13"/>
        <v>0</v>
      </c>
      <c r="T138" t="str">
        <f t="shared" si="14"/>
        <v xml:space="preserve"> -&gt; </v>
      </c>
    </row>
    <row r="139" spans="1:20" x14ac:dyDescent="0.25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Data'!B164</f>
        <v>0</v>
      </c>
      <c r="Q139">
        <f t="shared" si="11"/>
        <v>0</v>
      </c>
      <c r="R139">
        <f t="shared" si="12"/>
        <v>477</v>
      </c>
      <c r="S139" s="28">
        <f t="shared" si="13"/>
        <v>0</v>
      </c>
      <c r="T139" t="str">
        <f t="shared" si="14"/>
        <v xml:space="preserve"> -&gt; </v>
      </c>
    </row>
    <row r="140" spans="1:20" x14ac:dyDescent="0.25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Data'!B165</f>
        <v>0</v>
      </c>
      <c r="Q140">
        <f t="shared" si="11"/>
        <v>0</v>
      </c>
      <c r="R140">
        <f t="shared" si="12"/>
        <v>477</v>
      </c>
      <c r="S140" s="28">
        <f t="shared" si="13"/>
        <v>0</v>
      </c>
      <c r="T140" t="str">
        <f t="shared" si="14"/>
        <v xml:space="preserve"> -&gt; </v>
      </c>
    </row>
    <row r="141" spans="1:20" x14ac:dyDescent="0.25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Data'!B166</f>
        <v>0</v>
      </c>
      <c r="Q141">
        <f t="shared" si="11"/>
        <v>0</v>
      </c>
      <c r="R141">
        <f t="shared" si="12"/>
        <v>477</v>
      </c>
      <c r="S141" s="28">
        <f t="shared" si="13"/>
        <v>0</v>
      </c>
      <c r="T141" t="str">
        <f t="shared" si="14"/>
        <v xml:space="preserve"> -&gt; </v>
      </c>
    </row>
    <row r="142" spans="1:20" x14ac:dyDescent="0.25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Data'!B167</f>
        <v>0</v>
      </c>
      <c r="Q142">
        <f t="shared" si="11"/>
        <v>0</v>
      </c>
      <c r="R142">
        <f t="shared" si="12"/>
        <v>477</v>
      </c>
      <c r="S142" s="28">
        <f t="shared" si="13"/>
        <v>0</v>
      </c>
      <c r="T142" t="str">
        <f t="shared" si="14"/>
        <v xml:space="preserve"> -&gt; </v>
      </c>
    </row>
    <row r="143" spans="1:20" x14ac:dyDescent="0.25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Data'!B168</f>
        <v>0</v>
      </c>
      <c r="Q143">
        <f t="shared" si="11"/>
        <v>0</v>
      </c>
      <c r="R143">
        <f t="shared" si="12"/>
        <v>477</v>
      </c>
      <c r="S143" s="28">
        <f t="shared" si="13"/>
        <v>0</v>
      </c>
      <c r="T143" t="str">
        <f t="shared" si="14"/>
        <v xml:space="preserve"> -&gt; </v>
      </c>
    </row>
    <row r="144" spans="1:20" x14ac:dyDescent="0.25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Data'!B169</f>
        <v>0</v>
      </c>
      <c r="Q144">
        <f t="shared" si="11"/>
        <v>0</v>
      </c>
      <c r="R144">
        <f t="shared" si="12"/>
        <v>477</v>
      </c>
      <c r="S144" s="28">
        <f t="shared" si="13"/>
        <v>0</v>
      </c>
      <c r="T144" t="str">
        <f t="shared" si="14"/>
        <v xml:space="preserve"> -&gt; </v>
      </c>
    </row>
    <row r="145" spans="1:20" x14ac:dyDescent="0.25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Data'!B170</f>
        <v>0</v>
      </c>
      <c r="Q145">
        <f t="shared" si="11"/>
        <v>0</v>
      </c>
      <c r="R145">
        <f t="shared" si="12"/>
        <v>477</v>
      </c>
      <c r="S145" s="28">
        <f t="shared" si="13"/>
        <v>0</v>
      </c>
      <c r="T145" t="str">
        <f t="shared" si="14"/>
        <v xml:space="preserve"> -&gt; </v>
      </c>
    </row>
    <row r="146" spans="1:20" x14ac:dyDescent="0.25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Data'!B171</f>
        <v>0</v>
      </c>
      <c r="Q146">
        <f t="shared" ref="Q146:Q209" si="16">IF($P146="","",COUNTIF($A$3:$A$500,$P146))</f>
        <v>0</v>
      </c>
      <c r="R146">
        <f t="shared" ref="R146:R209" si="17">IF($P146="","",SUMPRODUCT(($A$3:$A$500=$P146)*($G$3:$G$500&lt;&gt;"Yes")*($G$3:$G$500&lt;&gt;"Did not pass re-test")))</f>
        <v>477</v>
      </c>
      <c r="S146" s="28">
        <f t="shared" ref="S146:S209" si="18">IF($P146="","",IF(SUMPRODUCT(MAX(($A$3:$A$500=$P146)*ROW($A$3:$A$500)))=0,"",INDEX($B:$B,SUMPRODUCT(MAX(($A$3:$A$500=$P146)*ROW($A$3:$A$500))))))</f>
        <v>0</v>
      </c>
      <c r="T146" t="str">
        <f t="shared" ref="T146:T209" si="19"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x14ac:dyDescent="0.25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Data'!B172</f>
        <v>0</v>
      </c>
      <c r="Q147">
        <f t="shared" si="16"/>
        <v>0</v>
      </c>
      <c r="R147">
        <f t="shared" si="17"/>
        <v>477</v>
      </c>
      <c r="S147" s="28">
        <f t="shared" si="18"/>
        <v>0</v>
      </c>
      <c r="T147" t="str">
        <f t="shared" si="19"/>
        <v xml:space="preserve"> -&gt; </v>
      </c>
    </row>
    <row r="148" spans="1:20" x14ac:dyDescent="0.25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Data'!B173</f>
        <v>0</v>
      </c>
      <c r="Q148">
        <f t="shared" si="16"/>
        <v>0</v>
      </c>
      <c r="R148">
        <f t="shared" si="17"/>
        <v>477</v>
      </c>
      <c r="S148" s="28">
        <f t="shared" si="18"/>
        <v>0</v>
      </c>
      <c r="T148" t="str">
        <f t="shared" si="19"/>
        <v xml:space="preserve"> -&gt; </v>
      </c>
    </row>
    <row r="149" spans="1:20" x14ac:dyDescent="0.25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Data'!B174</f>
        <v>0</v>
      </c>
      <c r="Q149">
        <f t="shared" si="16"/>
        <v>0</v>
      </c>
      <c r="R149">
        <f t="shared" si="17"/>
        <v>477</v>
      </c>
      <c r="S149" s="28">
        <f t="shared" si="18"/>
        <v>0</v>
      </c>
      <c r="T149" t="str">
        <f t="shared" si="19"/>
        <v xml:space="preserve"> -&gt; </v>
      </c>
    </row>
    <row r="150" spans="1:20" x14ac:dyDescent="0.25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Data'!B175</f>
        <v>0</v>
      </c>
      <c r="Q150">
        <f t="shared" si="16"/>
        <v>0</v>
      </c>
      <c r="R150">
        <f t="shared" si="17"/>
        <v>477</v>
      </c>
      <c r="S150" s="28">
        <f t="shared" si="18"/>
        <v>0</v>
      </c>
      <c r="T150" t="str">
        <f t="shared" si="19"/>
        <v xml:space="preserve"> -&gt; </v>
      </c>
    </row>
    <row r="151" spans="1:20" x14ac:dyDescent="0.25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Data'!B176</f>
        <v>0</v>
      </c>
      <c r="Q151">
        <f t="shared" si="16"/>
        <v>0</v>
      </c>
      <c r="R151">
        <f t="shared" si="17"/>
        <v>477</v>
      </c>
      <c r="S151" s="28">
        <f t="shared" si="18"/>
        <v>0</v>
      </c>
      <c r="T151" t="str">
        <f t="shared" si="19"/>
        <v xml:space="preserve"> -&gt; </v>
      </c>
    </row>
    <row r="152" spans="1:20" x14ac:dyDescent="0.25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Data'!B177</f>
        <v>0</v>
      </c>
      <c r="Q152">
        <f t="shared" si="16"/>
        <v>0</v>
      </c>
      <c r="R152">
        <f t="shared" si="17"/>
        <v>477</v>
      </c>
      <c r="S152" s="28">
        <f t="shared" si="18"/>
        <v>0</v>
      </c>
      <c r="T152" t="str">
        <f t="shared" si="19"/>
        <v xml:space="preserve"> -&gt; </v>
      </c>
    </row>
    <row r="153" spans="1:20" x14ac:dyDescent="0.25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Data'!B178</f>
        <v>0</v>
      </c>
      <c r="Q153">
        <f t="shared" si="16"/>
        <v>0</v>
      </c>
      <c r="R153">
        <f t="shared" si="17"/>
        <v>477</v>
      </c>
      <c r="S153" s="28">
        <f t="shared" si="18"/>
        <v>0</v>
      </c>
      <c r="T153" t="str">
        <f t="shared" si="19"/>
        <v xml:space="preserve"> -&gt; </v>
      </c>
    </row>
    <row r="154" spans="1:20" x14ac:dyDescent="0.25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Data'!B179</f>
        <v>0</v>
      </c>
      <c r="Q154">
        <f t="shared" si="16"/>
        <v>0</v>
      </c>
      <c r="R154">
        <f t="shared" si="17"/>
        <v>477</v>
      </c>
      <c r="S154" s="28">
        <f t="shared" si="18"/>
        <v>0</v>
      </c>
      <c r="T154" t="str">
        <f t="shared" si="19"/>
        <v xml:space="preserve"> -&gt; </v>
      </c>
    </row>
    <row r="155" spans="1:20" x14ac:dyDescent="0.25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Data'!B180</f>
        <v>0</v>
      </c>
      <c r="Q155">
        <f t="shared" si="16"/>
        <v>0</v>
      </c>
      <c r="R155">
        <f t="shared" si="17"/>
        <v>477</v>
      </c>
      <c r="S155" s="28">
        <f t="shared" si="18"/>
        <v>0</v>
      </c>
      <c r="T155" t="str">
        <f t="shared" si="19"/>
        <v xml:space="preserve"> -&gt; </v>
      </c>
    </row>
    <row r="156" spans="1:20" x14ac:dyDescent="0.25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Data'!B181</f>
        <v>0</v>
      </c>
      <c r="Q156">
        <f t="shared" si="16"/>
        <v>0</v>
      </c>
      <c r="R156">
        <f t="shared" si="17"/>
        <v>477</v>
      </c>
      <c r="S156" s="28">
        <f t="shared" si="18"/>
        <v>0</v>
      </c>
      <c r="T156" t="str">
        <f t="shared" si="19"/>
        <v xml:space="preserve"> -&gt; </v>
      </c>
    </row>
    <row r="157" spans="1:20" x14ac:dyDescent="0.25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Data'!B182</f>
        <v>0</v>
      </c>
      <c r="Q157">
        <f t="shared" si="16"/>
        <v>0</v>
      </c>
      <c r="R157">
        <f t="shared" si="17"/>
        <v>477</v>
      </c>
      <c r="S157" s="28">
        <f t="shared" si="18"/>
        <v>0</v>
      </c>
      <c r="T157" t="str">
        <f t="shared" si="19"/>
        <v xml:space="preserve"> -&gt; </v>
      </c>
    </row>
    <row r="158" spans="1:20" x14ac:dyDescent="0.25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Data'!B183</f>
        <v>0</v>
      </c>
      <c r="Q158">
        <f t="shared" si="16"/>
        <v>0</v>
      </c>
      <c r="R158">
        <f t="shared" si="17"/>
        <v>477</v>
      </c>
      <c r="S158" s="28">
        <f t="shared" si="18"/>
        <v>0</v>
      </c>
      <c r="T158" t="str">
        <f t="shared" si="19"/>
        <v xml:space="preserve"> -&gt; </v>
      </c>
    </row>
    <row r="159" spans="1:20" x14ac:dyDescent="0.25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Data'!B184</f>
        <v>0</v>
      </c>
      <c r="Q159">
        <f t="shared" si="16"/>
        <v>0</v>
      </c>
      <c r="R159">
        <f t="shared" si="17"/>
        <v>477</v>
      </c>
      <c r="S159" s="28">
        <f t="shared" si="18"/>
        <v>0</v>
      </c>
      <c r="T159" t="str">
        <f t="shared" si="19"/>
        <v xml:space="preserve"> -&gt; </v>
      </c>
    </row>
    <row r="160" spans="1:20" x14ac:dyDescent="0.25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Data'!B185</f>
        <v>0</v>
      </c>
      <c r="Q160">
        <f t="shared" si="16"/>
        <v>0</v>
      </c>
      <c r="R160">
        <f t="shared" si="17"/>
        <v>477</v>
      </c>
      <c r="S160" s="28">
        <f t="shared" si="18"/>
        <v>0</v>
      </c>
      <c r="T160" t="str">
        <f t="shared" si="19"/>
        <v xml:space="preserve"> -&gt; </v>
      </c>
    </row>
    <row r="161" spans="1:20" x14ac:dyDescent="0.25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Data'!B186</f>
        <v>0</v>
      </c>
      <c r="Q161">
        <f t="shared" si="16"/>
        <v>0</v>
      </c>
      <c r="R161">
        <f t="shared" si="17"/>
        <v>477</v>
      </c>
      <c r="S161" s="28">
        <f t="shared" si="18"/>
        <v>0</v>
      </c>
      <c r="T161" t="str">
        <f t="shared" si="19"/>
        <v xml:space="preserve"> -&gt; </v>
      </c>
    </row>
    <row r="162" spans="1:20" x14ac:dyDescent="0.25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Data'!B187</f>
        <v>0</v>
      </c>
      <c r="Q162">
        <f t="shared" si="16"/>
        <v>0</v>
      </c>
      <c r="R162">
        <f t="shared" si="17"/>
        <v>477</v>
      </c>
      <c r="S162" s="28">
        <f t="shared" si="18"/>
        <v>0</v>
      </c>
      <c r="T162" t="str">
        <f t="shared" si="19"/>
        <v xml:space="preserve"> -&gt; </v>
      </c>
    </row>
    <row r="163" spans="1:20" x14ac:dyDescent="0.25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Data'!B188</f>
        <v>0</v>
      </c>
      <c r="Q163">
        <f t="shared" si="16"/>
        <v>0</v>
      </c>
      <c r="R163">
        <f t="shared" si="17"/>
        <v>477</v>
      </c>
      <c r="S163" s="28">
        <f t="shared" si="18"/>
        <v>0</v>
      </c>
      <c r="T163" t="str">
        <f t="shared" si="19"/>
        <v xml:space="preserve"> -&gt; </v>
      </c>
    </row>
    <row r="164" spans="1:20" x14ac:dyDescent="0.25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Data'!B189</f>
        <v>0</v>
      </c>
      <c r="Q164">
        <f t="shared" si="16"/>
        <v>0</v>
      </c>
      <c r="R164">
        <f t="shared" si="17"/>
        <v>477</v>
      </c>
      <c r="S164" s="28">
        <f t="shared" si="18"/>
        <v>0</v>
      </c>
      <c r="T164" t="str">
        <f t="shared" si="19"/>
        <v xml:space="preserve"> -&gt; </v>
      </c>
    </row>
    <row r="165" spans="1:20" x14ac:dyDescent="0.25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Data'!B190</f>
        <v>0</v>
      </c>
      <c r="Q165">
        <f t="shared" si="16"/>
        <v>0</v>
      </c>
      <c r="R165">
        <f t="shared" si="17"/>
        <v>477</v>
      </c>
      <c r="S165" s="28">
        <f t="shared" si="18"/>
        <v>0</v>
      </c>
      <c r="T165" t="str">
        <f t="shared" si="19"/>
        <v xml:space="preserve"> -&gt; </v>
      </c>
    </row>
    <row r="166" spans="1:20" x14ac:dyDescent="0.25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Data'!B191</f>
        <v>0</v>
      </c>
      <c r="Q166">
        <f t="shared" si="16"/>
        <v>0</v>
      </c>
      <c r="R166">
        <f t="shared" si="17"/>
        <v>477</v>
      </c>
      <c r="S166" s="28">
        <f t="shared" si="18"/>
        <v>0</v>
      </c>
      <c r="T166" t="str">
        <f t="shared" si="19"/>
        <v xml:space="preserve"> -&gt; </v>
      </c>
    </row>
    <row r="167" spans="1:20" x14ac:dyDescent="0.25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Data'!B192</f>
        <v>0</v>
      </c>
      <c r="Q167">
        <f t="shared" si="16"/>
        <v>0</v>
      </c>
      <c r="R167">
        <f t="shared" si="17"/>
        <v>477</v>
      </c>
      <c r="S167" s="28">
        <f t="shared" si="18"/>
        <v>0</v>
      </c>
      <c r="T167" t="str">
        <f t="shared" si="19"/>
        <v xml:space="preserve"> -&gt; </v>
      </c>
    </row>
    <row r="168" spans="1:20" x14ac:dyDescent="0.25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Data'!B193</f>
        <v>0</v>
      </c>
      <c r="Q168">
        <f t="shared" si="16"/>
        <v>0</v>
      </c>
      <c r="R168">
        <f t="shared" si="17"/>
        <v>477</v>
      </c>
      <c r="S168" s="28">
        <f t="shared" si="18"/>
        <v>0</v>
      </c>
      <c r="T168" t="str">
        <f t="shared" si="19"/>
        <v xml:space="preserve"> -&gt; </v>
      </c>
    </row>
    <row r="169" spans="1:20" x14ac:dyDescent="0.25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Data'!B194</f>
        <v>0</v>
      </c>
      <c r="Q169">
        <f t="shared" si="16"/>
        <v>0</v>
      </c>
      <c r="R169">
        <f t="shared" si="17"/>
        <v>477</v>
      </c>
      <c r="S169" s="28">
        <f t="shared" si="18"/>
        <v>0</v>
      </c>
      <c r="T169" t="str">
        <f t="shared" si="19"/>
        <v xml:space="preserve"> -&gt; </v>
      </c>
    </row>
    <row r="170" spans="1:20" x14ac:dyDescent="0.25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Data'!B195</f>
        <v>0</v>
      </c>
      <c r="Q170">
        <f t="shared" si="16"/>
        <v>0</v>
      </c>
      <c r="R170">
        <f t="shared" si="17"/>
        <v>477</v>
      </c>
      <c r="S170" s="28">
        <f t="shared" si="18"/>
        <v>0</v>
      </c>
      <c r="T170" t="str">
        <f t="shared" si="19"/>
        <v xml:space="preserve"> -&gt; </v>
      </c>
    </row>
    <row r="171" spans="1:20" x14ac:dyDescent="0.25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Data'!B196</f>
        <v>0</v>
      </c>
      <c r="Q171">
        <f t="shared" si="16"/>
        <v>0</v>
      </c>
      <c r="R171">
        <f t="shared" si="17"/>
        <v>477</v>
      </c>
      <c r="S171" s="28">
        <f t="shared" si="18"/>
        <v>0</v>
      </c>
      <c r="T171" t="str">
        <f t="shared" si="19"/>
        <v xml:space="preserve"> -&gt; </v>
      </c>
    </row>
    <row r="172" spans="1:20" x14ac:dyDescent="0.25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Data'!B197</f>
        <v>0</v>
      </c>
      <c r="Q172">
        <f t="shared" si="16"/>
        <v>0</v>
      </c>
      <c r="R172">
        <f t="shared" si="17"/>
        <v>477</v>
      </c>
      <c r="S172" s="28">
        <f t="shared" si="18"/>
        <v>0</v>
      </c>
      <c r="T172" t="str">
        <f t="shared" si="19"/>
        <v xml:space="preserve"> -&gt; </v>
      </c>
    </row>
    <row r="173" spans="1:20" x14ac:dyDescent="0.25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Data'!B198</f>
        <v>0</v>
      </c>
      <c r="Q173">
        <f t="shared" si="16"/>
        <v>0</v>
      </c>
      <c r="R173">
        <f t="shared" si="17"/>
        <v>477</v>
      </c>
      <c r="S173" s="28">
        <f t="shared" si="18"/>
        <v>0</v>
      </c>
      <c r="T173" t="str">
        <f t="shared" si="19"/>
        <v xml:space="preserve"> -&gt; </v>
      </c>
    </row>
    <row r="174" spans="1:20" x14ac:dyDescent="0.25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Data'!B199</f>
        <v>0</v>
      </c>
      <c r="Q174">
        <f t="shared" si="16"/>
        <v>0</v>
      </c>
      <c r="R174">
        <f t="shared" si="17"/>
        <v>477</v>
      </c>
      <c r="S174" s="28">
        <f t="shared" si="18"/>
        <v>0</v>
      </c>
      <c r="T174" t="str">
        <f t="shared" si="19"/>
        <v xml:space="preserve"> -&gt; </v>
      </c>
    </row>
    <row r="175" spans="1:20" x14ac:dyDescent="0.25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Data'!B200</f>
        <v>0</v>
      </c>
      <c r="Q175">
        <f t="shared" si="16"/>
        <v>0</v>
      </c>
      <c r="R175">
        <f t="shared" si="17"/>
        <v>477</v>
      </c>
      <c r="S175" s="28">
        <f t="shared" si="18"/>
        <v>0</v>
      </c>
      <c r="T175" t="str">
        <f t="shared" si="19"/>
        <v xml:space="preserve"> -&gt; </v>
      </c>
    </row>
    <row r="176" spans="1:20" x14ac:dyDescent="0.25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Data'!B201</f>
        <v>0</v>
      </c>
      <c r="Q176">
        <f t="shared" si="16"/>
        <v>0</v>
      </c>
      <c r="R176">
        <f t="shared" si="17"/>
        <v>477</v>
      </c>
      <c r="S176" s="28">
        <f t="shared" si="18"/>
        <v>0</v>
      </c>
      <c r="T176" t="str">
        <f t="shared" si="19"/>
        <v xml:space="preserve"> -&gt; </v>
      </c>
    </row>
    <row r="177" spans="1:20" x14ac:dyDescent="0.25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Data'!B202</f>
        <v>0</v>
      </c>
      <c r="Q177">
        <f t="shared" si="16"/>
        <v>0</v>
      </c>
      <c r="R177">
        <f t="shared" si="17"/>
        <v>477</v>
      </c>
      <c r="S177" s="28">
        <f t="shared" si="18"/>
        <v>0</v>
      </c>
      <c r="T177" t="str">
        <f t="shared" si="19"/>
        <v xml:space="preserve"> -&gt; </v>
      </c>
    </row>
    <row r="178" spans="1:20" x14ac:dyDescent="0.25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Data'!B203</f>
        <v>0</v>
      </c>
      <c r="Q178">
        <f t="shared" si="16"/>
        <v>0</v>
      </c>
      <c r="R178">
        <f t="shared" si="17"/>
        <v>477</v>
      </c>
      <c r="S178" s="28">
        <f t="shared" si="18"/>
        <v>0</v>
      </c>
      <c r="T178" t="str">
        <f t="shared" si="19"/>
        <v xml:space="preserve"> -&gt; </v>
      </c>
    </row>
    <row r="179" spans="1:20" x14ac:dyDescent="0.25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Data'!B204</f>
        <v>0</v>
      </c>
      <c r="Q179">
        <f t="shared" si="16"/>
        <v>0</v>
      </c>
      <c r="R179">
        <f t="shared" si="17"/>
        <v>477</v>
      </c>
      <c r="S179" s="28">
        <f t="shared" si="18"/>
        <v>0</v>
      </c>
      <c r="T179" t="str">
        <f t="shared" si="19"/>
        <v xml:space="preserve"> -&gt; </v>
      </c>
    </row>
    <row r="180" spans="1:20" x14ac:dyDescent="0.25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Data'!B205</f>
        <v>0</v>
      </c>
      <c r="Q180">
        <f t="shared" si="16"/>
        <v>0</v>
      </c>
      <c r="R180">
        <f t="shared" si="17"/>
        <v>477</v>
      </c>
      <c r="S180" s="28">
        <f t="shared" si="18"/>
        <v>0</v>
      </c>
      <c r="T180" t="str">
        <f t="shared" si="19"/>
        <v xml:space="preserve"> -&gt; </v>
      </c>
    </row>
    <row r="181" spans="1:20" x14ac:dyDescent="0.25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Data'!B206</f>
        <v>0</v>
      </c>
      <c r="Q181">
        <f t="shared" si="16"/>
        <v>0</v>
      </c>
      <c r="R181">
        <f t="shared" si="17"/>
        <v>477</v>
      </c>
      <c r="S181" s="28">
        <f t="shared" si="18"/>
        <v>0</v>
      </c>
      <c r="T181" t="str">
        <f t="shared" si="19"/>
        <v xml:space="preserve"> -&gt; </v>
      </c>
    </row>
    <row r="182" spans="1:20" x14ac:dyDescent="0.25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Data'!B207</f>
        <v>0</v>
      </c>
      <c r="Q182">
        <f t="shared" si="16"/>
        <v>0</v>
      </c>
      <c r="R182">
        <f t="shared" si="17"/>
        <v>477</v>
      </c>
      <c r="S182" s="28">
        <f t="shared" si="18"/>
        <v>0</v>
      </c>
      <c r="T182" t="str">
        <f t="shared" si="19"/>
        <v xml:space="preserve"> -&gt; </v>
      </c>
    </row>
    <row r="183" spans="1:20" x14ac:dyDescent="0.25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Data'!B208</f>
        <v>0</v>
      </c>
      <c r="Q183">
        <f t="shared" si="16"/>
        <v>0</v>
      </c>
      <c r="R183">
        <f t="shared" si="17"/>
        <v>477</v>
      </c>
      <c r="S183" s="28">
        <f t="shared" si="18"/>
        <v>0</v>
      </c>
      <c r="T183" t="str">
        <f t="shared" si="19"/>
        <v xml:space="preserve"> -&gt; </v>
      </c>
    </row>
    <row r="184" spans="1:20" x14ac:dyDescent="0.25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Data'!B209</f>
        <v>0</v>
      </c>
      <c r="Q184">
        <f t="shared" si="16"/>
        <v>0</v>
      </c>
      <c r="R184">
        <f t="shared" si="17"/>
        <v>477</v>
      </c>
      <c r="S184" s="28">
        <f t="shared" si="18"/>
        <v>0</v>
      </c>
      <c r="T184" t="str">
        <f t="shared" si="19"/>
        <v xml:space="preserve"> -&gt; </v>
      </c>
    </row>
    <row r="185" spans="1:20" x14ac:dyDescent="0.25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Data'!B210</f>
        <v>0</v>
      </c>
      <c r="Q185">
        <f t="shared" si="16"/>
        <v>0</v>
      </c>
      <c r="R185">
        <f t="shared" si="17"/>
        <v>477</v>
      </c>
      <c r="S185" s="28">
        <f t="shared" si="18"/>
        <v>0</v>
      </c>
      <c r="T185" t="str">
        <f t="shared" si="19"/>
        <v xml:space="preserve"> -&gt; </v>
      </c>
    </row>
    <row r="186" spans="1:20" x14ac:dyDescent="0.25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Data'!B211</f>
        <v>0</v>
      </c>
      <c r="Q186">
        <f t="shared" si="16"/>
        <v>0</v>
      </c>
      <c r="R186">
        <f t="shared" si="17"/>
        <v>477</v>
      </c>
      <c r="S186" s="28">
        <f t="shared" si="18"/>
        <v>0</v>
      </c>
      <c r="T186" t="str">
        <f t="shared" si="19"/>
        <v xml:space="preserve"> -&gt; </v>
      </c>
    </row>
    <row r="187" spans="1:20" x14ac:dyDescent="0.25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Data'!B212</f>
        <v>0</v>
      </c>
      <c r="Q187">
        <f t="shared" si="16"/>
        <v>0</v>
      </c>
      <c r="R187">
        <f t="shared" si="17"/>
        <v>477</v>
      </c>
      <c r="S187" s="28">
        <f t="shared" si="18"/>
        <v>0</v>
      </c>
      <c r="T187" t="str">
        <f t="shared" si="19"/>
        <v xml:space="preserve"> -&gt; </v>
      </c>
    </row>
    <row r="188" spans="1:20" x14ac:dyDescent="0.25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Data'!B213</f>
        <v>0</v>
      </c>
      <c r="Q188">
        <f t="shared" si="16"/>
        <v>0</v>
      </c>
      <c r="R188">
        <f t="shared" si="17"/>
        <v>477</v>
      </c>
      <c r="S188" s="28">
        <f t="shared" si="18"/>
        <v>0</v>
      </c>
      <c r="T188" t="str">
        <f t="shared" si="19"/>
        <v xml:space="preserve"> -&gt; </v>
      </c>
    </row>
    <row r="189" spans="1:20" x14ac:dyDescent="0.25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Data'!B214</f>
        <v>0</v>
      </c>
      <c r="Q189">
        <f t="shared" si="16"/>
        <v>0</v>
      </c>
      <c r="R189">
        <f t="shared" si="17"/>
        <v>477</v>
      </c>
      <c r="S189" s="28">
        <f t="shared" si="18"/>
        <v>0</v>
      </c>
      <c r="T189" t="str">
        <f t="shared" si="19"/>
        <v xml:space="preserve"> -&gt; </v>
      </c>
    </row>
    <row r="190" spans="1:20" x14ac:dyDescent="0.25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Data'!B215</f>
        <v>0</v>
      </c>
      <c r="Q190">
        <f t="shared" si="16"/>
        <v>0</v>
      </c>
      <c r="R190">
        <f t="shared" si="17"/>
        <v>477</v>
      </c>
      <c r="S190" s="28">
        <f t="shared" si="18"/>
        <v>0</v>
      </c>
      <c r="T190" t="str">
        <f t="shared" si="19"/>
        <v xml:space="preserve"> -&gt; </v>
      </c>
    </row>
    <row r="191" spans="1:20" x14ac:dyDescent="0.25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Data'!B216</f>
        <v>0</v>
      </c>
      <c r="Q191">
        <f t="shared" si="16"/>
        <v>0</v>
      </c>
      <c r="R191">
        <f t="shared" si="17"/>
        <v>477</v>
      </c>
      <c r="S191" s="28">
        <f t="shared" si="18"/>
        <v>0</v>
      </c>
      <c r="T191" t="str">
        <f t="shared" si="19"/>
        <v xml:space="preserve"> -&gt; </v>
      </c>
    </row>
    <row r="192" spans="1:20" x14ac:dyDescent="0.25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Data'!B217</f>
        <v>0</v>
      </c>
      <c r="Q192">
        <f t="shared" si="16"/>
        <v>0</v>
      </c>
      <c r="R192">
        <f t="shared" si="17"/>
        <v>477</v>
      </c>
      <c r="S192" s="28">
        <f t="shared" si="18"/>
        <v>0</v>
      </c>
      <c r="T192" t="str">
        <f t="shared" si="19"/>
        <v xml:space="preserve"> -&gt; </v>
      </c>
    </row>
    <row r="193" spans="1:20" x14ac:dyDescent="0.25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Data'!B218</f>
        <v>0</v>
      </c>
      <c r="Q193">
        <f t="shared" si="16"/>
        <v>0</v>
      </c>
      <c r="R193">
        <f t="shared" si="17"/>
        <v>477</v>
      </c>
      <c r="S193" s="28">
        <f t="shared" si="18"/>
        <v>0</v>
      </c>
      <c r="T193" t="str">
        <f t="shared" si="19"/>
        <v xml:space="preserve"> -&gt; </v>
      </c>
    </row>
    <row r="194" spans="1:20" x14ac:dyDescent="0.25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15"/>
        <v/>
      </c>
      <c r="P194">
        <f>'Combined Delivery Data'!B219</f>
        <v>0</v>
      </c>
      <c r="Q194">
        <f t="shared" si="16"/>
        <v>0</v>
      </c>
      <c r="R194">
        <f t="shared" si="17"/>
        <v>477</v>
      </c>
      <c r="S194" s="28">
        <f t="shared" si="18"/>
        <v>0</v>
      </c>
      <c r="T194" t="str">
        <f t="shared" si="19"/>
        <v xml:space="preserve"> -&gt; </v>
      </c>
    </row>
    <row r="195" spans="1:20" x14ac:dyDescent="0.25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20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si="16"/>
        <v>0</v>
      </c>
      <c r="R195">
        <f t="shared" si="17"/>
        <v>477</v>
      </c>
      <c r="S195" s="28">
        <f t="shared" si="18"/>
        <v>0</v>
      </c>
      <c r="T195" t="str">
        <f t="shared" si="19"/>
        <v xml:space="preserve"> -&gt; </v>
      </c>
    </row>
    <row r="196" spans="1:20" x14ac:dyDescent="0.25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Data'!B221</f>
        <v>0</v>
      </c>
      <c r="Q196">
        <f t="shared" si="16"/>
        <v>0</v>
      </c>
      <c r="R196">
        <f t="shared" si="17"/>
        <v>477</v>
      </c>
      <c r="S196" s="28">
        <f t="shared" si="18"/>
        <v>0</v>
      </c>
      <c r="T196" t="str">
        <f t="shared" si="19"/>
        <v xml:space="preserve"> -&gt; </v>
      </c>
    </row>
    <row r="197" spans="1:20" x14ac:dyDescent="0.25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Data'!B222</f>
        <v>0</v>
      </c>
      <c r="Q197">
        <f t="shared" si="16"/>
        <v>0</v>
      </c>
      <c r="R197">
        <f t="shared" si="17"/>
        <v>477</v>
      </c>
      <c r="S197" s="28">
        <f t="shared" si="18"/>
        <v>0</v>
      </c>
      <c r="T197" t="str">
        <f t="shared" si="19"/>
        <v xml:space="preserve"> -&gt; </v>
      </c>
    </row>
    <row r="198" spans="1:20" x14ac:dyDescent="0.25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Data'!B223</f>
        <v>0</v>
      </c>
      <c r="Q198">
        <f t="shared" si="16"/>
        <v>0</v>
      </c>
      <c r="R198">
        <f t="shared" si="17"/>
        <v>477</v>
      </c>
      <c r="S198" s="28">
        <f t="shared" si="18"/>
        <v>0</v>
      </c>
      <c r="T198" t="str">
        <f t="shared" si="19"/>
        <v xml:space="preserve"> -&gt; </v>
      </c>
    </row>
    <row r="199" spans="1:20" x14ac:dyDescent="0.25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Data'!B224</f>
        <v>0</v>
      </c>
      <c r="Q199">
        <f t="shared" si="16"/>
        <v>0</v>
      </c>
      <c r="R199">
        <f t="shared" si="17"/>
        <v>477</v>
      </c>
      <c r="S199" s="28">
        <f t="shared" si="18"/>
        <v>0</v>
      </c>
      <c r="T199" t="str">
        <f t="shared" si="19"/>
        <v xml:space="preserve"> -&gt; </v>
      </c>
    </row>
    <row r="200" spans="1:20" x14ac:dyDescent="0.25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Data'!B225</f>
        <v>0</v>
      </c>
      <c r="Q200">
        <f t="shared" si="16"/>
        <v>0</v>
      </c>
      <c r="R200">
        <f t="shared" si="17"/>
        <v>477</v>
      </c>
      <c r="S200" s="28">
        <f t="shared" si="18"/>
        <v>0</v>
      </c>
      <c r="T200" t="str">
        <f t="shared" si="19"/>
        <v xml:space="preserve"> -&gt; </v>
      </c>
    </row>
    <row r="201" spans="1:20" x14ac:dyDescent="0.2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Data'!B226</f>
        <v>0</v>
      </c>
      <c r="Q201">
        <f t="shared" si="16"/>
        <v>0</v>
      </c>
      <c r="R201">
        <f t="shared" si="17"/>
        <v>477</v>
      </c>
      <c r="S201" s="28">
        <f t="shared" si="18"/>
        <v>0</v>
      </c>
      <c r="T201" t="str">
        <f t="shared" si="19"/>
        <v xml:space="preserve"> -&gt; </v>
      </c>
    </row>
    <row r="202" spans="1:20" x14ac:dyDescent="0.2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Data'!B227</f>
        <v>0</v>
      </c>
      <c r="Q202">
        <f t="shared" si="16"/>
        <v>0</v>
      </c>
      <c r="R202">
        <f t="shared" si="17"/>
        <v>477</v>
      </c>
      <c r="S202" s="28">
        <f t="shared" si="18"/>
        <v>0</v>
      </c>
      <c r="T202" t="str">
        <f t="shared" si="19"/>
        <v xml:space="preserve"> -&gt; </v>
      </c>
    </row>
    <row r="203" spans="1:20" x14ac:dyDescent="0.2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Data'!B228</f>
        <v>0</v>
      </c>
      <c r="Q203">
        <f t="shared" si="16"/>
        <v>0</v>
      </c>
      <c r="R203">
        <f t="shared" si="17"/>
        <v>477</v>
      </c>
      <c r="S203" s="28">
        <f t="shared" si="18"/>
        <v>0</v>
      </c>
      <c r="T203" t="str">
        <f t="shared" si="19"/>
        <v xml:space="preserve"> -&gt; </v>
      </c>
    </row>
    <row r="204" spans="1:20" x14ac:dyDescent="0.2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Data'!B229</f>
        <v>0</v>
      </c>
      <c r="Q204">
        <f t="shared" si="16"/>
        <v>0</v>
      </c>
      <c r="R204">
        <f t="shared" si="17"/>
        <v>477</v>
      </c>
      <c r="S204" s="28">
        <f t="shared" si="18"/>
        <v>0</v>
      </c>
      <c r="T204" t="str">
        <f t="shared" si="19"/>
        <v xml:space="preserve"> -&gt; </v>
      </c>
    </row>
    <row r="205" spans="1:20" x14ac:dyDescent="0.2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Data'!B230</f>
        <v>0</v>
      </c>
      <c r="Q205">
        <f t="shared" si="16"/>
        <v>0</v>
      </c>
      <c r="R205">
        <f t="shared" si="17"/>
        <v>477</v>
      </c>
      <c r="S205" s="28">
        <f t="shared" si="18"/>
        <v>0</v>
      </c>
      <c r="T205" t="str">
        <f t="shared" si="19"/>
        <v xml:space="preserve"> -&gt; </v>
      </c>
    </row>
    <row r="206" spans="1:20" x14ac:dyDescent="0.2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Data'!B231</f>
        <v>0</v>
      </c>
      <c r="Q206">
        <f t="shared" si="16"/>
        <v>0</v>
      </c>
      <c r="R206">
        <f t="shared" si="17"/>
        <v>477</v>
      </c>
      <c r="S206" s="28">
        <f t="shared" si="18"/>
        <v>0</v>
      </c>
      <c r="T206" t="str">
        <f t="shared" si="19"/>
        <v xml:space="preserve"> -&gt; </v>
      </c>
    </row>
    <row r="207" spans="1:20" x14ac:dyDescent="0.2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Data'!B232</f>
        <v>0</v>
      </c>
      <c r="Q207">
        <f t="shared" si="16"/>
        <v>0</v>
      </c>
      <c r="R207">
        <f t="shared" si="17"/>
        <v>477</v>
      </c>
      <c r="S207" s="28">
        <f t="shared" si="18"/>
        <v>0</v>
      </c>
      <c r="T207" t="str">
        <f t="shared" si="19"/>
        <v xml:space="preserve"> -&gt; </v>
      </c>
    </row>
    <row r="208" spans="1:20" x14ac:dyDescent="0.2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Data'!B233</f>
        <v>0</v>
      </c>
      <c r="Q208">
        <f t="shared" si="16"/>
        <v>0</v>
      </c>
      <c r="R208">
        <f t="shared" si="17"/>
        <v>477</v>
      </c>
      <c r="S208" s="28">
        <f t="shared" si="18"/>
        <v>0</v>
      </c>
      <c r="T208" t="str">
        <f t="shared" si="19"/>
        <v xml:space="preserve"> -&gt; </v>
      </c>
    </row>
    <row r="209" spans="1:20" x14ac:dyDescent="0.2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Data'!B234</f>
        <v>0</v>
      </c>
      <c r="Q209">
        <f t="shared" si="16"/>
        <v>0</v>
      </c>
      <c r="R209">
        <f t="shared" si="17"/>
        <v>477</v>
      </c>
      <c r="S209" s="28">
        <f t="shared" si="18"/>
        <v>0</v>
      </c>
      <c r="T209" t="str">
        <f t="shared" si="19"/>
        <v xml:space="preserve"> -&gt; </v>
      </c>
    </row>
    <row r="210" spans="1:20" x14ac:dyDescent="0.2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Data'!B235</f>
        <v>0</v>
      </c>
      <c r="Q210">
        <f t="shared" ref="Q210:Q273" si="21">IF($P210="","",COUNTIF($A$3:$A$500,$P210))</f>
        <v>0</v>
      </c>
      <c r="R210">
        <f t="shared" ref="R210:R273" si="22">IF($P210="","",SUMPRODUCT(($A$3:$A$500=$P210)*($G$3:$G$500&lt;&gt;"Yes")*($G$3:$G$500&lt;&gt;"Did not pass re-test")))</f>
        <v>477</v>
      </c>
      <c r="S210" s="28">
        <f t="shared" ref="S210:S273" si="23">IF($P210="","",IF(SUMPRODUCT(MAX(($A$3:$A$500=$P210)*ROW($A$3:$A$500)))=0,"",INDEX($B:$B,SUMPRODUCT(MAX(($A$3:$A$500=$P210)*ROW($A$3:$A$500))))))</f>
        <v>0</v>
      </c>
      <c r="T210" t="str">
        <f t="shared" ref="T210:T273" si="24"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x14ac:dyDescent="0.2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Data'!B236</f>
        <v>0</v>
      </c>
      <c r="Q211">
        <f t="shared" si="21"/>
        <v>0</v>
      </c>
      <c r="R211">
        <f t="shared" si="22"/>
        <v>477</v>
      </c>
      <c r="S211" s="28">
        <f t="shared" si="23"/>
        <v>0</v>
      </c>
      <c r="T211" t="str">
        <f t="shared" si="24"/>
        <v xml:space="preserve"> -&gt; </v>
      </c>
    </row>
    <row r="212" spans="1:20" x14ac:dyDescent="0.2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Data'!B237</f>
        <v>0</v>
      </c>
      <c r="Q212">
        <f t="shared" si="21"/>
        <v>0</v>
      </c>
      <c r="R212">
        <f t="shared" si="22"/>
        <v>477</v>
      </c>
      <c r="S212" s="28">
        <f t="shared" si="23"/>
        <v>0</v>
      </c>
      <c r="T212" t="str">
        <f t="shared" si="24"/>
        <v xml:space="preserve"> -&gt; </v>
      </c>
    </row>
    <row r="213" spans="1:20" x14ac:dyDescent="0.2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Data'!B238</f>
        <v>0</v>
      </c>
      <c r="Q213">
        <f t="shared" si="21"/>
        <v>0</v>
      </c>
      <c r="R213">
        <f t="shared" si="22"/>
        <v>477</v>
      </c>
      <c r="S213" s="28">
        <f t="shared" si="23"/>
        <v>0</v>
      </c>
      <c r="T213" t="str">
        <f t="shared" si="24"/>
        <v xml:space="preserve"> -&gt; </v>
      </c>
    </row>
    <row r="214" spans="1:20" x14ac:dyDescent="0.2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Data'!B239</f>
        <v>0</v>
      </c>
      <c r="Q214">
        <f t="shared" si="21"/>
        <v>0</v>
      </c>
      <c r="R214">
        <f t="shared" si="22"/>
        <v>477</v>
      </c>
      <c r="S214" s="28">
        <f t="shared" si="23"/>
        <v>0</v>
      </c>
      <c r="T214" t="str">
        <f t="shared" si="24"/>
        <v xml:space="preserve"> -&gt; </v>
      </c>
    </row>
    <row r="215" spans="1:20" x14ac:dyDescent="0.2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Data'!B240</f>
        <v>0</v>
      </c>
      <c r="Q215">
        <f t="shared" si="21"/>
        <v>0</v>
      </c>
      <c r="R215">
        <f t="shared" si="22"/>
        <v>477</v>
      </c>
      <c r="S215" s="28">
        <f t="shared" si="23"/>
        <v>0</v>
      </c>
      <c r="T215" t="str">
        <f t="shared" si="24"/>
        <v xml:space="preserve"> -&gt; </v>
      </c>
    </row>
    <row r="216" spans="1:20" x14ac:dyDescent="0.2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Data'!B241</f>
        <v>0</v>
      </c>
      <c r="Q216">
        <f t="shared" si="21"/>
        <v>0</v>
      </c>
      <c r="R216">
        <f t="shared" si="22"/>
        <v>477</v>
      </c>
      <c r="S216" s="28">
        <f t="shared" si="23"/>
        <v>0</v>
      </c>
      <c r="T216" t="str">
        <f t="shared" si="24"/>
        <v xml:space="preserve"> -&gt; </v>
      </c>
    </row>
    <row r="217" spans="1:20" x14ac:dyDescent="0.2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Data'!B242</f>
        <v>0</v>
      </c>
      <c r="Q217">
        <f t="shared" si="21"/>
        <v>0</v>
      </c>
      <c r="R217">
        <f t="shared" si="22"/>
        <v>477</v>
      </c>
      <c r="S217" s="28">
        <f t="shared" si="23"/>
        <v>0</v>
      </c>
      <c r="T217" t="str">
        <f t="shared" si="24"/>
        <v xml:space="preserve"> -&gt; </v>
      </c>
    </row>
    <row r="218" spans="1:20" x14ac:dyDescent="0.2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Data'!B243</f>
        <v>0</v>
      </c>
      <c r="Q218">
        <f t="shared" si="21"/>
        <v>0</v>
      </c>
      <c r="R218">
        <f t="shared" si="22"/>
        <v>477</v>
      </c>
      <c r="S218" s="28">
        <f t="shared" si="23"/>
        <v>0</v>
      </c>
      <c r="T218" t="str">
        <f t="shared" si="24"/>
        <v xml:space="preserve"> -&gt; </v>
      </c>
    </row>
    <row r="219" spans="1:20" x14ac:dyDescent="0.2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Data'!B244</f>
        <v>0</v>
      </c>
      <c r="Q219">
        <f t="shared" si="21"/>
        <v>0</v>
      </c>
      <c r="R219">
        <f t="shared" si="22"/>
        <v>477</v>
      </c>
      <c r="S219" s="28">
        <f t="shared" si="23"/>
        <v>0</v>
      </c>
      <c r="T219" t="str">
        <f t="shared" si="24"/>
        <v xml:space="preserve"> -&gt; </v>
      </c>
    </row>
    <row r="220" spans="1:20" x14ac:dyDescent="0.2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Data'!B245</f>
        <v>0</v>
      </c>
      <c r="Q220">
        <f t="shared" si="21"/>
        <v>0</v>
      </c>
      <c r="R220">
        <f t="shared" si="22"/>
        <v>477</v>
      </c>
      <c r="S220" s="28">
        <f t="shared" si="23"/>
        <v>0</v>
      </c>
      <c r="T220" t="str">
        <f t="shared" si="24"/>
        <v xml:space="preserve"> -&gt; </v>
      </c>
    </row>
    <row r="221" spans="1:20" x14ac:dyDescent="0.2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Data'!B246</f>
        <v>0</v>
      </c>
      <c r="Q221">
        <f t="shared" si="21"/>
        <v>0</v>
      </c>
      <c r="R221">
        <f t="shared" si="22"/>
        <v>477</v>
      </c>
      <c r="S221" s="28">
        <f t="shared" si="23"/>
        <v>0</v>
      </c>
      <c r="T221" t="str">
        <f t="shared" si="24"/>
        <v xml:space="preserve"> -&gt; </v>
      </c>
    </row>
    <row r="222" spans="1:20" x14ac:dyDescent="0.2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Data'!B247</f>
        <v>0</v>
      </c>
      <c r="Q222">
        <f t="shared" si="21"/>
        <v>0</v>
      </c>
      <c r="R222">
        <f t="shared" si="22"/>
        <v>477</v>
      </c>
      <c r="S222" s="28">
        <f t="shared" si="23"/>
        <v>0</v>
      </c>
      <c r="T222" t="str">
        <f t="shared" si="24"/>
        <v xml:space="preserve"> -&gt; </v>
      </c>
    </row>
    <row r="223" spans="1:20" x14ac:dyDescent="0.2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Data'!B248</f>
        <v>0</v>
      </c>
      <c r="Q223">
        <f t="shared" si="21"/>
        <v>0</v>
      </c>
      <c r="R223">
        <f t="shared" si="22"/>
        <v>477</v>
      </c>
      <c r="S223" s="28">
        <f t="shared" si="23"/>
        <v>0</v>
      </c>
      <c r="T223" t="str">
        <f t="shared" si="24"/>
        <v xml:space="preserve"> -&gt; </v>
      </c>
    </row>
    <row r="224" spans="1:20" x14ac:dyDescent="0.2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Data'!B249</f>
        <v>0</v>
      </c>
      <c r="Q224">
        <f t="shared" si="21"/>
        <v>0</v>
      </c>
      <c r="R224">
        <f t="shared" si="22"/>
        <v>477</v>
      </c>
      <c r="S224" s="28">
        <f t="shared" si="23"/>
        <v>0</v>
      </c>
      <c r="T224" t="str">
        <f t="shared" si="24"/>
        <v xml:space="preserve"> -&gt; </v>
      </c>
    </row>
    <row r="225" spans="1:20" x14ac:dyDescent="0.2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Data'!B250</f>
        <v>0</v>
      </c>
      <c r="Q225">
        <f t="shared" si="21"/>
        <v>0</v>
      </c>
      <c r="R225">
        <f t="shared" si="22"/>
        <v>477</v>
      </c>
      <c r="S225" s="28">
        <f t="shared" si="23"/>
        <v>0</v>
      </c>
      <c r="T225" t="str">
        <f t="shared" si="24"/>
        <v xml:space="preserve"> -&gt; </v>
      </c>
    </row>
    <row r="226" spans="1:20" x14ac:dyDescent="0.2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Data'!B251</f>
        <v>0</v>
      </c>
      <c r="Q226">
        <f t="shared" si="21"/>
        <v>0</v>
      </c>
      <c r="R226">
        <f t="shared" si="22"/>
        <v>477</v>
      </c>
      <c r="S226" s="28">
        <f t="shared" si="23"/>
        <v>0</v>
      </c>
      <c r="T226" t="str">
        <f t="shared" si="24"/>
        <v xml:space="preserve"> -&gt; </v>
      </c>
    </row>
    <row r="227" spans="1:20" x14ac:dyDescent="0.2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Data'!B252</f>
        <v>0</v>
      </c>
      <c r="Q227">
        <f t="shared" si="21"/>
        <v>0</v>
      </c>
      <c r="R227">
        <f t="shared" si="22"/>
        <v>477</v>
      </c>
      <c r="S227" s="28">
        <f t="shared" si="23"/>
        <v>0</v>
      </c>
      <c r="T227" t="str">
        <f t="shared" si="24"/>
        <v xml:space="preserve"> -&gt; </v>
      </c>
    </row>
    <row r="228" spans="1:20" x14ac:dyDescent="0.2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Data'!B253</f>
        <v>0</v>
      </c>
      <c r="Q228">
        <f t="shared" si="21"/>
        <v>0</v>
      </c>
      <c r="R228">
        <f t="shared" si="22"/>
        <v>477</v>
      </c>
      <c r="S228" s="28">
        <f t="shared" si="23"/>
        <v>0</v>
      </c>
      <c r="T228" t="str">
        <f t="shared" si="24"/>
        <v xml:space="preserve"> -&gt; </v>
      </c>
    </row>
    <row r="229" spans="1:20" x14ac:dyDescent="0.2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Data'!B254</f>
        <v>0</v>
      </c>
      <c r="Q229">
        <f t="shared" si="21"/>
        <v>0</v>
      </c>
      <c r="R229">
        <f t="shared" si="22"/>
        <v>477</v>
      </c>
      <c r="S229" s="28">
        <f t="shared" si="23"/>
        <v>0</v>
      </c>
      <c r="T229" t="str">
        <f t="shared" si="24"/>
        <v xml:space="preserve"> -&gt; </v>
      </c>
    </row>
    <row r="230" spans="1:20" x14ac:dyDescent="0.2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Data'!B255</f>
        <v>0</v>
      </c>
      <c r="Q230">
        <f t="shared" si="21"/>
        <v>0</v>
      </c>
      <c r="R230">
        <f t="shared" si="22"/>
        <v>477</v>
      </c>
      <c r="S230" s="28">
        <f t="shared" si="23"/>
        <v>0</v>
      </c>
      <c r="T230" t="str">
        <f t="shared" si="24"/>
        <v xml:space="preserve"> -&gt; </v>
      </c>
    </row>
    <row r="231" spans="1:20" x14ac:dyDescent="0.2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Data'!B256</f>
        <v>0</v>
      </c>
      <c r="Q231">
        <f t="shared" si="21"/>
        <v>0</v>
      </c>
      <c r="R231">
        <f t="shared" si="22"/>
        <v>477</v>
      </c>
      <c r="S231" s="28">
        <f t="shared" si="23"/>
        <v>0</v>
      </c>
      <c r="T231" t="str">
        <f t="shared" si="24"/>
        <v xml:space="preserve"> -&gt; </v>
      </c>
    </row>
    <row r="232" spans="1:20" x14ac:dyDescent="0.2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Data'!B257</f>
        <v>0</v>
      </c>
      <c r="Q232">
        <f t="shared" si="21"/>
        <v>0</v>
      </c>
      <c r="R232">
        <f t="shared" si="22"/>
        <v>477</v>
      </c>
      <c r="S232" s="28">
        <f t="shared" si="23"/>
        <v>0</v>
      </c>
      <c r="T232" t="str">
        <f t="shared" si="24"/>
        <v xml:space="preserve"> -&gt; </v>
      </c>
    </row>
    <row r="233" spans="1:20" x14ac:dyDescent="0.2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Data'!B258</f>
        <v>0</v>
      </c>
      <c r="Q233">
        <f t="shared" si="21"/>
        <v>0</v>
      </c>
      <c r="R233">
        <f t="shared" si="22"/>
        <v>477</v>
      </c>
      <c r="S233" s="28">
        <f t="shared" si="23"/>
        <v>0</v>
      </c>
      <c r="T233" t="str">
        <f t="shared" si="24"/>
        <v xml:space="preserve"> -&gt; </v>
      </c>
    </row>
    <row r="234" spans="1:20" x14ac:dyDescent="0.2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Data'!B259</f>
        <v>0</v>
      </c>
      <c r="Q234">
        <f t="shared" si="21"/>
        <v>0</v>
      </c>
      <c r="R234">
        <f t="shared" si="22"/>
        <v>477</v>
      </c>
      <c r="S234" s="28">
        <f t="shared" si="23"/>
        <v>0</v>
      </c>
      <c r="T234" t="str">
        <f t="shared" si="24"/>
        <v xml:space="preserve"> -&gt; </v>
      </c>
    </row>
    <row r="235" spans="1:20" x14ac:dyDescent="0.2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Data'!B260</f>
        <v>0</v>
      </c>
      <c r="Q235">
        <f t="shared" si="21"/>
        <v>0</v>
      </c>
      <c r="R235">
        <f t="shared" si="22"/>
        <v>477</v>
      </c>
      <c r="S235" s="28">
        <f t="shared" si="23"/>
        <v>0</v>
      </c>
      <c r="T235" t="str">
        <f t="shared" si="24"/>
        <v xml:space="preserve"> -&gt; </v>
      </c>
    </row>
    <row r="236" spans="1:20" x14ac:dyDescent="0.2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Data'!B261</f>
        <v>0</v>
      </c>
      <c r="Q236">
        <f t="shared" si="21"/>
        <v>0</v>
      </c>
      <c r="R236">
        <f t="shared" si="22"/>
        <v>477</v>
      </c>
      <c r="S236" s="28">
        <f t="shared" si="23"/>
        <v>0</v>
      </c>
      <c r="T236" t="str">
        <f t="shared" si="24"/>
        <v xml:space="preserve"> -&gt; </v>
      </c>
    </row>
    <row r="237" spans="1:20" x14ac:dyDescent="0.2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Data'!B262</f>
        <v>0</v>
      </c>
      <c r="Q237">
        <f t="shared" si="21"/>
        <v>0</v>
      </c>
      <c r="R237">
        <f t="shared" si="22"/>
        <v>477</v>
      </c>
      <c r="S237" s="28">
        <f t="shared" si="23"/>
        <v>0</v>
      </c>
      <c r="T237" t="str">
        <f t="shared" si="24"/>
        <v xml:space="preserve"> -&gt; </v>
      </c>
    </row>
    <row r="238" spans="1:20" x14ac:dyDescent="0.2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Data'!B263</f>
        <v>0</v>
      </c>
      <c r="Q238">
        <f t="shared" si="21"/>
        <v>0</v>
      </c>
      <c r="R238">
        <f t="shared" si="22"/>
        <v>477</v>
      </c>
      <c r="S238" s="28">
        <f t="shared" si="23"/>
        <v>0</v>
      </c>
      <c r="T238" t="str">
        <f t="shared" si="24"/>
        <v xml:space="preserve"> -&gt; </v>
      </c>
    </row>
    <row r="239" spans="1:20" x14ac:dyDescent="0.2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Data'!B264</f>
        <v>0</v>
      </c>
      <c r="Q239">
        <f t="shared" si="21"/>
        <v>0</v>
      </c>
      <c r="R239">
        <f t="shared" si="22"/>
        <v>477</v>
      </c>
      <c r="S239" s="28">
        <f t="shared" si="23"/>
        <v>0</v>
      </c>
      <c r="T239" t="str">
        <f t="shared" si="24"/>
        <v xml:space="preserve"> -&gt; </v>
      </c>
    </row>
    <row r="240" spans="1:20" x14ac:dyDescent="0.2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Data'!B265</f>
        <v>0</v>
      </c>
      <c r="Q240">
        <f t="shared" si="21"/>
        <v>0</v>
      </c>
      <c r="R240">
        <f t="shared" si="22"/>
        <v>477</v>
      </c>
      <c r="S240" s="28">
        <f t="shared" si="23"/>
        <v>0</v>
      </c>
      <c r="T240" t="str">
        <f t="shared" si="24"/>
        <v xml:space="preserve"> -&gt; </v>
      </c>
    </row>
    <row r="241" spans="1:20" x14ac:dyDescent="0.2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Data'!B266</f>
        <v>0</v>
      </c>
      <c r="Q241">
        <f t="shared" si="21"/>
        <v>0</v>
      </c>
      <c r="R241">
        <f t="shared" si="22"/>
        <v>477</v>
      </c>
      <c r="S241" s="28">
        <f t="shared" si="23"/>
        <v>0</v>
      </c>
      <c r="T241" t="str">
        <f t="shared" si="24"/>
        <v xml:space="preserve"> -&gt; </v>
      </c>
    </row>
    <row r="242" spans="1:20" x14ac:dyDescent="0.2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Data'!B267</f>
        <v>0</v>
      </c>
      <c r="Q242">
        <f t="shared" si="21"/>
        <v>0</v>
      </c>
      <c r="R242">
        <f t="shared" si="22"/>
        <v>477</v>
      </c>
      <c r="S242" s="28">
        <f t="shared" si="23"/>
        <v>0</v>
      </c>
      <c r="T242" t="str">
        <f t="shared" si="24"/>
        <v xml:space="preserve"> -&gt; </v>
      </c>
    </row>
    <row r="243" spans="1:20" x14ac:dyDescent="0.2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Data'!B268</f>
        <v>0</v>
      </c>
      <c r="Q243">
        <f t="shared" si="21"/>
        <v>0</v>
      </c>
      <c r="R243">
        <f t="shared" si="22"/>
        <v>477</v>
      </c>
      <c r="S243" s="28">
        <f t="shared" si="23"/>
        <v>0</v>
      </c>
      <c r="T243" t="str">
        <f t="shared" si="24"/>
        <v xml:space="preserve"> -&gt; </v>
      </c>
    </row>
    <row r="244" spans="1:20" x14ac:dyDescent="0.2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Data'!B269</f>
        <v>0</v>
      </c>
      <c r="Q244">
        <f t="shared" si="21"/>
        <v>0</v>
      </c>
      <c r="R244">
        <f t="shared" si="22"/>
        <v>477</v>
      </c>
      <c r="S244" s="28">
        <f t="shared" si="23"/>
        <v>0</v>
      </c>
      <c r="T244" t="str">
        <f t="shared" si="24"/>
        <v xml:space="preserve"> -&gt; </v>
      </c>
    </row>
    <row r="245" spans="1:20" x14ac:dyDescent="0.2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Data'!B270</f>
        <v>0</v>
      </c>
      <c r="Q245">
        <f t="shared" si="21"/>
        <v>0</v>
      </c>
      <c r="R245">
        <f t="shared" si="22"/>
        <v>477</v>
      </c>
      <c r="S245" s="28">
        <f t="shared" si="23"/>
        <v>0</v>
      </c>
      <c r="T245" t="str">
        <f t="shared" si="24"/>
        <v xml:space="preserve"> -&gt; </v>
      </c>
    </row>
    <row r="246" spans="1:20" x14ac:dyDescent="0.2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Data'!B271</f>
        <v>0</v>
      </c>
      <c r="Q246">
        <f t="shared" si="21"/>
        <v>0</v>
      </c>
      <c r="R246">
        <f t="shared" si="22"/>
        <v>477</v>
      </c>
      <c r="S246" s="28">
        <f t="shared" si="23"/>
        <v>0</v>
      </c>
      <c r="T246" t="str">
        <f t="shared" si="24"/>
        <v xml:space="preserve"> -&gt; </v>
      </c>
    </row>
    <row r="247" spans="1:20" x14ac:dyDescent="0.2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Data'!B272</f>
        <v>0</v>
      </c>
      <c r="Q247">
        <f t="shared" si="21"/>
        <v>0</v>
      </c>
      <c r="R247">
        <f t="shared" si="22"/>
        <v>477</v>
      </c>
      <c r="S247" s="28">
        <f t="shared" si="23"/>
        <v>0</v>
      </c>
      <c r="T247" t="str">
        <f t="shared" si="24"/>
        <v xml:space="preserve"> -&gt; </v>
      </c>
    </row>
    <row r="248" spans="1:20" x14ac:dyDescent="0.2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Data'!B273</f>
        <v>0</v>
      </c>
      <c r="Q248">
        <f t="shared" si="21"/>
        <v>0</v>
      </c>
      <c r="R248">
        <f t="shared" si="22"/>
        <v>477</v>
      </c>
      <c r="S248" s="28">
        <f t="shared" si="23"/>
        <v>0</v>
      </c>
      <c r="T248" t="str">
        <f t="shared" si="24"/>
        <v xml:space="preserve"> -&gt; </v>
      </c>
    </row>
    <row r="249" spans="1:20" x14ac:dyDescent="0.2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Data'!B274</f>
        <v>0</v>
      </c>
      <c r="Q249">
        <f t="shared" si="21"/>
        <v>0</v>
      </c>
      <c r="R249">
        <f t="shared" si="22"/>
        <v>477</v>
      </c>
      <c r="S249" s="28">
        <f t="shared" si="23"/>
        <v>0</v>
      </c>
      <c r="T249" t="str">
        <f t="shared" si="24"/>
        <v xml:space="preserve"> -&gt; </v>
      </c>
    </row>
    <row r="250" spans="1:20" x14ac:dyDescent="0.2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Data'!B275</f>
        <v>0</v>
      </c>
      <c r="Q250">
        <f t="shared" si="21"/>
        <v>0</v>
      </c>
      <c r="R250">
        <f t="shared" si="22"/>
        <v>477</v>
      </c>
      <c r="S250" s="28">
        <f t="shared" si="23"/>
        <v>0</v>
      </c>
      <c r="T250" t="str">
        <f t="shared" si="24"/>
        <v xml:space="preserve"> -&gt; </v>
      </c>
    </row>
    <row r="251" spans="1:20" x14ac:dyDescent="0.2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Data'!B276</f>
        <v>0</v>
      </c>
      <c r="Q251">
        <f t="shared" si="21"/>
        <v>0</v>
      </c>
      <c r="R251">
        <f t="shared" si="22"/>
        <v>477</v>
      </c>
      <c r="S251" s="28">
        <f t="shared" si="23"/>
        <v>0</v>
      </c>
      <c r="T251" t="str">
        <f t="shared" si="24"/>
        <v xml:space="preserve"> -&gt; </v>
      </c>
    </row>
    <row r="252" spans="1:20" x14ac:dyDescent="0.2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Data'!B277</f>
        <v>0</v>
      </c>
      <c r="Q252">
        <f t="shared" si="21"/>
        <v>0</v>
      </c>
      <c r="R252">
        <f t="shared" si="22"/>
        <v>477</v>
      </c>
      <c r="S252" s="28">
        <f t="shared" si="23"/>
        <v>0</v>
      </c>
      <c r="T252" t="str">
        <f t="shared" si="24"/>
        <v xml:space="preserve"> -&gt; </v>
      </c>
    </row>
    <row r="253" spans="1:20" x14ac:dyDescent="0.2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Data'!B278</f>
        <v>0</v>
      </c>
      <c r="Q253">
        <f t="shared" si="21"/>
        <v>0</v>
      </c>
      <c r="R253">
        <f t="shared" si="22"/>
        <v>477</v>
      </c>
      <c r="S253" s="28">
        <f t="shared" si="23"/>
        <v>0</v>
      </c>
      <c r="T253" t="str">
        <f t="shared" si="24"/>
        <v xml:space="preserve"> -&gt; </v>
      </c>
    </row>
    <row r="254" spans="1:20" x14ac:dyDescent="0.2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Data'!B279</f>
        <v>0</v>
      </c>
      <c r="Q254">
        <f t="shared" si="21"/>
        <v>0</v>
      </c>
      <c r="R254">
        <f t="shared" si="22"/>
        <v>477</v>
      </c>
      <c r="S254" s="28">
        <f t="shared" si="23"/>
        <v>0</v>
      </c>
      <c r="T254" t="str">
        <f t="shared" si="24"/>
        <v xml:space="preserve"> -&gt; </v>
      </c>
    </row>
    <row r="255" spans="1:20" x14ac:dyDescent="0.2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Data'!B280</f>
        <v>0</v>
      </c>
      <c r="Q255">
        <f t="shared" si="21"/>
        <v>0</v>
      </c>
      <c r="R255">
        <f t="shared" si="22"/>
        <v>477</v>
      </c>
      <c r="S255" s="28">
        <f t="shared" si="23"/>
        <v>0</v>
      </c>
      <c r="T255" t="str">
        <f t="shared" si="24"/>
        <v xml:space="preserve"> -&gt; </v>
      </c>
    </row>
    <row r="256" spans="1:20" x14ac:dyDescent="0.2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Data'!B281</f>
        <v>0</v>
      </c>
      <c r="Q256">
        <f t="shared" si="21"/>
        <v>0</v>
      </c>
      <c r="R256">
        <f t="shared" si="22"/>
        <v>477</v>
      </c>
      <c r="S256" s="28">
        <f t="shared" si="23"/>
        <v>0</v>
      </c>
      <c r="T256" t="str">
        <f t="shared" si="24"/>
        <v xml:space="preserve"> -&gt; </v>
      </c>
    </row>
    <row r="257" spans="1:20" x14ac:dyDescent="0.2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Data'!B282</f>
        <v>0</v>
      </c>
      <c r="Q257">
        <f t="shared" si="21"/>
        <v>0</v>
      </c>
      <c r="R257">
        <f t="shared" si="22"/>
        <v>477</v>
      </c>
      <c r="S257" s="28">
        <f t="shared" si="23"/>
        <v>0</v>
      </c>
      <c r="T257" t="str">
        <f t="shared" si="24"/>
        <v xml:space="preserve"> -&gt; </v>
      </c>
    </row>
    <row r="258" spans="1:20" x14ac:dyDescent="0.2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20"/>
        <v/>
      </c>
      <c r="P258">
        <f>'Combined Delivery Data'!B283</f>
        <v>0</v>
      </c>
      <c r="Q258">
        <f t="shared" si="21"/>
        <v>0</v>
      </c>
      <c r="R258">
        <f t="shared" si="22"/>
        <v>477</v>
      </c>
      <c r="S258" s="28">
        <f t="shared" si="23"/>
        <v>0</v>
      </c>
      <c r="T258" t="str">
        <f t="shared" si="24"/>
        <v xml:space="preserve"> -&gt; </v>
      </c>
    </row>
    <row r="259" spans="1:20" x14ac:dyDescent="0.2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si="21"/>
        <v>0</v>
      </c>
      <c r="R259">
        <f t="shared" si="22"/>
        <v>477</v>
      </c>
      <c r="S259" s="28">
        <f t="shared" si="23"/>
        <v>0</v>
      </c>
      <c r="T259" t="str">
        <f t="shared" si="24"/>
        <v xml:space="preserve"> -&gt; </v>
      </c>
    </row>
    <row r="260" spans="1:20" x14ac:dyDescent="0.2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Data'!B285</f>
        <v>0</v>
      </c>
      <c r="Q260">
        <f t="shared" si="21"/>
        <v>0</v>
      </c>
      <c r="R260">
        <f t="shared" si="22"/>
        <v>477</v>
      </c>
      <c r="S260" s="28">
        <f t="shared" si="23"/>
        <v>0</v>
      </c>
      <c r="T260" t="str">
        <f t="shared" si="24"/>
        <v xml:space="preserve"> -&gt; </v>
      </c>
    </row>
    <row r="261" spans="1:20" x14ac:dyDescent="0.2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Data'!B286</f>
        <v>0</v>
      </c>
      <c r="Q261">
        <f t="shared" si="21"/>
        <v>0</v>
      </c>
      <c r="R261">
        <f t="shared" si="22"/>
        <v>477</v>
      </c>
      <c r="S261" s="28">
        <f t="shared" si="23"/>
        <v>0</v>
      </c>
      <c r="T261" t="str">
        <f t="shared" si="24"/>
        <v xml:space="preserve"> -&gt; </v>
      </c>
    </row>
    <row r="262" spans="1:20" x14ac:dyDescent="0.2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Data'!B287</f>
        <v>0</v>
      </c>
      <c r="Q262">
        <f t="shared" si="21"/>
        <v>0</v>
      </c>
      <c r="R262">
        <f t="shared" si="22"/>
        <v>477</v>
      </c>
      <c r="S262" s="28">
        <f t="shared" si="23"/>
        <v>0</v>
      </c>
      <c r="T262" t="str">
        <f t="shared" si="24"/>
        <v xml:space="preserve"> -&gt; </v>
      </c>
    </row>
    <row r="263" spans="1:20" x14ac:dyDescent="0.2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Data'!B288</f>
        <v>0</v>
      </c>
      <c r="Q263">
        <f t="shared" si="21"/>
        <v>0</v>
      </c>
      <c r="R263">
        <f t="shared" si="22"/>
        <v>477</v>
      </c>
      <c r="S263" s="28">
        <f t="shared" si="23"/>
        <v>0</v>
      </c>
      <c r="T263" t="str">
        <f t="shared" si="24"/>
        <v xml:space="preserve"> -&gt; </v>
      </c>
    </row>
    <row r="264" spans="1:20" x14ac:dyDescent="0.2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Data'!B289</f>
        <v>0</v>
      </c>
      <c r="Q264">
        <f t="shared" si="21"/>
        <v>0</v>
      </c>
      <c r="R264">
        <f t="shared" si="22"/>
        <v>477</v>
      </c>
      <c r="S264" s="28">
        <f t="shared" si="23"/>
        <v>0</v>
      </c>
      <c r="T264" t="str">
        <f t="shared" si="24"/>
        <v xml:space="preserve"> -&gt; </v>
      </c>
    </row>
    <row r="265" spans="1:20" x14ac:dyDescent="0.2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Data'!B290</f>
        <v>0</v>
      </c>
      <c r="Q265">
        <f t="shared" si="21"/>
        <v>0</v>
      </c>
      <c r="R265">
        <f t="shared" si="22"/>
        <v>477</v>
      </c>
      <c r="S265" s="28">
        <f t="shared" si="23"/>
        <v>0</v>
      </c>
      <c r="T265" t="str">
        <f t="shared" si="24"/>
        <v xml:space="preserve"> -&gt; </v>
      </c>
    </row>
    <row r="266" spans="1:20" x14ac:dyDescent="0.2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Data'!B291</f>
        <v>0</v>
      </c>
      <c r="Q266">
        <f t="shared" si="21"/>
        <v>0</v>
      </c>
      <c r="R266">
        <f t="shared" si="22"/>
        <v>477</v>
      </c>
      <c r="S266" s="28">
        <f t="shared" si="23"/>
        <v>0</v>
      </c>
      <c r="T266" t="str">
        <f t="shared" si="24"/>
        <v xml:space="preserve"> -&gt; </v>
      </c>
    </row>
    <row r="267" spans="1:20" x14ac:dyDescent="0.2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Data'!B292</f>
        <v>0</v>
      </c>
      <c r="Q267">
        <f t="shared" si="21"/>
        <v>0</v>
      </c>
      <c r="R267">
        <f t="shared" si="22"/>
        <v>477</v>
      </c>
      <c r="S267" s="28">
        <f t="shared" si="23"/>
        <v>0</v>
      </c>
      <c r="T267" t="str">
        <f t="shared" si="24"/>
        <v xml:space="preserve"> -&gt; </v>
      </c>
    </row>
    <row r="268" spans="1:20" x14ac:dyDescent="0.2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Data'!B293</f>
        <v>0</v>
      </c>
      <c r="Q268">
        <f t="shared" si="21"/>
        <v>0</v>
      </c>
      <c r="R268">
        <f t="shared" si="22"/>
        <v>477</v>
      </c>
      <c r="S268" s="28">
        <f t="shared" si="23"/>
        <v>0</v>
      </c>
      <c r="T268" t="str">
        <f t="shared" si="24"/>
        <v xml:space="preserve"> -&gt; </v>
      </c>
    </row>
    <row r="269" spans="1:20" x14ac:dyDescent="0.2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Data'!B294</f>
        <v>0</v>
      </c>
      <c r="Q269">
        <f t="shared" si="21"/>
        <v>0</v>
      </c>
      <c r="R269">
        <f t="shared" si="22"/>
        <v>477</v>
      </c>
      <c r="S269" s="28">
        <f t="shared" si="23"/>
        <v>0</v>
      </c>
      <c r="T269" t="str">
        <f t="shared" si="24"/>
        <v xml:space="preserve"> -&gt; </v>
      </c>
    </row>
    <row r="270" spans="1:20" x14ac:dyDescent="0.2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Data'!B295</f>
        <v>0</v>
      </c>
      <c r="Q270">
        <f t="shared" si="21"/>
        <v>0</v>
      </c>
      <c r="R270">
        <f t="shared" si="22"/>
        <v>477</v>
      </c>
      <c r="S270" s="28">
        <f t="shared" si="23"/>
        <v>0</v>
      </c>
      <c r="T270" t="str">
        <f t="shared" si="24"/>
        <v xml:space="preserve"> -&gt; </v>
      </c>
    </row>
    <row r="271" spans="1:20" x14ac:dyDescent="0.2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Data'!B296</f>
        <v>0</v>
      </c>
      <c r="Q271">
        <f t="shared" si="21"/>
        <v>0</v>
      </c>
      <c r="R271">
        <f t="shared" si="22"/>
        <v>477</v>
      </c>
      <c r="S271" s="28">
        <f t="shared" si="23"/>
        <v>0</v>
      </c>
      <c r="T271" t="str">
        <f t="shared" si="24"/>
        <v xml:space="preserve"> -&gt; </v>
      </c>
    </row>
    <row r="272" spans="1:20" x14ac:dyDescent="0.2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Data'!B297</f>
        <v>0</v>
      </c>
      <c r="Q272">
        <f t="shared" si="21"/>
        <v>0</v>
      </c>
      <c r="R272">
        <f t="shared" si="22"/>
        <v>477</v>
      </c>
      <c r="S272" s="28">
        <f t="shared" si="23"/>
        <v>0</v>
      </c>
      <c r="T272" t="str">
        <f t="shared" si="24"/>
        <v xml:space="preserve"> -&gt; </v>
      </c>
    </row>
    <row r="273" spans="1:20" x14ac:dyDescent="0.2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Data'!B298</f>
        <v>0</v>
      </c>
      <c r="Q273">
        <f t="shared" si="21"/>
        <v>0</v>
      </c>
      <c r="R273">
        <f t="shared" si="22"/>
        <v>477</v>
      </c>
      <c r="S273" s="28">
        <f t="shared" si="23"/>
        <v>0</v>
      </c>
      <c r="T273" t="str">
        <f t="shared" si="24"/>
        <v xml:space="preserve"> -&gt; </v>
      </c>
    </row>
    <row r="274" spans="1:20" x14ac:dyDescent="0.2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Data'!B299</f>
        <v>0</v>
      </c>
      <c r="Q274">
        <f t="shared" ref="Q274:Q337" si="26">IF($P274="","",COUNTIF($A$3:$A$500,$P274))</f>
        <v>0</v>
      </c>
      <c r="R274">
        <f t="shared" ref="R274:R337" si="27">IF($P274="","",SUMPRODUCT(($A$3:$A$500=$P274)*($G$3:$G$500&lt;&gt;"Yes")*($G$3:$G$500&lt;&gt;"Did not pass re-test")))</f>
        <v>477</v>
      </c>
      <c r="S274" s="28">
        <f t="shared" ref="S274:S337" si="28">IF($P274="","",IF(SUMPRODUCT(MAX(($A$3:$A$500=$P274)*ROW($A$3:$A$500)))=0,"",INDEX($B:$B,SUMPRODUCT(MAX(($A$3:$A$500=$P274)*ROW($A$3:$A$500))))))</f>
        <v>0</v>
      </c>
      <c r="T274" t="str">
        <f t="shared" ref="T274:T337" si="29"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x14ac:dyDescent="0.2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Data'!B300</f>
        <v>0</v>
      </c>
      <c r="Q275">
        <f t="shared" si="26"/>
        <v>0</v>
      </c>
      <c r="R275">
        <f t="shared" si="27"/>
        <v>477</v>
      </c>
      <c r="S275" s="28">
        <f t="shared" si="28"/>
        <v>0</v>
      </c>
      <c r="T275" t="str">
        <f t="shared" si="29"/>
        <v xml:space="preserve"> -&gt; </v>
      </c>
    </row>
    <row r="276" spans="1:20" x14ac:dyDescent="0.2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Data'!B301</f>
        <v>0</v>
      </c>
      <c r="Q276">
        <f t="shared" si="26"/>
        <v>0</v>
      </c>
      <c r="R276">
        <f t="shared" si="27"/>
        <v>477</v>
      </c>
      <c r="S276" s="28">
        <f t="shared" si="28"/>
        <v>0</v>
      </c>
      <c r="T276" t="str">
        <f t="shared" si="29"/>
        <v xml:space="preserve"> -&gt; </v>
      </c>
    </row>
    <row r="277" spans="1:20" x14ac:dyDescent="0.2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Data'!B302</f>
        <v>0</v>
      </c>
      <c r="Q277">
        <f t="shared" si="26"/>
        <v>0</v>
      </c>
      <c r="R277">
        <f t="shared" si="27"/>
        <v>477</v>
      </c>
      <c r="S277" s="28">
        <f t="shared" si="28"/>
        <v>0</v>
      </c>
      <c r="T277" t="str">
        <f t="shared" si="29"/>
        <v xml:space="preserve"> -&gt; </v>
      </c>
    </row>
    <row r="278" spans="1:20" x14ac:dyDescent="0.2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Data'!B303</f>
        <v>0</v>
      </c>
      <c r="Q278">
        <f t="shared" si="26"/>
        <v>0</v>
      </c>
      <c r="R278">
        <f t="shared" si="27"/>
        <v>477</v>
      </c>
      <c r="S278" s="28">
        <f t="shared" si="28"/>
        <v>0</v>
      </c>
      <c r="T278" t="str">
        <f t="shared" si="29"/>
        <v xml:space="preserve"> -&gt; </v>
      </c>
    </row>
    <row r="279" spans="1:20" x14ac:dyDescent="0.2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Data'!B304</f>
        <v>0</v>
      </c>
      <c r="Q279">
        <f t="shared" si="26"/>
        <v>0</v>
      </c>
      <c r="R279">
        <f t="shared" si="27"/>
        <v>477</v>
      </c>
      <c r="S279" s="28">
        <f t="shared" si="28"/>
        <v>0</v>
      </c>
      <c r="T279" t="str">
        <f t="shared" si="29"/>
        <v xml:space="preserve"> -&gt; </v>
      </c>
    </row>
    <row r="280" spans="1:20" x14ac:dyDescent="0.2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Data'!B305</f>
        <v>0</v>
      </c>
      <c r="Q280">
        <f t="shared" si="26"/>
        <v>0</v>
      </c>
      <c r="R280">
        <f t="shared" si="27"/>
        <v>477</v>
      </c>
      <c r="S280" s="28">
        <f t="shared" si="28"/>
        <v>0</v>
      </c>
      <c r="T280" t="str">
        <f t="shared" si="29"/>
        <v xml:space="preserve"> -&gt; </v>
      </c>
    </row>
    <row r="281" spans="1:20" x14ac:dyDescent="0.2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Data'!B306</f>
        <v>0</v>
      </c>
      <c r="Q281">
        <f t="shared" si="26"/>
        <v>0</v>
      </c>
      <c r="R281">
        <f t="shared" si="27"/>
        <v>477</v>
      </c>
      <c r="S281" s="28">
        <f t="shared" si="28"/>
        <v>0</v>
      </c>
      <c r="T281" t="str">
        <f t="shared" si="29"/>
        <v xml:space="preserve"> -&gt; </v>
      </c>
    </row>
    <row r="282" spans="1:20" x14ac:dyDescent="0.2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Data'!B307</f>
        <v>0</v>
      </c>
      <c r="Q282">
        <f t="shared" si="26"/>
        <v>0</v>
      </c>
      <c r="R282">
        <f t="shared" si="27"/>
        <v>477</v>
      </c>
      <c r="S282" s="28">
        <f t="shared" si="28"/>
        <v>0</v>
      </c>
      <c r="T282" t="str">
        <f t="shared" si="29"/>
        <v xml:space="preserve"> -&gt; </v>
      </c>
    </row>
    <row r="283" spans="1:20" x14ac:dyDescent="0.2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Data'!B308</f>
        <v>0</v>
      </c>
      <c r="Q283">
        <f t="shared" si="26"/>
        <v>0</v>
      </c>
      <c r="R283">
        <f t="shared" si="27"/>
        <v>477</v>
      </c>
      <c r="S283" s="28">
        <f t="shared" si="28"/>
        <v>0</v>
      </c>
      <c r="T283" t="str">
        <f t="shared" si="29"/>
        <v xml:space="preserve"> -&gt; </v>
      </c>
    </row>
    <row r="284" spans="1:20" x14ac:dyDescent="0.2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Data'!B309</f>
        <v>0</v>
      </c>
      <c r="Q284">
        <f t="shared" si="26"/>
        <v>0</v>
      </c>
      <c r="R284">
        <f t="shared" si="27"/>
        <v>477</v>
      </c>
      <c r="S284" s="28">
        <f t="shared" si="28"/>
        <v>0</v>
      </c>
      <c r="T284" t="str">
        <f t="shared" si="29"/>
        <v xml:space="preserve"> -&gt; </v>
      </c>
    </row>
    <row r="285" spans="1:20" x14ac:dyDescent="0.2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Data'!B310</f>
        <v>0</v>
      </c>
      <c r="Q285">
        <f t="shared" si="26"/>
        <v>0</v>
      </c>
      <c r="R285">
        <f t="shared" si="27"/>
        <v>477</v>
      </c>
      <c r="S285" s="28">
        <f t="shared" si="28"/>
        <v>0</v>
      </c>
      <c r="T285" t="str">
        <f t="shared" si="29"/>
        <v xml:space="preserve"> -&gt; </v>
      </c>
    </row>
    <row r="286" spans="1:20" x14ac:dyDescent="0.2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Data'!B311</f>
        <v>0</v>
      </c>
      <c r="Q286">
        <f t="shared" si="26"/>
        <v>0</v>
      </c>
      <c r="R286">
        <f t="shared" si="27"/>
        <v>477</v>
      </c>
      <c r="S286" s="28">
        <f t="shared" si="28"/>
        <v>0</v>
      </c>
      <c r="T286" t="str">
        <f t="shared" si="29"/>
        <v xml:space="preserve"> -&gt; </v>
      </c>
    </row>
    <row r="287" spans="1:20" x14ac:dyDescent="0.2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Data'!B312</f>
        <v>0</v>
      </c>
      <c r="Q287">
        <f t="shared" si="26"/>
        <v>0</v>
      </c>
      <c r="R287">
        <f t="shared" si="27"/>
        <v>477</v>
      </c>
      <c r="S287" s="28">
        <f t="shared" si="28"/>
        <v>0</v>
      </c>
      <c r="T287" t="str">
        <f t="shared" si="29"/>
        <v xml:space="preserve"> -&gt; </v>
      </c>
    </row>
    <row r="288" spans="1:20" x14ac:dyDescent="0.2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Data'!B313</f>
        <v>0</v>
      </c>
      <c r="Q288">
        <f t="shared" si="26"/>
        <v>0</v>
      </c>
      <c r="R288">
        <f t="shared" si="27"/>
        <v>477</v>
      </c>
      <c r="S288" s="28">
        <f t="shared" si="28"/>
        <v>0</v>
      </c>
      <c r="T288" t="str">
        <f t="shared" si="29"/>
        <v xml:space="preserve"> -&gt; </v>
      </c>
    </row>
    <row r="289" spans="1:20" x14ac:dyDescent="0.2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Data'!B314</f>
        <v>0</v>
      </c>
      <c r="Q289">
        <f t="shared" si="26"/>
        <v>0</v>
      </c>
      <c r="R289">
        <f t="shared" si="27"/>
        <v>477</v>
      </c>
      <c r="S289" s="28">
        <f t="shared" si="28"/>
        <v>0</v>
      </c>
      <c r="T289" t="str">
        <f t="shared" si="29"/>
        <v xml:space="preserve"> -&gt; </v>
      </c>
    </row>
    <row r="290" spans="1:20" x14ac:dyDescent="0.2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Data'!B315</f>
        <v>0</v>
      </c>
      <c r="Q290">
        <f t="shared" si="26"/>
        <v>0</v>
      </c>
      <c r="R290">
        <f t="shared" si="27"/>
        <v>477</v>
      </c>
      <c r="S290" s="28">
        <f t="shared" si="28"/>
        <v>0</v>
      </c>
      <c r="T290" t="str">
        <f t="shared" si="29"/>
        <v xml:space="preserve"> -&gt; </v>
      </c>
    </row>
    <row r="291" spans="1:20" x14ac:dyDescent="0.2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Data'!B316</f>
        <v>0</v>
      </c>
      <c r="Q291">
        <f t="shared" si="26"/>
        <v>0</v>
      </c>
      <c r="R291">
        <f t="shared" si="27"/>
        <v>477</v>
      </c>
      <c r="S291" s="28">
        <f t="shared" si="28"/>
        <v>0</v>
      </c>
      <c r="T291" t="str">
        <f t="shared" si="29"/>
        <v xml:space="preserve"> -&gt; </v>
      </c>
    </row>
    <row r="292" spans="1:20" x14ac:dyDescent="0.2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Data'!B317</f>
        <v>0</v>
      </c>
      <c r="Q292">
        <f t="shared" si="26"/>
        <v>0</v>
      </c>
      <c r="R292">
        <f t="shared" si="27"/>
        <v>477</v>
      </c>
      <c r="S292" s="28">
        <f t="shared" si="28"/>
        <v>0</v>
      </c>
      <c r="T292" t="str">
        <f t="shared" si="29"/>
        <v xml:space="preserve"> -&gt; </v>
      </c>
    </row>
    <row r="293" spans="1:20" x14ac:dyDescent="0.2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Data'!B318</f>
        <v>0</v>
      </c>
      <c r="Q293">
        <f t="shared" si="26"/>
        <v>0</v>
      </c>
      <c r="R293">
        <f t="shared" si="27"/>
        <v>477</v>
      </c>
      <c r="S293" s="28">
        <f t="shared" si="28"/>
        <v>0</v>
      </c>
      <c r="T293" t="str">
        <f t="shared" si="29"/>
        <v xml:space="preserve"> -&gt; </v>
      </c>
    </row>
    <row r="294" spans="1:20" x14ac:dyDescent="0.2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Data'!B319</f>
        <v>0</v>
      </c>
      <c r="Q294">
        <f t="shared" si="26"/>
        <v>0</v>
      </c>
      <c r="R294">
        <f t="shared" si="27"/>
        <v>477</v>
      </c>
      <c r="S294" s="28">
        <f t="shared" si="28"/>
        <v>0</v>
      </c>
      <c r="T294" t="str">
        <f t="shared" si="29"/>
        <v xml:space="preserve"> -&gt; </v>
      </c>
    </row>
    <row r="295" spans="1:20" x14ac:dyDescent="0.2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Data'!B320</f>
        <v>0</v>
      </c>
      <c r="Q295">
        <f t="shared" si="26"/>
        <v>0</v>
      </c>
      <c r="R295">
        <f t="shared" si="27"/>
        <v>477</v>
      </c>
      <c r="S295" s="28">
        <f t="shared" si="28"/>
        <v>0</v>
      </c>
      <c r="T295" t="str">
        <f t="shared" si="29"/>
        <v xml:space="preserve"> -&gt; </v>
      </c>
    </row>
    <row r="296" spans="1:20" x14ac:dyDescent="0.2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Data'!B321</f>
        <v>0</v>
      </c>
      <c r="Q296">
        <f t="shared" si="26"/>
        <v>0</v>
      </c>
      <c r="R296">
        <f t="shared" si="27"/>
        <v>477</v>
      </c>
      <c r="S296" s="28">
        <f t="shared" si="28"/>
        <v>0</v>
      </c>
      <c r="T296" t="str">
        <f t="shared" si="29"/>
        <v xml:space="preserve"> -&gt; </v>
      </c>
    </row>
    <row r="297" spans="1:20" x14ac:dyDescent="0.2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Data'!B322</f>
        <v>0</v>
      </c>
      <c r="Q297">
        <f t="shared" si="26"/>
        <v>0</v>
      </c>
      <c r="R297">
        <f t="shared" si="27"/>
        <v>477</v>
      </c>
      <c r="S297" s="28">
        <f t="shared" si="28"/>
        <v>0</v>
      </c>
      <c r="T297" t="str">
        <f t="shared" si="29"/>
        <v xml:space="preserve"> -&gt; </v>
      </c>
    </row>
    <row r="298" spans="1:20" x14ac:dyDescent="0.2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Data'!B323</f>
        <v>0</v>
      </c>
      <c r="Q298">
        <f t="shared" si="26"/>
        <v>0</v>
      </c>
      <c r="R298">
        <f t="shared" si="27"/>
        <v>477</v>
      </c>
      <c r="S298" s="28">
        <f t="shared" si="28"/>
        <v>0</v>
      </c>
      <c r="T298" t="str">
        <f t="shared" si="29"/>
        <v xml:space="preserve"> -&gt; </v>
      </c>
    </row>
    <row r="299" spans="1:20" x14ac:dyDescent="0.2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Data'!B324</f>
        <v>0</v>
      </c>
      <c r="Q299">
        <f t="shared" si="26"/>
        <v>0</v>
      </c>
      <c r="R299">
        <f t="shared" si="27"/>
        <v>477</v>
      </c>
      <c r="S299" s="28">
        <f t="shared" si="28"/>
        <v>0</v>
      </c>
      <c r="T299" t="str">
        <f t="shared" si="29"/>
        <v xml:space="preserve"> -&gt; </v>
      </c>
    </row>
    <row r="300" spans="1:20" x14ac:dyDescent="0.2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Data'!B325</f>
        <v>0</v>
      </c>
      <c r="Q300">
        <f t="shared" si="26"/>
        <v>0</v>
      </c>
      <c r="R300">
        <f t="shared" si="27"/>
        <v>477</v>
      </c>
      <c r="S300" s="28">
        <f t="shared" si="28"/>
        <v>0</v>
      </c>
      <c r="T300" t="str">
        <f t="shared" si="29"/>
        <v xml:space="preserve"> -&gt; </v>
      </c>
    </row>
    <row r="301" spans="1:20" x14ac:dyDescent="0.2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Data'!B326</f>
        <v>0</v>
      </c>
      <c r="Q301">
        <f t="shared" si="26"/>
        <v>0</v>
      </c>
      <c r="R301">
        <f t="shared" si="27"/>
        <v>477</v>
      </c>
      <c r="S301" s="28">
        <f t="shared" si="28"/>
        <v>0</v>
      </c>
      <c r="T301" t="str">
        <f t="shared" si="29"/>
        <v xml:space="preserve"> -&gt; </v>
      </c>
    </row>
    <row r="302" spans="1:20" x14ac:dyDescent="0.2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Data'!B327</f>
        <v>0</v>
      </c>
      <c r="Q302">
        <f t="shared" si="26"/>
        <v>0</v>
      </c>
      <c r="R302">
        <f t="shared" si="27"/>
        <v>477</v>
      </c>
      <c r="S302" s="28">
        <f t="shared" si="28"/>
        <v>0</v>
      </c>
      <c r="T302" t="str">
        <f t="shared" si="29"/>
        <v xml:space="preserve"> -&gt; </v>
      </c>
    </row>
    <row r="303" spans="1:20" x14ac:dyDescent="0.2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Data'!B328</f>
        <v>0</v>
      </c>
      <c r="Q303">
        <f t="shared" si="26"/>
        <v>0</v>
      </c>
      <c r="R303">
        <f t="shared" si="27"/>
        <v>477</v>
      </c>
      <c r="S303" s="28">
        <f t="shared" si="28"/>
        <v>0</v>
      </c>
      <c r="T303" t="str">
        <f t="shared" si="29"/>
        <v xml:space="preserve"> -&gt; </v>
      </c>
    </row>
    <row r="304" spans="1:20" x14ac:dyDescent="0.2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Data'!B329</f>
        <v>0</v>
      </c>
      <c r="Q304">
        <f t="shared" si="26"/>
        <v>0</v>
      </c>
      <c r="R304">
        <f t="shared" si="27"/>
        <v>477</v>
      </c>
      <c r="S304" s="28">
        <f t="shared" si="28"/>
        <v>0</v>
      </c>
      <c r="T304" t="str">
        <f t="shared" si="29"/>
        <v xml:space="preserve"> -&gt; </v>
      </c>
    </row>
    <row r="305" spans="1:20" x14ac:dyDescent="0.2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Data'!B330</f>
        <v>0</v>
      </c>
      <c r="Q305">
        <f t="shared" si="26"/>
        <v>0</v>
      </c>
      <c r="R305">
        <f t="shared" si="27"/>
        <v>477</v>
      </c>
      <c r="S305" s="28">
        <f t="shared" si="28"/>
        <v>0</v>
      </c>
      <c r="T305" t="str">
        <f t="shared" si="29"/>
        <v xml:space="preserve"> -&gt; </v>
      </c>
    </row>
    <row r="306" spans="1:20" x14ac:dyDescent="0.2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Data'!B331</f>
        <v>0</v>
      </c>
      <c r="Q306">
        <f t="shared" si="26"/>
        <v>0</v>
      </c>
      <c r="R306">
        <f t="shared" si="27"/>
        <v>477</v>
      </c>
      <c r="S306" s="28">
        <f t="shared" si="28"/>
        <v>0</v>
      </c>
      <c r="T306" t="str">
        <f t="shared" si="29"/>
        <v xml:space="preserve"> -&gt; </v>
      </c>
    </row>
    <row r="307" spans="1:20" x14ac:dyDescent="0.2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Data'!B332</f>
        <v>0</v>
      </c>
      <c r="Q307">
        <f t="shared" si="26"/>
        <v>0</v>
      </c>
      <c r="R307">
        <f t="shared" si="27"/>
        <v>477</v>
      </c>
      <c r="S307" s="28">
        <f t="shared" si="28"/>
        <v>0</v>
      </c>
      <c r="T307" t="str">
        <f t="shared" si="29"/>
        <v xml:space="preserve"> -&gt; </v>
      </c>
    </row>
    <row r="308" spans="1:20" x14ac:dyDescent="0.2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Data'!B333</f>
        <v>0</v>
      </c>
      <c r="Q308">
        <f t="shared" si="26"/>
        <v>0</v>
      </c>
      <c r="R308">
        <f t="shared" si="27"/>
        <v>477</v>
      </c>
      <c r="S308" s="28">
        <f t="shared" si="28"/>
        <v>0</v>
      </c>
      <c r="T308" t="str">
        <f t="shared" si="29"/>
        <v xml:space="preserve"> -&gt; </v>
      </c>
    </row>
    <row r="309" spans="1:20" x14ac:dyDescent="0.2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Data'!B334</f>
        <v>0</v>
      </c>
      <c r="Q309">
        <f t="shared" si="26"/>
        <v>0</v>
      </c>
      <c r="R309">
        <f t="shared" si="27"/>
        <v>477</v>
      </c>
      <c r="S309" s="28">
        <f t="shared" si="28"/>
        <v>0</v>
      </c>
      <c r="T309" t="str">
        <f t="shared" si="29"/>
        <v xml:space="preserve"> -&gt; </v>
      </c>
    </row>
    <row r="310" spans="1:20" x14ac:dyDescent="0.2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Data'!B335</f>
        <v>0</v>
      </c>
      <c r="Q310">
        <f t="shared" si="26"/>
        <v>0</v>
      </c>
      <c r="R310">
        <f t="shared" si="27"/>
        <v>477</v>
      </c>
      <c r="S310" s="28">
        <f t="shared" si="28"/>
        <v>0</v>
      </c>
      <c r="T310" t="str">
        <f t="shared" si="29"/>
        <v xml:space="preserve"> -&gt; </v>
      </c>
    </row>
    <row r="311" spans="1:20" x14ac:dyDescent="0.2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Data'!B336</f>
        <v>0</v>
      </c>
      <c r="Q311">
        <f t="shared" si="26"/>
        <v>0</v>
      </c>
      <c r="R311">
        <f t="shared" si="27"/>
        <v>477</v>
      </c>
      <c r="S311" s="28">
        <f t="shared" si="28"/>
        <v>0</v>
      </c>
      <c r="T311" t="str">
        <f t="shared" si="29"/>
        <v xml:space="preserve"> -&gt; </v>
      </c>
    </row>
    <row r="312" spans="1:20" x14ac:dyDescent="0.2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Data'!B337</f>
        <v>0</v>
      </c>
      <c r="Q312">
        <f t="shared" si="26"/>
        <v>0</v>
      </c>
      <c r="R312">
        <f t="shared" si="27"/>
        <v>477</v>
      </c>
      <c r="S312" s="28">
        <f t="shared" si="28"/>
        <v>0</v>
      </c>
      <c r="T312" t="str">
        <f t="shared" si="29"/>
        <v xml:space="preserve"> -&gt; </v>
      </c>
    </row>
    <row r="313" spans="1:20" x14ac:dyDescent="0.2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Data'!B338</f>
        <v>0</v>
      </c>
      <c r="Q313">
        <f t="shared" si="26"/>
        <v>0</v>
      </c>
      <c r="R313">
        <f t="shared" si="27"/>
        <v>477</v>
      </c>
      <c r="S313" s="28">
        <f t="shared" si="28"/>
        <v>0</v>
      </c>
      <c r="T313" t="str">
        <f t="shared" si="29"/>
        <v xml:space="preserve"> -&gt; </v>
      </c>
    </row>
    <row r="314" spans="1:20" x14ac:dyDescent="0.2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Data'!B339</f>
        <v>0</v>
      </c>
      <c r="Q314">
        <f t="shared" si="26"/>
        <v>0</v>
      </c>
      <c r="R314">
        <f t="shared" si="27"/>
        <v>477</v>
      </c>
      <c r="S314" s="28">
        <f t="shared" si="28"/>
        <v>0</v>
      </c>
      <c r="T314" t="str">
        <f t="shared" si="29"/>
        <v xml:space="preserve"> -&gt; </v>
      </c>
    </row>
    <row r="315" spans="1:20" x14ac:dyDescent="0.2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Data'!B340</f>
        <v>0</v>
      </c>
      <c r="Q315">
        <f t="shared" si="26"/>
        <v>0</v>
      </c>
      <c r="R315">
        <f t="shared" si="27"/>
        <v>477</v>
      </c>
      <c r="S315" s="28">
        <f t="shared" si="28"/>
        <v>0</v>
      </c>
      <c r="T315" t="str">
        <f t="shared" si="29"/>
        <v xml:space="preserve"> -&gt; </v>
      </c>
    </row>
    <row r="316" spans="1:20" x14ac:dyDescent="0.2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Data'!B341</f>
        <v>0</v>
      </c>
      <c r="Q316">
        <f t="shared" si="26"/>
        <v>0</v>
      </c>
      <c r="R316">
        <f t="shared" si="27"/>
        <v>477</v>
      </c>
      <c r="S316" s="28">
        <f t="shared" si="28"/>
        <v>0</v>
      </c>
      <c r="T316" t="str">
        <f t="shared" si="29"/>
        <v xml:space="preserve"> -&gt; </v>
      </c>
    </row>
    <row r="317" spans="1:20" x14ac:dyDescent="0.2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Data'!B342</f>
        <v>0</v>
      </c>
      <c r="Q317">
        <f t="shared" si="26"/>
        <v>0</v>
      </c>
      <c r="R317">
        <f t="shared" si="27"/>
        <v>477</v>
      </c>
      <c r="S317" s="28">
        <f t="shared" si="28"/>
        <v>0</v>
      </c>
      <c r="T317" t="str">
        <f t="shared" si="29"/>
        <v xml:space="preserve"> -&gt; </v>
      </c>
    </row>
    <row r="318" spans="1:20" x14ac:dyDescent="0.2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Data'!B343</f>
        <v>0</v>
      </c>
      <c r="Q318">
        <f t="shared" si="26"/>
        <v>0</v>
      </c>
      <c r="R318">
        <f t="shared" si="27"/>
        <v>477</v>
      </c>
      <c r="S318" s="28">
        <f t="shared" si="28"/>
        <v>0</v>
      </c>
      <c r="T318" t="str">
        <f t="shared" si="29"/>
        <v xml:space="preserve"> -&gt; </v>
      </c>
    </row>
    <row r="319" spans="1:20" x14ac:dyDescent="0.2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Data'!B344</f>
        <v>0</v>
      </c>
      <c r="Q319">
        <f t="shared" si="26"/>
        <v>0</v>
      </c>
      <c r="R319">
        <f t="shared" si="27"/>
        <v>477</v>
      </c>
      <c r="S319" s="28">
        <f t="shared" si="28"/>
        <v>0</v>
      </c>
      <c r="T319" t="str">
        <f t="shared" si="29"/>
        <v xml:space="preserve"> -&gt; </v>
      </c>
    </row>
    <row r="320" spans="1:20" x14ac:dyDescent="0.2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Data'!B345</f>
        <v>0</v>
      </c>
      <c r="Q320">
        <f t="shared" si="26"/>
        <v>0</v>
      </c>
      <c r="R320">
        <f t="shared" si="27"/>
        <v>477</v>
      </c>
      <c r="S320" s="28">
        <f t="shared" si="28"/>
        <v>0</v>
      </c>
      <c r="T320" t="str">
        <f t="shared" si="29"/>
        <v xml:space="preserve"> -&gt; </v>
      </c>
    </row>
    <row r="321" spans="1:20" x14ac:dyDescent="0.2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Data'!B346</f>
        <v>0</v>
      </c>
      <c r="Q321">
        <f t="shared" si="26"/>
        <v>0</v>
      </c>
      <c r="R321">
        <f t="shared" si="27"/>
        <v>477</v>
      </c>
      <c r="S321" s="28">
        <f t="shared" si="28"/>
        <v>0</v>
      </c>
      <c r="T321" t="str">
        <f t="shared" si="29"/>
        <v xml:space="preserve"> -&gt; </v>
      </c>
    </row>
    <row r="322" spans="1:20" x14ac:dyDescent="0.2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5"/>
        <v/>
      </c>
      <c r="P322">
        <f>'Combined Delivery Data'!B347</f>
        <v>0</v>
      </c>
      <c r="Q322">
        <f t="shared" si="26"/>
        <v>0</v>
      </c>
      <c r="R322">
        <f t="shared" si="27"/>
        <v>477</v>
      </c>
      <c r="S322" s="28">
        <f t="shared" si="28"/>
        <v>0</v>
      </c>
      <c r="T322" t="str">
        <f t="shared" si="29"/>
        <v xml:space="preserve"> -&gt; </v>
      </c>
    </row>
    <row r="323" spans="1:20" x14ac:dyDescent="0.2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30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si="26"/>
        <v>0</v>
      </c>
      <c r="R323">
        <f t="shared" si="27"/>
        <v>477</v>
      </c>
      <c r="S323" s="28">
        <f t="shared" si="28"/>
        <v>0</v>
      </c>
      <c r="T323" t="str">
        <f t="shared" si="29"/>
        <v xml:space="preserve"> -&gt; </v>
      </c>
    </row>
    <row r="324" spans="1:20" x14ac:dyDescent="0.2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Data'!B349</f>
        <v>0</v>
      </c>
      <c r="Q324">
        <f t="shared" si="26"/>
        <v>0</v>
      </c>
      <c r="R324">
        <f t="shared" si="27"/>
        <v>477</v>
      </c>
      <c r="S324" s="28">
        <f t="shared" si="28"/>
        <v>0</v>
      </c>
      <c r="T324" t="str">
        <f t="shared" si="29"/>
        <v xml:space="preserve"> -&gt; </v>
      </c>
    </row>
    <row r="325" spans="1:20" x14ac:dyDescent="0.2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Data'!B350</f>
        <v>0</v>
      </c>
      <c r="Q325">
        <f t="shared" si="26"/>
        <v>0</v>
      </c>
      <c r="R325">
        <f t="shared" si="27"/>
        <v>477</v>
      </c>
      <c r="S325" s="28">
        <f t="shared" si="28"/>
        <v>0</v>
      </c>
      <c r="T325" t="str">
        <f t="shared" si="29"/>
        <v xml:space="preserve"> -&gt; </v>
      </c>
    </row>
    <row r="326" spans="1:20" x14ac:dyDescent="0.2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Data'!B351</f>
        <v>0</v>
      </c>
      <c r="Q326">
        <f t="shared" si="26"/>
        <v>0</v>
      </c>
      <c r="R326">
        <f t="shared" si="27"/>
        <v>477</v>
      </c>
      <c r="S326" s="28">
        <f t="shared" si="28"/>
        <v>0</v>
      </c>
      <c r="T326" t="str">
        <f t="shared" si="29"/>
        <v xml:space="preserve"> -&gt; </v>
      </c>
    </row>
    <row r="327" spans="1:20" x14ac:dyDescent="0.2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Data'!B352</f>
        <v>0</v>
      </c>
      <c r="Q327">
        <f t="shared" si="26"/>
        <v>0</v>
      </c>
      <c r="R327">
        <f t="shared" si="27"/>
        <v>477</v>
      </c>
      <c r="S327" s="28">
        <f t="shared" si="28"/>
        <v>0</v>
      </c>
      <c r="T327" t="str">
        <f t="shared" si="29"/>
        <v xml:space="preserve"> -&gt; </v>
      </c>
    </row>
    <row r="328" spans="1:20" x14ac:dyDescent="0.2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Data'!B353</f>
        <v>0</v>
      </c>
      <c r="Q328">
        <f t="shared" si="26"/>
        <v>0</v>
      </c>
      <c r="R328">
        <f t="shared" si="27"/>
        <v>477</v>
      </c>
      <c r="S328" s="28">
        <f t="shared" si="28"/>
        <v>0</v>
      </c>
      <c r="T328" t="str">
        <f t="shared" si="29"/>
        <v xml:space="preserve"> -&gt; </v>
      </c>
    </row>
    <row r="329" spans="1:20" x14ac:dyDescent="0.2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Data'!B354</f>
        <v>0</v>
      </c>
      <c r="Q329">
        <f t="shared" si="26"/>
        <v>0</v>
      </c>
      <c r="R329">
        <f t="shared" si="27"/>
        <v>477</v>
      </c>
      <c r="S329" s="28">
        <f t="shared" si="28"/>
        <v>0</v>
      </c>
      <c r="T329" t="str">
        <f t="shared" si="29"/>
        <v xml:space="preserve"> -&gt; </v>
      </c>
    </row>
    <row r="330" spans="1:20" x14ac:dyDescent="0.2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Data'!B355</f>
        <v>0</v>
      </c>
      <c r="Q330">
        <f t="shared" si="26"/>
        <v>0</v>
      </c>
      <c r="R330">
        <f t="shared" si="27"/>
        <v>477</v>
      </c>
      <c r="S330" s="28">
        <f t="shared" si="28"/>
        <v>0</v>
      </c>
      <c r="T330" t="str">
        <f t="shared" si="29"/>
        <v xml:space="preserve"> -&gt; </v>
      </c>
    </row>
    <row r="331" spans="1:20" x14ac:dyDescent="0.2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Data'!B356</f>
        <v>0</v>
      </c>
      <c r="Q331">
        <f t="shared" si="26"/>
        <v>0</v>
      </c>
      <c r="R331">
        <f t="shared" si="27"/>
        <v>477</v>
      </c>
      <c r="S331" s="28">
        <f t="shared" si="28"/>
        <v>0</v>
      </c>
      <c r="T331" t="str">
        <f t="shared" si="29"/>
        <v xml:space="preserve"> -&gt; </v>
      </c>
    </row>
    <row r="332" spans="1:20" x14ac:dyDescent="0.2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Data'!B357</f>
        <v>0</v>
      </c>
      <c r="Q332">
        <f t="shared" si="26"/>
        <v>0</v>
      </c>
      <c r="R332">
        <f t="shared" si="27"/>
        <v>477</v>
      </c>
      <c r="S332" s="28">
        <f t="shared" si="28"/>
        <v>0</v>
      </c>
      <c r="T332" t="str">
        <f t="shared" si="29"/>
        <v xml:space="preserve"> -&gt; </v>
      </c>
    </row>
    <row r="333" spans="1:20" x14ac:dyDescent="0.2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Data'!B358</f>
        <v>0</v>
      </c>
      <c r="Q333">
        <f t="shared" si="26"/>
        <v>0</v>
      </c>
      <c r="R333">
        <f t="shared" si="27"/>
        <v>477</v>
      </c>
      <c r="S333" s="28">
        <f t="shared" si="28"/>
        <v>0</v>
      </c>
      <c r="T333" t="str">
        <f t="shared" si="29"/>
        <v xml:space="preserve"> -&gt; </v>
      </c>
    </row>
    <row r="334" spans="1:20" x14ac:dyDescent="0.2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Data'!B359</f>
        <v>0</v>
      </c>
      <c r="Q334">
        <f t="shared" si="26"/>
        <v>0</v>
      </c>
      <c r="R334">
        <f t="shared" si="27"/>
        <v>477</v>
      </c>
      <c r="S334" s="28">
        <f t="shared" si="28"/>
        <v>0</v>
      </c>
      <c r="T334" t="str">
        <f t="shared" si="29"/>
        <v xml:space="preserve"> -&gt; </v>
      </c>
    </row>
    <row r="335" spans="1:20" x14ac:dyDescent="0.2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Data'!B360</f>
        <v>0</v>
      </c>
      <c r="Q335">
        <f t="shared" si="26"/>
        <v>0</v>
      </c>
      <c r="R335">
        <f t="shared" si="27"/>
        <v>477</v>
      </c>
      <c r="S335" s="28">
        <f t="shared" si="28"/>
        <v>0</v>
      </c>
      <c r="T335" t="str">
        <f t="shared" si="29"/>
        <v xml:space="preserve"> -&gt; </v>
      </c>
    </row>
    <row r="336" spans="1:20" x14ac:dyDescent="0.2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Data'!B361</f>
        <v>0</v>
      </c>
      <c r="Q336">
        <f t="shared" si="26"/>
        <v>0</v>
      </c>
      <c r="R336">
        <f t="shared" si="27"/>
        <v>477</v>
      </c>
      <c r="S336" s="28">
        <f t="shared" si="28"/>
        <v>0</v>
      </c>
      <c r="T336" t="str">
        <f t="shared" si="29"/>
        <v xml:space="preserve"> -&gt; </v>
      </c>
    </row>
    <row r="337" spans="1:20" x14ac:dyDescent="0.2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Data'!B362</f>
        <v>0</v>
      </c>
      <c r="Q337">
        <f t="shared" si="26"/>
        <v>0</v>
      </c>
      <c r="R337">
        <f t="shared" si="27"/>
        <v>477</v>
      </c>
      <c r="S337" s="28">
        <f t="shared" si="28"/>
        <v>0</v>
      </c>
      <c r="T337" t="str">
        <f t="shared" si="29"/>
        <v xml:space="preserve"> -&gt; </v>
      </c>
    </row>
    <row r="338" spans="1:20" x14ac:dyDescent="0.2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Data'!B363</f>
        <v>0</v>
      </c>
      <c r="Q338">
        <f t="shared" ref="Q338:Q401" si="31">IF($P338="","",COUNTIF($A$3:$A$500,$P338))</f>
        <v>0</v>
      </c>
      <c r="R338">
        <f t="shared" ref="R338:R401" si="32">IF($P338="","",SUMPRODUCT(($A$3:$A$500=$P338)*($G$3:$G$500&lt;&gt;"Yes")*($G$3:$G$500&lt;&gt;"Did not pass re-test")))</f>
        <v>477</v>
      </c>
      <c r="S338" s="28">
        <f t="shared" ref="S338:S401" si="33">IF($P338="","",IF(SUMPRODUCT(MAX(($A$3:$A$500=$P338)*ROW($A$3:$A$500)))=0,"",INDEX($B:$B,SUMPRODUCT(MAX(($A$3:$A$500=$P338)*ROW($A$3:$A$500))))))</f>
        <v>0</v>
      </c>
      <c r="T338" t="str">
        <f t="shared" ref="T338:T401" si="34"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x14ac:dyDescent="0.2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Data'!B364</f>
        <v>0</v>
      </c>
      <c r="Q339">
        <f t="shared" si="31"/>
        <v>0</v>
      </c>
      <c r="R339">
        <f t="shared" si="32"/>
        <v>477</v>
      </c>
      <c r="S339" s="28">
        <f t="shared" si="33"/>
        <v>0</v>
      </c>
      <c r="T339" t="str">
        <f t="shared" si="34"/>
        <v xml:space="preserve"> -&gt; </v>
      </c>
    </row>
    <row r="340" spans="1:20" x14ac:dyDescent="0.2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Data'!B365</f>
        <v>0</v>
      </c>
      <c r="Q340">
        <f t="shared" si="31"/>
        <v>0</v>
      </c>
      <c r="R340">
        <f t="shared" si="32"/>
        <v>477</v>
      </c>
      <c r="S340" s="28">
        <f t="shared" si="33"/>
        <v>0</v>
      </c>
      <c r="T340" t="str">
        <f t="shared" si="34"/>
        <v xml:space="preserve"> -&gt; </v>
      </c>
    </row>
    <row r="341" spans="1:20" x14ac:dyDescent="0.2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Data'!B366</f>
        <v>0</v>
      </c>
      <c r="Q341">
        <f t="shared" si="31"/>
        <v>0</v>
      </c>
      <c r="R341">
        <f t="shared" si="32"/>
        <v>477</v>
      </c>
      <c r="S341" s="28">
        <f t="shared" si="33"/>
        <v>0</v>
      </c>
      <c r="T341" t="str">
        <f t="shared" si="34"/>
        <v xml:space="preserve"> -&gt; </v>
      </c>
    </row>
    <row r="342" spans="1:20" x14ac:dyDescent="0.2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Data'!B367</f>
        <v>0</v>
      </c>
      <c r="Q342">
        <f t="shared" si="31"/>
        <v>0</v>
      </c>
      <c r="R342">
        <f t="shared" si="32"/>
        <v>477</v>
      </c>
      <c r="S342" s="28">
        <f t="shared" si="33"/>
        <v>0</v>
      </c>
      <c r="T342" t="str">
        <f t="shared" si="34"/>
        <v xml:space="preserve"> -&gt; </v>
      </c>
    </row>
    <row r="343" spans="1:20" x14ac:dyDescent="0.2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Data'!B368</f>
        <v>0</v>
      </c>
      <c r="Q343">
        <f t="shared" si="31"/>
        <v>0</v>
      </c>
      <c r="R343">
        <f t="shared" si="32"/>
        <v>477</v>
      </c>
      <c r="S343" s="28">
        <f t="shared" si="33"/>
        <v>0</v>
      </c>
      <c r="T343" t="str">
        <f t="shared" si="34"/>
        <v xml:space="preserve"> -&gt; </v>
      </c>
    </row>
    <row r="344" spans="1:20" x14ac:dyDescent="0.2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Data'!B369</f>
        <v>0</v>
      </c>
      <c r="Q344">
        <f t="shared" si="31"/>
        <v>0</v>
      </c>
      <c r="R344">
        <f t="shared" si="32"/>
        <v>477</v>
      </c>
      <c r="S344" s="28">
        <f t="shared" si="33"/>
        <v>0</v>
      </c>
      <c r="T344" t="str">
        <f t="shared" si="34"/>
        <v xml:space="preserve"> -&gt; </v>
      </c>
    </row>
    <row r="345" spans="1:20" x14ac:dyDescent="0.2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Data'!B370</f>
        <v>0</v>
      </c>
      <c r="Q345">
        <f t="shared" si="31"/>
        <v>0</v>
      </c>
      <c r="R345">
        <f t="shared" si="32"/>
        <v>477</v>
      </c>
      <c r="S345" s="28">
        <f t="shared" si="33"/>
        <v>0</v>
      </c>
      <c r="T345" t="str">
        <f t="shared" si="34"/>
        <v xml:space="preserve"> -&gt; </v>
      </c>
    </row>
    <row r="346" spans="1:20" x14ac:dyDescent="0.2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Data'!B371</f>
        <v>0</v>
      </c>
      <c r="Q346">
        <f t="shared" si="31"/>
        <v>0</v>
      </c>
      <c r="R346">
        <f t="shared" si="32"/>
        <v>477</v>
      </c>
      <c r="S346" s="28">
        <f t="shared" si="33"/>
        <v>0</v>
      </c>
      <c r="T346" t="str">
        <f t="shared" si="34"/>
        <v xml:space="preserve"> -&gt; </v>
      </c>
    </row>
    <row r="347" spans="1:20" x14ac:dyDescent="0.2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Data'!B372</f>
        <v>0</v>
      </c>
      <c r="Q347">
        <f t="shared" si="31"/>
        <v>0</v>
      </c>
      <c r="R347">
        <f t="shared" si="32"/>
        <v>477</v>
      </c>
      <c r="S347" s="28">
        <f t="shared" si="33"/>
        <v>0</v>
      </c>
      <c r="T347" t="str">
        <f t="shared" si="34"/>
        <v xml:space="preserve"> -&gt; </v>
      </c>
    </row>
    <row r="348" spans="1:20" x14ac:dyDescent="0.2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Data'!B373</f>
        <v>0</v>
      </c>
      <c r="Q348">
        <f t="shared" si="31"/>
        <v>0</v>
      </c>
      <c r="R348">
        <f t="shared" si="32"/>
        <v>477</v>
      </c>
      <c r="S348" s="28">
        <f t="shared" si="33"/>
        <v>0</v>
      </c>
      <c r="T348" t="str">
        <f t="shared" si="34"/>
        <v xml:space="preserve"> -&gt; </v>
      </c>
    </row>
    <row r="349" spans="1:20" x14ac:dyDescent="0.2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Data'!B374</f>
        <v>0</v>
      </c>
      <c r="Q349">
        <f t="shared" si="31"/>
        <v>0</v>
      </c>
      <c r="R349">
        <f t="shared" si="32"/>
        <v>477</v>
      </c>
      <c r="S349" s="28">
        <f t="shared" si="33"/>
        <v>0</v>
      </c>
      <c r="T349" t="str">
        <f t="shared" si="34"/>
        <v xml:space="preserve"> -&gt; </v>
      </c>
    </row>
    <row r="350" spans="1:20" x14ac:dyDescent="0.2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Data'!B375</f>
        <v>0</v>
      </c>
      <c r="Q350">
        <f t="shared" si="31"/>
        <v>0</v>
      </c>
      <c r="R350">
        <f t="shared" si="32"/>
        <v>477</v>
      </c>
      <c r="S350" s="28">
        <f t="shared" si="33"/>
        <v>0</v>
      </c>
      <c r="T350" t="str">
        <f t="shared" si="34"/>
        <v xml:space="preserve"> -&gt; </v>
      </c>
    </row>
    <row r="351" spans="1:20" x14ac:dyDescent="0.2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Data'!B376</f>
        <v>0</v>
      </c>
      <c r="Q351">
        <f t="shared" si="31"/>
        <v>0</v>
      </c>
      <c r="R351">
        <f t="shared" si="32"/>
        <v>477</v>
      </c>
      <c r="S351" s="28">
        <f t="shared" si="33"/>
        <v>0</v>
      </c>
      <c r="T351" t="str">
        <f t="shared" si="34"/>
        <v xml:space="preserve"> -&gt; </v>
      </c>
    </row>
    <row r="352" spans="1:20" x14ac:dyDescent="0.2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Data'!B377</f>
        <v>0</v>
      </c>
      <c r="Q352">
        <f t="shared" si="31"/>
        <v>0</v>
      </c>
      <c r="R352">
        <f t="shared" si="32"/>
        <v>477</v>
      </c>
      <c r="S352" s="28">
        <f t="shared" si="33"/>
        <v>0</v>
      </c>
      <c r="T352" t="str">
        <f t="shared" si="34"/>
        <v xml:space="preserve"> -&gt; </v>
      </c>
    </row>
    <row r="353" spans="1:20" x14ac:dyDescent="0.2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Data'!B378</f>
        <v>0</v>
      </c>
      <c r="Q353">
        <f t="shared" si="31"/>
        <v>0</v>
      </c>
      <c r="R353">
        <f t="shared" si="32"/>
        <v>477</v>
      </c>
      <c r="S353" s="28">
        <f t="shared" si="33"/>
        <v>0</v>
      </c>
      <c r="T353" t="str">
        <f t="shared" si="34"/>
        <v xml:space="preserve"> -&gt; </v>
      </c>
    </row>
    <row r="354" spans="1:20" x14ac:dyDescent="0.2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Data'!B379</f>
        <v>0</v>
      </c>
      <c r="Q354">
        <f t="shared" si="31"/>
        <v>0</v>
      </c>
      <c r="R354">
        <f t="shared" si="32"/>
        <v>477</v>
      </c>
      <c r="S354" s="28">
        <f t="shared" si="33"/>
        <v>0</v>
      </c>
      <c r="T354" t="str">
        <f t="shared" si="34"/>
        <v xml:space="preserve"> -&gt; </v>
      </c>
    </row>
    <row r="355" spans="1:20" x14ac:dyDescent="0.2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Data'!B380</f>
        <v>0</v>
      </c>
      <c r="Q355">
        <f t="shared" si="31"/>
        <v>0</v>
      </c>
      <c r="R355">
        <f t="shared" si="32"/>
        <v>477</v>
      </c>
      <c r="S355" s="28">
        <f t="shared" si="33"/>
        <v>0</v>
      </c>
      <c r="T355" t="str">
        <f t="shared" si="34"/>
        <v xml:space="preserve"> -&gt; </v>
      </c>
    </row>
    <row r="356" spans="1:20" x14ac:dyDescent="0.2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Data'!B381</f>
        <v>0</v>
      </c>
      <c r="Q356">
        <f t="shared" si="31"/>
        <v>0</v>
      </c>
      <c r="R356">
        <f t="shared" si="32"/>
        <v>477</v>
      </c>
      <c r="S356" s="28">
        <f t="shared" si="33"/>
        <v>0</v>
      </c>
      <c r="T356" t="str">
        <f t="shared" si="34"/>
        <v xml:space="preserve"> -&gt; </v>
      </c>
    </row>
    <row r="357" spans="1:20" x14ac:dyDescent="0.2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Data'!B382</f>
        <v>0</v>
      </c>
      <c r="Q357">
        <f t="shared" si="31"/>
        <v>0</v>
      </c>
      <c r="R357">
        <f t="shared" si="32"/>
        <v>477</v>
      </c>
      <c r="S357" s="28">
        <f t="shared" si="33"/>
        <v>0</v>
      </c>
      <c r="T357" t="str">
        <f t="shared" si="34"/>
        <v xml:space="preserve"> -&gt; </v>
      </c>
    </row>
    <row r="358" spans="1:20" x14ac:dyDescent="0.2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Data'!B383</f>
        <v>0</v>
      </c>
      <c r="Q358">
        <f t="shared" si="31"/>
        <v>0</v>
      </c>
      <c r="R358">
        <f t="shared" si="32"/>
        <v>477</v>
      </c>
      <c r="S358" s="28">
        <f t="shared" si="33"/>
        <v>0</v>
      </c>
      <c r="T358" t="str">
        <f t="shared" si="34"/>
        <v xml:space="preserve"> -&gt; </v>
      </c>
    </row>
    <row r="359" spans="1:20" x14ac:dyDescent="0.2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Data'!B384</f>
        <v>0</v>
      </c>
      <c r="Q359">
        <f t="shared" si="31"/>
        <v>0</v>
      </c>
      <c r="R359">
        <f t="shared" si="32"/>
        <v>477</v>
      </c>
      <c r="S359" s="28">
        <f t="shared" si="33"/>
        <v>0</v>
      </c>
      <c r="T359" t="str">
        <f t="shared" si="34"/>
        <v xml:space="preserve"> -&gt; </v>
      </c>
    </row>
    <row r="360" spans="1:20" x14ac:dyDescent="0.2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Data'!B385</f>
        <v>0</v>
      </c>
      <c r="Q360">
        <f t="shared" si="31"/>
        <v>0</v>
      </c>
      <c r="R360">
        <f t="shared" si="32"/>
        <v>477</v>
      </c>
      <c r="S360" s="28">
        <f t="shared" si="33"/>
        <v>0</v>
      </c>
      <c r="T360" t="str">
        <f t="shared" si="34"/>
        <v xml:space="preserve"> -&gt; </v>
      </c>
    </row>
    <row r="361" spans="1:20" x14ac:dyDescent="0.2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Data'!B386</f>
        <v>0</v>
      </c>
      <c r="Q361">
        <f t="shared" si="31"/>
        <v>0</v>
      </c>
      <c r="R361">
        <f t="shared" si="32"/>
        <v>477</v>
      </c>
      <c r="S361" s="28">
        <f t="shared" si="33"/>
        <v>0</v>
      </c>
      <c r="T361" t="str">
        <f t="shared" si="34"/>
        <v xml:space="preserve"> -&gt; </v>
      </c>
    </row>
    <row r="362" spans="1:20" x14ac:dyDescent="0.2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Data'!B387</f>
        <v>0</v>
      </c>
      <c r="Q362">
        <f t="shared" si="31"/>
        <v>0</v>
      </c>
      <c r="R362">
        <f t="shared" si="32"/>
        <v>477</v>
      </c>
      <c r="S362" s="28">
        <f t="shared" si="33"/>
        <v>0</v>
      </c>
      <c r="T362" t="str">
        <f t="shared" si="34"/>
        <v xml:space="preserve"> -&gt; </v>
      </c>
    </row>
    <row r="363" spans="1:20" x14ac:dyDescent="0.2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Data'!B388</f>
        <v>0</v>
      </c>
      <c r="Q363">
        <f t="shared" si="31"/>
        <v>0</v>
      </c>
      <c r="R363">
        <f t="shared" si="32"/>
        <v>477</v>
      </c>
      <c r="S363" s="28">
        <f t="shared" si="33"/>
        <v>0</v>
      </c>
      <c r="T363" t="str">
        <f t="shared" si="34"/>
        <v xml:space="preserve"> -&gt; </v>
      </c>
    </row>
    <row r="364" spans="1:20" x14ac:dyDescent="0.2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Data'!B389</f>
        <v>0</v>
      </c>
      <c r="Q364">
        <f t="shared" si="31"/>
        <v>0</v>
      </c>
      <c r="R364">
        <f t="shared" si="32"/>
        <v>477</v>
      </c>
      <c r="S364" s="28">
        <f t="shared" si="33"/>
        <v>0</v>
      </c>
      <c r="T364" t="str">
        <f t="shared" si="34"/>
        <v xml:space="preserve"> -&gt; </v>
      </c>
    </row>
    <row r="365" spans="1:20" x14ac:dyDescent="0.2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Data'!B390</f>
        <v>0</v>
      </c>
      <c r="Q365">
        <f t="shared" si="31"/>
        <v>0</v>
      </c>
      <c r="R365">
        <f t="shared" si="32"/>
        <v>477</v>
      </c>
      <c r="S365" s="28">
        <f t="shared" si="33"/>
        <v>0</v>
      </c>
      <c r="T365" t="str">
        <f t="shared" si="34"/>
        <v xml:space="preserve"> -&gt; </v>
      </c>
    </row>
    <row r="366" spans="1:20" x14ac:dyDescent="0.2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Data'!B391</f>
        <v>0</v>
      </c>
      <c r="Q366">
        <f t="shared" si="31"/>
        <v>0</v>
      </c>
      <c r="R366">
        <f t="shared" si="32"/>
        <v>477</v>
      </c>
      <c r="S366" s="28">
        <f t="shared" si="33"/>
        <v>0</v>
      </c>
      <c r="T366" t="str">
        <f t="shared" si="34"/>
        <v xml:space="preserve"> -&gt; </v>
      </c>
    </row>
    <row r="367" spans="1:20" x14ac:dyDescent="0.2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Data'!B392</f>
        <v>0</v>
      </c>
      <c r="Q367">
        <f t="shared" si="31"/>
        <v>0</v>
      </c>
      <c r="R367">
        <f t="shared" si="32"/>
        <v>477</v>
      </c>
      <c r="S367" s="28">
        <f t="shared" si="33"/>
        <v>0</v>
      </c>
      <c r="T367" t="str">
        <f t="shared" si="34"/>
        <v xml:space="preserve"> -&gt; </v>
      </c>
    </row>
    <row r="368" spans="1:20" x14ac:dyDescent="0.2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Data'!B393</f>
        <v>0</v>
      </c>
      <c r="Q368">
        <f t="shared" si="31"/>
        <v>0</v>
      </c>
      <c r="R368">
        <f t="shared" si="32"/>
        <v>477</v>
      </c>
      <c r="S368" s="28">
        <f t="shared" si="33"/>
        <v>0</v>
      </c>
      <c r="T368" t="str">
        <f t="shared" si="34"/>
        <v xml:space="preserve"> -&gt; </v>
      </c>
    </row>
    <row r="369" spans="1:20" x14ac:dyDescent="0.2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Data'!B394</f>
        <v>0</v>
      </c>
      <c r="Q369">
        <f t="shared" si="31"/>
        <v>0</v>
      </c>
      <c r="R369">
        <f t="shared" si="32"/>
        <v>477</v>
      </c>
      <c r="S369" s="28">
        <f t="shared" si="33"/>
        <v>0</v>
      </c>
      <c r="T369" t="str">
        <f t="shared" si="34"/>
        <v xml:space="preserve"> -&gt; </v>
      </c>
    </row>
    <row r="370" spans="1:20" x14ac:dyDescent="0.2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Data'!B395</f>
        <v>0</v>
      </c>
      <c r="Q370">
        <f t="shared" si="31"/>
        <v>0</v>
      </c>
      <c r="R370">
        <f t="shared" si="32"/>
        <v>477</v>
      </c>
      <c r="S370" s="28">
        <f t="shared" si="33"/>
        <v>0</v>
      </c>
      <c r="T370" t="str">
        <f t="shared" si="34"/>
        <v xml:space="preserve"> -&gt; </v>
      </c>
    </row>
    <row r="371" spans="1:20" x14ac:dyDescent="0.2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Data'!B396</f>
        <v>0</v>
      </c>
      <c r="Q371">
        <f t="shared" si="31"/>
        <v>0</v>
      </c>
      <c r="R371">
        <f t="shared" si="32"/>
        <v>477</v>
      </c>
      <c r="S371" s="28">
        <f t="shared" si="33"/>
        <v>0</v>
      </c>
      <c r="T371" t="str">
        <f t="shared" si="34"/>
        <v xml:space="preserve"> -&gt; </v>
      </c>
    </row>
    <row r="372" spans="1:20" x14ac:dyDescent="0.2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Data'!B397</f>
        <v>0</v>
      </c>
      <c r="Q372">
        <f t="shared" si="31"/>
        <v>0</v>
      </c>
      <c r="R372">
        <f t="shared" si="32"/>
        <v>477</v>
      </c>
      <c r="S372" s="28">
        <f t="shared" si="33"/>
        <v>0</v>
      </c>
      <c r="T372" t="str">
        <f t="shared" si="34"/>
        <v xml:space="preserve"> -&gt; </v>
      </c>
    </row>
    <row r="373" spans="1:20" x14ac:dyDescent="0.2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Data'!B398</f>
        <v>0</v>
      </c>
      <c r="Q373">
        <f t="shared" si="31"/>
        <v>0</v>
      </c>
      <c r="R373">
        <f t="shared" si="32"/>
        <v>477</v>
      </c>
      <c r="S373" s="28">
        <f t="shared" si="33"/>
        <v>0</v>
      </c>
      <c r="T373" t="str">
        <f t="shared" si="34"/>
        <v xml:space="preserve"> -&gt; </v>
      </c>
    </row>
    <row r="374" spans="1:20" x14ac:dyDescent="0.2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Data'!B399</f>
        <v>0</v>
      </c>
      <c r="Q374">
        <f t="shared" si="31"/>
        <v>0</v>
      </c>
      <c r="R374">
        <f t="shared" si="32"/>
        <v>477</v>
      </c>
      <c r="S374" s="28">
        <f t="shared" si="33"/>
        <v>0</v>
      </c>
      <c r="T374" t="str">
        <f t="shared" si="34"/>
        <v xml:space="preserve"> -&gt; </v>
      </c>
    </row>
    <row r="375" spans="1:20" x14ac:dyDescent="0.2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Data'!B400</f>
        <v>0</v>
      </c>
      <c r="Q375">
        <f t="shared" si="31"/>
        <v>0</v>
      </c>
      <c r="R375">
        <f t="shared" si="32"/>
        <v>477</v>
      </c>
      <c r="S375" s="28">
        <f t="shared" si="33"/>
        <v>0</v>
      </c>
      <c r="T375" t="str">
        <f t="shared" si="34"/>
        <v xml:space="preserve"> -&gt; </v>
      </c>
    </row>
    <row r="376" spans="1:20" x14ac:dyDescent="0.2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Data'!B401</f>
        <v>0</v>
      </c>
      <c r="Q376">
        <f t="shared" si="31"/>
        <v>0</v>
      </c>
      <c r="R376">
        <f t="shared" si="32"/>
        <v>477</v>
      </c>
      <c r="S376" s="28">
        <f t="shared" si="33"/>
        <v>0</v>
      </c>
      <c r="T376" t="str">
        <f t="shared" si="34"/>
        <v xml:space="preserve"> -&gt; </v>
      </c>
    </row>
    <row r="377" spans="1:20" x14ac:dyDescent="0.2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Data'!B402</f>
        <v>0</v>
      </c>
      <c r="Q377">
        <f t="shared" si="31"/>
        <v>0</v>
      </c>
      <c r="R377">
        <f t="shared" si="32"/>
        <v>477</v>
      </c>
      <c r="S377" s="28">
        <f t="shared" si="33"/>
        <v>0</v>
      </c>
      <c r="T377" t="str">
        <f t="shared" si="34"/>
        <v xml:space="preserve"> -&gt; </v>
      </c>
    </row>
    <row r="378" spans="1:20" x14ac:dyDescent="0.2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Data'!B403</f>
        <v>0</v>
      </c>
      <c r="Q378">
        <f t="shared" si="31"/>
        <v>0</v>
      </c>
      <c r="R378">
        <f t="shared" si="32"/>
        <v>477</v>
      </c>
      <c r="S378" s="28">
        <f t="shared" si="33"/>
        <v>0</v>
      </c>
      <c r="T378" t="str">
        <f t="shared" si="34"/>
        <v xml:space="preserve"> -&gt; </v>
      </c>
    </row>
    <row r="379" spans="1:20" x14ac:dyDescent="0.2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Data'!B404</f>
        <v>0</v>
      </c>
      <c r="Q379">
        <f t="shared" si="31"/>
        <v>0</v>
      </c>
      <c r="R379">
        <f t="shared" si="32"/>
        <v>477</v>
      </c>
      <c r="S379" s="28">
        <f t="shared" si="33"/>
        <v>0</v>
      </c>
      <c r="T379" t="str">
        <f t="shared" si="34"/>
        <v xml:space="preserve"> -&gt; </v>
      </c>
    </row>
    <row r="380" spans="1:20" x14ac:dyDescent="0.2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Data'!B405</f>
        <v>0</v>
      </c>
      <c r="Q380">
        <f t="shared" si="31"/>
        <v>0</v>
      </c>
      <c r="R380">
        <f t="shared" si="32"/>
        <v>477</v>
      </c>
      <c r="S380" s="28">
        <f t="shared" si="33"/>
        <v>0</v>
      </c>
      <c r="T380" t="str">
        <f t="shared" si="34"/>
        <v xml:space="preserve"> -&gt; </v>
      </c>
    </row>
    <row r="381" spans="1:20" x14ac:dyDescent="0.2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Data'!B406</f>
        <v>0</v>
      </c>
      <c r="Q381">
        <f t="shared" si="31"/>
        <v>0</v>
      </c>
      <c r="R381">
        <f t="shared" si="32"/>
        <v>477</v>
      </c>
      <c r="S381" s="28">
        <f t="shared" si="33"/>
        <v>0</v>
      </c>
      <c r="T381" t="str">
        <f t="shared" si="34"/>
        <v xml:space="preserve"> -&gt; </v>
      </c>
    </row>
    <row r="382" spans="1:20" x14ac:dyDescent="0.2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Data'!B407</f>
        <v>0</v>
      </c>
      <c r="Q382">
        <f t="shared" si="31"/>
        <v>0</v>
      </c>
      <c r="R382">
        <f t="shared" si="32"/>
        <v>477</v>
      </c>
      <c r="S382" s="28">
        <f t="shared" si="33"/>
        <v>0</v>
      </c>
      <c r="T382" t="str">
        <f t="shared" si="34"/>
        <v xml:space="preserve"> -&gt; </v>
      </c>
    </row>
    <row r="383" spans="1:20" x14ac:dyDescent="0.2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Data'!B408</f>
        <v>0</v>
      </c>
      <c r="Q383">
        <f t="shared" si="31"/>
        <v>0</v>
      </c>
      <c r="R383">
        <f t="shared" si="32"/>
        <v>477</v>
      </c>
      <c r="S383" s="28">
        <f t="shared" si="33"/>
        <v>0</v>
      </c>
      <c r="T383" t="str">
        <f t="shared" si="34"/>
        <v xml:space="preserve"> -&gt; </v>
      </c>
    </row>
    <row r="384" spans="1:20" x14ac:dyDescent="0.2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Data'!B409</f>
        <v>0</v>
      </c>
      <c r="Q384">
        <f t="shared" si="31"/>
        <v>0</v>
      </c>
      <c r="R384">
        <f t="shared" si="32"/>
        <v>477</v>
      </c>
      <c r="S384" s="28">
        <f t="shared" si="33"/>
        <v>0</v>
      </c>
      <c r="T384" t="str">
        <f t="shared" si="34"/>
        <v xml:space="preserve"> -&gt; </v>
      </c>
    </row>
    <row r="385" spans="1:20" x14ac:dyDescent="0.2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Data'!B410</f>
        <v>0</v>
      </c>
      <c r="Q385">
        <f t="shared" si="31"/>
        <v>0</v>
      </c>
      <c r="R385">
        <f t="shared" si="32"/>
        <v>477</v>
      </c>
      <c r="S385" s="28">
        <f t="shared" si="33"/>
        <v>0</v>
      </c>
      <c r="T385" t="str">
        <f t="shared" si="34"/>
        <v xml:space="preserve"> -&gt; </v>
      </c>
    </row>
    <row r="386" spans="1:20" x14ac:dyDescent="0.2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30"/>
        <v/>
      </c>
      <c r="P386">
        <f>'Combined Delivery Data'!B411</f>
        <v>0</v>
      </c>
      <c r="Q386">
        <f t="shared" si="31"/>
        <v>0</v>
      </c>
      <c r="R386">
        <f t="shared" si="32"/>
        <v>477</v>
      </c>
      <c r="S386" s="28">
        <f t="shared" si="33"/>
        <v>0</v>
      </c>
      <c r="T386" t="str">
        <f t="shared" si="34"/>
        <v xml:space="preserve"> -&gt; </v>
      </c>
    </row>
    <row r="387" spans="1:20" x14ac:dyDescent="0.2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5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si="31"/>
        <v>0</v>
      </c>
      <c r="R387">
        <f t="shared" si="32"/>
        <v>477</v>
      </c>
      <c r="S387" s="28">
        <f t="shared" si="33"/>
        <v>0</v>
      </c>
      <c r="T387" t="str">
        <f t="shared" si="34"/>
        <v xml:space="preserve"> -&gt; </v>
      </c>
    </row>
    <row r="388" spans="1:20" x14ac:dyDescent="0.2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Data'!B413</f>
        <v>0</v>
      </c>
      <c r="Q388">
        <f t="shared" si="31"/>
        <v>0</v>
      </c>
      <c r="R388">
        <f t="shared" si="32"/>
        <v>477</v>
      </c>
      <c r="S388" s="28">
        <f t="shared" si="33"/>
        <v>0</v>
      </c>
      <c r="T388" t="str">
        <f t="shared" si="34"/>
        <v xml:space="preserve"> -&gt; </v>
      </c>
    </row>
    <row r="389" spans="1:20" x14ac:dyDescent="0.2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Data'!B414</f>
        <v>0</v>
      </c>
      <c r="Q389">
        <f t="shared" si="31"/>
        <v>0</v>
      </c>
      <c r="R389">
        <f t="shared" si="32"/>
        <v>477</v>
      </c>
      <c r="S389" s="28">
        <f t="shared" si="33"/>
        <v>0</v>
      </c>
      <c r="T389" t="str">
        <f t="shared" si="34"/>
        <v xml:space="preserve"> -&gt; </v>
      </c>
    </row>
    <row r="390" spans="1:20" x14ac:dyDescent="0.2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Data'!B415</f>
        <v>0</v>
      </c>
      <c r="Q390">
        <f t="shared" si="31"/>
        <v>0</v>
      </c>
      <c r="R390">
        <f t="shared" si="32"/>
        <v>477</v>
      </c>
      <c r="S390" s="28">
        <f t="shared" si="33"/>
        <v>0</v>
      </c>
      <c r="T390" t="str">
        <f t="shared" si="34"/>
        <v xml:space="preserve"> -&gt; </v>
      </c>
    </row>
    <row r="391" spans="1:20" x14ac:dyDescent="0.2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Data'!B416</f>
        <v>0</v>
      </c>
      <c r="Q391">
        <f t="shared" si="31"/>
        <v>0</v>
      </c>
      <c r="R391">
        <f t="shared" si="32"/>
        <v>477</v>
      </c>
      <c r="S391" s="28">
        <f t="shared" si="33"/>
        <v>0</v>
      </c>
      <c r="T391" t="str">
        <f t="shared" si="34"/>
        <v xml:space="preserve"> -&gt; </v>
      </c>
    </row>
    <row r="392" spans="1:20" x14ac:dyDescent="0.2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Data'!B417</f>
        <v>0</v>
      </c>
      <c r="Q392">
        <f t="shared" si="31"/>
        <v>0</v>
      </c>
      <c r="R392">
        <f t="shared" si="32"/>
        <v>477</v>
      </c>
      <c r="S392" s="28">
        <f t="shared" si="33"/>
        <v>0</v>
      </c>
      <c r="T392" t="str">
        <f t="shared" si="34"/>
        <v xml:space="preserve"> -&gt; </v>
      </c>
    </row>
    <row r="393" spans="1:20" x14ac:dyDescent="0.2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Data'!B418</f>
        <v>0</v>
      </c>
      <c r="Q393">
        <f t="shared" si="31"/>
        <v>0</v>
      </c>
      <c r="R393">
        <f t="shared" si="32"/>
        <v>477</v>
      </c>
      <c r="S393" s="28">
        <f t="shared" si="33"/>
        <v>0</v>
      </c>
      <c r="T393" t="str">
        <f t="shared" si="34"/>
        <v xml:space="preserve"> -&gt; </v>
      </c>
    </row>
    <row r="394" spans="1:20" x14ac:dyDescent="0.2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Data'!B419</f>
        <v>0</v>
      </c>
      <c r="Q394">
        <f t="shared" si="31"/>
        <v>0</v>
      </c>
      <c r="R394">
        <f t="shared" si="32"/>
        <v>477</v>
      </c>
      <c r="S394" s="28">
        <f t="shared" si="33"/>
        <v>0</v>
      </c>
      <c r="T394" t="str">
        <f t="shared" si="34"/>
        <v xml:space="preserve"> -&gt; </v>
      </c>
    </row>
    <row r="395" spans="1:20" x14ac:dyDescent="0.2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Data'!B420</f>
        <v>0</v>
      </c>
      <c r="Q395">
        <f t="shared" si="31"/>
        <v>0</v>
      </c>
      <c r="R395">
        <f t="shared" si="32"/>
        <v>477</v>
      </c>
      <c r="S395" s="28">
        <f t="shared" si="33"/>
        <v>0</v>
      </c>
      <c r="T395" t="str">
        <f t="shared" si="34"/>
        <v xml:space="preserve"> -&gt; </v>
      </c>
    </row>
    <row r="396" spans="1:20" x14ac:dyDescent="0.2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Data'!B421</f>
        <v>0</v>
      </c>
      <c r="Q396">
        <f t="shared" si="31"/>
        <v>0</v>
      </c>
      <c r="R396">
        <f t="shared" si="32"/>
        <v>477</v>
      </c>
      <c r="S396" s="28">
        <f t="shared" si="33"/>
        <v>0</v>
      </c>
      <c r="T396" t="str">
        <f t="shared" si="34"/>
        <v xml:space="preserve"> -&gt; </v>
      </c>
    </row>
    <row r="397" spans="1:20" x14ac:dyDescent="0.2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Data'!B422</f>
        <v>0</v>
      </c>
      <c r="Q397">
        <f t="shared" si="31"/>
        <v>0</v>
      </c>
      <c r="R397">
        <f t="shared" si="32"/>
        <v>477</v>
      </c>
      <c r="S397" s="28">
        <f t="shared" si="33"/>
        <v>0</v>
      </c>
      <c r="T397" t="str">
        <f t="shared" si="34"/>
        <v xml:space="preserve"> -&gt; </v>
      </c>
    </row>
    <row r="398" spans="1:20" x14ac:dyDescent="0.2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Data'!B423</f>
        <v>0</v>
      </c>
      <c r="Q398">
        <f t="shared" si="31"/>
        <v>0</v>
      </c>
      <c r="R398">
        <f t="shared" si="32"/>
        <v>477</v>
      </c>
      <c r="S398" s="28">
        <f t="shared" si="33"/>
        <v>0</v>
      </c>
      <c r="T398" t="str">
        <f t="shared" si="34"/>
        <v xml:space="preserve"> -&gt; </v>
      </c>
    </row>
    <row r="399" spans="1:20" x14ac:dyDescent="0.2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Data'!B424</f>
        <v>0</v>
      </c>
      <c r="Q399">
        <f t="shared" si="31"/>
        <v>0</v>
      </c>
      <c r="R399">
        <f t="shared" si="32"/>
        <v>477</v>
      </c>
      <c r="S399" s="28">
        <f t="shared" si="33"/>
        <v>0</v>
      </c>
      <c r="T399" t="str">
        <f t="shared" si="34"/>
        <v xml:space="preserve"> -&gt; </v>
      </c>
    </row>
    <row r="400" spans="1:20" x14ac:dyDescent="0.2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Data'!B425</f>
        <v>0</v>
      </c>
      <c r="Q400">
        <f t="shared" si="31"/>
        <v>0</v>
      </c>
      <c r="R400">
        <f t="shared" si="32"/>
        <v>477</v>
      </c>
      <c r="S400" s="28">
        <f t="shared" si="33"/>
        <v>0</v>
      </c>
      <c r="T400" t="str">
        <f t="shared" si="34"/>
        <v xml:space="preserve"> -&gt; </v>
      </c>
    </row>
    <row r="401" spans="1:20" x14ac:dyDescent="0.2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Data'!B426</f>
        <v>0</v>
      </c>
      <c r="Q401">
        <f t="shared" si="31"/>
        <v>0</v>
      </c>
      <c r="R401">
        <f t="shared" si="32"/>
        <v>477</v>
      </c>
      <c r="S401" s="28">
        <f t="shared" si="33"/>
        <v>0</v>
      </c>
      <c r="T401" t="str">
        <f t="shared" si="34"/>
        <v xml:space="preserve"> -&gt; </v>
      </c>
    </row>
    <row r="402" spans="1:20" x14ac:dyDescent="0.2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Data'!B427</f>
        <v>0</v>
      </c>
      <c r="Q402">
        <f t="shared" ref="Q402:Q465" si="36">IF($P402="","",COUNTIF($A$3:$A$500,$P402))</f>
        <v>0</v>
      </c>
      <c r="R402">
        <f t="shared" ref="R402:R465" si="37">IF($P402="","",SUMPRODUCT(($A$3:$A$500=$P402)*($G$3:$G$500&lt;&gt;"Yes")*($G$3:$G$500&lt;&gt;"Did not pass re-test")))</f>
        <v>477</v>
      </c>
      <c r="S402" s="28">
        <f t="shared" ref="S402:S465" si="38">IF($P402="","",IF(SUMPRODUCT(MAX(($A$3:$A$500=$P402)*ROW($A$3:$A$500)))=0,"",INDEX($B:$B,SUMPRODUCT(MAX(($A$3:$A$500=$P402)*ROW($A$3:$A$500))))))</f>
        <v>0</v>
      </c>
      <c r="T402" t="str">
        <f t="shared" ref="T402:T465" si="39"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x14ac:dyDescent="0.2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Data'!B428</f>
        <v>0</v>
      </c>
      <c r="Q403">
        <f t="shared" si="36"/>
        <v>0</v>
      </c>
      <c r="R403">
        <f t="shared" si="37"/>
        <v>477</v>
      </c>
      <c r="S403" s="28">
        <f t="shared" si="38"/>
        <v>0</v>
      </c>
      <c r="T403" t="str">
        <f t="shared" si="39"/>
        <v xml:space="preserve"> -&gt; </v>
      </c>
    </row>
    <row r="404" spans="1:20" x14ac:dyDescent="0.2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Data'!B429</f>
        <v>0</v>
      </c>
      <c r="Q404">
        <f t="shared" si="36"/>
        <v>0</v>
      </c>
      <c r="R404">
        <f t="shared" si="37"/>
        <v>477</v>
      </c>
      <c r="S404" s="28">
        <f t="shared" si="38"/>
        <v>0</v>
      </c>
      <c r="T404" t="str">
        <f t="shared" si="39"/>
        <v xml:space="preserve"> -&gt; </v>
      </c>
    </row>
    <row r="405" spans="1:20" x14ac:dyDescent="0.2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Data'!B430</f>
        <v>0</v>
      </c>
      <c r="Q405">
        <f t="shared" si="36"/>
        <v>0</v>
      </c>
      <c r="R405">
        <f t="shared" si="37"/>
        <v>477</v>
      </c>
      <c r="S405" s="28">
        <f t="shared" si="38"/>
        <v>0</v>
      </c>
      <c r="T405" t="str">
        <f t="shared" si="39"/>
        <v xml:space="preserve"> -&gt; </v>
      </c>
    </row>
    <row r="406" spans="1:20" x14ac:dyDescent="0.2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Data'!B431</f>
        <v>0</v>
      </c>
      <c r="Q406">
        <f t="shared" si="36"/>
        <v>0</v>
      </c>
      <c r="R406">
        <f t="shared" si="37"/>
        <v>477</v>
      </c>
      <c r="S406" s="28">
        <f t="shared" si="38"/>
        <v>0</v>
      </c>
      <c r="T406" t="str">
        <f t="shared" si="39"/>
        <v xml:space="preserve"> -&gt; </v>
      </c>
    </row>
    <row r="407" spans="1:20" x14ac:dyDescent="0.2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Data'!B432</f>
        <v>0</v>
      </c>
      <c r="Q407">
        <f t="shared" si="36"/>
        <v>0</v>
      </c>
      <c r="R407">
        <f t="shared" si="37"/>
        <v>477</v>
      </c>
      <c r="S407" s="28">
        <f t="shared" si="38"/>
        <v>0</v>
      </c>
      <c r="T407" t="str">
        <f t="shared" si="39"/>
        <v xml:space="preserve"> -&gt; </v>
      </c>
    </row>
    <row r="408" spans="1:20" x14ac:dyDescent="0.2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Data'!B433</f>
        <v>0</v>
      </c>
      <c r="Q408">
        <f t="shared" si="36"/>
        <v>0</v>
      </c>
      <c r="R408">
        <f t="shared" si="37"/>
        <v>477</v>
      </c>
      <c r="S408" s="28">
        <f t="shared" si="38"/>
        <v>0</v>
      </c>
      <c r="T408" t="str">
        <f t="shared" si="39"/>
        <v xml:space="preserve"> -&gt; </v>
      </c>
    </row>
    <row r="409" spans="1:20" x14ac:dyDescent="0.2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Data'!B434</f>
        <v>0</v>
      </c>
      <c r="Q409">
        <f t="shared" si="36"/>
        <v>0</v>
      </c>
      <c r="R409">
        <f t="shared" si="37"/>
        <v>477</v>
      </c>
      <c r="S409" s="28">
        <f t="shared" si="38"/>
        <v>0</v>
      </c>
      <c r="T409" t="str">
        <f t="shared" si="39"/>
        <v xml:space="preserve"> -&gt; </v>
      </c>
    </row>
    <row r="410" spans="1:20" x14ac:dyDescent="0.2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Data'!B435</f>
        <v>0</v>
      </c>
      <c r="Q410">
        <f t="shared" si="36"/>
        <v>0</v>
      </c>
      <c r="R410">
        <f t="shared" si="37"/>
        <v>477</v>
      </c>
      <c r="S410" s="28">
        <f t="shared" si="38"/>
        <v>0</v>
      </c>
      <c r="T410" t="str">
        <f t="shared" si="39"/>
        <v xml:space="preserve"> -&gt; </v>
      </c>
    </row>
    <row r="411" spans="1:20" x14ac:dyDescent="0.2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Data'!B436</f>
        <v>0</v>
      </c>
      <c r="Q411">
        <f t="shared" si="36"/>
        <v>0</v>
      </c>
      <c r="R411">
        <f t="shared" si="37"/>
        <v>477</v>
      </c>
      <c r="S411" s="28">
        <f t="shared" si="38"/>
        <v>0</v>
      </c>
      <c r="T411" t="str">
        <f t="shared" si="39"/>
        <v xml:space="preserve"> -&gt; </v>
      </c>
    </row>
    <row r="412" spans="1:20" x14ac:dyDescent="0.2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Data'!B437</f>
        <v>0</v>
      </c>
      <c r="Q412">
        <f t="shared" si="36"/>
        <v>0</v>
      </c>
      <c r="R412">
        <f t="shared" si="37"/>
        <v>477</v>
      </c>
      <c r="S412" s="28">
        <f t="shared" si="38"/>
        <v>0</v>
      </c>
      <c r="T412" t="str">
        <f t="shared" si="39"/>
        <v xml:space="preserve"> -&gt; </v>
      </c>
    </row>
    <row r="413" spans="1:20" x14ac:dyDescent="0.2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Data'!B438</f>
        <v>0</v>
      </c>
      <c r="Q413">
        <f t="shared" si="36"/>
        <v>0</v>
      </c>
      <c r="R413">
        <f t="shared" si="37"/>
        <v>477</v>
      </c>
      <c r="S413" s="28">
        <f t="shared" si="38"/>
        <v>0</v>
      </c>
      <c r="T413" t="str">
        <f t="shared" si="39"/>
        <v xml:space="preserve"> -&gt; </v>
      </c>
    </row>
    <row r="414" spans="1:20" x14ac:dyDescent="0.2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Data'!B439</f>
        <v>0</v>
      </c>
      <c r="Q414">
        <f t="shared" si="36"/>
        <v>0</v>
      </c>
      <c r="R414">
        <f t="shared" si="37"/>
        <v>477</v>
      </c>
      <c r="S414" s="28">
        <f t="shared" si="38"/>
        <v>0</v>
      </c>
      <c r="T414" t="str">
        <f t="shared" si="39"/>
        <v xml:space="preserve"> -&gt; </v>
      </c>
    </row>
    <row r="415" spans="1:20" x14ac:dyDescent="0.2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Data'!B440</f>
        <v>0</v>
      </c>
      <c r="Q415">
        <f t="shared" si="36"/>
        <v>0</v>
      </c>
      <c r="R415">
        <f t="shared" si="37"/>
        <v>477</v>
      </c>
      <c r="S415" s="28">
        <f t="shared" si="38"/>
        <v>0</v>
      </c>
      <c r="T415" t="str">
        <f t="shared" si="39"/>
        <v xml:space="preserve"> -&gt; </v>
      </c>
    </row>
    <row r="416" spans="1:20" x14ac:dyDescent="0.2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Data'!B441</f>
        <v>0</v>
      </c>
      <c r="Q416">
        <f t="shared" si="36"/>
        <v>0</v>
      </c>
      <c r="R416">
        <f t="shared" si="37"/>
        <v>477</v>
      </c>
      <c r="S416" s="28">
        <f t="shared" si="38"/>
        <v>0</v>
      </c>
      <c r="T416" t="str">
        <f t="shared" si="39"/>
        <v xml:space="preserve"> -&gt; </v>
      </c>
    </row>
    <row r="417" spans="1:20" x14ac:dyDescent="0.2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Data'!B442</f>
        <v>0</v>
      </c>
      <c r="Q417">
        <f t="shared" si="36"/>
        <v>0</v>
      </c>
      <c r="R417">
        <f t="shared" si="37"/>
        <v>477</v>
      </c>
      <c r="S417" s="28">
        <f t="shared" si="38"/>
        <v>0</v>
      </c>
      <c r="T417" t="str">
        <f t="shared" si="39"/>
        <v xml:space="preserve"> -&gt; </v>
      </c>
    </row>
    <row r="418" spans="1:20" x14ac:dyDescent="0.2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Data'!B443</f>
        <v>0</v>
      </c>
      <c r="Q418">
        <f t="shared" si="36"/>
        <v>0</v>
      </c>
      <c r="R418">
        <f t="shared" si="37"/>
        <v>477</v>
      </c>
      <c r="S418" s="28">
        <f t="shared" si="38"/>
        <v>0</v>
      </c>
      <c r="T418" t="str">
        <f t="shared" si="39"/>
        <v xml:space="preserve"> -&gt; </v>
      </c>
    </row>
    <row r="419" spans="1:20" x14ac:dyDescent="0.2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Data'!B444</f>
        <v>0</v>
      </c>
      <c r="Q419">
        <f t="shared" si="36"/>
        <v>0</v>
      </c>
      <c r="R419">
        <f t="shared" si="37"/>
        <v>477</v>
      </c>
      <c r="S419" s="28">
        <f t="shared" si="38"/>
        <v>0</v>
      </c>
      <c r="T419" t="str">
        <f t="shared" si="39"/>
        <v xml:space="preserve"> -&gt; </v>
      </c>
    </row>
    <row r="420" spans="1:20" x14ac:dyDescent="0.2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Data'!B445</f>
        <v>0</v>
      </c>
      <c r="Q420">
        <f t="shared" si="36"/>
        <v>0</v>
      </c>
      <c r="R420">
        <f t="shared" si="37"/>
        <v>477</v>
      </c>
      <c r="S420" s="28">
        <f t="shared" si="38"/>
        <v>0</v>
      </c>
      <c r="T420" t="str">
        <f t="shared" si="39"/>
        <v xml:space="preserve"> -&gt; </v>
      </c>
    </row>
    <row r="421" spans="1:20" x14ac:dyDescent="0.2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Data'!B446</f>
        <v>0</v>
      </c>
      <c r="Q421">
        <f t="shared" si="36"/>
        <v>0</v>
      </c>
      <c r="R421">
        <f t="shared" si="37"/>
        <v>477</v>
      </c>
      <c r="S421" s="28">
        <f t="shared" si="38"/>
        <v>0</v>
      </c>
      <c r="T421" t="str">
        <f t="shared" si="39"/>
        <v xml:space="preserve"> -&gt; </v>
      </c>
    </row>
    <row r="422" spans="1:20" x14ac:dyDescent="0.2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Data'!B447</f>
        <v>0</v>
      </c>
      <c r="Q422">
        <f t="shared" si="36"/>
        <v>0</v>
      </c>
      <c r="R422">
        <f t="shared" si="37"/>
        <v>477</v>
      </c>
      <c r="S422" s="28">
        <f t="shared" si="38"/>
        <v>0</v>
      </c>
      <c r="T422" t="str">
        <f t="shared" si="39"/>
        <v xml:space="preserve"> -&gt; </v>
      </c>
    </row>
    <row r="423" spans="1:20" x14ac:dyDescent="0.2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Data'!B448</f>
        <v>0</v>
      </c>
      <c r="Q423">
        <f t="shared" si="36"/>
        <v>0</v>
      </c>
      <c r="R423">
        <f t="shared" si="37"/>
        <v>477</v>
      </c>
      <c r="S423" s="28">
        <f t="shared" si="38"/>
        <v>0</v>
      </c>
      <c r="T423" t="str">
        <f t="shared" si="39"/>
        <v xml:space="preserve"> -&gt; </v>
      </c>
    </row>
    <row r="424" spans="1:20" x14ac:dyDescent="0.2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Data'!B449</f>
        <v>0</v>
      </c>
      <c r="Q424">
        <f t="shared" si="36"/>
        <v>0</v>
      </c>
      <c r="R424">
        <f t="shared" si="37"/>
        <v>477</v>
      </c>
      <c r="S424" s="28">
        <f t="shared" si="38"/>
        <v>0</v>
      </c>
      <c r="T424" t="str">
        <f t="shared" si="39"/>
        <v xml:space="preserve"> -&gt; </v>
      </c>
    </row>
    <row r="425" spans="1:20" x14ac:dyDescent="0.2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Data'!B450</f>
        <v>0</v>
      </c>
      <c r="Q425">
        <f t="shared" si="36"/>
        <v>0</v>
      </c>
      <c r="R425">
        <f t="shared" si="37"/>
        <v>477</v>
      </c>
      <c r="S425" s="28">
        <f t="shared" si="38"/>
        <v>0</v>
      </c>
      <c r="T425" t="str">
        <f t="shared" si="39"/>
        <v xml:space="preserve"> -&gt; </v>
      </c>
    </row>
    <row r="426" spans="1:20" x14ac:dyDescent="0.2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Data'!B451</f>
        <v>0</v>
      </c>
      <c r="Q426">
        <f t="shared" si="36"/>
        <v>0</v>
      </c>
      <c r="R426">
        <f t="shared" si="37"/>
        <v>477</v>
      </c>
      <c r="S426" s="28">
        <f t="shared" si="38"/>
        <v>0</v>
      </c>
      <c r="T426" t="str">
        <f t="shared" si="39"/>
        <v xml:space="preserve"> -&gt; </v>
      </c>
    </row>
    <row r="427" spans="1:20" x14ac:dyDescent="0.2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Data'!B452</f>
        <v>0</v>
      </c>
      <c r="Q427">
        <f t="shared" si="36"/>
        <v>0</v>
      </c>
      <c r="R427">
        <f t="shared" si="37"/>
        <v>477</v>
      </c>
      <c r="S427" s="28">
        <f t="shared" si="38"/>
        <v>0</v>
      </c>
      <c r="T427" t="str">
        <f t="shared" si="39"/>
        <v xml:space="preserve"> -&gt; </v>
      </c>
    </row>
    <row r="428" spans="1:20" x14ac:dyDescent="0.2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Data'!B453</f>
        <v>0</v>
      </c>
      <c r="Q428">
        <f t="shared" si="36"/>
        <v>0</v>
      </c>
      <c r="R428">
        <f t="shared" si="37"/>
        <v>477</v>
      </c>
      <c r="S428" s="28">
        <f t="shared" si="38"/>
        <v>0</v>
      </c>
      <c r="T428" t="str">
        <f t="shared" si="39"/>
        <v xml:space="preserve"> -&gt; </v>
      </c>
    </row>
    <row r="429" spans="1:20" x14ac:dyDescent="0.2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Data'!B454</f>
        <v>0</v>
      </c>
      <c r="Q429">
        <f t="shared" si="36"/>
        <v>0</v>
      </c>
      <c r="R429">
        <f t="shared" si="37"/>
        <v>477</v>
      </c>
      <c r="S429" s="28">
        <f t="shared" si="38"/>
        <v>0</v>
      </c>
      <c r="T429" t="str">
        <f t="shared" si="39"/>
        <v xml:space="preserve"> -&gt; </v>
      </c>
    </row>
    <row r="430" spans="1:20" x14ac:dyDescent="0.2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Data'!B455</f>
        <v>0</v>
      </c>
      <c r="Q430">
        <f t="shared" si="36"/>
        <v>0</v>
      </c>
      <c r="R430">
        <f t="shared" si="37"/>
        <v>477</v>
      </c>
      <c r="S430" s="28">
        <f t="shared" si="38"/>
        <v>0</v>
      </c>
      <c r="T430" t="str">
        <f t="shared" si="39"/>
        <v xml:space="preserve"> -&gt; </v>
      </c>
    </row>
    <row r="431" spans="1:20" x14ac:dyDescent="0.2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Data'!B456</f>
        <v>0</v>
      </c>
      <c r="Q431">
        <f t="shared" si="36"/>
        <v>0</v>
      </c>
      <c r="R431">
        <f t="shared" si="37"/>
        <v>477</v>
      </c>
      <c r="S431" s="28">
        <f t="shared" si="38"/>
        <v>0</v>
      </c>
      <c r="T431" t="str">
        <f t="shared" si="39"/>
        <v xml:space="preserve"> -&gt; </v>
      </c>
    </row>
    <row r="432" spans="1:20" x14ac:dyDescent="0.2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Data'!B457</f>
        <v>0</v>
      </c>
      <c r="Q432">
        <f t="shared" si="36"/>
        <v>0</v>
      </c>
      <c r="R432">
        <f t="shared" si="37"/>
        <v>477</v>
      </c>
      <c r="S432" s="28">
        <f t="shared" si="38"/>
        <v>0</v>
      </c>
      <c r="T432" t="str">
        <f t="shared" si="39"/>
        <v xml:space="preserve"> -&gt; </v>
      </c>
    </row>
    <row r="433" spans="1:20" x14ac:dyDescent="0.2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Data'!B458</f>
        <v>0</v>
      </c>
      <c r="Q433">
        <f t="shared" si="36"/>
        <v>0</v>
      </c>
      <c r="R433">
        <f t="shared" si="37"/>
        <v>477</v>
      </c>
      <c r="S433" s="28">
        <f t="shared" si="38"/>
        <v>0</v>
      </c>
      <c r="T433" t="str">
        <f t="shared" si="39"/>
        <v xml:space="preserve"> -&gt; </v>
      </c>
    </row>
    <row r="434" spans="1:20" x14ac:dyDescent="0.2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Data'!B459</f>
        <v>0</v>
      </c>
      <c r="Q434">
        <f t="shared" si="36"/>
        <v>0</v>
      </c>
      <c r="R434">
        <f t="shared" si="37"/>
        <v>477</v>
      </c>
      <c r="S434" s="28">
        <f t="shared" si="38"/>
        <v>0</v>
      </c>
      <c r="T434" t="str">
        <f t="shared" si="39"/>
        <v xml:space="preserve"> -&gt; </v>
      </c>
    </row>
    <row r="435" spans="1:20" x14ac:dyDescent="0.2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Data'!B460</f>
        <v>0</v>
      </c>
      <c r="Q435">
        <f t="shared" si="36"/>
        <v>0</v>
      </c>
      <c r="R435">
        <f t="shared" si="37"/>
        <v>477</v>
      </c>
      <c r="S435" s="28">
        <f t="shared" si="38"/>
        <v>0</v>
      </c>
      <c r="T435" t="str">
        <f t="shared" si="39"/>
        <v xml:space="preserve"> -&gt; </v>
      </c>
    </row>
    <row r="436" spans="1:20" x14ac:dyDescent="0.2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Data'!B461</f>
        <v>0</v>
      </c>
      <c r="Q436">
        <f t="shared" si="36"/>
        <v>0</v>
      </c>
      <c r="R436">
        <f t="shared" si="37"/>
        <v>477</v>
      </c>
      <c r="S436" s="28">
        <f t="shared" si="38"/>
        <v>0</v>
      </c>
      <c r="T436" t="str">
        <f t="shared" si="39"/>
        <v xml:space="preserve"> -&gt; </v>
      </c>
    </row>
    <row r="437" spans="1:20" x14ac:dyDescent="0.2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Data'!B462</f>
        <v>0</v>
      </c>
      <c r="Q437">
        <f t="shared" si="36"/>
        <v>0</v>
      </c>
      <c r="R437">
        <f t="shared" si="37"/>
        <v>477</v>
      </c>
      <c r="S437" s="28">
        <f t="shared" si="38"/>
        <v>0</v>
      </c>
      <c r="T437" t="str">
        <f t="shared" si="39"/>
        <v xml:space="preserve"> -&gt; </v>
      </c>
    </row>
    <row r="438" spans="1:20" x14ac:dyDescent="0.2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Data'!B463</f>
        <v>0</v>
      </c>
      <c r="Q438">
        <f t="shared" si="36"/>
        <v>0</v>
      </c>
      <c r="R438">
        <f t="shared" si="37"/>
        <v>477</v>
      </c>
      <c r="S438" s="28">
        <f t="shared" si="38"/>
        <v>0</v>
      </c>
      <c r="T438" t="str">
        <f t="shared" si="39"/>
        <v xml:space="preserve"> -&gt; </v>
      </c>
    </row>
    <row r="439" spans="1:20" x14ac:dyDescent="0.2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Data'!B464</f>
        <v>0</v>
      </c>
      <c r="Q439">
        <f t="shared" si="36"/>
        <v>0</v>
      </c>
      <c r="R439">
        <f t="shared" si="37"/>
        <v>477</v>
      </c>
      <c r="S439" s="28">
        <f t="shared" si="38"/>
        <v>0</v>
      </c>
      <c r="T439" t="str">
        <f t="shared" si="39"/>
        <v xml:space="preserve"> -&gt; </v>
      </c>
    </row>
    <row r="440" spans="1:20" x14ac:dyDescent="0.2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Data'!B465</f>
        <v>0</v>
      </c>
      <c r="Q440">
        <f t="shared" si="36"/>
        <v>0</v>
      </c>
      <c r="R440">
        <f t="shared" si="37"/>
        <v>477</v>
      </c>
      <c r="S440" s="28">
        <f t="shared" si="38"/>
        <v>0</v>
      </c>
      <c r="T440" t="str">
        <f t="shared" si="39"/>
        <v xml:space="preserve"> -&gt; </v>
      </c>
    </row>
    <row r="441" spans="1:20" x14ac:dyDescent="0.2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Data'!B466</f>
        <v>0</v>
      </c>
      <c r="Q441">
        <f t="shared" si="36"/>
        <v>0</v>
      </c>
      <c r="R441">
        <f t="shared" si="37"/>
        <v>477</v>
      </c>
      <c r="S441" s="28">
        <f t="shared" si="38"/>
        <v>0</v>
      </c>
      <c r="T441" t="str">
        <f t="shared" si="39"/>
        <v xml:space="preserve"> -&gt; </v>
      </c>
    </row>
    <row r="442" spans="1:20" x14ac:dyDescent="0.2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Data'!B467</f>
        <v>0</v>
      </c>
      <c r="Q442">
        <f t="shared" si="36"/>
        <v>0</v>
      </c>
      <c r="R442">
        <f t="shared" si="37"/>
        <v>477</v>
      </c>
      <c r="S442" s="28">
        <f t="shared" si="38"/>
        <v>0</v>
      </c>
      <c r="T442" t="str">
        <f t="shared" si="39"/>
        <v xml:space="preserve"> -&gt; </v>
      </c>
    </row>
    <row r="443" spans="1:20" x14ac:dyDescent="0.2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Data'!B468</f>
        <v>0</v>
      </c>
      <c r="Q443">
        <f t="shared" si="36"/>
        <v>0</v>
      </c>
      <c r="R443">
        <f t="shared" si="37"/>
        <v>477</v>
      </c>
      <c r="S443" s="28">
        <f t="shared" si="38"/>
        <v>0</v>
      </c>
      <c r="T443" t="str">
        <f t="shared" si="39"/>
        <v xml:space="preserve"> -&gt; </v>
      </c>
    </row>
    <row r="444" spans="1:20" x14ac:dyDescent="0.2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Data'!B469</f>
        <v>0</v>
      </c>
      <c r="Q444">
        <f t="shared" si="36"/>
        <v>0</v>
      </c>
      <c r="R444">
        <f t="shared" si="37"/>
        <v>477</v>
      </c>
      <c r="S444" s="28">
        <f t="shared" si="38"/>
        <v>0</v>
      </c>
      <c r="T444" t="str">
        <f t="shared" si="39"/>
        <v xml:space="preserve"> -&gt; </v>
      </c>
    </row>
    <row r="445" spans="1:20" x14ac:dyDescent="0.2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Data'!B470</f>
        <v>0</v>
      </c>
      <c r="Q445">
        <f t="shared" si="36"/>
        <v>0</v>
      </c>
      <c r="R445">
        <f t="shared" si="37"/>
        <v>477</v>
      </c>
      <c r="S445" s="28">
        <f t="shared" si="38"/>
        <v>0</v>
      </c>
      <c r="T445" t="str">
        <f t="shared" si="39"/>
        <v xml:space="preserve"> -&gt; </v>
      </c>
    </row>
    <row r="446" spans="1:20" x14ac:dyDescent="0.2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Data'!B471</f>
        <v>0</v>
      </c>
      <c r="Q446">
        <f t="shared" si="36"/>
        <v>0</v>
      </c>
      <c r="R446">
        <f t="shared" si="37"/>
        <v>477</v>
      </c>
      <c r="S446" s="28">
        <f t="shared" si="38"/>
        <v>0</v>
      </c>
      <c r="T446" t="str">
        <f t="shared" si="39"/>
        <v xml:space="preserve"> -&gt; </v>
      </c>
    </row>
    <row r="447" spans="1:20" x14ac:dyDescent="0.2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Data'!B472</f>
        <v>0</v>
      </c>
      <c r="Q447">
        <f t="shared" si="36"/>
        <v>0</v>
      </c>
      <c r="R447">
        <f t="shared" si="37"/>
        <v>477</v>
      </c>
      <c r="S447" s="28">
        <f t="shared" si="38"/>
        <v>0</v>
      </c>
      <c r="T447" t="str">
        <f t="shared" si="39"/>
        <v xml:space="preserve"> -&gt; </v>
      </c>
    </row>
    <row r="448" spans="1:20" x14ac:dyDescent="0.2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Data'!B473</f>
        <v>0</v>
      </c>
      <c r="Q448">
        <f t="shared" si="36"/>
        <v>0</v>
      </c>
      <c r="R448">
        <f t="shared" si="37"/>
        <v>477</v>
      </c>
      <c r="S448" s="28">
        <f t="shared" si="38"/>
        <v>0</v>
      </c>
      <c r="T448" t="str">
        <f t="shared" si="39"/>
        <v xml:space="preserve"> -&gt; </v>
      </c>
    </row>
    <row r="449" spans="1:20" x14ac:dyDescent="0.2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Data'!B474</f>
        <v>0</v>
      </c>
      <c r="Q449">
        <f t="shared" si="36"/>
        <v>0</v>
      </c>
      <c r="R449">
        <f t="shared" si="37"/>
        <v>477</v>
      </c>
      <c r="S449" s="28">
        <f t="shared" si="38"/>
        <v>0</v>
      </c>
      <c r="T449" t="str">
        <f t="shared" si="39"/>
        <v xml:space="preserve"> -&gt; </v>
      </c>
    </row>
    <row r="450" spans="1:20" x14ac:dyDescent="0.2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5"/>
        <v/>
      </c>
      <c r="P450">
        <f>'Combined Delivery Data'!B475</f>
        <v>0</v>
      </c>
      <c r="Q450">
        <f t="shared" si="36"/>
        <v>0</v>
      </c>
      <c r="R450">
        <f t="shared" si="37"/>
        <v>477</v>
      </c>
      <c r="S450" s="28">
        <f t="shared" si="38"/>
        <v>0</v>
      </c>
      <c r="T450" t="str">
        <f t="shared" si="39"/>
        <v xml:space="preserve"> -&gt; </v>
      </c>
    </row>
    <row r="451" spans="1:20" x14ac:dyDescent="0.2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40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si="36"/>
        <v>0</v>
      </c>
      <c r="R451">
        <f t="shared" si="37"/>
        <v>477</v>
      </c>
      <c r="S451" s="28">
        <f t="shared" si="38"/>
        <v>0</v>
      </c>
      <c r="T451" t="str">
        <f t="shared" si="39"/>
        <v xml:space="preserve"> -&gt; </v>
      </c>
    </row>
    <row r="452" spans="1:20" x14ac:dyDescent="0.2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Data'!B477</f>
        <v>0</v>
      </c>
      <c r="Q452">
        <f t="shared" si="36"/>
        <v>0</v>
      </c>
      <c r="R452">
        <f t="shared" si="37"/>
        <v>477</v>
      </c>
      <c r="S452" s="28">
        <f t="shared" si="38"/>
        <v>0</v>
      </c>
      <c r="T452" t="str">
        <f t="shared" si="39"/>
        <v xml:space="preserve"> -&gt; </v>
      </c>
    </row>
    <row r="453" spans="1:20" x14ac:dyDescent="0.2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Data'!B478</f>
        <v>0</v>
      </c>
      <c r="Q453">
        <f t="shared" si="36"/>
        <v>0</v>
      </c>
      <c r="R453">
        <f t="shared" si="37"/>
        <v>477</v>
      </c>
      <c r="S453" s="28">
        <f t="shared" si="38"/>
        <v>0</v>
      </c>
      <c r="T453" t="str">
        <f t="shared" si="39"/>
        <v xml:space="preserve"> -&gt; </v>
      </c>
    </row>
    <row r="454" spans="1:20" x14ac:dyDescent="0.2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Data'!B479</f>
        <v>0</v>
      </c>
      <c r="Q454">
        <f t="shared" si="36"/>
        <v>0</v>
      </c>
      <c r="R454">
        <f t="shared" si="37"/>
        <v>477</v>
      </c>
      <c r="S454" s="28">
        <f t="shared" si="38"/>
        <v>0</v>
      </c>
      <c r="T454" t="str">
        <f t="shared" si="39"/>
        <v xml:space="preserve"> -&gt; </v>
      </c>
    </row>
    <row r="455" spans="1:20" x14ac:dyDescent="0.2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Data'!B480</f>
        <v>0</v>
      </c>
      <c r="Q455">
        <f t="shared" si="36"/>
        <v>0</v>
      </c>
      <c r="R455">
        <f t="shared" si="37"/>
        <v>477</v>
      </c>
      <c r="S455" s="28">
        <f t="shared" si="38"/>
        <v>0</v>
      </c>
      <c r="T455" t="str">
        <f t="shared" si="39"/>
        <v xml:space="preserve"> -&gt; </v>
      </c>
    </row>
    <row r="456" spans="1:20" x14ac:dyDescent="0.2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Data'!B481</f>
        <v>0</v>
      </c>
      <c r="Q456">
        <f t="shared" si="36"/>
        <v>0</v>
      </c>
      <c r="R456">
        <f t="shared" si="37"/>
        <v>477</v>
      </c>
      <c r="S456" s="28">
        <f t="shared" si="38"/>
        <v>0</v>
      </c>
      <c r="T456" t="str">
        <f t="shared" si="39"/>
        <v xml:space="preserve"> -&gt; </v>
      </c>
    </row>
    <row r="457" spans="1:20" x14ac:dyDescent="0.2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Data'!B482</f>
        <v>0</v>
      </c>
      <c r="Q457">
        <f t="shared" si="36"/>
        <v>0</v>
      </c>
      <c r="R457">
        <f t="shared" si="37"/>
        <v>477</v>
      </c>
      <c r="S457" s="28">
        <f t="shared" si="38"/>
        <v>0</v>
      </c>
      <c r="T457" t="str">
        <f t="shared" si="39"/>
        <v xml:space="preserve"> -&gt; </v>
      </c>
    </row>
    <row r="458" spans="1:20" x14ac:dyDescent="0.2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Data'!B483</f>
        <v>0</v>
      </c>
      <c r="Q458">
        <f t="shared" si="36"/>
        <v>0</v>
      </c>
      <c r="R458">
        <f t="shared" si="37"/>
        <v>477</v>
      </c>
      <c r="S458" s="28">
        <f t="shared" si="38"/>
        <v>0</v>
      </c>
      <c r="T458" t="str">
        <f t="shared" si="39"/>
        <v xml:space="preserve"> -&gt; </v>
      </c>
    </row>
    <row r="459" spans="1:20" x14ac:dyDescent="0.2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Data'!B484</f>
        <v>0</v>
      </c>
      <c r="Q459">
        <f t="shared" si="36"/>
        <v>0</v>
      </c>
      <c r="R459">
        <f t="shared" si="37"/>
        <v>477</v>
      </c>
      <c r="S459" s="28">
        <f t="shared" si="38"/>
        <v>0</v>
      </c>
      <c r="T459" t="str">
        <f t="shared" si="39"/>
        <v xml:space="preserve"> -&gt; </v>
      </c>
    </row>
    <row r="460" spans="1:20" x14ac:dyDescent="0.2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Data'!B485</f>
        <v>0</v>
      </c>
      <c r="Q460">
        <f t="shared" si="36"/>
        <v>0</v>
      </c>
      <c r="R460">
        <f t="shared" si="37"/>
        <v>477</v>
      </c>
      <c r="S460" s="28">
        <f t="shared" si="38"/>
        <v>0</v>
      </c>
      <c r="T460" t="str">
        <f t="shared" si="39"/>
        <v xml:space="preserve"> -&gt; </v>
      </c>
    </row>
    <row r="461" spans="1:20" x14ac:dyDescent="0.2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Data'!B486</f>
        <v>0</v>
      </c>
      <c r="Q461">
        <f t="shared" si="36"/>
        <v>0</v>
      </c>
      <c r="R461">
        <f t="shared" si="37"/>
        <v>477</v>
      </c>
      <c r="S461" s="28">
        <f t="shared" si="38"/>
        <v>0</v>
      </c>
      <c r="T461" t="str">
        <f t="shared" si="39"/>
        <v xml:space="preserve"> -&gt; </v>
      </c>
    </row>
    <row r="462" spans="1:20" x14ac:dyDescent="0.2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Data'!B487</f>
        <v>0</v>
      </c>
      <c r="Q462">
        <f t="shared" si="36"/>
        <v>0</v>
      </c>
      <c r="R462">
        <f t="shared" si="37"/>
        <v>477</v>
      </c>
      <c r="S462" s="28">
        <f t="shared" si="38"/>
        <v>0</v>
      </c>
      <c r="T462" t="str">
        <f t="shared" si="39"/>
        <v xml:space="preserve"> -&gt; </v>
      </c>
    </row>
    <row r="463" spans="1:20" x14ac:dyDescent="0.2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Data'!B488</f>
        <v>0</v>
      </c>
      <c r="Q463">
        <f t="shared" si="36"/>
        <v>0</v>
      </c>
      <c r="R463">
        <f t="shared" si="37"/>
        <v>477</v>
      </c>
      <c r="S463" s="28">
        <f t="shared" si="38"/>
        <v>0</v>
      </c>
      <c r="T463" t="str">
        <f t="shared" si="39"/>
        <v xml:space="preserve"> -&gt; </v>
      </c>
    </row>
    <row r="464" spans="1:20" x14ac:dyDescent="0.2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Data'!B489</f>
        <v>0</v>
      </c>
      <c r="Q464">
        <f t="shared" si="36"/>
        <v>0</v>
      </c>
      <c r="R464">
        <f t="shared" si="37"/>
        <v>477</v>
      </c>
      <c r="S464" s="28">
        <f t="shared" si="38"/>
        <v>0</v>
      </c>
      <c r="T464" t="str">
        <f t="shared" si="39"/>
        <v xml:space="preserve"> -&gt; </v>
      </c>
    </row>
    <row r="465" spans="1:20" x14ac:dyDescent="0.2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Data'!B490</f>
        <v>0</v>
      </c>
      <c r="Q465">
        <f t="shared" si="36"/>
        <v>0</v>
      </c>
      <c r="R465">
        <f t="shared" si="37"/>
        <v>477</v>
      </c>
      <c r="S465" s="28">
        <f t="shared" si="38"/>
        <v>0</v>
      </c>
      <c r="T465" t="str">
        <f t="shared" si="39"/>
        <v xml:space="preserve"> -&gt; </v>
      </c>
    </row>
    <row r="466" spans="1:20" x14ac:dyDescent="0.2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Data'!B491</f>
        <v>0</v>
      </c>
      <c r="Q466">
        <f t="shared" ref="Q466:Q500" si="41">IF($P466="","",COUNTIF($A$3:$A$500,$P466))</f>
        <v>0</v>
      </c>
      <c r="R466">
        <f t="shared" ref="R466:R500" si="42">IF($P466="","",SUMPRODUCT(($A$3:$A$500=$P466)*($G$3:$G$500&lt;&gt;"Yes")*($G$3:$G$500&lt;&gt;"Did not pass re-test")))</f>
        <v>477</v>
      </c>
      <c r="S466" s="28">
        <f t="shared" ref="S466:S500" si="43">IF($P466="","",IF(SUMPRODUCT(MAX(($A$3:$A$500=$P466)*ROW($A$3:$A$500)))=0,"",INDEX($B:$B,SUMPRODUCT(MAX(($A$3:$A$500=$P466)*ROW($A$3:$A$500))))))</f>
        <v>0</v>
      </c>
      <c r="T466" t="str">
        <f t="shared" ref="T466:T500" si="44"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x14ac:dyDescent="0.2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Data'!B492</f>
        <v>0</v>
      </c>
      <c r="Q467">
        <f t="shared" si="41"/>
        <v>0</v>
      </c>
      <c r="R467">
        <f t="shared" si="42"/>
        <v>477</v>
      </c>
      <c r="S467" s="28">
        <f t="shared" si="43"/>
        <v>0</v>
      </c>
      <c r="T467" t="str">
        <f t="shared" si="44"/>
        <v xml:space="preserve"> -&gt; </v>
      </c>
    </row>
    <row r="468" spans="1:20" x14ac:dyDescent="0.2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Data'!B493</f>
        <v>0</v>
      </c>
      <c r="Q468">
        <f t="shared" si="41"/>
        <v>0</v>
      </c>
      <c r="R468">
        <f t="shared" si="42"/>
        <v>477</v>
      </c>
      <c r="S468" s="28">
        <f t="shared" si="43"/>
        <v>0</v>
      </c>
      <c r="T468" t="str">
        <f t="shared" si="44"/>
        <v xml:space="preserve"> -&gt; </v>
      </c>
    </row>
    <row r="469" spans="1:20" x14ac:dyDescent="0.2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Data'!B494</f>
        <v>0</v>
      </c>
      <c r="Q469">
        <f t="shared" si="41"/>
        <v>0</v>
      </c>
      <c r="R469">
        <f t="shared" si="42"/>
        <v>477</v>
      </c>
      <c r="S469" s="28">
        <f t="shared" si="43"/>
        <v>0</v>
      </c>
      <c r="T469" t="str">
        <f t="shared" si="44"/>
        <v xml:space="preserve"> -&gt; </v>
      </c>
    </row>
    <row r="470" spans="1:20" x14ac:dyDescent="0.2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Data'!B495</f>
        <v>0</v>
      </c>
      <c r="Q470">
        <f t="shared" si="41"/>
        <v>0</v>
      </c>
      <c r="R470">
        <f t="shared" si="42"/>
        <v>477</v>
      </c>
      <c r="S470" s="28">
        <f t="shared" si="43"/>
        <v>0</v>
      </c>
      <c r="T470" t="str">
        <f t="shared" si="44"/>
        <v xml:space="preserve"> -&gt; </v>
      </c>
    </row>
    <row r="471" spans="1:20" x14ac:dyDescent="0.2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Data'!B496</f>
        <v>0</v>
      </c>
      <c r="Q471">
        <f t="shared" si="41"/>
        <v>0</v>
      </c>
      <c r="R471">
        <f t="shared" si="42"/>
        <v>477</v>
      </c>
      <c r="S471" s="28">
        <f t="shared" si="43"/>
        <v>0</v>
      </c>
      <c r="T471" t="str">
        <f t="shared" si="44"/>
        <v xml:space="preserve"> -&gt; </v>
      </c>
    </row>
    <row r="472" spans="1:20" x14ac:dyDescent="0.2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Data'!B497</f>
        <v>0</v>
      </c>
      <c r="Q472">
        <f t="shared" si="41"/>
        <v>0</v>
      </c>
      <c r="R472">
        <f t="shared" si="42"/>
        <v>477</v>
      </c>
      <c r="S472" s="28">
        <f t="shared" si="43"/>
        <v>0</v>
      </c>
      <c r="T472" t="str">
        <f t="shared" si="44"/>
        <v xml:space="preserve"> -&gt; </v>
      </c>
    </row>
    <row r="473" spans="1:20" x14ac:dyDescent="0.2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Data'!B498</f>
        <v>0</v>
      </c>
      <c r="Q473">
        <f t="shared" si="41"/>
        <v>0</v>
      </c>
      <c r="R473">
        <f t="shared" si="42"/>
        <v>477</v>
      </c>
      <c r="S473" s="28">
        <f t="shared" si="43"/>
        <v>0</v>
      </c>
      <c r="T473" t="str">
        <f t="shared" si="44"/>
        <v xml:space="preserve"> -&gt; </v>
      </c>
    </row>
    <row r="474" spans="1:20" x14ac:dyDescent="0.2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Data'!B499</f>
        <v>0</v>
      </c>
      <c r="Q474">
        <f t="shared" si="41"/>
        <v>0</v>
      </c>
      <c r="R474">
        <f t="shared" si="42"/>
        <v>477</v>
      </c>
      <c r="S474" s="28">
        <f t="shared" si="43"/>
        <v>0</v>
      </c>
      <c r="T474" t="str">
        <f t="shared" si="44"/>
        <v xml:space="preserve"> -&gt; </v>
      </c>
    </row>
    <row r="475" spans="1:20" x14ac:dyDescent="0.2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Data'!B500</f>
        <v>0</v>
      </c>
      <c r="Q475">
        <f t="shared" si="41"/>
        <v>0</v>
      </c>
      <c r="R475">
        <f t="shared" si="42"/>
        <v>477</v>
      </c>
      <c r="S475" s="28">
        <f t="shared" si="43"/>
        <v>0</v>
      </c>
      <c r="T475" t="str">
        <f t="shared" si="44"/>
        <v xml:space="preserve"> -&gt; </v>
      </c>
    </row>
    <row r="476" spans="1:20" x14ac:dyDescent="0.2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Data'!B501</f>
        <v>0</v>
      </c>
      <c r="Q476">
        <f t="shared" si="41"/>
        <v>0</v>
      </c>
      <c r="R476">
        <f t="shared" si="42"/>
        <v>477</v>
      </c>
      <c r="S476" s="28">
        <f t="shared" si="43"/>
        <v>0</v>
      </c>
      <c r="T476" t="str">
        <f t="shared" si="44"/>
        <v xml:space="preserve"> -&gt; </v>
      </c>
    </row>
    <row r="477" spans="1:20" x14ac:dyDescent="0.2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Data'!B502</f>
        <v>0</v>
      </c>
      <c r="Q477">
        <f t="shared" si="41"/>
        <v>0</v>
      </c>
      <c r="R477">
        <f t="shared" si="42"/>
        <v>477</v>
      </c>
      <c r="S477" s="28">
        <f t="shared" si="43"/>
        <v>0</v>
      </c>
      <c r="T477" t="str">
        <f t="shared" si="44"/>
        <v xml:space="preserve"> -&gt; </v>
      </c>
    </row>
    <row r="478" spans="1:20" x14ac:dyDescent="0.2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Data'!B503</f>
        <v>0</v>
      </c>
      <c r="Q478">
        <f t="shared" si="41"/>
        <v>0</v>
      </c>
      <c r="R478">
        <f t="shared" si="42"/>
        <v>477</v>
      </c>
      <c r="S478" s="28">
        <f t="shared" si="43"/>
        <v>0</v>
      </c>
      <c r="T478" t="str">
        <f t="shared" si="44"/>
        <v xml:space="preserve"> -&gt; </v>
      </c>
    </row>
    <row r="479" spans="1:20" x14ac:dyDescent="0.2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Data'!B504</f>
        <v>0</v>
      </c>
      <c r="Q479">
        <f t="shared" si="41"/>
        <v>0</v>
      </c>
      <c r="R479">
        <f t="shared" si="42"/>
        <v>477</v>
      </c>
      <c r="S479" s="28">
        <f t="shared" si="43"/>
        <v>0</v>
      </c>
      <c r="T479" t="str">
        <f t="shared" si="44"/>
        <v xml:space="preserve"> -&gt; </v>
      </c>
    </row>
    <row r="480" spans="1:20" x14ac:dyDescent="0.2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Data'!B505</f>
        <v>0</v>
      </c>
      <c r="Q480">
        <f t="shared" si="41"/>
        <v>0</v>
      </c>
      <c r="R480">
        <f t="shared" si="42"/>
        <v>477</v>
      </c>
      <c r="S480" s="28">
        <f t="shared" si="43"/>
        <v>0</v>
      </c>
      <c r="T480" t="str">
        <f t="shared" si="44"/>
        <v xml:space="preserve"> -&gt; </v>
      </c>
    </row>
    <row r="481" spans="1:20" x14ac:dyDescent="0.2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Data'!B506</f>
        <v>0</v>
      </c>
      <c r="Q481">
        <f t="shared" si="41"/>
        <v>0</v>
      </c>
      <c r="R481">
        <f t="shared" si="42"/>
        <v>477</v>
      </c>
      <c r="S481" s="28">
        <f t="shared" si="43"/>
        <v>0</v>
      </c>
      <c r="T481" t="str">
        <f t="shared" si="44"/>
        <v xml:space="preserve"> -&gt; </v>
      </c>
    </row>
    <row r="482" spans="1:20" x14ac:dyDescent="0.2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Data'!B507</f>
        <v>0</v>
      </c>
      <c r="Q482">
        <f t="shared" si="41"/>
        <v>0</v>
      </c>
      <c r="R482">
        <f t="shared" si="42"/>
        <v>477</v>
      </c>
      <c r="S482" s="28">
        <f t="shared" si="43"/>
        <v>0</v>
      </c>
      <c r="T482" t="str">
        <f t="shared" si="44"/>
        <v xml:space="preserve"> -&gt; </v>
      </c>
    </row>
    <row r="483" spans="1:20" x14ac:dyDescent="0.2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Data'!B508</f>
        <v>0</v>
      </c>
      <c r="Q483">
        <f t="shared" si="41"/>
        <v>0</v>
      </c>
      <c r="R483">
        <f t="shared" si="42"/>
        <v>477</v>
      </c>
      <c r="S483" s="28">
        <f t="shared" si="43"/>
        <v>0</v>
      </c>
      <c r="T483" t="str">
        <f t="shared" si="44"/>
        <v xml:space="preserve"> -&gt; </v>
      </c>
    </row>
    <row r="484" spans="1:20" x14ac:dyDescent="0.2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Data'!B509</f>
        <v>0</v>
      </c>
      <c r="Q484">
        <f t="shared" si="41"/>
        <v>0</v>
      </c>
      <c r="R484">
        <f t="shared" si="42"/>
        <v>477</v>
      </c>
      <c r="S484" s="28">
        <f t="shared" si="43"/>
        <v>0</v>
      </c>
      <c r="T484" t="str">
        <f t="shared" si="44"/>
        <v xml:space="preserve"> -&gt; </v>
      </c>
    </row>
    <row r="485" spans="1:20" x14ac:dyDescent="0.2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Data'!B510</f>
        <v>0</v>
      </c>
      <c r="Q485">
        <f t="shared" si="41"/>
        <v>0</v>
      </c>
      <c r="R485">
        <f t="shared" si="42"/>
        <v>477</v>
      </c>
      <c r="S485" s="28">
        <f t="shared" si="43"/>
        <v>0</v>
      </c>
      <c r="T485" t="str">
        <f t="shared" si="44"/>
        <v xml:space="preserve"> -&gt; </v>
      </c>
    </row>
    <row r="486" spans="1:20" x14ac:dyDescent="0.2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Data'!B511</f>
        <v>0</v>
      </c>
      <c r="Q486">
        <f t="shared" si="41"/>
        <v>0</v>
      </c>
      <c r="R486">
        <f t="shared" si="42"/>
        <v>477</v>
      </c>
      <c r="S486" s="28">
        <f t="shared" si="43"/>
        <v>0</v>
      </c>
      <c r="T486" t="str">
        <f t="shared" si="44"/>
        <v xml:space="preserve"> -&gt; </v>
      </c>
    </row>
    <row r="487" spans="1:20" x14ac:dyDescent="0.2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Data'!B512</f>
        <v>0</v>
      </c>
      <c r="Q487">
        <f t="shared" si="41"/>
        <v>0</v>
      </c>
      <c r="R487">
        <f t="shared" si="42"/>
        <v>477</v>
      </c>
      <c r="S487" s="28">
        <f t="shared" si="43"/>
        <v>0</v>
      </c>
      <c r="T487" t="str">
        <f t="shared" si="44"/>
        <v xml:space="preserve"> -&gt; </v>
      </c>
    </row>
    <row r="488" spans="1:20" x14ac:dyDescent="0.2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Data'!B513</f>
        <v>0</v>
      </c>
      <c r="Q488">
        <f t="shared" si="41"/>
        <v>0</v>
      </c>
      <c r="R488">
        <f t="shared" si="42"/>
        <v>477</v>
      </c>
      <c r="S488" s="28">
        <f t="shared" si="43"/>
        <v>0</v>
      </c>
      <c r="T488" t="str">
        <f t="shared" si="44"/>
        <v xml:space="preserve"> -&gt; </v>
      </c>
    </row>
    <row r="489" spans="1:20" x14ac:dyDescent="0.2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Data'!B514</f>
        <v>0</v>
      </c>
      <c r="Q489">
        <f t="shared" si="41"/>
        <v>0</v>
      </c>
      <c r="R489">
        <f t="shared" si="42"/>
        <v>477</v>
      </c>
      <c r="S489" s="28">
        <f t="shared" si="43"/>
        <v>0</v>
      </c>
      <c r="T489" t="str">
        <f t="shared" si="44"/>
        <v xml:space="preserve"> -&gt; </v>
      </c>
    </row>
    <row r="490" spans="1:20" x14ac:dyDescent="0.2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Data'!B515</f>
        <v>0</v>
      </c>
      <c r="Q490">
        <f t="shared" si="41"/>
        <v>0</v>
      </c>
      <c r="R490">
        <f t="shared" si="42"/>
        <v>477</v>
      </c>
      <c r="S490" s="28">
        <f t="shared" si="43"/>
        <v>0</v>
      </c>
      <c r="T490" t="str">
        <f t="shared" si="44"/>
        <v xml:space="preserve"> -&gt; </v>
      </c>
    </row>
    <row r="491" spans="1:20" x14ac:dyDescent="0.2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Data'!B516</f>
        <v>0</v>
      </c>
      <c r="Q491">
        <f t="shared" si="41"/>
        <v>0</v>
      </c>
      <c r="R491">
        <f t="shared" si="42"/>
        <v>477</v>
      </c>
      <c r="S491" s="28">
        <f t="shared" si="43"/>
        <v>0</v>
      </c>
      <c r="T491" t="str">
        <f t="shared" si="44"/>
        <v xml:space="preserve"> -&gt; </v>
      </c>
    </row>
    <row r="492" spans="1:20" x14ac:dyDescent="0.2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Data'!B517</f>
        <v>0</v>
      </c>
      <c r="Q492">
        <f t="shared" si="41"/>
        <v>0</v>
      </c>
      <c r="R492">
        <f t="shared" si="42"/>
        <v>477</v>
      </c>
      <c r="S492" s="28">
        <f t="shared" si="43"/>
        <v>0</v>
      </c>
      <c r="T492" t="str">
        <f t="shared" si="44"/>
        <v xml:space="preserve"> -&gt; </v>
      </c>
    </row>
    <row r="493" spans="1:20" x14ac:dyDescent="0.2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Data'!B518</f>
        <v>0</v>
      </c>
      <c r="Q493">
        <f t="shared" si="41"/>
        <v>0</v>
      </c>
      <c r="R493">
        <f t="shared" si="42"/>
        <v>477</v>
      </c>
      <c r="S493" s="28">
        <f t="shared" si="43"/>
        <v>0</v>
      </c>
      <c r="T493" t="str">
        <f t="shared" si="44"/>
        <v xml:space="preserve"> -&gt; </v>
      </c>
    </row>
    <row r="494" spans="1:20" x14ac:dyDescent="0.2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Data'!B519</f>
        <v>0</v>
      </c>
      <c r="Q494">
        <f t="shared" si="41"/>
        <v>0</v>
      </c>
      <c r="R494">
        <f t="shared" si="42"/>
        <v>477</v>
      </c>
      <c r="S494" s="28">
        <f t="shared" si="43"/>
        <v>0</v>
      </c>
      <c r="T494" t="str">
        <f t="shared" si="44"/>
        <v xml:space="preserve"> -&gt; </v>
      </c>
    </row>
    <row r="495" spans="1:20" x14ac:dyDescent="0.2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Data'!B520</f>
        <v>0</v>
      </c>
      <c r="Q495">
        <f t="shared" si="41"/>
        <v>0</v>
      </c>
      <c r="R495">
        <f t="shared" si="42"/>
        <v>477</v>
      </c>
      <c r="S495" s="28">
        <f t="shared" si="43"/>
        <v>0</v>
      </c>
      <c r="T495" t="str">
        <f t="shared" si="44"/>
        <v xml:space="preserve"> -&gt; </v>
      </c>
    </row>
    <row r="496" spans="1:20" x14ac:dyDescent="0.2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Data'!B521</f>
        <v>0</v>
      </c>
      <c r="Q496">
        <f t="shared" si="41"/>
        <v>0</v>
      </c>
      <c r="R496">
        <f t="shared" si="42"/>
        <v>477</v>
      </c>
      <c r="S496" s="28">
        <f t="shared" si="43"/>
        <v>0</v>
      </c>
      <c r="T496" t="str">
        <f t="shared" si="44"/>
        <v xml:space="preserve"> -&gt; </v>
      </c>
    </row>
    <row r="497" spans="1:20" x14ac:dyDescent="0.2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Data'!B522</f>
        <v>0</v>
      </c>
      <c r="Q497">
        <f t="shared" si="41"/>
        <v>0</v>
      </c>
      <c r="R497">
        <f t="shared" si="42"/>
        <v>477</v>
      </c>
      <c r="S497" s="28">
        <f t="shared" si="43"/>
        <v>0</v>
      </c>
      <c r="T497" t="str">
        <f t="shared" si="44"/>
        <v xml:space="preserve"> -&gt; </v>
      </c>
    </row>
    <row r="498" spans="1:20" x14ac:dyDescent="0.2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Data'!B523</f>
        <v>0</v>
      </c>
      <c r="Q498">
        <f t="shared" si="41"/>
        <v>0</v>
      </c>
      <c r="R498">
        <f t="shared" si="42"/>
        <v>477</v>
      </c>
      <c r="S498" s="28">
        <f t="shared" si="43"/>
        <v>0</v>
      </c>
      <c r="T498" t="str">
        <f t="shared" si="44"/>
        <v xml:space="preserve"> -&gt; </v>
      </c>
    </row>
    <row r="499" spans="1:20" x14ac:dyDescent="0.2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Data'!B524</f>
        <v>0</v>
      </c>
      <c r="Q499">
        <f t="shared" si="41"/>
        <v>0</v>
      </c>
      <c r="R499">
        <f t="shared" si="42"/>
        <v>477</v>
      </c>
      <c r="S499" s="28">
        <f t="shared" si="43"/>
        <v>0</v>
      </c>
      <c r="T499" t="str">
        <f t="shared" si="44"/>
        <v xml:space="preserve"> -&gt; </v>
      </c>
    </row>
    <row r="500" spans="1:20" x14ac:dyDescent="0.2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40"/>
        <v/>
      </c>
      <c r="P500">
        <f>'Combined Delivery Data'!B525</f>
        <v>0</v>
      </c>
      <c r="Q500">
        <f t="shared" si="41"/>
        <v>0</v>
      </c>
      <c r="R500">
        <f t="shared" si="42"/>
        <v>477</v>
      </c>
      <c r="S500" s="28">
        <f t="shared" si="43"/>
        <v>0</v>
      </c>
      <c r="T500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7">
      <formula>AND($B5&lt;&gt;"",MOD(ROW(),2)=0)</formula>
    </cfRule>
  </conditionalFormatting>
  <conditionalFormatting sqref="A11:A13">
    <cfRule type="expression" dxfId="15" priority="4">
      <formula>AND($B11&lt;&gt;"",MOD(ROW(),2)=0)</formula>
    </cfRule>
  </conditionalFormatting>
  <conditionalFormatting sqref="A3:H3 K3:M3 A4:M4 M4:M11 B5:M8 A9:M10 B11:M13 A14:M17 A19:M21 B18:M18 A24:M500 B22:M23">
    <cfRule type="expression" dxfId="14" priority="17">
      <formula>AND($A3&lt;&gt;"",$G3="Yes")</formula>
    </cfRule>
    <cfRule type="expression" dxfId="13" priority="18">
      <formula>AND($A3&lt;&gt;"",$J3&lt;&gt;"")</formula>
    </cfRule>
    <cfRule type="expression" dxfId="12" priority="19">
      <formula>$A3&lt;&gt;""</formula>
    </cfRule>
  </conditionalFormatting>
  <conditionalFormatting sqref="C3:C200">
    <cfRule type="expression" dxfId="11" priority="20">
      <formula>$A3=""</formula>
    </cfRule>
  </conditionalFormatting>
  <conditionalFormatting sqref="G3:G200">
    <cfRule type="expression" dxfId="10" priority="21">
      <formula>$A3=""</formula>
    </cfRule>
  </conditionalFormatting>
  <conditionalFormatting sqref="K3:M3 A4:M4 M4:M11 B5:M8 A9:M10 B11:M13 A14:M17 A3:H3 A19:M21 B18:M18 A24:M500 B22:M23">
    <cfRule type="expression" dxfId="9" priority="16">
      <formula>AND($A3&lt;&gt;"",$G3="Did not pass re-test")</formula>
    </cfRule>
  </conditionalFormatting>
  <conditionalFormatting sqref="M3:M500">
    <cfRule type="expression" dxfId="8" priority="10">
      <formula>ISNUMBER(SEARCH("Sent back again",$M3))</formula>
    </cfRule>
    <cfRule type="expression" dxfId="7" priority="11">
      <formula>ISNUMBER(SEARCH("LATE",$M3))</formula>
    </cfRule>
    <cfRule type="expression" dxfId="6" priority="12">
      <formula>ISNUMBER(SEARCH("UNCLAIMED",$M3))</formula>
    </cfRule>
    <cfRule type="expression" dxfId="5" priority="13">
      <formula>ISNUMBER(SEARCH("Missing",$M3))</formula>
    </cfRule>
    <cfRule type="expression" dxfId="4" priority="14">
      <formula>ISNUMBER(SEARCH("Fixed in",$M3))</formula>
    </cfRule>
    <cfRule type="expression" dxfId="3" priority="15">
      <formula>ISNUMBER(SEARCH("Open",$M3))</formula>
    </cfRule>
  </conditionalFormatting>
  <conditionalFormatting sqref="A18">
    <cfRule type="expression" dxfId="2" priority="3">
      <formula>AND($B18&lt;&gt;"",MOD(ROW(),2)=0)</formula>
    </cfRule>
  </conditionalFormatting>
  <conditionalFormatting sqref="A22">
    <cfRule type="expression" dxfId="1" priority="2">
      <formula>AND($B22&lt;&gt;"",MOD(ROW(),2)=0)</formula>
    </cfRule>
  </conditionalFormatting>
  <conditionalFormatting sqref="A23">
    <cfRule type="expression" dxfId="0" priority="1">
      <formula>AND($B23&lt;&gt;"",MOD(ROW(),2)=0)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7109375" defaultRowHeight="15" x14ac:dyDescent="0.2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25">
      <c r="A1" s="108" t="s">
        <v>374</v>
      </c>
      <c r="B1" s="100"/>
      <c r="C1" s="100"/>
      <c r="D1" s="100"/>
      <c r="E1" s="100"/>
      <c r="F1" s="100"/>
      <c r="G1" s="100"/>
      <c r="H1" s="100"/>
      <c r="I1" s="100"/>
      <c r="J1" s="100"/>
    </row>
    <row r="2" spans="1:10" ht="27" customHeight="1" x14ac:dyDescent="0.25">
      <c r="A2" s="8" t="s">
        <v>0</v>
      </c>
      <c r="B2" s="8" t="s">
        <v>375</v>
      </c>
      <c r="C2" s="8" t="s">
        <v>1</v>
      </c>
      <c r="D2" s="8" t="s">
        <v>376</v>
      </c>
      <c r="E2" s="8" t="s">
        <v>377</v>
      </c>
      <c r="F2" s="8" t="s">
        <v>6</v>
      </c>
      <c r="G2" s="8" t="s">
        <v>5</v>
      </c>
      <c r="H2" s="8" t="s">
        <v>378</v>
      </c>
      <c r="I2" s="8" t="s">
        <v>379</v>
      </c>
      <c r="J2" s="8" t="s">
        <v>380</v>
      </c>
    </row>
    <row r="3" spans="1:10" ht="14.25" customHeight="1" x14ac:dyDescent="0.25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25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25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25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 x14ac:dyDescent="0.25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 x14ac:dyDescent="0.25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25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25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25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 x14ac:dyDescent="0.25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 x14ac:dyDescent="0.25">
      <c r="A13" s="9" t="s">
        <v>39</v>
      </c>
      <c r="B13" s="9" t="s">
        <v>185</v>
      </c>
      <c r="C13" s="9" t="s">
        <v>381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25">
      <c r="A14" s="9" t="s">
        <v>39</v>
      </c>
      <c r="B14" s="9" t="s">
        <v>178</v>
      </c>
      <c r="C14" s="9" t="s">
        <v>381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25">
      <c r="A15" s="9" t="s">
        <v>39</v>
      </c>
      <c r="B15" s="9" t="s">
        <v>140</v>
      </c>
      <c r="C15" s="9" t="s">
        <v>381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25">
      <c r="A16" s="9" t="s">
        <v>39</v>
      </c>
      <c r="B16" s="9" t="s">
        <v>128</v>
      </c>
      <c r="C16" s="9" t="s">
        <v>381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 x14ac:dyDescent="0.25">
      <c r="A17" s="9" t="s">
        <v>39</v>
      </c>
      <c r="B17" s="9" t="s">
        <v>41</v>
      </c>
      <c r="C17" s="9" t="s">
        <v>381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 x14ac:dyDescent="0.25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25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25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25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 x14ac:dyDescent="0.25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 x14ac:dyDescent="0.25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25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25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25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 x14ac:dyDescent="0.25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 x14ac:dyDescent="0.25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25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25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25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 x14ac:dyDescent="0.25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 x14ac:dyDescent="0.25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25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25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25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 x14ac:dyDescent="0.25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 x14ac:dyDescent="0.25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25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25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25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 x14ac:dyDescent="0.25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 x14ac:dyDescent="0.25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25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25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25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 x14ac:dyDescent="0.25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 x14ac:dyDescent="0.25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 x14ac:dyDescent="0.25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25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25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 x14ac:dyDescent="0.25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 x14ac:dyDescent="0.25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 x14ac:dyDescent="0.25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25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25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 x14ac:dyDescent="0.25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 x14ac:dyDescent="0.25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 x14ac:dyDescent="0.25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25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25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 x14ac:dyDescent="0.25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 x14ac:dyDescent="0.25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 x14ac:dyDescent="0.25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25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25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 x14ac:dyDescent="0.25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25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 x14ac:dyDescent="0.25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25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25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 x14ac:dyDescent="0.25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 x14ac:dyDescent="0.25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 x14ac:dyDescent="0.25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25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25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 x14ac:dyDescent="0.25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 x14ac:dyDescent="0.25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 x14ac:dyDescent="0.25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25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25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 x14ac:dyDescent="0.25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 x14ac:dyDescent="0.25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 x14ac:dyDescent="0.25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25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25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 x14ac:dyDescent="0.25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 x14ac:dyDescent="0.25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 x14ac:dyDescent="0.25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25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25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 x14ac:dyDescent="0.25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25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25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25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25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 x14ac:dyDescent="0.25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25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25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25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25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 x14ac:dyDescent="0.25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 x14ac:dyDescent="0.25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25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25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25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 x14ac:dyDescent="0.25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 x14ac:dyDescent="0.25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25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25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25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 x14ac:dyDescent="0.25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 x14ac:dyDescent="0.25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25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25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25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 x14ac:dyDescent="0.25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25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25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25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25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25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25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25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 x14ac:dyDescent="0.25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 x14ac:dyDescent="0.25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25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25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25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 x14ac:dyDescent="0.25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 x14ac:dyDescent="0.25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25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25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25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 x14ac:dyDescent="0.25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25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25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25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25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 x14ac:dyDescent="0.25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 x14ac:dyDescent="0.25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 x14ac:dyDescent="0.25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 x14ac:dyDescent="0.25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 x14ac:dyDescent="0.25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 x14ac:dyDescent="0.25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 x14ac:dyDescent="0.25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 x14ac:dyDescent="0.25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 x14ac:dyDescent="0.25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 x14ac:dyDescent="0.25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 x14ac:dyDescent="0.25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 x14ac:dyDescent="0.25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 x14ac:dyDescent="0.25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 x14ac:dyDescent="0.25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 x14ac:dyDescent="0.25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 x14ac:dyDescent="0.25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 x14ac:dyDescent="0.25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 x14ac:dyDescent="0.25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 x14ac:dyDescent="0.25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 x14ac:dyDescent="0.25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 x14ac:dyDescent="0.25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 x14ac:dyDescent="0.25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 x14ac:dyDescent="0.25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 x14ac:dyDescent="0.25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 x14ac:dyDescent="0.25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 x14ac:dyDescent="0.25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 x14ac:dyDescent="0.25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 x14ac:dyDescent="0.25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 x14ac:dyDescent="0.25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 x14ac:dyDescent="0.25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 x14ac:dyDescent="0.25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 x14ac:dyDescent="0.25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 x14ac:dyDescent="0.25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 x14ac:dyDescent="0.25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 x14ac:dyDescent="0.25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 x14ac:dyDescent="0.25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 x14ac:dyDescent="0.25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 x14ac:dyDescent="0.25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 x14ac:dyDescent="0.25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 x14ac:dyDescent="0.25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 x14ac:dyDescent="0.25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 x14ac:dyDescent="0.25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 x14ac:dyDescent="0.25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 x14ac:dyDescent="0.25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 x14ac:dyDescent="0.25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 x14ac:dyDescent="0.25"/>
  <cols>
    <col min="1" max="3" width="22" customWidth="1"/>
  </cols>
  <sheetData>
    <row r="1" spans="1:3" ht="14.25" hidden="1" customHeight="1" x14ac:dyDescent="0.25">
      <c r="A1" s="109" t="s">
        <v>382</v>
      </c>
      <c r="B1" s="100"/>
      <c r="C1" s="100"/>
    </row>
    <row r="2" spans="1:3" ht="14.25" customHeight="1" x14ac:dyDescent="0.25">
      <c r="A2" s="8" t="s">
        <v>0</v>
      </c>
      <c r="B2" s="8" t="s">
        <v>383</v>
      </c>
      <c r="C2" s="8" t="s">
        <v>379</v>
      </c>
    </row>
    <row r="3" spans="1:3" ht="14.25" customHeight="1" x14ac:dyDescent="0.25">
      <c r="A3" s="11" t="s">
        <v>39</v>
      </c>
      <c r="B3" s="11">
        <v>8</v>
      </c>
      <c r="C3" s="12">
        <v>46142</v>
      </c>
    </row>
    <row r="4" spans="1:3" ht="14.25" customHeight="1" x14ac:dyDescent="0.25">
      <c r="A4" s="11" t="s">
        <v>39</v>
      </c>
      <c r="B4" s="11">
        <v>10</v>
      </c>
      <c r="C4" s="12">
        <v>46172</v>
      </c>
    </row>
    <row r="5" spans="1:3" ht="14.25" customHeight="1" x14ac:dyDescent="0.25">
      <c r="A5" s="11" t="s">
        <v>39</v>
      </c>
      <c r="B5" s="11">
        <v>9</v>
      </c>
      <c r="C5" s="12">
        <v>46203</v>
      </c>
    </row>
    <row r="6" spans="1:3" ht="14.25" customHeight="1" x14ac:dyDescent="0.25">
      <c r="A6" s="11" t="s">
        <v>126</v>
      </c>
      <c r="B6" s="11">
        <v>15</v>
      </c>
      <c r="C6" s="12">
        <v>46233</v>
      </c>
    </row>
    <row r="7" spans="1:3" ht="14.25" customHeight="1" x14ac:dyDescent="0.25">
      <c r="A7" s="11" t="s">
        <v>126</v>
      </c>
      <c r="B7" s="11">
        <v>15</v>
      </c>
      <c r="C7" s="12">
        <v>46264</v>
      </c>
    </row>
    <row r="8" spans="1:3" ht="14.25" customHeight="1" x14ac:dyDescent="0.25">
      <c r="A8" s="11" t="s">
        <v>126</v>
      </c>
      <c r="B8" s="11">
        <v>17</v>
      </c>
      <c r="C8" s="12">
        <v>46295</v>
      </c>
    </row>
    <row r="9" spans="1:3" ht="14.25" customHeight="1" x14ac:dyDescent="0.25">
      <c r="A9" s="11" t="s">
        <v>126</v>
      </c>
      <c r="B9" s="11">
        <v>20</v>
      </c>
      <c r="C9" s="12">
        <v>46325</v>
      </c>
    </row>
    <row r="10" spans="1:3" ht="14.25" customHeight="1" x14ac:dyDescent="0.25">
      <c r="A10" s="11" t="s">
        <v>126</v>
      </c>
      <c r="B10" s="11">
        <v>20</v>
      </c>
      <c r="C10" s="12">
        <v>46356</v>
      </c>
    </row>
    <row r="11" spans="1:3" ht="14.25" customHeight="1" x14ac:dyDescent="0.25">
      <c r="A11" s="11" t="s">
        <v>384</v>
      </c>
      <c r="B11" s="11">
        <v>18</v>
      </c>
      <c r="C11" s="12">
        <v>46386</v>
      </c>
    </row>
    <row r="12" spans="1:3" ht="14.25" customHeight="1" x14ac:dyDescent="0.25">
      <c r="A12" s="11" t="s">
        <v>384</v>
      </c>
      <c r="B12" s="11">
        <v>18</v>
      </c>
      <c r="C12" s="12">
        <v>46417</v>
      </c>
    </row>
    <row r="13" spans="1:3" ht="14.25" customHeight="1" x14ac:dyDescent="0.25">
      <c r="A13" s="11" t="s">
        <v>384</v>
      </c>
      <c r="B13" s="11">
        <v>19</v>
      </c>
      <c r="C13" s="12">
        <v>46446</v>
      </c>
    </row>
    <row r="14" spans="1:3" ht="14.25" customHeight="1" x14ac:dyDescent="0.25">
      <c r="A14" s="11" t="s">
        <v>297</v>
      </c>
      <c r="B14" s="11">
        <v>9</v>
      </c>
      <c r="C14" s="12">
        <v>46476</v>
      </c>
    </row>
    <row r="15" spans="1:3" ht="14.25" customHeight="1" x14ac:dyDescent="0.25">
      <c r="A15" s="11" t="s">
        <v>287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 x14ac:dyDescent="0.2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 x14ac:dyDescent="0.25">
      <c r="A1" s="1" t="s">
        <v>0</v>
      </c>
      <c r="B1" s="1" t="s">
        <v>9</v>
      </c>
      <c r="C1" s="1" t="s">
        <v>15</v>
      </c>
      <c r="D1" s="1" t="s">
        <v>5</v>
      </c>
      <c r="E1" s="1" t="s">
        <v>385</v>
      </c>
      <c r="F1" s="1" t="s">
        <v>324</v>
      </c>
      <c r="G1" s="5" t="s">
        <v>386</v>
      </c>
      <c r="H1" s="5" t="s">
        <v>20</v>
      </c>
      <c r="I1" t="s">
        <v>34</v>
      </c>
      <c r="J1" s="5" t="s">
        <v>387</v>
      </c>
      <c r="K1" s="5" t="s">
        <v>128</v>
      </c>
      <c r="L1" s="5" t="s">
        <v>343</v>
      </c>
      <c r="M1" s="1" t="s">
        <v>388</v>
      </c>
      <c r="N1" s="1" t="s">
        <v>389</v>
      </c>
      <c r="R1" t="s">
        <v>13</v>
      </c>
      <c r="T1" t="s">
        <v>390</v>
      </c>
    </row>
    <row r="2" spans="1:20" ht="13.5" customHeight="1" x14ac:dyDescent="0.25">
      <c r="A2" s="2" t="s">
        <v>391</v>
      </c>
      <c r="B2" s="2" t="s">
        <v>392</v>
      </c>
      <c r="C2" s="2" t="s">
        <v>393</v>
      </c>
      <c r="D2" s="2" t="s">
        <v>394</v>
      </c>
      <c r="E2" s="2" t="s">
        <v>395</v>
      </c>
      <c r="F2" s="2" t="s">
        <v>396</v>
      </c>
      <c r="G2" t="s">
        <v>397</v>
      </c>
      <c r="H2" t="s">
        <v>398</v>
      </c>
      <c r="I2" t="s">
        <v>399</v>
      </c>
      <c r="J2" s="29" t="s">
        <v>400</v>
      </c>
      <c r="K2" s="29" t="s">
        <v>401</v>
      </c>
      <c r="L2" s="29" t="s">
        <v>402</v>
      </c>
      <c r="M2" t="s">
        <v>146</v>
      </c>
      <c r="N2" s="45" t="s">
        <v>403</v>
      </c>
      <c r="R2" t="s">
        <v>404</v>
      </c>
      <c r="T2" t="s">
        <v>48</v>
      </c>
    </row>
    <row r="3" spans="1:20" ht="15" customHeight="1" x14ac:dyDescent="0.25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405</v>
      </c>
      <c r="R3" t="s">
        <v>44</v>
      </c>
      <c r="T3" t="s">
        <v>93</v>
      </c>
    </row>
    <row r="4" spans="1:20" ht="15" customHeight="1" x14ac:dyDescent="0.25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406</v>
      </c>
      <c r="J4" t="s">
        <v>178</v>
      </c>
      <c r="L4" t="s">
        <v>49</v>
      </c>
      <c r="M4" t="s">
        <v>102</v>
      </c>
      <c r="N4" s="45" t="s">
        <v>405</v>
      </c>
      <c r="R4" t="s">
        <v>193</v>
      </c>
      <c r="T4" t="s">
        <v>71</v>
      </c>
    </row>
    <row r="5" spans="1:20" ht="15" customHeight="1" x14ac:dyDescent="0.25">
      <c r="A5" t="s">
        <v>384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407</v>
      </c>
      <c r="J5" t="s">
        <v>140</v>
      </c>
      <c r="L5" t="s">
        <v>408</v>
      </c>
      <c r="M5" t="s">
        <v>87</v>
      </c>
      <c r="N5" s="45" t="s">
        <v>405</v>
      </c>
    </row>
    <row r="6" spans="1:20" ht="15" customHeight="1" x14ac:dyDescent="0.25">
      <c r="A6" t="s">
        <v>297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405</v>
      </c>
    </row>
    <row r="7" spans="1:20" ht="15" customHeight="1" x14ac:dyDescent="0.25">
      <c r="A7" t="s">
        <v>287</v>
      </c>
      <c r="B7" t="s">
        <v>117</v>
      </c>
      <c r="F7" t="s">
        <v>128</v>
      </c>
      <c r="G7" t="s">
        <v>117</v>
      </c>
      <c r="I7" t="s">
        <v>409</v>
      </c>
      <c r="M7" t="s">
        <v>129</v>
      </c>
      <c r="N7" s="45" t="s">
        <v>405</v>
      </c>
    </row>
    <row r="8" spans="1:20" ht="15" customHeight="1" x14ac:dyDescent="0.25">
      <c r="B8" t="s">
        <v>75</v>
      </c>
      <c r="F8" t="s">
        <v>41</v>
      </c>
      <c r="G8" t="s">
        <v>75</v>
      </c>
      <c r="I8" t="s">
        <v>410</v>
      </c>
      <c r="M8" t="s">
        <v>59</v>
      </c>
      <c r="N8" s="45" t="s">
        <v>405</v>
      </c>
    </row>
    <row r="9" spans="1:20" ht="15" customHeight="1" x14ac:dyDescent="0.25">
      <c r="B9" t="s">
        <v>102</v>
      </c>
      <c r="G9" t="s">
        <v>102</v>
      </c>
      <c r="I9" t="s">
        <v>411</v>
      </c>
      <c r="M9" t="s">
        <v>158</v>
      </c>
      <c r="N9" s="45" t="s">
        <v>405</v>
      </c>
    </row>
    <row r="10" spans="1:20" ht="15" customHeight="1" x14ac:dyDescent="0.25">
      <c r="B10" t="s">
        <v>158</v>
      </c>
      <c r="G10" t="s">
        <v>158</v>
      </c>
      <c r="M10" t="s">
        <v>46</v>
      </c>
      <c r="N10" s="45" t="s">
        <v>405</v>
      </c>
    </row>
    <row r="11" spans="1:20" x14ac:dyDescent="0.25">
      <c r="B11" t="s">
        <v>412</v>
      </c>
      <c r="G11" t="s">
        <v>59</v>
      </c>
      <c r="M11" t="s">
        <v>75</v>
      </c>
      <c r="N11" s="45" t="s">
        <v>405</v>
      </c>
    </row>
    <row r="12" spans="1:20" x14ac:dyDescent="0.25">
      <c r="B12" t="s">
        <v>413</v>
      </c>
      <c r="G12" t="s">
        <v>45</v>
      </c>
      <c r="M12" t="s">
        <v>45</v>
      </c>
      <c r="N12" s="45" t="s">
        <v>405</v>
      </c>
    </row>
    <row r="13" spans="1:20" x14ac:dyDescent="0.25">
      <c r="G13" t="s">
        <v>76</v>
      </c>
      <c r="M13" t="s">
        <v>76</v>
      </c>
      <c r="N13" s="45" t="s">
        <v>405</v>
      </c>
    </row>
    <row r="14" spans="1:20" x14ac:dyDescent="0.25">
      <c r="M14" t="s">
        <v>83</v>
      </c>
      <c r="N14" s="45" t="s">
        <v>414</v>
      </c>
    </row>
    <row r="15" spans="1:20" x14ac:dyDescent="0.25">
      <c r="M15" t="s">
        <v>58</v>
      </c>
      <c r="N15" s="45" t="s">
        <v>405</v>
      </c>
    </row>
    <row r="16" spans="1:20" x14ac:dyDescent="0.25">
      <c r="M16" t="s">
        <v>117</v>
      </c>
      <c r="N16" s="45" t="s">
        <v>405</v>
      </c>
    </row>
    <row r="17" spans="13:14" x14ac:dyDescent="0.25">
      <c r="M17" t="s">
        <v>64</v>
      </c>
      <c r="N17" s="45" t="s">
        <v>405</v>
      </c>
    </row>
    <row r="18" spans="13:14" x14ac:dyDescent="0.25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>
  <ds:schemaRefs>
    <ds:schemaRef ds:uri="http://purl.org/dc/dcmitype/"/>
    <ds:schemaRef ds:uri="5b9cbbf0-fbbf-4687-be4c-62cb1159071c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cadce026-d35b-4a62-a2ee-1436bb44fb55"/>
    <ds:schemaRef ds:uri="6d32ee4e-79d4-4fe0-ad34-1cbae873c51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A73A73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2026-08-31T18:52:05Z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