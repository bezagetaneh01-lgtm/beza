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080" documentId="13_ncr:1_{52745E9B-3AA1-4770-AAD3-E6166BFC13AE}" xr6:coauthVersionLast="47" xr6:coauthVersionMax="47" xr10:uidLastSave="{029442C3-35A6-4FA1-9A0C-35CF391D095F}"/>
  <bookViews>
    <workbookView minimized="1" xWindow="15190" yWindow="4380" windowWidth="17630" windowHeight="863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2" l="1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2" i="2" a="1"/>
  <c r="D52" i="2" s="1"/>
  <c r="D46" i="2" a="1"/>
  <c r="D4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AL53" i="2" a="1"/>
  <c r="AL53" i="2" s="1"/>
  <c r="D53" i="2" s="1" a="1"/>
  <c r="D53" i="2" s="1"/>
  <c r="AL52" i="2" a="1"/>
  <c r="AL52" i="2" s="1"/>
  <c r="AL51" i="2" a="1"/>
  <c r="AL51" i="2" s="1"/>
  <c r="D51" i="2" s="1" a="1"/>
  <c r="D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D47" i="2" s="1" a="1"/>
  <c r="D47" i="2" s="1"/>
  <c r="AL46" i="2" a="1"/>
  <c r="AL46" i="2" s="1"/>
  <c r="AL45" i="2" a="1"/>
  <c r="AL45" i="2" s="1"/>
  <c r="D45" i="2" s="1" a="1"/>
  <c r="D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7" i="4"/>
  <c r="S27" i="4"/>
  <c r="S63" i="4"/>
  <c r="T63" i="4"/>
  <c r="T85" i="4"/>
  <c r="S85" i="4"/>
  <c r="T97" i="4"/>
  <c r="S97" i="4"/>
  <c r="T109" i="4"/>
  <c r="S109" i="4"/>
  <c r="T115" i="4"/>
  <c r="S115" i="4"/>
  <c r="T127" i="4"/>
  <c r="S127" i="4"/>
  <c r="T133" i="4"/>
  <c r="S133" i="4"/>
  <c r="T145" i="4"/>
  <c r="S145" i="4"/>
  <c r="T157" i="4"/>
  <c r="S157" i="4"/>
  <c r="T169" i="4"/>
  <c r="S169" i="4"/>
  <c r="T175" i="4"/>
  <c r="S175" i="4"/>
  <c r="T187" i="4"/>
  <c r="S187" i="4"/>
  <c r="T199" i="4"/>
  <c r="S199" i="4"/>
  <c r="T205" i="4"/>
  <c r="S205" i="4"/>
  <c r="T217" i="4"/>
  <c r="S217" i="4"/>
  <c r="T229" i="4"/>
  <c r="S229" i="4"/>
  <c r="T241" i="4"/>
  <c r="S241" i="4"/>
  <c r="T247" i="4"/>
  <c r="S247" i="4"/>
  <c r="T259" i="4"/>
  <c r="S259" i="4"/>
  <c r="T271" i="4"/>
  <c r="S271" i="4"/>
  <c r="T283" i="4"/>
  <c r="S283" i="4"/>
  <c r="T295" i="4"/>
  <c r="S295" i="4"/>
  <c r="T307" i="4"/>
  <c r="S307" i="4"/>
  <c r="T319" i="4"/>
  <c r="S319" i="4"/>
  <c r="T331" i="4"/>
  <c r="S331" i="4"/>
  <c r="T343" i="4"/>
  <c r="S343" i="4"/>
  <c r="T355" i="4"/>
  <c r="S355" i="4"/>
  <c r="T367" i="4"/>
  <c r="S367" i="4"/>
  <c r="T379" i="4"/>
  <c r="S379" i="4"/>
  <c r="T391" i="4"/>
  <c r="S391" i="4"/>
  <c r="T397" i="4"/>
  <c r="S397" i="4"/>
  <c r="T409" i="4"/>
  <c r="S409" i="4"/>
  <c r="T421" i="4"/>
  <c r="S421" i="4"/>
  <c r="T433" i="4"/>
  <c r="S433" i="4"/>
  <c r="T445" i="4"/>
  <c r="S445" i="4"/>
  <c r="T457" i="4"/>
  <c r="S457" i="4"/>
  <c r="T463" i="4"/>
  <c r="S463" i="4"/>
  <c r="T475" i="4"/>
  <c r="S475" i="4"/>
  <c r="T487" i="4"/>
  <c r="S487" i="4"/>
  <c r="T493" i="4"/>
  <c r="S493" i="4"/>
  <c r="T16" i="4"/>
  <c r="S16" i="4"/>
  <c r="T52" i="4"/>
  <c r="S52" i="4"/>
  <c r="S41" i="4"/>
  <c r="T41" i="4"/>
  <c r="T86" i="4"/>
  <c r="S86" i="4"/>
  <c r="T98" i="4"/>
  <c r="S98" i="4"/>
  <c r="T104" i="4"/>
  <c r="S104" i="4"/>
  <c r="T116" i="4"/>
  <c r="S116" i="4"/>
  <c r="T128" i="4"/>
  <c r="S128" i="4"/>
  <c r="T134" i="4"/>
  <c r="S134" i="4"/>
  <c r="T140" i="4"/>
  <c r="S140" i="4"/>
  <c r="T146" i="4"/>
  <c r="S146" i="4"/>
  <c r="T152" i="4"/>
  <c r="S152" i="4"/>
  <c r="T164" i="4"/>
  <c r="S164" i="4"/>
  <c r="T170" i="4"/>
  <c r="S170" i="4"/>
  <c r="T176" i="4"/>
  <c r="S176" i="4"/>
  <c r="T182" i="4"/>
  <c r="S182" i="4"/>
  <c r="T188" i="4"/>
  <c r="S188" i="4"/>
  <c r="T194" i="4"/>
  <c r="S194" i="4"/>
  <c r="T200" i="4"/>
  <c r="S200" i="4"/>
  <c r="T206" i="4"/>
  <c r="S206" i="4"/>
  <c r="T212" i="4"/>
  <c r="S212" i="4"/>
  <c r="T218" i="4"/>
  <c r="S218" i="4"/>
  <c r="T224" i="4"/>
  <c r="S224" i="4"/>
  <c r="T230" i="4"/>
  <c r="S230" i="4"/>
  <c r="T236" i="4"/>
  <c r="S236" i="4"/>
  <c r="T242" i="4"/>
  <c r="S242" i="4"/>
  <c r="T248" i="4"/>
  <c r="S248" i="4"/>
  <c r="T254" i="4"/>
  <c r="S254" i="4"/>
  <c r="T260" i="4"/>
  <c r="S260" i="4"/>
  <c r="T266" i="4"/>
  <c r="S266" i="4"/>
  <c r="T272" i="4"/>
  <c r="S272" i="4"/>
  <c r="T278" i="4"/>
  <c r="S278" i="4"/>
  <c r="T284" i="4"/>
  <c r="S284" i="4"/>
  <c r="T290" i="4"/>
  <c r="S290" i="4"/>
  <c r="T296" i="4"/>
  <c r="S296" i="4"/>
  <c r="T302" i="4"/>
  <c r="S302" i="4"/>
  <c r="T308" i="4"/>
  <c r="S308" i="4"/>
  <c r="T314" i="4"/>
  <c r="S314" i="4"/>
  <c r="T320" i="4"/>
  <c r="S320" i="4"/>
  <c r="T326" i="4"/>
  <c r="S326" i="4"/>
  <c r="T332" i="4"/>
  <c r="S332" i="4"/>
  <c r="T338" i="4"/>
  <c r="S338" i="4"/>
  <c r="T344" i="4"/>
  <c r="S344" i="4"/>
  <c r="T350" i="4"/>
  <c r="S350" i="4"/>
  <c r="T356" i="4"/>
  <c r="S356" i="4"/>
  <c r="T362" i="4"/>
  <c r="S362" i="4"/>
  <c r="T368" i="4"/>
  <c r="S368" i="4"/>
  <c r="T374" i="4"/>
  <c r="S374" i="4"/>
  <c r="T380" i="4"/>
  <c r="S380" i="4"/>
  <c r="T386" i="4"/>
  <c r="S386" i="4"/>
  <c r="T392" i="4"/>
  <c r="S392" i="4"/>
  <c r="T398" i="4"/>
  <c r="S398" i="4"/>
  <c r="T404" i="4"/>
  <c r="S404" i="4"/>
  <c r="T410" i="4"/>
  <c r="S410" i="4"/>
  <c r="T416" i="4"/>
  <c r="S416" i="4"/>
  <c r="T422" i="4"/>
  <c r="S422" i="4"/>
  <c r="T428" i="4"/>
  <c r="S428" i="4"/>
  <c r="T434" i="4"/>
  <c r="S434" i="4"/>
  <c r="T440" i="4"/>
  <c r="S440" i="4"/>
  <c r="T446" i="4"/>
  <c r="S446" i="4"/>
  <c r="T452" i="4"/>
  <c r="S452" i="4"/>
  <c r="T458" i="4"/>
  <c r="S458" i="4"/>
  <c r="T464" i="4"/>
  <c r="S464" i="4"/>
  <c r="T470" i="4"/>
  <c r="S470" i="4"/>
  <c r="T476" i="4"/>
  <c r="S476" i="4"/>
  <c r="T482" i="4"/>
  <c r="S482" i="4"/>
  <c r="T488" i="4"/>
  <c r="S488" i="4"/>
  <c r="T494" i="4"/>
  <c r="S494" i="4"/>
  <c r="T500" i="4"/>
  <c r="S500" i="4"/>
  <c r="T38" i="4"/>
  <c r="S38" i="4"/>
  <c r="T7" i="4"/>
  <c r="S7" i="4"/>
  <c r="T39" i="4"/>
  <c r="S39" i="4"/>
  <c r="T51" i="4"/>
  <c r="S51" i="4"/>
  <c r="T73" i="4"/>
  <c r="S73" i="4"/>
  <c r="T79" i="4"/>
  <c r="S79" i="4"/>
  <c r="T91" i="4"/>
  <c r="S91" i="4"/>
  <c r="T103" i="4"/>
  <c r="S103" i="4"/>
  <c r="T121" i="4"/>
  <c r="S121" i="4"/>
  <c r="T139" i="4"/>
  <c r="S139" i="4"/>
  <c r="T151" i="4"/>
  <c r="S151" i="4"/>
  <c r="T163" i="4"/>
  <c r="S163" i="4"/>
  <c r="T181" i="4"/>
  <c r="S181" i="4"/>
  <c r="T193" i="4"/>
  <c r="S193" i="4"/>
  <c r="T211" i="4"/>
  <c r="S211" i="4"/>
  <c r="T223" i="4"/>
  <c r="S223" i="4"/>
  <c r="T235" i="4"/>
  <c r="S235" i="4"/>
  <c r="T253" i="4"/>
  <c r="S253" i="4"/>
  <c r="T265" i="4"/>
  <c r="S265" i="4"/>
  <c r="T277" i="4"/>
  <c r="S277" i="4"/>
  <c r="T289" i="4"/>
  <c r="S289" i="4"/>
  <c r="T301" i="4"/>
  <c r="S301" i="4"/>
  <c r="T313" i="4"/>
  <c r="S313" i="4"/>
  <c r="T325" i="4"/>
  <c r="S325" i="4"/>
  <c r="T337" i="4"/>
  <c r="S337" i="4"/>
  <c r="T349" i="4"/>
  <c r="S349" i="4"/>
  <c r="T361" i="4"/>
  <c r="S361" i="4"/>
  <c r="T373" i="4"/>
  <c r="S373" i="4"/>
  <c r="T385" i="4"/>
  <c r="S385" i="4"/>
  <c r="T403" i="4"/>
  <c r="S403" i="4"/>
  <c r="T415" i="4"/>
  <c r="S415" i="4"/>
  <c r="T427" i="4"/>
  <c r="S427" i="4"/>
  <c r="T439" i="4"/>
  <c r="S439" i="4"/>
  <c r="T451" i="4"/>
  <c r="S451" i="4"/>
  <c r="T469" i="4"/>
  <c r="S469" i="4"/>
  <c r="T481" i="4"/>
  <c r="S481" i="4"/>
  <c r="T499" i="4"/>
  <c r="S499" i="4"/>
  <c r="S28" i="4"/>
  <c r="T28" i="4"/>
  <c r="T40" i="4"/>
  <c r="S40" i="4"/>
  <c r="T64" i="4"/>
  <c r="S64" i="4"/>
  <c r="S29" i="4"/>
  <c r="T29" i="4"/>
  <c r="S53" i="4"/>
  <c r="T53" i="4"/>
  <c r="S65" i="4"/>
  <c r="T65" i="4"/>
  <c r="T74" i="4"/>
  <c r="S74" i="4"/>
  <c r="T80" i="4"/>
  <c r="S80" i="4"/>
  <c r="T92" i="4"/>
  <c r="S92" i="4"/>
  <c r="T110" i="4"/>
  <c r="S110" i="4"/>
  <c r="T122" i="4"/>
  <c r="S122" i="4"/>
  <c r="T158" i="4"/>
  <c r="S158" i="4"/>
  <c r="T18" i="4"/>
  <c r="S18" i="4"/>
  <c r="T30" i="4"/>
  <c r="S30" i="4"/>
  <c r="T42" i="4"/>
  <c r="S42" i="4"/>
  <c r="T54" i="4"/>
  <c r="S54" i="4"/>
  <c r="T66" i="4"/>
  <c r="S66" i="4"/>
  <c r="S15" i="4"/>
  <c r="T15" i="4"/>
  <c r="T26" i="4"/>
  <c r="S26" i="4"/>
  <c r="T31" i="4"/>
  <c r="S31" i="4"/>
  <c r="T67" i="4"/>
  <c r="S67" i="4"/>
  <c r="S87" i="4"/>
  <c r="T87" i="4"/>
  <c r="S111" i="4"/>
  <c r="T111" i="4"/>
  <c r="T129" i="4"/>
  <c r="S129" i="4"/>
  <c r="T153" i="4"/>
  <c r="S153" i="4"/>
  <c r="T183" i="4"/>
  <c r="S183" i="4"/>
  <c r="S213" i="4"/>
  <c r="T213" i="4"/>
  <c r="T243" i="4"/>
  <c r="S243" i="4"/>
  <c r="T273" i="4"/>
  <c r="S273" i="4"/>
  <c r="S303" i="4"/>
  <c r="T303" i="4"/>
  <c r="T327" i="4"/>
  <c r="S327" i="4"/>
  <c r="S357" i="4"/>
  <c r="T357" i="4"/>
  <c r="S375" i="4"/>
  <c r="T375" i="4"/>
  <c r="T399" i="4"/>
  <c r="S399" i="4"/>
  <c r="T423" i="4"/>
  <c r="S423" i="4"/>
  <c r="T441" i="4"/>
  <c r="S441" i="4"/>
  <c r="T459" i="4"/>
  <c r="S459" i="4"/>
  <c r="T483" i="4"/>
  <c r="S483" i="4"/>
  <c r="S495" i="4"/>
  <c r="T495" i="4"/>
  <c r="T20" i="4"/>
  <c r="S20" i="4"/>
  <c r="T56" i="4"/>
  <c r="S56" i="4"/>
  <c r="S21" i="4"/>
  <c r="T21" i="4"/>
  <c r="T57" i="4"/>
  <c r="S57" i="4"/>
  <c r="T88" i="4"/>
  <c r="S88" i="4"/>
  <c r="S100" i="4"/>
  <c r="T100" i="4"/>
  <c r="T112" i="4"/>
  <c r="S112" i="4"/>
  <c r="S130" i="4"/>
  <c r="T130" i="4"/>
  <c r="T142" i="4"/>
  <c r="S142" i="4"/>
  <c r="T160" i="4"/>
  <c r="S160" i="4"/>
  <c r="T172" i="4"/>
  <c r="S172" i="4"/>
  <c r="T190" i="4"/>
  <c r="S190" i="4"/>
  <c r="T196" i="4"/>
  <c r="S196" i="4"/>
  <c r="T214" i="4"/>
  <c r="S214" i="4"/>
  <c r="S226" i="4"/>
  <c r="T226" i="4"/>
  <c r="T244" i="4"/>
  <c r="S244" i="4"/>
  <c r="T256" i="4"/>
  <c r="S256" i="4"/>
  <c r="S274" i="4"/>
  <c r="T274" i="4"/>
  <c r="S292" i="4"/>
  <c r="T292" i="4"/>
  <c r="T304" i="4"/>
  <c r="S304" i="4"/>
  <c r="T322" i="4"/>
  <c r="S322" i="4"/>
  <c r="T340" i="4"/>
  <c r="S340" i="4"/>
  <c r="S364" i="4"/>
  <c r="T364" i="4"/>
  <c r="T382" i="4"/>
  <c r="S382" i="4"/>
  <c r="T400" i="4"/>
  <c r="S400" i="4"/>
  <c r="T412" i="4"/>
  <c r="S412" i="4"/>
  <c r="T430" i="4"/>
  <c r="S430" i="4"/>
  <c r="T448" i="4"/>
  <c r="S448" i="4"/>
  <c r="T466" i="4"/>
  <c r="S466" i="4"/>
  <c r="T478" i="4"/>
  <c r="S478" i="4"/>
  <c r="T484" i="4"/>
  <c r="S484" i="4"/>
  <c r="S490" i="4"/>
  <c r="T490" i="4"/>
  <c r="T3" i="4"/>
  <c r="S3" i="4"/>
  <c r="S59" i="4"/>
  <c r="T59" i="4"/>
  <c r="S77" i="4"/>
  <c r="T77" i="4"/>
  <c r="S95" i="4"/>
  <c r="T95" i="4"/>
  <c r="S113" i="4"/>
  <c r="T113" i="4"/>
  <c r="S131" i="4"/>
  <c r="T131" i="4"/>
  <c r="S149" i="4"/>
  <c r="T149" i="4"/>
  <c r="S173" i="4"/>
  <c r="T173" i="4"/>
  <c r="S185" i="4"/>
  <c r="T185" i="4"/>
  <c r="S203" i="4"/>
  <c r="T203" i="4"/>
  <c r="S215" i="4"/>
  <c r="T215" i="4"/>
  <c r="S221" i="4"/>
  <c r="T221" i="4"/>
  <c r="S233" i="4"/>
  <c r="T233" i="4"/>
  <c r="S245" i="4"/>
  <c r="T245" i="4"/>
  <c r="S251" i="4"/>
  <c r="T251" i="4"/>
  <c r="S257" i="4"/>
  <c r="T257" i="4"/>
  <c r="S263" i="4"/>
  <c r="T263" i="4"/>
  <c r="S269" i="4"/>
  <c r="T269" i="4"/>
  <c r="S275" i="4"/>
  <c r="T275" i="4"/>
  <c r="S287" i="4"/>
  <c r="T287" i="4"/>
  <c r="S293" i="4"/>
  <c r="T293" i="4"/>
  <c r="S299" i="4"/>
  <c r="T299" i="4"/>
  <c r="S305" i="4"/>
  <c r="T305" i="4"/>
  <c r="S311" i="4"/>
  <c r="T311" i="4"/>
  <c r="S317" i="4"/>
  <c r="T317" i="4"/>
  <c r="S329" i="4"/>
  <c r="T329" i="4"/>
  <c r="S335" i="4"/>
  <c r="T335" i="4"/>
  <c r="S341" i="4"/>
  <c r="T341" i="4"/>
  <c r="S347" i="4"/>
  <c r="T347" i="4"/>
  <c r="S353" i="4"/>
  <c r="T353" i="4"/>
  <c r="S359" i="4"/>
  <c r="T359" i="4"/>
  <c r="S365" i="4"/>
  <c r="T365" i="4"/>
  <c r="S371" i="4"/>
  <c r="T371" i="4"/>
  <c r="S377" i="4"/>
  <c r="T377" i="4"/>
  <c r="S383" i="4"/>
  <c r="T383" i="4"/>
  <c r="S389" i="4"/>
  <c r="T389" i="4"/>
  <c r="S395" i="4"/>
  <c r="T395" i="4"/>
  <c r="S401" i="4"/>
  <c r="T401" i="4"/>
  <c r="S407" i="4"/>
  <c r="T407" i="4"/>
  <c r="S413" i="4"/>
  <c r="T413" i="4"/>
  <c r="S419" i="4"/>
  <c r="T419" i="4"/>
  <c r="S425" i="4"/>
  <c r="T425" i="4"/>
  <c r="S431" i="4"/>
  <c r="T431" i="4"/>
  <c r="S437" i="4"/>
  <c r="T437" i="4"/>
  <c r="S443" i="4"/>
  <c r="T443" i="4"/>
  <c r="S449" i="4"/>
  <c r="T449" i="4"/>
  <c r="S455" i="4"/>
  <c r="T455" i="4"/>
  <c r="S461" i="4"/>
  <c r="T461" i="4"/>
  <c r="S467" i="4"/>
  <c r="T467" i="4"/>
  <c r="S473" i="4"/>
  <c r="T473" i="4"/>
  <c r="S479" i="4"/>
  <c r="T479" i="4"/>
  <c r="S485" i="4"/>
  <c r="T485" i="4"/>
  <c r="S491" i="4"/>
  <c r="T491" i="4"/>
  <c r="S497" i="4"/>
  <c r="T497" i="4"/>
  <c r="S10" i="4"/>
  <c r="T10" i="4"/>
  <c r="T50" i="4"/>
  <c r="S50" i="4"/>
  <c r="T43" i="4"/>
  <c r="S43" i="4"/>
  <c r="T75" i="4"/>
  <c r="S75" i="4"/>
  <c r="S93" i="4"/>
  <c r="T93" i="4"/>
  <c r="T105" i="4"/>
  <c r="S105" i="4"/>
  <c r="T117" i="4"/>
  <c r="S117" i="4"/>
  <c r="T135" i="4"/>
  <c r="S135" i="4"/>
  <c r="S141" i="4"/>
  <c r="T141" i="4"/>
  <c r="S159" i="4"/>
  <c r="T159" i="4"/>
  <c r="S165" i="4"/>
  <c r="T165" i="4"/>
  <c r="T177" i="4"/>
  <c r="S177" i="4"/>
  <c r="T189" i="4"/>
  <c r="S189" i="4"/>
  <c r="T195" i="4"/>
  <c r="S195" i="4"/>
  <c r="T207" i="4"/>
  <c r="S207" i="4"/>
  <c r="T219" i="4"/>
  <c r="S219" i="4"/>
  <c r="S231" i="4"/>
  <c r="T231" i="4"/>
  <c r="S237" i="4"/>
  <c r="T237" i="4"/>
  <c r="T249" i="4"/>
  <c r="S249" i="4"/>
  <c r="T261" i="4"/>
  <c r="S261" i="4"/>
  <c r="T267" i="4"/>
  <c r="S267" i="4"/>
  <c r="S285" i="4"/>
  <c r="T285" i="4"/>
  <c r="T291" i="4"/>
  <c r="S291" i="4"/>
  <c r="T297" i="4"/>
  <c r="S297" i="4"/>
  <c r="T315" i="4"/>
  <c r="S315" i="4"/>
  <c r="T321" i="4"/>
  <c r="S321" i="4"/>
  <c r="T339" i="4"/>
  <c r="S339" i="4"/>
  <c r="S345" i="4"/>
  <c r="T345" i="4"/>
  <c r="T351" i="4"/>
  <c r="S351" i="4"/>
  <c r="T369" i="4"/>
  <c r="S369" i="4"/>
  <c r="S381" i="4"/>
  <c r="T381" i="4"/>
  <c r="T393" i="4"/>
  <c r="S393" i="4"/>
  <c r="T405" i="4"/>
  <c r="S405" i="4"/>
  <c r="T417" i="4"/>
  <c r="S417" i="4"/>
  <c r="S429" i="4"/>
  <c r="T429" i="4"/>
  <c r="S447" i="4"/>
  <c r="T447" i="4"/>
  <c r="T465" i="4"/>
  <c r="S465" i="4"/>
  <c r="T477" i="4"/>
  <c r="S477" i="4"/>
  <c r="S489" i="4"/>
  <c r="T489" i="4"/>
  <c r="T44" i="4"/>
  <c r="S44" i="4"/>
  <c r="T45" i="4"/>
  <c r="S45" i="4"/>
  <c r="S82" i="4"/>
  <c r="T82" i="4"/>
  <c r="S118" i="4"/>
  <c r="T118" i="4"/>
  <c r="S148" i="4"/>
  <c r="T148" i="4"/>
  <c r="T178" i="4"/>
  <c r="S178" i="4"/>
  <c r="T208" i="4"/>
  <c r="S208" i="4"/>
  <c r="T238" i="4"/>
  <c r="S238" i="4"/>
  <c r="S262" i="4"/>
  <c r="T262" i="4"/>
  <c r="T286" i="4"/>
  <c r="S286" i="4"/>
  <c r="T310" i="4"/>
  <c r="S310" i="4"/>
  <c r="T328" i="4"/>
  <c r="S328" i="4"/>
  <c r="T352" i="4"/>
  <c r="S352" i="4"/>
  <c r="S370" i="4"/>
  <c r="T370" i="4"/>
  <c r="T388" i="4"/>
  <c r="S388" i="4"/>
  <c r="S406" i="4"/>
  <c r="T406" i="4"/>
  <c r="T424" i="4"/>
  <c r="S424" i="4"/>
  <c r="T454" i="4"/>
  <c r="S454" i="4"/>
  <c r="T12" i="4"/>
  <c r="S12" i="4"/>
  <c r="T22" i="4"/>
  <c r="S22" i="4"/>
  <c r="S46" i="4"/>
  <c r="T46" i="4"/>
  <c r="T70" i="4"/>
  <c r="S70" i="4"/>
  <c r="S35" i="4"/>
  <c r="T35" i="4"/>
  <c r="S89" i="4"/>
  <c r="T89" i="4"/>
  <c r="S119" i="4"/>
  <c r="T119" i="4"/>
  <c r="S155" i="4"/>
  <c r="T155" i="4"/>
  <c r="S197" i="4"/>
  <c r="T197" i="4"/>
  <c r="S239" i="4"/>
  <c r="T239" i="4"/>
  <c r="S323" i="4"/>
  <c r="T323" i="4"/>
  <c r="S4" i="4"/>
  <c r="T4" i="4"/>
  <c r="T24" i="4"/>
  <c r="S24" i="4"/>
  <c r="T36" i="4"/>
  <c r="S36" i="4"/>
  <c r="T48" i="4"/>
  <c r="S48" i="4"/>
  <c r="T60" i="4"/>
  <c r="S60" i="4"/>
  <c r="T9" i="4"/>
  <c r="S9" i="4"/>
  <c r="T62" i="4"/>
  <c r="S62" i="4"/>
  <c r="T19" i="4"/>
  <c r="S19" i="4"/>
  <c r="T55" i="4"/>
  <c r="S55" i="4"/>
  <c r="S81" i="4"/>
  <c r="T81" i="4"/>
  <c r="T99" i="4"/>
  <c r="S99" i="4"/>
  <c r="T123" i="4"/>
  <c r="S123" i="4"/>
  <c r="T147" i="4"/>
  <c r="S147" i="4"/>
  <c r="T171" i="4"/>
  <c r="S171" i="4"/>
  <c r="S201" i="4"/>
  <c r="T201" i="4"/>
  <c r="T225" i="4"/>
  <c r="S225" i="4"/>
  <c r="T255" i="4"/>
  <c r="S255" i="4"/>
  <c r="T279" i="4"/>
  <c r="S279" i="4"/>
  <c r="S309" i="4"/>
  <c r="T309" i="4"/>
  <c r="T333" i="4"/>
  <c r="S333" i="4"/>
  <c r="T363" i="4"/>
  <c r="S363" i="4"/>
  <c r="T387" i="4"/>
  <c r="S387" i="4"/>
  <c r="T411" i="4"/>
  <c r="S411" i="4"/>
  <c r="T435" i="4"/>
  <c r="S435" i="4"/>
  <c r="S453" i="4"/>
  <c r="T453" i="4"/>
  <c r="T471" i="4"/>
  <c r="S471" i="4"/>
  <c r="T14" i="4"/>
  <c r="S14" i="4"/>
  <c r="T32" i="4"/>
  <c r="S32" i="4"/>
  <c r="T68" i="4"/>
  <c r="S68" i="4"/>
  <c r="T13" i="4"/>
  <c r="S13" i="4"/>
  <c r="T33" i="4"/>
  <c r="S33" i="4"/>
  <c r="S69" i="4"/>
  <c r="T69" i="4"/>
  <c r="S76" i="4"/>
  <c r="T76" i="4"/>
  <c r="T94" i="4"/>
  <c r="S94" i="4"/>
  <c r="T106" i="4"/>
  <c r="S106" i="4"/>
  <c r="T124" i="4"/>
  <c r="S124" i="4"/>
  <c r="T136" i="4"/>
  <c r="S136" i="4"/>
  <c r="S154" i="4"/>
  <c r="T154" i="4"/>
  <c r="T166" i="4"/>
  <c r="S166" i="4"/>
  <c r="T184" i="4"/>
  <c r="S184" i="4"/>
  <c r="S202" i="4"/>
  <c r="T202" i="4"/>
  <c r="S220" i="4"/>
  <c r="T220" i="4"/>
  <c r="T232" i="4"/>
  <c r="S232" i="4"/>
  <c r="T250" i="4"/>
  <c r="S250" i="4"/>
  <c r="T268" i="4"/>
  <c r="S268" i="4"/>
  <c r="T280" i="4"/>
  <c r="S280" i="4"/>
  <c r="S298" i="4"/>
  <c r="T298" i="4"/>
  <c r="T316" i="4"/>
  <c r="S316" i="4"/>
  <c r="T334" i="4"/>
  <c r="S334" i="4"/>
  <c r="S346" i="4"/>
  <c r="T346" i="4"/>
  <c r="T358" i="4"/>
  <c r="S358" i="4"/>
  <c r="T376" i="4"/>
  <c r="S376" i="4"/>
  <c r="T394" i="4"/>
  <c r="S394" i="4"/>
  <c r="S418" i="4"/>
  <c r="T418" i="4"/>
  <c r="S436" i="4"/>
  <c r="T436" i="4"/>
  <c r="S442" i="4"/>
  <c r="T442" i="4"/>
  <c r="T460" i="4"/>
  <c r="S460" i="4"/>
  <c r="T472" i="4"/>
  <c r="S472" i="4"/>
  <c r="T496" i="4"/>
  <c r="S496" i="4"/>
  <c r="T34" i="4"/>
  <c r="S34" i="4"/>
  <c r="S58" i="4"/>
  <c r="T58" i="4"/>
  <c r="S11" i="4"/>
  <c r="T11" i="4"/>
  <c r="S23" i="4"/>
  <c r="T23" i="4"/>
  <c r="S47" i="4"/>
  <c r="T47" i="4"/>
  <c r="S71" i="4"/>
  <c r="T71" i="4"/>
  <c r="S83" i="4"/>
  <c r="T83" i="4"/>
  <c r="S101" i="4"/>
  <c r="T101" i="4"/>
  <c r="S107" i="4"/>
  <c r="T107" i="4"/>
  <c r="S125" i="4"/>
  <c r="T125" i="4"/>
  <c r="S137" i="4"/>
  <c r="T137" i="4"/>
  <c r="S143" i="4"/>
  <c r="T143" i="4"/>
  <c r="S161" i="4"/>
  <c r="T161" i="4"/>
  <c r="S167" i="4"/>
  <c r="T167" i="4"/>
  <c r="S179" i="4"/>
  <c r="T179" i="4"/>
  <c r="S191" i="4"/>
  <c r="T191" i="4"/>
  <c r="S209" i="4"/>
  <c r="T209" i="4"/>
  <c r="S227" i="4"/>
  <c r="T227" i="4"/>
  <c r="S281" i="4"/>
  <c r="T281" i="4"/>
  <c r="S5" i="4"/>
  <c r="T5" i="4"/>
  <c r="T25" i="4"/>
  <c r="S25" i="4"/>
  <c r="T37" i="4"/>
  <c r="S37" i="4"/>
  <c r="T49" i="4"/>
  <c r="S49" i="4"/>
  <c r="T61" i="4"/>
  <c r="S61" i="4"/>
  <c r="T72" i="4"/>
  <c r="S72" i="4"/>
  <c r="T78" i="4"/>
  <c r="S78" i="4"/>
  <c r="T84" i="4"/>
  <c r="S84" i="4"/>
  <c r="T90" i="4"/>
  <c r="S90" i="4"/>
  <c r="T96" i="4"/>
  <c r="S96" i="4"/>
  <c r="T102" i="4"/>
  <c r="S102" i="4"/>
  <c r="T108" i="4"/>
  <c r="S108" i="4"/>
  <c r="T114" i="4"/>
  <c r="S114" i="4"/>
  <c r="T120" i="4"/>
  <c r="S120" i="4"/>
  <c r="T126" i="4"/>
  <c r="S126" i="4"/>
  <c r="T132" i="4"/>
  <c r="S132" i="4"/>
  <c r="T138" i="4"/>
  <c r="S138" i="4"/>
  <c r="T144" i="4"/>
  <c r="S144" i="4"/>
  <c r="T150" i="4"/>
  <c r="S150" i="4"/>
  <c r="T156" i="4"/>
  <c r="S156" i="4"/>
  <c r="T162" i="4"/>
  <c r="S162" i="4"/>
  <c r="T168" i="4"/>
  <c r="S168" i="4"/>
  <c r="T174" i="4"/>
  <c r="S174" i="4"/>
  <c r="T180" i="4"/>
  <c r="S180" i="4"/>
  <c r="T186" i="4"/>
  <c r="S186" i="4"/>
  <c r="T192" i="4"/>
  <c r="S192" i="4"/>
  <c r="T198" i="4"/>
  <c r="S198" i="4"/>
  <c r="T204" i="4"/>
  <c r="S204" i="4"/>
  <c r="T210" i="4"/>
  <c r="S210" i="4"/>
  <c r="T216" i="4"/>
  <c r="S216" i="4"/>
  <c r="T222" i="4"/>
  <c r="S222" i="4"/>
  <c r="T228" i="4"/>
  <c r="S228" i="4"/>
  <c r="T234" i="4"/>
  <c r="S234" i="4"/>
  <c r="T240" i="4"/>
  <c r="S240" i="4"/>
  <c r="T246" i="4"/>
  <c r="S246" i="4"/>
  <c r="T252" i="4"/>
  <c r="S252" i="4"/>
  <c r="T258" i="4"/>
  <c r="S258" i="4"/>
  <c r="T264" i="4"/>
  <c r="S264" i="4"/>
  <c r="T270" i="4"/>
  <c r="S270" i="4"/>
  <c r="T276" i="4"/>
  <c r="S276" i="4"/>
  <c r="T282" i="4"/>
  <c r="S282" i="4"/>
  <c r="T288" i="4"/>
  <c r="S288" i="4"/>
  <c r="T294" i="4"/>
  <c r="S294" i="4"/>
  <c r="T300" i="4"/>
  <c r="S300" i="4"/>
  <c r="T306" i="4"/>
  <c r="S306" i="4"/>
  <c r="T312" i="4"/>
  <c r="S312" i="4"/>
  <c r="T318" i="4"/>
  <c r="S318" i="4"/>
  <c r="T324" i="4"/>
  <c r="S324" i="4"/>
  <c r="T330" i="4"/>
  <c r="S330" i="4"/>
  <c r="T336" i="4"/>
  <c r="S336" i="4"/>
  <c r="T342" i="4"/>
  <c r="S342" i="4"/>
  <c r="T348" i="4"/>
  <c r="S348" i="4"/>
  <c r="T354" i="4"/>
  <c r="S354" i="4"/>
  <c r="T360" i="4"/>
  <c r="S360" i="4"/>
  <c r="T366" i="4"/>
  <c r="S366" i="4"/>
  <c r="T372" i="4"/>
  <c r="S372" i="4"/>
  <c r="T378" i="4"/>
  <c r="S378" i="4"/>
  <c r="T384" i="4"/>
  <c r="S384" i="4"/>
  <c r="T390" i="4"/>
  <c r="S390" i="4"/>
  <c r="T396" i="4"/>
  <c r="S396" i="4"/>
  <c r="T402" i="4"/>
  <c r="S402" i="4"/>
  <c r="T408" i="4"/>
  <c r="S408" i="4"/>
  <c r="T414" i="4"/>
  <c r="S414" i="4"/>
  <c r="T420" i="4"/>
  <c r="S420" i="4"/>
  <c r="T426" i="4"/>
  <c r="S426" i="4"/>
  <c r="T432" i="4"/>
  <c r="S432" i="4"/>
  <c r="T438" i="4"/>
  <c r="S438" i="4"/>
  <c r="T444" i="4"/>
  <c r="S444" i="4"/>
  <c r="T450" i="4"/>
  <c r="S450" i="4"/>
  <c r="T456" i="4"/>
  <c r="S456" i="4"/>
  <c r="T462" i="4"/>
  <c r="S462" i="4"/>
  <c r="T468" i="4"/>
  <c r="S468" i="4"/>
  <c r="T474" i="4"/>
  <c r="S474" i="4"/>
  <c r="T480" i="4"/>
  <c r="S480" i="4"/>
  <c r="T486" i="4"/>
  <c r="S486" i="4"/>
  <c r="T492" i="4"/>
  <c r="S492" i="4"/>
  <c r="T498" i="4"/>
  <c r="S498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<sst xmlns="http://schemas.openxmlformats.org/spreadsheetml/2006/main" count="2925" uniqueCount="409">
  <si>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</si>
  <si>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</si>
  <si>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</si>
  <si>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</si>
  <si>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</si>
  <si>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</si>
  <si>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</si>
  <si>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</si>
  <si>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</si>
  <si>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</si>
  <si>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</si>
  <si>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</si>
  <si>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</si>
  <si>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</si>
  <si>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</si>
  <si>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</si>
  <si>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</si>
  <si>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</si>
  <si>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</si>
  <si>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</si>
  <si>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</si>
  <si>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</si>
  <si>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</si>
  <si>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</si>
  <si>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</si>
  <si>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</si>
  <si>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</si>
  <si>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</si>
  <si>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</si>
  <si>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</si>
  <si>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</si>
  <si>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</si>
  <si>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</si>
  <si>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</si>
  <si>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</si>
  <si>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</si>
  <si>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</si>
  <si>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</si>
  <si>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</si>
  <si>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</si>
  <si>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</si>
  <si>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</si>
  <si>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</si>
  <si>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</si>
  <si>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</si>
  <si>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</si>
  <si>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</si>
  <si>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</si>
  <si>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</si>
  <si>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</si>
  <si>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</si>
  <si>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</si>
  <si>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</si>
  <si>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</si>
  <si>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</si>
  <si>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</si>
  <si>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</si>
  <si>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</si>
  <si>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</si>
  <si>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</si>
  <si>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</si>
  <si>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</si>
  <si>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</si>
  <si>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</si>
  <si>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</si>
  <si>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</si>
  <si>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</si>
  <si>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</si>
  <si>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</si>
  <si>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</si>
  <si>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</si>
  <si>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</si>
  <si>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</si>
  <si>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</si>
  <si>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</si>
  <si>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</si>
  <si>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</si>
  <si>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</si>
  <si>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</si>
  <si>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</si>
  <si>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</si>
  <si>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</si>
  <si>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</si>
  <si>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</si>
  <si>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</si>
  <si>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</si>
  <si>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</si>
  <si>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</si>
  <si>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</si>
  <si>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</si>
  <si>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</si>
  <si>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</si>
  <si>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</si>
  <si>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</si>
  <si>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</si>
  <si>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</si>
  <si>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</si>
  <si>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</si>
  <si>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</si>
  <si>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</si>
  <si>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</si>
  <si>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</si>
  <si>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</si>
  <si>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</si>
  <si>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</si>
  <si>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</si>
  <si>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</si>
  <si>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</si>
  <si>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</si>
  <si>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</si>
  <si>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</si>
  <si>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</si>
  <si>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</si>
  <si>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</si>
  <si>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</si>
  <si>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</si>
  <si>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</si>
  <si>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</si>
  <si>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</si>
  <si>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</si>
  <si>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</si>
  <si>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</si>
  <si>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</si>
  <si>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</si>
  <si>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</si>
  <si>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</si>
  <si>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</si>
  <si>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</si>
  <si>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</si>
  <si>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</si>
  <si>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</si>
  <si>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</si>
  <si>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</si>
  <si>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</si>
  <si>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</si>
  <si>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</si>
  <si>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</si>
  <si>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</si>
  <si>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</si>
  <si>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</si>
  <si>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</si>
  <si>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</si>
  <si>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</si>
  <si>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</si>
  <si>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</si>
  <si>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</si>
  <si>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</si>
  <si>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</si>
  <si>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</si>
  <si>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</si>
  <si>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</si>
  <si>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</si>
  <si>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</si>
  <si>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</si>
  <si>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</si>
  <si>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</si>
  <si>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</si>
  <si>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</si>
  <si>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</si>
  <si>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</si>
  <si>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</si>
  <si>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</si>
  <si>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</si>
  <si>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</si>
  <si>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</si>
  <si>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</si>
  <si>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</si>
  <si>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</si>
  <si>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</si>
  <si>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</si>
  <si>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</si>
  <si>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</si>
  <si>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</si>
  <si>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</si>
  <si>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</si>
  <si>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</si>
  <si>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</si>
  <si>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</si>
  <si>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PBI Dev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</si>
  <si>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</si>
  <si>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</si>
  <si>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</si>
  <si>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</si>
  <si>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</si>
  <si>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</si>
  <si>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DB Dev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</si>
  <si>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</si>
  <si>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</si>
  <si>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</si>
  <si>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</si>
  <si>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</si>
  <si>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Ready For PBI</t>
  </si>
  <si>
    <t>RPT_02_Collector Payment Recap</t>
  </si>
  <si>
    <t>hybrid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</si>
  <si>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</si>
  <si>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</si>
  <si>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</si>
  <si>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</si>
  <si>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</si>
  <si>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</si>
  <si>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</si>
  <si>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</si>
  <si>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</si>
  <si>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</si>
  <si>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</si>
  <si>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</si>
  <si>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</si>
  <si>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</si>
  <si>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</si>
  <si>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</si>
  <si>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</si>
  <si>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</si>
  <si>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</si>
  <si>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</si>
  <si>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</si>
  <si>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</si>
  <si>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</si>
  <si>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</si>
  <si>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</si>
  <si>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</si>
  <si>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</si>
  <si>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</si>
  <si>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</si>
  <si>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</si>
  <si>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</si>
  <si>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</si>
  <si>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</si>
  <si>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</si>
  <si>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</si>
  <si>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</si>
  <si>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</si>
  <si>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</si>
  <si>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</si>
  <si>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</si>
  <si>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</si>
  <si>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</si>
  <si>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</si>
  <si>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</si>
  <si>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</si>
  <si>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</si>
  <si>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</si>
  <si>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PI2, S6</t>
  </si>
  <si>
    <t>RPT_02_Emergency Response Statistics</t>
  </si>
  <si>
    <t>RPT_02_Emergency Time Adjustments Log </t>
  </si>
  <si>
    <t>RPT_02_PSC Soft Off Report</t>
  </si>
  <si>
    <t>Angela Keegan</t>
  </si>
  <si>
    <t>RPT_02_Service Interruptions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</si>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</sst>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1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17" borderId="0" xfId="0" applyFont="1" applyFill="1" applyProtection="1">
      <protection locked="0"/>
    </xf>
    <xf numFmtId="0" fontId="0" fillId="17" borderId="0" xfId="0" applyFill="1"/>
    <xf numFmtId="0" fontId="6" fillId="17" borderId="4" xfId="0" applyFont="1" applyFill="1" applyBorder="1" applyProtection="1">
      <protection locked="0"/>
    </xf>
    <xf numFmtId="14" fontId="6" fillId="17" borderId="5" xfId="0" applyNumberFormat="1" applyFont="1" applyFill="1" applyBorder="1"/>
    <xf numFmtId="0" fontId="6" fillId="17" borderId="14" xfId="0" applyFont="1" applyFill="1" applyBorder="1"/>
    <xf numFmtId="14" fontId="6" fillId="17" borderId="0" xfId="0" applyNumberFormat="1" applyFont="1" applyFill="1"/>
    <xf numFmtId="14" fontId="6" fillId="17" borderId="0" xfId="0" applyNumberFormat="1" applyFont="1" applyFill="1" applyProtection="1">
      <protection locked="0"/>
    </xf>
    <xf numFmtId="0" fontId="6" fillId="17" borderId="15" xfId="0" applyFont="1" applyFill="1" applyBorder="1" applyProtection="1">
      <protection locked="0"/>
    </xf>
    <xf numFmtId="14" fontId="6" fillId="17" borderId="16" xfId="0" applyNumberFormat="1" applyFont="1" applyFill="1" applyBorder="1" applyProtection="1">
      <protection locked="0"/>
    </xf>
    <xf numFmtId="14" fontId="20" fillId="17" borderId="0" xfId="0" applyNumberFormat="1" applyFont="1" applyFill="1"/>
    <xf numFmtId="14" fontId="6" fillId="17" borderId="8" xfId="0" applyNumberFormat="1" applyFont="1" applyFill="1" applyBorder="1"/>
    <xf numFmtId="0" fontId="6" fillId="17" borderId="9" xfId="0" applyFont="1" applyFill="1" applyBorder="1" applyProtection="1">
      <protection locked="0"/>
    </xf>
    <xf numFmtId="0" fontId="6" fillId="17" borderId="10" xfId="0" applyFont="1" applyFill="1" applyBorder="1" applyProtection="1">
      <protection locked="0"/>
    </xf>
    <xf numFmtId="0" fontId="6" fillId="17" borderId="11" xfId="0" applyFont="1" applyFill="1" applyBorder="1" applyProtection="1">
      <protection locked="0"/>
    </xf>
    <xf numFmtId="0" fontId="0" fillId="17" borderId="12" xfId="0" applyFill="1" applyBorder="1" applyProtection="1">
      <protection locked="0"/>
    </xf>
    <xf numFmtId="0" fontId="6" fillId="17" borderId="13" xfId="0" applyFont="1" applyFill="1" applyBorder="1" applyProtection="1">
      <protection locked="0"/>
    </xf>
    <xf numFmtId="14" fontId="0" fillId="17" borderId="0" xfId="0" applyNumberFormat="1" applyFill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6"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4">
  <autoFilter ref="A1:AM115" xr:uid="{00000000-0009-0000-0100-000001000000}">
    <filterColumn colId="0">
      <filters>
        <filter val="CMS"/>
      </filters>
    </filterColumn>
    <filterColumn colId="8">
      <filters>
        <filter val="September"/>
      </filters>
    </filterColumn>
    <filterColumn colId="15">
      <filters>
        <filter val="Shraddha"/>
      </filters>
    </filterColumn>
  </autoFilter>
  <tableColumns count="39">
    <tableColumn id="1" xr3:uid="{00000000-0010-0000-0000-000001000000}" name="Domain" dataDxfId="53"/>
    <tableColumn id="2" xr3:uid="{00000000-0010-0000-0000-000002000000}" name="Report Name" dataDxfId="52"/>
    <tableColumn id="3" xr3:uid="{00000000-0010-0000-0000-000003000000}" name="Current Status  (Update next stage after completion date)" dataDxfId="51"/>
    <tableColumn id="4" xr3:uid="{00000000-0010-0000-0000-000004000000}" name="Status Flag" dataDxfId="50"/>
    <tableColumn id="5" xr3:uid="{00000000-0010-0000-0000-000005000000}" name="Business Value Rank" dataDxfId="49"/>
    <tableColumn id="6" xr3:uid="{00000000-0010-0000-0000-000006000000}" name="PO" dataDxfId="48"/>
    <tableColumn id="10" xr3:uid="{00000000-0010-0000-0000-00000A000000}" name="Schema" dataDxfId="47"/>
    <tableColumn id="11" xr3:uid="{00000000-0010-0000-0000-00000B000000}" name="Plan Delivery Date" dataDxfId="46"/>
    <tableColumn id="12" xr3:uid="{00000000-0010-0000-0000-00000C000000}" name="Plan Delivery Month" dataDxfId="45"/>
    <tableColumn id="7" xr3:uid="{00000000-0010-0000-0000-000007000000}" name="DB Developer" dataDxfId="44"/>
    <tableColumn id="13" xr3:uid="{00000000-0010-0000-0000-00000D000000}" name="DB Dev Baseline Completion Date" dataDxfId="43"/>
    <tableColumn id="30" xr3:uid="{00000000-0010-0000-0000-00001E000000}" name="DB Dev Reforecast Completion Date" dataDxfId="42"/>
    <tableColumn id="14" xr3:uid="{00000000-0010-0000-0000-00000E000000}" name="DB Dev Actual Completion Date" dataDxfId="41"/>
    <tableColumn id="35" xr3:uid="{1A518B0C-8D73-4DAB-8F10-7B4DFF037343}" name="Build Source" dataDxfId="40"/>
    <tableColumn id="28" xr3:uid="{EFCDFAEE-1B00-42CE-9649-7541F5DDC136}" name="Sprint DB" dataDxfId="39"/>
    <tableColumn id="8" xr3:uid="{00000000-0010-0000-0000-000008000000}" name="PBI Developer" dataDxfId="38"/>
    <tableColumn id="15" xr3:uid="{00000000-0010-0000-0000-00000F000000}" name="PBI Dev Baseline Completion Date" dataDxfId="37"/>
    <tableColumn id="31" xr3:uid="{00000000-0010-0000-0000-00001F000000}" name="PBI Dev Reforecast Completion Date" dataDxfId="36"/>
    <tableColumn id="16" xr3:uid="{00000000-0010-0000-0000-000010000000}" name="PBI Dev Actual Completion Date" dataDxfId="35"/>
    <tableColumn id="29" xr3:uid="{4630D178-9B47-4360-A40B-22C7384DB9C9}" name="Sprint PBI" dataDxfId="34"/>
    <tableColumn id="9" xr3:uid="{00000000-0010-0000-0000-000009000000}" name="QA Tester" dataDxfId="33"/>
    <tableColumn id="17" xr3:uid="{00000000-0010-0000-0000-000011000000}" name="QA Baseline Completion Date" dataDxfId="32"/>
    <tableColumn id="32" xr3:uid="{00000000-0010-0000-0000-000020000000}" name="QA Reforecast Completion Date" dataDxfId="31"/>
    <tableColumn id="18" xr3:uid="{00000000-0010-0000-0000-000012000000}" name="QA Actual Completion Date" dataDxfId="30"/>
    <tableColumn id="34" xr3:uid="{70C5E8CB-08B0-4A84-9B68-89630FC3C5C7}" name="Sprint QA" dataDxfId="29"/>
    <tableColumn id="19" xr3:uid="{00000000-0010-0000-0000-000013000000}" name="DPO Approval Baseline Completion Date" dataDxfId="28"/>
    <tableColumn id="33" xr3:uid="{00000000-0010-0000-0000-000021000000}" name="DPO Approval Reforecast Completion Date" dataDxfId="27"/>
    <tableColumn id="36" xr3:uid="{86D482BF-E7A4-45A2-B2F5-CA0223EBDDD1}" name="DPO Approval Completion Date" dataDxfId="26"/>
    <tableColumn id="20" xr3:uid="{00000000-0010-0000-0000-000014000000}" name="DPO Approval Reviewer" dataDxfId="25"/>
    <tableColumn id="39" xr3:uid="{D4F67DF1-1A6D-469A-AA66-A681F9EBF81F}" name="Report Type" dataDxfId="24"/>
    <tableColumn id="21" xr3:uid="{00000000-0010-0000-0000-000015000000}" name="Confirmed Deployed?" dataDxfId="23"/>
    <tableColumn id="22" xr3:uid="{00000000-0010-0000-0000-000016000000}" name="Confirmed Deployed Date" dataDxfId="22"/>
    <tableColumn id="23" xr3:uid="{00000000-0010-0000-0000-000017000000}" name="UAT Report URL" dataDxfId="21"/>
    <tableColumn id="24" xr3:uid="{00000000-0010-0000-0000-000018000000}" name="Production URL" dataDxfId="20"/>
    <tableColumn id="25" xr3:uid="{00000000-0010-0000-0000-000019000000}" name="Blocked?" dataDxfId="19"/>
    <tableColumn id="26" xr3:uid="{00000000-0010-0000-0000-00001A000000}" name="Data Check" dataDxfId="18"/>
    <tableColumn id="27" xr3:uid="{00000000-0010-0000-0000-00001B000000}" name="Comments" dataDxfId="17"/>
    <tableColumn id="37" xr3:uid="{80A8E094-8F50-434A-A9E3-195269D50436}" name="QA Rework Due_x0009_DPO Rework Due" dataDxfId="16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5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abSelected="1" topLeftCell="A39" zoomScaleNormal="100" workbookViewId="0">
      <pane xSplit="2" topLeftCell="N1" activePane="topRight" state="frozen"/>
      <selection pane="topRight" activeCell="U55" sqref="U55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 hidden="1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Log'!$A$3:$A$500=$B2)*('Rework Log'!$G$3:$G$500&lt;&gt;"Yes")*('Rework Log'!$G$3:$G$500&lt;&gt;"Did not pass re-test"))=0),"Blocked - log it on Rework Log",IF(AND(LEFT($AI2,3)&lt;&gt;"Yes",SUMPRODUCT(('Rework Log'!$A$3:$A$500=$B2)*('Rework Log'!$G$3:$G$500&lt;&gt;"Yes")*('Rework Log'!$G$3:$G$500&lt;&gt;"Did not pass re-test"))&gt;0),"Open rework row - mark Blocked? or close it",IF(AND($AI2="Yes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H)",IF(AND($AI2="Yes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H)",IF(AND($AI2="Yes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9" hidden="1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Log'!$A$3:$A$500=$B3)*('Rework Log'!$G$3:$G$500&lt;&gt;"Yes")*('Rework Log'!$G$3:$G$500&lt;&gt;"Did not pass re-test"))=0),"Blocked - log it on Rework Log",IF(AND(LEFT($AI3,3)&lt;&gt;"Yes",SUMPRODUCT(('Rework Log'!$A$3:$A$500=$B3)*('Rework Log'!$G$3:$G$500&lt;&gt;"Yes")*('Rework Log'!$G$3:$G$500&lt;&gt;"Did not pass re-test"))&gt;0),"Open rework row - mark Blocked? or close it",IF(AND($AI3="Yes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H)",IF(AND($AI3="Yes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H)",IF(AND($AI3="Yes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9" hidden="1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Log'!$A$3:$A$500=$B4)*('Rework Log'!$G$3:$G$500&lt;&gt;"Yes")*('Rework Log'!$G$3:$G$500&lt;&gt;"Did not pass re-test"))=0),"Blocked - log it on Rework Log",IF(AND(LEFT($AI4,3)&lt;&gt;"Yes",SUMPRODUCT(('Rework Log'!$A$3:$A$500=$B4)*('Rework Log'!$G$3:$G$500&lt;&gt;"Yes")*('Rework Log'!$G$3:$G$500&lt;&gt;"Did not pass re-test"))&gt;0),"Open rework row - mark Blocked? or close it",IF(AND($AI4="Yes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H)",IF(AND($AI4="Yes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H)",IF(AND($AI4="Yes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9" hidden="1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Log'!$A$3:$A$500=$B5)*('Rework Log'!$G$3:$G$500&lt;&gt;"Yes")*('Rework Log'!$G$3:$G$500&lt;&gt;"Did not pass re-test"))=0),"Blocked - log it on Rework Log",IF(AND(LEFT($AI5,3)&lt;&gt;"Yes",SUMPRODUCT(('Rework Log'!$A$3:$A$500=$B5)*('Rework Log'!$G$3:$G$500&lt;&gt;"Yes")*('Rework Log'!$G$3:$G$500&lt;&gt;"Did not pass re-test"))&gt;0),"Open rework row - mark Blocked? or close it",IF(AND($AI5="Yes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H)",IF(AND($AI5="Yes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H)",IF(AND($AI5="Yes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9" hidden="1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9" hidden="1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9" hidden="1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9" hidden="1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9" hidden="1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Log'!$A$3:$A$500=$B10)*('Rework Log'!$G$3:$G$500&lt;&gt;"Yes")*('Rework Log'!$G$3:$G$500&lt;&gt;"Did not pass re-test"))=0),"Blocked - log it on Rework Log",IF(AND(LEFT($AI10,3)&lt;&gt;"Yes",SUMPRODUCT(('Rework Log'!$A$3:$A$500=$B10)*('Rework Log'!$G$3:$G$500&lt;&gt;"Yes")*('Rework Log'!$G$3:$G$500&lt;&gt;"Did not pass re-test"))&gt;0),"Open rework row - mark Blocked? or close it",IF(AND($AI10="Yes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H)",IF(AND($AI10="Yes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H)",IF(AND($AI10="Yes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9" hidden="1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Log'!$A$3:$A$500=$B11)*('Rework Log'!$G$3:$G$500&lt;&gt;"Yes")*('Rework Log'!$G$3:$G$500&lt;&gt;"Did not pass re-test"))=0),"Blocked - log it on Rework Log",IF(AND(LEFT($AI11,3)&lt;&gt;"Yes",SUMPRODUCT(('Rework Log'!$A$3:$A$500=$B11)*('Rework Log'!$G$3:$G$500&lt;&gt;"Yes")*('Rework Log'!$G$3:$G$500&lt;&gt;"Did not pass re-test"))&gt;0),"Open rework row - mark Blocked? or close it",IF(AND($AI11="Yes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H)",IF(AND($AI11="Yes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H)",IF(AND($AI11="Yes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9" hidden="1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Log'!$A$3:$A$500=$B12)*('Rework Log'!$G$3:$G$500&lt;&gt;"Yes")*('Rework Log'!$G$3:$G$500&lt;&gt;"Did not pass re-test"))=0),"Blocked - log it on Rework Log",IF(AND(LEFT($AI12,3)&lt;&gt;"Yes",SUMPRODUCT(('Rework Log'!$A$3:$A$500=$B12)*('Rework Log'!$G$3:$G$500&lt;&gt;"Yes")*('Rework Log'!$G$3:$G$500&lt;&gt;"Did not pass re-test"))&gt;0),"Open rework row - mark Blocked? or close it",IF(AND($AI12="Yes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H)",IF(AND($AI12="Yes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H)",IF(AND($AI12="Yes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9" hidden="1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Log'!$A$3:$A$500=$B13)*('Rework Log'!$G$3:$G$500&lt;&gt;"Yes")*('Rework Log'!$G$3:$G$500&lt;&gt;"Did not pass re-test"))=0),"Blocked - log it on Rework Log",IF(AND(LEFT($AI13,3)&lt;&gt;"Yes",SUMPRODUCT(('Rework Log'!$A$3:$A$500=$B13)*('Rework Log'!$G$3:$G$500&lt;&gt;"Yes")*('Rework Log'!$G$3:$G$500&lt;&gt;"Did not pass re-test"))&gt;0),"Open rework row - mark Blocked? or close it",IF(AND($AI13="Yes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H)",IF(AND($AI13="Yes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H)",IF(AND($AI13="Yes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9" hidden="1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Log'!$A$3:$A$500=$B14)*('Rework Log'!$G$3:$G$500&lt;&gt;"Yes")*('Rework Log'!$G$3:$G$500&lt;&gt;"Did not pass re-test"))=0),"Blocked - log it on Rework Log",IF(AND(LEFT($AI14,3)&lt;&gt;"Yes",SUMPRODUCT(('Rework Log'!$A$3:$A$500=$B14)*('Rework Log'!$G$3:$G$500&lt;&gt;"Yes")*('Rework Log'!$G$3:$G$500&lt;&gt;"Did not pass re-test"))&gt;0),"Open rework row - mark Blocked? or close it",IF(AND($AI14="Yes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H)",IF(AND($AI14="Yes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H)",IF(AND($AI14="Yes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9" hidden="1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Log'!$A$3:$A$500=$B15)*('Rework Log'!$G$3:$G$500&lt;&gt;"Yes")*('Rework Log'!$G$3:$G$500&lt;&gt;"Did not pass re-test"))=0),"Blocked - log it on Rework Log",IF(AND(LEFT($AI15,3)&lt;&gt;"Yes",SUMPRODUCT(('Rework Log'!$A$3:$A$500=$B15)*('Rework Log'!$G$3:$G$500&lt;&gt;"Yes")*('Rework Log'!$G$3:$G$500&lt;&gt;"Did not pass re-test"))&gt;0),"Open rework row - mark Blocked? or close it",IF(AND($AI15="Yes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H)",IF(AND($AI15="Yes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H)",IF(AND($AI15="Yes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9" hidden="1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9" hidden="1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9" hidden="1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9" hidden="1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9" hidden="1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Log'!$A$3:$A$500=$B20)*('Rework Log'!$G$3:$G$500&lt;&gt;"Yes")*('Rework Log'!$G$3:$G$500&lt;&gt;"Did not pass re-test"))=0),"Blocked - log it on Rework Log",IF(AND(LEFT($AI20,3)&lt;&gt;"Yes",SUMPRODUCT(('Rework Log'!$A$3:$A$500=$B20)*('Rework Log'!$G$3:$G$500&lt;&gt;"Yes")*('Rework Log'!$G$3:$G$500&lt;&gt;"Did not pass re-test"))&gt;0),"Open rework row - mark Blocked? or close it",IF(AND($AI20="Yes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H)",IF(AND($AI20="Yes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H)",IF(AND($AI20="Yes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9" hidden="1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Log'!$A$3:$A$500=$B21)*('Rework Log'!$G$3:$G$500&lt;&gt;"Yes")*('Rework Log'!$G$3:$G$500&lt;&gt;"Did not pass re-test"))=0),"Blocked - log it on Rework Log",IF(AND(LEFT($AI21,3)&lt;&gt;"Yes",SUMPRODUCT(('Rework Log'!$A$3:$A$500=$B21)*('Rework Log'!$G$3:$G$500&lt;&gt;"Yes")*('Rework Log'!$G$3:$G$500&lt;&gt;"Did not pass re-test"))&gt;0),"Open rework row - mark Blocked? or close it",IF(AND($AI21="Yes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H)",IF(AND($AI21="Yes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H)",IF(AND($AI21="Yes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9" hidden="1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Log'!$A$3:$A$500=$B22)*('Rework Log'!$G$3:$G$500&lt;&gt;"Yes")*('Rework Log'!$G$3:$G$500&lt;&gt;"Did not pass re-test"))=0),"Blocked - log it on Rework Log",IF(AND(LEFT($AI22,3)&lt;&gt;"Yes",SUMPRODUCT(('Rework Log'!$A$3:$A$500=$B22)*('Rework Log'!$G$3:$G$500&lt;&gt;"Yes")*('Rework Log'!$G$3:$G$500&lt;&gt;"Did not pass re-test"))&gt;0),"Open rework row - mark Blocked? or close it",IF(AND($AI22="Yes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H)",IF(AND($AI22="Yes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H)",IF(AND($AI22="Yes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9" hidden="1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Log'!$A$3:$A$500=$B23)*('Rework Log'!$G$3:$G$500&lt;&gt;"Yes")*('Rework Log'!$G$3:$G$500&lt;&gt;"Did not pass re-test"))=0),"Blocked - log it on Rework Log",IF(AND(LEFT($AI23,3)&lt;&gt;"Yes",SUMPRODUCT(('Rework Log'!$A$3:$A$500=$B23)*('Rework Log'!$G$3:$G$500&lt;&gt;"Yes")*('Rework Log'!$G$3:$G$500&lt;&gt;"Did not pass re-test"))&gt;0),"Open rework row - mark Blocked? or close it",IF(AND($AI23="Yes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H)",IF(AND($AI23="Yes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H)",IF(AND($AI23="Yes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9" hidden="1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Log'!$A$3:$A$500=$B24)*('Rework Log'!$G$3:$G$500&lt;&gt;"Yes")*('Rework Log'!$G$3:$G$500&lt;&gt;"Did not pass re-test"))=0),"Blocked - log it on Rework Log",IF(AND(LEFT($AI24,3)&lt;&gt;"Yes",SUMPRODUCT(('Rework Log'!$A$3:$A$500=$B24)*('Rework Log'!$G$3:$G$500&lt;&gt;"Yes")*('Rework Log'!$G$3:$G$500&lt;&gt;"Did not pass re-test"))&gt;0),"Open rework row - mark Blocked? or close it",IF(AND($AI24="Yes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H)",IF(AND($AI24="Yes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H)",IF(AND($AI24="Yes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9" hidden="1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Log'!$A$3:$A$500=$B25)*('Rework Log'!$G$3:$G$500&lt;&gt;"Yes")*('Rework Log'!$G$3:$G$500&lt;&gt;"Did not pass re-test"))=0),"Blocked - log it on Rework Log",IF(AND(LEFT($AI25,3)&lt;&gt;"Yes",SUMPRODUCT(('Rework Log'!$A$3:$A$500=$B25)*('Rework Log'!$G$3:$G$500&lt;&gt;"Yes")*('Rework Log'!$G$3:$G$500&lt;&gt;"Did not pass re-test"))&gt;0),"Open rework row - mark Blocked? or close it",IF(AND($AI25="Yes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H)",IF(AND($AI25="Yes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H)",IF(AND($AI25="Yes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9" hidden="1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Log'!$A$3:$A$500=$B26)*('Rework Log'!$G$3:$G$500&lt;&gt;"Yes")*('Rework Log'!$G$3:$G$500&lt;&gt;"Did not pass re-test"))=0),"Blocked - log it on Rework Log",IF(AND(LEFT($AI26,3)&lt;&gt;"Yes",SUMPRODUCT(('Rework Log'!$A$3:$A$500=$B26)*('Rework Log'!$G$3:$G$500&lt;&gt;"Yes")*('Rework Log'!$G$3:$G$500&lt;&gt;"Did not pass re-test"))&gt;0),"Open rework row - mark Blocked? or close it",IF(AND($AI26="Yes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H)",IF(AND($AI26="Yes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H)",IF(AND($AI26="Yes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9" hidden="1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Log'!$A$3:$A$500=$B27)*('Rework Log'!$G$3:$G$500&lt;&gt;"Yes")*('Rework Log'!$G$3:$G$500&lt;&gt;"Did not pass re-test"))=0),"Blocked - log it on Rework Log",IF(AND(LEFT($AI27,3)&lt;&gt;"Yes",SUMPRODUCT(('Rework Log'!$A$3:$A$500=$B27)*('Rework Log'!$G$3:$G$500&lt;&gt;"Yes")*('Rework Log'!$G$3:$G$500&lt;&gt;"Did not pass re-test"))&gt;0),"Open rework row - mark Blocked? or close it",IF(AND($AI27="Yes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H)",IF(AND($AI27="Yes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H)",IF(AND($AI27="Yes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9" hidden="1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Log'!$A$3:$A$500=$B28)*('Rework Log'!$G$3:$G$500&lt;&gt;"Yes")*('Rework Log'!$G$3:$G$500&lt;&gt;"Did not pass re-test"))=0),"Blocked - log it on Rework Log",IF(AND(LEFT($AI28,3)&lt;&gt;"Yes",SUMPRODUCT(('Rework Log'!$A$3:$A$500=$B28)*('Rework Log'!$G$3:$G$500&lt;&gt;"Yes")*('Rework Log'!$G$3:$G$500&lt;&gt;"Did not pass re-test"))&gt;0),"Open rework row - mark Blocked? or close it",IF(AND($AI28="Yes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H)",IF(AND($AI28="Yes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H)",IF(AND($AI28="Yes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9" hidden="1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Overdue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Log'!$A$3:$A$500=$B29)*('Rework Log'!$G$3:$G$500&lt;&gt;"Yes")*('Rework Log'!$G$3:$G$500&lt;&gt;"Did not pass re-test"))=0),"Blocked - log it on Rework Log",IF(AND(LEFT($AI29,3)&lt;&gt;"Yes",SUMPRODUCT(('Rework Log'!$A$3:$A$500=$B29)*('Rework Log'!$G$3:$G$500&lt;&gt;"Yes")*('Rework Log'!$G$3:$G$500&lt;&gt;"Did not pass re-test"))&gt;0),"Open rework row - mark Blocked? or close it",IF(AND($AI29="Yes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H)",IF(AND($AI29="Yes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H)",IF(AND($AI29="Yes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9" hidden="1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Log'!$A$3:$A$500=$B30)*('Rework Log'!$G$3:$G$500&lt;&gt;"Yes")*('Rework Log'!$G$3:$G$500&lt;&gt;"Did not pass re-test"))=0),"Blocked - log it on Rework Log",IF(AND(LEFT($AI30,3)&lt;&gt;"Yes",SUMPRODUCT(('Rework Log'!$A$3:$A$500=$B30)*('Rework Log'!$G$3:$G$500&lt;&gt;"Yes")*('Rework Log'!$G$3:$G$500&lt;&gt;"Did not pass re-test"))&gt;0),"Open rework row - mark Blocked? or close it",IF(AND($AI30="Yes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H)",IF(AND($AI30="Yes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H)",IF(AND($AI30="Yes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9" hidden="1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Log'!$A$3:$A$500=$B31)*('Rework Log'!$G$3:$G$500&lt;&gt;"Yes")*('Rework Log'!$G$3:$G$500&lt;&gt;"Did not pass re-test"))=0),"Blocked - log it on Rework Log",IF(AND(LEFT($AI31,3)&lt;&gt;"Yes",SUMPRODUCT(('Rework Log'!$A$3:$A$500=$B31)*('Rework Log'!$G$3:$G$500&lt;&gt;"Yes")*('Rework Log'!$G$3:$G$500&lt;&gt;"Did not pass re-test"))&gt;0),"Open rework row - mark Blocked? or close it",IF(AND($AI31="Yes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H)",IF(AND($AI31="Yes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H)",IF(AND($AI31="Yes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9" hidden="1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46258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46261</v>
      </c>
      <c r="X32" s="36">
        <v>46261</v>
      </c>
      <c r="Y32" s="36"/>
      <c r="Z32" s="53">
        <v>46232</v>
      </c>
      <c r="AA32" s="36">
        <v>46273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52</v>
      </c>
      <c r="AJ32" s="74" t="str">
        <f>IF($B32="","",IF(AND(LEFT($AI32,3)="Yes",SUMPRODUCT(('Rework Log'!$A$3:$A$500=$B32)*('Rework Log'!$G$3:$G$500&lt;&gt;"Yes")*('Rework Log'!$G$3:$G$500&lt;&gt;"Did not pass re-test"))=0),"Blocked - log it on Rework Log",IF(AND(LEFT($AI32,3)&lt;&gt;"Yes",SUMPRODUCT(('Rework Log'!$A$3:$A$500=$B32)*('Rework Log'!$G$3:$G$500&lt;&gt;"Yes")*('Rework Log'!$G$3:$G$500&lt;&gt;"Did not pass re-test"))&gt;0),"Open rework row - mark Blocked? or close it",IF(AND($AI32="Yes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H)",IF(AND($AI32="Yes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H)",IF(AND($AI32="Yes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Open rework row - mark Blocked? or close it</v>
      </c>
      <c r="AK32" s="41" t="s">
        <v>142</v>
      </c>
      <c r="AL32" s="32" cm="1">
        <f t="array" ref="AL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2" s="32" t="str" cm="1">
        <f t="array" ref="AM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9" hidden="1">
      <c r="A33" s="33" t="s">
        <v>126</v>
      </c>
      <c r="B33" s="33" t="s">
        <v>143</v>
      </c>
      <c r="C33" s="33" t="s">
        <v>128</v>
      </c>
      <c r="D33" t="str" cm="1">
        <f t="array" aca="1" ref="D33" ca="1">IF($B33="","",IF(LEFT($AI33,3)="Yes","Blocked - "&amp;MID($AI33,7,100)&amp;IF(SUMPRODUCT(('Rework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144</v>
      </c>
      <c r="AL33" s="32" cm="1">
        <f t="array" ref="AL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9" hidden="1">
      <c r="A34" s="33" t="s">
        <v>126</v>
      </c>
      <c r="B34" s="33" t="s">
        <v>145</v>
      </c>
      <c r="C34" s="33" t="s">
        <v>128</v>
      </c>
      <c r="D34" t="str" cm="1">
        <f t="array" aca="1" ref="D34" ca="1">IF($B34="","",IF(LEFT($AI34,3)="Yes","Blocked - "&amp;MID($AI34,7,100)&amp;IF(SUMPRODUCT(('Rework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146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146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Log'!$A$3:$A$500=$B34)*('Rework Log'!$G$3:$G$500&lt;&gt;"Yes")*('Rework Log'!$G$3:$G$500&lt;&gt;"Did not pass re-test"))=0),"Blocked - log it on Rework Log",IF(AND(LEFT($AI34,3)&lt;&gt;"Yes",SUMPRODUCT(('Rework Log'!$A$3:$A$500=$B34)*('Rework Log'!$G$3:$G$500&lt;&gt;"Yes")*('Rework Log'!$G$3:$G$500&lt;&gt;"Did not pass re-test"))&gt;0),"Open rework row - mark Blocked? or close it",IF(AND($AI34="Yes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H)",IF(AND($AI34="Yes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H)",IF(AND($AI34="Yes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147</v>
      </c>
      <c r="AL34" s="32" cm="1">
        <f t="array" ref="AL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9" hidden="1">
      <c r="A35" s="33" t="s">
        <v>126</v>
      </c>
      <c r="B35" s="33" t="s">
        <v>148</v>
      </c>
      <c r="C35" s="33" t="s">
        <v>140</v>
      </c>
      <c r="D35" t="str" cm="1">
        <f t="array" aca="1" ref="D35" ca="1">IF($B35="","",IF(LEFT($AI35,3)="Yes","Blocked - "&amp;MID($AI35,7,100)&amp;IF(SUMPRODUCT(('Rework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146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46261</v>
      </c>
      <c r="T35" s="70"/>
      <c r="U35" s="55" t="s">
        <v>146</v>
      </c>
      <c r="V35" s="60">
        <v>46227</v>
      </c>
      <c r="W35" s="36"/>
      <c r="X35" s="36"/>
      <c r="Y35" s="36"/>
      <c r="Z35" s="53">
        <v>46232</v>
      </c>
      <c r="AA35" s="36">
        <v>46273</v>
      </c>
      <c r="AB35" s="36"/>
      <c r="AC35" s="33" t="s">
        <v>149</v>
      </c>
      <c r="AD35" s="33" t="s">
        <v>48</v>
      </c>
      <c r="AE35" s="38"/>
      <c r="AF35" s="36"/>
      <c r="AG35" s="39"/>
      <c r="AH35" s="33"/>
      <c r="AI35" s="40" t="s">
        <v>150</v>
      </c>
      <c r="AJ35" s="74" t="str">
        <f>IF($B35="","",IF(AND(LEFT($AI35,3)="Yes",SUMPRODUCT(('Rework Log'!$A$3:$A$500=$B35)*('Rework Log'!$G$3:$G$500&lt;&gt;"Yes")*('Rework Log'!$G$3:$G$500&lt;&gt;"Did not pass re-test"))=0),"Blocked - log it on Rework Log",IF(AND(LEFT($AI35,3)&lt;&gt;"Yes",SUMPRODUCT(('Rework Log'!$A$3:$A$500=$B35)*('Rework Log'!$G$3:$G$500&lt;&gt;"Yes")*('Rework Log'!$G$3:$G$500&lt;&gt;"Did not pass re-test"))&gt;0),"Open rework row - mark Blocked? or close it",IF(AND($AI35="Yes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H)",IF(AND($AI35="Yes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H)",IF(AND($AI35="Yes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151</v>
      </c>
      <c r="AL35" s="32" t="str" cm="1">
        <f t="array" ref="AL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5" s="32" t="str" cm="1">
        <f t="array" ref="AM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9" hidden="1">
      <c r="A36" s="33" t="s">
        <v>126</v>
      </c>
      <c r="B36" s="33" t="s">
        <v>152</v>
      </c>
      <c r="C36" s="33" t="s">
        <v>140</v>
      </c>
      <c r="D36" t="str" cm="1">
        <f t="array" aca="1" ref="D36" ca="1">IF($B36="","",IF(LEFT($AI36,3)="Yes","Blocked - "&amp;MID($AI36,7,100)&amp;IF(SUMPRODUCT(('Rework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Overdue</v>
      </c>
      <c r="E36" s="33">
        <v>8</v>
      </c>
      <c r="F36" s="34" t="s">
        <v>146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146</v>
      </c>
      <c r="V36" s="60">
        <v>46227</v>
      </c>
      <c r="W36" s="36"/>
      <c r="X36" s="36"/>
      <c r="Y36" s="36"/>
      <c r="Z36" s="53">
        <v>46232</v>
      </c>
      <c r="AA36" s="36">
        <v>46273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52</v>
      </c>
      <c r="AJ36" s="74" t="str">
        <f>IF($B36="","",IF(AND(LEFT($AI36,3)="Yes",SUMPRODUCT(('Rework Log'!$A$3:$A$500=$B36)*('Rework Log'!$G$3:$G$500&lt;&gt;"Yes")*('Rework Log'!$G$3:$G$500&lt;&gt;"Did not pass re-test"))=0),"Blocked - log it on Rework Log",IF(AND(LEFT($AI36,3)&lt;&gt;"Yes",SUMPRODUCT(('Rework Log'!$A$3:$A$500=$B36)*('Rework Log'!$G$3:$G$500&lt;&gt;"Yes")*('Rework Log'!$G$3:$G$500&lt;&gt;"Did not pass re-test"))&gt;0),"Open rework row - mark Blocked? or close it",IF(AND($AI36="Yes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H)",IF(AND($AI36="Yes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H)",IF(AND($AI36="Yes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Open rework row - mark Blocked? or close it</v>
      </c>
      <c r="AK36" s="41" t="s">
        <v>151</v>
      </c>
      <c r="AL36" s="32" cm="1">
        <f t="array" ref="AL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9" hidden="1">
      <c r="A37" s="33" t="s">
        <v>126</v>
      </c>
      <c r="B37" s="33" t="s">
        <v>153</v>
      </c>
      <c r="C37" s="33" t="s">
        <v>128</v>
      </c>
      <c r="D37" t="str" cm="1">
        <f t="array" aca="1" ref="D37" ca="1">IF($B37="","",IF(LEFT($AI37,3)="Yes","Blocked - "&amp;MID($AI37,7,100)&amp;IF(SUMPRODUCT(('Rework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146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146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 t="s">
        <v>154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Log'!$A$3:$A$500=$B37)*('Rework Log'!$G$3:$G$500&lt;&gt;"Yes")*('Rework Log'!$G$3:$G$500&lt;&gt;"Did not pass re-test"))=0),"Blocked - log it on Rework Log",IF(AND(LEFT($AI37,3)&lt;&gt;"Yes",SUMPRODUCT(('Rework Log'!$A$3:$A$500=$B37)*('Rework Log'!$G$3:$G$500&lt;&gt;"Yes")*('Rework Log'!$G$3:$G$500&lt;&gt;"Did not pass re-test"))&gt;0),"Open rework row - mark Blocked? or close it",IF(AND($AI37="Yes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H)",IF(AND($AI37="Yes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H)",IF(AND($AI37="Yes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155</v>
      </c>
      <c r="AL37" s="32" cm="1">
        <f t="array" ref="AL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9" hidden="1">
      <c r="A38" s="33" t="s">
        <v>126</v>
      </c>
      <c r="B38" s="33" t="s">
        <v>156</v>
      </c>
      <c r="C38" s="33" t="s">
        <v>128</v>
      </c>
      <c r="D38" t="str" cm="1">
        <f t="array" aca="1" ref="D38" ca="1">IF($B38="","",IF(LEFT($AI38,3)="Yes","Blocked - "&amp;MID($AI38,7,100)&amp;IF(SUMPRODUCT(('Rework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157</v>
      </c>
      <c r="F38" s="34" t="s">
        <v>146</v>
      </c>
      <c r="G38" s="33"/>
      <c r="H38" s="50">
        <v>46234</v>
      </c>
      <c r="I38" s="62" t="s">
        <v>130</v>
      </c>
      <c r="J38" s="33" t="s">
        <v>158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146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 t="s">
        <v>154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Log'!$A$3:$A$500=$B38)*('Rework Log'!$G$3:$G$500&lt;&gt;"Yes")*('Rework Log'!$G$3:$G$500&lt;&gt;"Did not pass re-test"))=0),"Blocked - log it on Rework Log",IF(AND(LEFT($AI38,3)&lt;&gt;"Yes",SUMPRODUCT(('Rework Log'!$A$3:$A$500=$B38)*('Rework Log'!$G$3:$G$500&lt;&gt;"Yes")*('Rework Log'!$G$3:$G$500&lt;&gt;"Did not pass re-test"))&gt;0),"Open rework row - mark Blocked? or close it",IF(AND($AI38="Yes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H)",IF(AND($AI38="Yes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H)",IF(AND($AI38="Yes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9" hidden="1">
      <c r="A39" s="33" t="s">
        <v>126</v>
      </c>
      <c r="B39" s="33" t="s">
        <v>159</v>
      </c>
      <c r="C39" s="33" t="s">
        <v>128</v>
      </c>
      <c r="D39" t="str" cm="1">
        <f t="array" aca="1" ref="D39" ca="1">IF($B39="","",IF(LEFT($AI39,3)="Yes","Blocked - "&amp;MID($AI39,7,100)&amp;IF(SUMPRODUCT(('Rework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146</v>
      </c>
      <c r="G39" s="33"/>
      <c r="H39" s="50">
        <v>46234</v>
      </c>
      <c r="I39" s="62" t="s">
        <v>130</v>
      </c>
      <c r="J39" s="33" t="s">
        <v>158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46259</v>
      </c>
      <c r="T39" s="70"/>
      <c r="U39" s="55" t="s">
        <v>46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 t="s">
        <v>154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Log'!$A$3:$A$500=$B39)*('Rework Log'!$G$3:$G$500&lt;&gt;"Yes")*('Rework Log'!$G$3:$G$500&lt;&gt;"Did not pass re-test"))=0),"Blocked - log it on Rework Log",IF(AND(LEFT($AI39,3)&lt;&gt;"Yes",SUMPRODUCT(('Rework Log'!$A$3:$A$500=$B39)*('Rework Log'!$G$3:$G$500&lt;&gt;"Yes")*('Rework Log'!$G$3:$G$500&lt;&gt;"Did not pass re-test"))&gt;0),"Open rework row - mark Blocked? or close it",IF(AND($AI39="Yes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H)",IF(AND($AI39="Yes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H)",IF(AND($AI39="Yes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151</v>
      </c>
      <c r="AL39" s="32" cm="1">
        <f t="array" ref="AL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9" hidden="1">
      <c r="A40" s="33" t="s">
        <v>126</v>
      </c>
      <c r="B40" s="33" t="s">
        <v>160</v>
      </c>
      <c r="C40" s="33" t="s">
        <v>128</v>
      </c>
      <c r="D40" t="str" cm="1">
        <f t="array" aca="1" ref="D40" ca="1">IF($B40="","",IF(LEFT($AI40,3)="Yes","Blocked - "&amp;MID($AI40,7,100)&amp;IF(SUMPRODUCT(('Rework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Log'!$A$3:$A$500=$B40)*('Rework Log'!$G$3:$G$500&lt;&gt;"Yes")*('Rework Log'!$G$3:$G$500&lt;&gt;"Did not pass re-test"))=0),"Blocked - log it on Rework Log",IF(AND(LEFT($AI40,3)&lt;&gt;"Yes",SUMPRODUCT(('Rework Log'!$A$3:$A$500=$B40)*('Rework Log'!$G$3:$G$500&lt;&gt;"Yes")*('Rework Log'!$G$3:$G$500&lt;&gt;"Did not pass re-test"))&gt;0),"Open rework row - mark Blocked? or close it",IF(AND($AI40="Yes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H)",IF(AND($AI40="Yes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H)",IF(AND($AI40="Yes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161</v>
      </c>
      <c r="AL40" s="32" t="str" cm="1">
        <f t="array" ref="AL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9" hidden="1">
      <c r="A41" s="33" t="s">
        <v>126</v>
      </c>
      <c r="B41" s="33" t="s">
        <v>162</v>
      </c>
      <c r="C41" s="33" t="s">
        <v>128</v>
      </c>
      <c r="D41" t="str" cm="1">
        <f t="array" aca="1" ref="D41" ca="1">IF($B41="","",IF(LEFT($AI41,3)="Yes","Blocked - "&amp;MID($AI41,7,100)&amp;IF(SUMPRODUCT(('Rework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Overdue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Log'!$A$3:$A$500=$B41)*('Rework Log'!$G$3:$G$500&lt;&gt;"Yes")*('Rework Log'!$G$3:$G$500&lt;&gt;"Did not pass re-test"))=0),"Blocked - log it on Rework Log",IF(AND(LEFT($AI41,3)&lt;&gt;"Yes",SUMPRODUCT(('Rework Log'!$A$3:$A$500=$B41)*('Rework Log'!$G$3:$G$500&lt;&gt;"Yes")*('Rework Log'!$G$3:$G$500&lt;&gt;"Did not pass re-test"))&gt;0),"Open rework row - mark Blocked? or close it",IF(AND($AI41="Yes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H)",IF(AND($AI41="Yes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H)",IF(AND($AI41="Yes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163</v>
      </c>
      <c r="AL41" s="32" t="str" cm="1">
        <f t="array" ref="AL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9" hidden="1">
      <c r="A42" s="33" t="s">
        <v>126</v>
      </c>
      <c r="B42" s="33" t="s">
        <v>164</v>
      </c>
      <c r="C42" s="33" t="s">
        <v>128</v>
      </c>
      <c r="D42" t="str" cm="1">
        <f t="array" aca="1" ref="D42" ca="1">IF($B42="","",IF(LEFT($AI42,3)="Yes","Blocked - "&amp;MID($AI42,7,100)&amp;IF(SUMPRODUCT(('Rework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146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165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46267</v>
      </c>
      <c r="AB42" s="36"/>
      <c r="AC42" s="33" t="s">
        <v>154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166</v>
      </c>
      <c r="AL42" s="32" t="str" cm="1">
        <f t="array" ref="AL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9" hidden="1">
      <c r="A43" s="33" t="s">
        <v>126</v>
      </c>
      <c r="B43" s="33" t="s">
        <v>167</v>
      </c>
      <c r="C43" s="33" t="s">
        <v>140</v>
      </c>
      <c r="D43" t="str" cm="1">
        <f t="array" aca="1" ref="D43" ca="1">IF($B43="","",IF(LEFT($AI43,3)="Yes","Blocked - "&amp;MID($AI43,7,100)&amp;IF(SUMPRODUCT(('Rework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Overdue</v>
      </c>
      <c r="E43" s="33" t="s">
        <v>168</v>
      </c>
      <c r="F43" s="34" t="s">
        <v>146</v>
      </c>
      <c r="G43" s="33"/>
      <c r="H43" s="50">
        <v>46265</v>
      </c>
      <c r="I43" s="62" t="s">
        <v>169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44</v>
      </c>
      <c r="O43" s="36" t="s">
        <v>170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Log'!$A$3:$A$500=$B43)*('Rework Log'!$G$3:$G$500&lt;&gt;"Yes")*('Rework Log'!$G$3:$G$500&lt;&gt;"Did not pass re-test"))=0),"Blocked - log it on Rework Log",IF(AND(LEFT($AI43,3)&lt;&gt;"Yes",SUMPRODUCT(('Rework Log'!$A$3:$A$500=$B43)*('Rework Log'!$G$3:$G$500&lt;&gt;"Yes")*('Rework Log'!$G$3:$G$500&lt;&gt;"Did not pass re-test"))&gt;0),"Open rework row - mark Blocked? or close it",IF(AND($AI43="Yes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H)",IF(AND($AI43="Yes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H)",IF(AND($AI43="Yes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171</v>
      </c>
      <c r="AL43" s="32" t="str" cm="1">
        <f t="array" ref="AL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9" hidden="1">
      <c r="A44" s="33" t="s">
        <v>126</v>
      </c>
      <c r="B44" s="33" t="s">
        <v>172</v>
      </c>
      <c r="C44" s="33" t="s">
        <v>140</v>
      </c>
      <c r="D44" t="str" cm="1">
        <f t="array" aca="1" ref="D44" ca="1">IF($B44="","",IF(LEFT($AI44,3)="Yes","Blocked - "&amp;MID($AI44,7,100)&amp;IF(SUMPRODUCT(('Rework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Overdue</v>
      </c>
      <c r="E44" s="33">
        <v>18</v>
      </c>
      <c r="F44" s="34" t="s">
        <v>146</v>
      </c>
      <c r="G44" s="33"/>
      <c r="H44" s="50">
        <v>46265</v>
      </c>
      <c r="I44" s="62" t="s">
        <v>169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170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173</v>
      </c>
      <c r="AD44" s="33" t="s">
        <v>48</v>
      </c>
      <c r="AE44" s="38"/>
      <c r="AF44" s="36"/>
      <c r="AG44" s="39"/>
      <c r="AH44" s="33"/>
      <c r="AI44" s="40" t="s">
        <v>52</v>
      </c>
      <c r="AJ44" s="74" t="str">
        <f>IF($B44="","",IF(AND(LEFT($AI44,3)="Yes",SUMPRODUCT(('Rework Log'!$A$3:$A$500=$B44)*('Rework Log'!$G$3:$G$500&lt;&gt;"Yes")*('Rework Log'!$G$3:$G$500&lt;&gt;"Did not pass re-test"))=0),"Blocked - log it on Rework Log",IF(AND(LEFT($AI44,3)&lt;&gt;"Yes",SUMPRODUCT(('Rework Log'!$A$3:$A$500=$B44)*('Rework Log'!$G$3:$G$500&lt;&gt;"Yes")*('Rework Log'!$G$3:$G$500&lt;&gt;"Did not pass re-test"))&gt;0),"Open rework row - mark Blocked? or close it",IF(AND($AI44="Yes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H)",IF(AND($AI44="Yes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H)",IF(AND($AI44="Yes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174</v>
      </c>
      <c r="AL44" s="32" t="str" cm="1">
        <f t="array" ref="AL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9" hidden="1">
      <c r="A45" s="33" t="s">
        <v>126</v>
      </c>
      <c r="B45" s="33" t="s">
        <v>175</v>
      </c>
      <c r="C45" s="33" t="s">
        <v>140</v>
      </c>
      <c r="D45" t="str" cm="1">
        <f t="array" aca="1" ref="D45" ca="1">IF($B45="","",IF(LEFT($AI45,3)="Yes","Blocked - "&amp;MID($AI45,7,100)&amp;IF(SUMPRODUCT(('Rework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On track</v>
      </c>
      <c r="E45" s="33">
        <v>19</v>
      </c>
      <c r="F45" s="34" t="s">
        <v>129</v>
      </c>
      <c r="G45" s="33"/>
      <c r="H45" s="50">
        <v>46265</v>
      </c>
      <c r="I45" s="62" t="s">
        <v>169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170</v>
      </c>
      <c r="P45" s="66" t="s">
        <v>76</v>
      </c>
      <c r="Q45" s="4">
        <v>46241</v>
      </c>
      <c r="R45" s="36">
        <v>46252</v>
      </c>
      <c r="S45" s="36">
        <v>46251</v>
      </c>
      <c r="T45" s="70"/>
      <c r="U45" s="55" t="s">
        <v>46</v>
      </c>
      <c r="V45" s="60">
        <v>46255</v>
      </c>
      <c r="W45" s="36">
        <v>46265</v>
      </c>
      <c r="X45" s="36"/>
      <c r="Y45" s="36"/>
      <c r="Z45" s="53">
        <v>46260</v>
      </c>
      <c r="AA45" s="36">
        <v>46265</v>
      </c>
      <c r="AB45" s="36"/>
      <c r="AC45" s="33" t="s">
        <v>173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Log'!$A$3:$A$500=$B45)*('Rework Log'!$G$3:$G$500&lt;&gt;"Yes")*('Rework Log'!$G$3:$G$500&lt;&gt;"Did not pass re-test"))=0),"Blocked - log it on Rework Log",IF(AND(LEFT($AI45,3)&lt;&gt;"Yes",SUMPRODUCT(('Rework Log'!$A$3:$A$500=$B45)*('Rework Log'!$G$3:$G$500&lt;&gt;"Yes")*('Rework Log'!$G$3:$G$500&lt;&gt;"Did not pass re-test"))&gt;0),"Open rework row - mark Blocked? or close it",IF(AND($AI45="Yes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H)",IF(AND($AI45="Yes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H)",IF(AND($AI45="Yes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176</v>
      </c>
      <c r="AL45" s="32" t="str" cm="1">
        <f t="array" ref="AL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9" hidden="1">
      <c r="A46" s="33" t="s">
        <v>126</v>
      </c>
      <c r="B46" s="33" t="s">
        <v>177</v>
      </c>
      <c r="C46" s="33" t="s">
        <v>178</v>
      </c>
      <c r="D46" t="str" cm="1">
        <f t="array" aca="1" ref="D46" ca="1">IF($B46="","",IF(LEFT($AI46,3)="Yes","Blocked - "&amp;MID($AI46,7,100)&amp;IF(SUMPRODUCT(('Rework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169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179</v>
      </c>
      <c r="P46" s="66" t="s">
        <v>59</v>
      </c>
      <c r="Q46" s="4">
        <v>46241</v>
      </c>
      <c r="R46" s="36">
        <v>46261</v>
      </c>
      <c r="S46" s="36">
        <v>46261</v>
      </c>
      <c r="T46" s="70"/>
      <c r="U46" s="55" t="s">
        <v>46</v>
      </c>
      <c r="V46" s="60">
        <v>46255</v>
      </c>
      <c r="W46" s="36"/>
      <c r="X46" s="36"/>
      <c r="Y46" s="36"/>
      <c r="Z46" s="53">
        <v>46260</v>
      </c>
      <c r="AA46" s="36">
        <v>46274</v>
      </c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Log'!$A$3:$A$500=$B46)*('Rework Log'!$G$3:$G$500&lt;&gt;"Yes")*('Rework Log'!$G$3:$G$500&lt;&gt;"Did not pass re-test"))=0),"Blocked - log it on Rework Log",IF(AND(LEFT($AI46,3)&lt;&gt;"Yes",SUMPRODUCT(('Rework Log'!$A$3:$A$500=$B46)*('Rework Log'!$G$3:$G$500&lt;&gt;"Yes")*('Rework Log'!$G$3:$G$500&lt;&gt;"Did not pass re-test"))&gt;0),"Open rework row - mark Blocked? or close it",IF(AND($AI46="Yes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H)",IF(AND($AI46="Yes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H)",IF(AND($AI46="Yes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/>
      <c r="AL46" s="32" t="str" cm="1">
        <f t="array" ref="AL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9" hidden="1">
      <c r="A47" s="33" t="s">
        <v>126</v>
      </c>
      <c r="B47" s="33" t="s">
        <v>180</v>
      </c>
      <c r="C47" s="33" t="s">
        <v>140</v>
      </c>
      <c r="D47" t="str" cm="1">
        <f t="array" aca="1" ref="D47" ca="1">IF($B47="","",IF(LEFT($AI47,3)="Yes","Blocked - "&amp;MID($AI47,7,100)&amp;IF(SUMPRODUCT(('Rework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2" t="s">
        <v>169</v>
      </c>
      <c r="J47" s="33" t="s">
        <v>158</v>
      </c>
      <c r="K47" s="4">
        <v>46234</v>
      </c>
      <c r="L47" s="36">
        <v>46246</v>
      </c>
      <c r="M47" s="36">
        <v>46246</v>
      </c>
      <c r="N47" s="36"/>
      <c r="O47" s="36" t="s">
        <v>181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46265</v>
      </c>
      <c r="X47" s="36"/>
      <c r="Y47" s="36"/>
      <c r="Z47" s="53">
        <v>46260</v>
      </c>
      <c r="AA47" s="36">
        <v>46276</v>
      </c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Log'!$A$3:$A$500=$B47)*('Rework Log'!$G$3:$G$500&lt;&gt;"Yes")*('Rework Log'!$G$3:$G$500&lt;&gt;"Did not pass re-test"))=0),"Blocked - log it on Rework Log",IF(AND(LEFT($AI47,3)&lt;&gt;"Yes",SUMPRODUCT(('Rework Log'!$A$3:$A$500=$B47)*('Rework Log'!$G$3:$G$500&lt;&gt;"Yes")*('Rework Log'!$G$3:$G$500&lt;&gt;"Did not pass re-test"))&gt;0),"Open rework row - mark Blocked? or close it",IF(AND($AI47="Yes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H)",IF(AND($AI47="Yes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H)",IF(AND($AI47="Yes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176</v>
      </c>
      <c r="AL47" s="32" t="str" cm="1">
        <f t="array" ref="AL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9" hidden="1">
      <c r="A48" s="33" t="s">
        <v>126</v>
      </c>
      <c r="B48" s="33" t="s">
        <v>182</v>
      </c>
      <c r="C48" s="33" t="s">
        <v>140</v>
      </c>
      <c r="D48" t="str" cm="1">
        <f t="array" aca="1" ref="D48" ca="1">IF($B48="","",IF(LEFT($AI48,3)="Yes","Blocked - "&amp;MID($AI48,7,100)&amp;IF(SUMPRODUCT(('Rework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146</v>
      </c>
      <c r="G48" s="33"/>
      <c r="H48" s="50">
        <v>46265</v>
      </c>
      <c r="I48" s="62" t="s">
        <v>169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181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146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 t="s">
        <v>173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Log'!$A$3:$A$500=$B48)*('Rework Log'!$G$3:$G$500&lt;&gt;"Yes")*('Rework Log'!$G$3:$G$500&lt;&gt;"Did not pass re-test"))=0),"Blocked - log it on Rework Log",IF(AND(LEFT($AI48,3)&lt;&gt;"Yes",SUMPRODUCT(('Rework Log'!$A$3:$A$500=$B48)*('Rework Log'!$G$3:$G$500&lt;&gt;"Yes")*('Rework Log'!$G$3:$G$500&lt;&gt;"Did not pass re-test"))&gt;0),"Open rework row - mark Blocked? or close it",IF(AND($AI48="Yes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H)",IF(AND($AI48="Yes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H)",IF(AND($AI48="Yes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183</v>
      </c>
      <c r="AL48" s="32" t="str" cm="1">
        <f t="array" ref="AL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9" hidden="1">
      <c r="A49" s="33" t="s">
        <v>126</v>
      </c>
      <c r="B49" s="33" t="s">
        <v>184</v>
      </c>
      <c r="C49" s="33" t="s">
        <v>185</v>
      </c>
      <c r="D49" t="str" cm="1">
        <f t="array" aca="1" ref="D49" ca="1">IF($B49="","",IF(LEFT($AI49,3)="Yes","Blocked - "&amp;MID($AI49,7,100)&amp;IF(SUMPRODUCT(('Rework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129</v>
      </c>
      <c r="G49" s="33"/>
      <c r="H49" s="50">
        <v>46265</v>
      </c>
      <c r="I49" s="62" t="s">
        <v>169</v>
      </c>
      <c r="J49" s="33" t="s">
        <v>158</v>
      </c>
      <c r="K49" s="4">
        <v>46234</v>
      </c>
      <c r="L49" s="36">
        <v>46253</v>
      </c>
      <c r="M49" s="36">
        <v>46252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46260</v>
      </c>
      <c r="T49" s="70"/>
      <c r="U49" s="55" t="s">
        <v>129</v>
      </c>
      <c r="V49" s="60">
        <v>46255</v>
      </c>
      <c r="W49" s="36">
        <v>46265</v>
      </c>
      <c r="X49" s="36"/>
      <c r="Y49" s="36"/>
      <c r="Z49" s="53">
        <v>46260</v>
      </c>
      <c r="AA49" s="36">
        <v>46274</v>
      </c>
      <c r="AB49" s="36"/>
      <c r="AC49" s="33" t="s">
        <v>154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Log'!$A$3:$A$500=$B49)*('Rework Log'!$G$3:$G$500&lt;&gt;"Yes")*('Rework Log'!$G$3:$G$500&lt;&gt;"Did not pass re-test"))=0),"Blocked - log it on Rework Log",IF(AND(LEFT($AI49,3)&lt;&gt;"Yes",SUMPRODUCT(('Rework Log'!$A$3:$A$500=$B49)*('Rework Log'!$G$3:$G$500&lt;&gt;"Yes")*('Rework Log'!$G$3:$G$500&lt;&gt;"Did not pass re-test"))&gt;0),"Open rework row - mark Blocked? or close it",IF(AND($AI49="Yes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H)",IF(AND($AI49="Yes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H)",IF(AND($AI49="Yes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>Open rework row - mark Blocked? or close it</v>
      </c>
      <c r="AK49" s="41"/>
      <c r="AL49" s="32" t="str" cm="1">
        <f t="array" ref="AL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9" ht="15" hidden="1" customHeight="1">
      <c r="A50" s="33" t="s">
        <v>126</v>
      </c>
      <c r="B50" s="33" t="s">
        <v>186</v>
      </c>
      <c r="C50" s="33" t="s">
        <v>140</v>
      </c>
      <c r="D50" t="str" cm="1">
        <f t="array" aca="1" ref="D50" ca="1">IF($B50="","",IF(LEFT($AI50,3)="Yes","Blocked - "&amp;MID($AI50,7,100)&amp;IF(SUMPRODUCT(('Rework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146</v>
      </c>
      <c r="G50" s="33"/>
      <c r="H50" s="50">
        <v>46265</v>
      </c>
      <c r="I50" s="62" t="s">
        <v>169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181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146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 t="s">
        <v>173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Log'!$A$3:$A$500=$B50)*('Rework Log'!$G$3:$G$500&lt;&gt;"Yes")*('Rework Log'!$G$3:$G$500&lt;&gt;"Did not pass re-test"))=0),"Blocked - log it on Rework Log",IF(AND(LEFT($AI50,3)&lt;&gt;"Yes",SUMPRODUCT(('Rework Log'!$A$3:$A$500=$B50)*('Rework Log'!$G$3:$G$500&lt;&gt;"Yes")*('Rework Log'!$G$3:$G$500&lt;&gt;"Did not pass re-test"))&gt;0),"Open rework row - mark Blocked? or close it",IF(AND($AI50="Yes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H)",IF(AND($AI50="Yes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H)",IF(AND($AI50="Yes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9" hidden="1">
      <c r="A51" s="33" t="s">
        <v>126</v>
      </c>
      <c r="B51" s="33" t="s">
        <v>187</v>
      </c>
      <c r="C51" s="33" t="s">
        <v>140</v>
      </c>
      <c r="D51" t="str" cm="1">
        <f t="array" aca="1" ref="D51" ca="1">IF($B51="","",IF(LEFT($AI51,3)="Yes","Blocked - "&amp;MID($AI51,7,100)&amp;IF(SUMPRODUCT(('Rework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146</v>
      </c>
      <c r="G51" s="33"/>
      <c r="H51" s="50">
        <v>46265</v>
      </c>
      <c r="I51" s="62" t="s">
        <v>169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181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146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 t="s">
        <v>188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Log'!$A$3:$A$500=$B51)*('Rework Log'!$G$3:$G$500&lt;&gt;"Yes")*('Rework Log'!$G$3:$G$500&lt;&gt;"Did not pass re-test"))=0),"Blocked - log it on Rework Log",IF(AND(LEFT($AI51,3)&lt;&gt;"Yes",SUMPRODUCT(('Rework Log'!$A$3:$A$500=$B51)*('Rework Log'!$G$3:$G$500&lt;&gt;"Yes")*('Rework Log'!$G$3:$G$500&lt;&gt;"Did not pass re-test"))&gt;0),"Open rework row - mark Blocked? or close it",IF(AND($AI51="Yes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H)",IF(AND($AI51="Yes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H)",IF(AND($AI51="Yes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183</v>
      </c>
      <c r="AL51" s="32" t="str" cm="1">
        <f t="array" ref="AL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9" hidden="1">
      <c r="A52" s="33" t="s">
        <v>126</v>
      </c>
      <c r="B52" s="33" t="s">
        <v>189</v>
      </c>
      <c r="C52" s="33" t="s">
        <v>178</v>
      </c>
      <c r="D52" t="str" cm="1">
        <f t="array" aca="1" ref="D52" ca="1">IF($B52="","",IF(LEFT($AI52,3)="Yes","Blocked - "&amp;MID($AI52,7,100)&amp;IF(SUMPRODUCT(('Rework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169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181</v>
      </c>
      <c r="P52" s="66" t="s">
        <v>45</v>
      </c>
      <c r="Q52" s="4">
        <v>46241</v>
      </c>
      <c r="R52" s="36">
        <v>46265</v>
      </c>
      <c r="S52" s="36"/>
      <c r="T52" s="70"/>
      <c r="U52" s="55" t="s">
        <v>46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 t="s">
        <v>190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Log'!$A$3:$A$500=$B52)*('Rework Log'!$G$3:$G$500&lt;&gt;"Yes")*('Rework Log'!$G$3:$G$500&lt;&gt;"Did not pass re-test"))=0),"Blocked - log it on Rework Log",IF(AND(LEFT($AI52,3)&lt;&gt;"Yes",SUMPRODUCT(('Rework Log'!$A$3:$A$500=$B52)*('Rework Log'!$G$3:$G$500&lt;&gt;"Yes")*('Rework Log'!$G$3:$G$500&lt;&gt;"Did not pass re-test"))&gt;0),"Open rework row - mark Blocked? or close it",IF(AND($AI52="Yes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H)",IF(AND($AI52="Yes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H)",IF(AND($AI52="Yes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41" t="s">
        <v>191</v>
      </c>
      <c r="AL52" s="32" t="str" cm="1">
        <f t="array" ref="AL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9" hidden="1">
      <c r="A53" s="33" t="s">
        <v>126</v>
      </c>
      <c r="B53" s="33" t="s">
        <v>192</v>
      </c>
      <c r="C53" s="33" t="s">
        <v>140</v>
      </c>
      <c r="D53" t="str" cm="1">
        <f t="array" aca="1" ref="D53" ca="1">IF($B53="","",IF(LEFT($AI53,3)="Yes","Blocked - "&amp;MID($AI53,7,100)&amp;IF(SUMPRODUCT(('Rework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146</v>
      </c>
      <c r="G53" s="33"/>
      <c r="H53" s="50">
        <v>46265</v>
      </c>
      <c r="I53" s="62" t="s">
        <v>169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193</v>
      </c>
      <c r="O53" s="36" t="s">
        <v>131</v>
      </c>
      <c r="P53" s="66" t="s">
        <v>76</v>
      </c>
      <c r="Q53" s="4">
        <v>46241</v>
      </c>
      <c r="R53" s="36">
        <v>46265</v>
      </c>
      <c r="S53" s="36">
        <v>46262</v>
      </c>
      <c r="T53" s="70"/>
      <c r="U53" s="55" t="s">
        <v>146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 t="s">
        <v>194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Log'!$A$3:$A$500=$B53)*('Rework Log'!$G$3:$G$500&lt;&gt;"Yes")*('Rework Log'!$G$3:$G$500&lt;&gt;"Did not pass re-test"))=0),"Blocked - log it on Rework Log",IF(AND(LEFT($AI53,3)&lt;&gt;"Yes",SUMPRODUCT(('Rework Log'!$A$3:$A$500=$B53)*('Rework Log'!$G$3:$G$500&lt;&gt;"Yes")*('Rework Log'!$G$3:$G$500&lt;&gt;"Did not pass re-test"))&gt;0),"Open rework row - mark Blocked? or close it",IF(AND($AI53="Yes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H)",IF(AND($AI53="Yes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H)",IF(AND($AI53="Yes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9" hidden="1">
      <c r="A54" s="33" t="s">
        <v>126</v>
      </c>
      <c r="B54" s="33" t="s">
        <v>195</v>
      </c>
      <c r="C54" s="33" t="s">
        <v>178</v>
      </c>
      <c r="D54" t="str" cm="1">
        <f t="array" aca="1" ref="D54" ca="1">IF($B54="","",IF(LEFT($AI54,3)="Yes","Blocked - "&amp;MID($AI54,7,100)&amp;IF(SUMPRODUCT(('Rework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129</v>
      </c>
      <c r="G54" s="33"/>
      <c r="H54" s="50">
        <v>46265</v>
      </c>
      <c r="I54" s="62" t="s">
        <v>169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 t="s">
        <v>196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Log'!$A$3:$A$500=$B54)*('Rework Log'!$G$3:$G$500&lt;&gt;"Yes")*('Rework Log'!$G$3:$G$500&lt;&gt;"Did not pass re-test"))=0),"Blocked - log it on Rework Log",IF(AND(LEFT($AI54,3)&lt;&gt;"Yes",SUMPRODUCT(('Rework Log'!$A$3:$A$500=$B54)*('Rework Log'!$G$3:$G$500&lt;&gt;"Yes")*('Rework Log'!$G$3:$G$500&lt;&gt;"Did not pass re-test"))&gt;0),"Open rework row - mark Blocked? or close it",IF(AND($AI54="Yes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H)",IF(AND($AI54="Yes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H)",IF(AND($AI54="Yes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9">
      <c r="A55" s="33" t="s">
        <v>126</v>
      </c>
      <c r="B55" s="33" t="s">
        <v>197</v>
      </c>
      <c r="C55" s="33" t="s">
        <v>178</v>
      </c>
      <c r="D55" t="str" cm="1">
        <f t="array" aca="1" ref="D55" ca="1">IF($B55="","",IF(LEFT($AI55,3)="Yes","Blocked - "&amp;MID($AI55,7,100)&amp;IF(SUMPRODUCT(('Rework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146</v>
      </c>
      <c r="G55" s="33"/>
      <c r="H55" s="50">
        <v>46295</v>
      </c>
      <c r="I55" s="56" t="s">
        <v>198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199</v>
      </c>
      <c r="P55" s="64" t="s">
        <v>76</v>
      </c>
      <c r="Q55" s="4">
        <v>46269</v>
      </c>
      <c r="R55" s="36"/>
      <c r="S55" s="36"/>
      <c r="T55" s="70" t="s">
        <v>200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201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Log'!$A$3:$A$500=$B55)*('Rework Log'!$G$3:$G$500&lt;&gt;"Yes")*('Rework Log'!$G$3:$G$500&lt;&gt;"Did not pass re-test"))=0),"Blocked - log it on Rework Log",IF(AND(LEFT($AI55,3)&lt;&gt;"Yes",SUMPRODUCT(('Rework Log'!$A$3:$A$500=$B55)*('Rework Log'!$G$3:$G$500&lt;&gt;"Yes")*('Rework Log'!$G$3:$G$500&lt;&gt;"Did not pass re-test"))&gt;0),"Open rework row - mark Blocked? or close it",IF(AND($AI55="Yes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H)",IF(AND($AI55="Yes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H)",IF(AND($AI55="Yes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9" hidden="1">
      <c r="A56" s="33" t="s">
        <v>126</v>
      </c>
      <c r="B56" s="33" t="s">
        <v>202</v>
      </c>
      <c r="C56" s="33" t="s">
        <v>178</v>
      </c>
      <c r="D56" t="str" cm="1">
        <f t="array" aca="1" ref="D56" ca="1">IF($B56="","",IF(LEFT($AI56,3)="Yes","Blocked - "&amp;MID($AI56,7,100)&amp;IF(SUMPRODUCT(('Rework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198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193</v>
      </c>
      <c r="O56" s="36" t="s">
        <v>199</v>
      </c>
      <c r="P56" s="64" t="s">
        <v>59</v>
      </c>
      <c r="Q56" s="4">
        <v>46269</v>
      </c>
      <c r="R56" s="36"/>
      <c r="S56" s="36"/>
      <c r="T56" s="70" t="s">
        <v>200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203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Log'!$A$3:$A$500=$B56)*('Rework Log'!$G$3:$G$500&lt;&gt;"Yes")*('Rework Log'!$G$3:$G$500&lt;&gt;"Did not pass re-test"))=0),"Blocked - log it on Rework Log",IF(AND(LEFT($AI56,3)&lt;&gt;"Yes",SUMPRODUCT(('Rework Log'!$A$3:$A$500=$B56)*('Rework Log'!$G$3:$G$500&lt;&gt;"Yes")*('Rework Log'!$G$3:$G$500&lt;&gt;"Did not pass re-test"))&gt;0),"Open rework row - mark Blocked? or close it",IF(AND($AI56="Yes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H)",IF(AND($AI56="Yes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H)",IF(AND($AI56="Yes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191</v>
      </c>
      <c r="AL56" s="32" t="str" cm="1">
        <f t="array" ref="AL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9" hidden="1">
      <c r="A57" s="33" t="s">
        <v>126</v>
      </c>
      <c r="B57" s="33" t="s">
        <v>204</v>
      </c>
      <c r="C57" s="33" t="s">
        <v>205</v>
      </c>
      <c r="D57" t="str" cm="1">
        <f t="array" aca="1" ref="D57" ca="1">IF($B57="","",IF(LEFT($AI57,3)="Yes","Blocked - "&amp;MID($AI57,7,100)&amp;IF(SUMPRODUCT(('Rework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146</v>
      </c>
      <c r="G57" s="33"/>
      <c r="H57" s="50">
        <v>46295</v>
      </c>
      <c r="I57" s="56" t="s">
        <v>198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199</v>
      </c>
      <c r="P57" s="64" t="s">
        <v>45</v>
      </c>
      <c r="Q57" s="4">
        <v>46269</v>
      </c>
      <c r="R57" s="36"/>
      <c r="S57" s="36"/>
      <c r="T57" s="70" t="s">
        <v>200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194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Log'!$A$3:$A$500=$B57)*('Rework Log'!$G$3:$G$500&lt;&gt;"Yes")*('Rework Log'!$G$3:$G$500&lt;&gt;"Did not pass re-test"))=0),"Blocked - log it on Rework Log",IF(AND(LEFT($AI57,3)&lt;&gt;"Yes",SUMPRODUCT(('Rework Log'!$A$3:$A$500=$B57)*('Rework Log'!$G$3:$G$500&lt;&gt;"Yes")*('Rework Log'!$G$3:$G$500&lt;&gt;"Did not pass re-test"))&gt;0),"Open rework row - mark Blocked? or close it",IF(AND($AI57="Yes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H)",IF(AND($AI57="Yes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H)",IF(AND($AI57="Yes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191</v>
      </c>
      <c r="AL57" s="32" t="str" cm="1">
        <f t="array" ref="AL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9">
      <c r="A58" s="33" t="s">
        <v>126</v>
      </c>
      <c r="B58" s="33" t="s">
        <v>206</v>
      </c>
      <c r="C58" s="33" t="s">
        <v>205</v>
      </c>
      <c r="D58" t="str" cm="1">
        <f t="array" aca="1" ref="D58" ca="1">IF($B58="","",IF(LEFT($AI58,3)="Yes","Blocked - "&amp;MID($AI58,7,100)&amp;IF(SUMPRODUCT(('Rework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129</v>
      </c>
      <c r="G58" s="33"/>
      <c r="H58" s="50">
        <v>46295</v>
      </c>
      <c r="I58" s="56" t="s">
        <v>198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199</v>
      </c>
      <c r="P58" s="64" t="s">
        <v>76</v>
      </c>
      <c r="Q58" s="4">
        <v>46269</v>
      </c>
      <c r="R58" s="36"/>
      <c r="S58" s="36"/>
      <c r="T58" s="70" t="s">
        <v>200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Log'!$A$3:$A$500=$B58)*('Rework Log'!$G$3:$G$500&lt;&gt;"Yes")*('Rework Log'!$G$3:$G$500&lt;&gt;"Did not pass re-test"))=0),"Blocked - log it on Rework Log",IF(AND(LEFT($AI58,3)&lt;&gt;"Yes",SUMPRODUCT(('Rework Log'!$A$3:$A$500=$B58)*('Rework Log'!$G$3:$G$500&lt;&gt;"Yes")*('Rework Log'!$G$3:$G$500&lt;&gt;"Did not pass re-test"))&gt;0),"Open rework row - mark Blocked? or close it",IF(AND($AI58="Yes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H)",IF(AND($AI58="Yes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H)",IF(AND($AI58="Yes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9" hidden="1">
      <c r="A59" s="33" t="s">
        <v>126</v>
      </c>
      <c r="B59" s="33" t="s">
        <v>207</v>
      </c>
      <c r="C59" s="33" t="s">
        <v>178</v>
      </c>
      <c r="D59" t="str" cm="1">
        <f t="array" aca="1" ref="D59" ca="1">IF($B59="","",IF(LEFT($AI59,3)="Yes","Blocked - "&amp;MID($AI59,7,100)&amp;IF(SUMPRODUCT(('Rework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146</v>
      </c>
      <c r="G59" s="33"/>
      <c r="H59" s="50">
        <v>46295</v>
      </c>
      <c r="I59" s="56" t="s">
        <v>198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199</v>
      </c>
      <c r="P59" s="64" t="s">
        <v>59</v>
      </c>
      <c r="Q59" s="4">
        <v>46269</v>
      </c>
      <c r="R59" s="36"/>
      <c r="S59" s="36"/>
      <c r="T59" s="70" t="s">
        <v>200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194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Log'!$A$3:$A$500=$B59)*('Rework Log'!$G$3:$G$500&lt;&gt;"Yes")*('Rework Log'!$G$3:$G$500&lt;&gt;"Did not pass re-test"))=0),"Blocked - log it on Rework Log",IF(AND(LEFT($AI59,3)&lt;&gt;"Yes",SUMPRODUCT(('Rework Log'!$A$3:$A$500=$B59)*('Rework Log'!$G$3:$G$500&lt;&gt;"Yes")*('Rework Log'!$G$3:$G$500&lt;&gt;"Did not pass re-test"))&gt;0),"Open rework row - mark Blocked? or close it",IF(AND($AI59="Yes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H)",IF(AND($AI59="Yes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H)",IF(AND($AI59="Yes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9" hidden="1">
      <c r="A60" s="33" t="s">
        <v>126</v>
      </c>
      <c r="B60" s="33" t="s">
        <v>208</v>
      </c>
      <c r="C60" s="33" t="s">
        <v>178</v>
      </c>
      <c r="D60" t="str" cm="1">
        <f t="array" aca="1" ref="D60" ca="1">IF($B60="","",IF(LEFT($AI60,3)="Yes","Blocked - "&amp;MID($AI60,7,100)&amp;IF(SUMPRODUCT(('Rework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146</v>
      </c>
      <c r="G60" s="33"/>
      <c r="H60" s="50">
        <v>46295</v>
      </c>
      <c r="I60" s="56" t="s">
        <v>198</v>
      </c>
      <c r="J60" s="33" t="s">
        <v>158</v>
      </c>
      <c r="K60" s="4">
        <v>46262</v>
      </c>
      <c r="L60" s="36">
        <v>46255</v>
      </c>
      <c r="M60" s="36">
        <v>46255</v>
      </c>
      <c r="N60" s="36"/>
      <c r="O60" s="36" t="s">
        <v>199</v>
      </c>
      <c r="P60" s="64" t="s">
        <v>45</v>
      </c>
      <c r="Q60" s="4">
        <v>46269</v>
      </c>
      <c r="R60" s="36"/>
      <c r="S60" s="36"/>
      <c r="T60" s="70" t="s">
        <v>200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209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Log'!$A$3:$A$500=$B60)*('Rework Log'!$G$3:$G$500&lt;&gt;"Yes")*('Rework Log'!$G$3:$G$500&lt;&gt;"Did not pass re-test"))=0),"Blocked - log it on Rework Log",IF(AND(LEFT($AI60,3)&lt;&gt;"Yes",SUMPRODUCT(('Rework Log'!$A$3:$A$500=$B60)*('Rework Log'!$G$3:$G$500&lt;&gt;"Yes")*('Rework Log'!$G$3:$G$500&lt;&gt;"Did not pass re-test"))&gt;0),"Open rework row - mark Blocked? or close it",IF(AND($AI60="Yes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H)",IF(AND($AI60="Yes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H)",IF(AND($AI60="Yes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9" hidden="1">
      <c r="A61" s="33" t="s">
        <v>126</v>
      </c>
      <c r="B61" s="33" t="s">
        <v>210</v>
      </c>
      <c r="C61" s="33" t="s">
        <v>205</v>
      </c>
      <c r="D61" t="str" cm="1">
        <f t="array" aca="1" ref="D61" ca="1">IF($B61="","",IF(LEFT($AI61,3)="Yes","Blocked - "&amp;MID($AI61,7,100)&amp;IF(SUMPRODUCT(('Rework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198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199</v>
      </c>
      <c r="P61" s="64" t="s">
        <v>59</v>
      </c>
      <c r="Q61" s="4">
        <v>46269</v>
      </c>
      <c r="R61" s="36"/>
      <c r="S61" s="36"/>
      <c r="T61" s="70" t="s">
        <v>200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211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Log'!$A$3:$A$500=$B61)*('Rework Log'!$G$3:$G$500&lt;&gt;"Yes")*('Rework Log'!$G$3:$G$500&lt;&gt;"Did not pass re-test"))=0),"Blocked - log it on Rework Log",IF(AND(LEFT($AI61,3)&lt;&gt;"Yes",SUMPRODUCT(('Rework Log'!$A$3:$A$500=$B61)*('Rework Log'!$G$3:$G$500&lt;&gt;"Yes")*('Rework Log'!$G$3:$G$500&lt;&gt;"Did not pass re-test"))&gt;0),"Open rework row - mark Blocked? or close it",IF(AND($AI61="Yes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H)",IF(AND($AI61="Yes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H)",IF(AND($AI61="Yes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9">
      <c r="A62" s="33" t="s">
        <v>126</v>
      </c>
      <c r="B62" s="33" t="s">
        <v>212</v>
      </c>
      <c r="C62" s="33" t="s">
        <v>205</v>
      </c>
      <c r="D62" t="str" cm="1">
        <f t="array" aca="1" ref="D62" ca="1">IF($B62="","",IF(LEFT($AI62,3)="Yes","Blocked - "&amp;MID($AI62,7,100)&amp;IF(SUMPRODUCT(('Rework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146</v>
      </c>
      <c r="G62" s="33"/>
      <c r="H62" s="50">
        <v>46295</v>
      </c>
      <c r="I62" s="56" t="s">
        <v>198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199</v>
      </c>
      <c r="P62" s="64" t="s">
        <v>76</v>
      </c>
      <c r="Q62" s="4">
        <v>46269</v>
      </c>
      <c r="R62" s="36"/>
      <c r="S62" s="36"/>
      <c r="T62" s="70" t="s">
        <v>200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213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Log'!$A$3:$A$500=$B62)*('Rework Log'!$G$3:$G$500&lt;&gt;"Yes")*('Rework Log'!$G$3:$G$500&lt;&gt;"Did not pass re-test"))=0),"Blocked - log it on Rework Log",IF(AND(LEFT($AI62,3)&lt;&gt;"Yes",SUMPRODUCT(('Rework Log'!$A$3:$A$500=$B62)*('Rework Log'!$G$3:$G$500&lt;&gt;"Yes")*('Rework Log'!$G$3:$G$500&lt;&gt;"Did not pass re-test"))&gt;0),"Open rework row - mark Blocked? or close it",IF(AND($AI62="Yes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H)",IF(AND($AI62="Yes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H)",IF(AND($AI62="Yes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9" hidden="1">
      <c r="A63" s="33" t="s">
        <v>126</v>
      </c>
      <c r="B63" s="33" t="s">
        <v>214</v>
      </c>
      <c r="C63" s="33" t="s">
        <v>205</v>
      </c>
      <c r="D63" t="str" cm="1">
        <f t="array" aca="1" ref="D63" ca="1">IF($B63="","",IF(LEFT($AI63,3)="Yes","Blocked - "&amp;MID($AI63,7,100)&amp;IF(SUMPRODUCT(('Rework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146</v>
      </c>
      <c r="G63" s="33"/>
      <c r="H63" s="50">
        <v>46295</v>
      </c>
      <c r="I63" s="56" t="s">
        <v>198</v>
      </c>
      <c r="J63" s="33" t="s">
        <v>83</v>
      </c>
      <c r="K63" s="4">
        <v>46276</v>
      </c>
      <c r="L63" s="36">
        <v>46276</v>
      </c>
      <c r="M63" s="36"/>
      <c r="N63" s="36"/>
      <c r="O63" s="36" t="s">
        <v>199</v>
      </c>
      <c r="P63" s="64" t="s">
        <v>45</v>
      </c>
      <c r="Q63" s="4">
        <v>46286</v>
      </c>
      <c r="R63" s="36"/>
      <c r="S63" s="36"/>
      <c r="T63" s="70" t="s">
        <v>200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215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Log'!$A$3:$A$500=$B63)*('Rework Log'!$G$3:$G$500&lt;&gt;"Yes")*('Rework Log'!$G$3:$G$500&lt;&gt;"Did not pass re-test"))=0),"Blocked - log it on Rework Log",IF(AND(LEFT($AI63,3)&lt;&gt;"Yes",SUMPRODUCT(('Rework Log'!$A$3:$A$500=$B63)*('Rework Log'!$G$3:$G$500&lt;&gt;"Yes")*('Rework Log'!$G$3:$G$500&lt;&gt;"Did not pass re-test"))&gt;0),"Open rework row - mark Blocked? or close it",IF(AND($AI63="Yes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H)",IF(AND($AI63="Yes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H)",IF(AND($AI63="Yes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9" hidden="1">
      <c r="A64" s="33" t="s">
        <v>126</v>
      </c>
      <c r="B64" s="33" t="s">
        <v>216</v>
      </c>
      <c r="C64" s="33" t="s">
        <v>205</v>
      </c>
      <c r="D64" t="str" cm="1">
        <f t="array" aca="1" ref="D64" ca="1">IF($B64="","",IF(LEFT($AI64,3)="Yes","Blocked - "&amp;MID($AI64,7,100)&amp;IF(SUMPRODUCT(('Rework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198</v>
      </c>
      <c r="J64" s="33" t="s">
        <v>102</v>
      </c>
      <c r="K64" s="4">
        <v>46276</v>
      </c>
      <c r="L64" s="36">
        <v>46265</v>
      </c>
      <c r="M64" s="36"/>
      <c r="N64" s="36"/>
      <c r="O64" s="36" t="s">
        <v>199</v>
      </c>
      <c r="P64" s="64" t="s">
        <v>59</v>
      </c>
      <c r="Q64" s="4">
        <v>46286</v>
      </c>
      <c r="R64" s="36"/>
      <c r="S64" s="36"/>
      <c r="T64" s="70" t="s">
        <v>200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217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Log'!$A$3:$A$500=$B64)*('Rework Log'!$G$3:$G$500&lt;&gt;"Yes")*('Rework Log'!$G$3:$G$500&lt;&gt;"Did not pass re-test"))=0),"Blocked - log it on Rework Log",IF(AND(LEFT($AI64,3)&lt;&gt;"Yes",SUMPRODUCT(('Rework Log'!$A$3:$A$500=$B64)*('Rework Log'!$G$3:$G$500&lt;&gt;"Yes")*('Rework Log'!$G$3:$G$500&lt;&gt;"Did not pass re-test"))&gt;0),"Open rework row - mark Blocked? or close it",IF(AND($AI64="Yes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H)",IF(AND($AI64="Yes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H)",IF(AND($AI64="Yes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9">
      <c r="A65" s="33" t="s">
        <v>126</v>
      </c>
      <c r="B65" s="33" t="s">
        <v>218</v>
      </c>
      <c r="C65" s="33" t="s">
        <v>185</v>
      </c>
      <c r="D65" t="str" cm="1">
        <f t="array" aca="1" ref="D65" ca="1">IF($B65="","",IF(LEFT($AI65,3)="Yes","Blocked - "&amp;MID($AI65,7,100)&amp;IF(SUMPRODUCT(('Rework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Overdue</v>
      </c>
      <c r="E65" s="33">
        <v>41</v>
      </c>
      <c r="F65" s="34" t="s">
        <v>129</v>
      </c>
      <c r="G65" s="33"/>
      <c r="H65" s="50">
        <v>46295</v>
      </c>
      <c r="I65" s="56" t="s">
        <v>198</v>
      </c>
      <c r="J65" s="33" t="s">
        <v>158</v>
      </c>
      <c r="K65" s="4">
        <v>46276</v>
      </c>
      <c r="L65" s="4">
        <v>46262</v>
      </c>
      <c r="M65" s="36"/>
      <c r="N65" s="36"/>
      <c r="O65" s="36" t="s">
        <v>199</v>
      </c>
      <c r="P65" s="64" t="s">
        <v>76</v>
      </c>
      <c r="Q65" s="4">
        <v>46286</v>
      </c>
      <c r="R65" s="36"/>
      <c r="S65" s="36"/>
      <c r="T65" s="70" t="s">
        <v>200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Log'!$A$3:$A$500=$B65)*('Rework Log'!$G$3:$G$500&lt;&gt;"Yes")*('Rework Log'!$G$3:$G$500&lt;&gt;"Did not pass re-test"))=0),"Blocked - log it on Rework Log",IF(AND(LEFT($AI65,3)&lt;&gt;"Yes",SUMPRODUCT(('Rework Log'!$A$3:$A$500=$B65)*('Rework Log'!$G$3:$G$500&lt;&gt;"Yes")*('Rework Log'!$G$3:$G$500&lt;&gt;"Did not pass re-test"))&gt;0),"Open rework row - mark Blocked? or close it",IF(AND($AI65="Yes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H)",IF(AND($AI65="Yes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H)",IF(AND($AI65="Yes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9" hidden="1">
      <c r="A66" s="33" t="s">
        <v>126</v>
      </c>
      <c r="B66" s="33" t="s">
        <v>219</v>
      </c>
      <c r="C66" s="33" t="s">
        <v>205</v>
      </c>
      <c r="D66" t="str" cm="1">
        <f t="array" aca="1" ref="D66" ca="1">IF($B66="","",IF(LEFT($AI66,3)="Yes","Blocked - "&amp;MID($AI66,7,100)&amp;IF(SUMPRODUCT(('Rework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198</v>
      </c>
      <c r="J66" s="33" t="s">
        <v>43</v>
      </c>
      <c r="K66" s="4">
        <v>46276</v>
      </c>
      <c r="L66" s="36"/>
      <c r="M66" s="36"/>
      <c r="N66" s="36"/>
      <c r="O66" s="36" t="s">
        <v>199</v>
      </c>
      <c r="P66" s="64" t="s">
        <v>45</v>
      </c>
      <c r="Q66" s="4">
        <v>46286</v>
      </c>
      <c r="R66" s="36"/>
      <c r="S66" s="36"/>
      <c r="T66" s="70" t="s">
        <v>200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217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Log'!$A$3:$A$500=$B66)*('Rework Log'!$G$3:$G$500&lt;&gt;"Yes")*('Rework Log'!$G$3:$G$500&lt;&gt;"Did not pass re-test"))=0),"Blocked - log it on Rework Log",IF(AND(LEFT($AI66,3)&lt;&gt;"Yes",SUMPRODUCT(('Rework Log'!$A$3:$A$500=$B66)*('Rework Log'!$G$3:$G$500&lt;&gt;"Yes")*('Rework Log'!$G$3:$G$500&lt;&gt;"Did not pass re-test"))&gt;0),"Open rework row - mark Blocked? or close it",IF(AND($AI66="Yes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H)",IF(AND($AI66="Yes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H)",IF(AND($AI66="Yes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9" hidden="1">
      <c r="A67" s="33" t="s">
        <v>126</v>
      </c>
      <c r="B67" s="33" t="s">
        <v>220</v>
      </c>
      <c r="C67" s="33" t="s">
        <v>205</v>
      </c>
      <c r="D67" t="str" cm="1">
        <f t="array" aca="1" ref="D67" ca="1">IF($B67="","",IF(LEFT($AI67,3)="Yes","Blocked - "&amp;MID($AI67,7,100)&amp;IF(SUMPRODUCT(('Rework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198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199</v>
      </c>
      <c r="P67" s="64" t="s">
        <v>59</v>
      </c>
      <c r="Q67" s="4">
        <v>46286</v>
      </c>
      <c r="R67" s="36">
        <v>46254</v>
      </c>
      <c r="S67" s="36">
        <v>46254</v>
      </c>
      <c r="T67" s="70" t="s">
        <v>200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221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Log'!$A$3:$A$500=$B67)*('Rework Log'!$G$3:$G$500&lt;&gt;"Yes")*('Rework Log'!$G$3:$G$500&lt;&gt;"Did not pass re-test"))=0),"Blocked - log it on Rework Log",IF(AND(LEFT($AI67,3)&lt;&gt;"Yes",SUMPRODUCT(('Rework Log'!$A$3:$A$500=$B67)*('Rework Log'!$G$3:$G$500&lt;&gt;"Yes")*('Rework Log'!$G$3:$G$500&lt;&gt;"Did not pass re-test"))&gt;0),"Open rework row - mark Blocked? or close it",IF(AND($AI67="Yes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H)",IF(AND($AI67="Yes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H)",IF(AND($AI67="Yes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9" s="83" customFormat="1">
      <c r="A68" s="82" t="s">
        <v>126</v>
      </c>
      <c r="B68" s="80" t="s">
        <v>222</v>
      </c>
      <c r="C68" s="82" t="s">
        <v>178</v>
      </c>
      <c r="D68" s="83" t="str" cm="1">
        <f t="array" aca="1" ref="D68" ca="1">IF($B68="","",IF(LEFT($AI68,3)="Yes","Blocked - "&amp;MID($AI68,7,100)&amp;IF(SUMPRODUCT(('Rework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82">
        <v>44</v>
      </c>
      <c r="F68" s="84" t="s">
        <v>129</v>
      </c>
      <c r="G68" s="82"/>
      <c r="H68" s="85">
        <v>46295</v>
      </c>
      <c r="I68" s="86" t="s">
        <v>198</v>
      </c>
      <c r="J68" s="82" t="s">
        <v>223</v>
      </c>
      <c r="K68" s="87">
        <v>46276</v>
      </c>
      <c r="L68" s="88">
        <v>46258</v>
      </c>
      <c r="M68" s="88">
        <v>46258</v>
      </c>
      <c r="N68" s="88"/>
      <c r="O68" s="88" t="s">
        <v>199</v>
      </c>
      <c r="P68" s="89" t="s">
        <v>76</v>
      </c>
      <c r="Q68" s="87">
        <v>46286</v>
      </c>
      <c r="R68" s="88"/>
      <c r="S68" s="88"/>
      <c r="T68" s="90" t="s">
        <v>224</v>
      </c>
      <c r="U68" s="82"/>
      <c r="V68" s="91">
        <v>46290</v>
      </c>
      <c r="W68" s="88"/>
      <c r="X68" s="88"/>
      <c r="Y68" s="88"/>
      <c r="Z68" s="92">
        <v>46295</v>
      </c>
      <c r="AA68" s="88"/>
      <c r="AB68" s="88"/>
      <c r="AC68" s="80" t="s">
        <v>225</v>
      </c>
      <c r="AD68" s="82" t="s">
        <v>71</v>
      </c>
      <c r="AE68" s="93"/>
      <c r="AF68" s="88"/>
      <c r="AG68" s="94"/>
      <c r="AH68" s="82"/>
      <c r="AI68" s="95" t="s">
        <v>52</v>
      </c>
      <c r="AJ68" s="96" t="str">
        <f>IF($B68="","",IF(AND(LEFT($AI68,3)="Yes",SUMPRODUCT(('Rework Log'!$A$3:$A$500=$B68)*('Rework Log'!$G$3:$G$500&lt;&gt;"Yes")*('Rework Log'!$G$3:$G$500&lt;&gt;"Did not pass re-test"))=0),"Blocked - log it on Rework Log",IF(AND(LEFT($AI68,3)&lt;&gt;"Yes",SUMPRODUCT(('Rework Log'!$A$3:$A$500=$B68)*('Rework Log'!$G$3:$G$500&lt;&gt;"Yes")*('Rework Log'!$G$3:$G$500&lt;&gt;"Did not pass re-test"))&gt;0),"Open rework row - mark Blocked? or close it",IF(AND($AI68="Yes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H)",IF(AND($AI68="Yes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H)",IF(AND($AI68="Yes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97" t="s">
        <v>226</v>
      </c>
      <c r="AL68" s="98" t="str" cm="1">
        <f t="array" ref="AL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8" s="98" t="str" cm="1">
        <f t="array" ref="AM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9" hidden="1">
      <c r="A69" s="33" t="s">
        <v>126</v>
      </c>
      <c r="B69" s="81" t="s">
        <v>227</v>
      </c>
      <c r="C69" s="33" t="s">
        <v>205</v>
      </c>
      <c r="D69" t="str" cm="1">
        <f t="array" aca="1" ref="D69" ca="1">IF($B69="","",IF(LEFT($AI69,3)="Yes","Blocked - "&amp;MID($AI69,7,100)&amp;IF(SUMPRODUCT(('Rework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146</v>
      </c>
      <c r="G69" s="33"/>
      <c r="H69" s="50">
        <v>46295</v>
      </c>
      <c r="I69" s="56" t="s">
        <v>198</v>
      </c>
      <c r="J69" s="33" t="s">
        <v>58</v>
      </c>
      <c r="K69" s="4">
        <v>46276</v>
      </c>
      <c r="L69" s="36"/>
      <c r="M69" s="36"/>
      <c r="N69" s="36"/>
      <c r="O69" s="36" t="s">
        <v>199</v>
      </c>
      <c r="P69" s="64" t="s">
        <v>45</v>
      </c>
      <c r="Q69" s="4">
        <v>46286</v>
      </c>
      <c r="R69" s="36"/>
      <c r="S69" s="36"/>
      <c r="T69" s="70" t="s">
        <v>224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81" t="s">
        <v>228</v>
      </c>
      <c r="AD69" s="33" t="s">
        <v>71</v>
      </c>
      <c r="AE69" s="38"/>
      <c r="AF69" s="36"/>
      <c r="AG69" s="39"/>
      <c r="AH69" s="33"/>
      <c r="AI69" s="40" t="s">
        <v>52</v>
      </c>
      <c r="AJ69" s="74" t="str">
        <f>IF($B69="","",IF(AND(LEFT($AI69,3)="Yes",SUMPRODUCT(('Rework Log'!$A$3:$A$500=$B69)*('Rework Log'!$G$3:$G$500&lt;&gt;"Yes")*('Rework Log'!$G$3:$G$500&lt;&gt;"Did not pass re-test"))=0),"Blocked - log it on Rework Log",IF(AND(LEFT($AI69,3)&lt;&gt;"Yes",SUMPRODUCT(('Rework Log'!$A$3:$A$500=$B69)*('Rework Log'!$G$3:$G$500&lt;&gt;"Yes")*('Rework Log'!$G$3:$G$500&lt;&gt;"Did not pass re-test"))&gt;0),"Open rework row - mark Blocked? or close it",IF(AND($AI69="Yes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H)",IF(AND($AI69="Yes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H)",IF(AND($AI69="Yes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 t="s">
        <v>229</v>
      </c>
      <c r="AL69" s="32" t="str" cm="1">
        <f t="array" ref="AL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9" hidden="1">
      <c r="A70" s="33" t="s">
        <v>126</v>
      </c>
      <c r="B70" s="33" t="s">
        <v>230</v>
      </c>
      <c r="C70" s="33" t="s">
        <v>205</v>
      </c>
      <c r="D70" t="str" cm="1">
        <f t="array" aca="1" ref="D70" ca="1">IF($B70="","",IF(LEFT($AI70,3)="Yes","Blocked - "&amp;MID($AI70,7,100)&amp;IF(SUMPRODUCT(('Rework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146</v>
      </c>
      <c r="G70" s="33"/>
      <c r="H70" s="50">
        <v>46295</v>
      </c>
      <c r="I70" s="56" t="s">
        <v>198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199</v>
      </c>
      <c r="P70" s="64" t="s">
        <v>45</v>
      </c>
      <c r="Q70" s="4">
        <v>46286</v>
      </c>
      <c r="R70" s="36"/>
      <c r="S70" s="36"/>
      <c r="T70" s="70" t="s">
        <v>224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194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Log'!$A$3:$A$500=$B70)*('Rework Log'!$G$3:$G$500&lt;&gt;"Yes")*('Rework Log'!$G$3:$G$500&lt;&gt;"Did not pass re-test"))=0),"Blocked - log it on Rework Log",IF(AND(LEFT($AI70,3)&lt;&gt;"Yes",SUMPRODUCT(('Rework Log'!$A$3:$A$500=$B70)*('Rework Log'!$G$3:$G$500&lt;&gt;"Yes")*('Rework Log'!$G$3:$G$500&lt;&gt;"Did not pass re-test"))&gt;0),"Open rework row - mark Blocked? or close it",IF(AND($AI70="Yes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H)",IF(AND($AI70="Yes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H)",IF(AND($AI70="Yes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9" hidden="1">
      <c r="A71" s="33" t="s">
        <v>126</v>
      </c>
      <c r="B71" s="33" t="s">
        <v>231</v>
      </c>
      <c r="C71" s="33" t="s">
        <v>205</v>
      </c>
      <c r="D71" t="str" cm="1">
        <f t="array" aca="1" ref="D71" ca="1">IF($B71="","",IF(LEFT($AI71,3)="Yes","Blocked - "&amp;MID($AI71,7,100)&amp;IF(SUMPRODUCT(('Rework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146</v>
      </c>
      <c r="G71" s="33"/>
      <c r="H71" s="50">
        <v>46295</v>
      </c>
      <c r="I71" s="56" t="s">
        <v>198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199</v>
      </c>
      <c r="P71" s="64" t="s">
        <v>59</v>
      </c>
      <c r="Q71" s="4">
        <v>46286</v>
      </c>
      <c r="R71" s="36"/>
      <c r="S71" s="36"/>
      <c r="T71" s="70" t="s">
        <v>224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232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Log'!$A$3:$A$500=$B71)*('Rework Log'!$G$3:$G$500&lt;&gt;"Yes")*('Rework Log'!$G$3:$G$500&lt;&gt;"Did not pass re-test"))=0),"Blocked - log it on Rework Log",IF(AND(LEFT($AI71,3)&lt;&gt;"Yes",SUMPRODUCT(('Rework Log'!$A$3:$A$500=$B71)*('Rework Log'!$G$3:$G$500&lt;&gt;"Yes")*('Rework Log'!$G$3:$G$500&lt;&gt;"Did not pass re-test"))&gt;0),"Open rework row - mark Blocked? or close it",IF(AND($AI71="Yes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H)",IF(AND($AI71="Yes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H)",IF(AND($AI71="Yes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9">
      <c r="A72" s="33" t="s">
        <v>126</v>
      </c>
      <c r="B72" s="33" t="s">
        <v>233</v>
      </c>
      <c r="C72" s="33" t="s">
        <v>178</v>
      </c>
      <c r="D72" t="str" cm="1">
        <f t="array" aca="1" ref="D72" ca="1">IF($B72="","",IF(LEFT($AI72,3)="Yes","Blocked - "&amp;MID($AI72,7,100)&amp;IF(SUMPRODUCT(('Rework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198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199</v>
      </c>
      <c r="P72" s="64" t="s">
        <v>76</v>
      </c>
      <c r="Q72" s="4">
        <v>46286</v>
      </c>
      <c r="R72" s="36"/>
      <c r="S72" s="36"/>
      <c r="T72" s="70" t="s">
        <v>224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173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Log'!$A$3:$A$500=$B72)*('Rework Log'!$G$3:$G$500&lt;&gt;"Yes")*('Rework Log'!$G$3:$G$500&lt;&gt;"Did not pass re-test"))=0),"Blocked - log it on Rework Log",IF(AND(LEFT($AI72,3)&lt;&gt;"Yes",SUMPRODUCT(('Rework Log'!$A$3:$A$500=$B72)*('Rework Log'!$G$3:$G$500&lt;&gt;"Yes")*('Rework Log'!$G$3:$G$500&lt;&gt;"Did not pass re-test"))&gt;0),"Open rework row - mark Blocked? or close it",IF(AND($AI72="Yes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H)",IF(AND($AI72="Yes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H)",IF(AND($AI72="Yes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9" hidden="1">
      <c r="A73" s="79" t="s">
        <v>126</v>
      </c>
      <c r="B73" s="31" t="s">
        <v>234</v>
      </c>
      <c r="C73" s="31" t="s">
        <v>178</v>
      </c>
      <c r="D73" t="str" cm="1">
        <f t="array" aca="1" ref="D73" ca="1">IF($B73="","",IF(LEFT($AI73,3)="Yes","Blocked - "&amp;MID($AI73,7,100)&amp;IF(SUMPRODUCT(('Rework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235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199</v>
      </c>
      <c r="P73" s="67"/>
      <c r="Q73" s="51"/>
      <c r="R73" s="43"/>
      <c r="S73" s="44"/>
      <c r="T73" s="71" t="s">
        <v>236</v>
      </c>
      <c r="U73" s="31"/>
      <c r="W73" s="43"/>
      <c r="X73" s="31"/>
      <c r="Y73" s="31"/>
      <c r="AA73" s="43"/>
      <c r="AB73" s="43"/>
      <c r="AC73" s="31" t="s">
        <v>201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9" hidden="1">
      <c r="A74" s="31" t="s">
        <v>126</v>
      </c>
      <c r="B74" s="31" t="s">
        <v>237</v>
      </c>
      <c r="C74" s="31" t="s">
        <v>205</v>
      </c>
      <c r="D74" t="str" cm="1">
        <f t="array" aca="1" ref="D74" ca="1">IF($B74="","",IF(LEFT($AI74,3)="Yes","Blocked - "&amp;MID($AI74,7,100)&amp;IF(SUMPRODUCT(('Rework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235</v>
      </c>
      <c r="J74" s="55" t="s">
        <v>223</v>
      </c>
      <c r="K74" s="51"/>
      <c r="L74" s="43"/>
      <c r="M74" s="44"/>
      <c r="N74" s="44"/>
      <c r="O74" s="44" t="s">
        <v>199</v>
      </c>
      <c r="P74" s="76"/>
      <c r="Q74" s="51"/>
      <c r="R74" s="43"/>
      <c r="S74" s="44"/>
      <c r="T74" s="71" t="s">
        <v>236</v>
      </c>
      <c r="U74" s="47"/>
      <c r="W74" s="43"/>
      <c r="X74" s="31"/>
      <c r="Y74" s="36"/>
      <c r="AA74" s="43"/>
      <c r="AB74" s="43"/>
      <c r="AC74" s="31" t="s">
        <v>173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9" hidden="1">
      <c r="A75" s="31" t="s">
        <v>126</v>
      </c>
      <c r="B75" s="31" t="s">
        <v>238</v>
      </c>
      <c r="C75" s="31" t="s">
        <v>205</v>
      </c>
      <c r="D75" t="str" cm="1">
        <f t="array" aca="1" ref="D75" ca="1">IF($B75="","",IF(LEFT($AI75,3)="Yes","Blocked - "&amp;MID($AI75,7,100)&amp;IF(SUMPRODUCT(('Rework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235</v>
      </c>
      <c r="J75" s="55" t="s">
        <v>58</v>
      </c>
      <c r="K75" s="51"/>
      <c r="L75" s="43"/>
      <c r="M75" s="44"/>
      <c r="N75" s="44"/>
      <c r="O75" s="44" t="s">
        <v>199</v>
      </c>
      <c r="P75" s="76"/>
      <c r="Q75" s="51"/>
      <c r="R75" s="43"/>
      <c r="S75" s="44"/>
      <c r="T75" s="71" t="s">
        <v>236</v>
      </c>
      <c r="U75" s="47"/>
      <c r="W75" s="43"/>
      <c r="X75" s="31"/>
      <c r="Y75" s="36"/>
      <c r="AA75" s="43"/>
      <c r="AB75" s="43"/>
      <c r="AC75" s="31" t="s">
        <v>239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9" hidden="1">
      <c r="A76" s="31" t="s">
        <v>126</v>
      </c>
      <c r="B76" s="31" t="s">
        <v>240</v>
      </c>
      <c r="C76" s="31" t="s">
        <v>205</v>
      </c>
      <c r="D76" t="str" cm="1">
        <f t="array" aca="1" ref="D76" ca="1">IF($B76="","",IF(LEFT($AI76,3)="Yes","Blocked - "&amp;MID($AI76,7,100)&amp;IF(SUMPRODUCT(('Rework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235</v>
      </c>
      <c r="J76" s="55"/>
      <c r="K76" s="51"/>
      <c r="L76" s="43"/>
      <c r="M76" s="44"/>
      <c r="N76" s="44"/>
      <c r="O76" s="44" t="s">
        <v>241</v>
      </c>
      <c r="P76" s="76"/>
      <c r="Q76" s="51"/>
      <c r="R76" s="43"/>
      <c r="S76" s="44"/>
      <c r="T76" s="71" t="s">
        <v>236</v>
      </c>
      <c r="U76" s="47"/>
      <c r="W76" s="43"/>
      <c r="X76" s="31"/>
      <c r="Y76" s="36"/>
      <c r="AA76" s="43"/>
      <c r="AB76" s="43"/>
      <c r="AC76" s="31" t="s">
        <v>239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9" hidden="1">
      <c r="A77" s="31" t="s">
        <v>126</v>
      </c>
      <c r="B77" s="31" t="s">
        <v>242</v>
      </c>
      <c r="C77" s="31" t="s">
        <v>205</v>
      </c>
      <c r="D77" t="str" cm="1">
        <f t="array" aca="1" ref="D77" ca="1">IF($B77="","",IF(LEFT($AI77,3)="Yes","Blocked - "&amp;MID($AI77,7,100)&amp;IF(SUMPRODUCT(('Rework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235</v>
      </c>
      <c r="J77" s="55"/>
      <c r="K77" s="51"/>
      <c r="L77" s="43"/>
      <c r="M77" s="44"/>
      <c r="N77" s="44"/>
      <c r="O77" s="44" t="s">
        <v>241</v>
      </c>
      <c r="P77" s="76"/>
      <c r="Q77" s="51"/>
      <c r="R77" s="43"/>
      <c r="S77" s="44"/>
      <c r="T77" s="71" t="s">
        <v>236</v>
      </c>
      <c r="U77" s="47"/>
      <c r="W77" s="43"/>
      <c r="X77" s="31"/>
      <c r="Y77" s="36"/>
      <c r="AA77" s="43"/>
      <c r="AB77" s="43"/>
      <c r="AC77" s="31" t="s">
        <v>239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9" hidden="1">
      <c r="A78" s="31" t="s">
        <v>126</v>
      </c>
      <c r="B78" s="31" t="s">
        <v>243</v>
      </c>
      <c r="C78" s="31" t="s">
        <v>205</v>
      </c>
      <c r="D78" t="str" cm="1">
        <f t="array" aca="1" ref="D78" ca="1">IF($B78="","",IF(LEFT($AI78,3)="Yes","Blocked - "&amp;MID($AI78,7,100)&amp;IF(SUMPRODUCT(('Rework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235</v>
      </c>
      <c r="J78" s="55" t="s">
        <v>43</v>
      </c>
      <c r="K78" s="51"/>
      <c r="L78" s="43"/>
      <c r="M78" s="44"/>
      <c r="N78" s="44"/>
      <c r="O78" s="44" t="s">
        <v>241</v>
      </c>
      <c r="P78" s="76"/>
      <c r="Q78" s="51"/>
      <c r="R78" s="43"/>
      <c r="S78" s="44"/>
      <c r="T78" s="71" t="s">
        <v>236</v>
      </c>
      <c r="U78" s="47"/>
      <c r="W78" s="43"/>
      <c r="X78" s="31"/>
      <c r="Y78" s="36"/>
      <c r="AA78" s="43"/>
      <c r="AB78" s="43"/>
      <c r="AC78" s="31" t="s">
        <v>190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9" hidden="1">
      <c r="A79" s="31" t="s">
        <v>126</v>
      </c>
      <c r="B79" s="31" t="s">
        <v>244</v>
      </c>
      <c r="C79" s="31" t="s">
        <v>205</v>
      </c>
      <c r="D79" t="str" cm="1">
        <f t="array" aca="1" ref="D79" ca="1">IF($B79="","",IF(LEFT($AI79,3)="Yes","Blocked - "&amp;MID($AI79,7,100)&amp;IF(SUMPRODUCT(('Rework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235</v>
      </c>
      <c r="J79" s="55" t="s">
        <v>75</v>
      </c>
      <c r="K79" s="51"/>
      <c r="L79" s="43"/>
      <c r="M79" s="44"/>
      <c r="N79" s="44"/>
      <c r="O79" s="44" t="s">
        <v>199</v>
      </c>
      <c r="P79" s="76"/>
      <c r="Q79" s="51"/>
      <c r="R79" s="43"/>
      <c r="S79" s="44"/>
      <c r="T79" s="71" t="s">
        <v>236</v>
      </c>
      <c r="U79" s="47"/>
      <c r="W79" s="43"/>
      <c r="X79" s="31"/>
      <c r="Y79" s="36"/>
      <c r="AA79" s="43"/>
      <c r="AB79" s="43"/>
      <c r="AC79" s="31" t="s">
        <v>245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9" hidden="1">
      <c r="A80" s="31" t="s">
        <v>126</v>
      </c>
      <c r="B80" s="31" t="s">
        <v>246</v>
      </c>
      <c r="C80" s="31" t="s">
        <v>205</v>
      </c>
      <c r="D80" t="str" cm="1">
        <f t="array" aca="1" ref="D80" ca="1">IF($B80="","",IF(LEFT($AI80,3)="Yes","Blocked - "&amp;MID($AI80,7,100)&amp;IF(SUMPRODUCT(('Rework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235</v>
      </c>
      <c r="J80" s="55"/>
      <c r="K80" s="51"/>
      <c r="L80" s="43"/>
      <c r="M80" s="44"/>
      <c r="N80" s="44"/>
      <c r="O80" s="44" t="s">
        <v>241</v>
      </c>
      <c r="P80" s="76"/>
      <c r="Q80" s="51"/>
      <c r="R80" s="43"/>
      <c r="S80" s="44"/>
      <c r="T80" s="71" t="s">
        <v>236</v>
      </c>
      <c r="U80" s="47"/>
      <c r="W80" s="43"/>
      <c r="X80" s="31"/>
      <c r="Y80" s="36"/>
      <c r="AA80" s="43"/>
      <c r="AB80" s="43"/>
      <c r="AC80" s="31" t="s">
        <v>209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9" hidden="1">
      <c r="A81" s="31" t="s">
        <v>126</v>
      </c>
      <c r="B81" s="31" t="s">
        <v>247</v>
      </c>
      <c r="C81" s="31" t="s">
        <v>205</v>
      </c>
      <c r="D81" t="str" cm="1">
        <f t="array" aca="1" ref="D81" ca="1">IF($B81="","",IF(LEFT($AI81,3)="Yes","Blocked - "&amp;MID($AI81,7,100)&amp;IF(SUMPRODUCT(('Rework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235</v>
      </c>
      <c r="J81" s="55"/>
      <c r="K81" s="51"/>
      <c r="L81" s="43"/>
      <c r="M81" s="44"/>
      <c r="N81" s="44"/>
      <c r="O81" s="44" t="s">
        <v>241</v>
      </c>
      <c r="P81" s="76"/>
      <c r="Q81" s="51"/>
      <c r="R81" s="43"/>
      <c r="S81" s="44"/>
      <c r="T81" s="70" t="s">
        <v>248</v>
      </c>
      <c r="U81" s="47"/>
      <c r="W81" s="43"/>
      <c r="X81" s="31"/>
      <c r="Y81" s="36"/>
      <c r="AA81" s="43"/>
      <c r="AB81" s="43"/>
      <c r="AC81" s="31" t="s">
        <v>217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9" hidden="1">
      <c r="A82" s="31" t="s">
        <v>126</v>
      </c>
      <c r="B82" s="31" t="s">
        <v>249</v>
      </c>
      <c r="C82" s="31" t="s">
        <v>205</v>
      </c>
      <c r="D82" t="str" cm="1">
        <f t="array" aca="1" ref="D82" ca="1">IF($B82="","",IF(LEFT($AI82,3)="Yes","Blocked - "&amp;MID($AI82,7,100)&amp;IF(SUMPRODUCT(('Rework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235</v>
      </c>
      <c r="J82" s="55"/>
      <c r="K82" s="51"/>
      <c r="L82" s="43"/>
      <c r="M82" s="44"/>
      <c r="N82" s="44"/>
      <c r="O82" s="36" t="s">
        <v>250</v>
      </c>
      <c r="P82" s="76"/>
      <c r="Q82" s="51"/>
      <c r="R82" s="43"/>
      <c r="S82" s="44"/>
      <c r="T82" s="70" t="s">
        <v>248</v>
      </c>
      <c r="U82" s="47"/>
      <c r="W82" s="43"/>
      <c r="X82" s="31"/>
      <c r="Y82" s="36"/>
      <c r="AA82" s="43"/>
      <c r="AB82" s="43"/>
      <c r="AC82" s="31" t="s">
        <v>251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9" hidden="1">
      <c r="A83" s="31" t="s">
        <v>126</v>
      </c>
      <c r="B83" s="31" t="s">
        <v>252</v>
      </c>
      <c r="C83" s="31" t="s">
        <v>205</v>
      </c>
      <c r="D83" t="str" cm="1">
        <f t="array" aca="1" ref="D83" ca="1">IF($B83="","",IF(LEFT($AI83,3)="Yes","Blocked - "&amp;MID($AI83,7,100)&amp;IF(SUMPRODUCT(('Rework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235</v>
      </c>
      <c r="J83" s="55"/>
      <c r="K83" s="51"/>
      <c r="L83" s="43"/>
      <c r="M83" s="44"/>
      <c r="N83" s="44"/>
      <c r="O83" s="36" t="s">
        <v>250</v>
      </c>
      <c r="P83" s="76"/>
      <c r="Q83" s="51"/>
      <c r="R83" s="43"/>
      <c r="S83" s="44"/>
      <c r="T83" s="70" t="s">
        <v>248</v>
      </c>
      <c r="U83" s="47"/>
      <c r="W83" s="43"/>
      <c r="X83" s="31"/>
      <c r="Y83" s="36"/>
      <c r="AA83" s="43"/>
      <c r="AB83" s="43"/>
      <c r="AC83" s="31" t="s">
        <v>253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9" hidden="1">
      <c r="A84" s="31" t="s">
        <v>126</v>
      </c>
      <c r="B84" s="31" t="s">
        <v>254</v>
      </c>
      <c r="C84" s="31" t="s">
        <v>205</v>
      </c>
      <c r="D84" t="str" cm="1">
        <f t="array" aca="1" ref="D84" ca="1">IF($B84="","",IF(LEFT($AI84,3)="Yes","Blocked - "&amp;MID($AI84,7,100)&amp;IF(SUMPRODUCT(('Rework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235</v>
      </c>
      <c r="J84" s="55"/>
      <c r="K84" s="51"/>
      <c r="L84" s="43"/>
      <c r="M84" s="44"/>
      <c r="N84" s="44"/>
      <c r="O84" s="36" t="s">
        <v>250</v>
      </c>
      <c r="P84" s="76"/>
      <c r="Q84" s="51"/>
      <c r="R84" s="43"/>
      <c r="S84" s="44"/>
      <c r="T84" s="70" t="s">
        <v>248</v>
      </c>
      <c r="U84" s="47"/>
      <c r="W84" s="43"/>
      <c r="X84" s="31"/>
      <c r="Y84" s="36"/>
      <c r="AA84" s="43"/>
      <c r="AB84" s="43"/>
      <c r="AC84" s="31" t="s">
        <v>194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9" hidden="1">
      <c r="A85" s="31" t="s">
        <v>126</v>
      </c>
      <c r="B85" s="31" t="s">
        <v>255</v>
      </c>
      <c r="C85" s="31" t="s">
        <v>205</v>
      </c>
      <c r="D85" t="str" cm="1">
        <f t="array" aca="1" ref="D85" ca="1">IF($B85="","",IF(LEFT($AI85,3)="Yes","Blocked - "&amp;MID($AI85,7,100)&amp;IF(SUMPRODUCT(('Rework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256</v>
      </c>
      <c r="F85" s="31"/>
      <c r="G85" s="31"/>
      <c r="H85" s="50">
        <v>46325</v>
      </c>
      <c r="I85" s="57" t="s">
        <v>235</v>
      </c>
      <c r="J85" s="55"/>
      <c r="K85" s="51"/>
      <c r="L85" s="43"/>
      <c r="M85" s="44"/>
      <c r="N85" s="44"/>
      <c r="O85" s="36" t="s">
        <v>257</v>
      </c>
      <c r="P85" s="76"/>
      <c r="Q85" s="51"/>
      <c r="R85" s="43"/>
      <c r="S85" s="44"/>
      <c r="T85" s="70" t="s">
        <v>248</v>
      </c>
      <c r="U85" s="47"/>
      <c r="W85" s="43"/>
      <c r="X85" s="31"/>
      <c r="Y85" s="36"/>
      <c r="AA85" s="43"/>
      <c r="AB85" s="43"/>
      <c r="AC85" s="31" t="s">
        <v>190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9" hidden="1">
      <c r="A86" s="31" t="s">
        <v>126</v>
      </c>
      <c r="B86" s="31" t="s">
        <v>258</v>
      </c>
      <c r="C86" s="31" t="s">
        <v>205</v>
      </c>
      <c r="D86" t="str" cm="1">
        <f t="array" aca="1" ref="D86" ca="1">IF($B86="","",IF(LEFT($AI86,3)="Yes","Blocked - "&amp;MID($AI86,7,100)&amp;IF(SUMPRODUCT(('Rework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259</v>
      </c>
      <c r="J86" s="55"/>
      <c r="K86" s="51"/>
      <c r="L86" s="43"/>
      <c r="M86" s="44"/>
      <c r="N86" s="44"/>
      <c r="O86" s="36" t="s">
        <v>257</v>
      </c>
      <c r="P86" s="76"/>
      <c r="Q86" s="51"/>
      <c r="R86" s="43"/>
      <c r="S86" s="44"/>
      <c r="T86" s="70" t="s">
        <v>248</v>
      </c>
      <c r="U86" s="47"/>
      <c r="W86" s="43"/>
      <c r="X86" s="31"/>
      <c r="Y86" s="36"/>
      <c r="AA86" s="43"/>
      <c r="AB86" s="43"/>
      <c r="AC86" s="31" t="s">
        <v>260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9" hidden="1">
      <c r="A87" s="31" t="s">
        <v>126</v>
      </c>
      <c r="B87" s="31" t="s">
        <v>261</v>
      </c>
      <c r="C87" s="31" t="s">
        <v>205</v>
      </c>
      <c r="D87" t="str" cm="1">
        <f t="array" aca="1" ref="D87" ca="1">IF($B87="","",IF(LEFT($AI87,3)="Yes","Blocked - "&amp;MID($AI87,7,100)&amp;IF(SUMPRODUCT(('Rework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259</v>
      </c>
      <c r="J87" s="55"/>
      <c r="K87" s="51"/>
      <c r="L87" s="43"/>
      <c r="M87" s="44"/>
      <c r="N87" s="44"/>
      <c r="O87" s="36" t="s">
        <v>257</v>
      </c>
      <c r="P87" s="76"/>
      <c r="Q87" s="51"/>
      <c r="R87" s="43"/>
      <c r="S87" s="44"/>
      <c r="T87" s="70" t="s">
        <v>248</v>
      </c>
      <c r="U87" s="47"/>
      <c r="W87" s="43"/>
      <c r="X87" s="31"/>
      <c r="Y87" s="36"/>
      <c r="AA87" s="43"/>
      <c r="AB87" s="43"/>
      <c r="AC87" s="31" t="s">
        <v>173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9" hidden="1">
      <c r="A88" s="31" t="s">
        <v>126</v>
      </c>
      <c r="B88" s="31" t="s">
        <v>262</v>
      </c>
      <c r="C88" s="31" t="s">
        <v>205</v>
      </c>
      <c r="D88" t="str" cm="1">
        <f t="array" aca="1" ref="D88" ca="1">IF($B88="","",IF(LEFT($AI88,3)="Yes","Blocked - "&amp;MID($AI88,7,100)&amp;IF(SUMPRODUCT(('Rework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259</v>
      </c>
      <c r="J88" s="55"/>
      <c r="K88" s="51"/>
      <c r="L88" s="43"/>
      <c r="M88" s="44"/>
      <c r="N88" s="44"/>
      <c r="O88" s="36" t="s">
        <v>257</v>
      </c>
      <c r="P88" s="76"/>
      <c r="Q88" s="51"/>
      <c r="R88" s="43"/>
      <c r="S88" s="44"/>
      <c r="T88" s="70" t="s">
        <v>263</v>
      </c>
      <c r="U88" s="47"/>
      <c r="W88" s="43"/>
      <c r="X88" s="31"/>
      <c r="Y88" s="36"/>
      <c r="AA88" s="43"/>
      <c r="AB88" s="43"/>
      <c r="AC88" s="31" t="s">
        <v>173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9" hidden="1">
      <c r="A89" s="31" t="s">
        <v>126</v>
      </c>
      <c r="B89" s="31" t="s">
        <v>264</v>
      </c>
      <c r="C89" s="31" t="s">
        <v>205</v>
      </c>
      <c r="D89" t="str" cm="1">
        <f t="array" aca="1" ref="D89" ca="1">IF($B89="","",IF(LEFT($AI89,3)="Yes","Blocked - "&amp;MID($AI89,7,100)&amp;IF(SUMPRODUCT(('Rework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259</v>
      </c>
      <c r="J89" s="55"/>
      <c r="K89" s="51"/>
      <c r="L89" s="43"/>
      <c r="M89" s="44"/>
      <c r="N89" s="44"/>
      <c r="O89" s="36" t="s">
        <v>257</v>
      </c>
      <c r="P89" s="76"/>
      <c r="Q89" s="51"/>
      <c r="R89" s="43"/>
      <c r="S89" s="44"/>
      <c r="T89" s="70" t="s">
        <v>263</v>
      </c>
      <c r="U89" s="47"/>
      <c r="W89" s="43"/>
      <c r="X89" s="31"/>
      <c r="Y89" s="36"/>
      <c r="AA89" s="43"/>
      <c r="AB89" s="43"/>
      <c r="AC89" s="31" t="s">
        <v>173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9" hidden="1">
      <c r="A90" s="31" t="s">
        <v>126</v>
      </c>
      <c r="B90" s="31" t="s">
        <v>265</v>
      </c>
      <c r="C90" s="31" t="s">
        <v>205</v>
      </c>
      <c r="D90" t="str" cm="1">
        <f t="array" aca="1" ref="D90" ca="1">IF($B90="","",IF(LEFT($AI90,3)="Yes","Blocked - "&amp;MID($AI90,7,100)&amp;IF(SUMPRODUCT(('Rework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259</v>
      </c>
      <c r="J90" s="55"/>
      <c r="K90" s="51"/>
      <c r="L90" s="43"/>
      <c r="M90" s="44"/>
      <c r="N90" s="44"/>
      <c r="O90" s="36" t="s">
        <v>257</v>
      </c>
      <c r="P90" s="76"/>
      <c r="Q90" s="51"/>
      <c r="R90" s="43"/>
      <c r="S90" s="44"/>
      <c r="T90" s="70" t="s">
        <v>263</v>
      </c>
      <c r="U90" s="47"/>
      <c r="W90" s="43"/>
      <c r="X90" s="31"/>
      <c r="Y90" s="36"/>
      <c r="AA90" s="43"/>
      <c r="AB90" s="43"/>
      <c r="AC90" s="31" t="s">
        <v>173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9" hidden="1">
      <c r="A91" s="31" t="s">
        <v>126</v>
      </c>
      <c r="B91" s="31" t="s">
        <v>266</v>
      </c>
      <c r="C91" s="31" t="s">
        <v>205</v>
      </c>
      <c r="D91" t="str" cm="1">
        <f t="array" aca="1" ref="D91" ca="1">IF($B91="","",IF(LEFT($AI91,3)="Yes","Blocked - "&amp;MID($AI91,7,100)&amp;IF(SUMPRODUCT(('Rework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259</v>
      </c>
      <c r="J91" s="55"/>
      <c r="K91" s="51"/>
      <c r="L91" s="43"/>
      <c r="M91" s="44"/>
      <c r="N91" s="44"/>
      <c r="O91" s="36" t="s">
        <v>257</v>
      </c>
      <c r="P91" s="76"/>
      <c r="Q91" s="51"/>
      <c r="R91" s="43"/>
      <c r="S91" s="44"/>
      <c r="T91" s="70" t="s">
        <v>263</v>
      </c>
      <c r="U91" s="47"/>
      <c r="W91" s="43"/>
      <c r="X91" s="31"/>
      <c r="Y91" s="36"/>
      <c r="AA91" s="43"/>
      <c r="AB91" s="43"/>
      <c r="AC91" s="31" t="s">
        <v>267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9" hidden="1">
      <c r="A92" s="31" t="s">
        <v>126</v>
      </c>
      <c r="B92" s="31" t="s">
        <v>268</v>
      </c>
      <c r="C92" s="31" t="s">
        <v>205</v>
      </c>
      <c r="D92" t="str" cm="1">
        <f t="array" aca="1" ref="D92" ca="1">IF($B92="","",IF(LEFT($AI92,3)="Yes","Blocked - "&amp;MID($AI92,7,100)&amp;IF(SUMPRODUCT(('Rework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259</v>
      </c>
      <c r="J92" s="55"/>
      <c r="K92" s="51"/>
      <c r="L92" s="43"/>
      <c r="M92" s="44"/>
      <c r="N92" s="44"/>
      <c r="O92" s="36" t="s">
        <v>269</v>
      </c>
      <c r="P92" s="76"/>
      <c r="Q92" s="51"/>
      <c r="R92" s="43"/>
      <c r="S92" s="44"/>
      <c r="T92" s="70" t="s">
        <v>263</v>
      </c>
      <c r="U92" s="47"/>
      <c r="W92" s="43"/>
      <c r="X92" s="31"/>
      <c r="Y92" s="36"/>
      <c r="AA92" s="43"/>
      <c r="AB92" s="43"/>
      <c r="AC92" s="31" t="s">
        <v>173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9" hidden="1">
      <c r="A93" s="31" t="s">
        <v>126</v>
      </c>
      <c r="B93" s="31" t="s">
        <v>270</v>
      </c>
      <c r="C93" s="31" t="s">
        <v>205</v>
      </c>
      <c r="D93" t="str" cm="1">
        <f t="array" aca="1" ref="D93" ca="1">IF($B93="","",IF(LEFT($AI93,3)="Yes","Blocked - "&amp;MID($AI93,7,100)&amp;IF(SUMPRODUCT(('Rework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259</v>
      </c>
      <c r="J93" s="55"/>
      <c r="K93" s="51"/>
      <c r="L93" s="43"/>
      <c r="M93" s="44"/>
      <c r="N93" s="44"/>
      <c r="O93" s="36" t="s">
        <v>269</v>
      </c>
      <c r="P93" s="76"/>
      <c r="Q93" s="51"/>
      <c r="R93" s="43"/>
      <c r="S93" s="44"/>
      <c r="T93" s="70" t="s">
        <v>263</v>
      </c>
      <c r="U93" s="47"/>
      <c r="W93" s="43"/>
      <c r="X93" s="31"/>
      <c r="Y93" s="36"/>
      <c r="AA93" s="43"/>
      <c r="AB93" s="43"/>
      <c r="AC93" s="31" t="s">
        <v>196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9" hidden="1">
      <c r="A94" s="31" t="s">
        <v>126</v>
      </c>
      <c r="B94" s="31" t="s">
        <v>271</v>
      </c>
      <c r="C94" s="31" t="s">
        <v>205</v>
      </c>
      <c r="D94" t="str" cm="1">
        <f t="array" aca="1" ref="D94" ca="1">IF($B94="","",IF(LEFT($AI94,3)="Yes","Blocked - "&amp;MID($AI94,7,100)&amp;IF(SUMPRODUCT(('Rework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259</v>
      </c>
      <c r="J94" s="55"/>
      <c r="K94" s="51"/>
      <c r="L94" s="43"/>
      <c r="M94" s="44"/>
      <c r="N94" s="44"/>
      <c r="O94" s="36" t="s">
        <v>269</v>
      </c>
      <c r="P94" s="76"/>
      <c r="Q94" s="51"/>
      <c r="R94" s="43"/>
      <c r="S94" s="44"/>
      <c r="T94" s="70" t="s">
        <v>263</v>
      </c>
      <c r="U94" s="47"/>
      <c r="W94" s="43"/>
      <c r="X94" s="31"/>
      <c r="Y94" s="36"/>
      <c r="AA94" s="43"/>
      <c r="AB94" s="43"/>
      <c r="AC94" s="31" t="s">
        <v>272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9" hidden="1">
      <c r="A95" s="31" t="s">
        <v>126</v>
      </c>
      <c r="B95" s="31" t="s">
        <v>273</v>
      </c>
      <c r="C95" s="31" t="s">
        <v>205</v>
      </c>
      <c r="D95" t="str" cm="1">
        <f t="array" aca="1" ref="D95" ca="1">IF($B95="","",IF(LEFT($AI95,3)="Yes","Blocked - "&amp;MID($AI95,7,100)&amp;IF(SUMPRODUCT(('Rework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259</v>
      </c>
      <c r="J95" s="55"/>
      <c r="K95" s="51"/>
      <c r="L95" s="43"/>
      <c r="M95" s="44"/>
      <c r="N95" s="44"/>
      <c r="O95" s="36" t="s">
        <v>269</v>
      </c>
      <c r="P95" s="76"/>
      <c r="Q95" s="51"/>
      <c r="R95" s="43"/>
      <c r="S95" s="44"/>
      <c r="T95" s="70" t="s">
        <v>274</v>
      </c>
      <c r="U95" s="47"/>
      <c r="W95" s="43"/>
      <c r="X95" s="31"/>
      <c r="Y95" s="36"/>
      <c r="AA95" s="43"/>
      <c r="AB95" s="43"/>
      <c r="AC95" s="31" t="s">
        <v>275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9" hidden="1">
      <c r="A96" s="31" t="s">
        <v>126</v>
      </c>
      <c r="B96" s="31" t="s">
        <v>276</v>
      </c>
      <c r="C96" s="31" t="s">
        <v>205</v>
      </c>
      <c r="D96" t="str" cm="1">
        <f t="array" aca="1" ref="D96" ca="1">IF($B96="","",IF(LEFT($AI96,3)="Yes","Blocked - "&amp;MID($AI96,7,100)&amp;IF(SUMPRODUCT(('Rework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259</v>
      </c>
      <c r="J96" s="55"/>
      <c r="K96" s="51"/>
      <c r="L96" s="43"/>
      <c r="M96" s="44"/>
      <c r="N96" s="44"/>
      <c r="O96" s="36" t="s">
        <v>269</v>
      </c>
      <c r="P96" s="76"/>
      <c r="Q96" s="51"/>
      <c r="R96" s="43"/>
      <c r="S96" s="44"/>
      <c r="T96" s="70" t="s">
        <v>274</v>
      </c>
      <c r="U96" s="47"/>
      <c r="W96" s="43"/>
      <c r="X96" s="31"/>
      <c r="Y96" s="36"/>
      <c r="AA96" s="43"/>
      <c r="AB96" s="43"/>
      <c r="AC96" s="31" t="s">
        <v>277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9" hidden="1">
      <c r="A97" s="31" t="s">
        <v>126</v>
      </c>
      <c r="B97" s="31" t="s">
        <v>278</v>
      </c>
      <c r="C97" s="31" t="s">
        <v>205</v>
      </c>
      <c r="D97" t="str" cm="1">
        <f t="array" aca="1" ref="D97" ca="1">IF($B97="","",IF(LEFT($AI97,3)="Yes","Blocked - "&amp;MID($AI97,7,100)&amp;IF(SUMPRODUCT(('Rework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259</v>
      </c>
      <c r="J97" s="55"/>
      <c r="K97" s="51"/>
      <c r="L97" s="43"/>
      <c r="M97" s="44"/>
      <c r="N97" s="44"/>
      <c r="O97" s="36" t="s">
        <v>269</v>
      </c>
      <c r="P97" s="76"/>
      <c r="Q97" s="51"/>
      <c r="R97" s="43"/>
      <c r="S97" s="44"/>
      <c r="T97" s="70" t="s">
        <v>274</v>
      </c>
      <c r="U97" s="47"/>
      <c r="W97" s="43"/>
      <c r="X97" s="31"/>
      <c r="Y97" s="36"/>
      <c r="AA97" s="43"/>
      <c r="AB97" s="43"/>
      <c r="AC97" s="31" t="s">
        <v>279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9" hidden="1">
      <c r="A98" s="31" t="s">
        <v>126</v>
      </c>
      <c r="B98" s="31" t="s">
        <v>280</v>
      </c>
      <c r="C98" s="31" t="s">
        <v>205</v>
      </c>
      <c r="D98" t="str" cm="1">
        <f t="array" aca="1" ref="D98" ca="1">IF($B98="","",IF(LEFT($AI98,3)="Yes","Blocked - "&amp;MID($AI98,7,100)&amp;IF(SUMPRODUCT(('Rework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259</v>
      </c>
      <c r="J98" s="55"/>
      <c r="K98" s="51"/>
      <c r="L98" s="43"/>
      <c r="M98" s="44"/>
      <c r="N98" s="44"/>
      <c r="O98" s="36" t="s">
        <v>269</v>
      </c>
      <c r="P98" s="76"/>
      <c r="Q98" s="51"/>
      <c r="R98" s="43"/>
      <c r="S98" s="44"/>
      <c r="T98" s="70" t="s">
        <v>274</v>
      </c>
      <c r="U98" s="47"/>
      <c r="W98" s="43"/>
      <c r="X98" s="31"/>
      <c r="Y98" s="36"/>
      <c r="AA98" s="43"/>
      <c r="AB98" s="43"/>
      <c r="AC98" s="31" t="s">
        <v>173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9" hidden="1">
      <c r="A99" s="31" t="s">
        <v>126</v>
      </c>
      <c r="B99" s="31" t="s">
        <v>281</v>
      </c>
      <c r="C99" s="31" t="s">
        <v>205</v>
      </c>
      <c r="D99" t="str" cm="1">
        <f t="array" aca="1" ref="D99" ca="1">IF($B99="","",IF(LEFT($AI99,3)="Yes","Blocked - "&amp;MID($AI99,7,100)&amp;IF(SUMPRODUCT(('Rework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282</v>
      </c>
      <c r="F99" s="31"/>
      <c r="G99" s="31"/>
      <c r="H99" s="50">
        <v>46356</v>
      </c>
      <c r="I99" s="57" t="s">
        <v>259</v>
      </c>
      <c r="J99" s="55"/>
      <c r="K99" s="51"/>
      <c r="L99" s="43"/>
      <c r="M99" s="44"/>
      <c r="N99" s="44"/>
      <c r="O99" s="36" t="s">
        <v>269</v>
      </c>
      <c r="P99" s="76"/>
      <c r="Q99" s="51"/>
      <c r="R99" s="43"/>
      <c r="S99" s="44"/>
      <c r="T99" s="70" t="s">
        <v>274</v>
      </c>
      <c r="U99" s="47"/>
      <c r="W99" s="43"/>
      <c r="X99" s="31"/>
      <c r="Y99" s="36"/>
      <c r="AA99" s="43"/>
      <c r="AB99" s="43"/>
      <c r="AC99" s="31" t="s">
        <v>283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9" hidden="1">
      <c r="A100" s="31" t="s">
        <v>126</v>
      </c>
      <c r="B100" s="31" t="s">
        <v>284</v>
      </c>
      <c r="C100" s="31" t="s">
        <v>205</v>
      </c>
      <c r="D100" t="str" cm="1">
        <f t="array" aca="1" ref="D100" ca="1">IF($B100="","",IF(LEFT($AI100,3)="Yes","Blocked - "&amp;MID($AI100,7,100)&amp;IF(SUMPRODUCT(('Rework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259</v>
      </c>
      <c r="J100" s="55"/>
      <c r="K100" s="51"/>
      <c r="L100" s="43"/>
      <c r="M100" s="44"/>
      <c r="N100" s="44"/>
      <c r="O100" s="36" t="s">
        <v>269</v>
      </c>
      <c r="P100" s="76"/>
      <c r="Q100" s="51"/>
      <c r="R100" s="43"/>
      <c r="S100" s="44"/>
      <c r="T100" s="70" t="s">
        <v>274</v>
      </c>
      <c r="U100" s="47"/>
      <c r="W100" s="43"/>
      <c r="X100" s="31"/>
      <c r="Y100" s="36"/>
      <c r="AA100" s="43"/>
      <c r="AB100" s="43"/>
      <c r="AC100" s="31" t="s">
        <v>285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9" hidden="1">
      <c r="A101" s="31" t="s">
        <v>286</v>
      </c>
      <c r="B101" s="31" t="s">
        <v>287</v>
      </c>
      <c r="C101" s="31" t="s">
        <v>205</v>
      </c>
      <c r="D101" t="str" cm="1">
        <f t="array" aca="1" ref="D101" ca="1">IF($B101="","",IF(LEFT($AI101,3)="Yes","Blocked - "&amp;MID($AI101,7,100)&amp;IF(SUMPRODUCT(('Rework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288</v>
      </c>
      <c r="J101" s="55"/>
      <c r="L101" s="43"/>
      <c r="M101" s="31"/>
      <c r="N101" s="31"/>
      <c r="O101" s="36" t="s">
        <v>289</v>
      </c>
      <c r="P101" s="76"/>
      <c r="R101" s="43"/>
      <c r="S101" s="31"/>
      <c r="T101" s="70" t="s">
        <v>274</v>
      </c>
      <c r="U101" s="47"/>
      <c r="W101" s="43"/>
      <c r="X101" s="31"/>
      <c r="Y101" s="36"/>
      <c r="AA101" s="43"/>
      <c r="AB101" s="43"/>
      <c r="AC101" s="31" t="s">
        <v>290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9" hidden="1">
      <c r="A102" s="31" t="s">
        <v>286</v>
      </c>
      <c r="B102" s="31" t="s">
        <v>291</v>
      </c>
      <c r="C102" s="31" t="s">
        <v>205</v>
      </c>
      <c r="D102" t="str" cm="1">
        <f t="array" aca="1" ref="D102" ca="1">IF($B102="","",IF(LEFT($AI102,3)="Yes","Blocked - "&amp;MID($AI102,7,100)&amp;IF(SUMPRODUCT(('Rework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288</v>
      </c>
      <c r="J102" s="55"/>
      <c r="L102" s="43"/>
      <c r="M102" s="31"/>
      <c r="N102" s="31"/>
      <c r="O102" s="36" t="s">
        <v>289</v>
      </c>
      <c r="P102" s="76"/>
      <c r="R102" s="43"/>
      <c r="S102" s="31"/>
      <c r="T102" s="70" t="s">
        <v>292</v>
      </c>
      <c r="U102" s="47"/>
      <c r="W102" s="43"/>
      <c r="X102" s="31"/>
      <c r="Y102" s="36"/>
      <c r="AA102" s="43"/>
      <c r="AB102" s="43"/>
      <c r="AC102" s="31" t="s">
        <v>293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9" hidden="1">
      <c r="A103" s="31" t="s">
        <v>286</v>
      </c>
      <c r="B103" s="31" t="s">
        <v>294</v>
      </c>
      <c r="C103" s="31" t="s">
        <v>205</v>
      </c>
      <c r="D103" t="str" cm="1">
        <f t="array" aca="1" ref="D103" ca="1">IF($B103="","",IF(LEFT($AI103,3)="Yes","Blocked - "&amp;MID($AI103,7,100)&amp;IF(SUMPRODUCT(('Rework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288</v>
      </c>
      <c r="J103" s="55"/>
      <c r="L103" s="43"/>
      <c r="M103" s="31"/>
      <c r="N103" s="31"/>
      <c r="O103" s="36" t="s">
        <v>289</v>
      </c>
      <c r="P103" s="76"/>
      <c r="R103" s="43"/>
      <c r="S103" s="31"/>
      <c r="T103" s="70" t="s">
        <v>292</v>
      </c>
      <c r="U103" s="47"/>
      <c r="W103" s="43"/>
      <c r="X103" s="31"/>
      <c r="Y103" s="36"/>
      <c r="AA103" s="43"/>
      <c r="AB103" s="43"/>
      <c r="AC103" s="31" t="s">
        <v>295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9" hidden="1">
      <c r="A104" s="31" t="s">
        <v>296</v>
      </c>
      <c r="B104" s="31" t="s">
        <v>297</v>
      </c>
      <c r="C104" s="31" t="s">
        <v>205</v>
      </c>
      <c r="D104" t="str" cm="1">
        <f t="array" aca="1" ref="D104" ca="1">IF($B104="","",IF(LEFT($AI104,3)="Yes","Blocked - "&amp;MID($AI104,7,100)&amp;IF(SUMPRODUCT(('Rework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146</v>
      </c>
      <c r="G104" s="31"/>
      <c r="H104" s="28">
        <v>46387</v>
      </c>
      <c r="I104" s="57" t="s">
        <v>288</v>
      </c>
      <c r="J104" s="55"/>
      <c r="L104" s="43"/>
      <c r="M104" s="31"/>
      <c r="N104" s="31"/>
      <c r="O104" s="36" t="s">
        <v>289</v>
      </c>
      <c r="P104" s="76"/>
      <c r="R104" s="43"/>
      <c r="S104" s="31"/>
      <c r="T104" s="70" t="s">
        <v>292</v>
      </c>
      <c r="U104" s="47"/>
      <c r="W104" s="43"/>
      <c r="X104" s="31"/>
      <c r="Y104" s="36"/>
      <c r="AA104" s="43"/>
      <c r="AB104" s="43"/>
      <c r="AC104" s="31" t="s">
        <v>298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9" hidden="1">
      <c r="A105" s="31" t="s">
        <v>286</v>
      </c>
      <c r="B105" s="31" t="s">
        <v>299</v>
      </c>
      <c r="C105" s="31" t="s">
        <v>205</v>
      </c>
      <c r="D105" t="str" cm="1">
        <f t="array" aca="1" ref="D105" ca="1">IF($B105="","",IF(LEFT($AI105,3)="Yes","Blocked - "&amp;MID($AI105,7,100)&amp;IF(SUMPRODUCT(('Rework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288</v>
      </c>
      <c r="J105" s="55"/>
      <c r="L105" s="43"/>
      <c r="M105" s="31"/>
      <c r="N105" s="31"/>
      <c r="O105" s="36" t="s">
        <v>289</v>
      </c>
      <c r="P105" s="76"/>
      <c r="R105" s="43"/>
      <c r="S105" s="31"/>
      <c r="T105" s="70" t="s">
        <v>292</v>
      </c>
      <c r="U105" s="47"/>
      <c r="W105" s="43"/>
      <c r="X105" s="31"/>
      <c r="Y105" s="36"/>
      <c r="AA105" s="43"/>
      <c r="AB105" s="43"/>
      <c r="AC105" s="31" t="s">
        <v>300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9" hidden="1">
      <c r="A106" s="31" t="s">
        <v>286</v>
      </c>
      <c r="B106" s="31" t="s">
        <v>301</v>
      </c>
      <c r="C106" s="31" t="s">
        <v>205</v>
      </c>
      <c r="D106" t="str" cm="1">
        <f t="array" aca="1" ref="D106" ca="1">IF($B106="","",IF(LEFT($AI106,3)="Yes","Blocked - "&amp;MID($AI106,7,100)&amp;IF(SUMPRODUCT(('Rework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288</v>
      </c>
      <c r="J106" s="55"/>
      <c r="L106" s="43"/>
      <c r="M106" s="31"/>
      <c r="N106" s="31"/>
      <c r="O106" s="36" t="s">
        <v>289</v>
      </c>
      <c r="P106" s="76"/>
      <c r="R106" s="43"/>
      <c r="S106" s="31"/>
      <c r="T106" s="70" t="s">
        <v>292</v>
      </c>
      <c r="U106" s="47"/>
      <c r="W106" s="43"/>
      <c r="X106" s="31"/>
      <c r="Y106" s="36"/>
      <c r="AA106" s="43"/>
      <c r="AB106" s="43"/>
      <c r="AC106" s="31" t="s">
        <v>302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9" hidden="1">
      <c r="A107" s="31" t="s">
        <v>286</v>
      </c>
      <c r="B107" s="31" t="s">
        <v>303</v>
      </c>
      <c r="C107" s="31" t="s">
        <v>205</v>
      </c>
      <c r="D107" t="str" cm="1">
        <f t="array" aca="1" ref="D107" ca="1">IF($B107="","",IF(LEFT($AI107,3)="Yes","Blocked - "&amp;MID($AI107,7,100)&amp;IF(SUMPRODUCT(('Rework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288</v>
      </c>
      <c r="J107" s="55"/>
      <c r="L107" s="43"/>
      <c r="M107" s="31"/>
      <c r="N107" s="31"/>
      <c r="O107" s="36" t="s">
        <v>289</v>
      </c>
      <c r="P107" s="76"/>
      <c r="R107" s="43"/>
      <c r="S107" s="31"/>
      <c r="T107" s="70" t="s">
        <v>292</v>
      </c>
      <c r="U107" s="47"/>
      <c r="W107" s="43"/>
      <c r="X107" s="31"/>
      <c r="Y107" s="36"/>
      <c r="AA107" s="43"/>
      <c r="AB107" s="43"/>
      <c r="AC107" s="31" t="s">
        <v>304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9" hidden="1">
      <c r="A108" s="31" t="s">
        <v>286</v>
      </c>
      <c r="B108" s="31" t="s">
        <v>305</v>
      </c>
      <c r="C108" s="31" t="s">
        <v>205</v>
      </c>
      <c r="D108" t="str" cm="1">
        <f t="array" aca="1" ref="D108" ca="1">IF($B108="","",IF(LEFT($AI108,3)="Yes","Blocked - "&amp;MID($AI108,7,100)&amp;IF(SUMPRODUCT(('Rework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288</v>
      </c>
      <c r="J108" s="55"/>
      <c r="L108" s="43"/>
      <c r="M108" s="31"/>
      <c r="N108" s="31"/>
      <c r="O108" s="36" t="s">
        <v>306</v>
      </c>
      <c r="P108" s="76"/>
      <c r="R108" s="43"/>
      <c r="S108" s="31"/>
      <c r="T108" s="70" t="s">
        <v>292</v>
      </c>
      <c r="U108" s="47"/>
      <c r="W108" s="43"/>
      <c r="X108" s="31"/>
      <c r="Y108" s="36"/>
      <c r="AA108" s="43"/>
      <c r="AB108" s="43"/>
      <c r="AC108" s="31" t="s">
        <v>307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9" hidden="1">
      <c r="A109" s="31" t="s">
        <v>296</v>
      </c>
      <c r="B109" s="31" t="s">
        <v>308</v>
      </c>
      <c r="C109" s="31" t="s">
        <v>205</v>
      </c>
      <c r="D109" t="str" cm="1">
        <f t="array" aca="1" ref="D109" ca="1">IF($B109="","",IF(LEFT($AI109,3)="Yes","Blocked - "&amp;MID($AI109,7,100)&amp;IF(SUMPRODUCT(('Rework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146</v>
      </c>
      <c r="G109" s="31"/>
      <c r="H109" s="28">
        <v>46387</v>
      </c>
      <c r="I109" s="57" t="s">
        <v>288</v>
      </c>
      <c r="J109" s="55"/>
      <c r="L109" s="43"/>
      <c r="M109" s="31"/>
      <c r="N109" s="31"/>
      <c r="O109" s="36" t="s">
        <v>306</v>
      </c>
      <c r="P109" s="76"/>
      <c r="R109" s="43"/>
      <c r="S109" s="31"/>
      <c r="T109" s="70" t="s">
        <v>309</v>
      </c>
      <c r="U109" s="47"/>
      <c r="W109" s="43"/>
      <c r="X109" s="31"/>
      <c r="Y109" s="36"/>
      <c r="AA109" s="43"/>
      <c r="AB109" s="43"/>
      <c r="AC109" s="31" t="s">
        <v>310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9" hidden="1">
      <c r="A110" s="31" t="s">
        <v>286</v>
      </c>
      <c r="B110" s="31" t="s">
        <v>311</v>
      </c>
      <c r="C110" s="31" t="s">
        <v>205</v>
      </c>
      <c r="D110" t="str" cm="1">
        <f t="array" aca="1" ref="D110" ca="1">IF($B110="","",IF(LEFT($AI110,3)="Yes","Blocked - "&amp;MID($AI110,7,100)&amp;IF(SUMPRODUCT(('Rework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288</v>
      </c>
      <c r="J110" s="55"/>
      <c r="L110" s="43"/>
      <c r="M110" s="31"/>
      <c r="N110" s="31"/>
      <c r="O110" s="36" t="s">
        <v>306</v>
      </c>
      <c r="P110" s="76"/>
      <c r="R110" s="43"/>
      <c r="S110" s="31"/>
      <c r="T110" s="70" t="s">
        <v>309</v>
      </c>
      <c r="U110" s="47"/>
      <c r="W110" s="43"/>
      <c r="X110" s="31"/>
      <c r="Y110" s="36"/>
      <c r="AA110" s="43"/>
      <c r="AB110" s="43"/>
      <c r="AC110" s="31" t="s">
        <v>312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9" hidden="1">
      <c r="A111" s="31" t="s">
        <v>296</v>
      </c>
      <c r="B111" s="31" t="s">
        <v>313</v>
      </c>
      <c r="C111" s="31" t="s">
        <v>205</v>
      </c>
      <c r="D111" t="str" cm="1">
        <f t="array" aca="1" ref="D111" ca="1">IF($B111="","",IF(LEFT($AI111,3)="Yes","Blocked - "&amp;MID($AI111,7,100)&amp;IF(SUMPRODUCT(('Rework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146</v>
      </c>
      <c r="G111" s="31"/>
      <c r="H111" s="28">
        <v>46387</v>
      </c>
      <c r="I111" s="57" t="s">
        <v>288</v>
      </c>
      <c r="J111" s="55"/>
      <c r="L111" s="43"/>
      <c r="M111" s="31"/>
      <c r="N111" s="31"/>
      <c r="O111" s="36" t="s">
        <v>306</v>
      </c>
      <c r="P111" s="76"/>
      <c r="R111" s="43"/>
      <c r="S111" s="31"/>
      <c r="T111" s="70" t="s">
        <v>309</v>
      </c>
      <c r="U111" s="47"/>
      <c r="W111" s="43"/>
      <c r="X111" s="31"/>
      <c r="Y111" s="36"/>
      <c r="AA111" s="43"/>
      <c r="AB111" s="43"/>
      <c r="AC111" s="31" t="s">
        <v>314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9" hidden="1">
      <c r="A112" s="31" t="s">
        <v>296</v>
      </c>
      <c r="B112" s="31" t="s">
        <v>315</v>
      </c>
      <c r="C112" s="31" t="s">
        <v>205</v>
      </c>
      <c r="D112" t="str" cm="1">
        <f t="array" aca="1" ref="D112" ca="1">IF($B112="","",IF(LEFT($AI112,3)="Yes","Blocked - "&amp;MID($AI112,7,100)&amp;IF(SUMPRODUCT(('Rework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146</v>
      </c>
      <c r="G112" s="31"/>
      <c r="H112" s="28">
        <v>46387</v>
      </c>
      <c r="I112" s="57" t="s">
        <v>288</v>
      </c>
      <c r="J112" s="55"/>
      <c r="L112" s="43"/>
      <c r="M112" s="31"/>
      <c r="N112" s="31"/>
      <c r="O112" s="36" t="s">
        <v>306</v>
      </c>
      <c r="P112" s="76"/>
      <c r="R112" s="43"/>
      <c r="S112" s="31"/>
      <c r="T112" s="70" t="s">
        <v>309</v>
      </c>
      <c r="U112" s="47"/>
      <c r="W112" s="43"/>
      <c r="X112" s="31"/>
      <c r="Y112" s="36"/>
      <c r="AA112" s="43"/>
      <c r="AB112" s="43"/>
      <c r="AC112" s="31" t="s">
        <v>310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9" hidden="1">
      <c r="A113" s="31" t="s">
        <v>296</v>
      </c>
      <c r="B113" s="31" t="s">
        <v>316</v>
      </c>
      <c r="C113" s="31" t="s">
        <v>205</v>
      </c>
      <c r="D113" t="str" cm="1">
        <f t="array" aca="1" ref="D113" ca="1">IF($B113="","",IF(LEFT($AI113,3)="Yes","Blocked - "&amp;MID($AI113,7,100)&amp;IF(SUMPRODUCT(('Rework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146</v>
      </c>
      <c r="G113" s="31"/>
      <c r="H113" s="28">
        <v>46387</v>
      </c>
      <c r="I113" s="57" t="s">
        <v>288</v>
      </c>
      <c r="J113" s="55"/>
      <c r="L113" s="43"/>
      <c r="M113" s="31"/>
      <c r="N113" s="31"/>
      <c r="O113" s="36" t="s">
        <v>306</v>
      </c>
      <c r="P113" s="76"/>
      <c r="R113" s="43"/>
      <c r="S113" s="31"/>
      <c r="T113" s="70" t="s">
        <v>309</v>
      </c>
      <c r="U113" s="47"/>
      <c r="W113" s="43"/>
      <c r="X113" s="31"/>
      <c r="Y113" s="36"/>
      <c r="AA113" s="43"/>
      <c r="AB113" s="43"/>
      <c r="AC113" s="31" t="s">
        <v>310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9" hidden="1">
      <c r="A114" s="31" t="s">
        <v>296</v>
      </c>
      <c r="B114" s="31" t="s">
        <v>317</v>
      </c>
      <c r="C114" s="31" t="s">
        <v>205</v>
      </c>
      <c r="D114" t="str" cm="1">
        <f t="array" aca="1" ref="D114" ca="1">IF($B114="","",IF(LEFT($AI114,3)="Yes","Blocked - "&amp;MID($AI114,7,100)&amp;IF(SUMPRODUCT(('Rework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146</v>
      </c>
      <c r="G114" s="31"/>
      <c r="H114" s="28">
        <v>46387</v>
      </c>
      <c r="I114" s="57" t="s">
        <v>288</v>
      </c>
      <c r="J114" s="55"/>
      <c r="L114" s="43"/>
      <c r="M114" s="31"/>
      <c r="N114" s="31"/>
      <c r="O114" s="36" t="s">
        <v>318</v>
      </c>
      <c r="P114" s="76"/>
      <c r="R114" s="43"/>
      <c r="S114" s="31"/>
      <c r="T114" s="70" t="s">
        <v>309</v>
      </c>
      <c r="U114" s="47"/>
      <c r="W114" s="43"/>
      <c r="X114" s="31"/>
      <c r="Y114" s="36"/>
      <c r="AA114" s="43"/>
      <c r="AB114" s="43"/>
      <c r="AC114" s="31" t="s">
        <v>314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9" hidden="1">
      <c r="A115" s="31" t="s">
        <v>296</v>
      </c>
      <c r="B115" s="31" t="s">
        <v>319</v>
      </c>
      <c r="C115" s="31" t="s">
        <v>205</v>
      </c>
      <c r="D115" t="str" cm="1">
        <f t="array" aca="1" ref="D115" ca="1">IF($B115="","",IF(LEFT($AI115,3)="Yes","Blocked - "&amp;MID($AI115,7,100)&amp;IF(SUMPRODUCT(('Rework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146</v>
      </c>
      <c r="G115" s="31"/>
      <c r="H115" s="28">
        <v>46387</v>
      </c>
      <c r="I115" s="57" t="s">
        <v>288</v>
      </c>
      <c r="J115" s="55"/>
      <c r="L115" s="43"/>
      <c r="M115" s="31"/>
      <c r="N115" s="31"/>
      <c r="O115" s="36" t="s">
        <v>318</v>
      </c>
      <c r="P115" s="76"/>
      <c r="R115" s="43"/>
      <c r="S115" s="31"/>
      <c r="T115" s="70" t="s">
        <v>309</v>
      </c>
      <c r="U115" s="47"/>
      <c r="W115" s="43"/>
      <c r="X115" s="31"/>
      <c r="Y115" s="36"/>
      <c r="AA115" s="43"/>
      <c r="AB115" s="43"/>
      <c r="AC115" s="31" t="s">
        <v>260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G2:V40 L41:V42 G41:J42 W2:AK2 W3:Y3 AA3:AK3 W47:AJ47 W73:AG73 N3:N44 W43:AK44 T96:T101 A2:F115 A101:AD526 W46:AK46 W45:AJ45 W42:AJ42 A74:AG100 W4:AK41 W48:AK72 G43:V73">
    <cfRule type="expression" dxfId="105" priority="37">
      <formula>AND($B2&lt;&gt;"",MOD(ROW(),2)=0)</formula>
    </cfRule>
  </conditionalFormatting>
  <conditionalFormatting sqref="D2:D526">
    <cfRule type="expression" dxfId="104" priority="21">
      <formula>ISNUMBER(SEARCH("Blocked",$D2))</formula>
    </cfRule>
    <cfRule type="expression" dxfId="103" priority="22">
      <formula>ISNUMBER(SEARCH("overdue",$D2))</formula>
    </cfRule>
    <cfRule type="expression" dxfId="102" priority="23">
      <formula>ISNUMBER(SEARCH("no target",$D2))</formula>
    </cfRule>
    <cfRule type="expression" dxfId="101" priority="24">
      <formula>ISNUMBER(SEARCH("Review",$D2))</formula>
    </cfRule>
    <cfRule type="expression" dxfId="100" priority="25">
      <formula>OR($D2="On track",$D2="Delivered")</formula>
    </cfRule>
  </conditionalFormatting>
  <conditionalFormatting sqref="J2:O191">
    <cfRule type="expression" dxfId="99" priority="4">
      <formula>$AI2="Yes – needs DB Dev to fix"</formula>
    </cfRule>
  </conditionalFormatting>
  <conditionalFormatting sqref="K41">
    <cfRule type="expression" dxfId="98" priority="287">
      <formula>AND($B41&lt;&gt;"",MOD(ROW(),2)=0)</formula>
    </cfRule>
    <cfRule type="expression" dxfId="97" priority="288">
      <formula>$AI41="Yes – needs DB Dev to fix"</formula>
    </cfRule>
  </conditionalFormatting>
  <conditionalFormatting sqref="K42">
    <cfRule type="expression" dxfId="96" priority="289">
      <formula>AND($B41&lt;&gt;"",MOD(ROW(),2)=0)</formula>
    </cfRule>
    <cfRule type="expression" dxfId="95" priority="290">
      <formula>$AI41="Yes – needs DB Dev to fix"</formula>
    </cfRule>
  </conditionalFormatting>
  <conditionalFormatting sqref="K73:L100">
    <cfRule type="expression" dxfId="94" priority="96">
      <formula>$AE73="Yes – needs DB Dev to fix"</formula>
    </cfRule>
  </conditionalFormatting>
  <conditionalFormatting sqref="K101:L526">
    <cfRule type="expression" dxfId="93" priority="30">
      <formula>$Z101="Yes – needs DB Dev to fix"</formula>
    </cfRule>
  </conditionalFormatting>
  <conditionalFormatting sqref="M73:P100">
    <cfRule type="expression" dxfId="92" priority="281">
      <formula>$AC73="Yes – needs PBI Dev to fix"</formula>
    </cfRule>
  </conditionalFormatting>
  <conditionalFormatting sqref="M101:P526">
    <cfRule type="expression" dxfId="91" priority="283">
      <formula>$Z101="Yes – needs PBI Dev to fix"</formula>
    </cfRule>
  </conditionalFormatting>
  <conditionalFormatting sqref="Q73:Q100">
    <cfRule type="expression" dxfId="90" priority="100">
      <formula>$AE73="Yes – needs PBI Dev to fix"</formula>
    </cfRule>
  </conditionalFormatting>
  <conditionalFormatting sqref="Q101:R526">
    <cfRule type="expression" dxfId="89" priority="32">
      <formula>$Z101="Yes – needs QA to fix"</formula>
    </cfRule>
  </conditionalFormatting>
  <conditionalFormatting sqref="K40:K41 J29 M29:P29 J32:J33 M32:P33 M40:P41 Q2:U115">
    <cfRule type="expression" dxfId="88" priority="11">
      <formula>$AI2="Yes – needs PBI Dev to fix"</formula>
    </cfRule>
  </conditionalFormatting>
  <conditionalFormatting sqref="R73:U100 T96:T101">
    <cfRule type="expression" dxfId="87" priority="102">
      <formula>$AE73="Yes – needs QA to fix"</formula>
    </cfRule>
  </conditionalFormatting>
  <conditionalFormatting sqref="S101:U526">
    <cfRule type="expression" dxfId="86" priority="33">
      <formula>$Z101="Yes – needs DPO Approval to fix"</formula>
    </cfRule>
  </conditionalFormatting>
  <conditionalFormatting sqref="U10:V19">
    <cfRule type="expression" dxfId="85" priority="20">
      <formula>$AI10="Yes – needs PBI Dev to fix"</formula>
    </cfRule>
  </conditionalFormatting>
  <conditionalFormatting sqref="U101:V526">
    <cfRule type="expression" dxfId="84" priority="29">
      <formula>$V101="Yes"</formula>
    </cfRule>
  </conditionalFormatting>
  <conditionalFormatting sqref="U73:W100">
    <cfRule type="expression" dxfId="83" priority="104">
      <formula>$AE73="Yes – needs DPO Approval to fix"</formula>
    </cfRule>
  </conditionalFormatting>
  <conditionalFormatting sqref="U2:Y115">
    <cfRule type="expression" dxfId="82" priority="75">
      <formula>$AI2="Yes – needs QA to fix"</formula>
    </cfRule>
  </conditionalFormatting>
  <conditionalFormatting sqref="X73:Y100">
    <cfRule type="expression" dxfId="81" priority="106">
      <formula>$X73="Yes"</formula>
    </cfRule>
  </conditionalFormatting>
  <conditionalFormatting sqref="Z3">
    <cfRule type="expression" dxfId="80" priority="291">
      <formula>AND($B3&lt;&gt;"",MOD(ROW(),2)=0)</formula>
    </cfRule>
    <cfRule type="expression" dxfId="79" priority="292">
      <formula>$AI3="Yes – needs DPO Approval to fix"</formula>
    </cfRule>
  </conditionalFormatting>
  <conditionalFormatting sqref="Z101:Z526">
    <cfRule type="expression" dxfId="78" priority="26">
      <formula>LEFT($Z101,3)="Yes"</formula>
    </cfRule>
  </conditionalFormatting>
  <conditionalFormatting sqref="Z2:AD2 AA3:AD3 Z4:AD100">
    <cfRule type="expression" dxfId="77" priority="78">
      <formula>$AI2="Yes – needs DPO Approval to fix"</formula>
    </cfRule>
  </conditionalFormatting>
  <conditionalFormatting sqref="AA101:AB526">
    <cfRule type="expression" dxfId="76" priority="34">
      <formula>ISNUMBER(SEARCH("Move old",$AA101))</formula>
    </cfRule>
    <cfRule type="expression" dxfId="75" priority="34">
      <formula>ISNUMBER(SEARCH("log it",$AA101))</formula>
    </cfRule>
    <cfRule type="expression" dxfId="74" priority="34">
      <formula>ISNUMBER(SEARCH("Open rework",$AA101))</formula>
    </cfRule>
    <cfRule type="expression" dxfId="73" priority="35">
      <formula>ISNUMBER(SEARCH("Duplicate",$AA101))</formula>
    </cfRule>
    <cfRule type="expression" dxfId="72" priority="36">
      <formula>$AA101&lt;&gt;""</formula>
    </cfRule>
  </conditionalFormatting>
  <conditionalFormatting sqref="AE2:AE115">
    <cfRule type="expression" dxfId="71" priority="50">
      <formula>$AE2="Yes"</formula>
    </cfRule>
  </conditionalFormatting>
  <conditionalFormatting sqref="AE73:AE100">
    <cfRule type="expression" dxfId="70" priority="108">
      <formula>LEFT($AE73,3)="Yes"</formula>
    </cfRule>
  </conditionalFormatting>
  <conditionalFormatting sqref="AF73:AF100">
    <cfRule type="expression" dxfId="69" priority="114">
      <formula>ISNUMBER(SEARCH("Open rework",$AF73))</formula>
    </cfRule>
    <cfRule type="expression" dxfId="68" priority="115">
      <formula>ISNUMBER(SEARCH("Move old",$AF73))</formula>
    </cfRule>
    <cfRule type="expression" dxfId="67" priority="116">
      <formula>ISNUMBER(SEARCH("log it",$AF73))</formula>
    </cfRule>
    <cfRule type="expression" dxfId="66" priority="117">
      <formula>ISNUMBER(SEARCH("Duplicate",$AF73))</formula>
    </cfRule>
    <cfRule type="expression" dxfId="65" priority="118">
      <formula>$AF73&lt;&gt;""</formula>
    </cfRule>
  </conditionalFormatting>
  <conditionalFormatting sqref="AI2:AI115">
    <cfRule type="expression" dxfId="64" priority="52">
      <formula>LEFT($AI2,3)="Yes"</formula>
    </cfRule>
  </conditionalFormatting>
  <conditionalFormatting sqref="AJ2:AJ115">
    <cfRule type="expression" dxfId="63" priority="58">
      <formula>ISNUMBER(SEARCH("log it",$AJ2))</formula>
    </cfRule>
    <cfRule type="expression" dxfId="62" priority="59">
      <formula>ISNUMBER(SEARCH("Open rework",$AJ2))</formula>
    </cfRule>
    <cfRule type="expression" dxfId="61" priority="60">
      <formula>ISNUMBER(SEARCH("Move old",$AJ2))</formula>
    </cfRule>
    <cfRule type="expression" dxfId="60" priority="61">
      <formula>ISNUMBER(SEARCH("Duplicate",$AJ2))</formula>
    </cfRule>
    <cfRule type="expression" dxfId="59" priority="62">
      <formula>$AJ2&lt;&gt;""</formula>
    </cfRule>
  </conditionalFormatting>
  <conditionalFormatting sqref="AK47">
    <cfRule type="expression" dxfId="58" priority="294">
      <formula>AND($B51&lt;&gt;"",MOD(ROW(),2)=0)</formula>
    </cfRule>
  </conditionalFormatting>
  <conditionalFormatting sqref="M73">
    <cfRule type="expression" dxfId="57" priority="3">
      <formula>$AE73="Yes – needs DB Dev to fix"</formula>
    </cfRule>
  </conditionalFormatting>
  <conditionalFormatting sqref="O101:O113">
    <cfRule type="expression" dxfId="56" priority="2">
      <formula>$AC101="Yes – needs PBI Dev to fix"</formula>
    </cfRule>
  </conditionalFormatting>
  <conditionalFormatting sqref="AK45">
    <cfRule type="expression" dxfId="55" priority="1">
      <formula>AND($B49&lt;&gt;"",MOD(ROW(),2)=0)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6 AF2:AF72 S30:S73 H2:H526 AB5:AB72 S2:S28 Q2:R73 Z2:Z100 W2:X72 U2:V100 Q74:S526 AA2:AA72 AB2:AB3 K2:M526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320</v>
      </c>
    </row>
    <row r="2" spans="1:5">
      <c r="A2" s="6" t="s">
        <v>321</v>
      </c>
    </row>
    <row r="4" spans="1:5" ht="21.95" customHeight="1">
      <c r="A4" s="5" t="s">
        <v>322</v>
      </c>
      <c r="B4" s="102"/>
      <c r="C4" s="103"/>
      <c r="D4" s="103"/>
      <c r="E4" s="103"/>
    </row>
    <row r="6" spans="1:5">
      <c r="A6" s="42" t="s">
        <v>0</v>
      </c>
      <c r="B6" s="100" t="str">
        <f>IF($B$4="","",IFERROR(INDEX('Combined Delivery Data'!$A:$A,MATCH($B$4,'Combined Delivery Data'!$B:$B,0)),""))</f>
        <v/>
      </c>
      <c r="C6" s="104"/>
      <c r="D6" s="104"/>
      <c r="E6" s="105"/>
    </row>
    <row r="7" spans="1:5">
      <c r="A7" s="42" t="s">
        <v>323</v>
      </c>
      <c r="B7" s="100" t="str">
        <f>IF($B$4="","",IFERROR(INDEX('Combined Delivery Data'!$C:$C,MATCH($B$4,'Combined Delivery Data'!$B:$B,0)),""))</f>
        <v/>
      </c>
      <c r="C7" s="104"/>
      <c r="D7" s="104"/>
      <c r="E7" s="105"/>
    </row>
    <row r="8" spans="1:5">
      <c r="A8" s="42" t="s">
        <v>3</v>
      </c>
      <c r="B8" s="100" t="str">
        <f>IF($B$4="","",IFERROR(INDEX('Combined Delivery Data'!$D:$D,MATCH($B$4,'Combined Delivery Data'!$B:$B,0)),""))</f>
        <v/>
      </c>
      <c r="C8" s="104"/>
      <c r="D8" s="104"/>
      <c r="E8" s="105"/>
    </row>
    <row r="9" spans="1:5">
      <c r="A9" s="42" t="s">
        <v>4</v>
      </c>
      <c r="B9" s="100" t="str">
        <f>IF($B$4="","",IFERROR(INDEX('Combined Delivery Data'!$E:$E,MATCH($B$4,'Combined Delivery Data'!$B:$B,0)),""))</f>
        <v/>
      </c>
      <c r="C9" s="104"/>
      <c r="D9" s="104"/>
      <c r="E9" s="105"/>
    </row>
    <row r="10" spans="1:5">
      <c r="A10" s="42" t="s">
        <v>5</v>
      </c>
      <c r="B10" s="100" t="str">
        <f>IF($B$4="","",IFERROR(INDEX('Combined Delivery Data'!$F:$F,MATCH($B$4,'Combined Delivery Data'!$B:$B,0)),""))</f>
        <v/>
      </c>
      <c r="C10" s="104"/>
      <c r="D10" s="104"/>
      <c r="E10" s="105"/>
    </row>
    <row r="11" spans="1:5">
      <c r="A11" s="42" t="s">
        <v>9</v>
      </c>
      <c r="B11" s="100" t="str">
        <f>IF($B$4="","",IFERROR(INDEX('Combined Delivery Data'!$J:$J,MATCH($B$4,'Combined Delivery Data'!$B:$B,0)),""))</f>
        <v/>
      </c>
      <c r="C11" s="104"/>
      <c r="D11" s="104"/>
      <c r="E11" s="105"/>
    </row>
    <row r="12" spans="1:5">
      <c r="A12" s="42" t="s">
        <v>15</v>
      </c>
      <c r="B12" s="100" t="str">
        <f>IF($B$4="","",IFERROR(INDEX('Combined Delivery Data'!$P:$P,MATCH($B$4,'Combined Delivery Data'!$B:$B,0)),""))</f>
        <v/>
      </c>
      <c r="C12" s="104"/>
      <c r="D12" s="104"/>
      <c r="E12" s="105"/>
    </row>
    <row r="13" spans="1:5">
      <c r="A13" s="42" t="s">
        <v>20</v>
      </c>
      <c r="B13" s="100" t="str">
        <f>IF($B$4="","",IFERROR(INDEX('Combined Delivery Data'!$U:$U,MATCH($B$4,'Combined Delivery Data'!$B:$B,0)),""))</f>
        <v/>
      </c>
      <c r="C13" s="104"/>
      <c r="D13" s="104"/>
      <c r="E13" s="105"/>
    </row>
    <row r="14" spans="1:5">
      <c r="A14" s="42" t="s">
        <v>324</v>
      </c>
      <c r="B14" s="99" t="str">
        <f>IF($B$4="","",IFERROR(INDEX('Combined Delivery Data'!$K:$K,MATCH($B$4,'Combined Delivery Data'!$B:$B,0)),""))</f>
        <v/>
      </c>
      <c r="C14" s="104"/>
      <c r="D14" s="104"/>
      <c r="E14" s="105"/>
    </row>
    <row r="15" spans="1:5">
      <c r="A15" s="42" t="s">
        <v>325</v>
      </c>
      <c r="B15" s="99" t="str">
        <f>IF($B$4="","",IFERROR(INDEX('Combined Delivery Data'!$L:$L,MATCH($B$4,'Combined Delivery Data'!$B:$B,0)),""))</f>
        <v/>
      </c>
      <c r="C15" s="104"/>
      <c r="D15" s="104"/>
      <c r="E15" s="105"/>
    </row>
    <row r="16" spans="1:5">
      <c r="A16" s="42" t="s">
        <v>326</v>
      </c>
      <c r="B16" s="99" t="str">
        <f>IF($B$4="","",IFERROR(INDEX('Combined Delivery Data'!$M:$M,MATCH($B$4,'Combined Delivery Data'!$B:$B,0)),""))</f>
        <v/>
      </c>
      <c r="C16" s="104"/>
      <c r="D16" s="104"/>
      <c r="E16" s="105"/>
    </row>
    <row r="17" spans="1:5">
      <c r="A17" s="42" t="s">
        <v>327</v>
      </c>
      <c r="B17" s="99" t="str">
        <f>IF($B$4="","",IFERROR(INDEX('Combined Delivery Data'!$O:$O,MATCH($B$4,'Combined Delivery Data'!$B:$B,0)),""))</f>
        <v/>
      </c>
      <c r="C17" s="104"/>
      <c r="D17" s="104"/>
      <c r="E17" s="105"/>
    </row>
    <row r="18" spans="1:5">
      <c r="A18" s="42" t="s">
        <v>328</v>
      </c>
      <c r="B18" s="99" t="str">
        <f>IF($B$4="","",IFERROR(INDEX('Combined Delivery Data'!$Q:$Q,MATCH($B$4,'Combined Delivery Data'!$B:$B,0)),""))</f>
        <v/>
      </c>
      <c r="C18" s="104"/>
      <c r="D18" s="104"/>
      <c r="E18" s="105"/>
    </row>
    <row r="19" spans="1:5">
      <c r="A19" s="42" t="s">
        <v>329</v>
      </c>
      <c r="B19" s="99" t="str">
        <f>IF($B$4="","",IFERROR(INDEX('Combined Delivery Data'!$R:$R,MATCH($B$4,'Combined Delivery Data'!$B:$B,0)),""))</f>
        <v/>
      </c>
      <c r="C19" s="104"/>
      <c r="D19" s="104"/>
      <c r="E19" s="105"/>
    </row>
    <row r="20" spans="1:5">
      <c r="A20" s="42" t="s">
        <v>330</v>
      </c>
      <c r="B20" s="99" t="str">
        <f>IF($B$4="","",IFERROR(INDEX('Combined Delivery Data'!$S:$S,MATCH($B$4,'Combined Delivery Data'!$B:$B,0)),""))</f>
        <v/>
      </c>
      <c r="C20" s="104"/>
      <c r="D20" s="104"/>
      <c r="E20" s="105"/>
    </row>
    <row r="21" spans="1:5">
      <c r="A21" s="42" t="s">
        <v>28</v>
      </c>
      <c r="B21" s="100" t="str">
        <f>IF($B$4="","",IFERROR(INDEX('Combined Delivery Data'!$T:$T,MATCH($B$4,'Combined Delivery Data'!$B:$B,0)),""))</f>
        <v/>
      </c>
      <c r="C21" s="104"/>
      <c r="D21" s="104"/>
      <c r="E21" s="105"/>
    </row>
    <row r="22" spans="1:5">
      <c r="A22" s="42" t="s">
        <v>30</v>
      </c>
      <c r="B22" s="100" t="str">
        <f>IF($B$4="","",IFERROR(INDEX('Combined Delivery Data'!$V:$V,MATCH($B$4,'Combined Delivery Data'!$B:$B,0)),""))</f>
        <v/>
      </c>
      <c r="C22" s="104"/>
      <c r="D22" s="104"/>
      <c r="E22" s="105"/>
    </row>
    <row r="23" spans="1:5">
      <c r="A23" s="42" t="s">
        <v>31</v>
      </c>
      <c r="B23" s="99" t="str">
        <f>IF($B$4="","",IFERROR(INDEX('Combined Delivery Data'!$W:$W,MATCH($B$4,'Combined Delivery Data'!$B:$B,0)),""))</f>
        <v/>
      </c>
      <c r="C23" s="104"/>
      <c r="D23" s="104"/>
      <c r="E23" s="105"/>
    </row>
    <row r="24" spans="1:5">
      <c r="A24" s="42" t="s">
        <v>34</v>
      </c>
      <c r="B24" s="100" t="str">
        <f>IF($B$4="","",IFERROR(INDEX('Combined Delivery Data'!$Z:$Z,MATCH($B$4,'Combined Delivery Data'!$B:$B,0)),""))</f>
        <v/>
      </c>
      <c r="C24" s="104"/>
      <c r="D24" s="104"/>
      <c r="E24" s="105"/>
    </row>
    <row r="25" spans="1:5">
      <c r="A25" s="42" t="s">
        <v>35</v>
      </c>
      <c r="B25" s="100" t="str">
        <f>IF($B$4="","",IFERROR(INDEX('Combined Delivery Data'!$AA:$AA,MATCH($B$4,'Combined Delivery Data'!$B:$B,0)),""))</f>
        <v/>
      </c>
      <c r="C25" s="104"/>
      <c r="D25" s="104"/>
      <c r="E25" s="105"/>
    </row>
    <row r="26" spans="1:5">
      <c r="A26" s="42" t="s">
        <v>331</v>
      </c>
      <c r="B26" s="100" t="str">
        <f>IF($B$4="","",IFERROR(INDEX('Rework Log'!$Q:$Q,MATCH($B$4,'Rework Log'!$P:$P,0)),""))</f>
        <v/>
      </c>
      <c r="C26" s="104"/>
      <c r="D26" s="104"/>
      <c r="E26" s="105"/>
    </row>
    <row r="27" spans="1:5">
      <c r="A27" s="42" t="s">
        <v>332</v>
      </c>
      <c r="B27" s="100" t="str">
        <f>IF($B$4="","",IFERROR(INDEX('Rework Log'!$R:$R,MATCH($B$4,'Rework Log'!$P:$P,0)),""))</f>
        <v/>
      </c>
      <c r="C27" s="104"/>
      <c r="D27" s="104"/>
      <c r="E27" s="105"/>
    </row>
    <row r="28" spans="1:5">
      <c r="A28" s="42" t="s">
        <v>333</v>
      </c>
      <c r="B28" s="100" t="str">
        <f>IF($B$4="","",IFERROR(INDEX('Rework Log'!$S:$S,MATCH($B$4,'Rework Log'!$P:$P,0)),""))</f>
        <v/>
      </c>
      <c r="C28" s="104"/>
      <c r="D28" s="104"/>
      <c r="E28" s="105"/>
    </row>
    <row r="29" spans="1:5">
      <c r="A29" s="42" t="s">
        <v>334</v>
      </c>
      <c r="B29" s="100" t="str">
        <f>IF($B$4="","",IFERROR(INDEX('Rework Log'!$T:$T,MATCH($B$4,'Rework Log'!$P:$P,0)),""))</f>
        <v/>
      </c>
      <c r="C29" s="104"/>
      <c r="D29" s="104"/>
      <c r="E29" s="105"/>
    </row>
    <row r="30" spans="1:5" ht="15.6" customHeight="1">
      <c r="A30" s="42"/>
      <c r="B30" s="100"/>
      <c r="C30" s="104"/>
      <c r="D30" s="104"/>
      <c r="E30" s="105"/>
    </row>
    <row r="31" spans="1:5" ht="15.6" customHeight="1">
      <c r="A31" s="5" t="s">
        <v>36</v>
      </c>
      <c r="B31" s="106" t="str">
        <f>IF($B$4="","",IFERROR(INDEX('Combined Delivery Data'!$AC:$AC,MATCH($B$4,'Combined Delivery Data'!$B:$B,0)),""))</f>
        <v/>
      </c>
      <c r="C31" s="103"/>
      <c r="D31" s="103"/>
      <c r="E31" s="103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C13" activePane="bottomLeft" state="frozen"/>
      <selection pane="bottomLeft" activeCell="F21" sqref="F21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01" t="s">
        <v>335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P1" s="107" t="s">
        <v>336</v>
      </c>
      <c r="Q1" s="107"/>
      <c r="R1" s="107"/>
      <c r="S1" s="107"/>
      <c r="T1" s="107"/>
    </row>
    <row r="2" spans="1:20" ht="30" customHeight="1">
      <c r="A2" s="17" t="s">
        <v>1</v>
      </c>
      <c r="B2" s="17" t="s">
        <v>337</v>
      </c>
      <c r="C2" s="17" t="s">
        <v>338</v>
      </c>
      <c r="D2" s="17" t="s">
        <v>339</v>
      </c>
      <c r="E2" s="17" t="s">
        <v>340</v>
      </c>
      <c r="F2" s="17" t="s">
        <v>341</v>
      </c>
      <c r="G2" s="17" t="s">
        <v>342</v>
      </c>
      <c r="H2" s="30" t="s">
        <v>343</v>
      </c>
      <c r="I2" s="30" t="s">
        <v>344</v>
      </c>
      <c r="J2" s="30" t="s">
        <v>345</v>
      </c>
      <c r="K2" s="30" t="s">
        <v>346</v>
      </c>
      <c r="L2" s="30" t="s">
        <v>347</v>
      </c>
      <c r="M2" s="21" t="s">
        <v>348</v>
      </c>
      <c r="N2" s="21" t="s">
        <v>349</v>
      </c>
      <c r="P2" s="13" t="s">
        <v>1</v>
      </c>
      <c r="Q2" s="13" t="s">
        <v>331</v>
      </c>
      <c r="R2" s="13" t="s">
        <v>332</v>
      </c>
      <c r="S2" s="13" t="s">
        <v>333</v>
      </c>
      <c r="T2" s="13" t="s">
        <v>334</v>
      </c>
    </row>
    <row r="3" spans="1:20" hidden="1">
      <c r="A3" s="33" t="s">
        <v>145</v>
      </c>
      <c r="B3" s="36">
        <v>46230</v>
      </c>
      <c r="C3" s="33" t="s">
        <v>140</v>
      </c>
      <c r="D3" s="33" t="s">
        <v>185</v>
      </c>
      <c r="E3" s="33" t="s">
        <v>146</v>
      </c>
      <c r="F3" s="33" t="s">
        <v>350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35 d</v>
      </c>
      <c r="N3" t="s">
        <v>49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hidden="1">
      <c r="A4" s="31" t="s">
        <v>156</v>
      </c>
      <c r="B4" s="32">
        <v>46237</v>
      </c>
      <c r="C4" s="31" t="s">
        <v>140</v>
      </c>
      <c r="D4" s="31" t="s">
        <v>185</v>
      </c>
      <c r="E4" s="31" t="s">
        <v>146</v>
      </c>
      <c r="F4" s="31" t="s">
        <v>351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352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idden="1">
      <c r="A5" s="55" t="s">
        <v>127</v>
      </c>
      <c r="B5" s="32">
        <v>46238</v>
      </c>
      <c r="C5" s="31" t="s">
        <v>140</v>
      </c>
      <c r="D5" s="31" t="s">
        <v>185</v>
      </c>
      <c r="E5" s="31" t="s">
        <v>129</v>
      </c>
      <c r="F5" s="31" t="s">
        <v>353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 hidden="1">
      <c r="A6" s="55" t="s">
        <v>143</v>
      </c>
      <c r="B6" s="32">
        <v>46234</v>
      </c>
      <c r="C6" s="31" t="s">
        <v>140</v>
      </c>
      <c r="D6" s="31" t="s">
        <v>185</v>
      </c>
      <c r="E6" s="31" t="s">
        <v>129</v>
      </c>
      <c r="F6" s="31" t="s">
        <v>354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 hidden="1">
      <c r="A7" s="55" t="s">
        <v>134</v>
      </c>
      <c r="B7" s="32">
        <v>46239</v>
      </c>
      <c r="C7" s="31" t="s">
        <v>140</v>
      </c>
      <c r="D7" s="31" t="s">
        <v>185</v>
      </c>
      <c r="E7" s="31" t="s">
        <v>129</v>
      </c>
      <c r="F7" s="31" t="s">
        <v>355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 hidden="1">
      <c r="A8" s="55" t="s">
        <v>134</v>
      </c>
      <c r="B8" s="32">
        <v>46246</v>
      </c>
      <c r="C8" s="31" t="s">
        <v>140</v>
      </c>
      <c r="D8" s="31" t="s">
        <v>185</v>
      </c>
      <c r="E8" s="31" t="s">
        <v>129</v>
      </c>
      <c r="F8" s="31" t="s">
        <v>356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357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idden="1">
      <c r="A9" s="31" t="s">
        <v>156</v>
      </c>
      <c r="B9" s="32">
        <v>46251</v>
      </c>
      <c r="C9" s="31" t="s">
        <v>140</v>
      </c>
      <c r="D9" s="31" t="s">
        <v>185</v>
      </c>
      <c r="E9" s="31" t="s">
        <v>146</v>
      </c>
      <c r="F9" s="31" t="s">
        <v>358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357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 hidden="1">
      <c r="A10" s="31" t="s">
        <v>145</v>
      </c>
      <c r="B10" s="32">
        <v>46237</v>
      </c>
      <c r="C10" s="31" t="s">
        <v>140</v>
      </c>
      <c r="D10" s="31" t="s">
        <v>185</v>
      </c>
      <c r="E10" s="31" t="s">
        <v>146</v>
      </c>
      <c r="F10" s="31" t="s">
        <v>351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357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idden="1">
      <c r="A11" s="55" t="s">
        <v>134</v>
      </c>
      <c r="B11" s="32">
        <v>46254</v>
      </c>
      <c r="C11" s="31" t="s">
        <v>140</v>
      </c>
      <c r="D11" s="31" t="s">
        <v>185</v>
      </c>
      <c r="E11" s="31" t="s">
        <v>129</v>
      </c>
      <c r="F11" s="31" t="s">
        <v>353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idden="1">
      <c r="A12" s="55" t="s">
        <v>153</v>
      </c>
      <c r="B12" s="32">
        <v>46254</v>
      </c>
      <c r="C12" s="31" t="s">
        <v>140</v>
      </c>
      <c r="D12" s="31" t="s">
        <v>185</v>
      </c>
      <c r="E12" s="31" t="s">
        <v>146</v>
      </c>
      <c r="F12" s="31" t="s">
        <v>359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360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>
      <c r="A13" s="55" t="s">
        <v>139</v>
      </c>
      <c r="B13" s="32">
        <v>46258</v>
      </c>
      <c r="C13" s="31" t="s">
        <v>140</v>
      </c>
      <c r="D13" s="31" t="s">
        <v>185</v>
      </c>
      <c r="E13" s="31" t="s">
        <v>129</v>
      </c>
      <c r="F13" s="31" t="s">
        <v>361</v>
      </c>
      <c r="G13" s="31" t="s">
        <v>52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360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>
      <c r="A14" s="31" t="s">
        <v>148</v>
      </c>
      <c r="B14" s="32">
        <v>46258</v>
      </c>
      <c r="C14" s="31" t="s">
        <v>140</v>
      </c>
      <c r="D14" s="31" t="s">
        <v>178</v>
      </c>
      <c r="E14" s="31" t="s">
        <v>146</v>
      </c>
      <c r="F14" s="31" t="s">
        <v>362</v>
      </c>
      <c r="G14" s="31" t="s">
        <v>52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idden="1">
      <c r="A15" s="31" t="s">
        <v>159</v>
      </c>
      <c r="B15" s="32">
        <v>46258</v>
      </c>
      <c r="C15" s="31" t="s">
        <v>140</v>
      </c>
      <c r="D15" s="31" t="s">
        <v>178</v>
      </c>
      <c r="E15" s="31" t="s">
        <v>146</v>
      </c>
      <c r="F15" s="31" t="s">
        <v>363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360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>
      <c r="A16" s="31" t="s">
        <v>152</v>
      </c>
      <c r="B16" s="32">
        <v>46258</v>
      </c>
      <c r="C16" s="31" t="s">
        <v>140</v>
      </c>
      <c r="D16" s="31" t="s">
        <v>185</v>
      </c>
      <c r="E16" s="31" t="s">
        <v>146</v>
      </c>
      <c r="F16" s="31" t="s">
        <v>364</v>
      </c>
      <c r="G16" s="31" t="s">
        <v>52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360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idden="1">
      <c r="A17" s="31" t="s">
        <v>148</v>
      </c>
      <c r="B17" s="32">
        <v>46260</v>
      </c>
      <c r="C17" s="31" t="s">
        <v>140</v>
      </c>
      <c r="D17" s="31" t="s">
        <v>178</v>
      </c>
      <c r="E17" s="31" t="s">
        <v>146</v>
      </c>
      <c r="F17" s="31" t="s">
        <v>365</v>
      </c>
      <c r="G17" s="31" t="s">
        <v>49</v>
      </c>
      <c r="H17" s="32"/>
      <c r="I17" s="32"/>
      <c r="J17" s="32"/>
      <c r="K17" s="31"/>
      <c r="L17" s="31"/>
      <c r="M17" s="3"/>
      <c r="S17" s="28"/>
    </row>
    <row r="18" spans="1:20" ht="15">
      <c r="A18" s="33" t="s">
        <v>184</v>
      </c>
      <c r="B18" s="32">
        <v>46261</v>
      </c>
      <c r="C18" s="31" t="s">
        <v>140</v>
      </c>
      <c r="D18" s="31" t="s">
        <v>185</v>
      </c>
      <c r="E18" s="31" t="s">
        <v>129</v>
      </c>
      <c r="F18" s="31" t="s">
        <v>366</v>
      </c>
      <c r="G18" s="31" t="s">
        <v>52</v>
      </c>
      <c r="H18" s="32"/>
      <c r="I18" s="32"/>
      <c r="J18" s="32"/>
      <c r="K18" s="31"/>
      <c r="L18" s="31"/>
      <c r="M18" s="3" t="str">
        <f t="shared" ca="1" si="0"/>
        <v>UNCLAIMED 4 d</v>
      </c>
      <c r="N18" t="s">
        <v>360</v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 t="s">
        <v>148</v>
      </c>
      <c r="B19" s="32">
        <v>46262</v>
      </c>
      <c r="C19" s="31" t="s">
        <v>140</v>
      </c>
      <c r="D19" s="31" t="s">
        <v>178</v>
      </c>
      <c r="E19" s="31" t="s">
        <v>146</v>
      </c>
      <c r="F19" s="31" t="s">
        <v>367</v>
      </c>
      <c r="G19" s="31" t="s">
        <v>52</v>
      </c>
      <c r="H19" s="32"/>
      <c r="I19" s="32"/>
      <c r="J19" s="32"/>
      <c r="K19" s="31"/>
      <c r="L19" s="31"/>
      <c r="M19" s="3" t="str">
        <f t="shared" ca="1" si="0"/>
        <v>UNCLAIMED 3 d</v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>
      <c r="A20" s="31"/>
      <c r="B20" s="32"/>
      <c r="C20" s="31" t="s">
        <v>140</v>
      </c>
      <c r="D20" s="31"/>
      <c r="E20" s="31"/>
      <c r="F20" s="31"/>
      <c r="G20" s="31" t="s">
        <v>52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>
      <c r="A21" s="31"/>
      <c r="B21" s="32"/>
      <c r="C21" s="31" t="s">
        <v>140</v>
      </c>
      <c r="D21" s="31"/>
      <c r="E21" s="31"/>
      <c r="F21" s="31"/>
      <c r="G21" s="31" t="s">
        <v>52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>
      <c r="A22" s="31"/>
      <c r="B22" s="32"/>
      <c r="C22" s="31" t="s">
        <v>140</v>
      </c>
      <c r="D22" s="31"/>
      <c r="E22" s="31"/>
      <c r="F22" s="31"/>
      <c r="G22" s="31" t="s">
        <v>52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>
      <c r="A23" s="31"/>
      <c r="B23" s="32"/>
      <c r="C23" s="31" t="s">
        <v>140</v>
      </c>
      <c r="D23" s="31"/>
      <c r="E23" s="31"/>
      <c r="F23" s="31"/>
      <c r="G23" s="31" t="s">
        <v>52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>
      <c r="A24" s="31"/>
      <c r="B24" s="32"/>
      <c r="C24" s="31" t="s">
        <v>140</v>
      </c>
      <c r="D24" s="31"/>
      <c r="E24" s="31"/>
      <c r="F24" s="31"/>
      <c r="G24" s="31" t="s">
        <v>52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>
      <c r="A25" s="31"/>
      <c r="B25" s="32"/>
      <c r="C25" s="31" t="s">
        <v>140</v>
      </c>
      <c r="D25" s="31"/>
      <c r="E25" s="31"/>
      <c r="F25" s="31"/>
      <c r="G25" s="31" t="s">
        <v>52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>
      <c r="A26" s="31"/>
      <c r="B26" s="32"/>
      <c r="C26" s="31" t="s">
        <v>140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>
      <c r="A27" s="31"/>
      <c r="B27" s="32"/>
      <c r="C27" s="31" t="s">
        <v>140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>
      <c r="A28" s="31"/>
      <c r="B28" s="32"/>
      <c r="C28" s="31" t="s">
        <v>140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>
      <c r="A29" s="31"/>
      <c r="B29" s="32"/>
      <c r="C29" s="31" t="s">
        <v>140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>
      <c r="A30" s="31"/>
      <c r="B30" s="32"/>
      <c r="C30" s="31" t="s">
        <v>140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>
      <c r="A31" s="31"/>
      <c r="B31" s="32"/>
      <c r="C31" s="31" t="s">
        <v>140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>
      <c r="A32" s="31"/>
      <c r="B32" s="32"/>
      <c r="C32" s="31" t="s">
        <v>140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>
      <c r="A33" s="31"/>
      <c r="B33" s="32"/>
      <c r="C33" s="31" t="s">
        <v>140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>
      <c r="A34" s="31"/>
      <c r="B34" s="32"/>
      <c r="C34" s="31" t="s">
        <v>140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>
      <c r="A35" s="31"/>
      <c r="B35" s="32"/>
      <c r="C35" s="31" t="s">
        <v>140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>
      <c r="A36" s="31"/>
      <c r="B36" s="32"/>
      <c r="C36" s="31" t="s">
        <v>140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>
      <c r="A37" s="31"/>
      <c r="B37" s="32"/>
      <c r="C37" s="31" t="s">
        <v>140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3</v>
      </c>
      <c r="R37">
        <f>IF($P37="","",SUMPRODUCT(($A$3:$A$500=$P37)*($G$3:$G$500&lt;&gt;"Yes")*($G$3:$G$500&lt;&gt;"Did not pass re-test")))</f>
        <v>2</v>
      </c>
      <c r="S37" s="28">
        <f>IF($P37="","",IF(SUMPRODUCT(MAX(($A$3:$A$500=$P37)*ROW($A$3:$A$500)))=0,"",INDEX($B:$B,SUMPRODUCT(MAX(($A$3:$A$500=$P37)*ROW($A$3:$A$500))))))</f>
        <v>46262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>
      <c r="A38" s="31"/>
      <c r="B38" s="32"/>
      <c r="C38" s="31" t="s">
        <v>140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>
      <c r="A39" s="31"/>
      <c r="B39" s="32"/>
      <c r="C39" s="31" t="s">
        <v>140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>
      <c r="A40" s="31"/>
      <c r="B40" s="32"/>
      <c r="C40" s="31" t="s">
        <v>140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>
      <c r="A41" s="31"/>
      <c r="B41" s="32"/>
      <c r="C41" s="31" t="s">
        <v>140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>
      <c r="A42" s="31"/>
      <c r="B42" s="32"/>
      <c r="C42" s="31" t="s">
        <v>140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>
      <c r="A43" s="31"/>
      <c r="B43" s="32"/>
      <c r="C43" s="31" t="s">
        <v>140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>
      <c r="A44" s="31"/>
      <c r="B44" s="32"/>
      <c r="C44" s="31" t="s">
        <v>140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>
      <c r="A45" s="31"/>
      <c r="B45" s="32"/>
      <c r="C45" s="31" t="s">
        <v>140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>
      <c r="A46" s="31"/>
      <c r="B46" s="32"/>
      <c r="C46" s="31" t="s">
        <v>140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>
      <c r="A47" s="31"/>
      <c r="B47" s="32"/>
      <c r="C47" s="31" t="s">
        <v>140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>
      <c r="A48" s="31"/>
      <c r="B48" s="32"/>
      <c r="C48" s="31" t="s">
        <v>140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>
      <c r="A49" s="31"/>
      <c r="B49" s="32"/>
      <c r="C49" s="31" t="s">
        <v>140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>
      <c r="A50" s="31"/>
      <c r="B50" s="32"/>
      <c r="C50" s="31" t="s">
        <v>140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>
      <c r="A51" s="31"/>
      <c r="B51" s="32"/>
      <c r="C51" s="31" t="s">
        <v>140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1</v>
      </c>
      <c r="R51">
        <f>IF($P51="","",SUMPRODUCT(($A$3:$A$500=$P51)*($G$3:$G$500&lt;&gt;"Yes")*($G$3:$G$500&lt;&gt;"Did not pass re-test")))</f>
        <v>1</v>
      </c>
      <c r="S51" s="28">
        <f>IF($P51="","",IF(SUMPRODUCT(MAX(($A$3:$A$500=$P51)*ROW($A$3:$A$500)))=0,"",INDEX($B:$B,SUMPRODUCT(MAX(($A$3:$A$500=$P51)*ROW($A$3:$A$500))))))</f>
        <v>46261</v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>QA -&gt; DB Dev</v>
      </c>
    </row>
    <row r="52" spans="1:20">
      <c r="A52" s="31"/>
      <c r="B52" s="32"/>
      <c r="C52" s="31" t="s">
        <v>140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>
      <c r="A53" s="31"/>
      <c r="B53" s="32"/>
      <c r="C53" s="31" t="s">
        <v>140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>
      <c r="A54" s="31"/>
      <c r="B54" s="32"/>
      <c r="C54" s="31" t="s">
        <v>140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>
      <c r="A55" s="31"/>
      <c r="B55" s="32"/>
      <c r="C55" s="31" t="s">
        <v>140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>
      <c r="A56" s="31"/>
      <c r="B56" s="32"/>
      <c r="C56" s="31" t="s">
        <v>140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>
      <c r="A57" s="31"/>
      <c r="B57" s="32"/>
      <c r="C57" s="31" t="s">
        <v>140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>
      <c r="A58" s="31"/>
      <c r="B58" s="32"/>
      <c r="C58" s="31" t="s">
        <v>140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>
      <c r="A59" s="31"/>
      <c r="B59" s="32"/>
      <c r="C59" s="31" t="s">
        <v>140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>
      <c r="A60" s="31"/>
      <c r="B60" s="32"/>
      <c r="C60" s="31" t="s">
        <v>140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>
      <c r="A61" s="31"/>
      <c r="B61" s="32"/>
      <c r="C61" s="31" t="s">
        <v>140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>
      <c r="A62" s="31"/>
      <c r="B62" s="32"/>
      <c r="C62" s="31" t="s">
        <v>140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>
      <c r="A63" s="31"/>
      <c r="B63" s="32"/>
      <c r="C63" s="31" t="s">
        <v>140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>
      <c r="A64" s="31"/>
      <c r="B64" s="32"/>
      <c r="C64" s="31" t="s">
        <v>140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>
      <c r="A65" s="31"/>
      <c r="B65" s="32"/>
      <c r="C65" s="31" t="s">
        <v>140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>
      <c r="A66" s="31"/>
      <c r="B66" s="32"/>
      <c r="C66" s="31" t="s">
        <v>140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>
      <c r="A67" s="31"/>
      <c r="B67" s="32"/>
      <c r="C67" s="31" t="s">
        <v>140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140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>
      <c r="A69" s="31"/>
      <c r="B69" s="32"/>
      <c r="C69" s="31" t="s">
        <v>140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>
      <c r="A70" s="31"/>
      <c r="B70" s="32"/>
      <c r="C70" s="31" t="s">
        <v>140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>
      <c r="A71" s="31"/>
      <c r="B71" s="32"/>
      <c r="C71" s="31" t="s">
        <v>140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>
      <c r="A72" s="31"/>
      <c r="B72" s="32"/>
      <c r="C72" s="31" t="s">
        <v>140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>
      <c r="A73" s="31"/>
      <c r="B73" s="32"/>
      <c r="C73" s="31" t="s">
        <v>140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>
      <c r="A74" s="31"/>
      <c r="B74" s="32"/>
      <c r="C74" s="31" t="s">
        <v>140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>
      <c r="A75" s="31"/>
      <c r="B75" s="32"/>
      <c r="C75" s="31" t="s">
        <v>140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>
      <c r="A76" s="31"/>
      <c r="B76" s="32"/>
      <c r="C76" s="31" t="s">
        <v>140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>
      <c r="A77" s="31"/>
      <c r="B77" s="32"/>
      <c r="C77" s="31" t="s">
        <v>140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>
      <c r="A78" s="31"/>
      <c r="B78" s="32"/>
      <c r="C78" s="31" t="s">
        <v>140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>
      <c r="A79" s="31"/>
      <c r="B79" s="32"/>
      <c r="C79" s="31" t="s">
        <v>140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>
      <c r="A80" s="31"/>
      <c r="B80" s="32"/>
      <c r="C80" s="31" t="s">
        <v>140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>
      <c r="A81" s="31"/>
      <c r="B81" s="32"/>
      <c r="C81" s="31" t="s">
        <v>140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>
      <c r="A82" s="31"/>
      <c r="B82" s="32"/>
      <c r="C82" s="31" t="s">
        <v>140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>
      <c r="A83" s="31"/>
      <c r="B83" s="32"/>
      <c r="C83" s="31" t="s">
        <v>140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>
      <c r="A84" s="31"/>
      <c r="B84" s="32"/>
      <c r="C84" s="31" t="s">
        <v>140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>
      <c r="A85" s="31"/>
      <c r="B85" s="32"/>
      <c r="C85" s="31" t="s">
        <v>140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>
      <c r="A86" s="31"/>
      <c r="B86" s="32"/>
      <c r="C86" s="31" t="s">
        <v>140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>
      <c r="A87" s="31"/>
      <c r="B87" s="32"/>
      <c r="C87" s="31" t="s">
        <v>140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>
      <c r="A88" s="31"/>
      <c r="B88" s="32"/>
      <c r="C88" s="31" t="s">
        <v>140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>
      <c r="A89" s="31"/>
      <c r="B89" s="32"/>
      <c r="C89" s="31" t="s">
        <v>140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>
      <c r="A90" s="31"/>
      <c r="B90" s="32"/>
      <c r="C90" s="31" t="s">
        <v>140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>
      <c r="A91" s="31"/>
      <c r="B91" s="32"/>
      <c r="C91" s="31" t="s">
        <v>140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481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>
      <c r="A92" s="31"/>
      <c r="B92" s="32"/>
      <c r="C92" s="31" t="s">
        <v>140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481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>
      <c r="A93" s="31"/>
      <c r="B93" s="32"/>
      <c r="C93" s="31" t="s">
        <v>140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481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>
      <c r="A94" s="31"/>
      <c r="B94" s="32"/>
      <c r="C94" s="31" t="s">
        <v>140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481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>
      <c r="A95" s="31"/>
      <c r="B95" s="32"/>
      <c r="C95" s="31" t="s">
        <v>140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481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>
      <c r="A96" s="31"/>
      <c r="B96" s="32"/>
      <c r="C96" s="31" t="s">
        <v>140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481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>
      <c r="A97" s="31"/>
      <c r="B97" s="32"/>
      <c r="C97" s="31" t="s">
        <v>140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481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>
      <c r="A98" s="31"/>
      <c r="B98" s="32"/>
      <c r="C98" s="31" t="s">
        <v>140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481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>
      <c r="A99" s="31"/>
      <c r="B99" s="32"/>
      <c r="C99" s="31" t="s">
        <v>140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481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>
      <c r="A100" s="31"/>
      <c r="B100" s="32"/>
      <c r="C100" s="31" t="s">
        <v>140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481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>
      <c r="A101" s="31"/>
      <c r="B101" s="32"/>
      <c r="C101" s="31" t="s">
        <v>140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481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>
      <c r="A102" s="31"/>
      <c r="B102" s="32"/>
      <c r="C102" s="31" t="s">
        <v>140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481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>
      <c r="A103" s="31"/>
      <c r="B103" s="32"/>
      <c r="C103" s="31" t="s">
        <v>140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481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>
      <c r="A104" s="31"/>
      <c r="B104" s="32"/>
      <c r="C104" s="31" t="s">
        <v>140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481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>
      <c r="A105" s="31"/>
      <c r="B105" s="32"/>
      <c r="C105" s="31" t="s">
        <v>140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481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>
      <c r="A106" s="31"/>
      <c r="B106" s="32"/>
      <c r="C106" s="31" t="s">
        <v>140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481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>
      <c r="A107" s="31"/>
      <c r="B107" s="32"/>
      <c r="C107" s="31" t="s">
        <v>140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481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>
      <c r="A108" s="31"/>
      <c r="B108" s="32"/>
      <c r="C108" s="31" t="s">
        <v>140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481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>
      <c r="A109" s="31"/>
      <c r="B109" s="32"/>
      <c r="C109" s="31" t="s">
        <v>140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481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>
      <c r="A110" s="31"/>
      <c r="B110" s="32"/>
      <c r="C110" s="31" t="s">
        <v>140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481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>
      <c r="A111" s="31"/>
      <c r="B111" s="32"/>
      <c r="C111" s="31" t="s">
        <v>140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481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>
      <c r="A112" s="31"/>
      <c r="B112" s="32"/>
      <c r="C112" s="31" t="s">
        <v>140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481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>
      <c r="A113" s="31"/>
      <c r="B113" s="32"/>
      <c r="C113" s="31" t="s">
        <v>140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481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>
      <c r="A114" s="31"/>
      <c r="B114" s="32"/>
      <c r="C114" s="31" t="s">
        <v>140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481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>
      <c r="A115" s="31"/>
      <c r="B115" s="32"/>
      <c r="C115" s="31" t="s">
        <v>140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481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>
      <c r="A116" s="31"/>
      <c r="B116" s="32"/>
      <c r="C116" s="31" t="s">
        <v>140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481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>
      <c r="A117" s="31"/>
      <c r="B117" s="32"/>
      <c r="C117" s="31" t="s">
        <v>140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481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>
      <c r="A118" s="31"/>
      <c r="B118" s="32"/>
      <c r="C118" s="31" t="s">
        <v>140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481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>
      <c r="A119" s="31"/>
      <c r="B119" s="32"/>
      <c r="C119" s="31" t="s">
        <v>140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481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>
      <c r="A120" s="31"/>
      <c r="B120" s="32"/>
      <c r="C120" s="31" t="s">
        <v>140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481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>
      <c r="A121" s="31"/>
      <c r="B121" s="32"/>
      <c r="C121" s="31" t="s">
        <v>140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481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>
      <c r="A122" s="31"/>
      <c r="B122" s="32"/>
      <c r="C122" s="31" t="s">
        <v>140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481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>
      <c r="A123" s="31"/>
      <c r="B123" s="32"/>
      <c r="C123" s="31" t="s">
        <v>140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481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>
      <c r="A124" s="31"/>
      <c r="B124" s="32"/>
      <c r="C124" s="31" t="s">
        <v>140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481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>
      <c r="A125" s="31"/>
      <c r="B125" s="32"/>
      <c r="C125" s="31" t="s">
        <v>140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481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>
      <c r="A126" s="31"/>
      <c r="B126" s="32"/>
      <c r="C126" s="31" t="s">
        <v>140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481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>
      <c r="A127" s="31"/>
      <c r="B127" s="32"/>
      <c r="C127" s="31" t="s">
        <v>140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481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>
      <c r="A128" s="31"/>
      <c r="B128" s="32"/>
      <c r="C128" s="31" t="s">
        <v>140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481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>
      <c r="A129" s="31"/>
      <c r="B129" s="32"/>
      <c r="C129" s="31" t="s">
        <v>140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481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>
      <c r="A130" s="31"/>
      <c r="B130" s="32"/>
      <c r="C130" s="31" t="s">
        <v>140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481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>
      <c r="A131" s="31"/>
      <c r="B131" s="32"/>
      <c r="C131" s="31" t="s">
        <v>140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481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140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481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>
      <c r="A133" s="31"/>
      <c r="B133" s="32"/>
      <c r="C133" s="31" t="s">
        <v>140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481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>
      <c r="A134" s="31"/>
      <c r="B134" s="32"/>
      <c r="C134" s="31" t="s">
        <v>140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481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>
      <c r="A135" s="31"/>
      <c r="B135" s="32"/>
      <c r="C135" s="31" t="s">
        <v>140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481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>
      <c r="A136" s="31"/>
      <c r="B136" s="32"/>
      <c r="C136" s="31" t="s">
        <v>140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481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>
      <c r="A137" s="31"/>
      <c r="B137" s="32"/>
      <c r="C137" s="31" t="s">
        <v>140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481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>
      <c r="A138" s="31"/>
      <c r="B138" s="32"/>
      <c r="C138" s="31" t="s">
        <v>140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481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>
      <c r="A139" s="31"/>
      <c r="B139" s="32"/>
      <c r="C139" s="31" t="s">
        <v>140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481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>
      <c r="A140" s="31"/>
      <c r="B140" s="32"/>
      <c r="C140" s="31" t="s">
        <v>140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481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>
      <c r="A141" s="31"/>
      <c r="B141" s="32"/>
      <c r="C141" s="31" t="s">
        <v>140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481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>
      <c r="A142" s="31"/>
      <c r="B142" s="32"/>
      <c r="C142" s="31" t="s">
        <v>140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481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>
      <c r="A143" s="31"/>
      <c r="B143" s="32"/>
      <c r="C143" s="31" t="s">
        <v>140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481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>
      <c r="A144" s="31"/>
      <c r="B144" s="32"/>
      <c r="C144" s="31" t="s">
        <v>140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481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>
      <c r="A145" s="31"/>
      <c r="B145" s="32"/>
      <c r="C145" s="31" t="s">
        <v>140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481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>
      <c r="A146" s="31"/>
      <c r="B146" s="32"/>
      <c r="C146" s="31" t="s">
        <v>140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481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140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481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>
      <c r="A148" s="31"/>
      <c r="B148" s="32"/>
      <c r="C148" s="31" t="s">
        <v>140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481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>
      <c r="A149" s="31"/>
      <c r="B149" s="32"/>
      <c r="C149" s="31" t="s">
        <v>140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481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>
      <c r="A150" s="31"/>
      <c r="B150" s="32"/>
      <c r="C150" s="31" t="s">
        <v>140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481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>
      <c r="A151" s="31"/>
      <c r="B151" s="32"/>
      <c r="C151" s="31" t="s">
        <v>140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481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>
      <c r="A152" s="31"/>
      <c r="B152" s="32"/>
      <c r="C152" s="31" t="s">
        <v>140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481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>
      <c r="A153" s="31"/>
      <c r="B153" s="32"/>
      <c r="C153" s="31" t="s">
        <v>140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481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>
      <c r="A154" s="31"/>
      <c r="B154" s="32"/>
      <c r="C154" s="31" t="s">
        <v>140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481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>
      <c r="A155" s="31"/>
      <c r="B155" s="32"/>
      <c r="C155" s="31" t="s">
        <v>140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481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>
      <c r="A156" s="31"/>
      <c r="B156" s="32"/>
      <c r="C156" s="31" t="s">
        <v>140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481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>
      <c r="A157" s="31"/>
      <c r="B157" s="32"/>
      <c r="C157" s="31" t="s">
        <v>140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481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>
      <c r="A158" s="31"/>
      <c r="B158" s="32"/>
      <c r="C158" s="31" t="s">
        <v>140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481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>
      <c r="A159" s="31"/>
      <c r="B159" s="32"/>
      <c r="C159" s="31" t="s">
        <v>140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481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>
      <c r="A160" s="31"/>
      <c r="B160" s="32"/>
      <c r="C160" s="31" t="s">
        <v>140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481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>
      <c r="A161" s="31"/>
      <c r="B161" s="32"/>
      <c r="C161" s="31" t="s">
        <v>140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481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>
      <c r="A162" s="31"/>
      <c r="B162" s="32"/>
      <c r="C162" s="31" t="s">
        <v>140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481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>
      <c r="A163" s="31"/>
      <c r="B163" s="32"/>
      <c r="C163" s="31" t="s">
        <v>140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481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>
      <c r="A164" s="31"/>
      <c r="B164" s="32"/>
      <c r="C164" s="31" t="s">
        <v>140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481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>
      <c r="A165" s="31"/>
      <c r="B165" s="32"/>
      <c r="C165" s="31" t="s">
        <v>140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481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>
      <c r="A166" s="31"/>
      <c r="B166" s="32"/>
      <c r="C166" s="31" t="s">
        <v>140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481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>
      <c r="A167" s="31"/>
      <c r="B167" s="32"/>
      <c r="C167" s="31" t="s">
        <v>140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481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>
      <c r="A168" s="31"/>
      <c r="B168" s="32"/>
      <c r="C168" s="31" t="s">
        <v>140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481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>
      <c r="A169" s="31"/>
      <c r="B169" s="32"/>
      <c r="C169" s="31" t="s">
        <v>140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481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>
      <c r="A170" s="31"/>
      <c r="B170" s="32"/>
      <c r="C170" s="31" t="s">
        <v>140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481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>
      <c r="A171" s="31"/>
      <c r="B171" s="32"/>
      <c r="C171" s="31" t="s">
        <v>140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481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>
      <c r="A172" s="31"/>
      <c r="B172" s="32"/>
      <c r="C172" s="31" t="s">
        <v>140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481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>
      <c r="A173" s="31"/>
      <c r="B173" s="32"/>
      <c r="C173" s="31" t="s">
        <v>140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481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>
      <c r="A174" s="31"/>
      <c r="B174" s="32"/>
      <c r="C174" s="31" t="s">
        <v>140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481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>
      <c r="A175" s="31"/>
      <c r="B175" s="32"/>
      <c r="C175" s="31" t="s">
        <v>140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481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>
      <c r="A176" s="31"/>
      <c r="B176" s="32"/>
      <c r="C176" s="31" t="s">
        <v>140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481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>
      <c r="A177" s="31"/>
      <c r="B177" s="32"/>
      <c r="C177" s="31" t="s">
        <v>140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481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>
      <c r="A178" s="31"/>
      <c r="B178" s="32"/>
      <c r="C178" s="31" t="s">
        <v>140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481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>
      <c r="A179" s="31"/>
      <c r="B179" s="32"/>
      <c r="C179" s="31" t="s">
        <v>140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481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>
      <c r="A180" s="31"/>
      <c r="B180" s="32"/>
      <c r="C180" s="31" t="s">
        <v>140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481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>
      <c r="A181" s="31"/>
      <c r="B181" s="32"/>
      <c r="C181" s="31" t="s">
        <v>140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481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>
      <c r="A182" s="31"/>
      <c r="B182" s="32"/>
      <c r="C182" s="31" t="s">
        <v>140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481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>
      <c r="A183" s="31"/>
      <c r="B183" s="32"/>
      <c r="C183" s="31" t="s">
        <v>140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481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>
      <c r="A184" s="31"/>
      <c r="B184" s="32"/>
      <c r="C184" s="31" t="s">
        <v>140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481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>
      <c r="A185" s="31"/>
      <c r="B185" s="32"/>
      <c r="C185" s="31" t="s">
        <v>140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481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>
      <c r="A186" s="31"/>
      <c r="B186" s="32"/>
      <c r="C186" s="31" t="s">
        <v>140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481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>
      <c r="A187" s="31"/>
      <c r="B187" s="32"/>
      <c r="C187" s="31" t="s">
        <v>140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481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>
      <c r="A188" s="31"/>
      <c r="B188" s="32"/>
      <c r="C188" s="31" t="s">
        <v>140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481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>
      <c r="A189" s="31"/>
      <c r="B189" s="32"/>
      <c r="C189" s="31" t="s">
        <v>140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481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>
      <c r="A190" s="31"/>
      <c r="B190" s="32"/>
      <c r="C190" s="31" t="s">
        <v>140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481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>
      <c r="A191" s="31"/>
      <c r="B191" s="32"/>
      <c r="C191" s="31" t="s">
        <v>140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481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>
      <c r="A192" s="31"/>
      <c r="B192" s="32"/>
      <c r="C192" s="31" t="s">
        <v>140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481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>
      <c r="A193" s="31"/>
      <c r="B193" s="32"/>
      <c r="C193" s="31" t="s">
        <v>140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481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>
      <c r="A194" s="31"/>
      <c r="B194" s="32"/>
      <c r="C194" s="31" t="s">
        <v>140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481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>
      <c r="A195" s="31"/>
      <c r="B195" s="32"/>
      <c r="C195" s="31" t="s">
        <v>140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481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140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481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>
      <c r="A197" s="31"/>
      <c r="B197" s="32"/>
      <c r="C197" s="31" t="s">
        <v>140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481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>
      <c r="A198" s="31"/>
      <c r="B198" s="32"/>
      <c r="C198" s="31" t="s">
        <v>140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481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>
      <c r="A199" s="31"/>
      <c r="B199" s="32"/>
      <c r="C199" s="31" t="s">
        <v>140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481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>
      <c r="A200" s="31"/>
      <c r="B200" s="32"/>
      <c r="C200" s="31" t="s">
        <v>140</v>
      </c>
      <c r="D200" s="31"/>
      <c r="E200" s="31"/>
      <c r="F200" s="31"/>
      <c r="G200" s="31" t="s">
        <v>52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481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481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481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481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481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481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481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481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481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481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481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481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481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481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481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481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481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481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481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481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481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481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481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481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481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481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481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481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481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481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481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481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481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481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481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481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481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481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481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481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481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481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481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481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481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481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481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481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481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481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481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481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481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481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481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481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481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481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481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481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481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481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481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481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481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481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481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481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481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481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481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481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481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481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481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481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481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481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481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481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481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481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481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481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481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481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481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481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481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481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481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481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481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481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481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481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481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481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481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481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481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481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481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481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481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481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481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481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481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481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481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481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481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481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481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481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481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481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481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481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481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481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481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481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481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481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481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481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481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481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481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481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481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481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481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481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481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481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481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481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481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481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481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481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481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481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481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481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481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481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481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481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481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481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481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481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481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481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481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481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481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481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481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481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481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481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481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481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481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481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481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481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481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481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481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481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481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481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481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481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481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481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481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481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481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481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481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481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481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481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481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481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481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481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481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481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481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481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481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481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481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481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481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481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481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481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481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481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481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481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481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481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481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481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481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481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481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481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481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481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481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481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481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481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481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481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481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481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481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481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481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481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481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481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481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481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481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481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481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481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481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481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481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481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481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481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481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481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481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481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481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481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481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481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481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481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481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481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481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481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481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481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481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481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481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481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481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481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481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481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481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481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481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481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481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481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481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481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481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481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481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481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481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481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481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481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481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481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481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481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481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481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481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481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481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481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481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481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481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481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481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5">
      <formula>AND($B5&lt;&gt;"",MOD(ROW(),2)=0)</formula>
    </cfRule>
  </conditionalFormatting>
  <conditionalFormatting sqref="A11:A13">
    <cfRule type="expression" dxfId="13" priority="2">
      <formula>AND($B11&lt;&gt;"",MOD(ROW(),2)=0)</formula>
    </cfRule>
  </conditionalFormatting>
  <conditionalFormatting sqref="A3:H3 K3:M3 A4:M4 M4:M11 B5:M8 A9:M10 B11:M13 A14:M17 A19:M500 B18:M18">
    <cfRule type="expression" dxfId="12" priority="15">
      <formula>AND($A3&lt;&gt;"",$G3="Yes")</formula>
    </cfRule>
    <cfRule type="expression" dxfId="11" priority="16">
      <formula>AND($A3&lt;&gt;"",$J3&lt;&gt;"")</formula>
    </cfRule>
    <cfRule type="expression" dxfId="10" priority="17">
      <formula>$A3&lt;&gt;""</formula>
    </cfRule>
  </conditionalFormatting>
  <conditionalFormatting sqref="C3:C200">
    <cfRule type="expression" dxfId="9" priority="18">
      <formula>$A3=""</formula>
    </cfRule>
  </conditionalFormatting>
  <conditionalFormatting sqref="G3:G200">
    <cfRule type="expression" dxfId="8" priority="19">
      <formula>$A3=""</formula>
    </cfRule>
  </conditionalFormatting>
  <conditionalFormatting sqref="K3:M3 A4:M4 M4:M11 B5:M8 A9:M10 B11:M13 A14:M17 A3:H3 A19:M500 B18:M18">
    <cfRule type="expression" dxfId="7" priority="14">
      <formula>AND($A3&lt;&gt;"",$G3="Did not pass re-test")</formula>
    </cfRule>
  </conditionalFormatting>
  <conditionalFormatting sqref="M3:M500">
    <cfRule type="expression" dxfId="6" priority="8">
      <formula>ISNUMBER(SEARCH("Sent back again",$M3))</formula>
    </cfRule>
    <cfRule type="expression" dxfId="5" priority="9">
      <formula>ISNUMBER(SEARCH("LATE",$M3))</formula>
    </cfRule>
    <cfRule type="expression" dxfId="4" priority="10">
      <formula>ISNUMBER(SEARCH("UNCLAIMED",$M3))</formula>
    </cfRule>
    <cfRule type="expression" dxfId="3" priority="11">
      <formula>ISNUMBER(SEARCH("Missing",$M3))</formula>
    </cfRule>
    <cfRule type="expression" dxfId="2" priority="12">
      <formula>ISNUMBER(SEARCH("Fixed in",$M3))</formula>
    </cfRule>
    <cfRule type="expression" dxfId="1" priority="13">
      <formula>ISNUMBER(SEARCH("Open",$M3))</formula>
    </cfRule>
  </conditionalFormatting>
  <conditionalFormatting sqref="A18">
    <cfRule type="expression" dxfId="0" priority="1">
      <formula>AND($B18&lt;&gt;"",MOD(ROW(),2)=0)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A14:A17 A19:A500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08" t="s">
        <v>368</v>
      </c>
      <c r="B1" s="103"/>
      <c r="C1" s="103"/>
      <c r="D1" s="103"/>
      <c r="E1" s="103"/>
      <c r="F1" s="103"/>
      <c r="G1" s="103"/>
      <c r="H1" s="103"/>
      <c r="I1" s="103"/>
      <c r="J1" s="103"/>
    </row>
    <row r="2" spans="1:10" ht="27" customHeight="1">
      <c r="A2" s="8" t="s">
        <v>0</v>
      </c>
      <c r="B2" s="8" t="s">
        <v>369</v>
      </c>
      <c r="C2" s="8" t="s">
        <v>1</v>
      </c>
      <c r="D2" s="8" t="s">
        <v>370</v>
      </c>
      <c r="E2" s="8" t="s">
        <v>371</v>
      </c>
      <c r="F2" s="8" t="s">
        <v>6</v>
      </c>
      <c r="G2" s="8" t="s">
        <v>5</v>
      </c>
      <c r="H2" s="8" t="s">
        <v>372</v>
      </c>
      <c r="I2" s="8" t="s">
        <v>373</v>
      </c>
      <c r="J2" s="8" t="s">
        <v>374</v>
      </c>
    </row>
    <row r="3" spans="1:10" ht="14.25" customHeight="1">
      <c r="A3" s="9" t="s">
        <v>39</v>
      </c>
      <c r="B3" s="9" t="s">
        <v>185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178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140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185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178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140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185</v>
      </c>
      <c r="C13" s="9" t="s">
        <v>375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178</v>
      </c>
      <c r="C14" s="9" t="s">
        <v>375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140</v>
      </c>
      <c r="C15" s="9" t="s">
        <v>375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375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375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185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178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140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185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178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140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185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178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140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185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178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140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185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178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140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185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178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140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185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178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140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185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178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140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185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178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140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185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178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140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185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178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140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185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178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140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185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178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140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185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178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140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185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178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140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185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178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140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185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178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140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185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178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140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185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178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140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185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178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140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185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178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140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185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178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140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185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178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140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185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178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140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185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178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140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185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178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140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185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178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140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185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178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140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185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178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140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185</v>
      </c>
      <c r="C153" s="9" t="s">
        <v>143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178</v>
      </c>
      <c r="C154" s="9" t="s">
        <v>143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140</v>
      </c>
      <c r="C155" s="9" t="s">
        <v>143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185</v>
      </c>
      <c r="C156" s="9" t="s">
        <v>145</v>
      </c>
      <c r="D156" s="9" t="s">
        <v>83</v>
      </c>
      <c r="E156" s="9" t="s">
        <v>59</v>
      </c>
      <c r="F156" s="9"/>
      <c r="G156" s="9" t="s">
        <v>146</v>
      </c>
      <c r="H156" s="9"/>
      <c r="I156" s="9"/>
      <c r="J156" s="9"/>
    </row>
    <row r="157" spans="1:10">
      <c r="A157" s="3" t="s">
        <v>126</v>
      </c>
      <c r="B157" s="3" t="s">
        <v>185</v>
      </c>
      <c r="C157" s="3" t="s">
        <v>148</v>
      </c>
      <c r="D157" s="3" t="s">
        <v>117</v>
      </c>
      <c r="E157" s="3" t="s">
        <v>45</v>
      </c>
      <c r="F157" s="3"/>
      <c r="G157" s="3" t="s">
        <v>146</v>
      </c>
      <c r="H157" s="3"/>
      <c r="I157" s="3"/>
      <c r="J157" s="3"/>
    </row>
    <row r="158" spans="1:10">
      <c r="A158" s="3" t="s">
        <v>126</v>
      </c>
      <c r="B158" s="3" t="s">
        <v>185</v>
      </c>
      <c r="C158" s="3" t="s">
        <v>152</v>
      </c>
      <c r="D158" s="3" t="s">
        <v>117</v>
      </c>
      <c r="E158" s="3" t="s">
        <v>45</v>
      </c>
      <c r="F158" s="3"/>
      <c r="G158" s="3" t="s">
        <v>146</v>
      </c>
      <c r="H158" s="3"/>
      <c r="I158" s="3"/>
      <c r="J158" s="3"/>
    </row>
    <row r="159" spans="1:10">
      <c r="A159" s="3" t="s">
        <v>126</v>
      </c>
      <c r="B159" s="3" t="s">
        <v>178</v>
      </c>
      <c r="C159" s="3" t="s">
        <v>152</v>
      </c>
      <c r="D159" s="3" t="s">
        <v>117</v>
      </c>
      <c r="E159" s="3" t="s">
        <v>45</v>
      </c>
      <c r="F159" s="3"/>
      <c r="G159" s="3" t="s">
        <v>146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140</v>
      </c>
      <c r="C160" s="3" t="s">
        <v>152</v>
      </c>
      <c r="D160" s="3" t="s">
        <v>117</v>
      </c>
      <c r="E160" s="3" t="s">
        <v>45</v>
      </c>
      <c r="F160" s="3"/>
      <c r="G160" s="3" t="s">
        <v>146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185</v>
      </c>
      <c r="C161" s="3" t="s">
        <v>153</v>
      </c>
      <c r="D161" s="3" t="s">
        <v>83</v>
      </c>
      <c r="E161" s="3" t="s">
        <v>59</v>
      </c>
      <c r="F161" s="3"/>
      <c r="G161" s="3" t="s">
        <v>146</v>
      </c>
      <c r="H161" s="3"/>
      <c r="I161" s="3"/>
      <c r="J161" s="3"/>
    </row>
    <row r="162" spans="1:10">
      <c r="A162" s="3" t="s">
        <v>126</v>
      </c>
      <c r="B162" s="3" t="s">
        <v>178</v>
      </c>
      <c r="C162" s="3" t="s">
        <v>153</v>
      </c>
      <c r="D162" s="3" t="s">
        <v>83</v>
      </c>
      <c r="E162" s="3" t="s">
        <v>59</v>
      </c>
      <c r="F162" s="3"/>
      <c r="G162" s="3" t="s">
        <v>146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140</v>
      </c>
      <c r="C163" s="3" t="s">
        <v>153</v>
      </c>
      <c r="D163" s="3" t="s">
        <v>83</v>
      </c>
      <c r="E163" s="3" t="s">
        <v>59</v>
      </c>
      <c r="F163" s="3"/>
      <c r="G163" s="3" t="s">
        <v>146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185</v>
      </c>
      <c r="C164" s="3" t="s">
        <v>156</v>
      </c>
      <c r="D164" s="3" t="s">
        <v>158</v>
      </c>
      <c r="E164" s="3" t="s">
        <v>59</v>
      </c>
      <c r="F164" s="3"/>
      <c r="G164" s="3" t="s">
        <v>146</v>
      </c>
      <c r="H164" s="3"/>
      <c r="I164" s="3"/>
      <c r="J164" s="3"/>
    </row>
    <row r="165" spans="1:10">
      <c r="A165" s="3" t="s">
        <v>126</v>
      </c>
      <c r="B165" s="3" t="s">
        <v>178</v>
      </c>
      <c r="C165" s="3" t="s">
        <v>156</v>
      </c>
      <c r="D165" s="3" t="s">
        <v>158</v>
      </c>
      <c r="E165" s="3" t="s">
        <v>59</v>
      </c>
      <c r="F165" s="3"/>
      <c r="G165" s="3" t="s">
        <v>146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140</v>
      </c>
      <c r="C166" s="3" t="s">
        <v>156</v>
      </c>
      <c r="D166" s="3" t="s">
        <v>158</v>
      </c>
      <c r="E166" s="3" t="s">
        <v>59</v>
      </c>
      <c r="F166" s="3"/>
      <c r="G166" s="3" t="s">
        <v>146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185</v>
      </c>
      <c r="C167" s="3" t="s">
        <v>159</v>
      </c>
      <c r="D167" s="3" t="s">
        <v>158</v>
      </c>
      <c r="E167" s="3" t="s">
        <v>76</v>
      </c>
      <c r="F167" s="3"/>
      <c r="G167" s="3" t="s">
        <v>146</v>
      </c>
      <c r="H167" s="3"/>
      <c r="I167" s="3"/>
      <c r="J167" s="3"/>
    </row>
    <row r="168" spans="1:10">
      <c r="A168" s="3" t="s">
        <v>126</v>
      </c>
      <c r="B168" s="3" t="s">
        <v>178</v>
      </c>
      <c r="C168" s="3" t="s">
        <v>159</v>
      </c>
      <c r="D168" s="3" t="s">
        <v>158</v>
      </c>
      <c r="E168" s="3" t="s">
        <v>76</v>
      </c>
      <c r="F168" s="3"/>
      <c r="G168" s="3" t="s">
        <v>146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140</v>
      </c>
      <c r="C169" s="3" t="s">
        <v>159</v>
      </c>
      <c r="D169" s="3" t="s">
        <v>158</v>
      </c>
      <c r="E169" s="3" t="s">
        <v>76</v>
      </c>
      <c r="F169" s="3"/>
      <c r="G169" s="3" t="s">
        <v>146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185</v>
      </c>
      <c r="C170" s="3" t="s">
        <v>160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178</v>
      </c>
      <c r="C171" s="3" t="s">
        <v>160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140</v>
      </c>
      <c r="C172" s="3" t="s">
        <v>160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185</v>
      </c>
      <c r="C173" s="3" t="s">
        <v>162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178</v>
      </c>
      <c r="C174" s="3" t="s">
        <v>162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140</v>
      </c>
      <c r="C175" s="3" t="s">
        <v>162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185</v>
      </c>
      <c r="C176" s="3" t="s">
        <v>164</v>
      </c>
      <c r="D176" s="3" t="s">
        <v>75</v>
      </c>
      <c r="E176" s="3" t="s">
        <v>76</v>
      </c>
      <c r="F176" s="3"/>
      <c r="G176" s="3" t="s">
        <v>146</v>
      </c>
      <c r="H176" s="3"/>
      <c r="I176" s="3"/>
      <c r="J176" s="3"/>
    </row>
    <row r="177" spans="1:10">
      <c r="A177" s="3" t="s">
        <v>126</v>
      </c>
      <c r="B177" s="3" t="s">
        <v>178</v>
      </c>
      <c r="C177" s="3" t="s">
        <v>164</v>
      </c>
      <c r="D177" s="3" t="s">
        <v>75</v>
      </c>
      <c r="E177" s="3" t="s">
        <v>76</v>
      </c>
      <c r="F177" s="3"/>
      <c r="G177" s="3" t="s">
        <v>146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140</v>
      </c>
      <c r="C178" s="3" t="s">
        <v>164</v>
      </c>
      <c r="D178" s="3" t="s">
        <v>75</v>
      </c>
      <c r="E178" s="3" t="s">
        <v>76</v>
      </c>
      <c r="F178" s="3"/>
      <c r="G178" s="3" t="s">
        <v>146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185</v>
      </c>
      <c r="C179" s="3" t="s">
        <v>167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178</v>
      </c>
      <c r="C180" s="3" t="s">
        <v>167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140</v>
      </c>
      <c r="C181" s="3" t="s">
        <v>167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185</v>
      </c>
      <c r="C182" s="3" t="s">
        <v>177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178</v>
      </c>
      <c r="C183" s="3" t="s">
        <v>177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140</v>
      </c>
      <c r="C184" s="3" t="s">
        <v>177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09" t="s">
        <v>376</v>
      </c>
      <c r="B1" s="103"/>
      <c r="C1" s="103"/>
    </row>
    <row r="2" spans="1:3" ht="14.25" customHeight="1">
      <c r="A2" s="8" t="s">
        <v>0</v>
      </c>
      <c r="B2" s="8" t="s">
        <v>377</v>
      </c>
      <c r="C2" s="8" t="s">
        <v>373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378</v>
      </c>
      <c r="B11" s="11">
        <v>18</v>
      </c>
      <c r="C11" s="12">
        <v>46386</v>
      </c>
    </row>
    <row r="12" spans="1:3" ht="14.25" customHeight="1">
      <c r="A12" s="11" t="s">
        <v>378</v>
      </c>
      <c r="B12" s="11">
        <v>18</v>
      </c>
      <c r="C12" s="12">
        <v>46417</v>
      </c>
    </row>
    <row r="13" spans="1:3" ht="14.25" customHeight="1">
      <c r="A13" s="11" t="s">
        <v>378</v>
      </c>
      <c r="B13" s="11">
        <v>19</v>
      </c>
      <c r="C13" s="12">
        <v>46446</v>
      </c>
    </row>
    <row r="14" spans="1:3" ht="14.25" customHeight="1">
      <c r="A14" s="11" t="s">
        <v>296</v>
      </c>
      <c r="B14" s="11">
        <v>9</v>
      </c>
      <c r="C14" s="12">
        <v>46476</v>
      </c>
    </row>
    <row r="15" spans="1:3" ht="14.25" customHeight="1">
      <c r="A15" s="11" t="s">
        <v>286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379</v>
      </c>
      <c r="F1" s="1" t="s">
        <v>323</v>
      </c>
      <c r="G1" s="5" t="s">
        <v>380</v>
      </c>
      <c r="H1" s="5" t="s">
        <v>20</v>
      </c>
      <c r="I1" t="s">
        <v>34</v>
      </c>
      <c r="J1" s="5" t="s">
        <v>381</v>
      </c>
      <c r="K1" s="5" t="s">
        <v>128</v>
      </c>
      <c r="L1" s="5" t="s">
        <v>342</v>
      </c>
      <c r="M1" s="1" t="s">
        <v>382</v>
      </c>
      <c r="N1" s="1" t="s">
        <v>383</v>
      </c>
      <c r="R1" t="s">
        <v>13</v>
      </c>
      <c r="T1" t="s">
        <v>384</v>
      </c>
    </row>
    <row r="2" spans="1:20" ht="13.5" customHeight="1">
      <c r="A2" s="2" t="s">
        <v>385</v>
      </c>
      <c r="B2" s="2" t="s">
        <v>386</v>
      </c>
      <c r="C2" s="2" t="s">
        <v>387</v>
      </c>
      <c r="D2" s="2" t="s">
        <v>388</v>
      </c>
      <c r="E2" s="2" t="s">
        <v>389</v>
      </c>
      <c r="F2" s="2" t="s">
        <v>390</v>
      </c>
      <c r="G2" t="s">
        <v>391</v>
      </c>
      <c r="H2" t="s">
        <v>392</v>
      </c>
      <c r="I2" t="s">
        <v>393</v>
      </c>
      <c r="J2" s="29" t="s">
        <v>394</v>
      </c>
      <c r="K2" s="29" t="s">
        <v>395</v>
      </c>
      <c r="L2" s="29" t="s">
        <v>396</v>
      </c>
      <c r="M2" t="s">
        <v>146</v>
      </c>
      <c r="N2" s="45" t="s">
        <v>397</v>
      </c>
      <c r="R2" t="s">
        <v>398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205</v>
      </c>
      <c r="G3" t="s">
        <v>43</v>
      </c>
      <c r="H3" t="s">
        <v>46</v>
      </c>
      <c r="I3" t="s">
        <v>52</v>
      </c>
      <c r="J3" t="s">
        <v>185</v>
      </c>
      <c r="K3" t="s">
        <v>47</v>
      </c>
      <c r="L3" t="s">
        <v>52</v>
      </c>
      <c r="M3" t="s">
        <v>43</v>
      </c>
      <c r="N3" s="45" t="s">
        <v>399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146</v>
      </c>
      <c r="E4" t="s">
        <v>52</v>
      </c>
      <c r="F4" t="s">
        <v>185</v>
      </c>
      <c r="G4" t="s">
        <v>58</v>
      </c>
      <c r="H4" t="s">
        <v>87</v>
      </c>
      <c r="I4" t="s">
        <v>400</v>
      </c>
      <c r="J4" t="s">
        <v>178</v>
      </c>
      <c r="L4" t="s">
        <v>49</v>
      </c>
      <c r="M4" t="s">
        <v>102</v>
      </c>
      <c r="N4" s="45" t="s">
        <v>399</v>
      </c>
      <c r="R4" t="s">
        <v>193</v>
      </c>
      <c r="T4" t="s">
        <v>71</v>
      </c>
    </row>
    <row r="5" spans="1:20" ht="15" customHeight="1">
      <c r="A5" t="s">
        <v>378</v>
      </c>
      <c r="B5" t="s">
        <v>64</v>
      </c>
      <c r="C5" t="s">
        <v>76</v>
      </c>
      <c r="F5" t="s">
        <v>178</v>
      </c>
      <c r="G5" t="s">
        <v>64</v>
      </c>
      <c r="H5" t="s">
        <v>129</v>
      </c>
      <c r="I5" t="s">
        <v>401</v>
      </c>
      <c r="J5" t="s">
        <v>140</v>
      </c>
      <c r="L5" t="s">
        <v>402</v>
      </c>
      <c r="M5" t="s">
        <v>87</v>
      </c>
      <c r="N5" s="45" t="s">
        <v>399</v>
      </c>
    </row>
    <row r="6" spans="1:20" ht="15" customHeight="1">
      <c r="A6" t="s">
        <v>296</v>
      </c>
      <c r="B6" t="s">
        <v>83</v>
      </c>
      <c r="F6" t="s">
        <v>140</v>
      </c>
      <c r="G6" t="s">
        <v>83</v>
      </c>
      <c r="H6" t="s">
        <v>146</v>
      </c>
      <c r="I6" t="s">
        <v>150</v>
      </c>
      <c r="J6" t="s">
        <v>128</v>
      </c>
      <c r="M6" t="s">
        <v>47</v>
      </c>
      <c r="N6" s="45" t="s">
        <v>399</v>
      </c>
    </row>
    <row r="7" spans="1:20" ht="15" customHeight="1">
      <c r="A7" t="s">
        <v>286</v>
      </c>
      <c r="B7" t="s">
        <v>117</v>
      </c>
      <c r="F7" t="s">
        <v>128</v>
      </c>
      <c r="G7" t="s">
        <v>117</v>
      </c>
      <c r="I7" t="s">
        <v>403</v>
      </c>
      <c r="M7" t="s">
        <v>129</v>
      </c>
      <c r="N7" s="45" t="s">
        <v>399</v>
      </c>
    </row>
    <row r="8" spans="1:20" ht="15" customHeight="1">
      <c r="B8" t="s">
        <v>75</v>
      </c>
      <c r="F8" t="s">
        <v>41</v>
      </c>
      <c r="G8" t="s">
        <v>75</v>
      </c>
      <c r="I8" t="s">
        <v>404</v>
      </c>
      <c r="M8" t="s">
        <v>59</v>
      </c>
      <c r="N8" s="45" t="s">
        <v>399</v>
      </c>
    </row>
    <row r="9" spans="1:20" ht="15" customHeight="1">
      <c r="B9" t="s">
        <v>102</v>
      </c>
      <c r="G9" t="s">
        <v>102</v>
      </c>
      <c r="I9" t="s">
        <v>405</v>
      </c>
      <c r="M9" t="s">
        <v>158</v>
      </c>
      <c r="N9" s="45" t="s">
        <v>399</v>
      </c>
    </row>
    <row r="10" spans="1:20" ht="15" customHeight="1">
      <c r="B10" t="s">
        <v>158</v>
      </c>
      <c r="G10" t="s">
        <v>158</v>
      </c>
      <c r="M10" t="s">
        <v>46</v>
      </c>
      <c r="N10" s="45" t="s">
        <v>399</v>
      </c>
    </row>
    <row r="11" spans="1:20">
      <c r="B11" t="s">
        <v>406</v>
      </c>
      <c r="G11" t="s">
        <v>59</v>
      </c>
      <c r="M11" t="s">
        <v>75</v>
      </c>
      <c r="N11" s="45" t="s">
        <v>399</v>
      </c>
    </row>
    <row r="12" spans="1:20">
      <c r="B12" t="s">
        <v>407</v>
      </c>
      <c r="G12" t="s">
        <v>45</v>
      </c>
      <c r="M12" t="s">
        <v>45</v>
      </c>
      <c r="N12" s="45" t="s">
        <v>399</v>
      </c>
    </row>
    <row r="13" spans="1:20">
      <c r="G13" t="s">
        <v>76</v>
      </c>
      <c r="M13" t="s">
        <v>76</v>
      </c>
      <c r="N13" s="45" t="s">
        <v>399</v>
      </c>
    </row>
    <row r="14" spans="1:20">
      <c r="M14" t="s">
        <v>83</v>
      </c>
      <c r="N14" s="45" t="s">
        <v>408</v>
      </c>
    </row>
    <row r="15" spans="1:20">
      <c r="M15" t="s">
        <v>58</v>
      </c>
      <c r="N15" s="45" t="s">
        <v>399</v>
      </c>
    </row>
    <row r="16" spans="1:20">
      <c r="M16" t="s">
        <v>117</v>
      </c>
      <c r="N16" s="45" t="s">
        <v>399</v>
      </c>
    </row>
    <row r="17" spans="13:14">
      <c r="M17" t="s">
        <v>64</v>
      </c>
      <c r="N17" s="45" t="s">
        <v>399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Preety Jha</cp:lastModifiedBy>
  <cp:revision>0</cp:revision>
  <dcterms:created xsi:type="dcterms:W3CDTF">2026-07-21T14:32:59Z</dcterms:created>
  <dcterms:modified xsi:type="dcterms:W3CDTF">2026-08-31T11:35:53Z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