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82" documentId="13_ncr:1_{52745E9B-3AA1-4770-AAD3-E6166BFC13AE}" xr6:coauthVersionLast="47" xr6:coauthVersionMax="47" xr10:uidLastSave="{A1E4C0BF-7284-4A84-9FAD-9A1DBF280B1B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<sst xmlns="http://schemas.openxmlformats.org/spreadsheetml/2006/main" count="2958" uniqueCount="419">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</sst>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B1" activePane="topRight" state="frozen"/>
      <selection pane="topRight" activeCell="A29" sqref="A29:XFD2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t="str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149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150</v>
      </c>
      <c r="AD35" s="33" t="s">
        <v>48</v>
      </c>
      <c r="AE35" s="38"/>
      <c r="AF35" s="36"/>
      <c r="AG35" s="39"/>
      <c r="AH35" s="33"/>
      <c r="AI35" s="40" t="s">
        <v>151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152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153</v>
      </c>
      <c r="C36" s="33" t="s">
        <v>149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152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154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155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156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157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158</v>
      </c>
      <c r="F38" s="34" t="s">
        <v>146</v>
      </c>
      <c r="G38" s="33"/>
      <c r="H38" s="50">
        <v>46234</v>
      </c>
      <c r="I38" s="62" t="s">
        <v>130</v>
      </c>
      <c r="J38" s="33" t="s">
        <v>159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155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160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159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155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152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161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162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163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164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165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166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155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167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168</v>
      </c>
      <c r="C43" s="33" t="s">
        <v>149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169</v>
      </c>
      <c r="F43" s="34" t="s">
        <v>146</v>
      </c>
      <c r="G43" s="33"/>
      <c r="H43" s="50">
        <v>46265</v>
      </c>
      <c r="I43" s="62" t="s">
        <v>170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171</v>
      </c>
      <c r="O43" s="36" t="s">
        <v>172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173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174</v>
      </c>
      <c r="C44" s="33" t="s">
        <v>149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170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172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175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>Open rework row - mark Blocked? or close it</v>
      </c>
      <c r="AK44" s="78" t="s">
        <v>176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170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172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>
        <v>46265</v>
      </c>
      <c r="Y45" s="36"/>
      <c r="Z45" s="53">
        <v>46260</v>
      </c>
      <c r="AA45" s="36">
        <v>46265</v>
      </c>
      <c r="AB45" s="36"/>
      <c r="AC45" s="33" t="s">
        <v>175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178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179</v>
      </c>
      <c r="C46" s="33" t="s">
        <v>180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170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170</v>
      </c>
      <c r="J47" s="33" t="s">
        <v>159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178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184</v>
      </c>
      <c r="C48" s="33" t="s">
        <v>149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170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175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185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186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170</v>
      </c>
      <c r="J49" s="33" t="s">
        <v>159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155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187</v>
      </c>
      <c r="C50" s="33" t="s">
        <v>149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170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175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188</v>
      </c>
      <c r="C51" s="33" t="s">
        <v>149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170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183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189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185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190</v>
      </c>
      <c r="C52" s="33" t="s">
        <v>180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170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191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192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193</v>
      </c>
      <c r="C53" s="33" t="s">
        <v>149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170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171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180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170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180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180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171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>
        <v>46268</v>
      </c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208</v>
      </c>
      <c r="C59" s="33" t="s">
        <v>180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209</v>
      </c>
      <c r="C60" s="33" t="s">
        <v>180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159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219</v>
      </c>
      <c r="C65" s="33" t="s">
        <v>140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159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223</v>
      </c>
      <c r="C68" s="82" t="s">
        <v>180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234</v>
      </c>
      <c r="C72" s="33" t="s">
        <v>180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175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235</v>
      </c>
      <c r="C73" s="31" t="s">
        <v>180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175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159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191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 t="s">
        <v>248</v>
      </c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249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 t="s">
        <v>248</v>
      </c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250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251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252</v>
      </c>
      <c r="P82" s="76"/>
      <c r="Q82" s="51"/>
      <c r="R82" s="43"/>
      <c r="S82" s="44"/>
      <c r="T82" s="70" t="s">
        <v>250</v>
      </c>
      <c r="U82" s="47"/>
      <c r="W82" s="43"/>
      <c r="X82" s="31"/>
      <c r="Y82" s="36"/>
      <c r="AA82" s="43"/>
      <c r="AB82" s="43"/>
      <c r="AC82" s="31" t="s">
        <v>253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254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252</v>
      </c>
      <c r="P83" s="76"/>
      <c r="Q83" s="51"/>
      <c r="R83" s="43"/>
      <c r="S83" s="44"/>
      <c r="T83" s="70" t="s">
        <v>250</v>
      </c>
      <c r="U83" s="47"/>
      <c r="W83" s="43"/>
      <c r="X83" s="31"/>
      <c r="Y83" s="36"/>
      <c r="AA83" s="43"/>
      <c r="AB83" s="43"/>
      <c r="AC83" s="31" t="s">
        <v>255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256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252</v>
      </c>
      <c r="P84" s="76"/>
      <c r="Q84" s="51"/>
      <c r="R84" s="43"/>
      <c r="S84" s="44"/>
      <c r="T84" s="70" t="s">
        <v>250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257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259</v>
      </c>
      <c r="P85" s="76"/>
      <c r="Q85" s="51"/>
      <c r="R85" s="43"/>
      <c r="S85" s="44"/>
      <c r="T85" s="70" t="s">
        <v>250</v>
      </c>
      <c r="U85" s="47"/>
      <c r="W85" s="43"/>
      <c r="X85" s="31"/>
      <c r="Y85" s="36"/>
      <c r="AA85" s="43"/>
      <c r="AB85" s="43"/>
      <c r="AC85" s="31" t="s">
        <v>191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260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261</v>
      </c>
      <c r="J86" s="55"/>
      <c r="K86" s="51"/>
      <c r="L86" s="43"/>
      <c r="M86" s="44"/>
      <c r="N86" s="44"/>
      <c r="O86" s="36" t="s">
        <v>259</v>
      </c>
      <c r="P86" s="76"/>
      <c r="Q86" s="51"/>
      <c r="R86" s="43"/>
      <c r="S86" s="44"/>
      <c r="T86" s="70" t="s">
        <v>250</v>
      </c>
      <c r="U86" s="47"/>
      <c r="W86" s="43"/>
      <c r="X86" s="31"/>
      <c r="Y86" s="36"/>
      <c r="AA86" s="43"/>
      <c r="AB86" s="43"/>
      <c r="AC86" s="31" t="s">
        <v>262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263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261</v>
      </c>
      <c r="J87" s="55"/>
      <c r="K87" s="51"/>
      <c r="L87" s="43"/>
      <c r="M87" s="44"/>
      <c r="N87" s="44"/>
      <c r="O87" s="36" t="s">
        <v>259</v>
      </c>
      <c r="P87" s="76"/>
      <c r="Q87" s="51"/>
      <c r="R87" s="43"/>
      <c r="S87" s="44"/>
      <c r="T87" s="70" t="s">
        <v>250</v>
      </c>
      <c r="U87" s="47"/>
      <c r="W87" s="43"/>
      <c r="X87" s="31"/>
      <c r="Y87" s="36"/>
      <c r="AA87" s="43"/>
      <c r="AB87" s="43"/>
      <c r="AC87" s="31" t="s">
        <v>175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264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261</v>
      </c>
      <c r="J88" s="55"/>
      <c r="K88" s="51"/>
      <c r="L88" s="43"/>
      <c r="M88" s="44"/>
      <c r="N88" s="44"/>
      <c r="O88" s="36" t="s">
        <v>259</v>
      </c>
      <c r="P88" s="76"/>
      <c r="Q88" s="51"/>
      <c r="R88" s="43"/>
      <c r="S88" s="44"/>
      <c r="T88" s="70" t="s">
        <v>265</v>
      </c>
      <c r="U88" s="47"/>
      <c r="W88" s="43"/>
      <c r="X88" s="31"/>
      <c r="Y88" s="36"/>
      <c r="AA88" s="43"/>
      <c r="AB88" s="43"/>
      <c r="AC88" s="31" t="s">
        <v>175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266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261</v>
      </c>
      <c r="J89" s="55"/>
      <c r="K89" s="51"/>
      <c r="L89" s="43"/>
      <c r="M89" s="44"/>
      <c r="N89" s="44"/>
      <c r="O89" s="36" t="s">
        <v>259</v>
      </c>
      <c r="P89" s="76"/>
      <c r="Q89" s="51"/>
      <c r="R89" s="43"/>
      <c r="S89" s="44"/>
      <c r="T89" s="70" t="s">
        <v>265</v>
      </c>
      <c r="U89" s="47"/>
      <c r="W89" s="43"/>
      <c r="X89" s="31"/>
      <c r="Y89" s="36"/>
      <c r="AA89" s="43"/>
      <c r="AB89" s="43"/>
      <c r="AC89" s="31" t="s">
        <v>175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267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261</v>
      </c>
      <c r="J90" s="55"/>
      <c r="K90" s="51"/>
      <c r="L90" s="43"/>
      <c r="M90" s="44"/>
      <c r="N90" s="44"/>
      <c r="O90" s="36" t="s">
        <v>259</v>
      </c>
      <c r="P90" s="76"/>
      <c r="Q90" s="51"/>
      <c r="R90" s="43"/>
      <c r="S90" s="44"/>
      <c r="T90" s="70" t="s">
        <v>265</v>
      </c>
      <c r="U90" s="47"/>
      <c r="W90" s="43"/>
      <c r="X90" s="31"/>
      <c r="Y90" s="36"/>
      <c r="AA90" s="43"/>
      <c r="AB90" s="43"/>
      <c r="AC90" s="31" t="s">
        <v>175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268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261</v>
      </c>
      <c r="J91" s="55"/>
      <c r="K91" s="51"/>
      <c r="L91" s="43"/>
      <c r="M91" s="44"/>
      <c r="N91" s="44"/>
      <c r="O91" s="36" t="s">
        <v>259</v>
      </c>
      <c r="P91" s="76"/>
      <c r="Q91" s="51"/>
      <c r="R91" s="43"/>
      <c r="S91" s="44"/>
      <c r="T91" s="70" t="s">
        <v>265</v>
      </c>
      <c r="U91" s="47"/>
      <c r="W91" s="43"/>
      <c r="X91" s="31"/>
      <c r="Y91" s="36"/>
      <c r="AA91" s="43"/>
      <c r="AB91" s="43"/>
      <c r="AC91" s="31" t="s">
        <v>269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270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261</v>
      </c>
      <c r="J92" s="55"/>
      <c r="K92" s="51"/>
      <c r="L92" s="43"/>
      <c r="M92" s="44"/>
      <c r="N92" s="44"/>
      <c r="O92" s="36" t="s">
        <v>271</v>
      </c>
      <c r="P92" s="76"/>
      <c r="Q92" s="51"/>
      <c r="R92" s="43"/>
      <c r="S92" s="44"/>
      <c r="T92" s="70" t="s">
        <v>265</v>
      </c>
      <c r="U92" s="47"/>
      <c r="W92" s="43"/>
      <c r="X92" s="31"/>
      <c r="Y92" s="36"/>
      <c r="AA92" s="43"/>
      <c r="AB92" s="43"/>
      <c r="AC92" s="31" t="s">
        <v>175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272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261</v>
      </c>
      <c r="J93" s="55"/>
      <c r="K93" s="51"/>
      <c r="L93" s="43"/>
      <c r="M93" s="44"/>
      <c r="N93" s="44"/>
      <c r="O93" s="36" t="s">
        <v>271</v>
      </c>
      <c r="P93" s="76"/>
      <c r="Q93" s="51"/>
      <c r="R93" s="43"/>
      <c r="S93" s="44"/>
      <c r="T93" s="70" t="s">
        <v>265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273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261</v>
      </c>
      <c r="J94" s="55"/>
      <c r="K94" s="51"/>
      <c r="L94" s="43"/>
      <c r="M94" s="44"/>
      <c r="N94" s="44"/>
      <c r="O94" s="36" t="s">
        <v>271</v>
      </c>
      <c r="P94" s="76"/>
      <c r="Q94" s="51"/>
      <c r="R94" s="43"/>
      <c r="S94" s="44"/>
      <c r="T94" s="70" t="s">
        <v>265</v>
      </c>
      <c r="U94" s="47"/>
      <c r="W94" s="43"/>
      <c r="X94" s="31"/>
      <c r="Y94" s="36"/>
      <c r="AA94" s="43"/>
      <c r="AB94" s="43"/>
      <c r="AC94" s="31" t="s">
        <v>274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275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261</v>
      </c>
      <c r="J95" s="55"/>
      <c r="K95" s="51"/>
      <c r="L95" s="43"/>
      <c r="M95" s="44"/>
      <c r="N95" s="44"/>
      <c r="O95" s="36" t="s">
        <v>271</v>
      </c>
      <c r="P95" s="76"/>
      <c r="Q95" s="51"/>
      <c r="R95" s="43"/>
      <c r="S95" s="44"/>
      <c r="T95" s="70" t="s">
        <v>276</v>
      </c>
      <c r="U95" s="47"/>
      <c r="W95" s="43"/>
      <c r="X95" s="31"/>
      <c r="Y95" s="36"/>
      <c r="AA95" s="43"/>
      <c r="AB95" s="43"/>
      <c r="AC95" s="31" t="s">
        <v>277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278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261</v>
      </c>
      <c r="J96" s="55"/>
      <c r="K96" s="51"/>
      <c r="L96" s="43"/>
      <c r="M96" s="44"/>
      <c r="N96" s="44"/>
      <c r="O96" s="36" t="s">
        <v>271</v>
      </c>
      <c r="P96" s="76"/>
      <c r="Q96" s="51"/>
      <c r="R96" s="43"/>
      <c r="S96" s="44"/>
      <c r="T96" s="70" t="s">
        <v>276</v>
      </c>
      <c r="U96" s="47"/>
      <c r="W96" s="43"/>
      <c r="X96" s="31"/>
      <c r="Y96" s="36"/>
      <c r="AA96" s="43"/>
      <c r="AB96" s="43"/>
      <c r="AC96" s="31" t="s">
        <v>279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280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261</v>
      </c>
      <c r="J97" s="55"/>
      <c r="K97" s="51"/>
      <c r="L97" s="43"/>
      <c r="M97" s="44"/>
      <c r="N97" s="44"/>
      <c r="O97" s="36" t="s">
        <v>271</v>
      </c>
      <c r="P97" s="76"/>
      <c r="Q97" s="51"/>
      <c r="R97" s="43"/>
      <c r="S97" s="44"/>
      <c r="T97" s="70" t="s">
        <v>276</v>
      </c>
      <c r="U97" s="47"/>
      <c r="W97" s="43"/>
      <c r="X97" s="31"/>
      <c r="Y97" s="36"/>
      <c r="AA97" s="43"/>
      <c r="AB97" s="43"/>
      <c r="AC97" s="31" t="s">
        <v>281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282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261</v>
      </c>
      <c r="J98" s="55"/>
      <c r="K98" s="51"/>
      <c r="L98" s="43"/>
      <c r="M98" s="44"/>
      <c r="N98" s="44"/>
      <c r="O98" s="36" t="s">
        <v>271</v>
      </c>
      <c r="P98" s="76"/>
      <c r="Q98" s="51"/>
      <c r="R98" s="43"/>
      <c r="S98" s="44"/>
      <c r="T98" s="70" t="s">
        <v>276</v>
      </c>
      <c r="U98" s="47"/>
      <c r="W98" s="43"/>
      <c r="X98" s="31"/>
      <c r="Y98" s="36"/>
      <c r="AA98" s="43"/>
      <c r="AB98" s="43"/>
      <c r="AC98" s="31" t="s">
        <v>175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283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284</v>
      </c>
      <c r="F99" s="31"/>
      <c r="G99" s="31"/>
      <c r="H99" s="50">
        <v>46356</v>
      </c>
      <c r="I99" s="57" t="s">
        <v>261</v>
      </c>
      <c r="J99" s="55"/>
      <c r="K99" s="51"/>
      <c r="L99" s="43"/>
      <c r="M99" s="44"/>
      <c r="N99" s="44"/>
      <c r="O99" s="36" t="s">
        <v>271</v>
      </c>
      <c r="P99" s="76"/>
      <c r="Q99" s="51"/>
      <c r="R99" s="43"/>
      <c r="S99" s="44"/>
      <c r="T99" s="70" t="s">
        <v>276</v>
      </c>
      <c r="U99" s="47"/>
      <c r="W99" s="43"/>
      <c r="X99" s="31"/>
      <c r="Y99" s="36"/>
      <c r="AA99" s="43"/>
      <c r="AB99" s="43"/>
      <c r="AC99" s="31" t="s">
        <v>285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286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261</v>
      </c>
      <c r="J100" s="55"/>
      <c r="K100" s="51"/>
      <c r="L100" s="43"/>
      <c r="M100" s="44"/>
      <c r="N100" s="44"/>
      <c r="O100" s="36" t="s">
        <v>271</v>
      </c>
      <c r="P100" s="76"/>
      <c r="Q100" s="51"/>
      <c r="R100" s="43"/>
      <c r="S100" s="44"/>
      <c r="T100" s="70" t="s">
        <v>276</v>
      </c>
      <c r="U100" s="47"/>
      <c r="W100" s="43"/>
      <c r="X100" s="31"/>
      <c r="Y100" s="36"/>
      <c r="AA100" s="43"/>
      <c r="AB100" s="43"/>
      <c r="AC100" s="31" t="s">
        <v>287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288</v>
      </c>
      <c r="B101" s="31" t="s">
        <v>289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290</v>
      </c>
      <c r="J101" s="55"/>
      <c r="L101" s="43"/>
      <c r="M101" s="31"/>
      <c r="N101" s="31"/>
      <c r="O101" s="36" t="s">
        <v>291</v>
      </c>
      <c r="P101" s="76"/>
      <c r="R101" s="43"/>
      <c r="S101" s="31"/>
      <c r="T101" s="70" t="s">
        <v>276</v>
      </c>
      <c r="U101" s="47"/>
      <c r="W101" s="43"/>
      <c r="X101" s="31"/>
      <c r="Y101" s="36"/>
      <c r="AA101" s="43"/>
      <c r="AB101" s="43"/>
      <c r="AC101" s="31" t="s">
        <v>292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288</v>
      </c>
      <c r="B102" s="31" t="s">
        <v>293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290</v>
      </c>
      <c r="J102" s="55"/>
      <c r="L102" s="43"/>
      <c r="M102" s="31"/>
      <c r="N102" s="31"/>
      <c r="O102" s="36" t="s">
        <v>291</v>
      </c>
      <c r="P102" s="76"/>
      <c r="R102" s="43"/>
      <c r="S102" s="31"/>
      <c r="T102" s="70" t="s">
        <v>294</v>
      </c>
      <c r="U102" s="47"/>
      <c r="W102" s="43"/>
      <c r="X102" s="31"/>
      <c r="Y102" s="36"/>
      <c r="AA102" s="43"/>
      <c r="AB102" s="43"/>
      <c r="AC102" s="31" t="s">
        <v>295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288</v>
      </c>
      <c r="B103" s="31" t="s">
        <v>296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290</v>
      </c>
      <c r="J103" s="55"/>
      <c r="L103" s="43"/>
      <c r="M103" s="31"/>
      <c r="N103" s="31"/>
      <c r="O103" s="36" t="s">
        <v>291</v>
      </c>
      <c r="P103" s="76"/>
      <c r="R103" s="43"/>
      <c r="S103" s="31"/>
      <c r="T103" s="70" t="s">
        <v>294</v>
      </c>
      <c r="U103" s="47"/>
      <c r="W103" s="43"/>
      <c r="X103" s="31"/>
      <c r="Y103" s="36"/>
      <c r="AA103" s="43"/>
      <c r="AB103" s="43"/>
      <c r="AC103" s="31" t="s">
        <v>297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298</v>
      </c>
      <c r="B104" s="31" t="s">
        <v>299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290</v>
      </c>
      <c r="J104" s="55"/>
      <c r="L104" s="43"/>
      <c r="M104" s="31"/>
      <c r="N104" s="31"/>
      <c r="O104" s="36" t="s">
        <v>291</v>
      </c>
      <c r="P104" s="76"/>
      <c r="R104" s="43"/>
      <c r="S104" s="31"/>
      <c r="T104" s="70" t="s">
        <v>294</v>
      </c>
      <c r="U104" s="47"/>
      <c r="W104" s="43"/>
      <c r="X104" s="31"/>
      <c r="Y104" s="36"/>
      <c r="AA104" s="43"/>
      <c r="AB104" s="43"/>
      <c r="AC104" s="31" t="s">
        <v>300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288</v>
      </c>
      <c r="B105" s="31" t="s">
        <v>301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290</v>
      </c>
      <c r="J105" s="55"/>
      <c r="L105" s="43"/>
      <c r="M105" s="31"/>
      <c r="N105" s="31"/>
      <c r="O105" s="36" t="s">
        <v>291</v>
      </c>
      <c r="P105" s="76"/>
      <c r="R105" s="43"/>
      <c r="S105" s="31"/>
      <c r="T105" s="70" t="s">
        <v>294</v>
      </c>
      <c r="U105" s="47"/>
      <c r="W105" s="43"/>
      <c r="X105" s="31"/>
      <c r="Y105" s="36"/>
      <c r="AA105" s="43"/>
      <c r="AB105" s="43"/>
      <c r="AC105" s="31" t="s">
        <v>302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288</v>
      </c>
      <c r="B106" s="31" t="s">
        <v>303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290</v>
      </c>
      <c r="J106" s="55"/>
      <c r="L106" s="43"/>
      <c r="M106" s="31"/>
      <c r="N106" s="31"/>
      <c r="O106" s="36" t="s">
        <v>291</v>
      </c>
      <c r="P106" s="76"/>
      <c r="R106" s="43"/>
      <c r="S106" s="31"/>
      <c r="T106" s="70" t="s">
        <v>294</v>
      </c>
      <c r="U106" s="47"/>
      <c r="W106" s="43"/>
      <c r="X106" s="31"/>
      <c r="Y106" s="36"/>
      <c r="AA106" s="43"/>
      <c r="AB106" s="43"/>
      <c r="AC106" s="31" t="s">
        <v>304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288</v>
      </c>
      <c r="B107" s="31" t="s">
        <v>305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290</v>
      </c>
      <c r="J107" s="55"/>
      <c r="L107" s="43"/>
      <c r="M107" s="31"/>
      <c r="N107" s="31"/>
      <c r="O107" s="36" t="s">
        <v>291</v>
      </c>
      <c r="P107" s="76"/>
      <c r="R107" s="43"/>
      <c r="S107" s="31"/>
      <c r="T107" s="70" t="s">
        <v>294</v>
      </c>
      <c r="U107" s="47"/>
      <c r="W107" s="43"/>
      <c r="X107" s="31"/>
      <c r="Y107" s="36"/>
      <c r="AA107" s="43"/>
      <c r="AB107" s="43"/>
      <c r="AC107" s="31" t="s">
        <v>306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288</v>
      </c>
      <c r="B108" s="31" t="s">
        <v>307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290</v>
      </c>
      <c r="J108" s="55"/>
      <c r="L108" s="43"/>
      <c r="M108" s="31"/>
      <c r="N108" s="31"/>
      <c r="O108" s="36" t="s">
        <v>308</v>
      </c>
      <c r="P108" s="76"/>
      <c r="R108" s="43"/>
      <c r="S108" s="31"/>
      <c r="T108" s="70" t="s">
        <v>294</v>
      </c>
      <c r="U108" s="47"/>
      <c r="W108" s="43"/>
      <c r="X108" s="31"/>
      <c r="Y108" s="36"/>
      <c r="AA108" s="43"/>
      <c r="AB108" s="43"/>
      <c r="AC108" s="31" t="s">
        <v>309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298</v>
      </c>
      <c r="B109" s="31" t="s">
        <v>310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290</v>
      </c>
      <c r="J109" s="55"/>
      <c r="L109" s="43"/>
      <c r="M109" s="31"/>
      <c r="N109" s="31"/>
      <c r="O109" s="36" t="s">
        <v>308</v>
      </c>
      <c r="P109" s="76"/>
      <c r="R109" s="43"/>
      <c r="S109" s="31"/>
      <c r="T109" s="70" t="s">
        <v>311</v>
      </c>
      <c r="U109" s="47"/>
      <c r="W109" s="43"/>
      <c r="X109" s="31"/>
      <c r="Y109" s="36"/>
      <c r="AA109" s="43"/>
      <c r="AB109" s="43"/>
      <c r="AC109" s="31" t="s">
        <v>312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288</v>
      </c>
      <c r="B110" s="31" t="s">
        <v>313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290</v>
      </c>
      <c r="J110" s="55"/>
      <c r="L110" s="43"/>
      <c r="M110" s="31"/>
      <c r="N110" s="31"/>
      <c r="O110" s="36" t="s">
        <v>308</v>
      </c>
      <c r="P110" s="76"/>
      <c r="R110" s="43"/>
      <c r="S110" s="31"/>
      <c r="T110" s="70" t="s">
        <v>311</v>
      </c>
      <c r="U110" s="47"/>
      <c r="W110" s="43"/>
      <c r="X110" s="31"/>
      <c r="Y110" s="36"/>
      <c r="AA110" s="43"/>
      <c r="AB110" s="43"/>
      <c r="AC110" s="31" t="s">
        <v>314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298</v>
      </c>
      <c r="B111" s="31" t="s">
        <v>315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290</v>
      </c>
      <c r="J111" s="55"/>
      <c r="L111" s="43"/>
      <c r="M111" s="31"/>
      <c r="N111" s="31"/>
      <c r="O111" s="36" t="s">
        <v>308</v>
      </c>
      <c r="P111" s="76"/>
      <c r="R111" s="43"/>
      <c r="S111" s="31"/>
      <c r="T111" s="70" t="s">
        <v>311</v>
      </c>
      <c r="U111" s="47"/>
      <c r="W111" s="43"/>
      <c r="X111" s="31"/>
      <c r="Y111" s="36"/>
      <c r="AA111" s="43"/>
      <c r="AB111" s="43"/>
      <c r="AC111" s="31" t="s">
        <v>316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298</v>
      </c>
      <c r="B112" s="31" t="s">
        <v>317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290</v>
      </c>
      <c r="J112" s="55"/>
      <c r="L112" s="43"/>
      <c r="M112" s="31"/>
      <c r="N112" s="31"/>
      <c r="O112" s="36" t="s">
        <v>308</v>
      </c>
      <c r="P112" s="76"/>
      <c r="R112" s="43"/>
      <c r="S112" s="31"/>
      <c r="T112" s="70" t="s">
        <v>311</v>
      </c>
      <c r="U112" s="47"/>
      <c r="W112" s="43"/>
      <c r="X112" s="31"/>
      <c r="Y112" s="36"/>
      <c r="AA112" s="43"/>
      <c r="AB112" s="43"/>
      <c r="AC112" s="31" t="s">
        <v>312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298</v>
      </c>
      <c r="B113" s="31" t="s">
        <v>318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290</v>
      </c>
      <c r="J113" s="55"/>
      <c r="L113" s="43"/>
      <c r="M113" s="31"/>
      <c r="N113" s="31"/>
      <c r="O113" s="36" t="s">
        <v>308</v>
      </c>
      <c r="P113" s="76"/>
      <c r="R113" s="43"/>
      <c r="S113" s="31"/>
      <c r="T113" s="70" t="s">
        <v>311</v>
      </c>
      <c r="U113" s="47"/>
      <c r="W113" s="43"/>
      <c r="X113" s="31"/>
      <c r="Y113" s="36"/>
      <c r="AA113" s="43"/>
      <c r="AB113" s="43"/>
      <c r="AC113" s="31" t="s">
        <v>312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298</v>
      </c>
      <c r="B114" s="31" t="s">
        <v>319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290</v>
      </c>
      <c r="J114" s="55"/>
      <c r="L114" s="43"/>
      <c r="M114" s="31"/>
      <c r="N114" s="31"/>
      <c r="O114" s="36" t="s">
        <v>320</v>
      </c>
      <c r="P114" s="76"/>
      <c r="R114" s="43"/>
      <c r="S114" s="31"/>
      <c r="T114" s="70" t="s">
        <v>311</v>
      </c>
      <c r="U114" s="47"/>
      <c r="W114" s="43"/>
      <c r="X114" s="31"/>
      <c r="Y114" s="36"/>
      <c r="AA114" s="43"/>
      <c r="AB114" s="43"/>
      <c r="AC114" s="31" t="s">
        <v>316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298</v>
      </c>
      <c r="B115" s="31" t="s">
        <v>321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290</v>
      </c>
      <c r="J115" s="55"/>
      <c r="L115" s="43"/>
      <c r="M115" s="31"/>
      <c r="N115" s="31"/>
      <c r="O115" s="36" t="s">
        <v>320</v>
      </c>
      <c r="P115" s="76"/>
      <c r="R115" s="43"/>
      <c r="S115" s="31"/>
      <c r="T115" s="70" t="s">
        <v>311</v>
      </c>
      <c r="U115" s="47"/>
      <c r="W115" s="43"/>
      <c r="X115" s="31"/>
      <c r="Y115" s="36"/>
      <c r="AA115" s="43"/>
      <c r="AB115" s="43"/>
      <c r="AC115" s="31" t="s">
        <v>262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:AK41 W42:AJ42 W43:AK44 W45:AJ45 W46:AK46 W47:AJ47 W48:AK72 W73:AG73 G43:V73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J29 M29:P29 J32:J33 M32:P33 K40:K41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6">
      <formula>$AA101&lt;&gt;""</formula>
    </cfRule>
    <cfRule type="expression" dxfId="72" priority="35">
      <formula>ISNUMBER(SEARCH("Duplicate",$AA101))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  <cfRule type="expression" dxfId="65" priority="115">
      <formula>ISNUMBER(SEARCH("Move old",$AF73))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62">
      <formula>$AJ2&lt;&gt;""</formula>
    </cfRule>
    <cfRule type="expression" dxfId="62" priority="58">
      <formula>ISNUMBER(SEARCH("log it",$AJ2))</formula>
    </cfRule>
    <cfRule type="expression" dxfId="61" priority="59">
      <formula>ISNUMBER(SEARCH("Open rework",$AJ2))</formula>
    </cfRule>
    <cfRule type="expression" dxfId="60" priority="60">
      <formula>ISNUMBER(SEARCH("Move old",$AJ2))</formula>
    </cfRule>
    <cfRule type="expression" dxfId="59" priority="61">
      <formula>ISNUMBER(SEARCH("Duplicate",$AJ2))</formula>
    </cfRule>
  </conditionalFormatting>
  <conditionalFormatting sqref="AK45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W2:X72 U2:V100 Q74:S526 AA2:AA72 AB2:AB3 Q2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322</v>
      </c>
    </row>
    <row r="2" spans="1:5">
      <c r="A2" s="6" t="s">
        <v>323</v>
      </c>
    </row>
    <row r="4" spans="1:5" ht="21.95" customHeight="1">
      <c r="A4" s="5" t="s">
        <v>324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325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326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327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328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329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330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331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332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333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334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335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336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L27" sqref="L27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337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338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339</v>
      </c>
      <c r="C2" s="17" t="s">
        <v>340</v>
      </c>
      <c r="D2" s="17" t="s">
        <v>341</v>
      </c>
      <c r="E2" s="17" t="s">
        <v>342</v>
      </c>
      <c r="F2" s="17" t="s">
        <v>343</v>
      </c>
      <c r="G2" s="17" t="s">
        <v>344</v>
      </c>
      <c r="H2" s="30" t="s">
        <v>345</v>
      </c>
      <c r="I2" s="30" t="s">
        <v>346</v>
      </c>
      <c r="J2" s="30" t="s">
        <v>347</v>
      </c>
      <c r="K2" s="30" t="s">
        <v>348</v>
      </c>
      <c r="L2" s="30" t="s">
        <v>349</v>
      </c>
      <c r="M2" s="21" t="s">
        <v>350</v>
      </c>
      <c r="N2" s="21" t="s">
        <v>351</v>
      </c>
      <c r="P2" s="13" t="s">
        <v>1</v>
      </c>
      <c r="Q2" s="13" t="s">
        <v>333</v>
      </c>
      <c r="R2" s="13" t="s">
        <v>334</v>
      </c>
      <c r="S2" s="13" t="s">
        <v>335</v>
      </c>
      <c r="T2" s="13" t="s">
        <v>336</v>
      </c>
    </row>
    <row r="3" spans="1:20" hidden="1">
      <c r="A3" s="33" t="s">
        <v>145</v>
      </c>
      <c r="B3" s="36">
        <v>46230</v>
      </c>
      <c r="C3" s="33" t="s">
        <v>149</v>
      </c>
      <c r="D3" s="33" t="s">
        <v>140</v>
      </c>
      <c r="E3" s="33" t="s">
        <v>146</v>
      </c>
      <c r="F3" s="33" t="s">
        <v>352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 t="shared" ref="Q3:Q16" si="0">IF($P3="","",COUNTIF($A$3:$A$500,$P3))</f>
        <v>0</v>
      </c>
      <c r="R3">
        <f t="shared" ref="R3:R16" si="1">IF($P3="","",SUMPRODUCT(($A$3:$A$500=$P3)*($G$3:$G$500&lt;&gt;"Yes")*($G$3:$G$500&lt;&gt;"Did not pass re-test")))</f>
        <v>0</v>
      </c>
      <c r="S3" s="28" t="str">
        <f t="shared" ref="S3:S16" si="2">IF($P3="","",IF(SUMPRODUCT(MAX(($A$3:$A$500=$P3)*ROW($A$3:$A$500)))=0,"",INDEX($B:$B,SUMPRODUCT(MAX(($A$3:$A$500=$P3)*ROW($A$3:$A$500))))))</f>
        <v/>
      </c>
      <c r="T3" t="str">
        <f t="shared" ref="T3:T1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157</v>
      </c>
      <c r="B4" s="32">
        <v>46237</v>
      </c>
      <c r="C4" s="31" t="s">
        <v>149</v>
      </c>
      <c r="D4" s="31" t="s">
        <v>140</v>
      </c>
      <c r="E4" s="31" t="s">
        <v>146</v>
      </c>
      <c r="F4" s="31" t="s">
        <v>353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354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hidden="1">
      <c r="A5" s="55" t="s">
        <v>127</v>
      </c>
      <c r="B5" s="32">
        <v>46238</v>
      </c>
      <c r="C5" s="31" t="s">
        <v>149</v>
      </c>
      <c r="D5" s="31" t="s">
        <v>140</v>
      </c>
      <c r="E5" s="31" t="s">
        <v>129</v>
      </c>
      <c r="F5" s="31" t="s">
        <v>355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49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hidden="1">
      <c r="A6" s="55" t="s">
        <v>143</v>
      </c>
      <c r="B6" s="32">
        <v>46234</v>
      </c>
      <c r="C6" s="31" t="s">
        <v>149</v>
      </c>
      <c r="D6" s="31" t="s">
        <v>140</v>
      </c>
      <c r="E6" s="31" t="s">
        <v>129</v>
      </c>
      <c r="F6" s="31" t="s">
        <v>356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49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hidden="1">
      <c r="A7" s="55" t="s">
        <v>134</v>
      </c>
      <c r="B7" s="32">
        <v>46239</v>
      </c>
      <c r="C7" s="31" t="s">
        <v>149</v>
      </c>
      <c r="D7" s="31" t="s">
        <v>140</v>
      </c>
      <c r="E7" s="31" t="s">
        <v>129</v>
      </c>
      <c r="F7" s="31" t="s">
        <v>357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49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hidden="1">
      <c r="A8" s="55" t="s">
        <v>134</v>
      </c>
      <c r="B8" s="32">
        <v>46246</v>
      </c>
      <c r="C8" s="31" t="s">
        <v>149</v>
      </c>
      <c r="D8" s="31" t="s">
        <v>140</v>
      </c>
      <c r="E8" s="31" t="s">
        <v>129</v>
      </c>
      <c r="F8" s="31" t="s">
        <v>358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359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idden="1">
      <c r="A9" s="31" t="s">
        <v>157</v>
      </c>
      <c r="B9" s="32">
        <v>46251</v>
      </c>
      <c r="C9" s="31" t="s">
        <v>149</v>
      </c>
      <c r="D9" s="31" t="s">
        <v>140</v>
      </c>
      <c r="E9" s="31" t="s">
        <v>146</v>
      </c>
      <c r="F9" s="31" t="s">
        <v>360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359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hidden="1">
      <c r="A10" s="31" t="s">
        <v>145</v>
      </c>
      <c r="B10" s="32">
        <v>46237</v>
      </c>
      <c r="C10" s="31" t="s">
        <v>149</v>
      </c>
      <c r="D10" s="31" t="s">
        <v>140</v>
      </c>
      <c r="E10" s="31" t="s">
        <v>146</v>
      </c>
      <c r="F10" s="31" t="s">
        <v>353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359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idden="1">
      <c r="A11" s="55" t="s">
        <v>134</v>
      </c>
      <c r="B11" s="32">
        <v>46254</v>
      </c>
      <c r="C11" s="31" t="s">
        <v>149</v>
      </c>
      <c r="D11" s="31" t="s">
        <v>140</v>
      </c>
      <c r="E11" s="31" t="s">
        <v>129</v>
      </c>
      <c r="F11" s="31" t="s">
        <v>355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idden="1">
      <c r="A12" s="55" t="s">
        <v>154</v>
      </c>
      <c r="B12" s="32">
        <v>46254</v>
      </c>
      <c r="C12" s="31" t="s">
        <v>149</v>
      </c>
      <c r="D12" s="31" t="s">
        <v>140</v>
      </c>
      <c r="E12" s="31" t="s">
        <v>146</v>
      </c>
      <c r="F12" s="31" t="s">
        <v>361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362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5" t="s">
        <v>139</v>
      </c>
      <c r="B13" s="32">
        <v>46258</v>
      </c>
      <c r="C13" s="31" t="s">
        <v>149</v>
      </c>
      <c r="D13" s="31" t="s">
        <v>140</v>
      </c>
      <c r="E13" s="31" t="s">
        <v>129</v>
      </c>
      <c r="F13" s="31" t="s">
        <v>363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148</v>
      </c>
      <c r="B14" s="32">
        <v>46258</v>
      </c>
      <c r="C14" s="31" t="s">
        <v>149</v>
      </c>
      <c r="D14" s="31" t="s">
        <v>180</v>
      </c>
      <c r="E14" s="31" t="s">
        <v>146</v>
      </c>
      <c r="F14" s="31" t="s">
        <v>364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49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160</v>
      </c>
      <c r="B15" s="32">
        <v>46258</v>
      </c>
      <c r="C15" s="31" t="s">
        <v>149</v>
      </c>
      <c r="D15" s="31" t="s">
        <v>180</v>
      </c>
      <c r="E15" s="31" t="s">
        <v>146</v>
      </c>
      <c r="F15" s="31" t="s">
        <v>365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362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149</v>
      </c>
      <c r="D16" s="31" t="s">
        <v>140</v>
      </c>
      <c r="E16" s="31" t="s">
        <v>146</v>
      </c>
      <c r="F16" s="31" t="s">
        <v>366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362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148</v>
      </c>
      <c r="B17" s="32">
        <v>46260</v>
      </c>
      <c r="C17" s="31" t="s">
        <v>149</v>
      </c>
      <c r="D17" s="31" t="s">
        <v>180</v>
      </c>
      <c r="E17" s="31" t="s">
        <v>146</v>
      </c>
      <c r="F17" s="31" t="s">
        <v>367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149</v>
      </c>
      <c r="D18" s="31" t="s">
        <v>140</v>
      </c>
      <c r="E18" s="31" t="s">
        <v>129</v>
      </c>
      <c r="F18" s="31" t="s">
        <v>368</v>
      </c>
      <c r="G18" s="31" t="s">
        <v>52</v>
      </c>
      <c r="H18" s="32"/>
      <c r="I18" s="32"/>
      <c r="J18" s="32"/>
      <c r="K18" s="31"/>
      <c r="L18" s="31"/>
      <c r="M18" s="3" t="str">
        <f t="shared" ca="1" si="4"/>
        <v>UNCLAIMED 5 d</v>
      </c>
      <c r="N18" t="s">
        <v>49</v>
      </c>
      <c r="P18" t="str">
        <f>'Combined Delivery Data'!B12</f>
        <v>RPT_04_CMS Leak Productivity</v>
      </c>
      <c r="Q18">
        <f t="shared" ref="Q18:Q81" si="5">IF($P18="","",COUNTIF($A$3:$A$500,$P18))</f>
        <v>0</v>
      </c>
      <c r="R18">
        <f t="shared" ref="R18:R81" si="6">IF($P18="","",SUMPRODUCT(($A$3:$A$500=$P18)*($G$3:$G$500&lt;&gt;"Yes")*($G$3:$G$500&lt;&gt;"Did not pass re-test")))</f>
        <v>0</v>
      </c>
      <c r="S18" s="28" t="str">
        <f t="shared" ref="S18:S81" si="7">IF($P18="","",IF(SUMPRODUCT(MAX(($A$3:$A$500=$P18)*ROW($A$3:$A$500)))=0,"",INDEX($B:$B,SUMPRODUCT(MAX(($A$3:$A$500=$P18)*ROW($A$3:$A$500))))))</f>
        <v/>
      </c>
      <c r="T18" t="str">
        <f t="shared" ref="T18:T81" si="8"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149</v>
      </c>
      <c r="D19" s="31" t="s">
        <v>180</v>
      </c>
      <c r="E19" s="31" t="s">
        <v>146</v>
      </c>
      <c r="F19" s="31" t="s">
        <v>369</v>
      </c>
      <c r="G19" s="31" t="s">
        <v>52</v>
      </c>
      <c r="H19" s="32"/>
      <c r="I19" s="32"/>
      <c r="J19" s="32"/>
      <c r="K19" s="31"/>
      <c r="L19" s="31"/>
      <c r="M19" s="3" t="str">
        <f t="shared" ca="1" si="4"/>
        <v>UNCLAIMED 4 d</v>
      </c>
      <c r="N19" t="s">
        <v>359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370</v>
      </c>
      <c r="B20" s="32">
        <v>46265</v>
      </c>
      <c r="C20" s="31" t="s">
        <v>149</v>
      </c>
      <c r="D20" s="31" t="s">
        <v>180</v>
      </c>
      <c r="E20" s="31" t="s">
        <v>46</v>
      </c>
      <c r="F20" s="31" t="s">
        <v>371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372</v>
      </c>
      <c r="M20" s="3" t="str">
        <f t="shared" ca="1" si="4"/>
        <v>Fixed</v>
      </c>
      <c r="N20" t="s">
        <v>362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179</v>
      </c>
      <c r="B21" s="32">
        <v>46265</v>
      </c>
      <c r="C21" s="31" t="s">
        <v>149</v>
      </c>
      <c r="D21" s="31" t="s">
        <v>140</v>
      </c>
      <c r="E21" s="31" t="s">
        <v>46</v>
      </c>
      <c r="F21" s="31" t="s">
        <v>373</v>
      </c>
      <c r="G21" s="31" t="s">
        <v>49</v>
      </c>
      <c r="H21" s="32"/>
      <c r="I21" s="32"/>
      <c r="J21" s="32"/>
      <c r="K21" s="31"/>
      <c r="L21" s="31"/>
      <c r="M21" s="3" t="str">
        <f t="shared" ca="1" si="4"/>
        <v>UNCLAIMED 1 d</v>
      </c>
      <c r="N21" t="s">
        <v>49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5" t="s">
        <v>186</v>
      </c>
      <c r="B22" s="32">
        <v>46265</v>
      </c>
      <c r="C22" s="31" t="s">
        <v>149</v>
      </c>
      <c r="D22" s="31" t="s">
        <v>180</v>
      </c>
      <c r="E22" s="31" t="s">
        <v>129</v>
      </c>
      <c r="F22" s="31" t="s">
        <v>374</v>
      </c>
      <c r="G22" s="31" t="s">
        <v>52</v>
      </c>
      <c r="H22" s="32"/>
      <c r="I22" s="32"/>
      <c r="J22" s="32"/>
      <c r="K22" s="31"/>
      <c r="L22" s="31"/>
      <c r="M22" s="3" t="str">
        <f t="shared" ca="1" si="4"/>
        <v>UNCLAIMED 1 d</v>
      </c>
      <c r="P22" t="str">
        <f>'Combined Delivery Data'!B20</f>
        <v>RPT_04_Leak Control Report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55" t="s">
        <v>139</v>
      </c>
      <c r="B23" s="32">
        <v>46265</v>
      </c>
      <c r="C23" s="31" t="s">
        <v>149</v>
      </c>
      <c r="D23" s="31" t="s">
        <v>140</v>
      </c>
      <c r="E23" s="31" t="s">
        <v>129</v>
      </c>
      <c r="F23" s="31" t="s">
        <v>375</v>
      </c>
      <c r="G23" s="31" t="s">
        <v>52</v>
      </c>
      <c r="H23" s="32"/>
      <c r="I23" s="32"/>
      <c r="J23" s="32"/>
      <c r="K23" s="31"/>
      <c r="L23" s="31"/>
      <c r="M23" s="3" t="str">
        <f t="shared" ca="1" si="4"/>
        <v>UNCLAIMED 1 d</v>
      </c>
      <c r="P23" t="str">
        <f>'Combined Delivery Data'!B21</f>
        <v>RPT_04_Leak Life Cycle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174</v>
      </c>
      <c r="B24" s="32">
        <v>46266</v>
      </c>
      <c r="C24" s="31" t="s">
        <v>149</v>
      </c>
      <c r="D24" s="31" t="s">
        <v>140</v>
      </c>
      <c r="E24" s="31" t="s">
        <v>46</v>
      </c>
      <c r="F24" s="31" t="s">
        <v>376</v>
      </c>
      <c r="G24" s="31" t="s">
        <v>52</v>
      </c>
      <c r="H24" s="32"/>
      <c r="I24" s="32"/>
      <c r="J24" s="32"/>
      <c r="K24" s="31"/>
      <c r="L24" s="31"/>
      <c r="M24" s="3" t="str">
        <f t="shared" ca="1" si="4"/>
        <v>UNCLAIMED 0 d</v>
      </c>
      <c r="P24" t="str">
        <f>'Combined Delivery Data'!B22</f>
        <v>RPT_04_Leak Life Cycle Legacy LMS LI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>
      <c r="A25" s="31" t="s">
        <v>174</v>
      </c>
      <c r="B25" s="32">
        <v>46266</v>
      </c>
      <c r="C25" s="31" t="s">
        <v>149</v>
      </c>
      <c r="D25" s="31" t="s">
        <v>140</v>
      </c>
      <c r="E25" s="31" t="s">
        <v>46</v>
      </c>
      <c r="F25" s="31" t="s">
        <v>377</v>
      </c>
      <c r="G25" s="31" t="s">
        <v>52</v>
      </c>
      <c r="H25" s="32"/>
      <c r="I25" s="32"/>
      <c r="J25" s="32"/>
      <c r="K25" s="31"/>
      <c r="L25" s="31"/>
      <c r="M25" s="3" t="str">
        <f t="shared" ca="1" si="4"/>
        <v>UNCLAIMED 0 d</v>
      </c>
      <c r="P25" t="str">
        <f>'Combined Delivery Data'!B23</f>
        <v>RPT_04_Leak Increase Reads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31"/>
      <c r="B26" s="32"/>
      <c r="C26" s="31" t="s">
        <v>149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31"/>
      <c r="B27" s="32"/>
      <c r="C27" s="31" t="s">
        <v>149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/>
      <c r="B28" s="32"/>
      <c r="C28" s="31" t="s">
        <v>149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/>
      <c r="B29" s="32"/>
      <c r="C29" s="31" t="s">
        <v>149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/>
      <c r="B30" s="32"/>
      <c r="C30" s="31" t="s">
        <v>149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5"/>
        <v>0</v>
      </c>
      <c r="R30">
        <f t="shared" si="6"/>
        <v>0</v>
      </c>
      <c r="S30" s="28" t="str">
        <f t="shared" si="7"/>
        <v/>
      </c>
      <c r="T30" t="str">
        <f t="shared" si="8"/>
        <v/>
      </c>
    </row>
    <row r="31" spans="1:20">
      <c r="A31" s="31"/>
      <c r="B31" s="32"/>
      <c r="C31" s="31" t="s">
        <v>149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5"/>
        <v>1</v>
      </c>
      <c r="R31">
        <f t="shared" si="6"/>
        <v>0</v>
      </c>
      <c r="S31" s="28">
        <f t="shared" si="7"/>
        <v>46238</v>
      </c>
      <c r="T31" t="str">
        <f t="shared" si="8"/>
        <v>QA -&gt; DB Dev</v>
      </c>
    </row>
    <row r="32" spans="1:20">
      <c r="A32" s="31"/>
      <c r="B32" s="32"/>
      <c r="C32" s="31" t="s">
        <v>149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5"/>
        <v>3</v>
      </c>
      <c r="R32">
        <f t="shared" si="6"/>
        <v>0</v>
      </c>
      <c r="S32" s="28">
        <f t="shared" si="7"/>
        <v>46254</v>
      </c>
      <c r="T32" t="str">
        <f t="shared" si="8"/>
        <v>QA -&gt; DB Dev</v>
      </c>
    </row>
    <row r="33" spans="1:20">
      <c r="A33" s="31"/>
      <c r="B33" s="32"/>
      <c r="C33" s="31" t="s">
        <v>149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5"/>
        <v>0</v>
      </c>
      <c r="R33">
        <f t="shared" si="6"/>
        <v>0</v>
      </c>
      <c r="S33" s="28" t="str">
        <f t="shared" si="7"/>
        <v/>
      </c>
      <c r="T33" t="str">
        <f t="shared" si="8"/>
        <v/>
      </c>
    </row>
    <row r="34" spans="1:20">
      <c r="A34" s="31"/>
      <c r="B34" s="32"/>
      <c r="C34" s="31" t="s">
        <v>149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5"/>
        <v>2</v>
      </c>
      <c r="R34">
        <f t="shared" si="6"/>
        <v>2</v>
      </c>
      <c r="S34" s="28">
        <f t="shared" si="7"/>
        <v>46265</v>
      </c>
      <c r="T34" t="str">
        <f t="shared" si="8"/>
        <v>QA -&gt; DB Dev</v>
      </c>
    </row>
    <row r="35" spans="1:20">
      <c r="A35" s="31"/>
      <c r="B35" s="32"/>
      <c r="C35" s="31" t="s">
        <v>149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5"/>
        <v>1</v>
      </c>
      <c r="R35">
        <f t="shared" si="6"/>
        <v>0</v>
      </c>
      <c r="S35" s="28">
        <f t="shared" si="7"/>
        <v>46234</v>
      </c>
      <c r="T35" t="str">
        <f t="shared" si="8"/>
        <v>QA -&gt; DB Dev</v>
      </c>
    </row>
    <row r="36" spans="1:20">
      <c r="A36" s="31"/>
      <c r="B36" s="32"/>
      <c r="C36" s="31" t="s">
        <v>149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5"/>
        <v>2</v>
      </c>
      <c r="R36">
        <f t="shared" si="6"/>
        <v>0</v>
      </c>
      <c r="S36" s="28">
        <f t="shared" si="7"/>
        <v>46237</v>
      </c>
      <c r="T36" t="str">
        <f t="shared" si="8"/>
        <v>QA -&gt; DB Dev</v>
      </c>
    </row>
    <row r="37" spans="1:20">
      <c r="A37" s="31"/>
      <c r="B37" s="32"/>
      <c r="C37" s="31" t="s">
        <v>149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5"/>
        <v>3</v>
      </c>
      <c r="R37">
        <f t="shared" si="6"/>
        <v>2</v>
      </c>
      <c r="S37" s="28">
        <f t="shared" si="7"/>
        <v>46262</v>
      </c>
      <c r="T37" t="str">
        <f t="shared" si="8"/>
        <v>QA -&gt; PBI Dev</v>
      </c>
    </row>
    <row r="38" spans="1:20">
      <c r="A38" s="31"/>
      <c r="B38" s="32"/>
      <c r="C38" s="31" t="s">
        <v>149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5"/>
        <v>1</v>
      </c>
      <c r="R38">
        <f t="shared" si="6"/>
        <v>1</v>
      </c>
      <c r="S38" s="28">
        <f t="shared" si="7"/>
        <v>46258</v>
      </c>
      <c r="T38" t="str">
        <f t="shared" si="8"/>
        <v>QA -&gt; DB Dev</v>
      </c>
    </row>
    <row r="39" spans="1:20">
      <c r="A39" s="31"/>
      <c r="B39" s="32"/>
      <c r="C39" s="31" t="s">
        <v>149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5"/>
        <v>1</v>
      </c>
      <c r="R39">
        <f t="shared" si="6"/>
        <v>0</v>
      </c>
      <c r="S39" s="28">
        <f t="shared" si="7"/>
        <v>46254</v>
      </c>
      <c r="T39" t="str">
        <f t="shared" si="8"/>
        <v>QA -&gt; DB Dev</v>
      </c>
    </row>
    <row r="40" spans="1:20">
      <c r="A40" s="31"/>
      <c r="B40" s="32"/>
      <c r="C40" s="31" t="s">
        <v>149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5"/>
        <v>2</v>
      </c>
      <c r="R40">
        <f t="shared" si="6"/>
        <v>0</v>
      </c>
      <c r="S40" s="28">
        <f t="shared" si="7"/>
        <v>46251</v>
      </c>
      <c r="T40" t="str">
        <f t="shared" si="8"/>
        <v>QA -&gt; DB Dev</v>
      </c>
    </row>
    <row r="41" spans="1:20">
      <c r="A41" s="31"/>
      <c r="B41" s="32"/>
      <c r="C41" s="31" t="s">
        <v>149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5"/>
        <v>1</v>
      </c>
      <c r="R41">
        <f t="shared" si="6"/>
        <v>0</v>
      </c>
      <c r="S41" s="28">
        <f t="shared" si="7"/>
        <v>46258</v>
      </c>
      <c r="T41" t="str">
        <f t="shared" si="8"/>
        <v>QA -&gt; PBI Dev</v>
      </c>
    </row>
    <row r="42" spans="1:20">
      <c r="A42" s="31"/>
      <c r="B42" s="32"/>
      <c r="C42" s="31" t="s">
        <v>149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149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149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149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5"/>
        <v>0</v>
      </c>
      <c r="R45">
        <f t="shared" si="6"/>
        <v>0</v>
      </c>
      <c r="S45" s="28" t="str">
        <f t="shared" si="7"/>
        <v/>
      </c>
      <c r="T45" t="str">
        <f t="shared" si="8"/>
        <v/>
      </c>
    </row>
    <row r="46" spans="1:20">
      <c r="A46" s="31"/>
      <c r="B46" s="32"/>
      <c r="C46" s="31" t="s">
        <v>149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5"/>
        <v>2</v>
      </c>
      <c r="R46">
        <f t="shared" si="6"/>
        <v>2</v>
      </c>
      <c r="S46" s="28">
        <f t="shared" si="7"/>
        <v>46266</v>
      </c>
      <c r="T46" t="str">
        <f t="shared" si="8"/>
        <v>QA -&gt; DB Dev</v>
      </c>
    </row>
    <row r="47" spans="1:20">
      <c r="A47" s="31"/>
      <c r="B47" s="32"/>
      <c r="C47" s="31" t="s">
        <v>149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5"/>
        <v>0</v>
      </c>
      <c r="R47">
        <f t="shared" si="6"/>
        <v>0</v>
      </c>
      <c r="S47" s="28" t="str">
        <f t="shared" si="7"/>
        <v/>
      </c>
      <c r="T47" t="str">
        <f t="shared" si="8"/>
        <v/>
      </c>
    </row>
    <row r="48" spans="1:20">
      <c r="A48" s="31"/>
      <c r="B48" s="32"/>
      <c r="C48" s="31" t="s">
        <v>149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5"/>
        <v>1</v>
      </c>
      <c r="R48">
        <f t="shared" si="6"/>
        <v>0</v>
      </c>
      <c r="S48" s="28">
        <f t="shared" si="7"/>
        <v>46265</v>
      </c>
      <c r="T48" t="str">
        <f t="shared" si="8"/>
        <v>QA -&gt; DB Dev</v>
      </c>
    </row>
    <row r="49" spans="1:20">
      <c r="A49" s="31"/>
      <c r="B49" s="32"/>
      <c r="C49" s="31" t="s">
        <v>149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149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5"/>
        <v>0</v>
      </c>
      <c r="R50">
        <f t="shared" si="6"/>
        <v>0</v>
      </c>
      <c r="S50" s="28" t="str">
        <f t="shared" si="7"/>
        <v/>
      </c>
      <c r="T50" t="str">
        <f t="shared" si="8"/>
        <v/>
      </c>
    </row>
    <row r="51" spans="1:20">
      <c r="A51" s="31"/>
      <c r="B51" s="32"/>
      <c r="C51" s="31" t="s">
        <v>149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5"/>
        <v>2</v>
      </c>
      <c r="R51">
        <f t="shared" si="6"/>
        <v>2</v>
      </c>
      <c r="S51" s="28">
        <f t="shared" si="7"/>
        <v>46265</v>
      </c>
      <c r="T51" t="str">
        <f t="shared" si="8"/>
        <v>QA -&gt; PBI Dev</v>
      </c>
    </row>
    <row r="52" spans="1:20">
      <c r="A52" s="31"/>
      <c r="B52" s="32"/>
      <c r="C52" s="31" t="s">
        <v>149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149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5"/>
        <v>0</v>
      </c>
      <c r="R53">
        <f t="shared" si="6"/>
        <v>0</v>
      </c>
      <c r="S53" s="28" t="str">
        <f t="shared" si="7"/>
        <v/>
      </c>
      <c r="T53" t="str">
        <f t="shared" si="8"/>
        <v/>
      </c>
    </row>
    <row r="54" spans="1:20">
      <c r="A54" s="31"/>
      <c r="B54" s="32"/>
      <c r="C54" s="31" t="s">
        <v>149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149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149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149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149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149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149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149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149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149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149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149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149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149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149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149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149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149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149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149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149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149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149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149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149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149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149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149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149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ref="Q82:Q145" si="11">IF($P82="","",COUNTIF($A$3:$A$500,$P82))</f>
        <v>0</v>
      </c>
      <c r="R82">
        <f t="shared" ref="R82:R145" si="12">IF($P82="","",SUMPRODUCT(($A$3:$A$500=$P82)*($G$3:$G$500&lt;&gt;"Yes")*($G$3:$G$500&lt;&gt;"Did not pass re-test")))</f>
        <v>0</v>
      </c>
      <c r="S82" s="28" t="str">
        <f t="shared" ref="S82:S145" si="13">IF($P82="","",IF(SUMPRODUCT(MAX(($A$3:$A$500=$P82)*ROW($A$3:$A$500)))=0,"",INDEX($B:$B,SUMPRODUCT(MAX(($A$3:$A$500=$P82)*ROW($A$3:$A$500))))))</f>
        <v/>
      </c>
      <c r="T82" t="str">
        <f t="shared" ref="T82:T145" si="14"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149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149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149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149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149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149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149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149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11"/>
        <v>0</v>
      </c>
      <c r="R90">
        <f t="shared" si="12"/>
        <v>0</v>
      </c>
      <c r="S90" s="28" t="str">
        <f t="shared" si="13"/>
        <v/>
      </c>
      <c r="T90" t="str">
        <f t="shared" si="14"/>
        <v/>
      </c>
    </row>
    <row r="91" spans="1:20">
      <c r="A91" s="31"/>
      <c r="B91" s="32"/>
      <c r="C91" s="31" t="s">
        <v>149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11"/>
        <v>0</v>
      </c>
      <c r="R91">
        <f t="shared" si="12"/>
        <v>475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149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11"/>
        <v>0</v>
      </c>
      <c r="R92">
        <f t="shared" si="12"/>
        <v>475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149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11"/>
        <v>0</v>
      </c>
      <c r="R93">
        <f t="shared" si="12"/>
        <v>475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149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11"/>
        <v>0</v>
      </c>
      <c r="R94">
        <f t="shared" si="12"/>
        <v>475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149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11"/>
        <v>0</v>
      </c>
      <c r="R95">
        <f t="shared" si="12"/>
        <v>475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149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11"/>
        <v>0</v>
      </c>
      <c r="R96">
        <f t="shared" si="12"/>
        <v>475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149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11"/>
        <v>0</v>
      </c>
      <c r="R97">
        <f t="shared" si="12"/>
        <v>475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149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11"/>
        <v>0</v>
      </c>
      <c r="R98">
        <f t="shared" si="12"/>
        <v>475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149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11"/>
        <v>0</v>
      </c>
      <c r="R99">
        <f t="shared" si="12"/>
        <v>475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149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11"/>
        <v>0</v>
      </c>
      <c r="R100">
        <f t="shared" si="12"/>
        <v>475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149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11"/>
        <v>0</v>
      </c>
      <c r="R101">
        <f t="shared" si="12"/>
        <v>475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149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11"/>
        <v>0</v>
      </c>
      <c r="R102">
        <f t="shared" si="12"/>
        <v>475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149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11"/>
        <v>0</v>
      </c>
      <c r="R103">
        <f t="shared" si="12"/>
        <v>475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149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11"/>
        <v>0</v>
      </c>
      <c r="R104">
        <f t="shared" si="12"/>
        <v>475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149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11"/>
        <v>0</v>
      </c>
      <c r="R105">
        <f t="shared" si="12"/>
        <v>475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149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11"/>
        <v>0</v>
      </c>
      <c r="R106">
        <f t="shared" si="12"/>
        <v>475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149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11"/>
        <v>0</v>
      </c>
      <c r="R107">
        <f t="shared" si="12"/>
        <v>475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149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11"/>
        <v>0</v>
      </c>
      <c r="R108">
        <f t="shared" si="12"/>
        <v>475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149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11"/>
        <v>0</v>
      </c>
      <c r="R109">
        <f t="shared" si="12"/>
        <v>475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149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11"/>
        <v>0</v>
      </c>
      <c r="R110">
        <f t="shared" si="12"/>
        <v>475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149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11"/>
        <v>0</v>
      </c>
      <c r="R111">
        <f t="shared" si="12"/>
        <v>475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149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11"/>
        <v>0</v>
      </c>
      <c r="R112">
        <f t="shared" si="12"/>
        <v>475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149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11"/>
        <v>0</v>
      </c>
      <c r="R113">
        <f t="shared" si="12"/>
        <v>475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149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11"/>
        <v>0</v>
      </c>
      <c r="R114">
        <f t="shared" si="12"/>
        <v>475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149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11"/>
        <v>0</v>
      </c>
      <c r="R115">
        <f t="shared" si="12"/>
        <v>475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149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11"/>
        <v>0</v>
      </c>
      <c r="R116">
        <f t="shared" si="12"/>
        <v>475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149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11"/>
        <v>0</v>
      </c>
      <c r="R117">
        <f t="shared" si="12"/>
        <v>475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149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11"/>
        <v>0</v>
      </c>
      <c r="R118">
        <f t="shared" si="12"/>
        <v>475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149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11"/>
        <v>0</v>
      </c>
      <c r="R119">
        <f t="shared" si="12"/>
        <v>475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149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11"/>
        <v>0</v>
      </c>
      <c r="R120">
        <f t="shared" si="12"/>
        <v>475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149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11"/>
        <v>0</v>
      </c>
      <c r="R121">
        <f t="shared" si="12"/>
        <v>475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149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11"/>
        <v>0</v>
      </c>
      <c r="R122">
        <f t="shared" si="12"/>
        <v>475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149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11"/>
        <v>0</v>
      </c>
      <c r="R123">
        <f t="shared" si="12"/>
        <v>475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149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11"/>
        <v>0</v>
      </c>
      <c r="R124">
        <f t="shared" si="12"/>
        <v>475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149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11"/>
        <v>0</v>
      </c>
      <c r="R125">
        <f t="shared" si="12"/>
        <v>475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149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11"/>
        <v>0</v>
      </c>
      <c r="R126">
        <f t="shared" si="12"/>
        <v>475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149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11"/>
        <v>0</v>
      </c>
      <c r="R127">
        <f t="shared" si="12"/>
        <v>475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149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11"/>
        <v>0</v>
      </c>
      <c r="R128">
        <f t="shared" si="12"/>
        <v>475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149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11"/>
        <v>0</v>
      </c>
      <c r="R129">
        <f t="shared" si="12"/>
        <v>475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149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11"/>
        <v>0</v>
      </c>
      <c r="R130">
        <f t="shared" si="12"/>
        <v>475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149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15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si="11"/>
        <v>0</v>
      </c>
      <c r="R131">
        <f t="shared" si="12"/>
        <v>475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149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Data'!B157</f>
        <v>0</v>
      </c>
      <c r="Q132">
        <f t="shared" si="11"/>
        <v>0</v>
      </c>
      <c r="R132">
        <f t="shared" si="12"/>
        <v>475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149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Data'!B158</f>
        <v>0</v>
      </c>
      <c r="Q133">
        <f t="shared" si="11"/>
        <v>0</v>
      </c>
      <c r="R133">
        <f t="shared" si="12"/>
        <v>475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149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Data'!B159</f>
        <v>0</v>
      </c>
      <c r="Q134">
        <f t="shared" si="11"/>
        <v>0</v>
      </c>
      <c r="R134">
        <f t="shared" si="12"/>
        <v>475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149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Data'!B160</f>
        <v>0</v>
      </c>
      <c r="Q135">
        <f t="shared" si="11"/>
        <v>0</v>
      </c>
      <c r="R135">
        <f t="shared" si="12"/>
        <v>475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149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Data'!B161</f>
        <v>0</v>
      </c>
      <c r="Q136">
        <f t="shared" si="11"/>
        <v>0</v>
      </c>
      <c r="R136">
        <f t="shared" si="12"/>
        <v>475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149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Data'!B162</f>
        <v>0</v>
      </c>
      <c r="Q137">
        <f t="shared" si="11"/>
        <v>0</v>
      </c>
      <c r="R137">
        <f t="shared" si="12"/>
        <v>475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149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Data'!B163</f>
        <v>0</v>
      </c>
      <c r="Q138">
        <f t="shared" si="11"/>
        <v>0</v>
      </c>
      <c r="R138">
        <f t="shared" si="12"/>
        <v>475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149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Data'!B164</f>
        <v>0</v>
      </c>
      <c r="Q139">
        <f t="shared" si="11"/>
        <v>0</v>
      </c>
      <c r="R139">
        <f t="shared" si="12"/>
        <v>475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149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Data'!B165</f>
        <v>0</v>
      </c>
      <c r="Q140">
        <f t="shared" si="11"/>
        <v>0</v>
      </c>
      <c r="R140">
        <f t="shared" si="12"/>
        <v>475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149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Data'!B166</f>
        <v>0</v>
      </c>
      <c r="Q141">
        <f t="shared" si="11"/>
        <v>0</v>
      </c>
      <c r="R141">
        <f t="shared" si="12"/>
        <v>475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149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Data'!B167</f>
        <v>0</v>
      </c>
      <c r="Q142">
        <f t="shared" si="11"/>
        <v>0</v>
      </c>
      <c r="R142">
        <f t="shared" si="12"/>
        <v>475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149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Data'!B168</f>
        <v>0</v>
      </c>
      <c r="Q143">
        <f t="shared" si="11"/>
        <v>0</v>
      </c>
      <c r="R143">
        <f t="shared" si="12"/>
        <v>475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149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Data'!B169</f>
        <v>0</v>
      </c>
      <c r="Q144">
        <f t="shared" si="11"/>
        <v>0</v>
      </c>
      <c r="R144">
        <f t="shared" si="12"/>
        <v>475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149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Data'!B170</f>
        <v>0</v>
      </c>
      <c r="Q145">
        <f t="shared" si="11"/>
        <v>0</v>
      </c>
      <c r="R145">
        <f t="shared" si="12"/>
        <v>475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149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Data'!B171</f>
        <v>0</v>
      </c>
      <c r="Q146">
        <f t="shared" ref="Q146:Q209" si="16">IF($P146="","",COUNTIF($A$3:$A$500,$P146))</f>
        <v>0</v>
      </c>
      <c r="R146">
        <f t="shared" ref="R146:R209" si="17">IF($P146="","",SUMPRODUCT(($A$3:$A$500=$P146)*($G$3:$G$500&lt;&gt;"Yes")*($G$3:$G$500&lt;&gt;"Did not pass re-test")))</f>
        <v>475</v>
      </c>
      <c r="S146" s="28">
        <f t="shared" ref="S146:S209" si="18">IF($P146="","",IF(SUMPRODUCT(MAX(($A$3:$A$500=$P146)*ROW($A$3:$A$500)))=0,"",INDEX($B:$B,SUMPRODUCT(MAX(($A$3:$A$500=$P146)*ROW($A$3:$A$500))))))</f>
        <v>0</v>
      </c>
      <c r="T146" t="str">
        <f t="shared" ref="T146:T209" si="19"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149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Data'!B172</f>
        <v>0</v>
      </c>
      <c r="Q147">
        <f t="shared" si="16"/>
        <v>0</v>
      </c>
      <c r="R147">
        <f t="shared" si="17"/>
        <v>475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149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Data'!B173</f>
        <v>0</v>
      </c>
      <c r="Q148">
        <f t="shared" si="16"/>
        <v>0</v>
      </c>
      <c r="R148">
        <f t="shared" si="17"/>
        <v>475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149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Data'!B174</f>
        <v>0</v>
      </c>
      <c r="Q149">
        <f t="shared" si="16"/>
        <v>0</v>
      </c>
      <c r="R149">
        <f t="shared" si="17"/>
        <v>475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149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Data'!B175</f>
        <v>0</v>
      </c>
      <c r="Q150">
        <f t="shared" si="16"/>
        <v>0</v>
      </c>
      <c r="R150">
        <f t="shared" si="17"/>
        <v>475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149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Data'!B176</f>
        <v>0</v>
      </c>
      <c r="Q151">
        <f t="shared" si="16"/>
        <v>0</v>
      </c>
      <c r="R151">
        <f t="shared" si="17"/>
        <v>475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149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Data'!B177</f>
        <v>0</v>
      </c>
      <c r="Q152">
        <f t="shared" si="16"/>
        <v>0</v>
      </c>
      <c r="R152">
        <f t="shared" si="17"/>
        <v>475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149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Data'!B178</f>
        <v>0</v>
      </c>
      <c r="Q153">
        <f t="shared" si="16"/>
        <v>0</v>
      </c>
      <c r="R153">
        <f t="shared" si="17"/>
        <v>475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149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Data'!B179</f>
        <v>0</v>
      </c>
      <c r="Q154">
        <f t="shared" si="16"/>
        <v>0</v>
      </c>
      <c r="R154">
        <f t="shared" si="17"/>
        <v>475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149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Data'!B180</f>
        <v>0</v>
      </c>
      <c r="Q155">
        <f t="shared" si="16"/>
        <v>0</v>
      </c>
      <c r="R155">
        <f t="shared" si="17"/>
        <v>475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149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Data'!B181</f>
        <v>0</v>
      </c>
      <c r="Q156">
        <f t="shared" si="16"/>
        <v>0</v>
      </c>
      <c r="R156">
        <f t="shared" si="17"/>
        <v>475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149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Data'!B182</f>
        <v>0</v>
      </c>
      <c r="Q157">
        <f t="shared" si="16"/>
        <v>0</v>
      </c>
      <c r="R157">
        <f t="shared" si="17"/>
        <v>475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149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Data'!B183</f>
        <v>0</v>
      </c>
      <c r="Q158">
        <f t="shared" si="16"/>
        <v>0</v>
      </c>
      <c r="R158">
        <f t="shared" si="17"/>
        <v>475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149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Data'!B184</f>
        <v>0</v>
      </c>
      <c r="Q159">
        <f t="shared" si="16"/>
        <v>0</v>
      </c>
      <c r="R159">
        <f t="shared" si="17"/>
        <v>475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149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Data'!B185</f>
        <v>0</v>
      </c>
      <c r="Q160">
        <f t="shared" si="16"/>
        <v>0</v>
      </c>
      <c r="R160">
        <f t="shared" si="17"/>
        <v>475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149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Data'!B186</f>
        <v>0</v>
      </c>
      <c r="Q161">
        <f t="shared" si="16"/>
        <v>0</v>
      </c>
      <c r="R161">
        <f t="shared" si="17"/>
        <v>475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149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Data'!B187</f>
        <v>0</v>
      </c>
      <c r="Q162">
        <f t="shared" si="16"/>
        <v>0</v>
      </c>
      <c r="R162">
        <f t="shared" si="17"/>
        <v>475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149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Data'!B188</f>
        <v>0</v>
      </c>
      <c r="Q163">
        <f t="shared" si="16"/>
        <v>0</v>
      </c>
      <c r="R163">
        <f t="shared" si="17"/>
        <v>475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149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Data'!B189</f>
        <v>0</v>
      </c>
      <c r="Q164">
        <f t="shared" si="16"/>
        <v>0</v>
      </c>
      <c r="R164">
        <f t="shared" si="17"/>
        <v>475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149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Data'!B190</f>
        <v>0</v>
      </c>
      <c r="Q165">
        <f t="shared" si="16"/>
        <v>0</v>
      </c>
      <c r="R165">
        <f t="shared" si="17"/>
        <v>475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149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Data'!B191</f>
        <v>0</v>
      </c>
      <c r="Q166">
        <f t="shared" si="16"/>
        <v>0</v>
      </c>
      <c r="R166">
        <f t="shared" si="17"/>
        <v>475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149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Data'!B192</f>
        <v>0</v>
      </c>
      <c r="Q167">
        <f t="shared" si="16"/>
        <v>0</v>
      </c>
      <c r="R167">
        <f t="shared" si="17"/>
        <v>475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149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Data'!B193</f>
        <v>0</v>
      </c>
      <c r="Q168">
        <f t="shared" si="16"/>
        <v>0</v>
      </c>
      <c r="R168">
        <f t="shared" si="17"/>
        <v>475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149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Data'!B194</f>
        <v>0</v>
      </c>
      <c r="Q169">
        <f t="shared" si="16"/>
        <v>0</v>
      </c>
      <c r="R169">
        <f t="shared" si="17"/>
        <v>475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149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Data'!B195</f>
        <v>0</v>
      </c>
      <c r="Q170">
        <f t="shared" si="16"/>
        <v>0</v>
      </c>
      <c r="R170">
        <f t="shared" si="17"/>
        <v>475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149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Data'!B196</f>
        <v>0</v>
      </c>
      <c r="Q171">
        <f t="shared" si="16"/>
        <v>0</v>
      </c>
      <c r="R171">
        <f t="shared" si="17"/>
        <v>475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149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Data'!B197</f>
        <v>0</v>
      </c>
      <c r="Q172">
        <f t="shared" si="16"/>
        <v>0</v>
      </c>
      <c r="R172">
        <f t="shared" si="17"/>
        <v>475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149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Data'!B198</f>
        <v>0</v>
      </c>
      <c r="Q173">
        <f t="shared" si="16"/>
        <v>0</v>
      </c>
      <c r="R173">
        <f t="shared" si="17"/>
        <v>475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149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Data'!B199</f>
        <v>0</v>
      </c>
      <c r="Q174">
        <f t="shared" si="16"/>
        <v>0</v>
      </c>
      <c r="R174">
        <f t="shared" si="17"/>
        <v>475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149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Data'!B200</f>
        <v>0</v>
      </c>
      <c r="Q175">
        <f t="shared" si="16"/>
        <v>0</v>
      </c>
      <c r="R175">
        <f t="shared" si="17"/>
        <v>475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149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Data'!B201</f>
        <v>0</v>
      </c>
      <c r="Q176">
        <f t="shared" si="16"/>
        <v>0</v>
      </c>
      <c r="R176">
        <f t="shared" si="17"/>
        <v>475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149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Data'!B202</f>
        <v>0</v>
      </c>
      <c r="Q177">
        <f t="shared" si="16"/>
        <v>0</v>
      </c>
      <c r="R177">
        <f t="shared" si="17"/>
        <v>475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149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Data'!B203</f>
        <v>0</v>
      </c>
      <c r="Q178">
        <f t="shared" si="16"/>
        <v>0</v>
      </c>
      <c r="R178">
        <f t="shared" si="17"/>
        <v>475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149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Data'!B204</f>
        <v>0</v>
      </c>
      <c r="Q179">
        <f t="shared" si="16"/>
        <v>0</v>
      </c>
      <c r="R179">
        <f t="shared" si="17"/>
        <v>475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149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Data'!B205</f>
        <v>0</v>
      </c>
      <c r="Q180">
        <f t="shared" si="16"/>
        <v>0</v>
      </c>
      <c r="R180">
        <f t="shared" si="17"/>
        <v>475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149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Data'!B206</f>
        <v>0</v>
      </c>
      <c r="Q181">
        <f t="shared" si="16"/>
        <v>0</v>
      </c>
      <c r="R181">
        <f t="shared" si="17"/>
        <v>475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149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Data'!B207</f>
        <v>0</v>
      </c>
      <c r="Q182">
        <f t="shared" si="16"/>
        <v>0</v>
      </c>
      <c r="R182">
        <f t="shared" si="17"/>
        <v>475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149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Data'!B208</f>
        <v>0</v>
      </c>
      <c r="Q183">
        <f t="shared" si="16"/>
        <v>0</v>
      </c>
      <c r="R183">
        <f t="shared" si="17"/>
        <v>475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149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Data'!B209</f>
        <v>0</v>
      </c>
      <c r="Q184">
        <f t="shared" si="16"/>
        <v>0</v>
      </c>
      <c r="R184">
        <f t="shared" si="17"/>
        <v>475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149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Data'!B210</f>
        <v>0</v>
      </c>
      <c r="Q185">
        <f t="shared" si="16"/>
        <v>0</v>
      </c>
      <c r="R185">
        <f t="shared" si="17"/>
        <v>475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149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Data'!B211</f>
        <v>0</v>
      </c>
      <c r="Q186">
        <f t="shared" si="16"/>
        <v>0</v>
      </c>
      <c r="R186">
        <f t="shared" si="17"/>
        <v>475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149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Data'!B212</f>
        <v>0</v>
      </c>
      <c r="Q187">
        <f t="shared" si="16"/>
        <v>0</v>
      </c>
      <c r="R187">
        <f t="shared" si="17"/>
        <v>475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149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Data'!B213</f>
        <v>0</v>
      </c>
      <c r="Q188">
        <f t="shared" si="16"/>
        <v>0</v>
      </c>
      <c r="R188">
        <f t="shared" si="17"/>
        <v>475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149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Data'!B214</f>
        <v>0</v>
      </c>
      <c r="Q189">
        <f t="shared" si="16"/>
        <v>0</v>
      </c>
      <c r="R189">
        <f t="shared" si="17"/>
        <v>475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149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Data'!B215</f>
        <v>0</v>
      </c>
      <c r="Q190">
        <f t="shared" si="16"/>
        <v>0</v>
      </c>
      <c r="R190">
        <f t="shared" si="17"/>
        <v>475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149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Data'!B216</f>
        <v>0</v>
      </c>
      <c r="Q191">
        <f t="shared" si="16"/>
        <v>0</v>
      </c>
      <c r="R191">
        <f t="shared" si="17"/>
        <v>475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149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Data'!B217</f>
        <v>0</v>
      </c>
      <c r="Q192">
        <f t="shared" si="16"/>
        <v>0</v>
      </c>
      <c r="R192">
        <f t="shared" si="17"/>
        <v>475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149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Data'!B218</f>
        <v>0</v>
      </c>
      <c r="Q193">
        <f t="shared" si="16"/>
        <v>0</v>
      </c>
      <c r="R193">
        <f t="shared" si="17"/>
        <v>475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149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15"/>
        <v/>
      </c>
      <c r="P194">
        <f>'Combined Delivery Data'!B219</f>
        <v>0</v>
      </c>
      <c r="Q194">
        <f t="shared" si="16"/>
        <v>0</v>
      </c>
      <c r="R194">
        <f t="shared" si="17"/>
        <v>475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149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20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si="16"/>
        <v>0</v>
      </c>
      <c r="R195">
        <f t="shared" si="17"/>
        <v>475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149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Data'!B221</f>
        <v>0</v>
      </c>
      <c r="Q196">
        <f t="shared" si="16"/>
        <v>0</v>
      </c>
      <c r="R196">
        <f t="shared" si="17"/>
        <v>475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149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Data'!B222</f>
        <v>0</v>
      </c>
      <c r="Q197">
        <f t="shared" si="16"/>
        <v>0</v>
      </c>
      <c r="R197">
        <f t="shared" si="17"/>
        <v>475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149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Data'!B223</f>
        <v>0</v>
      </c>
      <c r="Q198">
        <f t="shared" si="16"/>
        <v>0</v>
      </c>
      <c r="R198">
        <f t="shared" si="17"/>
        <v>475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149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Data'!B224</f>
        <v>0</v>
      </c>
      <c r="Q199">
        <f t="shared" si="16"/>
        <v>0</v>
      </c>
      <c r="R199">
        <f t="shared" si="17"/>
        <v>475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149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Data'!B225</f>
        <v>0</v>
      </c>
      <c r="Q200">
        <f t="shared" si="16"/>
        <v>0</v>
      </c>
      <c r="R200">
        <f t="shared" si="17"/>
        <v>475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Data'!B226</f>
        <v>0</v>
      </c>
      <c r="Q201">
        <f t="shared" si="16"/>
        <v>0</v>
      </c>
      <c r="R201">
        <f t="shared" si="17"/>
        <v>475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Data'!B227</f>
        <v>0</v>
      </c>
      <c r="Q202">
        <f t="shared" si="16"/>
        <v>0</v>
      </c>
      <c r="R202">
        <f t="shared" si="17"/>
        <v>475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Data'!B228</f>
        <v>0</v>
      </c>
      <c r="Q203">
        <f t="shared" si="16"/>
        <v>0</v>
      </c>
      <c r="R203">
        <f t="shared" si="17"/>
        <v>475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Data'!B229</f>
        <v>0</v>
      </c>
      <c r="Q204">
        <f t="shared" si="16"/>
        <v>0</v>
      </c>
      <c r="R204">
        <f t="shared" si="17"/>
        <v>475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Data'!B230</f>
        <v>0</v>
      </c>
      <c r="Q205">
        <f t="shared" si="16"/>
        <v>0</v>
      </c>
      <c r="R205">
        <f t="shared" si="17"/>
        <v>475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Data'!B231</f>
        <v>0</v>
      </c>
      <c r="Q206">
        <f t="shared" si="16"/>
        <v>0</v>
      </c>
      <c r="R206">
        <f t="shared" si="17"/>
        <v>475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Data'!B232</f>
        <v>0</v>
      </c>
      <c r="Q207">
        <f t="shared" si="16"/>
        <v>0</v>
      </c>
      <c r="R207">
        <f t="shared" si="17"/>
        <v>475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Data'!B233</f>
        <v>0</v>
      </c>
      <c r="Q208">
        <f t="shared" si="16"/>
        <v>0</v>
      </c>
      <c r="R208">
        <f t="shared" si="17"/>
        <v>475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Data'!B234</f>
        <v>0</v>
      </c>
      <c r="Q209">
        <f t="shared" si="16"/>
        <v>0</v>
      </c>
      <c r="R209">
        <f t="shared" si="17"/>
        <v>475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Data'!B235</f>
        <v>0</v>
      </c>
      <c r="Q210">
        <f t="shared" ref="Q210:Q273" si="21">IF($P210="","",COUNTIF($A$3:$A$500,$P210))</f>
        <v>0</v>
      </c>
      <c r="R210">
        <f t="shared" ref="R210:R273" si="22">IF($P210="","",SUMPRODUCT(($A$3:$A$500=$P210)*($G$3:$G$500&lt;&gt;"Yes")*($G$3:$G$500&lt;&gt;"Did not pass re-test")))</f>
        <v>475</v>
      </c>
      <c r="S210" s="28">
        <f t="shared" ref="S210:S273" si="23">IF($P210="","",IF(SUMPRODUCT(MAX(($A$3:$A$500=$P210)*ROW($A$3:$A$500)))=0,"",INDEX($B:$B,SUMPRODUCT(MAX(($A$3:$A$500=$P210)*ROW($A$3:$A$500))))))</f>
        <v>0</v>
      </c>
      <c r="T210" t="str">
        <f t="shared" ref="T210:T273" si="24"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Data'!B236</f>
        <v>0</v>
      </c>
      <c r="Q211">
        <f t="shared" si="21"/>
        <v>0</v>
      </c>
      <c r="R211">
        <f t="shared" si="22"/>
        <v>475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Data'!B237</f>
        <v>0</v>
      </c>
      <c r="Q212">
        <f t="shared" si="21"/>
        <v>0</v>
      </c>
      <c r="R212">
        <f t="shared" si="22"/>
        <v>475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Data'!B238</f>
        <v>0</v>
      </c>
      <c r="Q213">
        <f t="shared" si="21"/>
        <v>0</v>
      </c>
      <c r="R213">
        <f t="shared" si="22"/>
        <v>475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Data'!B239</f>
        <v>0</v>
      </c>
      <c r="Q214">
        <f t="shared" si="21"/>
        <v>0</v>
      </c>
      <c r="R214">
        <f t="shared" si="22"/>
        <v>475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Data'!B240</f>
        <v>0</v>
      </c>
      <c r="Q215">
        <f t="shared" si="21"/>
        <v>0</v>
      </c>
      <c r="R215">
        <f t="shared" si="22"/>
        <v>475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Data'!B241</f>
        <v>0</v>
      </c>
      <c r="Q216">
        <f t="shared" si="21"/>
        <v>0</v>
      </c>
      <c r="R216">
        <f t="shared" si="22"/>
        <v>475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Data'!B242</f>
        <v>0</v>
      </c>
      <c r="Q217">
        <f t="shared" si="21"/>
        <v>0</v>
      </c>
      <c r="R217">
        <f t="shared" si="22"/>
        <v>475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Data'!B243</f>
        <v>0</v>
      </c>
      <c r="Q218">
        <f t="shared" si="21"/>
        <v>0</v>
      </c>
      <c r="R218">
        <f t="shared" si="22"/>
        <v>475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Data'!B244</f>
        <v>0</v>
      </c>
      <c r="Q219">
        <f t="shared" si="21"/>
        <v>0</v>
      </c>
      <c r="R219">
        <f t="shared" si="22"/>
        <v>475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Data'!B245</f>
        <v>0</v>
      </c>
      <c r="Q220">
        <f t="shared" si="21"/>
        <v>0</v>
      </c>
      <c r="R220">
        <f t="shared" si="22"/>
        <v>475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Data'!B246</f>
        <v>0</v>
      </c>
      <c r="Q221">
        <f t="shared" si="21"/>
        <v>0</v>
      </c>
      <c r="R221">
        <f t="shared" si="22"/>
        <v>475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Data'!B247</f>
        <v>0</v>
      </c>
      <c r="Q222">
        <f t="shared" si="21"/>
        <v>0</v>
      </c>
      <c r="R222">
        <f t="shared" si="22"/>
        <v>475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Data'!B248</f>
        <v>0</v>
      </c>
      <c r="Q223">
        <f t="shared" si="21"/>
        <v>0</v>
      </c>
      <c r="R223">
        <f t="shared" si="22"/>
        <v>475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Data'!B249</f>
        <v>0</v>
      </c>
      <c r="Q224">
        <f t="shared" si="21"/>
        <v>0</v>
      </c>
      <c r="R224">
        <f t="shared" si="22"/>
        <v>475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Data'!B250</f>
        <v>0</v>
      </c>
      <c r="Q225">
        <f t="shared" si="21"/>
        <v>0</v>
      </c>
      <c r="R225">
        <f t="shared" si="22"/>
        <v>475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Data'!B251</f>
        <v>0</v>
      </c>
      <c r="Q226">
        <f t="shared" si="21"/>
        <v>0</v>
      </c>
      <c r="R226">
        <f t="shared" si="22"/>
        <v>475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Data'!B252</f>
        <v>0</v>
      </c>
      <c r="Q227">
        <f t="shared" si="21"/>
        <v>0</v>
      </c>
      <c r="R227">
        <f t="shared" si="22"/>
        <v>475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Data'!B253</f>
        <v>0</v>
      </c>
      <c r="Q228">
        <f t="shared" si="21"/>
        <v>0</v>
      </c>
      <c r="R228">
        <f t="shared" si="22"/>
        <v>475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Data'!B254</f>
        <v>0</v>
      </c>
      <c r="Q229">
        <f t="shared" si="21"/>
        <v>0</v>
      </c>
      <c r="R229">
        <f t="shared" si="22"/>
        <v>475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Data'!B255</f>
        <v>0</v>
      </c>
      <c r="Q230">
        <f t="shared" si="21"/>
        <v>0</v>
      </c>
      <c r="R230">
        <f t="shared" si="22"/>
        <v>475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Data'!B256</f>
        <v>0</v>
      </c>
      <c r="Q231">
        <f t="shared" si="21"/>
        <v>0</v>
      </c>
      <c r="R231">
        <f t="shared" si="22"/>
        <v>475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Data'!B257</f>
        <v>0</v>
      </c>
      <c r="Q232">
        <f t="shared" si="21"/>
        <v>0</v>
      </c>
      <c r="R232">
        <f t="shared" si="22"/>
        <v>475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Data'!B258</f>
        <v>0</v>
      </c>
      <c r="Q233">
        <f t="shared" si="21"/>
        <v>0</v>
      </c>
      <c r="R233">
        <f t="shared" si="22"/>
        <v>475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Data'!B259</f>
        <v>0</v>
      </c>
      <c r="Q234">
        <f t="shared" si="21"/>
        <v>0</v>
      </c>
      <c r="R234">
        <f t="shared" si="22"/>
        <v>475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Data'!B260</f>
        <v>0</v>
      </c>
      <c r="Q235">
        <f t="shared" si="21"/>
        <v>0</v>
      </c>
      <c r="R235">
        <f t="shared" si="22"/>
        <v>475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Data'!B261</f>
        <v>0</v>
      </c>
      <c r="Q236">
        <f t="shared" si="21"/>
        <v>0</v>
      </c>
      <c r="R236">
        <f t="shared" si="22"/>
        <v>475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Data'!B262</f>
        <v>0</v>
      </c>
      <c r="Q237">
        <f t="shared" si="21"/>
        <v>0</v>
      </c>
      <c r="R237">
        <f t="shared" si="22"/>
        <v>475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Data'!B263</f>
        <v>0</v>
      </c>
      <c r="Q238">
        <f t="shared" si="21"/>
        <v>0</v>
      </c>
      <c r="R238">
        <f t="shared" si="22"/>
        <v>475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Data'!B264</f>
        <v>0</v>
      </c>
      <c r="Q239">
        <f t="shared" si="21"/>
        <v>0</v>
      </c>
      <c r="R239">
        <f t="shared" si="22"/>
        <v>475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Data'!B265</f>
        <v>0</v>
      </c>
      <c r="Q240">
        <f t="shared" si="21"/>
        <v>0</v>
      </c>
      <c r="R240">
        <f t="shared" si="22"/>
        <v>475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Data'!B266</f>
        <v>0</v>
      </c>
      <c r="Q241">
        <f t="shared" si="21"/>
        <v>0</v>
      </c>
      <c r="R241">
        <f t="shared" si="22"/>
        <v>475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Data'!B267</f>
        <v>0</v>
      </c>
      <c r="Q242">
        <f t="shared" si="21"/>
        <v>0</v>
      </c>
      <c r="R242">
        <f t="shared" si="22"/>
        <v>475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Data'!B268</f>
        <v>0</v>
      </c>
      <c r="Q243">
        <f t="shared" si="21"/>
        <v>0</v>
      </c>
      <c r="R243">
        <f t="shared" si="22"/>
        <v>475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Data'!B269</f>
        <v>0</v>
      </c>
      <c r="Q244">
        <f t="shared" si="21"/>
        <v>0</v>
      </c>
      <c r="R244">
        <f t="shared" si="22"/>
        <v>475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Data'!B270</f>
        <v>0</v>
      </c>
      <c r="Q245">
        <f t="shared" si="21"/>
        <v>0</v>
      </c>
      <c r="R245">
        <f t="shared" si="22"/>
        <v>475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Data'!B271</f>
        <v>0</v>
      </c>
      <c r="Q246">
        <f t="shared" si="21"/>
        <v>0</v>
      </c>
      <c r="R246">
        <f t="shared" si="22"/>
        <v>475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Data'!B272</f>
        <v>0</v>
      </c>
      <c r="Q247">
        <f t="shared" si="21"/>
        <v>0</v>
      </c>
      <c r="R247">
        <f t="shared" si="22"/>
        <v>475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Data'!B273</f>
        <v>0</v>
      </c>
      <c r="Q248">
        <f t="shared" si="21"/>
        <v>0</v>
      </c>
      <c r="R248">
        <f t="shared" si="22"/>
        <v>475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Data'!B274</f>
        <v>0</v>
      </c>
      <c r="Q249">
        <f t="shared" si="21"/>
        <v>0</v>
      </c>
      <c r="R249">
        <f t="shared" si="22"/>
        <v>475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Data'!B275</f>
        <v>0</v>
      </c>
      <c r="Q250">
        <f t="shared" si="21"/>
        <v>0</v>
      </c>
      <c r="R250">
        <f t="shared" si="22"/>
        <v>475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Data'!B276</f>
        <v>0</v>
      </c>
      <c r="Q251">
        <f t="shared" si="21"/>
        <v>0</v>
      </c>
      <c r="R251">
        <f t="shared" si="22"/>
        <v>475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Data'!B277</f>
        <v>0</v>
      </c>
      <c r="Q252">
        <f t="shared" si="21"/>
        <v>0</v>
      </c>
      <c r="R252">
        <f t="shared" si="22"/>
        <v>475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Data'!B278</f>
        <v>0</v>
      </c>
      <c r="Q253">
        <f t="shared" si="21"/>
        <v>0</v>
      </c>
      <c r="R253">
        <f t="shared" si="22"/>
        <v>475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Data'!B279</f>
        <v>0</v>
      </c>
      <c r="Q254">
        <f t="shared" si="21"/>
        <v>0</v>
      </c>
      <c r="R254">
        <f t="shared" si="22"/>
        <v>475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Data'!B280</f>
        <v>0</v>
      </c>
      <c r="Q255">
        <f t="shared" si="21"/>
        <v>0</v>
      </c>
      <c r="R255">
        <f t="shared" si="22"/>
        <v>475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Data'!B281</f>
        <v>0</v>
      </c>
      <c r="Q256">
        <f t="shared" si="21"/>
        <v>0</v>
      </c>
      <c r="R256">
        <f t="shared" si="22"/>
        <v>475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Data'!B282</f>
        <v>0</v>
      </c>
      <c r="Q257">
        <f t="shared" si="21"/>
        <v>0</v>
      </c>
      <c r="R257">
        <f t="shared" si="22"/>
        <v>475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20"/>
        <v/>
      </c>
      <c r="P258">
        <f>'Combined Delivery Data'!B283</f>
        <v>0</v>
      </c>
      <c r="Q258">
        <f t="shared" si="21"/>
        <v>0</v>
      </c>
      <c r="R258">
        <f t="shared" si="22"/>
        <v>475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si="21"/>
        <v>0</v>
      </c>
      <c r="R259">
        <f t="shared" si="22"/>
        <v>475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Data'!B285</f>
        <v>0</v>
      </c>
      <c r="Q260">
        <f t="shared" si="21"/>
        <v>0</v>
      </c>
      <c r="R260">
        <f t="shared" si="22"/>
        <v>475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Data'!B286</f>
        <v>0</v>
      </c>
      <c r="Q261">
        <f t="shared" si="21"/>
        <v>0</v>
      </c>
      <c r="R261">
        <f t="shared" si="22"/>
        <v>475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Data'!B287</f>
        <v>0</v>
      </c>
      <c r="Q262">
        <f t="shared" si="21"/>
        <v>0</v>
      </c>
      <c r="R262">
        <f t="shared" si="22"/>
        <v>475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Data'!B288</f>
        <v>0</v>
      </c>
      <c r="Q263">
        <f t="shared" si="21"/>
        <v>0</v>
      </c>
      <c r="R263">
        <f t="shared" si="22"/>
        <v>475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Data'!B289</f>
        <v>0</v>
      </c>
      <c r="Q264">
        <f t="shared" si="21"/>
        <v>0</v>
      </c>
      <c r="R264">
        <f t="shared" si="22"/>
        <v>475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Data'!B290</f>
        <v>0</v>
      </c>
      <c r="Q265">
        <f t="shared" si="21"/>
        <v>0</v>
      </c>
      <c r="R265">
        <f t="shared" si="22"/>
        <v>475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Data'!B291</f>
        <v>0</v>
      </c>
      <c r="Q266">
        <f t="shared" si="21"/>
        <v>0</v>
      </c>
      <c r="R266">
        <f t="shared" si="22"/>
        <v>475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Data'!B292</f>
        <v>0</v>
      </c>
      <c r="Q267">
        <f t="shared" si="21"/>
        <v>0</v>
      </c>
      <c r="R267">
        <f t="shared" si="22"/>
        <v>475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Data'!B293</f>
        <v>0</v>
      </c>
      <c r="Q268">
        <f t="shared" si="21"/>
        <v>0</v>
      </c>
      <c r="R268">
        <f t="shared" si="22"/>
        <v>475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Data'!B294</f>
        <v>0</v>
      </c>
      <c r="Q269">
        <f t="shared" si="21"/>
        <v>0</v>
      </c>
      <c r="R269">
        <f t="shared" si="22"/>
        <v>475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Data'!B295</f>
        <v>0</v>
      </c>
      <c r="Q270">
        <f t="shared" si="21"/>
        <v>0</v>
      </c>
      <c r="R270">
        <f t="shared" si="22"/>
        <v>475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Data'!B296</f>
        <v>0</v>
      </c>
      <c r="Q271">
        <f t="shared" si="21"/>
        <v>0</v>
      </c>
      <c r="R271">
        <f t="shared" si="22"/>
        <v>475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Data'!B297</f>
        <v>0</v>
      </c>
      <c r="Q272">
        <f t="shared" si="21"/>
        <v>0</v>
      </c>
      <c r="R272">
        <f t="shared" si="22"/>
        <v>475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Data'!B298</f>
        <v>0</v>
      </c>
      <c r="Q273">
        <f t="shared" si="21"/>
        <v>0</v>
      </c>
      <c r="R273">
        <f t="shared" si="22"/>
        <v>475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Data'!B299</f>
        <v>0</v>
      </c>
      <c r="Q274">
        <f t="shared" ref="Q274:Q337" si="26">IF($P274="","",COUNTIF($A$3:$A$500,$P274))</f>
        <v>0</v>
      </c>
      <c r="R274">
        <f t="shared" ref="R274:R337" si="27">IF($P274="","",SUMPRODUCT(($A$3:$A$500=$P274)*($G$3:$G$500&lt;&gt;"Yes")*($G$3:$G$500&lt;&gt;"Did not pass re-test")))</f>
        <v>475</v>
      </c>
      <c r="S274" s="28">
        <f t="shared" ref="S274:S337" si="28">IF($P274="","",IF(SUMPRODUCT(MAX(($A$3:$A$500=$P274)*ROW($A$3:$A$500)))=0,"",INDEX($B:$B,SUMPRODUCT(MAX(($A$3:$A$500=$P274)*ROW($A$3:$A$500))))))</f>
        <v>0</v>
      </c>
      <c r="T274" t="str">
        <f t="shared" ref="T274:T337" si="29"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Data'!B300</f>
        <v>0</v>
      </c>
      <c r="Q275">
        <f t="shared" si="26"/>
        <v>0</v>
      </c>
      <c r="R275">
        <f t="shared" si="27"/>
        <v>475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Data'!B301</f>
        <v>0</v>
      </c>
      <c r="Q276">
        <f t="shared" si="26"/>
        <v>0</v>
      </c>
      <c r="R276">
        <f t="shared" si="27"/>
        <v>475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Data'!B302</f>
        <v>0</v>
      </c>
      <c r="Q277">
        <f t="shared" si="26"/>
        <v>0</v>
      </c>
      <c r="R277">
        <f t="shared" si="27"/>
        <v>475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Data'!B303</f>
        <v>0</v>
      </c>
      <c r="Q278">
        <f t="shared" si="26"/>
        <v>0</v>
      </c>
      <c r="R278">
        <f t="shared" si="27"/>
        <v>475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Data'!B304</f>
        <v>0</v>
      </c>
      <c r="Q279">
        <f t="shared" si="26"/>
        <v>0</v>
      </c>
      <c r="R279">
        <f t="shared" si="27"/>
        <v>475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Data'!B305</f>
        <v>0</v>
      </c>
      <c r="Q280">
        <f t="shared" si="26"/>
        <v>0</v>
      </c>
      <c r="R280">
        <f t="shared" si="27"/>
        <v>475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Data'!B306</f>
        <v>0</v>
      </c>
      <c r="Q281">
        <f t="shared" si="26"/>
        <v>0</v>
      </c>
      <c r="R281">
        <f t="shared" si="27"/>
        <v>475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Data'!B307</f>
        <v>0</v>
      </c>
      <c r="Q282">
        <f t="shared" si="26"/>
        <v>0</v>
      </c>
      <c r="R282">
        <f t="shared" si="27"/>
        <v>475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Data'!B308</f>
        <v>0</v>
      </c>
      <c r="Q283">
        <f t="shared" si="26"/>
        <v>0</v>
      </c>
      <c r="R283">
        <f t="shared" si="27"/>
        <v>475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Data'!B309</f>
        <v>0</v>
      </c>
      <c r="Q284">
        <f t="shared" si="26"/>
        <v>0</v>
      </c>
      <c r="R284">
        <f t="shared" si="27"/>
        <v>475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Data'!B310</f>
        <v>0</v>
      </c>
      <c r="Q285">
        <f t="shared" si="26"/>
        <v>0</v>
      </c>
      <c r="R285">
        <f t="shared" si="27"/>
        <v>475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Data'!B311</f>
        <v>0</v>
      </c>
      <c r="Q286">
        <f t="shared" si="26"/>
        <v>0</v>
      </c>
      <c r="R286">
        <f t="shared" si="27"/>
        <v>475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Data'!B312</f>
        <v>0</v>
      </c>
      <c r="Q287">
        <f t="shared" si="26"/>
        <v>0</v>
      </c>
      <c r="R287">
        <f t="shared" si="27"/>
        <v>475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Data'!B313</f>
        <v>0</v>
      </c>
      <c r="Q288">
        <f t="shared" si="26"/>
        <v>0</v>
      </c>
      <c r="R288">
        <f t="shared" si="27"/>
        <v>475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Data'!B314</f>
        <v>0</v>
      </c>
      <c r="Q289">
        <f t="shared" si="26"/>
        <v>0</v>
      </c>
      <c r="R289">
        <f t="shared" si="27"/>
        <v>475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Data'!B315</f>
        <v>0</v>
      </c>
      <c r="Q290">
        <f t="shared" si="26"/>
        <v>0</v>
      </c>
      <c r="R290">
        <f t="shared" si="27"/>
        <v>475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Data'!B316</f>
        <v>0</v>
      </c>
      <c r="Q291">
        <f t="shared" si="26"/>
        <v>0</v>
      </c>
      <c r="R291">
        <f t="shared" si="27"/>
        <v>475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Data'!B317</f>
        <v>0</v>
      </c>
      <c r="Q292">
        <f t="shared" si="26"/>
        <v>0</v>
      </c>
      <c r="R292">
        <f t="shared" si="27"/>
        <v>475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Data'!B318</f>
        <v>0</v>
      </c>
      <c r="Q293">
        <f t="shared" si="26"/>
        <v>0</v>
      </c>
      <c r="R293">
        <f t="shared" si="27"/>
        <v>475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Data'!B319</f>
        <v>0</v>
      </c>
      <c r="Q294">
        <f t="shared" si="26"/>
        <v>0</v>
      </c>
      <c r="R294">
        <f t="shared" si="27"/>
        <v>475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Data'!B320</f>
        <v>0</v>
      </c>
      <c r="Q295">
        <f t="shared" si="26"/>
        <v>0</v>
      </c>
      <c r="R295">
        <f t="shared" si="27"/>
        <v>475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Data'!B321</f>
        <v>0</v>
      </c>
      <c r="Q296">
        <f t="shared" si="26"/>
        <v>0</v>
      </c>
      <c r="R296">
        <f t="shared" si="27"/>
        <v>475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Data'!B322</f>
        <v>0</v>
      </c>
      <c r="Q297">
        <f t="shared" si="26"/>
        <v>0</v>
      </c>
      <c r="R297">
        <f t="shared" si="27"/>
        <v>475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Data'!B323</f>
        <v>0</v>
      </c>
      <c r="Q298">
        <f t="shared" si="26"/>
        <v>0</v>
      </c>
      <c r="R298">
        <f t="shared" si="27"/>
        <v>475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Data'!B324</f>
        <v>0</v>
      </c>
      <c r="Q299">
        <f t="shared" si="26"/>
        <v>0</v>
      </c>
      <c r="R299">
        <f t="shared" si="27"/>
        <v>475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Data'!B325</f>
        <v>0</v>
      </c>
      <c r="Q300">
        <f t="shared" si="26"/>
        <v>0</v>
      </c>
      <c r="R300">
        <f t="shared" si="27"/>
        <v>475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Data'!B326</f>
        <v>0</v>
      </c>
      <c r="Q301">
        <f t="shared" si="26"/>
        <v>0</v>
      </c>
      <c r="R301">
        <f t="shared" si="27"/>
        <v>475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Data'!B327</f>
        <v>0</v>
      </c>
      <c r="Q302">
        <f t="shared" si="26"/>
        <v>0</v>
      </c>
      <c r="R302">
        <f t="shared" si="27"/>
        <v>475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Data'!B328</f>
        <v>0</v>
      </c>
      <c r="Q303">
        <f t="shared" si="26"/>
        <v>0</v>
      </c>
      <c r="R303">
        <f t="shared" si="27"/>
        <v>475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Data'!B329</f>
        <v>0</v>
      </c>
      <c r="Q304">
        <f t="shared" si="26"/>
        <v>0</v>
      </c>
      <c r="R304">
        <f t="shared" si="27"/>
        <v>475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Data'!B330</f>
        <v>0</v>
      </c>
      <c r="Q305">
        <f t="shared" si="26"/>
        <v>0</v>
      </c>
      <c r="R305">
        <f t="shared" si="27"/>
        <v>475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Data'!B331</f>
        <v>0</v>
      </c>
      <c r="Q306">
        <f t="shared" si="26"/>
        <v>0</v>
      </c>
      <c r="R306">
        <f t="shared" si="27"/>
        <v>475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Data'!B332</f>
        <v>0</v>
      </c>
      <c r="Q307">
        <f t="shared" si="26"/>
        <v>0</v>
      </c>
      <c r="R307">
        <f t="shared" si="27"/>
        <v>475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Data'!B333</f>
        <v>0</v>
      </c>
      <c r="Q308">
        <f t="shared" si="26"/>
        <v>0</v>
      </c>
      <c r="R308">
        <f t="shared" si="27"/>
        <v>475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Data'!B334</f>
        <v>0</v>
      </c>
      <c r="Q309">
        <f t="shared" si="26"/>
        <v>0</v>
      </c>
      <c r="R309">
        <f t="shared" si="27"/>
        <v>475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Data'!B335</f>
        <v>0</v>
      </c>
      <c r="Q310">
        <f t="shared" si="26"/>
        <v>0</v>
      </c>
      <c r="R310">
        <f t="shared" si="27"/>
        <v>475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Data'!B336</f>
        <v>0</v>
      </c>
      <c r="Q311">
        <f t="shared" si="26"/>
        <v>0</v>
      </c>
      <c r="R311">
        <f t="shared" si="27"/>
        <v>475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Data'!B337</f>
        <v>0</v>
      </c>
      <c r="Q312">
        <f t="shared" si="26"/>
        <v>0</v>
      </c>
      <c r="R312">
        <f t="shared" si="27"/>
        <v>475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Data'!B338</f>
        <v>0</v>
      </c>
      <c r="Q313">
        <f t="shared" si="26"/>
        <v>0</v>
      </c>
      <c r="R313">
        <f t="shared" si="27"/>
        <v>475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Data'!B339</f>
        <v>0</v>
      </c>
      <c r="Q314">
        <f t="shared" si="26"/>
        <v>0</v>
      </c>
      <c r="R314">
        <f t="shared" si="27"/>
        <v>475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Data'!B340</f>
        <v>0</v>
      </c>
      <c r="Q315">
        <f t="shared" si="26"/>
        <v>0</v>
      </c>
      <c r="R315">
        <f t="shared" si="27"/>
        <v>475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Data'!B341</f>
        <v>0</v>
      </c>
      <c r="Q316">
        <f t="shared" si="26"/>
        <v>0</v>
      </c>
      <c r="R316">
        <f t="shared" si="27"/>
        <v>475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Data'!B342</f>
        <v>0</v>
      </c>
      <c r="Q317">
        <f t="shared" si="26"/>
        <v>0</v>
      </c>
      <c r="R317">
        <f t="shared" si="27"/>
        <v>475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Data'!B343</f>
        <v>0</v>
      </c>
      <c r="Q318">
        <f t="shared" si="26"/>
        <v>0</v>
      </c>
      <c r="R318">
        <f t="shared" si="27"/>
        <v>475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Data'!B344</f>
        <v>0</v>
      </c>
      <c r="Q319">
        <f t="shared" si="26"/>
        <v>0</v>
      </c>
      <c r="R319">
        <f t="shared" si="27"/>
        <v>475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Data'!B345</f>
        <v>0</v>
      </c>
      <c r="Q320">
        <f t="shared" si="26"/>
        <v>0</v>
      </c>
      <c r="R320">
        <f t="shared" si="27"/>
        <v>475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Data'!B346</f>
        <v>0</v>
      </c>
      <c r="Q321">
        <f t="shared" si="26"/>
        <v>0</v>
      </c>
      <c r="R321">
        <f t="shared" si="27"/>
        <v>475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5"/>
        <v/>
      </c>
      <c r="P322">
        <f>'Combined Delivery Data'!B347</f>
        <v>0</v>
      </c>
      <c r="Q322">
        <f t="shared" si="26"/>
        <v>0</v>
      </c>
      <c r="R322">
        <f t="shared" si="27"/>
        <v>475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30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si="26"/>
        <v>0</v>
      </c>
      <c r="R323">
        <f t="shared" si="27"/>
        <v>475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Data'!B349</f>
        <v>0</v>
      </c>
      <c r="Q324">
        <f t="shared" si="26"/>
        <v>0</v>
      </c>
      <c r="R324">
        <f t="shared" si="27"/>
        <v>475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Data'!B350</f>
        <v>0</v>
      </c>
      <c r="Q325">
        <f t="shared" si="26"/>
        <v>0</v>
      </c>
      <c r="R325">
        <f t="shared" si="27"/>
        <v>475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Data'!B351</f>
        <v>0</v>
      </c>
      <c r="Q326">
        <f t="shared" si="26"/>
        <v>0</v>
      </c>
      <c r="R326">
        <f t="shared" si="27"/>
        <v>475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Data'!B352</f>
        <v>0</v>
      </c>
      <c r="Q327">
        <f t="shared" si="26"/>
        <v>0</v>
      </c>
      <c r="R327">
        <f t="shared" si="27"/>
        <v>475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Data'!B353</f>
        <v>0</v>
      </c>
      <c r="Q328">
        <f t="shared" si="26"/>
        <v>0</v>
      </c>
      <c r="R328">
        <f t="shared" si="27"/>
        <v>475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Data'!B354</f>
        <v>0</v>
      </c>
      <c r="Q329">
        <f t="shared" si="26"/>
        <v>0</v>
      </c>
      <c r="R329">
        <f t="shared" si="27"/>
        <v>475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Data'!B355</f>
        <v>0</v>
      </c>
      <c r="Q330">
        <f t="shared" si="26"/>
        <v>0</v>
      </c>
      <c r="R330">
        <f t="shared" si="27"/>
        <v>475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Data'!B356</f>
        <v>0</v>
      </c>
      <c r="Q331">
        <f t="shared" si="26"/>
        <v>0</v>
      </c>
      <c r="R331">
        <f t="shared" si="27"/>
        <v>475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Data'!B357</f>
        <v>0</v>
      </c>
      <c r="Q332">
        <f t="shared" si="26"/>
        <v>0</v>
      </c>
      <c r="R332">
        <f t="shared" si="27"/>
        <v>475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Data'!B358</f>
        <v>0</v>
      </c>
      <c r="Q333">
        <f t="shared" si="26"/>
        <v>0</v>
      </c>
      <c r="R333">
        <f t="shared" si="27"/>
        <v>475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Data'!B359</f>
        <v>0</v>
      </c>
      <c r="Q334">
        <f t="shared" si="26"/>
        <v>0</v>
      </c>
      <c r="R334">
        <f t="shared" si="27"/>
        <v>475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Data'!B360</f>
        <v>0</v>
      </c>
      <c r="Q335">
        <f t="shared" si="26"/>
        <v>0</v>
      </c>
      <c r="R335">
        <f t="shared" si="27"/>
        <v>475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Data'!B361</f>
        <v>0</v>
      </c>
      <c r="Q336">
        <f t="shared" si="26"/>
        <v>0</v>
      </c>
      <c r="R336">
        <f t="shared" si="27"/>
        <v>475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Data'!B362</f>
        <v>0</v>
      </c>
      <c r="Q337">
        <f t="shared" si="26"/>
        <v>0</v>
      </c>
      <c r="R337">
        <f t="shared" si="27"/>
        <v>475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Data'!B363</f>
        <v>0</v>
      </c>
      <c r="Q338">
        <f t="shared" ref="Q338:Q401" si="31">IF($P338="","",COUNTIF($A$3:$A$500,$P338))</f>
        <v>0</v>
      </c>
      <c r="R338">
        <f t="shared" ref="R338:R401" si="32">IF($P338="","",SUMPRODUCT(($A$3:$A$500=$P338)*($G$3:$G$500&lt;&gt;"Yes")*($G$3:$G$500&lt;&gt;"Did not pass re-test")))</f>
        <v>475</v>
      </c>
      <c r="S338" s="28">
        <f t="shared" ref="S338:S401" si="33">IF($P338="","",IF(SUMPRODUCT(MAX(($A$3:$A$500=$P338)*ROW($A$3:$A$500)))=0,"",INDEX($B:$B,SUMPRODUCT(MAX(($A$3:$A$500=$P338)*ROW($A$3:$A$500))))))</f>
        <v>0</v>
      </c>
      <c r="T338" t="str">
        <f t="shared" ref="T338:T401" si="34"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Data'!B364</f>
        <v>0</v>
      </c>
      <c r="Q339">
        <f t="shared" si="31"/>
        <v>0</v>
      </c>
      <c r="R339">
        <f t="shared" si="32"/>
        <v>475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Data'!B365</f>
        <v>0</v>
      </c>
      <c r="Q340">
        <f t="shared" si="31"/>
        <v>0</v>
      </c>
      <c r="R340">
        <f t="shared" si="32"/>
        <v>475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Data'!B366</f>
        <v>0</v>
      </c>
      <c r="Q341">
        <f t="shared" si="31"/>
        <v>0</v>
      </c>
      <c r="R341">
        <f t="shared" si="32"/>
        <v>475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Data'!B367</f>
        <v>0</v>
      </c>
      <c r="Q342">
        <f t="shared" si="31"/>
        <v>0</v>
      </c>
      <c r="R342">
        <f t="shared" si="32"/>
        <v>475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Data'!B368</f>
        <v>0</v>
      </c>
      <c r="Q343">
        <f t="shared" si="31"/>
        <v>0</v>
      </c>
      <c r="R343">
        <f t="shared" si="32"/>
        <v>475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Data'!B369</f>
        <v>0</v>
      </c>
      <c r="Q344">
        <f t="shared" si="31"/>
        <v>0</v>
      </c>
      <c r="R344">
        <f t="shared" si="32"/>
        <v>475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Data'!B370</f>
        <v>0</v>
      </c>
      <c r="Q345">
        <f t="shared" si="31"/>
        <v>0</v>
      </c>
      <c r="R345">
        <f t="shared" si="32"/>
        <v>475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Data'!B371</f>
        <v>0</v>
      </c>
      <c r="Q346">
        <f t="shared" si="31"/>
        <v>0</v>
      </c>
      <c r="R346">
        <f t="shared" si="32"/>
        <v>475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Data'!B372</f>
        <v>0</v>
      </c>
      <c r="Q347">
        <f t="shared" si="31"/>
        <v>0</v>
      </c>
      <c r="R347">
        <f t="shared" si="32"/>
        <v>475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Data'!B373</f>
        <v>0</v>
      </c>
      <c r="Q348">
        <f t="shared" si="31"/>
        <v>0</v>
      </c>
      <c r="R348">
        <f t="shared" si="32"/>
        <v>475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Data'!B374</f>
        <v>0</v>
      </c>
      <c r="Q349">
        <f t="shared" si="31"/>
        <v>0</v>
      </c>
      <c r="R349">
        <f t="shared" si="32"/>
        <v>475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Data'!B375</f>
        <v>0</v>
      </c>
      <c r="Q350">
        <f t="shared" si="31"/>
        <v>0</v>
      </c>
      <c r="R350">
        <f t="shared" si="32"/>
        <v>475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Data'!B376</f>
        <v>0</v>
      </c>
      <c r="Q351">
        <f t="shared" si="31"/>
        <v>0</v>
      </c>
      <c r="R351">
        <f t="shared" si="32"/>
        <v>475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Data'!B377</f>
        <v>0</v>
      </c>
      <c r="Q352">
        <f t="shared" si="31"/>
        <v>0</v>
      </c>
      <c r="R352">
        <f t="shared" si="32"/>
        <v>475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Data'!B378</f>
        <v>0</v>
      </c>
      <c r="Q353">
        <f t="shared" si="31"/>
        <v>0</v>
      </c>
      <c r="R353">
        <f t="shared" si="32"/>
        <v>475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Data'!B379</f>
        <v>0</v>
      </c>
      <c r="Q354">
        <f t="shared" si="31"/>
        <v>0</v>
      </c>
      <c r="R354">
        <f t="shared" si="32"/>
        <v>475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Data'!B380</f>
        <v>0</v>
      </c>
      <c r="Q355">
        <f t="shared" si="31"/>
        <v>0</v>
      </c>
      <c r="R355">
        <f t="shared" si="32"/>
        <v>475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Data'!B381</f>
        <v>0</v>
      </c>
      <c r="Q356">
        <f t="shared" si="31"/>
        <v>0</v>
      </c>
      <c r="R356">
        <f t="shared" si="32"/>
        <v>475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Data'!B382</f>
        <v>0</v>
      </c>
      <c r="Q357">
        <f t="shared" si="31"/>
        <v>0</v>
      </c>
      <c r="R357">
        <f t="shared" si="32"/>
        <v>475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Data'!B383</f>
        <v>0</v>
      </c>
      <c r="Q358">
        <f t="shared" si="31"/>
        <v>0</v>
      </c>
      <c r="R358">
        <f t="shared" si="32"/>
        <v>475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Data'!B384</f>
        <v>0</v>
      </c>
      <c r="Q359">
        <f t="shared" si="31"/>
        <v>0</v>
      </c>
      <c r="R359">
        <f t="shared" si="32"/>
        <v>475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Data'!B385</f>
        <v>0</v>
      </c>
      <c r="Q360">
        <f t="shared" si="31"/>
        <v>0</v>
      </c>
      <c r="R360">
        <f t="shared" si="32"/>
        <v>475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Data'!B386</f>
        <v>0</v>
      </c>
      <c r="Q361">
        <f t="shared" si="31"/>
        <v>0</v>
      </c>
      <c r="R361">
        <f t="shared" si="32"/>
        <v>475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Data'!B387</f>
        <v>0</v>
      </c>
      <c r="Q362">
        <f t="shared" si="31"/>
        <v>0</v>
      </c>
      <c r="R362">
        <f t="shared" si="32"/>
        <v>475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Data'!B388</f>
        <v>0</v>
      </c>
      <c r="Q363">
        <f t="shared" si="31"/>
        <v>0</v>
      </c>
      <c r="R363">
        <f t="shared" si="32"/>
        <v>475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Data'!B389</f>
        <v>0</v>
      </c>
      <c r="Q364">
        <f t="shared" si="31"/>
        <v>0</v>
      </c>
      <c r="R364">
        <f t="shared" si="32"/>
        <v>475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Data'!B390</f>
        <v>0</v>
      </c>
      <c r="Q365">
        <f t="shared" si="31"/>
        <v>0</v>
      </c>
      <c r="R365">
        <f t="shared" si="32"/>
        <v>475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Data'!B391</f>
        <v>0</v>
      </c>
      <c r="Q366">
        <f t="shared" si="31"/>
        <v>0</v>
      </c>
      <c r="R366">
        <f t="shared" si="32"/>
        <v>475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Data'!B392</f>
        <v>0</v>
      </c>
      <c r="Q367">
        <f t="shared" si="31"/>
        <v>0</v>
      </c>
      <c r="R367">
        <f t="shared" si="32"/>
        <v>475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Data'!B393</f>
        <v>0</v>
      </c>
      <c r="Q368">
        <f t="shared" si="31"/>
        <v>0</v>
      </c>
      <c r="R368">
        <f t="shared" si="32"/>
        <v>475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Data'!B394</f>
        <v>0</v>
      </c>
      <c r="Q369">
        <f t="shared" si="31"/>
        <v>0</v>
      </c>
      <c r="R369">
        <f t="shared" si="32"/>
        <v>475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Data'!B395</f>
        <v>0</v>
      </c>
      <c r="Q370">
        <f t="shared" si="31"/>
        <v>0</v>
      </c>
      <c r="R370">
        <f t="shared" si="32"/>
        <v>475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Data'!B396</f>
        <v>0</v>
      </c>
      <c r="Q371">
        <f t="shared" si="31"/>
        <v>0</v>
      </c>
      <c r="R371">
        <f t="shared" si="32"/>
        <v>475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Data'!B397</f>
        <v>0</v>
      </c>
      <c r="Q372">
        <f t="shared" si="31"/>
        <v>0</v>
      </c>
      <c r="R372">
        <f t="shared" si="32"/>
        <v>475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Data'!B398</f>
        <v>0</v>
      </c>
      <c r="Q373">
        <f t="shared" si="31"/>
        <v>0</v>
      </c>
      <c r="R373">
        <f t="shared" si="32"/>
        <v>475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Data'!B399</f>
        <v>0</v>
      </c>
      <c r="Q374">
        <f t="shared" si="31"/>
        <v>0</v>
      </c>
      <c r="R374">
        <f t="shared" si="32"/>
        <v>475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Data'!B400</f>
        <v>0</v>
      </c>
      <c r="Q375">
        <f t="shared" si="31"/>
        <v>0</v>
      </c>
      <c r="R375">
        <f t="shared" si="32"/>
        <v>475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Data'!B401</f>
        <v>0</v>
      </c>
      <c r="Q376">
        <f t="shared" si="31"/>
        <v>0</v>
      </c>
      <c r="R376">
        <f t="shared" si="32"/>
        <v>475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Data'!B402</f>
        <v>0</v>
      </c>
      <c r="Q377">
        <f t="shared" si="31"/>
        <v>0</v>
      </c>
      <c r="R377">
        <f t="shared" si="32"/>
        <v>475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Data'!B403</f>
        <v>0</v>
      </c>
      <c r="Q378">
        <f t="shared" si="31"/>
        <v>0</v>
      </c>
      <c r="R378">
        <f t="shared" si="32"/>
        <v>475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Data'!B404</f>
        <v>0</v>
      </c>
      <c r="Q379">
        <f t="shared" si="31"/>
        <v>0</v>
      </c>
      <c r="R379">
        <f t="shared" si="32"/>
        <v>475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Data'!B405</f>
        <v>0</v>
      </c>
      <c r="Q380">
        <f t="shared" si="31"/>
        <v>0</v>
      </c>
      <c r="R380">
        <f t="shared" si="32"/>
        <v>475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Data'!B406</f>
        <v>0</v>
      </c>
      <c r="Q381">
        <f t="shared" si="31"/>
        <v>0</v>
      </c>
      <c r="R381">
        <f t="shared" si="32"/>
        <v>475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Data'!B407</f>
        <v>0</v>
      </c>
      <c r="Q382">
        <f t="shared" si="31"/>
        <v>0</v>
      </c>
      <c r="R382">
        <f t="shared" si="32"/>
        <v>475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Data'!B408</f>
        <v>0</v>
      </c>
      <c r="Q383">
        <f t="shared" si="31"/>
        <v>0</v>
      </c>
      <c r="R383">
        <f t="shared" si="32"/>
        <v>475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Data'!B409</f>
        <v>0</v>
      </c>
      <c r="Q384">
        <f t="shared" si="31"/>
        <v>0</v>
      </c>
      <c r="R384">
        <f t="shared" si="32"/>
        <v>475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Data'!B410</f>
        <v>0</v>
      </c>
      <c r="Q385">
        <f t="shared" si="31"/>
        <v>0</v>
      </c>
      <c r="R385">
        <f t="shared" si="32"/>
        <v>475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30"/>
        <v/>
      </c>
      <c r="P386">
        <f>'Combined Delivery Data'!B411</f>
        <v>0</v>
      </c>
      <c r="Q386">
        <f t="shared" si="31"/>
        <v>0</v>
      </c>
      <c r="R386">
        <f t="shared" si="32"/>
        <v>475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5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si="31"/>
        <v>0</v>
      </c>
      <c r="R387">
        <f t="shared" si="32"/>
        <v>475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Data'!B413</f>
        <v>0</v>
      </c>
      <c r="Q388">
        <f t="shared" si="31"/>
        <v>0</v>
      </c>
      <c r="R388">
        <f t="shared" si="32"/>
        <v>475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Data'!B414</f>
        <v>0</v>
      </c>
      <c r="Q389">
        <f t="shared" si="31"/>
        <v>0</v>
      </c>
      <c r="R389">
        <f t="shared" si="32"/>
        <v>475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Data'!B415</f>
        <v>0</v>
      </c>
      <c r="Q390">
        <f t="shared" si="31"/>
        <v>0</v>
      </c>
      <c r="R390">
        <f t="shared" si="32"/>
        <v>475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Data'!B416</f>
        <v>0</v>
      </c>
      <c r="Q391">
        <f t="shared" si="31"/>
        <v>0</v>
      </c>
      <c r="R391">
        <f t="shared" si="32"/>
        <v>475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Data'!B417</f>
        <v>0</v>
      </c>
      <c r="Q392">
        <f t="shared" si="31"/>
        <v>0</v>
      </c>
      <c r="R392">
        <f t="shared" si="32"/>
        <v>475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Data'!B418</f>
        <v>0</v>
      </c>
      <c r="Q393">
        <f t="shared" si="31"/>
        <v>0</v>
      </c>
      <c r="R393">
        <f t="shared" si="32"/>
        <v>475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Data'!B419</f>
        <v>0</v>
      </c>
      <c r="Q394">
        <f t="shared" si="31"/>
        <v>0</v>
      </c>
      <c r="R394">
        <f t="shared" si="32"/>
        <v>475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Data'!B420</f>
        <v>0</v>
      </c>
      <c r="Q395">
        <f t="shared" si="31"/>
        <v>0</v>
      </c>
      <c r="R395">
        <f t="shared" si="32"/>
        <v>475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Data'!B421</f>
        <v>0</v>
      </c>
      <c r="Q396">
        <f t="shared" si="31"/>
        <v>0</v>
      </c>
      <c r="R396">
        <f t="shared" si="32"/>
        <v>475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Data'!B422</f>
        <v>0</v>
      </c>
      <c r="Q397">
        <f t="shared" si="31"/>
        <v>0</v>
      </c>
      <c r="R397">
        <f t="shared" si="32"/>
        <v>475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Data'!B423</f>
        <v>0</v>
      </c>
      <c r="Q398">
        <f t="shared" si="31"/>
        <v>0</v>
      </c>
      <c r="R398">
        <f t="shared" si="32"/>
        <v>475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Data'!B424</f>
        <v>0</v>
      </c>
      <c r="Q399">
        <f t="shared" si="31"/>
        <v>0</v>
      </c>
      <c r="R399">
        <f t="shared" si="32"/>
        <v>475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Data'!B425</f>
        <v>0</v>
      </c>
      <c r="Q400">
        <f t="shared" si="31"/>
        <v>0</v>
      </c>
      <c r="R400">
        <f t="shared" si="32"/>
        <v>475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Data'!B426</f>
        <v>0</v>
      </c>
      <c r="Q401">
        <f t="shared" si="31"/>
        <v>0</v>
      </c>
      <c r="R401">
        <f t="shared" si="32"/>
        <v>475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Data'!B427</f>
        <v>0</v>
      </c>
      <c r="Q402">
        <f t="shared" ref="Q402:Q465" si="36">IF($P402="","",COUNTIF($A$3:$A$500,$P402))</f>
        <v>0</v>
      </c>
      <c r="R402">
        <f t="shared" ref="R402:R465" si="37">IF($P402="","",SUMPRODUCT(($A$3:$A$500=$P402)*($G$3:$G$500&lt;&gt;"Yes")*($G$3:$G$500&lt;&gt;"Did not pass re-test")))</f>
        <v>475</v>
      </c>
      <c r="S402" s="28">
        <f t="shared" ref="S402:S465" si="38">IF($P402="","",IF(SUMPRODUCT(MAX(($A$3:$A$500=$P402)*ROW($A$3:$A$500)))=0,"",INDEX($B:$B,SUMPRODUCT(MAX(($A$3:$A$500=$P402)*ROW($A$3:$A$500))))))</f>
        <v>0</v>
      </c>
      <c r="T402" t="str">
        <f t="shared" ref="T402:T465" si="39"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Data'!B428</f>
        <v>0</v>
      </c>
      <c r="Q403">
        <f t="shared" si="36"/>
        <v>0</v>
      </c>
      <c r="R403">
        <f t="shared" si="37"/>
        <v>475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Data'!B429</f>
        <v>0</v>
      </c>
      <c r="Q404">
        <f t="shared" si="36"/>
        <v>0</v>
      </c>
      <c r="R404">
        <f t="shared" si="37"/>
        <v>475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Data'!B430</f>
        <v>0</v>
      </c>
      <c r="Q405">
        <f t="shared" si="36"/>
        <v>0</v>
      </c>
      <c r="R405">
        <f t="shared" si="37"/>
        <v>475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Data'!B431</f>
        <v>0</v>
      </c>
      <c r="Q406">
        <f t="shared" si="36"/>
        <v>0</v>
      </c>
      <c r="R406">
        <f t="shared" si="37"/>
        <v>475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Data'!B432</f>
        <v>0</v>
      </c>
      <c r="Q407">
        <f t="shared" si="36"/>
        <v>0</v>
      </c>
      <c r="R407">
        <f t="shared" si="37"/>
        <v>475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Data'!B433</f>
        <v>0</v>
      </c>
      <c r="Q408">
        <f t="shared" si="36"/>
        <v>0</v>
      </c>
      <c r="R408">
        <f t="shared" si="37"/>
        <v>475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Data'!B434</f>
        <v>0</v>
      </c>
      <c r="Q409">
        <f t="shared" si="36"/>
        <v>0</v>
      </c>
      <c r="R409">
        <f t="shared" si="37"/>
        <v>475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Data'!B435</f>
        <v>0</v>
      </c>
      <c r="Q410">
        <f t="shared" si="36"/>
        <v>0</v>
      </c>
      <c r="R410">
        <f t="shared" si="37"/>
        <v>475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Data'!B436</f>
        <v>0</v>
      </c>
      <c r="Q411">
        <f t="shared" si="36"/>
        <v>0</v>
      </c>
      <c r="R411">
        <f t="shared" si="37"/>
        <v>475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Data'!B437</f>
        <v>0</v>
      </c>
      <c r="Q412">
        <f t="shared" si="36"/>
        <v>0</v>
      </c>
      <c r="R412">
        <f t="shared" si="37"/>
        <v>475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Data'!B438</f>
        <v>0</v>
      </c>
      <c r="Q413">
        <f t="shared" si="36"/>
        <v>0</v>
      </c>
      <c r="R413">
        <f t="shared" si="37"/>
        <v>475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Data'!B439</f>
        <v>0</v>
      </c>
      <c r="Q414">
        <f t="shared" si="36"/>
        <v>0</v>
      </c>
      <c r="R414">
        <f t="shared" si="37"/>
        <v>475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Data'!B440</f>
        <v>0</v>
      </c>
      <c r="Q415">
        <f t="shared" si="36"/>
        <v>0</v>
      </c>
      <c r="R415">
        <f t="shared" si="37"/>
        <v>475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Data'!B441</f>
        <v>0</v>
      </c>
      <c r="Q416">
        <f t="shared" si="36"/>
        <v>0</v>
      </c>
      <c r="R416">
        <f t="shared" si="37"/>
        <v>475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Data'!B442</f>
        <v>0</v>
      </c>
      <c r="Q417">
        <f t="shared" si="36"/>
        <v>0</v>
      </c>
      <c r="R417">
        <f t="shared" si="37"/>
        <v>475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Data'!B443</f>
        <v>0</v>
      </c>
      <c r="Q418">
        <f t="shared" si="36"/>
        <v>0</v>
      </c>
      <c r="R418">
        <f t="shared" si="37"/>
        <v>475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Data'!B444</f>
        <v>0</v>
      </c>
      <c r="Q419">
        <f t="shared" si="36"/>
        <v>0</v>
      </c>
      <c r="R419">
        <f t="shared" si="37"/>
        <v>475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Data'!B445</f>
        <v>0</v>
      </c>
      <c r="Q420">
        <f t="shared" si="36"/>
        <v>0</v>
      </c>
      <c r="R420">
        <f t="shared" si="37"/>
        <v>475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Data'!B446</f>
        <v>0</v>
      </c>
      <c r="Q421">
        <f t="shared" si="36"/>
        <v>0</v>
      </c>
      <c r="R421">
        <f t="shared" si="37"/>
        <v>475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Data'!B447</f>
        <v>0</v>
      </c>
      <c r="Q422">
        <f t="shared" si="36"/>
        <v>0</v>
      </c>
      <c r="R422">
        <f t="shared" si="37"/>
        <v>475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Data'!B448</f>
        <v>0</v>
      </c>
      <c r="Q423">
        <f t="shared" si="36"/>
        <v>0</v>
      </c>
      <c r="R423">
        <f t="shared" si="37"/>
        <v>475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Data'!B449</f>
        <v>0</v>
      </c>
      <c r="Q424">
        <f t="shared" si="36"/>
        <v>0</v>
      </c>
      <c r="R424">
        <f t="shared" si="37"/>
        <v>475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Data'!B450</f>
        <v>0</v>
      </c>
      <c r="Q425">
        <f t="shared" si="36"/>
        <v>0</v>
      </c>
      <c r="R425">
        <f t="shared" si="37"/>
        <v>475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Data'!B451</f>
        <v>0</v>
      </c>
      <c r="Q426">
        <f t="shared" si="36"/>
        <v>0</v>
      </c>
      <c r="R426">
        <f t="shared" si="37"/>
        <v>475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Data'!B452</f>
        <v>0</v>
      </c>
      <c r="Q427">
        <f t="shared" si="36"/>
        <v>0</v>
      </c>
      <c r="R427">
        <f t="shared" si="37"/>
        <v>475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Data'!B453</f>
        <v>0</v>
      </c>
      <c r="Q428">
        <f t="shared" si="36"/>
        <v>0</v>
      </c>
      <c r="R428">
        <f t="shared" si="37"/>
        <v>475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Data'!B454</f>
        <v>0</v>
      </c>
      <c r="Q429">
        <f t="shared" si="36"/>
        <v>0</v>
      </c>
      <c r="R429">
        <f t="shared" si="37"/>
        <v>475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Data'!B455</f>
        <v>0</v>
      </c>
      <c r="Q430">
        <f t="shared" si="36"/>
        <v>0</v>
      </c>
      <c r="R430">
        <f t="shared" si="37"/>
        <v>475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Data'!B456</f>
        <v>0</v>
      </c>
      <c r="Q431">
        <f t="shared" si="36"/>
        <v>0</v>
      </c>
      <c r="R431">
        <f t="shared" si="37"/>
        <v>475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Data'!B457</f>
        <v>0</v>
      </c>
      <c r="Q432">
        <f t="shared" si="36"/>
        <v>0</v>
      </c>
      <c r="R432">
        <f t="shared" si="37"/>
        <v>475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Data'!B458</f>
        <v>0</v>
      </c>
      <c r="Q433">
        <f t="shared" si="36"/>
        <v>0</v>
      </c>
      <c r="R433">
        <f t="shared" si="37"/>
        <v>475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Data'!B459</f>
        <v>0</v>
      </c>
      <c r="Q434">
        <f t="shared" si="36"/>
        <v>0</v>
      </c>
      <c r="R434">
        <f t="shared" si="37"/>
        <v>475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Data'!B460</f>
        <v>0</v>
      </c>
      <c r="Q435">
        <f t="shared" si="36"/>
        <v>0</v>
      </c>
      <c r="R435">
        <f t="shared" si="37"/>
        <v>475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Data'!B461</f>
        <v>0</v>
      </c>
      <c r="Q436">
        <f t="shared" si="36"/>
        <v>0</v>
      </c>
      <c r="R436">
        <f t="shared" si="37"/>
        <v>475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Data'!B462</f>
        <v>0</v>
      </c>
      <c r="Q437">
        <f t="shared" si="36"/>
        <v>0</v>
      </c>
      <c r="R437">
        <f t="shared" si="37"/>
        <v>475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Data'!B463</f>
        <v>0</v>
      </c>
      <c r="Q438">
        <f t="shared" si="36"/>
        <v>0</v>
      </c>
      <c r="R438">
        <f t="shared" si="37"/>
        <v>475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Data'!B464</f>
        <v>0</v>
      </c>
      <c r="Q439">
        <f t="shared" si="36"/>
        <v>0</v>
      </c>
      <c r="R439">
        <f t="shared" si="37"/>
        <v>475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Data'!B465</f>
        <v>0</v>
      </c>
      <c r="Q440">
        <f t="shared" si="36"/>
        <v>0</v>
      </c>
      <c r="R440">
        <f t="shared" si="37"/>
        <v>475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Data'!B466</f>
        <v>0</v>
      </c>
      <c r="Q441">
        <f t="shared" si="36"/>
        <v>0</v>
      </c>
      <c r="R441">
        <f t="shared" si="37"/>
        <v>475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Data'!B467</f>
        <v>0</v>
      </c>
      <c r="Q442">
        <f t="shared" si="36"/>
        <v>0</v>
      </c>
      <c r="R442">
        <f t="shared" si="37"/>
        <v>475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Data'!B468</f>
        <v>0</v>
      </c>
      <c r="Q443">
        <f t="shared" si="36"/>
        <v>0</v>
      </c>
      <c r="R443">
        <f t="shared" si="37"/>
        <v>475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Data'!B469</f>
        <v>0</v>
      </c>
      <c r="Q444">
        <f t="shared" si="36"/>
        <v>0</v>
      </c>
      <c r="R444">
        <f t="shared" si="37"/>
        <v>475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Data'!B470</f>
        <v>0</v>
      </c>
      <c r="Q445">
        <f t="shared" si="36"/>
        <v>0</v>
      </c>
      <c r="R445">
        <f t="shared" si="37"/>
        <v>475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Data'!B471</f>
        <v>0</v>
      </c>
      <c r="Q446">
        <f t="shared" si="36"/>
        <v>0</v>
      </c>
      <c r="R446">
        <f t="shared" si="37"/>
        <v>475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Data'!B472</f>
        <v>0</v>
      </c>
      <c r="Q447">
        <f t="shared" si="36"/>
        <v>0</v>
      </c>
      <c r="R447">
        <f t="shared" si="37"/>
        <v>475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Data'!B473</f>
        <v>0</v>
      </c>
      <c r="Q448">
        <f t="shared" si="36"/>
        <v>0</v>
      </c>
      <c r="R448">
        <f t="shared" si="37"/>
        <v>475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Data'!B474</f>
        <v>0</v>
      </c>
      <c r="Q449">
        <f t="shared" si="36"/>
        <v>0</v>
      </c>
      <c r="R449">
        <f t="shared" si="37"/>
        <v>475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5"/>
        <v/>
      </c>
      <c r="P450">
        <f>'Combined Delivery Data'!B475</f>
        <v>0</v>
      </c>
      <c r="Q450">
        <f t="shared" si="36"/>
        <v>0</v>
      </c>
      <c r="R450">
        <f t="shared" si="37"/>
        <v>475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40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si="36"/>
        <v>0</v>
      </c>
      <c r="R451">
        <f t="shared" si="37"/>
        <v>475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Data'!B477</f>
        <v>0</v>
      </c>
      <c r="Q452">
        <f t="shared" si="36"/>
        <v>0</v>
      </c>
      <c r="R452">
        <f t="shared" si="37"/>
        <v>475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Data'!B478</f>
        <v>0</v>
      </c>
      <c r="Q453">
        <f t="shared" si="36"/>
        <v>0</v>
      </c>
      <c r="R453">
        <f t="shared" si="37"/>
        <v>475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Data'!B479</f>
        <v>0</v>
      </c>
      <c r="Q454">
        <f t="shared" si="36"/>
        <v>0</v>
      </c>
      <c r="R454">
        <f t="shared" si="37"/>
        <v>475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Data'!B480</f>
        <v>0</v>
      </c>
      <c r="Q455">
        <f t="shared" si="36"/>
        <v>0</v>
      </c>
      <c r="R455">
        <f t="shared" si="37"/>
        <v>475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Data'!B481</f>
        <v>0</v>
      </c>
      <c r="Q456">
        <f t="shared" si="36"/>
        <v>0</v>
      </c>
      <c r="R456">
        <f t="shared" si="37"/>
        <v>475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Data'!B482</f>
        <v>0</v>
      </c>
      <c r="Q457">
        <f t="shared" si="36"/>
        <v>0</v>
      </c>
      <c r="R457">
        <f t="shared" si="37"/>
        <v>475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Data'!B483</f>
        <v>0</v>
      </c>
      <c r="Q458">
        <f t="shared" si="36"/>
        <v>0</v>
      </c>
      <c r="R458">
        <f t="shared" si="37"/>
        <v>475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Data'!B484</f>
        <v>0</v>
      </c>
      <c r="Q459">
        <f t="shared" si="36"/>
        <v>0</v>
      </c>
      <c r="R459">
        <f t="shared" si="37"/>
        <v>475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Data'!B485</f>
        <v>0</v>
      </c>
      <c r="Q460">
        <f t="shared" si="36"/>
        <v>0</v>
      </c>
      <c r="R460">
        <f t="shared" si="37"/>
        <v>475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Data'!B486</f>
        <v>0</v>
      </c>
      <c r="Q461">
        <f t="shared" si="36"/>
        <v>0</v>
      </c>
      <c r="R461">
        <f t="shared" si="37"/>
        <v>475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Data'!B487</f>
        <v>0</v>
      </c>
      <c r="Q462">
        <f t="shared" si="36"/>
        <v>0</v>
      </c>
      <c r="R462">
        <f t="shared" si="37"/>
        <v>475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Data'!B488</f>
        <v>0</v>
      </c>
      <c r="Q463">
        <f t="shared" si="36"/>
        <v>0</v>
      </c>
      <c r="R463">
        <f t="shared" si="37"/>
        <v>475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Data'!B489</f>
        <v>0</v>
      </c>
      <c r="Q464">
        <f t="shared" si="36"/>
        <v>0</v>
      </c>
      <c r="R464">
        <f t="shared" si="37"/>
        <v>475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Data'!B490</f>
        <v>0</v>
      </c>
      <c r="Q465">
        <f t="shared" si="36"/>
        <v>0</v>
      </c>
      <c r="R465">
        <f t="shared" si="37"/>
        <v>475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Data'!B491</f>
        <v>0</v>
      </c>
      <c r="Q466">
        <f t="shared" ref="Q466:Q500" si="41">IF($P466="","",COUNTIF($A$3:$A$500,$P466))</f>
        <v>0</v>
      </c>
      <c r="R466">
        <f t="shared" ref="R466:R500" si="42">IF($P466="","",SUMPRODUCT(($A$3:$A$500=$P466)*($G$3:$G$500&lt;&gt;"Yes")*($G$3:$G$500&lt;&gt;"Did not pass re-test")))</f>
        <v>475</v>
      </c>
      <c r="S466" s="28">
        <f t="shared" ref="S466:S500" si="43">IF($P466="","",IF(SUMPRODUCT(MAX(($A$3:$A$500=$P466)*ROW($A$3:$A$500)))=0,"",INDEX($B:$B,SUMPRODUCT(MAX(($A$3:$A$500=$P466)*ROW($A$3:$A$500))))))</f>
        <v>0</v>
      </c>
      <c r="T466" t="str">
        <f t="shared" ref="T466:T500" si="44"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Data'!B492</f>
        <v>0</v>
      </c>
      <c r="Q467">
        <f t="shared" si="41"/>
        <v>0</v>
      </c>
      <c r="R467">
        <f t="shared" si="42"/>
        <v>475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Data'!B493</f>
        <v>0</v>
      </c>
      <c r="Q468">
        <f t="shared" si="41"/>
        <v>0</v>
      </c>
      <c r="R468">
        <f t="shared" si="42"/>
        <v>475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Data'!B494</f>
        <v>0</v>
      </c>
      <c r="Q469">
        <f t="shared" si="41"/>
        <v>0</v>
      </c>
      <c r="R469">
        <f t="shared" si="42"/>
        <v>475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Data'!B495</f>
        <v>0</v>
      </c>
      <c r="Q470">
        <f t="shared" si="41"/>
        <v>0</v>
      </c>
      <c r="R470">
        <f t="shared" si="42"/>
        <v>475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Data'!B496</f>
        <v>0</v>
      </c>
      <c r="Q471">
        <f t="shared" si="41"/>
        <v>0</v>
      </c>
      <c r="R471">
        <f t="shared" si="42"/>
        <v>475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Data'!B497</f>
        <v>0</v>
      </c>
      <c r="Q472">
        <f t="shared" si="41"/>
        <v>0</v>
      </c>
      <c r="R472">
        <f t="shared" si="42"/>
        <v>475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Data'!B498</f>
        <v>0</v>
      </c>
      <c r="Q473">
        <f t="shared" si="41"/>
        <v>0</v>
      </c>
      <c r="R473">
        <f t="shared" si="42"/>
        <v>475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Data'!B499</f>
        <v>0</v>
      </c>
      <c r="Q474">
        <f t="shared" si="41"/>
        <v>0</v>
      </c>
      <c r="R474">
        <f t="shared" si="42"/>
        <v>475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Data'!B500</f>
        <v>0</v>
      </c>
      <c r="Q475">
        <f t="shared" si="41"/>
        <v>0</v>
      </c>
      <c r="R475">
        <f t="shared" si="42"/>
        <v>475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Data'!B501</f>
        <v>0</v>
      </c>
      <c r="Q476">
        <f t="shared" si="41"/>
        <v>0</v>
      </c>
      <c r="R476">
        <f t="shared" si="42"/>
        <v>475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Data'!B502</f>
        <v>0</v>
      </c>
      <c r="Q477">
        <f t="shared" si="41"/>
        <v>0</v>
      </c>
      <c r="R477">
        <f t="shared" si="42"/>
        <v>475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Data'!B503</f>
        <v>0</v>
      </c>
      <c r="Q478">
        <f t="shared" si="41"/>
        <v>0</v>
      </c>
      <c r="R478">
        <f t="shared" si="42"/>
        <v>475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Data'!B504</f>
        <v>0</v>
      </c>
      <c r="Q479">
        <f t="shared" si="41"/>
        <v>0</v>
      </c>
      <c r="R479">
        <f t="shared" si="42"/>
        <v>475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Data'!B505</f>
        <v>0</v>
      </c>
      <c r="Q480">
        <f t="shared" si="41"/>
        <v>0</v>
      </c>
      <c r="R480">
        <f t="shared" si="42"/>
        <v>475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Data'!B506</f>
        <v>0</v>
      </c>
      <c r="Q481">
        <f t="shared" si="41"/>
        <v>0</v>
      </c>
      <c r="R481">
        <f t="shared" si="42"/>
        <v>475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Data'!B507</f>
        <v>0</v>
      </c>
      <c r="Q482">
        <f t="shared" si="41"/>
        <v>0</v>
      </c>
      <c r="R482">
        <f t="shared" si="42"/>
        <v>475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Data'!B508</f>
        <v>0</v>
      </c>
      <c r="Q483">
        <f t="shared" si="41"/>
        <v>0</v>
      </c>
      <c r="R483">
        <f t="shared" si="42"/>
        <v>475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Data'!B509</f>
        <v>0</v>
      </c>
      <c r="Q484">
        <f t="shared" si="41"/>
        <v>0</v>
      </c>
      <c r="R484">
        <f t="shared" si="42"/>
        <v>475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Data'!B510</f>
        <v>0</v>
      </c>
      <c r="Q485">
        <f t="shared" si="41"/>
        <v>0</v>
      </c>
      <c r="R485">
        <f t="shared" si="42"/>
        <v>475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Data'!B511</f>
        <v>0</v>
      </c>
      <c r="Q486">
        <f t="shared" si="41"/>
        <v>0</v>
      </c>
      <c r="R486">
        <f t="shared" si="42"/>
        <v>475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Data'!B512</f>
        <v>0</v>
      </c>
      <c r="Q487">
        <f t="shared" si="41"/>
        <v>0</v>
      </c>
      <c r="R487">
        <f t="shared" si="42"/>
        <v>475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Data'!B513</f>
        <v>0</v>
      </c>
      <c r="Q488">
        <f t="shared" si="41"/>
        <v>0</v>
      </c>
      <c r="R488">
        <f t="shared" si="42"/>
        <v>475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Data'!B514</f>
        <v>0</v>
      </c>
      <c r="Q489">
        <f t="shared" si="41"/>
        <v>0</v>
      </c>
      <c r="R489">
        <f t="shared" si="42"/>
        <v>475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Data'!B515</f>
        <v>0</v>
      </c>
      <c r="Q490">
        <f t="shared" si="41"/>
        <v>0</v>
      </c>
      <c r="R490">
        <f t="shared" si="42"/>
        <v>475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Data'!B516</f>
        <v>0</v>
      </c>
      <c r="Q491">
        <f t="shared" si="41"/>
        <v>0</v>
      </c>
      <c r="R491">
        <f t="shared" si="42"/>
        <v>475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Data'!B517</f>
        <v>0</v>
      </c>
      <c r="Q492">
        <f t="shared" si="41"/>
        <v>0</v>
      </c>
      <c r="R492">
        <f t="shared" si="42"/>
        <v>475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Data'!B518</f>
        <v>0</v>
      </c>
      <c r="Q493">
        <f t="shared" si="41"/>
        <v>0</v>
      </c>
      <c r="R493">
        <f t="shared" si="42"/>
        <v>475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Data'!B519</f>
        <v>0</v>
      </c>
      <c r="Q494">
        <f t="shared" si="41"/>
        <v>0</v>
      </c>
      <c r="R494">
        <f t="shared" si="42"/>
        <v>475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Data'!B520</f>
        <v>0</v>
      </c>
      <c r="Q495">
        <f t="shared" si="41"/>
        <v>0</v>
      </c>
      <c r="R495">
        <f t="shared" si="42"/>
        <v>475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Data'!B521</f>
        <v>0</v>
      </c>
      <c r="Q496">
        <f t="shared" si="41"/>
        <v>0</v>
      </c>
      <c r="R496">
        <f t="shared" si="42"/>
        <v>475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Data'!B522</f>
        <v>0</v>
      </c>
      <c r="Q497">
        <f t="shared" si="41"/>
        <v>0</v>
      </c>
      <c r="R497">
        <f t="shared" si="42"/>
        <v>475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Data'!B523</f>
        <v>0</v>
      </c>
      <c r="Q498">
        <f t="shared" si="41"/>
        <v>0</v>
      </c>
      <c r="R498">
        <f t="shared" si="42"/>
        <v>475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Data'!B524</f>
        <v>0</v>
      </c>
      <c r="Q499">
        <f t="shared" si="41"/>
        <v>0</v>
      </c>
      <c r="R499">
        <f t="shared" si="42"/>
        <v>475</v>
      </c>
      <c r="S499" s="28">
        <f t="shared" si="43"/>
        <v>0</v>
      </c>
      <c r="T499" t="str">
        <f t="shared" si="44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40"/>
        <v/>
      </c>
      <c r="P500">
        <f>'Combined Delivery Data'!B525</f>
        <v>0</v>
      </c>
      <c r="Q500">
        <f t="shared" si="41"/>
        <v>0</v>
      </c>
      <c r="R500">
        <f t="shared" si="42"/>
        <v>475</v>
      </c>
      <c r="S500" s="28">
        <f t="shared" si="43"/>
        <v>0</v>
      </c>
      <c r="T500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7">
      <formula>AND($B5&lt;&gt;"",MOD(ROW(),2)=0)</formula>
    </cfRule>
  </conditionalFormatting>
  <conditionalFormatting sqref="A11:A13">
    <cfRule type="expression" dxfId="15" priority="4">
      <formula>AND($B11&lt;&gt;"",MOD(ROW(),2)=0)</formula>
    </cfRule>
  </conditionalFormatting>
  <conditionalFormatting sqref="A3:H3 K3:M3 A4:M4 M4:M11 B5:M8 A9:M10 B11:M13 A14:M17 A19:M21 B18:M18 B22:M23 A24:M500">
    <cfRule type="expression" dxfId="14" priority="17">
      <formula>AND($A3&lt;&gt;"",$G3="Yes")</formula>
    </cfRule>
    <cfRule type="expression" dxfId="13" priority="18">
      <formula>AND($A3&lt;&gt;"",$J3&lt;&gt;"")</formula>
    </cfRule>
    <cfRule type="expression" dxfId="12" priority="19">
      <formula>$A3&lt;&gt;""</formula>
    </cfRule>
  </conditionalFormatting>
  <conditionalFormatting sqref="C3:C200">
    <cfRule type="expression" dxfId="11" priority="20">
      <formula>$A3=""</formula>
    </cfRule>
  </conditionalFormatting>
  <conditionalFormatting sqref="G3:G200">
    <cfRule type="expression" dxfId="10" priority="21">
      <formula>$A3=""</formula>
    </cfRule>
  </conditionalFormatting>
  <conditionalFormatting sqref="K3:M3 A4:M4 M4:M11 B5:M8 A9:M10 B11:M13 A14:M17 A3:H3 A19:M21 B18:M18 B22:M23 A24:M500">
    <cfRule type="expression" dxfId="9" priority="16">
      <formula>AND($A3&lt;&gt;"",$G3="Did not pass re-test")</formula>
    </cfRule>
  </conditionalFormatting>
  <conditionalFormatting sqref="M3:M500">
    <cfRule type="expression" dxfId="8" priority="10">
      <formula>ISNUMBER(SEARCH("Sent back again",$M3))</formula>
    </cfRule>
    <cfRule type="expression" dxfId="7" priority="11">
      <formula>ISNUMBER(SEARCH("LATE",$M3))</formula>
    </cfRule>
    <cfRule type="expression" dxfId="6" priority="12">
      <formula>ISNUMBER(SEARCH("UNCLAIMED",$M3))</formula>
    </cfRule>
    <cfRule type="expression" dxfId="5" priority="13">
      <formula>ISNUMBER(SEARCH("Missing",$M3))</formula>
    </cfRule>
    <cfRule type="expression" dxfId="4" priority="14">
      <formula>ISNUMBER(SEARCH("Fixed in",$M3))</formula>
    </cfRule>
    <cfRule type="expression" dxfId="3" priority="15">
      <formula>ISNUMBER(SEARCH("Open",$M3))</formula>
    </cfRule>
  </conditionalFormatting>
  <conditionalFormatting sqref="A18">
    <cfRule type="expression" dxfId="2" priority="3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3">
    <cfRule type="expression" dxfId="0" priority="1">
      <formula>AND($B23&lt;&gt;"",MOD(ROW(),2)=0)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378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379</v>
      </c>
      <c r="C2" s="8" t="s">
        <v>1</v>
      </c>
      <c r="D2" s="8" t="s">
        <v>380</v>
      </c>
      <c r="E2" s="8" t="s">
        <v>381</v>
      </c>
      <c r="F2" s="8" t="s">
        <v>6</v>
      </c>
      <c r="G2" s="8" t="s">
        <v>5</v>
      </c>
      <c r="H2" s="8" t="s">
        <v>382</v>
      </c>
      <c r="I2" s="8" t="s">
        <v>383</v>
      </c>
      <c r="J2" s="8" t="s">
        <v>384</v>
      </c>
    </row>
    <row r="3" spans="1:10" ht="14.25" customHeight="1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180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180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149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140</v>
      </c>
      <c r="C13" s="9" t="s">
        <v>385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180</v>
      </c>
      <c r="C14" s="9" t="s">
        <v>385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149</v>
      </c>
      <c r="C15" s="9" t="s">
        <v>385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180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149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180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149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180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149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180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149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180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149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180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149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180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149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180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149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180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149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180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149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180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149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180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149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180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149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180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149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180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149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180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149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180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149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180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149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180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149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180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149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180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149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180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149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180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149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180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149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180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149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180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149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180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149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180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149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180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149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140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180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149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140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140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140</v>
      </c>
      <c r="C158" s="3" t="s">
        <v>153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180</v>
      </c>
      <c r="C159" s="3" t="s">
        <v>153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149</v>
      </c>
      <c r="C160" s="3" t="s">
        <v>153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140</v>
      </c>
      <c r="C161" s="3" t="s">
        <v>154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180</v>
      </c>
      <c r="C162" s="3" t="s">
        <v>154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149</v>
      </c>
      <c r="C163" s="3" t="s">
        <v>154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140</v>
      </c>
      <c r="C164" s="3" t="s">
        <v>157</v>
      </c>
      <c r="D164" s="3" t="s">
        <v>159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180</v>
      </c>
      <c r="C165" s="3" t="s">
        <v>157</v>
      </c>
      <c r="D165" s="3" t="s">
        <v>159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149</v>
      </c>
      <c r="C166" s="3" t="s">
        <v>157</v>
      </c>
      <c r="D166" s="3" t="s">
        <v>159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140</v>
      </c>
      <c r="C167" s="3" t="s">
        <v>160</v>
      </c>
      <c r="D167" s="3" t="s">
        <v>159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180</v>
      </c>
      <c r="C168" s="3" t="s">
        <v>160</v>
      </c>
      <c r="D168" s="3" t="s">
        <v>159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149</v>
      </c>
      <c r="C169" s="3" t="s">
        <v>160</v>
      </c>
      <c r="D169" s="3" t="s">
        <v>159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140</v>
      </c>
      <c r="C170" s="3" t="s">
        <v>161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180</v>
      </c>
      <c r="C171" s="3" t="s">
        <v>161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149</v>
      </c>
      <c r="C172" s="3" t="s">
        <v>161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140</v>
      </c>
      <c r="C173" s="3" t="s">
        <v>163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180</v>
      </c>
      <c r="C174" s="3" t="s">
        <v>163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149</v>
      </c>
      <c r="C175" s="3" t="s">
        <v>163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140</v>
      </c>
      <c r="C176" s="3" t="s">
        <v>165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180</v>
      </c>
      <c r="C177" s="3" t="s">
        <v>165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149</v>
      </c>
      <c r="C178" s="3" t="s">
        <v>165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140</v>
      </c>
      <c r="C179" s="3" t="s">
        <v>168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180</v>
      </c>
      <c r="C180" s="3" t="s">
        <v>168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149</v>
      </c>
      <c r="C181" s="3" t="s">
        <v>168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140</v>
      </c>
      <c r="C182" s="3" t="s">
        <v>179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180</v>
      </c>
      <c r="C183" s="3" t="s">
        <v>179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149</v>
      </c>
      <c r="C184" s="3" t="s">
        <v>179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386</v>
      </c>
      <c r="B1" s="104"/>
      <c r="C1" s="104"/>
    </row>
    <row r="2" spans="1:3" ht="14.25" customHeight="1">
      <c r="A2" s="8" t="s">
        <v>0</v>
      </c>
      <c r="B2" s="8" t="s">
        <v>387</v>
      </c>
      <c r="C2" s="8" t="s">
        <v>383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388</v>
      </c>
      <c r="B11" s="11">
        <v>18</v>
      </c>
      <c r="C11" s="12">
        <v>46386</v>
      </c>
    </row>
    <row r="12" spans="1:3" ht="14.25" customHeight="1">
      <c r="A12" s="11" t="s">
        <v>388</v>
      </c>
      <c r="B12" s="11">
        <v>18</v>
      </c>
      <c r="C12" s="12">
        <v>46417</v>
      </c>
    </row>
    <row r="13" spans="1:3" ht="14.25" customHeight="1">
      <c r="A13" s="11" t="s">
        <v>388</v>
      </c>
      <c r="B13" s="11">
        <v>19</v>
      </c>
      <c r="C13" s="12">
        <v>46446</v>
      </c>
    </row>
    <row r="14" spans="1:3" ht="14.25" customHeight="1">
      <c r="A14" s="11" t="s">
        <v>298</v>
      </c>
      <c r="B14" s="11">
        <v>9</v>
      </c>
      <c r="C14" s="12">
        <v>46476</v>
      </c>
    </row>
    <row r="15" spans="1:3" ht="14.25" customHeight="1">
      <c r="A15" s="11" t="s">
        <v>288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389</v>
      </c>
      <c r="F1" s="1" t="s">
        <v>325</v>
      </c>
      <c r="G1" s="5" t="s">
        <v>390</v>
      </c>
      <c r="H1" s="5" t="s">
        <v>20</v>
      </c>
      <c r="I1" t="s">
        <v>34</v>
      </c>
      <c r="J1" s="5" t="s">
        <v>391</v>
      </c>
      <c r="K1" s="5" t="s">
        <v>128</v>
      </c>
      <c r="L1" s="5" t="s">
        <v>344</v>
      </c>
      <c r="M1" s="1" t="s">
        <v>392</v>
      </c>
      <c r="N1" s="1" t="s">
        <v>393</v>
      </c>
      <c r="R1" t="s">
        <v>13</v>
      </c>
      <c r="T1" t="s">
        <v>394</v>
      </c>
    </row>
    <row r="2" spans="1:20" ht="13.5" customHeight="1">
      <c r="A2" s="2" t="s">
        <v>395</v>
      </c>
      <c r="B2" s="2" t="s">
        <v>396</v>
      </c>
      <c r="C2" s="2" t="s">
        <v>397</v>
      </c>
      <c r="D2" s="2" t="s">
        <v>398</v>
      </c>
      <c r="E2" s="2" t="s">
        <v>399</v>
      </c>
      <c r="F2" s="2" t="s">
        <v>400</v>
      </c>
      <c r="G2" t="s">
        <v>401</v>
      </c>
      <c r="H2" t="s">
        <v>402</v>
      </c>
      <c r="I2" t="s">
        <v>403</v>
      </c>
      <c r="J2" s="29" t="s">
        <v>404</v>
      </c>
      <c r="K2" s="29" t="s">
        <v>405</v>
      </c>
      <c r="L2" s="29" t="s">
        <v>406</v>
      </c>
      <c r="M2" t="s">
        <v>146</v>
      </c>
      <c r="N2" s="45" t="s">
        <v>407</v>
      </c>
      <c r="R2" t="s">
        <v>408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409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140</v>
      </c>
      <c r="G4" t="s">
        <v>58</v>
      </c>
      <c r="H4" t="s">
        <v>87</v>
      </c>
      <c r="I4" t="s">
        <v>410</v>
      </c>
      <c r="J4" t="s">
        <v>180</v>
      </c>
      <c r="L4" t="s">
        <v>49</v>
      </c>
      <c r="M4" t="s">
        <v>102</v>
      </c>
      <c r="N4" s="45" t="s">
        <v>409</v>
      </c>
      <c r="R4" t="s">
        <v>171</v>
      </c>
      <c r="T4" t="s">
        <v>71</v>
      </c>
    </row>
    <row r="5" spans="1:20" ht="15" customHeight="1">
      <c r="A5" t="s">
        <v>388</v>
      </c>
      <c r="B5" t="s">
        <v>64</v>
      </c>
      <c r="C5" t="s">
        <v>76</v>
      </c>
      <c r="F5" t="s">
        <v>180</v>
      </c>
      <c r="G5" t="s">
        <v>64</v>
      </c>
      <c r="H5" t="s">
        <v>129</v>
      </c>
      <c r="I5" t="s">
        <v>411</v>
      </c>
      <c r="J5" t="s">
        <v>149</v>
      </c>
      <c r="L5" t="s">
        <v>412</v>
      </c>
      <c r="M5" t="s">
        <v>87</v>
      </c>
      <c r="N5" s="45" t="s">
        <v>409</v>
      </c>
    </row>
    <row r="6" spans="1:20" ht="15" customHeight="1">
      <c r="A6" t="s">
        <v>298</v>
      </c>
      <c r="B6" t="s">
        <v>83</v>
      </c>
      <c r="F6" t="s">
        <v>149</v>
      </c>
      <c r="G6" t="s">
        <v>83</v>
      </c>
      <c r="H6" t="s">
        <v>146</v>
      </c>
      <c r="I6" t="s">
        <v>151</v>
      </c>
      <c r="J6" t="s">
        <v>128</v>
      </c>
      <c r="M6" t="s">
        <v>47</v>
      </c>
      <c r="N6" s="45" t="s">
        <v>409</v>
      </c>
    </row>
    <row r="7" spans="1:20" ht="15" customHeight="1">
      <c r="A7" t="s">
        <v>288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409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409</v>
      </c>
    </row>
    <row r="9" spans="1:20" ht="15" customHeight="1">
      <c r="B9" t="s">
        <v>102</v>
      </c>
      <c r="G9" t="s">
        <v>102</v>
      </c>
      <c r="I9" t="s">
        <v>415</v>
      </c>
      <c r="M9" t="s">
        <v>159</v>
      </c>
      <c r="N9" s="45" t="s">
        <v>409</v>
      </c>
    </row>
    <row r="10" spans="1:20" ht="15" customHeight="1">
      <c r="B10" t="s">
        <v>159</v>
      </c>
      <c r="G10" t="s">
        <v>159</v>
      </c>
      <c r="M10" t="s">
        <v>46</v>
      </c>
      <c r="N10" s="45" t="s">
        <v>409</v>
      </c>
    </row>
    <row r="11" spans="1:20">
      <c r="B11" t="s">
        <v>416</v>
      </c>
      <c r="G11" t="s">
        <v>59</v>
      </c>
      <c r="M11" t="s">
        <v>75</v>
      </c>
      <c r="N11" s="45" t="s">
        <v>409</v>
      </c>
    </row>
    <row r="12" spans="1:20">
      <c r="B12" t="s">
        <v>417</v>
      </c>
      <c r="G12" t="s">
        <v>45</v>
      </c>
      <c r="M12" t="s">
        <v>45</v>
      </c>
      <c r="N12" s="45" t="s">
        <v>409</v>
      </c>
    </row>
    <row r="13" spans="1:20">
      <c r="G13" t="s">
        <v>76</v>
      </c>
      <c r="M13" t="s">
        <v>76</v>
      </c>
      <c r="N13" s="45" t="s">
        <v>409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409</v>
      </c>
    </row>
    <row r="16" spans="1:20">
      <c r="M16" t="s">
        <v>117</v>
      </c>
      <c r="N16" s="45" t="s">
        <v>409</v>
      </c>
    </row>
    <row r="17" spans="13:14">
      <c r="M17" t="s">
        <v>64</v>
      </c>
      <c r="N17" s="45" t="s">
        <v>409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i:0#.f|membership|bezawit.getaneh1@nationalgrid.com</cp:lastModifiedBy>
  <cp:revision>0</cp:revision>
  <dcterms:created xsi:type="dcterms:W3CDTF">2026-07-21T14:32:59Z</dcterms:created>
  <dcterms:modified xsi:type="dcterms:W3CDTF">2026-09-01T13:49:58Z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