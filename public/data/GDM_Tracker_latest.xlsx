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91" documentId="13_ncr:1_{52745E9B-3AA1-4770-AAD3-E6166BFC13AE}" xr6:coauthVersionLast="47" xr6:coauthVersionMax="47" xr10:uidLastSave="{FE6A0735-DE0D-4BF7-B087-0F917E40CDDC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AG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<sst xmlns="http://schemas.openxmlformats.org/spreadsheetml/2006/main" count="2200" uniqueCount="262">
  <si>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</si>
  <si>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</si>
  <si>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</si>
  <si>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</si>
  <si>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</si>
  <si>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</si>
  <si>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</si>
  <si>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</si>
  <si>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</si>
  <si>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</si>
  <si>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</si>
  <si>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</si>
  <si>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</si>
  <si>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</si>
  <si>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</si>
  <si>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</si>
  <si>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</si>
  <si>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</si>
  <si>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</si>
  <si>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</si>
  <si>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</si>
  <si>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</si>
  <si>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</si>
  <si>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</si>
  <si>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</si>
  <si>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</si>
  <si>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</si>
  <si>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</si>
  <si>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</si>
  <si>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</si>
  <si>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</si>
  <si>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</si>
  <si>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</si>
  <si>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</si>
  <si>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</si>
  <si>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</si>
  <si>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</si>
  <si>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</si>
  <si>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</si>
  <si>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</si>
  <si>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</si>
  <si>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</si>
  <si>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</si>
  <si>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</si>
  <si>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</si>
  <si>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</si>
  <si>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</si>
  <si>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</si>
  <si>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</si>
  <si>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</si>
  <si>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</si>
  <si>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</si>
  <si>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</si>
  <si>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</si>
  <si>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</si>
  <si>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</si>
  <si>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</si>
  <si>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</si>
  <si>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</si>
  <si>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</si>
  <si>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</si>
  <si>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</si>
  <si>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</si>
  <si>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</si>
  <si>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</si>
  <si>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</si>
  <si>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</si>
  <si>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</si>
  <si>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</si>
  <si>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</si>
  <si>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</si>
  <si>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</si>
  <si>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</si>
  <si>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</si>
  <si>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</si>
  <si>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</si>
  <si>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</si>
  <si>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</si>
  <si>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</si>
  <si>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</si>
  <si>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</si>
  <si>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</si>
  <si>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</si>
  <si>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</si>
  <si>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</si>
  <si>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</si>
  <si>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</si>
  <si>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</si>
  <si>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</si>
  <si>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</si>
  <si>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</si>
  <si>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</si>
  <si>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</si>
  <si>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</si>
  <si>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</si>
  <si>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</si>
  <si>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</si>
  <si>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</si>
  <si>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</si>
  <si>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</si>
  <si>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</si>
  <si>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</si>
  <si>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</si>
  <si>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</si>
  <si>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</si>
  <si>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</si>
  <si>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</si>
  <si>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</si>
  <si>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</si>
  <si>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</si>
  <si>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</si>
  <si>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</si>
  <si>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</si>
  <si>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</si>
  <si>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</si>
  <si>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</si>
  <si>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</si>
  <si>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</si>
  <si>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</si>
  <si>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</si>
  <si>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</si>
  <si>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</si>
  <si>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</si>
  <si>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</si>
  <si>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</si>
  <si>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</si>
  <si>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</si>
  <si>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</si>
  <si>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Yes – other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</si>
  <si>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</si>
  <si>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</si>
  <si>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PBI Dev</t>
  </si>
  <si>
    <t>Bardia</t>
  </si>
  <si>
    <t>Available for PBI with one know issue will be presenting to business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</si>
  <si>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</si>
  <si>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</si>
  <si>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</si>
  <si>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</si>
  <si>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</si>
  <si>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</si>
  <si>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</si>
  <si>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</si>
  <si>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</si>
  <si>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</si>
  <si>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</si>
  <si>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</si>
  <si>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RPT_02_GRO Control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</si>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</sst>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6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  <filterColumn colId="8">
      <filters>
        <filter val="July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28" topLeftCell="Z29" activePane="bottomRight" state="frozen"/>
      <selection pane="bottomRight" activeCell="AE39" sqref="AE39"/>
      <selection pane="bottomLeft" activeCell="A29" sqref="A29"/>
      <selection pane="topRight" activeCell="C1" sqref="C1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36"/>
      <c r="S29" s="70"/>
      <c r="T29" s="55" t="s">
        <v>115</v>
      </c>
      <c r="U29" s="60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46248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114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46247</v>
      </c>
      <c r="S31" s="70"/>
      <c r="T31" s="55" t="s">
        <v>115</v>
      </c>
      <c r="U31" s="60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122</v>
      </c>
    </row>
    <row r="32" spans="1:34" ht="14.45">
      <c r="A32" s="33" t="s">
        <v>112</v>
      </c>
      <c r="B32" s="33" t="s">
        <v>123</v>
      </c>
      <c r="C32" s="33" t="s">
        <v>124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6" t="s">
        <v>39</v>
      </c>
      <c r="P32" s="4">
        <v>46220</v>
      </c>
      <c r="Q32" s="36">
        <v>46247</v>
      </c>
      <c r="R32" s="36"/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other - unclaimed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46245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46248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128</v>
      </c>
      <c r="AG33" s="74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131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132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/>
      <c r="S34" s="70"/>
      <c r="T34" s="55" t="s">
        <v>132</v>
      </c>
      <c r="U34" s="60">
        <v>46227</v>
      </c>
      <c r="V34" s="36">
        <v>46251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133</v>
      </c>
    </row>
    <row r="35" spans="1:34" ht="14.45">
      <c r="A35" s="33" t="s">
        <v>112</v>
      </c>
      <c r="B35" s="33" t="s">
        <v>134</v>
      </c>
      <c r="C35" s="33" t="s">
        <v>124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132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6" t="s">
        <v>39</v>
      </c>
      <c r="P35" s="4">
        <v>46220</v>
      </c>
      <c r="Q35" s="36">
        <v>46245</v>
      </c>
      <c r="R35" s="36"/>
      <c r="S35" s="70"/>
      <c r="T35" s="55" t="s">
        <v>132</v>
      </c>
      <c r="U35" s="60">
        <v>46227</v>
      </c>
      <c r="V35" s="36">
        <v>46251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125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132</v>
      </c>
      <c r="U36" s="60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137</v>
      </c>
      <c r="C37" s="33" t="s">
        <v>131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46247</v>
      </c>
      <c r="R37" s="36"/>
      <c r="S37" s="70"/>
      <c r="T37" s="55" t="s">
        <v>132</v>
      </c>
      <c r="U37" s="60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131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140</v>
      </c>
      <c r="F38" s="34" t="s">
        <v>132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/>
      <c r="S38" s="70"/>
      <c r="T38" s="55" t="s">
        <v>132</v>
      </c>
      <c r="U38" s="60">
        <v>46227</v>
      </c>
      <c r="V38" s="36">
        <v>46251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/>
    </row>
    <row r="39" spans="1:34" ht="14.45">
      <c r="A39" s="33" t="s">
        <v>112</v>
      </c>
      <c r="B39" s="33" t="s">
        <v>142</v>
      </c>
      <c r="C39" s="33" t="s">
        <v>114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132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46246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124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125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124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6" t="s">
        <v>52</v>
      </c>
      <c r="P41" s="4">
        <v>46220</v>
      </c>
      <c r="Q41" s="36">
        <v>46246</v>
      </c>
      <c r="R41" s="36"/>
      <c r="S41" s="70"/>
      <c r="T41" s="55" t="s">
        <v>40</v>
      </c>
      <c r="U41" s="60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125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147</v>
      </c>
      <c r="C42" s="33" t="s">
        <v>131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132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46251</v>
      </c>
      <c r="R42" s="36"/>
      <c r="S42" s="70"/>
      <c r="T42" s="55" t="s">
        <v>40</v>
      </c>
      <c r="U42" s="60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 hidden="1">
      <c r="A43" s="33" t="s">
        <v>112</v>
      </c>
      <c r="B43" s="33" t="s">
        <v>149</v>
      </c>
      <c r="C43" s="33" t="s">
        <v>124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/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/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 hidden="1">
      <c r="A44" s="33" t="s">
        <v>112</v>
      </c>
      <c r="B44" s="33" t="s">
        <v>153</v>
      </c>
      <c r="C44" s="33" t="s">
        <v>124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/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 hidden="1">
      <c r="A45" s="33" t="s">
        <v>112</v>
      </c>
      <c r="B45" s="33" t="s">
        <v>154</v>
      </c>
      <c r="C45" s="33" t="s">
        <v>114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/>
      <c r="R45" s="36"/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 hidden="1">
      <c r="A46" s="33" t="s">
        <v>112</v>
      </c>
      <c r="B46" s="33" t="s">
        <v>155</v>
      </c>
      <c r="C46" s="33" t="s">
        <v>131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/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156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 hidden="1">
      <c r="A47" s="33" t="s">
        <v>112</v>
      </c>
      <c r="B47" s="33" t="s">
        <v>157</v>
      </c>
      <c r="C47" s="33" t="s">
        <v>131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/>
      <c r="G47" s="33"/>
      <c r="H47" s="50">
        <v>46265</v>
      </c>
      <c r="I47" s="62" t="s">
        <v>151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158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 hidden="1">
      <c r="A48" s="33" t="s">
        <v>112</v>
      </c>
      <c r="B48" s="33" t="s">
        <v>159</v>
      </c>
      <c r="C48" s="33" t="s">
        <v>124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/>
      <c r="G48" s="33"/>
      <c r="H48" s="50">
        <v>46265</v>
      </c>
      <c r="I48" s="62" t="s">
        <v>151</v>
      </c>
      <c r="J48" s="33" t="s">
        <v>51</v>
      </c>
      <c r="K48" s="4">
        <v>46234</v>
      </c>
      <c r="L48" s="36">
        <v>46259</v>
      </c>
      <c r="M48" s="36"/>
      <c r="N48" s="36" t="s">
        <v>158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 hidden="1">
      <c r="A49" s="33" t="s">
        <v>112</v>
      </c>
      <c r="B49" s="33" t="s">
        <v>160</v>
      </c>
      <c r="C49" s="33" t="s">
        <v>124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Overdue</v>
      </c>
      <c r="E49" s="33">
        <v>23</v>
      </c>
      <c r="F49" s="34"/>
      <c r="G49" s="33"/>
      <c r="H49" s="50">
        <v>46265</v>
      </c>
      <c r="I49" s="62" t="s">
        <v>151</v>
      </c>
      <c r="J49" s="33" t="s">
        <v>141</v>
      </c>
      <c r="K49" s="4">
        <v>46234</v>
      </c>
      <c r="L49" s="36">
        <v>46253</v>
      </c>
      <c r="M49" s="36"/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 hidden="1">
      <c r="A50" s="33" t="s">
        <v>112</v>
      </c>
      <c r="B50" s="33" t="s">
        <v>161</v>
      </c>
      <c r="C50" s="33" t="s">
        <v>114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158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 hidden="1">
      <c r="A51" s="33" t="s">
        <v>112</v>
      </c>
      <c r="B51" s="33" t="s">
        <v>162</v>
      </c>
      <c r="C51" s="33" t="s">
        <v>114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2" t="s">
        <v>151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158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 hidden="1">
      <c r="A52" s="33" t="s">
        <v>112</v>
      </c>
      <c r="B52" s="33" t="s">
        <v>163</v>
      </c>
      <c r="C52" s="33" t="s">
        <v>124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Overdue</v>
      </c>
      <c r="E52" s="33">
        <v>27</v>
      </c>
      <c r="F52" s="34"/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/>
      <c r="N52" s="36" t="s">
        <v>158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 hidden="1">
      <c r="A53" s="33" t="s">
        <v>112</v>
      </c>
      <c r="B53" s="33" t="s">
        <v>164</v>
      </c>
      <c r="C53" s="33" t="s">
        <v>124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/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/>
      <c r="M53" s="36"/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 hidden="1">
      <c r="A54" s="33" t="s">
        <v>112</v>
      </c>
      <c r="B54" s="33" t="s">
        <v>165</v>
      </c>
      <c r="C54" s="33" t="s">
        <v>124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/>
      <c r="G54" s="33"/>
      <c r="H54" s="50">
        <v>46265</v>
      </c>
      <c r="I54" s="62" t="s">
        <v>151</v>
      </c>
      <c r="J54" s="33"/>
      <c r="K54" s="4">
        <v>46234</v>
      </c>
      <c r="L54" s="36"/>
      <c r="M54" s="36"/>
      <c r="N54" s="36"/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166</v>
      </c>
      <c r="C55" s="33" t="s">
        <v>167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168</v>
      </c>
      <c r="J55" s="33"/>
      <c r="K55" s="4">
        <v>46262</v>
      </c>
      <c r="L55" s="36"/>
      <c r="M55" s="36"/>
      <c r="N55" s="36"/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169</v>
      </c>
      <c r="C56" s="33" t="s">
        <v>167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168</v>
      </c>
      <c r="J56" s="33"/>
      <c r="K56" s="4">
        <v>46262</v>
      </c>
      <c r="L56" s="36"/>
      <c r="M56" s="36"/>
      <c r="N56" s="36"/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170</v>
      </c>
      <c r="C57" s="33" t="s">
        <v>167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168</v>
      </c>
      <c r="J57" s="33"/>
      <c r="K57" s="4">
        <v>46262</v>
      </c>
      <c r="L57" s="36"/>
      <c r="M57" s="36"/>
      <c r="N57" s="36"/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171</v>
      </c>
      <c r="C58" s="33" t="s">
        <v>167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168</v>
      </c>
      <c r="J58" s="33"/>
      <c r="K58" s="4">
        <v>46262</v>
      </c>
      <c r="L58" s="36"/>
      <c r="M58" s="36"/>
      <c r="N58" s="36"/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172</v>
      </c>
      <c r="C59" s="33" t="s">
        <v>167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168</v>
      </c>
      <c r="J59" s="33" t="s">
        <v>38</v>
      </c>
      <c r="K59" s="4">
        <v>46262</v>
      </c>
      <c r="L59" s="36"/>
      <c r="M59" s="36"/>
      <c r="N59" s="36" t="s">
        <v>173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167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168</v>
      </c>
      <c r="J60" s="33"/>
      <c r="K60" s="4">
        <v>46262</v>
      </c>
      <c r="L60" s="36"/>
      <c r="M60" s="36"/>
      <c r="N60" s="36"/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167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168</v>
      </c>
      <c r="J61" s="33" t="s">
        <v>38</v>
      </c>
      <c r="K61" s="4">
        <v>46262</v>
      </c>
      <c r="L61" s="36"/>
      <c r="M61" s="36"/>
      <c r="N61" s="36" t="s">
        <v>173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167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168</v>
      </c>
      <c r="J62" s="33"/>
      <c r="K62" s="4">
        <v>46262</v>
      </c>
      <c r="L62" s="36"/>
      <c r="M62" s="36"/>
      <c r="N62" s="36"/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167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168</v>
      </c>
      <c r="J63" s="33"/>
      <c r="K63" s="4">
        <v>46276</v>
      </c>
      <c r="L63" s="36"/>
      <c r="M63" s="36"/>
      <c r="N63" s="36"/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167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168</v>
      </c>
      <c r="J64" s="33"/>
      <c r="K64" s="4">
        <v>46276</v>
      </c>
      <c r="L64" s="36"/>
      <c r="M64" s="36"/>
      <c r="N64" s="36"/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167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168</v>
      </c>
      <c r="J65" s="33"/>
      <c r="K65" s="4">
        <v>46276</v>
      </c>
      <c r="L65" s="36"/>
      <c r="M65" s="36"/>
      <c r="N65" s="36"/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167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168</v>
      </c>
      <c r="J66" s="33"/>
      <c r="K66" s="4">
        <v>46276</v>
      </c>
      <c r="L66" s="36"/>
      <c r="M66" s="36"/>
      <c r="N66" s="36"/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167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168</v>
      </c>
      <c r="J67" s="33"/>
      <c r="K67" s="4">
        <v>46276</v>
      </c>
      <c r="L67" s="36"/>
      <c r="M67" s="36"/>
      <c r="N67" s="36"/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167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168</v>
      </c>
      <c r="J68" s="33"/>
      <c r="K68" s="4">
        <v>46276</v>
      </c>
      <c r="L68" s="36"/>
      <c r="M68" s="36"/>
      <c r="N68" s="36"/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167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168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167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168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167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168</v>
      </c>
      <c r="J71" s="33"/>
      <c r="K71" s="4">
        <v>46276</v>
      </c>
      <c r="L71" s="36"/>
      <c r="M71" s="36"/>
      <c r="N71" s="36"/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167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168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78"/>
      <c r="C4" s="79"/>
      <c r="D4" s="79"/>
      <c r="E4" s="79"/>
    </row>
    <row r="6" spans="1:5">
      <c r="A6" s="42" t="s">
        <v>0</v>
      </c>
      <c r="B6" s="76" t="str">
        <f>IF($B$4="","",IFERROR(INDEX('Combined Delivery Data'!$A:$A,MATCH($B$4,'Combined Delivery Data'!$B:$B,0)),""))</f>
        <v/>
      </c>
      <c r="C6" s="80"/>
      <c r="D6" s="80"/>
      <c r="E6" s="81"/>
    </row>
    <row r="7" spans="1:5">
      <c r="A7" s="42" t="s">
        <v>2</v>
      </c>
      <c r="B7" s="76" t="str">
        <f>IF($B$4="","",IFERROR(INDEX('Combined Delivery Data'!$C:$C,MATCH($B$4,'Combined Delivery Data'!$B:$B,0)),""))</f>
        <v/>
      </c>
      <c r="C7" s="80"/>
      <c r="D7" s="80"/>
      <c r="E7" s="81"/>
    </row>
    <row r="8" spans="1:5">
      <c r="A8" s="42" t="s">
        <v>3</v>
      </c>
      <c r="B8" s="76" t="str">
        <f>IF($B$4="","",IFERROR(INDEX('Combined Delivery Data'!$D:$D,MATCH($B$4,'Combined Delivery Data'!$B:$B,0)),""))</f>
        <v/>
      </c>
      <c r="C8" s="80"/>
      <c r="D8" s="80"/>
      <c r="E8" s="81"/>
    </row>
    <row r="9" spans="1:5">
      <c r="A9" s="42" t="s">
        <v>4</v>
      </c>
      <c r="B9" s="76" t="str">
        <f>IF($B$4="","",IFERROR(INDEX('Combined Delivery Data'!$E:$E,MATCH($B$4,'Combined Delivery Data'!$B:$B,0)),""))</f>
        <v/>
      </c>
      <c r="C9" s="80"/>
      <c r="D9" s="80"/>
      <c r="E9" s="81"/>
    </row>
    <row r="10" spans="1:5">
      <c r="A10" s="42" t="s">
        <v>5</v>
      </c>
      <c r="B10" s="76" t="str">
        <f>IF($B$4="","",IFERROR(INDEX('Combined Delivery Data'!$F:$F,MATCH($B$4,'Combined Delivery Data'!$B:$B,0)),""))</f>
        <v/>
      </c>
      <c r="C10" s="80"/>
      <c r="D10" s="80"/>
      <c r="E10" s="81"/>
    </row>
    <row r="11" spans="1:5">
      <c r="A11" s="42" t="s">
        <v>9</v>
      </c>
      <c r="B11" s="76" t="str">
        <f>IF($B$4="","",IFERROR(INDEX('Combined Delivery Data'!$J:$J,MATCH($B$4,'Combined Delivery Data'!$B:$B,0)),""))</f>
        <v/>
      </c>
      <c r="C11" s="80"/>
      <c r="D11" s="80"/>
      <c r="E11" s="81"/>
    </row>
    <row r="12" spans="1:5">
      <c r="A12" s="42" t="s">
        <v>14</v>
      </c>
      <c r="B12" s="76" t="str">
        <f>IF($B$4="","",IFERROR(INDEX('Combined Delivery Data'!$O:$O,MATCH($B$4,'Combined Delivery Data'!$B:$B,0)),""))</f>
        <v/>
      </c>
      <c r="C12" s="80"/>
      <c r="D12" s="80"/>
      <c r="E12" s="81"/>
    </row>
    <row r="13" spans="1:5">
      <c r="A13" s="42" t="s">
        <v>19</v>
      </c>
      <c r="B13" s="76" t="str">
        <f>IF($B$4="","",IFERROR(INDEX('Combined Delivery Data'!$T:$T,MATCH($B$4,'Combined Delivery Data'!$B:$B,0)),""))</f>
        <v/>
      </c>
      <c r="C13" s="80"/>
      <c r="D13" s="80"/>
      <c r="E13" s="81"/>
    </row>
    <row r="14" spans="1:5">
      <c r="A14" s="42" t="s">
        <v>190</v>
      </c>
      <c r="B14" s="75" t="str">
        <f>IF($B$4="","",IFERROR(INDEX('Combined Delivery Data'!$K:$K,MATCH($B$4,'Combined Delivery Data'!$B:$B,0)),""))</f>
        <v/>
      </c>
      <c r="C14" s="80"/>
      <c r="D14" s="80"/>
      <c r="E14" s="81"/>
    </row>
    <row r="15" spans="1:5">
      <c r="A15" s="42" t="s">
        <v>191</v>
      </c>
      <c r="B15" s="75" t="str">
        <f>IF($B$4="","",IFERROR(INDEX('Combined Delivery Data'!$L:$L,MATCH($B$4,'Combined Delivery Data'!$B:$B,0)),""))</f>
        <v/>
      </c>
      <c r="C15" s="80"/>
      <c r="D15" s="80"/>
      <c r="E15" s="81"/>
    </row>
    <row r="16" spans="1:5">
      <c r="A16" s="42" t="s">
        <v>192</v>
      </c>
      <c r="B16" s="75" t="str">
        <f>IF($B$4="","",IFERROR(INDEX('Combined Delivery Data'!$M:$M,MATCH($B$4,'Combined Delivery Data'!$B:$B,0)),""))</f>
        <v/>
      </c>
      <c r="C16" s="80"/>
      <c r="D16" s="80"/>
      <c r="E16" s="81"/>
    </row>
    <row r="17" spans="1:5">
      <c r="A17" s="42" t="s">
        <v>193</v>
      </c>
      <c r="B17" s="75" t="str">
        <f>IF($B$4="","",IFERROR(INDEX('Combined Delivery Data'!$N:$N,MATCH($B$4,'Combined Delivery Data'!$B:$B,0)),""))</f>
        <v/>
      </c>
      <c r="C17" s="80"/>
      <c r="D17" s="80"/>
      <c r="E17" s="81"/>
    </row>
    <row r="18" spans="1:5">
      <c r="A18" s="42" t="s">
        <v>194</v>
      </c>
      <c r="B18" s="75" t="str">
        <f>IF($B$4="","",IFERROR(INDEX('Combined Delivery Data'!$P:$P,MATCH($B$4,'Combined Delivery Data'!$B:$B,0)),""))</f>
        <v/>
      </c>
      <c r="C18" s="80"/>
      <c r="D18" s="80"/>
      <c r="E18" s="81"/>
    </row>
    <row r="19" spans="1:5">
      <c r="A19" s="42" t="s">
        <v>195</v>
      </c>
      <c r="B19" s="75" t="str">
        <f>IF($B$4="","",IFERROR(INDEX('Combined Delivery Data'!$Q:$Q,MATCH($B$4,'Combined Delivery Data'!$B:$B,0)),""))</f>
        <v/>
      </c>
      <c r="C19" s="80"/>
      <c r="D19" s="80"/>
      <c r="E19" s="81"/>
    </row>
    <row r="20" spans="1:5">
      <c r="A20" s="42" t="s">
        <v>196</v>
      </c>
      <c r="B20" s="75" t="str">
        <f>IF($B$4="","",IFERROR(INDEX('Combined Delivery Data'!$R:$R,MATCH($B$4,'Combined Delivery Data'!$B:$B,0)),""))</f>
        <v/>
      </c>
      <c r="C20" s="80"/>
      <c r="D20" s="80"/>
      <c r="E20" s="81"/>
    </row>
    <row r="21" spans="1:5">
      <c r="A21" s="42" t="s">
        <v>26</v>
      </c>
      <c r="B21" s="76" t="str">
        <f>IF($B$4="","",IFERROR(INDEX('Combined Delivery Data'!$S:$S,MATCH($B$4,'Combined Delivery Data'!$B:$B,0)),""))</f>
        <v/>
      </c>
      <c r="C21" s="80"/>
      <c r="D21" s="80"/>
      <c r="E21" s="81"/>
    </row>
    <row r="22" spans="1:5">
      <c r="A22" s="42" t="s">
        <v>27</v>
      </c>
      <c r="B22" s="76" t="str">
        <f>IF($B$4="","",IFERROR(INDEX('Combined Delivery Data'!$U:$U,MATCH($B$4,'Combined Delivery Data'!$B:$B,0)),""))</f>
        <v/>
      </c>
      <c r="C22" s="80"/>
      <c r="D22" s="80"/>
      <c r="E22" s="81"/>
    </row>
    <row r="23" spans="1:5">
      <c r="A23" s="42" t="s">
        <v>28</v>
      </c>
      <c r="B23" s="75" t="str">
        <f>IF($B$4="","",IFERROR(INDEX('Combined Delivery Data'!$V:$V,MATCH($B$4,'Combined Delivery Data'!$B:$B,0)),""))</f>
        <v/>
      </c>
      <c r="C23" s="80"/>
      <c r="D23" s="80"/>
      <c r="E23" s="81"/>
    </row>
    <row r="24" spans="1:5">
      <c r="A24" s="42" t="s">
        <v>31</v>
      </c>
      <c r="B24" s="76" t="str">
        <f>IF($B$4="","",IFERROR(INDEX('Combined Delivery Data'!$Y:$Y,MATCH($B$4,'Combined Delivery Data'!$B:$B,0)),""))</f>
        <v/>
      </c>
      <c r="C24" s="80"/>
      <c r="D24" s="80"/>
      <c r="E24" s="81"/>
    </row>
    <row r="25" spans="1:5">
      <c r="A25" s="42" t="s">
        <v>32</v>
      </c>
      <c r="B25" s="76" t="str">
        <f>IF($B$4="","",IFERROR(INDEX('Combined Delivery Data'!$Z:$Z,MATCH($B$4,'Combined Delivery Data'!$B:$B,0)),""))</f>
        <v/>
      </c>
      <c r="C25" s="80"/>
      <c r="D25" s="80"/>
      <c r="E25" s="81"/>
    </row>
    <row r="26" spans="1:5">
      <c r="A26" s="42" t="s">
        <v>197</v>
      </c>
      <c r="B26" s="76" t="str">
        <f>IF($B$4="","",IFERROR(INDEX('Rework Log'!$Q:$Q,MATCH($B$4,'Rework Log'!$P:$P,0)),""))</f>
        <v/>
      </c>
      <c r="C26" s="80"/>
      <c r="D26" s="80"/>
      <c r="E26" s="81"/>
    </row>
    <row r="27" spans="1:5">
      <c r="A27" s="42" t="s">
        <v>198</v>
      </c>
      <c r="B27" s="76" t="str">
        <f>IF($B$4="","",IFERROR(INDEX('Rework Log'!$R:$R,MATCH($B$4,'Rework Log'!$P:$P,0)),""))</f>
        <v/>
      </c>
      <c r="C27" s="80"/>
      <c r="D27" s="80"/>
      <c r="E27" s="81"/>
    </row>
    <row r="28" spans="1:5">
      <c r="A28" s="42" t="s">
        <v>199</v>
      </c>
      <c r="B28" s="76" t="str">
        <f>IF($B$4="","",IFERROR(INDEX('Rework Log'!$S:$S,MATCH($B$4,'Rework Log'!$P:$P,0)),""))</f>
        <v/>
      </c>
      <c r="C28" s="80"/>
      <c r="D28" s="80"/>
      <c r="E28" s="81"/>
    </row>
    <row r="29" spans="1:5">
      <c r="A29" s="42" t="s">
        <v>200</v>
      </c>
      <c r="B29" s="76" t="str">
        <f>IF($B$4="","",IFERROR(INDEX('Rework Log'!$T:$T,MATCH($B$4,'Rework Log'!$P:$P,0)),""))</f>
        <v/>
      </c>
      <c r="C29" s="80"/>
      <c r="D29" s="80"/>
      <c r="E29" s="81"/>
    </row>
    <row r="30" spans="1:5" ht="15.6" customHeight="1">
      <c r="A30" s="42"/>
      <c r="B30" s="76"/>
      <c r="C30" s="80"/>
      <c r="D30" s="80"/>
      <c r="E30" s="81"/>
    </row>
    <row r="31" spans="1:5" ht="15.6" customHeight="1">
      <c r="A31" s="5" t="s">
        <v>33</v>
      </c>
      <c r="B31" s="82" t="str">
        <f>IF($B$4="","",IFERROR(INDEX('Combined Delivery Data'!$AA:$AA,MATCH($B$4,'Combined Delivery Data'!$B:$B,0)),""))</f>
        <v/>
      </c>
      <c r="C31" s="79"/>
      <c r="D31" s="79"/>
      <c r="E31" s="79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L11" sqref="L11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7" t="s">
        <v>201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P1" s="83" t="s">
        <v>202</v>
      </c>
      <c r="Q1" s="79"/>
      <c r="R1" s="79"/>
      <c r="S1" s="79"/>
      <c r="T1" s="79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130</v>
      </c>
      <c r="B3" s="36">
        <v>46230</v>
      </c>
      <c r="C3" s="33" t="s">
        <v>114</v>
      </c>
      <c r="D3" s="33" t="s">
        <v>124</v>
      </c>
      <c r="E3" s="33" t="s">
        <v>132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17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139</v>
      </c>
      <c r="B4" s="32">
        <v>46237</v>
      </c>
      <c r="C4" s="31" t="s">
        <v>114</v>
      </c>
      <c r="D4" s="31" t="s">
        <v>124</v>
      </c>
      <c r="E4" s="31" t="s">
        <v>132</v>
      </c>
      <c r="F4" s="31" t="s">
        <v>217</v>
      </c>
      <c r="G4" s="31" t="s">
        <v>45</v>
      </c>
      <c r="H4" s="32"/>
      <c r="I4" s="32"/>
      <c r="J4" s="32">
        <v>46247</v>
      </c>
      <c r="K4" s="31" t="s">
        <v>52</v>
      </c>
      <c r="L4" s="31" t="s">
        <v>218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219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113</v>
      </c>
      <c r="B5" s="32">
        <v>46238</v>
      </c>
      <c r="C5" s="31" t="s">
        <v>114</v>
      </c>
      <c r="D5" s="31" t="s">
        <v>124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9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127</v>
      </c>
      <c r="B6" s="32">
        <v>46234</v>
      </c>
      <c r="C6" s="31" t="s">
        <v>114</v>
      </c>
      <c r="D6" s="31" t="s">
        <v>124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13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119</v>
      </c>
      <c r="B7" s="32">
        <v>46239</v>
      </c>
      <c r="C7" s="31" t="s">
        <v>114</v>
      </c>
      <c r="D7" s="31" t="s">
        <v>124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8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31"/>
      <c r="B8" s="32"/>
      <c r="C8" s="31" t="s">
        <v>114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/>
      <c r="B9" s="32"/>
      <c r="C9" s="31" t="s">
        <v>114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/>
      <c r="B10" s="32"/>
      <c r="C10" s="31" t="s">
        <v>114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31"/>
      <c r="B11" s="32"/>
      <c r="C11" s="31" t="s">
        <v>114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31"/>
      <c r="B12" s="32"/>
      <c r="C12" s="31" t="s">
        <v>114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31"/>
      <c r="B13" s="32"/>
      <c r="C13" s="31" t="s">
        <v>114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/>
      <c r="B14" s="32"/>
      <c r="C14" s="31" t="s">
        <v>114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/>
      <c r="B15" s="32"/>
      <c r="C15" s="31" t="s">
        <v>114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/>
      <c r="B16" s="32"/>
      <c r="C16" s="31" t="s">
        <v>114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/>
      <c r="B17" s="32"/>
      <c r="C17" s="31" t="s">
        <v>114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>
      <c r="A18" s="31"/>
      <c r="B18" s="32"/>
      <c r="C18" s="31" t="s">
        <v>114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>
      <c r="A35" s="31"/>
      <c r="B35" s="32"/>
      <c r="C35" s="31" t="s">
        <v>114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>
      <c r="A38" s="31"/>
      <c r="B38" s="32"/>
      <c r="C38" s="31" t="s">
        <v>114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>
      <c r="A39" s="31"/>
      <c r="B39" s="32"/>
      <c r="C39" s="31" t="s">
        <v>114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>
      <c r="A40" s="31"/>
      <c r="B40" s="32"/>
      <c r="C40" s="31" t="s">
        <v>114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>
      <c r="A42" s="31"/>
      <c r="B42" s="32"/>
      <c r="C42" s="31" t="s">
        <v>114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>
      <c r="A52" s="31"/>
      <c r="B52" s="32"/>
      <c r="C52" s="31" t="s">
        <v>114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67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2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>
      <c r="A76" s="31"/>
      <c r="B76" s="32"/>
      <c r="C76" s="31" t="s">
        <v>114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2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>
      <c r="A77" s="31"/>
      <c r="B77" s="32"/>
      <c r="C77" s="31" t="s">
        <v>114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2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>
      <c r="A78" s="31"/>
      <c r="B78" s="32"/>
      <c r="C78" s="31" t="s">
        <v>114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2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>
      <c r="A79" s="31"/>
      <c r="B79" s="32"/>
      <c r="C79" s="31" t="s">
        <v>114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2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>
      <c r="A80" s="31"/>
      <c r="B80" s="32"/>
      <c r="C80" s="31" t="s">
        <v>114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2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>
      <c r="A81" s="31"/>
      <c r="B81" s="32"/>
      <c r="C81" s="31" t="s">
        <v>114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2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>
      <c r="A82" s="31"/>
      <c r="B82" s="32"/>
      <c r="C82" s="31" t="s">
        <v>114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2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>
      <c r="A83" s="31"/>
      <c r="B83" s="32"/>
      <c r="C83" s="31" t="s">
        <v>114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2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>
      <c r="A84" s="31"/>
      <c r="B84" s="32"/>
      <c r="C84" s="31" t="s">
        <v>114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2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>
      <c r="A85" s="31"/>
      <c r="B85" s="32"/>
      <c r="C85" s="31" t="s">
        <v>114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2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>
      <c r="A86" s="31"/>
      <c r="B86" s="32"/>
      <c r="C86" s="31" t="s">
        <v>114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2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>
      <c r="A87" s="31"/>
      <c r="B87" s="32"/>
      <c r="C87" s="31" t="s">
        <v>114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2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>
      <c r="A88" s="31"/>
      <c r="B88" s="32"/>
      <c r="C88" s="31" t="s">
        <v>114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2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>
      <c r="A89" s="31"/>
      <c r="B89" s="32"/>
      <c r="C89" s="31" t="s">
        <v>114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2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>
      <c r="A90" s="31"/>
      <c r="B90" s="32"/>
      <c r="C90" s="31" t="s">
        <v>114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>
      <c r="A91" s="31"/>
      <c r="B91" s="32"/>
      <c r="C91" s="31" t="s">
        <v>114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 M4:M71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 M4:M71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4" t="s">
        <v>223</v>
      </c>
      <c r="B1" s="79"/>
      <c r="C1" s="79"/>
      <c r="D1" s="79"/>
      <c r="E1" s="79"/>
      <c r="F1" s="79"/>
      <c r="G1" s="79"/>
      <c r="H1" s="79"/>
      <c r="I1" s="79"/>
      <c r="J1" s="79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6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124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131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131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124</v>
      </c>
      <c r="C13" s="9" t="s">
        <v>231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131</v>
      </c>
      <c r="C14" s="9" t="s">
        <v>231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114</v>
      </c>
      <c r="C15" s="9" t="s">
        <v>231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131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131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131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131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131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131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131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131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131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131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131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131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131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131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131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131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131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131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131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131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131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131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131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131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131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131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124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131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114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124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131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114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124</v>
      </c>
      <c r="C150" s="9" t="s">
        <v>123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131</v>
      </c>
      <c r="C151" s="9" t="s">
        <v>123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114</v>
      </c>
      <c r="C152" s="9" t="s">
        <v>123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124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131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114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124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124</v>
      </c>
      <c r="C157" s="3" t="s">
        <v>134</v>
      </c>
      <c r="D157" s="3" t="s">
        <v>105</v>
      </c>
      <c r="E157" s="3" t="s">
        <v>39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124</v>
      </c>
      <c r="C158" s="3" t="s">
        <v>136</v>
      </c>
      <c r="D158" s="3" t="s">
        <v>105</v>
      </c>
      <c r="E158" s="3" t="s">
        <v>39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131</v>
      </c>
      <c r="C159" s="3" t="s">
        <v>136</v>
      </c>
      <c r="D159" s="3" t="s">
        <v>105</v>
      </c>
      <c r="E159" s="3" t="s">
        <v>39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114</v>
      </c>
      <c r="C160" s="3" t="s">
        <v>136</v>
      </c>
      <c r="D160" s="3" t="s">
        <v>105</v>
      </c>
      <c r="E160" s="3" t="s">
        <v>39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124</v>
      </c>
      <c r="C161" s="3" t="s">
        <v>137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131</v>
      </c>
      <c r="C162" s="3" t="s">
        <v>137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114</v>
      </c>
      <c r="C163" s="3" t="s">
        <v>137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124</v>
      </c>
      <c r="C164" s="3" t="s">
        <v>139</v>
      </c>
      <c r="D164" s="3" t="s">
        <v>141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131</v>
      </c>
      <c r="C165" s="3" t="s">
        <v>139</v>
      </c>
      <c r="D165" s="3" t="s">
        <v>141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114</v>
      </c>
      <c r="C166" s="3" t="s">
        <v>139</v>
      </c>
      <c r="D166" s="3" t="s">
        <v>141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124</v>
      </c>
      <c r="C167" s="3" t="s">
        <v>142</v>
      </c>
      <c r="D167" s="3" t="s">
        <v>141</v>
      </c>
      <c r="E167" s="3" t="s">
        <v>69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131</v>
      </c>
      <c r="C168" s="3" t="s">
        <v>142</v>
      </c>
      <c r="D168" s="3" t="s">
        <v>141</v>
      </c>
      <c r="E168" s="3" t="s">
        <v>69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114</v>
      </c>
      <c r="C169" s="3" t="s">
        <v>142</v>
      </c>
      <c r="D169" s="3" t="s">
        <v>141</v>
      </c>
      <c r="E169" s="3" t="s">
        <v>69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124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131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114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124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131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114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124</v>
      </c>
      <c r="C176" s="3" t="s">
        <v>147</v>
      </c>
      <c r="D176" s="3" t="s">
        <v>68</v>
      </c>
      <c r="E176" s="3" t="s">
        <v>69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131</v>
      </c>
      <c r="C177" s="3" t="s">
        <v>147</v>
      </c>
      <c r="D177" s="3" t="s">
        <v>68</v>
      </c>
      <c r="E177" s="3" t="s">
        <v>69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114</v>
      </c>
      <c r="C178" s="3" t="s">
        <v>147</v>
      </c>
      <c r="D178" s="3" t="s">
        <v>68</v>
      </c>
      <c r="E178" s="3" t="s">
        <v>69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124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131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114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124</v>
      </c>
      <c r="C182" s="3" t="s">
        <v>155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131</v>
      </c>
      <c r="C183" s="3" t="s">
        <v>155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114</v>
      </c>
      <c r="C184" s="3" t="s">
        <v>155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5" t="s">
        <v>232</v>
      </c>
      <c r="B1" s="79"/>
      <c r="C1" s="79"/>
    </row>
    <row r="2" spans="1:3" ht="14.25" customHeight="1">
      <c r="A2" s="8" t="s">
        <v>0</v>
      </c>
      <c r="B2" s="8" t="s">
        <v>233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19</v>
      </c>
      <c r="I1" t="s">
        <v>31</v>
      </c>
      <c r="J1" s="5" t="s">
        <v>239</v>
      </c>
      <c r="K1" s="5" t="s">
        <v>230</v>
      </c>
      <c r="L1" s="5" t="s">
        <v>208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132</v>
      </c>
      <c r="N2" s="45" t="s">
        <v>254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167</v>
      </c>
      <c r="G3" t="s">
        <v>38</v>
      </c>
      <c r="H3" t="s">
        <v>40</v>
      </c>
      <c r="I3" t="s">
        <v>45</v>
      </c>
      <c r="J3" t="s">
        <v>124</v>
      </c>
      <c r="K3" t="s">
        <v>41</v>
      </c>
      <c r="L3" t="s">
        <v>45</v>
      </c>
      <c r="M3" t="s">
        <v>38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39</v>
      </c>
      <c r="D4" t="s">
        <v>132</v>
      </c>
      <c r="E4" t="s">
        <v>45</v>
      </c>
      <c r="F4" t="s">
        <v>124</v>
      </c>
      <c r="G4" t="s">
        <v>51</v>
      </c>
      <c r="H4" t="s">
        <v>80</v>
      </c>
      <c r="I4" t="s">
        <v>128</v>
      </c>
      <c r="J4" t="s">
        <v>131</v>
      </c>
      <c r="L4" t="s">
        <v>42</v>
      </c>
      <c r="M4" t="s">
        <v>94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69</v>
      </c>
      <c r="F5" t="s">
        <v>131</v>
      </c>
      <c r="G5" t="s">
        <v>57</v>
      </c>
      <c r="H5" t="s">
        <v>115</v>
      </c>
      <c r="I5" t="s">
        <v>125</v>
      </c>
      <c r="J5" t="s">
        <v>114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114</v>
      </c>
      <c r="G6" t="s">
        <v>76</v>
      </c>
      <c r="H6" t="s">
        <v>132</v>
      </c>
      <c r="I6" t="s">
        <v>257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258</v>
      </c>
      <c r="M7" t="s">
        <v>115</v>
      </c>
      <c r="N7" s="45" t="s">
        <v>255</v>
      </c>
    </row>
    <row r="8" spans="1:14" ht="15" customHeight="1">
      <c r="B8" t="s">
        <v>68</v>
      </c>
      <c r="F8" t="s">
        <v>36</v>
      </c>
      <c r="G8" t="s">
        <v>68</v>
      </c>
      <c r="I8" t="s">
        <v>259</v>
      </c>
      <c r="M8" t="s">
        <v>52</v>
      </c>
      <c r="N8" s="45" t="s">
        <v>255</v>
      </c>
    </row>
    <row r="9" spans="1:14" ht="15" customHeight="1">
      <c r="B9" t="s">
        <v>94</v>
      </c>
      <c r="G9" t="s">
        <v>94</v>
      </c>
      <c r="I9" t="s">
        <v>260</v>
      </c>
      <c r="M9" t="s">
        <v>141</v>
      </c>
      <c r="N9" s="45" t="s">
        <v>255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255</v>
      </c>
    </row>
    <row r="11" spans="1:14">
      <c r="G11" t="s">
        <v>52</v>
      </c>
      <c r="M11" t="s">
        <v>68</v>
      </c>
      <c r="N11" s="45" t="s">
        <v>255</v>
      </c>
    </row>
    <row r="12" spans="1:14">
      <c r="G12" t="s">
        <v>39</v>
      </c>
      <c r="M12" t="s">
        <v>39</v>
      </c>
      <c r="N12" s="45" t="s">
        <v>255</v>
      </c>
    </row>
    <row r="13" spans="1:14">
      <c r="G13" t="s">
        <v>69</v>
      </c>
      <c r="M13" t="s">
        <v>69</v>
      </c>
      <c r="N13" s="45" t="s">
        <v>255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Preety Jha</cp:lastModifiedBy>
  <cp:revision>0</cp:revision>
  <dcterms:created xsi:type="dcterms:W3CDTF">2026-07-21T14:32:59Z</dcterms:created>
  <dcterms:modified xsi:type="dcterms:W3CDTF">2026-08-13T16:24:01Z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  <property fmtid="{D5CDD505-2E9C-101B-9397-08002B2CF9AE}" pid="13" name="MSIP_Label_8bd75a54-f2be-4ffa-b165-74c609d83991_Enabled">
    <vt:lpwstr>true</vt:lpwstr>
  </property>
  <property fmtid="{D5CDD505-2E9C-101B-9397-08002B2CF9AE}" pid="14" name="MSIP_Label_8bd75a54-f2be-4ffa-b165-74c609d83991_SetDate">
    <vt:lpwstr>2026-08-13T14:50:16Z</vt:lpwstr>
  </property>
  <property fmtid="{D5CDD505-2E9C-101B-9397-08002B2CF9AE}" pid="15" name="MSIP_Label_8bd75a54-f2be-4ffa-b165-74c609d83991_Method">
    <vt:lpwstr>Standard</vt:lpwstr>
  </property>
  <property fmtid="{D5CDD505-2E9C-101B-9397-08002B2CF9AE}" pid="16" name="MSIP_Label_8bd75a54-f2be-4ffa-b165-74c609d83991_Name">
    <vt:lpwstr>Internal use only</vt:lpwstr>
  </property>
  <property fmtid="{D5CDD505-2E9C-101B-9397-08002B2CF9AE}" pid="17" name="MSIP_Label_8bd75a54-f2be-4ffa-b165-74c609d83991_SiteId">
    <vt:lpwstr>f98a6a53-25f3-4212-901c-c7787fcd3495</vt:lpwstr>
  </property>
  <property fmtid="{D5CDD505-2E9C-101B-9397-08002B2CF9AE}" pid="18" name="MSIP_Label_8bd75a54-f2be-4ffa-b165-74c609d83991_ActionId">
    <vt:lpwstr>c5162870-5a3f-42c9-89f6-4aa8cb35f675</vt:lpwstr>
  </property>
  <property fmtid="{D5CDD505-2E9C-101B-9397-08002B2CF9AE}" pid="19" name="MSIP_Label_8bd75a54-f2be-4ffa-b165-74c609d83991_ContentBits">
    <vt:lpwstr>0</vt:lpwstr>
  </property>
  <property fmtid="{D5CDD505-2E9C-101B-9397-08002B2CF9AE}" pid="20" name="MSIP_Label_8bd75a54-f2be-4ffa-b165-74c609d83991_Tag">
    <vt:lpwstr>10, 3, 0, 2</vt:lpwstr>
  </property>
</Properties>
</file>