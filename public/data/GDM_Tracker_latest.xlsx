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comments2.xml" ContentType="application/vnd.openxmlformats-officedocument.spreadsheetml.comments+xml"/>
  <Override PartName="/xl/threadedComments/threadedComment1.xml" ContentType="application/vnd.ms-excel.threadedcomments+xml"/>
  <Override PartName="/xl/tables/table3.xml" ContentType="application/vnd.openxmlformats-officedocument.spreadsheetml.table+xml"/>
  <Override PartName="/xl/tables/table4.xml" ContentType="application/vnd.openxmlformats-officedocument.spreadsheetml.table+xml"/>
  <Override PartName="/xl/comments3.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5.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0"/>
  <workbookPr/>
  <mc:AlternateContent xmlns:mc="http://schemas.openxmlformats.org/markup-compatibility/2006">
    <mc:Choice Requires="x15">
      <x15ac:absPath xmlns:x15ac="http://schemas.microsoft.com/office/spreadsheetml/2010/11/ac" url="https://nationalgridplc.sharepoint.com/sites/GRP-INT-GasBusinessEnablement-DataManagement/Public Folder/Gas Data Modernization Journey/Report Migration/"/>
    </mc:Choice>
  </mc:AlternateContent>
  <xr:revisionPtr revIDLastSave="6181" documentId="13_ncr:1_{52745E9B-3AA1-4770-AAD3-E6166BFC13AE}" xr6:coauthVersionLast="47" xr6:coauthVersionMax="47" xr10:uidLastSave="{F7736BA3-761D-4659-88B2-DCF5A586BCDB}"/>
  <bookViews>
    <workbookView xWindow="28995" yWindow="-1920" windowWidth="29040" windowHeight="17520" tabRatio="500" xr2:uid="{00000000-000D-0000-FFFF-FFFF00000000}"/>
  </bookViews>
  <sheets>
    <sheet name="Combined Delivery Data" sheetId="2" r:id="rId1"/>
    <sheet name="Find a Report" sheetId="3" state="hidden" r:id="rId2"/>
    <sheet name="Rework Log" sheetId="4" r:id="rId3"/>
    <sheet name="Dim Table" sheetId="6" state="hidden" r:id="rId4"/>
    <sheet name="Fact Table" sheetId="5" state="hidden" r:id="rId5"/>
    <sheet name="Data Validation" sheetId="7" state="hidden" r:id="rId6"/>
    <sheet name="Dashboard" sheetId="8" state="hidden" r:id="rId7"/>
    <sheet name="Data" sheetId="9" state="hidden" r:id="rId8"/>
    <sheet name="Dashboard Lists" sheetId="10" state="hidden" r:id="rId9"/>
  </sheets>
  <definedNames>
    <definedName name="_xlnm._FilterDatabase" localSheetId="3" hidden="1">'Dim Table'!$A$2:$C$15</definedName>
    <definedName name="_xlnm._FilterDatabase" localSheetId="4" hidden="1">'Fact Table'!$A$2:$J$156</definedName>
    <definedName name="_xlnm._FilterDatabase" localSheetId="0" hidden="1">'Combined Delivery Data'!$K$120:$K$120</definedName>
    <definedName name="A73A73">'Combined Delivery Data'!$A$73:$A$73</definedName>
    <definedName name="B49B81">'Combined Delivery Data'!$B$49:$B$49</definedName>
    <definedName name="cmsBlocked">CombinedDeliveryData[Blocked?]</definedName>
    <definedName name="cmsCheck">CombinedDeliveryData[Data Check]</definedName>
    <definedName name="cmsDBDev">CombinedDeliveryData[DB Developer]</definedName>
    <definedName name="cmsDBDone">CombinedDeliveryData[DB Dev Actual Completion Date]</definedName>
    <definedName name="cmsDom">CombinedDeliveryData[Domain]</definedName>
    <definedName name="cmsDPO">CombinedDeliveryData[DPO Approval Reviewer]</definedName>
    <definedName name="cmsDPODone">CombinedDeliveryData[DPO Approval Completion Date]</definedName>
    <definedName name="cmsMonth">CombinedDeliveryData[Plan Delivery Month]</definedName>
    <definedName name="cmsName">CombinedDeliveryData[Report Name]</definedName>
    <definedName name="cmsPBIDev">CombinedDeliveryData[PBI Developer]</definedName>
    <definedName name="cmsPBIDone">CombinedDeliveryData[PBI Dev Actual Completion Date]</definedName>
    <definedName name="cmsQA">CombinedDeliveryData[QA Tester]</definedName>
    <definedName name="cmsQADone">CombinedDeliveryData[QA Actual Completion Date]</definedName>
    <definedName name="cmsStatus">CombinedDeliveryData[Current Status (Update next stage after completion date)]</definedName>
    <definedName name="DB_Dev_List">'Data Validation'!$B$3:$B$12</definedName>
    <definedName name="DPO_Approval_List">'Data Validation'!$K$3:$K$6</definedName>
    <definedName name="L2T2">'Rework Log'!$L$1:$L$1</definedName>
    <definedName name="PBI_Dev_List">'Data Validation'!$C$3:$C$5</definedName>
    <definedName name="_xlnm.Print_Area" localSheetId="6">Dashboard!$A$1:$L$45</definedName>
    <definedName name="QA_List">'Data Validation'!$H$3:$H$7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N119" i="2" l="1" a="1"/>
  <c r="AN119" i="2"/>
  <c r="AN118" i="2" a="1"/>
  <c r="AN118" i="2"/>
  <c r="AN117" i="2" a="1"/>
  <c r="AN117" i="2"/>
  <c r="AM119" i="2" a="1"/>
  <c r="AM119" i="2"/>
  <c r="AM118" i="2" a="1"/>
  <c r="AM118" i="2"/>
  <c r="AM117" i="2" a="1"/>
  <c r="AM117" i="2"/>
  <c r="L16" i="8"/>
  <c r="K16" i="8" a="1"/>
  <c r="K16" i="8" s="1"/>
  <c r="J16" i="8" a="1"/>
  <c r="J16" i="8" s="1"/>
  <c r="I16" i="8" a="1"/>
  <c r="I16" i="8" s="1"/>
  <c r="H16" i="8" a="1"/>
  <c r="H16" i="8" s="1"/>
  <c r="G16" i="8" a="1"/>
  <c r="G16" i="8" s="1"/>
  <c r="F16" i="8" a="1"/>
  <c r="F16" i="8" s="1"/>
  <c r="E16" i="8" a="1"/>
  <c r="E16" i="8" s="1"/>
  <c r="D16" i="8" a="1"/>
  <c r="D16" i="8" s="1"/>
  <c r="C16" i="8" a="1"/>
  <c r="C16" i="8" s="1"/>
  <c r="L15" i="8"/>
  <c r="K15" i="8" a="1"/>
  <c r="K15" i="8" s="1"/>
  <c r="J15" i="8" a="1"/>
  <c r="J15" i="8" s="1"/>
  <c r="I15" i="8" a="1"/>
  <c r="I15" i="8" s="1"/>
  <c r="H15" i="8" a="1"/>
  <c r="H15" i="8" s="1"/>
  <c r="G15" i="8" a="1"/>
  <c r="G15" i="8" s="1"/>
  <c r="F15" i="8" a="1"/>
  <c r="F15" i="8" s="1"/>
  <c r="E15" i="8" a="1"/>
  <c r="E15" i="8" s="1"/>
  <c r="D15" i="8" a="1"/>
  <c r="D15" i="8" s="1"/>
  <c r="C15" i="8" a="1"/>
  <c r="C15" i="8" s="1"/>
  <c r="L14" i="8"/>
  <c r="K14" i="8" a="1"/>
  <c r="K14" i="8" s="1"/>
  <c r="J14" i="8" a="1"/>
  <c r="J14" i="8" s="1"/>
  <c r="I14" i="8" a="1"/>
  <c r="I14" i="8" s="1"/>
  <c r="H14" i="8" a="1"/>
  <c r="H14" i="8" s="1"/>
  <c r="G14" i="8" a="1"/>
  <c r="G14" i="8" s="1"/>
  <c r="F14" i="8" a="1"/>
  <c r="F14" i="8" s="1"/>
  <c r="E14" i="8" a="1"/>
  <c r="E14" i="8" s="1"/>
  <c r="D14" i="8" a="1"/>
  <c r="D14" i="8" s="1"/>
  <c r="C14" i="8" a="1"/>
  <c r="C14" i="8" s="1"/>
  <c r="L13" i="8"/>
  <c r="K13" i="8" a="1"/>
  <c r="K13" i="8" s="1"/>
  <c r="J13" i="8" a="1"/>
  <c r="J13" i="8" s="1"/>
  <c r="I13" i="8" a="1"/>
  <c r="I13" i="8" s="1"/>
  <c r="H13" i="8" a="1"/>
  <c r="H13" i="8" s="1"/>
  <c r="G13" i="8" a="1"/>
  <c r="G13" i="8" s="1"/>
  <c r="F13" i="8" a="1"/>
  <c r="F13" i="8" s="1"/>
  <c r="E13" i="8" a="1"/>
  <c r="E13" i="8" s="1"/>
  <c r="D13" i="8" a="1"/>
  <c r="D13" i="8" s="1"/>
  <c r="C13" i="8" a="1"/>
  <c r="C13" i="8" s="1"/>
  <c r="L12" i="8"/>
  <c r="K12" i="8" a="1"/>
  <c r="K12" i="8" s="1"/>
  <c r="J12" i="8" a="1"/>
  <c r="J12" i="8" s="1"/>
  <c r="I12" i="8" a="1"/>
  <c r="I12" i="8" s="1"/>
  <c r="H12" i="8" a="1"/>
  <c r="H12" i="8" s="1"/>
  <c r="G12" i="8" a="1"/>
  <c r="G12" i="8" s="1"/>
  <c r="F12" i="8" a="1"/>
  <c r="F12" i="8" s="1"/>
  <c r="E12" i="8" a="1"/>
  <c r="E12" i="8" s="1"/>
  <c r="D12" i="8" a="1"/>
  <c r="D12" i="8" s="1"/>
  <c r="C12" i="8" a="1"/>
  <c r="C12" i="8" s="1"/>
  <c r="K7" i="8" a="1"/>
  <c r="K7" i="8" s="1"/>
  <c r="I7" i="8" a="1"/>
  <c r="I7" i="8" s="1"/>
  <c r="G7" i="8" a="1"/>
  <c r="G7" i="8" s="1"/>
  <c r="E7" i="8" a="1"/>
  <c r="E7" i="8" s="1"/>
  <c r="C7" i="8" a="1"/>
  <c r="C7" i="8" s="1"/>
  <c r="M2" i="8"/>
  <c r="C3" i="10" a="1"/>
  <c r="C3" i="10" s="1"/>
  <c r="A3" i="10" a="1"/>
  <c r="A3" i="10" s="1"/>
  <c r="E2" i="9"/>
  <c r="E3" i="9"/>
  <c r="E4" i="9"/>
  <c r="E5" i="9"/>
  <c r="E6" i="9"/>
  <c r="E7" i="9"/>
  <c r="E8" i="9"/>
  <c r="E9" i="9"/>
  <c r="E10" i="9"/>
  <c r="E11" i="9"/>
  <c r="E12" i="9"/>
  <c r="E13" i="9"/>
  <c r="E14" i="9"/>
  <c r="E15" i="9"/>
  <c r="E16" i="9"/>
  <c r="E17" i="9"/>
  <c r="E18" i="9"/>
  <c r="E19" i="9"/>
  <c r="E20" i="9"/>
  <c r="E21" i="9"/>
  <c r="E22" i="9"/>
  <c r="E23" i="9"/>
  <c r="E24" i="9"/>
  <c r="E25" i="9"/>
  <c r="E26" i="9"/>
  <c r="E27" i="9"/>
  <c r="E28" i="9"/>
  <c r="E29" i="9"/>
  <c r="E30" i="9"/>
  <c r="E31" i="9"/>
  <c r="E32" i="9"/>
  <c r="E33" i="9"/>
  <c r="E34" i="9"/>
  <c r="E35" i="9"/>
  <c r="E36" i="9"/>
  <c r="E37" i="9"/>
  <c r="E38" i="9"/>
  <c r="E39" i="9"/>
  <c r="E40" i="9"/>
  <c r="E41" i="9"/>
  <c r="E42" i="9"/>
  <c r="E43" i="9"/>
  <c r="E44" i="9"/>
  <c r="E45" i="9"/>
  <c r="E46" i="9"/>
  <c r="E47" i="9"/>
  <c r="E48" i="9"/>
  <c r="E49" i="9"/>
  <c r="E50" i="9"/>
  <c r="E51" i="9"/>
  <c r="E52" i="9"/>
  <c r="E53" i="9"/>
  <c r="E54" i="9"/>
  <c r="E55" i="9"/>
  <c r="E56" i="9"/>
  <c r="E57" i="9"/>
  <c r="E58" i="9"/>
  <c r="E59" i="9"/>
  <c r="E60" i="9"/>
  <c r="E61" i="9"/>
  <c r="E62" i="9"/>
  <c r="E63" i="9"/>
  <c r="E64" i="9"/>
  <c r="E65" i="9"/>
  <c r="E66" i="9"/>
  <c r="E67" i="9"/>
  <c r="E68" i="9"/>
  <c r="E69" i="9"/>
  <c r="E70" i="9"/>
  <c r="E71" i="9"/>
  <c r="E72" i="9"/>
  <c r="E73" i="9"/>
  <c r="AM116" i="2" a="1"/>
  <c r="AM116" i="2" s="1"/>
  <c r="AN116" i="2" a="1"/>
  <c r="AN116" i="2" s="1"/>
  <c r="D84" i="2" a="1"/>
  <c r="D84" i="2" s="1"/>
  <c r="P4" i="4"/>
  <c r="P3" i="4"/>
  <c r="P2" i="4"/>
  <c r="AK115" i="2" a="1"/>
  <c r="AK115" i="2" s="1"/>
  <c r="AK114" i="2" a="1"/>
  <c r="AK114" i="2" s="1"/>
  <c r="AK113" i="2" a="1"/>
  <c r="AK113" i="2" s="1"/>
  <c r="AK112" i="2" a="1"/>
  <c r="AK112" i="2" s="1"/>
  <c r="AK111" i="2" a="1"/>
  <c r="AK111" i="2" s="1"/>
  <c r="AK110" i="2" a="1"/>
  <c r="AK110" i="2" s="1"/>
  <c r="AK109" i="2" a="1"/>
  <c r="AK109" i="2" s="1"/>
  <c r="AK108" i="2" a="1"/>
  <c r="AK108" i="2" s="1"/>
  <c r="AK107" i="2" a="1"/>
  <c r="AK107" i="2" s="1"/>
  <c r="AK106" i="2" a="1"/>
  <c r="AK106" i="2" s="1"/>
  <c r="AK105" i="2" a="1"/>
  <c r="AK105" i="2" s="1"/>
  <c r="AK104" i="2" a="1"/>
  <c r="AK104" i="2" s="1"/>
  <c r="AK103" i="2" a="1"/>
  <c r="AK103" i="2" s="1"/>
  <c r="AK102" i="2" a="1"/>
  <c r="AK102" i="2" s="1"/>
  <c r="AK101" i="2" a="1"/>
  <c r="AK101" i="2" s="1"/>
  <c r="AK100" i="2" a="1"/>
  <c r="AK100" i="2" s="1"/>
  <c r="AK99" i="2" a="1"/>
  <c r="AK99" i="2" s="1"/>
  <c r="AK98" i="2" a="1"/>
  <c r="AK98" i="2" s="1"/>
  <c r="AK97" i="2" a="1"/>
  <c r="AK97" i="2" s="1"/>
  <c r="AK96" i="2" a="1"/>
  <c r="AK96" i="2" s="1"/>
  <c r="AK95" i="2" a="1"/>
  <c r="AK95" i="2" s="1"/>
  <c r="AK94" i="2" a="1"/>
  <c r="AK94" i="2" s="1"/>
  <c r="AK93" i="2" a="1"/>
  <c r="AK93" i="2" s="1"/>
  <c r="AK92" i="2" a="1"/>
  <c r="AK92" i="2" s="1"/>
  <c r="AK91" i="2" a="1"/>
  <c r="AK91" i="2" s="1"/>
  <c r="AK90" i="2" a="1"/>
  <c r="AK90" i="2" s="1"/>
  <c r="AK89" i="2" a="1"/>
  <c r="AK89" i="2" s="1"/>
  <c r="AK88" i="2" a="1"/>
  <c r="AK88" i="2" s="1"/>
  <c r="AK87" i="2" a="1"/>
  <c r="AK87" i="2" s="1"/>
  <c r="AK86" i="2" a="1"/>
  <c r="AK86" i="2" s="1"/>
  <c r="AK85" i="2" a="1"/>
  <c r="AK85" i="2" s="1"/>
  <c r="AK84" i="2" a="1"/>
  <c r="AK84" i="2" s="1"/>
  <c r="AK83" i="2" a="1"/>
  <c r="AK83" i="2" s="1"/>
  <c r="AK82" i="2" a="1"/>
  <c r="AK82" i="2" s="1"/>
  <c r="AK81" i="2" a="1"/>
  <c r="AK81" i="2" s="1"/>
  <c r="AK80" i="2" a="1"/>
  <c r="AK80" i="2" s="1"/>
  <c r="AK79" i="2" a="1"/>
  <c r="AK79" i="2" s="1"/>
  <c r="AK78" i="2" a="1"/>
  <c r="AK78" i="2" s="1"/>
  <c r="AK77" i="2" a="1"/>
  <c r="AK77" i="2" s="1"/>
  <c r="AK76" i="2" a="1"/>
  <c r="AK76" i="2" s="1"/>
  <c r="AK75" i="2" a="1"/>
  <c r="AK75" i="2" s="1"/>
  <c r="AK74" i="2" a="1"/>
  <c r="AK74" i="2" s="1"/>
  <c r="AK73" i="2" a="1"/>
  <c r="AK73" i="2" s="1"/>
  <c r="AK72" i="2" a="1"/>
  <c r="AK72" i="2" s="1"/>
  <c r="AK71" i="2" a="1"/>
  <c r="AK71" i="2" s="1"/>
  <c r="AK70" i="2" a="1"/>
  <c r="AK70" i="2" s="1"/>
  <c r="AK69" i="2" a="1"/>
  <c r="AK69" i="2" s="1"/>
  <c r="AK68" i="2" a="1"/>
  <c r="AK68" i="2" s="1"/>
  <c r="AK66" i="2" a="1"/>
  <c r="AK66" i="2" s="1"/>
  <c r="AK65" i="2" a="1"/>
  <c r="AK65" i="2" s="1"/>
  <c r="AK64" i="2" a="1"/>
  <c r="AK64" i="2" s="1"/>
  <c r="AK62" i="2" a="1"/>
  <c r="AK62" i="2" s="1"/>
  <c r="AK61" i="2" a="1"/>
  <c r="AK61" i="2" s="1"/>
  <c r="AK60" i="2" a="1"/>
  <c r="AK60" i="2" s="1"/>
  <c r="AK59" i="2" a="1"/>
  <c r="AK59" i="2" s="1"/>
  <c r="AK58" i="2" a="1"/>
  <c r="AK58" i="2" s="1"/>
  <c r="AK57" i="2" a="1"/>
  <c r="AK57" i="2" s="1"/>
  <c r="AK56" i="2" a="1"/>
  <c r="AK56" i="2" s="1"/>
  <c r="AK55" i="2" a="1"/>
  <c r="AK55" i="2" s="1"/>
  <c r="AK54" i="2" a="1"/>
  <c r="AK54" i="2" s="1"/>
  <c r="AK53" i="2" a="1"/>
  <c r="AK53" i="2" s="1"/>
  <c r="AK52" i="2" a="1"/>
  <c r="AK52" i="2" s="1"/>
  <c r="AK51" i="2" a="1"/>
  <c r="AK51" i="2" s="1"/>
  <c r="AK50" i="2" a="1"/>
  <c r="AK50" i="2" s="1"/>
  <c r="AK49" i="2" a="1"/>
  <c r="AK49" i="2" s="1"/>
  <c r="AK48" i="2" a="1"/>
  <c r="AK48" i="2" s="1"/>
  <c r="AK47" i="2" a="1"/>
  <c r="AK47" i="2" s="1"/>
  <c r="AK45" i="2" a="1"/>
  <c r="AK45" i="2" s="1"/>
  <c r="AK44" i="2" a="1"/>
  <c r="AK44" i="2" s="1"/>
  <c r="AK43" i="2" a="1"/>
  <c r="AK43" i="2" s="1"/>
  <c r="AK42" i="2" a="1"/>
  <c r="AK42" i="2" s="1"/>
  <c r="AK41" i="2" a="1"/>
  <c r="AK41" i="2" s="1"/>
  <c r="AK40" i="2" a="1"/>
  <c r="AK40" i="2" s="1"/>
  <c r="AK39" i="2" a="1"/>
  <c r="AK39" i="2" s="1"/>
  <c r="AK38" i="2" a="1"/>
  <c r="AK38" i="2" s="1"/>
  <c r="AK37" i="2" a="1"/>
  <c r="AK37" i="2" s="1"/>
  <c r="AK36" i="2" a="1"/>
  <c r="AK36" i="2" s="1"/>
  <c r="AK35" i="2" a="1"/>
  <c r="AK35" i="2" s="1"/>
  <c r="AK34" i="2" a="1"/>
  <c r="AK34" i="2" s="1"/>
  <c r="AK33" i="2" a="1"/>
  <c r="AK33" i="2" s="1"/>
  <c r="AK32" i="2" a="1"/>
  <c r="AK32" i="2" s="1"/>
  <c r="AK31" i="2" a="1"/>
  <c r="AK31" i="2" s="1"/>
  <c r="AK30" i="2" a="1"/>
  <c r="AK30" i="2" s="1"/>
  <c r="AK29" i="2" a="1"/>
  <c r="AK29" i="2" s="1"/>
  <c r="AK28" i="2" a="1"/>
  <c r="AK28" i="2" s="1"/>
  <c r="AK27" i="2" a="1"/>
  <c r="AK27" i="2" s="1"/>
  <c r="AK25" i="2" a="1"/>
  <c r="AK25" i="2" s="1"/>
  <c r="AK21" i="2" a="1"/>
  <c r="AK21" i="2" s="1"/>
  <c r="AK15" i="2" a="1"/>
  <c r="AK15" i="2" s="1"/>
  <c r="AK11" i="2" a="1"/>
  <c r="AK11" i="2" s="1"/>
  <c r="AK10" i="2" a="1"/>
  <c r="AK10" i="2" s="1"/>
  <c r="AK9" i="2" a="1"/>
  <c r="AK9" i="2" s="1"/>
  <c r="AK8" i="2" a="1"/>
  <c r="AK8" i="2" s="1"/>
  <c r="AK7" i="2" a="1"/>
  <c r="AK7" i="2" s="1"/>
  <c r="AK6" i="2" a="1"/>
  <c r="AK6" i="2" s="1"/>
  <c r="AK5" i="2" a="1"/>
  <c r="AK5" i="2" s="1"/>
  <c r="AK4" i="2" a="1"/>
  <c r="AK4" i="2" s="1"/>
  <c r="AK3" i="2" a="1"/>
  <c r="AK3" i="2" s="1"/>
  <c r="AK2" i="2" a="1"/>
  <c r="AK2" i="2" s="1"/>
  <c r="AM55" i="2" a="1"/>
  <c r="AM55" i="2" s="1"/>
  <c r="D115" i="2" a="1"/>
  <c r="D115" i="2" s="1"/>
  <c r="D114" i="2" a="1"/>
  <c r="D114" i="2" s="1"/>
  <c r="D113" i="2" a="1"/>
  <c r="D113" i="2" s="1"/>
  <c r="D112" i="2" a="1"/>
  <c r="D112" i="2" s="1"/>
  <c r="D111" i="2" a="1"/>
  <c r="D111" i="2" s="1"/>
  <c r="D110" i="2" a="1"/>
  <c r="D110" i="2" s="1"/>
  <c r="D109" i="2" a="1"/>
  <c r="D109" i="2" s="1"/>
  <c r="D108" i="2" a="1"/>
  <c r="D108" i="2" s="1"/>
  <c r="D107" i="2" a="1"/>
  <c r="D107" i="2" s="1"/>
  <c r="D106" i="2" a="1"/>
  <c r="D106" i="2" s="1"/>
  <c r="D105" i="2" a="1"/>
  <c r="D105" i="2" s="1"/>
  <c r="D104" i="2" a="1"/>
  <c r="D104" i="2" s="1"/>
  <c r="D103" i="2" a="1"/>
  <c r="D103" i="2" s="1"/>
  <c r="D102" i="2" a="1"/>
  <c r="D102" i="2" s="1"/>
  <c r="D101" i="2" a="1"/>
  <c r="D101" i="2" s="1"/>
  <c r="D100" i="2" a="1"/>
  <c r="D100" i="2" s="1"/>
  <c r="D99" i="2" a="1"/>
  <c r="D99" i="2" s="1"/>
  <c r="D98" i="2" a="1"/>
  <c r="D98" i="2" s="1"/>
  <c r="D97" i="2" a="1"/>
  <c r="D97" i="2" s="1"/>
  <c r="D96" i="2" a="1"/>
  <c r="D96" i="2" s="1"/>
  <c r="D95" i="2" a="1"/>
  <c r="D95" i="2" s="1"/>
  <c r="D94" i="2" a="1"/>
  <c r="D94" i="2" s="1"/>
  <c r="D93" i="2" a="1"/>
  <c r="D93" i="2" s="1"/>
  <c r="D92" i="2" a="1"/>
  <c r="D92" i="2" s="1"/>
  <c r="D91" i="2" a="1"/>
  <c r="D91" i="2" s="1"/>
  <c r="D90" i="2" a="1"/>
  <c r="D90" i="2" s="1"/>
  <c r="D89" i="2" a="1"/>
  <c r="D89" i="2" s="1"/>
  <c r="D88" i="2" a="1"/>
  <c r="D88" i="2" s="1"/>
  <c r="D87" i="2" a="1"/>
  <c r="D87" i="2" s="1"/>
  <c r="D86" i="2" a="1"/>
  <c r="D86" i="2" s="1"/>
  <c r="D85" i="2" a="1"/>
  <c r="D85" i="2" s="1"/>
  <c r="D82" i="2" a="1"/>
  <c r="D82" i="2" s="1"/>
  <c r="D79" i="2" a="1"/>
  <c r="D79" i="2" s="1"/>
  <c r="D77" i="2" a="1"/>
  <c r="D77" i="2" s="1"/>
  <c r="D76" i="2" a="1"/>
  <c r="D76" i="2" s="1"/>
  <c r="D75" i="2" a="1"/>
  <c r="D75" i="2" s="1"/>
  <c r="D69" i="2" a="1"/>
  <c r="D69" i="2" s="1"/>
  <c r="D68" i="2" a="1"/>
  <c r="D68" i="2" s="1"/>
  <c r="D66" i="2" a="1"/>
  <c r="D66" i="2" s="1"/>
  <c r="D58" i="2" a="1"/>
  <c r="D58" i="2" s="1"/>
  <c r="D42" i="2" a="1"/>
  <c r="D42" i="2" s="1"/>
  <c r="D41" i="2" a="1"/>
  <c r="D41" i="2" s="1"/>
  <c r="D40" i="2" a="1"/>
  <c r="D40" i="2" s="1"/>
  <c r="D39" i="2" a="1"/>
  <c r="D39" i="2" s="1"/>
  <c r="D38" i="2" a="1"/>
  <c r="D38" i="2" s="1"/>
  <c r="D37" i="2" a="1"/>
  <c r="D37" i="2" s="1"/>
  <c r="D36" i="2" a="1"/>
  <c r="D36" i="2" s="1"/>
  <c r="D35" i="2" a="1"/>
  <c r="D35" i="2" s="1"/>
  <c r="D34" i="2" a="1"/>
  <c r="D34" i="2" s="1"/>
  <c r="D33" i="2" a="1"/>
  <c r="D33" i="2" s="1"/>
  <c r="D32" i="2" a="1"/>
  <c r="D32" i="2" s="1"/>
  <c r="D31" i="2" a="1"/>
  <c r="D31" i="2" s="1"/>
  <c r="D30" i="2" a="1"/>
  <c r="D30" i="2" s="1"/>
  <c r="D28" i="2" a="1"/>
  <c r="D28" i="2" s="1"/>
  <c r="D27" i="2" a="1"/>
  <c r="D27" i="2" s="1"/>
  <c r="D26" i="2" a="1"/>
  <c r="D26" i="2" s="1"/>
  <c r="D25" i="2" a="1"/>
  <c r="D25" i="2" s="1"/>
  <c r="D24" i="2" a="1"/>
  <c r="D24" i="2" s="1"/>
  <c r="D23" i="2" a="1"/>
  <c r="D23" i="2" s="1"/>
  <c r="D22" i="2" a="1"/>
  <c r="D22" i="2" s="1"/>
  <c r="D21" i="2" a="1"/>
  <c r="D21" i="2" s="1"/>
  <c r="D20" i="2" a="1"/>
  <c r="D20" i="2" s="1"/>
  <c r="D19" i="2" a="1"/>
  <c r="D19" i="2" s="1"/>
  <c r="D18" i="2" a="1"/>
  <c r="D18" i="2" s="1"/>
  <c r="D17" i="2" a="1"/>
  <c r="D17" i="2" s="1"/>
  <c r="D16" i="2" a="1"/>
  <c r="D16" i="2" s="1"/>
  <c r="D15" i="2" a="1"/>
  <c r="D15" i="2" s="1"/>
  <c r="D14" i="2" a="1"/>
  <c r="D14" i="2" s="1"/>
  <c r="D13" i="2" a="1"/>
  <c r="D13" i="2" s="1"/>
  <c r="D12" i="2" a="1"/>
  <c r="D12" i="2" s="1"/>
  <c r="D11" i="2" a="1"/>
  <c r="D11" i="2" s="1"/>
  <c r="D10" i="2" a="1"/>
  <c r="D10" i="2" s="1"/>
  <c r="D9" i="2" a="1"/>
  <c r="D9" i="2" s="1"/>
  <c r="D8" i="2" a="1"/>
  <c r="D8" i="2" s="1"/>
  <c r="D7" i="2" a="1"/>
  <c r="D7" i="2" s="1"/>
  <c r="D6" i="2" a="1"/>
  <c r="D6" i="2" s="1"/>
  <c r="D5" i="2" a="1"/>
  <c r="D5" i="2" s="1"/>
  <c r="D4" i="2" a="1"/>
  <c r="D4" i="2" s="1"/>
  <c r="D3" i="2" a="1"/>
  <c r="D3" i="2" s="1"/>
  <c r="D2" i="2" a="1"/>
  <c r="D2" i="2" s="1"/>
  <c r="D29" i="2" a="1"/>
  <c r="D29" i="2" s="1"/>
  <c r="B31" i="3"/>
  <c r="B25" i="3"/>
  <c r="B24" i="3"/>
  <c r="B23" i="3"/>
  <c r="B22" i="3"/>
  <c r="B21" i="3"/>
  <c r="B20" i="3"/>
  <c r="B19" i="3"/>
  <c r="B18" i="3"/>
  <c r="B17" i="3"/>
  <c r="B16" i="3"/>
  <c r="B15" i="3"/>
  <c r="B14" i="3"/>
  <c r="B13" i="3"/>
  <c r="B12" i="3"/>
  <c r="B11" i="3"/>
  <c r="B10" i="3"/>
  <c r="B9" i="3"/>
  <c r="B8" i="3"/>
  <c r="B7" i="3"/>
  <c r="B6" i="3"/>
  <c r="M25" i="4"/>
  <c r="AN115" i="2" a="1"/>
  <c r="AN115" i="2" s="1"/>
  <c r="AN114" i="2" a="1"/>
  <c r="AN114" i="2" s="1"/>
  <c r="AN113" i="2" a="1"/>
  <c r="AN113" i="2" s="1"/>
  <c r="AN112" i="2" a="1"/>
  <c r="AN112" i="2" s="1"/>
  <c r="AN111" i="2" a="1"/>
  <c r="AN111" i="2" s="1"/>
  <c r="AN110" i="2" a="1"/>
  <c r="AN110" i="2" s="1"/>
  <c r="AN109" i="2" a="1"/>
  <c r="AN109" i="2" s="1"/>
  <c r="AN108" i="2" a="1"/>
  <c r="AN108" i="2" s="1"/>
  <c r="AN107" i="2" a="1"/>
  <c r="AN107" i="2" s="1"/>
  <c r="AN106" i="2" a="1"/>
  <c r="AN106" i="2" s="1"/>
  <c r="AN105" i="2" a="1"/>
  <c r="AN105" i="2" s="1"/>
  <c r="AN104" i="2" a="1"/>
  <c r="AN104" i="2" s="1"/>
  <c r="AN103" i="2" a="1"/>
  <c r="AN103" i="2" s="1"/>
  <c r="AN102" i="2" a="1"/>
  <c r="AN102" i="2" s="1"/>
  <c r="AN101" i="2" a="1"/>
  <c r="AN101" i="2" s="1"/>
  <c r="AN100" i="2" a="1"/>
  <c r="AN100" i="2" s="1"/>
  <c r="AN99" i="2" a="1"/>
  <c r="AN99" i="2" s="1"/>
  <c r="AN98" i="2" a="1"/>
  <c r="AN98" i="2" s="1"/>
  <c r="AN97" i="2" a="1"/>
  <c r="AN97" i="2" s="1"/>
  <c r="AN96" i="2" a="1"/>
  <c r="AN96" i="2" s="1"/>
  <c r="AN95" i="2" a="1"/>
  <c r="AN95" i="2" s="1"/>
  <c r="AN94" i="2" a="1"/>
  <c r="AN94" i="2" s="1"/>
  <c r="AN93" i="2" a="1"/>
  <c r="AN93" i="2" s="1"/>
  <c r="AN92" i="2" a="1"/>
  <c r="AN92" i="2" s="1"/>
  <c r="AN91" i="2" a="1"/>
  <c r="AN91" i="2" s="1"/>
  <c r="AN90" i="2" a="1"/>
  <c r="AN90" i="2" s="1"/>
  <c r="AN89" i="2" a="1"/>
  <c r="AN89" i="2" s="1"/>
  <c r="AN88" i="2" a="1"/>
  <c r="AN88" i="2" s="1"/>
  <c r="AN87" i="2" a="1"/>
  <c r="AN87" i="2" s="1"/>
  <c r="AN86" i="2" a="1"/>
  <c r="AN86" i="2" s="1"/>
  <c r="AN85" i="2" a="1"/>
  <c r="AN85" i="2" s="1"/>
  <c r="AN84" i="2" a="1"/>
  <c r="AN84" i="2" s="1"/>
  <c r="AN83" i="2" a="1"/>
  <c r="AN83" i="2" s="1"/>
  <c r="AN82" i="2" a="1"/>
  <c r="AN82" i="2" s="1"/>
  <c r="AN81" i="2" a="1"/>
  <c r="AN81" i="2" s="1"/>
  <c r="AN80" i="2" a="1"/>
  <c r="AN80" i="2" s="1"/>
  <c r="AN79" i="2" a="1"/>
  <c r="AN79" i="2" s="1"/>
  <c r="AN78" i="2" a="1"/>
  <c r="AN78" i="2" s="1"/>
  <c r="AN77" i="2" a="1"/>
  <c r="AN77" i="2" s="1"/>
  <c r="AN76" i="2" a="1"/>
  <c r="AN76" i="2" s="1"/>
  <c r="AN75" i="2" a="1"/>
  <c r="AN75" i="2" s="1"/>
  <c r="AN74" i="2" a="1"/>
  <c r="AN74" i="2" s="1"/>
  <c r="AN73" i="2" a="1"/>
  <c r="AN73" i="2" s="1"/>
  <c r="AN72" i="2" a="1"/>
  <c r="AN72" i="2" s="1"/>
  <c r="AN71" i="2" a="1"/>
  <c r="AN71" i="2" s="1"/>
  <c r="AN70" i="2" a="1"/>
  <c r="AN70" i="2" s="1"/>
  <c r="AN69" i="2" a="1"/>
  <c r="AN69" i="2" s="1"/>
  <c r="AN68" i="2" a="1"/>
  <c r="AN68" i="2" s="1"/>
  <c r="AN67" i="2" a="1"/>
  <c r="AN67" i="2" s="1"/>
  <c r="AN66" i="2" a="1"/>
  <c r="AN66" i="2" s="1"/>
  <c r="AN65" i="2" a="1"/>
  <c r="AN65" i="2" s="1"/>
  <c r="AN64" i="2" a="1"/>
  <c r="AN64" i="2" s="1"/>
  <c r="AN63" i="2" a="1"/>
  <c r="AN63" i="2" s="1"/>
  <c r="AN62" i="2" a="1"/>
  <c r="AN62" i="2" s="1"/>
  <c r="AN61" i="2" a="1"/>
  <c r="AN61" i="2" s="1"/>
  <c r="AN60" i="2" a="1"/>
  <c r="AN60" i="2" s="1"/>
  <c r="AN59" i="2" a="1"/>
  <c r="AN59" i="2" s="1"/>
  <c r="D59" i="2" s="1" a="1"/>
  <c r="D59" i="2" s="1"/>
  <c r="AN58" i="2" a="1"/>
  <c r="AN58" i="2" s="1"/>
  <c r="AN57" i="2" a="1"/>
  <c r="AN57" i="2" s="1"/>
  <c r="AN56" i="2" a="1"/>
  <c r="AN56" i="2" s="1"/>
  <c r="AN55" i="2" a="1"/>
  <c r="AN55" i="2" s="1"/>
  <c r="AN54" i="2" a="1"/>
  <c r="AN54" i="2" s="1"/>
  <c r="D54" i="2" s="1" a="1"/>
  <c r="D54" i="2" s="1"/>
  <c r="AN53" i="2" a="1"/>
  <c r="AN53" i="2" s="1"/>
  <c r="AN52" i="2" a="1"/>
  <c r="AN52" i="2" s="1"/>
  <c r="AN51" i="2" a="1"/>
  <c r="AN51" i="2" s="1"/>
  <c r="D51" i="2" s="1" a="1"/>
  <c r="D51" i="2" s="1"/>
  <c r="AN50" i="2" a="1"/>
  <c r="AN50" i="2" s="1"/>
  <c r="D50" i="2" s="1" a="1"/>
  <c r="D50" i="2" s="1"/>
  <c r="AN49" i="2" a="1"/>
  <c r="AN49" i="2" s="1"/>
  <c r="D49" i="2" s="1" a="1"/>
  <c r="D49" i="2" s="1"/>
  <c r="AN48" i="2" a="1"/>
  <c r="AN48" i="2" s="1"/>
  <c r="AN47" i="2" a="1"/>
  <c r="AN47" i="2" s="1"/>
  <c r="AN46" i="2" a="1"/>
  <c r="AN46" i="2" s="1"/>
  <c r="AN45" i="2" a="1"/>
  <c r="AN45" i="2" s="1"/>
  <c r="AN44" i="2" a="1"/>
  <c r="AN44" i="2" s="1"/>
  <c r="D44" i="2" s="1" a="1"/>
  <c r="D44" i="2" s="1"/>
  <c r="AN43" i="2" a="1"/>
  <c r="AN43" i="2" s="1"/>
  <c r="AN42" i="2" a="1"/>
  <c r="AN42" i="2" s="1"/>
  <c r="AN41" i="2" a="1"/>
  <c r="AN41" i="2" s="1"/>
  <c r="AN40" i="2" a="1"/>
  <c r="AN40" i="2" s="1"/>
  <c r="AN39" i="2" a="1"/>
  <c r="AN39" i="2" s="1"/>
  <c r="AN38" i="2" a="1"/>
  <c r="AN38" i="2" s="1"/>
  <c r="AN37" i="2" a="1"/>
  <c r="AN37" i="2" s="1"/>
  <c r="AN36" i="2" a="1"/>
  <c r="AN36" i="2" s="1"/>
  <c r="AN35" i="2" a="1"/>
  <c r="AN35" i="2" s="1"/>
  <c r="AN34" i="2" a="1"/>
  <c r="AN34" i="2" s="1"/>
  <c r="AN33" i="2" a="1"/>
  <c r="AN33" i="2" s="1"/>
  <c r="AN32" i="2" a="1"/>
  <c r="AN32" i="2" s="1"/>
  <c r="AN31" i="2" a="1"/>
  <c r="AN31" i="2" s="1"/>
  <c r="AN30" i="2" a="1"/>
  <c r="AN30" i="2" s="1"/>
  <c r="AN29" i="2" a="1"/>
  <c r="AN29" i="2" s="1"/>
  <c r="AN28" i="2" a="1"/>
  <c r="AN28" i="2" s="1"/>
  <c r="AN27" i="2" a="1"/>
  <c r="AN27" i="2" s="1"/>
  <c r="AN26" i="2" a="1"/>
  <c r="AN26" i="2" s="1"/>
  <c r="AN25" i="2" a="1"/>
  <c r="AN25" i="2" s="1"/>
  <c r="AN24" i="2" a="1"/>
  <c r="AN24" i="2" s="1"/>
  <c r="AN23" i="2" a="1"/>
  <c r="AN23" i="2" s="1"/>
  <c r="AN22" i="2" a="1"/>
  <c r="AN22" i="2" s="1"/>
  <c r="AN21" i="2" a="1"/>
  <c r="AN21" i="2" s="1"/>
  <c r="AN20" i="2" a="1"/>
  <c r="AN20" i="2" s="1"/>
  <c r="AN19" i="2" a="1"/>
  <c r="AN19" i="2" s="1"/>
  <c r="AN18" i="2" a="1"/>
  <c r="AN18" i="2" s="1"/>
  <c r="AN17" i="2" a="1"/>
  <c r="AN17" i="2" s="1"/>
  <c r="AN16" i="2" a="1"/>
  <c r="AN16" i="2" s="1"/>
  <c r="AN15" i="2" a="1"/>
  <c r="AN15" i="2" s="1"/>
  <c r="AN14" i="2" a="1"/>
  <c r="AN14" i="2" s="1"/>
  <c r="AN13" i="2" a="1"/>
  <c r="AN13" i="2" s="1"/>
  <c r="AN12" i="2" a="1"/>
  <c r="AN12" i="2" s="1"/>
  <c r="AN11" i="2" a="1"/>
  <c r="AN11" i="2" s="1"/>
  <c r="AN10" i="2" a="1"/>
  <c r="AN10" i="2" s="1"/>
  <c r="AN9" i="2" a="1"/>
  <c r="AN9" i="2" s="1"/>
  <c r="AN8" i="2" a="1"/>
  <c r="AN8" i="2" s="1"/>
  <c r="AN7" i="2" a="1"/>
  <c r="AN7" i="2" s="1"/>
  <c r="AN6" i="2" a="1"/>
  <c r="AN6" i="2" s="1"/>
  <c r="AN5" i="2" a="1"/>
  <c r="AN5" i="2" s="1"/>
  <c r="AN4" i="2" a="1"/>
  <c r="AN4" i="2" s="1"/>
  <c r="AN3" i="2" a="1"/>
  <c r="AN3" i="2" s="1"/>
  <c r="AN2" i="2" a="1"/>
  <c r="AN2" i="2" s="1"/>
  <c r="AM115" i="2" a="1"/>
  <c r="AM115" i="2" s="1"/>
  <c r="AM114" i="2" a="1"/>
  <c r="AM114" i="2" s="1"/>
  <c r="AM113" i="2" a="1"/>
  <c r="AM113" i="2" s="1"/>
  <c r="AM112" i="2" a="1"/>
  <c r="AM112" i="2" s="1"/>
  <c r="AM111" i="2" a="1"/>
  <c r="AM111" i="2" s="1"/>
  <c r="AM110" i="2" a="1"/>
  <c r="AM110" i="2" s="1"/>
  <c r="AM109" i="2" a="1"/>
  <c r="AM109" i="2" s="1"/>
  <c r="AM108" i="2" a="1"/>
  <c r="AM108" i="2" s="1"/>
  <c r="AM107" i="2" a="1"/>
  <c r="AM107" i="2" s="1"/>
  <c r="AM106" i="2" a="1"/>
  <c r="AM106" i="2" s="1"/>
  <c r="AM105" i="2" a="1"/>
  <c r="AM105" i="2" s="1"/>
  <c r="AM104" i="2" a="1"/>
  <c r="AM104" i="2" s="1"/>
  <c r="AM103" i="2" a="1"/>
  <c r="AM103" i="2" s="1"/>
  <c r="AM102" i="2" a="1"/>
  <c r="AM102" i="2" s="1"/>
  <c r="AM101" i="2" a="1"/>
  <c r="AM101" i="2" s="1"/>
  <c r="AM100" i="2" a="1"/>
  <c r="AM100" i="2" s="1"/>
  <c r="AM99" i="2" a="1"/>
  <c r="AM99" i="2" s="1"/>
  <c r="AM98" i="2" a="1"/>
  <c r="AM98" i="2" s="1"/>
  <c r="AM97" i="2" a="1"/>
  <c r="AM97" i="2" s="1"/>
  <c r="AM96" i="2" a="1"/>
  <c r="AM96" i="2" s="1"/>
  <c r="AM95" i="2" a="1"/>
  <c r="AM95" i="2" s="1"/>
  <c r="AM94" i="2" a="1"/>
  <c r="AM94" i="2" s="1"/>
  <c r="AM93" i="2" a="1"/>
  <c r="AM93" i="2" s="1"/>
  <c r="AM92" i="2" a="1"/>
  <c r="AM92" i="2" s="1"/>
  <c r="AM91" i="2" a="1"/>
  <c r="AM91" i="2" s="1"/>
  <c r="AM90" i="2" a="1"/>
  <c r="AM90" i="2" s="1"/>
  <c r="AM89" i="2" a="1"/>
  <c r="AM89" i="2" s="1"/>
  <c r="AM88" i="2" a="1"/>
  <c r="AM88" i="2" s="1"/>
  <c r="AM87" i="2" a="1"/>
  <c r="AM87" i="2" s="1"/>
  <c r="AM86" i="2" a="1"/>
  <c r="AM86" i="2" s="1"/>
  <c r="AM85" i="2" a="1"/>
  <c r="AM85" i="2" s="1"/>
  <c r="AM84" i="2" a="1"/>
  <c r="AM84" i="2" s="1"/>
  <c r="AM83" i="2" a="1"/>
  <c r="AM83" i="2" s="1"/>
  <c r="D83" i="2" s="1" a="1"/>
  <c r="D83" i="2" s="1"/>
  <c r="AM82" i="2" a="1"/>
  <c r="AM82" i="2" s="1"/>
  <c r="AM81" i="2" a="1"/>
  <c r="AM81" i="2" s="1"/>
  <c r="D81" i="2" s="1" a="1"/>
  <c r="D81" i="2" s="1"/>
  <c r="AM80" i="2" a="1"/>
  <c r="AM80" i="2" s="1"/>
  <c r="D80" i="2" s="1" a="1"/>
  <c r="D80" i="2" s="1"/>
  <c r="AM79" i="2" a="1"/>
  <c r="AM79" i="2" s="1"/>
  <c r="AM78" i="2" a="1"/>
  <c r="AM78" i="2" s="1"/>
  <c r="D78" i="2" s="1" a="1"/>
  <c r="D78" i="2" s="1"/>
  <c r="AM77" i="2" a="1"/>
  <c r="AM77" i="2" s="1"/>
  <c r="AM76" i="2" a="1"/>
  <c r="AM76" i="2" s="1"/>
  <c r="AM75" i="2" a="1"/>
  <c r="AM75" i="2" s="1"/>
  <c r="AM74" i="2" a="1"/>
  <c r="AM74" i="2" s="1"/>
  <c r="D74" i="2" s="1" a="1"/>
  <c r="D74" i="2" s="1"/>
  <c r="AM73" i="2" a="1"/>
  <c r="AM73" i="2" s="1"/>
  <c r="D73" i="2" s="1" a="1"/>
  <c r="D73" i="2" s="1"/>
  <c r="AM72" i="2" a="1"/>
  <c r="AM72" i="2" s="1"/>
  <c r="AM71" i="2" a="1"/>
  <c r="AM71" i="2" s="1"/>
  <c r="AM70" i="2" a="1"/>
  <c r="AM70" i="2" s="1"/>
  <c r="D70" i="2" s="1" a="1"/>
  <c r="D70" i="2" s="1"/>
  <c r="AM69" i="2" a="1"/>
  <c r="AM69" i="2" s="1"/>
  <c r="AM68" i="2" a="1"/>
  <c r="AM68" i="2" s="1"/>
  <c r="AM67" i="2" a="1"/>
  <c r="AM67" i="2" s="1"/>
  <c r="AM66" i="2" a="1"/>
  <c r="AM66" i="2" s="1"/>
  <c r="AM65" i="2" a="1"/>
  <c r="AM65" i="2" s="1"/>
  <c r="AM64" i="2" a="1"/>
  <c r="AM64" i="2" s="1"/>
  <c r="D64" i="2" s="1" a="1"/>
  <c r="D64" i="2" s="1"/>
  <c r="AM63" i="2" a="1"/>
  <c r="AM63" i="2" s="1"/>
  <c r="AM62" i="2" a="1"/>
  <c r="AM62" i="2" s="1"/>
  <c r="AM61" i="2" a="1"/>
  <c r="AM61" i="2" s="1"/>
  <c r="AM60" i="2" a="1"/>
  <c r="AM60" i="2" s="1"/>
  <c r="D60" i="2" s="1" a="1"/>
  <c r="D60" i="2" s="1"/>
  <c r="AM59" i="2" a="1"/>
  <c r="AM59" i="2" s="1"/>
  <c r="AM58" i="2" a="1"/>
  <c r="AM58" i="2" s="1"/>
  <c r="AM57" i="2" a="1"/>
  <c r="AM57" i="2" s="1"/>
  <c r="D57" i="2" s="1" a="1"/>
  <c r="D57" i="2" s="1"/>
  <c r="AM56" i="2" a="1"/>
  <c r="AM56" i="2" s="1"/>
  <c r="AM54" i="2" a="1"/>
  <c r="AM54" i="2" s="1"/>
  <c r="AM53" i="2" a="1"/>
  <c r="AM53" i="2" s="1"/>
  <c r="AM52" i="2" a="1"/>
  <c r="AM52" i="2" s="1"/>
  <c r="AM51" i="2" a="1"/>
  <c r="AM51" i="2" s="1"/>
  <c r="AM50" i="2" a="1"/>
  <c r="AM50" i="2" s="1"/>
  <c r="AM49" i="2" a="1"/>
  <c r="AM49" i="2" s="1"/>
  <c r="AM48" i="2" a="1"/>
  <c r="AM48" i="2" s="1"/>
  <c r="AM47" i="2" a="1"/>
  <c r="AM47" i="2" s="1"/>
  <c r="AM46" i="2" a="1"/>
  <c r="AM46" i="2" s="1"/>
  <c r="AM45" i="2" a="1"/>
  <c r="AM45" i="2" s="1"/>
  <c r="AM44" i="2" a="1"/>
  <c r="AM44" i="2" s="1"/>
  <c r="AM43" i="2" a="1"/>
  <c r="AM43" i="2" s="1"/>
  <c r="AM42" i="2" a="1"/>
  <c r="AM42" i="2" s="1"/>
  <c r="AM41" i="2" a="1"/>
  <c r="AM41" i="2" s="1"/>
  <c r="AM40" i="2" a="1"/>
  <c r="AM40" i="2" s="1"/>
  <c r="AM39" i="2" a="1"/>
  <c r="AM39" i="2" s="1"/>
  <c r="AM38" i="2" a="1"/>
  <c r="AM38" i="2" s="1"/>
  <c r="AM37" i="2" a="1"/>
  <c r="AM37" i="2" s="1"/>
  <c r="AM36" i="2" a="1"/>
  <c r="AM36" i="2" s="1"/>
  <c r="AM35" i="2" a="1"/>
  <c r="AM35" i="2" s="1"/>
  <c r="AM34" i="2" a="1"/>
  <c r="AM34" i="2" s="1"/>
  <c r="AM33" i="2" a="1"/>
  <c r="AM33" i="2" s="1"/>
  <c r="AM32" i="2" a="1"/>
  <c r="AM32" i="2" s="1"/>
  <c r="AM31" i="2" a="1"/>
  <c r="AM31" i="2" s="1"/>
  <c r="AM30" i="2" a="1"/>
  <c r="AM30" i="2" s="1"/>
  <c r="AM29" i="2" a="1"/>
  <c r="AM29" i="2" s="1"/>
  <c r="AM28" i="2" a="1"/>
  <c r="AM28" i="2" s="1"/>
  <c r="AM27" i="2" a="1"/>
  <c r="AM27" i="2" s="1"/>
  <c r="AM26" i="2" a="1"/>
  <c r="AM26" i="2" s="1"/>
  <c r="AM25" i="2" a="1"/>
  <c r="AM25" i="2" s="1"/>
  <c r="AM24" i="2" a="1"/>
  <c r="AM24" i="2" s="1"/>
  <c r="AM23" i="2" a="1"/>
  <c r="AM23" i="2" s="1"/>
  <c r="AM22" i="2" a="1"/>
  <c r="AM22" i="2" s="1"/>
  <c r="AM21" i="2" a="1"/>
  <c r="AM21" i="2" s="1"/>
  <c r="AM20" i="2" a="1"/>
  <c r="AM20" i="2" s="1"/>
  <c r="AM19" i="2" a="1"/>
  <c r="AM19" i="2" s="1"/>
  <c r="AM18" i="2" a="1"/>
  <c r="AM18" i="2" s="1"/>
  <c r="AM17" i="2" a="1"/>
  <c r="AM17" i="2" s="1"/>
  <c r="AM16" i="2" a="1"/>
  <c r="AM16" i="2" s="1"/>
  <c r="AM15" i="2" a="1"/>
  <c r="AM15" i="2" s="1"/>
  <c r="AM14" i="2" a="1"/>
  <c r="AM14" i="2" s="1"/>
  <c r="AM13" i="2" a="1"/>
  <c r="AM13" i="2" s="1"/>
  <c r="AM12" i="2" a="1"/>
  <c r="AM12" i="2" s="1"/>
  <c r="AM11" i="2" a="1"/>
  <c r="AM11" i="2" s="1"/>
  <c r="AM10" i="2" a="1"/>
  <c r="AM10" i="2" s="1"/>
  <c r="AM9" i="2" a="1"/>
  <c r="AM9" i="2" s="1"/>
  <c r="AM8" i="2" a="1"/>
  <c r="AM8" i="2" s="1"/>
  <c r="AM7" i="2" a="1"/>
  <c r="AM7" i="2" s="1"/>
  <c r="AM6" i="2" a="1"/>
  <c r="AM6" i="2" s="1"/>
  <c r="AM5" i="2" a="1"/>
  <c r="AM5" i="2" s="1"/>
  <c r="AM4" i="2" a="1"/>
  <c r="AM4" i="2" s="1"/>
  <c r="AM3" i="2" a="1"/>
  <c r="AM3" i="2" s="1"/>
  <c r="AM2" i="2" a="1"/>
  <c r="AM2" i="2" s="1"/>
  <c r="M10" i="4"/>
  <c r="M11" i="4"/>
  <c r="M12" i="4"/>
  <c r="M3" i="4"/>
  <c r="M4" i="4"/>
  <c r="M5" i="4"/>
  <c r="M6" i="4"/>
  <c r="M7" i="4"/>
  <c r="M8" i="4"/>
  <c r="M9" i="4"/>
  <c r="M13" i="4"/>
  <c r="M14" i="4"/>
  <c r="M15" i="4"/>
  <c r="M17" i="4"/>
  <c r="M18" i="4"/>
  <c r="M19" i="4"/>
  <c r="M20" i="4"/>
  <c r="M21" i="4"/>
  <c r="M22" i="4"/>
  <c r="M23" i="4"/>
  <c r="M24" i="4"/>
  <c r="M26" i="4"/>
  <c r="M27" i="4"/>
  <c r="M28" i="4"/>
  <c r="M29" i="4"/>
  <c r="M30" i="4"/>
  <c r="M31" i="4"/>
  <c r="M32" i="4"/>
  <c r="M33" i="4"/>
  <c r="M34" i="4"/>
  <c r="M35" i="4"/>
  <c r="M36" i="4"/>
  <c r="M37" i="4"/>
  <c r="M38" i="4"/>
  <c r="M39" i="4"/>
  <c r="M40" i="4"/>
  <c r="M41" i="4"/>
  <c r="M42" i="4"/>
  <c r="M43" i="4"/>
  <c r="M44" i="4"/>
  <c r="M46" i="4"/>
  <c r="M47" i="4"/>
  <c r="M48" i="4"/>
  <c r="M49" i="4"/>
  <c r="M50" i="4"/>
  <c r="M51" i="4"/>
  <c r="M52" i="4"/>
  <c r="M53" i="4"/>
  <c r="M54" i="4"/>
  <c r="M55" i="4"/>
  <c r="M56" i="4"/>
  <c r="M57" i="4"/>
  <c r="M58" i="4"/>
  <c r="M59" i="4"/>
  <c r="M60" i="4"/>
  <c r="M61" i="4"/>
  <c r="M62" i="4"/>
  <c r="M63" i="4"/>
  <c r="M64" i="4"/>
  <c r="M65" i="4"/>
  <c r="M66" i="4"/>
  <c r="M67" i="4"/>
  <c r="M68" i="4"/>
  <c r="M2" i="4"/>
  <c r="AK12" i="2"/>
  <c r="AK13" i="2"/>
  <c r="AK14" i="2"/>
  <c r="AK20" i="2"/>
  <c r="AK22" i="2"/>
  <c r="AK23" i="2"/>
  <c r="AK24" i="2"/>
  <c r="AK26" i="2"/>
  <c r="AK46" i="2"/>
  <c r="D63" i="2" l="1" a="1"/>
  <c r="D63" i="2" s="1"/>
  <c r="I17" i="8"/>
  <c r="D62" i="2" a="1"/>
  <c r="D62" i="2" s="1"/>
  <c r="F17" i="8"/>
  <c r="C5" i="8"/>
  <c r="G17" i="8"/>
  <c r="C17" i="8"/>
  <c r="J17" i="8"/>
  <c r="D17" i="8"/>
  <c r="E17" i="8"/>
  <c r="H17" i="8"/>
  <c r="B53" i="8" a="1"/>
  <c r="B53" i="8" s="1"/>
  <c r="I50" i="8" s="1"/>
  <c r="B37" i="8" a="1"/>
  <c r="B37" i="8" s="1"/>
  <c r="B35" i="8" a="1"/>
  <c r="B35" i="8" s="1"/>
  <c r="K17" i="8"/>
  <c r="M12" i="8"/>
  <c r="M13" i="8"/>
  <c r="M14" i="8"/>
  <c r="M15" i="8"/>
  <c r="M16" i="8"/>
  <c r="D52" i="2" a="1"/>
  <c r="D52" i="2" s="1"/>
  <c r="D65" i="2" a="1"/>
  <c r="D65" i="2" s="1"/>
  <c r="D71" i="2" a="1"/>
  <c r="D71" i="2" s="1"/>
  <c r="D55" i="2" a="1"/>
  <c r="D55" i="2" s="1"/>
  <c r="D53" i="2" a="1"/>
  <c r="D53" i="2" s="1"/>
  <c r="D43" i="2" a="1"/>
  <c r="D43" i="2" s="1"/>
  <c r="D72" i="2" a="1"/>
  <c r="D72" i="2" s="1"/>
  <c r="D45" i="2" a="1"/>
  <c r="D45" i="2" s="1"/>
  <c r="D46" i="2" a="1"/>
  <c r="D46" i="2" s="1"/>
  <c r="D47" i="2" a="1"/>
  <c r="D47" i="2" s="1"/>
  <c r="D48" i="2" a="1"/>
  <c r="D48" i="2" s="1"/>
  <c r="P7" i="4"/>
  <c r="P8" i="4"/>
  <c r="P9" i="4"/>
  <c r="P10" i="4"/>
  <c r="P11" i="4"/>
  <c r="P12" i="4"/>
  <c r="P13" i="4"/>
  <c r="P14" i="4"/>
  <c r="P497" i="4"/>
  <c r="M497" i="4"/>
  <c r="P496" i="4"/>
  <c r="M496" i="4"/>
  <c r="P495" i="4"/>
  <c r="M495" i="4"/>
  <c r="P494" i="4"/>
  <c r="M494" i="4"/>
  <c r="P493" i="4"/>
  <c r="M493" i="4"/>
  <c r="P492" i="4"/>
  <c r="M492" i="4"/>
  <c r="P491" i="4"/>
  <c r="M491" i="4"/>
  <c r="P490" i="4"/>
  <c r="M490" i="4"/>
  <c r="P489" i="4"/>
  <c r="M489" i="4"/>
  <c r="P488" i="4"/>
  <c r="M488" i="4"/>
  <c r="P487" i="4"/>
  <c r="M487" i="4"/>
  <c r="P486" i="4"/>
  <c r="M486" i="4"/>
  <c r="P485" i="4"/>
  <c r="M485" i="4"/>
  <c r="P484" i="4"/>
  <c r="M484" i="4"/>
  <c r="P483" i="4"/>
  <c r="M483" i="4"/>
  <c r="P482" i="4"/>
  <c r="M482" i="4"/>
  <c r="P481" i="4"/>
  <c r="M481" i="4"/>
  <c r="P480" i="4"/>
  <c r="M480" i="4"/>
  <c r="P479" i="4"/>
  <c r="M479" i="4"/>
  <c r="P478" i="4"/>
  <c r="M478" i="4"/>
  <c r="P477" i="4"/>
  <c r="M477" i="4"/>
  <c r="P476" i="4"/>
  <c r="M476" i="4"/>
  <c r="P475" i="4"/>
  <c r="M475" i="4"/>
  <c r="P474" i="4"/>
  <c r="M474" i="4"/>
  <c r="P473" i="4"/>
  <c r="M473" i="4"/>
  <c r="P472" i="4"/>
  <c r="M472" i="4"/>
  <c r="P471" i="4"/>
  <c r="M471" i="4"/>
  <c r="P470" i="4"/>
  <c r="M470" i="4"/>
  <c r="P469" i="4"/>
  <c r="M469" i="4"/>
  <c r="P468" i="4"/>
  <c r="M468" i="4"/>
  <c r="P467" i="4"/>
  <c r="M467" i="4"/>
  <c r="P466" i="4"/>
  <c r="M466" i="4"/>
  <c r="P465" i="4"/>
  <c r="M465" i="4"/>
  <c r="P464" i="4"/>
  <c r="M464" i="4"/>
  <c r="P463" i="4"/>
  <c r="M463" i="4"/>
  <c r="P462" i="4"/>
  <c r="M462" i="4"/>
  <c r="P461" i="4"/>
  <c r="M461" i="4"/>
  <c r="P460" i="4"/>
  <c r="M460" i="4"/>
  <c r="P459" i="4"/>
  <c r="M459" i="4"/>
  <c r="P458" i="4"/>
  <c r="M458" i="4"/>
  <c r="P457" i="4"/>
  <c r="M457" i="4"/>
  <c r="P456" i="4"/>
  <c r="M456" i="4"/>
  <c r="P455" i="4"/>
  <c r="M455" i="4"/>
  <c r="P454" i="4"/>
  <c r="M454" i="4"/>
  <c r="P453" i="4"/>
  <c r="M453" i="4"/>
  <c r="P452" i="4"/>
  <c r="M452" i="4"/>
  <c r="P451" i="4"/>
  <c r="M451" i="4"/>
  <c r="P450" i="4"/>
  <c r="M450" i="4"/>
  <c r="P449" i="4"/>
  <c r="M449" i="4"/>
  <c r="P448" i="4"/>
  <c r="M448" i="4"/>
  <c r="P447" i="4"/>
  <c r="M447" i="4"/>
  <c r="P446" i="4"/>
  <c r="M446" i="4"/>
  <c r="P445" i="4"/>
  <c r="M445" i="4"/>
  <c r="P444" i="4"/>
  <c r="M444" i="4"/>
  <c r="P443" i="4"/>
  <c r="M443" i="4"/>
  <c r="P442" i="4"/>
  <c r="M442" i="4"/>
  <c r="P441" i="4"/>
  <c r="M441" i="4"/>
  <c r="P440" i="4"/>
  <c r="M440" i="4"/>
  <c r="P439" i="4"/>
  <c r="M439" i="4"/>
  <c r="P438" i="4"/>
  <c r="M438" i="4"/>
  <c r="P437" i="4"/>
  <c r="M437" i="4"/>
  <c r="P436" i="4"/>
  <c r="M436" i="4"/>
  <c r="P435" i="4"/>
  <c r="M435" i="4"/>
  <c r="P434" i="4"/>
  <c r="M434" i="4"/>
  <c r="P433" i="4"/>
  <c r="M433" i="4"/>
  <c r="P432" i="4"/>
  <c r="M432" i="4"/>
  <c r="P431" i="4"/>
  <c r="M431" i="4"/>
  <c r="P430" i="4"/>
  <c r="M430" i="4"/>
  <c r="P429" i="4"/>
  <c r="M429" i="4"/>
  <c r="P428" i="4"/>
  <c r="M428" i="4"/>
  <c r="P427" i="4"/>
  <c r="M427" i="4"/>
  <c r="P426" i="4"/>
  <c r="M426" i="4"/>
  <c r="P425" i="4"/>
  <c r="M425" i="4"/>
  <c r="P424" i="4"/>
  <c r="M424" i="4"/>
  <c r="P423" i="4"/>
  <c r="M423" i="4"/>
  <c r="P422" i="4"/>
  <c r="M422" i="4"/>
  <c r="P421" i="4"/>
  <c r="M421" i="4"/>
  <c r="P420" i="4"/>
  <c r="M420" i="4"/>
  <c r="P419" i="4"/>
  <c r="M419" i="4"/>
  <c r="P418" i="4"/>
  <c r="M418" i="4"/>
  <c r="P417" i="4"/>
  <c r="M417" i="4"/>
  <c r="P416" i="4"/>
  <c r="M416" i="4"/>
  <c r="P415" i="4"/>
  <c r="M415" i="4"/>
  <c r="P414" i="4"/>
  <c r="M414" i="4"/>
  <c r="P413" i="4"/>
  <c r="M413" i="4"/>
  <c r="P412" i="4"/>
  <c r="M412" i="4"/>
  <c r="P411" i="4"/>
  <c r="M411" i="4"/>
  <c r="P410" i="4"/>
  <c r="M410" i="4"/>
  <c r="P409" i="4"/>
  <c r="M409" i="4"/>
  <c r="P408" i="4"/>
  <c r="M408" i="4"/>
  <c r="P407" i="4"/>
  <c r="M407" i="4"/>
  <c r="P406" i="4"/>
  <c r="M406" i="4"/>
  <c r="P405" i="4"/>
  <c r="M405" i="4"/>
  <c r="P404" i="4"/>
  <c r="M404" i="4"/>
  <c r="P403" i="4"/>
  <c r="M403" i="4"/>
  <c r="P402" i="4"/>
  <c r="M402" i="4"/>
  <c r="P401" i="4"/>
  <c r="M401" i="4"/>
  <c r="P400" i="4"/>
  <c r="M400" i="4"/>
  <c r="P399" i="4"/>
  <c r="M399" i="4"/>
  <c r="P398" i="4"/>
  <c r="M398" i="4"/>
  <c r="P397" i="4"/>
  <c r="M397" i="4"/>
  <c r="P396" i="4"/>
  <c r="M396" i="4"/>
  <c r="P395" i="4"/>
  <c r="M395" i="4"/>
  <c r="P394" i="4"/>
  <c r="M394" i="4"/>
  <c r="P393" i="4"/>
  <c r="M393" i="4"/>
  <c r="P392" i="4"/>
  <c r="M392" i="4"/>
  <c r="P391" i="4"/>
  <c r="M391" i="4"/>
  <c r="P390" i="4"/>
  <c r="M390" i="4"/>
  <c r="P389" i="4"/>
  <c r="M389" i="4"/>
  <c r="P388" i="4"/>
  <c r="M388" i="4"/>
  <c r="P387" i="4"/>
  <c r="M387" i="4"/>
  <c r="P386" i="4"/>
  <c r="M386" i="4"/>
  <c r="P385" i="4"/>
  <c r="M385" i="4"/>
  <c r="P384" i="4"/>
  <c r="M384" i="4"/>
  <c r="P383" i="4"/>
  <c r="M383" i="4"/>
  <c r="P382" i="4"/>
  <c r="M382" i="4"/>
  <c r="P381" i="4"/>
  <c r="M381" i="4"/>
  <c r="P380" i="4"/>
  <c r="M380" i="4"/>
  <c r="P379" i="4"/>
  <c r="M379" i="4"/>
  <c r="P378" i="4"/>
  <c r="M378" i="4"/>
  <c r="P377" i="4"/>
  <c r="M377" i="4"/>
  <c r="P376" i="4"/>
  <c r="M376" i="4"/>
  <c r="P375" i="4"/>
  <c r="M375" i="4"/>
  <c r="P374" i="4"/>
  <c r="M374" i="4"/>
  <c r="P373" i="4"/>
  <c r="M373" i="4"/>
  <c r="P372" i="4"/>
  <c r="M372" i="4"/>
  <c r="P371" i="4"/>
  <c r="M371" i="4"/>
  <c r="P370" i="4"/>
  <c r="M370" i="4"/>
  <c r="P369" i="4"/>
  <c r="M369" i="4"/>
  <c r="P368" i="4"/>
  <c r="M368" i="4"/>
  <c r="P367" i="4"/>
  <c r="M367" i="4"/>
  <c r="P366" i="4"/>
  <c r="M366" i="4"/>
  <c r="P365" i="4"/>
  <c r="M365" i="4"/>
  <c r="P364" i="4"/>
  <c r="M364" i="4"/>
  <c r="P363" i="4"/>
  <c r="M363" i="4"/>
  <c r="P362" i="4"/>
  <c r="M362" i="4"/>
  <c r="P361" i="4"/>
  <c r="M361" i="4"/>
  <c r="P360" i="4"/>
  <c r="M360" i="4"/>
  <c r="P359" i="4"/>
  <c r="M359" i="4"/>
  <c r="P358" i="4"/>
  <c r="M358" i="4"/>
  <c r="P357" i="4"/>
  <c r="M357" i="4"/>
  <c r="P356" i="4"/>
  <c r="M356" i="4"/>
  <c r="P355" i="4"/>
  <c r="M355" i="4"/>
  <c r="P354" i="4"/>
  <c r="M354" i="4"/>
  <c r="P353" i="4"/>
  <c r="M353" i="4"/>
  <c r="P352" i="4"/>
  <c r="M352" i="4"/>
  <c r="P351" i="4"/>
  <c r="M351" i="4"/>
  <c r="P350" i="4"/>
  <c r="M350" i="4"/>
  <c r="P349" i="4"/>
  <c r="M349" i="4"/>
  <c r="P348" i="4"/>
  <c r="M348" i="4"/>
  <c r="P347" i="4"/>
  <c r="M347" i="4"/>
  <c r="P346" i="4"/>
  <c r="M346" i="4"/>
  <c r="P345" i="4"/>
  <c r="M345" i="4"/>
  <c r="P344" i="4"/>
  <c r="M344" i="4"/>
  <c r="P343" i="4"/>
  <c r="M343" i="4"/>
  <c r="P342" i="4"/>
  <c r="M342" i="4"/>
  <c r="P341" i="4"/>
  <c r="M341" i="4"/>
  <c r="P340" i="4"/>
  <c r="M340" i="4"/>
  <c r="P339" i="4"/>
  <c r="M339" i="4"/>
  <c r="P338" i="4"/>
  <c r="M338" i="4"/>
  <c r="P337" i="4"/>
  <c r="M337" i="4"/>
  <c r="P336" i="4"/>
  <c r="M336" i="4"/>
  <c r="P335" i="4"/>
  <c r="M335" i="4"/>
  <c r="P334" i="4"/>
  <c r="M334" i="4"/>
  <c r="P333" i="4"/>
  <c r="M333" i="4"/>
  <c r="P332" i="4"/>
  <c r="M332" i="4"/>
  <c r="P331" i="4"/>
  <c r="M331" i="4"/>
  <c r="P330" i="4"/>
  <c r="M330" i="4"/>
  <c r="P329" i="4"/>
  <c r="M329" i="4"/>
  <c r="P328" i="4"/>
  <c r="M328" i="4"/>
  <c r="P327" i="4"/>
  <c r="M327" i="4"/>
  <c r="P326" i="4"/>
  <c r="M326" i="4"/>
  <c r="P325" i="4"/>
  <c r="M325" i="4"/>
  <c r="P324" i="4"/>
  <c r="M324" i="4"/>
  <c r="P323" i="4"/>
  <c r="M323" i="4"/>
  <c r="P322" i="4"/>
  <c r="M322" i="4"/>
  <c r="P321" i="4"/>
  <c r="M321" i="4"/>
  <c r="P320" i="4"/>
  <c r="M320" i="4"/>
  <c r="P319" i="4"/>
  <c r="M319" i="4"/>
  <c r="P318" i="4"/>
  <c r="M318" i="4"/>
  <c r="P317" i="4"/>
  <c r="M317" i="4"/>
  <c r="P316" i="4"/>
  <c r="M316" i="4"/>
  <c r="P315" i="4"/>
  <c r="M315" i="4"/>
  <c r="P314" i="4"/>
  <c r="M314" i="4"/>
  <c r="P313" i="4"/>
  <c r="M313" i="4"/>
  <c r="P312" i="4"/>
  <c r="M312" i="4"/>
  <c r="P311" i="4"/>
  <c r="M311" i="4"/>
  <c r="P310" i="4"/>
  <c r="M310" i="4"/>
  <c r="P309" i="4"/>
  <c r="M309" i="4"/>
  <c r="P308" i="4"/>
  <c r="M308" i="4"/>
  <c r="P307" i="4"/>
  <c r="M307" i="4"/>
  <c r="P306" i="4"/>
  <c r="M306" i="4"/>
  <c r="P305" i="4"/>
  <c r="M305" i="4"/>
  <c r="P304" i="4"/>
  <c r="M304" i="4"/>
  <c r="P303" i="4"/>
  <c r="M303" i="4"/>
  <c r="P302" i="4"/>
  <c r="M302" i="4"/>
  <c r="P301" i="4"/>
  <c r="M301" i="4"/>
  <c r="P300" i="4"/>
  <c r="M300" i="4"/>
  <c r="P299" i="4"/>
  <c r="M299" i="4"/>
  <c r="P298" i="4"/>
  <c r="M298" i="4"/>
  <c r="P297" i="4"/>
  <c r="M297" i="4"/>
  <c r="P296" i="4"/>
  <c r="M296" i="4"/>
  <c r="P295" i="4"/>
  <c r="M295" i="4"/>
  <c r="P294" i="4"/>
  <c r="M294" i="4"/>
  <c r="P293" i="4"/>
  <c r="M293" i="4"/>
  <c r="P292" i="4"/>
  <c r="M292" i="4"/>
  <c r="P291" i="4"/>
  <c r="M291" i="4"/>
  <c r="P290" i="4"/>
  <c r="M290" i="4"/>
  <c r="P289" i="4"/>
  <c r="M289" i="4"/>
  <c r="P288" i="4"/>
  <c r="M288" i="4"/>
  <c r="P287" i="4"/>
  <c r="M287" i="4"/>
  <c r="P286" i="4"/>
  <c r="M286" i="4"/>
  <c r="P285" i="4"/>
  <c r="M285" i="4"/>
  <c r="P284" i="4"/>
  <c r="M284" i="4"/>
  <c r="P283" i="4"/>
  <c r="M283" i="4"/>
  <c r="P282" i="4"/>
  <c r="M282" i="4"/>
  <c r="P281" i="4"/>
  <c r="M281" i="4"/>
  <c r="P280" i="4"/>
  <c r="M280" i="4"/>
  <c r="P279" i="4"/>
  <c r="M279" i="4"/>
  <c r="P278" i="4"/>
  <c r="M278" i="4"/>
  <c r="P277" i="4"/>
  <c r="M277" i="4"/>
  <c r="P276" i="4"/>
  <c r="M276" i="4"/>
  <c r="P275" i="4"/>
  <c r="M275" i="4"/>
  <c r="P274" i="4"/>
  <c r="M274" i="4"/>
  <c r="P273" i="4"/>
  <c r="M273" i="4"/>
  <c r="P272" i="4"/>
  <c r="M272" i="4"/>
  <c r="P271" i="4"/>
  <c r="M271" i="4"/>
  <c r="P270" i="4"/>
  <c r="M270" i="4"/>
  <c r="P269" i="4"/>
  <c r="M269" i="4"/>
  <c r="P268" i="4"/>
  <c r="M268" i="4"/>
  <c r="P267" i="4"/>
  <c r="M267" i="4"/>
  <c r="P266" i="4"/>
  <c r="M266" i="4"/>
  <c r="P265" i="4"/>
  <c r="M265" i="4"/>
  <c r="P264" i="4"/>
  <c r="M264" i="4"/>
  <c r="P263" i="4"/>
  <c r="M263" i="4"/>
  <c r="P262" i="4"/>
  <c r="M262" i="4"/>
  <c r="P261" i="4"/>
  <c r="M261" i="4"/>
  <c r="P260" i="4"/>
  <c r="M260" i="4"/>
  <c r="P259" i="4"/>
  <c r="M259" i="4"/>
  <c r="P258" i="4"/>
  <c r="M258" i="4"/>
  <c r="P257" i="4"/>
  <c r="M257" i="4"/>
  <c r="P256" i="4"/>
  <c r="M256" i="4"/>
  <c r="P255" i="4"/>
  <c r="M255" i="4"/>
  <c r="P254" i="4"/>
  <c r="M254" i="4"/>
  <c r="P253" i="4"/>
  <c r="M253" i="4"/>
  <c r="P252" i="4"/>
  <c r="M252" i="4"/>
  <c r="P251" i="4"/>
  <c r="M251" i="4"/>
  <c r="P250" i="4"/>
  <c r="M250" i="4"/>
  <c r="P249" i="4"/>
  <c r="M249" i="4"/>
  <c r="P248" i="4"/>
  <c r="M248" i="4"/>
  <c r="P247" i="4"/>
  <c r="M247" i="4"/>
  <c r="P246" i="4"/>
  <c r="M246" i="4"/>
  <c r="P245" i="4"/>
  <c r="M245" i="4"/>
  <c r="P244" i="4"/>
  <c r="M244" i="4"/>
  <c r="P243" i="4"/>
  <c r="M243" i="4"/>
  <c r="P242" i="4"/>
  <c r="M242" i="4"/>
  <c r="P241" i="4"/>
  <c r="M241" i="4"/>
  <c r="P240" i="4"/>
  <c r="M240" i="4"/>
  <c r="P239" i="4"/>
  <c r="M239" i="4"/>
  <c r="P238" i="4"/>
  <c r="M238" i="4"/>
  <c r="P237" i="4"/>
  <c r="M237" i="4"/>
  <c r="P236" i="4"/>
  <c r="M236" i="4"/>
  <c r="P235" i="4"/>
  <c r="M235" i="4"/>
  <c r="P234" i="4"/>
  <c r="M234" i="4"/>
  <c r="P233" i="4"/>
  <c r="M233" i="4"/>
  <c r="P232" i="4"/>
  <c r="M232" i="4"/>
  <c r="P231" i="4"/>
  <c r="M231" i="4"/>
  <c r="P230" i="4"/>
  <c r="M230" i="4"/>
  <c r="P229" i="4"/>
  <c r="M229" i="4"/>
  <c r="P228" i="4"/>
  <c r="M228" i="4"/>
  <c r="P227" i="4"/>
  <c r="M227" i="4"/>
  <c r="P226" i="4"/>
  <c r="M226" i="4"/>
  <c r="P225" i="4"/>
  <c r="M225" i="4"/>
  <c r="P224" i="4"/>
  <c r="M224" i="4"/>
  <c r="P223" i="4"/>
  <c r="M223" i="4"/>
  <c r="P222" i="4"/>
  <c r="M222" i="4"/>
  <c r="P221" i="4"/>
  <c r="M221" i="4"/>
  <c r="P220" i="4"/>
  <c r="M220" i="4"/>
  <c r="P219" i="4"/>
  <c r="M219" i="4"/>
  <c r="P218" i="4"/>
  <c r="M218" i="4"/>
  <c r="P217" i="4"/>
  <c r="M217" i="4"/>
  <c r="P216" i="4"/>
  <c r="M216" i="4"/>
  <c r="P215" i="4"/>
  <c r="M215" i="4"/>
  <c r="P214" i="4"/>
  <c r="M214" i="4"/>
  <c r="P213" i="4"/>
  <c r="M213" i="4"/>
  <c r="P212" i="4"/>
  <c r="M212" i="4"/>
  <c r="P211" i="4"/>
  <c r="M211" i="4"/>
  <c r="P210" i="4"/>
  <c r="M210" i="4"/>
  <c r="P209" i="4"/>
  <c r="M209" i="4"/>
  <c r="P208" i="4"/>
  <c r="M208" i="4"/>
  <c r="P207" i="4"/>
  <c r="M207" i="4"/>
  <c r="P206" i="4"/>
  <c r="M206" i="4"/>
  <c r="P205" i="4"/>
  <c r="M205" i="4"/>
  <c r="P204" i="4"/>
  <c r="M204" i="4"/>
  <c r="P203" i="4"/>
  <c r="M203" i="4"/>
  <c r="P202" i="4"/>
  <c r="M202" i="4"/>
  <c r="P201" i="4"/>
  <c r="M201" i="4"/>
  <c r="P200" i="4"/>
  <c r="M200" i="4"/>
  <c r="P199" i="4"/>
  <c r="M199" i="4"/>
  <c r="P198" i="4"/>
  <c r="M198" i="4"/>
  <c r="P197" i="4"/>
  <c r="M197" i="4"/>
  <c r="P196" i="4"/>
  <c r="M196" i="4"/>
  <c r="P195" i="4"/>
  <c r="M195" i="4"/>
  <c r="P194" i="4"/>
  <c r="M194" i="4"/>
  <c r="P193" i="4"/>
  <c r="M193" i="4"/>
  <c r="P192" i="4"/>
  <c r="M192" i="4"/>
  <c r="P191" i="4"/>
  <c r="M191" i="4"/>
  <c r="P190" i="4"/>
  <c r="M190" i="4"/>
  <c r="P189" i="4"/>
  <c r="M189" i="4"/>
  <c r="P188" i="4"/>
  <c r="M188" i="4"/>
  <c r="P187" i="4"/>
  <c r="M187" i="4"/>
  <c r="P186" i="4"/>
  <c r="M186" i="4"/>
  <c r="P185" i="4"/>
  <c r="M185" i="4"/>
  <c r="P184" i="4"/>
  <c r="M184" i="4"/>
  <c r="P183" i="4"/>
  <c r="M183" i="4"/>
  <c r="P182" i="4"/>
  <c r="M182" i="4"/>
  <c r="P181" i="4"/>
  <c r="M181" i="4"/>
  <c r="P180" i="4"/>
  <c r="M180" i="4"/>
  <c r="P179" i="4"/>
  <c r="M179" i="4"/>
  <c r="P178" i="4"/>
  <c r="M178" i="4"/>
  <c r="P177" i="4"/>
  <c r="M177" i="4"/>
  <c r="P176" i="4"/>
  <c r="M176" i="4"/>
  <c r="P175" i="4"/>
  <c r="M175" i="4"/>
  <c r="P174" i="4"/>
  <c r="M174" i="4"/>
  <c r="P173" i="4"/>
  <c r="M173" i="4"/>
  <c r="P172" i="4"/>
  <c r="M172" i="4"/>
  <c r="P171" i="4"/>
  <c r="M171" i="4"/>
  <c r="P170" i="4"/>
  <c r="M170" i="4"/>
  <c r="P169" i="4"/>
  <c r="M169" i="4"/>
  <c r="P168" i="4"/>
  <c r="M168" i="4"/>
  <c r="P167" i="4"/>
  <c r="M167" i="4"/>
  <c r="P166" i="4"/>
  <c r="M166" i="4"/>
  <c r="P165" i="4"/>
  <c r="M165" i="4"/>
  <c r="P164" i="4"/>
  <c r="M164" i="4"/>
  <c r="P163" i="4"/>
  <c r="M163" i="4"/>
  <c r="P162" i="4"/>
  <c r="M162" i="4"/>
  <c r="P161" i="4"/>
  <c r="M161" i="4"/>
  <c r="P160" i="4"/>
  <c r="M160" i="4"/>
  <c r="P159" i="4"/>
  <c r="M159" i="4"/>
  <c r="P158" i="4"/>
  <c r="M158" i="4"/>
  <c r="P157" i="4"/>
  <c r="M157" i="4"/>
  <c r="P156" i="4"/>
  <c r="M156" i="4"/>
  <c r="P155" i="4"/>
  <c r="M155" i="4"/>
  <c r="P154" i="4"/>
  <c r="M154" i="4"/>
  <c r="P153" i="4"/>
  <c r="M153" i="4"/>
  <c r="P152" i="4"/>
  <c r="M152" i="4"/>
  <c r="P151" i="4"/>
  <c r="M151" i="4"/>
  <c r="P150" i="4"/>
  <c r="M150" i="4"/>
  <c r="P149" i="4"/>
  <c r="M149" i="4"/>
  <c r="P148" i="4"/>
  <c r="M148" i="4"/>
  <c r="P147" i="4"/>
  <c r="M147" i="4"/>
  <c r="P146" i="4"/>
  <c r="M146" i="4"/>
  <c r="P145" i="4"/>
  <c r="M145" i="4"/>
  <c r="P144" i="4"/>
  <c r="M144" i="4"/>
  <c r="P143" i="4"/>
  <c r="M143" i="4"/>
  <c r="P142" i="4"/>
  <c r="M142" i="4"/>
  <c r="P141" i="4"/>
  <c r="M141" i="4"/>
  <c r="P140" i="4"/>
  <c r="M140" i="4"/>
  <c r="P139" i="4"/>
  <c r="M139" i="4"/>
  <c r="P138" i="4"/>
  <c r="M138" i="4"/>
  <c r="P137" i="4"/>
  <c r="M137" i="4"/>
  <c r="P136" i="4"/>
  <c r="M136" i="4"/>
  <c r="P135" i="4"/>
  <c r="M135" i="4"/>
  <c r="P134" i="4"/>
  <c r="M134" i="4"/>
  <c r="P133" i="4"/>
  <c r="M133" i="4"/>
  <c r="P132" i="4"/>
  <c r="M132" i="4"/>
  <c r="P131" i="4"/>
  <c r="M131" i="4"/>
  <c r="P130" i="4"/>
  <c r="M130" i="4"/>
  <c r="P129" i="4"/>
  <c r="M129" i="4"/>
  <c r="P128" i="4"/>
  <c r="M128" i="4"/>
  <c r="P127" i="4"/>
  <c r="M127" i="4"/>
  <c r="P126" i="4"/>
  <c r="M126" i="4"/>
  <c r="P125" i="4"/>
  <c r="M125" i="4"/>
  <c r="P124" i="4"/>
  <c r="M124" i="4"/>
  <c r="P123" i="4"/>
  <c r="M123" i="4"/>
  <c r="P122" i="4"/>
  <c r="M122" i="4"/>
  <c r="P121" i="4"/>
  <c r="M121" i="4"/>
  <c r="P120" i="4"/>
  <c r="M120" i="4"/>
  <c r="P119" i="4"/>
  <c r="M119" i="4"/>
  <c r="P118" i="4"/>
  <c r="M118" i="4"/>
  <c r="P117" i="4"/>
  <c r="M117" i="4"/>
  <c r="P116" i="4"/>
  <c r="M116" i="4"/>
  <c r="P115" i="4"/>
  <c r="M115" i="4"/>
  <c r="P114" i="4"/>
  <c r="M114" i="4"/>
  <c r="P113" i="4"/>
  <c r="M113" i="4"/>
  <c r="P112" i="4"/>
  <c r="M112" i="4"/>
  <c r="P111" i="4"/>
  <c r="M111" i="4"/>
  <c r="P110" i="4"/>
  <c r="M110" i="4"/>
  <c r="P109" i="4"/>
  <c r="M109" i="4"/>
  <c r="P108" i="4"/>
  <c r="M108" i="4"/>
  <c r="P107" i="4"/>
  <c r="M107" i="4"/>
  <c r="P106" i="4"/>
  <c r="M106" i="4"/>
  <c r="P105" i="4"/>
  <c r="M105" i="4"/>
  <c r="P104" i="4"/>
  <c r="M104" i="4"/>
  <c r="P103" i="4"/>
  <c r="M103" i="4"/>
  <c r="P102" i="4"/>
  <c r="M102" i="4"/>
  <c r="P101" i="4"/>
  <c r="M101" i="4"/>
  <c r="P100" i="4"/>
  <c r="M100" i="4"/>
  <c r="P99" i="4"/>
  <c r="M99" i="4"/>
  <c r="P98" i="4"/>
  <c r="M98" i="4"/>
  <c r="P97" i="4"/>
  <c r="M97" i="4"/>
  <c r="P96" i="4"/>
  <c r="M96" i="4"/>
  <c r="P95" i="4"/>
  <c r="M95" i="4"/>
  <c r="P94" i="4"/>
  <c r="M94" i="4"/>
  <c r="P93" i="4"/>
  <c r="M93" i="4"/>
  <c r="P92" i="4"/>
  <c r="M92" i="4"/>
  <c r="P91" i="4"/>
  <c r="M91" i="4"/>
  <c r="P90" i="4"/>
  <c r="M90" i="4"/>
  <c r="P89" i="4"/>
  <c r="M89" i="4"/>
  <c r="P88" i="4"/>
  <c r="M88" i="4"/>
  <c r="P87" i="4"/>
  <c r="M87" i="4"/>
  <c r="P86" i="4"/>
  <c r="M86" i="4"/>
  <c r="P85" i="4"/>
  <c r="M85" i="4"/>
  <c r="P84" i="4"/>
  <c r="M84" i="4"/>
  <c r="P83" i="4"/>
  <c r="M83" i="4"/>
  <c r="P82" i="4"/>
  <c r="M82" i="4"/>
  <c r="P81" i="4"/>
  <c r="M81" i="4"/>
  <c r="P80" i="4"/>
  <c r="M80" i="4"/>
  <c r="P79" i="4"/>
  <c r="M79" i="4"/>
  <c r="P78" i="4"/>
  <c r="M78" i="4"/>
  <c r="P77" i="4"/>
  <c r="M77" i="4"/>
  <c r="P76" i="4"/>
  <c r="M76" i="4"/>
  <c r="P75" i="4"/>
  <c r="M75" i="4"/>
  <c r="P74" i="4"/>
  <c r="M74" i="4"/>
  <c r="P73" i="4"/>
  <c r="M73" i="4"/>
  <c r="P72" i="4"/>
  <c r="M72" i="4"/>
  <c r="P71" i="4"/>
  <c r="M71" i="4"/>
  <c r="P70" i="4"/>
  <c r="M70" i="4"/>
  <c r="P69" i="4"/>
  <c r="M69" i="4"/>
  <c r="P68" i="4"/>
  <c r="P67" i="4"/>
  <c r="P66" i="4"/>
  <c r="P65" i="4"/>
  <c r="P64" i="4"/>
  <c r="P63" i="4"/>
  <c r="P62" i="4"/>
  <c r="P61" i="4"/>
  <c r="P60" i="4"/>
  <c r="P59" i="4"/>
  <c r="P58" i="4"/>
  <c r="P57" i="4"/>
  <c r="P56" i="4"/>
  <c r="P55" i="4"/>
  <c r="P54" i="4"/>
  <c r="P53" i="4"/>
  <c r="P52" i="4"/>
  <c r="P51" i="4"/>
  <c r="P50" i="4"/>
  <c r="P49" i="4"/>
  <c r="P48" i="4"/>
  <c r="P47" i="4"/>
  <c r="P46" i="4"/>
  <c r="P44" i="4"/>
  <c r="P43" i="4"/>
  <c r="P42" i="4"/>
  <c r="P41" i="4"/>
  <c r="P40" i="4"/>
  <c r="P39" i="4"/>
  <c r="P38" i="4"/>
  <c r="P37" i="4"/>
  <c r="P36" i="4"/>
  <c r="P35" i="4"/>
  <c r="P34" i="4"/>
  <c r="P33" i="4"/>
  <c r="P32" i="4"/>
  <c r="P31" i="4"/>
  <c r="P30" i="4"/>
  <c r="P29" i="4"/>
  <c r="P28" i="4"/>
  <c r="P27" i="4"/>
  <c r="P26" i="4"/>
  <c r="P25" i="4"/>
  <c r="P24" i="4"/>
  <c r="P23" i="4"/>
  <c r="P22" i="4"/>
  <c r="P21" i="4"/>
  <c r="P20" i="4"/>
  <c r="P19" i="4"/>
  <c r="P18" i="4"/>
  <c r="P17" i="4"/>
  <c r="P15" i="4"/>
  <c r="P6" i="4"/>
  <c r="P5" i="4"/>
  <c r="B29" i="3"/>
  <c r="B28" i="3"/>
  <c r="B27" i="3"/>
  <c r="B26" i="3"/>
  <c r="B5" i="8" l="1"/>
  <c r="B3" i="8"/>
  <c r="M8" i="8" a="1"/>
  <c r="M8" i="8" s="1"/>
  <c r="M17" i="8"/>
  <c r="T5" i="4"/>
  <c r="S5" i="4"/>
  <c r="T25" i="4"/>
  <c r="S25" i="4"/>
  <c r="S60" i="4"/>
  <c r="T60" i="4"/>
  <c r="T82" i="4"/>
  <c r="S82" i="4"/>
  <c r="T94" i="4"/>
  <c r="S94" i="4"/>
  <c r="T106" i="4"/>
  <c r="S106" i="4"/>
  <c r="T112" i="4"/>
  <c r="S112" i="4"/>
  <c r="T124" i="4"/>
  <c r="S124" i="4"/>
  <c r="T130" i="4"/>
  <c r="S130" i="4"/>
  <c r="T142" i="4"/>
  <c r="S142" i="4"/>
  <c r="T154" i="4"/>
  <c r="S154" i="4"/>
  <c r="T166" i="4"/>
  <c r="S166" i="4"/>
  <c r="T172" i="4"/>
  <c r="S172" i="4"/>
  <c r="T184" i="4"/>
  <c r="S184" i="4"/>
  <c r="T196" i="4"/>
  <c r="S196" i="4"/>
  <c r="T202" i="4"/>
  <c r="S202" i="4"/>
  <c r="T214" i="4"/>
  <c r="S214" i="4"/>
  <c r="T226" i="4"/>
  <c r="S226" i="4"/>
  <c r="T238" i="4"/>
  <c r="S238" i="4"/>
  <c r="T244" i="4"/>
  <c r="S244" i="4"/>
  <c r="T256" i="4"/>
  <c r="S256" i="4"/>
  <c r="T268" i="4"/>
  <c r="S268" i="4"/>
  <c r="T280" i="4"/>
  <c r="S280" i="4"/>
  <c r="T292" i="4"/>
  <c r="S292" i="4"/>
  <c r="T304" i="4"/>
  <c r="S304" i="4"/>
  <c r="T316" i="4"/>
  <c r="S316" i="4"/>
  <c r="T328" i="4"/>
  <c r="S328" i="4"/>
  <c r="T340" i="4"/>
  <c r="S340" i="4"/>
  <c r="T352" i="4"/>
  <c r="S352" i="4"/>
  <c r="T364" i="4"/>
  <c r="S364" i="4"/>
  <c r="T376" i="4"/>
  <c r="S376" i="4"/>
  <c r="T388" i="4"/>
  <c r="S388" i="4"/>
  <c r="T394" i="4"/>
  <c r="S394" i="4"/>
  <c r="T406" i="4"/>
  <c r="S406" i="4"/>
  <c r="T418" i="4"/>
  <c r="S418" i="4"/>
  <c r="T430" i="4"/>
  <c r="S430" i="4"/>
  <c r="T442" i="4"/>
  <c r="S442" i="4"/>
  <c r="T454" i="4"/>
  <c r="S454" i="4"/>
  <c r="T460" i="4"/>
  <c r="S460" i="4"/>
  <c r="T472" i="4"/>
  <c r="S472" i="4"/>
  <c r="T484" i="4"/>
  <c r="S484" i="4"/>
  <c r="T490" i="4"/>
  <c r="S490" i="4"/>
  <c r="T15" i="4"/>
  <c r="S15" i="4"/>
  <c r="T49" i="4"/>
  <c r="S49" i="4"/>
  <c r="S38" i="4"/>
  <c r="T38" i="4"/>
  <c r="T83" i="4"/>
  <c r="S83" i="4"/>
  <c r="T95" i="4"/>
  <c r="S95" i="4"/>
  <c r="T101" i="4"/>
  <c r="S101" i="4"/>
  <c r="T113" i="4"/>
  <c r="S113" i="4"/>
  <c r="T125" i="4"/>
  <c r="S125" i="4"/>
  <c r="T131" i="4"/>
  <c r="S131" i="4"/>
  <c r="T137" i="4"/>
  <c r="S137" i="4"/>
  <c r="T143" i="4"/>
  <c r="S143" i="4"/>
  <c r="T149" i="4"/>
  <c r="S149" i="4"/>
  <c r="T161" i="4"/>
  <c r="S161" i="4"/>
  <c r="T167" i="4"/>
  <c r="S167" i="4"/>
  <c r="T173" i="4"/>
  <c r="S173" i="4"/>
  <c r="T179" i="4"/>
  <c r="S179" i="4"/>
  <c r="T185" i="4"/>
  <c r="S185" i="4"/>
  <c r="T191" i="4"/>
  <c r="S191" i="4"/>
  <c r="T197" i="4"/>
  <c r="S197" i="4"/>
  <c r="T203" i="4"/>
  <c r="S203" i="4"/>
  <c r="T209" i="4"/>
  <c r="S209" i="4"/>
  <c r="T215" i="4"/>
  <c r="S215" i="4"/>
  <c r="T221" i="4"/>
  <c r="S221" i="4"/>
  <c r="T227" i="4"/>
  <c r="S227" i="4"/>
  <c r="T233" i="4"/>
  <c r="S233" i="4"/>
  <c r="T239" i="4"/>
  <c r="S239" i="4"/>
  <c r="T245" i="4"/>
  <c r="S245" i="4"/>
  <c r="T251" i="4"/>
  <c r="S251" i="4"/>
  <c r="T257" i="4"/>
  <c r="S257" i="4"/>
  <c r="T263" i="4"/>
  <c r="S263" i="4"/>
  <c r="T269" i="4"/>
  <c r="S269" i="4"/>
  <c r="T275" i="4"/>
  <c r="S275" i="4"/>
  <c r="T281" i="4"/>
  <c r="S281" i="4"/>
  <c r="T287" i="4"/>
  <c r="S287" i="4"/>
  <c r="T293" i="4"/>
  <c r="S293" i="4"/>
  <c r="T299" i="4"/>
  <c r="S299" i="4"/>
  <c r="T305" i="4"/>
  <c r="S305" i="4"/>
  <c r="T311" i="4"/>
  <c r="S311" i="4"/>
  <c r="T317" i="4"/>
  <c r="S317" i="4"/>
  <c r="T323" i="4"/>
  <c r="S323" i="4"/>
  <c r="T329" i="4"/>
  <c r="S329" i="4"/>
  <c r="T335" i="4"/>
  <c r="S335" i="4"/>
  <c r="T341" i="4"/>
  <c r="S341" i="4"/>
  <c r="T347" i="4"/>
  <c r="S347" i="4"/>
  <c r="T353" i="4"/>
  <c r="S353" i="4"/>
  <c r="T359" i="4"/>
  <c r="S359" i="4"/>
  <c r="T365" i="4"/>
  <c r="S365" i="4"/>
  <c r="T371" i="4"/>
  <c r="S371" i="4"/>
  <c r="T377" i="4"/>
  <c r="S377" i="4"/>
  <c r="T383" i="4"/>
  <c r="S383" i="4"/>
  <c r="T389" i="4"/>
  <c r="S389" i="4"/>
  <c r="T395" i="4"/>
  <c r="S395" i="4"/>
  <c r="T401" i="4"/>
  <c r="S401" i="4"/>
  <c r="T407" i="4"/>
  <c r="S407" i="4"/>
  <c r="T413" i="4"/>
  <c r="S413" i="4"/>
  <c r="T419" i="4"/>
  <c r="S419" i="4"/>
  <c r="T425" i="4"/>
  <c r="S425" i="4"/>
  <c r="T431" i="4"/>
  <c r="S431" i="4"/>
  <c r="T437" i="4"/>
  <c r="S437" i="4"/>
  <c r="T443" i="4"/>
  <c r="S443" i="4"/>
  <c r="T449" i="4"/>
  <c r="S449" i="4"/>
  <c r="T455" i="4"/>
  <c r="S455" i="4"/>
  <c r="T461" i="4"/>
  <c r="S461" i="4"/>
  <c r="T467" i="4"/>
  <c r="S467" i="4"/>
  <c r="T473" i="4"/>
  <c r="S473" i="4"/>
  <c r="T479" i="4"/>
  <c r="S479" i="4"/>
  <c r="T485" i="4"/>
  <c r="S485" i="4"/>
  <c r="T491" i="4"/>
  <c r="S491" i="4"/>
  <c r="T497" i="4"/>
  <c r="S497" i="4"/>
  <c r="T35" i="4"/>
  <c r="S35" i="4"/>
  <c r="T6" i="4"/>
  <c r="S6" i="4"/>
  <c r="T36" i="4"/>
  <c r="S36" i="4"/>
  <c r="T48" i="4"/>
  <c r="S48" i="4"/>
  <c r="T70" i="4"/>
  <c r="S70" i="4"/>
  <c r="T76" i="4"/>
  <c r="S76" i="4"/>
  <c r="T88" i="4"/>
  <c r="S88" i="4"/>
  <c r="T100" i="4"/>
  <c r="S100" i="4"/>
  <c r="T118" i="4"/>
  <c r="S118" i="4"/>
  <c r="T136" i="4"/>
  <c r="S136" i="4"/>
  <c r="T148" i="4"/>
  <c r="S148" i="4"/>
  <c r="T160" i="4"/>
  <c r="S160" i="4"/>
  <c r="T178" i="4"/>
  <c r="S178" i="4"/>
  <c r="T190" i="4"/>
  <c r="S190" i="4"/>
  <c r="T208" i="4"/>
  <c r="S208" i="4"/>
  <c r="T220" i="4"/>
  <c r="S220" i="4"/>
  <c r="T232" i="4"/>
  <c r="S232" i="4"/>
  <c r="T250" i="4"/>
  <c r="S250" i="4"/>
  <c r="T262" i="4"/>
  <c r="S262" i="4"/>
  <c r="T274" i="4"/>
  <c r="S274" i="4"/>
  <c r="T286" i="4"/>
  <c r="S286" i="4"/>
  <c r="T298" i="4"/>
  <c r="S298" i="4"/>
  <c r="T310" i="4"/>
  <c r="S310" i="4"/>
  <c r="T322" i="4"/>
  <c r="S322" i="4"/>
  <c r="T334" i="4"/>
  <c r="S334" i="4"/>
  <c r="T346" i="4"/>
  <c r="S346" i="4"/>
  <c r="T358" i="4"/>
  <c r="S358" i="4"/>
  <c r="T370" i="4"/>
  <c r="S370" i="4"/>
  <c r="T382" i="4"/>
  <c r="S382" i="4"/>
  <c r="T400" i="4"/>
  <c r="S400" i="4"/>
  <c r="T412" i="4"/>
  <c r="S412" i="4"/>
  <c r="T424" i="4"/>
  <c r="S424" i="4"/>
  <c r="T436" i="4"/>
  <c r="S436" i="4"/>
  <c r="T448" i="4"/>
  <c r="S448" i="4"/>
  <c r="T466" i="4"/>
  <c r="S466" i="4"/>
  <c r="T478" i="4"/>
  <c r="S478" i="4"/>
  <c r="T496" i="4"/>
  <c r="S496" i="4"/>
  <c r="S26" i="4"/>
  <c r="T26" i="4"/>
  <c r="T37" i="4"/>
  <c r="S37" i="4"/>
  <c r="T61" i="4"/>
  <c r="S61" i="4"/>
  <c r="S27" i="4"/>
  <c r="T27" i="4"/>
  <c r="S50" i="4"/>
  <c r="T50" i="4"/>
  <c r="S62" i="4"/>
  <c r="T62" i="4"/>
  <c r="T71" i="4"/>
  <c r="S71" i="4"/>
  <c r="T77" i="4"/>
  <c r="S77" i="4"/>
  <c r="T89" i="4"/>
  <c r="S89" i="4"/>
  <c r="T107" i="4"/>
  <c r="S107" i="4"/>
  <c r="T119" i="4"/>
  <c r="S119" i="4"/>
  <c r="T155" i="4"/>
  <c r="S155" i="4"/>
  <c r="T17" i="4"/>
  <c r="S17" i="4"/>
  <c r="T28" i="4"/>
  <c r="S28" i="4"/>
  <c r="T39" i="4"/>
  <c r="S39" i="4"/>
  <c r="T51" i="4"/>
  <c r="S51" i="4"/>
  <c r="T63" i="4"/>
  <c r="S63" i="4"/>
  <c r="S14" i="4"/>
  <c r="T14" i="4"/>
  <c r="T24" i="4"/>
  <c r="S24" i="4"/>
  <c r="T29" i="4"/>
  <c r="S29" i="4"/>
  <c r="T64" i="4"/>
  <c r="S64" i="4"/>
  <c r="S84" i="4"/>
  <c r="T84" i="4"/>
  <c r="S108" i="4"/>
  <c r="T108" i="4"/>
  <c r="T126" i="4"/>
  <c r="S126" i="4"/>
  <c r="T150" i="4"/>
  <c r="S150" i="4"/>
  <c r="T180" i="4"/>
  <c r="S180" i="4"/>
  <c r="S210" i="4"/>
  <c r="T210" i="4"/>
  <c r="T240" i="4"/>
  <c r="S240" i="4"/>
  <c r="T270" i="4"/>
  <c r="S270" i="4"/>
  <c r="S300" i="4"/>
  <c r="T300" i="4"/>
  <c r="T324" i="4"/>
  <c r="S324" i="4"/>
  <c r="S354" i="4"/>
  <c r="T354" i="4"/>
  <c r="S372" i="4"/>
  <c r="T372" i="4"/>
  <c r="T396" i="4"/>
  <c r="S396" i="4"/>
  <c r="T420" i="4"/>
  <c r="S420" i="4"/>
  <c r="T438" i="4"/>
  <c r="S438" i="4"/>
  <c r="T456" i="4"/>
  <c r="S456" i="4"/>
  <c r="T480" i="4"/>
  <c r="S480" i="4"/>
  <c r="S492" i="4"/>
  <c r="T492" i="4"/>
  <c r="T19" i="4"/>
  <c r="S19" i="4"/>
  <c r="T53" i="4"/>
  <c r="S53" i="4"/>
  <c r="S20" i="4"/>
  <c r="T20" i="4"/>
  <c r="T54" i="4"/>
  <c r="S54" i="4"/>
  <c r="T85" i="4"/>
  <c r="S85" i="4"/>
  <c r="S97" i="4"/>
  <c r="T97" i="4"/>
  <c r="T109" i="4"/>
  <c r="S109" i="4"/>
  <c r="S127" i="4"/>
  <c r="T127" i="4"/>
  <c r="T139" i="4"/>
  <c r="S139" i="4"/>
  <c r="T157" i="4"/>
  <c r="S157" i="4"/>
  <c r="T169" i="4"/>
  <c r="S169" i="4"/>
  <c r="T187" i="4"/>
  <c r="S187" i="4"/>
  <c r="T193" i="4"/>
  <c r="S193" i="4"/>
  <c r="T211" i="4"/>
  <c r="S211" i="4"/>
  <c r="S223" i="4"/>
  <c r="T223" i="4"/>
  <c r="T241" i="4"/>
  <c r="S241" i="4"/>
  <c r="T253" i="4"/>
  <c r="S253" i="4"/>
  <c r="S271" i="4"/>
  <c r="T271" i="4"/>
  <c r="S289" i="4"/>
  <c r="T289" i="4"/>
  <c r="T301" i="4"/>
  <c r="S301" i="4"/>
  <c r="T319" i="4"/>
  <c r="S319" i="4"/>
  <c r="T337" i="4"/>
  <c r="S337" i="4"/>
  <c r="S361" i="4"/>
  <c r="T361" i="4"/>
  <c r="T379" i="4"/>
  <c r="S379" i="4"/>
  <c r="T397" i="4"/>
  <c r="S397" i="4"/>
  <c r="T409" i="4"/>
  <c r="S409" i="4"/>
  <c r="T427" i="4"/>
  <c r="S427" i="4"/>
  <c r="T445" i="4"/>
  <c r="S445" i="4"/>
  <c r="T463" i="4"/>
  <c r="S463" i="4"/>
  <c r="T475" i="4"/>
  <c r="S475" i="4"/>
  <c r="T481" i="4"/>
  <c r="S481" i="4"/>
  <c r="S487" i="4"/>
  <c r="T487" i="4"/>
  <c r="T2" i="4"/>
  <c r="S2" i="4"/>
  <c r="S56" i="4"/>
  <c r="T56" i="4"/>
  <c r="S74" i="4"/>
  <c r="T74" i="4"/>
  <c r="S92" i="4"/>
  <c r="T92" i="4"/>
  <c r="S110" i="4"/>
  <c r="T110" i="4"/>
  <c r="S128" i="4"/>
  <c r="T128" i="4"/>
  <c r="S146" i="4"/>
  <c r="T146" i="4"/>
  <c r="S170" i="4"/>
  <c r="T170" i="4"/>
  <c r="S182" i="4"/>
  <c r="T182" i="4"/>
  <c r="S200" i="4"/>
  <c r="T200" i="4"/>
  <c r="S212" i="4"/>
  <c r="T212" i="4"/>
  <c r="S218" i="4"/>
  <c r="T218" i="4"/>
  <c r="S230" i="4"/>
  <c r="T230" i="4"/>
  <c r="S242" i="4"/>
  <c r="T242" i="4"/>
  <c r="S248" i="4"/>
  <c r="T248" i="4"/>
  <c r="S254" i="4"/>
  <c r="T254" i="4"/>
  <c r="S260" i="4"/>
  <c r="T260" i="4"/>
  <c r="S266" i="4"/>
  <c r="T266" i="4"/>
  <c r="S272" i="4"/>
  <c r="T272" i="4"/>
  <c r="S284" i="4"/>
  <c r="T284" i="4"/>
  <c r="S290" i="4"/>
  <c r="T290" i="4"/>
  <c r="S296" i="4"/>
  <c r="T296" i="4"/>
  <c r="S302" i="4"/>
  <c r="T302" i="4"/>
  <c r="S308" i="4"/>
  <c r="T308" i="4"/>
  <c r="S314" i="4"/>
  <c r="T314" i="4"/>
  <c r="S326" i="4"/>
  <c r="T326" i="4"/>
  <c r="S332" i="4"/>
  <c r="T332" i="4"/>
  <c r="S338" i="4"/>
  <c r="T338" i="4"/>
  <c r="S344" i="4"/>
  <c r="T344" i="4"/>
  <c r="S350" i="4"/>
  <c r="T350" i="4"/>
  <c r="S356" i="4"/>
  <c r="T356" i="4"/>
  <c r="S362" i="4"/>
  <c r="T362" i="4"/>
  <c r="S368" i="4"/>
  <c r="T368" i="4"/>
  <c r="S374" i="4"/>
  <c r="T374" i="4"/>
  <c r="S380" i="4"/>
  <c r="T380" i="4"/>
  <c r="S386" i="4"/>
  <c r="T386" i="4"/>
  <c r="S392" i="4"/>
  <c r="T392" i="4"/>
  <c r="S398" i="4"/>
  <c r="T398" i="4"/>
  <c r="S404" i="4"/>
  <c r="T404" i="4"/>
  <c r="S410" i="4"/>
  <c r="T410" i="4"/>
  <c r="S416" i="4"/>
  <c r="T416" i="4"/>
  <c r="S422" i="4"/>
  <c r="T422" i="4"/>
  <c r="S428" i="4"/>
  <c r="T428" i="4"/>
  <c r="S434" i="4"/>
  <c r="T434" i="4"/>
  <c r="S440" i="4"/>
  <c r="T440" i="4"/>
  <c r="S446" i="4"/>
  <c r="T446" i="4"/>
  <c r="S452" i="4"/>
  <c r="T452" i="4"/>
  <c r="S458" i="4"/>
  <c r="T458" i="4"/>
  <c r="S464" i="4"/>
  <c r="T464" i="4"/>
  <c r="S470" i="4"/>
  <c r="T470" i="4"/>
  <c r="S476" i="4"/>
  <c r="T476" i="4"/>
  <c r="S482" i="4"/>
  <c r="T482" i="4"/>
  <c r="S488" i="4"/>
  <c r="T488" i="4"/>
  <c r="S494" i="4"/>
  <c r="T494" i="4"/>
  <c r="S9" i="4"/>
  <c r="T9" i="4"/>
  <c r="T47" i="4"/>
  <c r="S47" i="4"/>
  <c r="T40" i="4"/>
  <c r="S40" i="4"/>
  <c r="T72" i="4"/>
  <c r="S72" i="4"/>
  <c r="S90" i="4"/>
  <c r="T90" i="4"/>
  <c r="T102" i="4"/>
  <c r="S102" i="4"/>
  <c r="T114" i="4"/>
  <c r="S114" i="4"/>
  <c r="T132" i="4"/>
  <c r="S132" i="4"/>
  <c r="S138" i="4"/>
  <c r="T138" i="4"/>
  <c r="S156" i="4"/>
  <c r="T156" i="4"/>
  <c r="S162" i="4"/>
  <c r="T162" i="4"/>
  <c r="T174" i="4"/>
  <c r="S174" i="4"/>
  <c r="T186" i="4"/>
  <c r="S186" i="4"/>
  <c r="T192" i="4"/>
  <c r="S192" i="4"/>
  <c r="T204" i="4"/>
  <c r="S204" i="4"/>
  <c r="T216" i="4"/>
  <c r="S216" i="4"/>
  <c r="S228" i="4"/>
  <c r="T228" i="4"/>
  <c r="S234" i="4"/>
  <c r="T234" i="4"/>
  <c r="T246" i="4"/>
  <c r="S246" i="4"/>
  <c r="T258" i="4"/>
  <c r="S258" i="4"/>
  <c r="T264" i="4"/>
  <c r="S264" i="4"/>
  <c r="S282" i="4"/>
  <c r="T282" i="4"/>
  <c r="T288" i="4"/>
  <c r="S288" i="4"/>
  <c r="T294" i="4"/>
  <c r="S294" i="4"/>
  <c r="T312" i="4"/>
  <c r="S312" i="4"/>
  <c r="T318" i="4"/>
  <c r="S318" i="4"/>
  <c r="T336" i="4"/>
  <c r="S336" i="4"/>
  <c r="S342" i="4"/>
  <c r="T342" i="4"/>
  <c r="T348" i="4"/>
  <c r="S348" i="4"/>
  <c r="T366" i="4"/>
  <c r="S366" i="4"/>
  <c r="S378" i="4"/>
  <c r="T378" i="4"/>
  <c r="T390" i="4"/>
  <c r="S390" i="4"/>
  <c r="T402" i="4"/>
  <c r="S402" i="4"/>
  <c r="T414" i="4"/>
  <c r="S414" i="4"/>
  <c r="S426" i="4"/>
  <c r="T426" i="4"/>
  <c r="S444" i="4"/>
  <c r="T444" i="4"/>
  <c r="T462" i="4"/>
  <c r="S462" i="4"/>
  <c r="T474" i="4"/>
  <c r="S474" i="4"/>
  <c r="S486" i="4"/>
  <c r="T486" i="4"/>
  <c r="T41" i="4"/>
  <c r="S41" i="4"/>
  <c r="T42" i="4"/>
  <c r="S42" i="4"/>
  <c r="S79" i="4"/>
  <c r="T79" i="4"/>
  <c r="S115" i="4"/>
  <c r="T115" i="4"/>
  <c r="S145" i="4"/>
  <c r="T145" i="4"/>
  <c r="T175" i="4"/>
  <c r="S175" i="4"/>
  <c r="T205" i="4"/>
  <c r="S205" i="4"/>
  <c r="T235" i="4"/>
  <c r="S235" i="4"/>
  <c r="S259" i="4"/>
  <c r="T259" i="4"/>
  <c r="T283" i="4"/>
  <c r="S283" i="4"/>
  <c r="T307" i="4"/>
  <c r="S307" i="4"/>
  <c r="T325" i="4"/>
  <c r="S325" i="4"/>
  <c r="T349" i="4"/>
  <c r="S349" i="4"/>
  <c r="S367" i="4"/>
  <c r="T367" i="4"/>
  <c r="T385" i="4"/>
  <c r="S385" i="4"/>
  <c r="S403" i="4"/>
  <c r="T403" i="4"/>
  <c r="T421" i="4"/>
  <c r="S421" i="4"/>
  <c r="T451" i="4"/>
  <c r="S451" i="4"/>
  <c r="T11" i="4"/>
  <c r="S11" i="4"/>
  <c r="S43" i="4"/>
  <c r="T43" i="4"/>
  <c r="T67" i="4"/>
  <c r="S67" i="4"/>
  <c r="S33" i="4"/>
  <c r="T33" i="4"/>
  <c r="S86" i="4"/>
  <c r="T86" i="4"/>
  <c r="S116" i="4"/>
  <c r="T116" i="4"/>
  <c r="S152" i="4"/>
  <c r="T152" i="4"/>
  <c r="S194" i="4"/>
  <c r="T194" i="4"/>
  <c r="S236" i="4"/>
  <c r="T236" i="4"/>
  <c r="S320" i="4"/>
  <c r="T320" i="4"/>
  <c r="S3" i="4"/>
  <c r="T3" i="4"/>
  <c r="T22" i="4"/>
  <c r="S22" i="4"/>
  <c r="T34" i="4"/>
  <c r="S34" i="4"/>
  <c r="T57" i="4"/>
  <c r="S57" i="4"/>
  <c r="T8" i="4"/>
  <c r="S8" i="4"/>
  <c r="T59" i="4"/>
  <c r="S59" i="4"/>
  <c r="T18" i="4"/>
  <c r="S18" i="4"/>
  <c r="T52" i="4"/>
  <c r="S52" i="4"/>
  <c r="S78" i="4"/>
  <c r="T78" i="4"/>
  <c r="T96" i="4"/>
  <c r="S96" i="4"/>
  <c r="T120" i="4"/>
  <c r="S120" i="4"/>
  <c r="T144" i="4"/>
  <c r="S144" i="4"/>
  <c r="T168" i="4"/>
  <c r="S168" i="4"/>
  <c r="S198" i="4"/>
  <c r="T198" i="4"/>
  <c r="T222" i="4"/>
  <c r="S222" i="4"/>
  <c r="T252" i="4"/>
  <c r="S252" i="4"/>
  <c r="T276" i="4"/>
  <c r="S276" i="4"/>
  <c r="S306" i="4"/>
  <c r="T306" i="4"/>
  <c r="T330" i="4"/>
  <c r="S330" i="4"/>
  <c r="T360" i="4"/>
  <c r="S360" i="4"/>
  <c r="T384" i="4"/>
  <c r="S384" i="4"/>
  <c r="T408" i="4"/>
  <c r="S408" i="4"/>
  <c r="T432" i="4"/>
  <c r="S432" i="4"/>
  <c r="S450" i="4"/>
  <c r="T450" i="4"/>
  <c r="T468" i="4"/>
  <c r="S468" i="4"/>
  <c r="T13" i="4"/>
  <c r="S13" i="4"/>
  <c r="T30" i="4"/>
  <c r="S30" i="4"/>
  <c r="T65" i="4"/>
  <c r="S65" i="4"/>
  <c r="T12" i="4"/>
  <c r="S12" i="4"/>
  <c r="T31" i="4"/>
  <c r="S31" i="4"/>
  <c r="S66" i="4"/>
  <c r="T66" i="4"/>
  <c r="S73" i="4"/>
  <c r="T73" i="4"/>
  <c r="T91" i="4"/>
  <c r="S91" i="4"/>
  <c r="T103" i="4"/>
  <c r="S103" i="4"/>
  <c r="T121" i="4"/>
  <c r="S121" i="4"/>
  <c r="T133" i="4"/>
  <c r="S133" i="4"/>
  <c r="S151" i="4"/>
  <c r="T151" i="4"/>
  <c r="T163" i="4"/>
  <c r="S163" i="4"/>
  <c r="T181" i="4"/>
  <c r="S181" i="4"/>
  <c r="S199" i="4"/>
  <c r="T199" i="4"/>
  <c r="S217" i="4"/>
  <c r="T217" i="4"/>
  <c r="T229" i="4"/>
  <c r="S229" i="4"/>
  <c r="T247" i="4"/>
  <c r="S247" i="4"/>
  <c r="T265" i="4"/>
  <c r="S265" i="4"/>
  <c r="T277" i="4"/>
  <c r="S277" i="4"/>
  <c r="S295" i="4"/>
  <c r="T295" i="4"/>
  <c r="T313" i="4"/>
  <c r="S313" i="4"/>
  <c r="T331" i="4"/>
  <c r="S331" i="4"/>
  <c r="S343" i="4"/>
  <c r="T343" i="4"/>
  <c r="T355" i="4"/>
  <c r="S355" i="4"/>
  <c r="T373" i="4"/>
  <c r="S373" i="4"/>
  <c r="T391" i="4"/>
  <c r="S391" i="4"/>
  <c r="S415" i="4"/>
  <c r="T415" i="4"/>
  <c r="S433" i="4"/>
  <c r="T433" i="4"/>
  <c r="S439" i="4"/>
  <c r="T439" i="4"/>
  <c r="T457" i="4"/>
  <c r="S457" i="4"/>
  <c r="T469" i="4"/>
  <c r="S469" i="4"/>
  <c r="T493" i="4"/>
  <c r="S493" i="4"/>
  <c r="T32" i="4"/>
  <c r="S32" i="4"/>
  <c r="S55" i="4"/>
  <c r="T55" i="4"/>
  <c r="S10" i="4"/>
  <c r="T10" i="4"/>
  <c r="S21" i="4"/>
  <c r="T21" i="4"/>
  <c r="S44" i="4"/>
  <c r="T44" i="4"/>
  <c r="S68" i="4"/>
  <c r="T68" i="4"/>
  <c r="S80" i="4"/>
  <c r="T80" i="4"/>
  <c r="S98" i="4"/>
  <c r="T98" i="4"/>
  <c r="S104" i="4"/>
  <c r="T104" i="4"/>
  <c r="S122" i="4"/>
  <c r="T122" i="4"/>
  <c r="S134" i="4"/>
  <c r="T134" i="4"/>
  <c r="S140" i="4"/>
  <c r="T140" i="4"/>
  <c r="S158" i="4"/>
  <c r="T158" i="4"/>
  <c r="S164" i="4"/>
  <c r="T164" i="4"/>
  <c r="S176" i="4"/>
  <c r="T176" i="4"/>
  <c r="S188" i="4"/>
  <c r="T188" i="4"/>
  <c r="S206" i="4"/>
  <c r="T206" i="4"/>
  <c r="S224" i="4"/>
  <c r="T224" i="4"/>
  <c r="S278" i="4"/>
  <c r="T278" i="4"/>
  <c r="S4" i="4"/>
  <c r="T4" i="4"/>
  <c r="T23" i="4"/>
  <c r="S23" i="4"/>
  <c r="T46" i="4"/>
  <c r="S46" i="4"/>
  <c r="T58" i="4"/>
  <c r="S58" i="4"/>
  <c r="T69" i="4"/>
  <c r="S69" i="4"/>
  <c r="T75" i="4"/>
  <c r="S75" i="4"/>
  <c r="T81" i="4"/>
  <c r="S81" i="4"/>
  <c r="T87" i="4"/>
  <c r="S87" i="4"/>
  <c r="T93" i="4"/>
  <c r="S93" i="4"/>
  <c r="T99" i="4"/>
  <c r="S99" i="4"/>
  <c r="T105" i="4"/>
  <c r="S105" i="4"/>
  <c r="T111" i="4"/>
  <c r="S111" i="4"/>
  <c r="T117" i="4"/>
  <c r="S117" i="4"/>
  <c r="T123" i="4"/>
  <c r="S123" i="4"/>
  <c r="T129" i="4"/>
  <c r="S129" i="4"/>
  <c r="T135" i="4"/>
  <c r="S135" i="4"/>
  <c r="T141" i="4"/>
  <c r="S141" i="4"/>
  <c r="T147" i="4"/>
  <c r="S147" i="4"/>
  <c r="T153" i="4"/>
  <c r="S153" i="4"/>
  <c r="T159" i="4"/>
  <c r="S159" i="4"/>
  <c r="T165" i="4"/>
  <c r="S165" i="4"/>
  <c r="T171" i="4"/>
  <c r="S171" i="4"/>
  <c r="T177" i="4"/>
  <c r="S177" i="4"/>
  <c r="T183" i="4"/>
  <c r="S183" i="4"/>
  <c r="T189" i="4"/>
  <c r="S189" i="4"/>
  <c r="T195" i="4"/>
  <c r="S195" i="4"/>
  <c r="T201" i="4"/>
  <c r="S201" i="4"/>
  <c r="T207" i="4"/>
  <c r="S207" i="4"/>
  <c r="T213" i="4"/>
  <c r="S213" i="4"/>
  <c r="T219" i="4"/>
  <c r="S219" i="4"/>
  <c r="T225" i="4"/>
  <c r="S225" i="4"/>
  <c r="T231" i="4"/>
  <c r="S231" i="4"/>
  <c r="T237" i="4"/>
  <c r="S237" i="4"/>
  <c r="T243" i="4"/>
  <c r="S243" i="4"/>
  <c r="T249" i="4"/>
  <c r="S249" i="4"/>
  <c r="T255" i="4"/>
  <c r="S255" i="4"/>
  <c r="T261" i="4"/>
  <c r="S261" i="4"/>
  <c r="T267" i="4"/>
  <c r="S267" i="4"/>
  <c r="T273" i="4"/>
  <c r="S273" i="4"/>
  <c r="T279" i="4"/>
  <c r="S279" i="4"/>
  <c r="T285" i="4"/>
  <c r="S285" i="4"/>
  <c r="T291" i="4"/>
  <c r="S291" i="4"/>
  <c r="T297" i="4"/>
  <c r="S297" i="4"/>
  <c r="T303" i="4"/>
  <c r="S303" i="4"/>
  <c r="T309" i="4"/>
  <c r="S309" i="4"/>
  <c r="T315" i="4"/>
  <c r="S315" i="4"/>
  <c r="T321" i="4"/>
  <c r="S321" i="4"/>
  <c r="T327" i="4"/>
  <c r="S327" i="4"/>
  <c r="T333" i="4"/>
  <c r="S333" i="4"/>
  <c r="T339" i="4"/>
  <c r="S339" i="4"/>
  <c r="T345" i="4"/>
  <c r="S345" i="4"/>
  <c r="T351" i="4"/>
  <c r="S351" i="4"/>
  <c r="T357" i="4"/>
  <c r="S357" i="4"/>
  <c r="T363" i="4"/>
  <c r="S363" i="4"/>
  <c r="T369" i="4"/>
  <c r="S369" i="4"/>
  <c r="T375" i="4"/>
  <c r="S375" i="4"/>
  <c r="T381" i="4"/>
  <c r="S381" i="4"/>
  <c r="T387" i="4"/>
  <c r="S387" i="4"/>
  <c r="T393" i="4"/>
  <c r="S393" i="4"/>
  <c r="T399" i="4"/>
  <c r="S399" i="4"/>
  <c r="T405" i="4"/>
  <c r="S405" i="4"/>
  <c r="T411" i="4"/>
  <c r="S411" i="4"/>
  <c r="T417" i="4"/>
  <c r="S417" i="4"/>
  <c r="T423" i="4"/>
  <c r="S423" i="4"/>
  <c r="T429" i="4"/>
  <c r="S429" i="4"/>
  <c r="T435" i="4"/>
  <c r="S435" i="4"/>
  <c r="T441" i="4"/>
  <c r="S441" i="4"/>
  <c r="T447" i="4"/>
  <c r="S447" i="4"/>
  <c r="T453" i="4"/>
  <c r="S453" i="4"/>
  <c r="T459" i="4"/>
  <c r="S459" i="4"/>
  <c r="T465" i="4"/>
  <c r="S465" i="4"/>
  <c r="T471" i="4"/>
  <c r="S471" i="4"/>
  <c r="T477" i="4"/>
  <c r="S477" i="4"/>
  <c r="T483" i="4"/>
  <c r="S483" i="4"/>
  <c r="T489" i="4"/>
  <c r="S489" i="4"/>
  <c r="T495" i="4"/>
  <c r="S495" i="4"/>
  <c r="T7" i="4"/>
  <c r="S7" i="4"/>
  <c r="Q47" i="4"/>
  <c r="R47" i="4"/>
  <c r="Q89" i="4"/>
  <c r="R89" i="4"/>
  <c r="R124" i="4"/>
  <c r="Q124" i="4"/>
  <c r="R145" i="4"/>
  <c r="Q145" i="4"/>
  <c r="R173" i="4"/>
  <c r="Q173" i="4"/>
  <c r="R215" i="4"/>
  <c r="Q215" i="4"/>
  <c r="Q236" i="4"/>
  <c r="R236" i="4"/>
  <c r="R264" i="4"/>
  <c r="Q264" i="4"/>
  <c r="R292" i="4"/>
  <c r="Q292" i="4"/>
  <c r="R313" i="4"/>
  <c r="Q313" i="4"/>
  <c r="R341" i="4"/>
  <c r="Q341" i="4"/>
  <c r="Q362" i="4"/>
  <c r="R362" i="4"/>
  <c r="Q383" i="4"/>
  <c r="R383" i="4"/>
  <c r="Q404" i="4"/>
  <c r="R404" i="4"/>
  <c r="Q425" i="4"/>
  <c r="R425" i="4"/>
  <c r="R446" i="4"/>
  <c r="Q446" i="4"/>
  <c r="Q488" i="4"/>
  <c r="R488" i="4"/>
  <c r="Q15" i="4"/>
  <c r="R15" i="4"/>
  <c r="Q21" i="4"/>
  <c r="R21" i="4"/>
  <c r="Q62" i="4"/>
  <c r="R62" i="4"/>
  <c r="R167" i="4"/>
  <c r="Q167" i="4"/>
  <c r="Q377" i="4"/>
  <c r="R377" i="4"/>
  <c r="R29" i="4"/>
  <c r="Q29" i="4"/>
  <c r="Q63" i="4"/>
  <c r="R63" i="4"/>
  <c r="R98" i="4"/>
  <c r="Q98" i="4"/>
  <c r="R119" i="4"/>
  <c r="Q119" i="4"/>
  <c r="R147" i="4"/>
  <c r="Q147" i="4"/>
  <c r="Q168" i="4"/>
  <c r="R168" i="4"/>
  <c r="Q182" i="4"/>
  <c r="R182" i="4"/>
  <c r="Q203" i="4"/>
  <c r="R203" i="4"/>
  <c r="R224" i="4"/>
  <c r="Q224" i="4"/>
  <c r="Q245" i="4"/>
  <c r="R245" i="4"/>
  <c r="Q259" i="4"/>
  <c r="R259" i="4"/>
  <c r="Q280" i="4"/>
  <c r="R280" i="4"/>
  <c r="Q301" i="4"/>
  <c r="R301" i="4"/>
  <c r="R329" i="4"/>
  <c r="Q329" i="4"/>
  <c r="Q350" i="4"/>
  <c r="R350" i="4"/>
  <c r="Q371" i="4"/>
  <c r="R371" i="4"/>
  <c r="Q392" i="4"/>
  <c r="R392" i="4"/>
  <c r="Q406" i="4"/>
  <c r="R406" i="4"/>
  <c r="R427" i="4"/>
  <c r="Q427" i="4"/>
  <c r="Q455" i="4"/>
  <c r="R455" i="4"/>
  <c r="Q483" i="4"/>
  <c r="R483" i="4"/>
  <c r="Q14" i="4"/>
  <c r="R14" i="4"/>
  <c r="Q6" i="4"/>
  <c r="R6" i="4"/>
  <c r="Q17" i="4"/>
  <c r="R17" i="4"/>
  <c r="Q23" i="4"/>
  <c r="R23" i="4"/>
  <c r="Q30" i="4"/>
  <c r="R30" i="4"/>
  <c r="Q36" i="4"/>
  <c r="R36" i="4"/>
  <c r="Q43" i="4"/>
  <c r="R43" i="4"/>
  <c r="Q50" i="4"/>
  <c r="R50" i="4"/>
  <c r="Q57" i="4"/>
  <c r="R57" i="4"/>
  <c r="Q64" i="4"/>
  <c r="R64" i="4"/>
  <c r="Q71" i="4"/>
  <c r="R71" i="4"/>
  <c r="Q78" i="4"/>
  <c r="R78" i="4"/>
  <c r="Q85" i="4"/>
  <c r="R85" i="4"/>
  <c r="Q92" i="4"/>
  <c r="R92" i="4"/>
  <c r="Q99" i="4"/>
  <c r="R99" i="4"/>
  <c r="Q106" i="4"/>
  <c r="R106" i="4"/>
  <c r="R113" i="4"/>
  <c r="Q113" i="4"/>
  <c r="Q120" i="4"/>
  <c r="R120" i="4"/>
  <c r="R127" i="4"/>
  <c r="Q127" i="4"/>
  <c r="R134" i="4"/>
  <c r="Q134" i="4"/>
  <c r="Q141" i="4"/>
  <c r="R141" i="4"/>
  <c r="Q148" i="4"/>
  <c r="R148" i="4"/>
  <c r="Q155" i="4"/>
  <c r="R155" i="4"/>
  <c r="Q162" i="4"/>
  <c r="R162" i="4"/>
  <c r="Q169" i="4"/>
  <c r="R169" i="4"/>
  <c r="Q176" i="4"/>
  <c r="R176" i="4"/>
  <c r="Q183" i="4"/>
  <c r="R183" i="4"/>
  <c r="Q190" i="4"/>
  <c r="R190" i="4"/>
  <c r="R197" i="4"/>
  <c r="Q197" i="4"/>
  <c r="R204" i="4"/>
  <c r="Q204" i="4"/>
  <c r="Q211" i="4"/>
  <c r="R211" i="4"/>
  <c r="Q218" i="4"/>
  <c r="R218" i="4"/>
  <c r="R225" i="4"/>
  <c r="Q225" i="4"/>
  <c r="R232" i="4"/>
  <c r="Q232" i="4"/>
  <c r="R239" i="4"/>
  <c r="Q239" i="4"/>
  <c r="Q246" i="4"/>
  <c r="R246" i="4"/>
  <c r="R253" i="4"/>
  <c r="Q253" i="4"/>
  <c r="R260" i="4"/>
  <c r="Q260" i="4"/>
  <c r="R267" i="4"/>
  <c r="Q267" i="4"/>
  <c r="Q274" i="4"/>
  <c r="R274" i="4"/>
  <c r="Q281" i="4"/>
  <c r="R281" i="4"/>
  <c r="Q288" i="4"/>
  <c r="R288" i="4"/>
  <c r="Q295" i="4"/>
  <c r="R295" i="4"/>
  <c r="Q302" i="4"/>
  <c r="R302" i="4"/>
  <c r="Q309" i="4"/>
  <c r="R309" i="4"/>
  <c r="R316" i="4"/>
  <c r="Q316" i="4"/>
  <c r="Q323" i="4"/>
  <c r="R323" i="4"/>
  <c r="Q330" i="4"/>
  <c r="R330" i="4"/>
  <c r="R337" i="4"/>
  <c r="Q337" i="4"/>
  <c r="R344" i="4"/>
  <c r="Q344" i="4"/>
  <c r="Q351" i="4"/>
  <c r="R351" i="4"/>
  <c r="Q358" i="4"/>
  <c r="R358" i="4"/>
  <c r="Q365" i="4"/>
  <c r="R365" i="4"/>
  <c r="Q372" i="4"/>
  <c r="R372" i="4"/>
  <c r="Q379" i="4"/>
  <c r="R379" i="4"/>
  <c r="Q386" i="4"/>
  <c r="R386" i="4"/>
  <c r="Q393" i="4"/>
  <c r="R393" i="4"/>
  <c r="Q400" i="4"/>
  <c r="R400" i="4"/>
  <c r="Q407" i="4"/>
  <c r="R407" i="4"/>
  <c r="Q414" i="4"/>
  <c r="R414" i="4"/>
  <c r="R421" i="4"/>
  <c r="Q421" i="4"/>
  <c r="R428" i="4"/>
  <c r="Q428" i="4"/>
  <c r="R435" i="4"/>
  <c r="Q435" i="4"/>
  <c r="R442" i="4"/>
  <c r="Q442" i="4"/>
  <c r="Q449" i="4"/>
  <c r="R449" i="4"/>
  <c r="Q456" i="4"/>
  <c r="R456" i="4"/>
  <c r="Q463" i="4"/>
  <c r="R463" i="4"/>
  <c r="Q470" i="4"/>
  <c r="R470" i="4"/>
  <c r="Q477" i="4"/>
  <c r="R477" i="4"/>
  <c r="Q484" i="4"/>
  <c r="R484" i="4"/>
  <c r="Q491" i="4"/>
  <c r="R491" i="4"/>
  <c r="Q13" i="4"/>
  <c r="R13" i="4"/>
  <c r="Q27" i="4"/>
  <c r="R27" i="4"/>
  <c r="Q54" i="4"/>
  <c r="R54" i="4"/>
  <c r="Q82" i="4"/>
  <c r="R82" i="4"/>
  <c r="Q103" i="4"/>
  <c r="R103" i="4"/>
  <c r="R131" i="4"/>
  <c r="Q131" i="4"/>
  <c r="R159" i="4"/>
  <c r="Q159" i="4"/>
  <c r="Q187" i="4"/>
  <c r="R187" i="4"/>
  <c r="R208" i="4"/>
  <c r="Q208" i="4"/>
  <c r="R229" i="4"/>
  <c r="Q229" i="4"/>
  <c r="R257" i="4"/>
  <c r="Q257" i="4"/>
  <c r="R271" i="4"/>
  <c r="Q271" i="4"/>
  <c r="R299" i="4"/>
  <c r="Q299" i="4"/>
  <c r="R320" i="4"/>
  <c r="Q320" i="4"/>
  <c r="Q334" i="4"/>
  <c r="R334" i="4"/>
  <c r="R348" i="4"/>
  <c r="Q348" i="4"/>
  <c r="Q355" i="4"/>
  <c r="R355" i="4"/>
  <c r="R369" i="4"/>
  <c r="Q369" i="4"/>
  <c r="Q390" i="4"/>
  <c r="R390" i="4"/>
  <c r="R397" i="4"/>
  <c r="Q397" i="4"/>
  <c r="Q411" i="4"/>
  <c r="R411" i="4"/>
  <c r="Q418" i="4"/>
  <c r="R418" i="4"/>
  <c r="Q432" i="4"/>
  <c r="R432" i="4"/>
  <c r="R439" i="4"/>
  <c r="Q439" i="4"/>
  <c r="Q453" i="4"/>
  <c r="R453" i="4"/>
  <c r="Q460" i="4"/>
  <c r="R460" i="4"/>
  <c r="Q481" i="4"/>
  <c r="R481" i="4"/>
  <c r="Q41" i="4"/>
  <c r="R41" i="4"/>
  <c r="Q69" i="4"/>
  <c r="R69" i="4"/>
  <c r="Q90" i="4"/>
  <c r="R90" i="4"/>
  <c r="Q111" i="4"/>
  <c r="R111" i="4"/>
  <c r="Q125" i="4"/>
  <c r="R125" i="4"/>
  <c r="Q139" i="4"/>
  <c r="R139" i="4"/>
  <c r="R160" i="4"/>
  <c r="Q160" i="4"/>
  <c r="R188" i="4"/>
  <c r="Q188" i="4"/>
  <c r="Q209" i="4"/>
  <c r="R209" i="4"/>
  <c r="Q230" i="4"/>
  <c r="R230" i="4"/>
  <c r="Q251" i="4"/>
  <c r="R251" i="4"/>
  <c r="R272" i="4"/>
  <c r="Q272" i="4"/>
  <c r="R286" i="4"/>
  <c r="Q286" i="4"/>
  <c r="R307" i="4"/>
  <c r="Q307" i="4"/>
  <c r="R342" i="4"/>
  <c r="Q342" i="4"/>
  <c r="Q370" i="4"/>
  <c r="R370" i="4"/>
  <c r="Q405" i="4"/>
  <c r="R405" i="4"/>
  <c r="Q440" i="4"/>
  <c r="R440" i="4"/>
  <c r="Q482" i="4"/>
  <c r="R482" i="4"/>
  <c r="R56" i="4"/>
  <c r="Q56" i="4"/>
  <c r="Q91" i="4"/>
  <c r="R91" i="4"/>
  <c r="Q126" i="4"/>
  <c r="R126" i="4"/>
  <c r="Q161" i="4"/>
  <c r="R161" i="4"/>
  <c r="R196" i="4"/>
  <c r="Q196" i="4"/>
  <c r="Q231" i="4"/>
  <c r="R231" i="4"/>
  <c r="R266" i="4"/>
  <c r="Q266" i="4"/>
  <c r="Q294" i="4"/>
  <c r="R294" i="4"/>
  <c r="R308" i="4"/>
  <c r="Q308" i="4"/>
  <c r="R336" i="4"/>
  <c r="Q336" i="4"/>
  <c r="Q357" i="4"/>
  <c r="R357" i="4"/>
  <c r="R385" i="4"/>
  <c r="Q385" i="4"/>
  <c r="Q420" i="4"/>
  <c r="R420" i="4"/>
  <c r="Q448" i="4"/>
  <c r="R448" i="4"/>
  <c r="Q476" i="4"/>
  <c r="R476" i="4"/>
  <c r="R12" i="4"/>
  <c r="Q12" i="4"/>
  <c r="Q11" i="4"/>
  <c r="R11" i="4"/>
  <c r="Q10" i="4"/>
  <c r="R10" i="4"/>
  <c r="Q61" i="4"/>
  <c r="R61" i="4"/>
  <c r="R117" i="4"/>
  <c r="Q117" i="4"/>
  <c r="Q180" i="4"/>
  <c r="R180" i="4"/>
  <c r="Q285" i="4"/>
  <c r="R285" i="4"/>
  <c r="Q474" i="4"/>
  <c r="R474" i="4"/>
  <c r="Q55" i="4"/>
  <c r="R55" i="4"/>
  <c r="Q83" i="4"/>
  <c r="R83" i="4"/>
  <c r="Q104" i="4"/>
  <c r="R104" i="4"/>
  <c r="Q132" i="4"/>
  <c r="R132" i="4"/>
  <c r="R153" i="4"/>
  <c r="Q153" i="4"/>
  <c r="R181" i="4"/>
  <c r="Q181" i="4"/>
  <c r="R202" i="4"/>
  <c r="Q202" i="4"/>
  <c r="R223" i="4"/>
  <c r="Q223" i="4"/>
  <c r="Q237" i="4"/>
  <c r="R237" i="4"/>
  <c r="Q258" i="4"/>
  <c r="R258" i="4"/>
  <c r="R279" i="4"/>
  <c r="Q279" i="4"/>
  <c r="R300" i="4"/>
  <c r="Q300" i="4"/>
  <c r="R328" i="4"/>
  <c r="Q328" i="4"/>
  <c r="R356" i="4"/>
  <c r="Q356" i="4"/>
  <c r="Q384" i="4"/>
  <c r="R384" i="4"/>
  <c r="Q398" i="4"/>
  <c r="R398" i="4"/>
  <c r="Q419" i="4"/>
  <c r="R419" i="4"/>
  <c r="Q433" i="4"/>
  <c r="R433" i="4"/>
  <c r="Q454" i="4"/>
  <c r="R454" i="4"/>
  <c r="Q468" i="4"/>
  <c r="R468" i="4"/>
  <c r="Q496" i="4"/>
  <c r="R496" i="4"/>
  <c r="R42" i="4"/>
  <c r="Q42" i="4"/>
  <c r="Q77" i="4"/>
  <c r="R77" i="4"/>
  <c r="Q112" i="4"/>
  <c r="R112" i="4"/>
  <c r="Q154" i="4"/>
  <c r="R154" i="4"/>
  <c r="Q189" i="4"/>
  <c r="R189" i="4"/>
  <c r="Q217" i="4"/>
  <c r="R217" i="4"/>
  <c r="Q252" i="4"/>
  <c r="R252" i="4"/>
  <c r="Q287" i="4"/>
  <c r="R287" i="4"/>
  <c r="R315" i="4"/>
  <c r="Q315" i="4"/>
  <c r="Q343" i="4"/>
  <c r="R343" i="4"/>
  <c r="R378" i="4"/>
  <c r="Q378" i="4"/>
  <c r="R413" i="4"/>
  <c r="Q413" i="4"/>
  <c r="Q441" i="4"/>
  <c r="R441" i="4"/>
  <c r="Q462" i="4"/>
  <c r="R462" i="4"/>
  <c r="Q490" i="4"/>
  <c r="R490" i="4"/>
  <c r="Q37" i="4"/>
  <c r="R37" i="4"/>
  <c r="Q51" i="4"/>
  <c r="R51" i="4"/>
  <c r="Q72" i="4"/>
  <c r="R72" i="4"/>
  <c r="Q86" i="4"/>
  <c r="R86" i="4"/>
  <c r="Q100" i="4"/>
  <c r="R100" i="4"/>
  <c r="Q121" i="4"/>
  <c r="R121" i="4"/>
  <c r="Q135" i="4"/>
  <c r="R135" i="4"/>
  <c r="Q149" i="4"/>
  <c r="R149" i="4"/>
  <c r="Q163" i="4"/>
  <c r="R163" i="4"/>
  <c r="Q184" i="4"/>
  <c r="R184" i="4"/>
  <c r="Q205" i="4"/>
  <c r="R205" i="4"/>
  <c r="Q219" i="4"/>
  <c r="R219" i="4"/>
  <c r="Q233" i="4"/>
  <c r="R233" i="4"/>
  <c r="R254" i="4"/>
  <c r="Q254" i="4"/>
  <c r="Q282" i="4"/>
  <c r="R282" i="4"/>
  <c r="R303" i="4"/>
  <c r="Q303" i="4"/>
  <c r="R317" i="4"/>
  <c r="Q317" i="4"/>
  <c r="R331" i="4"/>
  <c r="Q331" i="4"/>
  <c r="R345" i="4"/>
  <c r="Q345" i="4"/>
  <c r="R359" i="4"/>
  <c r="Q359" i="4"/>
  <c r="Q373" i="4"/>
  <c r="R373" i="4"/>
  <c r="Q380" i="4"/>
  <c r="R380" i="4"/>
  <c r="Q387" i="4"/>
  <c r="R387" i="4"/>
  <c r="Q401" i="4"/>
  <c r="R401" i="4"/>
  <c r="Q408" i="4"/>
  <c r="R408" i="4"/>
  <c r="Q415" i="4"/>
  <c r="R415" i="4"/>
  <c r="Q422" i="4"/>
  <c r="R422" i="4"/>
  <c r="R429" i="4"/>
  <c r="Q429" i="4"/>
  <c r="Q436" i="4"/>
  <c r="R436" i="4"/>
  <c r="Q443" i="4"/>
  <c r="R443" i="4"/>
  <c r="R450" i="4"/>
  <c r="Q450" i="4"/>
  <c r="Q457" i="4"/>
  <c r="R457" i="4"/>
  <c r="Q464" i="4"/>
  <c r="R464" i="4"/>
  <c r="Q471" i="4"/>
  <c r="R471" i="4"/>
  <c r="Q492" i="4"/>
  <c r="R492" i="4"/>
  <c r="Q19" i="4"/>
  <c r="R19" i="4"/>
  <c r="Q25" i="4"/>
  <c r="R25" i="4"/>
  <c r="Q32" i="4"/>
  <c r="R32" i="4"/>
  <c r="Q38" i="4"/>
  <c r="R38" i="4"/>
  <c r="Q52" i="4"/>
  <c r="R52" i="4"/>
  <c r="Q59" i="4"/>
  <c r="R59" i="4"/>
  <c r="Q66" i="4"/>
  <c r="R66" i="4"/>
  <c r="Q73" i="4"/>
  <c r="R73" i="4"/>
  <c r="Q80" i="4"/>
  <c r="R80" i="4"/>
  <c r="Q87" i="4"/>
  <c r="R87" i="4"/>
  <c r="Q94" i="4"/>
  <c r="R94" i="4"/>
  <c r="Q101" i="4"/>
  <c r="R101" i="4"/>
  <c r="Q108" i="4"/>
  <c r="R108" i="4"/>
  <c r="Q115" i="4"/>
  <c r="R115" i="4"/>
  <c r="Q122" i="4"/>
  <c r="R122" i="4"/>
  <c r="Q129" i="4"/>
  <c r="R129" i="4"/>
  <c r="Q136" i="4"/>
  <c r="R136" i="4"/>
  <c r="Q143" i="4"/>
  <c r="R143" i="4"/>
  <c r="Q150" i="4"/>
  <c r="R150" i="4"/>
  <c r="Q157" i="4"/>
  <c r="R157" i="4"/>
  <c r="Q164" i="4"/>
  <c r="R164" i="4"/>
  <c r="Q171" i="4"/>
  <c r="R171" i="4"/>
  <c r="Q178" i="4"/>
  <c r="R178" i="4"/>
  <c r="Q185" i="4"/>
  <c r="R185" i="4"/>
  <c r="Q192" i="4"/>
  <c r="R192" i="4"/>
  <c r="R199" i="4"/>
  <c r="Q199" i="4"/>
  <c r="Q206" i="4"/>
  <c r="R206" i="4"/>
  <c r="R213" i="4"/>
  <c r="Q213" i="4"/>
  <c r="R220" i="4"/>
  <c r="Q220" i="4"/>
  <c r="Q227" i="4"/>
  <c r="R227" i="4"/>
  <c r="Q234" i="4"/>
  <c r="R234" i="4"/>
  <c r="Q241" i="4"/>
  <c r="R241" i="4"/>
  <c r="Q248" i="4"/>
  <c r="R248" i="4"/>
  <c r="Q255" i="4"/>
  <c r="R255" i="4"/>
  <c r="Q262" i="4"/>
  <c r="R262" i="4"/>
  <c r="Q269" i="4"/>
  <c r="R269" i="4"/>
  <c r="Q276" i="4"/>
  <c r="R276" i="4"/>
  <c r="Q283" i="4"/>
  <c r="R283" i="4"/>
  <c r="R290" i="4"/>
  <c r="Q290" i="4"/>
  <c r="Q297" i="4"/>
  <c r="R297" i="4"/>
  <c r="R304" i="4"/>
  <c r="Q304" i="4"/>
  <c r="R311" i="4"/>
  <c r="Q311" i="4"/>
  <c r="Q318" i="4"/>
  <c r="R318" i="4"/>
  <c r="R325" i="4"/>
  <c r="Q325" i="4"/>
  <c r="R332" i="4"/>
  <c r="Q332" i="4"/>
  <c r="Q339" i="4"/>
  <c r="R339" i="4"/>
  <c r="Q346" i="4"/>
  <c r="R346" i="4"/>
  <c r="Q353" i="4"/>
  <c r="R353" i="4"/>
  <c r="Q360" i="4"/>
  <c r="R360" i="4"/>
  <c r="R367" i="4"/>
  <c r="Q367" i="4"/>
  <c r="R374" i="4"/>
  <c r="Q374" i="4"/>
  <c r="R381" i="4"/>
  <c r="Q381" i="4"/>
  <c r="R388" i="4"/>
  <c r="Q388" i="4"/>
  <c r="R395" i="4"/>
  <c r="Q395" i="4"/>
  <c r="R402" i="4"/>
  <c r="Q402" i="4"/>
  <c r="R409" i="4"/>
  <c r="Q409" i="4"/>
  <c r="Q416" i="4"/>
  <c r="R416" i="4"/>
  <c r="Q423" i="4"/>
  <c r="R423" i="4"/>
  <c r="R430" i="4"/>
  <c r="Q430" i="4"/>
  <c r="Q437" i="4"/>
  <c r="R437" i="4"/>
  <c r="R444" i="4"/>
  <c r="Q444" i="4"/>
  <c r="Q451" i="4"/>
  <c r="R451" i="4"/>
  <c r="Q458" i="4"/>
  <c r="R458" i="4"/>
  <c r="Q465" i="4"/>
  <c r="R465" i="4"/>
  <c r="Q472" i="4"/>
  <c r="R472" i="4"/>
  <c r="Q479" i="4"/>
  <c r="R479" i="4"/>
  <c r="Q486" i="4"/>
  <c r="R486" i="4"/>
  <c r="Q493" i="4"/>
  <c r="R493" i="4"/>
  <c r="Q9" i="4"/>
  <c r="R9" i="4"/>
  <c r="Q34" i="4"/>
  <c r="R34" i="4"/>
  <c r="Q68" i="4"/>
  <c r="R68" i="4"/>
  <c r="Q96" i="4"/>
  <c r="R96" i="4"/>
  <c r="R138" i="4"/>
  <c r="Q138" i="4"/>
  <c r="Q166" i="4"/>
  <c r="R166" i="4"/>
  <c r="R194" i="4"/>
  <c r="Q194" i="4"/>
  <c r="R222" i="4"/>
  <c r="Q222" i="4"/>
  <c r="Q243" i="4"/>
  <c r="R243" i="4"/>
  <c r="Q278" i="4"/>
  <c r="R278" i="4"/>
  <c r="R327" i="4"/>
  <c r="Q327" i="4"/>
  <c r="Q467" i="4"/>
  <c r="R467" i="4"/>
  <c r="Q28" i="4"/>
  <c r="R28" i="4"/>
  <c r="Q48" i="4"/>
  <c r="R48" i="4"/>
  <c r="Q76" i="4"/>
  <c r="R76" i="4"/>
  <c r="Q97" i="4"/>
  <c r="R97" i="4"/>
  <c r="Q118" i="4"/>
  <c r="R118" i="4"/>
  <c r="Q146" i="4"/>
  <c r="R146" i="4"/>
  <c r="R174" i="4"/>
  <c r="Q174" i="4"/>
  <c r="R195" i="4"/>
  <c r="Q195" i="4"/>
  <c r="R216" i="4"/>
  <c r="Q216" i="4"/>
  <c r="Q244" i="4"/>
  <c r="R244" i="4"/>
  <c r="Q265" i="4"/>
  <c r="R265" i="4"/>
  <c r="R293" i="4"/>
  <c r="Q293" i="4"/>
  <c r="Q314" i="4"/>
  <c r="R314" i="4"/>
  <c r="Q321" i="4"/>
  <c r="R321" i="4"/>
  <c r="R335" i="4"/>
  <c r="Q335" i="4"/>
  <c r="R349" i="4"/>
  <c r="Q349" i="4"/>
  <c r="R363" i="4"/>
  <c r="Q363" i="4"/>
  <c r="R391" i="4"/>
  <c r="Q391" i="4"/>
  <c r="R412" i="4"/>
  <c r="Q412" i="4"/>
  <c r="Q426" i="4"/>
  <c r="R426" i="4"/>
  <c r="R447" i="4"/>
  <c r="Q447" i="4"/>
  <c r="Q461" i="4"/>
  <c r="R461" i="4"/>
  <c r="Q475" i="4"/>
  <c r="R475" i="4"/>
  <c r="Q489" i="4"/>
  <c r="R489" i="4"/>
  <c r="Q5" i="4"/>
  <c r="R5" i="4"/>
  <c r="R35" i="4"/>
  <c r="Q35" i="4"/>
  <c r="Q70" i="4"/>
  <c r="R70" i="4"/>
  <c r="R84" i="4"/>
  <c r="Q84" i="4"/>
  <c r="Q105" i="4"/>
  <c r="R105" i="4"/>
  <c r="Q140" i="4"/>
  <c r="R140" i="4"/>
  <c r="Q175" i="4"/>
  <c r="R175" i="4"/>
  <c r="R210" i="4"/>
  <c r="Q210" i="4"/>
  <c r="R273" i="4"/>
  <c r="Q273" i="4"/>
  <c r="R322" i="4"/>
  <c r="Q322" i="4"/>
  <c r="Q364" i="4"/>
  <c r="R364" i="4"/>
  <c r="Q399" i="4"/>
  <c r="R399" i="4"/>
  <c r="Q434" i="4"/>
  <c r="R434" i="4"/>
  <c r="Q497" i="4"/>
  <c r="R497" i="4"/>
  <c r="R24" i="4"/>
  <c r="Q24" i="4"/>
  <c r="Q58" i="4"/>
  <c r="R58" i="4"/>
  <c r="Q107" i="4"/>
  <c r="R107" i="4"/>
  <c r="Q170" i="4"/>
  <c r="R170" i="4"/>
  <c r="Q268" i="4"/>
  <c r="R268" i="4"/>
  <c r="Q478" i="4"/>
  <c r="R478" i="4"/>
  <c r="R8" i="4"/>
  <c r="Q8" i="4"/>
  <c r="Q3" i="4"/>
  <c r="R3" i="4"/>
  <c r="Q40" i="4"/>
  <c r="R40" i="4"/>
  <c r="Q75" i="4"/>
  <c r="R75" i="4"/>
  <c r="R110" i="4"/>
  <c r="Q110" i="4"/>
  <c r="Q152" i="4"/>
  <c r="R152" i="4"/>
  <c r="Q201" i="4"/>
  <c r="R201" i="4"/>
  <c r="R250" i="4"/>
  <c r="Q250" i="4"/>
  <c r="R306" i="4"/>
  <c r="Q306" i="4"/>
  <c r="Q376" i="4"/>
  <c r="R376" i="4"/>
  <c r="Q495" i="4"/>
  <c r="R495" i="4"/>
  <c r="Q4" i="4"/>
  <c r="R4" i="4"/>
  <c r="R22" i="4"/>
  <c r="Q22" i="4"/>
  <c r="R49" i="4"/>
  <c r="Q49" i="4"/>
  <c r="Q133" i="4"/>
  <c r="R133" i="4"/>
  <c r="R238" i="4"/>
  <c r="Q238" i="4"/>
  <c r="Q469" i="4"/>
  <c r="R469" i="4"/>
  <c r="Q18" i="4"/>
  <c r="R18" i="4"/>
  <c r="Q31" i="4"/>
  <c r="R31" i="4"/>
  <c r="Q44" i="4"/>
  <c r="R44" i="4"/>
  <c r="Q65" i="4"/>
  <c r="R65" i="4"/>
  <c r="Q79" i="4"/>
  <c r="R79" i="4"/>
  <c r="Q93" i="4"/>
  <c r="R93" i="4"/>
  <c r="Q114" i="4"/>
  <c r="R114" i="4"/>
  <c r="Q128" i="4"/>
  <c r="R128" i="4"/>
  <c r="Q142" i="4"/>
  <c r="R142" i="4"/>
  <c r="Q156" i="4"/>
  <c r="R156" i="4"/>
  <c r="Q177" i="4"/>
  <c r="R177" i="4"/>
  <c r="Q191" i="4"/>
  <c r="R191" i="4"/>
  <c r="R198" i="4"/>
  <c r="Q198" i="4"/>
  <c r="R212" i="4"/>
  <c r="Q212" i="4"/>
  <c r="Q226" i="4"/>
  <c r="R226" i="4"/>
  <c r="R240" i="4"/>
  <c r="Q240" i="4"/>
  <c r="Q247" i="4"/>
  <c r="R247" i="4"/>
  <c r="R261" i="4"/>
  <c r="Q261" i="4"/>
  <c r="Q275" i="4"/>
  <c r="R275" i="4"/>
  <c r="Q289" i="4"/>
  <c r="R289" i="4"/>
  <c r="Q296" i="4"/>
  <c r="R296" i="4"/>
  <c r="R310" i="4"/>
  <c r="Q310" i="4"/>
  <c r="R324" i="4"/>
  <c r="Q324" i="4"/>
  <c r="R338" i="4"/>
  <c r="Q338" i="4"/>
  <c r="R352" i="4"/>
  <c r="Q352" i="4"/>
  <c r="R366" i="4"/>
  <c r="Q366" i="4"/>
  <c r="Q394" i="4"/>
  <c r="R394" i="4"/>
  <c r="Q485" i="4"/>
  <c r="R485" i="4"/>
  <c r="Q2" i="4"/>
  <c r="R2" i="4"/>
  <c r="Q20" i="4"/>
  <c r="R20" i="4"/>
  <c r="Q26" i="4"/>
  <c r="R26" i="4"/>
  <c r="Q33" i="4"/>
  <c r="R33" i="4"/>
  <c r="Q39" i="4"/>
  <c r="R39" i="4"/>
  <c r="Q46" i="4"/>
  <c r="R46" i="4"/>
  <c r="Q53" i="4"/>
  <c r="R53" i="4"/>
  <c r="R60" i="4"/>
  <c r="Q60" i="4"/>
  <c r="R67" i="4"/>
  <c r="Q67" i="4"/>
  <c r="R74" i="4"/>
  <c r="Q74" i="4"/>
  <c r="R81" i="4"/>
  <c r="Q81" i="4"/>
  <c r="R88" i="4"/>
  <c r="Q88" i="4"/>
  <c r="R95" i="4"/>
  <c r="Q95" i="4"/>
  <c r="R102" i="4"/>
  <c r="Q102" i="4"/>
  <c r="Q109" i="4"/>
  <c r="R109" i="4"/>
  <c r="Q116" i="4"/>
  <c r="R116" i="4"/>
  <c r="Q123" i="4"/>
  <c r="R123" i="4"/>
  <c r="Q130" i="4"/>
  <c r="R130" i="4"/>
  <c r="Q137" i="4"/>
  <c r="R137" i="4"/>
  <c r="Q144" i="4"/>
  <c r="R144" i="4"/>
  <c r="Q151" i="4"/>
  <c r="R151" i="4"/>
  <c r="Q158" i="4"/>
  <c r="R158" i="4"/>
  <c r="Q165" i="4"/>
  <c r="R165" i="4"/>
  <c r="Q172" i="4"/>
  <c r="R172" i="4"/>
  <c r="Q179" i="4"/>
  <c r="R179" i="4"/>
  <c r="Q186" i="4"/>
  <c r="R186" i="4"/>
  <c r="R193" i="4"/>
  <c r="Q193" i="4"/>
  <c r="Q200" i="4"/>
  <c r="R200" i="4"/>
  <c r="Q207" i="4"/>
  <c r="R207" i="4"/>
  <c r="R214" i="4"/>
  <c r="Q214" i="4"/>
  <c r="R221" i="4"/>
  <c r="Q221" i="4"/>
  <c r="R228" i="4"/>
  <c r="Q228" i="4"/>
  <c r="R235" i="4"/>
  <c r="Q235" i="4"/>
  <c r="R242" i="4"/>
  <c r="Q242" i="4"/>
  <c r="R249" i="4"/>
  <c r="Q249" i="4"/>
  <c r="R256" i="4"/>
  <c r="Q256" i="4"/>
  <c r="R263" i="4"/>
  <c r="Q263" i="4"/>
  <c r="Q270" i="4"/>
  <c r="R270" i="4"/>
  <c r="R277" i="4"/>
  <c r="Q277" i="4"/>
  <c r="R284" i="4"/>
  <c r="Q284" i="4"/>
  <c r="R291" i="4"/>
  <c r="Q291" i="4"/>
  <c r="Q298" i="4"/>
  <c r="R298" i="4"/>
  <c r="Q305" i="4"/>
  <c r="R305" i="4"/>
  <c r="R312" i="4"/>
  <c r="Q312" i="4"/>
  <c r="R319" i="4"/>
  <c r="Q319" i="4"/>
  <c r="Q326" i="4"/>
  <c r="R326" i="4"/>
  <c r="R333" i="4"/>
  <c r="Q333" i="4"/>
  <c r="R340" i="4"/>
  <c r="Q340" i="4"/>
  <c r="Q347" i="4"/>
  <c r="R347" i="4"/>
  <c r="R354" i="4"/>
  <c r="Q354" i="4"/>
  <c r="Q361" i="4"/>
  <c r="R361" i="4"/>
  <c r="Q368" i="4"/>
  <c r="R368" i="4"/>
  <c r="Q375" i="4"/>
  <c r="R375" i="4"/>
  <c r="R382" i="4"/>
  <c r="Q382" i="4"/>
  <c r="Q389" i="4"/>
  <c r="R389" i="4"/>
  <c r="Q396" i="4"/>
  <c r="R396" i="4"/>
  <c r="Q403" i="4"/>
  <c r="R403" i="4"/>
  <c r="Q410" i="4"/>
  <c r="R410" i="4"/>
  <c r="R417" i="4"/>
  <c r="Q417" i="4"/>
  <c r="Q424" i="4"/>
  <c r="R424" i="4"/>
  <c r="Q431" i="4"/>
  <c r="R431" i="4"/>
  <c r="R438" i="4"/>
  <c r="Q438" i="4"/>
  <c r="Q445" i="4"/>
  <c r="R445" i="4"/>
  <c r="Q452" i="4"/>
  <c r="R452" i="4"/>
  <c r="Q459" i="4"/>
  <c r="R459" i="4"/>
  <c r="Q466" i="4"/>
  <c r="R466" i="4"/>
  <c r="Q473" i="4"/>
  <c r="R473" i="4"/>
  <c r="Q480" i="4"/>
  <c r="R480" i="4"/>
  <c r="Q487" i="4"/>
  <c r="R487" i="4"/>
  <c r="Q494" i="4"/>
  <c r="R494" i="4"/>
  <c r="Q7" i="4"/>
  <c r="R7"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Bezawit Getaneh</author>
  </authors>
  <commentList>
    <comment ref="C1" authorId="0" shapeId="0" xr:uid="{2BC9AE58-C5E3-444F-89C2-52B6BA817518}">
      <text>
        <r>
          <rPr>
            <sz val="11"/>
            <color theme="1"/>
            <rFont val="Calibri"/>
            <family val="2"/>
            <charset val="1"/>
          </rPr>
          <t xml:space="preserve">Required Step: Once your completion date is filled out, immediately update this Current Status column to the next dev receiving stage.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tc={FD743C27-9B23-4351-BB07-1FEAE70DA4EA}</author>
    <author>tc={CFD7394B-22B4-4834-AB45-BB24984F0885}</author>
  </authors>
  <commentList>
    <comment ref="F37" authorId="0" shapeId="0" xr:uid="{FD743C27-9B23-4351-BB07-1FEAE70DA4EA}">
      <text>
        <t xml:space="preserve">[Threaded comment]
Your version of Excel allows you to read this threaded comment; however, any edits to it will get removed if the file is opened in a newer version of Excel. Learn more: https://go.microsoft.com/fwlink/?linkid=870924
Comment:
    It is confirmed that both the new GDM View GDM_RPT.VW_LARGE_GAS_OUTAGE and ODS Prod Procedure [RPT].[usp_DH_Large_Gas_Outage] yielded exactly the same Billing Email Address for same Billing Account Number. 
No need change the DDL for view GDM_RPT.VW_LARGE_GAS_OUTAGE
</t>
      </text>
    </comment>
    <comment ref="F41" authorId="1" shapeId="0" xr:uid="{CFD7394B-22B4-4834-AB45-BB24984F0885}">
      <text>
        <t>[Threaded comment]
Your version of Excel allows you to read this threaded comment; however, any edits to it will get removed if the file is opened in a newer version of Excel. Learn more: https://go.microsoft.com/fwlink/?linkid=870924
Comment:
    No mismatch found when querying on 2026-09-17</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1" authorId="0" shapeId="0" xr:uid="{00000000-0006-0000-0600-000001000000}">
      <text>
        <r>
          <rPr>
            <sz val="11"/>
            <color theme="1"/>
            <rFont val="Calibri"/>
            <family val="2"/>
            <charset val="1"/>
          </rPr>
          <t>This list feeds the dropdown on Combined Delivery Data, column A (Domain).
Add, remove, or rename values here and the dropdown updates automatically.</t>
        </r>
      </text>
    </comment>
    <comment ref="B1" authorId="0" shapeId="0" xr:uid="{00000000-0006-0000-0600-000002000000}">
      <text>
        <r>
          <rPr>
            <sz val="11"/>
            <color theme="1"/>
            <rFont val="Calibri"/>
            <family val="2"/>
            <charset val="1"/>
          </rPr>
          <t>This list feeds the dropdown on Combined Delivery Data, column F (DB Developer).
Add, remove, or rename values here and the dropdown updates automatically.</t>
        </r>
      </text>
    </comment>
    <comment ref="C1" authorId="0" shapeId="0" xr:uid="{00000000-0006-0000-0600-000003000000}">
      <text>
        <r>
          <rPr>
            <sz val="11"/>
            <color theme="1"/>
            <rFont val="Calibri"/>
            <family val="2"/>
            <charset val="1"/>
          </rPr>
          <t>This list feeds the dropdown on Combined Delivery Data, column G (PBI Developer).
Add, remove, or rename values here and the dropdown updates automatically.</t>
        </r>
      </text>
    </comment>
    <comment ref="D1" authorId="0" shapeId="0" xr:uid="{00000000-0006-0000-0600-000004000000}">
      <text>
        <r>
          <rPr>
            <sz val="11"/>
            <color theme="1"/>
            <rFont val="Calibri"/>
            <family val="2"/>
            <charset val="1"/>
          </rPr>
          <t>This list feeds the dropdown on Combined Delivery Data, column E (PO).
Add, remove, or rename values here and the dropdown updates automatically.</t>
        </r>
      </text>
    </comment>
    <comment ref="E1" authorId="0" shapeId="0" xr:uid="{00000000-0006-0000-0600-000005000000}">
      <text>
        <r>
          <rPr>
            <sz val="11"/>
            <color theme="1"/>
            <rFont val="Calibri"/>
            <family val="2"/>
            <charset val="1"/>
          </rPr>
          <t>This list feeds the dropdown on Combined Delivery Data, column Z (Blocked?).
Add, remove, or rename values here and the dropdown updates automatically.</t>
        </r>
      </text>
    </comment>
    <comment ref="F1" authorId="0" shapeId="0" xr:uid="{00000000-0006-0000-0600-000006000000}">
      <text>
        <r>
          <rPr>
            <sz val="11"/>
            <color theme="1"/>
            <rFont val="Calibri"/>
            <family val="2"/>
            <charset val="1"/>
          </rPr>
          <t>This list feeds the dropdown on Combined Delivery Data, column C (Current Status).
Add, remove, or rename values here and the dropdown updates automatically.</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<sst xmlns="http://schemas.openxmlformats.org/spreadsheetml/2006/main" count="3675" uniqueCount="528">
  <si>
    <t>Domain</t>
  </si>
  <si>
    <t>Report Name</t>
  </si>
  <si>
    <t>Current Status (Update next stage after completion date)</t>
  </si>
  <si>
    <t>Status Flag</t>
  </si>
  <si>
    <t>Business Value Rank</t>
  </si>
  <si>
    <t>PO</t>
  </si>
  <si>
    <t>Schema</t>
  </si>
  <si>
    <t>Plan Delivery Date</t>
  </si>
  <si>
    <t>Plan Delivery Month</t>
  </si>
  <si>
    <t>DB Developer</t>
  </si>
  <si>
    <t>DB Dev Baseline Completion Date</t>
  </si>
  <si>
    <t>DB Dev Reforecast Completion Date</t>
  </si>
  <si>
    <t>DB Dev Actual Completion Date</t>
  </si>
  <si>
    <t>Build Source</t>
  </si>
  <si>
    <t>Sprint DB</t>
  </si>
  <si>
    <t>PBI Developer</t>
  </si>
  <si>
    <t>PBI Dev Baseline Completion Date</t>
  </si>
  <si>
    <t>PBI Dev Reforecast Completion Date</t>
  </si>
  <si>
    <t>PBI Dev Actual Completion Date</t>
  </si>
  <si>
    <t>Sprint PBI</t>
  </si>
  <si>
    <t>QA Tester</t>
  </si>
  <si>
    <t>QA Baseline Completion Date</t>
  </si>
  <si>
    <t>QA Reforecast Completion Date</t>
  </si>
  <si>
    <t>Initial QA Completion Date</t>
  </si>
  <si>
    <t>QA Actual Completion Date</t>
  </si>
  <si>
    <t>Sprint QA</t>
  </si>
  <si>
    <t>DPO Approval Baseline Completion Date</t>
  </si>
  <si>
    <t>DPO Approval Reforecast Completion Date</t>
  </si>
  <si>
    <t>DPO Approval Completion Date</t>
  </si>
  <si>
    <t>DPO Approval Reviewer</t>
  </si>
  <si>
    <t>Report Type</t>
  </si>
  <si>
    <t>Confirmed Deployed?</t>
  </si>
  <si>
    <t>Confirmed Deployed Date</t>
  </si>
  <si>
    <t>UAT Report URL</t>
  </si>
  <si>
    <t>Production URL</t>
  </si>
  <si>
    <t>Blocked?</t>
  </si>
  <si>
    <t>Data Check</t>
  </si>
  <si>
    <t>Comments</t>
  </si>
  <si>
    <t>QA Rework Due	DPO Rework Due</t>
  </si>
  <si>
    <t>Column1</t>
  </si>
  <si>
    <t>Leaks</t>
  </si>
  <si>
    <t>RPT_04_Active Leaks</t>
  </si>
  <si>
    <t>RELEASED IN PROD</t>
  </si>
  <si>
    <t>April</t>
  </si>
  <si>
    <t>Fetwi</t>
  </si>
  <si>
    <t>Curated</t>
  </si>
  <si>
    <t>Sarath</t>
  </si>
  <si>
    <t>Preety</t>
  </si>
  <si>
    <t>Kelvin Hu</t>
  </si>
  <si>
    <t>compliance</t>
  </si>
  <si>
    <t>Yes</t>
  </si>
  <si>
    <t>https://app.powerbi.com/groups/me/apps/eedba83d-be9a-45f9-9504-7bfa41e6051a/reports/62307ec4-3158-4457-8dcc-4acc2150cdc3/ccfe9e7f0a40d49acb85?experience=power-bi</t>
  </si>
  <si>
    <t>https://app.powerbi.com/groups/me/apps/2c7180b1-0d3d-45be-979e-f7dc86b3557d/reports/8cd4a21d-3abe-4e55-a99e-3af846ab1c67/ccfe9e7f0a40d49acb85?ctid=f98a6a53-25f3-4212-901c-c7787fcd3495&amp;experience=power-bi</t>
  </si>
  <si>
    <t>No</t>
  </si>
  <si>
    <t>[Historical, April 2026]: QA found an issue - date calendar dimension broken. Fetwi assigned to fix.</t>
  </si>
  <si>
    <t>RPT_04_Count of Active Leaks On Hand</t>
  </si>
  <si>
    <t>https://app.powerbi.com/groups/me/apps/eedba83d-be9a-45f9-9504-7bfa41e6051a/reports/c0b3f0ae-dedd-485b-8bbc-aa0e5f3fd077/24a66431d0637282f4b7?experience=power-bi</t>
  </si>
  <si>
    <t>https://app.powerbi.com/groups/me/apps/2c7180b1-0d3d-45be-979e-f7dc86b3557d/reports/5ffd546f-ad77-4a7f-8e6d-94dc08bef796/24a66431d0637282f4b7?ctid=f98a6a53-25f3-4212-901c-c7787fcd3495&amp;experience=power-bi</t>
  </si>
  <si>
    <t>RPT_04_Leak Days Remaining</t>
  </si>
  <si>
    <t>Siva</t>
  </si>
  <si>
    <t>Navya</t>
  </si>
  <si>
    <t>https://app.powerbi.com/groups/me/apps/eedba83d-be9a-45f9-9504-7bfa41e6051a/reports/8b9ae445-3a30-4ae6-a3fa-7a6d8e7ef349/d97da6159d0c87677529?experience=power-bi</t>
  </si>
  <si>
    <t>https://app.powerbi.com/groups/me/apps/2c7180b1-0d3d-45be-979e-f7dc86b3557d/reports/848ce65a-4e47-422b-aae5-7ea9e7d68a5f/d97da6159d0c87677529?ctid=f98a6a53-25f3-4212-901c-c7787fcd3495&amp;experience=power-bi</t>
  </si>
  <si>
    <t>16/04 - Testing completed in QA and created defect https://jira.prod.nationalgrid.com/browse/GDMP-2186; ETA -04/24</t>
  </si>
  <si>
    <t>RPT_04_Cleared Leaks</t>
  </si>
  <si>
    <t>Sree</t>
  </si>
  <si>
    <t>https://app.powerbi.com/groups/me/apps/eedba83d-be9a-45f9-9504-7bfa41e6051a/reports/938a9ba1-8138-440e-842a-d9a679933d8c/44bb4fce98fafb2cace2?experience=power-bi</t>
  </si>
  <si>
    <t>https://app.powerbi.com/groups/me/apps/2c7180b1-0d3d-45be-979e-f7dc86b3557d/reports/677c6418-6db8-4ebf-9323-65be4cb2c960/ea184ec020032ecbdd43?ctid=f98a6a53-25f3-4212-901c-c7787fcd3495&amp;experience=power-bi</t>
  </si>
  <si>
    <t>[Historical, April 2026]: L_GRO_NUMBER columns had an issue in QA - DB team assigned to fix.</t>
  </si>
  <si>
    <t>RPT_04_Leaks Repaired Detail</t>
  </si>
  <si>
    <t>RPT_04_Leaks Aging</t>
  </si>
  <si>
    <t>RPT_04_Prior Leak Readings</t>
  </si>
  <si>
    <t>Ops</t>
  </si>
  <si>
    <t>RSS_04_Leak Grade Change History</t>
  </si>
  <si>
    <t>RPT_04_Rechecks Completed less than 14 days</t>
  </si>
  <si>
    <t>May</t>
  </si>
  <si>
    <t>Rupa</t>
  </si>
  <si>
    <t>Shraddha</t>
  </si>
  <si>
    <t>https://app.powerbi.com/groups/me/apps/7767030c-f4c8-4488-b3cb-36a860cb6ff2/reports/de1ad11f-021b-4cc1-b465-67efd542031c/3122b8024291693794eb?ctid=f98a6a53-25f3-4212-901c-c7787fcd3495&amp;experience=power-bi</t>
  </si>
  <si>
    <t>https://app.powerbi.com/groups/me/apps/5b29b0dd-a398-4801-84ce-f3a7d8435827/reports/0e063b20-0b38-4000-b436-fcbec11daa46/3122b8024291693794eb?experience=power-bi</t>
  </si>
  <si>
    <t>RPT_04_SEI Leak Activity</t>
  </si>
  <si>
    <t>https://app.powerbi.com/groups/me/apps/7767030c-f4c8-4488-b3cb-36a860cb6ff2/reports/c76693f4-bab2-46a1-ab2a-16752d7664fd/ea184ec020032ecbdd43?experience=power-bi</t>
  </si>
  <si>
    <t>https://app.powerbi.com/groups/me/apps/5b29b0dd-a398-4801-84ce-f3a7d8435827/reports/9d9f5721-feb1-4ed3-91fd-18bc33ef38f1/ea184ec020032ecbdd43?experience=power-bi</t>
  </si>
  <si>
    <t>RPT_04_CMS Leak Productivity</t>
  </si>
  <si>
    <t>Siddu</t>
  </si>
  <si>
    <t>https://app.powerbi.com/groups/me/apps/eedba83d-be9a-45f9-9504-7bfa41e6051a/reports/3440832e-c72e-45f2-b154-f6b1d66314fc/51a6cefeab19522827a6?experience=power-bi</t>
  </si>
  <si>
    <t>https://app.powerbi.com/groups/me/apps/2c7180b1-0d3d-45be-979e-f7dc86b3557d/reports/18e31a06-f1af-4965-ad46-5a507f24ed56/51a6cefeab19522827a6?experience=power-bi</t>
  </si>
  <si>
    <t>RPT_04_Main Break Corrosion and Leak Cluster</t>
  </si>
  <si>
    <t>Kelvin</t>
  </si>
  <si>
    <t>https://app.powerbi.com/groups/me/apps/eedba83d-be9a-45f9-9504-7bfa41e6051a/reports/efc0a204-1a7b-4be6-8334-c7582c9093b8/ReportSection81bc1123208781ca563a?experience=power-bi</t>
  </si>
  <si>
    <t>RPT_04_Leak Summary Status</t>
  </si>
  <si>
    <t>https://app.powerbi.com/groups/me/apps/7767030c-f4c8-4488-b3cb-36a860cb6ff2/reports/184a9cdc-83f5-40b0-940d-d901ad9fb404/ReportSection6d915001f68ea4805272?ctid=f98a6a53-25f3-4212-901c-c7787fcd3495&amp;experience=power-bi</t>
  </si>
  <si>
    <t>https://app.powerbi.com/groups/me/apps/5b29b0dd-a398-4801-84ce-f3a7d8435827/reports/f7af2903-2d63-497e-b262-100f5a3b500b/ReportSection6d915001f68ea4805272?ctid=f98a6a53-25f3-4212-901c-c7787fcd3495&amp;experience=power-bi</t>
  </si>
  <si>
    <t>RPT_04_PSC Leak Printout</t>
  </si>
  <si>
    <t>Regulatory</t>
  </si>
  <si>
    <t>https://app.powerbi.com/groups/me/apps/61b18507-2848-49b9-aacc-32c49ffe1e0b/rdlreports/84ee7713-075e-496c-8610-43022c6a55ab?ctid=f98a6a53-25f3-4212-901c-c7787fcd3495&amp;experience=power-bi</t>
  </si>
  <si>
    <t>[Historical, May/June 2026]: Fetwi was investigating a slowness issue in this report.</t>
  </si>
  <si>
    <t>RPT_04_Surveillances With Zero Readings</t>
  </si>
  <si>
    <t>RPT_04 High Emitter leaks</t>
  </si>
  <si>
    <t>RPT_04_School Zone Leaks Without Repair</t>
  </si>
  <si>
    <t>RPT_04_PSC Quarterly Leak</t>
  </si>
  <si>
    <t>RPT_04_Leak Control Report</t>
  </si>
  <si>
    <t>June</t>
  </si>
  <si>
    <t>Geetha</t>
  </si>
  <si>
    <t>Thuan Nguyen</t>
  </si>
  <si>
    <t>RPT_04_Leak Life Cycle</t>
  </si>
  <si>
    <t>Nicole Gordon, Jason Dezotell</t>
  </si>
  <si>
    <t>[Historical, June 2026]: Waiting on Kelvin's approval to deploy to UAT.</t>
  </si>
  <si>
    <t>RPT_04_Leak Life Cycle Legacy LMS LI</t>
  </si>
  <si>
    <t>RPT_04_Leak Increase Reads</t>
  </si>
  <si>
    <t>Jay Poter</t>
  </si>
  <si>
    <t>https://app.powerbi.com/groups/me/apps/eedba83d-be9a-45f9-9504-7bfa41e6051a/reports/a410b442-fd2f-43d1-a053-40f2e4966d4d/ea184ec020032ecbdd43?ctid=f98a6a53-25f3-4212-901c-c7787fcd3495&amp;experience=power-bi</t>
  </si>
  <si>
    <t>https://app.powerbi.com/groups/me/apps/2c7180b1-0d3d-45be-979e-f7dc86b3557d/reports/1cec238a-ce10-4ed5-8e56-50efa21bb327/ea184ec020032ecbdd43?ctid=f98a6a53-25f3-4212-901c-c7787fcd3495&amp;experience=power-bi</t>
  </si>
  <si>
    <t>Leak 360 Dashboard</t>
  </si>
  <si>
    <t>Nicole Gordon, Allie Cama</t>
  </si>
  <si>
    <t>[Source confirms QA complete but gives no exact date - using QA Expected date as the closest evidence-backed proxy]</t>
  </si>
  <si>
    <t>RPT_04_Leak Recheck Control</t>
  </si>
  <si>
    <t>RPT_04_Main_Replacement Report</t>
  </si>
  <si>
    <t>Corey Manson</t>
  </si>
  <si>
    <t>https://app.powerbi.com/Redirect?action=OpenApp&amp;appId=eedba83d-be9a-45f9-9504-7bfa41e6051a&amp;ctid=f98a6a53-25f3-4212-901c-c7787fcd3495&amp;experience=power-bi</t>
  </si>
  <si>
    <t>https://app.powerbi.com/groups/me/apps/2c7180b1-0d3d-45be-979e-f7dc86b3557d/reports/3a63d51e-dbb3-4d03-8e38-924376751299/3122b8024291693794eb?ctid=f98a6a53-25f3-4212-901c-c7787fcd3495&amp;experience=power-bi</t>
  </si>
  <si>
    <t>New Report: Leak Repair Exception</t>
  </si>
  <si>
    <t>https://app.powerbi.com/groups/me/apps/eedba83d-be9a-45f9-9504-7bfa41e6051a/reports/f32957e8-b826-44b0-8c00-67ff417ed57e/e94cbcb8509576e1c578?ctid=f98a6a53-25f3-4212-901c-c7787fcd3495&amp;experience=power-bi</t>
  </si>
  <si>
    <t>New Report: (Leak reading sample point mismatch ) Creating a new report that...</t>
  </si>
  <si>
    <t>Oneil Lashley</t>
  </si>
  <si>
    <t>[QA Actual date recovered from source text: "6/24/2026; QA Completed. Waiting for the view to be deployed to UAT"]</t>
  </si>
  <si>
    <t>CMS</t>
  </si>
  <si>
    <t>RPT_02_CO Flue Warning Tag Control</t>
  </si>
  <si>
    <t>Ready for Release in Prod</t>
  </si>
  <si>
    <t>Kushal</t>
  </si>
  <si>
    <t>July</t>
  </si>
  <si>
    <t>PI2, S4</t>
  </si>
  <si>
    <t>Jeanne Waldron, Anthony Massimino</t>
  </si>
  <si>
    <t>Yes – Blocked in Prod</t>
  </si>
  <si>
    <t>Blocked with https://jira.prod.nationalgrid.com/browse/GDMP-2875</t>
  </si>
  <si>
    <t>RPT_02_Warning Tag HEFPA</t>
  </si>
  <si>
    <t>Available for Business</t>
  </si>
  <si>
    <t>RPT_02_Warning tag Printout</t>
  </si>
  <si>
    <t>Note: this report's stage dates are not in chronological order in the source tracker (e.g. a later stage dated before an earlier one) - please verify with the assigned developer.
[QA note, 07/2026]: Development is completed, waiting for the view to be deployed to QA.</t>
  </si>
  <si>
    <t>RPT_02_Corrosion</t>
  </si>
  <si>
    <t>27/8 Ready for Kushal's review</t>
  </si>
  <si>
    <t>RPT_02_House Pipe Test Comment Control</t>
  </si>
  <si>
    <t>08/17/2026 Ready for review</t>
  </si>
  <si>
    <t>RPT_02_Required Regulator Inspection Performed Control</t>
  </si>
  <si>
    <t>Bardia</t>
  </si>
  <si>
    <t>Available for PBI with one known issue will be presenting to business</t>
  </si>
  <si>
    <t>RPT_02_Service Regulator Inspections</t>
  </si>
  <si>
    <t>Hybrid</t>
  </si>
  <si>
    <t>sent back yesterday</t>
  </si>
  <si>
    <t>RPT_02_Service Regulator Inspection Printout</t>
  </si>
  <si>
    <t>RPT_02_20 Year Regulator Inspection</t>
  </si>
  <si>
    <t>Natalie Lattanzio</t>
  </si>
  <si>
    <t>Added Customer Details to Mandated tab</t>
  </si>
  <si>
    <t>RPT_02_Fixed Factor</t>
  </si>
  <si>
    <t>10,12</t>
  </si>
  <si>
    <t>Nick</t>
  </si>
  <si>
    <t>RPT_02_Fixed Factor Printout</t>
  </si>
  <si>
    <t>RPT_02_Work Order Completion Printout</t>
  </si>
  <si>
    <t>Unblocked and Dev completed after requirements confirmation from Kushal</t>
  </si>
  <si>
    <t>RPT_02_GRO Control</t>
  </si>
  <si>
    <t>QA note ; 8/21/2026 : Ready for review</t>
  </si>
  <si>
    <t>RPT_02_GRO Monitor</t>
  </si>
  <si>
    <t>PI2, S3</t>
  </si>
  <si>
    <t>Ready for review</t>
  </si>
  <si>
    <t>RPT_02_Public Buildings Inspection</t>
  </si>
  <si>
    <t>16,17,24, 28</t>
  </si>
  <si>
    <t>August</t>
  </si>
  <si>
    <t>PI2, S2, S4</t>
  </si>
  <si>
    <t>Blocked with https://jira.prod.nationalgrid.com/browse/GDMP-2546</t>
  </si>
  <si>
    <t>RPT_02_Investigate Wall Check and Service Check</t>
  </si>
  <si>
    <t>Shaunna Peters</t>
  </si>
  <si>
    <t>Yes – needs DPO Approval to fix</t>
  </si>
  <si>
    <t>Ready for review
deploy PBI report to QA for testing
-,Deployed to QA on 0825</t>
  </si>
  <si>
    <t>RPT_02_Cut Out Orders</t>
  </si>
  <si>
    <t>Ready for Kushal's review</t>
  </si>
  <si>
    <t>RPT_02_Gas Trouble</t>
  </si>
  <si>
    <t>PI2, S2, S3</t>
  </si>
  <si>
    <t>RPT_02_Wall Check Control</t>
  </si>
  <si>
    <t>PI2, S3, S4</t>
  </si>
  <si>
    <t>RPT_02_High Pressure Steel Inside Inspection</t>
  </si>
  <si>
    <t>Ready for Bardia's Review</t>
  </si>
  <si>
    <t>RPT_02_Large Gas Outage</t>
  </si>
  <si>
    <t>Brooke Allen</t>
  </si>
  <si>
    <t>RPT_02_Fitting Work</t>
  </si>
  <si>
    <t>RPT_02_Field Collector Report</t>
  </si>
  <si>
    <t>Jeanne Timmons, Shaunna Peters</t>
  </si>
  <si>
    <t>RPT_02_Turn On for Non-Payment</t>
  </si>
  <si>
    <t>DPO Approval</t>
  </si>
  <si>
    <t>Bryan Patterson, Reginald Durham, Shaunna Peters, Simone Brooks, Bill Contreras</t>
  </si>
  <si>
    <t>Sarath's Comments
08/31:Waiting for DB View to deploy to QA
09/01: Ready for QA testing.</t>
  </si>
  <si>
    <t>RPT_02_Collector Payment Recap</t>
  </si>
  <si>
    <t>RPT_02_Incentive Management</t>
  </si>
  <si>
    <t>Reginald Durham</t>
  </si>
  <si>
    <t>RPT_02_UTC Report</t>
  </si>
  <si>
    <t>September</t>
  </si>
  <si>
    <t>PI2, S5</t>
  </si>
  <si>
    <t>PI2,S6</t>
  </si>
  <si>
    <t>Simone Brooks</t>
  </si>
  <si>
    <t>9/11 : Ready for review</t>
  </si>
  <si>
    <t>RPT_02_Adjacent Property Checks</t>
  </si>
  <si>
    <t>Blocked by PBI Issue</t>
  </si>
  <si>
    <t>Olu</t>
  </si>
  <si>
    <t>Anthony Massimino</t>
  </si>
  <si>
    <t>Ready For PBI</t>
  </si>
  <si>
    <t>RPT_02_High Bill Investigations</t>
  </si>
  <si>
    <t>RPT_02_Emergency Order Type</t>
  </si>
  <si>
    <t>QA</t>
  </si>
  <si>
    <t>Need Kushal's help to get sharepoint file access.  --- Update DB dev moved the hierachy logic to snowflake view on 10/03</t>
  </si>
  <si>
    <t>RPT_02_Cut Out Curb Box</t>
  </si>
  <si>
    <t>olu</t>
  </si>
  <si>
    <t>RPT_02_New York Incident</t>
  </si>
  <si>
    <t>Bryan Patterson, Reginald Durham, Bill Contreras</t>
  </si>
  <si>
    <t>RPT_02_Outside Repeat Leaks</t>
  </si>
  <si>
    <t>On track</t>
  </si>
  <si>
    <t>Reginald Durham, Simone Brooks, Bill Contreras</t>
  </si>
  <si>
    <t>RPT_02_Meter Change</t>
  </si>
  <si>
    <t>Michelle Fitten</t>
  </si>
  <si>
    <t>RPT_02_Field Order Value</t>
  </si>
  <si>
    <t>Alex Giangolini</t>
  </si>
  <si>
    <t>RPT_02_Same Day Reconnect</t>
  </si>
  <si>
    <t>Bryan Patterson</t>
  </si>
  <si>
    <t>RPT_02_Site Specific Analysis</t>
  </si>
  <si>
    <t>RPT_02_PSC Wire Down Response Time</t>
  </si>
  <si>
    <t>PBI Dev</t>
  </si>
  <si>
    <t>RPT_02_Hazardous Above Ground Leak</t>
  </si>
  <si>
    <t>Reginald Durham, Simone Brooks, Shaunna Peters, Bill Contreras</t>
  </si>
  <si>
    <t>This is in QA</t>
  </si>
  <si>
    <t>I don't see any mismatch on this. Please review it again. I attached the evidence to the JIRA</t>
  </si>
  <si>
    <t>RPT_02_AMI Contractor Completion Report</t>
  </si>
  <si>
    <t>Michael</t>
  </si>
  <si>
    <t>PI2,SIP</t>
  </si>
  <si>
    <t>Meredith Dube</t>
  </si>
  <si>
    <t>08/26: Report not required per Bardia</t>
  </si>
  <si>
    <t>RPT_02_Collection Statistic</t>
  </si>
  <si>
    <t>NOT STARTED</t>
  </si>
  <si>
    <t>Brett Palmeri</t>
  </si>
  <si>
    <t>08/26: Out of scope per Bardia.</t>
  </si>
  <si>
    <t>RPT_02_First and Last Job</t>
  </si>
  <si>
    <t xml:space="preserve"> Update DB dev: moved the hierachy logic to snowflake view on 10/03</t>
  </si>
  <si>
    <t>RPT_02_Rate Class</t>
  </si>
  <si>
    <t>Zishan Momin</t>
  </si>
  <si>
    <t>Missing SF WO in the view</t>
  </si>
  <si>
    <t>RPT_04_Leak Recheck Times</t>
  </si>
  <si>
    <t>RPT_02_Service Resource Activity</t>
  </si>
  <si>
    <t>October</t>
  </si>
  <si>
    <t>PI3,S1</t>
  </si>
  <si>
    <t>Ready for Olu's review</t>
  </si>
  <si>
    <t>RPT_02_Incomplete Service Appointments</t>
  </si>
  <si>
    <t>RPT_02_Emergency Response Time Review Report</t>
  </si>
  <si>
    <t>Christina Illingworth</t>
  </si>
  <si>
    <t>RPT_02_Personal Injury and Shock Investigation</t>
  </si>
  <si>
    <t>RPT_02_Emergency Response Statistics</t>
  </si>
  <si>
    <t>RPT_02_Emergency Time Adjustments Log</t>
  </si>
  <si>
    <t>PI2, S6</t>
  </si>
  <si>
    <t>Yes – needs DB Dev to fix</t>
  </si>
  <si>
    <t>view to be reworked</t>
  </si>
  <si>
    <t>RPT_02_PSC Soft Off Report</t>
  </si>
  <si>
    <t>Raw</t>
  </si>
  <si>
    <t>Angela Keegan</t>
  </si>
  <si>
    <t>As we have CSS dev data in GDM QA, Unit testing wouldn't be possible for all columns</t>
  </si>
  <si>
    <t>RPT_02_Service Interruptions</t>
  </si>
  <si>
    <t>RPT_02_Duty to Inspect</t>
  </si>
  <si>
    <t>RPT_02_Service Appointment Life Cycle</t>
  </si>
  <si>
    <t>DB Dev</t>
  </si>
  <si>
    <t>PI3,S2</t>
  </si>
  <si>
    <t>Megan Piccarreto</t>
  </si>
  <si>
    <t>RPT_02_PSC Inactive Account</t>
  </si>
  <si>
    <t>Reginald Durham, Simone Brooks</t>
  </si>
  <si>
    <t>RPT_02_Service Resource Performance</t>
  </si>
  <si>
    <t>RPT_02_Emergency Leak Response Metric (6 sub reports)</t>
  </si>
  <si>
    <t>61, 62, 63, 64, 65, 66</t>
  </si>
  <si>
    <t>RPT_02_Fixed Factor Mismatch</t>
  </si>
  <si>
    <t>November</t>
  </si>
  <si>
    <t>Matthew Menicucci</t>
  </si>
  <si>
    <r>
      <rPr>
        <sz val="10"/>
        <color rgb="FF956037"/>
        <rFont val="Consolas"/>
      </rPr>
      <t>GDM_RPT</t>
    </r>
    <r>
      <rPr>
        <sz val="10"/>
        <color rgb="FF000000"/>
        <rFont val="Consolas"/>
      </rPr>
      <t>.</t>
    </r>
    <r>
      <rPr>
        <sz val="10"/>
        <color rgb="FF8E00C6"/>
        <rFont val="Consolas"/>
      </rPr>
      <t>VW_FIXED_FACTOR_MISMATCH and GDM_RPT.VW_FIXED_FACTOR_MISMATCH_NL</t>
    </r>
  </si>
  <si>
    <t>RPT_02_Light Up Orders</t>
  </si>
  <si>
    <t>RPT_02_Meter To Billing Report</t>
  </si>
  <si>
    <t>PI3,S3</t>
  </si>
  <si>
    <t>RPT_02_Install Meter Orders</t>
  </si>
  <si>
    <t>RPT_02_Non Emergency Orders</t>
  </si>
  <si>
    <t>PI3, S1</t>
  </si>
  <si>
    <t>RPT_02_Carbon Monoxide</t>
  </si>
  <si>
    <t>Bryan Patterson, Reginald Durham, Simone Brooks, Bill Contreras</t>
  </si>
  <si>
    <t>RPT_02_All Jobs</t>
  </si>
  <si>
    <t>VW_All_Jobs</t>
  </si>
  <si>
    <t>RPT_02_BCP Service Appointment WOs</t>
  </si>
  <si>
    <t>Reginald Durham, Bill Contreras</t>
  </si>
  <si>
    <t>RPT_02_Meter Order Tracking</t>
  </si>
  <si>
    <t>RPT_02_Tech Availability, Utilization &amp; Absence</t>
  </si>
  <si>
    <t>PI3,S4</t>
  </si>
  <si>
    <t>Reginald Durham, Bill Contreras, Bill Contreras</t>
  </si>
  <si>
    <t>RPT_02_Job Productivity</t>
  </si>
  <si>
    <t>Laura Capasso, Michelle Fitten, Anthony Jenson</t>
  </si>
  <si>
    <t>RPT_02_Post Capacity Service Appointments</t>
  </si>
  <si>
    <t>Greeta</t>
  </si>
  <si>
    <t>Ryan Flaherty</t>
  </si>
  <si>
    <t>RPT_02_Check Estimate</t>
  </si>
  <si>
    <t>RPT_02_Service Appointments (5 sub reports)</t>
  </si>
  <si>
    <t>75,76,77,78,79</t>
  </si>
  <si>
    <t>Reginald Durham, Bill Contreras, Megan Piccarreto, Bryan Patterson, Bill Contreras</t>
  </si>
  <si>
    <t>RPT_02_Job Unit Count</t>
  </si>
  <si>
    <t>Laura Capasso, Michelle Fitten</t>
  </si>
  <si>
    <t>Assets and Engineering</t>
  </si>
  <si>
    <t>RPT_05_Department of Transportation</t>
  </si>
  <si>
    <t>December</t>
  </si>
  <si>
    <t>Christie DeWolff, Kevin Peters</t>
  </si>
  <si>
    <t>RPT_05_ Inside Meter Relocation</t>
  </si>
  <si>
    <t>PI3,S5</t>
  </si>
  <si>
    <t>Matthew Pitta</t>
  </si>
  <si>
    <t>RPT_05_Mapped Work Order Information</t>
  </si>
  <si>
    <t>Carla Scibelli</t>
  </si>
  <si>
    <t>Meter Management</t>
  </si>
  <si>
    <t>RPT_06_Retired Meters</t>
  </si>
  <si>
    <t>Shawn Oliveira</t>
  </si>
  <si>
    <t>RPT_13_Survey Book</t>
  </si>
  <si>
    <t>PI3, S2</t>
  </si>
  <si>
    <t>Michelle Roche</t>
  </si>
  <si>
    <t>RPT_05_Leak Survey Mains Summary</t>
  </si>
  <si>
    <t>John Kashmanian</t>
  </si>
  <si>
    <t>RPT_13_Customer Service Point</t>
  </si>
  <si>
    <t>Kevin Peters, Sadaat Khan</t>
  </si>
  <si>
    <t>RPT_02_Emergency Operation Checklist</t>
  </si>
  <si>
    <t>Omesh Kamat, Michelle Roche, Ed Graziano</t>
  </si>
  <si>
    <t>RPT_06_ERT List</t>
  </si>
  <si>
    <t>PI3,S6</t>
  </si>
  <si>
    <t>Austin Whitney</t>
  </si>
  <si>
    <t>RPT_13_Blue Card</t>
  </si>
  <si>
    <t>Nikki Shattuck</t>
  </si>
  <si>
    <t>RPT_06_Out of Route Meters Gas</t>
  </si>
  <si>
    <t>Bryan Smiley</t>
  </si>
  <si>
    <t>RPT_06_Yard Meter Inventory</t>
  </si>
  <si>
    <t>RPT_06_ERTtoEPSLoadReportbyReceiptNumber</t>
  </si>
  <si>
    <t>RPT_06_Out of Route Meters Electric</t>
  </si>
  <si>
    <t>RPT_06_Installed Meters</t>
  </si>
  <si>
    <t>PI3, S5</t>
  </si>
  <si>
    <t>Maintenance and Construction</t>
  </si>
  <si>
    <t>RPT_05_Gateboxes</t>
  </si>
  <si>
    <t>January</t>
  </si>
  <si>
    <t>RPT_05_Kedny Compliance</t>
  </si>
  <si>
    <t>RPT_05_CI Encroachment</t>
  </si>
  <si>
    <t>RPT_05_Design Processing</t>
  </si>
  <si>
    <t>Find a Report</t>
  </si>
  <si>
    <t>Pick a report below - everything updates automatically.</t>
  </si>
  <si>
    <t>Report Name:</t>
  </si>
  <si>
    <t>Current Status</t>
  </si>
  <si>
    <t>DB Dev Expected</t>
  </si>
  <si>
    <t>DB Dev Actual</t>
  </si>
  <si>
    <t>PBI Dev Expected</t>
  </si>
  <si>
    <t>PBI Dev Actual</t>
  </si>
  <si>
    <t>QA Expected</t>
  </si>
  <si>
    <t>QA Actual</t>
  </si>
  <si>
    <t>DPO Approval Expected</t>
  </si>
  <si>
    <t>Times Sent Back</t>
  </si>
  <si>
    <t>Open Reworks</t>
  </si>
  <si>
    <t>Last Sent Back Date</t>
  </si>
  <si>
    <t>Last From -&gt; To</t>
  </si>
  <si>
    <t>Date Sent Back</t>
  </si>
  <si>
    <t>From Stage</t>
  </si>
  <si>
    <t>To Stage</t>
  </si>
  <si>
    <t>Sent Back By</t>
  </si>
  <si>
    <t>What Was Wrong</t>
  </si>
  <si>
    <t>Resolved?</t>
  </si>
  <si>
    <t>Fix Sent To</t>
  </si>
  <si>
    <t>Expected Fix Date</t>
  </si>
  <si>
    <t>Date Fixed</t>
  </si>
  <si>
    <t>Fixed By</t>
  </si>
  <si>
    <t>What Was Fixed</t>
  </si>
  <si>
    <t>Aging</t>
  </si>
  <si>
    <t>Notified</t>
  </si>
  <si>
    <t>the count does not match(count of records between ods and gdm</t>
  </si>
  <si>
    <t>count and value mismatch</t>
  </si>
  <si>
    <t xml:space="preserve">Mismatched in assigned technician value </t>
  </si>
  <si>
    <t>Count mismatch</t>
  </si>
  <si>
    <t xml:space="preserve">SF/MX Comments field mismatch </t>
  </si>
  <si>
    <t xml:space="preserve">SF/MX Comments and Lettering Status Mismatch </t>
  </si>
  <si>
    <t xml:space="preserve">Equipments missing </t>
  </si>
  <si>
    <t>yes</t>
  </si>
  <si>
    <t xml:space="preserve">Average biometric value rounding up </t>
  </si>
  <si>
    <t>Customer Contact Detail column missing in Mandated tab</t>
  </si>
  <si>
    <t xml:space="preserve">Yes </t>
  </si>
  <si>
    <t xml:space="preserve">Count mismatch in Summary </t>
  </si>
  <si>
    <t>Count mismatch. SPIPE# is incorrect</t>
  </si>
  <si>
    <t>Protection Seal In Place column is having mismatches</t>
  </si>
  <si>
    <t>MX WO# 18224253 is not showing up in the printout</t>
  </si>
  <si>
    <t>Column mismatch and Column orders</t>
  </si>
  <si>
    <t xml:space="preserve">Count Mismatch for both Turn on and Turn Off </t>
  </si>
  <si>
    <t>Count mismatch for Elevated Pressure tab</t>
  </si>
  <si>
    <t>Data last refresh showing incorrect for older data in the report</t>
  </si>
  <si>
    <t>Data refresh Date is showing correct date for older data</t>
  </si>
  <si>
    <t>Count mismatch between ODS and GDm</t>
  </si>
  <si>
    <t xml:space="preserve">All issues are fixed </t>
  </si>
  <si>
    <t xml:space="preserve">ASsigned Tech difference </t>
  </si>
  <si>
    <t>Count mismatch between ODS and GDM</t>
  </si>
  <si>
    <t>Mismatches found in LEAK_FOUND in GDM reports when compared to ODS</t>
  </si>
  <si>
    <t xml:space="preserve">Count of records displaying for No Wall check Performed is incorrect , it’s not matching with the export. 
Count of records displaying for No Service check Performed is incorrect , it’s not matching with the export. </t>
  </si>
  <si>
    <t xml:space="preserve">PBI Source and formatting broken </t>
  </si>
  <si>
    <t>Report not working for DPO</t>
  </si>
  <si>
    <t>Access was given to the Semantic Model</t>
  </si>
  <si>
    <t xml:space="preserve">Mismatch for County, phone number, name and phone extension </t>
  </si>
  <si>
    <t>Count mismatch , Mismatch in PM description</t>
  </si>
  <si>
    <t>Value mismatch</t>
  </si>
  <si>
    <t>Mandated Report is experiencing   data refresh issue,. Last refresh date is showing the current date.</t>
  </si>
  <si>
    <t>Drill through details functionality is not available in Overview report (Graph and data).
Getting error to the user if accidently clicked the link present in Radio button.
While clicking on any record in the detail record , total record count changing.
Back button  (navigation) in the report is not working.
Logo and text are not clearly visible in the report , it’s incomplete.
Total record count mismatch between backend view and report (GDM QA).</t>
  </si>
  <si>
    <t>All the issues are fixed</t>
  </si>
  <si>
    <t xml:space="preserve">Primary Phone Number not matching </t>
  </si>
  <si>
    <t xml:space="preserve">Response time is extracting as hashtags in certain cases </t>
  </si>
  <si>
    <t xml:space="preserve">The Billing account Email is not matching between the systems </t>
  </si>
  <si>
    <t>Do nothing on DDL. Data match between ODS and GDM</t>
  </si>
  <si>
    <t>Performance Issue. Data mismatch. Format Mismatch</t>
  </si>
  <si>
    <t>Format changes</t>
  </si>
  <si>
    <t xml:space="preserve">Performance issue </t>
  </si>
  <si>
    <t>Performance</t>
  </si>
  <si>
    <t>Report not rendering</t>
  </si>
  <si>
    <t>Count mismatch issue</t>
  </si>
  <si>
    <t>Do nothing on DDL. All match when query on 2026-09-17</t>
  </si>
  <si>
    <t xml:space="preserve">Count mismatch issue. postal code and Service Territory mismatch as well </t>
  </si>
  <si>
    <t>DPO nees the paginated version or the visual with title to see the report name after exporting to Excel</t>
  </si>
  <si>
    <t xml:space="preserve">Created Paginated report </t>
  </si>
  <si>
    <t>Count Mismatch</t>
  </si>
  <si>
    <t>Data mismatch for VA and NVA column</t>
  </si>
  <si>
    <t>Fixed</t>
  </si>
  <si>
    <t xml:space="preserve">Data mismatch for summary page between ods vs gdm </t>
  </si>
  <si>
    <t>This tab is manually maintained - edit Expected Report Count / Expected Release Date directly, or add new domain/month rows, as delivery plans change. Unlike Fact Table, the app always reads this sheet as-is.</t>
  </si>
  <si>
    <t>Expected Report Count</t>
  </si>
  <si>
    <t>Expected Release Date</t>
  </si>
  <si>
    <t>Delivery Wave</t>
  </si>
  <si>
    <t>Original Target</t>
  </si>
  <si>
    <t>Revised Committed Milestone</t>
  </si>
  <si>
    <t>Ready for Prod Deployment</t>
  </si>
  <si>
    <t>July Reports</t>
  </si>
  <si>
    <t>August Reports</t>
  </si>
  <si>
    <t>September Reports</t>
  </si>
  <si>
    <t>October Reports</t>
  </si>
  <si>
    <t>November Reports</t>
  </si>
  <si>
    <t>December Reports</t>
  </si>
  <si>
    <t>January Reports</t>
  </si>
  <si>
    <t>February Reports</t>
  </si>
  <si>
    <t>March Reports</t>
  </si>
  <si>
    <t>Reference snapshot only - the app rebuilds this automatically from Combined Delivery Data on every upload. Editing this tab directly has no effect.</t>
  </si>
  <si>
    <t>Status</t>
  </si>
  <si>
    <t xml:space="preserve">DB Developers </t>
  </si>
  <si>
    <t>PBI Developers</t>
  </si>
  <si>
    <t>Status Start Date</t>
  </si>
  <si>
    <t>Actual Release Date</t>
  </si>
  <si>
    <t>RPT_04_Leak Scheduling</t>
  </si>
  <si>
    <t>Sreevarsha</t>
  </si>
  <si>
    <t>Yes / No</t>
  </si>
  <si>
    <t>All Developers</t>
  </si>
  <si>
    <t>Rework Stage</t>
  </si>
  <si>
    <t>Person</t>
  </si>
  <si>
    <t>Email</t>
  </si>
  <si>
    <t>compliance or Regulatory</t>
  </si>
  <si>
    <t>-&gt; feeds column A on Combined Delivery Data</t>
  </si>
  <si>
    <t>-&gt; feeds column G on Combined Delivery Data</t>
  </si>
  <si>
    <t>-&gt; feeds column H on Combined Delivery Data</t>
  </si>
  <si>
    <t>-&gt; feeds column F on Combined Delivery Data</t>
  </si>
  <si>
    <t>-&gt; feeds column U (Confirmed Deployed?) on Combined Delivery Data</t>
  </si>
  <si>
    <t>-&gt; feeds column C on Combined Delivery Data</t>
  </si>
  <si>
    <t>-&gt; legacy combined list (Rework Log now uses per-stage lists via B/C/H/K)</t>
  </si>
  <si>
    <t>-&gt; feeds column I on Combined Delivery Data</t>
  </si>
  <si>
    <t>-&gt; feeds column Y on Combined Delivery Data</t>
  </si>
  <si>
    <t>-&gt; feeds From/To Stage on Rework Log</t>
  </si>
  <si>
    <t>-&gt; feeds Sent Back By / Fixed By when stage is DPO Approval</t>
  </si>
  <si>
    <t>-&gt; feeds Resolved? on Rework Log (sender-owned)</t>
  </si>
  <si>
    <t>Bardia.Mouhebat@nationalgrid.com</t>
  </si>
  <si>
    <t>Fetwi.Hayelom@nationalgrid.com</t>
  </si>
  <si>
    <t>Yes – other</t>
  </si>
  <si>
    <t>Geetha.S1@nationalgrid.com</t>
  </si>
  <si>
    <t>hybrid</t>
  </si>
  <si>
    <t>Did not pass re-test</t>
  </si>
  <si>
    <t>Yuehua.Hu@nationalgrid.com</t>
  </si>
  <si>
    <t>Yes – needs PBI Dev to fix</t>
  </si>
  <si>
    <t>Yes – needs QA to fix</t>
  </si>
  <si>
    <t>Kushal.Shah@nationalgrid.com</t>
  </si>
  <si>
    <t>Navya.ChowdarySaimpu@nationalgrid.com</t>
  </si>
  <si>
    <t>Nick.Virdi@nationalgrid.com</t>
  </si>
  <si>
    <t>rework for views with new dynamic tables.</t>
  </si>
  <si>
    <t>Preety.Jha@nationalgrid.com</t>
  </si>
  <si>
    <t>Mejo George</t>
  </si>
  <si>
    <t>Rupa.Koduru@nationalgrid.com</t>
  </si>
  <si>
    <t>Michael Ayedun</t>
  </si>
  <si>
    <t>Sarath.Neela@nationalgrid.com</t>
  </si>
  <si>
    <t>Shraddha.TC@nationalgrid.com</t>
  </si>
  <si>
    <t>Siddharoodh.Hiregoudar@nationalgrid.com</t>
  </si>
  <si>
    <t>Sivaram.Kanda1@nationalgrid.com</t>
  </si>
  <si>
    <t>Sreevarsha.Potluri@nationalgrid.com</t>
  </si>
  <si>
    <t>Michael.Ayedun@nationalgrid.com</t>
  </si>
  <si>
    <t>Oluwademilade.Adeniji@nationalgrid.com</t>
  </si>
  <si>
    <t>CMS reports</t>
  </si>
  <si>
    <t>Checks</t>
  </si>
  <si>
    <t>Waiting for a production release</t>
  </si>
  <si>
    <t>Blocked in build or QA</t>
  </si>
  <si>
    <t>In progress, DB Dev to DPO Approval</t>
  </si>
  <si>
    <t>Not started</t>
  </si>
  <si>
    <t>Released to production</t>
  </si>
  <si>
    <t>By month</t>
  </si>
  <si>
    <t>Reports by Plan Delivery Month and Current Status. Milestone is the revised committed date from the Dim Table.</t>
  </si>
  <si>
    <t>Month</t>
  </si>
  <si>
    <t>Waiting for release</t>
  </si>
  <si>
    <t>Blocked in build/QA</t>
  </si>
  <si>
    <t>Released</t>
  </si>
  <si>
    <t>Reports</t>
  </si>
  <si>
    <t>Milestone</t>
  </si>
  <si>
    <t>Milestone status</t>
  </si>
  <si>
    <t>Total</t>
  </si>
  <si>
    <t>Reports by month and status</t>
  </si>
  <si>
    <t>Same numbers as the table, one bar per month. Amber is approved work waiting for a release; red is a defect being fixed.</t>
  </si>
  <si>
    <t>A completion date is in the tracker but Current Status was not moved to the next stage. Whoever completed the stage updates it.</t>
  </si>
  <si>
    <t>Report</t>
  </si>
  <si>
    <t>Current status</t>
  </si>
  <si>
    <t>Who updates it</t>
  </si>
  <si>
    <t>All</t>
  </si>
  <si>
    <t>DB developer</t>
  </si>
  <si>
    <t>PBI developer</t>
  </si>
  <si>
    <t>QA tester</t>
  </si>
  <si>
    <t>DPO reviewer</t>
  </si>
  <si>
    <t>DB Dev done</t>
  </si>
  <si>
    <t>PBI Dev done</t>
  </si>
  <si>
    <t>QA done</t>
  </si>
  <si>
    <t>DPO approved</t>
  </si>
  <si>
    <t>Reworks</t>
  </si>
  <si>
    <t>Status column needs updating</t>
  </si>
  <si>
    <t>Wave</t>
  </si>
  <si>
    <t>Tracker Status</t>
  </si>
  <si>
    <t>Bucket</t>
  </si>
  <si>
    <t>Months</t>
  </si>
  <si>
    <t>Statuses</t>
  </si>
  <si>
    <t>People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</si>
</sst>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d\ mmm"/>
  </numFmts>
  <fonts count="53">
    <font>
      <sz val="11"/>
      <color theme="1"/>
      <name val="Calibri"/>
      <family val="2"/>
      <charset val="1"/>
    </font>
    <font>
      <i/>
      <sz val="10"/>
      <color rgb="FF9C6500"/>
      <name val="Calibri"/>
      <family val="2"/>
      <charset val="1"/>
    </font>
    <font>
      <b/>
      <sz val="10"/>
      <color rgb="FFFFFFFF"/>
      <name val="Calibri"/>
      <family val="2"/>
      <charset val="1"/>
    </font>
    <font>
      <i/>
      <sz val="10"/>
      <color rgb="FF1F4E78"/>
      <name val="Calibri"/>
      <family val="2"/>
      <charset val="1"/>
    </font>
    <font>
      <b/>
      <sz val="11"/>
      <name val="Cambria"/>
      <family val="1"/>
    </font>
    <font>
      <i/>
      <sz val="9"/>
      <color rgb="FF666666"/>
      <name val="Cambria"/>
      <family val="1"/>
    </font>
    <font>
      <sz val="11"/>
      <name val="Calibri"/>
      <family val="2"/>
    </font>
    <font>
      <b/>
      <sz val="11"/>
      <name val="Calibri"/>
      <family val="2"/>
    </font>
    <font>
      <i/>
      <sz val="10"/>
      <color rgb="FF666666"/>
      <name val="Calibri"/>
      <family val="2"/>
    </font>
    <font>
      <b/>
      <sz val="16"/>
      <color rgb="FF1F4E78"/>
      <name val="Calibri"/>
      <family val="2"/>
    </font>
    <font>
      <b/>
      <sz val="12"/>
      <name val="Calibri"/>
      <family val="2"/>
    </font>
    <font>
      <b/>
      <sz val="10"/>
      <color rgb="FFFFFFFF"/>
      <name val="Calibri"/>
      <family val="2"/>
    </font>
    <font>
      <i/>
      <sz val="9"/>
      <name val="Calibri"/>
      <family val="2"/>
    </font>
    <font>
      <sz val="12"/>
      <name val="Calibri"/>
      <family val="2"/>
    </font>
    <font>
      <sz val="11"/>
      <name val="Calibri"/>
    </font>
    <font>
      <u/>
      <sz val="11"/>
      <color theme="10"/>
      <name val="Calibri"/>
      <family val="2"/>
      <charset val="1"/>
    </font>
    <font>
      <sz val="11"/>
      <color rgb="FF242424"/>
      <name val="Aptos Narrow"/>
      <charset val="1"/>
    </font>
    <font>
      <sz val="8"/>
      <name val="Calibri"/>
      <family val="2"/>
      <charset val="1"/>
    </font>
    <font>
      <sz val="11"/>
      <name val="Calibri"/>
      <family val="2"/>
      <charset val="1"/>
    </font>
    <font>
      <sz val="11"/>
      <color rgb="FF242424"/>
      <name val="Aptos Narrow"/>
    </font>
    <font>
      <strike/>
      <sz val="11"/>
      <color rgb="FFFF0000"/>
      <name val="Calibri"/>
      <family val="2"/>
    </font>
    <font>
      <strike/>
      <sz val="11"/>
      <name val="Calibri"/>
      <family val="2"/>
    </font>
    <font>
      <strike/>
      <sz val="11"/>
      <color theme="1"/>
      <name val="Calibri"/>
      <family val="2"/>
      <charset val="1"/>
    </font>
    <font>
      <strike/>
      <sz val="11"/>
      <name val="Calibri"/>
      <family val="2"/>
      <charset val="1"/>
    </font>
    <font>
      <sz val="11"/>
      <color rgb="FF999600"/>
      <name val="Calibri"/>
      <family val="2"/>
    </font>
    <font>
      <sz val="11"/>
      <color rgb="FF999600"/>
      <name val="Calibri"/>
      <family val="2"/>
      <charset val="1"/>
    </font>
    <font>
      <sz val="11"/>
      <color rgb="FF999600"/>
      <name val="Calibri"/>
    </font>
    <font>
      <sz val="11"/>
      <color rgb="FF000000"/>
      <name val="Calibri"/>
      <family val="2"/>
      <charset val="1"/>
    </font>
    <font>
      <sz val="11"/>
      <color rgb="FF000000"/>
      <name val="Calibri"/>
      <family val="2"/>
    </font>
    <font>
      <sz val="11"/>
      <color rgb="FF000000"/>
      <name val="Calibri"/>
    </font>
    <font>
      <b/>
      <sz val="11"/>
      <color theme="1"/>
      <name val="Calibri"/>
      <family val="2"/>
      <charset val="1"/>
    </font>
    <font>
      <sz val="10"/>
      <color rgb="FF956037"/>
      <name val="Consolas"/>
    </font>
    <font>
      <sz val="10"/>
      <color rgb="FF000000"/>
      <name val="Consolas"/>
    </font>
    <font>
      <sz val="10"/>
      <color rgb="FF8E00C6"/>
      <name val="Consolas"/>
    </font>
    <font>
      <sz val="10"/>
      <color rgb="FF0B0B0B"/>
      <name val="Segoe UI"/>
    </font>
    <font>
      <b/>
      <sz val="20"/>
      <color rgb="FF0B0B0B"/>
      <name val="Segoe UI"/>
    </font>
    <font>
      <sz val="9"/>
      <color rgb="FF0B0B0B"/>
      <name val="Segoe UI"/>
    </font>
    <font>
      <sz val="9"/>
      <color rgb="FF898781"/>
      <name val="Segoe UI"/>
    </font>
    <font>
      <sz val="10"/>
      <color rgb="FF52514E"/>
      <name val="Segoe UI"/>
    </font>
    <font>
      <b/>
      <sz val="26"/>
      <color rgb="FF0B0B0B"/>
      <name val="Segoe UI"/>
    </font>
    <font>
      <sz val="11"/>
      <color rgb="FF52514E"/>
      <name val="Segoe UI"/>
    </font>
    <font>
      <b/>
      <sz val="22"/>
      <color rgb="FF0B0B0B"/>
      <name val="Segoe UI"/>
    </font>
    <font>
      <sz val="9"/>
      <color rgb="FF52514E"/>
      <name val="Segoe UI"/>
    </font>
    <font>
      <b/>
      <sz val="9"/>
      <color rgb="FF898781"/>
      <name val="Segoe UI"/>
    </font>
    <font>
      <b/>
      <sz val="12"/>
      <color rgb="FF0B0B0B"/>
      <name val="Segoe UI"/>
    </font>
    <font>
      <b/>
      <sz val="9"/>
      <color rgb="FF52514E"/>
      <name val="Segoe UI"/>
    </font>
    <font>
      <b/>
      <sz val="10"/>
      <color rgb="FF0B0B0B"/>
      <name val="Segoe UI"/>
    </font>
    <font>
      <b/>
      <sz val="8"/>
      <color rgb="FF898781"/>
      <name val="Segoe UI"/>
    </font>
    <font>
      <b/>
      <sz val="10"/>
      <color theme="1"/>
      <name val="Calibri"/>
      <family val="2"/>
      <charset val="1"/>
    </font>
    <font>
      <strike/>
      <sz val="11"/>
      <color rgb="FF999600"/>
      <name val="Calibri"/>
      <family val="2"/>
    </font>
    <font>
      <strike/>
      <sz val="11"/>
      <color rgb="FF999600"/>
      <name val="Calibri"/>
      <family val="2"/>
      <charset val="1"/>
    </font>
    <font>
      <sz val="11"/>
      <color theme="9" tint="-0.499984740745262"/>
      <name val="Calibri"/>
      <family val="2"/>
      <charset val="1"/>
    </font>
    <font>
      <sz val="11"/>
      <color theme="9" tint="-0.499984740745262"/>
      <name val="Calibri"/>
      <family val="2"/>
    </font>
  </fonts>
  <fills count="22">
    <fill>
      <patternFill patternType="none"/>
    </fill>
    <fill>
      <patternFill patternType="gray125"/>
    </fill>
    <fill>
      <patternFill patternType="solid">
        <fgColor rgb="FF1F4E78"/>
        <bgColor rgb="FF2E5C8A"/>
      </patternFill>
    </fill>
    <fill>
      <patternFill patternType="solid">
        <fgColor rgb="FFFFF8E1"/>
        <bgColor rgb="FFFFFFFF"/>
      </patternFill>
    </fill>
    <fill>
      <patternFill patternType="solid">
        <fgColor rgb="FF1F4E78"/>
        <bgColor rgb="FF1F4E78"/>
      </patternFill>
    </fill>
    <fill>
      <patternFill patternType="solid">
        <fgColor rgb="FF34495E"/>
        <bgColor rgb="FF34495E"/>
      </patternFill>
    </fill>
    <fill>
      <patternFill patternType="solid">
        <fgColor rgb="FF5D6D7E"/>
        <bgColor rgb="FF5D6D7E"/>
      </patternFill>
    </fill>
    <fill>
      <patternFill patternType="solid">
        <fgColor rgb="FF2874A6"/>
        <bgColor rgb="FF2874A6"/>
      </patternFill>
    </fill>
    <fill>
      <patternFill patternType="solid">
        <fgColor rgb="FF148F77"/>
        <bgColor rgb="FF148F77"/>
      </patternFill>
    </fill>
    <fill>
      <patternFill patternType="solid">
        <fgColor rgb="FFB9770E"/>
        <bgColor rgb="FFB9770E"/>
      </patternFill>
    </fill>
    <fill>
      <patternFill patternType="solid">
        <fgColor rgb="FF6C3483"/>
        <bgColor rgb="FF6C3483"/>
      </patternFill>
    </fill>
    <fill>
      <patternFill patternType="solid">
        <fgColor rgb="FF196F3D"/>
        <bgColor rgb="FF196F3D"/>
      </patternFill>
    </fill>
    <fill>
      <patternFill patternType="solid">
        <fgColor rgb="FF7D6608"/>
        <bgColor rgb="FF7D6608"/>
      </patternFill>
    </fill>
    <fill>
      <patternFill patternType="solid">
        <fgColor rgb="FFA93226"/>
        <bgColor rgb="FFA93226"/>
      </patternFill>
    </fill>
    <fill>
      <patternFill patternType="solid">
        <fgColor rgb="FF884EA0"/>
        <bgColor rgb="FF884EA0"/>
      </patternFill>
    </fill>
    <fill>
      <patternFill patternType="solid">
        <fgColor rgb="FFFFE699"/>
        <bgColor rgb="FFFFE699"/>
      </patternFill>
    </fill>
    <fill>
      <patternFill patternType="solid">
        <fgColor rgb="FF2E75B6"/>
        <bgColor rgb="FF2E75B6"/>
      </patternFill>
    </fill>
    <fill>
      <patternFill patternType="solid">
        <fgColor rgb="FFFF0000"/>
        <bgColor indexed="64"/>
      </patternFill>
    </fill>
    <fill>
      <patternFill patternType="solid">
        <fgColor theme="0"/>
        <bgColor indexed="64"/>
      </patternFill>
    </fill>
    <fill>
      <patternFill patternType="solid">
        <fgColor rgb="FFFFFF00"/>
        <bgColor indexed="64"/>
      </patternFill>
    </fill>
    <fill>
      <patternFill patternType="solid">
        <fgColor rgb="FFF3F4F6"/>
        <bgColor indexed="64"/>
      </patternFill>
    </fill>
    <fill>
      <patternFill patternType="solid">
        <fgColor rgb="FFFFFFFF"/>
        <bgColor indexed="64"/>
      </patternFill>
    </fill>
  </fills>
  <borders count="52">
    <border>
      <left/>
      <right/>
      <top/>
      <bottom/>
      <diagonal/>
    </border>
    <border>
      <left style="thin">
        <color rgb="FFD9D9D9"/>
      </left>
      <right style="thin">
        <color rgb="FFD9D9D9"/>
      </right>
      <top style="thin">
        <color rgb="FFD9D9D9"/>
      </top>
      <bottom style="thin">
        <color rgb="FFD9D9D9"/>
      </bottom>
      <diagonal/>
    </border>
    <border>
      <left/>
      <right/>
      <top style="thin">
        <color rgb="FFD9D9D9"/>
      </top>
      <bottom style="thin">
        <color rgb="FFD9D9D9"/>
      </bottom>
      <diagonal/>
    </border>
    <border>
      <left/>
      <right style="thin">
        <color rgb="FFD9D9D9"/>
      </right>
      <top style="thin">
        <color rgb="FFD9D9D9"/>
      </top>
      <bottom style="thin">
        <color rgb="FFD9D9D9"/>
      </bottom>
      <diagonal/>
    </border>
    <border>
      <left style="medium">
        <color rgb="FF34495E"/>
      </left>
      <right/>
      <top/>
      <bottom/>
      <diagonal/>
    </border>
    <border>
      <left style="medium">
        <color rgb="FF5D6D7E"/>
      </left>
      <right/>
      <top/>
      <bottom/>
      <diagonal/>
    </border>
    <border>
      <left style="medium">
        <color rgb="FF2874A6"/>
      </left>
      <right/>
      <top/>
      <bottom/>
      <diagonal/>
    </border>
    <border>
      <left style="medium">
        <color rgb="FF148F77"/>
      </left>
      <right/>
      <top/>
      <bottom/>
      <diagonal/>
    </border>
    <border>
      <left style="medium">
        <color rgb="FF6C3483"/>
      </left>
      <right/>
      <top/>
      <bottom/>
      <diagonal/>
    </border>
    <border>
      <left style="medium">
        <color rgb="FF196F3D"/>
      </left>
      <right/>
      <top/>
      <bottom/>
      <diagonal/>
    </border>
    <border>
      <left style="medium">
        <color rgb="FF7D6608"/>
      </left>
      <right/>
      <top/>
      <bottom/>
      <diagonal/>
    </border>
    <border>
      <left style="medium">
        <color rgb="FFA93226"/>
      </left>
      <right/>
      <top/>
      <bottom/>
      <diagonal/>
    </border>
    <border>
      <left style="medium">
        <color rgb="FF884EA0"/>
      </left>
      <right/>
      <top/>
      <bottom/>
      <diagonal/>
    </border>
    <border>
      <left style="medium">
        <color rgb="FF1F4E78"/>
      </left>
      <right/>
      <top/>
      <bottom/>
      <diagonal/>
    </border>
    <border>
      <left/>
      <right style="thick">
        <color rgb="FF00B0F0"/>
      </right>
      <top/>
      <bottom/>
      <diagonal/>
    </border>
    <border>
      <left style="thick">
        <color rgb="FF00B0F0"/>
      </left>
      <right/>
      <top/>
      <bottom/>
      <diagonal/>
    </border>
    <border>
      <left/>
      <right style="thick">
        <color rgb="FF004C22"/>
      </right>
      <top/>
      <bottom/>
      <diagonal/>
    </border>
    <border>
      <left/>
      <right/>
      <top style="thin">
        <color rgb="FFE1E0D9"/>
      </top>
      <bottom/>
      <diagonal/>
    </border>
    <border>
      <left/>
      <right/>
      <top/>
      <bottom style="thin">
        <color rgb="FFE1E0D9"/>
      </bottom>
      <diagonal/>
    </border>
    <border>
      <left style="thin">
        <color rgb="FFE1E0D9"/>
      </left>
      <right/>
      <top style="thin">
        <color rgb="FFE1E0D9"/>
      </top>
      <bottom/>
      <diagonal/>
    </border>
    <border>
      <left style="thin">
        <color rgb="FFE1E0D9"/>
      </left>
      <right/>
      <top/>
      <bottom style="thin">
        <color rgb="FFE1E0D9"/>
      </bottom>
      <diagonal/>
    </border>
    <border>
      <left/>
      <right style="thin">
        <color rgb="FFE1E0D9"/>
      </right>
      <top style="thin">
        <color rgb="FFE1E0D9"/>
      </top>
      <bottom/>
      <diagonal/>
    </border>
    <border>
      <left/>
      <right style="thin">
        <color rgb="FFE1E0D9"/>
      </right>
      <top/>
      <bottom style="thin">
        <color rgb="FFE1E0D9"/>
      </bottom>
      <diagonal/>
    </border>
    <border>
      <left style="thin">
        <color rgb="FFE1E0D9"/>
      </left>
      <right/>
      <top style="thick">
        <color rgb="FFE89B0C"/>
      </top>
      <bottom/>
      <diagonal/>
    </border>
    <border>
      <left style="thin">
        <color rgb="FFE1E0D9"/>
      </left>
      <right/>
      <top/>
      <bottom/>
      <diagonal/>
    </border>
    <border>
      <left/>
      <right/>
      <top style="thick">
        <color rgb="FFE89B0C"/>
      </top>
      <bottom/>
      <diagonal/>
    </border>
    <border>
      <left style="thin">
        <color rgb="FFE1E0D9"/>
      </left>
      <right/>
      <top style="thick">
        <color rgb="FFD03B3B"/>
      </top>
      <bottom/>
      <diagonal/>
    </border>
    <border>
      <left/>
      <right/>
      <top style="thick">
        <color rgb="FFD03B3B"/>
      </top>
      <bottom/>
      <diagonal/>
    </border>
    <border>
      <left style="thin">
        <color rgb="FFE1E0D9"/>
      </left>
      <right/>
      <top style="thick">
        <color rgb="FF256ABF"/>
      </top>
      <bottom/>
      <diagonal/>
    </border>
    <border>
      <left/>
      <right/>
      <top style="thick">
        <color rgb="FF256ABF"/>
      </top>
      <bottom/>
      <diagonal/>
    </border>
    <border>
      <left style="thin">
        <color rgb="FFE1E0D9"/>
      </left>
      <right/>
      <top style="thick">
        <color rgb="FFBDBBB3"/>
      </top>
      <bottom/>
      <diagonal/>
    </border>
    <border>
      <left/>
      <right/>
      <top style="thick">
        <color rgb="FFBDBBB3"/>
      </top>
      <bottom/>
      <diagonal/>
    </border>
    <border>
      <left style="thin">
        <color rgb="FFE1E0D9"/>
      </left>
      <right/>
      <top style="thick">
        <color rgb="FF0CA30C"/>
      </top>
      <bottom/>
      <diagonal/>
    </border>
    <border>
      <left/>
      <right/>
      <top style="thick">
        <color rgb="FF0CA30C"/>
      </top>
      <bottom/>
      <diagonal/>
    </border>
    <border>
      <left style="thin">
        <color rgb="FFE1E0D9"/>
      </left>
      <right/>
      <top style="thin">
        <color rgb="FF52514E"/>
      </top>
      <bottom/>
      <diagonal/>
    </border>
    <border>
      <left/>
      <right/>
      <top style="thin">
        <color rgb="FF52514E"/>
      </top>
      <bottom/>
      <diagonal/>
    </border>
    <border>
      <left/>
      <right style="thin">
        <color rgb="FFE1E0D9"/>
      </right>
      <top style="thin">
        <color rgb="FF52514E"/>
      </top>
      <bottom/>
      <diagonal/>
    </border>
    <border>
      <left style="thin">
        <color rgb="FFE1E0D9"/>
      </left>
      <right/>
      <top style="thick">
        <color rgb="FF52514E"/>
      </top>
      <bottom/>
      <diagonal/>
    </border>
    <border>
      <left/>
      <right/>
      <top style="thick">
        <color rgb="FF52514E"/>
      </top>
      <bottom/>
      <diagonal/>
    </border>
    <border>
      <left/>
      <right style="thin">
        <color rgb="FFE1E0D9"/>
      </right>
      <top style="thick">
        <color rgb="FF52514E"/>
      </top>
      <bottom/>
      <diagonal/>
    </border>
    <border>
      <left/>
      <right style="thin">
        <color rgb="FFE1E0D9"/>
      </right>
      <top/>
      <bottom/>
      <diagonal/>
    </border>
    <border>
      <left style="thin">
        <color rgb="FFE1E0D9"/>
      </left>
      <right/>
      <top style="thin">
        <color rgb="FFE1E0D9"/>
      </top>
      <bottom style="thin">
        <color rgb="FF52514E"/>
      </bottom>
      <diagonal/>
    </border>
    <border>
      <left/>
      <right/>
      <top style="thin">
        <color rgb="FFE1E0D9"/>
      </top>
      <bottom style="thin">
        <color rgb="FF52514E"/>
      </bottom>
      <diagonal/>
    </border>
    <border>
      <left/>
      <right style="thin">
        <color rgb="FFE1E0D9"/>
      </right>
      <top style="thin">
        <color rgb="FFE1E0D9"/>
      </top>
      <bottom style="thin">
        <color rgb="FF52514E"/>
      </bottom>
      <diagonal/>
    </border>
    <border>
      <left style="thin">
        <color rgb="FFE1E0D9"/>
      </left>
      <right/>
      <top style="thin">
        <color rgb="FFE1E0D9"/>
      </top>
      <bottom style="thin">
        <color rgb="FFE1E0D9"/>
      </bottom>
      <diagonal/>
    </border>
    <border>
      <left/>
      <right/>
      <top style="thin">
        <color rgb="FFE1E0D9"/>
      </top>
      <bottom style="thin">
        <color rgb="FFE1E0D9"/>
      </bottom>
      <diagonal/>
    </border>
    <border>
      <left/>
      <right style="thin">
        <color rgb="FFE1E0D9"/>
      </right>
      <top style="thin">
        <color rgb="FFE1E0D9"/>
      </top>
      <bottom style="thin">
        <color rgb="FFE1E0D9"/>
      </bottom>
      <diagonal/>
    </border>
    <border>
      <left/>
      <right/>
      <top style="thin">
        <color rgb="FF52514E"/>
      </top>
      <bottom style="thin">
        <color rgb="FF52514E"/>
      </bottom>
      <diagonal/>
    </border>
    <border>
      <left style="thin">
        <color rgb="FF52514E"/>
      </left>
      <right/>
      <top style="thin">
        <color rgb="FF52514E"/>
      </top>
      <bottom style="thin">
        <color rgb="FF52514E"/>
      </bottom>
      <diagonal/>
    </border>
    <border>
      <left/>
      <right style="thin">
        <color rgb="FF52514E"/>
      </right>
      <top style="thin">
        <color rgb="FF52514E"/>
      </top>
      <bottom style="thin">
        <color rgb="FF52514E"/>
      </bottom>
      <diagonal/>
    </border>
    <border>
      <left style="thin">
        <color rgb="FF52514E"/>
      </left>
      <right/>
      <top/>
      <bottom style="thin">
        <color rgb="FFE1E0D9"/>
      </bottom>
      <diagonal/>
    </border>
    <border>
      <left/>
      <right/>
      <top/>
      <bottom style="thin">
        <color rgb="FF52514E"/>
      </bottom>
      <diagonal/>
    </border>
  </borders>
  <cellStyleXfs count="2">
    <xf numFmtId="0" fontId="0" fillId="0" borderId="0"/>
    <xf numFmtId="0" fontId="15" fillId="0" borderId="0" applyNumberFormat="0" applyFill="0" applyBorder="0" applyAlignment="0" applyProtection="0"/>
  </cellStyleXfs>
  <cellXfs count="274">
    <xf numFmtId="0" fontId="0" fillId="0" borderId="0" xfId="0"/>
    <xf numFmtId="0" fontId="4" fillId="0" borderId="0" xfId="0" applyFont="1"/>
    <xf numFmtId="0" fontId="5" fillId="0" borderId="0" xfId="0" applyFont="1"/>
    <xf numFmtId="0" fontId="6" fillId="0" borderId="0" xfId="0" applyFont="1"/>
    <xf numFmtId="14" fontId="6" fillId="0" borderId="0" xfId="0" applyNumberFormat="1" applyFont="1"/>
    <xf numFmtId="0" fontId="7" fillId="0" borderId="0" xfId="0" applyFont="1"/>
    <xf numFmtId="0" fontId="8" fillId="0" borderId="0" xfId="0" applyFont="1"/>
    <xf numFmtId="0" fontId="9" fillId="0" borderId="0" xfId="0" applyFont="1"/>
    <xf numFmtId="0" fontId="2" fillId="2" borderId="1" xfId="0" applyFont="1" applyFill="1" applyBorder="1" applyAlignment="1">
      <alignment vertical="center" wrapText="1"/>
    </xf>
    <xf numFmtId="0" fontId="6" fillId="0" borderId="1" xfId="0" applyFont="1" applyBorder="1" applyAlignment="1">
      <alignment vertical="top"/>
    </xf>
    <xf numFmtId="14" fontId="6" fillId="0" borderId="1" xfId="0" applyNumberFormat="1" applyFont="1" applyBorder="1" applyAlignment="1">
      <alignment vertical="top"/>
    </xf>
    <xf numFmtId="0" fontId="0" fillId="0" borderId="1" xfId="0" applyBorder="1"/>
    <xf numFmtId="14" fontId="0" fillId="0" borderId="1" xfId="0" applyNumberFormat="1" applyBorder="1"/>
    <xf numFmtId="0" fontId="11" fillId="4" borderId="0" xfId="0" applyFont="1" applyFill="1" applyAlignment="1">
      <alignment vertical="center" wrapText="1"/>
    </xf>
    <xf numFmtId="0" fontId="11" fillId="5" borderId="0" xfId="0" applyFont="1" applyFill="1" applyAlignment="1">
      <alignment vertical="center" wrapText="1"/>
    </xf>
    <xf numFmtId="0" fontId="11" fillId="7" borderId="0" xfId="0" applyFont="1" applyFill="1" applyAlignment="1">
      <alignment vertical="center" wrapText="1"/>
    </xf>
    <xf numFmtId="0" fontId="11" fillId="8" borderId="0" xfId="0" applyFont="1" applyFill="1" applyAlignment="1">
      <alignment vertical="center" wrapText="1"/>
    </xf>
    <xf numFmtId="0" fontId="11" fillId="9" borderId="0" xfId="0" applyFont="1" applyFill="1" applyAlignment="1">
      <alignment vertical="center" wrapText="1"/>
    </xf>
    <xf numFmtId="0" fontId="11" fillId="10" borderId="0" xfId="0" applyFont="1" applyFill="1" applyAlignment="1">
      <alignment vertical="center" wrapText="1"/>
    </xf>
    <xf numFmtId="0" fontId="11" fillId="11" borderId="0" xfId="0" applyFont="1" applyFill="1" applyAlignment="1">
      <alignment vertical="center" wrapText="1"/>
    </xf>
    <xf numFmtId="0" fontId="11" fillId="12" borderId="0" xfId="0" applyFont="1" applyFill="1" applyAlignment="1">
      <alignment vertical="center" wrapText="1"/>
    </xf>
    <xf numFmtId="0" fontId="11" fillId="14" borderId="0" xfId="0" applyFont="1" applyFill="1" applyAlignment="1">
      <alignment vertical="center" wrapText="1"/>
    </xf>
    <xf numFmtId="0" fontId="11" fillId="5" borderId="4" xfId="0" applyFont="1" applyFill="1" applyBorder="1" applyAlignment="1">
      <alignment vertical="center" wrapText="1"/>
    </xf>
    <xf numFmtId="0" fontId="11" fillId="11" borderId="9" xfId="0" applyFont="1" applyFill="1" applyBorder="1" applyAlignment="1">
      <alignment vertical="center" wrapText="1"/>
    </xf>
    <xf numFmtId="0" fontId="11" fillId="12" borderId="10" xfId="0" applyFont="1" applyFill="1" applyBorder="1" applyAlignment="1">
      <alignment vertical="center" wrapText="1"/>
    </xf>
    <xf numFmtId="0" fontId="11" fillId="13" borderId="11" xfId="0" applyFont="1" applyFill="1" applyBorder="1" applyAlignment="1">
      <alignment vertical="center" wrapText="1"/>
    </xf>
    <xf numFmtId="0" fontId="11" fillId="14" borderId="12" xfId="0" applyFont="1" applyFill="1" applyBorder="1" applyAlignment="1">
      <alignment vertical="center" wrapText="1"/>
    </xf>
    <xf numFmtId="0" fontId="11" fillId="4" borderId="13" xfId="0" applyFont="1" applyFill="1" applyBorder="1" applyAlignment="1">
      <alignment vertical="center" wrapText="1"/>
    </xf>
    <xf numFmtId="14" fontId="0" fillId="0" borderId="0" xfId="0" applyNumberFormat="1"/>
    <xf numFmtId="0" fontId="12" fillId="0" borderId="0" xfId="0" applyFont="1"/>
    <xf numFmtId="0" fontId="11" fillId="16" borderId="0" xfId="0" applyFont="1" applyFill="1" applyAlignment="1">
      <alignment vertical="center" wrapText="1"/>
    </xf>
    <xf numFmtId="0" fontId="0" fillId="0" borderId="0" xfId="0" applyProtection="1">
      <protection locked="0"/>
    </xf>
    <xf numFmtId="14" fontId="0" fillId="0" borderId="0" xfId="0" applyNumberFormat="1" applyProtection="1">
      <protection locked="0"/>
    </xf>
    <xf numFmtId="0" fontId="6" fillId="0" borderId="0" xfId="0" applyFont="1" applyProtection="1">
      <protection locked="0"/>
    </xf>
    <xf numFmtId="0" fontId="6" fillId="0" borderId="4" xfId="0" applyFont="1" applyBorder="1" applyProtection="1">
      <protection locked="0"/>
    </xf>
    <xf numFmtId="14" fontId="6" fillId="0" borderId="6" xfId="0" applyNumberFormat="1" applyFont="1" applyBorder="1" applyProtection="1">
      <protection locked="0"/>
    </xf>
    <xf numFmtId="14" fontId="6" fillId="0" borderId="0" xfId="0" applyNumberFormat="1" applyFont="1" applyProtection="1">
      <protection locked="0"/>
    </xf>
    <xf numFmtId="14" fontId="6" fillId="0" borderId="7" xfId="0" applyNumberFormat="1" applyFont="1" applyBorder="1" applyProtection="1">
      <protection locked="0"/>
    </xf>
    <xf numFmtId="0" fontId="6" fillId="0" borderId="9" xfId="0" applyFont="1" applyBorder="1" applyProtection="1">
      <protection locked="0"/>
    </xf>
    <xf numFmtId="0" fontId="6" fillId="0" borderId="10" xfId="0" applyFont="1" applyBorder="1" applyProtection="1">
      <protection locked="0"/>
    </xf>
    <xf numFmtId="0" fontId="6" fillId="0" borderId="11" xfId="0" applyFont="1" applyBorder="1" applyProtection="1">
      <protection locked="0"/>
    </xf>
    <xf numFmtId="0" fontId="6" fillId="0" borderId="13" xfId="0" applyFont="1" applyBorder="1" applyProtection="1">
      <protection locked="0"/>
    </xf>
    <xf numFmtId="0" fontId="7" fillId="0" borderId="1" xfId="0" applyFont="1" applyBorder="1"/>
    <xf numFmtId="14" fontId="14" fillId="0" borderId="0" xfId="0" applyNumberFormat="1" applyFont="1" applyProtection="1">
      <protection locked="0"/>
    </xf>
    <xf numFmtId="16" fontId="0" fillId="0" borderId="0" xfId="0" applyNumberFormat="1" applyProtection="1">
      <protection locked="0"/>
    </xf>
    <xf numFmtId="0" fontId="15" fillId="0" borderId="0" xfId="1"/>
    <xf numFmtId="14" fontId="18" fillId="0" borderId="0" xfId="0" applyNumberFormat="1" applyFont="1" applyProtection="1">
      <protection locked="0"/>
    </xf>
    <xf numFmtId="0" fontId="6" fillId="0" borderId="12" xfId="0" applyFont="1" applyBorder="1" applyProtection="1">
      <protection locked="0"/>
    </xf>
    <xf numFmtId="0" fontId="11" fillId="6" borderId="5" xfId="0" applyFont="1" applyFill="1" applyBorder="1" applyAlignment="1">
      <alignment vertical="center" wrapText="1"/>
    </xf>
    <xf numFmtId="14" fontId="6" fillId="0" borderId="5" xfId="0" applyNumberFormat="1" applyFont="1" applyBorder="1"/>
    <xf numFmtId="0" fontId="11" fillId="10" borderId="8" xfId="0" applyFont="1" applyFill="1" applyBorder="1" applyAlignment="1">
      <alignment vertical="center" wrapText="1"/>
    </xf>
    <xf numFmtId="14" fontId="6" fillId="0" borderId="8" xfId="0" applyNumberFormat="1" applyFont="1" applyBorder="1"/>
    <xf numFmtId="14" fontId="16" fillId="0" borderId="0" xfId="0" applyNumberFormat="1" applyFont="1"/>
    <xf numFmtId="0" fontId="18" fillId="0" borderId="0" xfId="0" applyFont="1" applyProtection="1">
      <protection locked="0"/>
    </xf>
    <xf numFmtId="0" fontId="6" fillId="0" borderId="14" xfId="0" applyFont="1" applyBorder="1"/>
    <xf numFmtId="0" fontId="0" fillId="0" borderId="14" xfId="0" applyBorder="1"/>
    <xf numFmtId="0" fontId="2" fillId="9" borderId="0" xfId="0" applyFont="1" applyFill="1" applyAlignment="1">
      <alignment vertical="center" wrapText="1"/>
    </xf>
    <xf numFmtId="0" fontId="2" fillId="7" borderId="0" xfId="0" applyFont="1" applyFill="1" applyAlignment="1">
      <alignment vertical="center" wrapText="1"/>
    </xf>
    <xf numFmtId="14" fontId="18" fillId="0" borderId="0" xfId="0" applyNumberFormat="1" applyFont="1"/>
    <xf numFmtId="0" fontId="2" fillId="6" borderId="14" xfId="0" applyFont="1" applyFill="1" applyBorder="1" applyAlignment="1">
      <alignment vertical="center" wrapText="1"/>
    </xf>
    <xf numFmtId="0" fontId="18" fillId="0" borderId="14" xfId="0" applyFont="1" applyBorder="1"/>
    <xf numFmtId="0" fontId="2" fillId="8" borderId="15" xfId="0" applyFont="1" applyFill="1" applyBorder="1" applyAlignment="1">
      <alignment vertical="center" wrapText="1"/>
    </xf>
    <xf numFmtId="0" fontId="6" fillId="0" borderId="15" xfId="0" applyFont="1" applyBorder="1" applyProtection="1">
      <protection locked="0"/>
    </xf>
    <xf numFmtId="0" fontId="6" fillId="0" borderId="15" xfId="0" applyFont="1" applyBorder="1"/>
    <xf numFmtId="0" fontId="18" fillId="0" borderId="15" xfId="0" applyFont="1" applyBorder="1" applyProtection="1">
      <protection locked="0"/>
    </xf>
    <xf numFmtId="0" fontId="0" fillId="0" borderId="15" xfId="0" applyBorder="1" applyProtection="1">
      <protection locked="0"/>
    </xf>
    <xf numFmtId="0" fontId="0" fillId="0" borderId="15" xfId="0" applyBorder="1"/>
    <xf numFmtId="0" fontId="11" fillId="8" borderId="16" xfId="0" applyFont="1" applyFill="1" applyBorder="1" applyAlignment="1">
      <alignment vertical="center" wrapText="1"/>
    </xf>
    <xf numFmtId="14" fontId="6" fillId="0" borderId="16" xfId="0" applyNumberFormat="1" applyFont="1" applyBorder="1" applyProtection="1">
      <protection locked="0"/>
    </xf>
    <xf numFmtId="16" fontId="0" fillId="0" borderId="16" xfId="0" applyNumberFormat="1" applyBorder="1" applyProtection="1">
      <protection locked="0"/>
    </xf>
    <xf numFmtId="0" fontId="0" fillId="0" borderId="16" xfId="0" applyBorder="1" applyProtection="1">
      <protection locked="0"/>
    </xf>
    <xf numFmtId="0" fontId="0" fillId="0" borderId="16" xfId="0" applyBorder="1"/>
    <xf numFmtId="0" fontId="0" fillId="0" borderId="12" xfId="0" applyBorder="1" applyProtection="1">
      <protection locked="0"/>
    </xf>
    <xf numFmtId="14" fontId="19" fillId="0" borderId="0" xfId="0" applyNumberFormat="1" applyFont="1" applyProtection="1">
      <protection locked="0"/>
    </xf>
    <xf numFmtId="14" fontId="18" fillId="0" borderId="15" xfId="0" applyNumberFormat="1" applyFont="1" applyBorder="1" applyProtection="1">
      <protection locked="0"/>
    </xf>
    <xf numFmtId="0" fontId="18" fillId="0" borderId="0" xfId="0" applyFont="1"/>
    <xf numFmtId="0" fontId="0" fillId="0" borderId="0" xfId="0" applyAlignment="1" applyProtection="1">
      <alignment wrapText="1"/>
      <protection locked="0"/>
    </xf>
    <xf numFmtId="0" fontId="20" fillId="17" borderId="0" xfId="0" applyFont="1" applyFill="1" applyProtection="1">
      <protection locked="0"/>
    </xf>
    <xf numFmtId="0" fontId="20" fillId="0" borderId="0" xfId="0" applyFont="1" applyProtection="1">
      <protection locked="0"/>
    </xf>
    <xf numFmtId="0" fontId="6" fillId="0" borderId="13" xfId="0" applyFont="1" applyBorder="1" applyAlignment="1" applyProtection="1">
      <alignment wrapText="1"/>
      <protection locked="0"/>
    </xf>
    <xf numFmtId="0" fontId="21" fillId="17" borderId="0" xfId="0" applyFont="1" applyFill="1" applyProtection="1">
      <protection locked="0"/>
    </xf>
    <xf numFmtId="0" fontId="22" fillId="17" borderId="0" xfId="0" applyFont="1" applyFill="1"/>
    <xf numFmtId="0" fontId="21" fillId="17" borderId="4" xfId="0" applyFont="1" applyFill="1" applyBorder="1" applyProtection="1">
      <protection locked="0"/>
    </xf>
    <xf numFmtId="14" fontId="21" fillId="17" borderId="5" xfId="0" applyNumberFormat="1" applyFont="1" applyFill="1" applyBorder="1"/>
    <xf numFmtId="0" fontId="21" fillId="17" borderId="14" xfId="0" applyFont="1" applyFill="1" applyBorder="1"/>
    <xf numFmtId="14" fontId="21" fillId="17" borderId="0" xfId="0" applyNumberFormat="1" applyFont="1" applyFill="1"/>
    <xf numFmtId="14" fontId="21" fillId="17" borderId="0" xfId="0" applyNumberFormat="1" applyFont="1" applyFill="1" applyProtection="1">
      <protection locked="0"/>
    </xf>
    <xf numFmtId="0" fontId="21" fillId="17" borderId="15" xfId="0" applyFont="1" applyFill="1" applyBorder="1" applyProtection="1">
      <protection locked="0"/>
    </xf>
    <xf numFmtId="14" fontId="21" fillId="17" borderId="16" xfId="0" applyNumberFormat="1" applyFont="1" applyFill="1" applyBorder="1" applyProtection="1">
      <protection locked="0"/>
    </xf>
    <xf numFmtId="14" fontId="23" fillId="17" borderId="0" xfId="0" applyNumberFormat="1" applyFont="1" applyFill="1"/>
    <xf numFmtId="14" fontId="21" fillId="17" borderId="8" xfId="0" applyNumberFormat="1" applyFont="1" applyFill="1" applyBorder="1"/>
    <xf numFmtId="0" fontId="21" fillId="17" borderId="9" xfId="0" applyFont="1" applyFill="1" applyBorder="1" applyProtection="1">
      <protection locked="0"/>
    </xf>
    <xf numFmtId="0" fontId="21" fillId="17" borderId="10" xfId="0" applyFont="1" applyFill="1" applyBorder="1" applyProtection="1">
      <protection locked="0"/>
    </xf>
    <xf numFmtId="0" fontId="21" fillId="17" borderId="11" xfId="0" applyFont="1" applyFill="1" applyBorder="1" applyProtection="1">
      <protection locked="0"/>
    </xf>
    <xf numFmtId="0" fontId="22" fillId="17" borderId="12" xfId="0" applyFont="1" applyFill="1" applyBorder="1" applyProtection="1">
      <protection locked="0"/>
    </xf>
    <xf numFmtId="0" fontId="21" fillId="17" borderId="13" xfId="0" applyFont="1" applyFill="1" applyBorder="1" applyProtection="1">
      <protection locked="0"/>
    </xf>
    <xf numFmtId="14" fontId="22" fillId="17" borderId="0" xfId="0" applyNumberFormat="1" applyFont="1" applyFill="1" applyProtection="1">
      <protection locked="0"/>
    </xf>
    <xf numFmtId="0" fontId="21" fillId="0" borderId="0" xfId="0" applyFont="1" applyProtection="1">
      <protection locked="0"/>
    </xf>
    <xf numFmtId="0" fontId="22" fillId="0" borderId="0" xfId="0" applyFont="1"/>
    <xf numFmtId="14" fontId="21" fillId="0" borderId="5" xfId="0" applyNumberFormat="1" applyFont="1" applyBorder="1"/>
    <xf numFmtId="0" fontId="21" fillId="0" borderId="14" xfId="0" applyFont="1" applyBorder="1"/>
    <xf numFmtId="14" fontId="21" fillId="0" borderId="0" xfId="0" applyNumberFormat="1" applyFont="1"/>
    <xf numFmtId="14" fontId="21" fillId="0" borderId="0" xfId="0" applyNumberFormat="1" applyFont="1" applyProtection="1">
      <protection locked="0"/>
    </xf>
    <xf numFmtId="0" fontId="21" fillId="0" borderId="15" xfId="0" applyFont="1" applyBorder="1" applyProtection="1">
      <protection locked="0"/>
    </xf>
    <xf numFmtId="14" fontId="21" fillId="0" borderId="16" xfId="0" applyNumberFormat="1" applyFont="1" applyBorder="1" applyProtection="1">
      <protection locked="0"/>
    </xf>
    <xf numFmtId="14" fontId="23" fillId="0" borderId="0" xfId="0" applyNumberFormat="1" applyFont="1"/>
    <xf numFmtId="14" fontId="21" fillId="0" borderId="8" xfId="0" applyNumberFormat="1" applyFont="1" applyBorder="1"/>
    <xf numFmtId="0" fontId="21" fillId="0" borderId="9" xfId="0" applyFont="1" applyBorder="1" applyProtection="1">
      <protection locked="0"/>
    </xf>
    <xf numFmtId="0" fontId="21" fillId="0" borderId="10" xfId="0" applyFont="1" applyBorder="1" applyProtection="1">
      <protection locked="0"/>
    </xf>
    <xf numFmtId="0" fontId="21" fillId="0" borderId="11" xfId="0" applyFont="1" applyBorder="1" applyProtection="1">
      <protection locked="0"/>
    </xf>
    <xf numFmtId="0" fontId="22" fillId="0" borderId="12" xfId="0" applyFont="1" applyBorder="1" applyProtection="1">
      <protection locked="0"/>
    </xf>
    <xf numFmtId="0" fontId="21" fillId="0" borderId="13" xfId="0" applyFont="1" applyBorder="1" applyProtection="1">
      <protection locked="0"/>
    </xf>
    <xf numFmtId="14" fontId="22" fillId="0" borderId="0" xfId="0" applyNumberFormat="1" applyFont="1" applyProtection="1">
      <protection locked="0"/>
    </xf>
    <xf numFmtId="0" fontId="19" fillId="0" borderId="0" xfId="0" applyFont="1"/>
    <xf numFmtId="14" fontId="6" fillId="18" borderId="0" xfId="0" applyNumberFormat="1" applyFont="1" applyFill="1"/>
    <xf numFmtId="14" fontId="6" fillId="18" borderId="0" xfId="0" applyNumberFormat="1" applyFont="1" applyFill="1" applyProtection="1">
      <protection locked="0"/>
    </xf>
    <xf numFmtId="0" fontId="25" fillId="0" borderId="0" xfId="0" applyFont="1" applyProtection="1">
      <protection locked="0"/>
    </xf>
    <xf numFmtId="0" fontId="25" fillId="0" borderId="0" xfId="0" applyFont="1"/>
    <xf numFmtId="14" fontId="24" fillId="0" borderId="5" xfId="0" applyNumberFormat="1" applyFont="1" applyBorder="1"/>
    <xf numFmtId="0" fontId="25" fillId="0" borderId="14" xfId="0" applyFont="1" applyBorder="1"/>
    <xf numFmtId="14" fontId="26" fillId="0" borderId="0" xfId="0" applyNumberFormat="1" applyFont="1" applyProtection="1">
      <protection locked="0"/>
    </xf>
    <xf numFmtId="16" fontId="25" fillId="0" borderId="0" xfId="0" applyNumberFormat="1" applyFont="1" applyProtection="1">
      <protection locked="0"/>
    </xf>
    <xf numFmtId="14" fontId="25" fillId="0" borderId="15" xfId="0" applyNumberFormat="1" applyFont="1" applyBorder="1" applyProtection="1">
      <protection locked="0"/>
    </xf>
    <xf numFmtId="16" fontId="25" fillId="0" borderId="16" xfId="0" applyNumberFormat="1" applyFont="1" applyBorder="1" applyProtection="1">
      <protection locked="0"/>
    </xf>
    <xf numFmtId="14" fontId="25" fillId="0" borderId="0" xfId="0" applyNumberFormat="1" applyFont="1" applyProtection="1">
      <protection locked="0"/>
    </xf>
    <xf numFmtId="14" fontId="25" fillId="0" borderId="0" xfId="0" applyNumberFormat="1" applyFont="1"/>
    <xf numFmtId="14" fontId="24" fillId="0" borderId="0" xfId="0" applyNumberFormat="1" applyFont="1" applyProtection="1">
      <protection locked="0"/>
    </xf>
    <xf numFmtId="0" fontId="27" fillId="0" borderId="0" xfId="0" applyFont="1" applyProtection="1">
      <protection locked="0"/>
    </xf>
    <xf numFmtId="0" fontId="27" fillId="0" borderId="0" xfId="0" applyFont="1"/>
    <xf numFmtId="14" fontId="28" fillId="0" borderId="5" xfId="0" applyNumberFormat="1" applyFont="1" applyBorder="1"/>
    <xf numFmtId="0" fontId="27" fillId="0" borderId="14" xfId="0" applyFont="1" applyBorder="1"/>
    <xf numFmtId="14" fontId="29" fillId="0" borderId="0" xfId="0" applyNumberFormat="1" applyFont="1" applyProtection="1">
      <protection locked="0"/>
    </xf>
    <xf numFmtId="16" fontId="27" fillId="0" borderId="0" xfId="0" applyNumberFormat="1" applyFont="1" applyProtection="1">
      <protection locked="0"/>
    </xf>
    <xf numFmtId="14" fontId="27" fillId="0" borderId="15" xfId="0" applyNumberFormat="1" applyFont="1" applyBorder="1" applyProtection="1">
      <protection locked="0"/>
    </xf>
    <xf numFmtId="16" fontId="27" fillId="0" borderId="16" xfId="0" applyNumberFormat="1" applyFont="1" applyBorder="1" applyProtection="1">
      <protection locked="0"/>
    </xf>
    <xf numFmtId="14" fontId="27" fillId="0" borderId="0" xfId="0" applyNumberFormat="1" applyFont="1" applyProtection="1">
      <protection locked="0"/>
    </xf>
    <xf numFmtId="14" fontId="27" fillId="0" borderId="0" xfId="0" applyNumberFormat="1" applyFont="1"/>
    <xf numFmtId="14" fontId="28" fillId="0" borderId="0" xfId="0" applyNumberFormat="1" applyFont="1" applyProtection="1">
      <protection locked="0"/>
    </xf>
    <xf numFmtId="14" fontId="30" fillId="0" borderId="0" xfId="0" applyNumberFormat="1" applyFont="1" applyProtection="1">
      <protection locked="0"/>
    </xf>
    <xf numFmtId="0" fontId="18" fillId="0" borderId="12" xfId="0" applyFont="1" applyBorder="1" applyProtection="1">
      <protection locked="0"/>
    </xf>
    <xf numFmtId="0" fontId="6" fillId="0" borderId="13" xfId="0" applyFont="1" applyBorder="1" applyAlignment="1" applyProtection="1">
      <alignment vertical="top"/>
      <protection locked="0"/>
    </xf>
    <xf numFmtId="0" fontId="31" fillId="0" borderId="0" xfId="0" applyFont="1"/>
    <xf numFmtId="0" fontId="34" fillId="20" borderId="0" xfId="0" applyFont="1" applyFill="1" applyAlignment="1">
      <alignment vertical="center"/>
    </xf>
    <xf numFmtId="0" fontId="35" fillId="20" borderId="0" xfId="0" applyFont="1" applyFill="1" applyAlignment="1">
      <alignment vertical="center"/>
    </xf>
    <xf numFmtId="0" fontId="38" fillId="20" borderId="0" xfId="0" applyFont="1" applyFill="1" applyAlignment="1">
      <alignment vertical="center"/>
    </xf>
    <xf numFmtId="0" fontId="39" fillId="20" borderId="0" xfId="0" applyFont="1" applyFill="1" applyAlignment="1">
      <alignment vertical="center"/>
    </xf>
    <xf numFmtId="0" fontId="34" fillId="21" borderId="0" xfId="0" applyFont="1" applyFill="1" applyAlignment="1">
      <alignment vertical="center"/>
    </xf>
    <xf numFmtId="0" fontId="34" fillId="21" borderId="17" xfId="0" applyFont="1" applyFill="1" applyBorder="1" applyAlignment="1">
      <alignment vertical="center"/>
    </xf>
    <xf numFmtId="0" fontId="34" fillId="21" borderId="18" xfId="0" applyFont="1" applyFill="1" applyBorder="1" applyAlignment="1">
      <alignment vertical="center"/>
    </xf>
    <xf numFmtId="0" fontId="34" fillId="21" borderId="19" xfId="0" applyFont="1" applyFill="1" applyBorder="1" applyAlignment="1">
      <alignment vertical="center"/>
    </xf>
    <xf numFmtId="0" fontId="34" fillId="21" borderId="20" xfId="0" applyFont="1" applyFill="1" applyBorder="1" applyAlignment="1">
      <alignment vertical="center"/>
    </xf>
    <xf numFmtId="0" fontId="34" fillId="21" borderId="21" xfId="0" applyFont="1" applyFill="1" applyBorder="1" applyAlignment="1">
      <alignment vertical="center"/>
    </xf>
    <xf numFmtId="0" fontId="34" fillId="21" borderId="22" xfId="0" applyFont="1" applyFill="1" applyBorder="1" applyAlignment="1">
      <alignment vertical="center"/>
    </xf>
    <xf numFmtId="0" fontId="34" fillId="21" borderId="24" xfId="0" applyFont="1" applyFill="1" applyBorder="1" applyAlignment="1">
      <alignment vertical="center"/>
    </xf>
    <xf numFmtId="0" fontId="44" fillId="20" borderId="0" xfId="0" applyFont="1" applyFill="1" applyAlignment="1">
      <alignment vertical="center"/>
    </xf>
    <xf numFmtId="0" fontId="34" fillId="21" borderId="40" xfId="0" applyFont="1" applyFill="1" applyBorder="1" applyAlignment="1">
      <alignment vertical="center"/>
    </xf>
    <xf numFmtId="0" fontId="45" fillId="21" borderId="17" xfId="0" applyFont="1" applyFill="1" applyBorder="1" applyAlignment="1">
      <alignment horizontal="right" wrapText="1"/>
    </xf>
    <xf numFmtId="0" fontId="46" fillId="21" borderId="20" xfId="0" applyFont="1" applyFill="1" applyBorder="1" applyAlignment="1">
      <alignment vertical="center" indent="1"/>
    </xf>
    <xf numFmtId="0" fontId="46" fillId="21" borderId="18" xfId="0" applyFont="1" applyFill="1" applyBorder="1" applyAlignment="1">
      <alignment vertical="center"/>
    </xf>
    <xf numFmtId="0" fontId="45" fillId="21" borderId="19" xfId="0" applyFont="1" applyFill="1" applyBorder="1" applyAlignment="1">
      <alignment wrapText="1" indent="1"/>
    </xf>
    <xf numFmtId="0" fontId="34" fillId="21" borderId="34" xfId="0" applyFont="1" applyFill="1" applyBorder="1" applyAlignment="1">
      <alignment vertical="center" indent="1"/>
    </xf>
    <xf numFmtId="164" fontId="34" fillId="21" borderId="35" xfId="0" applyNumberFormat="1" applyFont="1" applyFill="1" applyBorder="1" applyAlignment="1">
      <alignment horizontal="right" vertical="center"/>
    </xf>
    <xf numFmtId="165" fontId="38" fillId="21" borderId="35" xfId="0" applyNumberFormat="1" applyFont="1" applyFill="1" applyBorder="1" applyAlignment="1">
      <alignment horizontal="right" vertical="center"/>
    </xf>
    <xf numFmtId="0" fontId="34" fillId="21" borderId="44" xfId="0" applyFont="1" applyFill="1" applyBorder="1" applyAlignment="1">
      <alignment vertical="center" indent="1"/>
    </xf>
    <xf numFmtId="164" fontId="34" fillId="21" borderId="45" xfId="0" applyNumberFormat="1" applyFont="1" applyFill="1" applyBorder="1" applyAlignment="1">
      <alignment horizontal="right" vertical="center"/>
    </xf>
    <xf numFmtId="165" fontId="38" fillId="21" borderId="45" xfId="0" applyNumberFormat="1" applyFont="1" applyFill="1" applyBorder="1" applyAlignment="1">
      <alignment horizontal="right" vertical="center"/>
    </xf>
    <xf numFmtId="0" fontId="34" fillId="21" borderId="19" xfId="0" applyFont="1" applyFill="1" applyBorder="1" applyAlignment="1">
      <alignment vertical="center" indent="1"/>
    </xf>
    <xf numFmtId="164" fontId="34" fillId="21" borderId="17" xfId="0" applyNumberFormat="1" applyFont="1" applyFill="1" applyBorder="1" applyAlignment="1">
      <alignment horizontal="right" vertical="center"/>
    </xf>
    <xf numFmtId="165" fontId="38" fillId="21" borderId="17" xfId="0" applyNumberFormat="1" applyFont="1" applyFill="1" applyBorder="1" applyAlignment="1">
      <alignment horizontal="right" vertical="center"/>
    </xf>
    <xf numFmtId="164" fontId="46" fillId="21" borderId="18" xfId="0" applyNumberFormat="1" applyFont="1" applyFill="1" applyBorder="1" applyAlignment="1">
      <alignment horizontal="right" vertical="center"/>
    </xf>
    <xf numFmtId="0" fontId="45" fillId="21" borderId="42" xfId="0" applyFont="1" applyFill="1" applyBorder="1" applyAlignment="1">
      <alignment vertical="center"/>
    </xf>
    <xf numFmtId="0" fontId="45" fillId="21" borderId="43" xfId="0" applyFont="1" applyFill="1" applyBorder="1" applyAlignment="1">
      <alignment vertical="center"/>
    </xf>
    <xf numFmtId="0" fontId="45" fillId="21" borderId="41" xfId="0" applyFont="1" applyFill="1" applyBorder="1" applyAlignment="1">
      <alignment vertical="center" indent="1"/>
    </xf>
    <xf numFmtId="0" fontId="36" fillId="21" borderId="0" xfId="0" applyFont="1" applyFill="1" applyAlignment="1">
      <alignment vertical="center"/>
    </xf>
    <xf numFmtId="0" fontId="36" fillId="21" borderId="40" xfId="0" applyFont="1" applyFill="1" applyBorder="1" applyAlignment="1">
      <alignment vertical="center"/>
    </xf>
    <xf numFmtId="0" fontId="36" fillId="21" borderId="18" xfId="0" applyFont="1" applyFill="1" applyBorder="1" applyAlignment="1">
      <alignment vertical="center"/>
    </xf>
    <xf numFmtId="0" fontId="36" fillId="21" borderId="22" xfId="0" applyFont="1" applyFill="1" applyBorder="1" applyAlignment="1">
      <alignment vertical="center"/>
    </xf>
    <xf numFmtId="0" fontId="36" fillId="21" borderId="24" xfId="0" applyFont="1" applyFill="1" applyBorder="1" applyAlignment="1">
      <alignment vertical="center" indent="1"/>
    </xf>
    <xf numFmtId="0" fontId="36" fillId="21" borderId="20" xfId="0" applyFont="1" applyFill="1" applyBorder="1" applyAlignment="1">
      <alignment vertical="center" indent="1"/>
    </xf>
    <xf numFmtId="0" fontId="45" fillId="21" borderId="51" xfId="0" applyFont="1" applyFill="1" applyBorder="1" applyAlignment="1">
      <alignment wrapText="1"/>
    </xf>
    <xf numFmtId="0" fontId="45" fillId="21" borderId="51" xfId="0" applyFont="1" applyFill="1" applyBorder="1" applyAlignment="1">
      <alignment wrapText="1" indent="1"/>
    </xf>
    <xf numFmtId="0" fontId="45" fillId="21" borderId="51" xfId="0" applyFont="1" applyFill="1" applyBorder="1" applyAlignment="1">
      <alignment horizontal="right" wrapText="1"/>
    </xf>
    <xf numFmtId="0" fontId="36" fillId="21" borderId="0" xfId="0" quotePrefix="1" applyFont="1" applyFill="1" applyAlignment="1">
      <alignment vertical="center"/>
    </xf>
    <xf numFmtId="0" fontId="36" fillId="21" borderId="0" xfId="0" applyFont="1" applyFill="1" applyAlignment="1">
      <alignment vertical="center" indent="1"/>
    </xf>
    <xf numFmtId="165" fontId="36" fillId="21" borderId="0" xfId="0" applyNumberFormat="1" applyFont="1" applyFill="1" applyAlignment="1">
      <alignment horizontal="right" vertical="center"/>
    </xf>
    <xf numFmtId="164" fontId="36" fillId="21" borderId="0" xfId="0" applyNumberFormat="1" applyFont="1" applyFill="1" applyAlignment="1">
      <alignment horizontal="right" vertical="center"/>
    </xf>
    <xf numFmtId="0" fontId="49" fillId="19" borderId="0" xfId="0" applyFont="1" applyFill="1" applyProtection="1">
      <protection locked="0"/>
    </xf>
    <xf numFmtId="0" fontId="50" fillId="19" borderId="0" xfId="0" applyFont="1" applyFill="1"/>
    <xf numFmtId="0" fontId="49" fillId="19" borderId="4" xfId="0" applyFont="1" applyFill="1" applyBorder="1" applyProtection="1">
      <protection locked="0"/>
    </xf>
    <xf numFmtId="14" fontId="49" fillId="19" borderId="5" xfId="0" applyNumberFormat="1" applyFont="1" applyFill="1" applyBorder="1"/>
    <xf numFmtId="0" fontId="49" fillId="19" borderId="14" xfId="0" applyFont="1" applyFill="1" applyBorder="1"/>
    <xf numFmtId="14" fontId="49" fillId="19" borderId="0" xfId="0" applyNumberFormat="1" applyFont="1" applyFill="1"/>
    <xf numFmtId="14" fontId="49" fillId="19" borderId="0" xfId="0" applyNumberFormat="1" applyFont="1" applyFill="1" applyProtection="1">
      <protection locked="0"/>
    </xf>
    <xf numFmtId="0" fontId="49" fillId="19" borderId="15" xfId="0" applyFont="1" applyFill="1" applyBorder="1" applyProtection="1">
      <protection locked="0"/>
    </xf>
    <xf numFmtId="14" fontId="49" fillId="19" borderId="16" xfId="0" applyNumberFormat="1" applyFont="1" applyFill="1" applyBorder="1" applyProtection="1">
      <protection locked="0"/>
    </xf>
    <xf numFmtId="14" fontId="50" fillId="19" borderId="0" xfId="0" applyNumberFormat="1" applyFont="1" applyFill="1"/>
    <xf numFmtId="14" fontId="49" fillId="19" borderId="8" xfId="0" applyNumberFormat="1" applyFont="1" applyFill="1" applyBorder="1"/>
    <xf numFmtId="0" fontId="49" fillId="19" borderId="9" xfId="0" applyFont="1" applyFill="1" applyBorder="1" applyProtection="1">
      <protection locked="0"/>
    </xf>
    <xf numFmtId="0" fontId="49" fillId="19" borderId="10" xfId="0" applyFont="1" applyFill="1" applyBorder="1" applyProtection="1">
      <protection locked="0"/>
    </xf>
    <xf numFmtId="0" fontId="49" fillId="19" borderId="11" xfId="0" applyFont="1" applyFill="1" applyBorder="1" applyProtection="1">
      <protection locked="0"/>
    </xf>
    <xf numFmtId="0" fontId="50" fillId="19" borderId="12" xfId="0" applyFont="1" applyFill="1" applyBorder="1" applyProtection="1">
      <protection locked="0"/>
    </xf>
    <xf numFmtId="0" fontId="49" fillId="19" borderId="13" xfId="0" applyFont="1" applyFill="1" applyBorder="1" applyProtection="1">
      <protection locked="0"/>
    </xf>
    <xf numFmtId="14" fontId="50" fillId="19" borderId="0" xfId="0" applyNumberFormat="1" applyFont="1" applyFill="1" applyProtection="1">
      <protection locked="0"/>
    </xf>
    <xf numFmtId="0" fontId="49" fillId="0" borderId="0" xfId="0" applyFont="1" applyProtection="1">
      <protection locked="0"/>
    </xf>
    <xf numFmtId="0" fontId="50" fillId="0" borderId="0" xfId="0" applyFont="1"/>
    <xf numFmtId="0" fontId="49" fillId="0" borderId="4" xfId="0" applyFont="1" applyBorder="1" applyProtection="1">
      <protection locked="0"/>
    </xf>
    <xf numFmtId="14" fontId="49" fillId="0" borderId="5" xfId="0" applyNumberFormat="1" applyFont="1" applyBorder="1"/>
    <xf numFmtId="0" fontId="49" fillId="0" borderId="14" xfId="0" applyFont="1" applyBorder="1"/>
    <xf numFmtId="14" fontId="49" fillId="0" borderId="0" xfId="0" applyNumberFormat="1" applyFont="1"/>
    <xf numFmtId="14" fontId="49" fillId="0" borderId="0" xfId="0" applyNumberFormat="1" applyFont="1" applyProtection="1">
      <protection locked="0"/>
    </xf>
    <xf numFmtId="0" fontId="49" fillId="0" borderId="15" xfId="0" applyFont="1" applyBorder="1" applyProtection="1">
      <protection locked="0"/>
    </xf>
    <xf numFmtId="14" fontId="49" fillId="0" borderId="16" xfId="0" applyNumberFormat="1" applyFont="1" applyBorder="1" applyProtection="1">
      <protection locked="0"/>
    </xf>
    <xf numFmtId="14" fontId="50" fillId="0" borderId="0" xfId="0" applyNumberFormat="1" applyFont="1"/>
    <xf numFmtId="14" fontId="49" fillId="0" borderId="8" xfId="0" applyNumberFormat="1" applyFont="1" applyBorder="1"/>
    <xf numFmtId="0" fontId="49" fillId="0" borderId="9" xfId="0" applyFont="1" applyBorder="1" applyProtection="1">
      <protection locked="0"/>
    </xf>
    <xf numFmtId="0" fontId="49" fillId="0" borderId="10" xfId="0" applyFont="1" applyBorder="1" applyProtection="1">
      <protection locked="0"/>
    </xf>
    <xf numFmtId="0" fontId="49" fillId="0" borderId="11" xfId="0" applyFont="1" applyBorder="1" applyProtection="1">
      <protection locked="0"/>
    </xf>
    <xf numFmtId="0" fontId="50" fillId="0" borderId="12" xfId="0" applyFont="1" applyBorder="1" applyProtection="1">
      <protection locked="0"/>
    </xf>
    <xf numFmtId="0" fontId="49" fillId="0" borderId="13" xfId="0" applyFont="1" applyBorder="1" applyProtection="1">
      <protection locked="0"/>
    </xf>
    <xf numFmtId="14" fontId="50" fillId="0" borderId="0" xfId="0" applyNumberFormat="1" applyFont="1" applyProtection="1">
      <protection locked="0"/>
    </xf>
    <xf numFmtId="0" fontId="51" fillId="0" borderId="0" xfId="0" applyFont="1" applyProtection="1">
      <protection locked="0"/>
    </xf>
    <xf numFmtId="0" fontId="52" fillId="0" borderId="0" xfId="0" applyFont="1" applyProtection="1">
      <protection locked="0"/>
    </xf>
    <xf numFmtId="14" fontId="13" fillId="0" borderId="1" xfId="0" applyNumberFormat="1" applyFont="1" applyBorder="1" applyAlignment="1">
      <alignment vertical="center" wrapText="1"/>
    </xf>
    <xf numFmtId="0" fontId="13" fillId="0" borderId="1" xfId="0" applyFont="1" applyBorder="1" applyAlignment="1">
      <alignment vertical="center" wrapText="1"/>
    </xf>
    <xf numFmtId="0" fontId="45" fillId="21" borderId="18" xfId="0" applyFont="1" applyFill="1" applyBorder="1" applyAlignment="1">
      <alignment vertical="center" wrapText="1" indent="1"/>
    </xf>
    <xf numFmtId="0" fontId="45" fillId="21" borderId="18" xfId="0" applyFont="1" applyFill="1" applyBorder="1" applyAlignment="1">
      <alignment vertical="center" wrapText="1"/>
    </xf>
    <xf numFmtId="0" fontId="45" fillId="21" borderId="22" xfId="0" applyFont="1" applyFill="1" applyBorder="1" applyAlignment="1">
      <alignment vertical="center" wrapText="1"/>
    </xf>
    <xf numFmtId="0" fontId="37" fillId="20" borderId="0" xfId="0" applyFont="1" applyFill="1" applyAlignment="1">
      <alignment vertical="center"/>
    </xf>
    <xf numFmtId="0" fontId="0" fillId="0" borderId="19" xfId="0" applyBorder="1" applyAlignment="1">
      <alignment indent="1"/>
    </xf>
    <xf numFmtId="0" fontId="0" fillId="0" borderId="20" xfId="0" applyBorder="1" applyAlignment="1">
      <alignment indent="1"/>
    </xf>
    <xf numFmtId="0" fontId="47" fillId="21" borderId="17" xfId="0" applyFont="1" applyFill="1" applyBorder="1" applyAlignment="1">
      <alignment vertical="center"/>
    </xf>
    <xf numFmtId="0" fontId="48" fillId="21" borderId="48" xfId="0" applyFont="1" applyFill="1" applyBorder="1" applyAlignment="1">
      <alignment indent="1"/>
    </xf>
    <xf numFmtId="0" fontId="48" fillId="21" borderId="47" xfId="0" applyFont="1" applyFill="1" applyBorder="1" applyAlignment="1">
      <alignment indent="1"/>
    </xf>
    <xf numFmtId="0" fontId="48" fillId="21" borderId="49" xfId="0" applyFont="1" applyFill="1" applyBorder="1" applyAlignment="1">
      <alignment indent="1"/>
    </xf>
    <xf numFmtId="0" fontId="38" fillId="21" borderId="50" xfId="0" applyFont="1" applyFill="1" applyBorder="1" applyAlignment="1">
      <alignment vertical="center" indent="1"/>
    </xf>
    <xf numFmtId="0" fontId="38" fillId="21" borderId="18" xfId="0" applyFont="1" applyFill="1" applyBorder="1" applyAlignment="1">
      <alignment vertical="center" indent="1"/>
    </xf>
    <xf numFmtId="0" fontId="38" fillId="21" borderId="22" xfId="0" applyFont="1" applyFill="1" applyBorder="1" applyAlignment="1">
      <alignment vertical="center" indent="1"/>
    </xf>
    <xf numFmtId="0" fontId="42" fillId="21" borderId="17" xfId="0" applyFont="1" applyFill="1" applyBorder="1" applyAlignment="1">
      <alignment vertical="center" wrapText="1" indent="1"/>
    </xf>
    <xf numFmtId="0" fontId="42" fillId="21" borderId="17" xfId="0" applyFont="1" applyFill="1" applyBorder="1" applyAlignment="1">
      <alignment vertical="center" wrapText="1"/>
    </xf>
    <xf numFmtId="0" fontId="42" fillId="21" borderId="21" xfId="0" applyFont="1" applyFill="1" applyBorder="1" applyAlignment="1">
      <alignment vertical="center" wrapText="1"/>
    </xf>
    <xf numFmtId="0" fontId="42" fillId="21" borderId="45" xfId="0" applyFont="1" applyFill="1" applyBorder="1" applyAlignment="1">
      <alignment vertical="center" wrapText="1" indent="1"/>
    </xf>
    <xf numFmtId="0" fontId="42" fillId="21" borderId="45" xfId="0" applyFont="1" applyFill="1" applyBorder="1" applyAlignment="1">
      <alignment vertical="center" wrapText="1"/>
    </xf>
    <xf numFmtId="0" fontId="42" fillId="21" borderId="46" xfId="0" applyFont="1" applyFill="1" applyBorder="1" applyAlignment="1">
      <alignment vertical="center" wrapText="1"/>
    </xf>
    <xf numFmtId="0" fontId="45" fillId="21" borderId="17" xfId="0" applyFont="1" applyFill="1" applyBorder="1" applyAlignment="1">
      <alignment wrapText="1" indent="1"/>
    </xf>
    <xf numFmtId="0" fontId="45" fillId="21" borderId="17" xfId="0" applyFont="1" applyFill="1" applyBorder="1" applyAlignment="1">
      <alignment wrapText="1"/>
    </xf>
    <xf numFmtId="0" fontId="45" fillId="21" borderId="21" xfId="0" applyFont="1" applyFill="1" applyBorder="1" applyAlignment="1">
      <alignment wrapText="1"/>
    </xf>
    <xf numFmtId="0" fontId="42" fillId="21" borderId="35" xfId="0" applyFont="1" applyFill="1" applyBorder="1" applyAlignment="1">
      <alignment vertical="center" wrapText="1" indent="1"/>
    </xf>
    <xf numFmtId="0" fontId="42" fillId="21" borderId="35" xfId="0" applyFont="1" applyFill="1" applyBorder="1" applyAlignment="1">
      <alignment vertical="center" wrapText="1"/>
    </xf>
    <xf numFmtId="0" fontId="42" fillId="21" borderId="36" xfId="0" applyFont="1" applyFill="1" applyBorder="1" applyAlignment="1">
      <alignment vertical="center" wrapText="1"/>
    </xf>
    <xf numFmtId="0" fontId="37" fillId="20" borderId="0" xfId="0" applyFont="1" applyFill="1" applyAlignment="1">
      <alignment horizontal="right" vertical="center"/>
    </xf>
    <xf numFmtId="0" fontId="40" fillId="20" borderId="0" xfId="0" applyFont="1" applyFill="1" applyAlignment="1">
      <alignment vertical="center" indent="1"/>
    </xf>
    <xf numFmtId="0" fontId="41" fillId="21" borderId="23" xfId="0" applyFont="1" applyFill="1" applyBorder="1" applyAlignment="1">
      <alignment indent="1"/>
    </xf>
    <xf numFmtId="0" fontId="41" fillId="21" borderId="25" xfId="0" applyFont="1" applyFill="1" applyBorder="1" applyAlignment="1">
      <alignment indent="1"/>
    </xf>
    <xf numFmtId="0" fontId="42" fillId="21" borderId="20" xfId="0" applyFont="1" applyFill="1" applyBorder="1" applyAlignment="1">
      <alignment vertical="top" wrapText="1" indent="1"/>
    </xf>
    <xf numFmtId="0" fontId="42" fillId="21" borderId="18" xfId="0" applyFont="1" applyFill="1" applyBorder="1" applyAlignment="1">
      <alignment vertical="top" wrapText="1" indent="1"/>
    </xf>
    <xf numFmtId="0" fontId="41" fillId="21" borderId="26" xfId="0" applyFont="1" applyFill="1" applyBorder="1" applyAlignment="1">
      <alignment indent="1"/>
    </xf>
    <xf numFmtId="0" fontId="41" fillId="21" borderId="27" xfId="0" applyFont="1" applyFill="1" applyBorder="1" applyAlignment="1">
      <alignment indent="1"/>
    </xf>
    <xf numFmtId="0" fontId="41" fillId="21" borderId="28" xfId="0" applyFont="1" applyFill="1" applyBorder="1" applyAlignment="1">
      <alignment indent="1"/>
    </xf>
    <xf numFmtId="0" fontId="41" fillId="21" borderId="29" xfId="0" applyFont="1" applyFill="1" applyBorder="1" applyAlignment="1">
      <alignment indent="1"/>
    </xf>
    <xf numFmtId="0" fontId="41" fillId="21" borderId="30" xfId="0" applyFont="1" applyFill="1" applyBorder="1" applyAlignment="1">
      <alignment indent="1"/>
    </xf>
    <xf numFmtId="0" fontId="41" fillId="21" borderId="31" xfId="0" applyFont="1" applyFill="1" applyBorder="1" applyAlignment="1">
      <alignment indent="1"/>
    </xf>
    <xf numFmtId="0" fontId="41" fillId="21" borderId="32" xfId="0" applyFont="1" applyFill="1" applyBorder="1" applyAlignment="1">
      <alignment indent="1"/>
    </xf>
    <xf numFmtId="0" fontId="41" fillId="21" borderId="33" xfId="0" applyFont="1" applyFill="1" applyBorder="1" applyAlignment="1">
      <alignment indent="1"/>
    </xf>
    <xf numFmtId="0" fontId="43" fillId="21" borderId="37" xfId="0" applyFont="1" applyFill="1" applyBorder="1" applyAlignment="1">
      <alignment vertical="top" indent="1"/>
    </xf>
    <xf numFmtId="0" fontId="43" fillId="21" borderId="38" xfId="0" applyFont="1" applyFill="1" applyBorder="1" applyAlignment="1">
      <alignment vertical="top" indent="1"/>
    </xf>
    <xf numFmtId="0" fontId="43" fillId="21" borderId="39" xfId="0" applyFont="1" applyFill="1" applyBorder="1" applyAlignment="1">
      <alignment vertical="top" indent="1"/>
    </xf>
    <xf numFmtId="0" fontId="42" fillId="21" borderId="22" xfId="0" applyFont="1" applyFill="1" applyBorder="1" applyAlignment="1">
      <alignment vertical="top" wrapText="1" indent="1"/>
    </xf>
    <xf numFmtId="0" fontId="10" fillId="15" borderId="0" xfId="0" applyFont="1" applyFill="1" applyAlignment="1"/>
    <xf numFmtId="0" fontId="0" fillId="0" borderId="0" xfId="0" applyAlignment="1"/>
    <xf numFmtId="0" fontId="0" fillId="0" borderId="2" xfId="0" applyBorder="1" applyAlignment="1"/>
    <xf numFmtId="0" fontId="0" fillId="0" borderId="3" xfId="0" applyBorder="1" applyAlignment="1"/>
    <xf numFmtId="0" fontId="13" fillId="0" borderId="0" xfId="0" applyFont="1" applyAlignment="1"/>
    <xf numFmtId="0" fontId="3" fillId="3" borderId="0" xfId="0" applyFont="1" applyFill="1" applyAlignment="1"/>
    <xf numFmtId="0" fontId="1" fillId="3" borderId="0" xfId="0" applyFont="1" applyFill="1" applyAlignment="1"/>
  </cellXfs>
  <cellStyles count="2">
    <cellStyle name="Hyperlink" xfId="1" builtinId="8"/>
    <cellStyle name="Normal" xfId="0" builtinId="0"/>
  </cellStyles>
  <dxfs count="174">
    <dxf>
      <font>
        <b/>
        <i val="0"/>
        <color rgb="FFD03B3B"/>
      </font>
    </dxf>
    <dxf>
      <font>
        <b/>
        <i val="0"/>
        <color rgb="FFD03B3B"/>
      </font>
    </dxf>
    <dxf>
      <font>
        <b/>
        <i val="0"/>
        <color rgb="FF0CA30C"/>
      </font>
    </dxf>
    <dxf>
      <font>
        <b/>
        <i val="0"/>
        <color rgb="FFD03B3B"/>
      </font>
    </dxf>
    <dxf>
      <font>
        <b/>
        <i val="0"/>
      </font>
      <fill>
        <patternFill patternType="solid">
          <fgColor indexed="64"/>
          <bgColor rgb="FFE1F3E1"/>
        </patternFill>
      </fill>
    </dxf>
    <dxf>
      <font>
        <b/>
        <i val="0"/>
      </font>
      <fill>
        <patternFill patternType="solid">
          <fgColor indexed="64"/>
          <bgColor rgb="FFEEEDEA"/>
        </patternFill>
      </fill>
    </dxf>
    <dxf>
      <font>
        <b/>
        <i val="0"/>
      </font>
      <fill>
        <patternFill patternType="solid">
          <fgColor indexed="64"/>
          <bgColor rgb="FFEEF4FC"/>
        </patternFill>
      </fill>
    </dxf>
    <dxf>
      <font>
        <b/>
        <i val="0"/>
      </font>
      <fill>
        <patternFill patternType="solid">
          <fgColor indexed="64"/>
          <bgColor rgb="FFE8F1FC"/>
        </patternFill>
      </fill>
    </dxf>
    <dxf>
      <font>
        <b/>
        <i val="0"/>
      </font>
      <fill>
        <patternFill patternType="solid">
          <fgColor indexed="64"/>
          <bgColor rgb="FFE1ECFA"/>
        </patternFill>
      </fill>
    </dxf>
    <dxf>
      <font>
        <color rgb="FF8B1A1A"/>
      </font>
      <fill>
        <patternFill patternType="solid">
          <fgColor indexed="64"/>
          <bgColor rgb="FFFBE3E3"/>
        </patternFill>
      </fill>
    </dxf>
    <dxf>
      <font>
        <b/>
        <i val="0"/>
      </font>
      <fill>
        <patternFill patternType="solid">
          <fgColor indexed="64"/>
          <bgColor rgb="FFDCE5F1"/>
        </patternFill>
      </fill>
    </dxf>
    <dxf>
      <font>
        <color rgb="FF0A5A0A"/>
      </font>
      <fill>
        <patternFill patternType="solid">
          <fgColor indexed="64"/>
          <bgColor rgb="FFE1F3E1"/>
        </patternFill>
      </fill>
    </dxf>
    <dxf>
      <font>
        <color rgb="FF8A5A00"/>
      </font>
      <fill>
        <patternFill patternType="solid">
          <fgColor indexed="64"/>
          <bgColor rgb="FFFFF1D6"/>
        </patternFill>
      </fill>
    </dxf>
    <dxf>
      <font>
        <b/>
        <i val="0"/>
      </font>
      <fill>
        <patternFill patternType="solid">
          <fgColor indexed="64"/>
          <bgColor rgb="FFFBE3E3"/>
        </patternFill>
      </fill>
    </dxf>
    <dxf>
      <font>
        <b/>
        <i val="0"/>
      </font>
      <fill>
        <patternFill patternType="solid">
          <fgColor indexed="64"/>
          <bgColor rgb="FFFFF1D6"/>
        </patternFill>
      </fill>
    </dxf>
    <dxf>
      <fill>
        <patternFill patternType="solid">
          <fgColor indexed="64"/>
          <bgColor rgb="FFF9F9F7"/>
        </patternFill>
      </fill>
    </dxf>
    <dxf>
      <fill>
        <patternFill patternType="solid">
          <fgColor indexed="64"/>
          <bgColor rgb="FFF9F9F7"/>
        </patternFill>
      </fill>
    </dxf>
    <dxf>
      <numFmt numFmtId="19" formatCode="m/d/yyyy"/>
    </dxf>
    <dxf>
      <fill>
        <patternFill patternType="solid">
          <fgColor rgb="FFF2F5F8"/>
          <bgColor rgb="FFF2F5F8"/>
        </patternFill>
      </fill>
    </dxf>
    <dxf>
      <fill>
        <patternFill patternType="solid">
          <fgColor rgb="FFF2F5F8"/>
          <bgColor rgb="FFF2F5F8"/>
        </patternFill>
      </fill>
    </dxf>
    <dxf>
      <font>
        <color rgb="FF9C6500"/>
      </font>
      <fill>
        <patternFill patternType="solid">
          <fgColor rgb="FFFFE699"/>
          <bgColor rgb="FFFFE699"/>
        </patternFill>
      </fill>
    </dxf>
    <dxf>
      <font>
        <b/>
        <color rgb="FF375623"/>
      </font>
      <fill>
        <patternFill patternType="solid">
          <fgColor rgb="FFC6E0B4"/>
          <bgColor rgb="FFC6E0B4"/>
        </patternFill>
      </fill>
    </dxf>
    <dxf>
      <font>
        <b/>
        <color rgb="FF9C0006"/>
      </font>
      <fill>
        <patternFill patternType="solid">
          <fgColor rgb="FFF8CBAD"/>
          <bgColor rgb="FFF8CBAD"/>
        </patternFill>
      </fill>
    </dxf>
    <dxf>
      <font>
        <b/>
        <color rgb="FF9C0006"/>
      </font>
      <fill>
        <patternFill patternType="solid">
          <fgColor rgb="FFF8CBAD"/>
          <bgColor rgb="FFF8CBAD"/>
        </patternFill>
      </fill>
    </dxf>
    <dxf>
      <font>
        <b/>
        <color rgb="FF9C0006"/>
      </font>
      <fill>
        <patternFill patternType="solid">
          <fgColor rgb="FFF8CBAD"/>
          <bgColor rgb="FFF8CBAD"/>
        </patternFill>
      </fill>
    </dxf>
    <dxf>
      <font>
        <b/>
        <color rgb="FF9C0006"/>
      </font>
      <fill>
        <patternFill patternType="solid">
          <fgColor rgb="FFF8CBAD"/>
          <bgColor rgb="FFF8CBAD"/>
        </patternFill>
      </fill>
    </dxf>
    <dxf>
      <font>
        <color rgb="FF6B7280"/>
      </font>
      <fill>
        <patternFill patternType="solid">
          <fgColor rgb="FFE3E5E8"/>
          <bgColor rgb="FFE3E5E8"/>
        </patternFill>
      </fill>
    </dxf>
    <dxf>
      <font>
        <color rgb="FFB8BEC4"/>
      </font>
    </dxf>
    <dxf>
      <font>
        <color rgb="FF9C6500"/>
      </font>
      <fill>
        <patternFill patternType="solid">
          <fgColor rgb="FFFFE699"/>
          <bgColor rgb="FFFFE699"/>
        </patternFill>
      </fill>
    </dxf>
    <dxf>
      <font>
        <color rgb="FF1F4E78"/>
      </font>
      <fill>
        <patternFill patternType="solid">
          <fgColor rgb="FFDEEBF7"/>
          <bgColor rgb="FFDEEBF7"/>
        </patternFill>
      </fill>
    </dxf>
    <dxf>
      <font>
        <color rgb="FF375623"/>
      </font>
      <fill>
        <patternFill patternType="solid">
          <fgColor rgb="FFC6E0B4"/>
          <bgColor rgb="FFC6E0B4"/>
        </patternFill>
      </fill>
    </dxf>
    <dxf>
      <fill>
        <patternFill patternType="solid">
          <fgColor rgb="FFF2F5F8"/>
          <bgColor rgb="FFF2F5F8"/>
        </patternFill>
      </fill>
    </dxf>
    <dxf>
      <fill>
        <patternFill patternType="solid">
          <fgColor rgb="FFF2F5F8"/>
          <bgColor rgb="FFF2F5F8"/>
        </patternFill>
      </fill>
    </dxf>
    <dxf>
      <fill>
        <patternFill patternType="solid">
          <fgColor rgb="FFF2F5F8"/>
          <bgColor rgb="FFF2F5F8"/>
        </patternFill>
      </fill>
    </dxf>
    <dxf>
      <fill>
        <patternFill patternType="solid">
          <fgColor rgb="FFF2F5F8"/>
          <bgColor rgb="FFF2F5F8"/>
        </patternFill>
      </fill>
    </dxf>
    <dxf>
      <fill>
        <patternFill patternType="solid">
          <fgColor rgb="FFF2F5F8"/>
          <bgColor rgb="FFF2F5F8"/>
        </patternFill>
      </fill>
    </dxf>
    <dxf>
      <fill>
        <patternFill patternType="solid">
          <fgColor rgb="FFF2F5F8"/>
          <bgColor rgb="FFF2F5F8"/>
        </patternFill>
      </fill>
    </dxf>
    <dxf>
      <fill>
        <patternFill patternType="solid">
          <fgColor rgb="FFF2F5F8"/>
          <bgColor rgb="FFF2F5F8"/>
        </patternFill>
      </fill>
    </dxf>
    <dxf>
      <fill>
        <patternFill patternType="solid">
          <fgColor rgb="FFF2F5F8"/>
          <bgColor rgb="FFF2F5F8"/>
        </patternFill>
      </fill>
    </dxf>
    <dxf>
      <fill>
        <patternFill patternType="solid">
          <fgColor rgb="FFF2F5F8"/>
          <bgColor rgb="FFF2F5F8"/>
        </patternFill>
      </fill>
    </dxf>
    <dxf>
      <numFmt numFmtId="0" formatCode="General"/>
      <protection locked="0" hidden="0"/>
    </dxf>
    <dxf>
      <numFmt numFmtId="0" formatCode="General"/>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font>
        <b val="0"/>
        <i val="0"/>
        <strike val="0"/>
        <condense val="0"/>
        <extend val="0"/>
        <outline val="0"/>
        <shadow val="0"/>
        <u val="none"/>
        <vertAlign val="baseline"/>
        <sz val="11"/>
        <color auto="1"/>
        <name val="Calibri"/>
        <scheme val="none"/>
      </font>
      <numFmt numFmtId="19" formatCode="m/d/yyyy"/>
      <protection locked="0" hidden="0"/>
    </dxf>
    <dxf>
      <font>
        <strike val="0"/>
        <condense val="0"/>
        <extend val="0"/>
        <outline val="0"/>
        <shadow val="0"/>
        <vertAlign val="baseline"/>
        <sz val="11"/>
        <color auto="1"/>
        <name val="Calibri"/>
      </font>
      <numFmt numFmtId="19" formatCode="m/d/yyyy"/>
      <protection locked="0" hidden="0"/>
    </dxf>
    <dxf>
      <protection locked="1" hidden="0"/>
    </dxf>
    <dxf>
      <font>
        <b val="0"/>
        <i val="0"/>
        <strike val="0"/>
        <condense val="0"/>
        <extend val="0"/>
        <outline val="0"/>
        <shadow val="0"/>
        <u val="none"/>
        <vertAlign val="baseline"/>
        <sz val="11"/>
        <color auto="1"/>
        <name val="Calibri"/>
        <family val="2"/>
        <scheme val="none"/>
      </font>
      <numFmt numFmtId="19" formatCode="m/d/yyyy"/>
      <protection locked="0" hidden="0"/>
    </dxf>
    <dxf>
      <font>
        <color auto="1"/>
      </font>
      <numFmt numFmtId="19" formatCode="m/d/yyyy"/>
      <protection locked="0" hidden="0"/>
    </dxf>
    <dxf>
      <font>
        <color auto="1"/>
      </font>
      <numFmt numFmtId="19" formatCode="m/d/yyyy"/>
      <protection locked="0" hidden="0"/>
    </dxf>
    <dxf>
      <font>
        <strike val="0"/>
        <condense val="0"/>
        <extend val="0"/>
        <outline val="0"/>
        <shadow val="0"/>
        <vertAlign val="baseline"/>
        <sz val="11"/>
        <color auto="1"/>
        <name val="Calibri"/>
      </font>
      <numFmt numFmtId="19" formatCode="m/d/yyyy"/>
      <protection locked="0" hidden="0"/>
    </dxf>
    <dxf>
      <protection locked="1" hidden="0"/>
    </dxf>
    <dxf>
      <font>
        <color auto="1"/>
      </font>
      <numFmt numFmtId="19" formatCode="m/d/yyyy"/>
      <protection locked="0" hidden="0"/>
    </dxf>
    <dxf>
      <font>
        <b val="0"/>
        <i val="0"/>
        <strike val="0"/>
        <condense val="0"/>
        <extend val="0"/>
        <outline val="0"/>
        <shadow val="0"/>
        <u val="none"/>
        <vertAlign val="baseline"/>
        <sz val="11"/>
        <color auto="1"/>
        <name val="Calibri"/>
        <family val="2"/>
        <scheme val="none"/>
      </font>
      <numFmt numFmtId="19" formatCode="m/d/yyyy"/>
      <border diagonalUp="0" diagonalDown="0">
        <left/>
        <right style="thick">
          <color rgb="FF004C22"/>
        </right>
        <top/>
        <bottom/>
        <vertical/>
        <horizontal/>
      </border>
      <protection locked="0" hidden="0"/>
    </dxf>
    <dxf>
      <protection locked="0" hidden="0"/>
    </dxf>
    <dxf>
      <font>
        <strike val="0"/>
        <condense val="0"/>
        <extend val="0"/>
        <outline val="0"/>
        <shadow val="0"/>
        <vertAlign val="baseline"/>
        <sz val="11"/>
        <color auto="1"/>
        <name val="Calibri"/>
      </font>
      <numFmt numFmtId="19" formatCode="m/d/yyyy"/>
      <protection locked="0" hidden="0"/>
    </dxf>
    <dxf>
      <protection locked="1" hidden="0"/>
    </dxf>
    <dxf>
      <font>
        <color auto="1"/>
      </font>
      <numFmt numFmtId="19" formatCode="m/d/yyyy"/>
      <border diagonalUp="0" diagonalDown="0">
        <left style="thick">
          <color rgb="FF00B0F0"/>
        </left>
        <right/>
        <top/>
        <bottom/>
        <vertical/>
        <horizontal/>
      </border>
      <protection locked="0" hidden="0"/>
    </dxf>
    <dxf>
      <font>
        <b val="0"/>
        <i val="0"/>
        <strike val="0"/>
        <condense val="0"/>
        <extend val="0"/>
        <outline val="0"/>
        <shadow val="0"/>
        <u val="none"/>
        <vertAlign val="baseline"/>
        <sz val="11"/>
        <color auto="1"/>
        <name val="Calibri"/>
        <family val="2"/>
        <scheme val="none"/>
      </font>
      <numFmt numFmtId="19" formatCode="m/d/yyyy"/>
      <protection locked="0" hidden="0"/>
    </dxf>
    <dxf>
      <protection locked="0" hidden="0"/>
    </dxf>
    <dxf>
      <protection locked="0" hidden="0"/>
    </dxf>
    <dxf>
      <font>
        <strike val="0"/>
        <condense val="0"/>
        <extend val="0"/>
        <outline val="0"/>
        <shadow val="0"/>
        <vertAlign val="baseline"/>
        <sz val="11"/>
        <color auto="1"/>
        <name val="Calibri"/>
      </font>
      <numFmt numFmtId="19" formatCode="m/d/yyyy"/>
      <protection locked="0" hidden="0"/>
    </dxf>
    <dxf>
      <protection locked="1" hidden="0"/>
    </dxf>
    <dxf>
      <font>
        <color auto="1"/>
      </font>
      <protection locked="0" hidden="0"/>
    </dxf>
    <dxf>
      <border diagonalUp="0" diagonalDown="0">
        <left/>
        <right style="thick">
          <color rgb="FF00B0F0"/>
        </right>
        <top/>
        <bottom/>
        <vertical/>
        <horizontal/>
      </border>
      <protection locked="1" hidden="0"/>
    </dxf>
    <dxf>
      <protection locked="1" hidden="0"/>
    </dxf>
    <dxf>
      <protection locked="0" hidden="0"/>
    </dxf>
    <dxf>
      <protection locked="0" hidden="0"/>
    </dxf>
    <dxf>
      <protection locked="0" hidden="0"/>
    </dxf>
    <dxf>
      <numFmt numFmtId="0" formatCode="General"/>
      <protection locked="1" hidden="0"/>
    </dxf>
    <dxf>
      <protection locked="0" hidden="0"/>
    </dxf>
    <dxf>
      <protection locked="0" hidden="0"/>
    </dxf>
    <dxf>
      <protection locked="0" hidden="0"/>
    </dxf>
    <dxf>
      <protection locked="0" hidden="0"/>
    </dxf>
    <dxf>
      <font>
        <color rgb="FF9C0006"/>
      </font>
      <fill>
        <patternFill patternType="solid">
          <fgColor rgb="FFF8CBAD"/>
          <bgColor rgb="FFF8CBAD"/>
        </patternFill>
      </fill>
    </dxf>
    <dxf>
      <font>
        <color rgb="FF9C0006"/>
      </font>
      <fill>
        <patternFill patternType="solid">
          <fgColor rgb="FFF8CBAD"/>
          <bgColor rgb="FFF8CBAD"/>
        </patternFill>
      </fill>
    </dxf>
    <dxf>
      <font>
        <color rgb="FF9C0006"/>
      </font>
      <fill>
        <patternFill patternType="solid">
          <fgColor rgb="FFF8CBAD"/>
          <bgColor rgb="FFF8CBAD"/>
        </patternFill>
      </fill>
    </dxf>
    <dxf>
      <font>
        <color rgb="FF9C0006"/>
      </font>
      <fill>
        <patternFill patternType="solid">
          <fgColor rgb="FFF8CBAD"/>
          <bgColor rgb="FFF8CBAD"/>
        </patternFill>
      </fill>
    </dxf>
    <dxf>
      <font>
        <color rgb="FF9C0006"/>
      </font>
      <fill>
        <patternFill patternType="solid">
          <fgColor rgb="FFF8CBAD"/>
          <bgColor rgb="FFF8CBAD"/>
        </patternFill>
      </fill>
    </dxf>
    <dxf>
      <font>
        <color rgb="FF9C0006"/>
      </font>
      <fill>
        <patternFill patternType="solid">
          <fgColor rgb="FFF8CBAD"/>
          <bgColor rgb="FFF8CBAD"/>
        </patternFill>
      </fill>
    </dxf>
    <dxf>
      <font>
        <color rgb="FF9C0006"/>
      </font>
      <fill>
        <patternFill patternType="solid">
          <fgColor rgb="FFF8CBAD"/>
          <bgColor rgb="FFF8CBAD"/>
        </patternFill>
      </fill>
    </dxf>
    <dxf>
      <font>
        <color rgb="FF9C0006"/>
      </font>
      <fill>
        <patternFill patternType="solid">
          <fgColor rgb="FFF8CBAD"/>
          <bgColor rgb="FFF8CBAD"/>
        </patternFill>
      </fill>
    </dxf>
    <dxf>
      <font>
        <color rgb="FF9C0006"/>
      </font>
      <fill>
        <patternFill patternType="solid">
          <fgColor rgb="FFF8CBAD"/>
          <bgColor rgb="FFF8CBAD"/>
        </patternFill>
      </fill>
    </dxf>
    <dxf>
      <font>
        <color rgb="FF9C0006"/>
      </font>
      <fill>
        <patternFill patternType="solid">
          <fgColor rgb="FFF8CBAD"/>
          <bgColor rgb="FFF8CBAD"/>
        </patternFill>
      </fill>
    </dxf>
    <dxf>
      <font>
        <color rgb="FF9C0006"/>
      </font>
      <fill>
        <patternFill patternType="solid">
          <fgColor rgb="FFF8CBAD"/>
          <bgColor rgb="FFF8CBAD"/>
        </patternFill>
      </fill>
    </dxf>
    <dxf>
      <font>
        <color rgb="FF9C0006"/>
      </font>
      <fill>
        <patternFill patternType="solid">
          <fgColor rgb="FFF8CBAD"/>
          <bgColor rgb="FFF8CBAD"/>
        </patternFill>
      </fill>
    </dxf>
    <dxf>
      <font>
        <color rgb="FF9C0006"/>
      </font>
      <fill>
        <patternFill patternType="solid">
          <fgColor rgb="FFF8CBAD"/>
          <bgColor rgb="FFF8CBAD"/>
        </patternFill>
      </fill>
    </dxf>
    <dxf>
      <fill>
        <patternFill patternType="solid">
          <fgColor rgb="FFF2F5F8"/>
          <bgColor rgb="FFF2F5F8"/>
        </patternFill>
      </fill>
    </dxf>
    <dxf>
      <font>
        <b/>
        <color rgb="FF9C0006"/>
      </font>
      <fill>
        <patternFill patternType="solid">
          <fgColor rgb="FFF8CBAD"/>
          <bgColor rgb="FFF8CBAD"/>
        </patternFill>
      </fill>
    </dxf>
    <dxf>
      <font>
        <color rgb="FF9C6500"/>
      </font>
      <fill>
        <patternFill patternType="solid">
          <fgColor rgb="FFFFE699"/>
          <bgColor rgb="FFFFE699"/>
        </patternFill>
      </fill>
    </dxf>
    <dxf>
      <font>
        <b/>
        <color rgb="FF9C0006"/>
      </font>
      <fill>
        <patternFill patternType="solid">
          <fgColor rgb="FFF8CBAD"/>
          <bgColor rgb="FFF8CBAD"/>
        </patternFill>
      </fill>
    </dxf>
    <dxf>
      <font>
        <b/>
        <color rgb="FF9C0006"/>
      </font>
      <fill>
        <patternFill patternType="solid">
          <fgColor rgb="FFF8CBAD"/>
          <bgColor rgb="FFF8CBAD"/>
        </patternFill>
      </fill>
    </dxf>
    <dxf>
      <font>
        <b/>
        <color rgb="FF9C0006"/>
      </font>
      <fill>
        <patternFill patternType="solid">
          <fgColor rgb="FFF8CBAD"/>
          <bgColor rgb="FFF8CBAD"/>
        </patternFill>
      </fill>
    </dxf>
    <dxf>
      <font>
        <color rgb="FF9C0006"/>
      </font>
      <fill>
        <patternFill patternType="solid">
          <fgColor rgb="FFF8CBAD"/>
          <bgColor rgb="FFF8CBAD"/>
        </patternFill>
      </fill>
    </dxf>
    <dxf>
      <font>
        <b/>
        <color rgb="FF9C0006"/>
      </font>
      <fill>
        <patternFill patternType="solid">
          <fgColor rgb="FFF8CBAD"/>
          <bgColor rgb="FFF8CBAD"/>
        </patternFill>
      </fill>
    </dxf>
    <dxf>
      <font>
        <b/>
        <color rgb="FF9C0006"/>
      </font>
      <fill>
        <patternFill patternType="solid">
          <fgColor rgb="FFF8CBAD"/>
          <bgColor rgb="FFF8CBAD"/>
        </patternFill>
      </fill>
    </dxf>
    <dxf>
      <font>
        <b/>
        <color rgb="FF9C0006"/>
      </font>
      <fill>
        <patternFill patternType="solid">
          <fgColor rgb="FFF8CBAD"/>
          <bgColor rgb="FFF8CBAD"/>
        </patternFill>
      </fill>
    </dxf>
    <dxf>
      <font>
        <b/>
        <color rgb="FF9C0006"/>
      </font>
      <fill>
        <patternFill patternType="solid">
          <fgColor rgb="FFF8CBAD"/>
          <bgColor rgb="FFF8CBAD"/>
        </patternFill>
      </fill>
    </dxf>
    <dxf>
      <font>
        <color rgb="FF9C6500"/>
      </font>
      <fill>
        <patternFill patternType="solid">
          <fgColor rgb="FFFFE699"/>
          <bgColor rgb="FFFFE699"/>
        </patternFill>
      </fill>
    </dxf>
    <dxf>
      <font>
        <color rgb="FF9C0006"/>
      </font>
      <fill>
        <patternFill patternType="solid">
          <fgColor rgb="FFF8CBAD"/>
          <bgColor rgb="FFF8CBAD"/>
        </patternFill>
      </fill>
    </dxf>
    <dxf>
      <font>
        <color rgb="FF375623"/>
      </font>
      <fill>
        <patternFill patternType="solid">
          <fgColor rgb="FFC6E0B4"/>
          <bgColor rgb="FFC6E0B4"/>
        </patternFill>
      </fill>
    </dxf>
    <dxf>
      <font>
        <color rgb="FF9C6500"/>
      </font>
      <fill>
        <patternFill patternType="solid">
          <fgColor rgb="FFFFE699"/>
          <bgColor rgb="FFFFE699"/>
        </patternFill>
      </fill>
    </dxf>
    <dxf>
      <font>
        <b/>
        <color rgb="FF9C0006"/>
      </font>
      <fill>
        <patternFill patternType="solid">
          <fgColor rgb="FFF8CBAD"/>
          <bgColor rgb="FFF8CBAD"/>
        </patternFill>
      </fill>
    </dxf>
    <dxf>
      <font>
        <b/>
        <color rgb="FF9C0006"/>
      </font>
      <fill>
        <patternFill patternType="solid">
          <fgColor rgb="FFF8CBAD"/>
          <bgColor rgb="FFF8CBAD"/>
        </patternFill>
      </fill>
    </dxf>
    <dxf>
      <font>
        <b/>
        <color rgb="FF9C0006"/>
      </font>
      <fill>
        <patternFill patternType="solid">
          <fgColor rgb="FFF8CBAD"/>
          <bgColor rgb="FFF8CBAD"/>
        </patternFill>
      </fill>
    </dxf>
    <dxf>
      <font>
        <b/>
        <color rgb="FF9C0006"/>
      </font>
      <fill>
        <patternFill patternType="solid">
          <fgColor rgb="FFF8CBAD"/>
          <bgColor rgb="FFF8CBAD"/>
        </patternFill>
      </fill>
    </dxf>
    <dxf>
      <font>
        <color rgb="FF9C0006"/>
      </font>
      <fill>
        <patternFill patternType="solid">
          <fgColor rgb="FFF8CBAD"/>
          <bgColor rgb="FFF8CBAD"/>
        </patternFill>
      </fill>
    </dxf>
    <dxf>
      <font>
        <color rgb="FF9C0006"/>
      </font>
      <fill>
        <patternFill patternType="solid">
          <fgColor rgb="FFF8CBAD"/>
          <bgColor rgb="FFF8CBAD"/>
        </patternFill>
      </fill>
    </dxf>
    <dxf>
      <font>
        <color rgb="FF375623"/>
      </font>
      <fill>
        <patternFill patternType="solid">
          <fgColor rgb="FFC6E0B4"/>
          <bgColor rgb="FFC6E0B4"/>
        </patternFill>
      </fill>
    </dxf>
    <dxf>
      <font>
        <color rgb="FF9C0006"/>
      </font>
      <fill>
        <patternFill patternType="solid">
          <fgColor rgb="FFF8CBAD"/>
          <bgColor rgb="FFF8CBAD"/>
        </patternFill>
      </fill>
    </dxf>
    <dxf>
      <font>
        <color rgb="FF9C0006"/>
      </font>
      <fill>
        <patternFill patternType="solid">
          <fgColor rgb="FFF8CBAD"/>
          <bgColor rgb="FFF8CBAD"/>
        </patternFill>
      </fill>
    </dxf>
    <dxf>
      <font>
        <color rgb="FF9C0006"/>
      </font>
      <fill>
        <patternFill patternType="solid">
          <fgColor rgb="FFF8CBAD"/>
          <bgColor rgb="FFF8CBAD"/>
        </patternFill>
      </fill>
    </dxf>
    <dxf>
      <fill>
        <patternFill patternType="solid">
          <fgColor rgb="FFF2F5F8"/>
          <bgColor rgb="FFF2F5F8"/>
        </patternFill>
      </fill>
    </dxf>
    <dxf>
      <font>
        <color rgb="FF9C0006"/>
      </font>
      <fill>
        <patternFill patternType="solid">
          <fgColor rgb="FFF8CBAD"/>
          <bgColor rgb="FFF8CBAD"/>
        </patternFill>
      </fill>
    </dxf>
    <dxf>
      <font>
        <b/>
        <color rgb="FF9C0006"/>
      </font>
      <fill>
        <patternFill patternType="solid">
          <fgColor rgb="FFF8CBAD"/>
          <bgColor rgb="FFF8CBAD"/>
        </patternFill>
      </fill>
    </dxf>
    <dxf>
      <font>
        <b/>
        <color rgb="FF9C0006"/>
      </font>
      <fill>
        <patternFill patternType="solid">
          <fgColor rgb="FFF8CBAD"/>
          <bgColor rgb="FFF8CBAD"/>
        </patternFill>
      </fill>
    </dxf>
    <dxf>
      <font>
        <color rgb="FF9C6500"/>
      </font>
      <fill>
        <patternFill patternType="solid">
          <fgColor rgb="FFFFE699"/>
          <bgColor rgb="FFFFE699"/>
        </patternFill>
      </fill>
    </dxf>
    <dxf>
      <font>
        <b/>
        <color rgb="FF9C0006"/>
      </font>
      <fill>
        <patternFill patternType="solid">
          <fgColor rgb="FFF8CBAD"/>
          <bgColor rgb="FFF8CBAD"/>
        </patternFill>
      </fill>
    </dxf>
    <dxf>
      <font>
        <b/>
        <color rgb="FF9C0006"/>
      </font>
      <fill>
        <patternFill patternType="solid">
          <fgColor rgb="FFF8CBAD"/>
          <bgColor rgb="FFF8CBAD"/>
        </patternFill>
      </fill>
    </dxf>
    <dxf>
      <font>
        <color rgb="FF375623"/>
      </font>
      <fill>
        <patternFill patternType="solid">
          <fgColor rgb="FFC6E0B4"/>
          <bgColor rgb="FFC6E0B4"/>
        </patternFill>
      </fill>
    </dxf>
    <dxf>
      <font>
        <color rgb="FF9C0006"/>
      </font>
      <fill>
        <patternFill patternType="solid">
          <fgColor rgb="FFF8CBAD"/>
          <bgColor rgb="FFF8CBAD"/>
        </patternFill>
      </fill>
    </dxf>
    <dxf>
      <font>
        <color rgb="FF9C0006"/>
      </font>
      <fill>
        <patternFill patternType="solid">
          <fgColor rgb="FFF8CBAD"/>
          <bgColor rgb="FFF8CBAD"/>
        </patternFill>
      </fill>
    </dxf>
    <dxf>
      <font>
        <color rgb="FF375623"/>
      </font>
      <fill>
        <patternFill patternType="solid">
          <fgColor rgb="FFC6E0B4"/>
          <bgColor rgb="FFC6E0B4"/>
        </patternFill>
      </fill>
    </dxf>
    <dxf>
      <font>
        <color rgb="FF9C0006"/>
      </font>
      <fill>
        <patternFill patternType="solid">
          <fgColor rgb="FFF8CBAD"/>
          <bgColor rgb="FFF8CBAD"/>
        </patternFill>
      </fill>
    </dxf>
    <dxf>
      <font>
        <color rgb="FF9C0006"/>
      </font>
      <fill>
        <patternFill patternType="solid">
          <fgColor rgb="FFF8CBAD"/>
          <bgColor rgb="FFF8CBAD"/>
        </patternFill>
      </fill>
    </dxf>
    <dxf>
      <font>
        <color rgb="FF9C0006"/>
      </font>
      <fill>
        <patternFill patternType="solid">
          <fgColor rgb="FFF8CBAD"/>
          <bgColor rgb="FFF8CBAD"/>
        </patternFill>
      </fill>
    </dxf>
    <dxf>
      <font>
        <color rgb="FF9C0006"/>
      </font>
      <fill>
        <patternFill patternType="solid">
          <fgColor rgb="FFF8CBAD"/>
          <bgColor rgb="FFF8CBAD"/>
        </patternFill>
      </fill>
    </dxf>
    <dxf>
      <fill>
        <patternFill patternType="solid">
          <fgColor rgb="FFF2F5F8"/>
          <bgColor rgb="FFF2F5F8"/>
        </patternFill>
      </fill>
    </dxf>
    <dxf>
      <fill>
        <patternFill patternType="solid">
          <fgColor rgb="FFF2F5F8"/>
          <bgColor rgb="FFF2F5F8"/>
        </patternFill>
      </fill>
    </dxf>
    <dxf>
      <font>
        <color rgb="FF9C0006"/>
      </font>
      <fill>
        <patternFill patternType="solid">
          <fgColor rgb="FFF8CBAD"/>
          <bgColor rgb="FFF8CBAD"/>
        </patternFill>
      </fill>
    </dxf>
    <dxf>
      <fill>
        <patternFill patternType="solid">
          <fgColor rgb="FFF2F5F8"/>
          <bgColor rgb="FFF2F5F8"/>
        </patternFill>
      </fill>
    </dxf>
    <dxf>
      <font>
        <color rgb="FF9C0006"/>
      </font>
      <fill>
        <patternFill patternType="solid">
          <fgColor rgb="FFF8CBAD"/>
          <bgColor rgb="FFF8CBAD"/>
        </patternFill>
      </fill>
    </dxf>
    <dxf>
      <font>
        <color rgb="FF9C0006"/>
      </font>
      <fill>
        <patternFill patternType="solid">
          <fgColor rgb="FFF8CBAD"/>
          <bgColor rgb="FFF8CBAD"/>
        </patternFill>
      </fill>
    </dxf>
    <dxf>
      <font>
        <color rgb="FF9C0006"/>
      </font>
      <fill>
        <patternFill patternType="solid">
          <fgColor rgb="FFF8CBAD"/>
          <bgColor rgb="FFF8CBAD"/>
        </patternFill>
      </fill>
    </dxf>
    <dxf>
      <font>
        <color rgb="FF9C0006"/>
      </font>
      <fill>
        <patternFill patternType="solid">
          <fgColor rgb="FFF8CBAD"/>
          <bgColor rgb="FFF8CBAD"/>
        </patternFill>
      </fill>
    </dxf>
    <dxf>
      <font>
        <color rgb="FF9C0006"/>
      </font>
      <fill>
        <patternFill patternType="solid">
          <fgColor rgb="FFF8CBAD"/>
          <bgColor rgb="FFF8CBAD"/>
        </patternFill>
      </fill>
    </dxf>
    <dxf>
      <font>
        <color rgb="FF9C0006"/>
      </font>
      <fill>
        <patternFill patternType="solid">
          <fgColor rgb="FFF8CBAD"/>
          <bgColor rgb="FFF8CBAD"/>
        </patternFill>
      </fill>
    </dxf>
    <dxf>
      <font>
        <color rgb="FF9C0006"/>
      </font>
      <fill>
        <patternFill patternType="solid">
          <fgColor rgb="FFF8CBAD"/>
          <bgColor rgb="FFF8CBAD"/>
        </patternFill>
      </fill>
    </dxf>
    <dxf>
      <font>
        <color rgb="FF9C0006"/>
      </font>
      <fill>
        <patternFill patternType="solid">
          <fgColor rgb="FFF8CBAD"/>
          <bgColor rgb="FFF8CBAD"/>
        </patternFill>
      </fill>
    </dxf>
    <dxf>
      <font>
        <color rgb="FF9C0006"/>
      </font>
      <fill>
        <patternFill patternType="solid">
          <fgColor rgb="FFF8CBAD"/>
          <bgColor rgb="FFF8CBAD"/>
        </patternFill>
      </fill>
    </dxf>
    <dxf>
      <font>
        <color rgb="FF9C0006"/>
      </font>
      <fill>
        <patternFill patternType="solid">
          <fgColor rgb="FFF8CBAD"/>
          <bgColor rgb="FFF8CBAD"/>
        </patternFill>
      </fill>
    </dxf>
    <dxf>
      <font>
        <color rgb="FF9C0006"/>
      </font>
      <fill>
        <patternFill patternType="solid">
          <fgColor rgb="FFF8CBAD"/>
          <bgColor rgb="FFF8CBAD"/>
        </patternFill>
      </fill>
    </dxf>
    <dxf>
      <font>
        <color rgb="FF9C0006"/>
      </font>
      <fill>
        <patternFill patternType="solid">
          <fgColor rgb="FFF8CBAD"/>
          <bgColor rgb="FFF8CBAD"/>
        </patternFill>
      </fill>
    </dxf>
    <dxf>
      <font>
        <color rgb="FF9C0006"/>
      </font>
      <fill>
        <patternFill patternType="solid">
          <fgColor rgb="FFF8CBAD"/>
          <bgColor rgb="FFF8CBAD"/>
        </patternFill>
      </fill>
    </dxf>
    <dxf>
      <font>
        <color rgb="FF9C0006"/>
      </font>
      <fill>
        <patternFill patternType="solid">
          <fgColor rgb="FFF8CBAD"/>
          <bgColor rgb="FFF8CBAD"/>
        </patternFill>
      </fill>
    </dxf>
    <dxf>
      <font>
        <color rgb="FF9C0006"/>
      </font>
      <fill>
        <patternFill patternType="solid">
          <fgColor rgb="FFF8CBAD"/>
          <bgColor rgb="FFF8CBAD"/>
        </patternFill>
      </fill>
    </dxf>
    <dxf>
      <font>
        <color rgb="FF9C0006"/>
      </font>
      <fill>
        <patternFill patternType="solid">
          <fgColor rgb="FFF8CBAD"/>
          <bgColor rgb="FFF8CBAD"/>
        </patternFill>
      </fill>
    </dxf>
    <dxf>
      <font>
        <color rgb="FF9C0006"/>
      </font>
      <fill>
        <patternFill patternType="solid">
          <fgColor rgb="FFF8CBAD"/>
          <bgColor rgb="FFF8CBAD"/>
        </patternFill>
      </fill>
    </dxf>
    <dxf>
      <font>
        <color rgb="FF9C0006"/>
      </font>
      <fill>
        <patternFill patternType="solid">
          <fgColor rgb="FFF8CBAD"/>
          <bgColor rgb="FFF8CBAD"/>
        </patternFill>
      </fill>
    </dxf>
    <dxf>
      <font>
        <color rgb="FF9C0006"/>
      </font>
      <fill>
        <patternFill patternType="solid">
          <fgColor rgb="FFF8CBAD"/>
          <bgColor rgb="FFF8CBAD"/>
        </patternFill>
      </fill>
    </dxf>
    <dxf>
      <font>
        <color rgb="FF9C0006"/>
      </font>
      <fill>
        <patternFill patternType="solid">
          <fgColor rgb="FFF8CBAD"/>
          <bgColor rgb="FFF8CBAD"/>
        </patternFill>
      </fill>
    </dxf>
    <dxf>
      <font>
        <color rgb="FF9C0006"/>
      </font>
      <fill>
        <patternFill patternType="solid">
          <fgColor rgb="FFF8CBAD"/>
          <bgColor rgb="FFF8CBAD"/>
        </patternFill>
      </fill>
    </dxf>
    <dxf>
      <font>
        <color rgb="FF9C0006"/>
      </font>
      <fill>
        <patternFill patternType="solid">
          <fgColor rgb="FFF8CBAD"/>
          <bgColor rgb="FFF8CBAD"/>
        </patternFill>
      </fill>
    </dxf>
    <dxf>
      <fill>
        <patternFill patternType="solid">
          <fgColor rgb="FFF2F5F8"/>
          <bgColor rgb="FFF2F5F8"/>
        </patternFill>
      </fill>
    </dxf>
    <dxf>
      <font>
        <color rgb="FF9C0006"/>
      </font>
      <fill>
        <patternFill patternType="solid">
          <fgColor rgb="FFF8CBAD"/>
          <bgColor rgb="FFF8CBAD"/>
        </patternFill>
      </fill>
    </dxf>
    <dxf>
      <font>
        <color rgb="FF9C0006"/>
      </font>
      <fill>
        <patternFill patternType="solid">
          <fgColor rgb="FFF8CBAD"/>
          <bgColor rgb="FFF8CBAD"/>
        </patternFill>
      </fill>
    </dxf>
    <dxf>
      <fill>
        <patternFill patternType="solid">
          <fgColor rgb="FFF2F5F8"/>
          <bgColor rgb="FFF2F5F8"/>
        </patternFill>
      </fill>
    </dxf>
    <dxf>
      <font>
        <color rgb="FF9C0006"/>
      </font>
      <fill>
        <patternFill patternType="solid">
          <fgColor rgb="FFF8CBAD"/>
          <bgColor rgb="FFF8CBAD"/>
        </patternFill>
      </fill>
    </dxf>
    <dxf>
      <font>
        <color rgb="FF9C0006"/>
      </font>
      <fill>
        <patternFill patternType="solid">
          <fgColor rgb="FFF8CBAD"/>
          <bgColor rgb="FFF8CBAD"/>
        </patternFill>
      </fill>
    </dxf>
    <dxf>
      <fill>
        <patternFill patternType="solid">
          <fgColor rgb="FFF2F5F8"/>
          <bgColor rgb="FFF2F5F8"/>
        </patternFill>
      </fill>
    </dxf>
    <dxf>
      <font>
        <color rgb="FF375623"/>
      </font>
      <fill>
        <patternFill patternType="solid">
          <fgColor rgb="FFC6E0B4"/>
          <bgColor rgb="FFC6E0B4"/>
        </patternFill>
      </fill>
    </dxf>
    <dxf>
      <font>
        <color rgb="FF9C6500"/>
      </font>
      <fill>
        <patternFill patternType="solid">
          <fgColor rgb="FFFFE699"/>
          <bgColor rgb="FFFFE699"/>
        </patternFill>
      </fill>
    </dxf>
    <dxf>
      <font>
        <color rgb="FF9C6500"/>
      </font>
      <fill>
        <patternFill patternType="solid">
          <fgColor rgb="FFFFE699"/>
          <bgColor rgb="FFFFE699"/>
        </patternFill>
      </fill>
    </dxf>
    <dxf>
      <font>
        <color rgb="FF9C0006"/>
      </font>
      <fill>
        <patternFill patternType="solid">
          <fgColor rgb="FFF8CBAD"/>
          <bgColor rgb="FFF8CBAD"/>
        </patternFill>
      </fill>
    </dxf>
    <dxf>
      <font>
        <color rgb="FF9C0006"/>
      </font>
      <fill>
        <patternFill patternType="solid">
          <fgColor rgb="FFF8CBAD"/>
          <bgColor rgb="FFF8CBAD"/>
        </patternFill>
      </fill>
    </dxf>
    <dxf>
      <font>
        <color rgb="FF7A4100"/>
      </font>
      <fill>
        <patternFill patternType="solid">
          <fgColor indexed="64"/>
          <bgColor rgb="FFFFC97A"/>
        </patternFill>
      </fill>
    </dxf>
    <dxf>
      <fill>
        <patternFill patternType="solid">
          <fgColor rgb="FFF2F5F8"/>
          <bgColor rgb="FFF2F5F8"/>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9C6500"/>
      <rgbColor rgb="FF800080"/>
      <rgbColor rgb="FF006666"/>
      <rgbColor rgb="FFD9D9D9"/>
      <rgbColor rgb="FF555555"/>
      <rgbColor rgb="FF9999FF"/>
      <rgbColor rgb="FF993366"/>
      <rgbColor rgb="FFFFF8E1"/>
      <rgbColor rgb="FFD6EEEE"/>
      <rgbColor rgb="FF5B2C6F"/>
      <rgbColor rgb="FFFF8080"/>
      <rgbColor rgb="FF2E5C8A"/>
      <rgbColor rgb="FFBDD7EE"/>
      <rgbColor rgb="FF000080"/>
      <rgbColor rgb="FFFF00FF"/>
      <rgbColor rgb="FFFFFF00"/>
      <rgbColor rgb="FF00FFFF"/>
      <rgbColor rgb="FF800080"/>
      <rgbColor rgb="FF800000"/>
      <rgbColor rgb="FF008080"/>
      <rgbColor rgb="FF0000FF"/>
      <rgbColor rgb="FF00CCFF"/>
      <rgbColor rgb="FFD9E2F0"/>
      <rgbColor rgb="FFC6E0B4"/>
      <rgbColor rgb="FFFFE699"/>
      <rgbColor rgb="FFE2E2E2"/>
      <rgbColor rgb="FFFF99CC"/>
      <rgbColor rgb="FFE8DCEF"/>
      <rgbColor rgb="FFF8CBAD"/>
      <rgbColor rgb="FF3366FF"/>
      <rgbColor rgb="FF33CCCC"/>
      <rgbColor rgb="FF99CC00"/>
      <rgbColor rgb="FFFFCC00"/>
      <rgbColor rgb="FFFF9900"/>
      <rgbColor rgb="FFFF6600"/>
      <rgbColor rgb="FF666666"/>
      <rgbColor rgb="FF969696"/>
      <rgbColor rgb="FF003366"/>
      <rgbColor rgb="FF339966"/>
      <rgbColor rgb="FF003300"/>
      <rgbColor rgb="FF375623"/>
      <rgbColor rgb="FF993300"/>
      <rgbColor rgb="FF993366"/>
      <rgbColor rgb="FF1F4E78"/>
      <rgbColor rgb="FF4A4A4A"/>
      <rgbColor rgb="00003366"/>
      <rgbColor rgb="00339966"/>
      <rgbColor rgb="00003300"/>
      <rgbColor rgb="00333300"/>
      <rgbColor rgb="00993300"/>
      <rgbColor rgb="00993366"/>
      <rgbColor rgb="00333399"/>
      <rgbColor rgb="00333333"/>
    </indexedColors>
    <mruColors>
      <color rgb="FF999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theme" Target="theme/theme1.xml"/><Relationship Id="rId19"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tx>
            <c:strRef>
              <c:f>Dashboard!$C$11</c:f>
              <c:strCache>
                <c:ptCount val="1"/>
                <c:pt idx="0">
                  <c:v>Waiting for release</c:v>
                </c:pt>
              </c:strCache>
            </c:strRef>
          </c:tx>
          <c:spPr>
            <a:solidFill>
              <a:srgbClr val="E89B0C"/>
            </a:solidFill>
            <a:ln w="19050" cap="flat" cmpd="sng" algn="ctr">
              <a:solidFill>
                <a:srgbClr val="FFFFFF"/>
              </a:solidFill>
              <a:prstDash val="solid"/>
              <a:round/>
              <a:headEnd type="none" w="med" len="med"/>
              <a:tailEnd type="none" w="med" len="med"/>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B0B0B"/>
                    </a:solidFill>
                    <a:latin typeface="Segoe UI"/>
                    <a:ea typeface="Segoe UI"/>
                    <a:cs typeface="Segoe UI"/>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Dashboard!$B$12:$B$16</c:f>
              <c:strCache>
                <c:ptCount val="5"/>
                <c:pt idx="0">
                  <c:v>July</c:v>
                </c:pt>
                <c:pt idx="1">
                  <c:v>August</c:v>
                </c:pt>
                <c:pt idx="2">
                  <c:v>September</c:v>
                </c:pt>
                <c:pt idx="3">
                  <c:v>October</c:v>
                </c:pt>
                <c:pt idx="4">
                  <c:v>November</c:v>
                </c:pt>
              </c:strCache>
            </c:strRef>
          </c:cat>
          <c:val>
            <c:numRef>
              <c:f>Dashboard!$C$12:$C$16</c:f>
              <c:numCache>
                <c:formatCode>0;\-0;;@</c:formatCode>
                <c:ptCount val="5"/>
                <c:pt idx="0">
                  <c:v>14</c:v>
                </c:pt>
                <c:pt idx="1">
                  <c:v>11</c:v>
                </c:pt>
                <c:pt idx="2">
                  <c:v>2</c:v>
                </c:pt>
                <c:pt idx="3">
                  <c:v>0</c:v>
                </c:pt>
                <c:pt idx="4">
                  <c:v>0</c:v>
                </c:pt>
              </c:numCache>
            </c:numRef>
          </c:val>
          <c:extLst>
            <c:ext xmlns:c16="http://schemas.microsoft.com/office/drawing/2014/chart" uri="{C3380CC4-5D6E-409C-BE32-E72D297353CC}">
              <c16:uniqueId val="{00000000-C240-48D6-9342-F454469A5CE7}"/>
            </c:ext>
          </c:extLst>
        </c:ser>
        <c:ser>
          <c:idx val="1"/>
          <c:order val="1"/>
          <c:tx>
            <c:strRef>
              <c:f>Dashboard!$D$11</c:f>
              <c:strCache>
                <c:ptCount val="1"/>
                <c:pt idx="0">
                  <c:v>Blocked in build/QA</c:v>
                </c:pt>
              </c:strCache>
            </c:strRef>
          </c:tx>
          <c:spPr>
            <a:solidFill>
              <a:srgbClr val="D03B3B"/>
            </a:solidFill>
            <a:ln w="19050" cap="flat" cmpd="sng" algn="ctr">
              <a:solidFill>
                <a:srgbClr val="FFFFFF"/>
              </a:solidFill>
              <a:prstDash val="solid"/>
              <a:round/>
              <a:headEnd type="none" w="med" len="med"/>
              <a:tailEnd type="none" w="med" len="med"/>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Segoe UI"/>
                    <a:ea typeface="Segoe UI"/>
                    <a:cs typeface="Segoe UI"/>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Dashboard!$B$12:$B$16</c:f>
              <c:strCache>
                <c:ptCount val="5"/>
                <c:pt idx="0">
                  <c:v>July</c:v>
                </c:pt>
                <c:pt idx="1">
                  <c:v>August</c:v>
                </c:pt>
                <c:pt idx="2">
                  <c:v>September</c:v>
                </c:pt>
                <c:pt idx="3">
                  <c:v>October</c:v>
                </c:pt>
                <c:pt idx="4">
                  <c:v>November</c:v>
                </c:pt>
              </c:strCache>
            </c:strRef>
          </c:cat>
          <c:val>
            <c:numRef>
              <c:f>Dashboard!$D$12:$D$16</c:f>
              <c:numCache>
                <c:formatCode>0;\-0;;@</c:formatCode>
                <c:ptCount val="5"/>
                <c:pt idx="0">
                  <c:v>0</c:v>
                </c:pt>
                <c:pt idx="1">
                  <c:v>0</c:v>
                </c:pt>
                <c:pt idx="2">
                  <c:v>2</c:v>
                </c:pt>
                <c:pt idx="3">
                  <c:v>1</c:v>
                </c:pt>
                <c:pt idx="4">
                  <c:v>0</c:v>
                </c:pt>
              </c:numCache>
            </c:numRef>
          </c:val>
          <c:extLst>
            <c:ext xmlns:c16="http://schemas.microsoft.com/office/drawing/2014/chart" uri="{C3380CC4-5D6E-409C-BE32-E72D297353CC}">
              <c16:uniqueId val="{00000002-C240-48D6-9342-F454469A5CE7}"/>
            </c:ext>
          </c:extLst>
        </c:ser>
        <c:ser>
          <c:idx val="2"/>
          <c:order val="2"/>
          <c:tx>
            <c:strRef>
              <c:f>Dashboard!$E$11</c:f>
              <c:strCache>
                <c:ptCount val="1"/>
                <c:pt idx="0">
                  <c:v>DPO Approval</c:v>
                </c:pt>
              </c:strCache>
            </c:strRef>
          </c:tx>
          <c:spPr>
            <a:solidFill>
              <a:srgbClr val="0D366B"/>
            </a:solidFill>
            <a:ln w="19050" cap="flat" cmpd="sng" algn="ctr">
              <a:solidFill>
                <a:srgbClr val="FFFFFF"/>
              </a:solidFill>
              <a:prstDash val="solid"/>
              <a:round/>
              <a:headEnd type="none" w="med" len="med"/>
              <a:tailEnd type="none" w="med" len="med"/>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Segoe UI"/>
                    <a:ea typeface="Segoe UI"/>
                    <a:cs typeface="Segoe UI"/>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Dashboard!$B$12:$B$16</c:f>
              <c:strCache>
                <c:ptCount val="5"/>
                <c:pt idx="0">
                  <c:v>July</c:v>
                </c:pt>
                <c:pt idx="1">
                  <c:v>August</c:v>
                </c:pt>
                <c:pt idx="2">
                  <c:v>September</c:v>
                </c:pt>
                <c:pt idx="3">
                  <c:v>October</c:v>
                </c:pt>
                <c:pt idx="4">
                  <c:v>November</c:v>
                </c:pt>
              </c:strCache>
            </c:strRef>
          </c:cat>
          <c:val>
            <c:numRef>
              <c:f>Dashboard!$E$12:$E$16</c:f>
              <c:numCache>
                <c:formatCode>0;\-0;;@</c:formatCode>
                <c:ptCount val="5"/>
                <c:pt idx="0">
                  <c:v>0</c:v>
                </c:pt>
                <c:pt idx="1">
                  <c:v>1</c:v>
                </c:pt>
                <c:pt idx="2">
                  <c:v>6</c:v>
                </c:pt>
                <c:pt idx="3">
                  <c:v>1</c:v>
                </c:pt>
                <c:pt idx="4">
                  <c:v>0</c:v>
                </c:pt>
              </c:numCache>
            </c:numRef>
          </c:val>
          <c:extLst>
            <c:ext xmlns:c16="http://schemas.microsoft.com/office/drawing/2014/chart" uri="{C3380CC4-5D6E-409C-BE32-E72D297353CC}">
              <c16:uniqueId val="{00000004-C240-48D6-9342-F454469A5CE7}"/>
            </c:ext>
          </c:extLst>
        </c:ser>
        <c:ser>
          <c:idx val="3"/>
          <c:order val="3"/>
          <c:tx>
            <c:strRef>
              <c:f>Dashboard!$F$11</c:f>
              <c:strCache>
                <c:ptCount val="1"/>
                <c:pt idx="0">
                  <c:v>QA</c:v>
                </c:pt>
              </c:strCache>
            </c:strRef>
          </c:tx>
          <c:spPr>
            <a:solidFill>
              <a:srgbClr val="256ABF"/>
            </a:solidFill>
            <a:ln w="19050" cap="flat" cmpd="sng" algn="ctr">
              <a:solidFill>
                <a:srgbClr val="FFFFFF"/>
              </a:solidFill>
              <a:prstDash val="solid"/>
              <a:round/>
              <a:headEnd type="none" w="med" len="med"/>
              <a:tailEnd type="none" w="med" len="med"/>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Segoe UI"/>
                    <a:ea typeface="Segoe UI"/>
                    <a:cs typeface="Segoe UI"/>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Dashboard!$B$12:$B$16</c:f>
              <c:strCache>
                <c:ptCount val="5"/>
                <c:pt idx="0">
                  <c:v>July</c:v>
                </c:pt>
                <c:pt idx="1">
                  <c:v>August</c:v>
                </c:pt>
                <c:pt idx="2">
                  <c:v>September</c:v>
                </c:pt>
                <c:pt idx="3">
                  <c:v>October</c:v>
                </c:pt>
                <c:pt idx="4">
                  <c:v>November</c:v>
                </c:pt>
              </c:strCache>
            </c:strRef>
          </c:cat>
          <c:val>
            <c:numRef>
              <c:f>Dashboard!$F$12:$F$16</c:f>
              <c:numCache>
                <c:formatCode>0;\-0;;@</c:formatCode>
                <c:ptCount val="5"/>
                <c:pt idx="0">
                  <c:v>0</c:v>
                </c:pt>
                <c:pt idx="1">
                  <c:v>0</c:v>
                </c:pt>
                <c:pt idx="2">
                  <c:v>3</c:v>
                </c:pt>
                <c:pt idx="3">
                  <c:v>5</c:v>
                </c:pt>
                <c:pt idx="4">
                  <c:v>0</c:v>
                </c:pt>
              </c:numCache>
            </c:numRef>
          </c:val>
          <c:extLst>
            <c:ext xmlns:c16="http://schemas.microsoft.com/office/drawing/2014/chart" uri="{C3380CC4-5D6E-409C-BE32-E72D297353CC}">
              <c16:uniqueId val="{00000006-C240-48D6-9342-F454469A5CE7}"/>
            </c:ext>
          </c:extLst>
        </c:ser>
        <c:ser>
          <c:idx val="4"/>
          <c:order val="4"/>
          <c:tx>
            <c:strRef>
              <c:f>Dashboard!$G$11</c:f>
              <c:strCache>
                <c:ptCount val="1"/>
                <c:pt idx="0">
                  <c:v>PBI Dev</c:v>
                </c:pt>
              </c:strCache>
            </c:strRef>
          </c:tx>
          <c:spPr>
            <a:solidFill>
              <a:srgbClr val="5598E7"/>
            </a:solidFill>
            <a:ln w="19050" cap="flat" cmpd="sng" algn="ctr">
              <a:solidFill>
                <a:srgbClr val="FFFFFF"/>
              </a:solidFill>
              <a:prstDash val="solid"/>
              <a:round/>
              <a:headEnd type="none" w="med" len="med"/>
              <a:tailEnd type="none" w="med" len="med"/>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Segoe UI"/>
                    <a:ea typeface="Segoe UI"/>
                    <a:cs typeface="Segoe UI"/>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Dashboard!$B$12:$B$16</c:f>
              <c:strCache>
                <c:ptCount val="5"/>
                <c:pt idx="0">
                  <c:v>July</c:v>
                </c:pt>
                <c:pt idx="1">
                  <c:v>August</c:v>
                </c:pt>
                <c:pt idx="2">
                  <c:v>September</c:v>
                </c:pt>
                <c:pt idx="3">
                  <c:v>October</c:v>
                </c:pt>
                <c:pt idx="4">
                  <c:v>November</c:v>
                </c:pt>
              </c:strCache>
            </c:strRef>
          </c:cat>
          <c:val>
            <c:numRef>
              <c:f>Dashboard!$G$12:$G$16</c:f>
              <c:numCache>
                <c:formatCode>0;\-0;;@</c:formatCode>
                <c:ptCount val="5"/>
                <c:pt idx="0">
                  <c:v>0</c:v>
                </c:pt>
                <c:pt idx="1">
                  <c:v>0</c:v>
                </c:pt>
                <c:pt idx="2">
                  <c:v>2</c:v>
                </c:pt>
                <c:pt idx="3">
                  <c:v>2</c:v>
                </c:pt>
                <c:pt idx="4">
                  <c:v>4</c:v>
                </c:pt>
              </c:numCache>
            </c:numRef>
          </c:val>
          <c:extLst>
            <c:ext xmlns:c16="http://schemas.microsoft.com/office/drawing/2014/chart" uri="{C3380CC4-5D6E-409C-BE32-E72D297353CC}">
              <c16:uniqueId val="{00000008-C240-48D6-9342-F454469A5CE7}"/>
            </c:ext>
          </c:extLst>
        </c:ser>
        <c:ser>
          <c:idx val="5"/>
          <c:order val="5"/>
          <c:tx>
            <c:strRef>
              <c:f>Dashboard!$H$11</c:f>
              <c:strCache>
                <c:ptCount val="1"/>
                <c:pt idx="0">
                  <c:v>DB Dev</c:v>
                </c:pt>
              </c:strCache>
            </c:strRef>
          </c:tx>
          <c:spPr>
            <a:solidFill>
              <a:srgbClr val="86B6EF"/>
            </a:solidFill>
            <a:ln w="19050" cap="flat" cmpd="sng" algn="ctr">
              <a:solidFill>
                <a:srgbClr val="FFFFFF"/>
              </a:solidFill>
              <a:prstDash val="solid"/>
              <a:round/>
              <a:headEnd type="none" w="med" len="med"/>
              <a:tailEnd type="none" w="med" len="med"/>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B0B0B"/>
                    </a:solidFill>
                    <a:latin typeface="Segoe UI"/>
                    <a:ea typeface="Segoe UI"/>
                    <a:cs typeface="Segoe UI"/>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Dashboard!$B$12:$B$16</c:f>
              <c:strCache>
                <c:ptCount val="5"/>
                <c:pt idx="0">
                  <c:v>July</c:v>
                </c:pt>
                <c:pt idx="1">
                  <c:v>August</c:v>
                </c:pt>
                <c:pt idx="2">
                  <c:v>September</c:v>
                </c:pt>
                <c:pt idx="3">
                  <c:v>October</c:v>
                </c:pt>
                <c:pt idx="4">
                  <c:v>November</c:v>
                </c:pt>
              </c:strCache>
            </c:strRef>
          </c:cat>
          <c:val>
            <c:numRef>
              <c:f>Dashboard!$H$12:$H$16</c:f>
              <c:numCache>
                <c:formatCode>0;\-0;;@</c:formatCode>
                <c:ptCount val="5"/>
                <c:pt idx="0">
                  <c:v>0</c:v>
                </c:pt>
                <c:pt idx="1">
                  <c:v>0</c:v>
                </c:pt>
                <c:pt idx="2">
                  <c:v>0</c:v>
                </c:pt>
                <c:pt idx="3">
                  <c:v>1</c:v>
                </c:pt>
                <c:pt idx="4">
                  <c:v>3</c:v>
                </c:pt>
              </c:numCache>
            </c:numRef>
          </c:val>
          <c:extLst>
            <c:ext xmlns:c16="http://schemas.microsoft.com/office/drawing/2014/chart" uri="{C3380CC4-5D6E-409C-BE32-E72D297353CC}">
              <c16:uniqueId val="{0000000A-C240-48D6-9342-F454469A5CE7}"/>
            </c:ext>
          </c:extLst>
        </c:ser>
        <c:ser>
          <c:idx val="6"/>
          <c:order val="6"/>
          <c:tx>
            <c:strRef>
              <c:f>Dashboard!$I$11</c:f>
              <c:strCache>
                <c:ptCount val="1"/>
                <c:pt idx="0">
                  <c:v>Not started</c:v>
                </c:pt>
              </c:strCache>
            </c:strRef>
          </c:tx>
          <c:spPr>
            <a:solidFill>
              <a:srgbClr val="BDBBB3"/>
            </a:solidFill>
            <a:ln w="19050" cap="flat" cmpd="sng" algn="ctr">
              <a:solidFill>
                <a:srgbClr val="FFFFFF"/>
              </a:solidFill>
              <a:prstDash val="solid"/>
              <a:round/>
              <a:headEnd type="none" w="med" len="med"/>
              <a:tailEnd type="none" w="med" len="med"/>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B0B0B"/>
                    </a:solidFill>
                    <a:latin typeface="Segoe UI"/>
                    <a:ea typeface="Segoe UI"/>
                    <a:cs typeface="Segoe UI"/>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Dashboard!$B$12:$B$16</c:f>
              <c:strCache>
                <c:ptCount val="5"/>
                <c:pt idx="0">
                  <c:v>July</c:v>
                </c:pt>
                <c:pt idx="1">
                  <c:v>August</c:v>
                </c:pt>
                <c:pt idx="2">
                  <c:v>September</c:v>
                </c:pt>
                <c:pt idx="3">
                  <c:v>October</c:v>
                </c:pt>
                <c:pt idx="4">
                  <c:v>November</c:v>
                </c:pt>
              </c:strCache>
            </c:strRef>
          </c:cat>
          <c:val>
            <c:numRef>
              <c:f>Dashboard!$I$12:$I$16</c:f>
              <c:numCache>
                <c:formatCode>0;\-0;;@</c:formatCode>
                <c:ptCount val="5"/>
                <c:pt idx="0">
                  <c:v>0</c:v>
                </c:pt>
                <c:pt idx="1">
                  <c:v>0</c:v>
                </c:pt>
                <c:pt idx="2">
                  <c:v>1</c:v>
                </c:pt>
                <c:pt idx="3">
                  <c:v>3</c:v>
                </c:pt>
                <c:pt idx="4">
                  <c:v>8</c:v>
                </c:pt>
              </c:numCache>
            </c:numRef>
          </c:val>
          <c:extLst>
            <c:ext xmlns:c16="http://schemas.microsoft.com/office/drawing/2014/chart" uri="{C3380CC4-5D6E-409C-BE32-E72D297353CC}">
              <c16:uniqueId val="{0000000C-C240-48D6-9342-F454469A5CE7}"/>
            </c:ext>
          </c:extLst>
        </c:ser>
        <c:ser>
          <c:idx val="7"/>
          <c:order val="7"/>
          <c:tx>
            <c:strRef>
              <c:f>Dashboard!$J$11</c:f>
              <c:strCache>
                <c:ptCount val="1"/>
                <c:pt idx="0">
                  <c:v>Released</c:v>
                </c:pt>
              </c:strCache>
            </c:strRef>
          </c:tx>
          <c:spPr>
            <a:solidFill>
              <a:srgbClr val="0CA30C"/>
            </a:solidFill>
            <a:ln w="19050" cap="flat" cmpd="sng" algn="ctr">
              <a:solidFill>
                <a:srgbClr val="FFFFFF"/>
              </a:solidFill>
              <a:prstDash val="solid"/>
              <a:round/>
              <a:headEnd type="none" w="med" len="med"/>
              <a:tailEnd type="none" w="med" len="med"/>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Segoe UI"/>
                    <a:ea typeface="Segoe UI"/>
                    <a:cs typeface="Segoe UI"/>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Dashboard!$B$12:$B$16</c:f>
              <c:strCache>
                <c:ptCount val="5"/>
                <c:pt idx="0">
                  <c:v>July</c:v>
                </c:pt>
                <c:pt idx="1">
                  <c:v>August</c:v>
                </c:pt>
                <c:pt idx="2">
                  <c:v>September</c:v>
                </c:pt>
                <c:pt idx="3">
                  <c:v>October</c:v>
                </c:pt>
                <c:pt idx="4">
                  <c:v>November</c:v>
                </c:pt>
              </c:strCache>
            </c:strRef>
          </c:cat>
          <c:val>
            <c:numRef>
              <c:f>Dashboard!$J$12:$J$16</c:f>
              <c:numCache>
                <c:formatCode>0;\-0;;@</c:formatCode>
                <c:ptCount val="5"/>
                <c:pt idx="0">
                  <c:v>0</c:v>
                </c:pt>
                <c:pt idx="1">
                  <c:v>0</c:v>
                </c:pt>
                <c:pt idx="2">
                  <c:v>2</c:v>
                </c:pt>
                <c:pt idx="3">
                  <c:v>0</c:v>
                </c:pt>
                <c:pt idx="4">
                  <c:v>0</c:v>
                </c:pt>
              </c:numCache>
            </c:numRef>
          </c:val>
          <c:extLst>
            <c:ext xmlns:c16="http://schemas.microsoft.com/office/drawing/2014/chart" uri="{C3380CC4-5D6E-409C-BE32-E72D297353CC}">
              <c16:uniqueId val="{0000000E-C240-48D6-9342-F454469A5CE7}"/>
            </c:ext>
          </c:extLst>
        </c:ser>
        <c:dLbls>
          <c:showLegendKey val="0"/>
          <c:showVal val="0"/>
          <c:showCatName val="0"/>
          <c:showSerName val="0"/>
          <c:showPercent val="0"/>
          <c:showBubbleSize val="0"/>
        </c:dLbls>
        <c:gapWidth val="45"/>
        <c:overlap val="100"/>
        <c:axId val="3784199"/>
        <c:axId val="3786247"/>
      </c:barChart>
      <c:catAx>
        <c:axId val="3784199"/>
        <c:scaling>
          <c:orientation val="maxMin"/>
        </c:scaling>
        <c:delete val="0"/>
        <c:axPos val="l"/>
        <c:numFmt formatCode="General" sourceLinked="1"/>
        <c:majorTickMark val="none"/>
        <c:minorTickMark val="none"/>
        <c:tickLblPos val="nextTo"/>
        <c:spPr>
          <a:noFill/>
          <a:ln w="9525" cap="flat" cmpd="sng" algn="ctr">
            <a:solidFill>
              <a:srgbClr val="E1E0D9"/>
            </a:solidFill>
            <a:prstDash val="solid"/>
            <a:round/>
            <a:headEnd type="none" w="med" len="med"/>
            <a:tailEnd type="none" w="med" len="med"/>
          </a:ln>
          <a:effectLst/>
        </c:spPr>
        <c:txPr>
          <a:bodyPr rot="-60000000" spcFirstLastPara="1" vertOverflow="ellipsis" vert="horz" wrap="square" anchor="ctr" anchorCtr="1"/>
          <a:lstStyle/>
          <a:p>
            <a:pPr>
              <a:defRPr sz="1000" b="0" i="0" u="none" strike="noStrike" kern="1200" baseline="0">
                <a:solidFill>
                  <a:srgbClr val="52514E"/>
                </a:solidFill>
                <a:latin typeface="Segoe UI"/>
                <a:ea typeface="Segoe UI"/>
                <a:cs typeface="Segoe UI"/>
              </a:defRPr>
            </a:pPr>
            <a:endParaRPr lang="en-US"/>
          </a:p>
        </c:txPr>
        <c:crossAx val="3786247"/>
        <c:crosses val="autoZero"/>
        <c:auto val="1"/>
        <c:lblAlgn val="ctr"/>
        <c:lblOffset val="100"/>
        <c:noMultiLvlLbl val="0"/>
      </c:catAx>
      <c:valAx>
        <c:axId val="3786247"/>
        <c:scaling>
          <c:orientation val="minMax"/>
        </c:scaling>
        <c:delete val="1"/>
        <c:axPos val="t"/>
        <c:numFmt formatCode="0;\-0;;@" sourceLinked="1"/>
        <c:majorTickMark val="none"/>
        <c:minorTickMark val="none"/>
        <c:tickLblPos val="nextTo"/>
        <c:crossAx val="3784199"/>
        <c:crosses val="autoZero"/>
        <c:crossBetween val="between"/>
      </c:valAx>
      <c:spPr>
        <a:solidFill>
          <a:srgbClr val="FFFFFF"/>
        </a:solid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rgbClr val="52514E"/>
              </a:solidFill>
              <a:latin typeface="Segoe UI"/>
              <a:ea typeface="Segoe UI"/>
              <a:cs typeface="Segoe UI"/>
            </a:defRPr>
          </a:pPr>
          <a:endParaRPr lang="en-US"/>
        </a:p>
      </c:txPr>
    </c:legend>
    <c:plotVisOnly val="1"/>
    <c:dispBlanksAs val="gap"/>
    <c:showDLblsOverMax val="0"/>
  </c:chart>
  <c:spPr>
    <a:solidFill>
      <a:srgbClr val="FFFFFF"/>
    </a:solidFill>
    <a:ln w="25400"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19</xdr:row>
      <xdr:rowOff>0</xdr:rowOff>
    </xdr:from>
    <xdr:to>
      <xdr:col>15</xdr:col>
      <xdr:colOff>0</xdr:colOff>
      <xdr:row>33</xdr:row>
      <xdr:rowOff>0</xdr:rowOff>
    </xdr:to>
    <xdr:graphicFrame macro="">
      <xdr:nvGraphicFramePr>
        <xdr:cNvPr id="225" name="cmsMonthChart">
          <a:extLst>
            <a:ext uri="{FF2B5EF4-FFF2-40B4-BE49-F238E27FC236}">
              <a16:creationId xmlns:a16="http://schemas.microsoft.com/office/drawing/2014/main" id="{5C506D1B-7CF2-F200-97C6-21E5B850A9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Yuhua Niu" id="{53F7D53D-693C-4EB6-B8C0-FF571A23B986}" userId="S::yuhua.niu@us.nationalgrid.com::a7e9e441-ed6b-4f18-bdf7-1dbae4f33759"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ombinedDeliveryData" displayName="CombinedDeliveryData" ref="A1:AN119" dataDxfId="80">
  <autoFilter ref="A1:AN119" xr:uid="{00000000-0009-0000-0100-000001000000}">
    <filterColumn colId="0">
      <filters>
        <filter val="CMS"/>
      </filters>
    </filterColumn>
    <filterColumn colId="8">
      <filters>
        <filter val="November"/>
        <filter val="October"/>
        <filter val="September"/>
      </filters>
    </filterColumn>
  </autoFilter>
  <tableColumns count="40">
    <tableColumn id="1" xr3:uid="{00000000-0010-0000-0000-000001000000}" name="Domain" dataDxfId="79"/>
    <tableColumn id="2" xr3:uid="{00000000-0010-0000-0000-000002000000}" name="Report Name" dataDxfId="78"/>
    <tableColumn id="3" xr3:uid="{00000000-0010-0000-0000-000003000000}" name="Current Status (Update next stage after completion date)" dataDxfId="77"/>
    <tableColumn id="4" xr3:uid="{00000000-0010-0000-0000-000004000000}" name="Status Flag" dataDxfId="76"/>
    <tableColumn id="5" xr3:uid="{00000000-0010-0000-0000-000005000000}" name="Business Value Rank" dataDxfId="75"/>
    <tableColumn id="6" xr3:uid="{00000000-0010-0000-0000-000006000000}" name="PO" dataDxfId="74"/>
    <tableColumn id="10" xr3:uid="{00000000-0010-0000-0000-00000A000000}" name="Schema" dataDxfId="73"/>
    <tableColumn id="11" xr3:uid="{00000000-0010-0000-0000-00000B000000}" name="Plan Delivery Date" dataDxfId="72"/>
    <tableColumn id="12" xr3:uid="{00000000-0010-0000-0000-00000C000000}" name="Plan Delivery Month" dataDxfId="71"/>
    <tableColumn id="7" xr3:uid="{00000000-0010-0000-0000-000007000000}" name="DB Developer" dataDxfId="70"/>
    <tableColumn id="13" xr3:uid="{00000000-0010-0000-0000-00000D000000}" name="DB Dev Baseline Completion Date" dataDxfId="69"/>
    <tableColumn id="30" xr3:uid="{00000000-0010-0000-0000-00001E000000}" name="DB Dev Reforecast Completion Date" dataDxfId="68"/>
    <tableColumn id="14" xr3:uid="{00000000-0010-0000-0000-00000E000000}" name="DB Dev Actual Completion Date" dataDxfId="67"/>
    <tableColumn id="35" xr3:uid="{1A518B0C-8D73-4DAB-8F10-7B4DFF037343}" name="Build Source" dataDxfId="66"/>
    <tableColumn id="28" xr3:uid="{EFCDFAEE-1B00-42CE-9649-7541F5DDC136}" name="Sprint DB" dataDxfId="65"/>
    <tableColumn id="8" xr3:uid="{00000000-0010-0000-0000-000008000000}" name="PBI Developer" dataDxfId="64"/>
    <tableColumn id="15" xr3:uid="{00000000-0010-0000-0000-00000F000000}" name="PBI Dev Baseline Completion Date" dataDxfId="63"/>
    <tableColumn id="31" xr3:uid="{00000000-0010-0000-0000-00001F000000}" name="PBI Dev Reforecast Completion Date" dataDxfId="62"/>
    <tableColumn id="16" xr3:uid="{00000000-0010-0000-0000-000010000000}" name="PBI Dev Actual Completion Date" dataDxfId="61"/>
    <tableColumn id="29" xr3:uid="{4630D178-9B47-4360-A40B-22C7384DB9C9}" name="Sprint PBI" dataDxfId="60"/>
    <tableColumn id="9" xr3:uid="{00000000-0010-0000-0000-000009000000}" name="QA Tester" dataDxfId="59"/>
    <tableColumn id="17" xr3:uid="{00000000-0010-0000-0000-000011000000}" name="QA Baseline Completion Date" dataDxfId="58"/>
    <tableColumn id="32" xr3:uid="{00000000-0010-0000-0000-000020000000}" name="QA Reforecast Completion Date" dataDxfId="57"/>
    <tableColumn id="43" xr3:uid="{4636FA56-7728-4236-AC33-8557B12CD9BB}" name="Initial QA Completion Date" dataDxfId="56"/>
    <tableColumn id="18" xr3:uid="{00000000-0010-0000-0000-000012000000}" name="QA Actual Completion Date" dataDxfId="55"/>
    <tableColumn id="34" xr3:uid="{70C5E8CB-08B0-4A84-9B68-89630FC3C5C7}" name="Sprint QA" dataDxfId="54"/>
    <tableColumn id="19" xr3:uid="{00000000-0010-0000-0000-000013000000}" name="DPO Approval Baseline Completion Date" dataDxfId="53"/>
    <tableColumn id="33" xr3:uid="{00000000-0010-0000-0000-000021000000}" name="DPO Approval Reforecast Completion Date" dataDxfId="52"/>
    <tableColumn id="36" xr3:uid="{86D482BF-E7A4-45A2-B2F5-CA0223EBDDD1}" name="DPO Approval Completion Date" dataDxfId="51"/>
    <tableColumn id="20" xr3:uid="{00000000-0010-0000-0000-000014000000}" name="DPO Approval Reviewer" dataDxfId="50"/>
    <tableColumn id="39" xr3:uid="{D4F67DF1-1A6D-469A-AA66-A681F9EBF81F}" name="Report Type" dataDxfId="49"/>
    <tableColumn id="21" xr3:uid="{00000000-0010-0000-0000-000015000000}" name="Confirmed Deployed?" dataDxfId="48"/>
    <tableColumn id="22" xr3:uid="{00000000-0010-0000-0000-000016000000}" name="Confirmed Deployed Date" dataDxfId="47"/>
    <tableColumn id="23" xr3:uid="{00000000-0010-0000-0000-000017000000}" name="UAT Report URL" dataDxfId="46"/>
    <tableColumn id="24" xr3:uid="{00000000-0010-0000-0000-000018000000}" name="Production URL" dataDxfId="45"/>
    <tableColumn id="25" xr3:uid="{00000000-0010-0000-0000-000019000000}" name="Blocked?" dataDxfId="44"/>
    <tableColumn id="26" xr3:uid="{00000000-0010-0000-0000-00001A000000}" name="Data Check" dataDxfId="43"/>
    <tableColumn id="27" xr3:uid="{00000000-0010-0000-0000-00001B000000}" name="Comments" dataDxfId="42"/>
    <tableColumn id="37" xr3:uid="{80A8E094-8F50-434A-A9E3-195269D50436}" name="QA Rework Due_x0009_DPO Rework Due" dataDxfId="41">
      <calculatedColumnFormula array="1">_xlfn.LET(_xlpm.rep,$B2,_xlpm.sent,_xlfn.MAXIFS('Rework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calculatedColumnFormula>
    </tableColumn>
    <tableColumn id="38" xr3:uid="{1C2FEBD2-DBA8-4974-89A0-AFF31D4E319C}" name="Column1" dataDxfId="40">
      <calculatedColumnFormula array="1">_xlfn.LET(_xlpm.rep,$B2,_xlpm.sent,_xlfn.MAXIFS('Rework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calculatedColumnFormula>
    </tableColumn>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ReworkLog" displayName="ReworkLog" ref="A1:N497">
  <autoFilter ref="A1:N497" xr:uid="{00000000-0009-0000-0100-000002000000}">
    <filterColumn colId="6">
      <filters blank="1">
        <filter val="No"/>
      </filters>
    </filterColumn>
  </autoFilter>
  <tableColumns count="14">
    <tableColumn id="1" xr3:uid="{00000000-0010-0000-0100-000001000000}" name="Report Name"/>
    <tableColumn id="2" xr3:uid="{00000000-0010-0000-0100-000002000000}" name="Date Sent Back"/>
    <tableColumn id="3" xr3:uid="{00000000-0010-0000-0100-000003000000}" name="From Stage"/>
    <tableColumn id="4" xr3:uid="{00000000-0010-0000-0100-000004000000}" name="To Stage"/>
    <tableColumn id="5" xr3:uid="{00000000-0010-0000-0100-000005000000}" name="Sent Back By"/>
    <tableColumn id="6" xr3:uid="{00000000-0010-0000-0100-000006000000}" name="What Was Wrong"/>
    <tableColumn id="7" xr3:uid="{00000000-0010-0000-0100-000007000000}" name="Resolved?"/>
    <tableColumn id="8" xr3:uid="{00000000-0010-0000-0100-000008000000}" name="Fix Sent To"/>
    <tableColumn id="9" xr3:uid="{00000000-0010-0000-0100-000009000000}" name="Expected Fix Date"/>
    <tableColumn id="10" xr3:uid="{00000000-0010-0000-0100-00000A000000}" name="Date Fixed"/>
    <tableColumn id="11" xr3:uid="{00000000-0010-0000-0100-00000B000000}" name="Fixed By"/>
    <tableColumn id="12" xr3:uid="{00000000-0010-0000-0100-00000C000000}" name="What Was Fixed"/>
    <tableColumn id="13" xr3:uid="{00000000-0010-0000-0100-00000D000000}" name="Aging"/>
    <tableColumn id="14" xr3:uid="{00000000-0010-0000-0100-00000E000000}" name="Notified"/>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AFEB61A-BD95-4EA7-96C3-C24A00FEBE88}" name="DimRebaseline" displayName="DimRebaseline" ref="E2:H11" totalsRowShown="0">
  <autoFilter ref="E2:H11" xr:uid="{2AFEB61A-BD95-4EA7-96C3-C24A00FEBE88}"/>
  <tableColumns count="4">
    <tableColumn id="1" xr3:uid="{60800FEA-2DA1-45D4-B6B2-E755A406C44C}" name="Delivery Wave"/>
    <tableColumn id="2" xr3:uid="{7BE78DD0-9B8E-4B15-B1C8-77F47409F0C2}" name="Original Target"/>
    <tableColumn id="6" xr3:uid="{0E34F575-C9C6-4AF8-8EC9-DA4070843AE5}" name="Revised Committed Milestone" dataDxfId="17"/>
    <tableColumn id="7" xr3:uid="{2298A4F3-C6AB-4C13-A6D6-C56BF5020F96}" name="Ready for Prod Deployment"/>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PersonEmail" displayName="PersonEmail" ref="M1:N19">
  <autoFilter ref="M1:N19" xr:uid="{00000000-0009-0000-0100-000003000000}"/>
  <tableColumns count="2">
    <tableColumn id="1" xr3:uid="{00000000-0010-0000-0200-000001000000}" name="Person"/>
    <tableColumn id="2" xr3:uid="{00000000-0010-0000-0200-000002000000}" name="Email"/>
  </tableColumns>
  <tableStyleInfo name="TableStyleLight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CAF4D7D-6EDD-4293-BEDB-9B8E690E05FD}" name="tblCMSData" displayName="tblCMSData" ref="A1:E73" totalsRowShown="0">
  <autoFilter ref="A1:E73" xr:uid="{BCAF4D7D-6EDD-4293-BEDB-9B8E690E05FD}"/>
  <tableColumns count="5">
    <tableColumn id="1" xr3:uid="{F1376C8B-4990-45B5-B4E4-ED25E47A84A7}" name="Report Name"/>
    <tableColumn id="2" xr3:uid="{F305C792-5E50-4C53-BD37-B67FC1448929}" name="Wave"/>
    <tableColumn id="3" xr3:uid="{185C4148-D534-4822-9347-CBC27950AD7C}" name="Tracker Status"/>
    <tableColumn id="4" xr3:uid="{5FAAC401-4E99-4944-962E-B092DE59CFA9}" name="Blocked?"/>
    <tableColumn id="5" xr3:uid="{E453F4BC-17CA-460E-B94C-7A332F3A4B5A}" name="Bucket">
      <calculatedColumnFormula>IF(C2="Ready for Release in Prod","Blocked in Prod",IF(C2="RELEASED IN PROD","Released",IF(LEFT(D2,3)="Yes","Blocked - Build/QA",IF(C2="NOT STARTED","Not Started",C2))))</calculatedColumnFormula>
    </tableColumn>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F37" dT="2026-09-17T14:18:24.78" personId="{53F7D53D-693C-4EB6-B8C0-FF571A23B986}" id="{FD743C27-9B23-4351-BB07-1FEAE70DA4EA}">
    <text xml:space="preserve">It is confirmed that both the new GDM View GDM_RPT.VW_LARGE_GAS_OUTAGE and ODS Prod Procedure [RPT].[usp_DH_Large_Gas_Outage] yielded exactly the same Billing Email Address for same Billing Account Number. 
No need change the DDL for view GDM_RPT.VW_LARGE_GAS_OUTAGE
</text>
  </threadedComment>
  <threadedComment ref="F41" dT="2026-09-17T13:00:02.24" personId="{53F7D53D-693C-4EB6-B8C0-FF571A23B986}" id="{CFD7394B-22B4-4834-AB45-BB24984F0885}">
    <text>No mismatch found when querying on 2026-09-17</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1.bin"/><Relationship Id="rId1" Type="http://schemas.openxmlformats.org/officeDocument/2006/relationships/hyperlink" Target="https://jira.prod.nationalgrid.com/browse/GDMP-2940" TargetMode="External"/><Relationship Id="rId5" Type="http://schemas.openxmlformats.org/officeDocument/2006/relationships/comments" Target="../comments1.xml"/><Relationship Id="rId4"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2.xml"/><Relationship Id="rId1" Type="http://schemas.openxmlformats.org/officeDocument/2006/relationships/vmlDrawing" Target="../drawings/vmlDrawing2.vml"/><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table" Target="../tables/table4.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96F3D"/>
  </sheetPr>
  <dimension ref="A1:AN528"/>
  <sheetViews>
    <sheetView tabSelected="1" zoomScaleNormal="100" workbookViewId="0">
      <pane ySplit="1" topLeftCell="A110" activePane="bottomLeft" state="frozen"/>
      <selection pane="bottomLeft" activeCell="M113" sqref="M113"/>
      <selection activeCell="A29" sqref="A29"/>
    </sheetView>
  </sheetViews>
  <sheetFormatPr defaultRowHeight="15" customHeight="1"/>
  <cols>
    <col min="1" max="1" width="21.5703125" customWidth="1"/>
    <col min="2" max="2" width="47.140625" customWidth="1"/>
    <col min="3" max="3" width="24.7109375" bestFit="1" customWidth="1"/>
    <col min="4" max="4" width="11.140625" customWidth="1"/>
    <col min="5" max="5" width="10" customWidth="1"/>
    <col min="6" max="6" width="11" customWidth="1"/>
    <col min="7" max="7" width="10" customWidth="1"/>
    <col min="8" max="8" width="15" customWidth="1"/>
    <col min="9" max="9" width="13.140625" style="55" bestFit="1" customWidth="1"/>
    <col min="10" max="10" width="13" customWidth="1"/>
    <col min="11" max="11" width="17" customWidth="1"/>
    <col min="12" max="12" width="15.5703125" customWidth="1"/>
    <col min="13" max="13" width="25.5703125" customWidth="1"/>
    <col min="14" max="14" width="17" customWidth="1"/>
    <col min="15" max="15" width="15" customWidth="1"/>
    <col min="16" max="16" width="13" style="66" customWidth="1"/>
    <col min="17" max="17" width="17" customWidth="1"/>
    <col min="18" max="18" width="19.28515625" customWidth="1"/>
    <col min="19" max="19" width="20.42578125" customWidth="1"/>
    <col min="20" max="20" width="16" style="71" customWidth="1"/>
    <col min="21" max="21" width="11" customWidth="1"/>
    <col min="22" max="22" width="13" customWidth="1"/>
    <col min="23" max="23" width="15" customWidth="1"/>
    <col min="24" max="24" width="28" customWidth="1"/>
    <col min="25" max="25" width="13" customWidth="1"/>
    <col min="26" max="27" width="30" customWidth="1"/>
    <col min="28" max="29" width="42" customWidth="1"/>
    <col min="30" max="30" width="55.5703125" customWidth="1"/>
    <col min="31" max="31" width="15" bestFit="1" customWidth="1"/>
    <col min="33" max="33" width="10.42578125" bestFit="1" customWidth="1"/>
    <col min="35" max="35" width="36.28515625" customWidth="1"/>
    <col min="36" max="36" width="45.7109375" customWidth="1"/>
    <col min="37" max="37" width="39.28515625" customWidth="1"/>
    <col min="38" max="38" width="41.5703125" customWidth="1"/>
    <col min="39" max="39" width="9.28515625" bestFit="1" customWidth="1"/>
    <col min="40" max="40" width="9.140625" bestFit="1" customWidth="1"/>
  </cols>
  <sheetData>
    <row r="1" spans="1:40" ht="32.1" customHeight="1">
      <c r="A1" s="13" t="s">
        <v>0</v>
      </c>
      <c r="B1" s="13" t="s">
        <v>1</v>
      </c>
      <c r="C1" s="13" t="s">
        <v>2</v>
      </c>
      <c r="D1" s="13" t="s">
        <v>3</v>
      </c>
      <c r="E1" s="13" t="s">
        <v>4</v>
      </c>
      <c r="F1" s="22" t="s">
        <v>5</v>
      </c>
      <c r="G1" s="14" t="s">
        <v>6</v>
      </c>
      <c r="H1" s="48" t="s">
        <v>7</v>
      </c>
      <c r="I1" s="59" t="s">
        <v>8</v>
      </c>
      <c r="J1" s="57" t="s">
        <v>9</v>
      </c>
      <c r="K1" s="15" t="s">
        <v>10</v>
      </c>
      <c r="L1" s="15" t="s">
        <v>11</v>
      </c>
      <c r="M1" s="15" t="s">
        <v>12</v>
      </c>
      <c r="N1" s="15" t="s">
        <v>13</v>
      </c>
      <c r="O1" s="15" t="s">
        <v>14</v>
      </c>
      <c r="P1" s="61" t="s">
        <v>15</v>
      </c>
      <c r="Q1" s="16" t="s">
        <v>16</v>
      </c>
      <c r="R1" s="16" t="s">
        <v>17</v>
      </c>
      <c r="S1" s="16" t="s">
        <v>18</v>
      </c>
      <c r="T1" s="67" t="s">
        <v>19</v>
      </c>
      <c r="U1" s="56" t="s">
        <v>20</v>
      </c>
      <c r="V1" s="17" t="s">
        <v>21</v>
      </c>
      <c r="W1" s="17" t="s">
        <v>22</v>
      </c>
      <c r="X1" s="17" t="s">
        <v>23</v>
      </c>
      <c r="Y1" s="17" t="s">
        <v>24</v>
      </c>
      <c r="Z1" s="17" t="s">
        <v>25</v>
      </c>
      <c r="AA1" s="50" t="s">
        <v>26</v>
      </c>
      <c r="AB1" s="18" t="s">
        <v>27</v>
      </c>
      <c r="AC1" s="18" t="s">
        <v>28</v>
      </c>
      <c r="AD1" s="18" t="s">
        <v>29</v>
      </c>
      <c r="AE1" s="18" t="s">
        <v>30</v>
      </c>
      <c r="AF1" s="23" t="s">
        <v>31</v>
      </c>
      <c r="AG1" s="19" t="s">
        <v>32</v>
      </c>
      <c r="AH1" s="24" t="s">
        <v>33</v>
      </c>
      <c r="AI1" s="20" t="s">
        <v>34</v>
      </c>
      <c r="AJ1" s="25" t="s">
        <v>35</v>
      </c>
      <c r="AK1" s="26" t="s">
        <v>36</v>
      </c>
      <c r="AL1" s="27" t="s">
        <v>37</v>
      </c>
      <c r="AM1" t="s">
        <v>38</v>
      </c>
      <c r="AN1" t="s">
        <v>39</v>
      </c>
    </row>
    <row r="2" spans="1:40" hidden="1">
      <c r="A2" s="33" t="s">
        <v>40</v>
      </c>
      <c r="B2" s="33" t="s">
        <v>41</v>
      </c>
      <c r="C2" s="33" t="s">
        <v>42</v>
      </c>
      <c r="D2" t="str" cm="1">
        <f t="array" aca="1" ref="D2" ca="1">IF(AND(C2="Ready for Release in Prod",LEFT($AJ2,3)&lt;&gt;"Yes"),IF(AG2&lt;&gt;"","Delivered","On track"),IF($B2="","",IF(LEFT($AJ2,3)="Yes","Blocked - "&amp;MID($AJ2,7,100)&amp;IF(SUMPRODUCT(('Rework Log'!$A$2:$A$497=$B2)*('Rework Log'!$G$2:$G$497&lt;&gt;"Yes")*('Rework Log'!$G$2:$G$497&lt;&gt;"Did not pass re-test"))=0,"",IF(SUMPRODUCT(MAX((('Rework Log'!$A$2:$A$497=$B2)*('Rework Log'!$G$2:$G$497&lt;&gt;"Yes")*('Rework Log'!$G$2:$G$497&lt;&gt;"Did not pass re-test"))*'Rework Log'!$I$2:$I$497))=0," - unclaimed"," - promised "&amp;TEXT(SUMPRODUCT(MAX((('Rework Log'!$A$2:$A$497=$B2)*('Rework Log'!$G$2:$G$497&lt;&gt;"Yes")*('Rework Log'!$G$2:$G$497&lt;&gt;"Did not pass re-test"))*'Rework Log'!$I$2:$I$497)),"m/d"))),IF(C2="NOT STARTED",IF(H2="","No plan date set",IF(H2&lt;TODAY(),"Review - planned start passed","On track")),IF(C2="DB Dev",_xlfn.LET(_xlpm.sent,_xlfn.MAXIFS('Rework Log'!$B$2:$B$497,'Rework Log'!$A$2:$A$497,$B2,'Rework Log'!$D$2:$D$497,"DB Dev"),_xlpm.expfix,_xlfn.MAXIFS('Rework Log'!$I$2:$I$497,'Rework Log'!$A$2:$A$497,$B2,'Rework Log'!$D$2:$D$497,"DB Dev",'Rework Log'!$B$2:$B$497,_xlpm.sent),_xlpm.tgt,IF(_xlpm.expfix&gt;0,_xlpm.expfix,IF(L2&lt;&gt;"",L2,K2)),_xlpm.act,IF(AND(M2&lt;&gt;"",M2&gt;=_xlpm.sent),M2,""),IF(_xlpm.tgt="","No target set",IF(AND(_xlpm.tgt&lt;TODAY(),_xlpm.act=""),"Overdue","On track"))),IF(C2="PBI Dev",_xlfn.LET(_xlpm.sent,_xlfn.MAXIFS('Rework Log'!$B$2:$B$497,'Rework Log'!$A$2:$A$497,$B2,'Rework Log'!$D$2:$D$497,"PBI Dev"),_xlpm.expfix,_xlfn.MAXIFS('Rework Log'!$I$2:$I$497,'Rework Log'!$A$2:$A$497,$B2,'Rework Log'!$D$2:$D$497,"PBI Dev",'Rework Log'!$B$2:$B$497,_xlpm.sent),_xlpm.tgt,IF(_xlpm.expfix&gt;0,_xlpm.expfix,IF(R2&lt;&gt;"",R2,Q2)),_xlpm.act,IF(AND(S2&lt;&gt;"",S2&gt;=_xlpm.sent),S2,""),IF(_xlpm.tgt="","No target set",IF(AND(_xlpm.tgt&lt;TODAY(),_xlpm.act=""),"Overdue","On track"))),IF(C2="QA",_xlfn.LET(_xlpm.tgt,IF(AM2&lt;&gt;"",AM2,IF(W2&lt;&gt;"",W2,V2)),_xlpm.sent,_xlfn.MAXIFS('Rework Log'!$B$2:$B$497,'Rework Log'!$A$2:$A$497,$B2,'Rework Log'!$C$2:$C$497,"QA"),_xlpm.act,IF(AND(Y2&lt;&gt;"",Y2&gt;=_xlpm.sent),Y2,""),IF(_xlpm.tgt="","No target set",IF(AND(_xlpm.tgt&lt;TODAY(),_xlpm.act=""),"Overdue","On track"))),IF(C2="DPO Approval",_xlfn.LET(_xlpm.tgt,IF(AN2&lt;&gt;"",AN2,IF(AB2&lt;&gt;"",AB2,AA2)),_xlpm.sent,_xlfn.MAXIFS('Rework Log'!$B$2:$B$497,'Rework Log'!$A$2:$A$497,$B2,'Rework Log'!$C$2:$C$497,"DPO*"),_xlpm.act,IF(AND(AC2&lt;&gt;"",AC2&gt;=_xlpm.sent),AC2,""),IF(_xlpm.tgt="","No target set",IF(AND(_xlpm.tgt&lt;TODAY(),_xlpm.act=""),"Overdue","On track"))),IF(C2="RELEASED IN PROD","Delivered","")))))))))</f>
        <v>Delivered</v>
      </c>
      <c r="E2" s="33">
        <v>1</v>
      </c>
      <c r="F2" s="34"/>
      <c r="G2" s="33"/>
      <c r="H2" s="49">
        <v>46142</v>
      </c>
      <c r="I2" s="54" t="s">
        <v>43</v>
      </c>
      <c r="J2" s="33" t="s">
        <v>44</v>
      </c>
      <c r="K2" s="4">
        <v>46122</v>
      </c>
      <c r="L2" s="36"/>
      <c r="M2" s="36">
        <v>46115</v>
      </c>
      <c r="N2" s="36" t="s">
        <v>45</v>
      </c>
      <c r="O2" s="36"/>
      <c r="P2" s="62" t="s">
        <v>46</v>
      </c>
      <c r="Q2" s="4">
        <v>46129</v>
      </c>
      <c r="R2" s="36"/>
      <c r="S2" s="36">
        <v>46114</v>
      </c>
      <c r="T2" s="68"/>
      <c r="U2" s="33" t="s">
        <v>47</v>
      </c>
      <c r="V2" s="58">
        <v>46136</v>
      </c>
      <c r="W2" s="36"/>
      <c r="X2" s="36"/>
      <c r="Y2" s="36">
        <v>46122</v>
      </c>
      <c r="Z2" s="36"/>
      <c r="AA2" s="51">
        <v>46140</v>
      </c>
      <c r="AB2" s="36"/>
      <c r="AC2" s="36"/>
      <c r="AD2" s="33" t="s">
        <v>48</v>
      </c>
      <c r="AE2" s="33" t="s">
        <v>49</v>
      </c>
      <c r="AF2" s="38" t="s">
        <v>50</v>
      </c>
      <c r="AG2" s="36">
        <v>46122</v>
      </c>
      <c r="AH2" s="39" t="s">
        <v>51</v>
      </c>
      <c r="AI2" s="33" t="s">
        <v>52</v>
      </c>
      <c r="AJ2" s="40" t="s">
        <v>53</v>
      </c>
      <c r="AK2" s="72" t="str" cm="1">
        <f t="array" ref="AK2">IF($B2="","",_xlfn.LET(_xlpm.nm,$B2,_xlpm.st,$C2,_xlpm.ou,SUMPRODUCT(('Rework Log'!$A$2:$A$497=_xlpm.nm)*('Rework Log'!$G$2:$G$497&lt;&gt;"Yes")*('Rework Log'!$G$2:$G$497&lt;&gt;"Did not pass re-test")*('Rework Log'!$J$2:$J$497="")),_xlpm.ob,SUMPRODUCT(('Rework Log'!$A$2:$A$497=_xlpm.nm)*('Rework Log'!$G$2:$G$497&lt;&gt;"Yes")*('Rework Log'!$G$2:$G$497&lt;&gt;"Did not pass re-test")),_xlpm.oto,IF(SUMPRODUCT(('Rework Log'!$A$2:$A$497=_xlpm.nm)*('Rework Log'!$G$2:$G$497&lt;&gt;"Yes")*('Rework Log'!$G$2:$G$497&lt;&gt;"Did not pass re-test")*('Rework Log'!$J$2:$J$497=""))=0,"",INDEX('Rework Log'!$D$2:$D$497,MATCH(1,('Rework Log'!$A$2:$A$497=_xlpm.nm)*('Rework Log'!$G$2:$G$497&lt;&gt;"Yes")*('Rework Log'!$G$2:$G$497&lt;&gt;"Did not pass re-test")*('Rework Log'!$J$2:$J$497=""),0))),_xlpm.sent,_xlfn.MAXIFS('Rework Log'!$B$2:$B$497,'Rework Log'!$A$2:$A$497,_xlpm.nm),_xlpm.act,_xlfn.IFS(_xlpm.st="NOT STARTED",$M2,_xlpm.st="DB Dev",$M2,_xlpm.st="PBI Dev",$S2,_xlpm.st="QA",$Y2,_xlpm.st="DPO Approval",$AC2,_xlpm.st="Ready for Release in Prod",$AG2,TRUE,""),_xlpm.nxt,_xlfn.IFS(_xlpm.st="NOT STARTED","PBI Dev",_xlpm.st="DB Dev","PBI Dev",_xlpm.st="PBI Dev","QA",_xlpm.st="QA","DPO Approval",_xlpm.st="DPO Approval","Ready for Release in Prod",_xlpm.st="Ready for Release in Prod","RELEASED IN PROD",TRUE,""),IF(AND(_xlpm.ou&gt;0,_xlpm.st&lt;&gt;_xlpm.oto),"Move status back to "&amp;_xlpm.oto,IF(AND(_xlpm.ob=0,LEFT($AJ2,3)="Yes"),"Blocked - log it on Rework Log",IF(AND(_xlpm.ob&gt;0,LEFT($AJ2,3)&lt;&gt;"Yes"),"Open rework row - mark Blocked or close it",IF(AND(_xlpm.ob=0,_xlpm.act&lt;&gt;"",_xlpm.act&gt;=_xlpm.sent,_xlpm.nxt&lt;&gt;""),"Move status to "&amp;_xlpm.nxt,IF(COUNTIF($B$2:$B$528,$B2)&gt;1,"Duplicate name - check row",IF(COUNTIF('Rework Log'!$A$2:$A$497,$B2)&gt;0,"",IF(AND($V2&lt;&gt;"",$K2&lt;&gt;"",$V2&lt;$K2),"QA target is before DB Dev target",IF(AND($V2&lt;&gt;"",$Q2&lt;&gt;"",$V2&lt;$Q2),"QA target is before PBI Dev target",IF(AND($AA2&lt;&gt;"",$V2&lt;&gt;"",$AA2&lt;$V2),"DPO Approval target is before QA target",IF(AND($AG2&lt;&gt;"",$AA2&lt;&gt;"",$AG2&lt;$AA2),"Confirmed Deployed date is before DPO Approval target",""))))))))))))</f>
        <v>Confirmed Deployed date is before DPO Approval target</v>
      </c>
      <c r="AL2" s="41" t="s">
        <v>54</v>
      </c>
      <c r="AM2" s="31" t="str" cm="1">
        <f t="array" ref="AM2">_xlfn.LET(_xlpm.rep,$B2,_xlpm.sent,_xlfn.MAXIFS('Rework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
      </c>
      <c r="AN2" s="31" t="str" cm="1">
        <f t="array" ref="AN2">_xlfn.LET(_xlpm.rep,$B2,_xlpm.sent,_xlfn.MAXIFS('Rework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3" spans="1:40" hidden="1">
      <c r="A3" s="33" t="s">
        <v>40</v>
      </c>
      <c r="B3" s="33" t="s">
        <v>55</v>
      </c>
      <c r="C3" s="33" t="s">
        <v>42</v>
      </c>
      <c r="D3" t="str" cm="1">
        <f t="array" aca="1" ref="D3" ca="1">IF(AND(C3="Ready for Release in Prod",LEFT($AJ3,3)&lt;&gt;"Yes"),IF(AG3&lt;&gt;"","Delivered","On track"),IF($B3="","",IF(LEFT($AJ3,3)="Yes","Blocked - "&amp;MID($AJ3,7,100)&amp;IF(SUMPRODUCT(('Rework Log'!$A$2:$A$497=$B3)*('Rework Log'!$G$2:$G$497&lt;&gt;"Yes")*('Rework Log'!$G$2:$G$497&lt;&gt;"Did not pass re-test"))=0,"",IF(SUMPRODUCT(MAX((('Rework Log'!$A$2:$A$497=$B3)*('Rework Log'!$G$2:$G$497&lt;&gt;"Yes")*('Rework Log'!$G$2:$G$497&lt;&gt;"Did not pass re-test"))*'Rework Log'!$I$2:$I$497))=0," - unclaimed"," - promised "&amp;TEXT(SUMPRODUCT(MAX((('Rework Log'!$A$2:$A$497=$B3)*('Rework Log'!$G$2:$G$497&lt;&gt;"Yes")*('Rework Log'!$G$2:$G$497&lt;&gt;"Did not pass re-test"))*'Rework Log'!$I$2:$I$497)),"m/d"))),IF(C3="NOT STARTED",IF(H3="","No plan date set",IF(H3&lt;TODAY(),"Review - planned start passed","On track")),IF(C3="DB Dev",_xlfn.LET(_xlpm.sent,_xlfn.MAXIFS('Rework Log'!$B$2:$B$497,'Rework Log'!$A$2:$A$497,$B3,'Rework Log'!$D$2:$D$497,"DB Dev"),_xlpm.expfix,_xlfn.MAXIFS('Rework Log'!$I$2:$I$497,'Rework Log'!$A$2:$A$497,$B3,'Rework Log'!$D$2:$D$497,"DB Dev",'Rework Log'!$B$2:$B$497,_xlpm.sent),_xlpm.tgt,IF(_xlpm.expfix&gt;0,_xlpm.expfix,IF(L3&lt;&gt;"",L3,K3)),_xlpm.act,IF(AND(M3&lt;&gt;"",M3&gt;=_xlpm.sent),M3,""),IF(_xlpm.tgt="","No target set",IF(AND(_xlpm.tgt&lt;TODAY(),_xlpm.act=""),"Overdue","On track"))),IF(C3="PBI Dev",_xlfn.LET(_xlpm.sent,_xlfn.MAXIFS('Rework Log'!$B$2:$B$497,'Rework Log'!$A$2:$A$497,$B3,'Rework Log'!$D$2:$D$497,"PBI Dev"),_xlpm.expfix,_xlfn.MAXIFS('Rework Log'!$I$2:$I$497,'Rework Log'!$A$2:$A$497,$B3,'Rework Log'!$D$2:$D$497,"PBI Dev",'Rework Log'!$B$2:$B$497,_xlpm.sent),_xlpm.tgt,IF(_xlpm.expfix&gt;0,_xlpm.expfix,IF(R3&lt;&gt;"",R3,Q3)),_xlpm.act,IF(AND(S3&lt;&gt;"",S3&gt;=_xlpm.sent),S3,""),IF(_xlpm.tgt="","No target set",IF(AND(_xlpm.tgt&lt;TODAY(),_xlpm.act=""),"Overdue","On track"))),IF(C3="QA",_xlfn.LET(_xlpm.tgt,IF(AM3&lt;&gt;"",AM3,IF(W3&lt;&gt;"",W3,V3)),_xlpm.sent,_xlfn.MAXIFS('Rework Log'!$B$2:$B$497,'Rework Log'!$A$2:$A$497,$B3,'Rework Log'!$C$2:$C$497,"QA"),_xlpm.act,IF(AND(Y3&lt;&gt;"",Y3&gt;=_xlpm.sent),Y3,""),IF(_xlpm.tgt="","No target set",IF(AND(_xlpm.tgt&lt;TODAY(),_xlpm.act=""),"Overdue","On track"))),IF(C3="DPO Approval",_xlfn.LET(_xlpm.tgt,IF(AN3&lt;&gt;"",AN3,IF(AB3&lt;&gt;"",AB3,AA3)),_xlpm.sent,_xlfn.MAXIFS('Rework Log'!$B$2:$B$497,'Rework Log'!$A$2:$A$497,$B3,'Rework Log'!$C$2:$C$497,"DPO*"),_xlpm.act,IF(AND(AC3&lt;&gt;"",AC3&gt;=_xlpm.sent),AC3,""),IF(_xlpm.tgt="","No target set",IF(AND(_xlpm.tgt&lt;TODAY(),_xlpm.act=""),"Overdue","On track"))),IF(C3="RELEASED IN PROD","Delivered","")))))))))</f>
        <v>Delivered</v>
      </c>
      <c r="E3" s="33">
        <v>2</v>
      </c>
      <c r="F3" s="34"/>
      <c r="G3" s="33"/>
      <c r="H3" s="49">
        <v>46142</v>
      </c>
      <c r="I3" s="54" t="s">
        <v>43</v>
      </c>
      <c r="J3" s="33" t="s">
        <v>44</v>
      </c>
      <c r="K3" s="4">
        <v>46122</v>
      </c>
      <c r="L3" s="36"/>
      <c r="M3" s="36">
        <v>46115</v>
      </c>
      <c r="N3" s="36" t="s">
        <v>45</v>
      </c>
      <c r="O3" s="36"/>
      <c r="P3" s="62" t="s">
        <v>46</v>
      </c>
      <c r="Q3" s="4">
        <v>46129</v>
      </c>
      <c r="R3" s="36"/>
      <c r="S3" s="36">
        <v>46114</v>
      </c>
      <c r="T3" s="68"/>
      <c r="U3" s="33" t="s">
        <v>47</v>
      </c>
      <c r="V3" s="58">
        <v>46136</v>
      </c>
      <c r="W3" s="36"/>
      <c r="X3" s="36"/>
      <c r="Y3" s="36">
        <v>46122</v>
      </c>
      <c r="Z3" s="36"/>
      <c r="AA3" s="51">
        <v>46140</v>
      </c>
      <c r="AB3" s="36"/>
      <c r="AC3" s="36"/>
      <c r="AD3" s="33" t="s">
        <v>48</v>
      </c>
      <c r="AE3" s="33" t="s">
        <v>49</v>
      </c>
      <c r="AF3" s="38" t="s">
        <v>50</v>
      </c>
      <c r="AG3" s="36">
        <v>46122</v>
      </c>
      <c r="AH3" s="39" t="s">
        <v>56</v>
      </c>
      <c r="AI3" s="33" t="s">
        <v>57</v>
      </c>
      <c r="AJ3" s="40" t="s">
        <v>53</v>
      </c>
      <c r="AK3" s="72" t="str" cm="1">
        <f t="array" ref="AK3">IF($B3="","",_xlfn.LET(_xlpm.nm,$B3,_xlpm.st,$C3,_xlpm.ou,SUMPRODUCT(('Rework Log'!$A$2:$A$497=_xlpm.nm)*('Rework Log'!$G$2:$G$497&lt;&gt;"Yes")*('Rework Log'!$G$2:$G$497&lt;&gt;"Did not pass re-test")*('Rework Log'!$J$2:$J$497="")),_xlpm.ob,SUMPRODUCT(('Rework Log'!$A$2:$A$497=_xlpm.nm)*('Rework Log'!$G$2:$G$497&lt;&gt;"Yes")*('Rework Log'!$G$2:$G$497&lt;&gt;"Did not pass re-test")),_xlpm.oto,IF(SUMPRODUCT(('Rework Log'!$A$2:$A$497=_xlpm.nm)*('Rework Log'!$G$2:$G$497&lt;&gt;"Yes")*('Rework Log'!$G$2:$G$497&lt;&gt;"Did not pass re-test")*('Rework Log'!$J$2:$J$497=""))=0,"",INDEX('Rework Log'!$D$2:$D$497,MATCH(1,('Rework Log'!$A$2:$A$497=_xlpm.nm)*('Rework Log'!$G$2:$G$497&lt;&gt;"Yes")*('Rework Log'!$G$2:$G$497&lt;&gt;"Did not pass re-test")*('Rework Log'!$J$2:$J$497=""),0))),_xlpm.sent,_xlfn.MAXIFS('Rework Log'!$B$2:$B$497,'Rework Log'!$A$2:$A$497,_xlpm.nm),_xlpm.act,_xlfn.IFS(_xlpm.st="NOT STARTED",$M3,_xlpm.st="DB Dev",$M3,_xlpm.st="PBI Dev",$S3,_xlpm.st="QA",$Y3,_xlpm.st="DPO Approval",$AC3,_xlpm.st="Ready for Release in Prod",$AG3,TRUE,""),_xlpm.nxt,_xlfn.IFS(_xlpm.st="NOT STARTED","PBI Dev",_xlpm.st="DB Dev","PBI Dev",_xlpm.st="PBI Dev","QA",_xlpm.st="QA","DPO Approval",_xlpm.st="DPO Approval","Ready for Release in Prod",_xlpm.st="Ready for Release in Prod","RELEASED IN PROD",TRUE,""),IF(AND(_xlpm.ou&gt;0,_xlpm.st&lt;&gt;_xlpm.oto),"Move status back to "&amp;_xlpm.oto,IF(AND(_xlpm.ob=0,LEFT($AJ3,3)="Yes"),"Blocked - log it on Rework Log",IF(AND(_xlpm.ob&gt;0,LEFT($AJ3,3)&lt;&gt;"Yes"),"Open rework row - mark Blocked or close it",IF(AND(_xlpm.ob=0,_xlpm.act&lt;&gt;"",_xlpm.act&gt;=_xlpm.sent,_xlpm.nxt&lt;&gt;""),"Move status to "&amp;_xlpm.nxt,IF(COUNTIF($B$2:$B$528,$B3)&gt;1,"Duplicate name - check row",IF(COUNTIF('Rework Log'!$A$2:$A$497,$B3)&gt;0,"",IF(AND($V3&lt;&gt;"",$K3&lt;&gt;"",$V3&lt;$K3),"QA target is before DB Dev target",IF(AND($V3&lt;&gt;"",$Q3&lt;&gt;"",$V3&lt;$Q3),"QA target is before PBI Dev target",IF(AND($AA3&lt;&gt;"",$V3&lt;&gt;"",$AA3&lt;$V3),"DPO Approval target is before QA target",IF(AND($AG3&lt;&gt;"",$AA3&lt;&gt;"",$AG3&lt;$AA3),"Confirmed Deployed date is before DPO Approval target",""))))))))))))</f>
        <v>Confirmed Deployed date is before DPO Approval target</v>
      </c>
      <c r="AL3" s="41" t="s">
        <v>54</v>
      </c>
      <c r="AM3" s="31" t="str" cm="1">
        <f t="array" ref="AM3">_xlfn.LET(_xlpm.rep,$B3,_xlpm.sent,_xlfn.MAXIFS('Rework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
      </c>
      <c r="AN3" s="31" t="str" cm="1">
        <f t="array" ref="AN3">_xlfn.LET(_xlpm.rep,$B3,_xlpm.sent,_xlfn.MAXIFS('Rework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4" spans="1:40" hidden="1">
      <c r="A4" s="33" t="s">
        <v>40</v>
      </c>
      <c r="B4" s="33" t="s">
        <v>58</v>
      </c>
      <c r="C4" s="33" t="s">
        <v>42</v>
      </c>
      <c r="D4" t="str" cm="1">
        <f t="array" aca="1" ref="D4" ca="1">IF(AND(C4="Ready for Release in Prod",LEFT($AJ4,3)&lt;&gt;"Yes"),IF(AG4&lt;&gt;"","Delivered","On track"),IF($B4="","",IF(LEFT($AJ4,3)="Yes","Blocked - "&amp;MID($AJ4,7,100)&amp;IF(SUMPRODUCT(('Rework Log'!$A$2:$A$497=$B4)*('Rework Log'!$G$2:$G$497&lt;&gt;"Yes")*('Rework Log'!$G$2:$G$497&lt;&gt;"Did not pass re-test"))=0,"",IF(SUMPRODUCT(MAX((('Rework Log'!$A$2:$A$497=$B4)*('Rework Log'!$G$2:$G$497&lt;&gt;"Yes")*('Rework Log'!$G$2:$G$497&lt;&gt;"Did not pass re-test"))*'Rework Log'!$I$2:$I$497))=0," - unclaimed"," - promised "&amp;TEXT(SUMPRODUCT(MAX((('Rework Log'!$A$2:$A$497=$B4)*('Rework Log'!$G$2:$G$497&lt;&gt;"Yes")*('Rework Log'!$G$2:$G$497&lt;&gt;"Did not pass re-test"))*'Rework Log'!$I$2:$I$497)),"m/d"))),IF(C4="NOT STARTED",IF(H4="","No plan date set",IF(H4&lt;TODAY(),"Review - planned start passed","On track")),IF(C4="DB Dev",_xlfn.LET(_xlpm.sent,_xlfn.MAXIFS('Rework Log'!$B$2:$B$497,'Rework Log'!$A$2:$A$497,$B4,'Rework Log'!$D$2:$D$497,"DB Dev"),_xlpm.expfix,_xlfn.MAXIFS('Rework Log'!$I$2:$I$497,'Rework Log'!$A$2:$A$497,$B4,'Rework Log'!$D$2:$D$497,"DB Dev",'Rework Log'!$B$2:$B$497,_xlpm.sent),_xlpm.tgt,IF(_xlpm.expfix&gt;0,_xlpm.expfix,IF(L4&lt;&gt;"",L4,K4)),_xlpm.act,IF(AND(M4&lt;&gt;"",M4&gt;=_xlpm.sent),M4,""),IF(_xlpm.tgt="","No target set",IF(AND(_xlpm.tgt&lt;TODAY(),_xlpm.act=""),"Overdue","On track"))),IF(C4="PBI Dev",_xlfn.LET(_xlpm.sent,_xlfn.MAXIFS('Rework Log'!$B$2:$B$497,'Rework Log'!$A$2:$A$497,$B4,'Rework Log'!$D$2:$D$497,"PBI Dev"),_xlpm.expfix,_xlfn.MAXIFS('Rework Log'!$I$2:$I$497,'Rework Log'!$A$2:$A$497,$B4,'Rework Log'!$D$2:$D$497,"PBI Dev",'Rework Log'!$B$2:$B$497,_xlpm.sent),_xlpm.tgt,IF(_xlpm.expfix&gt;0,_xlpm.expfix,IF(R4&lt;&gt;"",R4,Q4)),_xlpm.act,IF(AND(S4&lt;&gt;"",S4&gt;=_xlpm.sent),S4,""),IF(_xlpm.tgt="","No target set",IF(AND(_xlpm.tgt&lt;TODAY(),_xlpm.act=""),"Overdue","On track"))),IF(C4="QA",_xlfn.LET(_xlpm.tgt,IF(AM4&lt;&gt;"",AM4,IF(W4&lt;&gt;"",W4,V4)),_xlpm.sent,_xlfn.MAXIFS('Rework Log'!$B$2:$B$497,'Rework Log'!$A$2:$A$497,$B4,'Rework Log'!$C$2:$C$497,"QA"),_xlpm.act,IF(AND(Y4&lt;&gt;"",Y4&gt;=_xlpm.sent),Y4,""),IF(_xlpm.tgt="","No target set",IF(AND(_xlpm.tgt&lt;TODAY(),_xlpm.act=""),"Overdue","On track"))),IF(C4="DPO Approval",_xlfn.LET(_xlpm.tgt,IF(AN4&lt;&gt;"",AN4,IF(AB4&lt;&gt;"",AB4,AA4)),_xlpm.sent,_xlfn.MAXIFS('Rework Log'!$B$2:$B$497,'Rework Log'!$A$2:$A$497,$B4,'Rework Log'!$C$2:$C$497,"DPO*"),_xlpm.act,IF(AND(AC4&lt;&gt;"",AC4&gt;=_xlpm.sent),AC4,""),IF(_xlpm.tgt="","No target set",IF(AND(_xlpm.tgt&lt;TODAY(),_xlpm.act=""),"Overdue","On track"))),IF(C4="RELEASED IN PROD","Delivered","")))))))))</f>
        <v>Delivered</v>
      </c>
      <c r="E4" s="33">
        <v>3</v>
      </c>
      <c r="F4" s="34"/>
      <c r="G4" s="33"/>
      <c r="H4" s="49">
        <v>46142</v>
      </c>
      <c r="I4" s="54" t="s">
        <v>43</v>
      </c>
      <c r="J4" s="33" t="s">
        <v>59</v>
      </c>
      <c r="K4" s="4">
        <v>46122</v>
      </c>
      <c r="L4" s="36"/>
      <c r="M4" s="36">
        <v>46115</v>
      </c>
      <c r="N4" s="36" t="s">
        <v>45</v>
      </c>
      <c r="O4" s="36"/>
      <c r="P4" s="62" t="s">
        <v>60</v>
      </c>
      <c r="Q4" s="4">
        <v>46129</v>
      </c>
      <c r="R4" s="36"/>
      <c r="S4" s="36">
        <v>46126</v>
      </c>
      <c r="T4" s="68"/>
      <c r="U4" s="33" t="s">
        <v>47</v>
      </c>
      <c r="V4" s="58">
        <v>46136</v>
      </c>
      <c r="W4" s="36"/>
      <c r="X4" s="36"/>
      <c r="Y4" s="36">
        <v>46122</v>
      </c>
      <c r="Z4" s="36"/>
      <c r="AA4" s="51">
        <v>46140</v>
      </c>
      <c r="AB4" s="36"/>
      <c r="AC4" s="36"/>
      <c r="AD4" s="33" t="s">
        <v>48</v>
      </c>
      <c r="AE4" s="33" t="s">
        <v>49</v>
      </c>
      <c r="AF4" s="38" t="s">
        <v>50</v>
      </c>
      <c r="AG4" s="36">
        <v>46122</v>
      </c>
      <c r="AH4" s="39" t="s">
        <v>61</v>
      </c>
      <c r="AI4" s="33" t="s">
        <v>62</v>
      </c>
      <c r="AJ4" s="40" t="s">
        <v>53</v>
      </c>
      <c r="AK4" s="72" t="str" cm="1">
        <f t="array" ref="AK4">IF($B4="","",_xlfn.LET(_xlpm.nm,$B4,_xlpm.st,$C4,_xlpm.ou,SUMPRODUCT(('Rework Log'!$A$2:$A$497=_xlpm.nm)*('Rework Log'!$G$2:$G$497&lt;&gt;"Yes")*('Rework Log'!$G$2:$G$497&lt;&gt;"Did not pass re-test")*('Rework Log'!$J$2:$J$497="")),_xlpm.ob,SUMPRODUCT(('Rework Log'!$A$2:$A$497=_xlpm.nm)*('Rework Log'!$G$2:$G$497&lt;&gt;"Yes")*('Rework Log'!$G$2:$G$497&lt;&gt;"Did not pass re-test")),_xlpm.oto,IF(SUMPRODUCT(('Rework Log'!$A$2:$A$497=_xlpm.nm)*('Rework Log'!$G$2:$G$497&lt;&gt;"Yes")*('Rework Log'!$G$2:$G$497&lt;&gt;"Did not pass re-test")*('Rework Log'!$J$2:$J$497=""))=0,"",INDEX('Rework Log'!$D$2:$D$497,MATCH(1,('Rework Log'!$A$2:$A$497=_xlpm.nm)*('Rework Log'!$G$2:$G$497&lt;&gt;"Yes")*('Rework Log'!$G$2:$G$497&lt;&gt;"Did not pass re-test")*('Rework Log'!$J$2:$J$497=""),0))),_xlpm.sent,_xlfn.MAXIFS('Rework Log'!$B$2:$B$497,'Rework Log'!$A$2:$A$497,_xlpm.nm),_xlpm.act,_xlfn.IFS(_xlpm.st="NOT STARTED",$M4,_xlpm.st="DB Dev",$M4,_xlpm.st="PBI Dev",$S4,_xlpm.st="QA",$Y4,_xlpm.st="DPO Approval",$AC4,_xlpm.st="Ready for Release in Prod",$AG4,TRUE,""),_xlpm.nxt,_xlfn.IFS(_xlpm.st="NOT STARTED","PBI Dev",_xlpm.st="DB Dev","PBI Dev",_xlpm.st="PBI Dev","QA",_xlpm.st="QA","DPO Approval",_xlpm.st="DPO Approval","Ready for Release in Prod",_xlpm.st="Ready for Release in Prod","RELEASED IN PROD",TRUE,""),IF(AND(_xlpm.ou&gt;0,_xlpm.st&lt;&gt;_xlpm.oto),"Move status back to "&amp;_xlpm.oto,IF(AND(_xlpm.ob=0,LEFT($AJ4,3)="Yes"),"Blocked - log it on Rework Log",IF(AND(_xlpm.ob&gt;0,LEFT($AJ4,3)&lt;&gt;"Yes"),"Open rework row - mark Blocked or close it",IF(AND(_xlpm.ob=0,_xlpm.act&lt;&gt;"",_xlpm.act&gt;=_xlpm.sent,_xlpm.nxt&lt;&gt;""),"Move status to "&amp;_xlpm.nxt,IF(COUNTIF($B$2:$B$528,$B4)&gt;1,"Duplicate name - check row",IF(COUNTIF('Rework Log'!$A$2:$A$497,$B4)&gt;0,"",IF(AND($V4&lt;&gt;"",$K4&lt;&gt;"",$V4&lt;$K4),"QA target is before DB Dev target",IF(AND($V4&lt;&gt;"",$Q4&lt;&gt;"",$V4&lt;$Q4),"QA target is before PBI Dev target",IF(AND($AA4&lt;&gt;"",$V4&lt;&gt;"",$AA4&lt;$V4),"DPO Approval target is before QA target",IF(AND($AG4&lt;&gt;"",$AA4&lt;&gt;"",$AG4&lt;$AA4),"Confirmed Deployed date is before DPO Approval target",""))))))))))))</f>
        <v>Confirmed Deployed date is before DPO Approval target</v>
      </c>
      <c r="AL4" s="41" t="s">
        <v>63</v>
      </c>
      <c r="AM4" s="31" t="str" cm="1">
        <f t="array" ref="AM4">_xlfn.LET(_xlpm.rep,$B4,_xlpm.sent,_xlfn.MAXIFS('Rework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
      </c>
      <c r="AN4" s="31" t="str" cm="1">
        <f t="array" ref="AN4">_xlfn.LET(_xlpm.rep,$B4,_xlpm.sent,_xlfn.MAXIFS('Rework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5" spans="1:40" hidden="1">
      <c r="A5" s="33" t="s">
        <v>40</v>
      </c>
      <c r="B5" s="33" t="s">
        <v>64</v>
      </c>
      <c r="C5" s="33" t="s">
        <v>42</v>
      </c>
      <c r="D5" t="str" cm="1">
        <f t="array" aca="1" ref="D5" ca="1">IF(AND(C5="Ready for Release in Prod",LEFT($AJ5,3)&lt;&gt;"Yes"),IF(AG5&lt;&gt;"","Delivered","On track"),IF($B5="","",IF(LEFT($AJ5,3)="Yes","Blocked - "&amp;MID($AJ5,7,100)&amp;IF(SUMPRODUCT(('Rework Log'!$A$2:$A$497=$B5)*('Rework Log'!$G$2:$G$497&lt;&gt;"Yes")*('Rework Log'!$G$2:$G$497&lt;&gt;"Did not pass re-test"))=0,"",IF(SUMPRODUCT(MAX((('Rework Log'!$A$2:$A$497=$B5)*('Rework Log'!$G$2:$G$497&lt;&gt;"Yes")*('Rework Log'!$G$2:$G$497&lt;&gt;"Did not pass re-test"))*'Rework Log'!$I$2:$I$497))=0," - unclaimed"," - promised "&amp;TEXT(SUMPRODUCT(MAX((('Rework Log'!$A$2:$A$497=$B5)*('Rework Log'!$G$2:$G$497&lt;&gt;"Yes")*('Rework Log'!$G$2:$G$497&lt;&gt;"Did not pass re-test"))*'Rework Log'!$I$2:$I$497)),"m/d"))),IF(C5="NOT STARTED",IF(H5="","No plan date set",IF(H5&lt;TODAY(),"Review - planned start passed","On track")),IF(C5="DB Dev",_xlfn.LET(_xlpm.sent,_xlfn.MAXIFS('Rework Log'!$B$2:$B$497,'Rework Log'!$A$2:$A$497,$B5,'Rework Log'!$D$2:$D$497,"DB Dev"),_xlpm.expfix,_xlfn.MAXIFS('Rework Log'!$I$2:$I$497,'Rework Log'!$A$2:$A$497,$B5,'Rework Log'!$D$2:$D$497,"DB Dev",'Rework Log'!$B$2:$B$497,_xlpm.sent),_xlpm.tgt,IF(_xlpm.expfix&gt;0,_xlpm.expfix,IF(L5&lt;&gt;"",L5,K5)),_xlpm.act,IF(AND(M5&lt;&gt;"",M5&gt;=_xlpm.sent),M5,""),IF(_xlpm.tgt="","No target set",IF(AND(_xlpm.tgt&lt;TODAY(),_xlpm.act=""),"Overdue","On track"))),IF(C5="PBI Dev",_xlfn.LET(_xlpm.sent,_xlfn.MAXIFS('Rework Log'!$B$2:$B$497,'Rework Log'!$A$2:$A$497,$B5,'Rework Log'!$D$2:$D$497,"PBI Dev"),_xlpm.expfix,_xlfn.MAXIFS('Rework Log'!$I$2:$I$497,'Rework Log'!$A$2:$A$497,$B5,'Rework Log'!$D$2:$D$497,"PBI Dev",'Rework Log'!$B$2:$B$497,_xlpm.sent),_xlpm.tgt,IF(_xlpm.expfix&gt;0,_xlpm.expfix,IF(R5&lt;&gt;"",R5,Q5)),_xlpm.act,IF(AND(S5&lt;&gt;"",S5&gt;=_xlpm.sent),S5,""),IF(_xlpm.tgt="","No target set",IF(AND(_xlpm.tgt&lt;TODAY(),_xlpm.act=""),"Overdue","On track"))),IF(C5="QA",_xlfn.LET(_xlpm.tgt,IF(AM5&lt;&gt;"",AM5,IF(W5&lt;&gt;"",W5,V5)),_xlpm.sent,_xlfn.MAXIFS('Rework Log'!$B$2:$B$497,'Rework Log'!$A$2:$A$497,$B5,'Rework Log'!$C$2:$C$497,"QA"),_xlpm.act,IF(AND(Y5&lt;&gt;"",Y5&gt;=_xlpm.sent),Y5,""),IF(_xlpm.tgt="","No target set",IF(AND(_xlpm.tgt&lt;TODAY(),_xlpm.act=""),"Overdue","On track"))),IF(C5="DPO Approval",_xlfn.LET(_xlpm.tgt,IF(AN5&lt;&gt;"",AN5,IF(AB5&lt;&gt;"",AB5,AA5)),_xlpm.sent,_xlfn.MAXIFS('Rework Log'!$B$2:$B$497,'Rework Log'!$A$2:$A$497,$B5,'Rework Log'!$C$2:$C$497,"DPO*"),_xlpm.act,IF(AND(AC5&lt;&gt;"",AC5&gt;=_xlpm.sent),AC5,""),IF(_xlpm.tgt="","No target set",IF(AND(_xlpm.tgt&lt;TODAY(),_xlpm.act=""),"Overdue","On track"))),IF(C5="RELEASED IN PROD","Delivered","")))))))))</f>
        <v>Delivered</v>
      </c>
      <c r="E5" s="33">
        <v>4</v>
      </c>
      <c r="F5" s="34"/>
      <c r="G5" s="33"/>
      <c r="H5" s="49">
        <v>46142</v>
      </c>
      <c r="I5" s="54" t="s">
        <v>43</v>
      </c>
      <c r="J5" s="33" t="s">
        <v>65</v>
      </c>
      <c r="K5" s="4">
        <v>46122</v>
      </c>
      <c r="L5" s="36"/>
      <c r="M5" s="36">
        <v>46115</v>
      </c>
      <c r="N5" s="36" t="s">
        <v>45</v>
      </c>
      <c r="O5" s="36"/>
      <c r="P5" s="62" t="s">
        <v>46</v>
      </c>
      <c r="Q5" s="4">
        <v>46129</v>
      </c>
      <c r="R5" s="36"/>
      <c r="S5" s="36">
        <v>46120</v>
      </c>
      <c r="T5" s="68"/>
      <c r="U5" s="33" t="s">
        <v>47</v>
      </c>
      <c r="V5" s="58">
        <v>46136</v>
      </c>
      <c r="W5" s="36"/>
      <c r="X5" s="36"/>
      <c r="Y5" s="36">
        <v>46122</v>
      </c>
      <c r="Z5" s="36"/>
      <c r="AA5" s="51">
        <v>46140</v>
      </c>
      <c r="AB5" s="36"/>
      <c r="AC5" s="36"/>
      <c r="AD5" s="33" t="s">
        <v>48</v>
      </c>
      <c r="AE5" s="33" t="s">
        <v>49</v>
      </c>
      <c r="AF5" s="38" t="s">
        <v>50</v>
      </c>
      <c r="AG5" s="36">
        <v>46122</v>
      </c>
      <c r="AH5" s="39" t="s">
        <v>66</v>
      </c>
      <c r="AI5" s="33" t="s">
        <v>67</v>
      </c>
      <c r="AJ5" s="40" t="s">
        <v>53</v>
      </c>
      <c r="AK5" s="72" t="str" cm="1">
        <f t="array" ref="AK5">IF($B5="","",_xlfn.LET(_xlpm.nm,$B5,_xlpm.st,$C5,_xlpm.ou,SUMPRODUCT(('Rework Log'!$A$2:$A$497=_xlpm.nm)*('Rework Log'!$G$2:$G$497&lt;&gt;"Yes")*('Rework Log'!$G$2:$G$497&lt;&gt;"Did not pass re-test")*('Rework Log'!$J$2:$J$497="")),_xlpm.ob,SUMPRODUCT(('Rework Log'!$A$2:$A$497=_xlpm.nm)*('Rework Log'!$G$2:$G$497&lt;&gt;"Yes")*('Rework Log'!$G$2:$G$497&lt;&gt;"Did not pass re-test")),_xlpm.oto,IF(SUMPRODUCT(('Rework Log'!$A$2:$A$497=_xlpm.nm)*('Rework Log'!$G$2:$G$497&lt;&gt;"Yes")*('Rework Log'!$G$2:$G$497&lt;&gt;"Did not pass re-test")*('Rework Log'!$J$2:$J$497=""))=0,"",INDEX('Rework Log'!$D$2:$D$497,MATCH(1,('Rework Log'!$A$2:$A$497=_xlpm.nm)*('Rework Log'!$G$2:$G$497&lt;&gt;"Yes")*('Rework Log'!$G$2:$G$497&lt;&gt;"Did not pass re-test")*('Rework Log'!$J$2:$J$497=""),0))),_xlpm.sent,_xlfn.MAXIFS('Rework Log'!$B$2:$B$497,'Rework Log'!$A$2:$A$497,_xlpm.nm),_xlpm.act,_xlfn.IFS(_xlpm.st="NOT STARTED",$M5,_xlpm.st="DB Dev",$M5,_xlpm.st="PBI Dev",$S5,_xlpm.st="QA",$Y5,_xlpm.st="DPO Approval",$AC5,_xlpm.st="Ready for Release in Prod",$AG5,TRUE,""),_xlpm.nxt,_xlfn.IFS(_xlpm.st="NOT STARTED","PBI Dev",_xlpm.st="DB Dev","PBI Dev",_xlpm.st="PBI Dev","QA",_xlpm.st="QA","DPO Approval",_xlpm.st="DPO Approval","Ready for Release in Prod",_xlpm.st="Ready for Release in Prod","RELEASED IN PROD",TRUE,""),IF(AND(_xlpm.ou&gt;0,_xlpm.st&lt;&gt;_xlpm.oto),"Move status back to "&amp;_xlpm.oto,IF(AND(_xlpm.ob=0,LEFT($AJ5,3)="Yes"),"Blocked - log it on Rework Log",IF(AND(_xlpm.ob&gt;0,LEFT($AJ5,3)&lt;&gt;"Yes"),"Open rework row - mark Blocked or close it",IF(AND(_xlpm.ob=0,_xlpm.act&lt;&gt;"",_xlpm.act&gt;=_xlpm.sent,_xlpm.nxt&lt;&gt;""),"Move status to "&amp;_xlpm.nxt,IF(COUNTIF($B$2:$B$528,$B5)&gt;1,"Duplicate name - check row",IF(COUNTIF('Rework Log'!$A$2:$A$497,$B5)&gt;0,"",IF(AND($V5&lt;&gt;"",$K5&lt;&gt;"",$V5&lt;$K5),"QA target is before DB Dev target",IF(AND($V5&lt;&gt;"",$Q5&lt;&gt;"",$V5&lt;$Q5),"QA target is before PBI Dev target",IF(AND($AA5&lt;&gt;"",$V5&lt;&gt;"",$AA5&lt;$V5),"DPO Approval target is before QA target",IF(AND($AG5&lt;&gt;"",$AA5&lt;&gt;"",$AG5&lt;$AA5),"Confirmed Deployed date is before DPO Approval target",""))))))))))))</f>
        <v>Confirmed Deployed date is before DPO Approval target</v>
      </c>
      <c r="AL5" s="41" t="s">
        <v>68</v>
      </c>
      <c r="AM5" s="31" t="str" cm="1">
        <f t="array" ref="AM5">_xlfn.LET(_xlpm.rep,$B5,_xlpm.sent,_xlfn.MAXIFS('Rework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
      </c>
      <c r="AN5" s="31" t="str" cm="1">
        <f t="array" ref="AN5">_xlfn.LET(_xlpm.rep,$B5,_xlpm.sent,_xlfn.MAXIFS('Rework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6" spans="1:40" hidden="1">
      <c r="A6" s="33" t="s">
        <v>40</v>
      </c>
      <c r="B6" s="33" t="s">
        <v>69</v>
      </c>
      <c r="C6" s="33" t="s">
        <v>42</v>
      </c>
      <c r="D6" t="str" cm="1">
        <f t="array" aca="1" ref="D6" ca="1">IF(AND(C6="Ready for Release in Prod",LEFT($AJ6,3)&lt;&gt;"Yes"),IF(AG6&lt;&gt;"","Delivered","On track"),IF($B6="","",IF(LEFT($AJ6,3)="Yes","Blocked - "&amp;MID($AJ6,7,100)&amp;IF(SUMPRODUCT(('Rework Log'!$A$2:$A$497=$B6)*('Rework Log'!$G$2:$G$497&lt;&gt;"Yes")*('Rework Log'!$G$2:$G$497&lt;&gt;"Did not pass re-test"))=0,"",IF(SUMPRODUCT(MAX((('Rework Log'!$A$2:$A$497=$B6)*('Rework Log'!$G$2:$G$497&lt;&gt;"Yes")*('Rework Log'!$G$2:$G$497&lt;&gt;"Did not pass re-test"))*'Rework Log'!$I$2:$I$497))=0," - unclaimed"," - promised "&amp;TEXT(SUMPRODUCT(MAX((('Rework Log'!$A$2:$A$497=$B6)*('Rework Log'!$G$2:$G$497&lt;&gt;"Yes")*('Rework Log'!$G$2:$G$497&lt;&gt;"Did not pass re-test"))*'Rework Log'!$I$2:$I$497)),"m/d"))),IF(C6="NOT STARTED",IF(H6="","No plan date set",IF(H6&lt;TODAY(),"Review - planned start passed","On track")),IF(C6="DB Dev",_xlfn.LET(_xlpm.sent,_xlfn.MAXIFS('Rework Log'!$B$2:$B$497,'Rework Log'!$A$2:$A$497,$B6,'Rework Log'!$D$2:$D$497,"DB Dev"),_xlpm.expfix,_xlfn.MAXIFS('Rework Log'!$I$2:$I$497,'Rework Log'!$A$2:$A$497,$B6,'Rework Log'!$D$2:$D$497,"DB Dev",'Rework Log'!$B$2:$B$497,_xlpm.sent),_xlpm.tgt,IF(_xlpm.expfix&gt;0,_xlpm.expfix,IF(L6&lt;&gt;"",L6,K6)),_xlpm.act,IF(AND(M6&lt;&gt;"",M6&gt;=_xlpm.sent),M6,""),IF(_xlpm.tgt="","No target set",IF(AND(_xlpm.tgt&lt;TODAY(),_xlpm.act=""),"Overdue","On track"))),IF(C6="PBI Dev",_xlfn.LET(_xlpm.sent,_xlfn.MAXIFS('Rework Log'!$B$2:$B$497,'Rework Log'!$A$2:$A$497,$B6,'Rework Log'!$D$2:$D$497,"PBI Dev"),_xlpm.expfix,_xlfn.MAXIFS('Rework Log'!$I$2:$I$497,'Rework Log'!$A$2:$A$497,$B6,'Rework Log'!$D$2:$D$497,"PBI Dev",'Rework Log'!$B$2:$B$497,_xlpm.sent),_xlpm.tgt,IF(_xlpm.expfix&gt;0,_xlpm.expfix,IF(R6&lt;&gt;"",R6,Q6)),_xlpm.act,IF(AND(S6&lt;&gt;"",S6&gt;=_xlpm.sent),S6,""),IF(_xlpm.tgt="","No target set",IF(AND(_xlpm.tgt&lt;TODAY(),_xlpm.act=""),"Overdue","On track"))),IF(C6="QA",_xlfn.LET(_xlpm.tgt,IF(AM6&lt;&gt;"",AM6,IF(W6&lt;&gt;"",W6,V6)),_xlpm.sent,_xlfn.MAXIFS('Rework Log'!$B$2:$B$497,'Rework Log'!$A$2:$A$497,$B6,'Rework Log'!$C$2:$C$497,"QA"),_xlpm.act,IF(AND(Y6&lt;&gt;"",Y6&gt;=_xlpm.sent),Y6,""),IF(_xlpm.tgt="","No target set",IF(AND(_xlpm.tgt&lt;TODAY(),_xlpm.act=""),"Overdue","On track"))),IF(C6="DPO Approval",_xlfn.LET(_xlpm.tgt,IF(AN6&lt;&gt;"",AN6,IF(AB6&lt;&gt;"",AB6,AA6)),_xlpm.sent,_xlfn.MAXIFS('Rework Log'!$B$2:$B$497,'Rework Log'!$A$2:$A$497,$B6,'Rework Log'!$C$2:$C$497,"DPO*"),_xlpm.act,IF(AND(AC6&lt;&gt;"",AC6&gt;=_xlpm.sent),AC6,""),IF(_xlpm.tgt="","No target set",IF(AND(_xlpm.tgt&lt;TODAY(),_xlpm.act=""),"Overdue","On track"))),IF(C6="RELEASED IN PROD","Delivered","")))))))))</f>
        <v>Delivered</v>
      </c>
      <c r="E6" s="33">
        <v>5</v>
      </c>
      <c r="F6" s="34"/>
      <c r="G6" s="33"/>
      <c r="H6" s="49">
        <v>46142</v>
      </c>
      <c r="I6" s="54" t="s">
        <v>43</v>
      </c>
      <c r="J6" s="33"/>
      <c r="K6" s="4"/>
      <c r="L6" s="46"/>
      <c r="M6" s="36"/>
      <c r="N6" s="36" t="s">
        <v>45</v>
      </c>
      <c r="O6" s="36"/>
      <c r="P6" s="62"/>
      <c r="Q6" s="4"/>
      <c r="R6" s="43"/>
      <c r="S6" s="36"/>
      <c r="T6" s="68"/>
      <c r="U6" s="33"/>
      <c r="V6" s="58"/>
      <c r="W6" s="43"/>
      <c r="X6" s="36"/>
      <c r="Y6" s="36"/>
      <c r="Z6" s="36"/>
      <c r="AA6" s="51"/>
      <c r="AB6" s="43"/>
      <c r="AC6" s="43"/>
      <c r="AD6" s="33" t="s">
        <v>48</v>
      </c>
      <c r="AE6" s="33" t="s">
        <v>49</v>
      </c>
      <c r="AF6" s="38" t="s">
        <v>50</v>
      </c>
      <c r="AG6" s="36">
        <v>46142</v>
      </c>
      <c r="AH6" s="39"/>
      <c r="AI6" s="33"/>
      <c r="AJ6" s="40"/>
      <c r="AK6" s="139" t="str" cm="1">
        <f t="array" ref="AK6">IF($B6="","",_xlfn.LET(_xlpm.nm,$B6,_xlpm.st,$C6,_xlpm.ou,SUMPRODUCT(('Rework Log'!$A$2:$A$497=_xlpm.nm)*('Rework Log'!$G$2:$G$497&lt;&gt;"Yes")*('Rework Log'!$G$2:$G$497&lt;&gt;"Did not pass re-test")*('Rework Log'!$J$2:$J$497="")),_xlpm.ob,SUMPRODUCT(('Rework Log'!$A$2:$A$497=_xlpm.nm)*('Rework Log'!$G$2:$G$497&lt;&gt;"Yes")*('Rework Log'!$G$2:$G$497&lt;&gt;"Did not pass re-test")),_xlpm.oto,IF(SUMPRODUCT(('Rework Log'!$A$2:$A$497=_xlpm.nm)*('Rework Log'!$G$2:$G$497&lt;&gt;"Yes")*('Rework Log'!$G$2:$G$497&lt;&gt;"Did not pass re-test")*('Rework Log'!$J$2:$J$497=""))=0,"",INDEX('Rework Log'!$D$2:$D$497,MATCH(1,('Rework Log'!$A$2:$A$497=_xlpm.nm)*('Rework Log'!$G$2:$G$497&lt;&gt;"Yes")*('Rework Log'!$G$2:$G$497&lt;&gt;"Did not pass re-test")*('Rework Log'!$J$2:$J$497=""),0))),_xlpm.sent,_xlfn.MAXIFS('Rework Log'!$B$2:$B$497,'Rework Log'!$A$2:$A$497,_xlpm.nm),_xlpm.act,_xlfn.IFS(_xlpm.st="NOT STARTED",$M6,_xlpm.st="DB Dev",$M6,_xlpm.st="PBI Dev",$S6,_xlpm.st="QA",$Y6,_xlpm.st="DPO Approval",$AC6,_xlpm.st="Ready for Release in Prod",$AG6,TRUE,""),_xlpm.nxt,_xlfn.IFS(_xlpm.st="NOT STARTED","PBI Dev",_xlpm.st="DB Dev","PBI Dev",_xlpm.st="PBI Dev","QA",_xlpm.st="QA","DPO Approval",_xlpm.st="DPO Approval","Ready for Release in Prod",_xlpm.st="Ready for Release in Prod","RELEASED IN PROD",TRUE,""),IF(AND(_xlpm.ou&gt;0,_xlpm.st&lt;&gt;_xlpm.oto),"Move status back to "&amp;_xlpm.oto,IF(AND(_xlpm.ob=0,LEFT($AJ6,3)="Yes"),"Blocked - log it on Rework Log",IF(AND(_xlpm.ob&gt;0,LEFT($AJ6,3)&lt;&gt;"Yes"),"Open rework row - mark Blocked or close it",IF(AND(_xlpm.ob=0,_xlpm.act&lt;&gt;"",_xlpm.act&gt;=_xlpm.sent,_xlpm.nxt&lt;&gt;""),"Move status to "&amp;_xlpm.nxt,IF(COUNTIF($B$2:$B$528,$B6)&gt;1,"Duplicate name - check row",IF(COUNTIF('Rework Log'!$A$2:$A$497,$B6)&gt;0,"",IF(AND($V6&lt;&gt;"",$K6&lt;&gt;"",$V6&lt;$K6),"QA target is before DB Dev target",IF(AND($V6&lt;&gt;"",$Q6&lt;&gt;"",$V6&lt;$Q6),"QA target is before PBI Dev target",IF(AND($AA6&lt;&gt;"",$V6&lt;&gt;"",$AA6&lt;$V6),"DPO Approval target is before QA target",IF(AND($AG6&lt;&gt;"",$AA6&lt;&gt;"",$AG6&lt;$AA6),"Confirmed Deployed date is before DPO Approval target",""))))))))))))</f>
        <v/>
      </c>
      <c r="AL6" s="41"/>
      <c r="AM6" s="31" t="str" cm="1">
        <f t="array" ref="AM6">_xlfn.LET(_xlpm.rep,$B6,_xlpm.sent,_xlfn.MAXIFS('Rework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
      </c>
      <c r="AN6" s="31" t="str" cm="1">
        <f t="array" ref="AN6">_xlfn.LET(_xlpm.rep,$B6,_xlpm.sent,_xlfn.MAXIFS('Rework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7" spans="1:40" hidden="1">
      <c r="A7" s="33" t="s">
        <v>40</v>
      </c>
      <c r="B7" s="33" t="s">
        <v>70</v>
      </c>
      <c r="C7" s="33" t="s">
        <v>42</v>
      </c>
      <c r="D7" t="str" cm="1">
        <f t="array" aca="1" ref="D7" ca="1">IF(AND(C7="Ready for Release in Prod",LEFT($AJ7,3)&lt;&gt;"Yes"),IF(AG7&lt;&gt;"","Delivered","On track"),IF($B7="","",IF(LEFT($AJ7,3)="Yes","Blocked - "&amp;MID($AJ7,7,100)&amp;IF(SUMPRODUCT(('Rework Log'!$A$2:$A$497=$B7)*('Rework Log'!$G$2:$G$497&lt;&gt;"Yes")*('Rework Log'!$G$2:$G$497&lt;&gt;"Did not pass re-test"))=0,"",IF(SUMPRODUCT(MAX((('Rework Log'!$A$2:$A$497=$B7)*('Rework Log'!$G$2:$G$497&lt;&gt;"Yes")*('Rework Log'!$G$2:$G$497&lt;&gt;"Did not pass re-test"))*'Rework Log'!$I$2:$I$497))=0," - unclaimed"," - promised "&amp;TEXT(SUMPRODUCT(MAX((('Rework Log'!$A$2:$A$497=$B7)*('Rework Log'!$G$2:$G$497&lt;&gt;"Yes")*('Rework Log'!$G$2:$G$497&lt;&gt;"Did not pass re-test"))*'Rework Log'!$I$2:$I$497)),"m/d"))),IF(C7="NOT STARTED",IF(H7="","No plan date set",IF(H7&lt;TODAY(),"Review - planned start passed","On track")),IF(C7="DB Dev",_xlfn.LET(_xlpm.sent,_xlfn.MAXIFS('Rework Log'!$B$2:$B$497,'Rework Log'!$A$2:$A$497,$B7,'Rework Log'!$D$2:$D$497,"DB Dev"),_xlpm.expfix,_xlfn.MAXIFS('Rework Log'!$I$2:$I$497,'Rework Log'!$A$2:$A$497,$B7,'Rework Log'!$D$2:$D$497,"DB Dev",'Rework Log'!$B$2:$B$497,_xlpm.sent),_xlpm.tgt,IF(_xlpm.expfix&gt;0,_xlpm.expfix,IF(L7&lt;&gt;"",L7,K7)),_xlpm.act,IF(AND(M7&lt;&gt;"",M7&gt;=_xlpm.sent),M7,""),IF(_xlpm.tgt="","No target set",IF(AND(_xlpm.tgt&lt;TODAY(),_xlpm.act=""),"Overdue","On track"))),IF(C7="PBI Dev",_xlfn.LET(_xlpm.sent,_xlfn.MAXIFS('Rework Log'!$B$2:$B$497,'Rework Log'!$A$2:$A$497,$B7,'Rework Log'!$D$2:$D$497,"PBI Dev"),_xlpm.expfix,_xlfn.MAXIFS('Rework Log'!$I$2:$I$497,'Rework Log'!$A$2:$A$497,$B7,'Rework Log'!$D$2:$D$497,"PBI Dev",'Rework Log'!$B$2:$B$497,_xlpm.sent),_xlpm.tgt,IF(_xlpm.expfix&gt;0,_xlpm.expfix,IF(R7&lt;&gt;"",R7,Q7)),_xlpm.act,IF(AND(S7&lt;&gt;"",S7&gt;=_xlpm.sent),S7,""),IF(_xlpm.tgt="","No target set",IF(AND(_xlpm.tgt&lt;TODAY(),_xlpm.act=""),"Overdue","On track"))),IF(C7="QA",_xlfn.LET(_xlpm.tgt,IF(AM7&lt;&gt;"",AM7,IF(W7&lt;&gt;"",W7,V7)),_xlpm.sent,_xlfn.MAXIFS('Rework Log'!$B$2:$B$497,'Rework Log'!$A$2:$A$497,$B7,'Rework Log'!$C$2:$C$497,"QA"),_xlpm.act,IF(AND(Y7&lt;&gt;"",Y7&gt;=_xlpm.sent),Y7,""),IF(_xlpm.tgt="","No target set",IF(AND(_xlpm.tgt&lt;TODAY(),_xlpm.act=""),"Overdue","On track"))),IF(C7="DPO Approval",_xlfn.LET(_xlpm.tgt,IF(AN7&lt;&gt;"",AN7,IF(AB7&lt;&gt;"",AB7,AA7)),_xlpm.sent,_xlfn.MAXIFS('Rework Log'!$B$2:$B$497,'Rework Log'!$A$2:$A$497,$B7,'Rework Log'!$C$2:$C$497,"DPO*"),_xlpm.act,IF(AND(AC7&lt;&gt;"",AC7&gt;=_xlpm.sent),AC7,""),IF(_xlpm.tgt="","No target set",IF(AND(_xlpm.tgt&lt;TODAY(),_xlpm.act=""),"Overdue","On track"))),IF(C7="RELEASED IN PROD","Delivered","")))))))))</f>
        <v>Delivered</v>
      </c>
      <c r="E7" s="33">
        <v>6</v>
      </c>
      <c r="F7" s="34"/>
      <c r="G7" s="33"/>
      <c r="H7" s="49">
        <v>46142</v>
      </c>
      <c r="I7" s="54" t="s">
        <v>43</v>
      </c>
      <c r="J7" s="33"/>
      <c r="K7" s="4"/>
      <c r="L7" s="46"/>
      <c r="M7" s="36"/>
      <c r="N7" s="36" t="s">
        <v>45</v>
      </c>
      <c r="O7" s="36"/>
      <c r="P7" s="62"/>
      <c r="Q7" s="4"/>
      <c r="R7" s="43"/>
      <c r="S7" s="36"/>
      <c r="T7" s="68"/>
      <c r="U7" s="33"/>
      <c r="V7" s="58"/>
      <c r="W7" s="43"/>
      <c r="X7" s="36"/>
      <c r="Y7" s="36"/>
      <c r="Z7" s="36"/>
      <c r="AA7" s="51"/>
      <c r="AB7" s="43"/>
      <c r="AC7" s="43"/>
      <c r="AD7" s="33" t="s">
        <v>48</v>
      </c>
      <c r="AE7" s="33" t="s">
        <v>49</v>
      </c>
      <c r="AF7" s="38" t="s">
        <v>50</v>
      </c>
      <c r="AG7" s="36">
        <v>46142</v>
      </c>
      <c r="AH7" s="39"/>
      <c r="AI7" s="33"/>
      <c r="AJ7" s="40"/>
      <c r="AK7" s="139" t="str" cm="1">
        <f t="array" ref="AK7">IF($B7="","",_xlfn.LET(_xlpm.nm,$B7,_xlpm.st,$C7,_xlpm.ou,SUMPRODUCT(('Rework Log'!$A$2:$A$497=_xlpm.nm)*('Rework Log'!$G$2:$G$497&lt;&gt;"Yes")*('Rework Log'!$G$2:$G$497&lt;&gt;"Did not pass re-test")*('Rework Log'!$J$2:$J$497="")),_xlpm.ob,SUMPRODUCT(('Rework Log'!$A$2:$A$497=_xlpm.nm)*('Rework Log'!$G$2:$G$497&lt;&gt;"Yes")*('Rework Log'!$G$2:$G$497&lt;&gt;"Did not pass re-test")),_xlpm.oto,IF(SUMPRODUCT(('Rework Log'!$A$2:$A$497=_xlpm.nm)*('Rework Log'!$G$2:$G$497&lt;&gt;"Yes")*('Rework Log'!$G$2:$G$497&lt;&gt;"Did not pass re-test")*('Rework Log'!$J$2:$J$497=""))=0,"",INDEX('Rework Log'!$D$2:$D$497,MATCH(1,('Rework Log'!$A$2:$A$497=_xlpm.nm)*('Rework Log'!$G$2:$G$497&lt;&gt;"Yes")*('Rework Log'!$G$2:$G$497&lt;&gt;"Did not pass re-test")*('Rework Log'!$J$2:$J$497=""),0))),_xlpm.sent,_xlfn.MAXIFS('Rework Log'!$B$2:$B$497,'Rework Log'!$A$2:$A$497,_xlpm.nm),_xlpm.act,_xlfn.IFS(_xlpm.st="NOT STARTED",$M7,_xlpm.st="DB Dev",$M7,_xlpm.st="PBI Dev",$S7,_xlpm.st="QA",$Y7,_xlpm.st="DPO Approval",$AC7,_xlpm.st="Ready for Release in Prod",$AG7,TRUE,""),_xlpm.nxt,_xlfn.IFS(_xlpm.st="NOT STARTED","PBI Dev",_xlpm.st="DB Dev","PBI Dev",_xlpm.st="PBI Dev","QA",_xlpm.st="QA","DPO Approval",_xlpm.st="DPO Approval","Ready for Release in Prod",_xlpm.st="Ready for Release in Prod","RELEASED IN PROD",TRUE,""),IF(AND(_xlpm.ou&gt;0,_xlpm.st&lt;&gt;_xlpm.oto),"Move status back to "&amp;_xlpm.oto,IF(AND(_xlpm.ob=0,LEFT($AJ7,3)="Yes"),"Blocked - log it on Rework Log",IF(AND(_xlpm.ob&gt;0,LEFT($AJ7,3)&lt;&gt;"Yes"),"Open rework row - mark Blocked or close it",IF(AND(_xlpm.ob=0,_xlpm.act&lt;&gt;"",_xlpm.act&gt;=_xlpm.sent,_xlpm.nxt&lt;&gt;""),"Move status to "&amp;_xlpm.nxt,IF(COUNTIF($B$2:$B$528,$B7)&gt;1,"Duplicate name - check row",IF(COUNTIF('Rework Log'!$A$2:$A$497,$B7)&gt;0,"",IF(AND($V7&lt;&gt;"",$K7&lt;&gt;"",$V7&lt;$K7),"QA target is before DB Dev target",IF(AND($V7&lt;&gt;"",$Q7&lt;&gt;"",$V7&lt;$Q7),"QA target is before PBI Dev target",IF(AND($AA7&lt;&gt;"",$V7&lt;&gt;"",$AA7&lt;$V7),"DPO Approval target is before QA target",IF(AND($AG7&lt;&gt;"",$AA7&lt;&gt;"",$AG7&lt;$AA7),"Confirmed Deployed date is before DPO Approval target",""))))))))))))</f>
        <v/>
      </c>
      <c r="AL7" s="41"/>
      <c r="AM7" s="31" t="str" cm="1">
        <f t="array" ref="AM7">_xlfn.LET(_xlpm.rep,$B7,_xlpm.sent,_xlfn.MAXIFS('Rework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
      </c>
      <c r="AN7" s="31" t="str" cm="1">
        <f t="array" ref="AN7">_xlfn.LET(_xlpm.rep,$B7,_xlpm.sent,_xlfn.MAXIFS('Rework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8" spans="1:40" hidden="1">
      <c r="A8" s="33" t="s">
        <v>40</v>
      </c>
      <c r="B8" s="33" t="s">
        <v>71</v>
      </c>
      <c r="C8" s="33" t="s">
        <v>42</v>
      </c>
      <c r="D8" t="str" cm="1">
        <f t="array" aca="1" ref="D8" ca="1">IF(AND(C8="Ready for Release in Prod",LEFT($AJ8,3)&lt;&gt;"Yes"),IF(AG8&lt;&gt;"","Delivered","On track"),IF($B8="","",IF(LEFT($AJ8,3)="Yes","Blocked - "&amp;MID($AJ8,7,100)&amp;IF(SUMPRODUCT(('Rework Log'!$A$2:$A$497=$B8)*('Rework Log'!$G$2:$G$497&lt;&gt;"Yes")*('Rework Log'!$G$2:$G$497&lt;&gt;"Did not pass re-test"))=0,"",IF(SUMPRODUCT(MAX((('Rework Log'!$A$2:$A$497=$B8)*('Rework Log'!$G$2:$G$497&lt;&gt;"Yes")*('Rework Log'!$G$2:$G$497&lt;&gt;"Did not pass re-test"))*'Rework Log'!$I$2:$I$497))=0," - unclaimed"," - promised "&amp;TEXT(SUMPRODUCT(MAX((('Rework Log'!$A$2:$A$497=$B8)*('Rework Log'!$G$2:$G$497&lt;&gt;"Yes")*('Rework Log'!$G$2:$G$497&lt;&gt;"Did not pass re-test"))*'Rework Log'!$I$2:$I$497)),"m/d"))),IF(C8="NOT STARTED",IF(H8="","No plan date set",IF(H8&lt;TODAY(),"Review - planned start passed","On track")),IF(C8="DB Dev",_xlfn.LET(_xlpm.sent,_xlfn.MAXIFS('Rework Log'!$B$2:$B$497,'Rework Log'!$A$2:$A$497,$B8,'Rework Log'!$D$2:$D$497,"DB Dev"),_xlpm.expfix,_xlfn.MAXIFS('Rework Log'!$I$2:$I$497,'Rework Log'!$A$2:$A$497,$B8,'Rework Log'!$D$2:$D$497,"DB Dev",'Rework Log'!$B$2:$B$497,_xlpm.sent),_xlpm.tgt,IF(_xlpm.expfix&gt;0,_xlpm.expfix,IF(L8&lt;&gt;"",L8,K8)),_xlpm.act,IF(AND(M8&lt;&gt;"",M8&gt;=_xlpm.sent),M8,""),IF(_xlpm.tgt="","No target set",IF(AND(_xlpm.tgt&lt;TODAY(),_xlpm.act=""),"Overdue","On track"))),IF(C8="PBI Dev",_xlfn.LET(_xlpm.sent,_xlfn.MAXIFS('Rework Log'!$B$2:$B$497,'Rework Log'!$A$2:$A$497,$B8,'Rework Log'!$D$2:$D$497,"PBI Dev"),_xlpm.expfix,_xlfn.MAXIFS('Rework Log'!$I$2:$I$497,'Rework Log'!$A$2:$A$497,$B8,'Rework Log'!$D$2:$D$497,"PBI Dev",'Rework Log'!$B$2:$B$497,_xlpm.sent),_xlpm.tgt,IF(_xlpm.expfix&gt;0,_xlpm.expfix,IF(R8&lt;&gt;"",R8,Q8)),_xlpm.act,IF(AND(S8&lt;&gt;"",S8&gt;=_xlpm.sent),S8,""),IF(_xlpm.tgt="","No target set",IF(AND(_xlpm.tgt&lt;TODAY(),_xlpm.act=""),"Overdue","On track"))),IF(C8="QA",_xlfn.LET(_xlpm.tgt,IF(AM8&lt;&gt;"",AM8,IF(W8&lt;&gt;"",W8,V8)),_xlpm.sent,_xlfn.MAXIFS('Rework Log'!$B$2:$B$497,'Rework Log'!$A$2:$A$497,$B8,'Rework Log'!$C$2:$C$497,"QA"),_xlpm.act,IF(AND(Y8&lt;&gt;"",Y8&gt;=_xlpm.sent),Y8,""),IF(_xlpm.tgt="","No target set",IF(AND(_xlpm.tgt&lt;TODAY(),_xlpm.act=""),"Overdue","On track"))),IF(C8="DPO Approval",_xlfn.LET(_xlpm.tgt,IF(AN8&lt;&gt;"",AN8,IF(AB8&lt;&gt;"",AB8,AA8)),_xlpm.sent,_xlfn.MAXIFS('Rework Log'!$B$2:$B$497,'Rework Log'!$A$2:$A$497,$B8,'Rework Log'!$C$2:$C$497,"DPO*"),_xlpm.act,IF(AND(AC8&lt;&gt;"",AC8&gt;=_xlpm.sent),AC8,""),IF(_xlpm.tgt="","No target set",IF(AND(_xlpm.tgt&lt;TODAY(),_xlpm.act=""),"Overdue","On track"))),IF(C8="RELEASED IN PROD","Delivered","")))))))))</f>
        <v>Delivered</v>
      </c>
      <c r="E8" s="33">
        <v>7</v>
      </c>
      <c r="F8" s="34"/>
      <c r="G8" s="33"/>
      <c r="H8" s="49">
        <v>46142</v>
      </c>
      <c r="I8" s="54" t="s">
        <v>43</v>
      </c>
      <c r="J8" s="33"/>
      <c r="K8" s="4"/>
      <c r="L8" s="46"/>
      <c r="M8" s="36"/>
      <c r="N8" s="36" t="s">
        <v>45</v>
      </c>
      <c r="O8" s="36"/>
      <c r="P8" s="62"/>
      <c r="Q8" s="4"/>
      <c r="R8" s="43"/>
      <c r="S8" s="36"/>
      <c r="T8" s="68"/>
      <c r="U8" s="33"/>
      <c r="V8" s="58"/>
      <c r="W8" s="43"/>
      <c r="X8" s="36"/>
      <c r="Y8" s="36"/>
      <c r="Z8" s="36"/>
      <c r="AA8" s="51"/>
      <c r="AB8" s="43"/>
      <c r="AC8" s="43"/>
      <c r="AD8" s="33" t="s">
        <v>48</v>
      </c>
      <c r="AE8" s="33" t="s">
        <v>72</v>
      </c>
      <c r="AF8" s="38" t="s">
        <v>50</v>
      </c>
      <c r="AG8" s="36">
        <v>46142</v>
      </c>
      <c r="AH8" s="39"/>
      <c r="AI8" s="33"/>
      <c r="AJ8" s="40"/>
      <c r="AK8" s="139" t="str" cm="1">
        <f t="array" ref="AK8">IF($B8="","",_xlfn.LET(_xlpm.nm,$B8,_xlpm.st,$C8,_xlpm.ou,SUMPRODUCT(('Rework Log'!$A$2:$A$497=_xlpm.nm)*('Rework Log'!$G$2:$G$497&lt;&gt;"Yes")*('Rework Log'!$G$2:$G$497&lt;&gt;"Did not pass re-test")*('Rework Log'!$J$2:$J$497="")),_xlpm.ob,SUMPRODUCT(('Rework Log'!$A$2:$A$497=_xlpm.nm)*('Rework Log'!$G$2:$G$497&lt;&gt;"Yes")*('Rework Log'!$G$2:$G$497&lt;&gt;"Did not pass re-test")),_xlpm.oto,IF(SUMPRODUCT(('Rework Log'!$A$2:$A$497=_xlpm.nm)*('Rework Log'!$G$2:$G$497&lt;&gt;"Yes")*('Rework Log'!$G$2:$G$497&lt;&gt;"Did not pass re-test")*('Rework Log'!$J$2:$J$497=""))=0,"",INDEX('Rework Log'!$D$2:$D$497,MATCH(1,('Rework Log'!$A$2:$A$497=_xlpm.nm)*('Rework Log'!$G$2:$G$497&lt;&gt;"Yes")*('Rework Log'!$G$2:$G$497&lt;&gt;"Did not pass re-test")*('Rework Log'!$J$2:$J$497=""),0))),_xlpm.sent,_xlfn.MAXIFS('Rework Log'!$B$2:$B$497,'Rework Log'!$A$2:$A$497,_xlpm.nm),_xlpm.act,_xlfn.IFS(_xlpm.st="NOT STARTED",$M8,_xlpm.st="DB Dev",$M8,_xlpm.st="PBI Dev",$S8,_xlpm.st="QA",$Y8,_xlpm.st="DPO Approval",$AC8,_xlpm.st="Ready for Release in Prod",$AG8,TRUE,""),_xlpm.nxt,_xlfn.IFS(_xlpm.st="NOT STARTED","PBI Dev",_xlpm.st="DB Dev","PBI Dev",_xlpm.st="PBI Dev","QA",_xlpm.st="QA","DPO Approval",_xlpm.st="DPO Approval","Ready for Release in Prod",_xlpm.st="Ready for Release in Prod","RELEASED IN PROD",TRUE,""),IF(AND(_xlpm.ou&gt;0,_xlpm.st&lt;&gt;_xlpm.oto),"Move status back to "&amp;_xlpm.oto,IF(AND(_xlpm.ob=0,LEFT($AJ8,3)="Yes"),"Blocked - log it on Rework Log",IF(AND(_xlpm.ob&gt;0,LEFT($AJ8,3)&lt;&gt;"Yes"),"Open rework row - mark Blocked or close it",IF(AND(_xlpm.ob=0,_xlpm.act&lt;&gt;"",_xlpm.act&gt;=_xlpm.sent,_xlpm.nxt&lt;&gt;""),"Move status to "&amp;_xlpm.nxt,IF(COUNTIF($B$2:$B$528,$B8)&gt;1,"Duplicate name - check row",IF(COUNTIF('Rework Log'!$A$2:$A$497,$B8)&gt;0,"",IF(AND($V8&lt;&gt;"",$K8&lt;&gt;"",$V8&lt;$K8),"QA target is before DB Dev target",IF(AND($V8&lt;&gt;"",$Q8&lt;&gt;"",$V8&lt;$Q8),"QA target is before PBI Dev target",IF(AND($AA8&lt;&gt;"",$V8&lt;&gt;"",$AA8&lt;$V8),"DPO Approval target is before QA target",IF(AND($AG8&lt;&gt;"",$AA8&lt;&gt;"",$AG8&lt;$AA8),"Confirmed Deployed date is before DPO Approval target",""))))))))))))</f>
        <v/>
      </c>
      <c r="AL8" s="41"/>
      <c r="AM8" s="31" t="str" cm="1">
        <f t="array" ref="AM8">_xlfn.LET(_xlpm.rep,$B8,_xlpm.sent,_xlfn.MAXIFS('Rework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
      </c>
      <c r="AN8" s="31" t="str" cm="1">
        <f t="array" ref="AN8">_xlfn.LET(_xlpm.rep,$B8,_xlpm.sent,_xlfn.MAXIFS('Rework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9" spans="1:40" hidden="1">
      <c r="A9" s="33" t="s">
        <v>40</v>
      </c>
      <c r="B9" s="33" t="s">
        <v>73</v>
      </c>
      <c r="C9" s="33" t="s">
        <v>42</v>
      </c>
      <c r="D9" t="str" cm="1">
        <f t="array" aca="1" ref="D9" ca="1">IF(AND(C9="Ready for Release in Prod",LEFT($AJ9,3)&lt;&gt;"Yes"),IF(AG9&lt;&gt;"","Delivered","On track"),IF($B9="","",IF(LEFT($AJ9,3)="Yes","Blocked - "&amp;MID($AJ9,7,100)&amp;IF(SUMPRODUCT(('Rework Log'!$A$2:$A$497=$B9)*('Rework Log'!$G$2:$G$497&lt;&gt;"Yes")*('Rework Log'!$G$2:$G$497&lt;&gt;"Did not pass re-test"))=0,"",IF(SUMPRODUCT(MAX((('Rework Log'!$A$2:$A$497=$B9)*('Rework Log'!$G$2:$G$497&lt;&gt;"Yes")*('Rework Log'!$G$2:$G$497&lt;&gt;"Did not pass re-test"))*'Rework Log'!$I$2:$I$497))=0," - unclaimed"," - promised "&amp;TEXT(SUMPRODUCT(MAX((('Rework Log'!$A$2:$A$497=$B9)*('Rework Log'!$G$2:$G$497&lt;&gt;"Yes")*('Rework Log'!$G$2:$G$497&lt;&gt;"Did not pass re-test"))*'Rework Log'!$I$2:$I$497)),"m/d"))),IF(C9="NOT STARTED",IF(H9="","No plan date set",IF(H9&lt;TODAY(),"Review - planned start passed","On track")),IF(C9="DB Dev",_xlfn.LET(_xlpm.sent,_xlfn.MAXIFS('Rework Log'!$B$2:$B$497,'Rework Log'!$A$2:$A$497,$B9,'Rework Log'!$D$2:$D$497,"DB Dev"),_xlpm.expfix,_xlfn.MAXIFS('Rework Log'!$I$2:$I$497,'Rework Log'!$A$2:$A$497,$B9,'Rework Log'!$D$2:$D$497,"DB Dev",'Rework Log'!$B$2:$B$497,_xlpm.sent),_xlpm.tgt,IF(_xlpm.expfix&gt;0,_xlpm.expfix,IF(L9&lt;&gt;"",L9,K9)),_xlpm.act,IF(AND(M9&lt;&gt;"",M9&gt;=_xlpm.sent),M9,""),IF(_xlpm.tgt="","No target set",IF(AND(_xlpm.tgt&lt;TODAY(),_xlpm.act=""),"Overdue","On track"))),IF(C9="PBI Dev",_xlfn.LET(_xlpm.sent,_xlfn.MAXIFS('Rework Log'!$B$2:$B$497,'Rework Log'!$A$2:$A$497,$B9,'Rework Log'!$D$2:$D$497,"PBI Dev"),_xlpm.expfix,_xlfn.MAXIFS('Rework Log'!$I$2:$I$497,'Rework Log'!$A$2:$A$497,$B9,'Rework Log'!$D$2:$D$497,"PBI Dev",'Rework Log'!$B$2:$B$497,_xlpm.sent),_xlpm.tgt,IF(_xlpm.expfix&gt;0,_xlpm.expfix,IF(R9&lt;&gt;"",R9,Q9)),_xlpm.act,IF(AND(S9&lt;&gt;"",S9&gt;=_xlpm.sent),S9,""),IF(_xlpm.tgt="","No target set",IF(AND(_xlpm.tgt&lt;TODAY(),_xlpm.act=""),"Overdue","On track"))),IF(C9="QA",_xlfn.LET(_xlpm.tgt,IF(AM9&lt;&gt;"",AM9,IF(W9&lt;&gt;"",W9,V9)),_xlpm.sent,_xlfn.MAXIFS('Rework Log'!$B$2:$B$497,'Rework Log'!$A$2:$A$497,$B9,'Rework Log'!$C$2:$C$497,"QA"),_xlpm.act,IF(AND(Y9&lt;&gt;"",Y9&gt;=_xlpm.sent),Y9,""),IF(_xlpm.tgt="","No target set",IF(AND(_xlpm.tgt&lt;TODAY(),_xlpm.act=""),"Overdue","On track"))),IF(C9="DPO Approval",_xlfn.LET(_xlpm.tgt,IF(AN9&lt;&gt;"",AN9,IF(AB9&lt;&gt;"",AB9,AA9)),_xlpm.sent,_xlfn.MAXIFS('Rework Log'!$B$2:$B$497,'Rework Log'!$A$2:$A$497,$B9,'Rework Log'!$C$2:$C$497,"DPO*"),_xlpm.act,IF(AND(AC9&lt;&gt;"",AC9&gt;=_xlpm.sent),AC9,""),IF(_xlpm.tgt="","No target set",IF(AND(_xlpm.tgt&lt;TODAY(),_xlpm.act=""),"Overdue","On track"))),IF(C9="RELEASED IN PROD","Delivered","")))))))))</f>
        <v>Delivered</v>
      </c>
      <c r="E9" s="33">
        <v>8</v>
      </c>
      <c r="F9" s="34"/>
      <c r="G9" s="33"/>
      <c r="H9" s="49">
        <v>46142</v>
      </c>
      <c r="I9" s="54" t="s">
        <v>43</v>
      </c>
      <c r="J9" s="33"/>
      <c r="K9" s="4"/>
      <c r="L9" s="46"/>
      <c r="M9" s="36"/>
      <c r="N9" s="36" t="s">
        <v>45</v>
      </c>
      <c r="O9" s="36"/>
      <c r="P9" s="62"/>
      <c r="Q9" s="4"/>
      <c r="R9" s="43"/>
      <c r="S9" s="36"/>
      <c r="T9" s="68"/>
      <c r="U9" s="33"/>
      <c r="V9" s="58"/>
      <c r="W9" s="43"/>
      <c r="X9" s="36"/>
      <c r="Y9" s="36"/>
      <c r="Z9" s="36"/>
      <c r="AA9" s="51"/>
      <c r="AB9" s="43"/>
      <c r="AC9" s="43"/>
      <c r="AD9" s="33" t="s">
        <v>48</v>
      </c>
      <c r="AE9" s="33" t="s">
        <v>72</v>
      </c>
      <c r="AF9" s="38" t="s">
        <v>50</v>
      </c>
      <c r="AG9" s="36">
        <v>46142</v>
      </c>
      <c r="AH9" s="39"/>
      <c r="AI9" s="33"/>
      <c r="AJ9" s="40"/>
      <c r="AK9" s="139" t="str" cm="1">
        <f t="array" ref="AK9">IF($B9="","",_xlfn.LET(_xlpm.nm,$B9,_xlpm.st,$C9,_xlpm.ou,SUMPRODUCT(('Rework Log'!$A$2:$A$497=_xlpm.nm)*('Rework Log'!$G$2:$G$497&lt;&gt;"Yes")*('Rework Log'!$G$2:$G$497&lt;&gt;"Did not pass re-test")*('Rework Log'!$J$2:$J$497="")),_xlpm.ob,SUMPRODUCT(('Rework Log'!$A$2:$A$497=_xlpm.nm)*('Rework Log'!$G$2:$G$497&lt;&gt;"Yes")*('Rework Log'!$G$2:$G$497&lt;&gt;"Did not pass re-test")),_xlpm.oto,IF(SUMPRODUCT(('Rework Log'!$A$2:$A$497=_xlpm.nm)*('Rework Log'!$G$2:$G$497&lt;&gt;"Yes")*('Rework Log'!$G$2:$G$497&lt;&gt;"Did not pass re-test")*('Rework Log'!$J$2:$J$497=""))=0,"",INDEX('Rework Log'!$D$2:$D$497,MATCH(1,('Rework Log'!$A$2:$A$497=_xlpm.nm)*('Rework Log'!$G$2:$G$497&lt;&gt;"Yes")*('Rework Log'!$G$2:$G$497&lt;&gt;"Did not pass re-test")*('Rework Log'!$J$2:$J$497=""),0))),_xlpm.sent,_xlfn.MAXIFS('Rework Log'!$B$2:$B$497,'Rework Log'!$A$2:$A$497,_xlpm.nm),_xlpm.act,_xlfn.IFS(_xlpm.st="NOT STARTED",$M9,_xlpm.st="DB Dev",$M9,_xlpm.st="PBI Dev",$S9,_xlpm.st="QA",$Y9,_xlpm.st="DPO Approval",$AC9,_xlpm.st="Ready for Release in Prod",$AG9,TRUE,""),_xlpm.nxt,_xlfn.IFS(_xlpm.st="NOT STARTED","PBI Dev",_xlpm.st="DB Dev","PBI Dev",_xlpm.st="PBI Dev","QA",_xlpm.st="QA","DPO Approval",_xlpm.st="DPO Approval","Ready for Release in Prod",_xlpm.st="Ready for Release in Prod","RELEASED IN PROD",TRUE,""),IF(AND(_xlpm.ou&gt;0,_xlpm.st&lt;&gt;_xlpm.oto),"Move status back to "&amp;_xlpm.oto,IF(AND(_xlpm.ob=0,LEFT($AJ9,3)="Yes"),"Blocked - log it on Rework Log",IF(AND(_xlpm.ob&gt;0,LEFT($AJ9,3)&lt;&gt;"Yes"),"Open rework row - mark Blocked or close it",IF(AND(_xlpm.ob=0,_xlpm.act&lt;&gt;"",_xlpm.act&gt;=_xlpm.sent,_xlpm.nxt&lt;&gt;""),"Move status to "&amp;_xlpm.nxt,IF(COUNTIF($B$2:$B$528,$B9)&gt;1,"Duplicate name - check row",IF(COUNTIF('Rework Log'!$A$2:$A$497,$B9)&gt;0,"",IF(AND($V9&lt;&gt;"",$K9&lt;&gt;"",$V9&lt;$K9),"QA target is before DB Dev target",IF(AND($V9&lt;&gt;"",$Q9&lt;&gt;"",$V9&lt;$Q9),"QA target is before PBI Dev target",IF(AND($AA9&lt;&gt;"",$V9&lt;&gt;"",$AA9&lt;$V9),"DPO Approval target is before QA target",IF(AND($AG9&lt;&gt;"",$AA9&lt;&gt;"",$AG9&lt;$AA9),"Confirmed Deployed date is before DPO Approval target",""))))))))))))</f>
        <v/>
      </c>
      <c r="AL9" s="41"/>
      <c r="AM9" s="31" t="str" cm="1">
        <f t="array" ref="AM9">_xlfn.LET(_xlpm.rep,$B9,_xlpm.sent,_xlfn.MAXIFS('Rework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
      </c>
      <c r="AN9" s="31" t="str" cm="1">
        <f t="array" ref="AN9">_xlfn.LET(_xlpm.rep,$B9,_xlpm.sent,_xlfn.MAXIFS('Rework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10" spans="1:40" hidden="1">
      <c r="A10" s="33" t="s">
        <v>40</v>
      </c>
      <c r="B10" s="33" t="s">
        <v>74</v>
      </c>
      <c r="C10" s="33" t="s">
        <v>42</v>
      </c>
      <c r="D10" t="str" cm="1">
        <f t="array" aca="1" ref="D10" ca="1">IF(AND(C10="Ready for Release in Prod",LEFT($AJ10,3)&lt;&gt;"Yes"),IF(AG10&lt;&gt;"","Delivered","On track"),IF($B10="","",IF(LEFT($AJ10,3)="Yes","Blocked - "&amp;MID($AJ10,7,100)&amp;IF(SUMPRODUCT(('Rework Log'!$A$2:$A$497=$B10)*('Rework Log'!$G$2:$G$497&lt;&gt;"Yes")*('Rework Log'!$G$2:$G$497&lt;&gt;"Did not pass re-test"))=0,"",IF(SUMPRODUCT(MAX((('Rework Log'!$A$2:$A$497=$B10)*('Rework Log'!$G$2:$G$497&lt;&gt;"Yes")*('Rework Log'!$G$2:$G$497&lt;&gt;"Did not pass re-test"))*'Rework Log'!$I$2:$I$497))=0," - unclaimed"," - promised "&amp;TEXT(SUMPRODUCT(MAX((('Rework Log'!$A$2:$A$497=$B10)*('Rework Log'!$G$2:$G$497&lt;&gt;"Yes")*('Rework Log'!$G$2:$G$497&lt;&gt;"Did not pass re-test"))*'Rework Log'!$I$2:$I$497)),"m/d"))),IF(C10="NOT STARTED",IF(H10="","No plan date set",IF(H10&lt;TODAY(),"Review - planned start passed","On track")),IF(C10="DB Dev",_xlfn.LET(_xlpm.sent,_xlfn.MAXIFS('Rework Log'!$B$2:$B$497,'Rework Log'!$A$2:$A$497,$B10,'Rework Log'!$D$2:$D$497,"DB Dev"),_xlpm.expfix,_xlfn.MAXIFS('Rework Log'!$I$2:$I$497,'Rework Log'!$A$2:$A$497,$B10,'Rework Log'!$D$2:$D$497,"DB Dev",'Rework Log'!$B$2:$B$497,_xlpm.sent),_xlpm.tgt,IF(_xlpm.expfix&gt;0,_xlpm.expfix,IF(L10&lt;&gt;"",L10,K10)),_xlpm.act,IF(AND(M10&lt;&gt;"",M10&gt;=_xlpm.sent),M10,""),IF(_xlpm.tgt="","No target set",IF(AND(_xlpm.tgt&lt;TODAY(),_xlpm.act=""),"Overdue","On track"))),IF(C10="PBI Dev",_xlfn.LET(_xlpm.sent,_xlfn.MAXIFS('Rework Log'!$B$2:$B$497,'Rework Log'!$A$2:$A$497,$B10,'Rework Log'!$D$2:$D$497,"PBI Dev"),_xlpm.expfix,_xlfn.MAXIFS('Rework Log'!$I$2:$I$497,'Rework Log'!$A$2:$A$497,$B10,'Rework Log'!$D$2:$D$497,"PBI Dev",'Rework Log'!$B$2:$B$497,_xlpm.sent),_xlpm.tgt,IF(_xlpm.expfix&gt;0,_xlpm.expfix,IF(R10&lt;&gt;"",R10,Q10)),_xlpm.act,IF(AND(S10&lt;&gt;"",S10&gt;=_xlpm.sent),S10,""),IF(_xlpm.tgt="","No target set",IF(AND(_xlpm.tgt&lt;TODAY(),_xlpm.act=""),"Overdue","On track"))),IF(C10="QA",_xlfn.LET(_xlpm.tgt,IF(AM10&lt;&gt;"",AM10,IF(W10&lt;&gt;"",W10,V10)),_xlpm.sent,_xlfn.MAXIFS('Rework Log'!$B$2:$B$497,'Rework Log'!$A$2:$A$497,$B10,'Rework Log'!$C$2:$C$497,"QA"),_xlpm.act,IF(AND(Y10&lt;&gt;"",Y10&gt;=_xlpm.sent),Y10,""),IF(_xlpm.tgt="","No target set",IF(AND(_xlpm.tgt&lt;TODAY(),_xlpm.act=""),"Overdue","On track"))),IF(C10="DPO Approval",_xlfn.LET(_xlpm.tgt,IF(AN10&lt;&gt;"",AN10,IF(AB10&lt;&gt;"",AB10,AA10)),_xlpm.sent,_xlfn.MAXIFS('Rework Log'!$B$2:$B$497,'Rework Log'!$A$2:$A$497,$B10,'Rework Log'!$C$2:$C$497,"DPO*"),_xlpm.act,IF(AND(AC10&lt;&gt;"",AC10&gt;=_xlpm.sent),AC10,""),IF(_xlpm.tgt="","No target set",IF(AND(_xlpm.tgt&lt;TODAY(),_xlpm.act=""),"Overdue","On track"))),IF(C10="RELEASED IN PROD","Delivered","")))))))))</f>
        <v>Delivered</v>
      </c>
      <c r="E10" s="33">
        <v>9</v>
      </c>
      <c r="F10" s="34"/>
      <c r="G10" s="33"/>
      <c r="H10" s="49">
        <v>46173</v>
      </c>
      <c r="I10" s="54" t="s">
        <v>75</v>
      </c>
      <c r="J10" s="33" t="s">
        <v>76</v>
      </c>
      <c r="K10" s="4">
        <v>46150</v>
      </c>
      <c r="L10" s="36"/>
      <c r="M10" s="36">
        <v>46157</v>
      </c>
      <c r="N10" s="36" t="s">
        <v>45</v>
      </c>
      <c r="O10" s="36"/>
      <c r="P10" s="62" t="s">
        <v>77</v>
      </c>
      <c r="Q10" s="4">
        <v>46157</v>
      </c>
      <c r="R10" s="36"/>
      <c r="S10" s="36">
        <v>46134</v>
      </c>
      <c r="T10" s="68"/>
      <c r="U10" s="33" t="s">
        <v>47</v>
      </c>
      <c r="V10" s="58">
        <v>46164</v>
      </c>
      <c r="W10" s="36"/>
      <c r="X10" s="36"/>
      <c r="Y10" s="36">
        <v>46134</v>
      </c>
      <c r="Z10" s="36"/>
      <c r="AA10" s="51">
        <v>46169</v>
      </c>
      <c r="AB10" s="36"/>
      <c r="AC10" s="36"/>
      <c r="AD10" s="33" t="s">
        <v>48</v>
      </c>
      <c r="AE10" s="33" t="s">
        <v>72</v>
      </c>
      <c r="AF10" s="38" t="s">
        <v>50</v>
      </c>
      <c r="AG10" s="36">
        <v>46134</v>
      </c>
      <c r="AH10" s="39" t="s">
        <v>78</v>
      </c>
      <c r="AI10" s="33" t="s">
        <v>79</v>
      </c>
      <c r="AJ10" s="40" t="s">
        <v>53</v>
      </c>
      <c r="AK10" s="72" t="str" cm="1">
        <f t="array" ref="AK10">IF($B10="","",_xlfn.LET(_xlpm.nm,$B10,_xlpm.st,$C10,_xlpm.ou,SUMPRODUCT(('Rework Log'!$A$2:$A$497=_xlpm.nm)*('Rework Log'!$G$2:$G$497&lt;&gt;"Yes")*('Rework Log'!$G$2:$G$497&lt;&gt;"Did not pass re-test")*('Rework Log'!$J$2:$J$497="")),_xlpm.ob,SUMPRODUCT(('Rework Log'!$A$2:$A$497=_xlpm.nm)*('Rework Log'!$G$2:$G$497&lt;&gt;"Yes")*('Rework Log'!$G$2:$G$497&lt;&gt;"Did not pass re-test")),_xlpm.oto,IF(SUMPRODUCT(('Rework Log'!$A$2:$A$497=_xlpm.nm)*('Rework Log'!$G$2:$G$497&lt;&gt;"Yes")*('Rework Log'!$G$2:$G$497&lt;&gt;"Did not pass re-test")*('Rework Log'!$J$2:$J$497=""))=0,"",INDEX('Rework Log'!$D$2:$D$497,MATCH(1,('Rework Log'!$A$2:$A$497=_xlpm.nm)*('Rework Log'!$G$2:$G$497&lt;&gt;"Yes")*('Rework Log'!$G$2:$G$497&lt;&gt;"Did not pass re-test")*('Rework Log'!$J$2:$J$497=""),0))),_xlpm.sent,_xlfn.MAXIFS('Rework Log'!$B$2:$B$497,'Rework Log'!$A$2:$A$497,_xlpm.nm),_xlpm.act,_xlfn.IFS(_xlpm.st="NOT STARTED",$M10,_xlpm.st="DB Dev",$M10,_xlpm.st="PBI Dev",$S10,_xlpm.st="QA",$Y10,_xlpm.st="DPO Approval",$AC10,_xlpm.st="Ready for Release in Prod",$AG10,TRUE,""),_xlpm.nxt,_xlfn.IFS(_xlpm.st="NOT STARTED","PBI Dev",_xlpm.st="DB Dev","PBI Dev",_xlpm.st="PBI Dev","QA",_xlpm.st="QA","DPO Approval",_xlpm.st="DPO Approval","Ready for Release in Prod",_xlpm.st="Ready for Release in Prod","RELEASED IN PROD",TRUE,""),IF(AND(_xlpm.ou&gt;0,_xlpm.st&lt;&gt;_xlpm.oto),"Move status back to "&amp;_xlpm.oto,IF(AND(_xlpm.ob=0,LEFT($AJ10,3)="Yes"),"Blocked - log it on Rework Log",IF(AND(_xlpm.ob&gt;0,LEFT($AJ10,3)&lt;&gt;"Yes"),"Open rework row - mark Blocked or close it",IF(AND(_xlpm.ob=0,_xlpm.act&lt;&gt;"",_xlpm.act&gt;=_xlpm.sent,_xlpm.nxt&lt;&gt;""),"Move status to "&amp;_xlpm.nxt,IF(COUNTIF($B$2:$B$528,$B10)&gt;1,"Duplicate name - check row",IF(COUNTIF('Rework Log'!$A$2:$A$497,$B10)&gt;0,"",IF(AND($V10&lt;&gt;"",$K10&lt;&gt;"",$V10&lt;$K10),"QA target is before DB Dev target",IF(AND($V10&lt;&gt;"",$Q10&lt;&gt;"",$V10&lt;$Q10),"QA target is before PBI Dev target",IF(AND($AA10&lt;&gt;"",$V10&lt;&gt;"",$AA10&lt;$V10),"DPO Approval target is before QA target",IF(AND($AG10&lt;&gt;"",$AA10&lt;&gt;"",$AG10&lt;$AA10),"Confirmed Deployed date is before DPO Approval target",""))))))))))))</f>
        <v>Confirmed Deployed date is before DPO Approval target</v>
      </c>
      <c r="AL10" s="41"/>
      <c r="AM10" s="31" t="str" cm="1">
        <f t="array" ref="AM10">_xlfn.LET(_xlpm.rep,$B10,_xlpm.sent,_xlfn.MAXIFS('Rework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
      </c>
      <c r="AN10" s="31" t="str" cm="1">
        <f t="array" ref="AN10">_xlfn.LET(_xlpm.rep,$B10,_xlpm.sent,_xlfn.MAXIFS('Rework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11" spans="1:40" hidden="1">
      <c r="A11" s="33" t="s">
        <v>40</v>
      </c>
      <c r="B11" s="33" t="s">
        <v>80</v>
      </c>
      <c r="C11" s="33" t="s">
        <v>42</v>
      </c>
      <c r="D11" t="str" cm="1">
        <f t="array" aca="1" ref="D11" ca="1">IF(AND(C11="Ready for Release in Prod",LEFT($AJ11,3)&lt;&gt;"Yes"),IF(AG11&lt;&gt;"","Delivered","On track"),IF($B11="","",IF(LEFT($AJ11,3)="Yes","Blocked - "&amp;MID($AJ11,7,100)&amp;IF(SUMPRODUCT(('Rework Log'!$A$2:$A$497=$B11)*('Rework Log'!$G$2:$G$497&lt;&gt;"Yes")*('Rework Log'!$G$2:$G$497&lt;&gt;"Did not pass re-test"))=0,"",IF(SUMPRODUCT(MAX((('Rework Log'!$A$2:$A$497=$B11)*('Rework Log'!$G$2:$G$497&lt;&gt;"Yes")*('Rework Log'!$G$2:$G$497&lt;&gt;"Did not pass re-test"))*'Rework Log'!$I$2:$I$497))=0," - unclaimed"," - promised "&amp;TEXT(SUMPRODUCT(MAX((('Rework Log'!$A$2:$A$497=$B11)*('Rework Log'!$G$2:$G$497&lt;&gt;"Yes")*('Rework Log'!$G$2:$G$497&lt;&gt;"Did not pass re-test"))*'Rework Log'!$I$2:$I$497)),"m/d"))),IF(C11="NOT STARTED",IF(H11="","No plan date set",IF(H11&lt;TODAY(),"Review - planned start passed","On track")),IF(C11="DB Dev",_xlfn.LET(_xlpm.sent,_xlfn.MAXIFS('Rework Log'!$B$2:$B$497,'Rework Log'!$A$2:$A$497,$B11,'Rework Log'!$D$2:$D$497,"DB Dev"),_xlpm.expfix,_xlfn.MAXIFS('Rework Log'!$I$2:$I$497,'Rework Log'!$A$2:$A$497,$B11,'Rework Log'!$D$2:$D$497,"DB Dev",'Rework Log'!$B$2:$B$497,_xlpm.sent),_xlpm.tgt,IF(_xlpm.expfix&gt;0,_xlpm.expfix,IF(L11&lt;&gt;"",L11,K11)),_xlpm.act,IF(AND(M11&lt;&gt;"",M11&gt;=_xlpm.sent),M11,""),IF(_xlpm.tgt="","No target set",IF(AND(_xlpm.tgt&lt;TODAY(),_xlpm.act=""),"Overdue","On track"))),IF(C11="PBI Dev",_xlfn.LET(_xlpm.sent,_xlfn.MAXIFS('Rework Log'!$B$2:$B$497,'Rework Log'!$A$2:$A$497,$B11,'Rework Log'!$D$2:$D$497,"PBI Dev"),_xlpm.expfix,_xlfn.MAXIFS('Rework Log'!$I$2:$I$497,'Rework Log'!$A$2:$A$497,$B11,'Rework Log'!$D$2:$D$497,"PBI Dev",'Rework Log'!$B$2:$B$497,_xlpm.sent),_xlpm.tgt,IF(_xlpm.expfix&gt;0,_xlpm.expfix,IF(R11&lt;&gt;"",R11,Q11)),_xlpm.act,IF(AND(S11&lt;&gt;"",S11&gt;=_xlpm.sent),S11,""),IF(_xlpm.tgt="","No target set",IF(AND(_xlpm.tgt&lt;TODAY(),_xlpm.act=""),"Overdue","On track"))),IF(C11="QA",_xlfn.LET(_xlpm.tgt,IF(AM11&lt;&gt;"",AM11,IF(W11&lt;&gt;"",W11,V11)),_xlpm.sent,_xlfn.MAXIFS('Rework Log'!$B$2:$B$497,'Rework Log'!$A$2:$A$497,$B11,'Rework Log'!$C$2:$C$497,"QA"),_xlpm.act,IF(AND(Y11&lt;&gt;"",Y11&gt;=_xlpm.sent),Y11,""),IF(_xlpm.tgt="","No target set",IF(AND(_xlpm.tgt&lt;TODAY(),_xlpm.act=""),"Overdue","On track"))),IF(C11="DPO Approval",_xlfn.LET(_xlpm.tgt,IF(AN11&lt;&gt;"",AN11,IF(AB11&lt;&gt;"",AB11,AA11)),_xlpm.sent,_xlfn.MAXIFS('Rework Log'!$B$2:$B$497,'Rework Log'!$A$2:$A$497,$B11,'Rework Log'!$C$2:$C$497,"DPO*"),_xlpm.act,IF(AND(AC11&lt;&gt;"",AC11&gt;=_xlpm.sent),AC11,""),IF(_xlpm.tgt="","No target set",IF(AND(_xlpm.tgt&lt;TODAY(),_xlpm.act=""),"Overdue","On track"))),IF(C11="RELEASED IN PROD","Delivered","")))))))))</f>
        <v>Delivered</v>
      </c>
      <c r="E11" s="33">
        <v>10</v>
      </c>
      <c r="F11" s="34"/>
      <c r="G11" s="33"/>
      <c r="H11" s="49">
        <v>46173</v>
      </c>
      <c r="I11" s="54" t="s">
        <v>75</v>
      </c>
      <c r="J11" s="33" t="s">
        <v>59</v>
      </c>
      <c r="K11" s="4">
        <v>46150</v>
      </c>
      <c r="L11" s="36"/>
      <c r="M11" s="36">
        <v>46157</v>
      </c>
      <c r="N11" s="36" t="s">
        <v>45</v>
      </c>
      <c r="O11" s="36"/>
      <c r="P11" s="63" t="s">
        <v>77</v>
      </c>
      <c r="Q11" s="4">
        <v>46157</v>
      </c>
      <c r="R11" s="36"/>
      <c r="S11" s="36">
        <v>46139</v>
      </c>
      <c r="T11" s="68"/>
      <c r="U11" s="33" t="s">
        <v>47</v>
      </c>
      <c r="V11" s="58">
        <v>46164</v>
      </c>
      <c r="W11" s="36"/>
      <c r="X11" s="36"/>
      <c r="Y11" s="36">
        <v>46139</v>
      </c>
      <c r="Z11" s="36"/>
      <c r="AA11" s="51">
        <v>46169</v>
      </c>
      <c r="AB11" s="36"/>
      <c r="AC11" s="36"/>
      <c r="AD11" s="33" t="s">
        <v>48</v>
      </c>
      <c r="AE11" s="33" t="s">
        <v>72</v>
      </c>
      <c r="AF11" s="38" t="s">
        <v>50</v>
      </c>
      <c r="AG11" s="36">
        <v>46139</v>
      </c>
      <c r="AH11" s="39" t="s">
        <v>81</v>
      </c>
      <c r="AI11" s="33" t="s">
        <v>82</v>
      </c>
      <c r="AJ11" s="40" t="s">
        <v>53</v>
      </c>
      <c r="AK11" s="72" t="str" cm="1">
        <f t="array" ref="AK11">IF($B11="","",_xlfn.LET(_xlpm.nm,$B11,_xlpm.st,$C11,_xlpm.ou,SUMPRODUCT(('Rework Log'!$A$2:$A$497=_xlpm.nm)*('Rework Log'!$G$2:$G$497&lt;&gt;"Yes")*('Rework Log'!$G$2:$G$497&lt;&gt;"Did not pass re-test")*('Rework Log'!$J$2:$J$497="")),_xlpm.ob,SUMPRODUCT(('Rework Log'!$A$2:$A$497=_xlpm.nm)*('Rework Log'!$G$2:$G$497&lt;&gt;"Yes")*('Rework Log'!$G$2:$G$497&lt;&gt;"Did not pass re-test")),_xlpm.oto,IF(SUMPRODUCT(('Rework Log'!$A$2:$A$497=_xlpm.nm)*('Rework Log'!$G$2:$G$497&lt;&gt;"Yes")*('Rework Log'!$G$2:$G$497&lt;&gt;"Did not pass re-test")*('Rework Log'!$J$2:$J$497=""))=0,"",INDEX('Rework Log'!$D$2:$D$497,MATCH(1,('Rework Log'!$A$2:$A$497=_xlpm.nm)*('Rework Log'!$G$2:$G$497&lt;&gt;"Yes")*('Rework Log'!$G$2:$G$497&lt;&gt;"Did not pass re-test")*('Rework Log'!$J$2:$J$497=""),0))),_xlpm.sent,_xlfn.MAXIFS('Rework Log'!$B$2:$B$497,'Rework Log'!$A$2:$A$497,_xlpm.nm),_xlpm.act,_xlfn.IFS(_xlpm.st="NOT STARTED",$M11,_xlpm.st="DB Dev",$M11,_xlpm.st="PBI Dev",$S11,_xlpm.st="QA",$Y11,_xlpm.st="DPO Approval",$AC11,_xlpm.st="Ready for Release in Prod",$AG11,TRUE,""),_xlpm.nxt,_xlfn.IFS(_xlpm.st="NOT STARTED","PBI Dev",_xlpm.st="DB Dev","PBI Dev",_xlpm.st="PBI Dev","QA",_xlpm.st="QA","DPO Approval",_xlpm.st="DPO Approval","Ready for Release in Prod",_xlpm.st="Ready for Release in Prod","RELEASED IN PROD",TRUE,""),IF(AND(_xlpm.ou&gt;0,_xlpm.st&lt;&gt;_xlpm.oto),"Move status back to "&amp;_xlpm.oto,IF(AND(_xlpm.ob=0,LEFT($AJ11,3)="Yes"),"Blocked - log it on Rework Log",IF(AND(_xlpm.ob&gt;0,LEFT($AJ11,3)&lt;&gt;"Yes"),"Open rework row - mark Blocked or close it",IF(AND(_xlpm.ob=0,_xlpm.act&lt;&gt;"",_xlpm.act&gt;=_xlpm.sent,_xlpm.nxt&lt;&gt;""),"Move status to "&amp;_xlpm.nxt,IF(COUNTIF($B$2:$B$528,$B11)&gt;1,"Duplicate name - check row",IF(COUNTIF('Rework Log'!$A$2:$A$497,$B11)&gt;0,"",IF(AND($V11&lt;&gt;"",$K11&lt;&gt;"",$V11&lt;$K11),"QA target is before DB Dev target",IF(AND($V11&lt;&gt;"",$Q11&lt;&gt;"",$V11&lt;$Q11),"QA target is before PBI Dev target",IF(AND($AA11&lt;&gt;"",$V11&lt;&gt;"",$AA11&lt;$V11),"DPO Approval target is before QA target",IF(AND($AG11&lt;&gt;"",$AA11&lt;&gt;"",$AG11&lt;$AA11),"Confirmed Deployed date is before DPO Approval target",""))))))))))))</f>
        <v>Confirmed Deployed date is before DPO Approval target</v>
      </c>
      <c r="AL11" s="41"/>
      <c r="AM11" s="31" t="str" cm="1">
        <f t="array" ref="AM11">_xlfn.LET(_xlpm.rep,$B11,_xlpm.sent,_xlfn.MAXIFS('Rework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
      </c>
      <c r="AN11" s="31" t="str" cm="1">
        <f t="array" ref="AN11">_xlfn.LET(_xlpm.rep,$B11,_xlpm.sent,_xlfn.MAXIFS('Rework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12" spans="1:40" hidden="1">
      <c r="A12" s="33" t="s">
        <v>40</v>
      </c>
      <c r="B12" s="33" t="s">
        <v>83</v>
      </c>
      <c r="C12" s="33" t="s">
        <v>42</v>
      </c>
      <c r="D12" t="str" cm="1">
        <f t="array" aca="1" ref="D12" ca="1">IF(AND(C12="Ready for Release in Prod",LEFT($AJ12,3)&lt;&gt;"Yes"),IF(AG12&lt;&gt;"","Delivered","On track"),IF($B12="","",IF(LEFT($AJ12,3)="Yes","Blocked - "&amp;MID($AJ12,7,100)&amp;IF(SUMPRODUCT(('Rework Log'!$A$2:$A$497=$B12)*('Rework Log'!$G$2:$G$497&lt;&gt;"Yes")*('Rework Log'!$G$2:$G$497&lt;&gt;"Did not pass re-test"))=0,"",IF(SUMPRODUCT(MAX((('Rework Log'!$A$2:$A$497=$B12)*('Rework Log'!$G$2:$G$497&lt;&gt;"Yes")*('Rework Log'!$G$2:$G$497&lt;&gt;"Did not pass re-test"))*'Rework Log'!$I$2:$I$497))=0," - unclaimed"," - promised "&amp;TEXT(SUMPRODUCT(MAX((('Rework Log'!$A$2:$A$497=$B12)*('Rework Log'!$G$2:$G$497&lt;&gt;"Yes")*('Rework Log'!$G$2:$G$497&lt;&gt;"Did not pass re-test"))*'Rework Log'!$I$2:$I$497)),"m/d"))),IF(C12="NOT STARTED",IF(H12="","No plan date set",IF(H12&lt;TODAY(),"Review - planned start passed","On track")),IF(C12="DB Dev",_xlfn.LET(_xlpm.sent,_xlfn.MAXIFS('Rework Log'!$B$2:$B$497,'Rework Log'!$A$2:$A$497,$B12,'Rework Log'!$D$2:$D$497,"DB Dev"),_xlpm.expfix,_xlfn.MAXIFS('Rework Log'!$I$2:$I$497,'Rework Log'!$A$2:$A$497,$B12,'Rework Log'!$D$2:$D$497,"DB Dev",'Rework Log'!$B$2:$B$497,_xlpm.sent),_xlpm.tgt,IF(_xlpm.expfix&gt;0,_xlpm.expfix,IF(L12&lt;&gt;"",L12,K12)),_xlpm.act,IF(AND(M12&lt;&gt;"",M12&gt;=_xlpm.sent),M12,""),IF(_xlpm.tgt="","No target set",IF(AND(_xlpm.tgt&lt;TODAY(),_xlpm.act=""),"Overdue","On track"))),IF(C12="PBI Dev",_xlfn.LET(_xlpm.sent,_xlfn.MAXIFS('Rework Log'!$B$2:$B$497,'Rework Log'!$A$2:$A$497,$B12,'Rework Log'!$D$2:$D$497,"PBI Dev"),_xlpm.expfix,_xlfn.MAXIFS('Rework Log'!$I$2:$I$497,'Rework Log'!$A$2:$A$497,$B12,'Rework Log'!$D$2:$D$497,"PBI Dev",'Rework Log'!$B$2:$B$497,_xlpm.sent),_xlpm.tgt,IF(_xlpm.expfix&gt;0,_xlpm.expfix,IF(R12&lt;&gt;"",R12,Q12)),_xlpm.act,IF(AND(S12&lt;&gt;"",S12&gt;=_xlpm.sent),S12,""),IF(_xlpm.tgt="","No target set",IF(AND(_xlpm.tgt&lt;TODAY(),_xlpm.act=""),"Overdue","On track"))),IF(C12="QA",_xlfn.LET(_xlpm.tgt,IF(AM12&lt;&gt;"",AM12,IF(W12&lt;&gt;"",W12,V12)),_xlpm.sent,_xlfn.MAXIFS('Rework Log'!$B$2:$B$497,'Rework Log'!$A$2:$A$497,$B12,'Rework Log'!$C$2:$C$497,"QA"),_xlpm.act,IF(AND(Y12&lt;&gt;"",Y12&gt;=_xlpm.sent),Y12,""),IF(_xlpm.tgt="","No target set",IF(AND(_xlpm.tgt&lt;TODAY(),_xlpm.act=""),"Overdue","On track"))),IF(C12="DPO Approval",_xlfn.LET(_xlpm.tgt,IF(AN12&lt;&gt;"",AN12,IF(AB12&lt;&gt;"",AB12,AA12)),_xlpm.sent,_xlfn.MAXIFS('Rework Log'!$B$2:$B$497,'Rework Log'!$A$2:$A$497,$B12,'Rework Log'!$C$2:$C$497,"DPO*"),_xlpm.act,IF(AND(AC12&lt;&gt;"",AC12&gt;=_xlpm.sent),AC12,""),IF(_xlpm.tgt="","No target set",IF(AND(_xlpm.tgt&lt;TODAY(),_xlpm.act=""),"Overdue","On track"))),IF(C12="RELEASED IN PROD","Delivered","")))))))))</f>
        <v>Delivered</v>
      </c>
      <c r="E12" s="33">
        <v>11</v>
      </c>
      <c r="F12" s="34"/>
      <c r="G12" s="33"/>
      <c r="H12" s="49">
        <v>46173</v>
      </c>
      <c r="I12" s="54" t="s">
        <v>75</v>
      </c>
      <c r="J12" s="33" t="s">
        <v>84</v>
      </c>
      <c r="K12" s="4">
        <v>46150</v>
      </c>
      <c r="L12" s="36"/>
      <c r="M12" s="36">
        <v>46157</v>
      </c>
      <c r="N12" s="36" t="s">
        <v>45</v>
      </c>
      <c r="O12" s="36"/>
      <c r="P12" s="62" t="s">
        <v>60</v>
      </c>
      <c r="Q12" s="4">
        <v>46157</v>
      </c>
      <c r="R12" s="36"/>
      <c r="S12" s="36">
        <v>46147</v>
      </c>
      <c r="T12" s="68"/>
      <c r="U12" s="33" t="s">
        <v>47</v>
      </c>
      <c r="V12" s="58">
        <v>46164</v>
      </c>
      <c r="W12" s="36"/>
      <c r="X12" s="36"/>
      <c r="Y12" s="36">
        <v>46147</v>
      </c>
      <c r="Z12" s="36"/>
      <c r="AA12" s="51">
        <v>46169</v>
      </c>
      <c r="AB12" s="36"/>
      <c r="AC12" s="36"/>
      <c r="AD12" s="33" t="s">
        <v>48</v>
      </c>
      <c r="AE12" s="33" t="s">
        <v>49</v>
      </c>
      <c r="AF12" s="38" t="s">
        <v>50</v>
      </c>
      <c r="AG12" s="36">
        <v>46147</v>
      </c>
      <c r="AH12" s="39" t="s">
        <v>85</v>
      </c>
      <c r="AI12" s="33" t="s">
        <v>86</v>
      </c>
      <c r="AJ12" s="40" t="s">
        <v>53</v>
      </c>
      <c r="AK12" s="72" t="str">
        <f>IF($B12="","",IF(AND(LEFT($AJ12,3)="Yes",SUMPRODUCT(('Rework Log'!$A$2:$A$497=$B12)*('Rework Log'!$G$2:$G$497&lt;&gt;"Yes")*('Rework Log'!$G$2:$G$497&lt;&gt;"Did not pass re-test"))=0),"Blocked - log it on Rework Log",IF(AND(LEFT($AJ12,3)&lt;&gt;"Yes",SUMPRODUCT(('Rework Log'!$A$2:$A$497=$B12)*('Rework Log'!$G$2:$G$497&lt;&gt;"Yes")*('Rework Log'!$G$2:$G$497&lt;&gt;"Did not pass re-test"))&gt;0),"Open rework row - mark Blocked? or close it",IF(AND($AJ12="Yes – needs DB Dev to fix",M12&lt;&gt;"",SUMPRODUCT(MAX((('Rework Log'!$A$2:$A$497=$B12)*('Rework Log'!$G$2:$G$497&lt;&gt;"Yes")*('Rework Log'!$G$2:$G$497&lt;&gt;"Did not pass re-test"))*'Rework Log'!$I$2:$I$497))&gt;0),"Move old DB Dev completion date to Rework Log (col H)",IF(AND($AJ12="Yes – needs PBI Dev to fix",S12&lt;&gt;"",SUMPRODUCT(MAX((('Rework Log'!$A$2:$A$497=$B12)*('Rework Log'!$G$2:$G$497&lt;&gt;"Yes")*('Rework Log'!$G$2:$G$497&lt;&gt;"Did not pass re-test"))*'Rework Log'!$I$2:$I$497))&gt;0),"Move old PBI Dev completion date to Rework Log (col H)",IF(AND($AJ12="Yes – needs QA to fix",Y12&lt;&gt;"",SUMPRODUCT(MAX((('Rework Log'!$A$2:$A$497=$B12)*('Rework Log'!$G$2:$G$497&lt;&gt;"Yes")*('Rework Log'!$G$2:$G$497&lt;&gt;"Did not pass re-test"))*'Rework Log'!$I$2:$I$497))&gt;0),"Move old QA completion date to Rework Log (col H)",IF(COUNTIF($B$2:$B$528,$B12)&gt;1,"Duplicate name - check row",IF(COUNTIF('Rework Log'!$A$2:$A$497,$B12)&gt;0,"",IF(AND(V12&lt;&gt;"",K12&lt;&gt;"",V12&lt;K12),"QA target is before DB Dev target",IF(AND(V12&lt;&gt;"",Q12&lt;&gt;"",V12&lt;Q12),"QA target is before PBI Dev target",IF(AND(AA12&lt;&gt;"",V12&lt;&gt;"",AA12&lt;V12),"DPO Approval target is before QA target",IF(AND(AG12&lt;&gt;"",AA12&lt;&gt;"",AG12&lt;AA12),"Confirmed Deployed date is before DPO Approval target",""))))))))))))</f>
        <v>Confirmed Deployed date is before DPO Approval target</v>
      </c>
      <c r="AL12" s="41"/>
      <c r="AM12" s="31" t="str" cm="1">
        <f t="array" ref="AM12">_xlfn.LET(_xlpm.rep,$B12,_xlpm.sent,_xlfn.MAXIFS('Rework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
      </c>
      <c r="AN12" s="31" t="str" cm="1">
        <f t="array" ref="AN12">_xlfn.LET(_xlpm.rep,$B12,_xlpm.sent,_xlfn.MAXIFS('Rework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13" spans="1:40" hidden="1">
      <c r="A13" s="33" t="s">
        <v>40</v>
      </c>
      <c r="B13" s="33" t="s">
        <v>87</v>
      </c>
      <c r="C13" s="33" t="s">
        <v>42</v>
      </c>
      <c r="D13" t="str" cm="1">
        <f t="array" aca="1" ref="D13" ca="1">IF(AND(C13="Ready for Release in Prod",LEFT($AJ13,3)&lt;&gt;"Yes"),IF(AG13&lt;&gt;"","Delivered","On track"),IF($B13="","",IF(LEFT($AJ13,3)="Yes","Blocked - "&amp;MID($AJ13,7,100)&amp;IF(SUMPRODUCT(('Rework Log'!$A$2:$A$497=$B13)*('Rework Log'!$G$2:$G$497&lt;&gt;"Yes")*('Rework Log'!$G$2:$G$497&lt;&gt;"Did not pass re-test"))=0,"",IF(SUMPRODUCT(MAX((('Rework Log'!$A$2:$A$497=$B13)*('Rework Log'!$G$2:$G$497&lt;&gt;"Yes")*('Rework Log'!$G$2:$G$497&lt;&gt;"Did not pass re-test"))*'Rework Log'!$I$2:$I$497))=0," - unclaimed"," - promised "&amp;TEXT(SUMPRODUCT(MAX((('Rework Log'!$A$2:$A$497=$B13)*('Rework Log'!$G$2:$G$497&lt;&gt;"Yes")*('Rework Log'!$G$2:$G$497&lt;&gt;"Did not pass re-test"))*'Rework Log'!$I$2:$I$497)),"m/d"))),IF(C13="NOT STARTED",IF(H13="","No plan date set",IF(H13&lt;TODAY(),"Review - planned start passed","On track")),IF(C13="DB Dev",_xlfn.LET(_xlpm.sent,_xlfn.MAXIFS('Rework Log'!$B$2:$B$497,'Rework Log'!$A$2:$A$497,$B13,'Rework Log'!$D$2:$D$497,"DB Dev"),_xlpm.expfix,_xlfn.MAXIFS('Rework Log'!$I$2:$I$497,'Rework Log'!$A$2:$A$497,$B13,'Rework Log'!$D$2:$D$497,"DB Dev",'Rework Log'!$B$2:$B$497,_xlpm.sent),_xlpm.tgt,IF(_xlpm.expfix&gt;0,_xlpm.expfix,IF(L13&lt;&gt;"",L13,K13)),_xlpm.act,IF(AND(M13&lt;&gt;"",M13&gt;=_xlpm.sent),M13,""),IF(_xlpm.tgt="","No target set",IF(AND(_xlpm.tgt&lt;TODAY(),_xlpm.act=""),"Overdue","On track"))),IF(C13="PBI Dev",_xlfn.LET(_xlpm.sent,_xlfn.MAXIFS('Rework Log'!$B$2:$B$497,'Rework Log'!$A$2:$A$497,$B13,'Rework Log'!$D$2:$D$497,"PBI Dev"),_xlpm.expfix,_xlfn.MAXIFS('Rework Log'!$I$2:$I$497,'Rework Log'!$A$2:$A$497,$B13,'Rework Log'!$D$2:$D$497,"PBI Dev",'Rework Log'!$B$2:$B$497,_xlpm.sent),_xlpm.tgt,IF(_xlpm.expfix&gt;0,_xlpm.expfix,IF(R13&lt;&gt;"",R13,Q13)),_xlpm.act,IF(AND(S13&lt;&gt;"",S13&gt;=_xlpm.sent),S13,""),IF(_xlpm.tgt="","No target set",IF(AND(_xlpm.tgt&lt;TODAY(),_xlpm.act=""),"Overdue","On track"))),IF(C13="QA",_xlfn.LET(_xlpm.tgt,IF(AM13&lt;&gt;"",AM13,IF(W13&lt;&gt;"",W13,V13)),_xlpm.sent,_xlfn.MAXIFS('Rework Log'!$B$2:$B$497,'Rework Log'!$A$2:$A$497,$B13,'Rework Log'!$C$2:$C$497,"QA"),_xlpm.act,IF(AND(Y13&lt;&gt;"",Y13&gt;=_xlpm.sent),Y13,""),IF(_xlpm.tgt="","No target set",IF(AND(_xlpm.tgt&lt;TODAY(),_xlpm.act=""),"Overdue","On track"))),IF(C13="DPO Approval",_xlfn.LET(_xlpm.tgt,IF(AN13&lt;&gt;"",AN13,IF(AB13&lt;&gt;"",AB13,AA13)),_xlpm.sent,_xlfn.MAXIFS('Rework Log'!$B$2:$B$497,'Rework Log'!$A$2:$A$497,$B13,'Rework Log'!$C$2:$C$497,"DPO*"),_xlpm.act,IF(AND(AC13&lt;&gt;"",AC13&gt;=_xlpm.sent),AC13,""),IF(_xlpm.tgt="","No target set",IF(AND(_xlpm.tgt&lt;TODAY(),_xlpm.act=""),"Overdue","On track"))),IF(C13="RELEASED IN PROD","Delivered","")))))))))</f>
        <v>Delivered</v>
      </c>
      <c r="E13" s="33">
        <v>12</v>
      </c>
      <c r="F13" s="34"/>
      <c r="G13" s="33"/>
      <c r="H13" s="49">
        <v>46173</v>
      </c>
      <c r="I13" s="54" t="s">
        <v>75</v>
      </c>
      <c r="J13" s="33" t="s">
        <v>84</v>
      </c>
      <c r="K13" s="4">
        <v>46150</v>
      </c>
      <c r="L13" s="36"/>
      <c r="M13" s="36">
        <v>46157</v>
      </c>
      <c r="N13" s="36" t="s">
        <v>45</v>
      </c>
      <c r="O13" s="36"/>
      <c r="P13" s="62" t="s">
        <v>46</v>
      </c>
      <c r="Q13" s="4">
        <v>46157</v>
      </c>
      <c r="R13" s="36"/>
      <c r="S13" s="36">
        <v>46175</v>
      </c>
      <c r="T13" s="68"/>
      <c r="U13" s="33" t="s">
        <v>88</v>
      </c>
      <c r="V13" s="58">
        <v>46164</v>
      </c>
      <c r="W13" s="36"/>
      <c r="X13" s="36"/>
      <c r="Y13" s="36">
        <v>46179</v>
      </c>
      <c r="Z13" s="36"/>
      <c r="AA13" s="51">
        <v>46169</v>
      </c>
      <c r="AB13" s="36"/>
      <c r="AC13" s="36"/>
      <c r="AD13" s="33" t="s">
        <v>48</v>
      </c>
      <c r="AE13" s="33" t="s">
        <v>49</v>
      </c>
      <c r="AF13" s="38" t="s">
        <v>50</v>
      </c>
      <c r="AG13" s="36">
        <v>46179</v>
      </c>
      <c r="AH13" s="39" t="s">
        <v>89</v>
      </c>
      <c r="AI13" s="33"/>
      <c r="AJ13" s="40" t="s">
        <v>53</v>
      </c>
      <c r="AK13" s="72" t="str">
        <f>IF($B13="","",IF(AND(LEFT($AJ13,3)="Yes",SUMPRODUCT(('Rework Log'!$A$2:$A$497=$B13)*('Rework Log'!$G$2:$G$497&lt;&gt;"Yes")*('Rework Log'!$G$2:$G$497&lt;&gt;"Did not pass re-test"))=0),"Blocked - log it on Rework Log",IF(AND(LEFT($AJ13,3)&lt;&gt;"Yes",SUMPRODUCT(('Rework Log'!$A$2:$A$497=$B13)*('Rework Log'!$G$2:$G$497&lt;&gt;"Yes")*('Rework Log'!$G$2:$G$497&lt;&gt;"Did not pass re-test"))&gt;0),"Open rework row - mark Blocked? or close it",IF(AND($AJ13="Yes – needs DB Dev to fix",M13&lt;&gt;"",SUMPRODUCT(MAX((('Rework Log'!$A$2:$A$497=$B13)*('Rework Log'!$G$2:$G$497&lt;&gt;"Yes")*('Rework Log'!$G$2:$G$497&lt;&gt;"Did not pass re-test"))*'Rework Log'!$I$2:$I$497))&gt;0),"Move old DB Dev completion date to Rework Log (col H)",IF(AND($AJ13="Yes – needs PBI Dev to fix",S13&lt;&gt;"",SUMPRODUCT(MAX((('Rework Log'!$A$2:$A$497=$B13)*('Rework Log'!$G$2:$G$497&lt;&gt;"Yes")*('Rework Log'!$G$2:$G$497&lt;&gt;"Did not pass re-test"))*'Rework Log'!$I$2:$I$497))&gt;0),"Move old PBI Dev completion date to Rework Log (col H)",IF(AND($AJ13="Yes – needs QA to fix",Y13&lt;&gt;"",SUMPRODUCT(MAX((('Rework Log'!$A$2:$A$497=$B13)*('Rework Log'!$G$2:$G$497&lt;&gt;"Yes")*('Rework Log'!$G$2:$G$497&lt;&gt;"Did not pass re-test"))*'Rework Log'!$I$2:$I$497))&gt;0),"Move old QA completion date to Rework Log (col H)",IF(COUNTIF($B$2:$B$528,$B13)&gt;1,"Duplicate name - check row",IF(COUNTIF('Rework Log'!$A$2:$A$497,$B13)&gt;0,"",IF(AND(V13&lt;&gt;"",K13&lt;&gt;"",V13&lt;K13),"QA target is before DB Dev target",IF(AND(V13&lt;&gt;"",Q13&lt;&gt;"",V13&lt;Q13),"QA target is before PBI Dev target",IF(AND(AA13&lt;&gt;"",V13&lt;&gt;"",AA13&lt;V13),"DPO Approval target is before QA target",IF(AND(AG13&lt;&gt;"",AA13&lt;&gt;"",AG13&lt;AA13),"Confirmed Deployed date is before DPO Approval target",""))))))))))))</f>
        <v/>
      </c>
      <c r="AL13" s="41"/>
      <c r="AM13" s="31" t="str" cm="1">
        <f t="array" ref="AM13">_xlfn.LET(_xlpm.rep,$B13,_xlpm.sent,_xlfn.MAXIFS('Rework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
      </c>
      <c r="AN13" s="31" t="str" cm="1">
        <f t="array" ref="AN13">_xlfn.LET(_xlpm.rep,$B13,_xlpm.sent,_xlfn.MAXIFS('Rework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14" spans="1:40" hidden="1">
      <c r="A14" s="33" t="s">
        <v>40</v>
      </c>
      <c r="B14" s="33" t="s">
        <v>90</v>
      </c>
      <c r="C14" s="33" t="s">
        <v>42</v>
      </c>
      <c r="D14" t="str" cm="1">
        <f t="array" aca="1" ref="D14" ca="1">IF(AND(C14="Ready for Release in Prod",LEFT($AJ14,3)&lt;&gt;"Yes"),IF(AG14&lt;&gt;"","Delivered","On track"),IF($B14="","",IF(LEFT($AJ14,3)="Yes","Blocked - "&amp;MID($AJ14,7,100)&amp;IF(SUMPRODUCT(('Rework Log'!$A$2:$A$497=$B14)*('Rework Log'!$G$2:$G$497&lt;&gt;"Yes")*('Rework Log'!$G$2:$G$497&lt;&gt;"Did not pass re-test"))=0,"",IF(SUMPRODUCT(MAX((('Rework Log'!$A$2:$A$497=$B14)*('Rework Log'!$G$2:$G$497&lt;&gt;"Yes")*('Rework Log'!$G$2:$G$497&lt;&gt;"Did not pass re-test"))*'Rework Log'!$I$2:$I$497))=0," - unclaimed"," - promised "&amp;TEXT(SUMPRODUCT(MAX((('Rework Log'!$A$2:$A$497=$B14)*('Rework Log'!$G$2:$G$497&lt;&gt;"Yes")*('Rework Log'!$G$2:$G$497&lt;&gt;"Did not pass re-test"))*'Rework Log'!$I$2:$I$497)),"m/d"))),IF(C14="NOT STARTED",IF(H14="","No plan date set",IF(H14&lt;TODAY(),"Review - planned start passed","On track")),IF(C14="DB Dev",_xlfn.LET(_xlpm.sent,_xlfn.MAXIFS('Rework Log'!$B$2:$B$497,'Rework Log'!$A$2:$A$497,$B14,'Rework Log'!$D$2:$D$497,"DB Dev"),_xlpm.expfix,_xlfn.MAXIFS('Rework Log'!$I$2:$I$497,'Rework Log'!$A$2:$A$497,$B14,'Rework Log'!$D$2:$D$497,"DB Dev",'Rework Log'!$B$2:$B$497,_xlpm.sent),_xlpm.tgt,IF(_xlpm.expfix&gt;0,_xlpm.expfix,IF(L14&lt;&gt;"",L14,K14)),_xlpm.act,IF(AND(M14&lt;&gt;"",M14&gt;=_xlpm.sent),M14,""),IF(_xlpm.tgt="","No target set",IF(AND(_xlpm.tgt&lt;TODAY(),_xlpm.act=""),"Overdue","On track"))),IF(C14="PBI Dev",_xlfn.LET(_xlpm.sent,_xlfn.MAXIFS('Rework Log'!$B$2:$B$497,'Rework Log'!$A$2:$A$497,$B14,'Rework Log'!$D$2:$D$497,"PBI Dev"),_xlpm.expfix,_xlfn.MAXIFS('Rework Log'!$I$2:$I$497,'Rework Log'!$A$2:$A$497,$B14,'Rework Log'!$D$2:$D$497,"PBI Dev",'Rework Log'!$B$2:$B$497,_xlpm.sent),_xlpm.tgt,IF(_xlpm.expfix&gt;0,_xlpm.expfix,IF(R14&lt;&gt;"",R14,Q14)),_xlpm.act,IF(AND(S14&lt;&gt;"",S14&gt;=_xlpm.sent),S14,""),IF(_xlpm.tgt="","No target set",IF(AND(_xlpm.tgt&lt;TODAY(),_xlpm.act=""),"Overdue","On track"))),IF(C14="QA",_xlfn.LET(_xlpm.tgt,IF(AM14&lt;&gt;"",AM14,IF(W14&lt;&gt;"",W14,V14)),_xlpm.sent,_xlfn.MAXIFS('Rework Log'!$B$2:$B$497,'Rework Log'!$A$2:$A$497,$B14,'Rework Log'!$C$2:$C$497,"QA"),_xlpm.act,IF(AND(Y14&lt;&gt;"",Y14&gt;=_xlpm.sent),Y14,""),IF(_xlpm.tgt="","No target set",IF(AND(_xlpm.tgt&lt;TODAY(),_xlpm.act=""),"Overdue","On track"))),IF(C14="DPO Approval",_xlfn.LET(_xlpm.tgt,IF(AN14&lt;&gt;"",AN14,IF(AB14&lt;&gt;"",AB14,AA14)),_xlpm.sent,_xlfn.MAXIFS('Rework Log'!$B$2:$B$497,'Rework Log'!$A$2:$A$497,$B14,'Rework Log'!$C$2:$C$497,"DPO*"),_xlpm.act,IF(AND(AC14&lt;&gt;"",AC14&gt;=_xlpm.sent),AC14,""),IF(_xlpm.tgt="","No target set",IF(AND(_xlpm.tgt&lt;TODAY(),_xlpm.act=""),"Overdue","On track"))),IF(C14="RELEASED IN PROD","Delivered","")))))))))</f>
        <v>Delivered</v>
      </c>
      <c r="E14" s="33">
        <v>13</v>
      </c>
      <c r="F14" s="34"/>
      <c r="G14" s="33"/>
      <c r="H14" s="49">
        <v>46173</v>
      </c>
      <c r="I14" s="54" t="s">
        <v>75</v>
      </c>
      <c r="J14" s="33" t="s">
        <v>44</v>
      </c>
      <c r="K14" s="4">
        <v>46150</v>
      </c>
      <c r="L14" s="36"/>
      <c r="M14" s="36">
        <v>46157</v>
      </c>
      <c r="N14" s="36" t="s">
        <v>45</v>
      </c>
      <c r="O14" s="36"/>
      <c r="P14" s="62" t="s">
        <v>60</v>
      </c>
      <c r="Q14" s="4">
        <v>46157</v>
      </c>
      <c r="R14" s="36"/>
      <c r="S14" s="36">
        <v>46143</v>
      </c>
      <c r="T14" s="68"/>
      <c r="U14" s="33" t="s">
        <v>88</v>
      </c>
      <c r="V14" s="58">
        <v>46164</v>
      </c>
      <c r="W14" s="36"/>
      <c r="X14" s="36"/>
      <c r="Y14" s="36">
        <v>46175</v>
      </c>
      <c r="Z14" s="36"/>
      <c r="AA14" s="51">
        <v>46169</v>
      </c>
      <c r="AB14" s="36"/>
      <c r="AC14" s="36"/>
      <c r="AD14" s="33" t="s">
        <v>48</v>
      </c>
      <c r="AE14" s="33" t="s">
        <v>72</v>
      </c>
      <c r="AF14" s="38" t="s">
        <v>50</v>
      </c>
      <c r="AG14" s="36">
        <v>46184</v>
      </c>
      <c r="AH14" s="39" t="s">
        <v>91</v>
      </c>
      <c r="AI14" s="33" t="s">
        <v>92</v>
      </c>
      <c r="AJ14" s="40" t="s">
        <v>53</v>
      </c>
      <c r="AK14" s="72" t="str">
        <f>IF($B14="","",IF(AND(LEFT($AJ14,3)="Yes",SUMPRODUCT(('Rework Log'!$A$2:$A$497=$B14)*('Rework Log'!$G$2:$G$497&lt;&gt;"Yes")*('Rework Log'!$G$2:$G$497&lt;&gt;"Did not pass re-test"))=0),"Blocked - log it on Rework Log",IF(AND(LEFT($AJ14,3)&lt;&gt;"Yes",SUMPRODUCT(('Rework Log'!$A$2:$A$497=$B14)*('Rework Log'!$G$2:$G$497&lt;&gt;"Yes")*('Rework Log'!$G$2:$G$497&lt;&gt;"Did not pass re-test"))&gt;0),"Open rework row - mark Blocked? or close it",IF(AND($AJ14="Yes – needs DB Dev to fix",M14&lt;&gt;"",SUMPRODUCT(MAX((('Rework Log'!$A$2:$A$497=$B14)*('Rework Log'!$G$2:$G$497&lt;&gt;"Yes")*('Rework Log'!$G$2:$G$497&lt;&gt;"Did not pass re-test"))*'Rework Log'!$I$2:$I$497))&gt;0),"Move old DB Dev completion date to Rework Log (col H)",IF(AND($AJ14="Yes – needs PBI Dev to fix",S14&lt;&gt;"",SUMPRODUCT(MAX((('Rework Log'!$A$2:$A$497=$B14)*('Rework Log'!$G$2:$G$497&lt;&gt;"Yes")*('Rework Log'!$G$2:$G$497&lt;&gt;"Did not pass re-test"))*'Rework Log'!$I$2:$I$497))&gt;0),"Move old PBI Dev completion date to Rework Log (col H)",IF(AND($AJ14="Yes – needs QA to fix",Y14&lt;&gt;"",SUMPRODUCT(MAX((('Rework Log'!$A$2:$A$497=$B14)*('Rework Log'!$G$2:$G$497&lt;&gt;"Yes")*('Rework Log'!$G$2:$G$497&lt;&gt;"Did not pass re-test"))*'Rework Log'!$I$2:$I$497))&gt;0),"Move old QA completion date to Rework Log (col H)",IF(COUNTIF($B$2:$B$528,$B14)&gt;1,"Duplicate name - check row",IF(COUNTIF('Rework Log'!$A$2:$A$497,$B14)&gt;0,"",IF(AND(V14&lt;&gt;"",K14&lt;&gt;"",V14&lt;K14),"QA target is before DB Dev target",IF(AND(V14&lt;&gt;"",Q14&lt;&gt;"",V14&lt;Q14),"QA target is before PBI Dev target",IF(AND(AA14&lt;&gt;"",V14&lt;&gt;"",AA14&lt;V14),"DPO Approval target is before QA target",IF(AND(AG14&lt;&gt;"",AA14&lt;&gt;"",AG14&lt;AA14),"Confirmed Deployed date is before DPO Approval target",""))))))))))))</f>
        <v/>
      </c>
      <c r="AL14" s="41"/>
      <c r="AM14" s="31" t="str" cm="1">
        <f t="array" ref="AM14">_xlfn.LET(_xlpm.rep,$B14,_xlpm.sent,_xlfn.MAXIFS('Rework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
      </c>
      <c r="AN14" s="31" t="str" cm="1">
        <f t="array" ref="AN14">_xlfn.LET(_xlpm.rep,$B14,_xlpm.sent,_xlfn.MAXIFS('Rework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15" spans="1:40" hidden="1">
      <c r="A15" s="33" t="s">
        <v>40</v>
      </c>
      <c r="B15" s="33" t="s">
        <v>93</v>
      </c>
      <c r="C15" s="33" t="s">
        <v>42</v>
      </c>
      <c r="D15" t="str" cm="1">
        <f t="array" aca="1" ref="D15" ca="1">IF(AND(C15="Ready for Release in Prod",LEFT($AJ15,3)&lt;&gt;"Yes"),IF(AG15&lt;&gt;"","Delivered","On track"),IF($B15="","",IF(LEFT($AJ15,3)="Yes","Blocked - "&amp;MID($AJ15,7,100)&amp;IF(SUMPRODUCT(('Rework Log'!$A$2:$A$497=$B15)*('Rework Log'!$G$2:$G$497&lt;&gt;"Yes")*('Rework Log'!$G$2:$G$497&lt;&gt;"Did not pass re-test"))=0,"",IF(SUMPRODUCT(MAX((('Rework Log'!$A$2:$A$497=$B15)*('Rework Log'!$G$2:$G$497&lt;&gt;"Yes")*('Rework Log'!$G$2:$G$497&lt;&gt;"Did not pass re-test"))*'Rework Log'!$I$2:$I$497))=0," - unclaimed"," - promised "&amp;TEXT(SUMPRODUCT(MAX((('Rework Log'!$A$2:$A$497=$B15)*('Rework Log'!$G$2:$G$497&lt;&gt;"Yes")*('Rework Log'!$G$2:$G$497&lt;&gt;"Did not pass re-test"))*'Rework Log'!$I$2:$I$497)),"m/d"))),IF(C15="NOT STARTED",IF(H15="","No plan date set",IF(H15&lt;TODAY(),"Review - planned start passed","On track")),IF(C15="DB Dev",_xlfn.LET(_xlpm.sent,_xlfn.MAXIFS('Rework Log'!$B$2:$B$497,'Rework Log'!$A$2:$A$497,$B15,'Rework Log'!$D$2:$D$497,"DB Dev"),_xlpm.expfix,_xlfn.MAXIFS('Rework Log'!$I$2:$I$497,'Rework Log'!$A$2:$A$497,$B15,'Rework Log'!$D$2:$D$497,"DB Dev",'Rework Log'!$B$2:$B$497,_xlpm.sent),_xlpm.tgt,IF(_xlpm.expfix&gt;0,_xlpm.expfix,IF(L15&lt;&gt;"",L15,K15)),_xlpm.act,IF(AND(M15&lt;&gt;"",M15&gt;=_xlpm.sent),M15,""),IF(_xlpm.tgt="","No target set",IF(AND(_xlpm.tgt&lt;TODAY(),_xlpm.act=""),"Overdue","On track"))),IF(C15="PBI Dev",_xlfn.LET(_xlpm.sent,_xlfn.MAXIFS('Rework Log'!$B$2:$B$497,'Rework Log'!$A$2:$A$497,$B15,'Rework Log'!$D$2:$D$497,"PBI Dev"),_xlpm.expfix,_xlfn.MAXIFS('Rework Log'!$I$2:$I$497,'Rework Log'!$A$2:$A$497,$B15,'Rework Log'!$D$2:$D$497,"PBI Dev",'Rework Log'!$B$2:$B$497,_xlpm.sent),_xlpm.tgt,IF(_xlpm.expfix&gt;0,_xlpm.expfix,IF(R15&lt;&gt;"",R15,Q15)),_xlpm.act,IF(AND(S15&lt;&gt;"",S15&gt;=_xlpm.sent),S15,""),IF(_xlpm.tgt="","No target set",IF(AND(_xlpm.tgt&lt;TODAY(),_xlpm.act=""),"Overdue","On track"))),IF(C15="QA",_xlfn.LET(_xlpm.tgt,IF(AM15&lt;&gt;"",AM15,IF(W15&lt;&gt;"",W15,V15)),_xlpm.sent,_xlfn.MAXIFS('Rework Log'!$B$2:$B$497,'Rework Log'!$A$2:$A$497,$B15,'Rework Log'!$C$2:$C$497,"QA"),_xlpm.act,IF(AND(Y15&lt;&gt;"",Y15&gt;=_xlpm.sent),Y15,""),IF(_xlpm.tgt="","No target set",IF(AND(_xlpm.tgt&lt;TODAY(),_xlpm.act=""),"Overdue","On track"))),IF(C15="DPO Approval",_xlfn.LET(_xlpm.tgt,IF(AN15&lt;&gt;"",AN15,IF(AB15&lt;&gt;"",AB15,AA15)),_xlpm.sent,_xlfn.MAXIFS('Rework Log'!$B$2:$B$497,'Rework Log'!$A$2:$A$497,$B15,'Rework Log'!$C$2:$C$497,"DPO*"),_xlpm.act,IF(AND(AC15&lt;&gt;"",AC15&gt;=_xlpm.sent),AC15,""),IF(_xlpm.tgt="","No target set",IF(AND(_xlpm.tgt&lt;TODAY(),_xlpm.act=""),"Overdue","On track"))),IF(C15="RELEASED IN PROD","Delivered","")))))))))</f>
        <v>Delivered</v>
      </c>
      <c r="E15" s="33">
        <v>14</v>
      </c>
      <c r="F15" s="34"/>
      <c r="G15" s="33"/>
      <c r="H15" s="49">
        <v>46173</v>
      </c>
      <c r="I15" s="54" t="s">
        <v>75</v>
      </c>
      <c r="J15" s="33" t="s">
        <v>44</v>
      </c>
      <c r="K15" s="4">
        <v>46150</v>
      </c>
      <c r="L15" s="36"/>
      <c r="M15" s="36">
        <v>46157</v>
      </c>
      <c r="N15" s="36" t="s">
        <v>45</v>
      </c>
      <c r="O15" s="36"/>
      <c r="P15" s="62" t="s">
        <v>77</v>
      </c>
      <c r="Q15" s="4">
        <v>46157</v>
      </c>
      <c r="R15" s="36"/>
      <c r="S15" s="36">
        <v>46178</v>
      </c>
      <c r="T15" s="68"/>
      <c r="U15" s="33" t="s">
        <v>47</v>
      </c>
      <c r="V15" s="58">
        <v>46164</v>
      </c>
      <c r="W15" s="36"/>
      <c r="X15" s="36"/>
      <c r="Y15" s="36">
        <v>46175</v>
      </c>
      <c r="Z15" s="36"/>
      <c r="AA15" s="51">
        <v>46169</v>
      </c>
      <c r="AB15" s="36"/>
      <c r="AC15" s="36"/>
      <c r="AD15" s="33" t="s">
        <v>48</v>
      </c>
      <c r="AE15" s="33" t="s">
        <v>94</v>
      </c>
      <c r="AF15" s="38" t="s">
        <v>50</v>
      </c>
      <c r="AG15" s="36">
        <v>46192</v>
      </c>
      <c r="AH15" s="39" t="s">
        <v>95</v>
      </c>
      <c r="AI15" s="33"/>
      <c r="AJ15" s="40" t="s">
        <v>53</v>
      </c>
      <c r="AK15" s="72" t="str" cm="1">
        <f t="array" ref="AK15">IF($B15="","",_xlfn.LET(_xlpm.nm,$B15,_xlpm.st,$C15,_xlpm.ou,SUMPRODUCT(('Rework Log'!$A$2:$A$497=_xlpm.nm)*('Rework Log'!$G$2:$G$497&lt;&gt;"Yes")*('Rework Log'!$G$2:$G$497&lt;&gt;"Did not pass re-test")*('Rework Log'!$J$2:$J$497="")),_xlpm.ob,SUMPRODUCT(('Rework Log'!$A$2:$A$497=_xlpm.nm)*('Rework Log'!$G$2:$G$497&lt;&gt;"Yes")*('Rework Log'!$G$2:$G$497&lt;&gt;"Did not pass re-test")),_xlpm.oto,IF(SUMPRODUCT(('Rework Log'!$A$2:$A$497=_xlpm.nm)*('Rework Log'!$G$2:$G$497&lt;&gt;"Yes")*('Rework Log'!$G$2:$G$497&lt;&gt;"Did not pass re-test")*('Rework Log'!$J$2:$J$497=""))=0,"",INDEX('Rework Log'!$D$2:$D$497,MATCH(1,('Rework Log'!$A$2:$A$497=_xlpm.nm)*('Rework Log'!$G$2:$G$497&lt;&gt;"Yes")*('Rework Log'!$G$2:$G$497&lt;&gt;"Did not pass re-test")*('Rework Log'!$J$2:$J$497=""),0))),_xlpm.sent,_xlfn.MAXIFS('Rework Log'!$B$2:$B$497,'Rework Log'!$A$2:$A$497,_xlpm.nm),_xlpm.act,_xlfn.IFS(_xlpm.st="NOT STARTED",$M15,_xlpm.st="DB Dev",$M15,_xlpm.st="PBI Dev",$S15,_xlpm.st="QA",$Y15,_xlpm.st="DPO Approval",$AC15,_xlpm.st="Ready for Release in Prod",$AG15,TRUE,""),_xlpm.nxt,_xlfn.IFS(_xlpm.st="NOT STARTED","PBI Dev",_xlpm.st="DB Dev","PBI Dev",_xlpm.st="PBI Dev","QA",_xlpm.st="QA","DPO Approval",_xlpm.st="DPO Approval","Ready for Release in Prod",_xlpm.st="Ready for Release in Prod","RELEASED IN PROD",TRUE,""),IF(AND(_xlpm.ou&gt;0,_xlpm.st&lt;&gt;_xlpm.oto),"Move status back to "&amp;_xlpm.oto,IF(AND(_xlpm.ob=0,LEFT($AJ15,3)="Yes"),"Blocked - log it on Rework Log",IF(AND(_xlpm.ob&gt;0,LEFT($AJ15,3)&lt;&gt;"Yes"),"Open rework row - mark Blocked or close it",IF(AND(_xlpm.ob=0,_xlpm.act&lt;&gt;"",_xlpm.act&gt;=_xlpm.sent,_xlpm.nxt&lt;&gt;""),"Move status to "&amp;_xlpm.nxt,IF(COUNTIF($B$2:$B$528,$B15)&gt;1,"Duplicate name - check row",IF(COUNTIF('Rework Log'!$A$2:$A$497,$B15)&gt;0,"",IF(AND($V15&lt;&gt;"",$K15&lt;&gt;"",$V15&lt;$K15),"QA target is before DB Dev target",IF(AND($V15&lt;&gt;"",$Q15&lt;&gt;"",$V15&lt;$Q15),"QA target is before PBI Dev target",IF(AND($AA15&lt;&gt;"",$V15&lt;&gt;"",$AA15&lt;$V15),"DPO Approval target is before QA target",IF(AND($AG15&lt;&gt;"",$AA15&lt;&gt;"",$AG15&lt;$AA15),"Confirmed Deployed date is before DPO Approval target",""))))))))))))</f>
        <v/>
      </c>
      <c r="AL15" s="41" t="s">
        <v>96</v>
      </c>
      <c r="AM15" s="31" t="str" cm="1">
        <f t="array" ref="AM15">_xlfn.LET(_xlpm.rep,$B15,_xlpm.sent,_xlfn.MAXIFS('Rework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
      </c>
      <c r="AN15" s="31" t="str" cm="1">
        <f t="array" ref="AN15">_xlfn.LET(_xlpm.rep,$B15,_xlpm.sent,_xlfn.MAXIFS('Rework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16" spans="1:40" hidden="1">
      <c r="A16" s="33" t="s">
        <v>40</v>
      </c>
      <c r="B16" s="33" t="s">
        <v>97</v>
      </c>
      <c r="C16" s="33" t="s">
        <v>42</v>
      </c>
      <c r="D16" t="str" cm="1">
        <f t="array" aca="1" ref="D16" ca="1">IF(AND(C16="Ready for Release in Prod",LEFT($AJ16,3)&lt;&gt;"Yes"),IF(AG16&lt;&gt;"","Delivered","On track"),IF($B16="","",IF(LEFT($AJ16,3)="Yes","Blocked - "&amp;MID($AJ16,7,100)&amp;IF(SUMPRODUCT(('Rework Log'!$A$2:$A$497=$B16)*('Rework Log'!$G$2:$G$497&lt;&gt;"Yes")*('Rework Log'!$G$2:$G$497&lt;&gt;"Did not pass re-test"))=0,"",IF(SUMPRODUCT(MAX((('Rework Log'!$A$2:$A$497=$B16)*('Rework Log'!$G$2:$G$497&lt;&gt;"Yes")*('Rework Log'!$G$2:$G$497&lt;&gt;"Did not pass re-test"))*'Rework Log'!$I$2:$I$497))=0," - unclaimed"," - promised "&amp;TEXT(SUMPRODUCT(MAX((('Rework Log'!$A$2:$A$497=$B16)*('Rework Log'!$G$2:$G$497&lt;&gt;"Yes")*('Rework Log'!$G$2:$G$497&lt;&gt;"Did not pass re-test"))*'Rework Log'!$I$2:$I$497)),"m/d"))),IF(C16="NOT STARTED",IF(H16="","No plan date set",IF(H16&lt;TODAY(),"Review - planned start passed","On track")),IF(C16="DB Dev",_xlfn.LET(_xlpm.sent,_xlfn.MAXIFS('Rework Log'!$B$2:$B$497,'Rework Log'!$A$2:$A$497,$B16,'Rework Log'!$D$2:$D$497,"DB Dev"),_xlpm.expfix,_xlfn.MAXIFS('Rework Log'!$I$2:$I$497,'Rework Log'!$A$2:$A$497,$B16,'Rework Log'!$D$2:$D$497,"DB Dev",'Rework Log'!$B$2:$B$497,_xlpm.sent),_xlpm.tgt,IF(_xlpm.expfix&gt;0,_xlpm.expfix,IF(L16&lt;&gt;"",L16,K16)),_xlpm.act,IF(AND(M16&lt;&gt;"",M16&gt;=_xlpm.sent),M16,""),IF(_xlpm.tgt="","No target set",IF(AND(_xlpm.tgt&lt;TODAY(),_xlpm.act=""),"Overdue","On track"))),IF(C16="PBI Dev",_xlfn.LET(_xlpm.sent,_xlfn.MAXIFS('Rework Log'!$B$2:$B$497,'Rework Log'!$A$2:$A$497,$B16,'Rework Log'!$D$2:$D$497,"PBI Dev"),_xlpm.expfix,_xlfn.MAXIFS('Rework Log'!$I$2:$I$497,'Rework Log'!$A$2:$A$497,$B16,'Rework Log'!$D$2:$D$497,"PBI Dev",'Rework Log'!$B$2:$B$497,_xlpm.sent),_xlpm.tgt,IF(_xlpm.expfix&gt;0,_xlpm.expfix,IF(R16&lt;&gt;"",R16,Q16)),_xlpm.act,IF(AND(S16&lt;&gt;"",S16&gt;=_xlpm.sent),S16,""),IF(_xlpm.tgt="","No target set",IF(AND(_xlpm.tgt&lt;TODAY(),_xlpm.act=""),"Overdue","On track"))),IF(C16="QA",_xlfn.LET(_xlpm.tgt,IF(AM16&lt;&gt;"",AM16,IF(W16&lt;&gt;"",W16,V16)),_xlpm.sent,_xlfn.MAXIFS('Rework Log'!$B$2:$B$497,'Rework Log'!$A$2:$A$497,$B16,'Rework Log'!$C$2:$C$497,"QA"),_xlpm.act,IF(AND(Y16&lt;&gt;"",Y16&gt;=_xlpm.sent),Y16,""),IF(_xlpm.tgt="","No target set",IF(AND(_xlpm.tgt&lt;TODAY(),_xlpm.act=""),"Overdue","On track"))),IF(C16="DPO Approval",_xlfn.LET(_xlpm.tgt,IF(AN16&lt;&gt;"",AN16,IF(AB16&lt;&gt;"",AB16,AA16)),_xlpm.sent,_xlfn.MAXIFS('Rework Log'!$B$2:$B$497,'Rework Log'!$A$2:$A$497,$B16,'Rework Log'!$C$2:$C$497,"DPO*"),_xlpm.act,IF(AND(AC16&lt;&gt;"",AC16&gt;=_xlpm.sent),AC16,""),IF(_xlpm.tgt="","No target set",IF(AND(_xlpm.tgt&lt;TODAY(),_xlpm.act=""),"Overdue","On track"))),IF(C16="RELEASED IN PROD","Delivered","")))))))))</f>
        <v>Delivered</v>
      </c>
      <c r="E16" s="33">
        <v>15</v>
      </c>
      <c r="F16" s="34"/>
      <c r="G16" s="33"/>
      <c r="H16" s="49">
        <v>46173</v>
      </c>
      <c r="I16" s="54" t="s">
        <v>75</v>
      </c>
      <c r="J16" s="33"/>
      <c r="K16" s="4"/>
      <c r="L16" s="43"/>
      <c r="M16" s="36"/>
      <c r="N16" s="36" t="s">
        <v>45</v>
      </c>
      <c r="O16" s="36"/>
      <c r="P16" s="62"/>
      <c r="Q16" s="4"/>
      <c r="R16" s="43"/>
      <c r="S16" s="36"/>
      <c r="T16" s="68"/>
      <c r="U16" s="33"/>
      <c r="V16" s="58"/>
      <c r="W16" s="43"/>
      <c r="X16" s="36"/>
      <c r="Y16" s="36"/>
      <c r="Z16" s="36"/>
      <c r="AA16" s="51"/>
      <c r="AB16" s="43"/>
      <c r="AC16" s="43"/>
      <c r="AD16" s="33" t="s">
        <v>48</v>
      </c>
      <c r="AE16" s="33" t="s">
        <v>49</v>
      </c>
      <c r="AF16" s="38" t="s">
        <v>50</v>
      </c>
      <c r="AG16" s="36">
        <v>46203</v>
      </c>
      <c r="AH16" s="39"/>
      <c r="AI16" s="33"/>
      <c r="AJ16" s="40"/>
      <c r="AK16" s="47"/>
      <c r="AL16" s="41"/>
      <c r="AM16" s="31" t="str" cm="1">
        <f t="array" ref="AM16">_xlfn.LET(_xlpm.rep,$B16,_xlpm.sent,_xlfn.MAXIFS('Rework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
      </c>
      <c r="AN16" s="31" t="str" cm="1">
        <f t="array" ref="AN16">_xlfn.LET(_xlpm.rep,$B16,_xlpm.sent,_xlfn.MAXIFS('Rework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17" spans="1:40" hidden="1">
      <c r="A17" s="33" t="s">
        <v>40</v>
      </c>
      <c r="B17" s="33" t="s">
        <v>98</v>
      </c>
      <c r="C17" s="33" t="s">
        <v>42</v>
      </c>
      <c r="D17" t="str" cm="1">
        <f t="array" aca="1" ref="D17" ca="1">IF(AND(C17="Ready for Release in Prod",LEFT($AJ17,3)&lt;&gt;"Yes"),IF(AG17&lt;&gt;"","Delivered","On track"),IF($B17="","",IF(LEFT($AJ17,3)="Yes","Blocked - "&amp;MID($AJ17,7,100)&amp;IF(SUMPRODUCT(('Rework Log'!$A$2:$A$497=$B17)*('Rework Log'!$G$2:$G$497&lt;&gt;"Yes")*('Rework Log'!$G$2:$G$497&lt;&gt;"Did not pass re-test"))=0,"",IF(SUMPRODUCT(MAX((('Rework Log'!$A$2:$A$497=$B17)*('Rework Log'!$G$2:$G$497&lt;&gt;"Yes")*('Rework Log'!$G$2:$G$497&lt;&gt;"Did not pass re-test"))*'Rework Log'!$I$2:$I$497))=0," - unclaimed"," - promised "&amp;TEXT(SUMPRODUCT(MAX((('Rework Log'!$A$2:$A$497=$B17)*('Rework Log'!$G$2:$G$497&lt;&gt;"Yes")*('Rework Log'!$G$2:$G$497&lt;&gt;"Did not pass re-test"))*'Rework Log'!$I$2:$I$497)),"m/d"))),IF(C17="NOT STARTED",IF(H17="","No plan date set",IF(H17&lt;TODAY(),"Review - planned start passed","On track")),IF(C17="DB Dev",_xlfn.LET(_xlpm.sent,_xlfn.MAXIFS('Rework Log'!$B$2:$B$497,'Rework Log'!$A$2:$A$497,$B17,'Rework Log'!$D$2:$D$497,"DB Dev"),_xlpm.expfix,_xlfn.MAXIFS('Rework Log'!$I$2:$I$497,'Rework Log'!$A$2:$A$497,$B17,'Rework Log'!$D$2:$D$497,"DB Dev",'Rework Log'!$B$2:$B$497,_xlpm.sent),_xlpm.tgt,IF(_xlpm.expfix&gt;0,_xlpm.expfix,IF(L17&lt;&gt;"",L17,K17)),_xlpm.act,IF(AND(M17&lt;&gt;"",M17&gt;=_xlpm.sent),M17,""),IF(_xlpm.tgt="","No target set",IF(AND(_xlpm.tgt&lt;TODAY(),_xlpm.act=""),"Overdue","On track"))),IF(C17="PBI Dev",_xlfn.LET(_xlpm.sent,_xlfn.MAXIFS('Rework Log'!$B$2:$B$497,'Rework Log'!$A$2:$A$497,$B17,'Rework Log'!$D$2:$D$497,"PBI Dev"),_xlpm.expfix,_xlfn.MAXIFS('Rework Log'!$I$2:$I$497,'Rework Log'!$A$2:$A$497,$B17,'Rework Log'!$D$2:$D$497,"PBI Dev",'Rework Log'!$B$2:$B$497,_xlpm.sent),_xlpm.tgt,IF(_xlpm.expfix&gt;0,_xlpm.expfix,IF(R17&lt;&gt;"",R17,Q17)),_xlpm.act,IF(AND(S17&lt;&gt;"",S17&gt;=_xlpm.sent),S17,""),IF(_xlpm.tgt="","No target set",IF(AND(_xlpm.tgt&lt;TODAY(),_xlpm.act=""),"Overdue","On track"))),IF(C17="QA",_xlfn.LET(_xlpm.tgt,IF(AM17&lt;&gt;"",AM17,IF(W17&lt;&gt;"",W17,V17)),_xlpm.sent,_xlfn.MAXIFS('Rework Log'!$B$2:$B$497,'Rework Log'!$A$2:$A$497,$B17,'Rework Log'!$C$2:$C$497,"QA"),_xlpm.act,IF(AND(Y17&lt;&gt;"",Y17&gt;=_xlpm.sent),Y17,""),IF(_xlpm.tgt="","No target set",IF(AND(_xlpm.tgt&lt;TODAY(),_xlpm.act=""),"Overdue","On track"))),IF(C17="DPO Approval",_xlfn.LET(_xlpm.tgt,IF(AN17&lt;&gt;"",AN17,IF(AB17&lt;&gt;"",AB17,AA17)),_xlpm.sent,_xlfn.MAXIFS('Rework Log'!$B$2:$B$497,'Rework Log'!$A$2:$A$497,$B17,'Rework Log'!$C$2:$C$497,"DPO*"),_xlpm.act,IF(AND(AC17&lt;&gt;"",AC17&gt;=_xlpm.sent),AC17,""),IF(_xlpm.tgt="","No target set",IF(AND(_xlpm.tgt&lt;TODAY(),_xlpm.act=""),"Overdue","On track"))),IF(C17="RELEASED IN PROD","Delivered","")))))))))</f>
        <v>Delivered</v>
      </c>
      <c r="E17" s="33">
        <v>16</v>
      </c>
      <c r="F17" s="34"/>
      <c r="G17" s="33"/>
      <c r="H17" s="49">
        <v>46173</v>
      </c>
      <c r="I17" s="54" t="s">
        <v>75</v>
      </c>
      <c r="J17" s="33"/>
      <c r="K17" s="4"/>
      <c r="L17" s="43"/>
      <c r="M17" s="36"/>
      <c r="N17" s="36" t="s">
        <v>45</v>
      </c>
      <c r="O17" s="36"/>
      <c r="P17" s="62"/>
      <c r="Q17" s="4"/>
      <c r="R17" s="43"/>
      <c r="S17" s="36"/>
      <c r="T17" s="68"/>
      <c r="U17" s="33"/>
      <c r="V17" s="58"/>
      <c r="W17" s="43"/>
      <c r="X17" s="36"/>
      <c r="Y17" s="36"/>
      <c r="Z17" s="36"/>
      <c r="AA17" s="51"/>
      <c r="AB17" s="43"/>
      <c r="AC17" s="43"/>
      <c r="AD17" s="33" t="s">
        <v>48</v>
      </c>
      <c r="AE17" s="33" t="s">
        <v>94</v>
      </c>
      <c r="AF17" s="38" t="s">
        <v>50</v>
      </c>
      <c r="AG17" s="36">
        <v>46203</v>
      </c>
      <c r="AH17" s="39"/>
      <c r="AI17" s="33"/>
      <c r="AJ17" s="40"/>
      <c r="AK17" s="47"/>
      <c r="AL17" s="41"/>
      <c r="AM17" s="31" t="str" cm="1">
        <f t="array" ref="AM17">_xlfn.LET(_xlpm.rep,$B17,_xlpm.sent,_xlfn.MAXIFS('Rework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
      </c>
      <c r="AN17" s="31" t="str" cm="1">
        <f t="array" ref="AN17">_xlfn.LET(_xlpm.rep,$B17,_xlpm.sent,_xlfn.MAXIFS('Rework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18" spans="1:40" hidden="1">
      <c r="A18" s="33" t="s">
        <v>40</v>
      </c>
      <c r="B18" s="33" t="s">
        <v>99</v>
      </c>
      <c r="C18" s="33" t="s">
        <v>42</v>
      </c>
      <c r="D18" t="str" cm="1">
        <f t="array" aca="1" ref="D18" ca="1">IF(AND(C18="Ready for Release in Prod",LEFT($AJ18,3)&lt;&gt;"Yes"),IF(AG18&lt;&gt;"","Delivered","On track"),IF($B18="","",IF(LEFT($AJ18,3)="Yes","Blocked - "&amp;MID($AJ18,7,100)&amp;IF(SUMPRODUCT(('Rework Log'!$A$2:$A$497=$B18)*('Rework Log'!$G$2:$G$497&lt;&gt;"Yes")*('Rework Log'!$G$2:$G$497&lt;&gt;"Did not pass re-test"))=0,"",IF(SUMPRODUCT(MAX((('Rework Log'!$A$2:$A$497=$B18)*('Rework Log'!$G$2:$G$497&lt;&gt;"Yes")*('Rework Log'!$G$2:$G$497&lt;&gt;"Did not pass re-test"))*'Rework Log'!$I$2:$I$497))=0," - unclaimed"," - promised "&amp;TEXT(SUMPRODUCT(MAX((('Rework Log'!$A$2:$A$497=$B18)*('Rework Log'!$G$2:$G$497&lt;&gt;"Yes")*('Rework Log'!$G$2:$G$497&lt;&gt;"Did not pass re-test"))*'Rework Log'!$I$2:$I$497)),"m/d"))),IF(C18="NOT STARTED",IF(H18="","No plan date set",IF(H18&lt;TODAY(),"Review - planned start passed","On track")),IF(C18="DB Dev",_xlfn.LET(_xlpm.sent,_xlfn.MAXIFS('Rework Log'!$B$2:$B$497,'Rework Log'!$A$2:$A$497,$B18,'Rework Log'!$D$2:$D$497,"DB Dev"),_xlpm.expfix,_xlfn.MAXIFS('Rework Log'!$I$2:$I$497,'Rework Log'!$A$2:$A$497,$B18,'Rework Log'!$D$2:$D$497,"DB Dev",'Rework Log'!$B$2:$B$497,_xlpm.sent),_xlpm.tgt,IF(_xlpm.expfix&gt;0,_xlpm.expfix,IF(L18&lt;&gt;"",L18,K18)),_xlpm.act,IF(AND(M18&lt;&gt;"",M18&gt;=_xlpm.sent),M18,""),IF(_xlpm.tgt="","No target set",IF(AND(_xlpm.tgt&lt;TODAY(),_xlpm.act=""),"Overdue","On track"))),IF(C18="PBI Dev",_xlfn.LET(_xlpm.sent,_xlfn.MAXIFS('Rework Log'!$B$2:$B$497,'Rework Log'!$A$2:$A$497,$B18,'Rework Log'!$D$2:$D$497,"PBI Dev"),_xlpm.expfix,_xlfn.MAXIFS('Rework Log'!$I$2:$I$497,'Rework Log'!$A$2:$A$497,$B18,'Rework Log'!$D$2:$D$497,"PBI Dev",'Rework Log'!$B$2:$B$497,_xlpm.sent),_xlpm.tgt,IF(_xlpm.expfix&gt;0,_xlpm.expfix,IF(R18&lt;&gt;"",R18,Q18)),_xlpm.act,IF(AND(S18&lt;&gt;"",S18&gt;=_xlpm.sent),S18,""),IF(_xlpm.tgt="","No target set",IF(AND(_xlpm.tgt&lt;TODAY(),_xlpm.act=""),"Overdue","On track"))),IF(C18="QA",_xlfn.LET(_xlpm.tgt,IF(AM18&lt;&gt;"",AM18,IF(W18&lt;&gt;"",W18,V18)),_xlpm.sent,_xlfn.MAXIFS('Rework Log'!$B$2:$B$497,'Rework Log'!$A$2:$A$497,$B18,'Rework Log'!$C$2:$C$497,"QA"),_xlpm.act,IF(AND(Y18&lt;&gt;"",Y18&gt;=_xlpm.sent),Y18,""),IF(_xlpm.tgt="","No target set",IF(AND(_xlpm.tgt&lt;TODAY(),_xlpm.act=""),"Overdue","On track"))),IF(C18="DPO Approval",_xlfn.LET(_xlpm.tgt,IF(AN18&lt;&gt;"",AN18,IF(AB18&lt;&gt;"",AB18,AA18)),_xlpm.sent,_xlfn.MAXIFS('Rework Log'!$B$2:$B$497,'Rework Log'!$A$2:$A$497,$B18,'Rework Log'!$C$2:$C$497,"DPO*"),_xlpm.act,IF(AND(AC18&lt;&gt;"",AC18&gt;=_xlpm.sent),AC18,""),IF(_xlpm.tgt="","No target set",IF(AND(_xlpm.tgt&lt;TODAY(),_xlpm.act=""),"Overdue","On track"))),IF(C18="RELEASED IN PROD","Delivered","")))))))))</f>
        <v>Delivered</v>
      </c>
      <c r="E18" s="33">
        <v>17</v>
      </c>
      <c r="F18" s="34"/>
      <c r="G18" s="33"/>
      <c r="H18" s="49">
        <v>46173</v>
      </c>
      <c r="I18" s="54" t="s">
        <v>75</v>
      </c>
      <c r="J18" s="33"/>
      <c r="K18" s="4"/>
      <c r="L18" s="43"/>
      <c r="M18" s="36"/>
      <c r="N18" s="36" t="s">
        <v>45</v>
      </c>
      <c r="O18" s="36"/>
      <c r="P18" s="62"/>
      <c r="Q18" s="4"/>
      <c r="R18" s="43"/>
      <c r="S18" s="36"/>
      <c r="T18" s="68"/>
      <c r="U18" s="33"/>
      <c r="V18" s="58"/>
      <c r="W18" s="43"/>
      <c r="X18" s="36"/>
      <c r="Y18" s="36"/>
      <c r="Z18" s="36"/>
      <c r="AA18" s="51"/>
      <c r="AB18" s="43"/>
      <c r="AC18" s="43"/>
      <c r="AD18" s="33" t="s">
        <v>48</v>
      </c>
      <c r="AE18" s="33" t="s">
        <v>49</v>
      </c>
      <c r="AF18" s="38" t="s">
        <v>50</v>
      </c>
      <c r="AG18" s="36">
        <v>46203</v>
      </c>
      <c r="AH18" s="39"/>
      <c r="AI18" s="33"/>
      <c r="AJ18" s="40"/>
      <c r="AK18" s="47"/>
      <c r="AL18" s="41"/>
      <c r="AM18" s="31" t="str" cm="1">
        <f t="array" ref="AM18">_xlfn.LET(_xlpm.rep,$B18,_xlpm.sent,_xlfn.MAXIFS('Rework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
      </c>
      <c r="AN18" s="31" t="str" cm="1">
        <f t="array" ref="AN18">_xlfn.LET(_xlpm.rep,$B18,_xlpm.sent,_xlfn.MAXIFS('Rework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19" spans="1:40" hidden="1">
      <c r="A19" s="33" t="s">
        <v>40</v>
      </c>
      <c r="B19" s="33" t="s">
        <v>100</v>
      </c>
      <c r="C19" s="33" t="s">
        <v>42</v>
      </c>
      <c r="D19" t="str" cm="1">
        <f t="array" aca="1" ref="D19" ca="1">IF(AND(C19="Ready for Release in Prod",LEFT($AJ19,3)&lt;&gt;"Yes"),IF(AG19&lt;&gt;"","Delivered","On track"),IF($B19="","",IF(LEFT($AJ19,3)="Yes","Blocked - "&amp;MID($AJ19,7,100)&amp;IF(SUMPRODUCT(('Rework Log'!$A$2:$A$497=$B19)*('Rework Log'!$G$2:$G$497&lt;&gt;"Yes")*('Rework Log'!$G$2:$G$497&lt;&gt;"Did not pass re-test"))=0,"",IF(SUMPRODUCT(MAX((('Rework Log'!$A$2:$A$497=$B19)*('Rework Log'!$G$2:$G$497&lt;&gt;"Yes")*('Rework Log'!$G$2:$G$497&lt;&gt;"Did not pass re-test"))*'Rework Log'!$I$2:$I$497))=0," - unclaimed"," - promised "&amp;TEXT(SUMPRODUCT(MAX((('Rework Log'!$A$2:$A$497=$B19)*('Rework Log'!$G$2:$G$497&lt;&gt;"Yes")*('Rework Log'!$G$2:$G$497&lt;&gt;"Did not pass re-test"))*'Rework Log'!$I$2:$I$497)),"m/d"))),IF(C19="NOT STARTED",IF(H19="","No plan date set",IF(H19&lt;TODAY(),"Review - planned start passed","On track")),IF(C19="DB Dev",_xlfn.LET(_xlpm.sent,_xlfn.MAXIFS('Rework Log'!$B$2:$B$497,'Rework Log'!$A$2:$A$497,$B19,'Rework Log'!$D$2:$D$497,"DB Dev"),_xlpm.expfix,_xlfn.MAXIFS('Rework Log'!$I$2:$I$497,'Rework Log'!$A$2:$A$497,$B19,'Rework Log'!$D$2:$D$497,"DB Dev",'Rework Log'!$B$2:$B$497,_xlpm.sent),_xlpm.tgt,IF(_xlpm.expfix&gt;0,_xlpm.expfix,IF(L19&lt;&gt;"",L19,K19)),_xlpm.act,IF(AND(M19&lt;&gt;"",M19&gt;=_xlpm.sent),M19,""),IF(_xlpm.tgt="","No target set",IF(AND(_xlpm.tgt&lt;TODAY(),_xlpm.act=""),"Overdue","On track"))),IF(C19="PBI Dev",_xlfn.LET(_xlpm.sent,_xlfn.MAXIFS('Rework Log'!$B$2:$B$497,'Rework Log'!$A$2:$A$497,$B19,'Rework Log'!$D$2:$D$497,"PBI Dev"),_xlpm.expfix,_xlfn.MAXIFS('Rework Log'!$I$2:$I$497,'Rework Log'!$A$2:$A$497,$B19,'Rework Log'!$D$2:$D$497,"PBI Dev",'Rework Log'!$B$2:$B$497,_xlpm.sent),_xlpm.tgt,IF(_xlpm.expfix&gt;0,_xlpm.expfix,IF(R19&lt;&gt;"",R19,Q19)),_xlpm.act,IF(AND(S19&lt;&gt;"",S19&gt;=_xlpm.sent),S19,""),IF(_xlpm.tgt="","No target set",IF(AND(_xlpm.tgt&lt;TODAY(),_xlpm.act=""),"Overdue","On track"))),IF(C19="QA",_xlfn.LET(_xlpm.tgt,IF(AM19&lt;&gt;"",AM19,IF(W19&lt;&gt;"",W19,V19)),_xlpm.sent,_xlfn.MAXIFS('Rework Log'!$B$2:$B$497,'Rework Log'!$A$2:$A$497,$B19,'Rework Log'!$C$2:$C$497,"QA"),_xlpm.act,IF(AND(Y19&lt;&gt;"",Y19&gt;=_xlpm.sent),Y19,""),IF(_xlpm.tgt="","No target set",IF(AND(_xlpm.tgt&lt;TODAY(),_xlpm.act=""),"Overdue","On track"))),IF(C19="DPO Approval",_xlfn.LET(_xlpm.tgt,IF(AN19&lt;&gt;"",AN19,IF(AB19&lt;&gt;"",AB19,AA19)),_xlpm.sent,_xlfn.MAXIFS('Rework Log'!$B$2:$B$497,'Rework Log'!$A$2:$A$497,$B19,'Rework Log'!$C$2:$C$497,"DPO*"),_xlpm.act,IF(AND(AC19&lt;&gt;"",AC19&gt;=_xlpm.sent),AC19,""),IF(_xlpm.tgt="","No target set",IF(AND(_xlpm.tgt&lt;TODAY(),_xlpm.act=""),"Overdue","On track"))),IF(C19="RELEASED IN PROD","Delivered","")))))))))</f>
        <v>Delivered</v>
      </c>
      <c r="E19" s="33">
        <v>18</v>
      </c>
      <c r="F19" s="34"/>
      <c r="G19" s="33"/>
      <c r="H19" s="49">
        <v>46173</v>
      </c>
      <c r="I19" s="54" t="s">
        <v>75</v>
      </c>
      <c r="J19" s="33"/>
      <c r="K19" s="4"/>
      <c r="L19" s="43"/>
      <c r="M19" s="36"/>
      <c r="N19" s="36" t="s">
        <v>45</v>
      </c>
      <c r="O19" s="36"/>
      <c r="P19" s="62"/>
      <c r="Q19" s="4"/>
      <c r="R19" s="43"/>
      <c r="S19" s="36"/>
      <c r="T19" s="68"/>
      <c r="U19" s="33"/>
      <c r="V19" s="58"/>
      <c r="W19" s="43"/>
      <c r="X19" s="36"/>
      <c r="Y19" s="36"/>
      <c r="Z19" s="36"/>
      <c r="AA19" s="51"/>
      <c r="AB19" s="43"/>
      <c r="AC19" s="43"/>
      <c r="AD19" s="33" t="s">
        <v>48</v>
      </c>
      <c r="AE19" s="33" t="s">
        <v>94</v>
      </c>
      <c r="AF19" s="38" t="s">
        <v>50</v>
      </c>
      <c r="AG19" s="36">
        <v>46203</v>
      </c>
      <c r="AH19" s="39"/>
      <c r="AI19" s="33"/>
      <c r="AJ19" s="40"/>
      <c r="AK19" s="47"/>
      <c r="AL19" s="41"/>
      <c r="AM19" s="31" t="str" cm="1">
        <f t="array" ref="AM19">_xlfn.LET(_xlpm.rep,$B19,_xlpm.sent,_xlfn.MAXIFS('Rework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
      </c>
      <c r="AN19" s="31" t="str" cm="1">
        <f t="array" ref="AN19">_xlfn.LET(_xlpm.rep,$B19,_xlpm.sent,_xlfn.MAXIFS('Rework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20" spans="1:40" hidden="1">
      <c r="A20" s="33" t="s">
        <v>40</v>
      </c>
      <c r="B20" s="33" t="s">
        <v>101</v>
      </c>
      <c r="C20" s="33" t="s">
        <v>42</v>
      </c>
      <c r="D20" t="str" cm="1">
        <f t="array" aca="1" ref="D20" ca="1">IF(AND(C20="Ready for Release in Prod",LEFT($AJ20,3)&lt;&gt;"Yes"),IF(AG20&lt;&gt;"","Delivered","On track"),IF($B20="","",IF(LEFT($AJ20,3)="Yes","Blocked - "&amp;MID($AJ20,7,100)&amp;IF(SUMPRODUCT(('Rework Log'!$A$2:$A$497=$B20)*('Rework Log'!$G$2:$G$497&lt;&gt;"Yes")*('Rework Log'!$G$2:$G$497&lt;&gt;"Did not pass re-test"))=0,"",IF(SUMPRODUCT(MAX((('Rework Log'!$A$2:$A$497=$B20)*('Rework Log'!$G$2:$G$497&lt;&gt;"Yes")*('Rework Log'!$G$2:$G$497&lt;&gt;"Did not pass re-test"))*'Rework Log'!$I$2:$I$497))=0," - unclaimed"," - promised "&amp;TEXT(SUMPRODUCT(MAX((('Rework Log'!$A$2:$A$497=$B20)*('Rework Log'!$G$2:$G$497&lt;&gt;"Yes")*('Rework Log'!$G$2:$G$497&lt;&gt;"Did not pass re-test"))*'Rework Log'!$I$2:$I$497)),"m/d"))),IF(C20="NOT STARTED",IF(H20="","No plan date set",IF(H20&lt;TODAY(),"Review - planned start passed","On track")),IF(C20="DB Dev",_xlfn.LET(_xlpm.sent,_xlfn.MAXIFS('Rework Log'!$B$2:$B$497,'Rework Log'!$A$2:$A$497,$B20,'Rework Log'!$D$2:$D$497,"DB Dev"),_xlpm.expfix,_xlfn.MAXIFS('Rework Log'!$I$2:$I$497,'Rework Log'!$A$2:$A$497,$B20,'Rework Log'!$D$2:$D$497,"DB Dev",'Rework Log'!$B$2:$B$497,_xlpm.sent),_xlpm.tgt,IF(_xlpm.expfix&gt;0,_xlpm.expfix,IF(L20&lt;&gt;"",L20,K20)),_xlpm.act,IF(AND(M20&lt;&gt;"",M20&gt;=_xlpm.sent),M20,""),IF(_xlpm.tgt="","No target set",IF(AND(_xlpm.tgt&lt;TODAY(),_xlpm.act=""),"Overdue","On track"))),IF(C20="PBI Dev",_xlfn.LET(_xlpm.sent,_xlfn.MAXIFS('Rework Log'!$B$2:$B$497,'Rework Log'!$A$2:$A$497,$B20,'Rework Log'!$D$2:$D$497,"PBI Dev"),_xlpm.expfix,_xlfn.MAXIFS('Rework Log'!$I$2:$I$497,'Rework Log'!$A$2:$A$497,$B20,'Rework Log'!$D$2:$D$497,"PBI Dev",'Rework Log'!$B$2:$B$497,_xlpm.sent),_xlpm.tgt,IF(_xlpm.expfix&gt;0,_xlpm.expfix,IF(R20&lt;&gt;"",R20,Q20)),_xlpm.act,IF(AND(S20&lt;&gt;"",S20&gt;=_xlpm.sent),S20,""),IF(_xlpm.tgt="","No target set",IF(AND(_xlpm.tgt&lt;TODAY(),_xlpm.act=""),"Overdue","On track"))),IF(C20="QA",_xlfn.LET(_xlpm.tgt,IF(AM20&lt;&gt;"",AM20,IF(W20&lt;&gt;"",W20,V20)),_xlpm.sent,_xlfn.MAXIFS('Rework Log'!$B$2:$B$497,'Rework Log'!$A$2:$A$497,$B20,'Rework Log'!$C$2:$C$497,"QA"),_xlpm.act,IF(AND(Y20&lt;&gt;"",Y20&gt;=_xlpm.sent),Y20,""),IF(_xlpm.tgt="","No target set",IF(AND(_xlpm.tgt&lt;TODAY(),_xlpm.act=""),"Overdue","On track"))),IF(C20="DPO Approval",_xlfn.LET(_xlpm.tgt,IF(AN20&lt;&gt;"",AN20,IF(AB20&lt;&gt;"",AB20,AA20)),_xlpm.sent,_xlfn.MAXIFS('Rework Log'!$B$2:$B$497,'Rework Log'!$A$2:$A$497,$B20,'Rework Log'!$C$2:$C$497,"DPO*"),_xlpm.act,IF(AND(AC20&lt;&gt;"",AC20&gt;=_xlpm.sent),AC20,""),IF(_xlpm.tgt="","No target set",IF(AND(_xlpm.tgt&lt;TODAY(),_xlpm.act=""),"Overdue","On track"))),IF(C20="RELEASED IN PROD","Delivered","")))))))))</f>
        <v>Delivered</v>
      </c>
      <c r="E20" s="33">
        <v>19</v>
      </c>
      <c r="F20" s="34"/>
      <c r="G20" s="33"/>
      <c r="H20" s="49">
        <v>46203</v>
      </c>
      <c r="I20" s="54" t="s">
        <v>102</v>
      </c>
      <c r="J20" s="33" t="s">
        <v>103</v>
      </c>
      <c r="K20" s="4">
        <v>46185</v>
      </c>
      <c r="L20" s="36"/>
      <c r="M20" s="36">
        <v>46148</v>
      </c>
      <c r="N20" s="36" t="s">
        <v>45</v>
      </c>
      <c r="O20" s="36"/>
      <c r="P20" s="62" t="s">
        <v>60</v>
      </c>
      <c r="Q20" s="4">
        <v>46192</v>
      </c>
      <c r="R20" s="36"/>
      <c r="S20" s="36">
        <v>46183</v>
      </c>
      <c r="T20" s="68"/>
      <c r="U20" s="33" t="s">
        <v>47</v>
      </c>
      <c r="V20" s="58">
        <v>46199</v>
      </c>
      <c r="W20" s="36"/>
      <c r="X20" s="36"/>
      <c r="Y20" s="36">
        <v>46195</v>
      </c>
      <c r="Z20" s="36"/>
      <c r="AA20" s="51">
        <v>46202</v>
      </c>
      <c r="AB20" s="36"/>
      <c r="AC20" s="36"/>
      <c r="AD20" s="33" t="s">
        <v>104</v>
      </c>
      <c r="AE20" s="33" t="s">
        <v>72</v>
      </c>
      <c r="AF20" s="38" t="s">
        <v>50</v>
      </c>
      <c r="AG20" s="36">
        <v>46195</v>
      </c>
      <c r="AH20" s="39"/>
      <c r="AI20" s="33"/>
      <c r="AJ20" s="40" t="s">
        <v>53</v>
      </c>
      <c r="AK20" s="72" t="str">
        <f>IF($B20="","",IF(AND(LEFT($AJ20,3)="Yes",SUMPRODUCT(('Rework Log'!$A$2:$A$497=$B20)*('Rework Log'!$G$2:$G$497&lt;&gt;"Yes")*('Rework Log'!$G$2:$G$497&lt;&gt;"Did not pass re-test"))=0),"Blocked - log it on Rework Log",IF(AND(LEFT($AJ20,3)&lt;&gt;"Yes",SUMPRODUCT(('Rework Log'!$A$2:$A$497=$B20)*('Rework Log'!$G$2:$G$497&lt;&gt;"Yes")*('Rework Log'!$G$2:$G$497&lt;&gt;"Did not pass re-test"))&gt;0),"Open rework row - mark Blocked? or close it",IF(AND($AJ20="Yes – needs DB Dev to fix",M20&lt;&gt;"",SUMPRODUCT(MAX((('Rework Log'!$A$2:$A$497=$B20)*('Rework Log'!$G$2:$G$497&lt;&gt;"Yes")*('Rework Log'!$G$2:$G$497&lt;&gt;"Did not pass re-test"))*'Rework Log'!$I$2:$I$497))&gt;0),"Move old DB Dev completion date to Rework Log (col H)",IF(AND($AJ20="Yes – needs PBI Dev to fix",S20&lt;&gt;"",SUMPRODUCT(MAX((('Rework Log'!$A$2:$A$497=$B20)*('Rework Log'!$G$2:$G$497&lt;&gt;"Yes")*('Rework Log'!$G$2:$G$497&lt;&gt;"Did not pass re-test"))*'Rework Log'!$I$2:$I$497))&gt;0),"Move old PBI Dev completion date to Rework Log (col H)",IF(AND($AJ20="Yes – needs QA to fix",Y20&lt;&gt;"",SUMPRODUCT(MAX((('Rework Log'!$A$2:$A$497=$B20)*('Rework Log'!$G$2:$G$497&lt;&gt;"Yes")*('Rework Log'!$G$2:$G$497&lt;&gt;"Did not pass re-test"))*'Rework Log'!$I$2:$I$497))&gt;0),"Move old QA completion date to Rework Log (col H)",IF(COUNTIF($B$2:$B$528,$B20)&gt;1,"Duplicate name - check row",IF(COUNTIF('Rework Log'!$A$2:$A$497,$B20)&gt;0,"",IF(AND(V20&lt;&gt;"",K20&lt;&gt;"",V20&lt;K20),"QA target is before DB Dev target",IF(AND(V20&lt;&gt;"",Q20&lt;&gt;"",V20&lt;Q20),"QA target is before PBI Dev target",IF(AND(AA20&lt;&gt;"",V20&lt;&gt;"",AA20&lt;V20),"DPO Approval target is before QA target",IF(AND(AG20&lt;&gt;"",AA20&lt;&gt;"",AG20&lt;AA20),"Confirmed Deployed date is before DPO Approval target",""))))))))))))</f>
        <v>Confirmed Deployed date is before DPO Approval target</v>
      </c>
      <c r="AL20" s="41"/>
      <c r="AM20" s="31" t="str" cm="1">
        <f t="array" ref="AM20">_xlfn.LET(_xlpm.rep,$B20,_xlpm.sent,_xlfn.MAXIFS('Rework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
      </c>
      <c r="AN20" s="31" t="str" cm="1">
        <f t="array" ref="AN20">_xlfn.LET(_xlpm.rep,$B20,_xlpm.sent,_xlfn.MAXIFS('Rework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21" spans="1:40" hidden="1">
      <c r="A21" s="33" t="s">
        <v>40</v>
      </c>
      <c r="B21" s="33" t="s">
        <v>105</v>
      </c>
      <c r="C21" s="33" t="s">
        <v>42</v>
      </c>
      <c r="D21" t="str" cm="1">
        <f t="array" aca="1" ref="D21" ca="1">IF(AND(C21="Ready for Release in Prod",LEFT($AJ21,3)&lt;&gt;"Yes"),IF(AG21&lt;&gt;"","Delivered","On track"),IF($B21="","",IF(LEFT($AJ21,3)="Yes","Blocked - "&amp;MID($AJ21,7,100)&amp;IF(SUMPRODUCT(('Rework Log'!$A$2:$A$497=$B21)*('Rework Log'!$G$2:$G$497&lt;&gt;"Yes")*('Rework Log'!$G$2:$G$497&lt;&gt;"Did not pass re-test"))=0,"",IF(SUMPRODUCT(MAX((('Rework Log'!$A$2:$A$497=$B21)*('Rework Log'!$G$2:$G$497&lt;&gt;"Yes")*('Rework Log'!$G$2:$G$497&lt;&gt;"Did not pass re-test"))*'Rework Log'!$I$2:$I$497))=0," - unclaimed"," - promised "&amp;TEXT(SUMPRODUCT(MAX((('Rework Log'!$A$2:$A$497=$B21)*('Rework Log'!$G$2:$G$497&lt;&gt;"Yes")*('Rework Log'!$G$2:$G$497&lt;&gt;"Did not pass re-test"))*'Rework Log'!$I$2:$I$497)),"m/d"))),IF(C21="NOT STARTED",IF(H21="","No plan date set",IF(H21&lt;TODAY(),"Review - planned start passed","On track")),IF(C21="DB Dev",_xlfn.LET(_xlpm.sent,_xlfn.MAXIFS('Rework Log'!$B$2:$B$497,'Rework Log'!$A$2:$A$497,$B21,'Rework Log'!$D$2:$D$497,"DB Dev"),_xlpm.expfix,_xlfn.MAXIFS('Rework Log'!$I$2:$I$497,'Rework Log'!$A$2:$A$497,$B21,'Rework Log'!$D$2:$D$497,"DB Dev",'Rework Log'!$B$2:$B$497,_xlpm.sent),_xlpm.tgt,IF(_xlpm.expfix&gt;0,_xlpm.expfix,IF(L21&lt;&gt;"",L21,K21)),_xlpm.act,IF(AND(M21&lt;&gt;"",M21&gt;=_xlpm.sent),M21,""),IF(_xlpm.tgt="","No target set",IF(AND(_xlpm.tgt&lt;TODAY(),_xlpm.act=""),"Overdue","On track"))),IF(C21="PBI Dev",_xlfn.LET(_xlpm.sent,_xlfn.MAXIFS('Rework Log'!$B$2:$B$497,'Rework Log'!$A$2:$A$497,$B21,'Rework Log'!$D$2:$D$497,"PBI Dev"),_xlpm.expfix,_xlfn.MAXIFS('Rework Log'!$I$2:$I$497,'Rework Log'!$A$2:$A$497,$B21,'Rework Log'!$D$2:$D$497,"PBI Dev",'Rework Log'!$B$2:$B$497,_xlpm.sent),_xlpm.tgt,IF(_xlpm.expfix&gt;0,_xlpm.expfix,IF(R21&lt;&gt;"",R21,Q21)),_xlpm.act,IF(AND(S21&lt;&gt;"",S21&gt;=_xlpm.sent),S21,""),IF(_xlpm.tgt="","No target set",IF(AND(_xlpm.tgt&lt;TODAY(),_xlpm.act=""),"Overdue","On track"))),IF(C21="QA",_xlfn.LET(_xlpm.tgt,IF(AM21&lt;&gt;"",AM21,IF(W21&lt;&gt;"",W21,V21)),_xlpm.sent,_xlfn.MAXIFS('Rework Log'!$B$2:$B$497,'Rework Log'!$A$2:$A$497,$B21,'Rework Log'!$C$2:$C$497,"QA"),_xlpm.act,IF(AND(Y21&lt;&gt;"",Y21&gt;=_xlpm.sent),Y21,""),IF(_xlpm.tgt="","No target set",IF(AND(_xlpm.tgt&lt;TODAY(),_xlpm.act=""),"Overdue","On track"))),IF(C21="DPO Approval",_xlfn.LET(_xlpm.tgt,IF(AN21&lt;&gt;"",AN21,IF(AB21&lt;&gt;"",AB21,AA21)),_xlpm.sent,_xlfn.MAXIFS('Rework Log'!$B$2:$B$497,'Rework Log'!$A$2:$A$497,$B21,'Rework Log'!$C$2:$C$497,"DPO*"),_xlpm.act,IF(AND(AC21&lt;&gt;"",AC21&gt;=_xlpm.sent),AC21,""),IF(_xlpm.tgt="","No target set",IF(AND(_xlpm.tgt&lt;TODAY(),_xlpm.act=""),"Overdue","On track"))),IF(C21="RELEASED IN PROD","Delivered","")))))))))</f>
        <v>Delivered</v>
      </c>
      <c r="E21" s="33">
        <v>20</v>
      </c>
      <c r="F21" s="34"/>
      <c r="G21" s="33"/>
      <c r="H21" s="49">
        <v>46203</v>
      </c>
      <c r="I21" s="54" t="s">
        <v>102</v>
      </c>
      <c r="J21" s="33" t="s">
        <v>103</v>
      </c>
      <c r="K21" s="4">
        <v>46185</v>
      </c>
      <c r="L21" s="36"/>
      <c r="M21" s="36">
        <v>46162</v>
      </c>
      <c r="N21" s="36" t="s">
        <v>45</v>
      </c>
      <c r="O21" s="36"/>
      <c r="P21" s="62" t="s">
        <v>77</v>
      </c>
      <c r="Q21" s="4">
        <v>46192</v>
      </c>
      <c r="R21" s="36"/>
      <c r="S21" s="36">
        <v>46182</v>
      </c>
      <c r="T21" s="68"/>
      <c r="U21" s="33" t="s">
        <v>47</v>
      </c>
      <c r="V21" s="58">
        <v>46199</v>
      </c>
      <c r="W21" s="36"/>
      <c r="X21" s="36"/>
      <c r="Y21" s="36">
        <v>46198</v>
      </c>
      <c r="Z21" s="36"/>
      <c r="AA21" s="51">
        <v>46202</v>
      </c>
      <c r="AB21" s="36"/>
      <c r="AC21" s="36"/>
      <c r="AD21" s="33" t="s">
        <v>106</v>
      </c>
      <c r="AE21" s="33" t="s">
        <v>72</v>
      </c>
      <c r="AF21" s="38" t="s">
        <v>50</v>
      </c>
      <c r="AG21" s="36">
        <v>46198</v>
      </c>
      <c r="AH21" s="39"/>
      <c r="AI21" s="33"/>
      <c r="AJ21" s="40" t="s">
        <v>53</v>
      </c>
      <c r="AK21" s="72" t="str" cm="1">
        <f t="array" ref="AK21">IF($B21="","",_xlfn.LET(_xlpm.nm,$B21,_xlpm.st,$C21,_xlpm.ou,SUMPRODUCT(('Rework Log'!$A$2:$A$497=_xlpm.nm)*('Rework Log'!$G$2:$G$497&lt;&gt;"Yes")*('Rework Log'!$G$2:$G$497&lt;&gt;"Did not pass re-test")*('Rework Log'!$J$2:$J$497="")),_xlpm.ob,SUMPRODUCT(('Rework Log'!$A$2:$A$497=_xlpm.nm)*('Rework Log'!$G$2:$G$497&lt;&gt;"Yes")*('Rework Log'!$G$2:$G$497&lt;&gt;"Did not pass re-test")),_xlpm.oto,IF(SUMPRODUCT(('Rework Log'!$A$2:$A$497=_xlpm.nm)*('Rework Log'!$G$2:$G$497&lt;&gt;"Yes")*('Rework Log'!$G$2:$G$497&lt;&gt;"Did not pass re-test")*('Rework Log'!$J$2:$J$497=""))=0,"",INDEX('Rework Log'!$D$2:$D$497,MATCH(1,('Rework Log'!$A$2:$A$497=_xlpm.nm)*('Rework Log'!$G$2:$G$497&lt;&gt;"Yes")*('Rework Log'!$G$2:$G$497&lt;&gt;"Did not pass re-test")*('Rework Log'!$J$2:$J$497=""),0))),_xlpm.sent,_xlfn.MAXIFS('Rework Log'!$B$2:$B$497,'Rework Log'!$A$2:$A$497,_xlpm.nm),_xlpm.act,_xlfn.IFS(_xlpm.st="NOT STARTED",$M21,_xlpm.st="DB Dev",$M21,_xlpm.st="PBI Dev",$S21,_xlpm.st="QA",$Y21,_xlpm.st="DPO Approval",$AC21,_xlpm.st="Ready for Release in Prod",$AG21,TRUE,""),_xlpm.nxt,_xlfn.IFS(_xlpm.st="NOT STARTED","PBI Dev",_xlpm.st="DB Dev","PBI Dev",_xlpm.st="PBI Dev","QA",_xlpm.st="QA","DPO Approval",_xlpm.st="DPO Approval","Ready for Release in Prod",_xlpm.st="Ready for Release in Prod","RELEASED IN PROD",TRUE,""),IF(AND(_xlpm.ou&gt;0,_xlpm.st&lt;&gt;_xlpm.oto),"Move status back to "&amp;_xlpm.oto,IF(AND(_xlpm.ob=0,LEFT($AJ21,3)="Yes"),"Blocked - log it on Rework Log",IF(AND(_xlpm.ob&gt;0,LEFT($AJ21,3)&lt;&gt;"Yes"),"Open rework row - mark Blocked or close it",IF(AND(_xlpm.ob=0,_xlpm.act&lt;&gt;"",_xlpm.act&gt;=_xlpm.sent,_xlpm.nxt&lt;&gt;""),"Move status to "&amp;_xlpm.nxt,IF(COUNTIF($B$2:$B$528,$B21)&gt;1,"Duplicate name - check row",IF(COUNTIF('Rework Log'!$A$2:$A$497,$B21)&gt;0,"",IF(AND($V21&lt;&gt;"",$K21&lt;&gt;"",$V21&lt;$K21),"QA target is before DB Dev target",IF(AND($V21&lt;&gt;"",$Q21&lt;&gt;"",$V21&lt;$Q21),"QA target is before PBI Dev target",IF(AND($AA21&lt;&gt;"",$V21&lt;&gt;"",$AA21&lt;$V21),"DPO Approval target is before QA target",IF(AND($AG21&lt;&gt;"",$AA21&lt;&gt;"",$AG21&lt;$AA21),"Confirmed Deployed date is before DPO Approval target",""))))))))))))</f>
        <v>Confirmed Deployed date is before DPO Approval target</v>
      </c>
      <c r="AL21" s="41" t="s">
        <v>107</v>
      </c>
      <c r="AM21" s="31" t="str" cm="1">
        <f t="array" ref="AM21">_xlfn.LET(_xlpm.rep,$B21,_xlpm.sent,_xlfn.MAXIFS('Rework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
      </c>
      <c r="AN21" s="31" t="str" cm="1">
        <f t="array" ref="AN21">_xlfn.LET(_xlpm.rep,$B21,_xlpm.sent,_xlfn.MAXIFS('Rework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22" spans="1:40" hidden="1">
      <c r="A22" s="33" t="s">
        <v>40</v>
      </c>
      <c r="B22" s="33" t="s">
        <v>108</v>
      </c>
      <c r="C22" s="33" t="s">
        <v>42</v>
      </c>
      <c r="D22" t="str" cm="1">
        <f t="array" aca="1" ref="D22" ca="1">IF(AND(C22="Ready for Release in Prod",LEFT($AJ22,3)&lt;&gt;"Yes"),IF(AG22&lt;&gt;"","Delivered","On track"),IF($B22="","",IF(LEFT($AJ22,3)="Yes","Blocked - "&amp;MID($AJ22,7,100)&amp;IF(SUMPRODUCT(('Rework Log'!$A$2:$A$497=$B22)*('Rework Log'!$G$2:$G$497&lt;&gt;"Yes")*('Rework Log'!$G$2:$G$497&lt;&gt;"Did not pass re-test"))=0,"",IF(SUMPRODUCT(MAX((('Rework Log'!$A$2:$A$497=$B22)*('Rework Log'!$G$2:$G$497&lt;&gt;"Yes")*('Rework Log'!$G$2:$G$497&lt;&gt;"Did not pass re-test"))*'Rework Log'!$I$2:$I$497))=0," - unclaimed"," - promised "&amp;TEXT(SUMPRODUCT(MAX((('Rework Log'!$A$2:$A$497=$B22)*('Rework Log'!$G$2:$G$497&lt;&gt;"Yes")*('Rework Log'!$G$2:$G$497&lt;&gt;"Did not pass re-test"))*'Rework Log'!$I$2:$I$497)),"m/d"))),IF(C22="NOT STARTED",IF(H22="","No plan date set",IF(H22&lt;TODAY(),"Review - planned start passed","On track")),IF(C22="DB Dev",_xlfn.LET(_xlpm.sent,_xlfn.MAXIFS('Rework Log'!$B$2:$B$497,'Rework Log'!$A$2:$A$497,$B22,'Rework Log'!$D$2:$D$497,"DB Dev"),_xlpm.expfix,_xlfn.MAXIFS('Rework Log'!$I$2:$I$497,'Rework Log'!$A$2:$A$497,$B22,'Rework Log'!$D$2:$D$497,"DB Dev",'Rework Log'!$B$2:$B$497,_xlpm.sent),_xlpm.tgt,IF(_xlpm.expfix&gt;0,_xlpm.expfix,IF(L22&lt;&gt;"",L22,K22)),_xlpm.act,IF(AND(M22&lt;&gt;"",M22&gt;=_xlpm.sent),M22,""),IF(_xlpm.tgt="","No target set",IF(AND(_xlpm.tgt&lt;TODAY(),_xlpm.act=""),"Overdue","On track"))),IF(C22="PBI Dev",_xlfn.LET(_xlpm.sent,_xlfn.MAXIFS('Rework Log'!$B$2:$B$497,'Rework Log'!$A$2:$A$497,$B22,'Rework Log'!$D$2:$D$497,"PBI Dev"),_xlpm.expfix,_xlfn.MAXIFS('Rework Log'!$I$2:$I$497,'Rework Log'!$A$2:$A$497,$B22,'Rework Log'!$D$2:$D$497,"PBI Dev",'Rework Log'!$B$2:$B$497,_xlpm.sent),_xlpm.tgt,IF(_xlpm.expfix&gt;0,_xlpm.expfix,IF(R22&lt;&gt;"",R22,Q22)),_xlpm.act,IF(AND(S22&lt;&gt;"",S22&gt;=_xlpm.sent),S22,""),IF(_xlpm.tgt="","No target set",IF(AND(_xlpm.tgt&lt;TODAY(),_xlpm.act=""),"Overdue","On track"))),IF(C22="QA",_xlfn.LET(_xlpm.tgt,IF(AM22&lt;&gt;"",AM22,IF(W22&lt;&gt;"",W22,V22)),_xlpm.sent,_xlfn.MAXIFS('Rework Log'!$B$2:$B$497,'Rework Log'!$A$2:$A$497,$B22,'Rework Log'!$C$2:$C$497,"QA"),_xlpm.act,IF(AND(Y22&lt;&gt;"",Y22&gt;=_xlpm.sent),Y22,""),IF(_xlpm.tgt="","No target set",IF(AND(_xlpm.tgt&lt;TODAY(),_xlpm.act=""),"Overdue","On track"))),IF(C22="DPO Approval",_xlfn.LET(_xlpm.tgt,IF(AN22&lt;&gt;"",AN22,IF(AB22&lt;&gt;"",AB22,AA22)),_xlpm.sent,_xlfn.MAXIFS('Rework Log'!$B$2:$B$497,'Rework Log'!$A$2:$A$497,$B22,'Rework Log'!$C$2:$C$497,"DPO*"),_xlpm.act,IF(AND(AC22&lt;&gt;"",AC22&gt;=_xlpm.sent),AC22,""),IF(_xlpm.tgt="","No target set",IF(AND(_xlpm.tgt&lt;TODAY(),_xlpm.act=""),"Overdue","On track"))),IF(C22="RELEASED IN PROD","Delivered","")))))))))</f>
        <v>Delivered</v>
      </c>
      <c r="E22" s="33">
        <v>21</v>
      </c>
      <c r="F22" s="34"/>
      <c r="G22" s="33"/>
      <c r="H22" s="49">
        <v>46203</v>
      </c>
      <c r="I22" s="54" t="s">
        <v>102</v>
      </c>
      <c r="J22" s="33" t="s">
        <v>44</v>
      </c>
      <c r="K22" s="4">
        <v>46185</v>
      </c>
      <c r="L22" s="36"/>
      <c r="M22" s="36">
        <v>46168</v>
      </c>
      <c r="N22" s="36" t="s">
        <v>45</v>
      </c>
      <c r="O22" s="36"/>
      <c r="P22" s="62" t="s">
        <v>60</v>
      </c>
      <c r="Q22" s="4">
        <v>46192</v>
      </c>
      <c r="R22" s="36"/>
      <c r="S22" s="36">
        <v>46183</v>
      </c>
      <c r="T22" s="68"/>
      <c r="U22" s="33" t="s">
        <v>47</v>
      </c>
      <c r="V22" s="58">
        <v>46199</v>
      </c>
      <c r="W22" s="36"/>
      <c r="X22" s="36"/>
      <c r="Y22" s="36">
        <v>46198</v>
      </c>
      <c r="Z22" s="36"/>
      <c r="AA22" s="51">
        <v>46202</v>
      </c>
      <c r="AB22" s="36"/>
      <c r="AC22" s="36"/>
      <c r="AD22" s="33"/>
      <c r="AE22" s="33" t="s">
        <v>72</v>
      </c>
      <c r="AF22" s="38" t="s">
        <v>50</v>
      </c>
      <c r="AG22" s="36">
        <v>46198</v>
      </c>
      <c r="AH22" s="39"/>
      <c r="AI22" s="33"/>
      <c r="AJ22" s="40" t="s">
        <v>53</v>
      </c>
      <c r="AK22" s="72" t="str">
        <f>IF($B22="","",IF(AND(LEFT($AJ22,3)="Yes",SUMPRODUCT(('Rework Log'!$A$2:$A$497=$B22)*('Rework Log'!$G$2:$G$497&lt;&gt;"Yes")*('Rework Log'!$G$2:$G$497&lt;&gt;"Did not pass re-test"))=0),"Blocked - log it on Rework Log",IF(AND(LEFT($AJ22,3)&lt;&gt;"Yes",SUMPRODUCT(('Rework Log'!$A$2:$A$497=$B22)*('Rework Log'!$G$2:$G$497&lt;&gt;"Yes")*('Rework Log'!$G$2:$G$497&lt;&gt;"Did not pass re-test"))&gt;0),"Open rework row - mark Blocked? or close it",IF(AND($AJ22="Yes – needs DB Dev to fix",M22&lt;&gt;"",SUMPRODUCT(MAX((('Rework Log'!$A$2:$A$497=$B22)*('Rework Log'!$G$2:$G$497&lt;&gt;"Yes")*('Rework Log'!$G$2:$G$497&lt;&gt;"Did not pass re-test"))*'Rework Log'!$I$2:$I$497))&gt;0),"Move old DB Dev completion date to Rework Log (col H)",IF(AND($AJ22="Yes – needs PBI Dev to fix",S22&lt;&gt;"",SUMPRODUCT(MAX((('Rework Log'!$A$2:$A$497=$B22)*('Rework Log'!$G$2:$G$497&lt;&gt;"Yes")*('Rework Log'!$G$2:$G$497&lt;&gt;"Did not pass re-test"))*'Rework Log'!$I$2:$I$497))&gt;0),"Move old PBI Dev completion date to Rework Log (col H)",IF(AND($AJ22="Yes – needs QA to fix",Y22&lt;&gt;"",SUMPRODUCT(MAX((('Rework Log'!$A$2:$A$497=$B22)*('Rework Log'!$G$2:$G$497&lt;&gt;"Yes")*('Rework Log'!$G$2:$G$497&lt;&gt;"Did not pass re-test"))*'Rework Log'!$I$2:$I$497))&gt;0),"Move old QA completion date to Rework Log (col H)",IF(COUNTIF($B$2:$B$528,$B22)&gt;1,"Duplicate name - check row",IF(COUNTIF('Rework Log'!$A$2:$A$497,$B22)&gt;0,"",IF(AND(V22&lt;&gt;"",K22&lt;&gt;"",V22&lt;K22),"QA target is before DB Dev target",IF(AND(V22&lt;&gt;"",Q22&lt;&gt;"",V22&lt;Q22),"QA target is before PBI Dev target",IF(AND(AA22&lt;&gt;"",V22&lt;&gt;"",AA22&lt;V22),"DPO Approval target is before QA target",IF(AND(AG22&lt;&gt;"",AA22&lt;&gt;"",AG22&lt;AA22),"Confirmed Deployed date is before DPO Approval target",""))))))))))))</f>
        <v>Confirmed Deployed date is before DPO Approval target</v>
      </c>
      <c r="AL22" s="41"/>
      <c r="AM22" s="31" t="str" cm="1">
        <f t="array" ref="AM22">_xlfn.LET(_xlpm.rep,$B22,_xlpm.sent,_xlfn.MAXIFS('Rework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
      </c>
      <c r="AN22" s="31" t="str" cm="1">
        <f t="array" ref="AN22">_xlfn.LET(_xlpm.rep,$B22,_xlpm.sent,_xlfn.MAXIFS('Rework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23" spans="1:40" hidden="1">
      <c r="A23" s="33" t="s">
        <v>40</v>
      </c>
      <c r="B23" s="33" t="s">
        <v>109</v>
      </c>
      <c r="C23" s="33" t="s">
        <v>42</v>
      </c>
      <c r="D23" t="str" cm="1">
        <f t="array" aca="1" ref="D23" ca="1">IF(AND(C23="Ready for Release in Prod",LEFT($AJ23,3)&lt;&gt;"Yes"),IF(AG23&lt;&gt;"","Delivered","On track"),IF($B23="","",IF(LEFT($AJ23,3)="Yes","Blocked - "&amp;MID($AJ23,7,100)&amp;IF(SUMPRODUCT(('Rework Log'!$A$2:$A$497=$B23)*('Rework Log'!$G$2:$G$497&lt;&gt;"Yes")*('Rework Log'!$G$2:$G$497&lt;&gt;"Did not pass re-test"))=0,"",IF(SUMPRODUCT(MAX((('Rework Log'!$A$2:$A$497=$B23)*('Rework Log'!$G$2:$G$497&lt;&gt;"Yes")*('Rework Log'!$G$2:$G$497&lt;&gt;"Did not pass re-test"))*'Rework Log'!$I$2:$I$497))=0," - unclaimed"," - promised "&amp;TEXT(SUMPRODUCT(MAX((('Rework Log'!$A$2:$A$497=$B23)*('Rework Log'!$G$2:$G$497&lt;&gt;"Yes")*('Rework Log'!$G$2:$G$497&lt;&gt;"Did not pass re-test"))*'Rework Log'!$I$2:$I$497)),"m/d"))),IF(C23="NOT STARTED",IF(H23="","No plan date set",IF(H23&lt;TODAY(),"Review - planned start passed","On track")),IF(C23="DB Dev",_xlfn.LET(_xlpm.sent,_xlfn.MAXIFS('Rework Log'!$B$2:$B$497,'Rework Log'!$A$2:$A$497,$B23,'Rework Log'!$D$2:$D$497,"DB Dev"),_xlpm.expfix,_xlfn.MAXIFS('Rework Log'!$I$2:$I$497,'Rework Log'!$A$2:$A$497,$B23,'Rework Log'!$D$2:$D$497,"DB Dev",'Rework Log'!$B$2:$B$497,_xlpm.sent),_xlpm.tgt,IF(_xlpm.expfix&gt;0,_xlpm.expfix,IF(L23&lt;&gt;"",L23,K23)),_xlpm.act,IF(AND(M23&lt;&gt;"",M23&gt;=_xlpm.sent),M23,""),IF(_xlpm.tgt="","No target set",IF(AND(_xlpm.tgt&lt;TODAY(),_xlpm.act=""),"Overdue","On track"))),IF(C23="PBI Dev",_xlfn.LET(_xlpm.sent,_xlfn.MAXIFS('Rework Log'!$B$2:$B$497,'Rework Log'!$A$2:$A$497,$B23,'Rework Log'!$D$2:$D$497,"PBI Dev"),_xlpm.expfix,_xlfn.MAXIFS('Rework Log'!$I$2:$I$497,'Rework Log'!$A$2:$A$497,$B23,'Rework Log'!$D$2:$D$497,"PBI Dev",'Rework Log'!$B$2:$B$497,_xlpm.sent),_xlpm.tgt,IF(_xlpm.expfix&gt;0,_xlpm.expfix,IF(R23&lt;&gt;"",R23,Q23)),_xlpm.act,IF(AND(S23&lt;&gt;"",S23&gt;=_xlpm.sent),S23,""),IF(_xlpm.tgt="","No target set",IF(AND(_xlpm.tgt&lt;TODAY(),_xlpm.act=""),"Overdue","On track"))),IF(C23="QA",_xlfn.LET(_xlpm.tgt,IF(AM23&lt;&gt;"",AM23,IF(W23&lt;&gt;"",W23,V23)),_xlpm.sent,_xlfn.MAXIFS('Rework Log'!$B$2:$B$497,'Rework Log'!$A$2:$A$497,$B23,'Rework Log'!$C$2:$C$497,"QA"),_xlpm.act,IF(AND(Y23&lt;&gt;"",Y23&gt;=_xlpm.sent),Y23,""),IF(_xlpm.tgt="","No target set",IF(AND(_xlpm.tgt&lt;TODAY(),_xlpm.act=""),"Overdue","On track"))),IF(C23="DPO Approval",_xlfn.LET(_xlpm.tgt,IF(AN23&lt;&gt;"",AN23,IF(AB23&lt;&gt;"",AB23,AA23)),_xlpm.sent,_xlfn.MAXIFS('Rework Log'!$B$2:$B$497,'Rework Log'!$A$2:$A$497,$B23,'Rework Log'!$C$2:$C$497,"DPO*"),_xlpm.act,IF(AND(AC23&lt;&gt;"",AC23&gt;=_xlpm.sent),AC23,""),IF(_xlpm.tgt="","No target set",IF(AND(_xlpm.tgt&lt;TODAY(),_xlpm.act=""),"Overdue","On track"))),IF(C23="RELEASED IN PROD","Delivered","")))))))))</f>
        <v>Delivered</v>
      </c>
      <c r="E23" s="33">
        <v>22</v>
      </c>
      <c r="F23" s="34"/>
      <c r="G23" s="33"/>
      <c r="H23" s="49">
        <v>46203</v>
      </c>
      <c r="I23" s="54" t="s">
        <v>102</v>
      </c>
      <c r="J23" s="33" t="s">
        <v>44</v>
      </c>
      <c r="K23" s="4">
        <v>46185</v>
      </c>
      <c r="L23" s="36"/>
      <c r="M23" s="36">
        <v>46165</v>
      </c>
      <c r="N23" s="36" t="s">
        <v>45</v>
      </c>
      <c r="O23" s="36"/>
      <c r="P23" s="62" t="s">
        <v>60</v>
      </c>
      <c r="Q23" s="4">
        <v>46192</v>
      </c>
      <c r="R23" s="36"/>
      <c r="S23" s="36">
        <v>46153</v>
      </c>
      <c r="T23" s="68"/>
      <c r="U23" s="33" t="s">
        <v>47</v>
      </c>
      <c r="V23" s="58">
        <v>46199</v>
      </c>
      <c r="W23" s="36"/>
      <c r="X23" s="36"/>
      <c r="Y23" s="36">
        <v>46154</v>
      </c>
      <c r="Z23" s="36"/>
      <c r="AA23" s="51">
        <v>46202</v>
      </c>
      <c r="AB23" s="36"/>
      <c r="AC23" s="36"/>
      <c r="AD23" s="33" t="s">
        <v>110</v>
      </c>
      <c r="AE23" s="33" t="s">
        <v>49</v>
      </c>
      <c r="AF23" s="38" t="s">
        <v>50</v>
      </c>
      <c r="AG23" s="36">
        <v>46184</v>
      </c>
      <c r="AH23" s="39" t="s">
        <v>111</v>
      </c>
      <c r="AI23" s="33" t="s">
        <v>112</v>
      </c>
      <c r="AJ23" s="40" t="s">
        <v>53</v>
      </c>
      <c r="AK23" s="72" t="str">
        <f>IF($B23="","",IF(AND(LEFT($AJ23,3)="Yes",SUMPRODUCT(('Rework Log'!$A$2:$A$497=$B23)*('Rework Log'!$G$2:$G$497&lt;&gt;"Yes")*('Rework Log'!$G$2:$G$497&lt;&gt;"Did not pass re-test"))=0),"Blocked - log it on Rework Log",IF(AND(LEFT($AJ23,3)&lt;&gt;"Yes",SUMPRODUCT(('Rework Log'!$A$2:$A$497=$B23)*('Rework Log'!$G$2:$G$497&lt;&gt;"Yes")*('Rework Log'!$G$2:$G$497&lt;&gt;"Did not pass re-test"))&gt;0),"Open rework row - mark Blocked? or close it",IF(AND($AJ23="Yes – needs DB Dev to fix",M23&lt;&gt;"",SUMPRODUCT(MAX((('Rework Log'!$A$2:$A$497=$B23)*('Rework Log'!$G$2:$G$497&lt;&gt;"Yes")*('Rework Log'!$G$2:$G$497&lt;&gt;"Did not pass re-test"))*'Rework Log'!$I$2:$I$497))&gt;0),"Move old DB Dev completion date to Rework Log (col H)",IF(AND($AJ23="Yes – needs PBI Dev to fix",S23&lt;&gt;"",SUMPRODUCT(MAX((('Rework Log'!$A$2:$A$497=$B23)*('Rework Log'!$G$2:$G$497&lt;&gt;"Yes")*('Rework Log'!$G$2:$G$497&lt;&gt;"Did not pass re-test"))*'Rework Log'!$I$2:$I$497))&gt;0),"Move old PBI Dev completion date to Rework Log (col H)",IF(AND($AJ23="Yes – needs QA to fix",Y23&lt;&gt;"",SUMPRODUCT(MAX((('Rework Log'!$A$2:$A$497=$B23)*('Rework Log'!$G$2:$G$497&lt;&gt;"Yes")*('Rework Log'!$G$2:$G$497&lt;&gt;"Did not pass re-test"))*'Rework Log'!$I$2:$I$497))&gt;0),"Move old QA completion date to Rework Log (col H)",IF(COUNTIF($B$2:$B$528,$B23)&gt;1,"Duplicate name - check row",IF(COUNTIF('Rework Log'!$A$2:$A$497,$B23)&gt;0,"",IF(AND(V23&lt;&gt;"",K23&lt;&gt;"",V23&lt;K23),"QA target is before DB Dev target",IF(AND(V23&lt;&gt;"",Q23&lt;&gt;"",V23&lt;Q23),"QA target is before PBI Dev target",IF(AND(AA23&lt;&gt;"",V23&lt;&gt;"",AA23&lt;V23),"DPO Approval target is before QA target",IF(AND(AG23&lt;&gt;"",AA23&lt;&gt;"",AG23&lt;AA23),"Confirmed Deployed date is before DPO Approval target",""))))))))))))</f>
        <v>Confirmed Deployed date is before DPO Approval target</v>
      </c>
      <c r="AL23" s="41"/>
      <c r="AM23" s="31" t="str" cm="1">
        <f t="array" ref="AM23">_xlfn.LET(_xlpm.rep,$B23,_xlpm.sent,_xlfn.MAXIFS('Rework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
      </c>
      <c r="AN23" s="31" t="str" cm="1">
        <f t="array" ref="AN23">_xlfn.LET(_xlpm.rep,$B23,_xlpm.sent,_xlfn.MAXIFS('Rework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24" spans="1:40" hidden="1">
      <c r="A24" s="33" t="s">
        <v>40</v>
      </c>
      <c r="B24" s="33" t="s">
        <v>113</v>
      </c>
      <c r="C24" s="33" t="s">
        <v>42</v>
      </c>
      <c r="D24" t="str" cm="1">
        <f t="array" aca="1" ref="D24" ca="1">IF(AND(C24="Ready for Release in Prod",LEFT($AJ24,3)&lt;&gt;"Yes"),IF(AG24&lt;&gt;"","Delivered","On track"),IF($B24="","",IF(LEFT($AJ24,3)="Yes","Blocked - "&amp;MID($AJ24,7,100)&amp;IF(SUMPRODUCT(('Rework Log'!$A$2:$A$497=$B24)*('Rework Log'!$G$2:$G$497&lt;&gt;"Yes")*('Rework Log'!$G$2:$G$497&lt;&gt;"Did not pass re-test"))=0,"",IF(SUMPRODUCT(MAX((('Rework Log'!$A$2:$A$497=$B24)*('Rework Log'!$G$2:$G$497&lt;&gt;"Yes")*('Rework Log'!$G$2:$G$497&lt;&gt;"Did not pass re-test"))*'Rework Log'!$I$2:$I$497))=0," - unclaimed"," - promised "&amp;TEXT(SUMPRODUCT(MAX((('Rework Log'!$A$2:$A$497=$B24)*('Rework Log'!$G$2:$G$497&lt;&gt;"Yes")*('Rework Log'!$G$2:$G$497&lt;&gt;"Did not pass re-test"))*'Rework Log'!$I$2:$I$497)),"m/d"))),IF(C24="NOT STARTED",IF(H24="","No plan date set",IF(H24&lt;TODAY(),"Review - planned start passed","On track")),IF(C24="DB Dev",_xlfn.LET(_xlpm.sent,_xlfn.MAXIFS('Rework Log'!$B$2:$B$497,'Rework Log'!$A$2:$A$497,$B24,'Rework Log'!$D$2:$D$497,"DB Dev"),_xlpm.expfix,_xlfn.MAXIFS('Rework Log'!$I$2:$I$497,'Rework Log'!$A$2:$A$497,$B24,'Rework Log'!$D$2:$D$497,"DB Dev",'Rework Log'!$B$2:$B$497,_xlpm.sent),_xlpm.tgt,IF(_xlpm.expfix&gt;0,_xlpm.expfix,IF(L24&lt;&gt;"",L24,K24)),_xlpm.act,IF(AND(M24&lt;&gt;"",M24&gt;=_xlpm.sent),M24,""),IF(_xlpm.tgt="","No target set",IF(AND(_xlpm.tgt&lt;TODAY(),_xlpm.act=""),"Overdue","On track"))),IF(C24="PBI Dev",_xlfn.LET(_xlpm.sent,_xlfn.MAXIFS('Rework Log'!$B$2:$B$497,'Rework Log'!$A$2:$A$497,$B24,'Rework Log'!$D$2:$D$497,"PBI Dev"),_xlpm.expfix,_xlfn.MAXIFS('Rework Log'!$I$2:$I$497,'Rework Log'!$A$2:$A$497,$B24,'Rework Log'!$D$2:$D$497,"PBI Dev",'Rework Log'!$B$2:$B$497,_xlpm.sent),_xlpm.tgt,IF(_xlpm.expfix&gt;0,_xlpm.expfix,IF(R24&lt;&gt;"",R24,Q24)),_xlpm.act,IF(AND(S24&lt;&gt;"",S24&gt;=_xlpm.sent),S24,""),IF(_xlpm.tgt="","No target set",IF(AND(_xlpm.tgt&lt;TODAY(),_xlpm.act=""),"Overdue","On track"))),IF(C24="QA",_xlfn.LET(_xlpm.tgt,IF(AM24&lt;&gt;"",AM24,IF(W24&lt;&gt;"",W24,V24)),_xlpm.sent,_xlfn.MAXIFS('Rework Log'!$B$2:$B$497,'Rework Log'!$A$2:$A$497,$B24,'Rework Log'!$C$2:$C$497,"QA"),_xlpm.act,IF(AND(Y24&lt;&gt;"",Y24&gt;=_xlpm.sent),Y24,""),IF(_xlpm.tgt="","No target set",IF(AND(_xlpm.tgt&lt;TODAY(),_xlpm.act=""),"Overdue","On track"))),IF(C24="DPO Approval",_xlfn.LET(_xlpm.tgt,IF(AN24&lt;&gt;"",AN24,IF(AB24&lt;&gt;"",AB24,AA24)),_xlpm.sent,_xlfn.MAXIFS('Rework Log'!$B$2:$B$497,'Rework Log'!$A$2:$A$497,$B24,'Rework Log'!$C$2:$C$497,"DPO*"),_xlpm.act,IF(AND(AC24&lt;&gt;"",AC24&gt;=_xlpm.sent),AC24,""),IF(_xlpm.tgt="","No target set",IF(AND(_xlpm.tgt&lt;TODAY(),_xlpm.act=""),"Overdue","On track"))),IF(C24="RELEASED IN PROD","Delivered","")))))))))</f>
        <v>Delivered</v>
      </c>
      <c r="E24" s="33">
        <v>23</v>
      </c>
      <c r="F24" s="34"/>
      <c r="G24" s="33"/>
      <c r="H24" s="49">
        <v>46203</v>
      </c>
      <c r="I24" s="54" t="s">
        <v>102</v>
      </c>
      <c r="J24" s="33" t="s">
        <v>59</v>
      </c>
      <c r="K24" s="4">
        <v>46185</v>
      </c>
      <c r="L24" s="36"/>
      <c r="M24" s="36">
        <v>46162</v>
      </c>
      <c r="N24" s="36" t="s">
        <v>45</v>
      </c>
      <c r="O24" s="36"/>
      <c r="P24" s="62" t="s">
        <v>46</v>
      </c>
      <c r="Q24" s="4">
        <v>46192</v>
      </c>
      <c r="R24" s="36"/>
      <c r="S24" s="36">
        <v>46186</v>
      </c>
      <c r="T24" s="68"/>
      <c r="U24" s="33" t="s">
        <v>88</v>
      </c>
      <c r="V24" s="58">
        <v>46199</v>
      </c>
      <c r="W24" s="36"/>
      <c r="X24" s="36"/>
      <c r="Y24" s="36"/>
      <c r="Z24" s="36"/>
      <c r="AA24" s="51">
        <v>46202</v>
      </c>
      <c r="AB24" s="36"/>
      <c r="AC24" s="36"/>
      <c r="AD24" s="33" t="s">
        <v>114</v>
      </c>
      <c r="AE24" s="33" t="s">
        <v>72</v>
      </c>
      <c r="AF24" s="38" t="s">
        <v>50</v>
      </c>
      <c r="AG24" s="36">
        <v>46227</v>
      </c>
      <c r="AH24" s="39"/>
      <c r="AI24" s="33"/>
      <c r="AJ24" s="40" t="s">
        <v>53</v>
      </c>
      <c r="AK24" s="72" t="str">
        <f>IF($B24="","",IF(AND(LEFT($AJ24,3)="Yes",SUMPRODUCT(('Rework Log'!$A$2:$A$497=$B24)*('Rework Log'!$G$2:$G$497&lt;&gt;"Yes")*('Rework Log'!$G$2:$G$497&lt;&gt;"Did not pass re-test"))=0),"Blocked - log it on Rework Log",IF(AND(LEFT($AJ24,3)&lt;&gt;"Yes",SUMPRODUCT(('Rework Log'!$A$2:$A$497=$B24)*('Rework Log'!$G$2:$G$497&lt;&gt;"Yes")*('Rework Log'!$G$2:$G$497&lt;&gt;"Did not pass re-test"))&gt;0),"Open rework row - mark Blocked? or close it",IF(AND($AJ24="Yes – needs DB Dev to fix",M24&lt;&gt;"",SUMPRODUCT(MAX((('Rework Log'!$A$2:$A$497=$B24)*('Rework Log'!$G$2:$G$497&lt;&gt;"Yes")*('Rework Log'!$G$2:$G$497&lt;&gt;"Did not pass re-test"))*'Rework Log'!$I$2:$I$497))&gt;0),"Move old DB Dev completion date to Rework Log (col H)",IF(AND($AJ24="Yes – needs PBI Dev to fix",S24&lt;&gt;"",SUMPRODUCT(MAX((('Rework Log'!$A$2:$A$497=$B24)*('Rework Log'!$G$2:$G$497&lt;&gt;"Yes")*('Rework Log'!$G$2:$G$497&lt;&gt;"Did not pass re-test"))*'Rework Log'!$I$2:$I$497))&gt;0),"Move old PBI Dev completion date to Rework Log (col H)",IF(AND($AJ24="Yes – needs QA to fix",Y24&lt;&gt;"",SUMPRODUCT(MAX((('Rework Log'!$A$2:$A$497=$B24)*('Rework Log'!$G$2:$G$497&lt;&gt;"Yes")*('Rework Log'!$G$2:$G$497&lt;&gt;"Did not pass re-test"))*'Rework Log'!$I$2:$I$497))&gt;0),"Move old QA completion date to Rework Log (col H)",IF(COUNTIF($B$2:$B$528,$B24)&gt;1,"Duplicate name - check row",IF(COUNTIF('Rework Log'!$A$2:$A$497,$B24)&gt;0,"",IF(AND(V24&lt;&gt;"",K24&lt;&gt;"",V24&lt;K24),"QA target is before DB Dev target",IF(AND(V24&lt;&gt;"",Q24&lt;&gt;"",V24&lt;Q24),"QA target is before PBI Dev target",IF(AND(AA24&lt;&gt;"",V24&lt;&gt;"",AA24&lt;V24),"DPO Approval target is before QA target",IF(AND(AG24&lt;&gt;"",AA24&lt;&gt;"",AG24&lt;AA24),"Confirmed Deployed date is before DPO Approval target",""))))))))))))</f>
        <v/>
      </c>
      <c r="AL24" s="41" t="s">
        <v>115</v>
      </c>
      <c r="AM24" s="31" t="str" cm="1">
        <f t="array" ref="AM24">_xlfn.LET(_xlpm.rep,$B24,_xlpm.sent,_xlfn.MAXIFS('Rework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
      </c>
      <c r="AN24" s="31" t="str" cm="1">
        <f t="array" ref="AN24">_xlfn.LET(_xlpm.rep,$B24,_xlpm.sent,_xlfn.MAXIFS('Rework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25" spans="1:40" hidden="1">
      <c r="A25" s="33" t="s">
        <v>40</v>
      </c>
      <c r="B25" s="33" t="s">
        <v>116</v>
      </c>
      <c r="C25" s="33" t="s">
        <v>42</v>
      </c>
      <c r="D25" t="str" cm="1">
        <f t="array" aca="1" ref="D25" ca="1">IF(AND(C25="Ready for Release in Prod",LEFT($AJ25,3)&lt;&gt;"Yes"),IF(AG25&lt;&gt;"","Delivered","On track"),IF($B25="","",IF(LEFT($AJ25,3)="Yes","Blocked - "&amp;MID($AJ25,7,100)&amp;IF(SUMPRODUCT(('Rework Log'!$A$2:$A$497=$B25)*('Rework Log'!$G$2:$G$497&lt;&gt;"Yes")*('Rework Log'!$G$2:$G$497&lt;&gt;"Did not pass re-test"))=0,"",IF(SUMPRODUCT(MAX((('Rework Log'!$A$2:$A$497=$B25)*('Rework Log'!$G$2:$G$497&lt;&gt;"Yes")*('Rework Log'!$G$2:$G$497&lt;&gt;"Did not pass re-test"))*'Rework Log'!$I$2:$I$497))=0," - unclaimed"," - promised "&amp;TEXT(SUMPRODUCT(MAX((('Rework Log'!$A$2:$A$497=$B25)*('Rework Log'!$G$2:$G$497&lt;&gt;"Yes")*('Rework Log'!$G$2:$G$497&lt;&gt;"Did not pass re-test"))*'Rework Log'!$I$2:$I$497)),"m/d"))),IF(C25="NOT STARTED",IF(H25="","No plan date set",IF(H25&lt;TODAY(),"Review - planned start passed","On track")),IF(C25="DB Dev",_xlfn.LET(_xlpm.sent,_xlfn.MAXIFS('Rework Log'!$B$2:$B$497,'Rework Log'!$A$2:$A$497,$B25,'Rework Log'!$D$2:$D$497,"DB Dev"),_xlpm.expfix,_xlfn.MAXIFS('Rework Log'!$I$2:$I$497,'Rework Log'!$A$2:$A$497,$B25,'Rework Log'!$D$2:$D$497,"DB Dev",'Rework Log'!$B$2:$B$497,_xlpm.sent),_xlpm.tgt,IF(_xlpm.expfix&gt;0,_xlpm.expfix,IF(L25&lt;&gt;"",L25,K25)),_xlpm.act,IF(AND(M25&lt;&gt;"",M25&gt;=_xlpm.sent),M25,""),IF(_xlpm.tgt="","No target set",IF(AND(_xlpm.tgt&lt;TODAY(),_xlpm.act=""),"Overdue","On track"))),IF(C25="PBI Dev",_xlfn.LET(_xlpm.sent,_xlfn.MAXIFS('Rework Log'!$B$2:$B$497,'Rework Log'!$A$2:$A$497,$B25,'Rework Log'!$D$2:$D$497,"PBI Dev"),_xlpm.expfix,_xlfn.MAXIFS('Rework Log'!$I$2:$I$497,'Rework Log'!$A$2:$A$497,$B25,'Rework Log'!$D$2:$D$497,"PBI Dev",'Rework Log'!$B$2:$B$497,_xlpm.sent),_xlpm.tgt,IF(_xlpm.expfix&gt;0,_xlpm.expfix,IF(R25&lt;&gt;"",R25,Q25)),_xlpm.act,IF(AND(S25&lt;&gt;"",S25&gt;=_xlpm.sent),S25,""),IF(_xlpm.tgt="","No target set",IF(AND(_xlpm.tgt&lt;TODAY(),_xlpm.act=""),"Overdue","On track"))),IF(C25="QA",_xlfn.LET(_xlpm.tgt,IF(AM25&lt;&gt;"",AM25,IF(W25&lt;&gt;"",W25,V25)),_xlpm.sent,_xlfn.MAXIFS('Rework Log'!$B$2:$B$497,'Rework Log'!$A$2:$A$497,$B25,'Rework Log'!$C$2:$C$497,"QA"),_xlpm.act,IF(AND(Y25&lt;&gt;"",Y25&gt;=_xlpm.sent),Y25,""),IF(_xlpm.tgt="","No target set",IF(AND(_xlpm.tgt&lt;TODAY(),_xlpm.act=""),"Overdue","On track"))),IF(C25="DPO Approval",_xlfn.LET(_xlpm.tgt,IF(AN25&lt;&gt;"",AN25,IF(AB25&lt;&gt;"",AB25,AA25)),_xlpm.sent,_xlfn.MAXIFS('Rework Log'!$B$2:$B$497,'Rework Log'!$A$2:$A$497,$B25,'Rework Log'!$C$2:$C$497,"DPO*"),_xlpm.act,IF(AND(AC25&lt;&gt;"",AC25&gt;=_xlpm.sent),AC25,""),IF(_xlpm.tgt="","No target set",IF(AND(_xlpm.tgt&lt;TODAY(),_xlpm.act=""),"Overdue","On track"))),IF(C25="RELEASED IN PROD","Delivered","")))))))))</f>
        <v>Delivered</v>
      </c>
      <c r="E25" s="33">
        <v>24</v>
      </c>
      <c r="F25" s="34"/>
      <c r="G25" s="33"/>
      <c r="H25" s="49">
        <v>46203</v>
      </c>
      <c r="I25" s="54" t="s">
        <v>102</v>
      </c>
      <c r="J25" s="33" t="s">
        <v>59</v>
      </c>
      <c r="K25" s="4">
        <v>46185</v>
      </c>
      <c r="L25" s="36"/>
      <c r="M25" s="36">
        <v>46162</v>
      </c>
      <c r="N25" s="36" t="s">
        <v>45</v>
      </c>
      <c r="O25" s="36"/>
      <c r="P25" s="62" t="s">
        <v>77</v>
      </c>
      <c r="Q25" s="4">
        <v>46192</v>
      </c>
      <c r="R25" s="36"/>
      <c r="S25" s="36">
        <v>46164</v>
      </c>
      <c r="T25" s="68"/>
      <c r="U25" s="33" t="s">
        <v>47</v>
      </c>
      <c r="V25" s="58">
        <v>46199</v>
      </c>
      <c r="W25" s="36"/>
      <c r="X25" s="36"/>
      <c r="Y25" s="36">
        <v>46204</v>
      </c>
      <c r="Z25" s="36"/>
      <c r="AA25" s="51">
        <v>46202</v>
      </c>
      <c r="AB25" s="36"/>
      <c r="AC25" s="36"/>
      <c r="AD25" s="33" t="s">
        <v>110</v>
      </c>
      <c r="AE25" s="33" t="s">
        <v>49</v>
      </c>
      <c r="AF25" s="38" t="s">
        <v>50</v>
      </c>
      <c r="AG25" s="36">
        <v>46204</v>
      </c>
      <c r="AH25" s="39"/>
      <c r="AI25" s="33"/>
      <c r="AJ25" s="40" t="s">
        <v>53</v>
      </c>
      <c r="AK25" s="72" t="str" cm="1">
        <f t="array" ref="AK25">IF($B25="","",_xlfn.LET(_xlpm.nm,$B25,_xlpm.st,$C25,_xlpm.ou,SUMPRODUCT(('Rework Log'!$A$2:$A$497=_xlpm.nm)*('Rework Log'!$G$2:$G$497&lt;&gt;"Yes")*('Rework Log'!$G$2:$G$497&lt;&gt;"Did not pass re-test")*('Rework Log'!$J$2:$J$497="")),_xlpm.ob,SUMPRODUCT(('Rework Log'!$A$2:$A$497=_xlpm.nm)*('Rework Log'!$G$2:$G$497&lt;&gt;"Yes")*('Rework Log'!$G$2:$G$497&lt;&gt;"Did not pass re-test")),_xlpm.oto,IF(SUMPRODUCT(('Rework Log'!$A$2:$A$497=_xlpm.nm)*('Rework Log'!$G$2:$G$497&lt;&gt;"Yes")*('Rework Log'!$G$2:$G$497&lt;&gt;"Did not pass re-test")*('Rework Log'!$J$2:$J$497=""))=0,"",INDEX('Rework Log'!$D$2:$D$497,MATCH(1,('Rework Log'!$A$2:$A$497=_xlpm.nm)*('Rework Log'!$G$2:$G$497&lt;&gt;"Yes")*('Rework Log'!$G$2:$G$497&lt;&gt;"Did not pass re-test")*('Rework Log'!$J$2:$J$497=""),0))),_xlpm.sent,_xlfn.MAXIFS('Rework Log'!$B$2:$B$497,'Rework Log'!$A$2:$A$497,_xlpm.nm),_xlpm.act,_xlfn.IFS(_xlpm.st="NOT STARTED",$M25,_xlpm.st="DB Dev",$M25,_xlpm.st="PBI Dev",$S25,_xlpm.st="QA",$Y25,_xlpm.st="DPO Approval",$AC25,_xlpm.st="Ready for Release in Prod",$AG25,TRUE,""),_xlpm.nxt,_xlfn.IFS(_xlpm.st="NOT STARTED","PBI Dev",_xlpm.st="DB Dev","PBI Dev",_xlpm.st="PBI Dev","QA",_xlpm.st="QA","DPO Approval",_xlpm.st="DPO Approval","Ready for Release in Prod",_xlpm.st="Ready for Release in Prod","RELEASED IN PROD",TRUE,""),IF(AND(_xlpm.ou&gt;0,_xlpm.st&lt;&gt;_xlpm.oto),"Move status back to "&amp;_xlpm.oto,IF(AND(_xlpm.ob=0,LEFT($AJ25,3)="Yes"),"Blocked - log it on Rework Log",IF(AND(_xlpm.ob&gt;0,LEFT($AJ25,3)&lt;&gt;"Yes"),"Open rework row - mark Blocked or close it",IF(AND(_xlpm.ob=0,_xlpm.act&lt;&gt;"",_xlpm.act&gt;=_xlpm.sent,_xlpm.nxt&lt;&gt;""),"Move status to "&amp;_xlpm.nxt,IF(COUNTIF($B$2:$B$528,$B25)&gt;1,"Duplicate name - check row",IF(COUNTIF('Rework Log'!$A$2:$A$497,$B25)&gt;0,"",IF(AND($V25&lt;&gt;"",$K25&lt;&gt;"",$V25&lt;$K25),"QA target is before DB Dev target",IF(AND($V25&lt;&gt;"",$Q25&lt;&gt;"",$V25&lt;$Q25),"QA target is before PBI Dev target",IF(AND($AA25&lt;&gt;"",$V25&lt;&gt;"",$AA25&lt;$V25),"DPO Approval target is before QA target",IF(AND($AG25&lt;&gt;"",$AA25&lt;&gt;"",$AG25&lt;$AA25),"Confirmed Deployed date is before DPO Approval target",""))))))))))))</f>
        <v/>
      </c>
      <c r="AL25" s="41" t="s">
        <v>115</v>
      </c>
      <c r="AM25" s="31" t="str" cm="1">
        <f t="array" ref="AM25">_xlfn.LET(_xlpm.rep,$B25,_xlpm.sent,_xlfn.MAXIFS('Rework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
      </c>
      <c r="AN25" s="31" t="str" cm="1">
        <f t="array" ref="AN25">_xlfn.LET(_xlpm.rep,$B25,_xlpm.sent,_xlfn.MAXIFS('Rework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26" spans="1:40" hidden="1">
      <c r="A26" s="33" t="s">
        <v>40</v>
      </c>
      <c r="B26" s="33" t="s">
        <v>117</v>
      </c>
      <c r="C26" s="33" t="s">
        <v>42</v>
      </c>
      <c r="D26" t="str" cm="1">
        <f t="array" aca="1" ref="D26" ca="1">IF(AND(C26="Ready for Release in Prod",LEFT($AJ26,3)&lt;&gt;"Yes"),IF(AG26&lt;&gt;"","Delivered","On track"),IF($B26="","",IF(LEFT($AJ26,3)="Yes","Blocked - "&amp;MID($AJ26,7,100)&amp;IF(SUMPRODUCT(('Rework Log'!$A$2:$A$497=$B26)*('Rework Log'!$G$2:$G$497&lt;&gt;"Yes")*('Rework Log'!$G$2:$G$497&lt;&gt;"Did not pass re-test"))=0,"",IF(SUMPRODUCT(MAX((('Rework Log'!$A$2:$A$497=$B26)*('Rework Log'!$G$2:$G$497&lt;&gt;"Yes")*('Rework Log'!$G$2:$G$497&lt;&gt;"Did not pass re-test"))*'Rework Log'!$I$2:$I$497))=0," - unclaimed"," - promised "&amp;TEXT(SUMPRODUCT(MAX((('Rework Log'!$A$2:$A$497=$B26)*('Rework Log'!$G$2:$G$497&lt;&gt;"Yes")*('Rework Log'!$G$2:$G$497&lt;&gt;"Did not pass re-test"))*'Rework Log'!$I$2:$I$497)),"m/d"))),IF(C26="NOT STARTED",IF(H26="","No plan date set",IF(H26&lt;TODAY(),"Review - planned start passed","On track")),IF(C26="DB Dev",_xlfn.LET(_xlpm.sent,_xlfn.MAXIFS('Rework Log'!$B$2:$B$497,'Rework Log'!$A$2:$A$497,$B26,'Rework Log'!$D$2:$D$497,"DB Dev"),_xlpm.expfix,_xlfn.MAXIFS('Rework Log'!$I$2:$I$497,'Rework Log'!$A$2:$A$497,$B26,'Rework Log'!$D$2:$D$497,"DB Dev",'Rework Log'!$B$2:$B$497,_xlpm.sent),_xlpm.tgt,IF(_xlpm.expfix&gt;0,_xlpm.expfix,IF(L26&lt;&gt;"",L26,K26)),_xlpm.act,IF(AND(M26&lt;&gt;"",M26&gt;=_xlpm.sent),M26,""),IF(_xlpm.tgt="","No target set",IF(AND(_xlpm.tgt&lt;TODAY(),_xlpm.act=""),"Overdue","On track"))),IF(C26="PBI Dev",_xlfn.LET(_xlpm.sent,_xlfn.MAXIFS('Rework Log'!$B$2:$B$497,'Rework Log'!$A$2:$A$497,$B26,'Rework Log'!$D$2:$D$497,"PBI Dev"),_xlpm.expfix,_xlfn.MAXIFS('Rework Log'!$I$2:$I$497,'Rework Log'!$A$2:$A$497,$B26,'Rework Log'!$D$2:$D$497,"PBI Dev",'Rework Log'!$B$2:$B$497,_xlpm.sent),_xlpm.tgt,IF(_xlpm.expfix&gt;0,_xlpm.expfix,IF(R26&lt;&gt;"",R26,Q26)),_xlpm.act,IF(AND(S26&lt;&gt;"",S26&gt;=_xlpm.sent),S26,""),IF(_xlpm.tgt="","No target set",IF(AND(_xlpm.tgt&lt;TODAY(),_xlpm.act=""),"Overdue","On track"))),IF(C26="QA",_xlfn.LET(_xlpm.tgt,IF(AM26&lt;&gt;"",AM26,IF(W26&lt;&gt;"",W26,V26)),_xlpm.sent,_xlfn.MAXIFS('Rework Log'!$B$2:$B$497,'Rework Log'!$A$2:$A$497,$B26,'Rework Log'!$C$2:$C$497,"QA"),_xlpm.act,IF(AND(Y26&lt;&gt;"",Y26&gt;=_xlpm.sent),Y26,""),IF(_xlpm.tgt="","No target set",IF(AND(_xlpm.tgt&lt;TODAY(),_xlpm.act=""),"Overdue","On track"))),IF(C26="DPO Approval",_xlfn.LET(_xlpm.tgt,IF(AN26&lt;&gt;"",AN26,IF(AB26&lt;&gt;"",AB26,AA26)),_xlpm.sent,_xlfn.MAXIFS('Rework Log'!$B$2:$B$497,'Rework Log'!$A$2:$A$497,$B26,'Rework Log'!$C$2:$C$497,"DPO*"),_xlpm.act,IF(AND(AC26&lt;&gt;"",AC26&gt;=_xlpm.sent),AC26,""),IF(_xlpm.tgt="","No target set",IF(AND(_xlpm.tgt&lt;TODAY(),_xlpm.act=""),"Overdue","On track"))),IF(C26="RELEASED IN PROD","Delivered","")))))))))</f>
        <v>Delivered</v>
      </c>
      <c r="E26" s="33">
        <v>25</v>
      </c>
      <c r="F26" s="34"/>
      <c r="G26" s="33"/>
      <c r="H26" s="49">
        <v>46203</v>
      </c>
      <c r="I26" s="54" t="s">
        <v>102</v>
      </c>
      <c r="J26" s="33" t="s">
        <v>65</v>
      </c>
      <c r="K26" s="4">
        <v>46185</v>
      </c>
      <c r="L26" s="36"/>
      <c r="M26" s="36">
        <v>46169</v>
      </c>
      <c r="N26" s="36" t="s">
        <v>45</v>
      </c>
      <c r="O26" s="36"/>
      <c r="P26" s="62" t="s">
        <v>60</v>
      </c>
      <c r="Q26" s="4">
        <v>46192</v>
      </c>
      <c r="R26" s="36"/>
      <c r="S26" s="36">
        <v>46191</v>
      </c>
      <c r="T26" s="68"/>
      <c r="U26" s="33" t="s">
        <v>88</v>
      </c>
      <c r="V26" s="58">
        <v>46199</v>
      </c>
      <c r="W26" s="36"/>
      <c r="X26" s="36"/>
      <c r="Y26" s="36">
        <v>46196</v>
      </c>
      <c r="Z26" s="36"/>
      <c r="AA26" s="51">
        <v>46202</v>
      </c>
      <c r="AB26" s="36"/>
      <c r="AC26" s="36"/>
      <c r="AD26" s="33" t="s">
        <v>118</v>
      </c>
      <c r="AE26" s="33" t="s">
        <v>49</v>
      </c>
      <c r="AF26" s="38" t="s">
        <v>50</v>
      </c>
      <c r="AG26" s="36">
        <v>46196</v>
      </c>
      <c r="AH26" s="39" t="s">
        <v>119</v>
      </c>
      <c r="AI26" s="33" t="s">
        <v>120</v>
      </c>
      <c r="AJ26" s="40" t="s">
        <v>53</v>
      </c>
      <c r="AK26" s="72" t="str">
        <f>IF($B26="","",IF(AND(LEFT($AJ26,3)="Yes",SUMPRODUCT(('Rework Log'!$A$2:$A$497=$B26)*('Rework Log'!$G$2:$G$497&lt;&gt;"Yes")*('Rework Log'!$G$2:$G$497&lt;&gt;"Did not pass re-test"))=0),"Blocked - log it on Rework Log",IF(AND(LEFT($AJ26,3)&lt;&gt;"Yes",SUMPRODUCT(('Rework Log'!$A$2:$A$497=$B26)*('Rework Log'!$G$2:$G$497&lt;&gt;"Yes")*('Rework Log'!$G$2:$G$497&lt;&gt;"Did not pass re-test"))&gt;0),"Open rework row - mark Blocked? or close it",IF(AND($AJ26="Yes – needs DB Dev to fix",M26&lt;&gt;"",SUMPRODUCT(MAX((('Rework Log'!$A$2:$A$497=$B26)*('Rework Log'!$G$2:$G$497&lt;&gt;"Yes")*('Rework Log'!$G$2:$G$497&lt;&gt;"Did not pass re-test"))*'Rework Log'!$I$2:$I$497))&gt;0),"Move old DB Dev completion date to Rework Log (col H)",IF(AND($AJ26="Yes – needs PBI Dev to fix",S26&lt;&gt;"",SUMPRODUCT(MAX((('Rework Log'!$A$2:$A$497=$B26)*('Rework Log'!$G$2:$G$497&lt;&gt;"Yes")*('Rework Log'!$G$2:$G$497&lt;&gt;"Did not pass re-test"))*'Rework Log'!$I$2:$I$497))&gt;0),"Move old PBI Dev completion date to Rework Log (col H)",IF(AND($AJ26="Yes – needs QA to fix",Y26&lt;&gt;"",SUMPRODUCT(MAX((('Rework Log'!$A$2:$A$497=$B26)*('Rework Log'!$G$2:$G$497&lt;&gt;"Yes")*('Rework Log'!$G$2:$G$497&lt;&gt;"Did not pass re-test"))*'Rework Log'!$I$2:$I$497))&gt;0),"Move old QA completion date to Rework Log (col H)",IF(COUNTIF($B$2:$B$528,$B26)&gt;1,"Duplicate name - check row",IF(COUNTIF('Rework Log'!$A$2:$A$497,$B26)&gt;0,"",IF(AND(V26&lt;&gt;"",K26&lt;&gt;"",V26&lt;K26),"QA target is before DB Dev target",IF(AND(V26&lt;&gt;"",Q26&lt;&gt;"",V26&lt;Q26),"QA target is before PBI Dev target",IF(AND(AA26&lt;&gt;"",V26&lt;&gt;"",AA26&lt;V26),"DPO Approval target is before QA target",IF(AND(AG26&lt;&gt;"",AA26&lt;&gt;"",AG26&lt;AA26),"Confirmed Deployed date is before DPO Approval target",""))))))))))))</f>
        <v>Confirmed Deployed date is before DPO Approval target</v>
      </c>
      <c r="AL26" s="41"/>
      <c r="AM26" s="31" t="str" cm="1">
        <f t="array" ref="AM26">_xlfn.LET(_xlpm.rep,$B26,_xlpm.sent,_xlfn.MAXIFS('Rework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
      </c>
      <c r="AN26" s="31" t="str" cm="1">
        <f t="array" ref="AN26">_xlfn.LET(_xlpm.rep,$B26,_xlpm.sent,_xlfn.MAXIFS('Rework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27" spans="1:40" hidden="1">
      <c r="A27" s="33" t="s">
        <v>40</v>
      </c>
      <c r="B27" s="33" t="s">
        <v>121</v>
      </c>
      <c r="C27" s="33" t="s">
        <v>42</v>
      </c>
      <c r="D27" t="str" cm="1">
        <f t="array" aca="1" ref="D27" ca="1">IF(AND(C27="Ready for Release in Prod",LEFT($AJ27,3)&lt;&gt;"Yes"),IF(AG27&lt;&gt;"","Delivered","On track"),IF($B27="","",IF(LEFT($AJ27,3)="Yes","Blocked - "&amp;MID($AJ27,7,100)&amp;IF(SUMPRODUCT(('Rework Log'!$A$2:$A$497=$B27)*('Rework Log'!$G$2:$G$497&lt;&gt;"Yes")*('Rework Log'!$G$2:$G$497&lt;&gt;"Did not pass re-test"))=0,"",IF(SUMPRODUCT(MAX((('Rework Log'!$A$2:$A$497=$B27)*('Rework Log'!$G$2:$G$497&lt;&gt;"Yes")*('Rework Log'!$G$2:$G$497&lt;&gt;"Did not pass re-test"))*'Rework Log'!$I$2:$I$497))=0," - unclaimed"," - promised "&amp;TEXT(SUMPRODUCT(MAX((('Rework Log'!$A$2:$A$497=$B27)*('Rework Log'!$G$2:$G$497&lt;&gt;"Yes")*('Rework Log'!$G$2:$G$497&lt;&gt;"Did not pass re-test"))*'Rework Log'!$I$2:$I$497)),"m/d"))),IF(C27="NOT STARTED",IF(H27="","No plan date set",IF(H27&lt;TODAY(),"Review - planned start passed","On track")),IF(C27="DB Dev",_xlfn.LET(_xlpm.sent,_xlfn.MAXIFS('Rework Log'!$B$2:$B$497,'Rework Log'!$A$2:$A$497,$B27,'Rework Log'!$D$2:$D$497,"DB Dev"),_xlpm.expfix,_xlfn.MAXIFS('Rework Log'!$I$2:$I$497,'Rework Log'!$A$2:$A$497,$B27,'Rework Log'!$D$2:$D$497,"DB Dev",'Rework Log'!$B$2:$B$497,_xlpm.sent),_xlpm.tgt,IF(_xlpm.expfix&gt;0,_xlpm.expfix,IF(L27&lt;&gt;"",L27,K27)),_xlpm.act,IF(AND(M27&lt;&gt;"",M27&gt;=_xlpm.sent),M27,""),IF(_xlpm.tgt="","No target set",IF(AND(_xlpm.tgt&lt;TODAY(),_xlpm.act=""),"Overdue","On track"))),IF(C27="PBI Dev",_xlfn.LET(_xlpm.sent,_xlfn.MAXIFS('Rework Log'!$B$2:$B$497,'Rework Log'!$A$2:$A$497,$B27,'Rework Log'!$D$2:$D$497,"PBI Dev"),_xlpm.expfix,_xlfn.MAXIFS('Rework Log'!$I$2:$I$497,'Rework Log'!$A$2:$A$497,$B27,'Rework Log'!$D$2:$D$497,"PBI Dev",'Rework Log'!$B$2:$B$497,_xlpm.sent),_xlpm.tgt,IF(_xlpm.expfix&gt;0,_xlpm.expfix,IF(R27&lt;&gt;"",R27,Q27)),_xlpm.act,IF(AND(S27&lt;&gt;"",S27&gt;=_xlpm.sent),S27,""),IF(_xlpm.tgt="","No target set",IF(AND(_xlpm.tgt&lt;TODAY(),_xlpm.act=""),"Overdue","On track"))),IF(C27="QA",_xlfn.LET(_xlpm.tgt,IF(AM27&lt;&gt;"",AM27,IF(W27&lt;&gt;"",W27,V27)),_xlpm.sent,_xlfn.MAXIFS('Rework Log'!$B$2:$B$497,'Rework Log'!$A$2:$A$497,$B27,'Rework Log'!$C$2:$C$497,"QA"),_xlpm.act,IF(AND(Y27&lt;&gt;"",Y27&gt;=_xlpm.sent),Y27,""),IF(_xlpm.tgt="","No target set",IF(AND(_xlpm.tgt&lt;TODAY(),_xlpm.act=""),"Overdue","On track"))),IF(C27="DPO Approval",_xlfn.LET(_xlpm.tgt,IF(AN27&lt;&gt;"",AN27,IF(AB27&lt;&gt;"",AB27,AA27)),_xlpm.sent,_xlfn.MAXIFS('Rework Log'!$B$2:$B$497,'Rework Log'!$A$2:$A$497,$B27,'Rework Log'!$C$2:$C$497,"DPO*"),_xlpm.act,IF(AND(AC27&lt;&gt;"",AC27&gt;=_xlpm.sent),AC27,""),IF(_xlpm.tgt="","No target set",IF(AND(_xlpm.tgt&lt;TODAY(),_xlpm.act=""),"Overdue","On track"))),IF(C27="RELEASED IN PROD","Delivered","")))))))))</f>
        <v>Delivered</v>
      </c>
      <c r="E27" s="33">
        <v>26</v>
      </c>
      <c r="F27" s="34"/>
      <c r="G27" s="33"/>
      <c r="H27" s="49">
        <v>46203</v>
      </c>
      <c r="I27" s="54" t="s">
        <v>102</v>
      </c>
      <c r="J27" s="33" t="s">
        <v>103</v>
      </c>
      <c r="K27" s="4">
        <v>46185</v>
      </c>
      <c r="L27" s="36"/>
      <c r="M27" s="36">
        <v>46168</v>
      </c>
      <c r="N27" s="36" t="s">
        <v>45</v>
      </c>
      <c r="O27" s="36"/>
      <c r="P27" s="62" t="s">
        <v>77</v>
      </c>
      <c r="Q27" s="4">
        <v>46192</v>
      </c>
      <c r="R27" s="36"/>
      <c r="S27" s="36">
        <v>46189</v>
      </c>
      <c r="T27" s="68"/>
      <c r="U27" s="53" t="s">
        <v>88</v>
      </c>
      <c r="V27" s="58">
        <v>46199</v>
      </c>
      <c r="W27" s="36"/>
      <c r="X27" s="36"/>
      <c r="Y27" s="36">
        <v>46189</v>
      </c>
      <c r="Z27" s="36"/>
      <c r="AA27" s="51">
        <v>46202</v>
      </c>
      <c r="AB27" s="36"/>
      <c r="AC27" s="36"/>
      <c r="AD27" s="33"/>
      <c r="AE27" s="33" t="s">
        <v>72</v>
      </c>
      <c r="AF27" s="38" t="s">
        <v>50</v>
      </c>
      <c r="AG27" s="36">
        <v>46192</v>
      </c>
      <c r="AH27" s="39" t="s">
        <v>122</v>
      </c>
      <c r="AI27" s="33"/>
      <c r="AJ27" s="40" t="s">
        <v>53</v>
      </c>
      <c r="AK27" s="72" t="str" cm="1">
        <f t="array" ref="AK27">IF($B27="","",_xlfn.LET(_xlpm.nm,$B27,_xlpm.st,$C27,_xlpm.ou,SUMPRODUCT(('Rework Log'!$A$2:$A$497=_xlpm.nm)*('Rework Log'!$G$2:$G$497&lt;&gt;"Yes")*('Rework Log'!$G$2:$G$497&lt;&gt;"Did not pass re-test")*('Rework Log'!$J$2:$J$497="")),_xlpm.ob,SUMPRODUCT(('Rework Log'!$A$2:$A$497=_xlpm.nm)*('Rework Log'!$G$2:$G$497&lt;&gt;"Yes")*('Rework Log'!$G$2:$G$497&lt;&gt;"Did not pass re-test")),_xlpm.oto,IF(SUMPRODUCT(('Rework Log'!$A$2:$A$497=_xlpm.nm)*('Rework Log'!$G$2:$G$497&lt;&gt;"Yes")*('Rework Log'!$G$2:$G$497&lt;&gt;"Did not pass re-test")*('Rework Log'!$J$2:$J$497=""))=0,"",INDEX('Rework Log'!$D$2:$D$497,MATCH(1,('Rework Log'!$A$2:$A$497=_xlpm.nm)*('Rework Log'!$G$2:$G$497&lt;&gt;"Yes")*('Rework Log'!$G$2:$G$497&lt;&gt;"Did not pass re-test")*('Rework Log'!$J$2:$J$497=""),0))),_xlpm.sent,_xlfn.MAXIFS('Rework Log'!$B$2:$B$497,'Rework Log'!$A$2:$A$497,_xlpm.nm),_xlpm.act,_xlfn.IFS(_xlpm.st="NOT STARTED",$M27,_xlpm.st="DB Dev",$M27,_xlpm.st="PBI Dev",$S27,_xlpm.st="QA",$Y27,_xlpm.st="DPO Approval",$AC27,_xlpm.st="Ready for Release in Prod",$AG27,TRUE,""),_xlpm.nxt,_xlfn.IFS(_xlpm.st="NOT STARTED","PBI Dev",_xlpm.st="DB Dev","PBI Dev",_xlpm.st="PBI Dev","QA",_xlpm.st="QA","DPO Approval",_xlpm.st="DPO Approval","Ready for Release in Prod",_xlpm.st="Ready for Release in Prod","RELEASED IN PROD",TRUE,""),IF(AND(_xlpm.ou&gt;0,_xlpm.st&lt;&gt;_xlpm.oto),"Move status back to "&amp;_xlpm.oto,IF(AND(_xlpm.ob=0,LEFT($AJ27,3)="Yes"),"Blocked - log it on Rework Log",IF(AND(_xlpm.ob&gt;0,LEFT($AJ27,3)&lt;&gt;"Yes"),"Open rework row - mark Blocked or close it",IF(AND(_xlpm.ob=0,_xlpm.act&lt;&gt;"",_xlpm.act&gt;=_xlpm.sent,_xlpm.nxt&lt;&gt;""),"Move status to "&amp;_xlpm.nxt,IF(COUNTIF($B$2:$B$528,$B27)&gt;1,"Duplicate name - check row",IF(COUNTIF('Rework Log'!$A$2:$A$497,$B27)&gt;0,"",IF(AND($V27&lt;&gt;"",$K27&lt;&gt;"",$V27&lt;$K27),"QA target is before DB Dev target",IF(AND($V27&lt;&gt;"",$Q27&lt;&gt;"",$V27&lt;$Q27),"QA target is before PBI Dev target",IF(AND($AA27&lt;&gt;"",$V27&lt;&gt;"",$AA27&lt;$V27),"DPO Approval target is before QA target",IF(AND($AG27&lt;&gt;"",$AA27&lt;&gt;"",$AG27&lt;$AA27),"Confirmed Deployed date is before DPO Approval target",""))))))))))))</f>
        <v>Confirmed Deployed date is before DPO Approval target</v>
      </c>
      <c r="AL27" s="41"/>
      <c r="AM27" s="31" t="str" cm="1">
        <f t="array" ref="AM27">_xlfn.LET(_xlpm.rep,$B27,_xlpm.sent,_xlfn.MAXIFS('Rework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
      </c>
      <c r="AN27" s="31" t="str" cm="1">
        <f t="array" ref="AN27">_xlfn.LET(_xlpm.rep,$B27,_xlpm.sent,_xlfn.MAXIFS('Rework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28" spans="1:40" hidden="1">
      <c r="A28" s="33" t="s">
        <v>40</v>
      </c>
      <c r="B28" s="33" t="s">
        <v>123</v>
      </c>
      <c r="C28" s="33" t="s">
        <v>42</v>
      </c>
      <c r="D28" t="str" cm="1">
        <f t="array" aca="1" ref="D28" ca="1">IF(AND(C28="Ready for Release in Prod",LEFT($AJ28,3)&lt;&gt;"Yes"),IF(AG28&lt;&gt;"","Delivered","On track"),IF($B28="","",IF(LEFT($AJ28,3)="Yes","Blocked - "&amp;MID($AJ28,7,100)&amp;IF(SUMPRODUCT(('Rework Log'!$A$2:$A$497=$B28)*('Rework Log'!$G$2:$G$497&lt;&gt;"Yes")*('Rework Log'!$G$2:$G$497&lt;&gt;"Did not pass re-test"))=0,"",IF(SUMPRODUCT(MAX((('Rework Log'!$A$2:$A$497=$B28)*('Rework Log'!$G$2:$G$497&lt;&gt;"Yes")*('Rework Log'!$G$2:$G$497&lt;&gt;"Did not pass re-test"))*'Rework Log'!$I$2:$I$497))=0," - unclaimed"," - promised "&amp;TEXT(SUMPRODUCT(MAX((('Rework Log'!$A$2:$A$497=$B28)*('Rework Log'!$G$2:$G$497&lt;&gt;"Yes")*('Rework Log'!$G$2:$G$497&lt;&gt;"Did not pass re-test"))*'Rework Log'!$I$2:$I$497)),"m/d"))),IF(C28="NOT STARTED",IF(H28="","No plan date set",IF(H28&lt;TODAY(),"Review - planned start passed","On track")),IF(C28="DB Dev",_xlfn.LET(_xlpm.sent,_xlfn.MAXIFS('Rework Log'!$B$2:$B$497,'Rework Log'!$A$2:$A$497,$B28,'Rework Log'!$D$2:$D$497,"DB Dev"),_xlpm.expfix,_xlfn.MAXIFS('Rework Log'!$I$2:$I$497,'Rework Log'!$A$2:$A$497,$B28,'Rework Log'!$D$2:$D$497,"DB Dev",'Rework Log'!$B$2:$B$497,_xlpm.sent),_xlpm.tgt,IF(_xlpm.expfix&gt;0,_xlpm.expfix,IF(L28&lt;&gt;"",L28,K28)),_xlpm.act,IF(AND(M28&lt;&gt;"",M28&gt;=_xlpm.sent),M28,""),IF(_xlpm.tgt="","No target set",IF(AND(_xlpm.tgt&lt;TODAY(),_xlpm.act=""),"Overdue","On track"))),IF(C28="PBI Dev",_xlfn.LET(_xlpm.sent,_xlfn.MAXIFS('Rework Log'!$B$2:$B$497,'Rework Log'!$A$2:$A$497,$B28,'Rework Log'!$D$2:$D$497,"PBI Dev"),_xlpm.expfix,_xlfn.MAXIFS('Rework Log'!$I$2:$I$497,'Rework Log'!$A$2:$A$497,$B28,'Rework Log'!$D$2:$D$497,"PBI Dev",'Rework Log'!$B$2:$B$497,_xlpm.sent),_xlpm.tgt,IF(_xlpm.expfix&gt;0,_xlpm.expfix,IF(R28&lt;&gt;"",R28,Q28)),_xlpm.act,IF(AND(S28&lt;&gt;"",S28&gt;=_xlpm.sent),S28,""),IF(_xlpm.tgt="","No target set",IF(AND(_xlpm.tgt&lt;TODAY(),_xlpm.act=""),"Overdue","On track"))),IF(C28="QA",_xlfn.LET(_xlpm.tgt,IF(AM28&lt;&gt;"",AM28,IF(W28&lt;&gt;"",W28,V28)),_xlpm.sent,_xlfn.MAXIFS('Rework Log'!$B$2:$B$497,'Rework Log'!$A$2:$A$497,$B28,'Rework Log'!$C$2:$C$497,"QA"),_xlpm.act,IF(AND(Y28&lt;&gt;"",Y28&gt;=_xlpm.sent),Y28,""),IF(_xlpm.tgt="","No target set",IF(AND(_xlpm.tgt&lt;TODAY(),_xlpm.act=""),"Overdue","On track"))),IF(C28="DPO Approval",_xlfn.LET(_xlpm.tgt,IF(AN28&lt;&gt;"",AN28,IF(AB28&lt;&gt;"",AB28,AA28)),_xlpm.sent,_xlfn.MAXIFS('Rework Log'!$B$2:$B$497,'Rework Log'!$A$2:$A$497,$B28,'Rework Log'!$C$2:$C$497,"DPO*"),_xlpm.act,IF(AND(AC28&lt;&gt;"",AC28&gt;=_xlpm.sent),AC28,""),IF(_xlpm.tgt="","No target set",IF(AND(_xlpm.tgt&lt;TODAY(),_xlpm.act=""),"Overdue","On track"))),IF(C28="RELEASED IN PROD","Delivered","")))))))))</f>
        <v>Delivered</v>
      </c>
      <c r="E28" s="33">
        <v>27</v>
      </c>
      <c r="F28" s="34"/>
      <c r="G28" s="33"/>
      <c r="H28" s="49">
        <v>46203</v>
      </c>
      <c r="I28" s="54" t="s">
        <v>102</v>
      </c>
      <c r="J28" s="33" t="s">
        <v>84</v>
      </c>
      <c r="K28" s="4">
        <v>46185</v>
      </c>
      <c r="L28" s="36"/>
      <c r="M28" s="36">
        <v>46169</v>
      </c>
      <c r="N28" s="36" t="s">
        <v>45</v>
      </c>
      <c r="O28" s="36"/>
      <c r="P28" s="62" t="s">
        <v>77</v>
      </c>
      <c r="Q28" s="4">
        <v>46192</v>
      </c>
      <c r="R28" s="36"/>
      <c r="S28" s="36">
        <v>46195</v>
      </c>
      <c r="T28" s="68"/>
      <c r="U28" s="33"/>
      <c r="V28" s="58">
        <v>46199</v>
      </c>
      <c r="W28" s="36"/>
      <c r="X28" s="36"/>
      <c r="Y28" s="36">
        <v>46197</v>
      </c>
      <c r="Z28" s="36"/>
      <c r="AA28" s="51">
        <v>46202</v>
      </c>
      <c r="AB28" s="36"/>
      <c r="AC28" s="36"/>
      <c r="AD28" s="33" t="s">
        <v>124</v>
      </c>
      <c r="AE28" s="33" t="s">
        <v>72</v>
      </c>
      <c r="AF28" s="38" t="s">
        <v>50</v>
      </c>
      <c r="AG28" s="36">
        <v>46197</v>
      </c>
      <c r="AH28" s="39"/>
      <c r="AI28" s="33"/>
      <c r="AJ28" s="40" t="s">
        <v>53</v>
      </c>
      <c r="AK28" s="72" t="str" cm="1">
        <f t="array" ref="AK28">IF($B28="","",_xlfn.LET(_xlpm.nm,$B28,_xlpm.st,$C28,_xlpm.ou,SUMPRODUCT(('Rework Log'!$A$2:$A$497=_xlpm.nm)*('Rework Log'!$G$2:$G$497&lt;&gt;"Yes")*('Rework Log'!$G$2:$G$497&lt;&gt;"Did not pass re-test")*('Rework Log'!$J$2:$J$497="")),_xlpm.ob,SUMPRODUCT(('Rework Log'!$A$2:$A$497=_xlpm.nm)*('Rework Log'!$G$2:$G$497&lt;&gt;"Yes")*('Rework Log'!$G$2:$G$497&lt;&gt;"Did not pass re-test")),_xlpm.oto,IF(SUMPRODUCT(('Rework Log'!$A$2:$A$497=_xlpm.nm)*('Rework Log'!$G$2:$G$497&lt;&gt;"Yes")*('Rework Log'!$G$2:$G$497&lt;&gt;"Did not pass re-test")*('Rework Log'!$J$2:$J$497=""))=0,"",INDEX('Rework Log'!$D$2:$D$497,MATCH(1,('Rework Log'!$A$2:$A$497=_xlpm.nm)*('Rework Log'!$G$2:$G$497&lt;&gt;"Yes")*('Rework Log'!$G$2:$G$497&lt;&gt;"Did not pass re-test")*('Rework Log'!$J$2:$J$497=""),0))),_xlpm.sent,_xlfn.MAXIFS('Rework Log'!$B$2:$B$497,'Rework Log'!$A$2:$A$497,_xlpm.nm),_xlpm.act,_xlfn.IFS(_xlpm.st="NOT STARTED",$M28,_xlpm.st="DB Dev",$M28,_xlpm.st="PBI Dev",$S28,_xlpm.st="QA",$Y28,_xlpm.st="DPO Approval",$AC28,_xlpm.st="Ready for Release in Prod",$AG28,TRUE,""),_xlpm.nxt,_xlfn.IFS(_xlpm.st="NOT STARTED","PBI Dev",_xlpm.st="DB Dev","PBI Dev",_xlpm.st="PBI Dev","QA",_xlpm.st="QA","DPO Approval",_xlpm.st="DPO Approval","Ready for Release in Prod",_xlpm.st="Ready for Release in Prod","RELEASED IN PROD",TRUE,""),IF(AND(_xlpm.ou&gt;0,_xlpm.st&lt;&gt;_xlpm.oto),"Move status back to "&amp;_xlpm.oto,IF(AND(_xlpm.ob=0,LEFT($AJ28,3)="Yes"),"Blocked - log it on Rework Log",IF(AND(_xlpm.ob&gt;0,LEFT($AJ28,3)&lt;&gt;"Yes"),"Open rework row - mark Blocked or close it",IF(AND(_xlpm.ob=0,_xlpm.act&lt;&gt;"",_xlpm.act&gt;=_xlpm.sent,_xlpm.nxt&lt;&gt;""),"Move status to "&amp;_xlpm.nxt,IF(COUNTIF($B$2:$B$528,$B28)&gt;1,"Duplicate name - check row",IF(COUNTIF('Rework Log'!$A$2:$A$497,$B28)&gt;0,"",IF(AND($V28&lt;&gt;"",$K28&lt;&gt;"",$V28&lt;$K28),"QA target is before DB Dev target",IF(AND($V28&lt;&gt;"",$Q28&lt;&gt;"",$V28&lt;$Q28),"QA target is before PBI Dev target",IF(AND($AA28&lt;&gt;"",$V28&lt;&gt;"",$AA28&lt;$V28),"DPO Approval target is before QA target",IF(AND($AG28&lt;&gt;"",$AA28&lt;&gt;"",$AG28&lt;$AA28),"Confirmed Deployed date is before DPO Approval target",""))))))))))))</f>
        <v>Confirmed Deployed date is before DPO Approval target</v>
      </c>
      <c r="AL28" s="41" t="s">
        <v>125</v>
      </c>
      <c r="AM28" s="31" t="str" cm="1">
        <f t="array" ref="AM28">_xlfn.LET(_xlpm.rep,$B28,_xlpm.sent,_xlfn.MAXIFS('Rework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
      </c>
      <c r="AN28" s="31" t="str" cm="1">
        <f t="array" ref="AN28">_xlfn.LET(_xlpm.rep,$B28,_xlpm.sent,_xlfn.MAXIFS('Rework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29" spans="1:40" hidden="1">
      <c r="A29" s="33" t="s">
        <v>126</v>
      </c>
      <c r="B29" s="33" t="s">
        <v>127</v>
      </c>
      <c r="C29" s="33" t="s">
        <v>128</v>
      </c>
      <c r="D29" t="str" cm="1">
        <f t="array" aca="1" ref="D29" ca="1">IF(AND(C29="Ready for Release in Prod",LEFT($AJ29,3)&lt;&gt;"Yes"),IF(AG29&lt;&gt;"","Delivered","On track"),IF($B29="","",IF(LEFT($AJ29,3)="Yes","Blocked - "&amp;MID($AJ29,7,100)&amp;IF(SUMPRODUCT(('Rework Log'!$A$2:$A$497=$B29)*('Rework Log'!$G$2:$G$497&lt;&gt;"Yes")*('Rework Log'!$G$2:$G$497&lt;&gt;"Did not pass re-test"))=0,"",IF(SUMPRODUCT(MAX((('Rework Log'!$A$2:$A$497=$B29)*('Rework Log'!$G$2:$G$497&lt;&gt;"Yes")*('Rework Log'!$G$2:$G$497&lt;&gt;"Did not pass re-test"))*'Rework Log'!$I$2:$I$497))=0," - unclaimed"," - promised "&amp;TEXT(SUMPRODUCT(MAX((('Rework Log'!$A$2:$A$497=$B29)*('Rework Log'!$G$2:$G$497&lt;&gt;"Yes")*('Rework Log'!$G$2:$G$497&lt;&gt;"Did not pass re-test"))*'Rework Log'!$I$2:$I$497)),"m/d"))),IF(C29="NOT STARTED",IF(H29="","No plan date set",IF(H29&lt;TODAY(),"Review - planned start passed","On track")),IF(C29="DB Dev",_xlfn.LET(_xlpm.sent,_xlfn.MAXIFS('Rework Log'!$B$2:$B$497,'Rework Log'!$A$2:$A$497,$B29,'Rework Log'!$D$2:$D$497,"DB Dev"),_xlpm.expfix,_xlfn.MAXIFS('Rework Log'!$I$2:$I$497,'Rework Log'!$A$2:$A$497,$B29,'Rework Log'!$D$2:$D$497,"DB Dev",'Rework Log'!$B$2:$B$497,_xlpm.sent),_xlpm.tgt,IF(_xlpm.expfix&gt;0,_xlpm.expfix,IF(L29&lt;&gt;"",L29,K29)),_xlpm.act,IF(AND(M29&lt;&gt;"",M29&gt;=_xlpm.sent),M29,""),IF(_xlpm.tgt="","No target set",IF(AND(_xlpm.tgt&lt;TODAY(),_xlpm.act=""),"Overdue","On track"))),IF(C29="PBI Dev",_xlfn.LET(_xlpm.sent,_xlfn.MAXIFS('Rework Log'!$B$2:$B$497,'Rework Log'!$A$2:$A$497,$B29,'Rework Log'!$D$2:$D$497,"PBI Dev"),_xlpm.expfix,_xlfn.MAXIFS('Rework Log'!$I$2:$I$497,'Rework Log'!$A$2:$A$497,$B29,'Rework Log'!$D$2:$D$497,"PBI Dev",'Rework Log'!$B$2:$B$497,_xlpm.sent),_xlpm.tgt,IF(_xlpm.expfix&gt;0,_xlpm.expfix,IF(R29&lt;&gt;"",R29,Q29)),_xlpm.act,IF(AND(S29&lt;&gt;"",S29&gt;=_xlpm.sent),S29,""),IF(_xlpm.tgt="","No target set",IF(AND(_xlpm.tgt&lt;TODAY(),_xlpm.act=""),"Overdue","On track"))),IF(C29="QA",_xlfn.LET(_xlpm.tgt,IF(AM29&lt;&gt;"",AM29,IF(W29&lt;&gt;"",W29,V29)),_xlpm.sent,_xlfn.MAXIFS('Rework Log'!$B$2:$B$497,'Rework Log'!$A$2:$A$497,$B29,'Rework Log'!$C$2:$C$497,"QA"),_xlpm.act,IF(AND(Y29&lt;&gt;"",Y29&gt;=_xlpm.sent),Y29,""),IF(_xlpm.tgt="","No target set",IF(AND(_xlpm.tgt&lt;TODAY(),_xlpm.act=""),"Overdue","On track"))),IF(C29="DPO Approval",_xlfn.LET(_xlpm.tgt,IF(AN29&lt;&gt;"",AN29,IF(AB29&lt;&gt;"",AB29,AA29)),_xlpm.sent,_xlfn.MAXIFS('Rework Log'!$B$2:$B$497,'Rework Log'!$A$2:$A$497,$B29,'Rework Log'!$C$2:$C$497,"DPO*"),_xlpm.act,IF(AND(AC29&lt;&gt;"",AC29&gt;=_xlpm.sent),AC29,""),IF(_xlpm.tgt="","No target set",IF(AND(_xlpm.tgt&lt;TODAY(),_xlpm.act=""),"Overdue","On track"))),IF(C29="RELEASED IN PROD","Delivered","")))))))))</f>
        <v>Blocked - Blocked in Prod</v>
      </c>
      <c r="E29" s="33">
        <v>1</v>
      </c>
      <c r="F29" s="34" t="s">
        <v>129</v>
      </c>
      <c r="G29" s="33"/>
      <c r="H29" s="49">
        <v>46234</v>
      </c>
      <c r="I29" s="60" t="s">
        <v>130</v>
      </c>
      <c r="J29" s="33" t="s">
        <v>76</v>
      </c>
      <c r="K29" s="4">
        <v>46213</v>
      </c>
      <c r="L29" s="36">
        <v>46244</v>
      </c>
      <c r="M29" s="37">
        <v>46245</v>
      </c>
      <c r="N29" s="46" t="s">
        <v>45</v>
      </c>
      <c r="O29" s="36" t="s">
        <v>131</v>
      </c>
      <c r="P29" s="64" t="s">
        <v>60</v>
      </c>
      <c r="Q29" s="4">
        <v>46220</v>
      </c>
      <c r="R29" s="36">
        <v>46245</v>
      </c>
      <c r="S29" s="73">
        <v>46245</v>
      </c>
      <c r="T29" s="68"/>
      <c r="U29" s="53" t="s">
        <v>129</v>
      </c>
      <c r="V29" s="58">
        <v>46227</v>
      </c>
      <c r="W29" s="36">
        <v>46248</v>
      </c>
      <c r="X29" s="36"/>
      <c r="Y29" s="36">
        <v>46252</v>
      </c>
      <c r="Z29" s="36"/>
      <c r="AA29" s="51">
        <v>46232</v>
      </c>
      <c r="AB29" s="36">
        <v>46273</v>
      </c>
      <c r="AC29" s="36">
        <v>46273</v>
      </c>
      <c r="AD29" s="33" t="s">
        <v>132</v>
      </c>
      <c r="AE29" s="33" t="s">
        <v>49</v>
      </c>
      <c r="AF29" s="38"/>
      <c r="AG29" s="36"/>
      <c r="AH29" s="39"/>
      <c r="AI29" s="33"/>
      <c r="AJ29" s="40" t="s">
        <v>133</v>
      </c>
      <c r="AK29" s="72" t="str" cm="1">
        <f t="array" ref="AK29">IF($B29="","",_xlfn.LET(_xlpm.nm,$B29,_xlpm.st,$C29,_xlpm.ou,SUMPRODUCT(('Rework Log'!$A$2:$A$497=_xlpm.nm)*('Rework Log'!$G$2:$G$497&lt;&gt;"Yes")*('Rework Log'!$G$2:$G$497&lt;&gt;"Did not pass re-test")*('Rework Log'!$J$2:$J$497="")),_xlpm.ob,SUMPRODUCT(('Rework Log'!$A$2:$A$497=_xlpm.nm)*('Rework Log'!$G$2:$G$497&lt;&gt;"Yes")*('Rework Log'!$G$2:$G$497&lt;&gt;"Did not pass re-test")),_xlpm.oto,IF(SUMPRODUCT(('Rework Log'!$A$2:$A$497=_xlpm.nm)*('Rework Log'!$G$2:$G$497&lt;&gt;"Yes")*('Rework Log'!$G$2:$G$497&lt;&gt;"Did not pass re-test")*('Rework Log'!$J$2:$J$497=""))=0,"",INDEX('Rework Log'!$D$2:$D$497,MATCH(1,('Rework Log'!$A$2:$A$497=_xlpm.nm)*('Rework Log'!$G$2:$G$497&lt;&gt;"Yes")*('Rework Log'!$G$2:$G$497&lt;&gt;"Did not pass re-test")*('Rework Log'!$J$2:$J$497=""),0))),_xlpm.sent,_xlfn.MAXIFS('Rework Log'!$B$2:$B$497,'Rework Log'!$A$2:$A$497,_xlpm.nm),_xlpm.act,_xlfn.IFS(_xlpm.st="NOT STARTED",$M29,_xlpm.st="DB Dev",$M29,_xlpm.st="PBI Dev",$S29,_xlpm.st="QA",$Y29,_xlpm.st="DPO Approval",$AC29,_xlpm.st="Ready for Release in Prod",$AG29,TRUE,""),_xlpm.nxt,_xlfn.IFS(_xlpm.st="NOT STARTED","PBI Dev",_xlpm.st="DB Dev","PBI Dev",_xlpm.st="PBI Dev","QA",_xlpm.st="QA","DPO Approval",_xlpm.st="DPO Approval","Ready for Release in Prod",_xlpm.st="Ready for Release in Prod","RELEASED IN PROD",TRUE,""),IF(AND(_xlpm.ou&gt;0,_xlpm.st&lt;&gt;_xlpm.oto),"Move status back to "&amp;_xlpm.oto,IF(AND(_xlpm.ob=0,LEFT($AJ29,3)="Yes"),"Blocked - log it on Rework Log",IF(AND(_xlpm.ob&gt;0,LEFT($AJ29,3)&lt;&gt;"Yes"),"Open rework row - mark Blocked or close it",IF(AND(_xlpm.ob=0,_xlpm.act&lt;&gt;"",_xlpm.act&gt;=_xlpm.sent,_xlpm.nxt&lt;&gt;""),"Move status to "&amp;_xlpm.nxt,IF(COUNTIF($B$2:$B$528,$B29)&gt;1,"Duplicate name - check row",IF(COUNTIF('Rework Log'!$A$2:$A$497,$B29)&gt;0,"",IF(AND($V29&lt;&gt;"",$K29&lt;&gt;"",$V29&lt;$K29),"QA target is before DB Dev target",IF(AND($V29&lt;&gt;"",$Q29&lt;&gt;"",$V29&lt;$Q29),"QA target is before PBI Dev target",IF(AND($AA29&lt;&gt;"",$V29&lt;&gt;"",$AA29&lt;$V29),"DPO Approval target is before QA target",IF(AND($AG29&lt;&gt;"",$AA29&lt;&gt;"",$AG29&lt;$AA29),"Confirmed Deployed date is before DPO Approval target",""))))))))))))</f>
        <v>Blocked - log it on Rework Log</v>
      </c>
      <c r="AL29" s="41" t="s">
        <v>134</v>
      </c>
      <c r="AM29" s="32" cm="1">
        <f t="array" ref="AM29">_xlfn.LET(_xlpm.rep,$B29,_xlpm.sent,_xlfn.MAXIFS('Rework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46248</v>
      </c>
      <c r="AN29" s="32" t="str" cm="1">
        <f t="array" ref="AN29">_xlfn.LET(_xlpm.rep,$B29,_xlpm.sent,_xlfn.MAXIFS('Rework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30" spans="1:40" hidden="1">
      <c r="A30" s="33" t="s">
        <v>126</v>
      </c>
      <c r="B30" s="33" t="s">
        <v>135</v>
      </c>
      <c r="C30" s="33" t="s">
        <v>128</v>
      </c>
      <c r="D30" t="str" cm="1">
        <f t="array" aca="1" ref="D30" ca="1">IF(AND(C30="Ready for Release in Prod",LEFT($AJ30,3)&lt;&gt;"Yes"),IF(AG30&lt;&gt;"","Delivered","On track"),IF($B30="","",IF(LEFT($AJ30,3)="Yes","Blocked - "&amp;MID($AJ30,7,100)&amp;IF(SUMPRODUCT(('Rework Log'!$A$2:$A$497=$B30)*('Rework Log'!$G$2:$G$497&lt;&gt;"Yes")*('Rework Log'!$G$2:$G$497&lt;&gt;"Did not pass re-test"))=0,"",IF(SUMPRODUCT(MAX((('Rework Log'!$A$2:$A$497=$B30)*('Rework Log'!$G$2:$G$497&lt;&gt;"Yes")*('Rework Log'!$G$2:$G$497&lt;&gt;"Did not pass re-test"))*'Rework Log'!$I$2:$I$497))=0," - unclaimed"," - promised "&amp;TEXT(SUMPRODUCT(MAX((('Rework Log'!$A$2:$A$497=$B30)*('Rework Log'!$G$2:$G$497&lt;&gt;"Yes")*('Rework Log'!$G$2:$G$497&lt;&gt;"Did not pass re-test"))*'Rework Log'!$I$2:$I$497)),"m/d"))),IF(C30="NOT STARTED",IF(H30="","No plan date set",IF(H30&lt;TODAY(),"Review - planned start passed","On track")),IF(C30="DB Dev",_xlfn.LET(_xlpm.sent,_xlfn.MAXIFS('Rework Log'!$B$2:$B$497,'Rework Log'!$A$2:$A$497,$B30,'Rework Log'!$D$2:$D$497,"DB Dev"),_xlpm.expfix,_xlfn.MAXIFS('Rework Log'!$I$2:$I$497,'Rework Log'!$A$2:$A$497,$B30,'Rework Log'!$D$2:$D$497,"DB Dev",'Rework Log'!$B$2:$B$497,_xlpm.sent),_xlpm.tgt,IF(_xlpm.expfix&gt;0,_xlpm.expfix,IF(L30&lt;&gt;"",L30,K30)),_xlpm.act,IF(AND(M30&lt;&gt;"",M30&gt;=_xlpm.sent),M30,""),IF(_xlpm.tgt="","No target set",IF(AND(_xlpm.tgt&lt;TODAY(),_xlpm.act=""),"Overdue","On track"))),IF(C30="PBI Dev",_xlfn.LET(_xlpm.sent,_xlfn.MAXIFS('Rework Log'!$B$2:$B$497,'Rework Log'!$A$2:$A$497,$B30,'Rework Log'!$D$2:$D$497,"PBI Dev"),_xlpm.expfix,_xlfn.MAXIFS('Rework Log'!$I$2:$I$497,'Rework Log'!$A$2:$A$497,$B30,'Rework Log'!$D$2:$D$497,"PBI Dev",'Rework Log'!$B$2:$B$497,_xlpm.sent),_xlpm.tgt,IF(_xlpm.expfix&gt;0,_xlpm.expfix,IF(R30&lt;&gt;"",R30,Q30)),_xlpm.act,IF(AND(S30&lt;&gt;"",S30&gt;=_xlpm.sent),S30,""),IF(_xlpm.tgt="","No target set",IF(AND(_xlpm.tgt&lt;TODAY(),_xlpm.act=""),"Overdue","On track"))),IF(C30="QA",_xlfn.LET(_xlpm.tgt,IF(AM30&lt;&gt;"",AM30,IF(W30&lt;&gt;"",W30,V30)),_xlpm.sent,_xlfn.MAXIFS('Rework Log'!$B$2:$B$497,'Rework Log'!$A$2:$A$497,$B30,'Rework Log'!$C$2:$C$497,"QA"),_xlpm.act,IF(AND(Y30&lt;&gt;"",Y30&gt;=_xlpm.sent),Y30,""),IF(_xlpm.tgt="","No target set",IF(AND(_xlpm.tgt&lt;TODAY(),_xlpm.act=""),"Overdue","On track"))),IF(C30="DPO Approval",_xlfn.LET(_xlpm.tgt,IF(AN30&lt;&gt;"",AN30,IF(AB30&lt;&gt;"",AB30,AA30)),_xlpm.sent,_xlfn.MAXIFS('Rework Log'!$B$2:$B$497,'Rework Log'!$A$2:$A$497,$B30,'Rework Log'!$C$2:$C$497,"DPO*"),_xlpm.act,IF(AND(AC30&lt;&gt;"",AC30&gt;=_xlpm.sent),AC30,""),IF(_xlpm.tgt="","No target set",IF(AND(_xlpm.tgt&lt;TODAY(),_xlpm.act=""),"Overdue","On track"))),IF(C30="RELEASED IN PROD","Delivered","")))))))))</f>
        <v>Blocked - Blocked in Prod</v>
      </c>
      <c r="E30" s="33">
        <v>2</v>
      </c>
      <c r="F30" s="34" t="s">
        <v>129</v>
      </c>
      <c r="G30" s="33"/>
      <c r="H30" s="49">
        <v>46234</v>
      </c>
      <c r="I30" s="60" t="s">
        <v>130</v>
      </c>
      <c r="J30" s="33" t="s">
        <v>65</v>
      </c>
      <c r="K30" s="4">
        <v>46213</v>
      </c>
      <c r="L30" s="36">
        <v>46244</v>
      </c>
      <c r="M30" s="35">
        <v>46255</v>
      </c>
      <c r="N30" s="46" t="s">
        <v>45</v>
      </c>
      <c r="O30" s="36" t="s">
        <v>131</v>
      </c>
      <c r="P30" s="64" t="s">
        <v>77</v>
      </c>
      <c r="Q30" s="4">
        <v>46220</v>
      </c>
      <c r="R30" s="36">
        <v>46245</v>
      </c>
      <c r="S30" s="36">
        <v>46246</v>
      </c>
      <c r="T30" s="68"/>
      <c r="U30" s="53" t="s">
        <v>129</v>
      </c>
      <c r="V30" s="58">
        <v>46227</v>
      </c>
      <c r="W30" s="36">
        <v>46260</v>
      </c>
      <c r="X30" s="36"/>
      <c r="Y30" s="36">
        <v>46255</v>
      </c>
      <c r="Z30" s="36"/>
      <c r="AA30" s="51">
        <v>46232</v>
      </c>
      <c r="AB30" s="36">
        <v>46273</v>
      </c>
      <c r="AC30" s="36">
        <v>46273</v>
      </c>
      <c r="AD30" s="33" t="s">
        <v>132</v>
      </c>
      <c r="AE30" s="33" t="s">
        <v>49</v>
      </c>
      <c r="AF30" s="38"/>
      <c r="AG30" s="36"/>
      <c r="AH30" s="39"/>
      <c r="AI30" s="33"/>
      <c r="AJ30" s="40" t="s">
        <v>133</v>
      </c>
      <c r="AK30" s="72" t="str" cm="1">
        <f t="array" ref="AK30">IF($B30="","",_xlfn.LET(_xlpm.nm,$B30,_xlpm.st,$C30,_xlpm.ou,SUMPRODUCT(('Rework Log'!$A$2:$A$497=_xlpm.nm)*('Rework Log'!$G$2:$G$497&lt;&gt;"Yes")*('Rework Log'!$G$2:$G$497&lt;&gt;"Did not pass re-test")*('Rework Log'!$J$2:$J$497="")),_xlpm.ob,SUMPRODUCT(('Rework Log'!$A$2:$A$497=_xlpm.nm)*('Rework Log'!$G$2:$G$497&lt;&gt;"Yes")*('Rework Log'!$G$2:$G$497&lt;&gt;"Did not pass re-test")),_xlpm.oto,IF(SUMPRODUCT(('Rework Log'!$A$2:$A$497=_xlpm.nm)*('Rework Log'!$G$2:$G$497&lt;&gt;"Yes")*('Rework Log'!$G$2:$G$497&lt;&gt;"Did not pass re-test")*('Rework Log'!$J$2:$J$497=""))=0,"",INDEX('Rework Log'!$D$2:$D$497,MATCH(1,('Rework Log'!$A$2:$A$497=_xlpm.nm)*('Rework Log'!$G$2:$G$497&lt;&gt;"Yes")*('Rework Log'!$G$2:$G$497&lt;&gt;"Did not pass re-test")*('Rework Log'!$J$2:$J$497=""),0))),_xlpm.sent,_xlfn.MAXIFS('Rework Log'!$B$2:$B$497,'Rework Log'!$A$2:$A$497,_xlpm.nm),_xlpm.act,_xlfn.IFS(_xlpm.st="NOT STARTED",$M30,_xlpm.st="DB Dev",$M30,_xlpm.st="PBI Dev",$S30,_xlpm.st="QA",$Y30,_xlpm.st="DPO Approval",$AC30,_xlpm.st="Ready for Release in Prod",$AG30,TRUE,""),_xlpm.nxt,_xlfn.IFS(_xlpm.st="NOT STARTED","PBI Dev",_xlpm.st="DB Dev","PBI Dev",_xlpm.st="PBI Dev","QA",_xlpm.st="QA","DPO Approval",_xlpm.st="DPO Approval","Ready for Release in Prod",_xlpm.st="Ready for Release in Prod","RELEASED IN PROD",TRUE,""),IF(AND(_xlpm.ou&gt;0,_xlpm.st&lt;&gt;_xlpm.oto),"Move status back to "&amp;_xlpm.oto,IF(AND(_xlpm.ob=0,LEFT($AJ30,3)="Yes"),"Blocked - log it on Rework Log",IF(AND(_xlpm.ob&gt;0,LEFT($AJ30,3)&lt;&gt;"Yes"),"Open rework row - mark Blocked or close it",IF(AND(_xlpm.ob=0,_xlpm.act&lt;&gt;"",_xlpm.act&gt;=_xlpm.sent,_xlpm.nxt&lt;&gt;""),"Move status to "&amp;_xlpm.nxt,IF(COUNTIF($B$2:$B$528,$B30)&gt;1,"Duplicate name - check row",IF(COUNTIF('Rework Log'!$A$2:$A$497,$B30)&gt;0,"",IF(AND($V30&lt;&gt;"",$K30&lt;&gt;"",$V30&lt;$K30),"QA target is before DB Dev target",IF(AND($V30&lt;&gt;"",$Q30&lt;&gt;"",$V30&lt;$Q30),"QA target is before PBI Dev target",IF(AND($AA30&lt;&gt;"",$V30&lt;&gt;"",$AA30&lt;$V30),"DPO Approval target is before QA target",IF(AND($AG30&lt;&gt;"",$AA30&lt;&gt;"",$AG30&lt;$AA30),"Confirmed Deployed date is before DPO Approval target",""))))))))))))</f>
        <v>Blocked - log it on Rework Log</v>
      </c>
      <c r="AL30" s="41" t="s">
        <v>136</v>
      </c>
      <c r="AM30" s="32" cm="1">
        <f t="array" ref="AM30">_xlfn.LET(_xlpm.rep,$B30,_xlpm.sent,_xlfn.MAXIFS('Rework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46260</v>
      </c>
      <c r="AN30" s="32" t="str" cm="1">
        <f t="array" ref="AN30">_xlfn.LET(_xlpm.rep,$B30,_xlpm.sent,_xlfn.MAXIFS('Rework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31" spans="1:40" hidden="1">
      <c r="A31" s="33" t="s">
        <v>126</v>
      </c>
      <c r="B31" s="33" t="s">
        <v>137</v>
      </c>
      <c r="C31" s="33" t="s">
        <v>128</v>
      </c>
      <c r="D31" t="str" cm="1">
        <f t="array" aca="1" ref="D31" ca="1">IF(AND(C31="Ready for Release in Prod",LEFT($AJ31,3)&lt;&gt;"Yes"),IF(AG31&lt;&gt;"","Delivered","On track"),IF($B31="","",IF(LEFT($AJ31,3)="Yes","Blocked - "&amp;MID($AJ31,7,100)&amp;IF(SUMPRODUCT(('Rework Log'!$A$2:$A$497=$B31)*('Rework Log'!$G$2:$G$497&lt;&gt;"Yes")*('Rework Log'!$G$2:$G$497&lt;&gt;"Did not pass re-test"))=0,"",IF(SUMPRODUCT(MAX((('Rework Log'!$A$2:$A$497=$B31)*('Rework Log'!$G$2:$G$497&lt;&gt;"Yes")*('Rework Log'!$G$2:$G$497&lt;&gt;"Did not pass re-test"))*'Rework Log'!$I$2:$I$497))=0," - unclaimed"," - promised "&amp;TEXT(SUMPRODUCT(MAX((('Rework Log'!$A$2:$A$497=$B31)*('Rework Log'!$G$2:$G$497&lt;&gt;"Yes")*('Rework Log'!$G$2:$G$497&lt;&gt;"Did not pass re-test"))*'Rework Log'!$I$2:$I$497)),"m/d"))),IF(C31="NOT STARTED",IF(H31="","No plan date set",IF(H31&lt;TODAY(),"Review - planned start passed","On track")),IF(C31="DB Dev",_xlfn.LET(_xlpm.sent,_xlfn.MAXIFS('Rework Log'!$B$2:$B$497,'Rework Log'!$A$2:$A$497,$B31,'Rework Log'!$D$2:$D$497,"DB Dev"),_xlpm.expfix,_xlfn.MAXIFS('Rework Log'!$I$2:$I$497,'Rework Log'!$A$2:$A$497,$B31,'Rework Log'!$D$2:$D$497,"DB Dev",'Rework Log'!$B$2:$B$497,_xlpm.sent),_xlpm.tgt,IF(_xlpm.expfix&gt;0,_xlpm.expfix,IF(L31&lt;&gt;"",L31,K31)),_xlpm.act,IF(AND(M31&lt;&gt;"",M31&gt;=_xlpm.sent),M31,""),IF(_xlpm.tgt="","No target set",IF(AND(_xlpm.tgt&lt;TODAY(),_xlpm.act=""),"Overdue","On track"))),IF(C31="PBI Dev",_xlfn.LET(_xlpm.sent,_xlfn.MAXIFS('Rework Log'!$B$2:$B$497,'Rework Log'!$A$2:$A$497,$B31,'Rework Log'!$D$2:$D$497,"PBI Dev"),_xlpm.expfix,_xlfn.MAXIFS('Rework Log'!$I$2:$I$497,'Rework Log'!$A$2:$A$497,$B31,'Rework Log'!$D$2:$D$497,"PBI Dev",'Rework Log'!$B$2:$B$497,_xlpm.sent),_xlpm.tgt,IF(_xlpm.expfix&gt;0,_xlpm.expfix,IF(R31&lt;&gt;"",R31,Q31)),_xlpm.act,IF(AND(S31&lt;&gt;"",S31&gt;=_xlpm.sent),S31,""),IF(_xlpm.tgt="","No target set",IF(AND(_xlpm.tgt&lt;TODAY(),_xlpm.act=""),"Overdue","On track"))),IF(C31="QA",_xlfn.LET(_xlpm.tgt,IF(AM31&lt;&gt;"",AM31,IF(W31&lt;&gt;"",W31,V31)),_xlpm.sent,_xlfn.MAXIFS('Rework Log'!$B$2:$B$497,'Rework Log'!$A$2:$A$497,$B31,'Rework Log'!$C$2:$C$497,"QA"),_xlpm.act,IF(AND(Y31&lt;&gt;"",Y31&gt;=_xlpm.sent),Y31,""),IF(_xlpm.tgt="","No target set",IF(AND(_xlpm.tgt&lt;TODAY(),_xlpm.act=""),"Overdue","On track"))),IF(C31="DPO Approval",_xlfn.LET(_xlpm.tgt,IF(AN31&lt;&gt;"",AN31,IF(AB31&lt;&gt;"",AB31,AA31)),_xlpm.sent,_xlfn.MAXIFS('Rework Log'!$B$2:$B$497,'Rework Log'!$A$2:$A$497,$B31,'Rework Log'!$C$2:$C$497,"DPO*"),_xlpm.act,IF(AND(AC31&lt;&gt;"",AC31&gt;=_xlpm.sent),AC31,""),IF(_xlpm.tgt="","No target set",IF(AND(_xlpm.tgt&lt;TODAY(),_xlpm.act=""),"Overdue","On track"))),IF(C31="RELEASED IN PROD","Delivered","")))))))))</f>
        <v>Blocked - Blocked in Prod</v>
      </c>
      <c r="E31" s="33">
        <v>3</v>
      </c>
      <c r="F31" s="34" t="s">
        <v>129</v>
      </c>
      <c r="G31" s="33"/>
      <c r="H31" s="49">
        <v>46234</v>
      </c>
      <c r="I31" s="60" t="s">
        <v>130</v>
      </c>
      <c r="J31" s="33" t="s">
        <v>65</v>
      </c>
      <c r="K31" s="4">
        <v>46213</v>
      </c>
      <c r="L31" s="36">
        <v>46245</v>
      </c>
      <c r="M31" s="35">
        <v>46246</v>
      </c>
      <c r="N31" s="46" t="s">
        <v>45</v>
      </c>
      <c r="O31" s="36" t="s">
        <v>131</v>
      </c>
      <c r="P31" s="64" t="s">
        <v>77</v>
      </c>
      <c r="Q31" s="4">
        <v>46220</v>
      </c>
      <c r="R31" s="36">
        <v>46246</v>
      </c>
      <c r="S31" s="36">
        <v>46251</v>
      </c>
      <c r="T31" s="68"/>
      <c r="U31" s="53" t="s">
        <v>129</v>
      </c>
      <c r="V31" s="58">
        <v>46227</v>
      </c>
      <c r="W31" s="36">
        <v>46253</v>
      </c>
      <c r="X31" s="36"/>
      <c r="Y31" s="36">
        <v>46258</v>
      </c>
      <c r="Z31" s="36"/>
      <c r="AA31" s="51">
        <v>46232</v>
      </c>
      <c r="AB31" s="36">
        <v>46273</v>
      </c>
      <c r="AC31" s="36">
        <v>46273</v>
      </c>
      <c r="AD31" s="33" t="s">
        <v>132</v>
      </c>
      <c r="AE31" s="33" t="s">
        <v>49</v>
      </c>
      <c r="AF31" s="38"/>
      <c r="AG31" s="36"/>
      <c r="AH31" s="39"/>
      <c r="AI31" s="33"/>
      <c r="AJ31" s="40" t="s">
        <v>133</v>
      </c>
      <c r="AK31" s="72" t="str" cm="1">
        <f t="array" ref="AK31">IF($B31="","",_xlfn.LET(_xlpm.nm,$B31,_xlpm.st,$C31,_xlpm.ou,SUMPRODUCT(('Rework Log'!$A$2:$A$497=_xlpm.nm)*('Rework Log'!$G$2:$G$497&lt;&gt;"Yes")*('Rework Log'!$G$2:$G$497&lt;&gt;"Did not pass re-test")*('Rework Log'!$J$2:$J$497="")),_xlpm.ob,SUMPRODUCT(('Rework Log'!$A$2:$A$497=_xlpm.nm)*('Rework Log'!$G$2:$G$497&lt;&gt;"Yes")*('Rework Log'!$G$2:$G$497&lt;&gt;"Did not pass re-test")),_xlpm.oto,IF(SUMPRODUCT(('Rework Log'!$A$2:$A$497=_xlpm.nm)*('Rework Log'!$G$2:$G$497&lt;&gt;"Yes")*('Rework Log'!$G$2:$G$497&lt;&gt;"Did not pass re-test")*('Rework Log'!$J$2:$J$497=""))=0,"",INDEX('Rework Log'!$D$2:$D$497,MATCH(1,('Rework Log'!$A$2:$A$497=_xlpm.nm)*('Rework Log'!$G$2:$G$497&lt;&gt;"Yes")*('Rework Log'!$G$2:$G$497&lt;&gt;"Did not pass re-test")*('Rework Log'!$J$2:$J$497=""),0))),_xlpm.sent,_xlfn.MAXIFS('Rework Log'!$B$2:$B$497,'Rework Log'!$A$2:$A$497,_xlpm.nm),_xlpm.act,_xlfn.IFS(_xlpm.st="NOT STARTED",$M31,_xlpm.st="DB Dev",$M31,_xlpm.st="PBI Dev",$S31,_xlpm.st="QA",$Y31,_xlpm.st="DPO Approval",$AC31,_xlpm.st="Ready for Release in Prod",$AG31,TRUE,""),_xlpm.nxt,_xlfn.IFS(_xlpm.st="NOT STARTED","PBI Dev",_xlpm.st="DB Dev","PBI Dev",_xlpm.st="PBI Dev","QA",_xlpm.st="QA","DPO Approval",_xlpm.st="DPO Approval","Ready for Release in Prod",_xlpm.st="Ready for Release in Prod","RELEASED IN PROD",TRUE,""),IF(AND(_xlpm.ou&gt;0,_xlpm.st&lt;&gt;_xlpm.oto),"Move status back to "&amp;_xlpm.oto,IF(AND(_xlpm.ob=0,LEFT($AJ31,3)="Yes"),"Blocked - log it on Rework Log",IF(AND(_xlpm.ob&gt;0,LEFT($AJ31,3)&lt;&gt;"Yes"),"Open rework row - mark Blocked or close it",IF(AND(_xlpm.ob=0,_xlpm.act&lt;&gt;"",_xlpm.act&gt;=_xlpm.sent,_xlpm.nxt&lt;&gt;""),"Move status to "&amp;_xlpm.nxt,IF(COUNTIF($B$2:$B$528,$B31)&gt;1,"Duplicate name - check row",IF(COUNTIF('Rework Log'!$A$2:$A$497,$B31)&gt;0,"",IF(AND($V31&lt;&gt;"",$K31&lt;&gt;"",$V31&lt;$K31),"QA target is before DB Dev target",IF(AND($V31&lt;&gt;"",$Q31&lt;&gt;"",$V31&lt;$Q31),"QA target is before PBI Dev target",IF(AND($AA31&lt;&gt;"",$V31&lt;&gt;"",$AA31&lt;$V31),"DPO Approval target is before QA target",IF(AND($AG31&lt;&gt;"",$AA31&lt;&gt;"",$AG31&lt;$AA31),"Confirmed Deployed date is before DPO Approval target",""))))))))))))</f>
        <v>Blocked - log it on Rework Log</v>
      </c>
      <c r="AL31" s="41" t="s">
        <v>138</v>
      </c>
      <c r="AM31" s="32" cm="1">
        <f t="array" ref="AM31">_xlfn.LET(_xlpm.rep,$B31,_xlpm.sent,_xlfn.MAXIFS('Rework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46272</v>
      </c>
      <c r="AN31" s="32" t="str" cm="1">
        <f t="array" ref="AN31">_xlfn.LET(_xlpm.rep,$B31,_xlpm.sent,_xlfn.MAXIFS('Rework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32" spans="1:40" hidden="1">
      <c r="A32" s="33" t="s">
        <v>126</v>
      </c>
      <c r="B32" s="33" t="s">
        <v>139</v>
      </c>
      <c r="C32" s="33" t="s">
        <v>128</v>
      </c>
      <c r="D32" t="str" cm="1">
        <f t="array" aca="1" ref="D32" ca="1">IF(AND(C32="Ready for Release in Prod",LEFT($AJ32,3)&lt;&gt;"Yes"),IF(AG32&lt;&gt;"","Delivered","On track"),IF($B32="","",IF(LEFT($AJ32,3)="Yes","Blocked - "&amp;MID($AJ32,7,100)&amp;IF(SUMPRODUCT(('Rework Log'!$A$2:$A$497=$B32)*('Rework Log'!$G$2:$G$497&lt;&gt;"Yes")*('Rework Log'!$G$2:$G$497&lt;&gt;"Did not pass re-test"))=0,"",IF(SUMPRODUCT(MAX((('Rework Log'!$A$2:$A$497=$B32)*('Rework Log'!$G$2:$G$497&lt;&gt;"Yes")*('Rework Log'!$G$2:$G$497&lt;&gt;"Did not pass re-test"))*'Rework Log'!$I$2:$I$497))=0," - unclaimed"," - promised "&amp;TEXT(SUMPRODUCT(MAX((('Rework Log'!$A$2:$A$497=$B32)*('Rework Log'!$G$2:$G$497&lt;&gt;"Yes")*('Rework Log'!$G$2:$G$497&lt;&gt;"Did not pass re-test"))*'Rework Log'!$I$2:$I$497)),"m/d"))),IF(C32="NOT STARTED",IF(H32="","No plan date set",IF(H32&lt;TODAY(),"Review - planned start passed","On track")),IF(C32="DB Dev",_xlfn.LET(_xlpm.sent,_xlfn.MAXIFS('Rework Log'!$B$2:$B$497,'Rework Log'!$A$2:$A$497,$B32,'Rework Log'!$D$2:$D$497,"DB Dev"),_xlpm.expfix,_xlfn.MAXIFS('Rework Log'!$I$2:$I$497,'Rework Log'!$A$2:$A$497,$B32,'Rework Log'!$D$2:$D$497,"DB Dev",'Rework Log'!$B$2:$B$497,_xlpm.sent),_xlpm.tgt,IF(_xlpm.expfix&gt;0,_xlpm.expfix,IF(L32&lt;&gt;"",L32,K32)),_xlpm.act,IF(AND(M32&lt;&gt;"",M32&gt;=_xlpm.sent),M32,""),IF(_xlpm.tgt="","No target set",IF(AND(_xlpm.tgt&lt;TODAY(),_xlpm.act=""),"Overdue","On track"))),IF(C32="PBI Dev",_xlfn.LET(_xlpm.sent,_xlfn.MAXIFS('Rework Log'!$B$2:$B$497,'Rework Log'!$A$2:$A$497,$B32,'Rework Log'!$D$2:$D$497,"PBI Dev"),_xlpm.expfix,_xlfn.MAXIFS('Rework Log'!$I$2:$I$497,'Rework Log'!$A$2:$A$497,$B32,'Rework Log'!$D$2:$D$497,"PBI Dev",'Rework Log'!$B$2:$B$497,_xlpm.sent),_xlpm.tgt,IF(_xlpm.expfix&gt;0,_xlpm.expfix,IF(R32&lt;&gt;"",R32,Q32)),_xlpm.act,IF(AND(S32&lt;&gt;"",S32&gt;=_xlpm.sent),S32,""),IF(_xlpm.tgt="","No target set",IF(AND(_xlpm.tgt&lt;TODAY(),_xlpm.act=""),"Overdue","On track"))),IF(C32="QA",_xlfn.LET(_xlpm.tgt,IF(AM32&lt;&gt;"",AM32,IF(W32&lt;&gt;"",W32,V32)),_xlpm.sent,_xlfn.MAXIFS('Rework Log'!$B$2:$B$497,'Rework Log'!$A$2:$A$497,$B32,'Rework Log'!$C$2:$C$497,"QA"),_xlpm.act,IF(AND(Y32&lt;&gt;"",Y32&gt;=_xlpm.sent),Y32,""),IF(_xlpm.tgt="","No target set",IF(AND(_xlpm.tgt&lt;TODAY(),_xlpm.act=""),"Overdue","On track"))),IF(C32="DPO Approval",_xlfn.LET(_xlpm.tgt,IF(AN32&lt;&gt;"",AN32,IF(AB32&lt;&gt;"",AB32,AA32)),_xlpm.sent,_xlfn.MAXIFS('Rework Log'!$B$2:$B$497,'Rework Log'!$A$2:$A$497,$B32,'Rework Log'!$C$2:$C$497,"DPO*"),_xlpm.act,IF(AND(AC32&lt;&gt;"",AC32&gt;=_xlpm.sent),AC32,""),IF(_xlpm.tgt="","No target set",IF(AND(_xlpm.tgt&lt;TODAY(),_xlpm.act=""),"Overdue","On track"))),IF(C32="RELEASED IN PROD","Delivered","")))))))))</f>
        <v>Blocked - Blocked in Prod</v>
      </c>
      <c r="E32" s="33">
        <v>4</v>
      </c>
      <c r="F32" s="34" t="s">
        <v>129</v>
      </c>
      <c r="G32" s="33"/>
      <c r="H32" s="49">
        <v>46234</v>
      </c>
      <c r="I32" s="60" t="s">
        <v>130</v>
      </c>
      <c r="J32" s="33" t="s">
        <v>59</v>
      </c>
      <c r="K32" s="4">
        <v>46213</v>
      </c>
      <c r="L32" s="36"/>
      <c r="M32" s="37">
        <v>46266</v>
      </c>
      <c r="N32" s="46" t="s">
        <v>45</v>
      </c>
      <c r="O32" s="36" t="s">
        <v>131</v>
      </c>
      <c r="P32" s="64" t="s">
        <v>46</v>
      </c>
      <c r="Q32" s="4">
        <v>46220</v>
      </c>
      <c r="R32" s="36">
        <v>46251</v>
      </c>
      <c r="S32" s="36">
        <v>46253</v>
      </c>
      <c r="T32" s="68"/>
      <c r="U32" s="53" t="s">
        <v>47</v>
      </c>
      <c r="V32" s="58">
        <v>46227</v>
      </c>
      <c r="W32" s="36">
        <v>46269</v>
      </c>
      <c r="X32" s="36"/>
      <c r="Y32" s="36">
        <v>46269</v>
      </c>
      <c r="Z32" s="36"/>
      <c r="AA32" s="51">
        <v>46232</v>
      </c>
      <c r="AB32" s="36">
        <v>46273</v>
      </c>
      <c r="AC32" s="36">
        <v>46273</v>
      </c>
      <c r="AD32" s="33" t="s">
        <v>132</v>
      </c>
      <c r="AE32" s="33" t="s">
        <v>49</v>
      </c>
      <c r="AF32" s="38"/>
      <c r="AG32" s="36"/>
      <c r="AH32" s="39"/>
      <c r="AI32" s="33"/>
      <c r="AJ32" s="40" t="s">
        <v>133</v>
      </c>
      <c r="AK32" s="72" t="str" cm="1">
        <f t="array" ref="AK32">IF($B32="","",_xlfn.LET(_xlpm.nm,$B32,_xlpm.st,$C32,_xlpm.ou,SUMPRODUCT(('Rework Log'!$A$2:$A$497=_xlpm.nm)*('Rework Log'!$G$2:$G$497&lt;&gt;"Yes")*('Rework Log'!$G$2:$G$497&lt;&gt;"Did not pass re-test")*('Rework Log'!$J$2:$J$497="")),_xlpm.ob,SUMPRODUCT(('Rework Log'!$A$2:$A$497=_xlpm.nm)*('Rework Log'!$G$2:$G$497&lt;&gt;"Yes")*('Rework Log'!$G$2:$G$497&lt;&gt;"Did not pass re-test")),_xlpm.oto,IF(SUMPRODUCT(('Rework Log'!$A$2:$A$497=_xlpm.nm)*('Rework Log'!$G$2:$G$497&lt;&gt;"Yes")*('Rework Log'!$G$2:$G$497&lt;&gt;"Did not pass re-test")*('Rework Log'!$J$2:$J$497=""))=0,"",INDEX('Rework Log'!$D$2:$D$497,MATCH(1,('Rework Log'!$A$2:$A$497=_xlpm.nm)*('Rework Log'!$G$2:$G$497&lt;&gt;"Yes")*('Rework Log'!$G$2:$G$497&lt;&gt;"Did not pass re-test")*('Rework Log'!$J$2:$J$497=""),0))),_xlpm.sent,_xlfn.MAXIFS('Rework Log'!$B$2:$B$497,'Rework Log'!$A$2:$A$497,_xlpm.nm),_xlpm.act,_xlfn.IFS(_xlpm.st="NOT STARTED",$M32,_xlpm.st="DB Dev",$M32,_xlpm.st="PBI Dev",$S32,_xlpm.st="QA",$Y32,_xlpm.st="DPO Approval",$AC32,_xlpm.st="Ready for Release in Prod",$AG32,TRUE,""),_xlpm.nxt,_xlfn.IFS(_xlpm.st="NOT STARTED","PBI Dev",_xlpm.st="DB Dev","PBI Dev",_xlpm.st="PBI Dev","QA",_xlpm.st="QA","DPO Approval",_xlpm.st="DPO Approval","Ready for Release in Prod",_xlpm.st="Ready for Release in Prod","RELEASED IN PROD",TRUE,""),IF(AND(_xlpm.ou&gt;0,_xlpm.st&lt;&gt;_xlpm.oto),"Move status back to "&amp;_xlpm.oto,IF(AND(_xlpm.ob=0,LEFT($AJ32,3)="Yes"),"Blocked - log it on Rework Log",IF(AND(_xlpm.ob&gt;0,LEFT($AJ32,3)&lt;&gt;"Yes"),"Open rework row - mark Blocked or close it",IF(AND(_xlpm.ob=0,_xlpm.act&lt;&gt;"",_xlpm.act&gt;=_xlpm.sent,_xlpm.nxt&lt;&gt;""),"Move status to "&amp;_xlpm.nxt,IF(COUNTIF($B$2:$B$528,$B32)&gt;1,"Duplicate name - check row",IF(COUNTIF('Rework Log'!$A$2:$A$497,$B32)&gt;0,"",IF(AND($V32&lt;&gt;"",$K32&lt;&gt;"",$V32&lt;$K32),"QA target is before DB Dev target",IF(AND($V32&lt;&gt;"",$Q32&lt;&gt;"",$V32&lt;$Q32),"QA target is before PBI Dev target",IF(AND($AA32&lt;&gt;"",$V32&lt;&gt;"",$AA32&lt;$V32),"DPO Approval target is before QA target",IF(AND($AG32&lt;&gt;"",$AA32&lt;&gt;"",$AG32&lt;$AA32),"Confirmed Deployed date is before DPO Approval target",""))))))))))))</f>
        <v>Blocked - log it on Rework Log</v>
      </c>
      <c r="AL32" s="41" t="s">
        <v>140</v>
      </c>
      <c r="AM32" s="32" cm="1">
        <f t="array" ref="AM32">_xlfn.LET(_xlpm.rep,$B32,_xlpm.sent,_xlfn.MAXIFS('Rework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46269</v>
      </c>
      <c r="AN32" s="32" t="str" cm="1">
        <f t="array" ref="AN32">_xlfn.LET(_xlpm.rep,$B32,_xlpm.sent,_xlfn.MAXIFS('Rework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33" spans="1:40" hidden="1">
      <c r="A33" s="33" t="s">
        <v>126</v>
      </c>
      <c r="B33" s="33" t="s">
        <v>141</v>
      </c>
      <c r="C33" s="33" t="s">
        <v>128</v>
      </c>
      <c r="D33" t="str" cm="1">
        <f t="array" aca="1" ref="D33" ca="1">IF(AND(C33="Ready for Release in Prod",LEFT($AJ33,3)&lt;&gt;"Yes"),IF(AG33&lt;&gt;"","Delivered","On track"),IF($B33="","",IF(LEFT($AJ33,3)="Yes","Blocked - "&amp;MID($AJ33,7,100)&amp;IF(SUMPRODUCT(('Rework Log'!$A$2:$A$497=$B33)*('Rework Log'!$G$2:$G$497&lt;&gt;"Yes")*('Rework Log'!$G$2:$G$497&lt;&gt;"Did not pass re-test"))=0,"",IF(SUMPRODUCT(MAX((('Rework Log'!$A$2:$A$497=$B33)*('Rework Log'!$G$2:$G$497&lt;&gt;"Yes")*('Rework Log'!$G$2:$G$497&lt;&gt;"Did not pass re-test"))*'Rework Log'!$I$2:$I$497))=0," - unclaimed"," - promised "&amp;TEXT(SUMPRODUCT(MAX((('Rework Log'!$A$2:$A$497=$B33)*('Rework Log'!$G$2:$G$497&lt;&gt;"Yes")*('Rework Log'!$G$2:$G$497&lt;&gt;"Did not pass re-test"))*'Rework Log'!$I$2:$I$497)),"m/d"))),IF(C33="NOT STARTED",IF(H33="","No plan date set",IF(H33&lt;TODAY(),"Review - planned start passed","On track")),IF(C33="DB Dev",_xlfn.LET(_xlpm.sent,_xlfn.MAXIFS('Rework Log'!$B$2:$B$497,'Rework Log'!$A$2:$A$497,$B33,'Rework Log'!$D$2:$D$497,"DB Dev"),_xlpm.expfix,_xlfn.MAXIFS('Rework Log'!$I$2:$I$497,'Rework Log'!$A$2:$A$497,$B33,'Rework Log'!$D$2:$D$497,"DB Dev",'Rework Log'!$B$2:$B$497,_xlpm.sent),_xlpm.tgt,IF(_xlpm.expfix&gt;0,_xlpm.expfix,IF(L33&lt;&gt;"",L33,K33)),_xlpm.act,IF(AND(M33&lt;&gt;"",M33&gt;=_xlpm.sent),M33,""),IF(_xlpm.tgt="","No target set",IF(AND(_xlpm.tgt&lt;TODAY(),_xlpm.act=""),"Overdue","On track"))),IF(C33="PBI Dev",_xlfn.LET(_xlpm.sent,_xlfn.MAXIFS('Rework Log'!$B$2:$B$497,'Rework Log'!$A$2:$A$497,$B33,'Rework Log'!$D$2:$D$497,"PBI Dev"),_xlpm.expfix,_xlfn.MAXIFS('Rework Log'!$I$2:$I$497,'Rework Log'!$A$2:$A$497,$B33,'Rework Log'!$D$2:$D$497,"PBI Dev",'Rework Log'!$B$2:$B$497,_xlpm.sent),_xlpm.tgt,IF(_xlpm.expfix&gt;0,_xlpm.expfix,IF(R33&lt;&gt;"",R33,Q33)),_xlpm.act,IF(AND(S33&lt;&gt;"",S33&gt;=_xlpm.sent),S33,""),IF(_xlpm.tgt="","No target set",IF(AND(_xlpm.tgt&lt;TODAY(),_xlpm.act=""),"Overdue","On track"))),IF(C33="QA",_xlfn.LET(_xlpm.tgt,IF(AM33&lt;&gt;"",AM33,IF(W33&lt;&gt;"",W33,V33)),_xlpm.sent,_xlfn.MAXIFS('Rework Log'!$B$2:$B$497,'Rework Log'!$A$2:$A$497,$B33,'Rework Log'!$C$2:$C$497,"QA"),_xlpm.act,IF(AND(Y33&lt;&gt;"",Y33&gt;=_xlpm.sent),Y33,""),IF(_xlpm.tgt="","No target set",IF(AND(_xlpm.tgt&lt;TODAY(),_xlpm.act=""),"Overdue","On track"))),IF(C33="DPO Approval",_xlfn.LET(_xlpm.tgt,IF(AN33&lt;&gt;"",AN33,IF(AB33&lt;&gt;"",AB33,AA33)),_xlpm.sent,_xlfn.MAXIFS('Rework Log'!$B$2:$B$497,'Rework Log'!$A$2:$A$497,$B33,'Rework Log'!$C$2:$C$497,"DPO*"),_xlpm.act,IF(AND(AC33&lt;&gt;"",AC33&gt;=_xlpm.sent),AC33,""),IF(_xlpm.tgt="","No target set",IF(AND(_xlpm.tgt&lt;TODAY(),_xlpm.act=""),"Overdue","On track"))),IF(C33="RELEASED IN PROD","Delivered","")))))))))</f>
        <v>Blocked - Blocked in Prod</v>
      </c>
      <c r="E33" s="33">
        <v>5</v>
      </c>
      <c r="F33" s="34" t="s">
        <v>129</v>
      </c>
      <c r="G33" s="33"/>
      <c r="H33" s="49">
        <v>46234</v>
      </c>
      <c r="I33" s="60" t="s">
        <v>130</v>
      </c>
      <c r="J33" s="33" t="s">
        <v>103</v>
      </c>
      <c r="K33" s="4">
        <v>46213</v>
      </c>
      <c r="L33" s="36">
        <v>46246</v>
      </c>
      <c r="M33" s="37">
        <v>46251</v>
      </c>
      <c r="N33" s="46" t="s">
        <v>45</v>
      </c>
      <c r="O33" s="36" t="s">
        <v>131</v>
      </c>
      <c r="P33" s="64" t="s">
        <v>77</v>
      </c>
      <c r="Q33" s="4">
        <v>46220</v>
      </c>
      <c r="R33" s="36">
        <v>46246</v>
      </c>
      <c r="S33" s="36">
        <v>46244</v>
      </c>
      <c r="T33" s="68"/>
      <c r="U33" s="53" t="s">
        <v>47</v>
      </c>
      <c r="V33" s="58">
        <v>46227</v>
      </c>
      <c r="W33" s="36">
        <v>46254</v>
      </c>
      <c r="X33" s="36"/>
      <c r="Y33" s="36">
        <v>46254</v>
      </c>
      <c r="Z33" s="36"/>
      <c r="AA33" s="51">
        <v>46232</v>
      </c>
      <c r="AB33" s="36">
        <v>46273</v>
      </c>
      <c r="AC33" s="36">
        <v>46273</v>
      </c>
      <c r="AD33" s="33" t="s">
        <v>132</v>
      </c>
      <c r="AE33" s="33" t="s">
        <v>49</v>
      </c>
      <c r="AF33" s="38"/>
      <c r="AG33" s="36"/>
      <c r="AH33" s="39"/>
      <c r="AI33" s="33"/>
      <c r="AJ33" s="40" t="s">
        <v>133</v>
      </c>
      <c r="AK33" s="72" t="str" cm="1">
        <f t="array" ref="AK33">IF($B33="","",_xlfn.LET(_xlpm.nm,$B33,_xlpm.st,$C33,_xlpm.ou,SUMPRODUCT(('Rework Log'!$A$2:$A$497=_xlpm.nm)*('Rework Log'!$G$2:$G$497&lt;&gt;"Yes")*('Rework Log'!$G$2:$G$497&lt;&gt;"Did not pass re-test")*('Rework Log'!$J$2:$J$497="")),_xlpm.ob,SUMPRODUCT(('Rework Log'!$A$2:$A$497=_xlpm.nm)*('Rework Log'!$G$2:$G$497&lt;&gt;"Yes")*('Rework Log'!$G$2:$G$497&lt;&gt;"Did not pass re-test")),_xlpm.oto,IF(SUMPRODUCT(('Rework Log'!$A$2:$A$497=_xlpm.nm)*('Rework Log'!$G$2:$G$497&lt;&gt;"Yes")*('Rework Log'!$G$2:$G$497&lt;&gt;"Did not pass re-test")*('Rework Log'!$J$2:$J$497=""))=0,"",INDEX('Rework Log'!$D$2:$D$497,MATCH(1,('Rework Log'!$A$2:$A$497=_xlpm.nm)*('Rework Log'!$G$2:$G$497&lt;&gt;"Yes")*('Rework Log'!$G$2:$G$497&lt;&gt;"Did not pass re-test")*('Rework Log'!$J$2:$J$497=""),0))),_xlpm.sent,_xlfn.MAXIFS('Rework Log'!$B$2:$B$497,'Rework Log'!$A$2:$A$497,_xlpm.nm),_xlpm.act,_xlfn.IFS(_xlpm.st="NOT STARTED",$M33,_xlpm.st="DB Dev",$M33,_xlpm.st="PBI Dev",$S33,_xlpm.st="QA",$Y33,_xlpm.st="DPO Approval",$AC33,_xlpm.st="Ready for Release in Prod",$AG33,TRUE,""),_xlpm.nxt,_xlfn.IFS(_xlpm.st="NOT STARTED","PBI Dev",_xlpm.st="DB Dev","PBI Dev",_xlpm.st="PBI Dev","QA",_xlpm.st="QA","DPO Approval",_xlpm.st="DPO Approval","Ready for Release in Prod",_xlpm.st="Ready for Release in Prod","RELEASED IN PROD",TRUE,""),IF(AND(_xlpm.ou&gt;0,_xlpm.st&lt;&gt;_xlpm.oto),"Move status back to "&amp;_xlpm.oto,IF(AND(_xlpm.ob=0,LEFT($AJ33,3)="Yes"),"Blocked - log it on Rework Log",IF(AND(_xlpm.ob&gt;0,LEFT($AJ33,3)&lt;&gt;"Yes"),"Open rework row - mark Blocked or close it",IF(AND(_xlpm.ob=0,_xlpm.act&lt;&gt;"",_xlpm.act&gt;=_xlpm.sent,_xlpm.nxt&lt;&gt;""),"Move status to "&amp;_xlpm.nxt,IF(COUNTIF($B$2:$B$528,$B33)&gt;1,"Duplicate name - check row",IF(COUNTIF('Rework Log'!$A$2:$A$497,$B33)&gt;0,"",IF(AND($V33&lt;&gt;"",$K33&lt;&gt;"",$V33&lt;$K33),"QA target is before DB Dev target",IF(AND($V33&lt;&gt;"",$Q33&lt;&gt;"",$V33&lt;$Q33),"QA target is before PBI Dev target",IF(AND($AA33&lt;&gt;"",$V33&lt;&gt;"",$AA33&lt;$V33),"DPO Approval target is before QA target",IF(AND($AG33&lt;&gt;"",$AA33&lt;&gt;"",$AG33&lt;$AA33),"Confirmed Deployed date is before DPO Approval target",""))))))))))))</f>
        <v>Blocked - log it on Rework Log</v>
      </c>
      <c r="AL33" s="41" t="s">
        <v>142</v>
      </c>
      <c r="AM33" s="32" cm="1">
        <f t="array" ref="AM33">_xlfn.LET(_xlpm.rep,$B33,_xlpm.sent,_xlfn.MAXIFS('Rework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46254</v>
      </c>
      <c r="AN33" s="32" t="str" cm="1">
        <f t="array" ref="AN33">_xlfn.LET(_xlpm.rep,$B33,_xlpm.sent,_xlfn.MAXIFS('Rework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34" spans="1:40" hidden="1">
      <c r="A34" s="33" t="s">
        <v>126</v>
      </c>
      <c r="B34" s="33" t="s">
        <v>143</v>
      </c>
      <c r="C34" s="33" t="s">
        <v>128</v>
      </c>
      <c r="D34" t="str" cm="1">
        <f t="array" aca="1" ref="D34" ca="1">IF(AND(C34="Ready for Release in Prod",LEFT($AJ34,3)&lt;&gt;"Yes"),IF(AG34&lt;&gt;"","Delivered","On track"),IF($B34="","",IF(LEFT($AJ34,3)="Yes","Blocked - "&amp;MID($AJ34,7,100)&amp;IF(SUMPRODUCT(('Rework Log'!$A$2:$A$497=$B34)*('Rework Log'!$G$2:$G$497&lt;&gt;"Yes")*('Rework Log'!$G$2:$G$497&lt;&gt;"Did not pass re-test"))=0,"",IF(SUMPRODUCT(MAX((('Rework Log'!$A$2:$A$497=$B34)*('Rework Log'!$G$2:$G$497&lt;&gt;"Yes")*('Rework Log'!$G$2:$G$497&lt;&gt;"Did not pass re-test"))*'Rework Log'!$I$2:$I$497))=0," - unclaimed"," - promised "&amp;TEXT(SUMPRODUCT(MAX((('Rework Log'!$A$2:$A$497=$B34)*('Rework Log'!$G$2:$G$497&lt;&gt;"Yes")*('Rework Log'!$G$2:$G$497&lt;&gt;"Did not pass re-test"))*'Rework Log'!$I$2:$I$497)),"m/d"))),IF(C34="NOT STARTED",IF(H34="","No plan date set",IF(H34&lt;TODAY(),"Review - planned start passed","On track")),IF(C34="DB Dev",_xlfn.LET(_xlpm.sent,_xlfn.MAXIFS('Rework Log'!$B$2:$B$497,'Rework Log'!$A$2:$A$497,$B34,'Rework Log'!$D$2:$D$497,"DB Dev"),_xlpm.expfix,_xlfn.MAXIFS('Rework Log'!$I$2:$I$497,'Rework Log'!$A$2:$A$497,$B34,'Rework Log'!$D$2:$D$497,"DB Dev",'Rework Log'!$B$2:$B$497,_xlpm.sent),_xlpm.tgt,IF(_xlpm.expfix&gt;0,_xlpm.expfix,IF(L34&lt;&gt;"",L34,K34)),_xlpm.act,IF(AND(M34&lt;&gt;"",M34&gt;=_xlpm.sent),M34,""),IF(_xlpm.tgt="","No target set",IF(AND(_xlpm.tgt&lt;TODAY(),_xlpm.act=""),"Overdue","On track"))),IF(C34="PBI Dev",_xlfn.LET(_xlpm.sent,_xlfn.MAXIFS('Rework Log'!$B$2:$B$497,'Rework Log'!$A$2:$A$497,$B34,'Rework Log'!$D$2:$D$497,"PBI Dev"),_xlpm.expfix,_xlfn.MAXIFS('Rework Log'!$I$2:$I$497,'Rework Log'!$A$2:$A$497,$B34,'Rework Log'!$D$2:$D$497,"PBI Dev",'Rework Log'!$B$2:$B$497,_xlpm.sent),_xlpm.tgt,IF(_xlpm.expfix&gt;0,_xlpm.expfix,IF(R34&lt;&gt;"",R34,Q34)),_xlpm.act,IF(AND(S34&lt;&gt;"",S34&gt;=_xlpm.sent),S34,""),IF(_xlpm.tgt="","No target set",IF(AND(_xlpm.tgt&lt;TODAY(),_xlpm.act=""),"Overdue","On track"))),IF(C34="QA",_xlfn.LET(_xlpm.tgt,IF(AM34&lt;&gt;"",AM34,IF(W34&lt;&gt;"",W34,V34)),_xlpm.sent,_xlfn.MAXIFS('Rework Log'!$B$2:$B$497,'Rework Log'!$A$2:$A$497,$B34,'Rework Log'!$C$2:$C$497,"QA"),_xlpm.act,IF(AND(Y34&lt;&gt;"",Y34&gt;=_xlpm.sent),Y34,""),IF(_xlpm.tgt="","No target set",IF(AND(_xlpm.tgt&lt;TODAY(),_xlpm.act=""),"Overdue","On track"))),IF(C34="DPO Approval",_xlfn.LET(_xlpm.tgt,IF(AN34&lt;&gt;"",AN34,IF(AB34&lt;&gt;"",AB34,AA34)),_xlpm.sent,_xlfn.MAXIFS('Rework Log'!$B$2:$B$497,'Rework Log'!$A$2:$A$497,$B34,'Rework Log'!$C$2:$C$497,"DPO*"),_xlpm.act,IF(AND(AC34&lt;&gt;"",AC34&gt;=_xlpm.sent),AC34,""),IF(_xlpm.tgt="","No target set",IF(AND(_xlpm.tgt&lt;TODAY(),_xlpm.act=""),"Overdue","On track"))),IF(C34="RELEASED IN PROD","Delivered","")))))))))</f>
        <v>Blocked - Blocked in Prod</v>
      </c>
      <c r="E34" s="33">
        <v>6</v>
      </c>
      <c r="F34" s="34" t="s">
        <v>144</v>
      </c>
      <c r="G34" s="33"/>
      <c r="H34" s="49">
        <v>46234</v>
      </c>
      <c r="I34" s="60" t="s">
        <v>130</v>
      </c>
      <c r="J34" s="33" t="s">
        <v>84</v>
      </c>
      <c r="K34" s="4">
        <v>46213</v>
      </c>
      <c r="L34" s="36">
        <v>46246</v>
      </c>
      <c r="M34" s="36">
        <v>46252</v>
      </c>
      <c r="N34" s="36" t="s">
        <v>45</v>
      </c>
      <c r="O34" s="36" t="s">
        <v>131</v>
      </c>
      <c r="P34" s="64" t="s">
        <v>60</v>
      </c>
      <c r="Q34" s="4">
        <v>46220</v>
      </c>
      <c r="R34" s="36">
        <v>46246</v>
      </c>
      <c r="S34" s="36">
        <v>46251</v>
      </c>
      <c r="T34" s="68"/>
      <c r="U34" s="53" t="s">
        <v>144</v>
      </c>
      <c r="V34" s="58">
        <v>46227</v>
      </c>
      <c r="W34" s="36">
        <v>46255</v>
      </c>
      <c r="X34" s="36"/>
      <c r="Y34" s="36">
        <v>46255</v>
      </c>
      <c r="Z34" s="36"/>
      <c r="AA34" s="51">
        <v>46232</v>
      </c>
      <c r="AB34" s="36">
        <v>46273</v>
      </c>
      <c r="AC34" s="36">
        <v>46273</v>
      </c>
      <c r="AD34" s="33" t="s">
        <v>132</v>
      </c>
      <c r="AE34" s="33" t="s">
        <v>49</v>
      </c>
      <c r="AF34" s="38"/>
      <c r="AG34" s="36"/>
      <c r="AH34" s="39"/>
      <c r="AI34" s="33"/>
      <c r="AJ34" s="40" t="s">
        <v>133</v>
      </c>
      <c r="AK34" s="72" t="str" cm="1">
        <f t="array" ref="AK34">IF($B34="","",_xlfn.LET(_xlpm.nm,$B34,_xlpm.st,$C34,_xlpm.ou,SUMPRODUCT(('Rework Log'!$A$2:$A$497=_xlpm.nm)*('Rework Log'!$G$2:$G$497&lt;&gt;"Yes")*('Rework Log'!$G$2:$G$497&lt;&gt;"Did not pass re-test")*('Rework Log'!$J$2:$J$497="")),_xlpm.ob,SUMPRODUCT(('Rework Log'!$A$2:$A$497=_xlpm.nm)*('Rework Log'!$G$2:$G$497&lt;&gt;"Yes")*('Rework Log'!$G$2:$G$497&lt;&gt;"Did not pass re-test")),_xlpm.oto,IF(SUMPRODUCT(('Rework Log'!$A$2:$A$497=_xlpm.nm)*('Rework Log'!$G$2:$G$497&lt;&gt;"Yes")*('Rework Log'!$G$2:$G$497&lt;&gt;"Did not pass re-test")*('Rework Log'!$J$2:$J$497=""))=0,"",INDEX('Rework Log'!$D$2:$D$497,MATCH(1,('Rework Log'!$A$2:$A$497=_xlpm.nm)*('Rework Log'!$G$2:$G$497&lt;&gt;"Yes")*('Rework Log'!$G$2:$G$497&lt;&gt;"Did not pass re-test")*('Rework Log'!$J$2:$J$497=""),0))),_xlpm.sent,_xlfn.MAXIFS('Rework Log'!$B$2:$B$497,'Rework Log'!$A$2:$A$497,_xlpm.nm),_xlpm.act,_xlfn.IFS(_xlpm.st="NOT STARTED",$M34,_xlpm.st="DB Dev",$M34,_xlpm.st="PBI Dev",$S34,_xlpm.st="QA",$Y34,_xlpm.st="DPO Approval",$AC34,_xlpm.st="Ready for Release in Prod",$AG34,TRUE,""),_xlpm.nxt,_xlfn.IFS(_xlpm.st="NOT STARTED","PBI Dev",_xlpm.st="DB Dev","PBI Dev",_xlpm.st="PBI Dev","QA",_xlpm.st="QA","DPO Approval",_xlpm.st="DPO Approval","Ready for Release in Prod",_xlpm.st="Ready for Release in Prod","RELEASED IN PROD",TRUE,""),IF(AND(_xlpm.ou&gt;0,_xlpm.st&lt;&gt;_xlpm.oto),"Move status back to "&amp;_xlpm.oto,IF(AND(_xlpm.ob=0,LEFT($AJ34,3)="Yes"),"Blocked - log it on Rework Log",IF(AND(_xlpm.ob&gt;0,LEFT($AJ34,3)&lt;&gt;"Yes"),"Open rework row - mark Blocked or close it",IF(AND(_xlpm.ob=0,_xlpm.act&lt;&gt;"",_xlpm.act&gt;=_xlpm.sent,_xlpm.nxt&lt;&gt;""),"Move status to "&amp;_xlpm.nxt,IF(COUNTIF($B$2:$B$528,$B34)&gt;1,"Duplicate name - check row",IF(COUNTIF('Rework Log'!$A$2:$A$497,$B34)&gt;0,"",IF(AND($V34&lt;&gt;"",$K34&lt;&gt;"",$V34&lt;$K34),"QA target is before DB Dev target",IF(AND($V34&lt;&gt;"",$Q34&lt;&gt;"",$V34&lt;$Q34),"QA target is before PBI Dev target",IF(AND($AA34&lt;&gt;"",$V34&lt;&gt;"",$AA34&lt;$V34),"DPO Approval target is before QA target",IF(AND($AG34&lt;&gt;"",$AA34&lt;&gt;"",$AG34&lt;$AA34),"Confirmed Deployed date is before DPO Approval target",""))))))))))))</f>
        <v>Blocked - log it on Rework Log</v>
      </c>
      <c r="AL34" s="41" t="s">
        <v>145</v>
      </c>
      <c r="AM34" s="32" cm="1">
        <f t="array" ref="AM34">_xlfn.LET(_xlpm.rep,$B34,_xlpm.sent,_xlfn.MAXIFS('Rework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46255</v>
      </c>
      <c r="AN34" s="32" t="str" cm="1">
        <f t="array" ref="AN34">_xlfn.LET(_xlpm.rep,$B34,_xlpm.sent,_xlfn.MAXIFS('Rework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35" spans="1:40" hidden="1">
      <c r="A35" s="33" t="s">
        <v>126</v>
      </c>
      <c r="B35" s="33" t="s">
        <v>146</v>
      </c>
      <c r="C35" s="33" t="s">
        <v>128</v>
      </c>
      <c r="D35" t="str" cm="1">
        <f t="array" aca="1" ref="D35" ca="1">IF(AND(C35="Ready for Release in Prod",LEFT($AJ35,3)&lt;&gt;"Yes"),IF(AG35&lt;&gt;"","Delivered","On track"),IF($B35="","",IF(LEFT($AJ35,3)="Yes","Blocked - "&amp;MID($AJ35,7,100)&amp;IF(SUMPRODUCT(('Rework Log'!$A$2:$A$497=$B35)*('Rework Log'!$G$2:$G$497&lt;&gt;"Yes")*('Rework Log'!$G$2:$G$497&lt;&gt;"Did not pass re-test"))=0,"",IF(SUMPRODUCT(MAX((('Rework Log'!$A$2:$A$497=$B35)*('Rework Log'!$G$2:$G$497&lt;&gt;"Yes")*('Rework Log'!$G$2:$G$497&lt;&gt;"Did not pass re-test"))*'Rework Log'!$I$2:$I$497))=0," - unclaimed"," - promised "&amp;TEXT(SUMPRODUCT(MAX((('Rework Log'!$A$2:$A$497=$B35)*('Rework Log'!$G$2:$G$497&lt;&gt;"Yes")*('Rework Log'!$G$2:$G$497&lt;&gt;"Did not pass re-test"))*'Rework Log'!$I$2:$I$497)),"m/d"))),IF(C35="NOT STARTED",IF(H35="","No plan date set",IF(H35&lt;TODAY(),"Review - planned start passed","On track")),IF(C35="DB Dev",_xlfn.LET(_xlpm.sent,_xlfn.MAXIFS('Rework Log'!$B$2:$B$497,'Rework Log'!$A$2:$A$497,$B35,'Rework Log'!$D$2:$D$497,"DB Dev"),_xlpm.expfix,_xlfn.MAXIFS('Rework Log'!$I$2:$I$497,'Rework Log'!$A$2:$A$497,$B35,'Rework Log'!$D$2:$D$497,"DB Dev",'Rework Log'!$B$2:$B$497,_xlpm.sent),_xlpm.tgt,IF(_xlpm.expfix&gt;0,_xlpm.expfix,IF(L35&lt;&gt;"",L35,K35)),_xlpm.act,IF(AND(M35&lt;&gt;"",M35&gt;=_xlpm.sent),M35,""),IF(_xlpm.tgt="","No target set",IF(AND(_xlpm.tgt&lt;TODAY(),_xlpm.act=""),"Overdue","On track"))),IF(C35="PBI Dev",_xlfn.LET(_xlpm.sent,_xlfn.MAXIFS('Rework Log'!$B$2:$B$497,'Rework Log'!$A$2:$A$497,$B35,'Rework Log'!$D$2:$D$497,"PBI Dev"),_xlpm.expfix,_xlfn.MAXIFS('Rework Log'!$I$2:$I$497,'Rework Log'!$A$2:$A$497,$B35,'Rework Log'!$D$2:$D$497,"PBI Dev",'Rework Log'!$B$2:$B$497,_xlpm.sent),_xlpm.tgt,IF(_xlpm.expfix&gt;0,_xlpm.expfix,IF(R35&lt;&gt;"",R35,Q35)),_xlpm.act,IF(AND(S35&lt;&gt;"",S35&gt;=_xlpm.sent),S35,""),IF(_xlpm.tgt="","No target set",IF(AND(_xlpm.tgt&lt;TODAY(),_xlpm.act=""),"Overdue","On track"))),IF(C35="QA",_xlfn.LET(_xlpm.tgt,IF(AM35&lt;&gt;"",AM35,IF(W35&lt;&gt;"",W35,V35)),_xlpm.sent,_xlfn.MAXIFS('Rework Log'!$B$2:$B$497,'Rework Log'!$A$2:$A$497,$B35,'Rework Log'!$C$2:$C$497,"QA"),_xlpm.act,IF(AND(Y35&lt;&gt;"",Y35&gt;=_xlpm.sent),Y35,""),IF(_xlpm.tgt="","No target set",IF(AND(_xlpm.tgt&lt;TODAY(),_xlpm.act=""),"Overdue","On track"))),IF(C35="DPO Approval",_xlfn.LET(_xlpm.tgt,IF(AN35&lt;&gt;"",AN35,IF(AB35&lt;&gt;"",AB35,AA35)),_xlpm.sent,_xlfn.MAXIFS('Rework Log'!$B$2:$B$497,'Rework Log'!$A$2:$A$497,$B35,'Rework Log'!$C$2:$C$497,"DPO*"),_xlpm.act,IF(AND(AC35&lt;&gt;"",AC35&gt;=_xlpm.sent),AC35,""),IF(_xlpm.tgt="","No target set",IF(AND(_xlpm.tgt&lt;TODAY(),_xlpm.act=""),"Overdue","On track"))),IF(C35="RELEASED IN PROD","Delivered","")))))))))</f>
        <v>Blocked - Blocked in Prod</v>
      </c>
      <c r="E35" s="33">
        <v>7</v>
      </c>
      <c r="F35" s="34" t="s">
        <v>144</v>
      </c>
      <c r="G35" s="33"/>
      <c r="H35" s="49">
        <v>46234</v>
      </c>
      <c r="I35" s="60" t="s">
        <v>130</v>
      </c>
      <c r="J35" s="33" t="s">
        <v>65</v>
      </c>
      <c r="K35" s="4">
        <v>46213</v>
      </c>
      <c r="L35" s="36">
        <v>46244</v>
      </c>
      <c r="M35" s="35">
        <v>46258</v>
      </c>
      <c r="N35" s="46" t="s">
        <v>147</v>
      </c>
      <c r="O35" s="36" t="s">
        <v>131</v>
      </c>
      <c r="P35" s="64" t="s">
        <v>46</v>
      </c>
      <c r="Q35" s="4">
        <v>46220</v>
      </c>
      <c r="R35" s="36">
        <v>46251</v>
      </c>
      <c r="S35" s="36">
        <v>46266</v>
      </c>
      <c r="T35" s="68"/>
      <c r="U35" s="53" t="s">
        <v>144</v>
      </c>
      <c r="V35" s="58">
        <v>46227</v>
      </c>
      <c r="W35" s="36">
        <v>46269</v>
      </c>
      <c r="X35" s="36"/>
      <c r="Y35" s="36">
        <v>46267</v>
      </c>
      <c r="Z35" s="36"/>
      <c r="AA35" s="51">
        <v>46232</v>
      </c>
      <c r="AB35" s="36">
        <v>46275</v>
      </c>
      <c r="AC35" s="36">
        <v>46273</v>
      </c>
      <c r="AD35" s="33" t="s">
        <v>132</v>
      </c>
      <c r="AE35" s="33" t="s">
        <v>49</v>
      </c>
      <c r="AF35" s="38"/>
      <c r="AG35" s="36"/>
      <c r="AH35" s="39"/>
      <c r="AI35" s="33"/>
      <c r="AJ35" s="40" t="s">
        <v>133</v>
      </c>
      <c r="AK35" s="72" t="str" cm="1">
        <f t="array" ref="AK35">IF($B35="","",_xlfn.LET(_xlpm.nm,$B35,_xlpm.st,$C35,_xlpm.ou,SUMPRODUCT(('Rework Log'!$A$2:$A$497=_xlpm.nm)*('Rework Log'!$G$2:$G$497&lt;&gt;"Yes")*('Rework Log'!$G$2:$G$497&lt;&gt;"Did not pass re-test")*('Rework Log'!$J$2:$J$497="")),_xlpm.ob,SUMPRODUCT(('Rework Log'!$A$2:$A$497=_xlpm.nm)*('Rework Log'!$G$2:$G$497&lt;&gt;"Yes")*('Rework Log'!$G$2:$G$497&lt;&gt;"Did not pass re-test")),_xlpm.oto,IF(SUMPRODUCT(('Rework Log'!$A$2:$A$497=_xlpm.nm)*('Rework Log'!$G$2:$G$497&lt;&gt;"Yes")*('Rework Log'!$G$2:$G$497&lt;&gt;"Did not pass re-test")*('Rework Log'!$J$2:$J$497=""))=0,"",INDEX('Rework Log'!$D$2:$D$497,MATCH(1,('Rework Log'!$A$2:$A$497=_xlpm.nm)*('Rework Log'!$G$2:$G$497&lt;&gt;"Yes")*('Rework Log'!$G$2:$G$497&lt;&gt;"Did not pass re-test")*('Rework Log'!$J$2:$J$497=""),0))),_xlpm.sent,_xlfn.MAXIFS('Rework Log'!$B$2:$B$497,'Rework Log'!$A$2:$A$497,_xlpm.nm),_xlpm.act,_xlfn.IFS(_xlpm.st="NOT STARTED",$M35,_xlpm.st="DB Dev",$M35,_xlpm.st="PBI Dev",$S35,_xlpm.st="QA",$Y35,_xlpm.st="DPO Approval",$AC35,_xlpm.st="Ready for Release in Prod",$AG35,TRUE,""),_xlpm.nxt,_xlfn.IFS(_xlpm.st="NOT STARTED","PBI Dev",_xlpm.st="DB Dev","PBI Dev",_xlpm.st="PBI Dev","QA",_xlpm.st="QA","DPO Approval",_xlpm.st="DPO Approval","Ready for Release in Prod",_xlpm.st="Ready for Release in Prod","RELEASED IN PROD",TRUE,""),IF(AND(_xlpm.ou&gt;0,_xlpm.st&lt;&gt;_xlpm.oto),"Move status back to "&amp;_xlpm.oto,IF(AND(_xlpm.ob=0,LEFT($AJ35,3)="Yes"),"Blocked - log it on Rework Log",IF(AND(_xlpm.ob&gt;0,LEFT($AJ35,3)&lt;&gt;"Yes"),"Open rework row - mark Blocked or close it",IF(AND(_xlpm.ob=0,_xlpm.act&lt;&gt;"",_xlpm.act&gt;=_xlpm.sent,_xlpm.nxt&lt;&gt;""),"Move status to "&amp;_xlpm.nxt,IF(COUNTIF($B$2:$B$528,$B35)&gt;1,"Duplicate name - check row",IF(COUNTIF('Rework Log'!$A$2:$A$497,$B35)&gt;0,"",IF(AND($V35&lt;&gt;"",$K35&lt;&gt;"",$V35&lt;$K35),"QA target is before DB Dev target",IF(AND($V35&lt;&gt;"",$Q35&lt;&gt;"",$V35&lt;$Q35),"QA target is before PBI Dev target",IF(AND($AA35&lt;&gt;"",$V35&lt;&gt;"",$AA35&lt;$V35),"DPO Approval target is before QA target",IF(AND($AG35&lt;&gt;"",$AA35&lt;&gt;"",$AG35&lt;$AA35),"Confirmed Deployed date is before DPO Approval target",""))))))))))))</f>
        <v>Blocked - log it on Rework Log</v>
      </c>
      <c r="AL35" s="41" t="s">
        <v>148</v>
      </c>
      <c r="AM35" s="32" cm="1">
        <f t="array" ref="AM35">_xlfn.LET(_xlpm.rep,$B35,_xlpm.sent,_xlfn.MAXIFS('Rework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46269</v>
      </c>
      <c r="AN35" s="32" t="str" cm="1">
        <f t="array" ref="AN35">_xlfn.LET(_xlpm.rep,$B35,_xlpm.sent,_xlfn.MAXIFS('Rework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36" spans="1:40" hidden="1">
      <c r="A36" s="33" t="s">
        <v>126</v>
      </c>
      <c r="B36" s="33" t="s">
        <v>149</v>
      </c>
      <c r="C36" s="33" t="s">
        <v>128</v>
      </c>
      <c r="D36" t="str" cm="1">
        <f t="array" aca="1" ref="D36" ca="1">IF(AND(C36="Ready for Release in Prod",LEFT($AJ36,3)&lt;&gt;"Yes"),IF(AG36&lt;&gt;"","Delivered","On track"),IF($B36="","",IF(LEFT($AJ36,3)="Yes","Blocked - "&amp;MID($AJ36,7,100)&amp;IF(SUMPRODUCT(('Rework Log'!$A$2:$A$497=$B36)*('Rework Log'!$G$2:$G$497&lt;&gt;"Yes")*('Rework Log'!$G$2:$G$497&lt;&gt;"Did not pass re-test"))=0,"",IF(SUMPRODUCT(MAX((('Rework Log'!$A$2:$A$497=$B36)*('Rework Log'!$G$2:$G$497&lt;&gt;"Yes")*('Rework Log'!$G$2:$G$497&lt;&gt;"Did not pass re-test"))*'Rework Log'!$I$2:$I$497))=0," - unclaimed"," - promised "&amp;TEXT(SUMPRODUCT(MAX((('Rework Log'!$A$2:$A$497=$B36)*('Rework Log'!$G$2:$G$497&lt;&gt;"Yes")*('Rework Log'!$G$2:$G$497&lt;&gt;"Did not pass re-test"))*'Rework Log'!$I$2:$I$497)),"m/d"))),IF(C36="NOT STARTED",IF(H36="","No plan date set",IF(H36&lt;TODAY(),"Review - planned start passed","On track")),IF(C36="DB Dev",_xlfn.LET(_xlpm.sent,_xlfn.MAXIFS('Rework Log'!$B$2:$B$497,'Rework Log'!$A$2:$A$497,$B36,'Rework Log'!$D$2:$D$497,"DB Dev"),_xlpm.expfix,_xlfn.MAXIFS('Rework Log'!$I$2:$I$497,'Rework Log'!$A$2:$A$497,$B36,'Rework Log'!$D$2:$D$497,"DB Dev",'Rework Log'!$B$2:$B$497,_xlpm.sent),_xlpm.tgt,IF(_xlpm.expfix&gt;0,_xlpm.expfix,IF(L36&lt;&gt;"",L36,K36)),_xlpm.act,IF(AND(M36&lt;&gt;"",M36&gt;=_xlpm.sent),M36,""),IF(_xlpm.tgt="","No target set",IF(AND(_xlpm.tgt&lt;TODAY(),_xlpm.act=""),"Overdue","On track"))),IF(C36="PBI Dev",_xlfn.LET(_xlpm.sent,_xlfn.MAXIFS('Rework Log'!$B$2:$B$497,'Rework Log'!$A$2:$A$497,$B36,'Rework Log'!$D$2:$D$497,"PBI Dev"),_xlpm.expfix,_xlfn.MAXIFS('Rework Log'!$I$2:$I$497,'Rework Log'!$A$2:$A$497,$B36,'Rework Log'!$D$2:$D$497,"PBI Dev",'Rework Log'!$B$2:$B$497,_xlpm.sent),_xlpm.tgt,IF(_xlpm.expfix&gt;0,_xlpm.expfix,IF(R36&lt;&gt;"",R36,Q36)),_xlpm.act,IF(AND(S36&lt;&gt;"",S36&gt;=_xlpm.sent),S36,""),IF(_xlpm.tgt="","No target set",IF(AND(_xlpm.tgt&lt;TODAY(),_xlpm.act=""),"Overdue","On track"))),IF(C36="QA",_xlfn.LET(_xlpm.tgt,IF(AM36&lt;&gt;"",AM36,IF(W36&lt;&gt;"",W36,V36)),_xlpm.sent,_xlfn.MAXIFS('Rework Log'!$B$2:$B$497,'Rework Log'!$A$2:$A$497,$B36,'Rework Log'!$C$2:$C$497,"QA"),_xlpm.act,IF(AND(Y36&lt;&gt;"",Y36&gt;=_xlpm.sent),Y36,""),IF(_xlpm.tgt="","No target set",IF(AND(_xlpm.tgt&lt;TODAY(),_xlpm.act=""),"Overdue","On track"))),IF(C36="DPO Approval",_xlfn.LET(_xlpm.tgt,IF(AN36&lt;&gt;"",AN36,IF(AB36&lt;&gt;"",AB36,AA36)),_xlpm.sent,_xlfn.MAXIFS('Rework Log'!$B$2:$B$497,'Rework Log'!$A$2:$A$497,$B36,'Rework Log'!$C$2:$C$497,"DPO*"),_xlpm.act,IF(AND(AC36&lt;&gt;"",AC36&gt;=_xlpm.sent),AC36,""),IF(_xlpm.tgt="","No target set",IF(AND(_xlpm.tgt&lt;TODAY(),_xlpm.act=""),"Overdue","On track"))),IF(C36="RELEASED IN PROD","Delivered","")))))))))</f>
        <v>Blocked - Blocked in Prod</v>
      </c>
      <c r="E36" s="33">
        <v>8</v>
      </c>
      <c r="F36" s="34" t="s">
        <v>144</v>
      </c>
      <c r="G36" s="33"/>
      <c r="H36" s="49">
        <v>46234</v>
      </c>
      <c r="I36" s="60" t="s">
        <v>130</v>
      </c>
      <c r="J36" s="33" t="s">
        <v>65</v>
      </c>
      <c r="K36" s="4">
        <v>46213</v>
      </c>
      <c r="L36" s="36">
        <v>46245</v>
      </c>
      <c r="M36" s="36">
        <v>46258</v>
      </c>
      <c r="N36" s="36" t="s">
        <v>45</v>
      </c>
      <c r="O36" s="36" t="s">
        <v>131</v>
      </c>
      <c r="P36" s="64" t="s">
        <v>77</v>
      </c>
      <c r="Q36" s="4">
        <v>46220</v>
      </c>
      <c r="R36" s="36">
        <v>46246</v>
      </c>
      <c r="S36" s="36">
        <v>46246</v>
      </c>
      <c r="T36" s="68"/>
      <c r="U36" s="53" t="s">
        <v>144</v>
      </c>
      <c r="V36" s="58">
        <v>46227</v>
      </c>
      <c r="W36" s="36">
        <v>46261</v>
      </c>
      <c r="X36" s="36"/>
      <c r="Y36" s="36">
        <v>46267</v>
      </c>
      <c r="Z36" s="36"/>
      <c r="AA36" s="51">
        <v>46232</v>
      </c>
      <c r="AB36" s="36">
        <v>46275</v>
      </c>
      <c r="AC36" s="36">
        <v>46273</v>
      </c>
      <c r="AD36" s="33" t="s">
        <v>132</v>
      </c>
      <c r="AE36" s="33" t="s">
        <v>49</v>
      </c>
      <c r="AF36" s="38"/>
      <c r="AG36" s="36"/>
      <c r="AH36" s="39"/>
      <c r="AI36" s="33"/>
      <c r="AJ36" s="40" t="s">
        <v>133</v>
      </c>
      <c r="AK36" s="72" t="str" cm="1">
        <f t="array" ref="AK36">IF($B36="","",_xlfn.LET(_xlpm.nm,$B36,_xlpm.st,$C36,_xlpm.ou,SUMPRODUCT(('Rework Log'!$A$2:$A$497=_xlpm.nm)*('Rework Log'!$G$2:$G$497&lt;&gt;"Yes")*('Rework Log'!$G$2:$G$497&lt;&gt;"Did not pass re-test")*('Rework Log'!$J$2:$J$497="")),_xlpm.ob,SUMPRODUCT(('Rework Log'!$A$2:$A$497=_xlpm.nm)*('Rework Log'!$G$2:$G$497&lt;&gt;"Yes")*('Rework Log'!$G$2:$G$497&lt;&gt;"Did not pass re-test")),_xlpm.oto,IF(SUMPRODUCT(('Rework Log'!$A$2:$A$497=_xlpm.nm)*('Rework Log'!$G$2:$G$497&lt;&gt;"Yes")*('Rework Log'!$G$2:$G$497&lt;&gt;"Did not pass re-test")*('Rework Log'!$J$2:$J$497=""))=0,"",INDEX('Rework Log'!$D$2:$D$497,MATCH(1,('Rework Log'!$A$2:$A$497=_xlpm.nm)*('Rework Log'!$G$2:$G$497&lt;&gt;"Yes")*('Rework Log'!$G$2:$G$497&lt;&gt;"Did not pass re-test")*('Rework Log'!$J$2:$J$497=""),0))),_xlpm.sent,_xlfn.MAXIFS('Rework Log'!$B$2:$B$497,'Rework Log'!$A$2:$A$497,_xlpm.nm),_xlpm.act,_xlfn.IFS(_xlpm.st="NOT STARTED",$M36,_xlpm.st="DB Dev",$M36,_xlpm.st="PBI Dev",$S36,_xlpm.st="QA",$Y36,_xlpm.st="DPO Approval",$AC36,_xlpm.st="Ready for Release in Prod",$AG36,TRUE,""),_xlpm.nxt,_xlfn.IFS(_xlpm.st="NOT STARTED","PBI Dev",_xlpm.st="DB Dev","PBI Dev",_xlpm.st="PBI Dev","QA",_xlpm.st="QA","DPO Approval",_xlpm.st="DPO Approval","Ready for Release in Prod",_xlpm.st="Ready for Release in Prod","RELEASED IN PROD",TRUE,""),IF(AND(_xlpm.ou&gt;0,_xlpm.st&lt;&gt;_xlpm.oto),"Move status back to "&amp;_xlpm.oto,IF(AND(_xlpm.ob=0,LEFT($AJ36,3)="Yes"),"Blocked - log it on Rework Log",IF(AND(_xlpm.ob&gt;0,LEFT($AJ36,3)&lt;&gt;"Yes"),"Open rework row - mark Blocked or close it",IF(AND(_xlpm.ob=0,_xlpm.act&lt;&gt;"",_xlpm.act&gt;=_xlpm.sent,_xlpm.nxt&lt;&gt;""),"Move status to "&amp;_xlpm.nxt,IF(COUNTIF($B$2:$B$528,$B36)&gt;1,"Duplicate name - check row",IF(COUNTIF('Rework Log'!$A$2:$A$497,$B36)&gt;0,"",IF(AND($V36&lt;&gt;"",$K36&lt;&gt;"",$V36&lt;$K36),"QA target is before DB Dev target",IF(AND($V36&lt;&gt;"",$Q36&lt;&gt;"",$V36&lt;$Q36),"QA target is before PBI Dev target",IF(AND($AA36&lt;&gt;"",$V36&lt;&gt;"",$AA36&lt;$V36),"DPO Approval target is before QA target",IF(AND($AG36&lt;&gt;"",$AA36&lt;&gt;"",$AG36&lt;$AA36),"Confirmed Deployed date is before DPO Approval target",""))))))))))))</f>
        <v>Blocked - log it on Rework Log</v>
      </c>
      <c r="AL36" s="41" t="s">
        <v>148</v>
      </c>
      <c r="AM36" s="32" cm="1">
        <f t="array" ref="AM36">_xlfn.LET(_xlpm.rep,$B36,_xlpm.sent,_xlfn.MAXIFS('Rework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46261</v>
      </c>
      <c r="AN36" s="32" t="str" cm="1">
        <f t="array" ref="AN36">_xlfn.LET(_xlpm.rep,$B36,_xlpm.sent,_xlfn.MAXIFS('Rework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37" spans="1:40" hidden="1">
      <c r="A37" s="33" t="s">
        <v>126</v>
      </c>
      <c r="B37" s="33" t="s">
        <v>150</v>
      </c>
      <c r="C37" s="33" t="s">
        <v>128</v>
      </c>
      <c r="D37" t="str" cm="1">
        <f t="array" aca="1" ref="D37" ca="1">IF(AND(C37="Ready for Release in Prod",LEFT($AJ37,3)&lt;&gt;"Yes"),IF(AG37&lt;&gt;"","Delivered","On track"),IF($B37="","",IF(LEFT($AJ37,3)="Yes","Blocked - "&amp;MID($AJ37,7,100)&amp;IF(SUMPRODUCT(('Rework Log'!$A$2:$A$497=$B37)*('Rework Log'!$G$2:$G$497&lt;&gt;"Yes")*('Rework Log'!$G$2:$G$497&lt;&gt;"Did not pass re-test"))=0,"",IF(SUMPRODUCT(MAX((('Rework Log'!$A$2:$A$497=$B37)*('Rework Log'!$G$2:$G$497&lt;&gt;"Yes")*('Rework Log'!$G$2:$G$497&lt;&gt;"Did not pass re-test"))*'Rework Log'!$I$2:$I$497))=0," - unclaimed"," - promised "&amp;TEXT(SUMPRODUCT(MAX((('Rework Log'!$A$2:$A$497=$B37)*('Rework Log'!$G$2:$G$497&lt;&gt;"Yes")*('Rework Log'!$G$2:$G$497&lt;&gt;"Did not pass re-test"))*'Rework Log'!$I$2:$I$497)),"m/d"))),IF(C37="NOT STARTED",IF(H37="","No plan date set",IF(H37&lt;TODAY(),"Review - planned start passed","On track")),IF(C37="DB Dev",_xlfn.LET(_xlpm.sent,_xlfn.MAXIFS('Rework Log'!$B$2:$B$497,'Rework Log'!$A$2:$A$497,$B37,'Rework Log'!$D$2:$D$497,"DB Dev"),_xlpm.expfix,_xlfn.MAXIFS('Rework Log'!$I$2:$I$497,'Rework Log'!$A$2:$A$497,$B37,'Rework Log'!$D$2:$D$497,"DB Dev",'Rework Log'!$B$2:$B$497,_xlpm.sent),_xlpm.tgt,IF(_xlpm.expfix&gt;0,_xlpm.expfix,IF(L37&lt;&gt;"",L37,K37)),_xlpm.act,IF(AND(M37&lt;&gt;"",M37&gt;=_xlpm.sent),M37,""),IF(_xlpm.tgt="","No target set",IF(AND(_xlpm.tgt&lt;TODAY(),_xlpm.act=""),"Overdue","On track"))),IF(C37="PBI Dev",_xlfn.LET(_xlpm.sent,_xlfn.MAXIFS('Rework Log'!$B$2:$B$497,'Rework Log'!$A$2:$A$497,$B37,'Rework Log'!$D$2:$D$497,"PBI Dev"),_xlpm.expfix,_xlfn.MAXIFS('Rework Log'!$I$2:$I$497,'Rework Log'!$A$2:$A$497,$B37,'Rework Log'!$D$2:$D$497,"PBI Dev",'Rework Log'!$B$2:$B$497,_xlpm.sent),_xlpm.tgt,IF(_xlpm.expfix&gt;0,_xlpm.expfix,IF(R37&lt;&gt;"",R37,Q37)),_xlpm.act,IF(AND(S37&lt;&gt;"",S37&gt;=_xlpm.sent),S37,""),IF(_xlpm.tgt="","No target set",IF(AND(_xlpm.tgt&lt;TODAY(),_xlpm.act=""),"Overdue","On track"))),IF(C37="QA",_xlfn.LET(_xlpm.tgt,IF(AM37&lt;&gt;"",AM37,IF(W37&lt;&gt;"",W37,V37)),_xlpm.sent,_xlfn.MAXIFS('Rework Log'!$B$2:$B$497,'Rework Log'!$A$2:$A$497,$B37,'Rework Log'!$C$2:$C$497,"QA"),_xlpm.act,IF(AND(Y37&lt;&gt;"",Y37&gt;=_xlpm.sent),Y37,""),IF(_xlpm.tgt="","No target set",IF(AND(_xlpm.tgt&lt;TODAY(),_xlpm.act=""),"Overdue","On track"))),IF(C37="DPO Approval",_xlfn.LET(_xlpm.tgt,IF(AN37&lt;&gt;"",AN37,IF(AB37&lt;&gt;"",AB37,AA37)),_xlpm.sent,_xlfn.MAXIFS('Rework Log'!$B$2:$B$497,'Rework Log'!$A$2:$A$497,$B37,'Rework Log'!$C$2:$C$497,"DPO*"),_xlpm.act,IF(AND(AC37&lt;&gt;"",AC37&gt;=_xlpm.sent),AC37,""),IF(_xlpm.tgt="","No target set",IF(AND(_xlpm.tgt&lt;TODAY(),_xlpm.act=""),"Overdue","On track"))),IF(C37="RELEASED IN PROD","Delivered","")))))))))</f>
        <v>Blocked - Blocked in Prod</v>
      </c>
      <c r="E37" s="33">
        <v>9</v>
      </c>
      <c r="F37" s="34" t="s">
        <v>144</v>
      </c>
      <c r="G37" s="33"/>
      <c r="H37" s="49">
        <v>46234</v>
      </c>
      <c r="I37" s="60" t="s">
        <v>130</v>
      </c>
      <c r="J37" s="33" t="s">
        <v>84</v>
      </c>
      <c r="K37" s="4">
        <v>46213</v>
      </c>
      <c r="L37" s="36">
        <v>46246</v>
      </c>
      <c r="M37" s="36">
        <v>46255</v>
      </c>
      <c r="N37" s="36" t="s">
        <v>45</v>
      </c>
      <c r="O37" s="36" t="s">
        <v>131</v>
      </c>
      <c r="P37" s="64" t="s">
        <v>60</v>
      </c>
      <c r="Q37" s="4">
        <v>46220</v>
      </c>
      <c r="R37" s="36">
        <v>46255</v>
      </c>
      <c r="S37" s="36">
        <v>46255</v>
      </c>
      <c r="T37" s="68"/>
      <c r="U37" s="53" t="s">
        <v>144</v>
      </c>
      <c r="V37" s="58">
        <v>46227</v>
      </c>
      <c r="W37" s="36">
        <v>46260</v>
      </c>
      <c r="X37" s="36"/>
      <c r="Y37" s="36">
        <v>46255</v>
      </c>
      <c r="Z37" s="36"/>
      <c r="AA37" s="51">
        <v>46232</v>
      </c>
      <c r="AB37" s="36">
        <v>46269</v>
      </c>
      <c r="AC37" s="36">
        <v>46269</v>
      </c>
      <c r="AD37" s="33" t="s">
        <v>151</v>
      </c>
      <c r="AE37" s="33" t="s">
        <v>49</v>
      </c>
      <c r="AF37" s="38"/>
      <c r="AG37" s="36"/>
      <c r="AH37" s="39"/>
      <c r="AI37" s="33"/>
      <c r="AJ37" s="40" t="s">
        <v>133</v>
      </c>
      <c r="AK37" s="72" t="str" cm="1">
        <f t="array" ref="AK37">IF($B37="","",_xlfn.LET(_xlpm.nm,$B37,_xlpm.st,$C37,_xlpm.ou,SUMPRODUCT(('Rework Log'!$A$2:$A$497=_xlpm.nm)*('Rework Log'!$G$2:$G$497&lt;&gt;"Yes")*('Rework Log'!$G$2:$G$497&lt;&gt;"Did not pass re-test")*('Rework Log'!$J$2:$J$497="")),_xlpm.ob,SUMPRODUCT(('Rework Log'!$A$2:$A$497=_xlpm.nm)*('Rework Log'!$G$2:$G$497&lt;&gt;"Yes")*('Rework Log'!$G$2:$G$497&lt;&gt;"Did not pass re-test")),_xlpm.oto,IF(SUMPRODUCT(('Rework Log'!$A$2:$A$497=_xlpm.nm)*('Rework Log'!$G$2:$G$497&lt;&gt;"Yes")*('Rework Log'!$G$2:$G$497&lt;&gt;"Did not pass re-test")*('Rework Log'!$J$2:$J$497=""))=0,"",INDEX('Rework Log'!$D$2:$D$497,MATCH(1,('Rework Log'!$A$2:$A$497=_xlpm.nm)*('Rework Log'!$G$2:$G$497&lt;&gt;"Yes")*('Rework Log'!$G$2:$G$497&lt;&gt;"Did not pass re-test")*('Rework Log'!$J$2:$J$497=""),0))),_xlpm.sent,_xlfn.MAXIFS('Rework Log'!$B$2:$B$497,'Rework Log'!$A$2:$A$497,_xlpm.nm),_xlpm.act,_xlfn.IFS(_xlpm.st="NOT STARTED",$M37,_xlpm.st="DB Dev",$M37,_xlpm.st="PBI Dev",$S37,_xlpm.st="QA",$Y37,_xlpm.st="DPO Approval",$AC37,_xlpm.st="Ready for Release in Prod",$AG37,TRUE,""),_xlpm.nxt,_xlfn.IFS(_xlpm.st="NOT STARTED","PBI Dev",_xlpm.st="DB Dev","PBI Dev",_xlpm.st="PBI Dev","QA",_xlpm.st="QA","DPO Approval",_xlpm.st="DPO Approval","Ready for Release in Prod",_xlpm.st="Ready for Release in Prod","RELEASED IN PROD",TRUE,""),IF(AND(_xlpm.ou&gt;0,_xlpm.st&lt;&gt;_xlpm.oto),"Move status back to "&amp;_xlpm.oto,IF(AND(_xlpm.ob=0,LEFT($AJ37,3)="Yes"),"Blocked - log it on Rework Log",IF(AND(_xlpm.ob&gt;0,LEFT($AJ37,3)&lt;&gt;"Yes"),"Open rework row - mark Blocked or close it",IF(AND(_xlpm.ob=0,_xlpm.act&lt;&gt;"",_xlpm.act&gt;=_xlpm.sent,_xlpm.nxt&lt;&gt;""),"Move status to "&amp;_xlpm.nxt,IF(COUNTIF($B$2:$B$528,$B37)&gt;1,"Duplicate name - check row",IF(COUNTIF('Rework Log'!$A$2:$A$497,$B37)&gt;0,"",IF(AND($V37&lt;&gt;"",$K37&lt;&gt;"",$V37&lt;$K37),"QA target is before DB Dev target",IF(AND($V37&lt;&gt;"",$Q37&lt;&gt;"",$V37&lt;$Q37),"QA target is before PBI Dev target",IF(AND($AA37&lt;&gt;"",$V37&lt;&gt;"",$AA37&lt;$V37),"DPO Approval target is before QA target",IF(AND($AG37&lt;&gt;"",$AA37&lt;&gt;"",$AG37&lt;$AA37),"Confirmed Deployed date is before DPO Approval target",""))))))))))))</f>
        <v>Blocked - log it on Rework Log</v>
      </c>
      <c r="AL37" s="41" t="s">
        <v>152</v>
      </c>
      <c r="AM37" s="32" cm="1">
        <f t="array" ref="AM37">_xlfn.LET(_xlpm.rep,$B37,_xlpm.sent,_xlfn.MAXIFS('Rework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46260</v>
      </c>
      <c r="AN37" s="32" t="str" cm="1">
        <f t="array" ref="AN37">_xlfn.LET(_xlpm.rep,$B37,_xlpm.sent,_xlfn.MAXIFS('Rework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38" spans="1:40" hidden="1">
      <c r="A38" s="33" t="s">
        <v>126</v>
      </c>
      <c r="B38" s="33" t="s">
        <v>153</v>
      </c>
      <c r="C38" s="33" t="s">
        <v>128</v>
      </c>
      <c r="D38" t="str" cm="1">
        <f t="array" aca="1" ref="D38" ca="1">IF(AND(C38="Ready for Release in Prod",LEFT($AJ38,3)&lt;&gt;"Yes"),IF(AG38&lt;&gt;"","Delivered","On track"),IF($B38="","",IF(LEFT($AJ38,3)="Yes","Blocked - "&amp;MID($AJ38,7,100)&amp;IF(SUMPRODUCT(('Rework Log'!$A$2:$A$497=$B38)*('Rework Log'!$G$2:$G$497&lt;&gt;"Yes")*('Rework Log'!$G$2:$G$497&lt;&gt;"Did not pass re-test"))=0,"",IF(SUMPRODUCT(MAX((('Rework Log'!$A$2:$A$497=$B38)*('Rework Log'!$G$2:$G$497&lt;&gt;"Yes")*('Rework Log'!$G$2:$G$497&lt;&gt;"Did not pass re-test"))*'Rework Log'!$I$2:$I$497))=0," - unclaimed"," - promised "&amp;TEXT(SUMPRODUCT(MAX((('Rework Log'!$A$2:$A$497=$B38)*('Rework Log'!$G$2:$G$497&lt;&gt;"Yes")*('Rework Log'!$G$2:$G$497&lt;&gt;"Did not pass re-test"))*'Rework Log'!$I$2:$I$497)),"m/d"))),IF(C38="NOT STARTED",IF(H38="","No plan date set",IF(H38&lt;TODAY(),"Review - planned start passed","On track")),IF(C38="DB Dev",_xlfn.LET(_xlpm.sent,_xlfn.MAXIFS('Rework Log'!$B$2:$B$497,'Rework Log'!$A$2:$A$497,$B38,'Rework Log'!$D$2:$D$497,"DB Dev"),_xlpm.expfix,_xlfn.MAXIFS('Rework Log'!$I$2:$I$497,'Rework Log'!$A$2:$A$497,$B38,'Rework Log'!$D$2:$D$497,"DB Dev",'Rework Log'!$B$2:$B$497,_xlpm.sent),_xlpm.tgt,IF(_xlpm.expfix&gt;0,_xlpm.expfix,IF(L38&lt;&gt;"",L38,K38)),_xlpm.act,IF(AND(M38&lt;&gt;"",M38&gt;=_xlpm.sent),M38,""),IF(_xlpm.tgt="","No target set",IF(AND(_xlpm.tgt&lt;TODAY(),_xlpm.act=""),"Overdue","On track"))),IF(C38="PBI Dev",_xlfn.LET(_xlpm.sent,_xlfn.MAXIFS('Rework Log'!$B$2:$B$497,'Rework Log'!$A$2:$A$497,$B38,'Rework Log'!$D$2:$D$497,"PBI Dev"),_xlpm.expfix,_xlfn.MAXIFS('Rework Log'!$I$2:$I$497,'Rework Log'!$A$2:$A$497,$B38,'Rework Log'!$D$2:$D$497,"PBI Dev",'Rework Log'!$B$2:$B$497,_xlpm.sent),_xlpm.tgt,IF(_xlpm.expfix&gt;0,_xlpm.expfix,IF(R38&lt;&gt;"",R38,Q38)),_xlpm.act,IF(AND(S38&lt;&gt;"",S38&gt;=_xlpm.sent),S38,""),IF(_xlpm.tgt="","No target set",IF(AND(_xlpm.tgt&lt;TODAY(),_xlpm.act=""),"Overdue","On track"))),IF(C38="QA",_xlfn.LET(_xlpm.tgt,IF(AM38&lt;&gt;"",AM38,IF(W38&lt;&gt;"",W38,V38)),_xlpm.sent,_xlfn.MAXIFS('Rework Log'!$B$2:$B$497,'Rework Log'!$A$2:$A$497,$B38,'Rework Log'!$C$2:$C$497,"QA"),_xlpm.act,IF(AND(Y38&lt;&gt;"",Y38&gt;=_xlpm.sent),Y38,""),IF(_xlpm.tgt="","No target set",IF(AND(_xlpm.tgt&lt;TODAY(),_xlpm.act=""),"Overdue","On track"))),IF(C38="DPO Approval",_xlfn.LET(_xlpm.tgt,IF(AN38&lt;&gt;"",AN38,IF(AB38&lt;&gt;"",AB38,AA38)),_xlpm.sent,_xlfn.MAXIFS('Rework Log'!$B$2:$B$497,'Rework Log'!$A$2:$A$497,$B38,'Rework Log'!$C$2:$C$497,"DPO*"),_xlpm.act,IF(AND(AC38&lt;&gt;"",AC38&gt;=_xlpm.sent),AC38,""),IF(_xlpm.tgt="","No target set",IF(AND(_xlpm.tgt&lt;TODAY(),_xlpm.act=""),"Overdue","On track"))),IF(C38="RELEASED IN PROD","Delivered","")))))))))</f>
        <v>Blocked - Blocked in Prod</v>
      </c>
      <c r="E38" s="33" t="s">
        <v>154</v>
      </c>
      <c r="F38" s="34" t="s">
        <v>144</v>
      </c>
      <c r="G38" s="33"/>
      <c r="H38" s="49">
        <v>46234</v>
      </c>
      <c r="I38" s="60" t="s">
        <v>130</v>
      </c>
      <c r="J38" s="33" t="s">
        <v>155</v>
      </c>
      <c r="K38" s="4">
        <v>46213</v>
      </c>
      <c r="L38" s="36">
        <v>46246</v>
      </c>
      <c r="M38" s="35">
        <v>46254</v>
      </c>
      <c r="N38" s="46" t="s">
        <v>45</v>
      </c>
      <c r="O38" s="36" t="s">
        <v>131</v>
      </c>
      <c r="P38" s="64" t="s">
        <v>60</v>
      </c>
      <c r="Q38" s="4">
        <v>46220</v>
      </c>
      <c r="R38" s="36">
        <v>46254</v>
      </c>
      <c r="S38" s="36">
        <v>46254</v>
      </c>
      <c r="T38" s="68"/>
      <c r="U38" s="53" t="s">
        <v>144</v>
      </c>
      <c r="V38" s="58">
        <v>46227</v>
      </c>
      <c r="W38" s="36">
        <v>46259</v>
      </c>
      <c r="X38" s="36"/>
      <c r="Y38" s="36">
        <v>46254</v>
      </c>
      <c r="Z38" s="36"/>
      <c r="AA38" s="51">
        <v>46232</v>
      </c>
      <c r="AB38" s="36">
        <v>46269</v>
      </c>
      <c r="AC38" s="36">
        <v>46269</v>
      </c>
      <c r="AD38" s="33" t="s">
        <v>151</v>
      </c>
      <c r="AE38" s="33" t="s">
        <v>49</v>
      </c>
      <c r="AF38" s="38"/>
      <c r="AG38" s="36"/>
      <c r="AH38" s="39"/>
      <c r="AI38" s="33"/>
      <c r="AJ38" s="40" t="s">
        <v>133</v>
      </c>
      <c r="AK38" s="72" t="str" cm="1">
        <f t="array" ref="AK38">IF($B38="","",_xlfn.LET(_xlpm.nm,$B38,_xlpm.st,$C38,_xlpm.ou,SUMPRODUCT(('Rework Log'!$A$2:$A$497=_xlpm.nm)*('Rework Log'!$G$2:$G$497&lt;&gt;"Yes")*('Rework Log'!$G$2:$G$497&lt;&gt;"Did not pass re-test")*('Rework Log'!$J$2:$J$497="")),_xlpm.ob,SUMPRODUCT(('Rework Log'!$A$2:$A$497=_xlpm.nm)*('Rework Log'!$G$2:$G$497&lt;&gt;"Yes")*('Rework Log'!$G$2:$G$497&lt;&gt;"Did not pass re-test")),_xlpm.oto,IF(SUMPRODUCT(('Rework Log'!$A$2:$A$497=_xlpm.nm)*('Rework Log'!$G$2:$G$497&lt;&gt;"Yes")*('Rework Log'!$G$2:$G$497&lt;&gt;"Did not pass re-test")*('Rework Log'!$J$2:$J$497=""))=0,"",INDEX('Rework Log'!$D$2:$D$497,MATCH(1,('Rework Log'!$A$2:$A$497=_xlpm.nm)*('Rework Log'!$G$2:$G$497&lt;&gt;"Yes")*('Rework Log'!$G$2:$G$497&lt;&gt;"Did not pass re-test")*('Rework Log'!$J$2:$J$497=""),0))),_xlpm.sent,_xlfn.MAXIFS('Rework Log'!$B$2:$B$497,'Rework Log'!$A$2:$A$497,_xlpm.nm),_xlpm.act,_xlfn.IFS(_xlpm.st="NOT STARTED",$M38,_xlpm.st="DB Dev",$M38,_xlpm.st="PBI Dev",$S38,_xlpm.st="QA",$Y38,_xlpm.st="DPO Approval",$AC38,_xlpm.st="Ready for Release in Prod",$AG38,TRUE,""),_xlpm.nxt,_xlfn.IFS(_xlpm.st="NOT STARTED","PBI Dev",_xlpm.st="DB Dev","PBI Dev",_xlpm.st="PBI Dev","QA",_xlpm.st="QA","DPO Approval",_xlpm.st="DPO Approval","Ready for Release in Prod",_xlpm.st="Ready for Release in Prod","RELEASED IN PROD",TRUE,""),IF(AND(_xlpm.ou&gt;0,_xlpm.st&lt;&gt;_xlpm.oto),"Move status back to "&amp;_xlpm.oto,IF(AND(_xlpm.ob=0,LEFT($AJ38,3)="Yes"),"Blocked - log it on Rework Log",IF(AND(_xlpm.ob&gt;0,LEFT($AJ38,3)&lt;&gt;"Yes"),"Open rework row - mark Blocked or close it",IF(AND(_xlpm.ob=0,_xlpm.act&lt;&gt;"",_xlpm.act&gt;=_xlpm.sent,_xlpm.nxt&lt;&gt;""),"Move status to "&amp;_xlpm.nxt,IF(COUNTIF($B$2:$B$528,$B38)&gt;1,"Duplicate name - check row",IF(COUNTIF('Rework Log'!$A$2:$A$497,$B38)&gt;0,"",IF(AND($V38&lt;&gt;"",$K38&lt;&gt;"",$V38&lt;$K38),"QA target is before DB Dev target",IF(AND($V38&lt;&gt;"",$Q38&lt;&gt;"",$V38&lt;$Q38),"QA target is before PBI Dev target",IF(AND($AA38&lt;&gt;"",$V38&lt;&gt;"",$AA38&lt;$V38),"DPO Approval target is before QA target",IF(AND($AG38&lt;&gt;"",$AA38&lt;&gt;"",$AG38&lt;$AA38),"Confirmed Deployed date is before DPO Approval target",""))))))))))))</f>
        <v>Blocked - log it on Rework Log</v>
      </c>
      <c r="AL38" s="41"/>
      <c r="AM38" s="32" cm="1">
        <f t="array" ref="AM38">_xlfn.LET(_xlpm.rep,$B38,_xlpm.sent,_xlfn.MAXIFS('Rework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46259</v>
      </c>
      <c r="AN38" s="32" t="str" cm="1">
        <f t="array" ref="AN38">_xlfn.LET(_xlpm.rep,$B38,_xlpm.sent,_xlfn.MAXIFS('Rework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39" spans="1:40" hidden="1">
      <c r="A39" s="33" t="s">
        <v>126</v>
      </c>
      <c r="B39" s="33" t="s">
        <v>156</v>
      </c>
      <c r="C39" s="33" t="s">
        <v>128</v>
      </c>
      <c r="D39" t="str" cm="1">
        <f t="array" aca="1" ref="D39" ca="1">IF(AND(C39="Ready for Release in Prod",LEFT($AJ39,3)&lt;&gt;"Yes"),IF(AG39&lt;&gt;"","Delivered","On track"),IF($B39="","",IF(LEFT($AJ39,3)="Yes","Blocked - "&amp;MID($AJ39,7,100)&amp;IF(SUMPRODUCT(('Rework Log'!$A$2:$A$497=$B39)*('Rework Log'!$G$2:$G$497&lt;&gt;"Yes")*('Rework Log'!$G$2:$G$497&lt;&gt;"Did not pass re-test"))=0,"",IF(SUMPRODUCT(MAX((('Rework Log'!$A$2:$A$497=$B39)*('Rework Log'!$G$2:$G$497&lt;&gt;"Yes")*('Rework Log'!$G$2:$G$497&lt;&gt;"Did not pass re-test"))*'Rework Log'!$I$2:$I$497))=0," - unclaimed"," - promised "&amp;TEXT(SUMPRODUCT(MAX((('Rework Log'!$A$2:$A$497=$B39)*('Rework Log'!$G$2:$G$497&lt;&gt;"Yes")*('Rework Log'!$G$2:$G$497&lt;&gt;"Did not pass re-test"))*'Rework Log'!$I$2:$I$497)),"m/d"))),IF(C39="NOT STARTED",IF(H39="","No plan date set",IF(H39&lt;TODAY(),"Review - planned start passed","On track")),IF(C39="DB Dev",_xlfn.LET(_xlpm.sent,_xlfn.MAXIFS('Rework Log'!$B$2:$B$497,'Rework Log'!$A$2:$A$497,$B39,'Rework Log'!$D$2:$D$497,"DB Dev"),_xlpm.expfix,_xlfn.MAXIFS('Rework Log'!$I$2:$I$497,'Rework Log'!$A$2:$A$497,$B39,'Rework Log'!$D$2:$D$497,"DB Dev",'Rework Log'!$B$2:$B$497,_xlpm.sent),_xlpm.tgt,IF(_xlpm.expfix&gt;0,_xlpm.expfix,IF(L39&lt;&gt;"",L39,K39)),_xlpm.act,IF(AND(M39&lt;&gt;"",M39&gt;=_xlpm.sent),M39,""),IF(_xlpm.tgt="","No target set",IF(AND(_xlpm.tgt&lt;TODAY(),_xlpm.act=""),"Overdue","On track"))),IF(C39="PBI Dev",_xlfn.LET(_xlpm.sent,_xlfn.MAXIFS('Rework Log'!$B$2:$B$497,'Rework Log'!$A$2:$A$497,$B39,'Rework Log'!$D$2:$D$497,"PBI Dev"),_xlpm.expfix,_xlfn.MAXIFS('Rework Log'!$I$2:$I$497,'Rework Log'!$A$2:$A$497,$B39,'Rework Log'!$D$2:$D$497,"PBI Dev",'Rework Log'!$B$2:$B$497,_xlpm.sent),_xlpm.tgt,IF(_xlpm.expfix&gt;0,_xlpm.expfix,IF(R39&lt;&gt;"",R39,Q39)),_xlpm.act,IF(AND(S39&lt;&gt;"",S39&gt;=_xlpm.sent),S39,""),IF(_xlpm.tgt="","No target set",IF(AND(_xlpm.tgt&lt;TODAY(),_xlpm.act=""),"Overdue","On track"))),IF(C39="QA",_xlfn.LET(_xlpm.tgt,IF(AM39&lt;&gt;"",AM39,IF(W39&lt;&gt;"",W39,V39)),_xlpm.sent,_xlfn.MAXIFS('Rework Log'!$B$2:$B$497,'Rework Log'!$A$2:$A$497,$B39,'Rework Log'!$C$2:$C$497,"QA"),_xlpm.act,IF(AND(Y39&lt;&gt;"",Y39&gt;=_xlpm.sent),Y39,""),IF(_xlpm.tgt="","No target set",IF(AND(_xlpm.tgt&lt;TODAY(),_xlpm.act=""),"Overdue","On track"))),IF(C39="DPO Approval",_xlfn.LET(_xlpm.tgt,IF(AN39&lt;&gt;"",AN39,IF(AB39&lt;&gt;"",AB39,AA39)),_xlpm.sent,_xlfn.MAXIFS('Rework Log'!$B$2:$B$497,'Rework Log'!$A$2:$A$497,$B39,'Rework Log'!$C$2:$C$497,"DPO*"),_xlpm.act,IF(AND(AC39&lt;&gt;"",AC39&gt;=_xlpm.sent),AC39,""),IF(_xlpm.tgt="","No target set",IF(AND(_xlpm.tgt&lt;TODAY(),_xlpm.act=""),"Overdue","On track"))),IF(C39="RELEASED IN PROD","Delivered","")))))))))</f>
        <v>Blocked - Blocked in Prod</v>
      </c>
      <c r="E39" s="33">
        <v>11</v>
      </c>
      <c r="F39" s="34" t="s">
        <v>144</v>
      </c>
      <c r="G39" s="33"/>
      <c r="H39" s="49">
        <v>46234</v>
      </c>
      <c r="I39" s="60" t="s">
        <v>130</v>
      </c>
      <c r="J39" s="33" t="s">
        <v>155</v>
      </c>
      <c r="K39" s="4">
        <v>46213</v>
      </c>
      <c r="L39" s="36">
        <v>46246</v>
      </c>
      <c r="M39" s="36">
        <v>46245</v>
      </c>
      <c r="N39" s="36" t="s">
        <v>45</v>
      </c>
      <c r="O39" s="36" t="s">
        <v>131</v>
      </c>
      <c r="P39" s="64" t="s">
        <v>77</v>
      </c>
      <c r="Q39" s="4">
        <v>46220</v>
      </c>
      <c r="R39" s="36">
        <v>46247</v>
      </c>
      <c r="S39" s="36">
        <v>46258</v>
      </c>
      <c r="T39" s="68"/>
      <c r="U39" s="53" t="s">
        <v>47</v>
      </c>
      <c r="V39" s="58">
        <v>46227</v>
      </c>
      <c r="W39" s="36">
        <v>46261</v>
      </c>
      <c r="X39" s="36"/>
      <c r="Y39" s="36">
        <v>46258</v>
      </c>
      <c r="Z39" s="36"/>
      <c r="AA39" s="51">
        <v>46232</v>
      </c>
      <c r="AB39" s="36">
        <v>46269</v>
      </c>
      <c r="AC39" s="36">
        <v>46269</v>
      </c>
      <c r="AD39" s="33" t="s">
        <v>151</v>
      </c>
      <c r="AE39" s="33" t="s">
        <v>49</v>
      </c>
      <c r="AF39" s="38"/>
      <c r="AG39" s="36"/>
      <c r="AH39" s="39"/>
      <c r="AI39" s="33"/>
      <c r="AJ39" s="40" t="s">
        <v>133</v>
      </c>
      <c r="AK39" s="72" t="str" cm="1">
        <f t="array" ref="AK39">IF($B39="","",_xlfn.LET(_xlpm.nm,$B39,_xlpm.st,$C39,_xlpm.ou,SUMPRODUCT(('Rework Log'!$A$2:$A$497=_xlpm.nm)*('Rework Log'!$G$2:$G$497&lt;&gt;"Yes")*('Rework Log'!$G$2:$G$497&lt;&gt;"Did not pass re-test")*('Rework Log'!$J$2:$J$497="")),_xlpm.ob,SUMPRODUCT(('Rework Log'!$A$2:$A$497=_xlpm.nm)*('Rework Log'!$G$2:$G$497&lt;&gt;"Yes")*('Rework Log'!$G$2:$G$497&lt;&gt;"Did not pass re-test")),_xlpm.oto,IF(SUMPRODUCT(('Rework Log'!$A$2:$A$497=_xlpm.nm)*('Rework Log'!$G$2:$G$497&lt;&gt;"Yes")*('Rework Log'!$G$2:$G$497&lt;&gt;"Did not pass re-test")*('Rework Log'!$J$2:$J$497=""))=0,"",INDEX('Rework Log'!$D$2:$D$497,MATCH(1,('Rework Log'!$A$2:$A$497=_xlpm.nm)*('Rework Log'!$G$2:$G$497&lt;&gt;"Yes")*('Rework Log'!$G$2:$G$497&lt;&gt;"Did not pass re-test")*('Rework Log'!$J$2:$J$497=""),0))),_xlpm.sent,_xlfn.MAXIFS('Rework Log'!$B$2:$B$497,'Rework Log'!$A$2:$A$497,_xlpm.nm),_xlpm.act,_xlfn.IFS(_xlpm.st="NOT STARTED",$M39,_xlpm.st="DB Dev",$M39,_xlpm.st="PBI Dev",$S39,_xlpm.st="QA",$Y39,_xlpm.st="DPO Approval",$AC39,_xlpm.st="Ready for Release in Prod",$AG39,TRUE,""),_xlpm.nxt,_xlfn.IFS(_xlpm.st="NOT STARTED","PBI Dev",_xlpm.st="DB Dev","PBI Dev",_xlpm.st="PBI Dev","QA",_xlpm.st="QA","DPO Approval",_xlpm.st="DPO Approval","Ready for Release in Prod",_xlpm.st="Ready for Release in Prod","RELEASED IN PROD",TRUE,""),IF(AND(_xlpm.ou&gt;0,_xlpm.st&lt;&gt;_xlpm.oto),"Move status back to "&amp;_xlpm.oto,IF(AND(_xlpm.ob=0,LEFT($AJ39,3)="Yes"),"Blocked - log it on Rework Log",IF(AND(_xlpm.ob&gt;0,LEFT($AJ39,3)&lt;&gt;"Yes"),"Open rework row - mark Blocked or close it",IF(AND(_xlpm.ob=0,_xlpm.act&lt;&gt;"",_xlpm.act&gt;=_xlpm.sent,_xlpm.nxt&lt;&gt;""),"Move status to "&amp;_xlpm.nxt,IF(COUNTIF($B$2:$B$528,$B39)&gt;1,"Duplicate name - check row",IF(COUNTIF('Rework Log'!$A$2:$A$497,$B39)&gt;0,"",IF(AND($V39&lt;&gt;"",$K39&lt;&gt;"",$V39&lt;$K39),"QA target is before DB Dev target",IF(AND($V39&lt;&gt;"",$Q39&lt;&gt;"",$V39&lt;$Q39),"QA target is before PBI Dev target",IF(AND($AA39&lt;&gt;"",$V39&lt;&gt;"",$AA39&lt;$V39),"DPO Approval target is before QA target",IF(AND($AG39&lt;&gt;"",$AA39&lt;&gt;"",$AG39&lt;$AA39),"Confirmed Deployed date is before DPO Approval target",""))))))))))))</f>
        <v>Blocked - log it on Rework Log</v>
      </c>
      <c r="AL39" s="41" t="s">
        <v>148</v>
      </c>
      <c r="AM39" s="32" cm="1">
        <f t="array" ref="AM39">_xlfn.LET(_xlpm.rep,$B39,_xlpm.sent,_xlfn.MAXIFS('Rework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46272</v>
      </c>
      <c r="AN39" s="32" t="str" cm="1">
        <f t="array" ref="AN39">_xlfn.LET(_xlpm.rep,$B39,_xlpm.sent,_xlfn.MAXIFS('Rework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40" spans="1:40" hidden="1">
      <c r="A40" s="33" t="s">
        <v>126</v>
      </c>
      <c r="B40" s="33" t="s">
        <v>157</v>
      </c>
      <c r="C40" s="33" t="s">
        <v>128</v>
      </c>
      <c r="D40" t="str" cm="1">
        <f t="array" aca="1" ref="D40" ca="1">IF(AND(C40="Ready for Release in Prod",LEFT($AJ40,3)&lt;&gt;"Yes"),IF(AG40&lt;&gt;"","Delivered","On track"),IF($B40="","",IF(LEFT($AJ40,3)="Yes","Blocked - "&amp;MID($AJ40,7,100)&amp;IF(SUMPRODUCT(('Rework Log'!$A$2:$A$497=$B40)*('Rework Log'!$G$2:$G$497&lt;&gt;"Yes")*('Rework Log'!$G$2:$G$497&lt;&gt;"Did not pass re-test"))=0,"",IF(SUMPRODUCT(MAX((('Rework Log'!$A$2:$A$497=$B40)*('Rework Log'!$G$2:$G$497&lt;&gt;"Yes")*('Rework Log'!$G$2:$G$497&lt;&gt;"Did not pass re-test"))*'Rework Log'!$I$2:$I$497))=0," - unclaimed"," - promised "&amp;TEXT(SUMPRODUCT(MAX((('Rework Log'!$A$2:$A$497=$B40)*('Rework Log'!$G$2:$G$497&lt;&gt;"Yes")*('Rework Log'!$G$2:$G$497&lt;&gt;"Did not pass re-test"))*'Rework Log'!$I$2:$I$497)),"m/d"))),IF(C40="NOT STARTED",IF(H40="","No plan date set",IF(H40&lt;TODAY(),"Review - planned start passed","On track")),IF(C40="DB Dev",_xlfn.LET(_xlpm.sent,_xlfn.MAXIFS('Rework Log'!$B$2:$B$497,'Rework Log'!$A$2:$A$497,$B40,'Rework Log'!$D$2:$D$497,"DB Dev"),_xlpm.expfix,_xlfn.MAXIFS('Rework Log'!$I$2:$I$497,'Rework Log'!$A$2:$A$497,$B40,'Rework Log'!$D$2:$D$497,"DB Dev",'Rework Log'!$B$2:$B$497,_xlpm.sent),_xlpm.tgt,IF(_xlpm.expfix&gt;0,_xlpm.expfix,IF(L40&lt;&gt;"",L40,K40)),_xlpm.act,IF(AND(M40&lt;&gt;"",M40&gt;=_xlpm.sent),M40,""),IF(_xlpm.tgt="","No target set",IF(AND(_xlpm.tgt&lt;TODAY(),_xlpm.act=""),"Overdue","On track"))),IF(C40="PBI Dev",_xlfn.LET(_xlpm.sent,_xlfn.MAXIFS('Rework Log'!$B$2:$B$497,'Rework Log'!$A$2:$A$497,$B40,'Rework Log'!$D$2:$D$497,"PBI Dev"),_xlpm.expfix,_xlfn.MAXIFS('Rework Log'!$I$2:$I$497,'Rework Log'!$A$2:$A$497,$B40,'Rework Log'!$D$2:$D$497,"PBI Dev",'Rework Log'!$B$2:$B$497,_xlpm.sent),_xlpm.tgt,IF(_xlpm.expfix&gt;0,_xlpm.expfix,IF(R40&lt;&gt;"",R40,Q40)),_xlpm.act,IF(AND(S40&lt;&gt;"",S40&gt;=_xlpm.sent),S40,""),IF(_xlpm.tgt="","No target set",IF(AND(_xlpm.tgt&lt;TODAY(),_xlpm.act=""),"Overdue","On track"))),IF(C40="QA",_xlfn.LET(_xlpm.tgt,IF(AM40&lt;&gt;"",AM40,IF(W40&lt;&gt;"",W40,V40)),_xlpm.sent,_xlfn.MAXIFS('Rework Log'!$B$2:$B$497,'Rework Log'!$A$2:$A$497,$B40,'Rework Log'!$C$2:$C$497,"QA"),_xlpm.act,IF(AND(Y40&lt;&gt;"",Y40&gt;=_xlpm.sent),Y40,""),IF(_xlpm.tgt="","No target set",IF(AND(_xlpm.tgt&lt;TODAY(),_xlpm.act=""),"Overdue","On track"))),IF(C40="DPO Approval",_xlfn.LET(_xlpm.tgt,IF(AN40&lt;&gt;"",AN40,IF(AB40&lt;&gt;"",AB40,AA40)),_xlpm.sent,_xlfn.MAXIFS('Rework Log'!$B$2:$B$497,'Rework Log'!$A$2:$A$497,$B40,'Rework Log'!$C$2:$C$497,"DPO*"),_xlpm.act,IF(AND(AC40&lt;&gt;"",AC40&gt;=_xlpm.sent),AC40,""),IF(_xlpm.tgt="","No target set",IF(AND(_xlpm.tgt&lt;TODAY(),_xlpm.act=""),"Overdue","On track"))),IF(C40="RELEASED IN PROD","Delivered","")))))))))</f>
        <v>Blocked - Blocked in Prod</v>
      </c>
      <c r="E40" s="33">
        <v>13</v>
      </c>
      <c r="F40" s="34" t="s">
        <v>129</v>
      </c>
      <c r="G40" s="33"/>
      <c r="H40" s="49">
        <v>46234</v>
      </c>
      <c r="I40" s="60" t="s">
        <v>130</v>
      </c>
      <c r="J40" s="33" t="s">
        <v>76</v>
      </c>
      <c r="K40" s="4">
        <v>46213</v>
      </c>
      <c r="L40" s="36">
        <v>46251</v>
      </c>
      <c r="M40" s="37">
        <v>46251</v>
      </c>
      <c r="N40" s="46" t="s">
        <v>45</v>
      </c>
      <c r="O40" s="36" t="s">
        <v>131</v>
      </c>
      <c r="P40" s="64" t="s">
        <v>77</v>
      </c>
      <c r="Q40" s="4">
        <v>46220</v>
      </c>
      <c r="R40" s="36">
        <v>46251</v>
      </c>
      <c r="S40" s="36">
        <v>46255</v>
      </c>
      <c r="T40" s="68"/>
      <c r="U40" s="53" t="s">
        <v>47</v>
      </c>
      <c r="V40" s="58">
        <v>46227</v>
      </c>
      <c r="W40" s="36">
        <v>46254</v>
      </c>
      <c r="X40" s="36"/>
      <c r="Y40" s="36">
        <v>46258</v>
      </c>
      <c r="Z40" s="36"/>
      <c r="AA40" s="51">
        <v>46232</v>
      </c>
      <c r="AB40" s="36">
        <v>46273</v>
      </c>
      <c r="AC40" s="36">
        <v>46273</v>
      </c>
      <c r="AD40" s="33" t="s">
        <v>132</v>
      </c>
      <c r="AE40" s="33" t="s">
        <v>49</v>
      </c>
      <c r="AF40" s="38"/>
      <c r="AG40" s="36"/>
      <c r="AH40" s="39"/>
      <c r="AI40" s="33"/>
      <c r="AJ40" s="40" t="s">
        <v>133</v>
      </c>
      <c r="AK40" s="72" t="str" cm="1">
        <f t="array" ref="AK40">IF($B40="","",_xlfn.LET(_xlpm.nm,$B40,_xlpm.st,$C40,_xlpm.ou,SUMPRODUCT(('Rework Log'!$A$2:$A$497=_xlpm.nm)*('Rework Log'!$G$2:$G$497&lt;&gt;"Yes")*('Rework Log'!$G$2:$G$497&lt;&gt;"Did not pass re-test")*('Rework Log'!$J$2:$J$497="")),_xlpm.ob,SUMPRODUCT(('Rework Log'!$A$2:$A$497=_xlpm.nm)*('Rework Log'!$G$2:$G$497&lt;&gt;"Yes")*('Rework Log'!$G$2:$G$497&lt;&gt;"Did not pass re-test")),_xlpm.oto,IF(SUMPRODUCT(('Rework Log'!$A$2:$A$497=_xlpm.nm)*('Rework Log'!$G$2:$G$497&lt;&gt;"Yes")*('Rework Log'!$G$2:$G$497&lt;&gt;"Did not pass re-test")*('Rework Log'!$J$2:$J$497=""))=0,"",INDEX('Rework Log'!$D$2:$D$497,MATCH(1,('Rework Log'!$A$2:$A$497=_xlpm.nm)*('Rework Log'!$G$2:$G$497&lt;&gt;"Yes")*('Rework Log'!$G$2:$G$497&lt;&gt;"Did not pass re-test")*('Rework Log'!$J$2:$J$497=""),0))),_xlpm.sent,_xlfn.MAXIFS('Rework Log'!$B$2:$B$497,'Rework Log'!$A$2:$A$497,_xlpm.nm),_xlpm.act,_xlfn.IFS(_xlpm.st="NOT STARTED",$M40,_xlpm.st="DB Dev",$M40,_xlpm.st="PBI Dev",$S40,_xlpm.st="QA",$Y40,_xlpm.st="DPO Approval",$AC40,_xlpm.st="Ready for Release in Prod",$AG40,TRUE,""),_xlpm.nxt,_xlfn.IFS(_xlpm.st="NOT STARTED","PBI Dev",_xlpm.st="DB Dev","PBI Dev",_xlpm.st="PBI Dev","QA",_xlpm.st="QA","DPO Approval",_xlpm.st="DPO Approval","Ready for Release in Prod",_xlpm.st="Ready for Release in Prod","RELEASED IN PROD",TRUE,""),IF(AND(_xlpm.ou&gt;0,_xlpm.st&lt;&gt;_xlpm.oto),"Move status back to "&amp;_xlpm.oto,IF(AND(_xlpm.ob=0,LEFT($AJ40,3)="Yes"),"Blocked - log it on Rework Log",IF(AND(_xlpm.ob&gt;0,LEFT($AJ40,3)&lt;&gt;"Yes"),"Open rework row - mark Blocked or close it",IF(AND(_xlpm.ob=0,_xlpm.act&lt;&gt;"",_xlpm.act&gt;=_xlpm.sent,_xlpm.nxt&lt;&gt;""),"Move status to "&amp;_xlpm.nxt,IF(COUNTIF($B$2:$B$528,$B40)&gt;1,"Duplicate name - check row",IF(COUNTIF('Rework Log'!$A$2:$A$497,$B40)&gt;0,"",IF(AND($V40&lt;&gt;"",$K40&lt;&gt;"",$V40&lt;$K40),"QA target is before DB Dev target",IF(AND($V40&lt;&gt;"",$Q40&lt;&gt;"",$V40&lt;$Q40),"QA target is before PBI Dev target",IF(AND($AA40&lt;&gt;"",$V40&lt;&gt;"",$AA40&lt;$V40),"DPO Approval target is before QA target",IF(AND($AG40&lt;&gt;"",$AA40&lt;&gt;"",$AG40&lt;$AA40),"Confirmed Deployed date is before DPO Approval target",""))))))))))))</f>
        <v>Blocked - log it on Rework Log</v>
      </c>
      <c r="AL40" s="41" t="s">
        <v>158</v>
      </c>
      <c r="AM40" s="32" cm="1">
        <f t="array" ref="AM40">_xlfn.LET(_xlpm.rep,$B40,_xlpm.sent,_xlfn.MAXIFS('Rework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46272</v>
      </c>
      <c r="AN40" s="32" t="str" cm="1">
        <f t="array" ref="AN40">_xlfn.LET(_xlpm.rep,$B40,_xlpm.sent,_xlfn.MAXIFS('Rework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41" spans="1:40" hidden="1">
      <c r="A41" s="33" t="s">
        <v>126</v>
      </c>
      <c r="B41" s="33" t="s">
        <v>159</v>
      </c>
      <c r="C41" s="33" t="s">
        <v>128</v>
      </c>
      <c r="D41" t="str" cm="1">
        <f t="array" aca="1" ref="D41" ca="1">IF(AND(C41="Ready for Release in Prod",LEFT($AJ41,3)&lt;&gt;"Yes"),IF(AG41&lt;&gt;"","Delivered","On track"),IF($B41="","",IF(LEFT($AJ41,3)="Yes","Blocked - "&amp;MID($AJ41,7,100)&amp;IF(SUMPRODUCT(('Rework Log'!$A$2:$A$497=$B41)*('Rework Log'!$G$2:$G$497&lt;&gt;"Yes")*('Rework Log'!$G$2:$G$497&lt;&gt;"Did not pass re-test"))=0,"",IF(SUMPRODUCT(MAX((('Rework Log'!$A$2:$A$497=$B41)*('Rework Log'!$G$2:$G$497&lt;&gt;"Yes")*('Rework Log'!$G$2:$G$497&lt;&gt;"Did not pass re-test"))*'Rework Log'!$I$2:$I$497))=0," - unclaimed"," - promised "&amp;TEXT(SUMPRODUCT(MAX((('Rework Log'!$A$2:$A$497=$B41)*('Rework Log'!$G$2:$G$497&lt;&gt;"Yes")*('Rework Log'!$G$2:$G$497&lt;&gt;"Did not pass re-test"))*'Rework Log'!$I$2:$I$497)),"m/d"))),IF(C41="NOT STARTED",IF(H41="","No plan date set",IF(H41&lt;TODAY(),"Review - planned start passed","On track")),IF(C41="DB Dev",_xlfn.LET(_xlpm.sent,_xlfn.MAXIFS('Rework Log'!$B$2:$B$497,'Rework Log'!$A$2:$A$497,$B41,'Rework Log'!$D$2:$D$497,"DB Dev"),_xlpm.expfix,_xlfn.MAXIFS('Rework Log'!$I$2:$I$497,'Rework Log'!$A$2:$A$497,$B41,'Rework Log'!$D$2:$D$497,"DB Dev",'Rework Log'!$B$2:$B$497,_xlpm.sent),_xlpm.tgt,IF(_xlpm.expfix&gt;0,_xlpm.expfix,IF(L41&lt;&gt;"",L41,K41)),_xlpm.act,IF(AND(M41&lt;&gt;"",M41&gt;=_xlpm.sent),M41,""),IF(_xlpm.tgt="","No target set",IF(AND(_xlpm.tgt&lt;TODAY(),_xlpm.act=""),"Overdue","On track"))),IF(C41="PBI Dev",_xlfn.LET(_xlpm.sent,_xlfn.MAXIFS('Rework Log'!$B$2:$B$497,'Rework Log'!$A$2:$A$497,$B41,'Rework Log'!$D$2:$D$497,"PBI Dev"),_xlpm.expfix,_xlfn.MAXIFS('Rework Log'!$I$2:$I$497,'Rework Log'!$A$2:$A$497,$B41,'Rework Log'!$D$2:$D$497,"PBI Dev",'Rework Log'!$B$2:$B$497,_xlpm.sent),_xlpm.tgt,IF(_xlpm.expfix&gt;0,_xlpm.expfix,IF(R41&lt;&gt;"",R41,Q41)),_xlpm.act,IF(AND(S41&lt;&gt;"",S41&gt;=_xlpm.sent),S41,""),IF(_xlpm.tgt="","No target set",IF(AND(_xlpm.tgt&lt;TODAY(),_xlpm.act=""),"Overdue","On track"))),IF(C41="QA",_xlfn.LET(_xlpm.tgt,IF(AM41&lt;&gt;"",AM41,IF(W41&lt;&gt;"",W41,V41)),_xlpm.sent,_xlfn.MAXIFS('Rework Log'!$B$2:$B$497,'Rework Log'!$A$2:$A$497,$B41,'Rework Log'!$C$2:$C$497,"QA"),_xlpm.act,IF(AND(Y41&lt;&gt;"",Y41&gt;=_xlpm.sent),Y41,""),IF(_xlpm.tgt="","No target set",IF(AND(_xlpm.tgt&lt;TODAY(),_xlpm.act=""),"Overdue","On track"))),IF(C41="DPO Approval",_xlfn.LET(_xlpm.tgt,IF(AN41&lt;&gt;"",AN41,IF(AB41&lt;&gt;"",AB41,AA41)),_xlpm.sent,_xlfn.MAXIFS('Rework Log'!$B$2:$B$497,'Rework Log'!$A$2:$A$497,$B41,'Rework Log'!$C$2:$C$497,"DPO*"),_xlpm.act,IF(AND(AC41&lt;&gt;"",AC41&gt;=_xlpm.sent),AC41,""),IF(_xlpm.tgt="","No target set",IF(AND(_xlpm.tgt&lt;TODAY(),_xlpm.act=""),"Overdue","On track"))),IF(C41="RELEASED IN PROD","Delivered","")))))))))</f>
        <v>Blocked - Blocked in Prod</v>
      </c>
      <c r="E41" s="33">
        <v>14</v>
      </c>
      <c r="F41" s="34" t="s">
        <v>129</v>
      </c>
      <c r="G41" s="33"/>
      <c r="H41" s="49">
        <v>46234</v>
      </c>
      <c r="I41" s="60" t="s">
        <v>130</v>
      </c>
      <c r="J41" s="33" t="s">
        <v>59</v>
      </c>
      <c r="K41" s="4">
        <v>46213</v>
      </c>
      <c r="L41" s="35">
        <v>46248</v>
      </c>
      <c r="M41" s="37">
        <v>46248</v>
      </c>
      <c r="N41" s="46" t="s">
        <v>45</v>
      </c>
      <c r="O41" s="36" t="s">
        <v>131</v>
      </c>
      <c r="P41" s="64" t="s">
        <v>60</v>
      </c>
      <c r="Q41" s="4">
        <v>46220</v>
      </c>
      <c r="R41" s="36">
        <v>46251</v>
      </c>
      <c r="S41" s="36">
        <v>46251</v>
      </c>
      <c r="T41" s="68"/>
      <c r="U41" s="53" t="s">
        <v>47</v>
      </c>
      <c r="V41" s="58">
        <v>46227</v>
      </c>
      <c r="W41" s="36">
        <v>46258</v>
      </c>
      <c r="X41" s="36"/>
      <c r="Y41" s="36">
        <v>46258</v>
      </c>
      <c r="Z41" s="36"/>
      <c r="AA41" s="51">
        <v>46232</v>
      </c>
      <c r="AB41" s="36">
        <v>46273</v>
      </c>
      <c r="AC41" s="36">
        <v>46273</v>
      </c>
      <c r="AD41" s="33" t="s">
        <v>132</v>
      </c>
      <c r="AE41" s="33" t="s">
        <v>49</v>
      </c>
      <c r="AF41" s="38"/>
      <c r="AG41" s="36"/>
      <c r="AH41" s="39"/>
      <c r="AI41" s="33"/>
      <c r="AJ41" s="40" t="s">
        <v>133</v>
      </c>
      <c r="AK41" s="72" t="str" cm="1">
        <f t="array" ref="AK41">IF($B41="","",_xlfn.LET(_xlpm.nm,$B41,_xlpm.st,$C41,_xlpm.ou,SUMPRODUCT(('Rework Log'!$A$2:$A$497=_xlpm.nm)*('Rework Log'!$G$2:$G$497&lt;&gt;"Yes")*('Rework Log'!$G$2:$G$497&lt;&gt;"Did not pass re-test")*('Rework Log'!$J$2:$J$497="")),_xlpm.ob,SUMPRODUCT(('Rework Log'!$A$2:$A$497=_xlpm.nm)*('Rework Log'!$G$2:$G$497&lt;&gt;"Yes")*('Rework Log'!$G$2:$G$497&lt;&gt;"Did not pass re-test")),_xlpm.oto,IF(SUMPRODUCT(('Rework Log'!$A$2:$A$497=_xlpm.nm)*('Rework Log'!$G$2:$G$497&lt;&gt;"Yes")*('Rework Log'!$G$2:$G$497&lt;&gt;"Did not pass re-test")*('Rework Log'!$J$2:$J$497=""))=0,"",INDEX('Rework Log'!$D$2:$D$497,MATCH(1,('Rework Log'!$A$2:$A$497=_xlpm.nm)*('Rework Log'!$G$2:$G$497&lt;&gt;"Yes")*('Rework Log'!$G$2:$G$497&lt;&gt;"Did not pass re-test")*('Rework Log'!$J$2:$J$497=""),0))),_xlpm.sent,_xlfn.MAXIFS('Rework Log'!$B$2:$B$497,'Rework Log'!$A$2:$A$497,_xlpm.nm),_xlpm.act,_xlfn.IFS(_xlpm.st="NOT STARTED",$M41,_xlpm.st="DB Dev",$M41,_xlpm.st="PBI Dev",$S41,_xlpm.st="QA",$Y41,_xlpm.st="DPO Approval",$AC41,_xlpm.st="Ready for Release in Prod",$AG41,TRUE,""),_xlpm.nxt,_xlfn.IFS(_xlpm.st="NOT STARTED","PBI Dev",_xlpm.st="DB Dev","PBI Dev",_xlpm.st="PBI Dev","QA",_xlpm.st="QA","DPO Approval",_xlpm.st="DPO Approval","Ready for Release in Prod",_xlpm.st="Ready for Release in Prod","RELEASED IN PROD",TRUE,""),IF(AND(_xlpm.ou&gt;0,_xlpm.st&lt;&gt;_xlpm.oto),"Move status back to "&amp;_xlpm.oto,IF(AND(_xlpm.ob=0,LEFT($AJ41,3)="Yes"),"Blocked - log it on Rework Log",IF(AND(_xlpm.ob&gt;0,LEFT($AJ41,3)&lt;&gt;"Yes"),"Open rework row - mark Blocked or close it",IF(AND(_xlpm.ob=0,_xlpm.act&lt;&gt;"",_xlpm.act&gt;=_xlpm.sent,_xlpm.nxt&lt;&gt;""),"Move status to "&amp;_xlpm.nxt,IF(COUNTIF($B$2:$B$528,$B41)&gt;1,"Duplicate name - check row",IF(COUNTIF('Rework Log'!$A$2:$A$497,$B41)&gt;0,"",IF(AND($V41&lt;&gt;"",$K41&lt;&gt;"",$V41&lt;$K41),"QA target is before DB Dev target",IF(AND($V41&lt;&gt;"",$Q41&lt;&gt;"",$V41&lt;$Q41),"QA target is before PBI Dev target",IF(AND($AA41&lt;&gt;"",$V41&lt;&gt;"",$AA41&lt;$V41),"DPO Approval target is before QA target",IF(AND($AG41&lt;&gt;"",$AA41&lt;&gt;"",$AG41&lt;$AA41),"Confirmed Deployed date is before DPO Approval target",""))))))))))))</f>
        <v>Blocked - log it on Rework Log</v>
      </c>
      <c r="AL41" s="41" t="s">
        <v>160</v>
      </c>
      <c r="AM41" s="32" t="str" cm="1">
        <f t="array" ref="AM41">_xlfn.LET(_xlpm.rep,$B41,_xlpm.sent,_xlfn.MAXIFS('Rework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
      </c>
      <c r="AN41" s="32" t="str" cm="1">
        <f t="array" ref="AN41">_xlfn.LET(_xlpm.rep,$B41,_xlpm.sent,_xlfn.MAXIFS('Rework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42" spans="1:40" hidden="1">
      <c r="A42" s="33" t="s">
        <v>126</v>
      </c>
      <c r="B42" s="33" t="s">
        <v>161</v>
      </c>
      <c r="C42" s="33" t="s">
        <v>128</v>
      </c>
      <c r="D42" t="str" cm="1">
        <f t="array" aca="1" ref="D42" ca="1">IF(AND(C42="Ready for Release in Prod",LEFT($AJ42,3)&lt;&gt;"Yes"),IF(AG42&lt;&gt;"","Delivered","On track"),IF($B42="","",IF(LEFT($AJ42,3)="Yes","Blocked - "&amp;MID($AJ42,7,100)&amp;IF(SUMPRODUCT(('Rework Log'!$A$2:$A$497=$B42)*('Rework Log'!$G$2:$G$497&lt;&gt;"Yes")*('Rework Log'!$G$2:$G$497&lt;&gt;"Did not pass re-test"))=0,"",IF(SUMPRODUCT(MAX((('Rework Log'!$A$2:$A$497=$B42)*('Rework Log'!$G$2:$G$497&lt;&gt;"Yes")*('Rework Log'!$G$2:$G$497&lt;&gt;"Did not pass re-test"))*'Rework Log'!$I$2:$I$497))=0," - unclaimed"," - promised "&amp;TEXT(SUMPRODUCT(MAX((('Rework Log'!$A$2:$A$497=$B42)*('Rework Log'!$G$2:$G$497&lt;&gt;"Yes")*('Rework Log'!$G$2:$G$497&lt;&gt;"Did not pass re-test"))*'Rework Log'!$I$2:$I$497)),"m/d"))),IF(C42="NOT STARTED",IF(H42="","No plan date set",IF(H42&lt;TODAY(),"Review - planned start passed","On track")),IF(C42="DB Dev",_xlfn.LET(_xlpm.sent,_xlfn.MAXIFS('Rework Log'!$B$2:$B$497,'Rework Log'!$A$2:$A$497,$B42,'Rework Log'!$D$2:$D$497,"DB Dev"),_xlpm.expfix,_xlfn.MAXIFS('Rework Log'!$I$2:$I$497,'Rework Log'!$A$2:$A$497,$B42,'Rework Log'!$D$2:$D$497,"DB Dev",'Rework Log'!$B$2:$B$497,_xlpm.sent),_xlpm.tgt,IF(_xlpm.expfix&gt;0,_xlpm.expfix,IF(L42&lt;&gt;"",L42,K42)),_xlpm.act,IF(AND(M42&lt;&gt;"",M42&gt;=_xlpm.sent),M42,""),IF(_xlpm.tgt="","No target set",IF(AND(_xlpm.tgt&lt;TODAY(),_xlpm.act=""),"Overdue","On track"))),IF(C42="PBI Dev",_xlfn.LET(_xlpm.sent,_xlfn.MAXIFS('Rework Log'!$B$2:$B$497,'Rework Log'!$A$2:$A$497,$B42,'Rework Log'!$D$2:$D$497,"PBI Dev"),_xlpm.expfix,_xlfn.MAXIFS('Rework Log'!$I$2:$I$497,'Rework Log'!$A$2:$A$497,$B42,'Rework Log'!$D$2:$D$497,"PBI Dev",'Rework Log'!$B$2:$B$497,_xlpm.sent),_xlpm.tgt,IF(_xlpm.expfix&gt;0,_xlpm.expfix,IF(R42&lt;&gt;"",R42,Q42)),_xlpm.act,IF(AND(S42&lt;&gt;"",S42&gt;=_xlpm.sent),S42,""),IF(_xlpm.tgt="","No target set",IF(AND(_xlpm.tgt&lt;TODAY(),_xlpm.act=""),"Overdue","On track"))),IF(C42="QA",_xlfn.LET(_xlpm.tgt,IF(AM42&lt;&gt;"",AM42,IF(W42&lt;&gt;"",W42,V42)),_xlpm.sent,_xlfn.MAXIFS('Rework Log'!$B$2:$B$497,'Rework Log'!$A$2:$A$497,$B42,'Rework Log'!$C$2:$C$497,"QA"),_xlpm.act,IF(AND(Y42&lt;&gt;"",Y42&gt;=_xlpm.sent),Y42,""),IF(_xlpm.tgt="","No target set",IF(AND(_xlpm.tgt&lt;TODAY(),_xlpm.act=""),"Overdue","On track"))),IF(C42="DPO Approval",_xlfn.LET(_xlpm.tgt,IF(AN42&lt;&gt;"",AN42,IF(AB42&lt;&gt;"",AB42,AA42)),_xlpm.sent,_xlfn.MAXIFS('Rework Log'!$B$2:$B$497,'Rework Log'!$A$2:$A$497,$B42,'Rework Log'!$C$2:$C$497,"DPO*"),_xlpm.act,IF(AND(AC42&lt;&gt;"",AC42&gt;=_xlpm.sent),AC42,""),IF(_xlpm.tgt="","No target set",IF(AND(_xlpm.tgt&lt;TODAY(),_xlpm.act=""),"Overdue","On track"))),IF(C42="RELEASED IN PROD","Delivered","")))))))))</f>
        <v>Blocked - Blocked in Prod</v>
      </c>
      <c r="E42" s="33">
        <v>15</v>
      </c>
      <c r="F42" s="34" t="s">
        <v>144</v>
      </c>
      <c r="G42" s="33"/>
      <c r="H42" s="49">
        <v>46234</v>
      </c>
      <c r="I42" s="60" t="s">
        <v>130</v>
      </c>
      <c r="J42" s="33" t="s">
        <v>76</v>
      </c>
      <c r="K42" s="4">
        <v>46213</v>
      </c>
      <c r="L42" s="36">
        <v>46245</v>
      </c>
      <c r="M42" s="36">
        <v>46245</v>
      </c>
      <c r="N42" s="36" t="s">
        <v>45</v>
      </c>
      <c r="O42" s="36" t="s">
        <v>162</v>
      </c>
      <c r="P42" s="64" t="s">
        <v>46</v>
      </c>
      <c r="Q42" s="4">
        <v>46220</v>
      </c>
      <c r="R42" s="36">
        <v>46248</v>
      </c>
      <c r="S42" s="36">
        <v>46248</v>
      </c>
      <c r="T42" s="68"/>
      <c r="U42" s="53" t="s">
        <v>47</v>
      </c>
      <c r="V42" s="58">
        <v>46227</v>
      </c>
      <c r="W42" s="36">
        <v>46255</v>
      </c>
      <c r="X42" s="36"/>
      <c r="Y42" s="36">
        <v>46261</v>
      </c>
      <c r="Z42" s="36"/>
      <c r="AA42" s="51">
        <v>46232</v>
      </c>
      <c r="AB42" s="36">
        <v>46269</v>
      </c>
      <c r="AC42" s="36">
        <v>46269</v>
      </c>
      <c r="AD42" s="33" t="s">
        <v>151</v>
      </c>
      <c r="AE42" s="33" t="s">
        <v>49</v>
      </c>
      <c r="AF42" s="38"/>
      <c r="AG42" s="36"/>
      <c r="AH42" s="39"/>
      <c r="AI42" s="33"/>
      <c r="AJ42" s="40" t="s">
        <v>133</v>
      </c>
      <c r="AK42" s="139" t="str" cm="1">
        <f t="array" ref="AK42">IF($B42="","",_xlfn.LET(_xlpm.nm,$B42,_xlpm.st,$C42,_xlpm.ou,SUMPRODUCT(('Rework Log'!$A$2:$A$497=_xlpm.nm)*('Rework Log'!$G$2:$G$497&lt;&gt;"Yes")*('Rework Log'!$G$2:$G$497&lt;&gt;"Did not pass re-test")*('Rework Log'!$J$2:$J$497="")),_xlpm.ob,SUMPRODUCT(('Rework Log'!$A$2:$A$497=_xlpm.nm)*('Rework Log'!$G$2:$G$497&lt;&gt;"Yes")*('Rework Log'!$G$2:$G$497&lt;&gt;"Did not pass re-test")),_xlpm.oto,IF(SUMPRODUCT(('Rework Log'!$A$2:$A$497=_xlpm.nm)*('Rework Log'!$G$2:$G$497&lt;&gt;"Yes")*('Rework Log'!$G$2:$G$497&lt;&gt;"Did not pass re-test")*('Rework Log'!$J$2:$J$497=""))=0,"",INDEX('Rework Log'!$D$2:$D$497,MATCH(1,('Rework Log'!$A$2:$A$497=_xlpm.nm)*('Rework Log'!$G$2:$G$497&lt;&gt;"Yes")*('Rework Log'!$G$2:$G$497&lt;&gt;"Did not pass re-test")*('Rework Log'!$J$2:$J$497=""),0))),_xlpm.sent,_xlfn.MAXIFS('Rework Log'!$B$2:$B$497,'Rework Log'!$A$2:$A$497,_xlpm.nm),_xlpm.act,_xlfn.IFS(_xlpm.st="NOT STARTED",$M42,_xlpm.st="DB Dev",$M42,_xlpm.st="PBI Dev",$S42,_xlpm.st="QA",$Y42,_xlpm.st="DPO Approval",$AC42,_xlpm.st="Ready for Release in Prod",$AG42,TRUE,""),_xlpm.nxt,_xlfn.IFS(_xlpm.st="NOT STARTED","PBI Dev",_xlpm.st="DB Dev","PBI Dev",_xlpm.st="PBI Dev","QA",_xlpm.st="QA","DPO Approval",_xlpm.st="DPO Approval","Ready for Release in Prod",_xlpm.st="Ready for Release in Prod","RELEASED IN PROD",TRUE,""),IF(AND(_xlpm.ou&gt;0,_xlpm.st&lt;&gt;_xlpm.oto),"Move status back to "&amp;_xlpm.oto,IF(AND(_xlpm.ob=0,LEFT($AJ42,3)="Yes"),"Blocked - log it on Rework Log",IF(AND(_xlpm.ob&gt;0,LEFT($AJ42,3)&lt;&gt;"Yes"),"Open rework row - mark Blocked or close it",IF(AND(_xlpm.ob=0,_xlpm.act&lt;&gt;"",_xlpm.act&gt;=_xlpm.sent,_xlpm.nxt&lt;&gt;""),"Move status to "&amp;_xlpm.nxt,IF(COUNTIF($B$2:$B$528,$B42)&gt;1,"Duplicate name - check row",IF(COUNTIF('Rework Log'!$A$2:$A$497,$B42)&gt;0,"",IF(AND($V42&lt;&gt;"",$K42&lt;&gt;"",$V42&lt;$K42),"QA target is before DB Dev target",IF(AND($V42&lt;&gt;"",$Q42&lt;&gt;"",$V42&lt;$Q42),"QA target is before PBI Dev target",IF(AND($AA42&lt;&gt;"",$V42&lt;&gt;"",$AA42&lt;$V42),"DPO Approval target is before QA target",IF(AND($AG42&lt;&gt;"",$AA42&lt;&gt;"",$AG42&lt;$AA42),"Confirmed Deployed date is before DPO Approval target",""))))))))))))</f>
        <v>Blocked - log it on Rework Log</v>
      </c>
      <c r="AL42" s="45" t="s">
        <v>163</v>
      </c>
      <c r="AM42" s="32" t="str" cm="1">
        <f t="array" ref="AM42">_xlfn.LET(_xlpm.rep,$B42,_xlpm.sent,_xlfn.MAXIFS('Rework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
      </c>
      <c r="AN42" s="32" t="str" cm="1">
        <f t="array" ref="AN42">_xlfn.LET(_xlpm.rep,$B42,_xlpm.sent,_xlfn.MAXIFS('Rework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43" spans="1:40" hidden="1">
      <c r="A43" s="33" t="s">
        <v>126</v>
      </c>
      <c r="B43" s="33" t="s">
        <v>164</v>
      </c>
      <c r="C43" s="33" t="s">
        <v>128</v>
      </c>
      <c r="D43" t="str" cm="1">
        <f t="array" aca="1" ref="D43" ca="1">IF(AND(C43="Ready for Release in Prod",LEFT($AJ43,3)&lt;&gt;"Yes"),IF(AG43&lt;&gt;"","Delivered","On track"),IF($B43="","",IF(LEFT($AJ43,3)="Yes","Blocked - "&amp;MID($AJ43,7,100)&amp;IF(SUMPRODUCT(('Rework Log'!$A$2:$A$497=$B43)*('Rework Log'!$G$2:$G$497&lt;&gt;"Yes")*('Rework Log'!$G$2:$G$497&lt;&gt;"Did not pass re-test"))=0,"",IF(SUMPRODUCT(MAX((('Rework Log'!$A$2:$A$497=$B43)*('Rework Log'!$G$2:$G$497&lt;&gt;"Yes")*('Rework Log'!$G$2:$G$497&lt;&gt;"Did not pass re-test"))*'Rework Log'!$I$2:$I$497))=0," - unclaimed"," - promised "&amp;TEXT(SUMPRODUCT(MAX((('Rework Log'!$A$2:$A$497=$B43)*('Rework Log'!$G$2:$G$497&lt;&gt;"Yes")*('Rework Log'!$G$2:$G$497&lt;&gt;"Did not pass re-test"))*'Rework Log'!$I$2:$I$497)),"m/d"))),IF(C43="NOT STARTED",IF(H43="","No plan date set",IF(H43&lt;TODAY(),"Review - planned start passed","On track")),IF(C43="DB Dev",_xlfn.LET(_xlpm.sent,_xlfn.MAXIFS('Rework Log'!$B$2:$B$497,'Rework Log'!$A$2:$A$497,$B43,'Rework Log'!$D$2:$D$497,"DB Dev"),_xlpm.expfix,_xlfn.MAXIFS('Rework Log'!$I$2:$I$497,'Rework Log'!$A$2:$A$497,$B43,'Rework Log'!$D$2:$D$497,"DB Dev",'Rework Log'!$B$2:$B$497,_xlpm.sent),_xlpm.tgt,IF(_xlpm.expfix&gt;0,_xlpm.expfix,IF(L43&lt;&gt;"",L43,K43)),_xlpm.act,IF(AND(M43&lt;&gt;"",M43&gt;=_xlpm.sent),M43,""),IF(_xlpm.tgt="","No target set",IF(AND(_xlpm.tgt&lt;TODAY(),_xlpm.act=""),"Overdue","On track"))),IF(C43="PBI Dev",_xlfn.LET(_xlpm.sent,_xlfn.MAXIFS('Rework Log'!$B$2:$B$497,'Rework Log'!$A$2:$A$497,$B43,'Rework Log'!$D$2:$D$497,"PBI Dev"),_xlpm.expfix,_xlfn.MAXIFS('Rework Log'!$I$2:$I$497,'Rework Log'!$A$2:$A$497,$B43,'Rework Log'!$D$2:$D$497,"PBI Dev",'Rework Log'!$B$2:$B$497,_xlpm.sent),_xlpm.tgt,IF(_xlpm.expfix&gt;0,_xlpm.expfix,IF(R43&lt;&gt;"",R43,Q43)),_xlpm.act,IF(AND(S43&lt;&gt;"",S43&gt;=_xlpm.sent),S43,""),IF(_xlpm.tgt="","No target set",IF(AND(_xlpm.tgt&lt;TODAY(),_xlpm.act=""),"Overdue","On track"))),IF(C43="QA",_xlfn.LET(_xlpm.tgt,IF(AM43&lt;&gt;"",AM43,IF(W43&lt;&gt;"",W43,V43)),_xlpm.sent,_xlfn.MAXIFS('Rework Log'!$B$2:$B$497,'Rework Log'!$A$2:$A$497,$B43,'Rework Log'!$C$2:$C$497,"QA"),_xlpm.act,IF(AND(Y43&lt;&gt;"",Y43&gt;=_xlpm.sent),Y43,""),IF(_xlpm.tgt="","No target set",IF(AND(_xlpm.tgt&lt;TODAY(),_xlpm.act=""),"Overdue","On track"))),IF(C43="DPO Approval",_xlfn.LET(_xlpm.tgt,IF(AN43&lt;&gt;"",AN43,IF(AB43&lt;&gt;"",AB43,AA43)),_xlpm.sent,_xlfn.MAXIFS('Rework Log'!$B$2:$B$497,'Rework Log'!$A$2:$A$497,$B43,'Rework Log'!$C$2:$C$497,"DPO*"),_xlpm.act,IF(AND(AC43&lt;&gt;"",AC43&gt;=_xlpm.sent),AC43,""),IF(_xlpm.tgt="","No target set",IF(AND(_xlpm.tgt&lt;TODAY(),_xlpm.act=""),"Overdue","On track"))),IF(C43="RELEASED IN PROD","Delivered","")))))))))</f>
        <v>Blocked - Blocked in Prod</v>
      </c>
      <c r="E43" s="33" t="s">
        <v>165</v>
      </c>
      <c r="F43" s="34" t="s">
        <v>144</v>
      </c>
      <c r="G43" s="33"/>
      <c r="H43" s="49">
        <v>46265</v>
      </c>
      <c r="I43" s="60" t="s">
        <v>166</v>
      </c>
      <c r="J43" s="33" t="s">
        <v>103</v>
      </c>
      <c r="K43" s="4">
        <v>46234</v>
      </c>
      <c r="L43" s="36">
        <v>46251</v>
      </c>
      <c r="M43" s="36">
        <v>46252</v>
      </c>
      <c r="N43" s="46" t="s">
        <v>147</v>
      </c>
      <c r="O43" s="36" t="s">
        <v>167</v>
      </c>
      <c r="P43" s="64" t="s">
        <v>60</v>
      </c>
      <c r="Q43" s="4">
        <v>46241</v>
      </c>
      <c r="R43" s="36">
        <v>46294</v>
      </c>
      <c r="S43" s="36">
        <v>46295</v>
      </c>
      <c r="T43" s="68"/>
      <c r="U43" s="53" t="s">
        <v>47</v>
      </c>
      <c r="V43" s="58">
        <v>46255</v>
      </c>
      <c r="W43" s="36">
        <v>46296</v>
      </c>
      <c r="X43" s="36">
        <v>46274</v>
      </c>
      <c r="Y43" s="36">
        <v>46296</v>
      </c>
      <c r="Z43" s="36"/>
      <c r="AA43" s="51">
        <v>46260</v>
      </c>
      <c r="AB43" s="36">
        <v>46296</v>
      </c>
      <c r="AC43" s="36">
        <v>46296</v>
      </c>
      <c r="AD43" s="33" t="s">
        <v>132</v>
      </c>
      <c r="AE43" s="33" t="s">
        <v>49</v>
      </c>
      <c r="AF43" s="38"/>
      <c r="AG43" s="36"/>
      <c r="AH43" s="39"/>
      <c r="AI43" s="33"/>
      <c r="AJ43" s="40" t="s">
        <v>133</v>
      </c>
      <c r="AK43" s="72" t="str" cm="1">
        <f t="array" ref="AK43">IF($B43="","",_xlfn.LET(_xlpm.nm,$B43,_xlpm.st,$C43,_xlpm.ou,SUMPRODUCT(('Rework Log'!$A$2:$A$497=_xlpm.nm)*('Rework Log'!$G$2:$G$497&lt;&gt;"Yes")*('Rework Log'!$G$2:$G$497&lt;&gt;"Did not pass re-test")*('Rework Log'!$J$2:$J$497="")),_xlpm.ob,SUMPRODUCT(('Rework Log'!$A$2:$A$497=_xlpm.nm)*('Rework Log'!$G$2:$G$497&lt;&gt;"Yes")*('Rework Log'!$G$2:$G$497&lt;&gt;"Did not pass re-test")),_xlpm.oto,IF(SUMPRODUCT(('Rework Log'!$A$2:$A$497=_xlpm.nm)*('Rework Log'!$G$2:$G$497&lt;&gt;"Yes")*('Rework Log'!$G$2:$G$497&lt;&gt;"Did not pass re-test")*('Rework Log'!$J$2:$J$497=""))=0,"",INDEX('Rework Log'!$D$2:$D$497,MATCH(1,('Rework Log'!$A$2:$A$497=_xlpm.nm)*('Rework Log'!$G$2:$G$497&lt;&gt;"Yes")*('Rework Log'!$G$2:$G$497&lt;&gt;"Did not pass re-test")*('Rework Log'!$J$2:$J$497=""),0))),_xlpm.sent,_xlfn.MAXIFS('Rework Log'!$B$2:$B$497,'Rework Log'!$A$2:$A$497,_xlpm.nm),_xlpm.act,_xlfn.IFS(_xlpm.st="NOT STARTED",$M43,_xlpm.st="DB Dev",$M43,_xlpm.st="PBI Dev",$S43,_xlpm.st="QA",$Y43,_xlpm.st="DPO Approval",$AC43,_xlpm.st="Ready for Release in Prod",$AG43,TRUE,""),_xlpm.nxt,_xlfn.IFS(_xlpm.st="NOT STARTED","PBI Dev",_xlpm.st="DB Dev","PBI Dev",_xlpm.st="PBI Dev","QA",_xlpm.st="QA","DPO Approval",_xlpm.st="DPO Approval","Ready for Release in Prod",_xlpm.st="Ready for Release in Prod","RELEASED IN PROD",TRUE,""),IF(AND(_xlpm.ou&gt;0,_xlpm.st&lt;&gt;_xlpm.oto),"Move status back to "&amp;_xlpm.oto,IF(AND(_xlpm.ob=0,LEFT($AJ43,3)="Yes"),"Blocked - log it on Rework Log",IF(AND(_xlpm.ob&gt;0,LEFT($AJ43,3)&lt;&gt;"Yes"),"Open rework row - mark Blocked or close it",IF(AND(_xlpm.ob=0,_xlpm.act&lt;&gt;"",_xlpm.act&gt;=_xlpm.sent,_xlpm.nxt&lt;&gt;""),"Move status to "&amp;_xlpm.nxt,IF(COUNTIF($B$2:$B$528,$B43)&gt;1,"Duplicate name - check row",IF(COUNTIF('Rework Log'!$A$2:$A$497,$B43)&gt;0,"",IF(AND($V43&lt;&gt;"",$K43&lt;&gt;"",$V43&lt;$K43),"QA target is before DB Dev target",IF(AND($V43&lt;&gt;"",$Q43&lt;&gt;"",$V43&lt;$Q43),"QA target is before PBI Dev target",IF(AND($AA43&lt;&gt;"",$V43&lt;&gt;"",$AA43&lt;$V43),"DPO Approval target is before QA target",IF(AND($AG43&lt;&gt;"",$AA43&lt;&gt;"",$AG43&lt;$AA43),"Confirmed Deployed date is before DPO Approval target",""))))))))))))</f>
        <v>Blocked - log it on Rework Log</v>
      </c>
      <c r="AL43" s="41" t="s">
        <v>168</v>
      </c>
      <c r="AM43" s="32" cm="1">
        <f t="array" ref="AM43">_xlfn.LET(_xlpm.rep,$B43,_xlpm.sent,_xlfn.MAXIFS('Rework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46279</v>
      </c>
      <c r="AN43" s="32" cm="1">
        <f t="array" ref="AN43">_xlfn.LET(_xlpm.rep,$B43,_xlpm.sent,_xlfn.MAXIFS('Rework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46304</v>
      </c>
    </row>
    <row r="44" spans="1:40" hidden="1">
      <c r="A44" s="33" t="s">
        <v>126</v>
      </c>
      <c r="B44" s="33" t="s">
        <v>169</v>
      </c>
      <c r="C44" s="33" t="s">
        <v>128</v>
      </c>
      <c r="D44" t="str" cm="1">
        <f t="array" aca="1" ref="D44" ca="1">IF(AND(C44="Ready for Release in Prod",LEFT($AJ44,3)&lt;&gt;"Yes"),IF(AG44&lt;&gt;"","Delivered","On track"),IF($B44="","",IF(LEFT($AJ44,3)="Yes","Blocked - "&amp;MID($AJ44,7,100)&amp;IF(SUMPRODUCT(('Rework Log'!$A$2:$A$497=$B44)*('Rework Log'!$G$2:$G$497&lt;&gt;"Yes")*('Rework Log'!$G$2:$G$497&lt;&gt;"Did not pass re-test"))=0,"",IF(SUMPRODUCT(MAX((('Rework Log'!$A$2:$A$497=$B44)*('Rework Log'!$G$2:$G$497&lt;&gt;"Yes")*('Rework Log'!$G$2:$G$497&lt;&gt;"Did not pass re-test"))*'Rework Log'!$I$2:$I$497))=0," - unclaimed"," - promised "&amp;TEXT(SUMPRODUCT(MAX((('Rework Log'!$A$2:$A$497=$B44)*('Rework Log'!$G$2:$G$497&lt;&gt;"Yes")*('Rework Log'!$G$2:$G$497&lt;&gt;"Did not pass re-test"))*'Rework Log'!$I$2:$I$497)),"m/d"))),IF(C44="NOT STARTED",IF(H44="","No plan date set",IF(H44&lt;TODAY(),"Review - planned start passed","On track")),IF(C44="DB Dev",_xlfn.LET(_xlpm.sent,_xlfn.MAXIFS('Rework Log'!$B$2:$B$497,'Rework Log'!$A$2:$A$497,$B44,'Rework Log'!$D$2:$D$497,"DB Dev"),_xlpm.expfix,_xlfn.MAXIFS('Rework Log'!$I$2:$I$497,'Rework Log'!$A$2:$A$497,$B44,'Rework Log'!$D$2:$D$497,"DB Dev",'Rework Log'!$B$2:$B$497,_xlpm.sent),_xlpm.tgt,IF(_xlpm.expfix&gt;0,_xlpm.expfix,IF(L44&lt;&gt;"",L44,K44)),_xlpm.act,IF(AND(M44&lt;&gt;"",M44&gt;=_xlpm.sent),M44,""),IF(_xlpm.tgt="","No target set",IF(AND(_xlpm.tgt&lt;TODAY(),_xlpm.act=""),"Overdue","On track"))),IF(C44="PBI Dev",_xlfn.LET(_xlpm.sent,_xlfn.MAXIFS('Rework Log'!$B$2:$B$497,'Rework Log'!$A$2:$A$497,$B44,'Rework Log'!$D$2:$D$497,"PBI Dev"),_xlpm.expfix,_xlfn.MAXIFS('Rework Log'!$I$2:$I$497,'Rework Log'!$A$2:$A$497,$B44,'Rework Log'!$D$2:$D$497,"PBI Dev",'Rework Log'!$B$2:$B$497,_xlpm.sent),_xlpm.tgt,IF(_xlpm.expfix&gt;0,_xlpm.expfix,IF(R44&lt;&gt;"",R44,Q44)),_xlpm.act,IF(AND(S44&lt;&gt;"",S44&gt;=_xlpm.sent),S44,""),IF(_xlpm.tgt="","No target set",IF(AND(_xlpm.tgt&lt;TODAY(),_xlpm.act=""),"Overdue","On track"))),IF(C44="QA",_xlfn.LET(_xlpm.tgt,IF(AM44&lt;&gt;"",AM44,IF(W44&lt;&gt;"",W44,V44)),_xlpm.sent,_xlfn.MAXIFS('Rework Log'!$B$2:$B$497,'Rework Log'!$A$2:$A$497,$B44,'Rework Log'!$C$2:$C$497,"QA"),_xlpm.act,IF(AND(Y44&lt;&gt;"",Y44&gt;=_xlpm.sent),Y44,""),IF(_xlpm.tgt="","No target set",IF(AND(_xlpm.tgt&lt;TODAY(),_xlpm.act=""),"Overdue","On track"))),IF(C44="DPO Approval",_xlfn.LET(_xlpm.tgt,IF(AN44&lt;&gt;"",AN44,IF(AB44&lt;&gt;"",AB44,AA44)),_xlpm.sent,_xlfn.MAXIFS('Rework Log'!$B$2:$B$497,'Rework Log'!$A$2:$A$497,$B44,'Rework Log'!$C$2:$C$497,"DPO*"),_xlpm.act,IF(AND(AC44&lt;&gt;"",AC44&gt;=_xlpm.sent),AC44,""),IF(_xlpm.tgt="","No target set",IF(AND(_xlpm.tgt&lt;TODAY(),_xlpm.act=""),"Overdue","On track"))),IF(C44="RELEASED IN PROD","Delivered","")))))))))</f>
        <v>Blocked - needs DPO Approval to fix</v>
      </c>
      <c r="E44" s="33">
        <v>18</v>
      </c>
      <c r="F44" s="34" t="s">
        <v>144</v>
      </c>
      <c r="G44" s="33"/>
      <c r="H44" s="49">
        <v>46265</v>
      </c>
      <c r="I44" s="60" t="s">
        <v>166</v>
      </c>
      <c r="J44" s="33" t="s">
        <v>59</v>
      </c>
      <c r="K44" s="4">
        <v>46234</v>
      </c>
      <c r="L44" s="36">
        <v>46255</v>
      </c>
      <c r="M44" s="36">
        <v>46255</v>
      </c>
      <c r="N44" s="36" t="s">
        <v>45</v>
      </c>
      <c r="O44" s="36" t="s">
        <v>167</v>
      </c>
      <c r="P44" s="64" t="s">
        <v>46</v>
      </c>
      <c r="Q44" s="4">
        <v>46241</v>
      </c>
      <c r="R44" s="36">
        <v>46258</v>
      </c>
      <c r="S44" s="36">
        <v>46258</v>
      </c>
      <c r="T44" s="68"/>
      <c r="U44" s="53" t="s">
        <v>47</v>
      </c>
      <c r="V44" s="58">
        <v>46255</v>
      </c>
      <c r="W44" s="36">
        <v>46274</v>
      </c>
      <c r="X44" s="36">
        <v>46268</v>
      </c>
      <c r="Y44" s="36">
        <v>46273</v>
      </c>
      <c r="Z44" s="36"/>
      <c r="AA44" s="51">
        <v>46260</v>
      </c>
      <c r="AB44" s="36">
        <v>46283</v>
      </c>
      <c r="AC44" s="36">
        <v>46283</v>
      </c>
      <c r="AD44" s="33" t="s">
        <v>170</v>
      </c>
      <c r="AE44" s="33" t="s">
        <v>49</v>
      </c>
      <c r="AF44" s="38"/>
      <c r="AG44" s="36"/>
      <c r="AH44" s="39"/>
      <c r="AI44" s="33"/>
      <c r="AJ44" s="40" t="s">
        <v>171</v>
      </c>
      <c r="AK44" s="72" t="str" cm="1">
        <f t="array" ref="AK44">IF($B44="","",_xlfn.LET(_xlpm.nm,$B44,_xlpm.st,$C44,_xlpm.ou,SUMPRODUCT(('Rework Log'!$A$2:$A$497=_xlpm.nm)*('Rework Log'!$G$2:$G$497&lt;&gt;"Yes")*('Rework Log'!$G$2:$G$497&lt;&gt;"Did not pass re-test")*('Rework Log'!$J$2:$J$497="")),_xlpm.ob,SUMPRODUCT(('Rework Log'!$A$2:$A$497=_xlpm.nm)*('Rework Log'!$G$2:$G$497&lt;&gt;"Yes")*('Rework Log'!$G$2:$G$497&lt;&gt;"Did not pass re-test")),_xlpm.oto,IF(SUMPRODUCT(('Rework Log'!$A$2:$A$497=_xlpm.nm)*('Rework Log'!$G$2:$G$497&lt;&gt;"Yes")*('Rework Log'!$G$2:$G$497&lt;&gt;"Did not pass re-test")*('Rework Log'!$J$2:$J$497=""))=0,"",INDEX('Rework Log'!$D$2:$D$497,MATCH(1,('Rework Log'!$A$2:$A$497=_xlpm.nm)*('Rework Log'!$G$2:$G$497&lt;&gt;"Yes")*('Rework Log'!$G$2:$G$497&lt;&gt;"Did not pass re-test")*('Rework Log'!$J$2:$J$497=""),0))),_xlpm.sent,_xlfn.MAXIFS('Rework Log'!$B$2:$B$497,'Rework Log'!$A$2:$A$497,_xlpm.nm),_xlpm.act,_xlfn.IFS(_xlpm.st="NOT STARTED",$M44,_xlpm.st="DB Dev",$M44,_xlpm.st="PBI Dev",$S44,_xlpm.st="QA",$Y44,_xlpm.st="DPO Approval",$AC44,_xlpm.st="Ready for Release in Prod",$AG44,TRUE,""),_xlpm.nxt,_xlfn.IFS(_xlpm.st="NOT STARTED","PBI Dev",_xlpm.st="DB Dev","PBI Dev",_xlpm.st="PBI Dev","QA",_xlpm.st="QA","DPO Approval",_xlpm.st="DPO Approval","Ready for Release in Prod",_xlpm.st="Ready for Release in Prod","RELEASED IN PROD",TRUE,""),IF(AND(_xlpm.ou&gt;0,_xlpm.st&lt;&gt;_xlpm.oto),"Move status back to "&amp;_xlpm.oto,IF(AND(_xlpm.ob=0,LEFT($AJ44,3)="Yes"),"Blocked - log it on Rework Log",IF(AND(_xlpm.ob&gt;0,LEFT($AJ44,3)&lt;&gt;"Yes"),"Open rework row - mark Blocked or close it",IF(AND(_xlpm.ob=0,_xlpm.act&lt;&gt;"",_xlpm.act&gt;=_xlpm.sent,_xlpm.nxt&lt;&gt;""),"Move status to "&amp;_xlpm.nxt,IF(COUNTIF($B$2:$B$528,$B44)&gt;1,"Duplicate name - check row",IF(COUNTIF('Rework Log'!$A$2:$A$497,$B44)&gt;0,"",IF(AND($V44&lt;&gt;"",$K44&lt;&gt;"",$V44&lt;$K44),"QA target is before DB Dev target",IF(AND($V44&lt;&gt;"",$Q44&lt;&gt;"",$V44&lt;$Q44),"QA target is before PBI Dev target",IF(AND($AA44&lt;&gt;"",$V44&lt;&gt;"",$AA44&lt;$V44),"DPO Approval target is before QA target",IF(AND($AG44&lt;&gt;"",$AA44&lt;&gt;"",$AG44&lt;$AA44),"Confirmed Deployed date is before DPO Approval target",""))))))))))))</f>
        <v>Blocked - log it on Rework Log</v>
      </c>
      <c r="AL44" s="140" t="s">
        <v>172</v>
      </c>
      <c r="AM44" s="32" cm="1">
        <f t="array" ref="AM44">_xlfn.LET(_xlpm.rep,$B44,_xlpm.sent,_xlfn.MAXIFS('Rework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46273</v>
      </c>
      <c r="AN44" s="32" t="str" cm="1">
        <f t="array" ref="AN44">_xlfn.LET(_xlpm.rep,$B44,_xlpm.sent,_xlfn.MAXIFS('Rework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45" spans="1:40" hidden="1">
      <c r="A45" s="33" t="s">
        <v>126</v>
      </c>
      <c r="B45" s="33" t="s">
        <v>173</v>
      </c>
      <c r="C45" s="33" t="s">
        <v>128</v>
      </c>
      <c r="D45" t="str" cm="1">
        <f t="array" aca="1" ref="D45" ca="1">IF(AND(C45="Ready for Release in Prod",LEFT($AJ45,3)&lt;&gt;"Yes"),IF(AG45&lt;&gt;"","Delivered","On track"),IF($B45="","",IF(LEFT($AJ45,3)="Yes","Blocked - "&amp;MID($AJ45,7,100)&amp;IF(SUMPRODUCT(('Rework Log'!$A$2:$A$497=$B45)*('Rework Log'!$G$2:$G$497&lt;&gt;"Yes")*('Rework Log'!$G$2:$G$497&lt;&gt;"Did not pass re-test"))=0,"",IF(SUMPRODUCT(MAX((('Rework Log'!$A$2:$A$497=$B45)*('Rework Log'!$G$2:$G$497&lt;&gt;"Yes")*('Rework Log'!$G$2:$G$497&lt;&gt;"Did not pass re-test"))*'Rework Log'!$I$2:$I$497))=0," - unclaimed"," - promised "&amp;TEXT(SUMPRODUCT(MAX((('Rework Log'!$A$2:$A$497=$B45)*('Rework Log'!$G$2:$G$497&lt;&gt;"Yes")*('Rework Log'!$G$2:$G$497&lt;&gt;"Did not pass re-test"))*'Rework Log'!$I$2:$I$497)),"m/d"))),IF(C45="NOT STARTED",IF(H45="","No plan date set",IF(H45&lt;TODAY(),"Review - planned start passed","On track")),IF(C45="DB Dev",_xlfn.LET(_xlpm.sent,_xlfn.MAXIFS('Rework Log'!$B$2:$B$497,'Rework Log'!$A$2:$A$497,$B45,'Rework Log'!$D$2:$D$497,"DB Dev"),_xlpm.expfix,_xlfn.MAXIFS('Rework Log'!$I$2:$I$497,'Rework Log'!$A$2:$A$497,$B45,'Rework Log'!$D$2:$D$497,"DB Dev",'Rework Log'!$B$2:$B$497,_xlpm.sent),_xlpm.tgt,IF(_xlpm.expfix&gt;0,_xlpm.expfix,IF(L45&lt;&gt;"",L45,K45)),_xlpm.act,IF(AND(M45&lt;&gt;"",M45&gt;=_xlpm.sent),M45,""),IF(_xlpm.tgt="","No target set",IF(AND(_xlpm.tgt&lt;TODAY(),_xlpm.act=""),"Overdue","On track"))),IF(C45="PBI Dev",_xlfn.LET(_xlpm.sent,_xlfn.MAXIFS('Rework Log'!$B$2:$B$497,'Rework Log'!$A$2:$A$497,$B45,'Rework Log'!$D$2:$D$497,"PBI Dev"),_xlpm.expfix,_xlfn.MAXIFS('Rework Log'!$I$2:$I$497,'Rework Log'!$A$2:$A$497,$B45,'Rework Log'!$D$2:$D$497,"PBI Dev",'Rework Log'!$B$2:$B$497,_xlpm.sent),_xlpm.tgt,IF(_xlpm.expfix&gt;0,_xlpm.expfix,IF(R45&lt;&gt;"",R45,Q45)),_xlpm.act,IF(AND(S45&lt;&gt;"",S45&gt;=_xlpm.sent),S45,""),IF(_xlpm.tgt="","No target set",IF(AND(_xlpm.tgt&lt;TODAY(),_xlpm.act=""),"Overdue","On track"))),IF(C45="QA",_xlfn.LET(_xlpm.tgt,IF(AM45&lt;&gt;"",AM45,IF(W45&lt;&gt;"",W45,V45)),_xlpm.sent,_xlfn.MAXIFS('Rework Log'!$B$2:$B$497,'Rework Log'!$A$2:$A$497,$B45,'Rework Log'!$C$2:$C$497,"QA"),_xlpm.act,IF(AND(Y45&lt;&gt;"",Y45&gt;=_xlpm.sent),Y45,""),IF(_xlpm.tgt="","No target set",IF(AND(_xlpm.tgt&lt;TODAY(),_xlpm.act=""),"Overdue","On track"))),IF(C45="DPO Approval",_xlfn.LET(_xlpm.tgt,IF(AN45&lt;&gt;"",AN45,IF(AB45&lt;&gt;"",AB45,AA45)),_xlpm.sent,_xlfn.MAXIFS('Rework Log'!$B$2:$B$497,'Rework Log'!$A$2:$A$497,$B45,'Rework Log'!$C$2:$C$497,"DPO*"),_xlpm.act,IF(AND(AC45&lt;&gt;"",AC45&gt;=_xlpm.sent),AC45,""),IF(_xlpm.tgt="","No target set",IF(AND(_xlpm.tgt&lt;TODAY(),_xlpm.act=""),"Overdue","On track"))),IF(C45="RELEASED IN PROD","Delivered","")))))))))</f>
        <v>Blocked - Blocked in Prod</v>
      </c>
      <c r="E45" s="33">
        <v>19</v>
      </c>
      <c r="F45" s="34" t="s">
        <v>129</v>
      </c>
      <c r="G45" s="33"/>
      <c r="H45" s="49">
        <v>46265</v>
      </c>
      <c r="I45" s="60" t="s">
        <v>166</v>
      </c>
      <c r="J45" s="33" t="s">
        <v>44</v>
      </c>
      <c r="K45" s="4">
        <v>46234</v>
      </c>
      <c r="L45" s="36">
        <v>46249</v>
      </c>
      <c r="M45" s="36">
        <v>46244</v>
      </c>
      <c r="N45" s="36"/>
      <c r="O45" s="36" t="s">
        <v>167</v>
      </c>
      <c r="P45" s="64" t="s">
        <v>77</v>
      </c>
      <c r="Q45" s="4">
        <v>46241</v>
      </c>
      <c r="R45" s="36">
        <v>46252</v>
      </c>
      <c r="S45" s="36">
        <v>46265</v>
      </c>
      <c r="T45" s="68"/>
      <c r="U45" s="53" t="s">
        <v>47</v>
      </c>
      <c r="V45" s="58">
        <v>46255</v>
      </c>
      <c r="W45" s="36">
        <v>46268</v>
      </c>
      <c r="X45" s="36"/>
      <c r="Y45" s="36">
        <v>46265</v>
      </c>
      <c r="Z45" s="36"/>
      <c r="AA45" s="51">
        <v>46260</v>
      </c>
      <c r="AB45" s="36">
        <v>46283</v>
      </c>
      <c r="AC45" s="36">
        <v>46283</v>
      </c>
      <c r="AD45" s="33" t="s">
        <v>170</v>
      </c>
      <c r="AE45" s="33" t="s">
        <v>49</v>
      </c>
      <c r="AF45" s="38"/>
      <c r="AG45" s="36"/>
      <c r="AH45" s="39"/>
      <c r="AI45" s="33"/>
      <c r="AJ45" s="40" t="s">
        <v>133</v>
      </c>
      <c r="AK45" s="72" t="str" cm="1">
        <f t="array" ref="AK45">IF($B45="","",_xlfn.LET(_xlpm.nm,$B45,_xlpm.st,$C45,_xlpm.ou,SUMPRODUCT(('Rework Log'!$A$2:$A$497=_xlpm.nm)*('Rework Log'!$G$2:$G$497&lt;&gt;"Yes")*('Rework Log'!$G$2:$G$497&lt;&gt;"Did not pass re-test")*('Rework Log'!$J$2:$J$497="")),_xlpm.ob,SUMPRODUCT(('Rework Log'!$A$2:$A$497=_xlpm.nm)*('Rework Log'!$G$2:$G$497&lt;&gt;"Yes")*('Rework Log'!$G$2:$G$497&lt;&gt;"Did not pass re-test")),_xlpm.oto,IF(SUMPRODUCT(('Rework Log'!$A$2:$A$497=_xlpm.nm)*('Rework Log'!$G$2:$G$497&lt;&gt;"Yes")*('Rework Log'!$G$2:$G$497&lt;&gt;"Did not pass re-test")*('Rework Log'!$J$2:$J$497=""))=0,"",INDEX('Rework Log'!$D$2:$D$497,MATCH(1,('Rework Log'!$A$2:$A$497=_xlpm.nm)*('Rework Log'!$G$2:$G$497&lt;&gt;"Yes")*('Rework Log'!$G$2:$G$497&lt;&gt;"Did not pass re-test")*('Rework Log'!$J$2:$J$497=""),0))),_xlpm.sent,_xlfn.MAXIFS('Rework Log'!$B$2:$B$497,'Rework Log'!$A$2:$A$497,_xlpm.nm),_xlpm.act,_xlfn.IFS(_xlpm.st="NOT STARTED",$M45,_xlpm.st="DB Dev",$M45,_xlpm.st="PBI Dev",$S45,_xlpm.st="QA",$Y45,_xlpm.st="DPO Approval",$AC45,_xlpm.st="Ready for Release in Prod",$AG45,TRUE,""),_xlpm.nxt,_xlfn.IFS(_xlpm.st="NOT STARTED","PBI Dev",_xlpm.st="DB Dev","PBI Dev",_xlpm.st="PBI Dev","QA",_xlpm.st="QA","DPO Approval",_xlpm.st="DPO Approval","Ready for Release in Prod",_xlpm.st="Ready for Release in Prod","RELEASED IN PROD",TRUE,""),IF(AND(_xlpm.ou&gt;0,_xlpm.st&lt;&gt;_xlpm.oto),"Move status back to "&amp;_xlpm.oto,IF(AND(_xlpm.ob=0,LEFT($AJ45,3)="Yes"),"Blocked - log it on Rework Log",IF(AND(_xlpm.ob&gt;0,LEFT($AJ45,3)&lt;&gt;"Yes"),"Open rework row - mark Blocked or close it",IF(AND(_xlpm.ob=0,_xlpm.act&lt;&gt;"",_xlpm.act&gt;=_xlpm.sent,_xlpm.nxt&lt;&gt;""),"Move status to "&amp;_xlpm.nxt,IF(COUNTIF($B$2:$B$528,$B45)&gt;1,"Duplicate name - check row",IF(COUNTIF('Rework Log'!$A$2:$A$497,$B45)&gt;0,"",IF(AND($V45&lt;&gt;"",$K45&lt;&gt;"",$V45&lt;$K45),"QA target is before DB Dev target",IF(AND($V45&lt;&gt;"",$Q45&lt;&gt;"",$V45&lt;$Q45),"QA target is before PBI Dev target",IF(AND($AA45&lt;&gt;"",$V45&lt;&gt;"",$AA45&lt;$V45),"DPO Approval target is before QA target",IF(AND($AG45&lt;&gt;"",$AA45&lt;&gt;"",$AG45&lt;$AA45),"Confirmed Deployed date is before DPO Approval target",""))))))))))))</f>
        <v>Blocked - log it on Rework Log</v>
      </c>
      <c r="AL45" s="41" t="s">
        <v>174</v>
      </c>
      <c r="AM45" s="32" cm="1">
        <f t="array" ref="AM45">_xlfn.LET(_xlpm.rep,$B45,_xlpm.sent,_xlfn.MAXIFS('Rework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46268</v>
      </c>
      <c r="AN45" s="32" t="str" cm="1">
        <f t="array" ref="AN45">_xlfn.LET(_xlpm.rep,$B45,_xlpm.sent,_xlfn.MAXIFS('Rework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46" spans="1:40" hidden="1">
      <c r="A46" s="33" t="s">
        <v>126</v>
      </c>
      <c r="B46" s="33" t="s">
        <v>175</v>
      </c>
      <c r="C46" s="33" t="s">
        <v>128</v>
      </c>
      <c r="D46" t="str" cm="1">
        <f t="array" aca="1" ref="D46" ca="1">IF(AND(C46="Ready for Release in Prod",LEFT($AJ46,3)&lt;&gt;"Yes"),IF(AG46&lt;&gt;"","Delivered","On track"),IF($B46="","",IF(LEFT($AJ46,3)="Yes","Blocked - "&amp;MID($AJ46,7,100)&amp;IF(SUMPRODUCT(('Rework Log'!$A$2:$A$497=$B46)*('Rework Log'!$G$2:$G$497&lt;&gt;"Yes")*('Rework Log'!$G$2:$G$497&lt;&gt;"Did not pass re-test"))=0,"",IF(SUMPRODUCT(MAX((('Rework Log'!$A$2:$A$497=$B46)*('Rework Log'!$G$2:$G$497&lt;&gt;"Yes")*('Rework Log'!$G$2:$G$497&lt;&gt;"Did not pass re-test"))*'Rework Log'!$I$2:$I$497))=0," - unclaimed"," - promised "&amp;TEXT(SUMPRODUCT(MAX((('Rework Log'!$A$2:$A$497=$B46)*('Rework Log'!$G$2:$G$497&lt;&gt;"Yes")*('Rework Log'!$G$2:$G$497&lt;&gt;"Did not pass re-test"))*'Rework Log'!$I$2:$I$497)),"m/d"))),IF(C46="NOT STARTED",IF(H46="","No plan date set",IF(H46&lt;TODAY(),"Review - planned start passed","On track")),IF(C46="DB Dev",_xlfn.LET(_xlpm.sent,_xlfn.MAXIFS('Rework Log'!$B$2:$B$497,'Rework Log'!$A$2:$A$497,$B46,'Rework Log'!$D$2:$D$497,"DB Dev"),_xlpm.expfix,_xlfn.MAXIFS('Rework Log'!$I$2:$I$497,'Rework Log'!$A$2:$A$497,$B46,'Rework Log'!$D$2:$D$497,"DB Dev",'Rework Log'!$B$2:$B$497,_xlpm.sent),_xlpm.tgt,IF(_xlpm.expfix&gt;0,_xlpm.expfix,IF(L46&lt;&gt;"",L46,K46)),_xlpm.act,IF(AND(M46&lt;&gt;"",M46&gt;=_xlpm.sent),M46,""),IF(_xlpm.tgt="","No target set",IF(AND(_xlpm.tgt&lt;TODAY(),_xlpm.act=""),"Overdue","On track"))),IF(C46="PBI Dev",_xlfn.LET(_xlpm.sent,_xlfn.MAXIFS('Rework Log'!$B$2:$B$497,'Rework Log'!$A$2:$A$497,$B46,'Rework Log'!$D$2:$D$497,"PBI Dev"),_xlpm.expfix,_xlfn.MAXIFS('Rework Log'!$I$2:$I$497,'Rework Log'!$A$2:$A$497,$B46,'Rework Log'!$D$2:$D$497,"PBI Dev",'Rework Log'!$B$2:$B$497,_xlpm.sent),_xlpm.tgt,IF(_xlpm.expfix&gt;0,_xlpm.expfix,IF(R46&lt;&gt;"",R46,Q46)),_xlpm.act,IF(AND(S46&lt;&gt;"",S46&gt;=_xlpm.sent),S46,""),IF(_xlpm.tgt="","No target set",IF(AND(_xlpm.tgt&lt;TODAY(),_xlpm.act=""),"Overdue","On track"))),IF(C46="QA",_xlfn.LET(_xlpm.tgt,IF(AM46&lt;&gt;"",AM46,IF(W46&lt;&gt;"",W46,V46)),_xlpm.sent,_xlfn.MAXIFS('Rework Log'!$B$2:$B$497,'Rework Log'!$A$2:$A$497,$B46,'Rework Log'!$C$2:$C$497,"QA"),_xlpm.act,IF(AND(Y46&lt;&gt;"",Y46&gt;=_xlpm.sent),Y46,""),IF(_xlpm.tgt="","No target set",IF(AND(_xlpm.tgt&lt;TODAY(),_xlpm.act=""),"Overdue","On track"))),IF(C46="DPO Approval",_xlfn.LET(_xlpm.tgt,IF(AN46&lt;&gt;"",AN46,IF(AB46&lt;&gt;"",AB46,AA46)),_xlpm.sent,_xlfn.MAXIFS('Rework Log'!$B$2:$B$497,'Rework Log'!$A$2:$A$497,$B46,'Rework Log'!$C$2:$C$497,"DPO*"),_xlpm.act,IF(AND(AC46&lt;&gt;"",AC46&gt;=_xlpm.sent),AC46,""),IF(_xlpm.tgt="","No target set",IF(AND(_xlpm.tgt&lt;TODAY(),_xlpm.act=""),"Overdue","On track"))),IF(C46="RELEASED IN PROD","Delivered","")))))))))</f>
        <v>Blocked - Blocked in Prod</v>
      </c>
      <c r="E46" s="33">
        <v>20</v>
      </c>
      <c r="F46" s="34" t="s">
        <v>129</v>
      </c>
      <c r="G46" s="33"/>
      <c r="H46" s="49">
        <v>46265</v>
      </c>
      <c r="I46" s="60" t="s">
        <v>166</v>
      </c>
      <c r="J46" s="33" t="s">
        <v>84</v>
      </c>
      <c r="K46" s="4">
        <v>46234</v>
      </c>
      <c r="L46" s="36">
        <v>46213</v>
      </c>
      <c r="M46" s="36">
        <v>46244</v>
      </c>
      <c r="N46" s="36"/>
      <c r="O46" s="36" t="s">
        <v>176</v>
      </c>
      <c r="P46" s="64" t="s">
        <v>60</v>
      </c>
      <c r="Q46" s="4">
        <v>46241</v>
      </c>
      <c r="R46" s="36">
        <v>46261</v>
      </c>
      <c r="S46" s="36">
        <v>46261</v>
      </c>
      <c r="T46" s="68"/>
      <c r="U46" s="53" t="s">
        <v>47</v>
      </c>
      <c r="V46" s="58">
        <v>46255</v>
      </c>
      <c r="W46" s="36">
        <v>46269</v>
      </c>
      <c r="X46" s="36"/>
      <c r="Y46" s="36">
        <v>46266</v>
      </c>
      <c r="Z46" s="36"/>
      <c r="AA46" s="51">
        <v>46260</v>
      </c>
      <c r="AB46" s="36">
        <v>46282</v>
      </c>
      <c r="AC46" s="36">
        <v>46283</v>
      </c>
      <c r="AD46" s="33" t="s">
        <v>132</v>
      </c>
      <c r="AE46" s="33" t="s">
        <v>49</v>
      </c>
      <c r="AF46" s="38"/>
      <c r="AG46" s="36"/>
      <c r="AH46" s="39"/>
      <c r="AI46" s="33"/>
      <c r="AJ46" s="40" t="s">
        <v>133</v>
      </c>
      <c r="AK46" s="72" t="str">
        <f>IF($B46="","",IF(AND(LEFT($AJ46,3)="Yes",SUMPRODUCT(('Rework Log'!$A$2:$A$497=$B46)*('Rework Log'!$G$2:$G$497&lt;&gt;"Yes")*('Rework Log'!$G$2:$G$497&lt;&gt;"Did not pass re-test"))=0),"Blocked - log it on Rework Log",IF(AND(LEFT($AJ46,3)&lt;&gt;"Yes",SUMPRODUCT(('Rework Log'!$A$2:$A$497=$B46)*('Rework Log'!$G$2:$G$497&lt;&gt;"Yes")*('Rework Log'!$G$2:$G$497&lt;&gt;"Did not pass re-test"))&gt;0),"Open rework row - mark Blocked? or close it",IF(AND($AJ46="Yes – needs DB Dev to fix",M46&lt;&gt;"",SUMPRODUCT(MAX((('Rework Log'!$A$2:$A$497=$B46)*('Rework Log'!$G$2:$G$497&lt;&gt;"Yes")*('Rework Log'!$G$2:$G$497&lt;&gt;"Did not pass re-test"))*'Rework Log'!$I$2:$I$497))&gt;0),"Move old DB Dev completion date to Rework Log (col H)",IF(AND($AJ46="Yes – needs PBI Dev to fix",S46&lt;&gt;"",SUMPRODUCT(MAX((('Rework Log'!$A$2:$A$497=$B46)*('Rework Log'!$G$2:$G$497&lt;&gt;"Yes")*('Rework Log'!$G$2:$G$497&lt;&gt;"Did not pass re-test"))*'Rework Log'!$I$2:$I$497))&gt;0),"Move old PBI Dev completion date to Rework Log (col H)",IF(AND($AJ46="Yes – needs QA to fix",Y46&lt;&gt;"",SUMPRODUCT(MAX((('Rework Log'!$A$2:$A$497=$B46)*('Rework Log'!$G$2:$G$497&lt;&gt;"Yes")*('Rework Log'!$G$2:$G$497&lt;&gt;"Did not pass re-test"))*'Rework Log'!$I$2:$I$497))&gt;0),"Move old QA completion date to Rework Log (col H)",IF(COUNTIF($B$2:$B$528,$B46)&gt;1,"Duplicate name - check row",IF(COUNTIF('Rework Log'!$A$2:$A$497,$B46)&gt;0,"",IF(AND(V46&lt;&gt;"",K46&lt;&gt;"",V46&lt;K46),"QA target is before DB Dev target",IF(AND(V46&lt;&gt;"",Q46&lt;&gt;"",V46&lt;Q46),"QA target is before PBI Dev target",IF(AND(AA46&lt;&gt;"",V46&lt;&gt;"",AA46&lt;V46),"DPO Approval target is before QA target",IF(AND(AG46&lt;&gt;"",AA46&lt;&gt;"",AG46&lt;AA46),"Confirmed Deployed date is before DPO Approval target",""))))))))))))</f>
        <v>Blocked - log it on Rework Log</v>
      </c>
      <c r="AL46" s="41" t="s">
        <v>174</v>
      </c>
      <c r="AM46" s="32" cm="1">
        <f t="array" ref="AM46">_xlfn.LET(_xlpm.rep,$B46,_xlpm.sent,_xlfn.MAXIFS('Rework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46269</v>
      </c>
      <c r="AN46" s="32" t="str" cm="1">
        <f t="array" ref="AN46">_xlfn.LET(_xlpm.rep,$B46,_xlpm.sent,_xlfn.MAXIFS('Rework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47" spans="1:40" hidden="1">
      <c r="A47" s="33" t="s">
        <v>126</v>
      </c>
      <c r="B47" s="33" t="s">
        <v>177</v>
      </c>
      <c r="C47" s="33" t="s">
        <v>128</v>
      </c>
      <c r="D47" t="str" cm="1">
        <f t="array" aca="1" ref="D47" ca="1">IF(AND(C47="Ready for Release in Prod",LEFT($AJ47,3)&lt;&gt;"Yes"),IF(AG47&lt;&gt;"","Delivered","On track"),IF($B47="","",IF(LEFT($AJ47,3)="Yes","Blocked - "&amp;MID($AJ47,7,100)&amp;IF(SUMPRODUCT(('Rework Log'!$A$2:$A$497=$B47)*('Rework Log'!$G$2:$G$497&lt;&gt;"Yes")*('Rework Log'!$G$2:$G$497&lt;&gt;"Did not pass re-test"))=0,"",IF(SUMPRODUCT(MAX((('Rework Log'!$A$2:$A$497=$B47)*('Rework Log'!$G$2:$G$497&lt;&gt;"Yes")*('Rework Log'!$G$2:$G$497&lt;&gt;"Did not pass re-test"))*'Rework Log'!$I$2:$I$497))=0," - unclaimed"," - promised "&amp;TEXT(SUMPRODUCT(MAX((('Rework Log'!$A$2:$A$497=$B47)*('Rework Log'!$G$2:$G$497&lt;&gt;"Yes")*('Rework Log'!$G$2:$G$497&lt;&gt;"Did not pass re-test"))*'Rework Log'!$I$2:$I$497)),"m/d"))),IF(C47="NOT STARTED",IF(H47="","No plan date set",IF(H47&lt;TODAY(),"Review - planned start passed","On track")),IF(C47="DB Dev",_xlfn.LET(_xlpm.sent,_xlfn.MAXIFS('Rework Log'!$B$2:$B$497,'Rework Log'!$A$2:$A$497,$B47,'Rework Log'!$D$2:$D$497,"DB Dev"),_xlpm.expfix,_xlfn.MAXIFS('Rework Log'!$I$2:$I$497,'Rework Log'!$A$2:$A$497,$B47,'Rework Log'!$D$2:$D$497,"DB Dev",'Rework Log'!$B$2:$B$497,_xlpm.sent),_xlpm.tgt,IF(_xlpm.expfix&gt;0,_xlpm.expfix,IF(L47&lt;&gt;"",L47,K47)),_xlpm.act,IF(AND(M47&lt;&gt;"",M47&gt;=_xlpm.sent),M47,""),IF(_xlpm.tgt="","No target set",IF(AND(_xlpm.tgt&lt;TODAY(),_xlpm.act=""),"Overdue","On track"))),IF(C47="PBI Dev",_xlfn.LET(_xlpm.sent,_xlfn.MAXIFS('Rework Log'!$B$2:$B$497,'Rework Log'!$A$2:$A$497,$B47,'Rework Log'!$D$2:$D$497,"PBI Dev"),_xlpm.expfix,_xlfn.MAXIFS('Rework Log'!$I$2:$I$497,'Rework Log'!$A$2:$A$497,$B47,'Rework Log'!$D$2:$D$497,"PBI Dev",'Rework Log'!$B$2:$B$497,_xlpm.sent),_xlpm.tgt,IF(_xlpm.expfix&gt;0,_xlpm.expfix,IF(R47&lt;&gt;"",R47,Q47)),_xlpm.act,IF(AND(S47&lt;&gt;"",S47&gt;=_xlpm.sent),S47,""),IF(_xlpm.tgt="","No target set",IF(AND(_xlpm.tgt&lt;TODAY(),_xlpm.act=""),"Overdue","On track"))),IF(C47="QA",_xlfn.LET(_xlpm.tgt,IF(AM47&lt;&gt;"",AM47,IF(W47&lt;&gt;"",W47,V47)),_xlpm.sent,_xlfn.MAXIFS('Rework Log'!$B$2:$B$497,'Rework Log'!$A$2:$A$497,$B47,'Rework Log'!$C$2:$C$497,"QA"),_xlpm.act,IF(AND(Y47&lt;&gt;"",Y47&gt;=_xlpm.sent),Y47,""),IF(_xlpm.tgt="","No target set",IF(AND(_xlpm.tgt&lt;TODAY(),_xlpm.act=""),"Overdue","On track"))),IF(C47="DPO Approval",_xlfn.LET(_xlpm.tgt,IF(AN47&lt;&gt;"",AN47,IF(AB47&lt;&gt;"",AB47,AA47)),_xlpm.sent,_xlfn.MAXIFS('Rework Log'!$B$2:$B$497,'Rework Log'!$A$2:$A$497,$B47,'Rework Log'!$C$2:$C$497,"DPO*"),_xlpm.act,IF(AND(AC47&lt;&gt;"",AC47&gt;=_xlpm.sent),AC47,""),IF(_xlpm.tgt="","No target set",IF(AND(_xlpm.tgt&lt;TODAY(),_xlpm.act=""),"Overdue","On track"))),IF(C47="RELEASED IN PROD","Delivered","")))))))))</f>
        <v>Blocked - Blocked in Prod</v>
      </c>
      <c r="E47" s="33">
        <v>21</v>
      </c>
      <c r="F47" s="34" t="s">
        <v>129</v>
      </c>
      <c r="G47" s="33"/>
      <c r="H47" s="49">
        <v>46265</v>
      </c>
      <c r="I47" s="60" t="s">
        <v>166</v>
      </c>
      <c r="J47" s="33" t="s">
        <v>155</v>
      </c>
      <c r="K47" s="4">
        <v>46234</v>
      </c>
      <c r="L47" s="36">
        <v>46246</v>
      </c>
      <c r="M47" s="36">
        <v>46246</v>
      </c>
      <c r="N47" s="36" t="s">
        <v>45</v>
      </c>
      <c r="O47" s="36" t="s">
        <v>178</v>
      </c>
      <c r="P47" s="64" t="s">
        <v>77</v>
      </c>
      <c r="Q47" s="4">
        <v>46241</v>
      </c>
      <c r="R47" s="36">
        <v>46261</v>
      </c>
      <c r="S47" s="36">
        <v>46261</v>
      </c>
      <c r="T47" s="68"/>
      <c r="U47" s="53" t="s">
        <v>129</v>
      </c>
      <c r="V47" s="58">
        <v>46255</v>
      </c>
      <c r="W47" s="36">
        <v>46265</v>
      </c>
      <c r="X47" s="36"/>
      <c r="Y47" s="36">
        <v>46265</v>
      </c>
      <c r="Z47" s="36"/>
      <c r="AA47" s="51">
        <v>46260</v>
      </c>
      <c r="AB47" s="36">
        <v>46282</v>
      </c>
      <c r="AC47" s="36">
        <v>46283</v>
      </c>
      <c r="AD47" s="33" t="s">
        <v>132</v>
      </c>
      <c r="AE47" s="33" t="s">
        <v>49</v>
      </c>
      <c r="AF47" s="38"/>
      <c r="AG47" s="36"/>
      <c r="AH47" s="39"/>
      <c r="AI47" s="33"/>
      <c r="AJ47" s="40" t="s">
        <v>133</v>
      </c>
      <c r="AK47" s="72" t="str" cm="1">
        <f t="array" ref="AK47">IF($B47="","",_xlfn.LET(_xlpm.nm,$B47,_xlpm.st,$C47,_xlpm.ou,SUMPRODUCT(('Rework Log'!$A$2:$A$497=_xlpm.nm)*('Rework Log'!$G$2:$G$497&lt;&gt;"Yes")*('Rework Log'!$G$2:$G$497&lt;&gt;"Did not pass re-test")*('Rework Log'!$J$2:$J$497="")),_xlpm.ob,SUMPRODUCT(('Rework Log'!$A$2:$A$497=_xlpm.nm)*('Rework Log'!$G$2:$G$497&lt;&gt;"Yes")*('Rework Log'!$G$2:$G$497&lt;&gt;"Did not pass re-test")),_xlpm.oto,IF(SUMPRODUCT(('Rework Log'!$A$2:$A$497=_xlpm.nm)*('Rework Log'!$G$2:$G$497&lt;&gt;"Yes")*('Rework Log'!$G$2:$G$497&lt;&gt;"Did not pass re-test")*('Rework Log'!$J$2:$J$497=""))=0,"",INDEX('Rework Log'!$D$2:$D$497,MATCH(1,('Rework Log'!$A$2:$A$497=_xlpm.nm)*('Rework Log'!$G$2:$G$497&lt;&gt;"Yes")*('Rework Log'!$G$2:$G$497&lt;&gt;"Did not pass re-test")*('Rework Log'!$J$2:$J$497=""),0))),_xlpm.sent,_xlfn.MAXIFS('Rework Log'!$B$2:$B$497,'Rework Log'!$A$2:$A$497,_xlpm.nm),_xlpm.act,_xlfn.IFS(_xlpm.st="NOT STARTED",$M47,_xlpm.st="DB Dev",$M47,_xlpm.st="PBI Dev",$S47,_xlpm.st="QA",$Y47,_xlpm.st="DPO Approval",$AC47,_xlpm.st="Ready for Release in Prod",$AG47,TRUE,""),_xlpm.nxt,_xlfn.IFS(_xlpm.st="NOT STARTED","PBI Dev",_xlpm.st="DB Dev","PBI Dev",_xlpm.st="PBI Dev","QA",_xlpm.st="QA","DPO Approval",_xlpm.st="DPO Approval","Ready for Release in Prod",_xlpm.st="Ready for Release in Prod","RELEASED IN PROD",TRUE,""),IF(AND(_xlpm.ou&gt;0,_xlpm.st&lt;&gt;_xlpm.oto),"Move status back to "&amp;_xlpm.oto,IF(AND(_xlpm.ob=0,LEFT($AJ47,3)="Yes"),"Blocked - log it on Rework Log",IF(AND(_xlpm.ob&gt;0,LEFT($AJ47,3)&lt;&gt;"Yes"),"Open rework row - mark Blocked or close it",IF(AND(_xlpm.ob=0,_xlpm.act&lt;&gt;"",_xlpm.act&gt;=_xlpm.sent,_xlpm.nxt&lt;&gt;""),"Move status to "&amp;_xlpm.nxt,IF(COUNTIF($B$2:$B$528,$B47)&gt;1,"Duplicate name - check row",IF(COUNTIF('Rework Log'!$A$2:$A$497,$B47)&gt;0,"",IF(AND($V47&lt;&gt;"",$K47&lt;&gt;"",$V47&lt;$K47),"QA target is before DB Dev target",IF(AND($V47&lt;&gt;"",$Q47&lt;&gt;"",$V47&lt;$Q47),"QA target is before PBI Dev target",IF(AND($AA47&lt;&gt;"",$V47&lt;&gt;"",$AA47&lt;$V47),"DPO Approval target is before QA target",IF(AND($AG47&lt;&gt;"",$AA47&lt;&gt;"",$AG47&lt;$AA47),"Confirmed Deployed date is before DPO Approval target",""))))))))))))</f>
        <v>Blocked - log it on Rework Log</v>
      </c>
      <c r="AL47" s="41" t="s">
        <v>174</v>
      </c>
      <c r="AM47" s="32" t="str" cm="1">
        <f t="array" ref="AM47">_xlfn.LET(_xlpm.rep,$B47,_xlpm.sent,_xlfn.MAXIFS('Rework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
      </c>
      <c r="AN47" s="32" t="str" cm="1">
        <f t="array" ref="AN47">_xlfn.LET(_xlpm.rep,$B47,_xlpm.sent,_xlfn.MAXIFS('Rework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48" spans="1:40" hidden="1">
      <c r="A48" s="33" t="s">
        <v>126</v>
      </c>
      <c r="B48" s="33" t="s">
        <v>179</v>
      </c>
      <c r="C48" s="33" t="s">
        <v>128</v>
      </c>
      <c r="D48" t="str" cm="1">
        <f t="array" aca="1" ref="D48" ca="1">IF(AND(C48="Ready for Release in Prod",LEFT($AJ48,3)&lt;&gt;"Yes"),IF(AG48&lt;&gt;"","Delivered","On track"),IF($B48="","",IF(LEFT($AJ48,3)="Yes","Blocked - "&amp;MID($AJ48,7,100)&amp;IF(SUMPRODUCT(('Rework Log'!$A$2:$A$497=$B48)*('Rework Log'!$G$2:$G$497&lt;&gt;"Yes")*('Rework Log'!$G$2:$G$497&lt;&gt;"Did not pass re-test"))=0,"",IF(SUMPRODUCT(MAX((('Rework Log'!$A$2:$A$497=$B48)*('Rework Log'!$G$2:$G$497&lt;&gt;"Yes")*('Rework Log'!$G$2:$G$497&lt;&gt;"Did not pass re-test"))*'Rework Log'!$I$2:$I$497))=0," - unclaimed"," - promised "&amp;TEXT(SUMPRODUCT(MAX((('Rework Log'!$A$2:$A$497=$B48)*('Rework Log'!$G$2:$G$497&lt;&gt;"Yes")*('Rework Log'!$G$2:$G$497&lt;&gt;"Did not pass re-test"))*'Rework Log'!$I$2:$I$497)),"m/d"))),IF(C48="NOT STARTED",IF(H48="","No plan date set",IF(H48&lt;TODAY(),"Review - planned start passed","On track")),IF(C48="DB Dev",_xlfn.LET(_xlpm.sent,_xlfn.MAXIFS('Rework Log'!$B$2:$B$497,'Rework Log'!$A$2:$A$497,$B48,'Rework Log'!$D$2:$D$497,"DB Dev"),_xlpm.expfix,_xlfn.MAXIFS('Rework Log'!$I$2:$I$497,'Rework Log'!$A$2:$A$497,$B48,'Rework Log'!$D$2:$D$497,"DB Dev",'Rework Log'!$B$2:$B$497,_xlpm.sent),_xlpm.tgt,IF(_xlpm.expfix&gt;0,_xlpm.expfix,IF(L48&lt;&gt;"",L48,K48)),_xlpm.act,IF(AND(M48&lt;&gt;"",M48&gt;=_xlpm.sent),M48,""),IF(_xlpm.tgt="","No target set",IF(AND(_xlpm.tgt&lt;TODAY(),_xlpm.act=""),"Overdue","On track"))),IF(C48="PBI Dev",_xlfn.LET(_xlpm.sent,_xlfn.MAXIFS('Rework Log'!$B$2:$B$497,'Rework Log'!$A$2:$A$497,$B48,'Rework Log'!$D$2:$D$497,"PBI Dev"),_xlpm.expfix,_xlfn.MAXIFS('Rework Log'!$I$2:$I$497,'Rework Log'!$A$2:$A$497,$B48,'Rework Log'!$D$2:$D$497,"PBI Dev",'Rework Log'!$B$2:$B$497,_xlpm.sent),_xlpm.tgt,IF(_xlpm.expfix&gt;0,_xlpm.expfix,IF(R48&lt;&gt;"",R48,Q48)),_xlpm.act,IF(AND(S48&lt;&gt;"",S48&gt;=_xlpm.sent),S48,""),IF(_xlpm.tgt="","No target set",IF(AND(_xlpm.tgt&lt;TODAY(),_xlpm.act=""),"Overdue","On track"))),IF(C48="QA",_xlfn.LET(_xlpm.tgt,IF(AM48&lt;&gt;"",AM48,IF(W48&lt;&gt;"",W48,V48)),_xlpm.sent,_xlfn.MAXIFS('Rework Log'!$B$2:$B$497,'Rework Log'!$A$2:$A$497,$B48,'Rework Log'!$C$2:$C$497,"QA"),_xlpm.act,IF(AND(Y48&lt;&gt;"",Y48&gt;=_xlpm.sent),Y48,""),IF(_xlpm.tgt="","No target set",IF(AND(_xlpm.tgt&lt;TODAY(),_xlpm.act=""),"Overdue","On track"))),IF(C48="DPO Approval",_xlfn.LET(_xlpm.tgt,IF(AN48&lt;&gt;"",AN48,IF(AB48&lt;&gt;"",AB48,AA48)),_xlpm.sent,_xlfn.MAXIFS('Rework Log'!$B$2:$B$497,'Rework Log'!$A$2:$A$497,$B48,'Rework Log'!$C$2:$C$497,"DPO*"),_xlpm.act,IF(AND(AC48&lt;&gt;"",AC48&gt;=_xlpm.sent),AC48,""),IF(_xlpm.tgt="","No target set",IF(AND(_xlpm.tgt&lt;TODAY(),_xlpm.act=""),"Overdue","On track"))),IF(C48="RELEASED IN PROD","Delivered","")))))))))</f>
        <v>Blocked - Blocked in Prod</v>
      </c>
      <c r="E48" s="33">
        <v>22</v>
      </c>
      <c r="F48" s="34" t="s">
        <v>144</v>
      </c>
      <c r="G48" s="33"/>
      <c r="H48" s="49">
        <v>46265</v>
      </c>
      <c r="I48" s="60" t="s">
        <v>166</v>
      </c>
      <c r="J48" s="33" t="s">
        <v>103</v>
      </c>
      <c r="K48" s="4">
        <v>46234</v>
      </c>
      <c r="L48" s="36">
        <v>46255</v>
      </c>
      <c r="M48" s="36">
        <v>46253</v>
      </c>
      <c r="N48" s="36" t="s">
        <v>45</v>
      </c>
      <c r="O48" s="36" t="s">
        <v>178</v>
      </c>
      <c r="P48" s="64" t="s">
        <v>46</v>
      </c>
      <c r="Q48" s="4">
        <v>46241</v>
      </c>
      <c r="R48" s="36">
        <v>46255</v>
      </c>
      <c r="S48" s="36">
        <v>46255</v>
      </c>
      <c r="T48" s="68"/>
      <c r="U48" s="53" t="s">
        <v>144</v>
      </c>
      <c r="V48" s="58">
        <v>46255</v>
      </c>
      <c r="W48" s="36">
        <v>46269</v>
      </c>
      <c r="X48" s="36"/>
      <c r="Y48" s="36">
        <v>46269</v>
      </c>
      <c r="Z48" s="36"/>
      <c r="AA48" s="51">
        <v>46260</v>
      </c>
      <c r="AB48" s="46">
        <v>46283</v>
      </c>
      <c r="AC48" s="36">
        <v>46283</v>
      </c>
      <c r="AD48" s="33" t="s">
        <v>170</v>
      </c>
      <c r="AE48" s="33" t="s">
        <v>49</v>
      </c>
      <c r="AF48" s="38"/>
      <c r="AG48" s="36"/>
      <c r="AH48" s="39"/>
      <c r="AI48" s="33"/>
      <c r="AJ48" s="40" t="s">
        <v>133</v>
      </c>
      <c r="AK48" s="72" t="str" cm="1">
        <f t="array" ref="AK48">IF($B48="","",_xlfn.LET(_xlpm.nm,$B48,_xlpm.st,$C48,_xlpm.ou,SUMPRODUCT(('Rework Log'!$A$2:$A$497=_xlpm.nm)*('Rework Log'!$G$2:$G$497&lt;&gt;"Yes")*('Rework Log'!$G$2:$G$497&lt;&gt;"Did not pass re-test")*('Rework Log'!$J$2:$J$497="")),_xlpm.ob,SUMPRODUCT(('Rework Log'!$A$2:$A$497=_xlpm.nm)*('Rework Log'!$G$2:$G$497&lt;&gt;"Yes")*('Rework Log'!$G$2:$G$497&lt;&gt;"Did not pass re-test")),_xlpm.oto,IF(SUMPRODUCT(('Rework Log'!$A$2:$A$497=_xlpm.nm)*('Rework Log'!$G$2:$G$497&lt;&gt;"Yes")*('Rework Log'!$G$2:$G$497&lt;&gt;"Did not pass re-test")*('Rework Log'!$J$2:$J$497=""))=0,"",INDEX('Rework Log'!$D$2:$D$497,MATCH(1,('Rework Log'!$A$2:$A$497=_xlpm.nm)*('Rework Log'!$G$2:$G$497&lt;&gt;"Yes")*('Rework Log'!$G$2:$G$497&lt;&gt;"Did not pass re-test")*('Rework Log'!$J$2:$J$497=""),0))),_xlpm.sent,_xlfn.MAXIFS('Rework Log'!$B$2:$B$497,'Rework Log'!$A$2:$A$497,_xlpm.nm),_xlpm.act,_xlfn.IFS(_xlpm.st="NOT STARTED",$M48,_xlpm.st="DB Dev",$M48,_xlpm.st="PBI Dev",$S48,_xlpm.st="QA",$Y48,_xlpm.st="DPO Approval",$AC48,_xlpm.st="Ready for Release in Prod",$AG48,TRUE,""),_xlpm.nxt,_xlfn.IFS(_xlpm.st="NOT STARTED","PBI Dev",_xlpm.st="DB Dev","PBI Dev",_xlpm.st="PBI Dev","QA",_xlpm.st="QA","DPO Approval",_xlpm.st="DPO Approval","Ready for Release in Prod",_xlpm.st="Ready for Release in Prod","RELEASED IN PROD",TRUE,""),IF(AND(_xlpm.ou&gt;0,_xlpm.st&lt;&gt;_xlpm.oto),"Move status back to "&amp;_xlpm.oto,IF(AND(_xlpm.ob=0,LEFT($AJ48,3)="Yes"),"Blocked - log it on Rework Log",IF(AND(_xlpm.ob&gt;0,LEFT($AJ48,3)&lt;&gt;"Yes"),"Open rework row - mark Blocked or close it",IF(AND(_xlpm.ob=0,_xlpm.act&lt;&gt;"",_xlpm.act&gt;=_xlpm.sent,_xlpm.nxt&lt;&gt;""),"Move status to "&amp;_xlpm.nxt,IF(COUNTIF($B$2:$B$528,$B48)&gt;1,"Duplicate name - check row",IF(COUNTIF('Rework Log'!$A$2:$A$497,$B48)&gt;0,"",IF(AND($V48&lt;&gt;"",$K48&lt;&gt;"",$V48&lt;$K48),"QA target is before DB Dev target",IF(AND($V48&lt;&gt;"",$Q48&lt;&gt;"",$V48&lt;$Q48),"QA target is before PBI Dev target",IF(AND($AA48&lt;&gt;"",$V48&lt;&gt;"",$AA48&lt;$V48),"DPO Approval target is before QA target",IF(AND($AG48&lt;&gt;"",$AA48&lt;&gt;"",$AG48&lt;$AA48),"Confirmed Deployed date is before DPO Approval target",""))))))))))))</f>
        <v>Blocked - log it on Rework Log</v>
      </c>
      <c r="AL48" s="41" t="s">
        <v>180</v>
      </c>
      <c r="AM48" s="32" t="str" cm="1">
        <f t="array" ref="AM48">_xlfn.LET(_xlpm.rep,$B48,_xlpm.sent,_xlfn.MAXIFS('Rework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
      </c>
      <c r="AN48" s="32" t="str" cm="1">
        <f t="array" ref="AN48">_xlfn.LET(_xlpm.rep,$B48,_xlpm.sent,_xlfn.MAXIFS('Rework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49" spans="1:40" hidden="1">
      <c r="A49" s="33" t="s">
        <v>126</v>
      </c>
      <c r="B49" s="33" t="s">
        <v>181</v>
      </c>
      <c r="C49" s="33" t="s">
        <v>128</v>
      </c>
      <c r="D49" t="str" cm="1">
        <f t="array" aca="1" ref="D49" ca="1">IF(AND(C49="Ready for Release in Prod",LEFT($AJ49,3)&lt;&gt;"Yes"),IF(AG49&lt;&gt;"","Delivered","On track"),IF($B49="","",IF(LEFT($AJ49,3)="Yes","Blocked - "&amp;MID($AJ49,7,100)&amp;IF(SUMPRODUCT(('Rework Log'!$A$2:$A$497=$B49)*('Rework Log'!$G$2:$G$497&lt;&gt;"Yes")*('Rework Log'!$G$2:$G$497&lt;&gt;"Did not pass re-test"))=0,"",IF(SUMPRODUCT(MAX((('Rework Log'!$A$2:$A$497=$B49)*('Rework Log'!$G$2:$G$497&lt;&gt;"Yes")*('Rework Log'!$G$2:$G$497&lt;&gt;"Did not pass re-test"))*'Rework Log'!$I$2:$I$497))=0," - unclaimed"," - promised "&amp;TEXT(SUMPRODUCT(MAX((('Rework Log'!$A$2:$A$497=$B49)*('Rework Log'!$G$2:$G$497&lt;&gt;"Yes")*('Rework Log'!$G$2:$G$497&lt;&gt;"Did not pass re-test"))*'Rework Log'!$I$2:$I$497)),"m/d"))),IF(C49="NOT STARTED",IF(H49="","No plan date set",IF(H49&lt;TODAY(),"Review - planned start passed","On track")),IF(C49="DB Dev",_xlfn.LET(_xlpm.sent,_xlfn.MAXIFS('Rework Log'!$B$2:$B$497,'Rework Log'!$A$2:$A$497,$B49,'Rework Log'!$D$2:$D$497,"DB Dev"),_xlpm.expfix,_xlfn.MAXIFS('Rework Log'!$I$2:$I$497,'Rework Log'!$A$2:$A$497,$B49,'Rework Log'!$D$2:$D$497,"DB Dev",'Rework Log'!$B$2:$B$497,_xlpm.sent),_xlpm.tgt,IF(_xlpm.expfix&gt;0,_xlpm.expfix,IF(L49&lt;&gt;"",L49,K49)),_xlpm.act,IF(AND(M49&lt;&gt;"",M49&gt;=_xlpm.sent),M49,""),IF(_xlpm.tgt="","No target set",IF(AND(_xlpm.tgt&lt;TODAY(),_xlpm.act=""),"Overdue","On track"))),IF(C49="PBI Dev",_xlfn.LET(_xlpm.sent,_xlfn.MAXIFS('Rework Log'!$B$2:$B$497,'Rework Log'!$A$2:$A$497,$B49,'Rework Log'!$D$2:$D$497,"PBI Dev"),_xlpm.expfix,_xlfn.MAXIFS('Rework Log'!$I$2:$I$497,'Rework Log'!$A$2:$A$497,$B49,'Rework Log'!$D$2:$D$497,"PBI Dev",'Rework Log'!$B$2:$B$497,_xlpm.sent),_xlpm.tgt,IF(_xlpm.expfix&gt;0,_xlpm.expfix,IF(R49&lt;&gt;"",R49,Q49)),_xlpm.act,IF(AND(S49&lt;&gt;"",S49&gt;=_xlpm.sent),S49,""),IF(_xlpm.tgt="","No target set",IF(AND(_xlpm.tgt&lt;TODAY(),_xlpm.act=""),"Overdue","On track"))),IF(C49="QA",_xlfn.LET(_xlpm.tgt,IF(AM49&lt;&gt;"",AM49,IF(W49&lt;&gt;"",W49,V49)),_xlpm.sent,_xlfn.MAXIFS('Rework Log'!$B$2:$B$497,'Rework Log'!$A$2:$A$497,$B49,'Rework Log'!$C$2:$C$497,"QA"),_xlpm.act,IF(AND(Y49&lt;&gt;"",Y49&gt;=_xlpm.sent),Y49,""),IF(_xlpm.tgt="","No target set",IF(AND(_xlpm.tgt&lt;TODAY(),_xlpm.act=""),"Overdue","On track"))),IF(C49="DPO Approval",_xlfn.LET(_xlpm.tgt,IF(AN49&lt;&gt;"",AN49,IF(AB49&lt;&gt;"",AB49,AA49)),_xlpm.sent,_xlfn.MAXIFS('Rework Log'!$B$2:$B$497,'Rework Log'!$A$2:$A$497,$B49,'Rework Log'!$C$2:$C$497,"DPO*"),_xlpm.act,IF(AND(AC49&lt;&gt;"",AC49&gt;=_xlpm.sent),AC49,""),IF(_xlpm.tgt="","No target set",IF(AND(_xlpm.tgt&lt;TODAY(),_xlpm.act=""),"Overdue","On track"))),IF(C49="RELEASED IN PROD","Delivered","")))))))))</f>
        <v>Blocked - Blocked in Prod</v>
      </c>
      <c r="E49" s="33">
        <v>23</v>
      </c>
      <c r="F49" s="34" t="s">
        <v>129</v>
      </c>
      <c r="G49" s="33"/>
      <c r="H49" s="49">
        <v>46265</v>
      </c>
      <c r="I49" s="60" t="s">
        <v>166</v>
      </c>
      <c r="J49" s="33" t="s">
        <v>155</v>
      </c>
      <c r="K49" s="4">
        <v>46234</v>
      </c>
      <c r="L49" s="36">
        <v>46253</v>
      </c>
      <c r="M49" s="36">
        <v>46265</v>
      </c>
      <c r="N49" s="36" t="s">
        <v>45</v>
      </c>
      <c r="O49" s="36" t="s">
        <v>131</v>
      </c>
      <c r="P49" s="64" t="s">
        <v>46</v>
      </c>
      <c r="Q49" s="4">
        <v>46241</v>
      </c>
      <c r="R49" s="36">
        <v>46259</v>
      </c>
      <c r="S49" s="36">
        <v>46266</v>
      </c>
      <c r="T49" s="68"/>
      <c r="U49" s="53" t="s">
        <v>129</v>
      </c>
      <c r="V49" s="58">
        <v>46255</v>
      </c>
      <c r="W49" s="36">
        <v>46281</v>
      </c>
      <c r="X49" s="36"/>
      <c r="Y49" s="36">
        <v>46286</v>
      </c>
      <c r="Z49" s="36"/>
      <c r="AA49" s="51">
        <v>46260</v>
      </c>
      <c r="AB49" s="36">
        <v>46295</v>
      </c>
      <c r="AC49" s="36">
        <v>46302</v>
      </c>
      <c r="AD49" s="33" t="s">
        <v>182</v>
      </c>
      <c r="AE49" s="33" t="s">
        <v>72</v>
      </c>
      <c r="AF49" s="38"/>
      <c r="AG49" s="36"/>
      <c r="AH49" s="39"/>
      <c r="AI49" s="33"/>
      <c r="AJ49" s="40" t="s">
        <v>133</v>
      </c>
      <c r="AK49" s="72" t="str" cm="1">
        <f t="array" ref="AK49">IF($B49="","",_xlfn.LET(_xlpm.nm,$B49,_xlpm.st,$C49,_xlpm.ou,SUMPRODUCT(('Rework Log'!$A$2:$A$497=_xlpm.nm)*('Rework Log'!$G$2:$G$497&lt;&gt;"Yes")*('Rework Log'!$G$2:$G$497&lt;&gt;"Did not pass re-test")*('Rework Log'!$J$2:$J$497="")),_xlpm.ob,SUMPRODUCT(('Rework Log'!$A$2:$A$497=_xlpm.nm)*('Rework Log'!$G$2:$G$497&lt;&gt;"Yes")*('Rework Log'!$G$2:$G$497&lt;&gt;"Did not pass re-test")),_xlpm.oto,IF(SUMPRODUCT(('Rework Log'!$A$2:$A$497=_xlpm.nm)*('Rework Log'!$G$2:$G$497&lt;&gt;"Yes")*('Rework Log'!$G$2:$G$497&lt;&gt;"Did not pass re-test")*('Rework Log'!$J$2:$J$497=""))=0,"",INDEX('Rework Log'!$D$2:$D$497,MATCH(1,('Rework Log'!$A$2:$A$497=_xlpm.nm)*('Rework Log'!$G$2:$G$497&lt;&gt;"Yes")*('Rework Log'!$G$2:$G$497&lt;&gt;"Did not pass re-test")*('Rework Log'!$J$2:$J$497=""),0))),_xlpm.sent,_xlfn.MAXIFS('Rework Log'!$B$2:$B$497,'Rework Log'!$A$2:$A$497,_xlpm.nm),_xlpm.act,_xlfn.IFS(_xlpm.st="NOT STARTED",$M49,_xlpm.st="DB Dev",$M49,_xlpm.st="PBI Dev",$S49,_xlpm.st="QA",$Y49,_xlpm.st="DPO Approval",$AC49,_xlpm.st="Ready for Release in Prod",$AG49,TRUE,""),_xlpm.nxt,_xlfn.IFS(_xlpm.st="NOT STARTED","PBI Dev",_xlpm.st="DB Dev","PBI Dev",_xlpm.st="PBI Dev","QA",_xlpm.st="QA","DPO Approval",_xlpm.st="DPO Approval","Ready for Release in Prod",_xlpm.st="Ready for Release in Prod","RELEASED IN PROD",TRUE,""),IF(AND(_xlpm.ou&gt;0,_xlpm.st&lt;&gt;_xlpm.oto),"Move status back to "&amp;_xlpm.oto,IF(AND(_xlpm.ob=0,LEFT($AJ49,3)="Yes"),"Blocked - log it on Rework Log",IF(AND(_xlpm.ob&gt;0,LEFT($AJ49,3)&lt;&gt;"Yes"),"Open rework row - mark Blocked or close it",IF(AND(_xlpm.ob=0,_xlpm.act&lt;&gt;"",_xlpm.act&gt;=_xlpm.sent,_xlpm.nxt&lt;&gt;""),"Move status to "&amp;_xlpm.nxt,IF(COUNTIF($B$2:$B$528,$B49)&gt;1,"Duplicate name - check row",IF(COUNTIF('Rework Log'!$A$2:$A$497,$B49)&gt;0,"",IF(AND($V49&lt;&gt;"",$K49&lt;&gt;"",$V49&lt;$K49),"QA target is before DB Dev target",IF(AND($V49&lt;&gt;"",$Q49&lt;&gt;"",$V49&lt;$Q49),"QA target is before PBI Dev target",IF(AND($AA49&lt;&gt;"",$V49&lt;&gt;"",$AA49&lt;$V49),"DPO Approval target is before QA target",IF(AND($AG49&lt;&gt;"",$AA49&lt;&gt;"",$AG49&lt;$AA49),"Confirmed Deployed date is before DPO Approval target",""))))))))))))</f>
        <v>Blocked - log it on Rework Log</v>
      </c>
      <c r="AL49" s="41"/>
      <c r="AM49" s="32" cm="1">
        <f t="array" ref="AM49">_xlfn.LET(_xlpm.rep,$B49,_xlpm.sent,_xlfn.MAXIFS('Rework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46287</v>
      </c>
      <c r="AN49" s="32" t="str" cm="1">
        <f t="array" ref="AN49">_xlfn.LET(_xlpm.rep,$B49,_xlpm.sent,_xlfn.MAXIFS('Rework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50" spans="1:40" ht="15" hidden="1" customHeight="1">
      <c r="A50" s="33" t="s">
        <v>126</v>
      </c>
      <c r="B50" s="33" t="s">
        <v>183</v>
      </c>
      <c r="C50" s="33" t="s">
        <v>128</v>
      </c>
      <c r="D50" t="str" cm="1">
        <f t="array" aca="1" ref="D50" ca="1">IF(AND(C50="Ready for Release in Prod",LEFT($AJ50,3)&lt;&gt;"Yes"),IF(AG50&lt;&gt;"","Delivered","On track"),IF($B50="","",IF(LEFT($AJ50,3)="Yes","Blocked - "&amp;MID($AJ50,7,100)&amp;IF(SUMPRODUCT(('Rework Log'!$A$2:$A$497=$B50)*('Rework Log'!$G$2:$G$497&lt;&gt;"Yes")*('Rework Log'!$G$2:$G$497&lt;&gt;"Did not pass re-test"))=0,"",IF(SUMPRODUCT(MAX((('Rework Log'!$A$2:$A$497=$B50)*('Rework Log'!$G$2:$G$497&lt;&gt;"Yes")*('Rework Log'!$G$2:$G$497&lt;&gt;"Did not pass re-test"))*'Rework Log'!$I$2:$I$497))=0," - unclaimed"," - promised "&amp;TEXT(SUMPRODUCT(MAX((('Rework Log'!$A$2:$A$497=$B50)*('Rework Log'!$G$2:$G$497&lt;&gt;"Yes")*('Rework Log'!$G$2:$G$497&lt;&gt;"Did not pass re-test"))*'Rework Log'!$I$2:$I$497)),"m/d"))),IF(C50="NOT STARTED",IF(H50="","No plan date set",IF(H50&lt;TODAY(),"Review - planned start passed","On track")),IF(C50="DB Dev",_xlfn.LET(_xlpm.sent,_xlfn.MAXIFS('Rework Log'!$B$2:$B$497,'Rework Log'!$A$2:$A$497,$B50,'Rework Log'!$D$2:$D$497,"DB Dev"),_xlpm.expfix,_xlfn.MAXIFS('Rework Log'!$I$2:$I$497,'Rework Log'!$A$2:$A$497,$B50,'Rework Log'!$D$2:$D$497,"DB Dev",'Rework Log'!$B$2:$B$497,_xlpm.sent),_xlpm.tgt,IF(_xlpm.expfix&gt;0,_xlpm.expfix,IF(L50&lt;&gt;"",L50,K50)),_xlpm.act,IF(AND(M50&lt;&gt;"",M50&gt;=_xlpm.sent),M50,""),IF(_xlpm.tgt="","No target set",IF(AND(_xlpm.tgt&lt;TODAY(),_xlpm.act=""),"Overdue","On track"))),IF(C50="PBI Dev",_xlfn.LET(_xlpm.sent,_xlfn.MAXIFS('Rework Log'!$B$2:$B$497,'Rework Log'!$A$2:$A$497,$B50,'Rework Log'!$D$2:$D$497,"PBI Dev"),_xlpm.expfix,_xlfn.MAXIFS('Rework Log'!$I$2:$I$497,'Rework Log'!$A$2:$A$497,$B50,'Rework Log'!$D$2:$D$497,"PBI Dev",'Rework Log'!$B$2:$B$497,_xlpm.sent),_xlpm.tgt,IF(_xlpm.expfix&gt;0,_xlpm.expfix,IF(R50&lt;&gt;"",R50,Q50)),_xlpm.act,IF(AND(S50&lt;&gt;"",S50&gt;=_xlpm.sent),S50,""),IF(_xlpm.tgt="","No target set",IF(AND(_xlpm.tgt&lt;TODAY(),_xlpm.act=""),"Overdue","On track"))),IF(C50="QA",_xlfn.LET(_xlpm.tgt,IF(AM50&lt;&gt;"",AM50,IF(W50&lt;&gt;"",W50,V50)),_xlpm.sent,_xlfn.MAXIFS('Rework Log'!$B$2:$B$497,'Rework Log'!$A$2:$A$497,$B50,'Rework Log'!$C$2:$C$497,"QA"),_xlpm.act,IF(AND(Y50&lt;&gt;"",Y50&gt;=_xlpm.sent),Y50,""),IF(_xlpm.tgt="","No target set",IF(AND(_xlpm.tgt&lt;TODAY(),_xlpm.act=""),"Overdue","On track"))),IF(C50="DPO Approval",_xlfn.LET(_xlpm.tgt,IF(AN50&lt;&gt;"",AN50,IF(AB50&lt;&gt;"",AB50,AA50)),_xlpm.sent,_xlfn.MAXIFS('Rework Log'!$B$2:$B$497,'Rework Log'!$A$2:$A$497,$B50,'Rework Log'!$C$2:$C$497,"DPO*"),_xlpm.act,IF(AND(AC50&lt;&gt;"",AC50&gt;=_xlpm.sent),AC50,""),IF(_xlpm.tgt="","No target set",IF(AND(_xlpm.tgt&lt;TODAY(),_xlpm.act=""),"Overdue","On track"))),IF(C50="RELEASED IN PROD","Delivered","")))))))))</f>
        <v>Blocked - Blocked in Prod</v>
      </c>
      <c r="E50" s="33">
        <v>25</v>
      </c>
      <c r="F50" s="34" t="s">
        <v>144</v>
      </c>
      <c r="G50" s="33"/>
      <c r="H50" s="49">
        <v>46265</v>
      </c>
      <c r="I50" s="60" t="s">
        <v>166</v>
      </c>
      <c r="J50" s="33" t="s">
        <v>44</v>
      </c>
      <c r="K50" s="114">
        <v>46234</v>
      </c>
      <c r="L50" s="115">
        <v>46249</v>
      </c>
      <c r="M50" s="115">
        <v>46245</v>
      </c>
      <c r="N50" s="115" t="s">
        <v>147</v>
      </c>
      <c r="O50" s="115" t="s">
        <v>178</v>
      </c>
      <c r="P50" s="64" t="s">
        <v>60</v>
      </c>
      <c r="Q50" s="4">
        <v>46241</v>
      </c>
      <c r="R50" s="36">
        <v>46252</v>
      </c>
      <c r="S50" s="36">
        <v>46252</v>
      </c>
      <c r="T50" s="68"/>
      <c r="U50" s="53" t="s">
        <v>144</v>
      </c>
      <c r="V50" s="58">
        <v>46255</v>
      </c>
      <c r="W50" s="36">
        <v>46274</v>
      </c>
      <c r="X50" s="36"/>
      <c r="Y50" s="36">
        <v>46273</v>
      </c>
      <c r="Z50" s="36"/>
      <c r="AA50" s="51">
        <v>46260</v>
      </c>
      <c r="AB50" s="36">
        <v>46283</v>
      </c>
      <c r="AC50" s="36">
        <v>46283</v>
      </c>
      <c r="AD50" s="33" t="s">
        <v>170</v>
      </c>
      <c r="AE50" s="33" t="s">
        <v>72</v>
      </c>
      <c r="AF50" s="38"/>
      <c r="AG50" s="36"/>
      <c r="AH50" s="39"/>
      <c r="AI50" s="33"/>
      <c r="AJ50" s="40" t="s">
        <v>133</v>
      </c>
      <c r="AK50" s="72" t="str" cm="1">
        <f t="array" ref="AK50">IF($B50="","",_xlfn.LET(_xlpm.nm,$B50,_xlpm.st,$C50,_xlpm.ou,SUMPRODUCT(('Rework Log'!$A$2:$A$497=_xlpm.nm)*('Rework Log'!$G$2:$G$497&lt;&gt;"Yes")*('Rework Log'!$G$2:$G$497&lt;&gt;"Did not pass re-test")*('Rework Log'!$J$2:$J$497="")),_xlpm.ob,SUMPRODUCT(('Rework Log'!$A$2:$A$497=_xlpm.nm)*('Rework Log'!$G$2:$G$497&lt;&gt;"Yes")*('Rework Log'!$G$2:$G$497&lt;&gt;"Did not pass re-test")),_xlpm.oto,IF(SUMPRODUCT(('Rework Log'!$A$2:$A$497=_xlpm.nm)*('Rework Log'!$G$2:$G$497&lt;&gt;"Yes")*('Rework Log'!$G$2:$G$497&lt;&gt;"Did not pass re-test")*('Rework Log'!$J$2:$J$497=""))=0,"",INDEX('Rework Log'!$D$2:$D$497,MATCH(1,('Rework Log'!$A$2:$A$497=_xlpm.nm)*('Rework Log'!$G$2:$G$497&lt;&gt;"Yes")*('Rework Log'!$G$2:$G$497&lt;&gt;"Did not pass re-test")*('Rework Log'!$J$2:$J$497=""),0))),_xlpm.sent,_xlfn.MAXIFS('Rework Log'!$B$2:$B$497,'Rework Log'!$A$2:$A$497,_xlpm.nm),_xlpm.act,_xlfn.IFS(_xlpm.st="NOT STARTED",$M50,_xlpm.st="DB Dev",$M50,_xlpm.st="PBI Dev",$S50,_xlpm.st="QA",$Y50,_xlpm.st="DPO Approval",$AC50,_xlpm.st="Ready for Release in Prod",$AG50,TRUE,""),_xlpm.nxt,_xlfn.IFS(_xlpm.st="NOT STARTED","PBI Dev",_xlpm.st="DB Dev","PBI Dev",_xlpm.st="PBI Dev","QA",_xlpm.st="QA","DPO Approval",_xlpm.st="DPO Approval","Ready for Release in Prod",_xlpm.st="Ready for Release in Prod","RELEASED IN PROD",TRUE,""),IF(AND(_xlpm.ou&gt;0,_xlpm.st&lt;&gt;_xlpm.oto),"Move status back to "&amp;_xlpm.oto,IF(AND(_xlpm.ob=0,LEFT($AJ50,3)="Yes"),"Blocked - log it on Rework Log",IF(AND(_xlpm.ob&gt;0,LEFT($AJ50,3)&lt;&gt;"Yes"),"Open rework row - mark Blocked or close it",IF(AND(_xlpm.ob=0,_xlpm.act&lt;&gt;"",_xlpm.act&gt;=_xlpm.sent,_xlpm.nxt&lt;&gt;""),"Move status to "&amp;_xlpm.nxt,IF(COUNTIF($B$2:$B$528,$B50)&gt;1,"Duplicate name - check row",IF(COUNTIF('Rework Log'!$A$2:$A$497,$B50)&gt;0,"",IF(AND($V50&lt;&gt;"",$K50&lt;&gt;"",$V50&lt;$K50),"QA target is before DB Dev target",IF(AND($V50&lt;&gt;"",$Q50&lt;&gt;"",$V50&lt;$Q50),"QA target is before PBI Dev target",IF(AND($AA50&lt;&gt;"",$V50&lt;&gt;"",$AA50&lt;$V50),"DPO Approval target is before QA target",IF(AND($AG50&lt;&gt;"",$AA50&lt;&gt;"",$AG50&lt;$AA50),"Confirmed Deployed date is before DPO Approval target",""))))))))))))</f>
        <v>Blocked - log it on Rework Log</v>
      </c>
      <c r="AL50" s="41"/>
      <c r="AM50" s="32" cm="1">
        <f t="array" ref="AM50">_xlfn.LET(_xlpm.rep,$B50,_xlpm.sent,_xlfn.MAXIFS('Rework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46273</v>
      </c>
      <c r="AN50" s="32" t="str" cm="1">
        <f t="array" ref="AN50">_xlfn.LET(_xlpm.rep,$B50,_xlpm.sent,_xlfn.MAXIFS('Rework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51" spans="1:40" hidden="1">
      <c r="A51" s="33" t="s">
        <v>126</v>
      </c>
      <c r="B51" s="33" t="s">
        <v>184</v>
      </c>
      <c r="C51" s="33" t="s">
        <v>128</v>
      </c>
      <c r="D51" t="str" cm="1">
        <f t="array" aca="1" ref="D51" ca="1">IF(AND(C51="Ready for Release in Prod",LEFT($AJ51,3)&lt;&gt;"Yes"),IF(AG51&lt;&gt;"","Delivered","On track"),IF($B51="","",IF(LEFT($AJ51,3)="Yes","Blocked - "&amp;MID($AJ51,7,100)&amp;IF(SUMPRODUCT(('Rework Log'!$A$2:$A$497=$B51)*('Rework Log'!$G$2:$G$497&lt;&gt;"Yes")*('Rework Log'!$G$2:$G$497&lt;&gt;"Did not pass re-test"))=0,"",IF(SUMPRODUCT(MAX((('Rework Log'!$A$2:$A$497=$B51)*('Rework Log'!$G$2:$G$497&lt;&gt;"Yes")*('Rework Log'!$G$2:$G$497&lt;&gt;"Did not pass re-test"))*'Rework Log'!$I$2:$I$497))=0," - unclaimed"," - promised "&amp;TEXT(SUMPRODUCT(MAX((('Rework Log'!$A$2:$A$497=$B51)*('Rework Log'!$G$2:$G$497&lt;&gt;"Yes")*('Rework Log'!$G$2:$G$497&lt;&gt;"Did not pass re-test"))*'Rework Log'!$I$2:$I$497)),"m/d"))),IF(C51="NOT STARTED",IF(H51="","No plan date set",IF(H51&lt;TODAY(),"Review - planned start passed","On track")),IF(C51="DB Dev",_xlfn.LET(_xlpm.sent,_xlfn.MAXIFS('Rework Log'!$B$2:$B$497,'Rework Log'!$A$2:$A$497,$B51,'Rework Log'!$D$2:$D$497,"DB Dev"),_xlpm.expfix,_xlfn.MAXIFS('Rework Log'!$I$2:$I$497,'Rework Log'!$A$2:$A$497,$B51,'Rework Log'!$D$2:$D$497,"DB Dev",'Rework Log'!$B$2:$B$497,_xlpm.sent),_xlpm.tgt,IF(_xlpm.expfix&gt;0,_xlpm.expfix,IF(L51&lt;&gt;"",L51,K51)),_xlpm.act,IF(AND(M51&lt;&gt;"",M51&gt;=_xlpm.sent),M51,""),IF(_xlpm.tgt="","No target set",IF(AND(_xlpm.tgt&lt;TODAY(),_xlpm.act=""),"Overdue","On track"))),IF(C51="PBI Dev",_xlfn.LET(_xlpm.sent,_xlfn.MAXIFS('Rework Log'!$B$2:$B$497,'Rework Log'!$A$2:$A$497,$B51,'Rework Log'!$D$2:$D$497,"PBI Dev"),_xlpm.expfix,_xlfn.MAXIFS('Rework Log'!$I$2:$I$497,'Rework Log'!$A$2:$A$497,$B51,'Rework Log'!$D$2:$D$497,"PBI Dev",'Rework Log'!$B$2:$B$497,_xlpm.sent),_xlpm.tgt,IF(_xlpm.expfix&gt;0,_xlpm.expfix,IF(R51&lt;&gt;"",R51,Q51)),_xlpm.act,IF(AND(S51&lt;&gt;"",S51&gt;=_xlpm.sent),S51,""),IF(_xlpm.tgt="","No target set",IF(AND(_xlpm.tgt&lt;TODAY(),_xlpm.act=""),"Overdue","On track"))),IF(C51="QA",_xlfn.LET(_xlpm.tgt,IF(AM51&lt;&gt;"",AM51,IF(W51&lt;&gt;"",W51,V51)),_xlpm.sent,_xlfn.MAXIFS('Rework Log'!$B$2:$B$497,'Rework Log'!$A$2:$A$497,$B51,'Rework Log'!$C$2:$C$497,"QA"),_xlpm.act,IF(AND(Y51&lt;&gt;"",Y51&gt;=_xlpm.sent),Y51,""),IF(_xlpm.tgt="","No target set",IF(AND(_xlpm.tgt&lt;TODAY(),_xlpm.act=""),"Overdue","On track"))),IF(C51="DPO Approval",_xlfn.LET(_xlpm.tgt,IF(AN51&lt;&gt;"",AN51,IF(AB51&lt;&gt;"",AB51,AA51)),_xlpm.sent,_xlfn.MAXIFS('Rework Log'!$B$2:$B$497,'Rework Log'!$A$2:$A$497,$B51,'Rework Log'!$C$2:$C$497,"DPO*"),_xlpm.act,IF(AND(AC51&lt;&gt;"",AC51&gt;=_xlpm.sent),AC51,""),IF(_xlpm.tgt="","No target set",IF(AND(_xlpm.tgt&lt;TODAY(),_xlpm.act=""),"Overdue","On track"))),IF(C51="RELEASED IN PROD","Delivered","")))))))))</f>
        <v>Blocked - Blocked in Prod</v>
      </c>
      <c r="E51" s="33">
        <v>26</v>
      </c>
      <c r="F51" s="34" t="s">
        <v>144</v>
      </c>
      <c r="G51" s="33"/>
      <c r="H51" s="49">
        <v>46265</v>
      </c>
      <c r="I51" s="60" t="s">
        <v>166</v>
      </c>
      <c r="J51" s="33" t="s">
        <v>76</v>
      </c>
      <c r="K51" s="4">
        <v>46234</v>
      </c>
      <c r="L51" s="36">
        <v>46248</v>
      </c>
      <c r="M51" s="36">
        <v>46248</v>
      </c>
      <c r="N51" s="36" t="s">
        <v>45</v>
      </c>
      <c r="O51" s="36" t="s">
        <v>178</v>
      </c>
      <c r="P51" s="64" t="s">
        <v>77</v>
      </c>
      <c r="Q51" s="4">
        <v>46241</v>
      </c>
      <c r="R51" s="36">
        <v>46255</v>
      </c>
      <c r="S51" s="36">
        <v>46260</v>
      </c>
      <c r="T51" s="68"/>
      <c r="U51" s="53" t="s">
        <v>144</v>
      </c>
      <c r="V51" s="58">
        <v>46255</v>
      </c>
      <c r="W51" s="36">
        <v>46276</v>
      </c>
      <c r="X51" s="36"/>
      <c r="Y51" s="36">
        <v>46276</v>
      </c>
      <c r="Z51" s="36"/>
      <c r="AA51" s="51">
        <v>46260</v>
      </c>
      <c r="AB51" s="36">
        <v>46283</v>
      </c>
      <c r="AC51" s="36">
        <v>46283</v>
      </c>
      <c r="AD51" s="33" t="s">
        <v>185</v>
      </c>
      <c r="AE51" s="33" t="s">
        <v>72</v>
      </c>
      <c r="AF51" s="38"/>
      <c r="AG51" s="36"/>
      <c r="AH51" s="39"/>
      <c r="AI51" s="33"/>
      <c r="AJ51" s="40" t="s">
        <v>133</v>
      </c>
      <c r="AK51" s="72" t="str" cm="1">
        <f t="array" ref="AK51">IF($B51="","",_xlfn.LET(_xlpm.nm,$B51,_xlpm.st,$C51,_xlpm.ou,SUMPRODUCT(('Rework Log'!$A$2:$A$497=_xlpm.nm)*('Rework Log'!$G$2:$G$497&lt;&gt;"Yes")*('Rework Log'!$G$2:$G$497&lt;&gt;"Did not pass re-test")*('Rework Log'!$J$2:$J$497="")),_xlpm.ob,SUMPRODUCT(('Rework Log'!$A$2:$A$497=_xlpm.nm)*('Rework Log'!$G$2:$G$497&lt;&gt;"Yes")*('Rework Log'!$G$2:$G$497&lt;&gt;"Did not pass re-test")),_xlpm.oto,IF(SUMPRODUCT(('Rework Log'!$A$2:$A$497=_xlpm.nm)*('Rework Log'!$G$2:$G$497&lt;&gt;"Yes")*('Rework Log'!$G$2:$G$497&lt;&gt;"Did not pass re-test")*('Rework Log'!$J$2:$J$497=""))=0,"",INDEX('Rework Log'!$D$2:$D$497,MATCH(1,('Rework Log'!$A$2:$A$497=_xlpm.nm)*('Rework Log'!$G$2:$G$497&lt;&gt;"Yes")*('Rework Log'!$G$2:$G$497&lt;&gt;"Did not pass re-test")*('Rework Log'!$J$2:$J$497=""),0))),_xlpm.sent,_xlfn.MAXIFS('Rework Log'!$B$2:$B$497,'Rework Log'!$A$2:$A$497,_xlpm.nm),_xlpm.act,_xlfn.IFS(_xlpm.st="NOT STARTED",$M51,_xlpm.st="DB Dev",$M51,_xlpm.st="PBI Dev",$S51,_xlpm.st="QA",$Y51,_xlpm.st="DPO Approval",$AC51,_xlpm.st="Ready for Release in Prod",$AG51,TRUE,""),_xlpm.nxt,_xlfn.IFS(_xlpm.st="NOT STARTED","PBI Dev",_xlpm.st="DB Dev","PBI Dev",_xlpm.st="PBI Dev","QA",_xlpm.st="QA","DPO Approval",_xlpm.st="DPO Approval","Ready for Release in Prod",_xlpm.st="Ready for Release in Prod","RELEASED IN PROD",TRUE,""),IF(AND(_xlpm.ou&gt;0,_xlpm.st&lt;&gt;_xlpm.oto),"Move status back to "&amp;_xlpm.oto,IF(AND(_xlpm.ob=0,LEFT($AJ51,3)="Yes"),"Blocked - log it on Rework Log",IF(AND(_xlpm.ob&gt;0,LEFT($AJ51,3)&lt;&gt;"Yes"),"Open rework row - mark Blocked or close it",IF(AND(_xlpm.ob=0,_xlpm.act&lt;&gt;"",_xlpm.act&gt;=_xlpm.sent,_xlpm.nxt&lt;&gt;""),"Move status to "&amp;_xlpm.nxt,IF(COUNTIF($B$2:$B$528,$B51)&gt;1,"Duplicate name - check row",IF(COUNTIF('Rework Log'!$A$2:$A$497,$B51)&gt;0,"",IF(AND($V51&lt;&gt;"",$K51&lt;&gt;"",$V51&lt;$K51),"QA target is before DB Dev target",IF(AND($V51&lt;&gt;"",$Q51&lt;&gt;"",$V51&lt;$Q51),"QA target is before PBI Dev target",IF(AND($AA51&lt;&gt;"",$V51&lt;&gt;"",$AA51&lt;$V51),"DPO Approval target is before QA target",IF(AND($AG51&lt;&gt;"",$AA51&lt;&gt;"",$AG51&lt;$AA51),"Confirmed Deployed date is before DPO Approval target",""))))))))))))</f>
        <v>Blocked - log it on Rework Log</v>
      </c>
      <c r="AL51" s="41" t="s">
        <v>180</v>
      </c>
      <c r="AM51" s="32" t="str" cm="1">
        <f t="array" ref="AM51">_xlfn.LET(_xlpm.rep,$B51,_xlpm.sent,_xlfn.MAXIFS('Rework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
      </c>
      <c r="AN51" s="32" t="str" cm="1">
        <f t="array" ref="AN51">_xlfn.LET(_xlpm.rep,$B51,_xlpm.sent,_xlfn.MAXIFS('Rework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52" spans="1:40" ht="16.899999999999999" hidden="1" customHeight="1">
      <c r="A52" s="33" t="s">
        <v>126</v>
      </c>
      <c r="B52" s="33" t="s">
        <v>186</v>
      </c>
      <c r="C52" s="33" t="s">
        <v>187</v>
      </c>
      <c r="D52" t="str" cm="1">
        <f t="array" aca="1" ref="D52" ca="1">IF(AND(C52="Ready for Release in Prod",LEFT($AJ52,3)&lt;&gt;"Yes"),IF(AG52&lt;&gt;"","Delivered","On track"),IF($B52="","",IF(LEFT($AJ52,3)="Yes","Blocked - "&amp;MID($AJ52,7,100)&amp;IF(SUMPRODUCT(('Rework Log'!$A$2:$A$497=$B52)*('Rework Log'!$G$2:$G$497&lt;&gt;"Yes")*('Rework Log'!$G$2:$G$497&lt;&gt;"Did not pass re-test"))=0,"",IF(SUMPRODUCT(MAX((('Rework Log'!$A$2:$A$497=$B52)*('Rework Log'!$G$2:$G$497&lt;&gt;"Yes")*('Rework Log'!$G$2:$G$497&lt;&gt;"Did not pass re-test"))*'Rework Log'!$I$2:$I$497))=0," - unclaimed"," - promised "&amp;TEXT(SUMPRODUCT(MAX((('Rework Log'!$A$2:$A$497=$B52)*('Rework Log'!$G$2:$G$497&lt;&gt;"Yes")*('Rework Log'!$G$2:$G$497&lt;&gt;"Did not pass re-test"))*'Rework Log'!$I$2:$I$497)),"m/d"))),IF(C52="NOT STARTED",IF(H52="","No plan date set",IF(H52&lt;TODAY(),"Review - planned start passed","On track")),IF(C52="DB Dev",_xlfn.LET(_xlpm.sent,_xlfn.MAXIFS('Rework Log'!$B$2:$B$497,'Rework Log'!$A$2:$A$497,$B52,'Rework Log'!$D$2:$D$497,"DB Dev"),_xlpm.expfix,_xlfn.MAXIFS('Rework Log'!$I$2:$I$497,'Rework Log'!$A$2:$A$497,$B52,'Rework Log'!$D$2:$D$497,"DB Dev",'Rework Log'!$B$2:$B$497,_xlpm.sent),_xlpm.tgt,IF(_xlpm.expfix&gt;0,_xlpm.expfix,IF(L52&lt;&gt;"",L52,K52)),_xlpm.act,IF(AND(M52&lt;&gt;"",M52&gt;=_xlpm.sent),M52,""),IF(_xlpm.tgt="","No target set",IF(AND(_xlpm.tgt&lt;TODAY(),_xlpm.act=""),"Overdue","On track"))),IF(C52="PBI Dev",_xlfn.LET(_xlpm.sent,_xlfn.MAXIFS('Rework Log'!$B$2:$B$497,'Rework Log'!$A$2:$A$497,$B52,'Rework Log'!$D$2:$D$497,"PBI Dev"),_xlpm.expfix,_xlfn.MAXIFS('Rework Log'!$I$2:$I$497,'Rework Log'!$A$2:$A$497,$B52,'Rework Log'!$D$2:$D$497,"PBI Dev",'Rework Log'!$B$2:$B$497,_xlpm.sent),_xlpm.tgt,IF(_xlpm.expfix&gt;0,_xlpm.expfix,IF(R52&lt;&gt;"",R52,Q52)),_xlpm.act,IF(AND(S52&lt;&gt;"",S52&gt;=_xlpm.sent),S52,""),IF(_xlpm.tgt="","No target set",IF(AND(_xlpm.tgt&lt;TODAY(),_xlpm.act=""),"Overdue","On track"))),IF(C52="QA",_xlfn.LET(_xlpm.tgt,IF(AM52&lt;&gt;"",AM52,IF(W52&lt;&gt;"",W52,V52)),_xlpm.sent,_xlfn.MAXIFS('Rework Log'!$B$2:$B$497,'Rework Log'!$A$2:$A$497,$B52,'Rework Log'!$C$2:$C$497,"QA"),_xlpm.act,IF(AND(Y52&lt;&gt;"",Y52&gt;=_xlpm.sent),Y52,""),IF(_xlpm.tgt="","No target set",IF(AND(_xlpm.tgt&lt;TODAY(),_xlpm.act=""),"Overdue","On track"))),IF(C52="DPO Approval",_xlfn.LET(_xlpm.tgt,IF(AN52&lt;&gt;"",AN52,IF(AB52&lt;&gt;"",AB52,AA52)),_xlpm.sent,_xlfn.MAXIFS('Rework Log'!$B$2:$B$497,'Rework Log'!$A$2:$A$497,$B52,'Rework Log'!$C$2:$C$497,"DPO*"),_xlpm.act,IF(AND(AC52&lt;&gt;"",AC52&gt;=_xlpm.sent),AC52,""),IF(_xlpm.tgt="","No target set",IF(AND(_xlpm.tgt&lt;TODAY(),_xlpm.act=""),"Overdue","On track"))),IF(C52="RELEASED IN PROD","Delivered","")))))))))</f>
        <v>Overdue</v>
      </c>
      <c r="E52" s="33">
        <v>27</v>
      </c>
      <c r="F52" s="34" t="s">
        <v>129</v>
      </c>
      <c r="G52" s="33"/>
      <c r="H52" s="49">
        <v>46265</v>
      </c>
      <c r="I52" s="60" t="s">
        <v>166</v>
      </c>
      <c r="J52" s="33" t="s">
        <v>65</v>
      </c>
      <c r="K52" s="4">
        <v>46234</v>
      </c>
      <c r="L52" s="36">
        <v>46253</v>
      </c>
      <c r="M52" s="36">
        <v>46252</v>
      </c>
      <c r="N52" s="46" t="s">
        <v>147</v>
      </c>
      <c r="O52" s="36" t="s">
        <v>178</v>
      </c>
      <c r="P52" s="64" t="s">
        <v>46</v>
      </c>
      <c r="Q52" s="4">
        <v>46241</v>
      </c>
      <c r="R52" s="36">
        <v>46266</v>
      </c>
      <c r="S52" s="36">
        <v>46267</v>
      </c>
      <c r="T52" s="68"/>
      <c r="U52" s="53" t="s">
        <v>129</v>
      </c>
      <c r="V52" s="58">
        <v>46293</v>
      </c>
      <c r="W52" s="36">
        <v>46269</v>
      </c>
      <c r="X52" s="36"/>
      <c r="Y52" s="36">
        <v>46290</v>
      </c>
      <c r="Z52" s="36"/>
      <c r="AA52" s="51">
        <v>46260</v>
      </c>
      <c r="AB52" s="36">
        <v>46297</v>
      </c>
      <c r="AC52" s="36"/>
      <c r="AD52" s="33" t="s">
        <v>188</v>
      </c>
      <c r="AE52" s="33" t="s">
        <v>72</v>
      </c>
      <c r="AF52" s="38"/>
      <c r="AG52" s="36"/>
      <c r="AH52" s="39"/>
      <c r="AI52" s="33"/>
      <c r="AJ52" s="40" t="s">
        <v>53</v>
      </c>
      <c r="AK52" s="72" t="str" cm="1">
        <f t="array" ref="AK52">IF($B52="","",_xlfn.LET(_xlpm.nm,$B52,_xlpm.st,$C52,_xlpm.ou,SUMPRODUCT(('Rework Log'!$A$2:$A$497=_xlpm.nm)*('Rework Log'!$G$2:$G$497&lt;&gt;"Yes")*('Rework Log'!$G$2:$G$497&lt;&gt;"Did not pass re-test")*('Rework Log'!$J$2:$J$497="")),_xlpm.ob,SUMPRODUCT(('Rework Log'!$A$2:$A$497=_xlpm.nm)*('Rework Log'!$G$2:$G$497&lt;&gt;"Yes")*('Rework Log'!$G$2:$G$497&lt;&gt;"Did not pass re-test")),_xlpm.oto,IF(SUMPRODUCT(('Rework Log'!$A$2:$A$497=_xlpm.nm)*('Rework Log'!$G$2:$G$497&lt;&gt;"Yes")*('Rework Log'!$G$2:$G$497&lt;&gt;"Did not pass re-test")*('Rework Log'!$J$2:$J$497=""))=0,"",INDEX('Rework Log'!$D$2:$D$497,MATCH(1,('Rework Log'!$A$2:$A$497=_xlpm.nm)*('Rework Log'!$G$2:$G$497&lt;&gt;"Yes")*('Rework Log'!$G$2:$G$497&lt;&gt;"Did not pass re-test")*('Rework Log'!$J$2:$J$497=""),0))),_xlpm.sent,_xlfn.MAXIFS('Rework Log'!$B$2:$B$497,'Rework Log'!$A$2:$A$497,_xlpm.nm),_xlpm.act,_xlfn.IFS(_xlpm.st="NOT STARTED",$M52,_xlpm.st="DB Dev",$M52,_xlpm.st="PBI Dev",$S52,_xlpm.st="QA",$Y52,_xlpm.st="DPO Approval",$AC52,_xlpm.st="Ready for Release in Prod",$AG52,TRUE,""),_xlpm.nxt,_xlfn.IFS(_xlpm.st="NOT STARTED","PBI Dev",_xlpm.st="DB Dev","PBI Dev",_xlpm.st="PBI Dev","QA",_xlpm.st="QA","DPO Approval",_xlpm.st="DPO Approval","Ready for Release in Prod",_xlpm.st="Ready for Release in Prod","RELEASED IN PROD",TRUE,""),IF(AND(_xlpm.ou&gt;0,_xlpm.st&lt;&gt;_xlpm.oto),"Move status back to "&amp;_xlpm.oto,IF(AND(_xlpm.ob=0,LEFT($AJ52,3)="Yes"),"Blocked - log it on Rework Log",IF(AND(_xlpm.ob&gt;0,LEFT($AJ52,3)&lt;&gt;"Yes"),"Open rework row - mark Blocked or close it",IF(AND(_xlpm.ob=0,_xlpm.act&lt;&gt;"",_xlpm.act&gt;=_xlpm.sent,_xlpm.nxt&lt;&gt;""),"Move status to "&amp;_xlpm.nxt,IF(COUNTIF($B$2:$B$528,$B52)&gt;1,"Duplicate name - check row",IF(COUNTIF('Rework Log'!$A$2:$A$497,$B52)&gt;0,"",IF(AND($V52&lt;&gt;"",$K52&lt;&gt;"",$V52&lt;$K52),"QA target is before DB Dev target",IF(AND($V52&lt;&gt;"",$Q52&lt;&gt;"",$V52&lt;$Q52),"QA target is before PBI Dev target",IF(AND($AA52&lt;&gt;"",$V52&lt;&gt;"",$AA52&lt;$V52),"DPO Approval target is before QA target",IF(AND($AG52&lt;&gt;"",$AA52&lt;&gt;"",$AG52&lt;$AA52),"Confirmed Deployed date is before DPO Approval target",""))))))))))))</f>
        <v>Open rework row - mark Blocked or close it</v>
      </c>
      <c r="AL52" s="79" t="s">
        <v>189</v>
      </c>
      <c r="AM52" s="32" cm="1">
        <f t="array" ref="AM52">_xlfn.LET(_xlpm.rep,$B52,_xlpm.sent,_xlfn.MAXIFS('Rework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46293</v>
      </c>
      <c r="AN52" s="32" t="str" cm="1">
        <f t="array" ref="AN52">_xlfn.LET(_xlpm.rep,$B52,_xlpm.sent,_xlfn.MAXIFS('Rework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53" spans="1:40" hidden="1">
      <c r="A53" s="33" t="s">
        <v>126</v>
      </c>
      <c r="B53" s="33" t="s">
        <v>190</v>
      </c>
      <c r="C53" s="33" t="s">
        <v>128</v>
      </c>
      <c r="D53" t="str" cm="1">
        <f t="array" aca="1" ref="D53" ca="1">IF(AND(C53="Ready for Release in Prod",LEFT($AJ53,3)&lt;&gt;"Yes"),IF(AG53&lt;&gt;"","Delivered","On track"),IF($B53="","",IF(LEFT($AJ53,3)="Yes","Blocked - "&amp;MID($AJ53,7,100)&amp;IF(SUMPRODUCT(('Rework Log'!$A$2:$A$497=$B53)*('Rework Log'!$G$2:$G$497&lt;&gt;"Yes")*('Rework Log'!$G$2:$G$497&lt;&gt;"Did not pass re-test"))=0,"",IF(SUMPRODUCT(MAX((('Rework Log'!$A$2:$A$497=$B53)*('Rework Log'!$G$2:$G$497&lt;&gt;"Yes")*('Rework Log'!$G$2:$G$497&lt;&gt;"Did not pass re-test"))*'Rework Log'!$I$2:$I$497))=0," - unclaimed"," - promised "&amp;TEXT(SUMPRODUCT(MAX((('Rework Log'!$A$2:$A$497=$B53)*('Rework Log'!$G$2:$G$497&lt;&gt;"Yes")*('Rework Log'!$G$2:$G$497&lt;&gt;"Did not pass re-test"))*'Rework Log'!$I$2:$I$497)),"m/d"))),IF(C53="NOT STARTED",IF(H53="","No plan date set",IF(H53&lt;TODAY(),"Review - planned start passed","On track")),IF(C53="DB Dev",_xlfn.LET(_xlpm.sent,_xlfn.MAXIFS('Rework Log'!$B$2:$B$497,'Rework Log'!$A$2:$A$497,$B53,'Rework Log'!$D$2:$D$497,"DB Dev"),_xlpm.expfix,_xlfn.MAXIFS('Rework Log'!$I$2:$I$497,'Rework Log'!$A$2:$A$497,$B53,'Rework Log'!$D$2:$D$497,"DB Dev",'Rework Log'!$B$2:$B$497,_xlpm.sent),_xlpm.tgt,IF(_xlpm.expfix&gt;0,_xlpm.expfix,IF(L53&lt;&gt;"",L53,K53)),_xlpm.act,IF(AND(M53&lt;&gt;"",M53&gt;=_xlpm.sent),M53,""),IF(_xlpm.tgt="","No target set",IF(AND(_xlpm.tgt&lt;TODAY(),_xlpm.act=""),"Overdue","On track"))),IF(C53="PBI Dev",_xlfn.LET(_xlpm.sent,_xlfn.MAXIFS('Rework Log'!$B$2:$B$497,'Rework Log'!$A$2:$A$497,$B53,'Rework Log'!$D$2:$D$497,"PBI Dev"),_xlpm.expfix,_xlfn.MAXIFS('Rework Log'!$I$2:$I$497,'Rework Log'!$A$2:$A$497,$B53,'Rework Log'!$D$2:$D$497,"PBI Dev",'Rework Log'!$B$2:$B$497,_xlpm.sent),_xlpm.tgt,IF(_xlpm.expfix&gt;0,_xlpm.expfix,IF(R53&lt;&gt;"",R53,Q53)),_xlpm.act,IF(AND(S53&lt;&gt;"",S53&gt;=_xlpm.sent),S53,""),IF(_xlpm.tgt="","No target set",IF(AND(_xlpm.tgt&lt;TODAY(),_xlpm.act=""),"Overdue","On track"))),IF(C53="QA",_xlfn.LET(_xlpm.tgt,IF(AM53&lt;&gt;"",AM53,IF(W53&lt;&gt;"",W53,V53)),_xlpm.sent,_xlfn.MAXIFS('Rework Log'!$B$2:$B$497,'Rework Log'!$A$2:$A$497,$B53,'Rework Log'!$C$2:$C$497,"QA"),_xlpm.act,IF(AND(Y53&lt;&gt;"",Y53&gt;=_xlpm.sent),Y53,""),IF(_xlpm.tgt="","No target set",IF(AND(_xlpm.tgt&lt;TODAY(),_xlpm.act=""),"Overdue","On track"))),IF(C53="DPO Approval",_xlfn.LET(_xlpm.tgt,IF(AN53&lt;&gt;"",AN53,IF(AB53&lt;&gt;"",AB53,AA53)),_xlpm.sent,_xlfn.MAXIFS('Rework Log'!$B$2:$B$497,'Rework Log'!$A$2:$A$497,$B53,'Rework Log'!$C$2:$C$497,"DPO*"),_xlpm.act,IF(AND(AC53&lt;&gt;"",AC53&gt;=_xlpm.sent),AC53,""),IF(_xlpm.tgt="","No target set",IF(AND(_xlpm.tgt&lt;TODAY(),_xlpm.act=""),"Overdue","On track"))),IF(C53="RELEASED IN PROD","Delivered","")))))))))</f>
        <v>Blocked - Blocked in Prod</v>
      </c>
      <c r="E53" s="33">
        <v>29</v>
      </c>
      <c r="F53" s="34" t="s">
        <v>144</v>
      </c>
      <c r="G53" s="33"/>
      <c r="H53" s="49">
        <v>46265</v>
      </c>
      <c r="I53" s="60" t="s">
        <v>166</v>
      </c>
      <c r="J53" s="33" t="s">
        <v>76</v>
      </c>
      <c r="K53" s="4">
        <v>46234</v>
      </c>
      <c r="L53" s="36">
        <v>46251</v>
      </c>
      <c r="M53" s="36">
        <v>46251</v>
      </c>
      <c r="N53" s="36" t="s">
        <v>147</v>
      </c>
      <c r="O53" s="36" t="s">
        <v>131</v>
      </c>
      <c r="P53" s="64" t="s">
        <v>77</v>
      </c>
      <c r="Q53" s="4">
        <v>46241</v>
      </c>
      <c r="R53" s="36">
        <v>46265</v>
      </c>
      <c r="S53" s="36">
        <v>46262</v>
      </c>
      <c r="T53" s="68"/>
      <c r="U53" s="53" t="s">
        <v>144</v>
      </c>
      <c r="V53" s="58">
        <v>46255</v>
      </c>
      <c r="W53" s="36">
        <v>46281</v>
      </c>
      <c r="X53" s="36"/>
      <c r="Y53" s="36">
        <v>46281</v>
      </c>
      <c r="Z53" s="36"/>
      <c r="AA53" s="51">
        <v>46260</v>
      </c>
      <c r="AB53" s="46">
        <v>46295</v>
      </c>
      <c r="AC53" s="36">
        <v>46286</v>
      </c>
      <c r="AD53" s="33" t="s">
        <v>124</v>
      </c>
      <c r="AE53" s="33" t="s">
        <v>72</v>
      </c>
      <c r="AF53" s="38"/>
      <c r="AG53" s="36"/>
      <c r="AH53" s="39"/>
      <c r="AI53" s="33"/>
      <c r="AJ53" s="40" t="s">
        <v>133</v>
      </c>
      <c r="AK53" s="72" t="str" cm="1">
        <f t="array" ref="AK53">IF($B53="","",_xlfn.LET(_xlpm.nm,$B53,_xlpm.st,$C53,_xlpm.ou,SUMPRODUCT(('Rework Log'!$A$2:$A$497=_xlpm.nm)*('Rework Log'!$G$2:$G$497&lt;&gt;"Yes")*('Rework Log'!$G$2:$G$497&lt;&gt;"Did not pass re-test")*('Rework Log'!$J$2:$J$497="")),_xlpm.ob,SUMPRODUCT(('Rework Log'!$A$2:$A$497=_xlpm.nm)*('Rework Log'!$G$2:$G$497&lt;&gt;"Yes")*('Rework Log'!$G$2:$G$497&lt;&gt;"Did not pass re-test")),_xlpm.oto,IF(SUMPRODUCT(('Rework Log'!$A$2:$A$497=_xlpm.nm)*('Rework Log'!$G$2:$G$497&lt;&gt;"Yes")*('Rework Log'!$G$2:$G$497&lt;&gt;"Did not pass re-test")*('Rework Log'!$J$2:$J$497=""))=0,"",INDEX('Rework Log'!$D$2:$D$497,MATCH(1,('Rework Log'!$A$2:$A$497=_xlpm.nm)*('Rework Log'!$G$2:$G$497&lt;&gt;"Yes")*('Rework Log'!$G$2:$G$497&lt;&gt;"Did not pass re-test")*('Rework Log'!$J$2:$J$497=""),0))),_xlpm.sent,_xlfn.MAXIFS('Rework Log'!$B$2:$B$497,'Rework Log'!$A$2:$A$497,_xlpm.nm),_xlpm.act,_xlfn.IFS(_xlpm.st="NOT STARTED",$M53,_xlpm.st="DB Dev",$M53,_xlpm.st="PBI Dev",$S53,_xlpm.st="QA",$Y53,_xlpm.st="DPO Approval",$AC53,_xlpm.st="Ready for Release in Prod",$AG53,TRUE,""),_xlpm.nxt,_xlfn.IFS(_xlpm.st="NOT STARTED","PBI Dev",_xlpm.st="DB Dev","PBI Dev",_xlpm.st="PBI Dev","QA",_xlpm.st="QA","DPO Approval",_xlpm.st="DPO Approval","Ready for Release in Prod",_xlpm.st="Ready for Release in Prod","RELEASED IN PROD",TRUE,""),IF(AND(_xlpm.ou&gt;0,_xlpm.st&lt;&gt;_xlpm.oto),"Move status back to "&amp;_xlpm.oto,IF(AND(_xlpm.ob=0,LEFT($AJ53,3)="Yes"),"Blocked - log it on Rework Log",IF(AND(_xlpm.ob&gt;0,LEFT($AJ53,3)&lt;&gt;"Yes"),"Open rework row - mark Blocked or close it",IF(AND(_xlpm.ob=0,_xlpm.act&lt;&gt;"",_xlpm.act&gt;=_xlpm.sent,_xlpm.nxt&lt;&gt;""),"Move status to "&amp;_xlpm.nxt,IF(COUNTIF($B$2:$B$528,$B53)&gt;1,"Duplicate name - check row",IF(COUNTIF('Rework Log'!$A$2:$A$497,$B53)&gt;0,"",IF(AND($V53&lt;&gt;"",$K53&lt;&gt;"",$V53&lt;$K53),"QA target is before DB Dev target",IF(AND($V53&lt;&gt;"",$Q53&lt;&gt;"",$V53&lt;$Q53),"QA target is before PBI Dev target",IF(AND($AA53&lt;&gt;"",$V53&lt;&gt;"",$AA53&lt;$V53),"DPO Approval target is before QA target",IF(AND($AG53&lt;&gt;"",$AA53&lt;&gt;"",$AG53&lt;$AA53),"Confirmed Deployed date is before DPO Approval target",""))))))))))))</f>
        <v>Blocked - log it on Rework Log</v>
      </c>
      <c r="AL53" s="41"/>
      <c r="AM53" s="32" cm="1">
        <f t="array" ref="AM53">_xlfn.LET(_xlpm.rep,$B53,_xlpm.sent,_xlfn.MAXIFS('Rework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46286</v>
      </c>
      <c r="AN53" s="32" t="str" cm="1">
        <f t="array" ref="AN53">_xlfn.LET(_xlpm.rep,$B53,_xlpm.sent,_xlfn.MAXIFS('Rework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54" spans="1:40" hidden="1">
      <c r="A54" s="33" t="s">
        <v>126</v>
      </c>
      <c r="B54" s="33" t="s">
        <v>191</v>
      </c>
      <c r="C54" s="33" t="s">
        <v>128</v>
      </c>
      <c r="D54" t="str" cm="1">
        <f t="array" aca="1" ref="D54" ca="1">IF(AND(C54="Ready for Release in Prod",LEFT($AJ54,3)&lt;&gt;"Yes"),IF(AG54&lt;&gt;"","Delivered","On track"),IF($B54="","",IF(LEFT($AJ54,3)="Yes","Blocked - "&amp;MID($AJ54,7,100)&amp;IF(SUMPRODUCT(('Rework Log'!$A$2:$A$497=$B54)*('Rework Log'!$G$2:$G$497&lt;&gt;"Yes")*('Rework Log'!$G$2:$G$497&lt;&gt;"Did not pass re-test"))=0,"",IF(SUMPRODUCT(MAX((('Rework Log'!$A$2:$A$497=$B54)*('Rework Log'!$G$2:$G$497&lt;&gt;"Yes")*('Rework Log'!$G$2:$G$497&lt;&gt;"Did not pass re-test"))*'Rework Log'!$I$2:$I$497))=0," - unclaimed"," - promised "&amp;TEXT(SUMPRODUCT(MAX((('Rework Log'!$A$2:$A$497=$B54)*('Rework Log'!$G$2:$G$497&lt;&gt;"Yes")*('Rework Log'!$G$2:$G$497&lt;&gt;"Did not pass re-test"))*'Rework Log'!$I$2:$I$497)),"m/d"))),IF(C54="NOT STARTED",IF(H54="","No plan date set",IF(H54&lt;TODAY(),"Review - planned start passed","On track")),IF(C54="DB Dev",_xlfn.LET(_xlpm.sent,_xlfn.MAXIFS('Rework Log'!$B$2:$B$497,'Rework Log'!$A$2:$A$497,$B54,'Rework Log'!$D$2:$D$497,"DB Dev"),_xlpm.expfix,_xlfn.MAXIFS('Rework Log'!$I$2:$I$497,'Rework Log'!$A$2:$A$497,$B54,'Rework Log'!$D$2:$D$497,"DB Dev",'Rework Log'!$B$2:$B$497,_xlpm.sent),_xlpm.tgt,IF(_xlpm.expfix&gt;0,_xlpm.expfix,IF(L54&lt;&gt;"",L54,K54)),_xlpm.act,IF(AND(M54&lt;&gt;"",M54&gt;=_xlpm.sent),M54,""),IF(_xlpm.tgt="","No target set",IF(AND(_xlpm.tgt&lt;TODAY(),_xlpm.act=""),"Overdue","On track"))),IF(C54="PBI Dev",_xlfn.LET(_xlpm.sent,_xlfn.MAXIFS('Rework Log'!$B$2:$B$497,'Rework Log'!$A$2:$A$497,$B54,'Rework Log'!$D$2:$D$497,"PBI Dev"),_xlpm.expfix,_xlfn.MAXIFS('Rework Log'!$I$2:$I$497,'Rework Log'!$A$2:$A$497,$B54,'Rework Log'!$D$2:$D$497,"PBI Dev",'Rework Log'!$B$2:$B$497,_xlpm.sent),_xlpm.tgt,IF(_xlpm.expfix&gt;0,_xlpm.expfix,IF(R54&lt;&gt;"",R54,Q54)),_xlpm.act,IF(AND(S54&lt;&gt;"",S54&gt;=_xlpm.sent),S54,""),IF(_xlpm.tgt="","No target set",IF(AND(_xlpm.tgt&lt;TODAY(),_xlpm.act=""),"Overdue","On track"))),IF(C54="QA",_xlfn.LET(_xlpm.tgt,IF(AM54&lt;&gt;"",AM54,IF(W54&lt;&gt;"",W54,V54)),_xlpm.sent,_xlfn.MAXIFS('Rework Log'!$B$2:$B$497,'Rework Log'!$A$2:$A$497,$B54,'Rework Log'!$C$2:$C$497,"QA"),_xlpm.act,IF(AND(Y54&lt;&gt;"",Y54&gt;=_xlpm.sent),Y54,""),IF(_xlpm.tgt="","No target set",IF(AND(_xlpm.tgt&lt;TODAY(),_xlpm.act=""),"Overdue","On track"))),IF(C54="DPO Approval",_xlfn.LET(_xlpm.tgt,IF(AN54&lt;&gt;"",AN54,IF(AB54&lt;&gt;"",AB54,AA54)),_xlpm.sent,_xlfn.MAXIFS('Rework Log'!$B$2:$B$497,'Rework Log'!$A$2:$A$497,$B54,'Rework Log'!$C$2:$C$497,"DPO*"),_xlpm.act,IF(AND(AC54&lt;&gt;"",AC54&gt;=_xlpm.sent),AC54,""),IF(_xlpm.tgt="","No target set",IF(AND(_xlpm.tgt&lt;TODAY(),_xlpm.act=""),"Overdue","On track"))),IF(C54="RELEASED IN PROD","Delivered","")))))))))</f>
        <v>Blocked - Blocked in Prod</v>
      </c>
      <c r="E54" s="33">
        <v>30</v>
      </c>
      <c r="F54" s="34" t="s">
        <v>129</v>
      </c>
      <c r="G54" s="33"/>
      <c r="H54" s="49">
        <v>46265</v>
      </c>
      <c r="I54" s="60" t="s">
        <v>166</v>
      </c>
      <c r="J54" s="33" t="s">
        <v>84</v>
      </c>
      <c r="K54" s="4">
        <v>46234</v>
      </c>
      <c r="L54" s="36">
        <v>46255</v>
      </c>
      <c r="M54" s="36">
        <v>46253</v>
      </c>
      <c r="N54" s="36"/>
      <c r="O54" s="36" t="s">
        <v>131</v>
      </c>
      <c r="P54" s="64" t="s">
        <v>60</v>
      </c>
      <c r="Q54" s="4">
        <v>46241</v>
      </c>
      <c r="R54" s="36">
        <v>46262</v>
      </c>
      <c r="S54" s="36">
        <v>46262</v>
      </c>
      <c r="T54" s="68"/>
      <c r="U54" s="53" t="s">
        <v>47</v>
      </c>
      <c r="V54" s="58">
        <v>46255</v>
      </c>
      <c r="W54" s="36">
        <v>46267</v>
      </c>
      <c r="X54" s="36">
        <v>46269</v>
      </c>
      <c r="Y54" s="36">
        <v>46269</v>
      </c>
      <c r="Z54" s="36"/>
      <c r="AA54" s="51">
        <v>46260</v>
      </c>
      <c r="AB54" s="36">
        <v>46282</v>
      </c>
      <c r="AC54" s="36">
        <v>46282</v>
      </c>
      <c r="AD54" s="33" t="s">
        <v>192</v>
      </c>
      <c r="AE54" s="33" t="s">
        <v>72</v>
      </c>
      <c r="AF54" s="38"/>
      <c r="AG54" s="36"/>
      <c r="AH54" s="39"/>
      <c r="AI54" s="33"/>
      <c r="AJ54" s="40" t="s">
        <v>133</v>
      </c>
      <c r="AK54" s="72" t="str" cm="1">
        <f t="array" ref="AK54">IF($B54="","",_xlfn.LET(_xlpm.nm,$B54,_xlpm.st,$C54,_xlpm.ou,SUMPRODUCT(('Rework Log'!$A$2:$A$497=_xlpm.nm)*('Rework Log'!$G$2:$G$497&lt;&gt;"Yes")*('Rework Log'!$G$2:$G$497&lt;&gt;"Did not pass re-test")*('Rework Log'!$J$2:$J$497="")),_xlpm.ob,SUMPRODUCT(('Rework Log'!$A$2:$A$497=_xlpm.nm)*('Rework Log'!$G$2:$G$497&lt;&gt;"Yes")*('Rework Log'!$G$2:$G$497&lt;&gt;"Did not pass re-test")),_xlpm.oto,IF(SUMPRODUCT(('Rework Log'!$A$2:$A$497=_xlpm.nm)*('Rework Log'!$G$2:$G$497&lt;&gt;"Yes")*('Rework Log'!$G$2:$G$497&lt;&gt;"Did not pass re-test")*('Rework Log'!$J$2:$J$497=""))=0,"",INDEX('Rework Log'!$D$2:$D$497,MATCH(1,('Rework Log'!$A$2:$A$497=_xlpm.nm)*('Rework Log'!$G$2:$G$497&lt;&gt;"Yes")*('Rework Log'!$G$2:$G$497&lt;&gt;"Did not pass re-test")*('Rework Log'!$J$2:$J$497=""),0))),_xlpm.sent,_xlfn.MAXIFS('Rework Log'!$B$2:$B$497,'Rework Log'!$A$2:$A$497,_xlpm.nm),_xlpm.act,_xlfn.IFS(_xlpm.st="NOT STARTED",$M54,_xlpm.st="DB Dev",$M54,_xlpm.st="PBI Dev",$S54,_xlpm.st="QA",$Y54,_xlpm.st="DPO Approval",$AC54,_xlpm.st="Ready for Release in Prod",$AG54,TRUE,""),_xlpm.nxt,_xlfn.IFS(_xlpm.st="NOT STARTED","PBI Dev",_xlpm.st="DB Dev","PBI Dev",_xlpm.st="PBI Dev","QA",_xlpm.st="QA","DPO Approval",_xlpm.st="DPO Approval","Ready for Release in Prod",_xlpm.st="Ready for Release in Prod","RELEASED IN PROD",TRUE,""),IF(AND(_xlpm.ou&gt;0,_xlpm.st&lt;&gt;_xlpm.oto),"Move status back to "&amp;_xlpm.oto,IF(AND(_xlpm.ob=0,LEFT($AJ54,3)="Yes"),"Blocked - log it on Rework Log",IF(AND(_xlpm.ob&gt;0,LEFT($AJ54,3)&lt;&gt;"Yes"),"Open rework row - mark Blocked or close it",IF(AND(_xlpm.ob=0,_xlpm.act&lt;&gt;"",_xlpm.act&gt;=_xlpm.sent,_xlpm.nxt&lt;&gt;""),"Move status to "&amp;_xlpm.nxt,IF(COUNTIF($B$2:$B$528,$B54)&gt;1,"Duplicate name - check row",IF(COUNTIF('Rework Log'!$A$2:$A$497,$B54)&gt;0,"",IF(AND($V54&lt;&gt;"",$K54&lt;&gt;"",$V54&lt;$K54),"QA target is before DB Dev target",IF(AND($V54&lt;&gt;"",$Q54&lt;&gt;"",$V54&lt;$Q54),"QA target is before PBI Dev target",IF(AND($AA54&lt;&gt;"",$V54&lt;&gt;"",$AA54&lt;$V54),"DPO Approval target is before QA target",IF(AND($AG54&lt;&gt;"",$AA54&lt;&gt;"",$AG54&lt;$AA54),"Confirmed Deployed date is before DPO Approval target",""))))))))))))</f>
        <v>Blocked - log it on Rework Log</v>
      </c>
      <c r="AL54" s="41"/>
      <c r="AM54" s="32" t="str" cm="1">
        <f t="array" ref="AM54">_xlfn.LET(_xlpm.rep,$B54,_xlpm.sent,_xlfn.MAXIFS('Rework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
      </c>
      <c r="AN54" s="32" t="str" cm="1">
        <f t="array" ref="AN54">_xlfn.LET(_xlpm.rep,$B54,_xlpm.sent,_xlfn.MAXIFS('Rework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55" spans="1:40">
      <c r="A55" s="33" t="s">
        <v>126</v>
      </c>
      <c r="B55" s="33" t="s">
        <v>193</v>
      </c>
      <c r="C55" s="33" t="s">
        <v>187</v>
      </c>
      <c r="D55" t="str" cm="1">
        <f t="array" aca="1" ref="D55" ca="1">IF(AND(C55="Ready for Release in Prod",LEFT($AJ55,3)&lt;&gt;"Yes"),IF(AG55&lt;&gt;"","Delivered","On track"),IF($B55="","",IF(LEFT($AJ55,3)="Yes","Blocked - "&amp;MID($AJ55,7,100)&amp;IF(SUMPRODUCT(('Rework Log'!$A$2:$A$497=$B55)*('Rework Log'!$G$2:$G$497&lt;&gt;"Yes")*('Rework Log'!$G$2:$G$497&lt;&gt;"Did not pass re-test"))=0,"",IF(SUMPRODUCT(MAX((('Rework Log'!$A$2:$A$497=$B55)*('Rework Log'!$G$2:$G$497&lt;&gt;"Yes")*('Rework Log'!$G$2:$G$497&lt;&gt;"Did not pass re-test"))*'Rework Log'!$I$2:$I$497))=0," - unclaimed"," - promised "&amp;TEXT(SUMPRODUCT(MAX((('Rework Log'!$A$2:$A$497=$B55)*('Rework Log'!$G$2:$G$497&lt;&gt;"Yes")*('Rework Log'!$G$2:$G$497&lt;&gt;"Did not pass re-test"))*'Rework Log'!$I$2:$I$497)),"m/d"))),IF(C55="NOT STARTED",IF(H55="","No plan date set",IF(H55&lt;TODAY(),"Review - planned start passed","On track")),IF(C55="DB Dev",_xlfn.LET(_xlpm.sent,_xlfn.MAXIFS('Rework Log'!$B$2:$B$497,'Rework Log'!$A$2:$A$497,$B55,'Rework Log'!$D$2:$D$497,"DB Dev"),_xlpm.expfix,_xlfn.MAXIFS('Rework Log'!$I$2:$I$497,'Rework Log'!$A$2:$A$497,$B55,'Rework Log'!$D$2:$D$497,"DB Dev",'Rework Log'!$B$2:$B$497,_xlpm.sent),_xlpm.tgt,IF(_xlpm.expfix&gt;0,_xlpm.expfix,IF(L55&lt;&gt;"",L55,K55)),_xlpm.act,IF(AND(M55&lt;&gt;"",M55&gt;=_xlpm.sent),M55,""),IF(_xlpm.tgt="","No target set",IF(AND(_xlpm.tgt&lt;TODAY(),_xlpm.act=""),"Overdue","On track"))),IF(C55="PBI Dev",_xlfn.LET(_xlpm.sent,_xlfn.MAXIFS('Rework Log'!$B$2:$B$497,'Rework Log'!$A$2:$A$497,$B55,'Rework Log'!$D$2:$D$497,"PBI Dev"),_xlpm.expfix,_xlfn.MAXIFS('Rework Log'!$I$2:$I$497,'Rework Log'!$A$2:$A$497,$B55,'Rework Log'!$D$2:$D$497,"PBI Dev",'Rework Log'!$B$2:$B$497,_xlpm.sent),_xlpm.tgt,IF(_xlpm.expfix&gt;0,_xlpm.expfix,IF(R55&lt;&gt;"",R55,Q55)),_xlpm.act,IF(AND(S55&lt;&gt;"",S55&gt;=_xlpm.sent),S55,""),IF(_xlpm.tgt="","No target set",IF(AND(_xlpm.tgt&lt;TODAY(),_xlpm.act=""),"Overdue","On track"))),IF(C55="QA",_xlfn.LET(_xlpm.tgt,IF(AM55&lt;&gt;"",AM55,IF(W55&lt;&gt;"",W55,V55)),_xlpm.sent,_xlfn.MAXIFS('Rework Log'!$B$2:$B$497,'Rework Log'!$A$2:$A$497,$B55,'Rework Log'!$C$2:$C$497,"QA"),_xlpm.act,IF(AND(X55&lt;&gt;"",X55&gt;=_xlpm.sent),X55,""),IF(_xlpm.tgt="","No target set",IF(AND(_xlpm.tgt&lt;TODAY(),_xlpm.act=""),"Overdue","On track"))),IF(C55="DPO Approval",_xlfn.LET(_xlpm.tgt,IF(AN55&lt;&gt;"",AN55,IF(AB55&lt;&gt;"",AB55,AA55)),_xlpm.sent,_xlfn.MAXIFS('Rework Log'!$B$2:$B$497,'Rework Log'!$A$2:$A$497,$B55,'Rework Log'!$C$2:$C$497,"DPO*"),_xlpm.act,IF(AND(AC55&lt;&gt;"",AC55&gt;=_xlpm.sent),AC55,""),IF(_xlpm.tgt="","No target set",IF(AND(_xlpm.tgt&lt;TODAY(),_xlpm.act=""),"Overdue","On track"))),IF(C55="RELEASED IN PROD","Delivered","")))))))))</f>
        <v>Overdue</v>
      </c>
      <c r="E55" s="33">
        <v>31</v>
      </c>
      <c r="F55" s="34" t="s">
        <v>144</v>
      </c>
      <c r="G55" s="33"/>
      <c r="H55" s="49">
        <v>46295</v>
      </c>
      <c r="I55" s="54" t="s">
        <v>194</v>
      </c>
      <c r="J55" s="33" t="s">
        <v>76</v>
      </c>
      <c r="K55" s="4">
        <v>46262</v>
      </c>
      <c r="L55" s="36">
        <v>46253</v>
      </c>
      <c r="M55" s="36">
        <v>46253</v>
      </c>
      <c r="N55" s="36"/>
      <c r="O55" s="36" t="s">
        <v>195</v>
      </c>
      <c r="P55" s="62" t="s">
        <v>77</v>
      </c>
      <c r="Q55" s="4">
        <v>46269</v>
      </c>
      <c r="R55" s="36">
        <v>46267</v>
      </c>
      <c r="S55" s="36">
        <v>46295</v>
      </c>
      <c r="T55" s="68" t="s">
        <v>196</v>
      </c>
      <c r="U55" s="33" t="s">
        <v>47</v>
      </c>
      <c r="V55" s="58">
        <v>46267</v>
      </c>
      <c r="W55" s="58">
        <v>46300</v>
      </c>
      <c r="X55" s="58">
        <v>46293</v>
      </c>
      <c r="Y55" s="46"/>
      <c r="Z55" s="36"/>
      <c r="AA55" s="51">
        <v>46290</v>
      </c>
      <c r="AB55" s="36">
        <v>46309</v>
      </c>
      <c r="AC55" s="36"/>
      <c r="AD55" s="33" t="s">
        <v>197</v>
      </c>
      <c r="AE55" s="33" t="s">
        <v>49</v>
      </c>
      <c r="AF55" s="38"/>
      <c r="AG55" s="36"/>
      <c r="AH55" s="39"/>
      <c r="AI55" s="33"/>
      <c r="AJ55" s="40" t="s">
        <v>53</v>
      </c>
      <c r="AK55" s="72" t="str" cm="1">
        <f t="array" ref="AK55">IF($B55="","",_xlfn.LET(_xlpm.nm,$B55,_xlpm.st,$C55,_xlpm.ou,SUMPRODUCT(('Rework Log'!$A$2:$A$497=_xlpm.nm)*('Rework Log'!$G$2:$G$497&lt;&gt;"Yes")*('Rework Log'!$G$2:$G$497&lt;&gt;"Did not pass re-test")*('Rework Log'!$J$2:$J$497="")),_xlpm.ob,SUMPRODUCT(('Rework Log'!$A$2:$A$497=_xlpm.nm)*('Rework Log'!$G$2:$G$497&lt;&gt;"Yes")*('Rework Log'!$G$2:$G$497&lt;&gt;"Did not pass re-test")),_xlpm.oto,IF(SUMPRODUCT(('Rework Log'!$A$2:$A$497=_xlpm.nm)*('Rework Log'!$G$2:$G$497&lt;&gt;"Yes")*('Rework Log'!$G$2:$G$497&lt;&gt;"Did not pass re-test")*('Rework Log'!$J$2:$J$497=""))=0,"",INDEX('Rework Log'!$D$2:$D$497,MATCH(1,('Rework Log'!$A$2:$A$497=_xlpm.nm)*('Rework Log'!$G$2:$G$497&lt;&gt;"Yes")*('Rework Log'!$G$2:$G$497&lt;&gt;"Did not pass re-test")*('Rework Log'!$J$2:$J$497=""),0))),_xlpm.sent,_xlfn.MAXIFS('Rework Log'!$B$2:$B$497,'Rework Log'!$A$2:$A$497,_xlpm.nm),_xlpm.act,_xlfn.IFS(_xlpm.st="NOT STARTED",$M55,_xlpm.st="DB Dev",$M55,_xlpm.st="PBI Dev",$S55,_xlpm.st="QA",$X55,_xlpm.st="DPO Approval",$AC55,_xlpm.st="Ready for Release in Prod",$AG55,TRUE,""),_xlpm.nxt,_xlfn.IFS(_xlpm.st="NOT STARTED","PBI Dev",_xlpm.st="DB Dev","PBI Dev",_xlpm.st="PBI Dev","QA",_xlpm.st="QA","DPO Approval",_xlpm.st="DPO Approval","Ready for Release in Prod",_xlpm.st="Ready for Release in Prod","RELEASED IN PROD",TRUE,""),IF(AND(_xlpm.ou&gt;0,_xlpm.st&lt;&gt;_xlpm.oto),"Move status back to "&amp;_xlpm.oto,IF(AND(_xlpm.ob=0,LEFT($AJ55,3)="Yes"),"Blocked - log it on Rework Log",IF(AND(_xlpm.ob&gt;0,LEFT($AJ55,3)&lt;&gt;"Yes"),"Open rework row - mark Blocked or close it",IF(AND(_xlpm.ob=0,_xlpm.act&lt;&gt;"",_xlpm.act&gt;=_xlpm.sent,_xlpm.nxt&lt;&gt;""),"Move status to "&amp;_xlpm.nxt,IF(COUNTIF($B$2:$B$528,$B55)&gt;1,"Duplicate name - check row",IF(COUNTIF('Rework Log'!$A$2:$A$497,$B55)&gt;0,"",IF(AND($V55&lt;&gt;"",$K55&lt;&gt;"",$V55&lt;$K55),"QA target is before DB Dev target",IF(AND($V55&lt;&gt;"",$Q55&lt;&gt;"",$V55&lt;$Q55),"QA target is before PBI Dev target",IF(AND($AA55&lt;&gt;"",$V55&lt;&gt;"",$AA55&lt;$V55),"DPO Approval target is before QA target",IF(AND($AG55&lt;&gt;"",$AA55&lt;&gt;"",$AG55&lt;$AA55),"Confirmed Deployed date is before DPO Approval target",""))))))))))))</f>
        <v/>
      </c>
      <c r="AL55" s="41" t="s">
        <v>198</v>
      </c>
      <c r="AM55" s="32" cm="1">
        <f t="array" ref="AM55">_xlfn.LET(_xlpm.rep,$B55,_xlpm.sent,_xlfn.MAXIFS('Rework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46280</v>
      </c>
      <c r="AN55" s="32" t="str" cm="1">
        <f t="array" ref="AN55">_xlfn.LET(_xlpm.rep,$B55,_xlpm.sent,_xlfn.MAXIFS('Rework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56" spans="1:40">
      <c r="A56" s="33" t="s">
        <v>126</v>
      </c>
      <c r="B56" s="33" t="s">
        <v>199</v>
      </c>
      <c r="C56" s="33" t="s">
        <v>187</v>
      </c>
      <c r="D56" t="s">
        <v>200</v>
      </c>
      <c r="E56" s="33">
        <v>32</v>
      </c>
      <c r="F56" s="34" t="s">
        <v>129</v>
      </c>
      <c r="G56" s="33"/>
      <c r="H56" s="49">
        <v>46295</v>
      </c>
      <c r="I56" s="54" t="s">
        <v>194</v>
      </c>
      <c r="J56" s="33" t="s">
        <v>76</v>
      </c>
      <c r="K56" s="4">
        <v>46262</v>
      </c>
      <c r="L56" s="36">
        <v>46253</v>
      </c>
      <c r="M56" s="36">
        <v>46253</v>
      </c>
      <c r="N56" s="36" t="s">
        <v>147</v>
      </c>
      <c r="O56" s="36" t="s">
        <v>195</v>
      </c>
      <c r="P56" s="62" t="s">
        <v>60</v>
      </c>
      <c r="Q56" s="4">
        <v>46269</v>
      </c>
      <c r="R56" s="36">
        <v>46266</v>
      </c>
      <c r="S56" s="36">
        <v>46266</v>
      </c>
      <c r="T56" s="68" t="s">
        <v>196</v>
      </c>
      <c r="U56" s="33" t="s">
        <v>201</v>
      </c>
      <c r="V56" s="58">
        <v>46276</v>
      </c>
      <c r="W56" s="36">
        <v>46285</v>
      </c>
      <c r="X56" s="36">
        <v>46274</v>
      </c>
      <c r="Y56" s="36">
        <v>46288</v>
      </c>
      <c r="Z56" s="36"/>
      <c r="AA56" s="51">
        <v>46290</v>
      </c>
      <c r="AB56" s="36">
        <v>46297</v>
      </c>
      <c r="AC56" s="36"/>
      <c r="AD56" s="33" t="s">
        <v>202</v>
      </c>
      <c r="AE56" s="33" t="s">
        <v>49</v>
      </c>
      <c r="AF56" s="38"/>
      <c r="AG56" s="36"/>
      <c r="AH56" s="39"/>
      <c r="AI56" s="33"/>
      <c r="AJ56" s="40" t="s">
        <v>171</v>
      </c>
      <c r="AK56" s="72" t="str" cm="1">
        <f t="array" ref="AK56">IF($B56="","",_xlfn.LET(_xlpm.nm,$B56,_xlpm.st,$C56,_xlpm.ou,SUMPRODUCT(('Rework Log'!$A$2:$A$497=_xlpm.nm)*('Rework Log'!$G$2:$G$497&lt;&gt;"Yes")*('Rework Log'!$G$2:$G$497&lt;&gt;"Did not pass re-test")*('Rework Log'!$J$2:$J$497="")),_xlpm.ob,SUMPRODUCT(('Rework Log'!$A$2:$A$497=_xlpm.nm)*('Rework Log'!$G$2:$G$497&lt;&gt;"Yes")*('Rework Log'!$G$2:$G$497&lt;&gt;"Did not pass re-test")),_xlpm.oto,IF(SUMPRODUCT(('Rework Log'!$A$2:$A$497=_xlpm.nm)*('Rework Log'!$G$2:$G$497&lt;&gt;"Yes")*('Rework Log'!$G$2:$G$497&lt;&gt;"Did not pass re-test")*('Rework Log'!$J$2:$J$497=""))=0,"",INDEX('Rework Log'!$D$2:$D$497,MATCH(1,('Rework Log'!$A$2:$A$497=_xlpm.nm)*('Rework Log'!$G$2:$G$497&lt;&gt;"Yes")*('Rework Log'!$G$2:$G$497&lt;&gt;"Did not pass re-test")*('Rework Log'!$J$2:$J$497=""),0))),_xlpm.sent,_xlfn.MAXIFS('Rework Log'!$B$2:$B$497,'Rework Log'!$A$2:$A$497,_xlpm.nm),_xlpm.act,_xlfn.IFS(_xlpm.st="NOT STARTED",$M56,_xlpm.st="DB Dev",$M56,_xlpm.st="PBI Dev",$S56,_xlpm.st="QA",$Y56,_xlpm.st="DPO Approval",$AC56,_xlpm.st="Ready for Release in Prod",$AG56,TRUE,""),_xlpm.nxt,_xlfn.IFS(_xlpm.st="NOT STARTED","PBI Dev",_xlpm.st="DB Dev","PBI Dev",_xlpm.st="PBI Dev","QA",_xlpm.st="QA","DPO Approval",_xlpm.st="DPO Approval","Ready for Release in Prod",_xlpm.st="Ready for Release in Prod","RELEASED IN PROD",TRUE,""),IF(AND(_xlpm.ou&gt;0,_xlpm.st&lt;&gt;_xlpm.oto),"Move status back to "&amp;_xlpm.oto,IF(AND(_xlpm.ob=0,LEFT($AJ56,3)="Yes"),"Blocked - log it on Rework Log",IF(AND(_xlpm.ob&gt;0,LEFT($AJ56,3)&lt;&gt;"Yes"),"Open rework row - mark Blocked or close it",IF(AND(_xlpm.ob=0,_xlpm.act&lt;&gt;"",_xlpm.act&gt;=_xlpm.sent,_xlpm.nxt&lt;&gt;""),"Move status to "&amp;_xlpm.nxt,IF(COUNTIF($B$2:$B$528,$B56)&gt;1,"Duplicate name - check row",IF(COUNTIF('Rework Log'!$A$2:$A$497,$B56)&gt;0,"",IF(AND($V56&lt;&gt;"",$K56&lt;&gt;"",$V56&lt;$K56),"QA target is before DB Dev target",IF(AND($V56&lt;&gt;"",$Q56&lt;&gt;"",$V56&lt;$Q56),"QA target is before PBI Dev target",IF(AND($AA56&lt;&gt;"",$V56&lt;&gt;"",$AA56&lt;$V56),"DPO Approval target is before QA target",IF(AND($AG56&lt;&gt;"",$AA56&lt;&gt;"",$AG56&lt;$AA56),"Confirmed Deployed date is before DPO Approval target",""))))))))))))</f>
        <v>Blocked - log it on Rework Log</v>
      </c>
      <c r="AL56" s="41" t="s">
        <v>203</v>
      </c>
      <c r="AM56" s="32" t="str" cm="1">
        <f t="array" ref="AM56">_xlfn.LET(_xlpm.rep,$B56,_xlpm.sent,_xlfn.MAXIFS('Rework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
      </c>
      <c r="AN56" s="32" t="str" cm="1">
        <f t="array" ref="AN56">_xlfn.LET(_xlpm.rep,$B56,_xlpm.sent,_xlfn.MAXIFS('Rework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57" spans="1:40">
      <c r="A57" s="33" t="s">
        <v>126</v>
      </c>
      <c r="B57" s="33" t="s">
        <v>204</v>
      </c>
      <c r="C57" s="33" t="s">
        <v>128</v>
      </c>
      <c r="D57" t="str" cm="1">
        <f t="array" aca="1" ref="D57" ca="1">IF(AND(C57="Ready for Release in Prod",LEFT($AJ57,3)&lt;&gt;"Yes"),IF(AG57&lt;&gt;"","Delivered","On track"),IF($B57="","",IF(LEFT($AJ57,3)="Yes","Blocked - "&amp;MID($AJ57,7,100)&amp;IF(SUMPRODUCT(('Rework Log'!$A$2:$A$497=$B57)*('Rework Log'!$G$2:$G$497&lt;&gt;"Yes")*('Rework Log'!$G$2:$G$497&lt;&gt;"Did not pass re-test"))=0,"",IF(SUMPRODUCT(MAX((('Rework Log'!$A$2:$A$497=$B57)*('Rework Log'!$G$2:$G$497&lt;&gt;"Yes")*('Rework Log'!$G$2:$G$497&lt;&gt;"Did not pass re-test"))*'Rework Log'!$I$2:$I$497))=0," - unclaimed"," - promised "&amp;TEXT(SUMPRODUCT(MAX((('Rework Log'!$A$2:$A$497=$B57)*('Rework Log'!$G$2:$G$497&lt;&gt;"Yes")*('Rework Log'!$G$2:$G$497&lt;&gt;"Did not pass re-test"))*'Rework Log'!$I$2:$I$497)),"m/d"))),IF(C57="NOT STARTED",IF(H57="","No plan date set",IF(H57&lt;TODAY(),"Review - planned start passed","On track")),IF(C57="DB Dev",_xlfn.LET(_xlpm.sent,_xlfn.MAXIFS('Rework Log'!$B$2:$B$497,'Rework Log'!$A$2:$A$497,$B57,'Rework Log'!$D$2:$D$497,"DB Dev"),_xlpm.expfix,_xlfn.MAXIFS('Rework Log'!$I$2:$I$497,'Rework Log'!$A$2:$A$497,$B57,'Rework Log'!$D$2:$D$497,"DB Dev",'Rework Log'!$B$2:$B$497,_xlpm.sent),_xlpm.tgt,IF(_xlpm.expfix&gt;0,_xlpm.expfix,IF(L57&lt;&gt;"",L57,K57)),_xlpm.act,IF(AND(M57&lt;&gt;"",M57&gt;=_xlpm.sent),M57,""),IF(_xlpm.tgt="","No target set",IF(AND(_xlpm.tgt&lt;TODAY(),_xlpm.act=""),"Overdue","On track"))),IF(C57="PBI Dev",_xlfn.LET(_xlpm.sent,_xlfn.MAXIFS('Rework Log'!$B$2:$B$497,'Rework Log'!$A$2:$A$497,$B57,'Rework Log'!$D$2:$D$497,"PBI Dev"),_xlpm.expfix,_xlfn.MAXIFS('Rework Log'!$I$2:$I$497,'Rework Log'!$A$2:$A$497,$B57,'Rework Log'!$D$2:$D$497,"PBI Dev",'Rework Log'!$B$2:$B$497,_xlpm.sent),_xlpm.tgt,IF(_xlpm.expfix&gt;0,_xlpm.expfix,IF(R57&lt;&gt;"",R57,Q57)),_xlpm.act,IF(AND(S57&lt;&gt;"",S57&gt;=_xlpm.sent),S57,""),IF(_xlpm.tgt="","No target set",IF(AND(_xlpm.tgt&lt;TODAY(),_xlpm.act=""),"Overdue","On track"))),IF(C57="QA",_xlfn.LET(_xlpm.tgt,IF(AM57&lt;&gt;"",AM57,IF(W57&lt;&gt;"",W57,V57)),_xlpm.sent,_xlfn.MAXIFS('Rework Log'!$B$2:$B$497,'Rework Log'!$A$2:$A$497,$B57,'Rework Log'!$C$2:$C$497,"QA"),_xlpm.act,IF(AND(Y57&lt;&gt;"",Y57&gt;=_xlpm.sent),Y57,""),IF(_xlpm.tgt="","No target set",IF(AND(_xlpm.tgt&lt;TODAY(),_xlpm.act=""),"Overdue","On track"))),IF(C57="DPO Approval",_xlfn.LET(_xlpm.tgt,IF(AN57&lt;&gt;"",AN57,IF(AB57&lt;&gt;"",AB57,AA57)),_xlpm.sent,_xlfn.MAXIFS('Rework Log'!$B$2:$B$497,'Rework Log'!$A$2:$A$497,$B57,'Rework Log'!$C$2:$C$497,"DPO*"),_xlpm.act,IF(AND(AC57&lt;&gt;"",AC57&gt;=_xlpm.sent),AC57,""),IF(_xlpm.tgt="","No target set",IF(AND(_xlpm.tgt&lt;TODAY(),_xlpm.act=""),"Overdue","On track"))),IF(C57="RELEASED IN PROD","Delivered","")))))))))</f>
        <v>Blocked - Blocked in Prod</v>
      </c>
      <c r="E57" s="33">
        <v>33</v>
      </c>
      <c r="F57" s="34" t="s">
        <v>144</v>
      </c>
      <c r="G57" s="33"/>
      <c r="H57" s="49">
        <v>46295</v>
      </c>
      <c r="I57" s="54" t="s">
        <v>194</v>
      </c>
      <c r="J57" s="33" t="s">
        <v>65</v>
      </c>
      <c r="K57" s="4">
        <v>46262</v>
      </c>
      <c r="L57" s="36">
        <v>46254</v>
      </c>
      <c r="M57" s="36"/>
      <c r="N57" s="46" t="s">
        <v>147</v>
      </c>
      <c r="O57" s="36" t="s">
        <v>195</v>
      </c>
      <c r="P57" s="62" t="s">
        <v>46</v>
      </c>
      <c r="Q57" s="4">
        <v>46269</v>
      </c>
      <c r="R57" s="36">
        <v>46268</v>
      </c>
      <c r="S57" s="36">
        <v>46268</v>
      </c>
      <c r="T57" s="68" t="s">
        <v>196</v>
      </c>
      <c r="U57" s="33" t="s">
        <v>47</v>
      </c>
      <c r="V57" s="58">
        <v>46276</v>
      </c>
      <c r="W57" s="36">
        <v>46282</v>
      </c>
      <c r="X57" s="36">
        <v>46275</v>
      </c>
      <c r="Y57" s="36">
        <v>46282</v>
      </c>
      <c r="Z57" s="36"/>
      <c r="AA57" s="51">
        <v>46290</v>
      </c>
      <c r="AB57" s="36">
        <v>46286</v>
      </c>
      <c r="AC57" s="36">
        <v>46286</v>
      </c>
      <c r="AD57" s="33" t="s">
        <v>124</v>
      </c>
      <c r="AE57" s="33" t="s">
        <v>49</v>
      </c>
      <c r="AF57" s="38"/>
      <c r="AG57" s="36"/>
      <c r="AH57" s="39"/>
      <c r="AI57" s="33"/>
      <c r="AJ57" s="40" t="s">
        <v>133</v>
      </c>
      <c r="AK57" s="72" t="str" cm="1">
        <f t="array" ref="AK57">IF($B57="","",_xlfn.LET(_xlpm.nm,$B57,_xlpm.st,$C57,_xlpm.ou,SUMPRODUCT(('Rework Log'!$A$2:$A$497=_xlpm.nm)*('Rework Log'!$G$2:$G$497&lt;&gt;"Yes")*('Rework Log'!$G$2:$G$497&lt;&gt;"Did not pass re-test")*('Rework Log'!$J$2:$J$497="")),_xlpm.ob,SUMPRODUCT(('Rework Log'!$A$2:$A$497=_xlpm.nm)*('Rework Log'!$G$2:$G$497&lt;&gt;"Yes")*('Rework Log'!$G$2:$G$497&lt;&gt;"Did not pass re-test")),_xlpm.oto,IF(SUMPRODUCT(('Rework Log'!$A$2:$A$497=_xlpm.nm)*('Rework Log'!$G$2:$G$497&lt;&gt;"Yes")*('Rework Log'!$G$2:$G$497&lt;&gt;"Did not pass re-test")*('Rework Log'!$J$2:$J$497=""))=0,"",INDEX('Rework Log'!$D$2:$D$497,MATCH(1,('Rework Log'!$A$2:$A$497=_xlpm.nm)*('Rework Log'!$G$2:$G$497&lt;&gt;"Yes")*('Rework Log'!$G$2:$G$497&lt;&gt;"Did not pass re-test")*('Rework Log'!$J$2:$J$497=""),0))),_xlpm.sent,_xlfn.MAXIFS('Rework Log'!$B$2:$B$497,'Rework Log'!$A$2:$A$497,_xlpm.nm),_xlpm.act,_xlfn.IFS(_xlpm.st="NOT STARTED",$M57,_xlpm.st="DB Dev",$M57,_xlpm.st="PBI Dev",$S57,_xlpm.st="QA",$Y57,_xlpm.st="DPO Approval",$AC57,_xlpm.st="Ready for Release in Prod",$AG57,TRUE,""),_xlpm.nxt,_xlfn.IFS(_xlpm.st="NOT STARTED","PBI Dev",_xlpm.st="DB Dev","PBI Dev",_xlpm.st="PBI Dev","QA",_xlpm.st="QA","DPO Approval",_xlpm.st="DPO Approval","Ready for Release in Prod",_xlpm.st="Ready for Release in Prod","RELEASED IN PROD",TRUE,""),IF(AND(_xlpm.ou&gt;0,_xlpm.st&lt;&gt;_xlpm.oto),"Move status back to "&amp;_xlpm.oto,IF(AND(_xlpm.ob=0,LEFT($AJ57,3)="Yes"),"Blocked - log it on Rework Log",IF(AND(_xlpm.ob&gt;0,LEFT($AJ57,3)&lt;&gt;"Yes"),"Open rework row - mark Blocked or close it",IF(AND(_xlpm.ob=0,_xlpm.act&lt;&gt;"",_xlpm.act&gt;=_xlpm.sent,_xlpm.nxt&lt;&gt;""),"Move status to "&amp;_xlpm.nxt,IF(COUNTIF($B$2:$B$528,$B57)&gt;1,"Duplicate name - check row",IF(COUNTIF('Rework Log'!$A$2:$A$497,$B57)&gt;0,"",IF(AND($V57&lt;&gt;"",$K57&lt;&gt;"",$V57&lt;$K57),"QA target is before DB Dev target",IF(AND($V57&lt;&gt;"",$Q57&lt;&gt;"",$V57&lt;$Q57),"QA target is before PBI Dev target",IF(AND($AA57&lt;&gt;"",$V57&lt;&gt;"",$AA57&lt;$V57),"DPO Approval target is before QA target",IF(AND($AG57&lt;&gt;"",$AA57&lt;&gt;"",$AG57&lt;$AA57),"Confirmed Deployed date is before DPO Approval target",""))))))))))))</f>
        <v>Blocked - log it on Rework Log</v>
      </c>
      <c r="AL57" s="41" t="s">
        <v>163</v>
      </c>
      <c r="AM57" s="32" t="str" cm="1">
        <f t="array" ref="AM57">_xlfn.LET(_xlpm.rep,$B57,_xlpm.sent,_xlfn.MAXIFS('Rework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
      </c>
      <c r="AN57" s="32" t="str" cm="1">
        <f t="array" ref="AN57">_xlfn.LET(_xlpm.rep,$B57,_xlpm.sent,_xlfn.MAXIFS('Rework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58" spans="1:40">
      <c r="A58" s="33" t="s">
        <v>126</v>
      </c>
      <c r="B58" s="33" t="s">
        <v>205</v>
      </c>
      <c r="C58" s="33" t="s">
        <v>206</v>
      </c>
      <c r="D58" t="str" cm="1">
        <f t="array" aca="1" ref="D58" ca="1">IF(AND(C58="Ready for Release in Prod",LEFT($AJ58,3)&lt;&gt;"Yes"),IF(AG58&lt;&gt;"","Delivered","On track"),IF($B58="","",IF(LEFT($AJ58,3)="Yes","Blocked - "&amp;MID($AJ58,7,100)&amp;IF(SUMPRODUCT(('Rework Log'!$A$2:$A$497=$B58)*('Rework Log'!$G$2:$G$497&lt;&gt;"Yes")*('Rework Log'!$G$2:$G$497&lt;&gt;"Did not pass re-test"))=0,"",IF(SUMPRODUCT(MAX((('Rework Log'!$A$2:$A$497=$B58)*('Rework Log'!$G$2:$G$497&lt;&gt;"Yes")*('Rework Log'!$G$2:$G$497&lt;&gt;"Did not pass re-test"))*'Rework Log'!$I$2:$I$497))=0," - unclaimed"," - promised "&amp;TEXT(SUMPRODUCT(MAX((('Rework Log'!$A$2:$A$497=$B58)*('Rework Log'!$G$2:$G$497&lt;&gt;"Yes")*('Rework Log'!$G$2:$G$497&lt;&gt;"Did not pass re-test"))*'Rework Log'!$I$2:$I$497)),"m/d"))),IF(C58="NOT STARTED",IF(H58="","No plan date set",IF(H58&lt;TODAY(),"Review - planned start passed","On track")),IF(C58="DB Dev",_xlfn.LET(_xlpm.sent,_xlfn.MAXIFS('Rework Log'!$B$2:$B$497,'Rework Log'!$A$2:$A$497,$B58,'Rework Log'!$D$2:$D$497,"DB Dev"),_xlpm.expfix,_xlfn.MAXIFS('Rework Log'!$I$2:$I$497,'Rework Log'!$A$2:$A$497,$B58,'Rework Log'!$D$2:$D$497,"DB Dev",'Rework Log'!$B$2:$B$497,_xlpm.sent),_xlpm.tgt,IF(_xlpm.expfix&gt;0,_xlpm.expfix,IF(L58&lt;&gt;"",L58,K58)),_xlpm.act,IF(AND(M58&lt;&gt;"",M58&gt;=_xlpm.sent),M58,""),IF(_xlpm.tgt="","No target set",IF(AND(_xlpm.tgt&lt;TODAY(),_xlpm.act=""),"Overdue","On track"))),IF(C58="PBI Dev",_xlfn.LET(_xlpm.sent,_xlfn.MAXIFS('Rework Log'!$B$2:$B$497,'Rework Log'!$A$2:$A$497,$B58,'Rework Log'!$D$2:$D$497,"PBI Dev"),_xlpm.expfix,_xlfn.MAXIFS('Rework Log'!$I$2:$I$497,'Rework Log'!$A$2:$A$497,$B58,'Rework Log'!$D$2:$D$497,"PBI Dev",'Rework Log'!$B$2:$B$497,_xlpm.sent),_xlpm.tgt,IF(_xlpm.expfix&gt;0,_xlpm.expfix,IF(R58&lt;&gt;"",R58,Q58)),_xlpm.act,IF(AND(S58&lt;&gt;"",S58&gt;=_xlpm.sent),S58,""),IF(_xlpm.tgt="","No target set",IF(AND(_xlpm.tgt&lt;TODAY(),_xlpm.act=""),"Overdue","On track"))),IF(C58="QA",_xlfn.LET(_xlpm.tgt,IF(AM58&lt;&gt;"",AM58,IF(W58&lt;&gt;"",W58,V58)),_xlpm.sent,_xlfn.MAXIFS('Rework Log'!$B$2:$B$497,'Rework Log'!$A$2:$A$497,$B58,'Rework Log'!$C$2:$C$497,"QA"),_xlpm.act,IF(AND(Y58&lt;&gt;"",Y58&gt;=_xlpm.sent),Y58,""),IF(_xlpm.tgt="","No target set",IF(AND(_xlpm.tgt&lt;TODAY(),_xlpm.act=""),"Overdue","On track"))),IF(C58="DPO Approval",_xlfn.LET(_xlpm.tgt,IF(AN58&lt;&gt;"",AN58,IF(AB58&lt;&gt;"",AB58,AA58)),_xlpm.sent,_xlfn.MAXIFS('Rework Log'!$B$2:$B$497,'Rework Log'!$A$2:$A$497,$B58,'Rework Log'!$C$2:$C$497,"DPO*"),_xlpm.act,IF(AND(AC58&lt;&gt;"",AC58&gt;=_xlpm.sent),AC58,""),IF(_xlpm.tgt="","No target set",IF(AND(_xlpm.tgt&lt;TODAY(),_xlpm.act=""),"Overdue","On track"))),IF(C58="RELEASED IN PROD","Delivered","")))))))))</f>
        <v>Overdue</v>
      </c>
      <c r="E58" s="33">
        <v>34</v>
      </c>
      <c r="F58" s="34" t="s">
        <v>129</v>
      </c>
      <c r="G58" s="33"/>
      <c r="H58" s="49">
        <v>46295</v>
      </c>
      <c r="I58" s="54" t="s">
        <v>194</v>
      </c>
      <c r="J58" s="33" t="s">
        <v>65</v>
      </c>
      <c r="K58" s="4">
        <v>46262</v>
      </c>
      <c r="L58" s="36">
        <v>46254</v>
      </c>
      <c r="M58" s="36">
        <v>46298</v>
      </c>
      <c r="N58" s="46" t="s">
        <v>147</v>
      </c>
      <c r="O58" s="36" t="s">
        <v>195</v>
      </c>
      <c r="P58" s="62" t="s">
        <v>77</v>
      </c>
      <c r="Q58" s="4">
        <v>46269</v>
      </c>
      <c r="R58" s="36">
        <v>46272</v>
      </c>
      <c r="S58" s="36">
        <v>46301</v>
      </c>
      <c r="T58" s="68" t="s">
        <v>196</v>
      </c>
      <c r="U58" s="33" t="s">
        <v>129</v>
      </c>
      <c r="V58" s="58">
        <v>46276</v>
      </c>
      <c r="W58" s="36"/>
      <c r="X58" s="36"/>
      <c r="Y58" s="36"/>
      <c r="Z58" s="36"/>
      <c r="AA58" s="51">
        <v>46290</v>
      </c>
      <c r="AB58" s="36"/>
      <c r="AC58" s="36"/>
      <c r="AD58" s="33" t="s">
        <v>132</v>
      </c>
      <c r="AE58" s="33" t="s">
        <v>49</v>
      </c>
      <c r="AF58" s="38"/>
      <c r="AG58" s="36"/>
      <c r="AH58" s="39"/>
      <c r="AI58" s="33"/>
      <c r="AJ58" s="40" t="s">
        <v>53</v>
      </c>
      <c r="AK58" s="72" t="str" cm="1">
        <f t="array" ref="AK58">IF($B58="","",_xlfn.LET(_xlpm.nm,$B58,_xlpm.st,$C58,_xlpm.ou,SUMPRODUCT(('Rework Log'!$A$2:$A$497=_xlpm.nm)*('Rework Log'!$G$2:$G$497&lt;&gt;"Yes")*('Rework Log'!$G$2:$G$497&lt;&gt;"Did not pass re-test")*('Rework Log'!$J$2:$J$497="")),_xlpm.ob,SUMPRODUCT(('Rework Log'!$A$2:$A$497=_xlpm.nm)*('Rework Log'!$G$2:$G$497&lt;&gt;"Yes")*('Rework Log'!$G$2:$G$497&lt;&gt;"Did not pass re-test")),_xlpm.oto,IF(SUMPRODUCT(('Rework Log'!$A$2:$A$497=_xlpm.nm)*('Rework Log'!$G$2:$G$497&lt;&gt;"Yes")*('Rework Log'!$G$2:$G$497&lt;&gt;"Did not pass re-test")*('Rework Log'!$J$2:$J$497=""))=0,"",INDEX('Rework Log'!$D$2:$D$497,MATCH(1,('Rework Log'!$A$2:$A$497=_xlpm.nm)*('Rework Log'!$G$2:$G$497&lt;&gt;"Yes")*('Rework Log'!$G$2:$G$497&lt;&gt;"Did not pass re-test")*('Rework Log'!$J$2:$J$497=""),0))),_xlpm.sent,_xlfn.MAXIFS('Rework Log'!$B$2:$B$497,'Rework Log'!$A$2:$A$497,_xlpm.nm),_xlpm.act,_xlfn.IFS(_xlpm.st="NOT STARTED",$M58,_xlpm.st="DB Dev",$M58,_xlpm.st="PBI Dev",$S58,_xlpm.st="QA",$Y58,_xlpm.st="DPO Approval",$AC58,_xlpm.st="Ready for Release in Prod",$AG58,TRUE,""),_xlpm.nxt,_xlfn.IFS(_xlpm.st="NOT STARTED","PBI Dev",_xlpm.st="DB Dev","PBI Dev",_xlpm.st="PBI Dev","QA",_xlpm.st="QA","DPO Approval",_xlpm.st="DPO Approval","Ready for Release in Prod",_xlpm.st="Ready for Release in Prod","RELEASED IN PROD",TRUE,""),IF(AND(_xlpm.ou&gt;0,_xlpm.st&lt;&gt;_xlpm.oto),"Move status back to "&amp;_xlpm.oto,IF(AND(_xlpm.ob=0,LEFT($AJ58,3)="Yes"),"Blocked - log it on Rework Log",IF(AND(_xlpm.ob&gt;0,LEFT($AJ58,3)&lt;&gt;"Yes"),"Open rework row - mark Blocked or close it",IF(AND(_xlpm.ob=0,_xlpm.act&lt;&gt;"",_xlpm.act&gt;=_xlpm.sent,_xlpm.nxt&lt;&gt;""),"Move status to "&amp;_xlpm.nxt,IF(COUNTIF($B$2:$B$528,$B58)&gt;1,"Duplicate name - check row",IF(COUNTIF('Rework Log'!$A$2:$A$497,$B58)&gt;0,"",IF(AND($V58&lt;&gt;"",$K58&lt;&gt;"",$V58&lt;$K58),"QA target is before DB Dev target",IF(AND($V58&lt;&gt;"",$Q58&lt;&gt;"",$V58&lt;$Q58),"QA target is before PBI Dev target",IF(AND($AA58&lt;&gt;"",$V58&lt;&gt;"",$AA58&lt;$V58),"DPO Approval target is before QA target",IF(AND($AG58&lt;&gt;"",$AA58&lt;&gt;"",$AG58&lt;$AA58),"Confirmed Deployed date is before DPO Approval target",""))))))))))))</f>
        <v>Move status back to PBI Dev</v>
      </c>
      <c r="AL58" s="41" t="s">
        <v>207</v>
      </c>
      <c r="AM58" s="32" t="str" cm="1">
        <f t="array" ref="AM58">_xlfn.LET(_xlpm.rep,$B58,_xlpm.sent,_xlfn.MAXIFS('Rework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
      </c>
      <c r="AN58" s="32" t="str" cm="1">
        <f t="array" ref="AN58">_xlfn.LET(_xlpm.rep,$B58,_xlpm.sent,_xlfn.MAXIFS('Rework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59" spans="1:40">
      <c r="A59" s="33" t="s">
        <v>126</v>
      </c>
      <c r="B59" s="33" t="s">
        <v>208</v>
      </c>
      <c r="C59" s="33" t="s">
        <v>42</v>
      </c>
      <c r="D59" t="str" cm="1">
        <f t="array" aca="1" ref="D59" ca="1">IF(AND(C59="Ready for Release in Prod",LEFT($AJ59,3)&lt;&gt;"Yes"),IF(AG59&lt;&gt;"","Delivered","On track"),IF($B59="","",IF(LEFT($AJ59,3)="Yes","Blocked - "&amp;MID($AJ59,7,100)&amp;IF(SUMPRODUCT(('Rework Log'!$A$2:$A$497=$B59)*('Rework Log'!$G$2:$G$497&lt;&gt;"Yes")*('Rework Log'!$G$2:$G$497&lt;&gt;"Did not pass re-test"))=0,"",IF(SUMPRODUCT(MAX((('Rework Log'!$A$2:$A$497=$B59)*('Rework Log'!$G$2:$G$497&lt;&gt;"Yes")*('Rework Log'!$G$2:$G$497&lt;&gt;"Did not pass re-test"))*'Rework Log'!$I$2:$I$497))=0," - unclaimed"," - promised "&amp;TEXT(SUMPRODUCT(MAX((('Rework Log'!$A$2:$A$497=$B59)*('Rework Log'!$G$2:$G$497&lt;&gt;"Yes")*('Rework Log'!$G$2:$G$497&lt;&gt;"Did not pass re-test"))*'Rework Log'!$I$2:$I$497)),"m/d"))),IF(C59="NOT STARTED",IF(H59="","No plan date set",IF(H59&lt;TODAY(),"Review - planned start passed","On track")),IF(C59="DB Dev",_xlfn.LET(_xlpm.sent,_xlfn.MAXIFS('Rework Log'!$B$2:$B$497,'Rework Log'!$A$2:$A$497,$B59,'Rework Log'!$D$2:$D$497,"DB Dev"),_xlpm.expfix,_xlfn.MAXIFS('Rework Log'!$I$2:$I$497,'Rework Log'!$A$2:$A$497,$B59,'Rework Log'!$D$2:$D$497,"DB Dev",'Rework Log'!$B$2:$B$497,_xlpm.sent),_xlpm.tgt,IF(_xlpm.expfix&gt;0,_xlpm.expfix,IF(L59&lt;&gt;"",L59,K59)),_xlpm.act,IF(AND(M59&lt;&gt;"",M59&gt;=_xlpm.sent),M59,""),IF(_xlpm.tgt="","No target set",IF(AND(_xlpm.tgt&lt;TODAY(),_xlpm.act=""),"Overdue","On track"))),IF(C59="PBI Dev",_xlfn.LET(_xlpm.sent,_xlfn.MAXIFS('Rework Log'!$B$2:$B$497,'Rework Log'!$A$2:$A$497,$B59,'Rework Log'!$D$2:$D$497,"PBI Dev"),_xlpm.expfix,_xlfn.MAXIFS('Rework Log'!$I$2:$I$497,'Rework Log'!$A$2:$A$497,$B59,'Rework Log'!$D$2:$D$497,"PBI Dev",'Rework Log'!$B$2:$B$497,_xlpm.sent),_xlpm.tgt,IF(_xlpm.expfix&gt;0,_xlpm.expfix,IF(R59&lt;&gt;"",R59,Q59)),_xlpm.act,IF(AND(S59&lt;&gt;"",S59&gt;=_xlpm.sent),S59,""),IF(_xlpm.tgt="","No target set",IF(AND(_xlpm.tgt&lt;TODAY(),_xlpm.act=""),"Overdue","On track"))),IF(C59="QA",_xlfn.LET(_xlpm.tgt,IF(AM59&lt;&gt;"",AM59,IF(W59&lt;&gt;"",W59,V59)),_xlpm.sent,_xlfn.MAXIFS('Rework Log'!$B$2:$B$497,'Rework Log'!$A$2:$A$497,$B59,'Rework Log'!$C$2:$C$497,"QA"),_xlpm.act,IF(AND(X59&lt;&gt;"",X59&gt;=_xlpm.sent),X59,""),IF(_xlpm.tgt="","No target set",IF(AND(_xlpm.tgt&lt;TODAY(),_xlpm.act=""),"Overdue","On track"))),IF(C59="DPO Approval",_xlfn.LET(_xlpm.tgt,IF(AN59&lt;&gt;"",AN59,IF(AB59&lt;&gt;"",AB59,AA59)),_xlpm.sent,_xlfn.MAXIFS('Rework Log'!$B$2:$B$497,'Rework Log'!$A$2:$A$497,$B59,'Rework Log'!$C$2:$C$497,"DPO*"),_xlpm.act,IF(AND(AC59&lt;&gt;"",AC59&gt;=_xlpm.sent),AC59,""),IF(_xlpm.tgt="","No target set",IF(AND(_xlpm.tgt&lt;TODAY(),_xlpm.act=""),"Overdue","On track"))),IF(C59="RELEASED IN PROD","Delivered","")))))))))</f>
        <v>Blocked - Blocked in Prod</v>
      </c>
      <c r="E59" s="33">
        <v>35</v>
      </c>
      <c r="F59" s="34" t="s">
        <v>209</v>
      </c>
      <c r="G59" s="33"/>
      <c r="H59" s="49">
        <v>46295</v>
      </c>
      <c r="I59" s="54" t="s">
        <v>194</v>
      </c>
      <c r="J59" s="33" t="s">
        <v>44</v>
      </c>
      <c r="K59" s="4">
        <v>46262</v>
      </c>
      <c r="L59" s="36">
        <v>46253</v>
      </c>
      <c r="M59" s="36">
        <v>46253</v>
      </c>
      <c r="N59" s="36"/>
      <c r="O59" s="36" t="s">
        <v>195</v>
      </c>
      <c r="P59" s="62" t="s">
        <v>60</v>
      </c>
      <c r="Q59" s="4">
        <v>46269</v>
      </c>
      <c r="R59" s="36">
        <v>46266</v>
      </c>
      <c r="S59" s="36">
        <v>46266</v>
      </c>
      <c r="T59" s="68" t="s">
        <v>196</v>
      </c>
      <c r="U59" s="33" t="s">
        <v>47</v>
      </c>
      <c r="V59" s="58">
        <v>46276</v>
      </c>
      <c r="W59" s="36">
        <v>46289</v>
      </c>
      <c r="X59" s="36">
        <v>46288</v>
      </c>
      <c r="Y59" s="46">
        <v>46290</v>
      </c>
      <c r="Z59" s="36"/>
      <c r="AA59" s="51">
        <v>46290</v>
      </c>
      <c r="AB59" s="36">
        <v>46297</v>
      </c>
      <c r="AC59" s="36">
        <v>46301</v>
      </c>
      <c r="AD59" s="33" t="s">
        <v>124</v>
      </c>
      <c r="AE59" s="33" t="s">
        <v>49</v>
      </c>
      <c r="AF59" s="38" t="s">
        <v>50</v>
      </c>
      <c r="AG59" s="36">
        <v>46304</v>
      </c>
      <c r="AH59" s="39"/>
      <c r="AI59" s="33"/>
      <c r="AJ59" s="40" t="s">
        <v>133</v>
      </c>
      <c r="AK59" s="72" t="str" cm="1">
        <f t="array" ref="AK59">IF($B59="","",_xlfn.LET(_xlpm.nm,$B59,_xlpm.st,$C59,_xlpm.ou,SUMPRODUCT(('Rework Log'!$A$2:$A$497=_xlpm.nm)*('Rework Log'!$G$2:$G$497&lt;&gt;"Yes")*('Rework Log'!$G$2:$G$497&lt;&gt;"Did not pass re-test")*('Rework Log'!$J$2:$J$497="")),_xlpm.ob,SUMPRODUCT(('Rework Log'!$A$2:$A$497=_xlpm.nm)*('Rework Log'!$G$2:$G$497&lt;&gt;"Yes")*('Rework Log'!$G$2:$G$497&lt;&gt;"Did not pass re-test")),_xlpm.oto,IF(SUMPRODUCT(('Rework Log'!$A$2:$A$497=_xlpm.nm)*('Rework Log'!$G$2:$G$497&lt;&gt;"Yes")*('Rework Log'!$G$2:$G$497&lt;&gt;"Did not pass re-test")*('Rework Log'!$J$2:$J$497=""))=0,"",INDEX('Rework Log'!$D$2:$D$497,MATCH(1,('Rework Log'!$A$2:$A$497=_xlpm.nm)*('Rework Log'!$G$2:$G$497&lt;&gt;"Yes")*('Rework Log'!$G$2:$G$497&lt;&gt;"Did not pass re-test")*('Rework Log'!$J$2:$J$497=""),0))),_xlpm.sent,_xlfn.MAXIFS('Rework Log'!$B$2:$B$497,'Rework Log'!$A$2:$A$497,_xlpm.nm),_xlpm.act,_xlfn.IFS(_xlpm.st="NOT STARTED",$M59,_xlpm.st="DB Dev",$M59,_xlpm.st="PBI Dev",$S59,_xlpm.st="QA",$X59,_xlpm.st="DPO Approval",$AC59,_xlpm.st="Ready for Release in Prod",$AG59,TRUE,""),_xlpm.nxt,_xlfn.IFS(_xlpm.st="NOT STARTED","PBI Dev",_xlpm.st="DB Dev","PBI Dev",_xlpm.st="PBI Dev","QA",_xlpm.st="QA","DPO Approval",_xlpm.st="DPO Approval","Ready for Release in Prod",_xlpm.st="Ready for Release in Prod","RELEASED IN PROD",TRUE,""),IF(AND(_xlpm.ou&gt;0,_xlpm.st&lt;&gt;_xlpm.oto),"Move status back to "&amp;_xlpm.oto,IF(AND(_xlpm.ob=0,LEFT($AJ59,3)="Yes"),"Blocked - log it on Rework Log",IF(AND(_xlpm.ob&gt;0,LEFT($AJ59,3)&lt;&gt;"Yes"),"Open rework row - mark Blocked or close it",IF(AND(_xlpm.ob=0,_xlpm.act&lt;&gt;"",_xlpm.act&gt;=_xlpm.sent,_xlpm.nxt&lt;&gt;""),"Move status to "&amp;_xlpm.nxt,IF(COUNTIF($B$2:$B$528,$B59)&gt;1,"Duplicate name - check row",IF(COUNTIF('Rework Log'!$A$2:$A$497,$B59)&gt;0,"",IF(AND($V59&lt;&gt;"",$K59&lt;&gt;"",$V59&lt;$K59),"QA target is before DB Dev target",IF(AND($V59&lt;&gt;"",$Q59&lt;&gt;"",$V59&lt;$Q59),"QA target is before PBI Dev target",IF(AND($AA59&lt;&gt;"",$V59&lt;&gt;"",$AA59&lt;$V59),"DPO Approval target is before QA target",IF(AND($AG59&lt;&gt;"",$AA59&lt;&gt;"",$AG59&lt;$AA59),"Confirmed Deployed date is before DPO Approval target",""))))))))))))</f>
        <v>Blocked - log it on Rework Log</v>
      </c>
      <c r="AL59" s="41" t="s">
        <v>163</v>
      </c>
      <c r="AM59" s="32" cm="1">
        <f t="array" ref="AM59">_xlfn.LET(_xlpm.rep,$B59,_xlpm.sent,_xlfn.MAXIFS('Rework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46288</v>
      </c>
      <c r="AN59" s="32" t="str" cm="1">
        <f t="array" ref="AN59">_xlfn.LET(_xlpm.rep,$B59,_xlpm.sent,_xlfn.MAXIFS('Rework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60" spans="1:40">
      <c r="A60" s="33" t="s">
        <v>126</v>
      </c>
      <c r="B60" s="33" t="s">
        <v>210</v>
      </c>
      <c r="C60" s="33" t="s">
        <v>42</v>
      </c>
      <c r="D60" t="str" cm="1">
        <f t="array" aca="1" ref="D60" ca="1">IF(AND(C60="Ready for Release in Prod",LEFT($AJ60,3)&lt;&gt;"Yes"),IF(AG60&lt;&gt;"","Delivered","On track"),IF($B60="","",IF(LEFT($AJ60,3)="Yes","Blocked - "&amp;MID($AJ60,7,100)&amp;IF(SUMPRODUCT(('Rework Log'!$A$2:$A$497=$B60)*('Rework Log'!$G$2:$G$497&lt;&gt;"Yes")*('Rework Log'!$G$2:$G$497&lt;&gt;"Did not pass re-test"))=0,"",IF(SUMPRODUCT(MAX((('Rework Log'!$A$2:$A$497=$B60)*('Rework Log'!$G$2:$G$497&lt;&gt;"Yes")*('Rework Log'!$G$2:$G$497&lt;&gt;"Did not pass re-test"))*'Rework Log'!$I$2:$I$497))=0," - unclaimed"," - promised "&amp;TEXT(SUMPRODUCT(MAX((('Rework Log'!$A$2:$A$497=$B60)*('Rework Log'!$G$2:$G$497&lt;&gt;"Yes")*('Rework Log'!$G$2:$G$497&lt;&gt;"Did not pass re-test"))*'Rework Log'!$I$2:$I$497)),"m/d"))),IF(C60="NOT STARTED",IF(H60="","No plan date set",IF(H60&lt;TODAY(),"Review - planned start passed","On track")),IF(C60="DB Dev",_xlfn.LET(_xlpm.sent,_xlfn.MAXIFS('Rework Log'!$B$2:$B$497,'Rework Log'!$A$2:$A$497,$B60,'Rework Log'!$D$2:$D$497,"DB Dev"),_xlpm.expfix,_xlfn.MAXIFS('Rework Log'!$I$2:$I$497,'Rework Log'!$A$2:$A$497,$B60,'Rework Log'!$D$2:$D$497,"DB Dev",'Rework Log'!$B$2:$B$497,_xlpm.sent),_xlpm.tgt,IF(_xlpm.expfix&gt;0,_xlpm.expfix,IF(L60&lt;&gt;"",L60,K60)),_xlpm.act,IF(AND(M60&lt;&gt;"",M60&gt;=_xlpm.sent),M60,""),IF(_xlpm.tgt="","No target set",IF(AND(_xlpm.tgt&lt;TODAY(),_xlpm.act=""),"Overdue","On track"))),IF(C60="PBI Dev",_xlfn.LET(_xlpm.sent,_xlfn.MAXIFS('Rework Log'!$B$2:$B$497,'Rework Log'!$A$2:$A$497,$B60,'Rework Log'!$D$2:$D$497,"PBI Dev"),_xlpm.expfix,_xlfn.MAXIFS('Rework Log'!$I$2:$I$497,'Rework Log'!$A$2:$A$497,$B60,'Rework Log'!$D$2:$D$497,"PBI Dev",'Rework Log'!$B$2:$B$497,_xlpm.sent),_xlpm.tgt,IF(_xlpm.expfix&gt;0,_xlpm.expfix,IF(R60&lt;&gt;"",R60,Q60)),_xlpm.act,IF(AND(S60&lt;&gt;"",S60&gt;=_xlpm.sent),S60,""),IF(_xlpm.tgt="","No target set",IF(AND(_xlpm.tgt&lt;TODAY(),_xlpm.act=""),"Overdue","On track"))),IF(C60="QA",_xlfn.LET(_xlpm.tgt,IF(AM60&lt;&gt;"",AM60,IF(W60&lt;&gt;"",W60,V60)),_xlpm.sent,_xlfn.MAXIFS('Rework Log'!$B$2:$B$497,'Rework Log'!$A$2:$A$497,$B60,'Rework Log'!$C$2:$C$497,"QA"),_xlpm.act,IF(AND(Y60&lt;&gt;"",Y60&gt;=_xlpm.sent),Y60,""),IF(_xlpm.tgt="","No target set",IF(AND(_xlpm.tgt&lt;TODAY(),_xlpm.act=""),"Overdue","On track"))),IF(C60="DPO Approval",_xlfn.LET(_xlpm.tgt,IF(AN60&lt;&gt;"",AN60,IF(AB60&lt;&gt;"",AB60,AA60)),_xlpm.sent,_xlfn.MAXIFS('Rework Log'!$B$2:$B$497,'Rework Log'!$A$2:$A$497,$B60,'Rework Log'!$C$2:$C$497,"DPO*"),_xlpm.act,IF(AND(AC60&lt;&gt;"",AC60&gt;=_xlpm.sent),AC60,""),IF(_xlpm.tgt="","No target set",IF(AND(_xlpm.tgt&lt;TODAY(),_xlpm.act=""),"Overdue","On track"))),IF(C60="RELEASED IN PROD","Delivered","")))))))))</f>
        <v>Delivered</v>
      </c>
      <c r="E60" s="33">
        <v>36</v>
      </c>
      <c r="F60" s="34" t="s">
        <v>209</v>
      </c>
      <c r="G60" s="33"/>
      <c r="H60" s="49">
        <v>46295</v>
      </c>
      <c r="I60" s="54" t="s">
        <v>194</v>
      </c>
      <c r="J60" s="33" t="s">
        <v>155</v>
      </c>
      <c r="K60" s="4">
        <v>46262</v>
      </c>
      <c r="L60" s="36">
        <v>46255</v>
      </c>
      <c r="M60" s="36">
        <v>46255</v>
      </c>
      <c r="N60" s="36" t="s">
        <v>147</v>
      </c>
      <c r="O60" s="36" t="s">
        <v>195</v>
      </c>
      <c r="P60" s="62" t="s">
        <v>46</v>
      </c>
      <c r="Q60" s="4">
        <v>46269</v>
      </c>
      <c r="R60" s="36">
        <v>46273</v>
      </c>
      <c r="S60" s="36">
        <v>46273</v>
      </c>
      <c r="T60" s="68" t="s">
        <v>196</v>
      </c>
      <c r="U60" s="33" t="s">
        <v>47</v>
      </c>
      <c r="V60" s="58">
        <v>46276</v>
      </c>
      <c r="W60" s="36">
        <v>46287</v>
      </c>
      <c r="X60" s="36"/>
      <c r="Y60" s="36">
        <v>46286</v>
      </c>
      <c r="Z60" s="36"/>
      <c r="AA60" s="51">
        <v>46290</v>
      </c>
      <c r="AB60" s="36">
        <v>46296</v>
      </c>
      <c r="AC60" s="36">
        <v>46295</v>
      </c>
      <c r="AD60" s="33" t="s">
        <v>211</v>
      </c>
      <c r="AE60" s="33" t="s">
        <v>72</v>
      </c>
      <c r="AF60" s="38" t="s">
        <v>50</v>
      </c>
      <c r="AG60" s="36">
        <v>46297</v>
      </c>
      <c r="AH60" s="39"/>
      <c r="AI60" s="33"/>
      <c r="AJ60" s="40" t="s">
        <v>53</v>
      </c>
      <c r="AK60" s="72" t="str" cm="1">
        <f t="array" ref="AK60">IF($B60="","",_xlfn.LET(_xlpm.nm,$B60,_xlpm.st,$C60,_xlpm.ou,SUMPRODUCT(('Rework Log'!$A$2:$A$497=_xlpm.nm)*('Rework Log'!$G$2:$G$497&lt;&gt;"Yes")*('Rework Log'!$G$2:$G$497&lt;&gt;"Did not pass re-test")*('Rework Log'!$J$2:$J$497="")),_xlpm.ob,SUMPRODUCT(('Rework Log'!$A$2:$A$497=_xlpm.nm)*('Rework Log'!$G$2:$G$497&lt;&gt;"Yes")*('Rework Log'!$G$2:$G$497&lt;&gt;"Did not pass re-test")),_xlpm.oto,IF(SUMPRODUCT(('Rework Log'!$A$2:$A$497=_xlpm.nm)*('Rework Log'!$G$2:$G$497&lt;&gt;"Yes")*('Rework Log'!$G$2:$G$497&lt;&gt;"Did not pass re-test")*('Rework Log'!$J$2:$J$497=""))=0,"",INDEX('Rework Log'!$D$2:$D$497,MATCH(1,('Rework Log'!$A$2:$A$497=_xlpm.nm)*('Rework Log'!$G$2:$G$497&lt;&gt;"Yes")*('Rework Log'!$G$2:$G$497&lt;&gt;"Did not pass re-test")*('Rework Log'!$J$2:$J$497=""),0))),_xlpm.sent,_xlfn.MAXIFS('Rework Log'!$B$2:$B$497,'Rework Log'!$A$2:$A$497,_xlpm.nm),_xlpm.act,_xlfn.IFS(_xlpm.st="NOT STARTED",$M60,_xlpm.st="DB Dev",$M60,_xlpm.st="PBI Dev",$S60,_xlpm.st="QA",$Y60,_xlpm.st="DPO Approval",$AC60,_xlpm.st="Ready for Release in Prod",$AG60,TRUE,""),_xlpm.nxt,_xlfn.IFS(_xlpm.st="NOT STARTED","PBI Dev",_xlpm.st="DB Dev","PBI Dev",_xlpm.st="PBI Dev","QA",_xlpm.st="QA","DPO Approval",_xlpm.st="DPO Approval","Ready for Release in Prod",_xlpm.st="Ready for Release in Prod","RELEASED IN PROD",TRUE,""),IF(AND(_xlpm.ou&gt;0,_xlpm.st&lt;&gt;_xlpm.oto),"Move status back to "&amp;_xlpm.oto,IF(AND(_xlpm.ob=0,LEFT($AJ60,3)="Yes"),"Blocked - log it on Rework Log",IF(AND(_xlpm.ob&gt;0,LEFT($AJ60,3)&lt;&gt;"Yes"),"Open rework row - mark Blocked or close it",IF(AND(_xlpm.ob=0,_xlpm.act&lt;&gt;"",_xlpm.act&gt;=_xlpm.sent,_xlpm.nxt&lt;&gt;""),"Move status to "&amp;_xlpm.nxt,IF(COUNTIF($B$2:$B$528,$B60)&gt;1,"Duplicate name - check row",IF(COUNTIF('Rework Log'!$A$2:$A$497,$B60)&gt;0,"",IF(AND($V60&lt;&gt;"",$K60&lt;&gt;"",$V60&lt;$K60),"QA target is before DB Dev target",IF(AND($V60&lt;&gt;"",$Q60&lt;&gt;"",$V60&lt;$Q60),"QA target is before PBI Dev target",IF(AND($AA60&lt;&gt;"",$V60&lt;&gt;"",$AA60&lt;$V60),"DPO Approval target is before QA target",IF(AND($AG60&lt;&gt;"",$AA60&lt;&gt;"",$AG60&lt;$AA60),"Confirmed Deployed date is before DPO Approval target",""))))))))))))</f>
        <v/>
      </c>
      <c r="AL60" s="41" t="s">
        <v>163</v>
      </c>
      <c r="AM60" s="32" cm="1">
        <f t="array" ref="AM60">_xlfn.LET(_xlpm.rep,$B60,_xlpm.sent,_xlfn.MAXIFS('Rework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46287</v>
      </c>
      <c r="AN60" s="32" t="str" cm="1">
        <f t="array" ref="AN60">_xlfn.LET(_xlpm.rep,$B60,_xlpm.sent,_xlfn.MAXIFS('Rework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61" spans="1:40">
      <c r="A61" s="33" t="s">
        <v>126</v>
      </c>
      <c r="B61" s="33" t="s">
        <v>212</v>
      </c>
      <c r="C61" s="33" t="s">
        <v>187</v>
      </c>
      <c r="D61" t="s">
        <v>213</v>
      </c>
      <c r="E61" s="33">
        <v>37</v>
      </c>
      <c r="F61" s="34" t="s">
        <v>129</v>
      </c>
      <c r="G61" s="33"/>
      <c r="H61" s="49">
        <v>46295</v>
      </c>
      <c r="I61" s="54" t="s">
        <v>194</v>
      </c>
      <c r="J61" s="33" t="s">
        <v>44</v>
      </c>
      <c r="K61" s="4">
        <v>46262</v>
      </c>
      <c r="L61" s="36">
        <v>46255</v>
      </c>
      <c r="M61" s="36">
        <v>46255</v>
      </c>
      <c r="N61" s="36"/>
      <c r="O61" s="36" t="s">
        <v>195</v>
      </c>
      <c r="P61" s="62" t="s">
        <v>60</v>
      </c>
      <c r="Q61" s="4">
        <v>46269</v>
      </c>
      <c r="R61" s="36">
        <v>46268</v>
      </c>
      <c r="S61" s="36">
        <v>46268</v>
      </c>
      <c r="T61" s="68" t="s">
        <v>196</v>
      </c>
      <c r="U61" s="33" t="s">
        <v>47</v>
      </c>
      <c r="V61" s="58">
        <v>46276</v>
      </c>
      <c r="W61" s="36">
        <v>46296</v>
      </c>
      <c r="X61" s="36">
        <v>46281</v>
      </c>
      <c r="Y61" s="36">
        <v>46295</v>
      </c>
      <c r="Z61" s="36"/>
      <c r="AA61" s="51">
        <v>46290</v>
      </c>
      <c r="AB61" s="36">
        <v>46318</v>
      </c>
      <c r="AC61" s="36"/>
      <c r="AD61" s="33" t="s">
        <v>214</v>
      </c>
      <c r="AE61" s="33" t="s">
        <v>72</v>
      </c>
      <c r="AF61" s="38"/>
      <c r="AG61" s="36"/>
      <c r="AH61" s="39"/>
      <c r="AI61" s="33"/>
      <c r="AJ61" s="40" t="s">
        <v>53</v>
      </c>
      <c r="AK61" s="72" t="str" cm="1">
        <f t="array" ref="AK61">IF($B61="","",_xlfn.LET(_xlpm.nm,$B61,_xlpm.st,$C61,_xlpm.ou,SUMPRODUCT(('Rework Log'!$A$2:$A$497=_xlpm.nm)*('Rework Log'!$G$2:$G$497&lt;&gt;"Yes")*('Rework Log'!$G$2:$G$497&lt;&gt;"Did not pass re-test")*('Rework Log'!$J$2:$J$497="")),_xlpm.ob,SUMPRODUCT(('Rework Log'!$A$2:$A$497=_xlpm.nm)*('Rework Log'!$G$2:$G$497&lt;&gt;"Yes")*('Rework Log'!$G$2:$G$497&lt;&gt;"Did not pass re-test")),_xlpm.oto,IF(SUMPRODUCT(('Rework Log'!$A$2:$A$497=_xlpm.nm)*('Rework Log'!$G$2:$G$497&lt;&gt;"Yes")*('Rework Log'!$G$2:$G$497&lt;&gt;"Did not pass re-test")*('Rework Log'!$J$2:$J$497=""))=0,"",INDEX('Rework Log'!$D$2:$D$497,MATCH(1,('Rework Log'!$A$2:$A$497=_xlpm.nm)*('Rework Log'!$G$2:$G$497&lt;&gt;"Yes")*('Rework Log'!$G$2:$G$497&lt;&gt;"Did not pass re-test")*('Rework Log'!$J$2:$J$497=""),0))),_xlpm.sent,_xlfn.MAXIFS('Rework Log'!$B$2:$B$497,'Rework Log'!$A$2:$A$497,_xlpm.nm),_xlpm.act,_xlfn.IFS(_xlpm.st="NOT STARTED",$M61,_xlpm.st="DB Dev",$M61,_xlpm.st="PBI Dev",$S61,_xlpm.st="QA",$Y61,_xlpm.st="DPO Approval",$AC61,_xlpm.st="Ready for Release in Prod",$AG61,TRUE,""),_xlpm.nxt,_xlfn.IFS(_xlpm.st="NOT STARTED","PBI Dev",_xlpm.st="DB Dev","PBI Dev",_xlpm.st="PBI Dev","QA",_xlpm.st="QA","DPO Approval",_xlpm.st="DPO Approval","Ready for Release in Prod",_xlpm.st="Ready for Release in Prod","RELEASED IN PROD",TRUE,""),IF(AND(_xlpm.ou&gt;0,_xlpm.st&lt;&gt;_xlpm.oto),"Move status back to "&amp;_xlpm.oto,IF(AND(_xlpm.ob=0,LEFT($AJ61,3)="Yes"),"Blocked - log it on Rework Log",IF(AND(_xlpm.ob&gt;0,LEFT($AJ61,3)&lt;&gt;"Yes"),"Open rework row - mark Blocked or close it",IF(AND(_xlpm.ob=0,_xlpm.act&lt;&gt;"",_xlpm.act&gt;=_xlpm.sent,_xlpm.nxt&lt;&gt;""),"Move status to "&amp;_xlpm.nxt,IF(COUNTIF($B$2:$B$528,$B61)&gt;1,"Duplicate name - check row",IF(COUNTIF('Rework Log'!$A$2:$A$497,$B61)&gt;0,"",IF(AND($V61&lt;&gt;"",$K61&lt;&gt;"",$V61&lt;$K61),"QA target is before DB Dev target",IF(AND($V61&lt;&gt;"",$Q61&lt;&gt;"",$V61&lt;$Q61),"QA target is before PBI Dev target",IF(AND($AA61&lt;&gt;"",$V61&lt;&gt;"",$AA61&lt;$V61),"DPO Approval target is before QA target",IF(AND($AG61&lt;&gt;"",$AA61&lt;&gt;"",$AG61&lt;$AA61),"Confirmed Deployed date is before DPO Approval target",""))))))))))))</f>
        <v/>
      </c>
      <c r="AL61" s="41" t="s">
        <v>163</v>
      </c>
      <c r="AM61" s="32" t="str" cm="1">
        <f t="array" ref="AM61">_xlfn.LET(_xlpm.rep,$B61,_xlpm.sent,_xlfn.MAXIFS('Rework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
      </c>
      <c r="AN61" s="32" t="str" cm="1">
        <f t="array" ref="AN61">_xlfn.LET(_xlpm.rep,$B61,_xlpm.sent,_xlfn.MAXIFS('Rework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62" spans="1:40">
      <c r="A62" s="33" t="s">
        <v>126</v>
      </c>
      <c r="B62" s="33" t="s">
        <v>215</v>
      </c>
      <c r="C62" s="33" t="s">
        <v>187</v>
      </c>
      <c r="D62" t="str" cm="1">
        <f t="array" aca="1" ref="D62" ca="1">IF(AND(C62="Ready for Release in Prod",LEFT($AJ62,3)&lt;&gt;"Yes"),IF(AG62&lt;&gt;"","Delivered","On track"),IF($B62="","",IF(LEFT($AJ62,3)="Yes","Blocked - "&amp;MID($AJ62,7,100)&amp;IF(SUMPRODUCT(('Rework Log'!$A$2:$A$497=$B62)*('Rework Log'!$G$2:$G$497&lt;&gt;"Yes")*('Rework Log'!$G$2:$G$497&lt;&gt;"Did not pass re-test"))=0,"",IF(SUMPRODUCT(MAX((('Rework Log'!$A$2:$A$497=$B62)*('Rework Log'!$G$2:$G$497&lt;&gt;"Yes")*('Rework Log'!$G$2:$G$497&lt;&gt;"Did not pass re-test"))*'Rework Log'!$I$2:$I$497))=0," - unclaimed"," - promised "&amp;TEXT(SUMPRODUCT(MAX((('Rework Log'!$A$2:$A$497=$B62)*('Rework Log'!$G$2:$G$497&lt;&gt;"Yes")*('Rework Log'!$G$2:$G$497&lt;&gt;"Did not pass re-test"))*'Rework Log'!$I$2:$I$497)),"m/d"))),IF(C62="NOT STARTED",IF(H62="","No plan date set",IF(H62&lt;TODAY(),"Review - planned start passed","On track")),IF(C62="DB Dev",_xlfn.LET(_xlpm.sent,_xlfn.MAXIFS('Rework Log'!$B$2:$B$497,'Rework Log'!$A$2:$A$497,$B62,'Rework Log'!$D$2:$D$497,"DB Dev"),_xlpm.expfix,_xlfn.MAXIFS('Rework Log'!$I$2:$I$497,'Rework Log'!$A$2:$A$497,$B62,'Rework Log'!$D$2:$D$497,"DB Dev",'Rework Log'!$B$2:$B$497,_xlpm.sent),_xlpm.tgt,IF(_xlpm.expfix&gt;0,_xlpm.expfix,IF(L62&lt;&gt;"",L62,K62)),_xlpm.act,IF(AND(M62&lt;&gt;"",M62&gt;=_xlpm.sent),M62,""),IF(_xlpm.tgt="","No target set",IF(AND(_xlpm.tgt&lt;TODAY(),_xlpm.act=""),"Overdue","On track"))),IF(C62="PBI Dev",_xlfn.LET(_xlpm.sent,_xlfn.MAXIFS('Rework Log'!$B$2:$B$497,'Rework Log'!$A$2:$A$497,$B62,'Rework Log'!$D$2:$D$497,"PBI Dev"),_xlpm.expfix,_xlfn.MAXIFS('Rework Log'!$I$2:$I$497,'Rework Log'!$A$2:$A$497,$B62,'Rework Log'!$D$2:$D$497,"PBI Dev",'Rework Log'!$B$2:$B$497,_xlpm.sent),_xlpm.tgt,IF(_xlpm.expfix&gt;0,_xlpm.expfix,IF(R62&lt;&gt;"",R62,Q62)),_xlpm.act,IF(AND(S62&lt;&gt;"",S62&gt;=_xlpm.sent),S62,""),IF(_xlpm.tgt="","No target set",IF(AND(_xlpm.tgt&lt;TODAY(),_xlpm.act=""),"Overdue","On track"))),IF(C62="QA",_xlfn.LET(_xlpm.tgt,IF(AM62&lt;&gt;"",AM62,IF(W62&lt;&gt;"",W62,V62)),_xlpm.sent,_xlfn.MAXIFS('Rework Log'!$B$2:$B$497,'Rework Log'!$A$2:$A$497,$B62,'Rework Log'!$C$2:$C$497,"QA"),_xlpm.act,IF(AND(Y62&lt;&gt;"",Y62&gt;=_xlpm.sent),Y62,""),IF(_xlpm.tgt="","No target set",IF(AND(_xlpm.tgt&lt;TODAY(),_xlpm.act=""),"Overdue","On track"))),IF(C62="DPO Approval",_xlfn.LET(_xlpm.tgt,IF(AN62&lt;&gt;"",AN62,IF(AB62&lt;&gt;"",AB62,AA62)),_xlpm.sent,_xlfn.MAXIFS('Rework Log'!$B$2:$B$497,'Rework Log'!$A$2:$A$497,$B62,'Rework Log'!$C$2:$C$497,"DPO*"),_xlpm.act,IF(AND(AC62&lt;&gt;"",AC62&gt;=_xlpm.sent),AC62,""),IF(_xlpm.tgt="","No target set",IF(AND(_xlpm.tgt&lt;TODAY(),_xlpm.act=""),"Overdue","On track"))),IF(C62="RELEASED IN PROD","Delivered","")))))))))</f>
        <v>Blocked - needs DPO Approval to fix</v>
      </c>
      <c r="E62" s="33">
        <v>38</v>
      </c>
      <c r="F62" s="34" t="s">
        <v>209</v>
      </c>
      <c r="G62" s="33"/>
      <c r="H62" s="49">
        <v>46295</v>
      </c>
      <c r="I62" s="54" t="s">
        <v>194</v>
      </c>
      <c r="J62" s="33" t="s">
        <v>84</v>
      </c>
      <c r="K62" s="4">
        <v>46262</v>
      </c>
      <c r="L62" s="36">
        <v>46260</v>
      </c>
      <c r="M62" s="36">
        <v>46259</v>
      </c>
      <c r="N62" s="36"/>
      <c r="O62" s="36" t="s">
        <v>195</v>
      </c>
      <c r="P62" s="62" t="s">
        <v>77</v>
      </c>
      <c r="Q62" s="4">
        <v>46269</v>
      </c>
      <c r="R62" s="36">
        <v>46280</v>
      </c>
      <c r="S62" s="36">
        <v>46282</v>
      </c>
      <c r="T62" s="68" t="s">
        <v>196</v>
      </c>
      <c r="U62" s="33" t="s">
        <v>201</v>
      </c>
      <c r="V62" s="58">
        <v>46276</v>
      </c>
      <c r="W62" s="36">
        <v>46288</v>
      </c>
      <c r="X62" s="36">
        <v>46283</v>
      </c>
      <c r="Y62" s="36">
        <v>46289</v>
      </c>
      <c r="Z62" s="36"/>
      <c r="AA62" s="51">
        <v>46290</v>
      </c>
      <c r="AB62" s="36">
        <v>46314</v>
      </c>
      <c r="AC62" s="36"/>
      <c r="AD62" s="33" t="s">
        <v>216</v>
      </c>
      <c r="AE62" s="33" t="s">
        <v>72</v>
      </c>
      <c r="AF62" s="38"/>
      <c r="AG62" s="36"/>
      <c r="AH62" s="39"/>
      <c r="AI62" s="33"/>
      <c r="AJ62" s="40" t="s">
        <v>171</v>
      </c>
      <c r="AK62" s="72" t="str" cm="1">
        <f t="array" ref="AK62">IF($B62="","",_xlfn.LET(_xlpm.nm,$B62,_xlpm.st,$C62,_xlpm.ou,SUMPRODUCT(('Rework Log'!$A$2:$A$497=_xlpm.nm)*('Rework Log'!$G$2:$G$497&lt;&gt;"Yes")*('Rework Log'!$G$2:$G$497&lt;&gt;"Did not pass re-test")*('Rework Log'!$J$2:$J$497="")),_xlpm.ob,SUMPRODUCT(('Rework Log'!$A$2:$A$497=_xlpm.nm)*('Rework Log'!$G$2:$G$497&lt;&gt;"Yes")*('Rework Log'!$G$2:$G$497&lt;&gt;"Did not pass re-test")),_xlpm.oto,IF(SUMPRODUCT(('Rework Log'!$A$2:$A$497=_xlpm.nm)*('Rework Log'!$G$2:$G$497&lt;&gt;"Yes")*('Rework Log'!$G$2:$G$497&lt;&gt;"Did not pass re-test")*('Rework Log'!$J$2:$J$497=""))=0,"",INDEX('Rework Log'!$D$2:$D$497,MATCH(1,('Rework Log'!$A$2:$A$497=_xlpm.nm)*('Rework Log'!$G$2:$G$497&lt;&gt;"Yes")*('Rework Log'!$G$2:$G$497&lt;&gt;"Did not pass re-test")*('Rework Log'!$J$2:$J$497=""),0))),_xlpm.sent,_xlfn.MAXIFS('Rework Log'!$B$2:$B$497,'Rework Log'!$A$2:$A$497,_xlpm.nm),_xlpm.act,_xlfn.IFS(_xlpm.st="NOT STARTED",$M62,_xlpm.st="DB Dev",$M62,_xlpm.st="PBI Dev",$S62,_xlpm.st="QA",$Y62,_xlpm.st="DPO Approval",$AC62,_xlpm.st="Ready for Release in Prod",$AG62,TRUE,""),_xlpm.nxt,_xlfn.IFS(_xlpm.st="NOT STARTED","PBI Dev",_xlpm.st="DB Dev","PBI Dev",_xlpm.st="PBI Dev","QA",_xlpm.st="QA","DPO Approval",_xlpm.st="DPO Approval","Ready for Release in Prod",_xlpm.st="Ready for Release in Prod","RELEASED IN PROD",TRUE,""),IF(AND(_xlpm.ou&gt;0,_xlpm.st&lt;&gt;_xlpm.oto),"Move status back to "&amp;_xlpm.oto,IF(AND(_xlpm.ob=0,LEFT($AJ62,3)="Yes"),"Blocked - log it on Rework Log",IF(AND(_xlpm.ob&gt;0,LEFT($AJ62,3)&lt;&gt;"Yes"),"Open rework row - mark Blocked or close it",IF(AND(_xlpm.ob=0,_xlpm.act&lt;&gt;"",_xlpm.act&gt;=_xlpm.sent,_xlpm.nxt&lt;&gt;""),"Move status to "&amp;_xlpm.nxt,IF(COUNTIF($B$2:$B$528,$B62)&gt;1,"Duplicate name - check row",IF(COUNTIF('Rework Log'!$A$2:$A$497,$B62)&gt;0,"",IF(AND($V62&lt;&gt;"",$K62&lt;&gt;"",$V62&lt;$K62),"QA target is before DB Dev target",IF(AND($V62&lt;&gt;"",$Q62&lt;&gt;"",$V62&lt;$Q62),"QA target is before PBI Dev target",IF(AND($AA62&lt;&gt;"",$V62&lt;&gt;"",$AA62&lt;$V62),"DPO Approval target is before QA target",IF(AND($AG62&lt;&gt;"",$AA62&lt;&gt;"",$AG62&lt;$AA62),"Confirmed Deployed date is before DPO Approval target",""))))))))))))</f>
        <v>Blocked - log it on Rework Log</v>
      </c>
      <c r="AL62" s="41"/>
      <c r="AM62" s="32" t="str" cm="1">
        <f t="array" ref="AM62">_xlfn.LET(_xlpm.rep,$B62,_xlpm.sent,_xlfn.MAXIFS('Rework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
      </c>
      <c r="AN62" s="32" t="str" cm="1">
        <f t="array" ref="AN62">_xlfn.LET(_xlpm.rep,$B62,_xlpm.sent,_xlfn.MAXIFS('Rework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63" spans="1:40">
      <c r="A63" s="33" t="s">
        <v>126</v>
      </c>
      <c r="B63" s="33" t="s">
        <v>217</v>
      </c>
      <c r="C63" s="33" t="s">
        <v>187</v>
      </c>
      <c r="D63" t="str" cm="1">
        <f t="array" aca="1" ref="D63" ca="1">IF(AND(C63="Ready for Release in Prod",LEFT($AJ63,3)&lt;&gt;"Yes"),IF(AG63&lt;&gt;"","Delivered","On track"),IF($B63="","",IF(LEFT($AJ63,3)="Yes","Blocked - "&amp;MID($AJ63,7,100)&amp;IF(SUMPRODUCT(('Rework Log'!$A$2:$A$497=$B63)*('Rework Log'!$G$2:$G$497&lt;&gt;"Yes")*('Rework Log'!$G$2:$G$497&lt;&gt;"Did not pass re-test"))=0,"",IF(SUMPRODUCT(MAX((('Rework Log'!$A$2:$A$497=$B63)*('Rework Log'!$G$2:$G$497&lt;&gt;"Yes")*('Rework Log'!$G$2:$G$497&lt;&gt;"Did not pass re-test"))*'Rework Log'!$I$2:$I$497))=0," - unclaimed"," - promised "&amp;TEXT(SUMPRODUCT(MAX((('Rework Log'!$A$2:$A$497=$B63)*('Rework Log'!$G$2:$G$497&lt;&gt;"Yes")*('Rework Log'!$G$2:$G$497&lt;&gt;"Did not pass re-test"))*'Rework Log'!$I$2:$I$497)),"m/d"))),IF(C63="NOT STARTED",IF(H63="","No plan date set",IF(H63&lt;TODAY(),"Review - planned start passed","On track")),IF(C63="DB Dev",_xlfn.LET(_xlpm.sent,_xlfn.MAXIFS('Rework Log'!$B$2:$B$497,'Rework Log'!$A$2:$A$497,$B63,'Rework Log'!$D$2:$D$497,"DB Dev"),_xlpm.expfix,_xlfn.MAXIFS('Rework Log'!$I$2:$I$497,'Rework Log'!$A$2:$A$497,$B63,'Rework Log'!$D$2:$D$497,"DB Dev",'Rework Log'!$B$2:$B$497,_xlpm.sent),_xlpm.tgt,IF(_xlpm.expfix&gt;0,_xlpm.expfix,IF(L63&lt;&gt;"",L63,K63)),_xlpm.act,IF(AND(M63&lt;&gt;"",M63&gt;=_xlpm.sent),M63,""),IF(_xlpm.tgt="","No target set",IF(AND(_xlpm.tgt&lt;TODAY(),_xlpm.act=""),"Overdue","On track"))),IF(C63="PBI Dev",_xlfn.LET(_xlpm.sent,_xlfn.MAXIFS('Rework Log'!$B$2:$B$497,'Rework Log'!$A$2:$A$497,$B63,'Rework Log'!$D$2:$D$497,"PBI Dev"),_xlpm.expfix,_xlfn.MAXIFS('Rework Log'!$I$2:$I$497,'Rework Log'!$A$2:$A$497,$B63,'Rework Log'!$D$2:$D$497,"PBI Dev",'Rework Log'!$B$2:$B$497,_xlpm.sent),_xlpm.tgt,IF(_xlpm.expfix&gt;0,_xlpm.expfix,IF(R63&lt;&gt;"",R63,Q63)),_xlpm.act,IF(AND(S63&lt;&gt;"",S63&gt;=_xlpm.sent),S63,""),IF(_xlpm.tgt="","No target set",IF(AND(_xlpm.tgt&lt;TODAY(),_xlpm.act=""),"Overdue","On track"))),IF(C63="QA",_xlfn.LET(_xlpm.tgt,IF(AM63&lt;&gt;"",AM63,IF(W63&lt;&gt;"",W63,V63)),_xlpm.sent,_xlfn.MAXIFS('Rework Log'!$B$2:$B$497,'Rework Log'!$A$2:$A$497,$B63,'Rework Log'!$C$2:$C$497,"QA"),_xlpm.act,IF(AND(Y63&lt;&gt;"",Y63&gt;=_xlpm.sent),Y63,""),IF(_xlpm.tgt="","No target set",IF(AND(_xlpm.tgt&lt;TODAY(),_xlpm.act=""),"Overdue","On track"))),IF(C63="DPO Approval",_xlfn.LET(_xlpm.tgt,IF(AN63&lt;&gt;"",AN63,IF(AB63&lt;&gt;"",AB63,AA63)),_xlpm.sent,_xlfn.MAXIFS('Rework Log'!$B$2:$B$497,'Rework Log'!$A$2:$A$497,$B63,'Rework Log'!$C$2:$C$497,"DPO*"),_xlpm.act,IF(AND(AC63&lt;&gt;"",AC63&gt;=_xlpm.sent),AC63,""),IF(_xlpm.tgt="","No target set",IF(AND(_xlpm.tgt&lt;TODAY(),_xlpm.act=""),"Overdue","On track"))),IF(C63="RELEASED IN PROD","Delivered","")))))))))</f>
        <v>On track</v>
      </c>
      <c r="E63" s="33">
        <v>39</v>
      </c>
      <c r="F63" s="34" t="s">
        <v>209</v>
      </c>
      <c r="G63" s="33"/>
      <c r="H63" s="49">
        <v>46295</v>
      </c>
      <c r="I63" s="54" t="s">
        <v>194</v>
      </c>
      <c r="J63" s="33" t="s">
        <v>84</v>
      </c>
      <c r="K63" s="4">
        <v>46276</v>
      </c>
      <c r="L63" s="36">
        <v>46276</v>
      </c>
      <c r="M63" s="36">
        <v>46266</v>
      </c>
      <c r="N63" s="36"/>
      <c r="O63" s="36" t="s">
        <v>195</v>
      </c>
      <c r="P63" s="62" t="s">
        <v>60</v>
      </c>
      <c r="Q63" s="4">
        <v>46286</v>
      </c>
      <c r="R63" s="4">
        <v>46275</v>
      </c>
      <c r="S63" s="36">
        <v>46294</v>
      </c>
      <c r="T63" s="68" t="s">
        <v>196</v>
      </c>
      <c r="U63" s="33" t="s">
        <v>47</v>
      </c>
      <c r="V63" s="58">
        <v>46290</v>
      </c>
      <c r="W63" s="36">
        <v>46300</v>
      </c>
      <c r="X63" s="36">
        <v>46295</v>
      </c>
      <c r="Y63" s="36">
        <v>46300</v>
      </c>
      <c r="Z63" s="36"/>
      <c r="AA63" s="51">
        <v>46295</v>
      </c>
      <c r="AB63" s="36">
        <v>46315</v>
      </c>
      <c r="AC63" s="36"/>
      <c r="AD63" s="33" t="s">
        <v>218</v>
      </c>
      <c r="AE63" s="33" t="s">
        <v>72</v>
      </c>
      <c r="AF63" s="38"/>
      <c r="AG63" s="36"/>
      <c r="AH63" s="39"/>
      <c r="AI63" s="33"/>
      <c r="AJ63" s="40" t="s">
        <v>53</v>
      </c>
      <c r="AK63" s="72"/>
      <c r="AL63" s="41" t="s">
        <v>163</v>
      </c>
      <c r="AM63" s="32" cm="1">
        <f t="array" ref="AM63">_xlfn.LET(_xlpm.rep,$B63,_xlpm.sent,_xlfn.MAXIFS('Rework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46303</v>
      </c>
      <c r="AN63" s="32" t="str" cm="1">
        <f t="array" ref="AN63">_xlfn.LET(_xlpm.rep,$B63,_xlpm.sent,_xlfn.MAXIFS('Rework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64" spans="1:40" s="187" customFormat="1">
      <c r="A64" s="186" t="s">
        <v>126</v>
      </c>
      <c r="B64" s="186" t="s">
        <v>219</v>
      </c>
      <c r="C64" s="186" t="s">
        <v>206</v>
      </c>
      <c r="D64" s="187" t="str" cm="1">
        <f t="array" aca="1" ref="D64" ca="1">IF(AND(C64="Ready for Release in Prod",LEFT($AJ64,3)&lt;&gt;"Yes"),IF(AG64&lt;&gt;"","Delivered","On track"),IF($B64="","",IF(LEFT($AJ64,3)="Yes","Blocked - "&amp;MID($AJ64,7,100)&amp;IF(SUMPRODUCT(('Rework Log'!$A$2:$A$497=$B64)*('Rework Log'!$G$2:$G$497&lt;&gt;"Yes")*('Rework Log'!$G$2:$G$497&lt;&gt;"Did not pass re-test"))=0,"",IF(SUMPRODUCT(MAX((('Rework Log'!$A$2:$A$497=$B64)*('Rework Log'!$G$2:$G$497&lt;&gt;"Yes")*('Rework Log'!$G$2:$G$497&lt;&gt;"Did not pass re-test"))*'Rework Log'!$I$2:$I$497))=0," - unclaimed"," - promised "&amp;TEXT(SUMPRODUCT(MAX((('Rework Log'!$A$2:$A$497=$B64)*('Rework Log'!$G$2:$G$497&lt;&gt;"Yes")*('Rework Log'!$G$2:$G$497&lt;&gt;"Did not pass re-test"))*'Rework Log'!$I$2:$I$497)),"m/d"))),IF(C64="NOT STARTED",IF(H64="","No plan date set",IF(H64&lt;TODAY(),"Review - planned start passed","On track")),IF(C64="DB Dev",_xlfn.LET(_xlpm.sent,_xlfn.MAXIFS('Rework Log'!$B$2:$B$497,'Rework Log'!$A$2:$A$497,$B64,'Rework Log'!$D$2:$D$497,"DB Dev"),_xlpm.expfix,_xlfn.MAXIFS('Rework Log'!$I$2:$I$497,'Rework Log'!$A$2:$A$497,$B64,'Rework Log'!$D$2:$D$497,"DB Dev",'Rework Log'!$B$2:$B$497,_xlpm.sent),_xlpm.tgt,IF(_xlpm.expfix&gt;0,_xlpm.expfix,IF(L64&lt;&gt;"",L64,K64)),_xlpm.act,IF(AND(M64&lt;&gt;"",M64&gt;=_xlpm.sent),M64,""),IF(_xlpm.tgt="","No target set",IF(AND(_xlpm.tgt&lt;TODAY(),_xlpm.act=""),"Overdue","On track"))),IF(C64="PBI Dev",_xlfn.LET(_xlpm.sent,_xlfn.MAXIFS('Rework Log'!$B$2:$B$497,'Rework Log'!$A$2:$A$497,$B64,'Rework Log'!$D$2:$D$497,"PBI Dev"),_xlpm.expfix,_xlfn.MAXIFS('Rework Log'!$I$2:$I$497,'Rework Log'!$A$2:$A$497,$B64,'Rework Log'!$D$2:$D$497,"PBI Dev",'Rework Log'!$B$2:$B$497,_xlpm.sent),_xlpm.tgt,IF(_xlpm.expfix&gt;0,_xlpm.expfix,IF(R64&lt;&gt;"",R64,Q64)),_xlpm.act,IF(AND(S64&lt;&gt;"",S64&gt;=_xlpm.sent),S64,""),IF(_xlpm.tgt="","No target set",IF(AND(_xlpm.tgt&lt;TODAY(),_xlpm.act=""),"Overdue","On track"))),IF(C64="QA",_xlfn.LET(_xlpm.tgt,IF(AM64&lt;&gt;"",AM64,IF(W64&lt;&gt;"",W64,V64)),_xlpm.sent,_xlfn.MAXIFS('Rework Log'!$B$2:$B$497,'Rework Log'!$A$2:$A$497,$B64,'Rework Log'!$C$2:$C$497,"QA"),_xlpm.act,IF(AND(Y64&lt;&gt;"",Y64&gt;=_xlpm.sent),Y64,""),IF(_xlpm.tgt="","No target set",IF(AND(_xlpm.tgt&lt;TODAY(),_xlpm.act=""),"Overdue","On track"))),IF(C64="DPO Approval",_xlfn.LET(_xlpm.tgt,IF(AN64&lt;&gt;"",AN64,IF(AB64&lt;&gt;"",AB64,AA64)),_xlpm.sent,_xlfn.MAXIFS('Rework Log'!$B$2:$B$497,'Rework Log'!$A$2:$A$497,$B64,'Rework Log'!$C$2:$C$497,"DPO*"),_xlpm.act,IF(AND(AC64&lt;&gt;"",AC64&gt;=_xlpm.sent),AC64,""),IF(_xlpm.tgt="","No target set",IF(AND(_xlpm.tgt&lt;TODAY(),_xlpm.act=""),"Overdue","On track"))),IF(C64="RELEASED IN PROD","Delivered","")))))))))</f>
        <v>Overdue</v>
      </c>
      <c r="E64" s="186">
        <v>40</v>
      </c>
      <c r="F64" s="188" t="s">
        <v>129</v>
      </c>
      <c r="G64" s="186"/>
      <c r="H64" s="189">
        <v>46295</v>
      </c>
      <c r="I64" s="190" t="s">
        <v>194</v>
      </c>
      <c r="J64" s="186" t="s">
        <v>103</v>
      </c>
      <c r="K64" s="191">
        <v>46276</v>
      </c>
      <c r="L64" s="192">
        <v>46265</v>
      </c>
      <c r="M64" s="192">
        <v>46266</v>
      </c>
      <c r="N64" s="192" t="s">
        <v>147</v>
      </c>
      <c r="O64" s="192" t="s">
        <v>195</v>
      </c>
      <c r="P64" s="193" t="s">
        <v>60</v>
      </c>
      <c r="Q64" s="191">
        <v>46286</v>
      </c>
      <c r="R64" s="192">
        <v>46269</v>
      </c>
      <c r="S64" s="192">
        <v>46269</v>
      </c>
      <c r="T64" s="194" t="s">
        <v>196</v>
      </c>
      <c r="U64" s="186" t="s">
        <v>47</v>
      </c>
      <c r="V64" s="195">
        <v>46290</v>
      </c>
      <c r="W64" s="192"/>
      <c r="X64" s="192">
        <v>46295</v>
      </c>
      <c r="Y64" s="192"/>
      <c r="Z64" s="192"/>
      <c r="AA64" s="196">
        <v>46295</v>
      </c>
      <c r="AB64" s="192"/>
      <c r="AC64" s="192"/>
      <c r="AD64" s="186" t="s">
        <v>220</v>
      </c>
      <c r="AE64" s="186" t="s">
        <v>72</v>
      </c>
      <c r="AF64" s="197"/>
      <c r="AG64" s="192"/>
      <c r="AH64" s="198"/>
      <c r="AI64" s="186"/>
      <c r="AJ64" s="199" t="s">
        <v>53</v>
      </c>
      <c r="AK64" s="200" t="str" cm="1">
        <f t="array" ref="AK64">IF($B64="","",_xlfn.LET(_xlpm.nm,$B64,_xlpm.st,$C64,_xlpm.ou,SUMPRODUCT(('Rework Log'!$A$2:$A$497=_xlpm.nm)*('Rework Log'!$G$2:$G$497&lt;&gt;"Yes")*('Rework Log'!$G$2:$G$497&lt;&gt;"Did not pass re-test")*('Rework Log'!$J$2:$J$497="")),_xlpm.ob,SUMPRODUCT(('Rework Log'!$A$2:$A$497=_xlpm.nm)*('Rework Log'!$G$2:$G$497&lt;&gt;"Yes")*('Rework Log'!$G$2:$G$497&lt;&gt;"Did not pass re-test")),_xlpm.oto,IF(SUMPRODUCT(('Rework Log'!$A$2:$A$497=_xlpm.nm)*('Rework Log'!$G$2:$G$497&lt;&gt;"Yes")*('Rework Log'!$G$2:$G$497&lt;&gt;"Did not pass re-test")*('Rework Log'!$J$2:$J$497=""))=0,"",INDEX('Rework Log'!$D$2:$D$497,MATCH(1,('Rework Log'!$A$2:$A$497=_xlpm.nm)*('Rework Log'!$G$2:$G$497&lt;&gt;"Yes")*('Rework Log'!$G$2:$G$497&lt;&gt;"Did not pass re-test")*('Rework Log'!$J$2:$J$497=""),0))),_xlpm.sent,_xlfn.MAXIFS('Rework Log'!$B$2:$B$497,'Rework Log'!$A$2:$A$497,_xlpm.nm),_xlpm.act,_xlfn.IFS(_xlpm.st="NOT STARTED",$M64,_xlpm.st="DB Dev",$M64,_xlpm.st="PBI Dev",$S64,_xlpm.st="QA",$Y64,_xlpm.st="DPO Approval",$AC64,_xlpm.st="Ready for Release in Prod",$AG64,TRUE,""),_xlpm.nxt,_xlfn.IFS(_xlpm.st="NOT STARTED","PBI Dev",_xlpm.st="DB Dev","PBI Dev",_xlpm.st="PBI Dev","QA",_xlpm.st="QA","DPO Approval",_xlpm.st="DPO Approval","Ready for Release in Prod",_xlpm.st="Ready for Release in Prod","RELEASED IN PROD",TRUE,""),IF(AND(_xlpm.ou&gt;0,_xlpm.st&lt;&gt;_xlpm.oto),"Move status back to "&amp;_xlpm.oto,IF(AND(_xlpm.ob=0,LEFT($AJ64,3)="Yes"),"Blocked - log it on Rework Log",IF(AND(_xlpm.ob&gt;0,LEFT($AJ64,3)&lt;&gt;"Yes"),"Open rework row - mark Blocked or close it",IF(AND(_xlpm.ob=0,_xlpm.act&lt;&gt;"",_xlpm.act&gt;=_xlpm.sent,_xlpm.nxt&lt;&gt;""),"Move status to "&amp;_xlpm.nxt,IF(COUNTIF($B$2:$B$528,$B64)&gt;1,"Duplicate name - check row",IF(COUNTIF('Rework Log'!$A$2:$A$497,$B64)&gt;0,"",IF(AND($V64&lt;&gt;"",$K64&lt;&gt;"",$V64&lt;$K64),"QA target is before DB Dev target",IF(AND($V64&lt;&gt;"",$Q64&lt;&gt;"",$V64&lt;$Q64),"QA target is before PBI Dev target",IF(AND($AA64&lt;&gt;"",$V64&lt;&gt;"",$AA64&lt;$V64),"DPO Approval target is before QA target",IF(AND($AG64&lt;&gt;"",$AA64&lt;&gt;"",$AG64&lt;$AA64),"Confirmed Deployed date is before DPO Approval target",""))))))))))))</f>
        <v/>
      </c>
      <c r="AL64" s="201" t="s">
        <v>174</v>
      </c>
      <c r="AM64" s="202" t="str" cm="1">
        <f t="array" ref="AM64">_xlfn.LET(_xlpm.rep,$B64,_xlpm.sent,_xlfn.MAXIFS('Rework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
      </c>
      <c r="AN64" s="202" t="str" cm="1">
        <f t="array" ref="AN64">_xlfn.LET(_xlpm.rep,$B64,_xlpm.sent,_xlfn.MAXIFS('Rework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65" spans="1:40">
      <c r="A65" s="33" t="s">
        <v>126</v>
      </c>
      <c r="B65" s="33" t="s">
        <v>221</v>
      </c>
      <c r="C65" s="33" t="s">
        <v>187</v>
      </c>
      <c r="D65" t="str" cm="1">
        <f t="array" aca="1" ref="D65" ca="1">IF(AND(C65="Ready for Release in Prod",LEFT($AJ65,3)&lt;&gt;"Yes"),IF(AG65&lt;&gt;"","Delivered","On track"),IF($B65="","",IF(LEFT($AJ65,3)="Yes","Blocked - "&amp;MID($AJ65,7,100)&amp;IF(SUMPRODUCT(('Rework Log'!$A$2:$A$497=$B65)*('Rework Log'!$G$2:$G$497&lt;&gt;"Yes")*('Rework Log'!$G$2:$G$497&lt;&gt;"Did not pass re-test"))=0,"",IF(SUMPRODUCT(MAX((('Rework Log'!$A$2:$A$497=$B65)*('Rework Log'!$G$2:$G$497&lt;&gt;"Yes")*('Rework Log'!$G$2:$G$497&lt;&gt;"Did not pass re-test"))*'Rework Log'!$I$2:$I$497))=0," - unclaimed"," - promised "&amp;TEXT(SUMPRODUCT(MAX((('Rework Log'!$A$2:$A$497=$B65)*('Rework Log'!$G$2:$G$497&lt;&gt;"Yes")*('Rework Log'!$G$2:$G$497&lt;&gt;"Did not pass re-test"))*'Rework Log'!$I$2:$I$497)),"m/d"))),IF(C65="NOT STARTED",IF(H65="","No plan date set",IF(H65&lt;TODAY(),"Review - planned start passed","On track")),IF(C65="DB Dev",_xlfn.LET(_xlpm.sent,_xlfn.MAXIFS('Rework Log'!$B$2:$B$497,'Rework Log'!$A$2:$A$497,$B65,'Rework Log'!$D$2:$D$497,"DB Dev"),_xlpm.expfix,_xlfn.MAXIFS('Rework Log'!$I$2:$I$497,'Rework Log'!$A$2:$A$497,$B65,'Rework Log'!$D$2:$D$497,"DB Dev",'Rework Log'!$B$2:$B$497,_xlpm.sent),_xlpm.tgt,IF(_xlpm.expfix&gt;0,_xlpm.expfix,IF(L65&lt;&gt;"",L65,K65)),_xlpm.act,IF(AND(M65&lt;&gt;"",M65&gt;=_xlpm.sent),M65,""),IF(_xlpm.tgt="","No target set",IF(AND(_xlpm.tgt&lt;TODAY(),_xlpm.act=""),"Overdue","On track"))),IF(C65="PBI Dev",_xlfn.LET(_xlpm.sent,_xlfn.MAXIFS('Rework Log'!$B$2:$B$497,'Rework Log'!$A$2:$A$497,$B65,'Rework Log'!$D$2:$D$497,"PBI Dev"),_xlpm.expfix,_xlfn.MAXIFS('Rework Log'!$I$2:$I$497,'Rework Log'!$A$2:$A$497,$B65,'Rework Log'!$D$2:$D$497,"PBI Dev",'Rework Log'!$B$2:$B$497,_xlpm.sent),_xlpm.tgt,IF(_xlpm.expfix&gt;0,_xlpm.expfix,IF(R65&lt;&gt;"",R65,Q65)),_xlpm.act,IF(AND(S65&lt;&gt;"",S65&gt;=_xlpm.sent),S65,""),IF(_xlpm.tgt="","No target set",IF(AND(_xlpm.tgt&lt;TODAY(),_xlpm.act=""),"Overdue","On track"))),IF(C65="QA",_xlfn.LET(_xlpm.tgt,IF(AM65&lt;&gt;"",AM65,IF(W65&lt;&gt;"",W65,V65)),_xlpm.sent,_xlfn.MAXIFS('Rework Log'!$B$2:$B$497,'Rework Log'!$A$2:$A$497,$B65,'Rework Log'!$C$2:$C$497,"QA"),_xlpm.act,IF(AND(Y65&lt;&gt;"",Y65&gt;=_xlpm.sent),Y65,""),IF(_xlpm.tgt="","No target set",IF(AND(_xlpm.tgt&lt;TODAY(),_xlpm.act=""),"Overdue","On track"))),IF(C65="DPO Approval",_xlfn.LET(_xlpm.tgt,IF(AN65&lt;&gt;"",AN65,IF(AB65&lt;&gt;"",AB65,AA65)),_xlpm.sent,_xlfn.MAXIFS('Rework Log'!$B$2:$B$497,'Rework Log'!$A$2:$A$497,$B65,'Rework Log'!$C$2:$C$497,"DPO*"),_xlpm.act,IF(AND(AC65&lt;&gt;"",AC65&gt;=_xlpm.sent),AC65,""),IF(_xlpm.tgt="","No target set",IF(AND(_xlpm.tgt&lt;TODAY(),_xlpm.act=""),"Overdue","On track"))),IF(C65="RELEASED IN PROD","Delivered","")))))))))</f>
        <v>On track</v>
      </c>
      <c r="E65" s="33">
        <v>41</v>
      </c>
      <c r="F65" s="34" t="s">
        <v>129</v>
      </c>
      <c r="G65" s="33"/>
      <c r="H65" s="49">
        <v>46295</v>
      </c>
      <c r="I65" s="54" t="s">
        <v>194</v>
      </c>
      <c r="J65" s="33" t="s">
        <v>155</v>
      </c>
      <c r="K65" s="4">
        <v>46276</v>
      </c>
      <c r="L65" s="4">
        <v>46262</v>
      </c>
      <c r="M65" s="36">
        <v>46265</v>
      </c>
      <c r="N65" s="36" t="s">
        <v>45</v>
      </c>
      <c r="O65" s="36" t="s">
        <v>195</v>
      </c>
      <c r="P65" s="62" t="s">
        <v>77</v>
      </c>
      <c r="Q65" s="4">
        <v>46286</v>
      </c>
      <c r="R65" s="43">
        <v>46273</v>
      </c>
      <c r="S65" s="32">
        <v>46273</v>
      </c>
      <c r="T65" s="68" t="s">
        <v>196</v>
      </c>
      <c r="U65" s="33" t="s">
        <v>201</v>
      </c>
      <c r="V65" s="58">
        <v>46290</v>
      </c>
      <c r="W65" s="36"/>
      <c r="X65" s="36">
        <v>46280</v>
      </c>
      <c r="Y65" s="36">
        <v>46288</v>
      </c>
      <c r="Z65" s="36"/>
      <c r="AA65" s="51">
        <v>46295</v>
      </c>
      <c r="AB65" s="36">
        <v>46311</v>
      </c>
      <c r="AC65" s="36"/>
      <c r="AD65" s="33" t="s">
        <v>132</v>
      </c>
      <c r="AE65" s="33" t="s">
        <v>49</v>
      </c>
      <c r="AF65" s="38"/>
      <c r="AG65" s="36"/>
      <c r="AH65" s="39"/>
      <c r="AI65" s="33"/>
      <c r="AJ65" s="40" t="s">
        <v>53</v>
      </c>
      <c r="AK65" s="72" t="str" cm="1">
        <f t="array" ref="AK65">IF($B65="","",_xlfn.LET(_xlpm.nm,$B65,_xlpm.st,$C65,_xlpm.ou,SUMPRODUCT(('Rework Log'!$A$2:$A$497=_xlpm.nm)*('Rework Log'!$G$2:$G$497&lt;&gt;"Yes")*('Rework Log'!$G$2:$G$497&lt;&gt;"Did not pass re-test")*('Rework Log'!$J$2:$J$497="")),_xlpm.ob,SUMPRODUCT(('Rework Log'!$A$2:$A$497=_xlpm.nm)*('Rework Log'!$G$2:$G$497&lt;&gt;"Yes")*('Rework Log'!$G$2:$G$497&lt;&gt;"Did not pass re-test")),_xlpm.oto,IF(SUMPRODUCT(('Rework Log'!$A$2:$A$497=_xlpm.nm)*('Rework Log'!$G$2:$G$497&lt;&gt;"Yes")*('Rework Log'!$G$2:$G$497&lt;&gt;"Did not pass re-test")*('Rework Log'!$J$2:$J$497=""))=0,"",INDEX('Rework Log'!$D$2:$D$497,MATCH(1,('Rework Log'!$A$2:$A$497=_xlpm.nm)*('Rework Log'!$G$2:$G$497&lt;&gt;"Yes")*('Rework Log'!$G$2:$G$497&lt;&gt;"Did not pass re-test")*('Rework Log'!$J$2:$J$497=""),0))),_xlpm.sent,_xlfn.MAXIFS('Rework Log'!$B$2:$B$497,'Rework Log'!$A$2:$A$497,_xlpm.nm),_xlpm.act,_xlfn.IFS(_xlpm.st="NOT STARTED",$M65,_xlpm.st="DB Dev",$M65,_xlpm.st="PBI Dev",$S65,_xlpm.st="QA",$Y65,_xlpm.st="DPO Approval",$AC65,_xlpm.st="Ready for Release in Prod",$AG65,TRUE,""),_xlpm.nxt,_xlfn.IFS(_xlpm.st="NOT STARTED","PBI Dev",_xlpm.st="DB Dev","PBI Dev",_xlpm.st="PBI Dev","QA",_xlpm.st="QA","DPO Approval",_xlpm.st="DPO Approval","Ready for Release in Prod",_xlpm.st="Ready for Release in Prod","RELEASED IN PROD",TRUE,""),IF(AND(_xlpm.ou&gt;0,_xlpm.st&lt;&gt;_xlpm.oto),"Move status back to "&amp;_xlpm.oto,IF(AND(_xlpm.ob=0,LEFT($AJ65,3)="Yes"),"Blocked - log it on Rework Log",IF(AND(_xlpm.ob&gt;0,LEFT($AJ65,3)&lt;&gt;"Yes"),"Open rework row - mark Blocked or close it",IF(AND(_xlpm.ob=0,_xlpm.act&lt;&gt;"",_xlpm.act&gt;=_xlpm.sent,_xlpm.nxt&lt;&gt;""),"Move status to "&amp;_xlpm.nxt,IF(COUNTIF($B$2:$B$528,$B65)&gt;1,"Duplicate name - check row",IF(COUNTIF('Rework Log'!$A$2:$A$497,$B65)&gt;0,"",IF(AND($V65&lt;&gt;"",$K65&lt;&gt;"",$V65&lt;$K65),"QA target is before DB Dev target",IF(AND($V65&lt;&gt;"",$Q65&lt;&gt;"",$V65&lt;$Q65),"QA target is before PBI Dev target",IF(AND($AA65&lt;&gt;"",$V65&lt;&gt;"",$AA65&lt;$V65),"DPO Approval target is before QA target",IF(AND($AG65&lt;&gt;"",$AA65&lt;&gt;"",$AG65&lt;$AA65),"Confirmed Deployed date is before DPO Approval target",""))))))))))))</f>
        <v/>
      </c>
      <c r="AL65" s="41"/>
      <c r="AM65" s="32" t="str" cm="1">
        <f t="array" ref="AM65">_xlfn.LET(_xlpm.rep,$B65,_xlpm.sent,_xlfn.MAXIFS('Rework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
      </c>
      <c r="AN65" s="32" t="str" cm="1">
        <f t="array" ref="AN65">_xlfn.LET(_xlpm.rep,$B65,_xlpm.sent,_xlfn.MAXIFS('Rework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66" spans="1:40" s="204" customFormat="1">
      <c r="A66" s="203" t="s">
        <v>126</v>
      </c>
      <c r="B66" s="203" t="s">
        <v>222</v>
      </c>
      <c r="C66" s="203" t="s">
        <v>223</v>
      </c>
      <c r="D66" s="204" t="str" cm="1">
        <f t="array" aca="1" ref="D66" ca="1">IF(AND(C66="Ready for Release in Prod",LEFT($AJ66,3)&lt;&gt;"Yes"),IF(AG66&lt;&gt;"","Delivered","On track"),IF($B66="","",IF(LEFT($AJ66,3)="Yes","Blocked - "&amp;MID($AJ66,7,100)&amp;IF(SUMPRODUCT(('Rework Log'!$A$2:$A$497=$B66)*('Rework Log'!$G$2:$G$497&lt;&gt;"Yes")*('Rework Log'!$G$2:$G$497&lt;&gt;"Did not pass re-test"))=0,"",IF(SUMPRODUCT(MAX((('Rework Log'!$A$2:$A$497=$B66)*('Rework Log'!$G$2:$G$497&lt;&gt;"Yes")*('Rework Log'!$G$2:$G$497&lt;&gt;"Did not pass re-test"))*'Rework Log'!$I$2:$I$497))=0," - unclaimed"," - promised "&amp;TEXT(SUMPRODUCT(MAX((('Rework Log'!$A$2:$A$497=$B66)*('Rework Log'!$G$2:$G$497&lt;&gt;"Yes")*('Rework Log'!$G$2:$G$497&lt;&gt;"Did not pass re-test"))*'Rework Log'!$I$2:$I$497)),"m/d"))),IF(C66="NOT STARTED",IF(H66="","No plan date set",IF(H66&lt;TODAY(),"Review - planned start passed","On track")),IF(C66="DB Dev",_xlfn.LET(_xlpm.sent,_xlfn.MAXIFS('Rework Log'!$B$2:$B$497,'Rework Log'!$A$2:$A$497,$B66,'Rework Log'!$D$2:$D$497,"DB Dev"),_xlpm.expfix,_xlfn.MAXIFS('Rework Log'!$I$2:$I$497,'Rework Log'!$A$2:$A$497,$B66,'Rework Log'!$D$2:$D$497,"DB Dev",'Rework Log'!$B$2:$B$497,_xlpm.sent),_xlpm.tgt,IF(_xlpm.expfix&gt;0,_xlpm.expfix,IF(L66&lt;&gt;"",L66,K66)),_xlpm.act,IF(AND(M66&lt;&gt;"",M66&gt;=_xlpm.sent),M66,""),IF(_xlpm.tgt="","No target set",IF(AND(_xlpm.tgt&lt;TODAY(),_xlpm.act=""),"Overdue","On track"))),IF(C66="PBI Dev",_xlfn.LET(_xlpm.sent,_xlfn.MAXIFS('Rework Log'!$B$2:$B$497,'Rework Log'!$A$2:$A$497,$B66,'Rework Log'!$D$2:$D$497,"PBI Dev"),_xlpm.expfix,_xlfn.MAXIFS('Rework Log'!$I$2:$I$497,'Rework Log'!$A$2:$A$497,$B66,'Rework Log'!$D$2:$D$497,"PBI Dev",'Rework Log'!$B$2:$B$497,_xlpm.sent),_xlpm.tgt,IF(_xlpm.expfix&gt;0,_xlpm.expfix,IF(R66&lt;&gt;"",R66,Q66)),_xlpm.act,IF(AND(S66&lt;&gt;"",S66&gt;=_xlpm.sent),S66,""),IF(_xlpm.tgt="","No target set",IF(AND(_xlpm.tgt&lt;TODAY(),_xlpm.act=""),"Overdue","On track"))),IF(C66="QA",_xlfn.LET(_xlpm.tgt,IF(AM66&lt;&gt;"",AM66,IF(W66&lt;&gt;"",W66,V66)),_xlpm.sent,_xlfn.MAXIFS('Rework Log'!$B$2:$B$497,'Rework Log'!$A$2:$A$497,$B66,'Rework Log'!$C$2:$C$497,"QA"),_xlpm.act,IF(AND(Y66&lt;&gt;"",Y66&gt;=_xlpm.sent),Y66,""),IF(_xlpm.tgt="","No target set",IF(AND(_xlpm.tgt&lt;TODAY(),_xlpm.act=""),"Overdue","On track"))),IF(C66="DPO Approval",_xlfn.LET(_xlpm.tgt,IF(AN66&lt;&gt;"",AN66,IF(AB66&lt;&gt;"",AB66,AA66)),_xlpm.sent,_xlfn.MAXIFS('Rework Log'!$B$2:$B$497,'Rework Log'!$A$2:$A$497,$B66,'Rework Log'!$C$2:$C$497,"DPO*"),_xlpm.act,IF(AND(AC66&lt;&gt;"",AC66&gt;=_xlpm.sent),AC66,""),IF(_xlpm.tgt="","No target set",IF(AND(_xlpm.tgt&lt;TODAY(),_xlpm.act=""),"Overdue","On track"))),IF(C66="RELEASED IN PROD","Delivered","")))))))))</f>
        <v>Overdue</v>
      </c>
      <c r="E66" s="203">
        <v>42</v>
      </c>
      <c r="F66" s="205" t="s">
        <v>129</v>
      </c>
      <c r="G66" s="203"/>
      <c r="H66" s="206">
        <v>46295</v>
      </c>
      <c r="I66" s="207" t="s">
        <v>194</v>
      </c>
      <c r="J66" s="203" t="s">
        <v>44</v>
      </c>
      <c r="K66" s="208">
        <v>46276</v>
      </c>
      <c r="L66" s="209">
        <v>46276</v>
      </c>
      <c r="M66" s="209">
        <v>46282</v>
      </c>
      <c r="N66" s="209"/>
      <c r="O66" s="209" t="s">
        <v>195</v>
      </c>
      <c r="P66" s="210" t="s">
        <v>46</v>
      </c>
      <c r="Q66" s="208">
        <v>46286</v>
      </c>
      <c r="R66" s="209">
        <v>46273</v>
      </c>
      <c r="S66" s="209"/>
      <c r="T66" s="211" t="s">
        <v>196</v>
      </c>
      <c r="U66" s="203"/>
      <c r="V66" s="212">
        <v>46290</v>
      </c>
      <c r="W66" s="209"/>
      <c r="X66" s="209"/>
      <c r="Y66" s="209"/>
      <c r="Z66" s="209"/>
      <c r="AA66" s="213">
        <v>46295</v>
      </c>
      <c r="AB66" s="209"/>
      <c r="AC66" s="209"/>
      <c r="AD66" s="203" t="s">
        <v>220</v>
      </c>
      <c r="AE66" s="203" t="s">
        <v>94</v>
      </c>
      <c r="AF66" s="214"/>
      <c r="AG66" s="209"/>
      <c r="AH66" s="215"/>
      <c r="AI66" s="203"/>
      <c r="AJ66" s="216" t="s">
        <v>53</v>
      </c>
      <c r="AK66" s="217" t="str" cm="1">
        <f t="array" ref="AK66">IF($B66="","",_xlfn.LET(_xlpm.nm,$B66,_xlpm.st,$C66,_xlpm.ou,SUMPRODUCT(('Rework Log'!$A$2:$A$497=_xlpm.nm)*('Rework Log'!$G$2:$G$497&lt;&gt;"Yes")*('Rework Log'!$G$2:$G$497&lt;&gt;"Did not pass re-test")*('Rework Log'!$J$2:$J$497="")),_xlpm.ob,SUMPRODUCT(('Rework Log'!$A$2:$A$497=_xlpm.nm)*('Rework Log'!$G$2:$G$497&lt;&gt;"Yes")*('Rework Log'!$G$2:$G$497&lt;&gt;"Did not pass re-test")),_xlpm.oto,IF(SUMPRODUCT(('Rework Log'!$A$2:$A$497=_xlpm.nm)*('Rework Log'!$G$2:$G$497&lt;&gt;"Yes")*('Rework Log'!$G$2:$G$497&lt;&gt;"Did not pass re-test")*('Rework Log'!$J$2:$J$497=""))=0,"",INDEX('Rework Log'!$D$2:$D$497,MATCH(1,('Rework Log'!$A$2:$A$497=_xlpm.nm)*('Rework Log'!$G$2:$G$497&lt;&gt;"Yes")*('Rework Log'!$G$2:$G$497&lt;&gt;"Did not pass re-test")*('Rework Log'!$J$2:$J$497=""),0))),_xlpm.sent,_xlfn.MAXIFS('Rework Log'!$B$2:$B$497,'Rework Log'!$A$2:$A$497,_xlpm.nm),_xlpm.act,_xlfn.IFS(_xlpm.st="NOT STARTED",$M66,_xlpm.st="DB Dev",$M66,_xlpm.st="PBI Dev",$S66,_xlpm.st="QA",$Y66,_xlpm.st="DPO Approval",$AC66,_xlpm.st="Ready for Release in Prod",$AG66,TRUE,""),_xlpm.nxt,_xlfn.IFS(_xlpm.st="NOT STARTED","PBI Dev",_xlpm.st="DB Dev","PBI Dev",_xlpm.st="PBI Dev","QA",_xlpm.st="QA","DPO Approval",_xlpm.st="DPO Approval","Ready for Release in Prod",_xlpm.st="Ready for Release in Prod","RELEASED IN PROD",TRUE,""),IF(AND(_xlpm.ou&gt;0,_xlpm.st&lt;&gt;_xlpm.oto),"Move status back to "&amp;_xlpm.oto,IF(AND(_xlpm.ob=0,LEFT($AJ66,3)="Yes"),"Blocked - log it on Rework Log",IF(AND(_xlpm.ob&gt;0,LEFT($AJ66,3)&lt;&gt;"Yes"),"Open rework row - mark Blocked or close it",IF(AND(_xlpm.ob=0,_xlpm.act&lt;&gt;"",_xlpm.act&gt;=_xlpm.sent,_xlpm.nxt&lt;&gt;""),"Move status to "&amp;_xlpm.nxt,IF(COUNTIF($B$2:$B$528,$B66)&gt;1,"Duplicate name - check row",IF(COUNTIF('Rework Log'!$A$2:$A$497,$B66)&gt;0,"",IF(AND($V66&lt;&gt;"",$K66&lt;&gt;"",$V66&lt;$K66),"QA target is before DB Dev target",IF(AND($V66&lt;&gt;"",$Q66&lt;&gt;"",$V66&lt;$Q66),"QA target is before PBI Dev target",IF(AND($AA66&lt;&gt;"",$V66&lt;&gt;"",$AA66&lt;$V66),"DPO Approval target is before QA target",IF(AND($AG66&lt;&gt;"",$AA66&lt;&gt;"",$AG66&lt;$AA66),"Confirmed Deployed date is before DPO Approval target",""))))))))))))</f>
        <v/>
      </c>
      <c r="AL66" s="218"/>
      <c r="AM66" s="219" t="str" cm="1">
        <f t="array" ref="AM66">_xlfn.LET(_xlpm.rep,$B66,_xlpm.sent,_xlfn.MAXIFS('Rework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
      </c>
      <c r="AN66" s="219" t="str" cm="1">
        <f t="array" ref="AN66">_xlfn.LET(_xlpm.rep,$B66,_xlpm.sent,_xlfn.MAXIFS('Rework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67" spans="1:40">
      <c r="A67" s="33" t="s">
        <v>126</v>
      </c>
      <c r="B67" s="33" t="s">
        <v>224</v>
      </c>
      <c r="C67" s="33" t="s">
        <v>187</v>
      </c>
      <c r="D67" t="s">
        <v>213</v>
      </c>
      <c r="E67" s="33">
        <v>43</v>
      </c>
      <c r="F67" s="34" t="s">
        <v>129</v>
      </c>
      <c r="G67" s="33"/>
      <c r="H67" s="49">
        <v>46295</v>
      </c>
      <c r="I67" s="54" t="s">
        <v>194</v>
      </c>
      <c r="J67" s="33" t="s">
        <v>44</v>
      </c>
      <c r="K67" s="4">
        <v>46276</v>
      </c>
      <c r="L67" s="36">
        <v>46254</v>
      </c>
      <c r="M67" s="36">
        <v>46254</v>
      </c>
      <c r="N67" s="36"/>
      <c r="O67" s="36" t="s">
        <v>195</v>
      </c>
      <c r="P67" s="62" t="s">
        <v>60</v>
      </c>
      <c r="Q67" s="4">
        <v>46286</v>
      </c>
      <c r="R67" s="36">
        <v>46254</v>
      </c>
      <c r="S67" s="36">
        <v>46254</v>
      </c>
      <c r="T67" s="68" t="s">
        <v>196</v>
      </c>
      <c r="U67" s="33" t="s">
        <v>129</v>
      </c>
      <c r="V67" s="58">
        <v>46290</v>
      </c>
      <c r="W67" s="36">
        <v>46296</v>
      </c>
      <c r="X67" s="36"/>
      <c r="Y67" s="36"/>
      <c r="Z67" s="36"/>
      <c r="AA67" s="51">
        <v>46295</v>
      </c>
      <c r="AB67" s="36">
        <v>46268</v>
      </c>
      <c r="AC67" s="36"/>
      <c r="AD67" s="33" t="s">
        <v>225</v>
      </c>
      <c r="AE67" s="33" t="s">
        <v>94</v>
      </c>
      <c r="AF67" s="38"/>
      <c r="AG67" s="36"/>
      <c r="AH67" s="39"/>
      <c r="AI67" s="33"/>
      <c r="AJ67" s="40" t="s">
        <v>53</v>
      </c>
      <c r="AK67" s="72" t="s">
        <v>226</v>
      </c>
      <c r="AL67" s="41" t="s">
        <v>227</v>
      </c>
      <c r="AM67" s="32" t="str" cm="1">
        <f t="array" ref="AM67">_xlfn.LET(_xlpm.rep,$B67,_xlpm.sent,_xlfn.MAXIFS('Rework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
      </c>
      <c r="AN67" s="32" t="str" cm="1">
        <f t="array" ref="AN67">_xlfn.LET(_xlpm.rep,$B67,_xlpm.sent,_xlfn.MAXIFS('Rework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68" spans="1:40" s="81" customFormat="1">
      <c r="A68" s="80" t="s">
        <v>126</v>
      </c>
      <c r="B68" s="77" t="s">
        <v>228</v>
      </c>
      <c r="C68" s="80" t="s">
        <v>223</v>
      </c>
      <c r="D68" s="81" t="str" cm="1">
        <f t="array" aca="1" ref="D68" ca="1">IF(AND(C68="Ready for Release in Prod",LEFT($AJ68,3)&lt;&gt;"Yes"),IF(AG68&lt;&gt;"","Delivered","On track"),IF($B68="","",IF(LEFT($AJ68,3)="Yes","Blocked - "&amp;MID($AJ68,7,100)&amp;IF(SUMPRODUCT(('Rework Log'!$A$2:$A$497=$B68)*('Rework Log'!$G$2:$G$497&lt;&gt;"Yes")*('Rework Log'!$G$2:$G$497&lt;&gt;"Did not pass re-test"))=0,"",IF(SUMPRODUCT(MAX((('Rework Log'!$A$2:$A$497=$B68)*('Rework Log'!$G$2:$G$497&lt;&gt;"Yes")*('Rework Log'!$G$2:$G$497&lt;&gt;"Did not pass re-test"))*'Rework Log'!$I$2:$I$497))=0," - unclaimed"," - promised "&amp;TEXT(SUMPRODUCT(MAX((('Rework Log'!$A$2:$A$497=$B68)*('Rework Log'!$G$2:$G$497&lt;&gt;"Yes")*('Rework Log'!$G$2:$G$497&lt;&gt;"Did not pass re-test"))*'Rework Log'!$I$2:$I$497)),"m/d"))),IF(C68="NOT STARTED",IF(H68="","No plan date set",IF(H68&lt;TODAY(),"Review - planned start passed","On track")),IF(C68="DB Dev",_xlfn.LET(_xlpm.sent,_xlfn.MAXIFS('Rework Log'!$B$2:$B$497,'Rework Log'!$A$2:$A$497,$B68,'Rework Log'!$D$2:$D$497,"DB Dev"),_xlpm.expfix,_xlfn.MAXIFS('Rework Log'!$I$2:$I$497,'Rework Log'!$A$2:$A$497,$B68,'Rework Log'!$D$2:$D$497,"DB Dev",'Rework Log'!$B$2:$B$497,_xlpm.sent),_xlpm.tgt,IF(_xlpm.expfix&gt;0,_xlpm.expfix,IF(L68&lt;&gt;"",L68,K68)),_xlpm.act,IF(AND(M68&lt;&gt;"",M68&gt;=_xlpm.sent),M68,""),IF(_xlpm.tgt="","No target set",IF(AND(_xlpm.tgt&lt;TODAY(),_xlpm.act=""),"Overdue","On track"))),IF(C68="PBI Dev",_xlfn.LET(_xlpm.sent,_xlfn.MAXIFS('Rework Log'!$B$2:$B$497,'Rework Log'!$A$2:$A$497,$B68,'Rework Log'!$D$2:$D$497,"PBI Dev"),_xlpm.expfix,_xlfn.MAXIFS('Rework Log'!$I$2:$I$497,'Rework Log'!$A$2:$A$497,$B68,'Rework Log'!$D$2:$D$497,"PBI Dev",'Rework Log'!$B$2:$B$497,_xlpm.sent),_xlpm.tgt,IF(_xlpm.expfix&gt;0,_xlpm.expfix,IF(R68&lt;&gt;"",R68,Q68)),_xlpm.act,IF(AND(S68&lt;&gt;"",S68&gt;=_xlpm.sent),S68,""),IF(_xlpm.tgt="","No target set",IF(AND(_xlpm.tgt&lt;TODAY(),_xlpm.act=""),"Overdue","On track"))),IF(C68="QA",_xlfn.LET(_xlpm.tgt,IF(AM68&lt;&gt;"",AM68,IF(W68&lt;&gt;"",W68,V68)),_xlpm.sent,_xlfn.MAXIFS('Rework Log'!$B$2:$B$497,'Rework Log'!$A$2:$A$497,$B68,'Rework Log'!$C$2:$C$497,"QA"),_xlpm.act,IF(AND(Y68&lt;&gt;"",Y68&gt;=_xlpm.sent),Y68,""),IF(_xlpm.tgt="","No target set",IF(AND(_xlpm.tgt&lt;TODAY(),_xlpm.act=""),"Overdue","On track"))),IF(C68="DPO Approval",_xlfn.LET(_xlpm.tgt,IF(AN68&lt;&gt;"",AN68,IF(AB68&lt;&gt;"",AB68,AA68)),_xlpm.sent,_xlfn.MAXIFS('Rework Log'!$B$2:$B$497,'Rework Log'!$A$2:$A$497,$B68,'Rework Log'!$C$2:$C$497,"DPO*"),_xlpm.act,IF(AND(AC68&lt;&gt;"",AC68&gt;=_xlpm.sent),AC68,""),IF(_xlpm.tgt="","No target set",IF(AND(_xlpm.tgt&lt;TODAY(),_xlpm.act=""),"Overdue","On track"))),IF(C68="RELEASED IN PROD","Delivered","")))))))))</f>
        <v>Overdue</v>
      </c>
      <c r="E68" s="80">
        <v>44</v>
      </c>
      <c r="F68" s="82" t="s">
        <v>129</v>
      </c>
      <c r="G68" s="80"/>
      <c r="H68" s="83">
        <v>46295</v>
      </c>
      <c r="I68" s="84" t="s">
        <v>194</v>
      </c>
      <c r="J68" s="80" t="s">
        <v>229</v>
      </c>
      <c r="K68" s="85">
        <v>46276</v>
      </c>
      <c r="L68" s="86">
        <v>46258</v>
      </c>
      <c r="M68" s="86">
        <v>46258</v>
      </c>
      <c r="N68" s="86"/>
      <c r="O68" s="86" t="s">
        <v>195</v>
      </c>
      <c r="P68" s="87" t="s">
        <v>77</v>
      </c>
      <c r="Q68" s="85">
        <v>46286</v>
      </c>
      <c r="R68" s="86"/>
      <c r="S68" s="86"/>
      <c r="T68" s="88" t="s">
        <v>230</v>
      </c>
      <c r="U68" s="80"/>
      <c r="V68" s="89">
        <v>46290</v>
      </c>
      <c r="W68" s="86"/>
      <c r="X68" s="86"/>
      <c r="Y68" s="86"/>
      <c r="Z68" s="86"/>
      <c r="AA68" s="90">
        <v>46295</v>
      </c>
      <c r="AB68" s="86"/>
      <c r="AC68" s="86"/>
      <c r="AD68" s="77" t="s">
        <v>231</v>
      </c>
      <c r="AE68" s="80" t="s">
        <v>72</v>
      </c>
      <c r="AF68" s="91"/>
      <c r="AG68" s="86"/>
      <c r="AH68" s="92"/>
      <c r="AI68" s="80"/>
      <c r="AJ68" s="93" t="s">
        <v>53</v>
      </c>
      <c r="AK68" s="94" t="str" cm="1">
        <f t="array" ref="AK68">IF($B68="","",_xlfn.LET(_xlpm.nm,$B68,_xlpm.st,$C68,_xlpm.ou,SUMPRODUCT(('Rework Log'!$A$2:$A$497=_xlpm.nm)*('Rework Log'!$G$2:$G$497&lt;&gt;"Yes")*('Rework Log'!$G$2:$G$497&lt;&gt;"Did not pass re-test")*('Rework Log'!$J$2:$J$497="")),_xlpm.ob,SUMPRODUCT(('Rework Log'!$A$2:$A$497=_xlpm.nm)*('Rework Log'!$G$2:$G$497&lt;&gt;"Yes")*('Rework Log'!$G$2:$G$497&lt;&gt;"Did not pass re-test")),_xlpm.oto,IF(SUMPRODUCT(('Rework Log'!$A$2:$A$497=_xlpm.nm)*('Rework Log'!$G$2:$G$497&lt;&gt;"Yes")*('Rework Log'!$G$2:$G$497&lt;&gt;"Did not pass re-test")*('Rework Log'!$J$2:$J$497=""))=0,"",INDEX('Rework Log'!$D$2:$D$497,MATCH(1,('Rework Log'!$A$2:$A$497=_xlpm.nm)*('Rework Log'!$G$2:$G$497&lt;&gt;"Yes")*('Rework Log'!$G$2:$G$497&lt;&gt;"Did not pass re-test")*('Rework Log'!$J$2:$J$497=""),0))),_xlpm.sent,_xlfn.MAXIFS('Rework Log'!$B$2:$B$497,'Rework Log'!$A$2:$A$497,_xlpm.nm),_xlpm.act,_xlfn.IFS(_xlpm.st="NOT STARTED",$M68,_xlpm.st="DB Dev",$M68,_xlpm.st="PBI Dev",$S68,_xlpm.st="QA",$Y68,_xlpm.st="DPO Approval",$AC68,_xlpm.st="Ready for Release in Prod",$AG68,TRUE,""),_xlpm.nxt,_xlfn.IFS(_xlpm.st="NOT STARTED","PBI Dev",_xlpm.st="DB Dev","PBI Dev",_xlpm.st="PBI Dev","QA",_xlpm.st="QA","DPO Approval",_xlpm.st="DPO Approval","Ready for Release in Prod",_xlpm.st="Ready for Release in Prod","RELEASED IN PROD",TRUE,""),IF(AND(_xlpm.ou&gt;0,_xlpm.st&lt;&gt;_xlpm.oto),"Move status back to "&amp;_xlpm.oto,IF(AND(_xlpm.ob=0,LEFT($AJ68,3)="Yes"),"Blocked - log it on Rework Log",IF(AND(_xlpm.ob&gt;0,LEFT($AJ68,3)&lt;&gt;"Yes"),"Open rework row - mark Blocked or close it",IF(AND(_xlpm.ob=0,_xlpm.act&lt;&gt;"",_xlpm.act&gt;=_xlpm.sent,_xlpm.nxt&lt;&gt;""),"Move status to "&amp;_xlpm.nxt,IF(COUNTIF($B$2:$B$528,$B68)&gt;1,"Duplicate name - check row",IF(COUNTIF('Rework Log'!$A$2:$A$497,$B68)&gt;0,"",IF(AND($V68&lt;&gt;"",$K68&lt;&gt;"",$V68&lt;$K68),"QA target is before DB Dev target",IF(AND($V68&lt;&gt;"",$Q68&lt;&gt;"",$V68&lt;$Q68),"QA target is before PBI Dev target",IF(AND($AA68&lt;&gt;"",$V68&lt;&gt;"",$AA68&lt;$V68),"DPO Approval target is before QA target",IF(AND($AG68&lt;&gt;"",$AA68&lt;&gt;"",$AG68&lt;$AA68),"Confirmed Deployed date is before DPO Approval target",""))))))))))))</f>
        <v/>
      </c>
      <c r="AL68" s="95" t="s">
        <v>232</v>
      </c>
      <c r="AM68" s="96" t="str" cm="1">
        <f t="array" ref="AM68">_xlfn.LET(_xlpm.rep,$B68,_xlpm.sent,_xlfn.MAXIFS('Rework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
      </c>
      <c r="AN68" s="96" t="str" cm="1">
        <f t="array" ref="AN68">_xlfn.LET(_xlpm.rep,$B68,_xlpm.sent,_xlfn.MAXIFS('Rework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69" spans="1:40" s="98" customFormat="1">
      <c r="A69" s="97" t="s">
        <v>126</v>
      </c>
      <c r="B69" s="78" t="s">
        <v>233</v>
      </c>
      <c r="C69" s="97" t="s">
        <v>234</v>
      </c>
      <c r="D69" s="98" t="str" cm="1">
        <f t="array" aca="1" ref="D69" ca="1">IF(AND(C69="Ready for Release in Prod",LEFT($AJ69,3)&lt;&gt;"Yes"),IF(AG69&lt;&gt;"","Delivered","On track"),IF($B69="","",IF(LEFT($AJ69,3)="Yes","Blocked - "&amp;MID($AJ69,7,100)&amp;IF(SUMPRODUCT(('Rework Log'!$A$2:$A$497=$B69)*('Rework Log'!$G$2:$G$497&lt;&gt;"Yes")*('Rework Log'!$G$2:$G$497&lt;&gt;"Did not pass re-test"))=0,"",IF(SUMPRODUCT(MAX((('Rework Log'!$A$2:$A$497=$B69)*('Rework Log'!$G$2:$G$497&lt;&gt;"Yes")*('Rework Log'!$G$2:$G$497&lt;&gt;"Did not pass re-test"))*'Rework Log'!$I$2:$I$497))=0," - unclaimed"," - promised "&amp;TEXT(SUMPRODUCT(MAX((('Rework Log'!$A$2:$A$497=$B69)*('Rework Log'!$G$2:$G$497&lt;&gt;"Yes")*('Rework Log'!$G$2:$G$497&lt;&gt;"Did not pass re-test"))*'Rework Log'!$I$2:$I$497)),"m/d"))),IF(C69="NOT STARTED",IF(H69="","No plan date set",IF(H69&lt;TODAY(),"Review - planned start passed","On track")),IF(C69="DB Dev",_xlfn.LET(_xlpm.sent,_xlfn.MAXIFS('Rework Log'!$B$2:$B$497,'Rework Log'!$A$2:$A$497,$B69,'Rework Log'!$D$2:$D$497,"DB Dev"),_xlpm.expfix,_xlfn.MAXIFS('Rework Log'!$I$2:$I$497,'Rework Log'!$A$2:$A$497,$B69,'Rework Log'!$D$2:$D$497,"DB Dev",'Rework Log'!$B$2:$B$497,_xlpm.sent),_xlpm.tgt,IF(_xlpm.expfix&gt;0,_xlpm.expfix,IF(L69&lt;&gt;"",L69,K69)),_xlpm.act,IF(AND(M69&lt;&gt;"",M69&gt;=_xlpm.sent),M69,""),IF(_xlpm.tgt="","No target set",IF(AND(_xlpm.tgt&lt;TODAY(),_xlpm.act=""),"Overdue","On track"))),IF(C69="PBI Dev",_xlfn.LET(_xlpm.sent,_xlfn.MAXIFS('Rework Log'!$B$2:$B$497,'Rework Log'!$A$2:$A$497,$B69,'Rework Log'!$D$2:$D$497,"PBI Dev"),_xlpm.expfix,_xlfn.MAXIFS('Rework Log'!$I$2:$I$497,'Rework Log'!$A$2:$A$497,$B69,'Rework Log'!$D$2:$D$497,"PBI Dev",'Rework Log'!$B$2:$B$497,_xlpm.sent),_xlpm.tgt,IF(_xlpm.expfix&gt;0,_xlpm.expfix,IF(R69&lt;&gt;"",R69,Q69)),_xlpm.act,IF(AND(S69&lt;&gt;"",S69&gt;=_xlpm.sent),S69,""),IF(_xlpm.tgt="","No target set",IF(AND(_xlpm.tgt&lt;TODAY(),_xlpm.act=""),"Overdue","On track"))),IF(C69="QA",_xlfn.LET(_xlpm.tgt,IF(AM69&lt;&gt;"",AM69,IF(W69&lt;&gt;"",W69,V69)),_xlpm.sent,_xlfn.MAXIFS('Rework Log'!$B$2:$B$497,'Rework Log'!$A$2:$A$497,$B69,'Rework Log'!$C$2:$C$497,"QA"),_xlpm.act,IF(AND(Y69&lt;&gt;"",Y69&gt;=_xlpm.sent),Y69,""),IF(_xlpm.tgt="","No target set",IF(AND(_xlpm.tgt&lt;TODAY(),_xlpm.act=""),"Overdue","On track"))),IF(C69="DPO Approval",_xlfn.LET(_xlpm.tgt,IF(AN69&lt;&gt;"",AN69,IF(AB69&lt;&gt;"",AB69,AA69)),_xlpm.sent,_xlfn.MAXIFS('Rework Log'!$B$2:$B$497,'Rework Log'!$A$2:$A$497,$B69,'Rework Log'!$C$2:$C$497,"DPO*"),_xlpm.act,IF(AND(AC69&lt;&gt;"",AC69&gt;=_xlpm.sent),AC69,""),IF(_xlpm.tgt="","No target set",IF(AND(_xlpm.tgt&lt;TODAY(),_xlpm.act=""),"Overdue","On track"))),IF(C69="RELEASED IN PROD","Delivered","")))))))))</f>
        <v>Review - planned start passed</v>
      </c>
      <c r="E69" s="97">
        <v>45</v>
      </c>
      <c r="F69" s="34" t="s">
        <v>209</v>
      </c>
      <c r="G69" s="97"/>
      <c r="H69" s="99">
        <v>46295</v>
      </c>
      <c r="I69" s="100" t="s">
        <v>194</v>
      </c>
      <c r="J69" s="97" t="s">
        <v>59</v>
      </c>
      <c r="K69" s="101">
        <v>46276</v>
      </c>
      <c r="L69" s="102"/>
      <c r="M69" s="102"/>
      <c r="N69" s="102"/>
      <c r="O69" s="102" t="s">
        <v>195</v>
      </c>
      <c r="P69" s="103" t="s">
        <v>46</v>
      </c>
      <c r="Q69" s="101">
        <v>46286</v>
      </c>
      <c r="R69" s="102"/>
      <c r="S69" s="102"/>
      <c r="T69" s="104" t="s">
        <v>230</v>
      </c>
      <c r="U69" s="97"/>
      <c r="V69" s="105">
        <v>46290</v>
      </c>
      <c r="W69" s="102"/>
      <c r="X69" s="102"/>
      <c r="Y69" s="102"/>
      <c r="Z69" s="102"/>
      <c r="AA69" s="106">
        <v>46295</v>
      </c>
      <c r="AB69" s="102"/>
      <c r="AC69" s="102"/>
      <c r="AD69" s="78" t="s">
        <v>235</v>
      </c>
      <c r="AE69" s="97" t="s">
        <v>72</v>
      </c>
      <c r="AF69" s="107"/>
      <c r="AG69" s="102"/>
      <c r="AH69" s="108"/>
      <c r="AI69" s="97"/>
      <c r="AJ69" s="109" t="s">
        <v>53</v>
      </c>
      <c r="AK69" s="110" t="str" cm="1">
        <f t="array" ref="AK69">IF($B69="","",_xlfn.LET(_xlpm.nm,$B69,_xlpm.st,$C69,_xlpm.ou,SUMPRODUCT(('Rework Log'!$A$2:$A$497=_xlpm.nm)*('Rework Log'!$G$2:$G$497&lt;&gt;"Yes")*('Rework Log'!$G$2:$G$497&lt;&gt;"Did not pass re-test")*('Rework Log'!$J$2:$J$497="")),_xlpm.ob,SUMPRODUCT(('Rework Log'!$A$2:$A$497=_xlpm.nm)*('Rework Log'!$G$2:$G$497&lt;&gt;"Yes")*('Rework Log'!$G$2:$G$497&lt;&gt;"Did not pass re-test")),_xlpm.oto,IF(SUMPRODUCT(('Rework Log'!$A$2:$A$497=_xlpm.nm)*('Rework Log'!$G$2:$G$497&lt;&gt;"Yes")*('Rework Log'!$G$2:$G$497&lt;&gt;"Did not pass re-test")*('Rework Log'!$J$2:$J$497=""))=0,"",INDEX('Rework Log'!$D$2:$D$497,MATCH(1,('Rework Log'!$A$2:$A$497=_xlpm.nm)*('Rework Log'!$G$2:$G$497&lt;&gt;"Yes")*('Rework Log'!$G$2:$G$497&lt;&gt;"Did not pass re-test")*('Rework Log'!$J$2:$J$497=""),0))),_xlpm.sent,_xlfn.MAXIFS('Rework Log'!$B$2:$B$497,'Rework Log'!$A$2:$A$497,_xlpm.nm),_xlpm.act,_xlfn.IFS(_xlpm.st="NOT STARTED",$M69,_xlpm.st="DB Dev",$M69,_xlpm.st="PBI Dev",$S69,_xlpm.st="QA",$Y69,_xlpm.st="DPO Approval",$AC69,_xlpm.st="Ready for Release in Prod",$AG69,TRUE,""),_xlpm.nxt,_xlfn.IFS(_xlpm.st="NOT STARTED","PBI Dev",_xlpm.st="DB Dev","PBI Dev",_xlpm.st="PBI Dev","QA",_xlpm.st="QA","DPO Approval",_xlpm.st="DPO Approval","Ready for Release in Prod",_xlpm.st="Ready for Release in Prod","RELEASED IN PROD",TRUE,""),IF(AND(_xlpm.ou&gt;0,_xlpm.st&lt;&gt;_xlpm.oto),"Move status back to "&amp;_xlpm.oto,IF(AND(_xlpm.ob=0,LEFT($AJ69,3)="Yes"),"Blocked - log it on Rework Log",IF(AND(_xlpm.ob&gt;0,LEFT($AJ69,3)&lt;&gt;"Yes"),"Open rework row - mark Blocked or close it",IF(AND(_xlpm.ob=0,_xlpm.act&lt;&gt;"",_xlpm.act&gt;=_xlpm.sent,_xlpm.nxt&lt;&gt;""),"Move status to "&amp;_xlpm.nxt,IF(COUNTIF($B$2:$B$528,$B69)&gt;1,"Duplicate name - check row",IF(COUNTIF('Rework Log'!$A$2:$A$497,$B69)&gt;0,"",IF(AND($V69&lt;&gt;"",$K69&lt;&gt;"",$V69&lt;$K69),"QA target is before DB Dev target",IF(AND($V69&lt;&gt;"",$Q69&lt;&gt;"",$V69&lt;$Q69),"QA target is before PBI Dev target",IF(AND($AA69&lt;&gt;"",$V69&lt;&gt;"",$AA69&lt;$V69),"DPO Approval target is before QA target",IF(AND($AG69&lt;&gt;"",$AA69&lt;&gt;"",$AG69&lt;$AA69),"Confirmed Deployed date is before DPO Approval target",""))))))))))))</f>
        <v/>
      </c>
      <c r="AL69" s="111" t="s">
        <v>236</v>
      </c>
      <c r="AM69" s="112" t="str" cm="1">
        <f t="array" ref="AM69">_xlfn.LET(_xlpm.rep,$B69,_xlpm.sent,_xlfn.MAXIFS('Rework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
      </c>
      <c r="AN69" s="112" t="str" cm="1">
        <f t="array" ref="AN69">_xlfn.LET(_xlpm.rep,$B69,_xlpm.sent,_xlfn.MAXIFS('Rework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70" spans="1:40">
      <c r="A70" s="33" t="s">
        <v>126</v>
      </c>
      <c r="B70" s="221" t="s">
        <v>237</v>
      </c>
      <c r="C70" s="33" t="s">
        <v>206</v>
      </c>
      <c r="D70" t="str" cm="1">
        <f t="array" aca="1" ref="D70" ca="1">IF(AND(C70="Ready for Release in Prod",LEFT($AJ70,3)&lt;&gt;"Yes"),IF(AG70&lt;&gt;"","Delivered","On track"),IF($B70="","",IF(LEFT($AJ70,3)="Yes","Blocked - "&amp;MID($AJ70,7,100)&amp;IF(SUMPRODUCT(('Rework Log'!$A$2:$A$497=$B70)*('Rework Log'!$G$2:$G$497&lt;&gt;"Yes")*('Rework Log'!$G$2:$G$497&lt;&gt;"Did not pass re-test"))=0,"",IF(SUMPRODUCT(MAX((('Rework Log'!$A$2:$A$497=$B70)*('Rework Log'!$G$2:$G$497&lt;&gt;"Yes")*('Rework Log'!$G$2:$G$497&lt;&gt;"Did not pass re-test"))*'Rework Log'!$I$2:$I$497))=0," - unclaimed"," - promised "&amp;TEXT(SUMPRODUCT(MAX((('Rework Log'!$A$2:$A$497=$B70)*('Rework Log'!$G$2:$G$497&lt;&gt;"Yes")*('Rework Log'!$G$2:$G$497&lt;&gt;"Did not pass re-test"))*'Rework Log'!$I$2:$I$497)),"m/d"))),IF(C70="NOT STARTED",IF(H70="","No plan date set",IF(H70&lt;TODAY(),"Review - planned start passed","On track")),IF(C70="DB Dev",_xlfn.LET(_xlpm.sent,_xlfn.MAXIFS('Rework Log'!$B$2:$B$497,'Rework Log'!$A$2:$A$497,$B70,'Rework Log'!$D$2:$D$497,"DB Dev"),_xlpm.expfix,_xlfn.MAXIFS('Rework Log'!$I$2:$I$497,'Rework Log'!$A$2:$A$497,$B70,'Rework Log'!$D$2:$D$497,"DB Dev",'Rework Log'!$B$2:$B$497,_xlpm.sent),_xlpm.tgt,IF(_xlpm.expfix&gt;0,_xlpm.expfix,IF(L70&lt;&gt;"",L70,K70)),_xlpm.act,IF(AND(M70&lt;&gt;"",M70&gt;=_xlpm.sent),M70,""),IF(_xlpm.tgt="","No target set",IF(AND(_xlpm.tgt&lt;TODAY(),_xlpm.act=""),"Overdue","On track"))),IF(C70="PBI Dev",_xlfn.LET(_xlpm.sent,_xlfn.MAXIFS('Rework Log'!$B$2:$B$497,'Rework Log'!$A$2:$A$497,$B70,'Rework Log'!$D$2:$D$497,"PBI Dev"),_xlpm.expfix,_xlfn.MAXIFS('Rework Log'!$I$2:$I$497,'Rework Log'!$A$2:$A$497,$B70,'Rework Log'!$D$2:$D$497,"PBI Dev",'Rework Log'!$B$2:$B$497,_xlpm.sent),_xlpm.tgt,IF(_xlpm.expfix&gt;0,_xlpm.expfix,IF(R70&lt;&gt;"",R70,Q70)),_xlpm.act,IF(AND(S70&lt;&gt;"",S70&gt;=_xlpm.sent),S70,""),IF(_xlpm.tgt="","No target set",IF(AND(_xlpm.tgt&lt;TODAY(),_xlpm.act=""),"Overdue","On track"))),IF(C70="QA",_xlfn.LET(_xlpm.tgt,IF(AM70&lt;&gt;"",AM70,IF(W70&lt;&gt;"",W70,V70)),_xlpm.sent,_xlfn.MAXIFS('Rework Log'!$B$2:$B$497,'Rework Log'!$A$2:$A$497,$B70,'Rework Log'!$C$2:$C$497,"QA"),_xlpm.act,IF(AND(Y70&lt;&gt;"",Y70&gt;=_xlpm.sent),Y70,""),IF(_xlpm.tgt="","No target set",IF(AND(_xlpm.tgt&lt;TODAY(),_xlpm.act=""),"Overdue","On track"))),IF(C70="DPO Approval",_xlfn.LET(_xlpm.tgt,IF(AN70&lt;&gt;"",AN70,IF(AB70&lt;&gt;"",AB70,AA70)),_xlpm.sent,_xlfn.MAXIFS('Rework Log'!$B$2:$B$497,'Rework Log'!$A$2:$A$497,$B70,'Rework Log'!$C$2:$C$497,"DPO*"),_xlpm.act,IF(AND(AC70&lt;&gt;"",AC70&gt;=_xlpm.sent),AC70,""),IF(_xlpm.tgt="","No target set",IF(AND(_xlpm.tgt&lt;TODAY(),_xlpm.act=""),"Overdue","On track"))),IF(C70="RELEASED IN PROD","Delivered","")))))))))</f>
        <v>Overdue</v>
      </c>
      <c r="E70" s="33">
        <v>46</v>
      </c>
      <c r="F70" s="34" t="s">
        <v>209</v>
      </c>
      <c r="G70" s="33"/>
      <c r="H70" s="49">
        <v>46295</v>
      </c>
      <c r="I70" s="54" t="s">
        <v>194</v>
      </c>
      <c r="J70" s="33" t="s">
        <v>65</v>
      </c>
      <c r="K70" s="4">
        <v>46276</v>
      </c>
      <c r="L70" s="36">
        <v>46262</v>
      </c>
      <c r="M70" s="36">
        <v>46276</v>
      </c>
      <c r="N70" s="46" t="s">
        <v>147</v>
      </c>
      <c r="O70" s="36" t="s">
        <v>195</v>
      </c>
      <c r="P70" s="62" t="s">
        <v>77</v>
      </c>
      <c r="Q70" s="4">
        <v>46286</v>
      </c>
      <c r="R70" s="36">
        <v>46283</v>
      </c>
      <c r="S70" s="36">
        <v>46303</v>
      </c>
      <c r="T70" s="68" t="s">
        <v>230</v>
      </c>
      <c r="U70" s="33"/>
      <c r="V70" s="58">
        <v>46290</v>
      </c>
      <c r="W70" s="36"/>
      <c r="X70" s="36"/>
      <c r="Y70" s="36"/>
      <c r="Z70" s="36"/>
      <c r="AA70" s="51">
        <v>46295</v>
      </c>
      <c r="AB70" s="36"/>
      <c r="AC70" s="36"/>
      <c r="AD70" s="33" t="s">
        <v>124</v>
      </c>
      <c r="AE70" s="33" t="s">
        <v>72</v>
      </c>
      <c r="AF70" s="38"/>
      <c r="AG70" s="36"/>
      <c r="AH70" s="39"/>
      <c r="AI70" s="33"/>
      <c r="AJ70" s="40" t="s">
        <v>53</v>
      </c>
      <c r="AK70" s="72" t="str" cm="1">
        <f t="array" ref="AK70">IF($B70="","",_xlfn.LET(_xlpm.nm,$B70,_xlpm.st,$C70,_xlpm.ou,SUMPRODUCT(('Rework Log'!$A$2:$A$497=_xlpm.nm)*('Rework Log'!$G$2:$G$497&lt;&gt;"Yes")*('Rework Log'!$G$2:$G$497&lt;&gt;"Did not pass re-test")*('Rework Log'!$J$2:$J$497="")),_xlpm.ob,SUMPRODUCT(('Rework Log'!$A$2:$A$497=_xlpm.nm)*('Rework Log'!$G$2:$G$497&lt;&gt;"Yes")*('Rework Log'!$G$2:$G$497&lt;&gt;"Did not pass re-test")),_xlpm.oto,IF(SUMPRODUCT(('Rework Log'!$A$2:$A$497=_xlpm.nm)*('Rework Log'!$G$2:$G$497&lt;&gt;"Yes")*('Rework Log'!$G$2:$G$497&lt;&gt;"Did not pass re-test")*('Rework Log'!$J$2:$J$497=""))=0,"",INDEX('Rework Log'!$D$2:$D$497,MATCH(1,('Rework Log'!$A$2:$A$497=_xlpm.nm)*('Rework Log'!$G$2:$G$497&lt;&gt;"Yes")*('Rework Log'!$G$2:$G$497&lt;&gt;"Did not pass re-test")*('Rework Log'!$J$2:$J$497=""),0))),_xlpm.sent,_xlfn.MAXIFS('Rework Log'!$B$2:$B$497,'Rework Log'!$A$2:$A$497,_xlpm.nm),_xlpm.act,_xlfn.IFS(_xlpm.st="NOT STARTED",$M70,_xlpm.st="DB Dev",$M70,_xlpm.st="PBI Dev",$S70,_xlpm.st="QA",$Y70,_xlpm.st="DPO Approval",$AC70,_xlpm.st="Ready for Release in Prod",$AG70,TRUE,""),_xlpm.nxt,_xlfn.IFS(_xlpm.st="NOT STARTED","PBI Dev",_xlpm.st="DB Dev","PBI Dev",_xlpm.st="PBI Dev","QA",_xlpm.st="QA","DPO Approval",_xlpm.st="DPO Approval","Ready for Release in Prod",_xlpm.st="Ready for Release in Prod","RELEASED IN PROD",TRUE,""),IF(AND(_xlpm.ou&gt;0,_xlpm.st&lt;&gt;_xlpm.oto),"Move status back to "&amp;_xlpm.oto,IF(AND(_xlpm.ob=0,LEFT($AJ70,3)="Yes"),"Blocked - log it on Rework Log",IF(AND(_xlpm.ob&gt;0,LEFT($AJ70,3)&lt;&gt;"Yes"),"Open rework row - mark Blocked or close it",IF(AND(_xlpm.ob=0,_xlpm.act&lt;&gt;"",_xlpm.act&gt;=_xlpm.sent,_xlpm.nxt&lt;&gt;""),"Move status to "&amp;_xlpm.nxt,IF(COUNTIF($B$2:$B$528,$B70)&gt;1,"Duplicate name - check row",IF(COUNTIF('Rework Log'!$A$2:$A$497,$B70)&gt;0,"",IF(AND($V70&lt;&gt;"",$K70&lt;&gt;"",$V70&lt;$K70),"QA target is before DB Dev target",IF(AND($V70&lt;&gt;"",$Q70&lt;&gt;"",$V70&lt;$Q70),"QA target is before PBI Dev target",IF(AND($AA70&lt;&gt;"",$V70&lt;&gt;"",$AA70&lt;$V70),"DPO Approval target is before QA target",IF(AND($AG70&lt;&gt;"",$AA70&lt;&gt;"",$AG70&lt;$AA70),"Confirmed Deployed date is before DPO Approval target",""))))))))))))</f>
        <v/>
      </c>
      <c r="AL70" s="41" t="s">
        <v>238</v>
      </c>
      <c r="AM70" s="32" t="str" cm="1">
        <f t="array" ref="AM70">_xlfn.LET(_xlpm.rep,$B70,_xlpm.sent,_xlfn.MAXIFS('Rework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
      </c>
      <c r="AN70" s="32" t="str" cm="1">
        <f t="array" ref="AN70">_xlfn.LET(_xlpm.rep,$B70,_xlpm.sent,_xlfn.MAXIFS('Rework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71" spans="1:40">
      <c r="A71" s="33" t="s">
        <v>126</v>
      </c>
      <c r="B71" s="33" t="s">
        <v>239</v>
      </c>
      <c r="C71" s="33" t="s">
        <v>128</v>
      </c>
      <c r="D71" t="str" cm="1">
        <f t="array" aca="1" ref="D71" ca="1">IF(AND(C71="Ready for Release in Prod",LEFT($AJ71,3)&lt;&gt;"Yes"),IF(AG71&lt;&gt;"","Delivered","On track"),IF($B71="","",IF(LEFT($AJ71,3)="Yes","Blocked - "&amp;MID($AJ71,7,100)&amp;IF(SUMPRODUCT(('Rework Log'!$A$2:$A$497=$B71)*('Rework Log'!$G$2:$G$497&lt;&gt;"Yes")*('Rework Log'!$G$2:$G$497&lt;&gt;"Did not pass re-test"))=0,"",IF(SUMPRODUCT(MAX((('Rework Log'!$A$2:$A$497=$B71)*('Rework Log'!$G$2:$G$497&lt;&gt;"Yes")*('Rework Log'!$G$2:$G$497&lt;&gt;"Did not pass re-test"))*'Rework Log'!$I$2:$I$497))=0," - unclaimed"," - promised "&amp;TEXT(SUMPRODUCT(MAX((('Rework Log'!$A$2:$A$497=$B71)*('Rework Log'!$G$2:$G$497&lt;&gt;"Yes")*('Rework Log'!$G$2:$G$497&lt;&gt;"Did not pass re-test"))*'Rework Log'!$I$2:$I$497)),"m/d"))),IF(C71="NOT STARTED",IF(H71="","No plan date set",IF(H71&lt;TODAY(),"Review - planned start passed","On track")),IF(C71="DB Dev",_xlfn.LET(_xlpm.sent,_xlfn.MAXIFS('Rework Log'!$B$2:$B$497,'Rework Log'!$A$2:$A$497,$B71,'Rework Log'!$D$2:$D$497,"DB Dev"),_xlpm.expfix,_xlfn.MAXIFS('Rework Log'!$I$2:$I$497,'Rework Log'!$A$2:$A$497,$B71,'Rework Log'!$D$2:$D$497,"DB Dev",'Rework Log'!$B$2:$B$497,_xlpm.sent),_xlpm.tgt,IF(_xlpm.expfix&gt;0,_xlpm.expfix,IF(L71&lt;&gt;"",L71,K71)),_xlpm.act,IF(AND(M71&lt;&gt;"",M71&gt;=_xlpm.sent),M71,""),IF(_xlpm.tgt="","No target set",IF(AND(_xlpm.tgt&lt;TODAY(),_xlpm.act=""),"Overdue","On track"))),IF(C71="PBI Dev",_xlfn.LET(_xlpm.sent,_xlfn.MAXIFS('Rework Log'!$B$2:$B$497,'Rework Log'!$A$2:$A$497,$B71,'Rework Log'!$D$2:$D$497,"PBI Dev"),_xlpm.expfix,_xlfn.MAXIFS('Rework Log'!$I$2:$I$497,'Rework Log'!$A$2:$A$497,$B71,'Rework Log'!$D$2:$D$497,"PBI Dev",'Rework Log'!$B$2:$B$497,_xlpm.sent),_xlpm.tgt,IF(_xlpm.expfix&gt;0,_xlpm.expfix,IF(R71&lt;&gt;"",R71,Q71)),_xlpm.act,IF(AND(S71&lt;&gt;"",S71&gt;=_xlpm.sent),S71,""),IF(_xlpm.tgt="","No target set",IF(AND(_xlpm.tgt&lt;TODAY(),_xlpm.act=""),"Overdue","On track"))),IF(C71="QA",_xlfn.LET(_xlpm.tgt,IF(AM71&lt;&gt;"",AM71,IF(#REF!&lt;&gt;"",#REF!,V71)),_xlpm.sent,_xlfn.MAXIFS('Rework Log'!$B$2:$B$497,'Rework Log'!$A$2:$A$497,$B71,'Rework Log'!$C$2:$C$497,"QA"),_xlpm.act,IF(AND(W71&lt;&gt;"",W71&gt;=_xlpm.sent),W71,""),IF(_xlpm.tgt="","No target set",IF(AND(_xlpm.tgt&lt;TODAY(),_xlpm.act=""),"Overdue","On track"))),IF(C71="DPO Approval",_xlfn.LET(_xlpm.tgt,IF(AN71&lt;&gt;"",AN71,IF(AB71&lt;&gt;"",AB71,AA71)),_xlpm.sent,_xlfn.MAXIFS('Rework Log'!$B$2:$B$497,'Rework Log'!$A$2:$A$497,$B71,'Rework Log'!$C$2:$C$497,"DPO*"),_xlpm.act,IF(AND(AC71&lt;&gt;"",AC71&gt;=_xlpm.sent),AC71,""),IF(_xlpm.tgt="","No target set",IF(AND(_xlpm.tgt&lt;TODAY(),_xlpm.act=""),"Overdue","On track"))),IF(C71="RELEASED IN PROD","Delivered","")))))))))</f>
        <v>Blocked - Blocked in Prod</v>
      </c>
      <c r="E71" s="33">
        <v>47</v>
      </c>
      <c r="F71" s="34" t="s">
        <v>209</v>
      </c>
      <c r="G71" s="33"/>
      <c r="H71" s="49">
        <v>46295</v>
      </c>
      <c r="I71" s="54" t="s">
        <v>194</v>
      </c>
      <c r="J71" s="33" t="s">
        <v>44</v>
      </c>
      <c r="K71" s="4">
        <v>46276</v>
      </c>
      <c r="L71" s="36">
        <v>46259</v>
      </c>
      <c r="M71" s="36">
        <v>46259</v>
      </c>
      <c r="N71" s="36"/>
      <c r="O71" s="36" t="s">
        <v>195</v>
      </c>
      <c r="P71" s="62" t="s">
        <v>60</v>
      </c>
      <c r="Q71" s="4">
        <v>46286</v>
      </c>
      <c r="R71" s="36">
        <v>46281</v>
      </c>
      <c r="S71" s="36">
        <v>46281</v>
      </c>
      <c r="T71" s="68" t="s">
        <v>230</v>
      </c>
      <c r="U71" s="33" t="s">
        <v>47</v>
      </c>
      <c r="V71" s="58">
        <v>46290</v>
      </c>
      <c r="W71" s="36">
        <v>46296</v>
      </c>
      <c r="X71" s="46"/>
      <c r="Y71" s="46">
        <v>46293</v>
      </c>
      <c r="Z71" s="36"/>
      <c r="AA71" s="51">
        <v>46295</v>
      </c>
      <c r="AB71" s="36">
        <v>46304</v>
      </c>
      <c r="AC71" s="36">
        <v>46297</v>
      </c>
      <c r="AD71" s="33" t="s">
        <v>240</v>
      </c>
      <c r="AE71" s="33" t="s">
        <v>94</v>
      </c>
      <c r="AF71" s="38"/>
      <c r="AG71" s="36"/>
      <c r="AH71" s="39"/>
      <c r="AI71" s="33"/>
      <c r="AJ71" s="40" t="s">
        <v>133</v>
      </c>
      <c r="AK71" s="72" t="str" cm="1">
        <f t="array" ref="AK71">IF($B71="","",_xlfn.LET(_xlpm.nm,$B71,_xlpm.st,$C71,_xlpm.ou,SUMPRODUCT(('Rework Log'!$A$2:$A$497=_xlpm.nm)*('Rework Log'!$G$2:$G$497&lt;&gt;"Yes")*('Rework Log'!$G$2:$G$497&lt;&gt;"Did not pass re-test")*('Rework Log'!$J$2:$J$497="")),_xlpm.ob,SUMPRODUCT(('Rework Log'!$A$2:$A$497=_xlpm.nm)*('Rework Log'!$G$2:$G$497&lt;&gt;"Yes")*('Rework Log'!$G$2:$G$497&lt;&gt;"Did not pass re-test")),_xlpm.oto,IF(SUMPRODUCT(('Rework Log'!$A$2:$A$497=_xlpm.nm)*('Rework Log'!$G$2:$G$497&lt;&gt;"Yes")*('Rework Log'!$G$2:$G$497&lt;&gt;"Did not pass re-test")*('Rework Log'!$J$2:$J$497=""))=0,"",INDEX('Rework Log'!$D$2:$D$497,MATCH(1,('Rework Log'!$A$2:$A$497=_xlpm.nm)*('Rework Log'!$G$2:$G$497&lt;&gt;"Yes")*('Rework Log'!$G$2:$G$497&lt;&gt;"Did not pass re-test")*('Rework Log'!$J$2:$J$497=""),0))),_xlpm.sent,_xlfn.MAXIFS('Rework Log'!$B$2:$B$497,'Rework Log'!$A$2:$A$497,_xlpm.nm),_xlpm.act,_xlfn.IFS(_xlpm.st="NOT STARTED",$M71,_xlpm.st="DB Dev",$M71,_xlpm.st="PBI Dev",$S71,_xlpm.st="QA",$W71,_xlpm.st="DPO Approval",$AC71,_xlpm.st="Ready for Release in Prod",$AG71,TRUE,""),_xlpm.nxt,_xlfn.IFS(_xlpm.st="NOT STARTED","PBI Dev",_xlpm.st="DB Dev","PBI Dev",_xlpm.st="PBI Dev","QA",_xlpm.st="QA","DPO Approval",_xlpm.st="DPO Approval","Ready for Release in Prod",_xlpm.st="Ready for Release in Prod","RELEASED IN PROD",TRUE,""),IF(AND(_xlpm.ou&gt;0,_xlpm.st&lt;&gt;_xlpm.oto),"Move status back to "&amp;_xlpm.oto,IF(AND(_xlpm.ob=0,LEFT($AJ71,3)="Yes"),"Blocked - log it on Rework Log",IF(AND(_xlpm.ob&gt;0,LEFT($AJ71,3)&lt;&gt;"Yes"),"Open rework row - mark Blocked or close it",IF(AND(_xlpm.ob=0,_xlpm.act&lt;&gt;"",_xlpm.act&gt;=_xlpm.sent,_xlpm.nxt&lt;&gt;""),"Move status to "&amp;_xlpm.nxt,IF(COUNTIF($B$2:$B$528,$B71)&gt;1,"Duplicate name - check row",IF(COUNTIF('Rework Log'!$A$2:$A$497,$B71)&gt;0,"",IF(AND($V71&lt;&gt;"",$K71&lt;&gt;"",$V71&lt;$K71),"QA target is before DB Dev target",IF(AND($V71&lt;&gt;"",$Q71&lt;&gt;"",$V71&lt;$Q71),"QA target is before PBI Dev target",IF(AND($AA71&lt;&gt;"",$V71&lt;&gt;"",$AA71&lt;$V71),"DPO Approval target is before QA target",IF(AND($AG71&lt;&gt;"",$AA71&lt;&gt;"",$AG71&lt;$AA71),"Confirmed Deployed date is before DPO Approval target",""))))))))))))</f>
        <v>Blocked - log it on Rework Log</v>
      </c>
      <c r="AL71" s="41" t="s">
        <v>241</v>
      </c>
      <c r="AM71" s="32" t="str" cm="1">
        <f t="array" ref="AM71">_xlfn.LET(_xlpm.rep,$B71,_xlpm.sent,_xlfn.MAXIFS('Rework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
      </c>
      <c r="AN71" s="32" t="str" cm="1">
        <f t="array" ref="AN71">_xlfn.LET(_xlpm.rep,$B71,_xlpm.sent,_xlfn.MAXIFS('Rework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72" spans="1:40" ht="17.25" customHeight="1">
      <c r="A72" s="33" t="s">
        <v>126</v>
      </c>
      <c r="B72" s="33" t="s">
        <v>242</v>
      </c>
      <c r="C72" s="33" t="s">
        <v>187</v>
      </c>
      <c r="D72" t="str" cm="1">
        <f t="array" aca="1" ref="D72" ca="1">IF(AND(C72="Ready for Release in Prod",LEFT($AJ72,3)&lt;&gt;"Yes"),IF(AG72&lt;&gt;"","Delivered","On track"),IF($B72="","",IF(LEFT($AJ72,3)="Yes","Blocked - "&amp;MID($AJ72,7,100)&amp;IF(SUMPRODUCT(('Rework Log'!$A$2:$A$497=$B72)*('Rework Log'!$G$2:$G$497&lt;&gt;"Yes")*('Rework Log'!$G$2:$G$497&lt;&gt;"Did not pass re-test"))=0,"",IF(SUMPRODUCT(MAX((('Rework Log'!$A$2:$A$497=$B72)*('Rework Log'!$G$2:$G$497&lt;&gt;"Yes")*('Rework Log'!$G$2:$G$497&lt;&gt;"Did not pass re-test"))*'Rework Log'!$I$2:$I$497))=0," - unclaimed"," - promised "&amp;TEXT(SUMPRODUCT(MAX((('Rework Log'!$A$2:$A$497=$B72)*('Rework Log'!$G$2:$G$497&lt;&gt;"Yes")*('Rework Log'!$G$2:$G$497&lt;&gt;"Did not pass re-test"))*'Rework Log'!$I$2:$I$497)),"m/d"))),IF(C72="NOT STARTED",IF(H72="","No plan date set",IF(H72&lt;TODAY(),"Review - planned start passed","On track")),IF(C72="DB Dev",_xlfn.LET(_xlpm.sent,_xlfn.MAXIFS('Rework Log'!$B$2:$B$497,'Rework Log'!$A$2:$A$497,$B72,'Rework Log'!$D$2:$D$497,"DB Dev"),_xlpm.expfix,_xlfn.MAXIFS('Rework Log'!$I$2:$I$497,'Rework Log'!$A$2:$A$497,$B72,'Rework Log'!$D$2:$D$497,"DB Dev",'Rework Log'!$B$2:$B$497,_xlpm.sent),_xlpm.tgt,IF(_xlpm.expfix&gt;0,_xlpm.expfix,IF(L72&lt;&gt;"",L72,K72)),_xlpm.act,IF(AND(M72&lt;&gt;"",M72&gt;=_xlpm.sent),M72,""),IF(_xlpm.tgt="","No target set",IF(AND(_xlpm.tgt&lt;TODAY(),_xlpm.act=""),"Overdue","On track"))),IF(C72="PBI Dev",_xlfn.LET(_xlpm.sent,_xlfn.MAXIFS('Rework Log'!$B$2:$B$497,'Rework Log'!$A$2:$A$497,$B72,'Rework Log'!$D$2:$D$497,"PBI Dev"),_xlpm.expfix,_xlfn.MAXIFS('Rework Log'!$I$2:$I$497,'Rework Log'!$A$2:$A$497,$B72,'Rework Log'!$D$2:$D$497,"PBI Dev",'Rework Log'!$B$2:$B$497,_xlpm.sent),_xlpm.tgt,IF(_xlpm.expfix&gt;0,_xlpm.expfix,IF(R72&lt;&gt;"",R72,Q72)),_xlpm.act,IF(AND(S72&lt;&gt;"",S72&gt;=_xlpm.sent),S72,""),IF(_xlpm.tgt="","No target set",IF(AND(_xlpm.tgt&lt;TODAY(),_xlpm.act=""),"Overdue","On track"))),IF(C72="QA",_xlfn.LET(_xlpm.tgt,IF(AM72&lt;&gt;"",AM72,IF(W72&lt;&gt;"",W72,V72)),_xlpm.sent,_xlfn.MAXIFS('Rework Log'!$B$2:$B$497,'Rework Log'!$A$2:$A$497,$B72,'Rework Log'!$C$2:$C$497,"QA"),_xlpm.act,IF(AND(Y72&lt;&gt;"",Y72&gt;=_xlpm.sent),Y72,""),IF(_xlpm.tgt="","No target set",IF(AND(_xlpm.tgt&lt;TODAY(),_xlpm.act=""),"Overdue","On track"))),IF(C72="DPO Approval",_xlfn.LET(_xlpm.tgt,IF(AN72&lt;&gt;"",AN72,IF(AB72&lt;&gt;"",AB72,AA72)),_xlpm.sent,_xlfn.MAXIFS('Rework Log'!$B$2:$B$497,'Rework Log'!$A$2:$A$497,$B72,'Rework Log'!$C$2:$C$497,"DPO*"),_xlpm.act,IF(AND(AC72&lt;&gt;"",AC72&gt;=_xlpm.sent),AC72,""),IF(_xlpm.tgt="","No target set",IF(AND(_xlpm.tgt&lt;TODAY(),_xlpm.act=""),"Overdue","On track"))),IF(C72="RELEASED IN PROD","Delivered","")))))))))</f>
        <v>Overdue</v>
      </c>
      <c r="E72" s="33">
        <v>48</v>
      </c>
      <c r="F72" s="34" t="s">
        <v>129</v>
      </c>
      <c r="G72" s="33"/>
      <c r="H72" s="49">
        <v>46295</v>
      </c>
      <c r="I72" s="54" t="s">
        <v>194</v>
      </c>
      <c r="J72" s="33" t="s">
        <v>76</v>
      </c>
      <c r="K72" s="4">
        <v>46276</v>
      </c>
      <c r="L72" s="36">
        <v>46258</v>
      </c>
      <c r="M72" s="36">
        <v>46258</v>
      </c>
      <c r="N72" s="36" t="s">
        <v>45</v>
      </c>
      <c r="O72" s="36" t="s">
        <v>195</v>
      </c>
      <c r="P72" s="62" t="s">
        <v>77</v>
      </c>
      <c r="Q72" s="4">
        <v>46286</v>
      </c>
      <c r="R72" s="36">
        <v>46276</v>
      </c>
      <c r="S72" s="36">
        <v>46276</v>
      </c>
      <c r="T72" s="68" t="s">
        <v>230</v>
      </c>
      <c r="U72" s="33" t="s">
        <v>47</v>
      </c>
      <c r="V72" s="58">
        <v>46290</v>
      </c>
      <c r="W72" s="36">
        <v>46296</v>
      </c>
      <c r="X72" s="36">
        <v>46280</v>
      </c>
      <c r="Y72" s="36">
        <v>46301</v>
      </c>
      <c r="Z72" s="36"/>
      <c r="AA72" s="51">
        <v>46295</v>
      </c>
      <c r="AB72" s="36">
        <v>46309</v>
      </c>
      <c r="AC72" s="36"/>
      <c r="AD72" s="33" t="s">
        <v>170</v>
      </c>
      <c r="AE72" s="33" t="s">
        <v>49</v>
      </c>
      <c r="AF72" s="38"/>
      <c r="AG72" s="36"/>
      <c r="AH72" s="39"/>
      <c r="AI72" s="33"/>
      <c r="AJ72" s="40" t="s">
        <v>53</v>
      </c>
      <c r="AK72" s="72" t="str" cm="1">
        <f t="array" ref="AK72">IF($B72="","",_xlfn.LET(_xlpm.nm,$B72,_xlpm.st,$C72,_xlpm.ou,SUMPRODUCT(('Rework Log'!$A$2:$A$497=_xlpm.nm)*('Rework Log'!$G$2:$G$497&lt;&gt;"Yes")*('Rework Log'!$G$2:$G$497&lt;&gt;"Did not pass re-test")*('Rework Log'!$J$2:$J$497="")),_xlpm.ob,SUMPRODUCT(('Rework Log'!$A$2:$A$497=_xlpm.nm)*('Rework Log'!$G$2:$G$497&lt;&gt;"Yes")*('Rework Log'!$G$2:$G$497&lt;&gt;"Did not pass re-test")),_xlpm.oto,IF(SUMPRODUCT(('Rework Log'!$A$2:$A$497=_xlpm.nm)*('Rework Log'!$G$2:$G$497&lt;&gt;"Yes")*('Rework Log'!$G$2:$G$497&lt;&gt;"Did not pass re-test")*('Rework Log'!$J$2:$J$497=""))=0,"",INDEX('Rework Log'!$D$2:$D$497,MATCH(1,('Rework Log'!$A$2:$A$497=_xlpm.nm)*('Rework Log'!$G$2:$G$497&lt;&gt;"Yes")*('Rework Log'!$G$2:$G$497&lt;&gt;"Did not pass re-test")*('Rework Log'!$J$2:$J$497=""),0))),_xlpm.sent,_xlfn.MAXIFS('Rework Log'!$B$2:$B$497,'Rework Log'!$A$2:$A$497,_xlpm.nm),_xlpm.act,_xlfn.IFS(_xlpm.st="NOT STARTED",$M72,_xlpm.st="DB Dev",$M72,_xlpm.st="PBI Dev",$S72,_xlpm.st="QA",$Y72,_xlpm.st="DPO Approval",$AC72,_xlpm.st="Ready for Release in Prod",$AG72,TRUE,""),_xlpm.nxt,_xlfn.IFS(_xlpm.st="NOT STARTED","PBI Dev",_xlpm.st="DB Dev","PBI Dev",_xlpm.st="PBI Dev","QA",_xlpm.st="QA","DPO Approval",_xlpm.st="DPO Approval","Ready for Release in Prod",_xlpm.st="Ready for Release in Prod","RELEASED IN PROD",TRUE,""),IF(AND(_xlpm.ou&gt;0,_xlpm.st&lt;&gt;_xlpm.oto),"Move status back to "&amp;_xlpm.oto,IF(AND(_xlpm.ob=0,LEFT($AJ72,3)="Yes"),"Blocked - log it on Rework Log",IF(AND(_xlpm.ob&gt;0,LEFT($AJ72,3)&lt;&gt;"Yes"),"Open rework row - mark Blocked or close it",IF(AND(_xlpm.ob=0,_xlpm.act&lt;&gt;"",_xlpm.act&gt;=_xlpm.sent,_xlpm.nxt&lt;&gt;""),"Move status to "&amp;_xlpm.nxt,IF(COUNTIF($B$2:$B$528,$B72)&gt;1,"Duplicate name - check row",IF(COUNTIF('Rework Log'!$A$2:$A$497,$B72)&gt;0,"",IF(AND($V72&lt;&gt;"",$K72&lt;&gt;"",$V72&lt;$K72),"QA target is before DB Dev target",IF(AND($V72&lt;&gt;"",$Q72&lt;&gt;"",$V72&lt;$Q72),"QA target is before PBI Dev target",IF(AND($AA72&lt;&gt;"",$V72&lt;&gt;"",$AA72&lt;$V72),"DPO Approval target is before QA target",IF(AND($AG72&lt;&gt;"",$AA72&lt;&gt;"",$AG72&lt;$AA72),"Confirmed Deployed date is before DPO Approval target",""))))))))))))</f>
        <v/>
      </c>
      <c r="AL72" s="41"/>
      <c r="AM72" s="32" t="str" cm="1">
        <f t="array" ref="AM72">_xlfn.LET(_xlpm.rep,$B72,_xlpm.sent,_xlfn.MAXIFS('Rework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
      </c>
      <c r="AN72" s="32" t="str" cm="1">
        <f t="array" ref="AN72">_xlfn.LET(_xlpm.rep,$B72,_xlpm.sent,_xlfn.MAXIFS('Rework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73" spans="1:40">
      <c r="A73" s="76" t="s">
        <v>126</v>
      </c>
      <c r="B73" s="220" t="s">
        <v>243</v>
      </c>
      <c r="C73" s="31" t="s">
        <v>187</v>
      </c>
      <c r="D73" t="str" cm="1">
        <f t="array" aca="1" ref="D73" ca="1">IF(AND(C73="Ready for Release in Prod",LEFT($AJ73,3)&lt;&gt;"Yes"),IF(AG73&lt;&gt;"","Delivered","On track"),IF($B73="","",IF(LEFT($AJ73,3)="Yes","Blocked - "&amp;MID($AJ73,7,100)&amp;IF(SUMPRODUCT(('Rework Log'!$A$2:$A$497=$B73)*('Rework Log'!$G$2:$G$497&lt;&gt;"Yes")*('Rework Log'!$G$2:$G$497&lt;&gt;"Did not pass re-test"))=0,"",IF(SUMPRODUCT(MAX((('Rework Log'!$A$2:$A$497=$B73)*('Rework Log'!$G$2:$G$497&lt;&gt;"Yes")*('Rework Log'!$G$2:$G$497&lt;&gt;"Did not pass re-test"))*'Rework Log'!$I$2:$I$497))=0," - unclaimed"," - promised "&amp;TEXT(SUMPRODUCT(MAX((('Rework Log'!$A$2:$A$497=$B73)*('Rework Log'!$G$2:$G$497&lt;&gt;"Yes")*('Rework Log'!$G$2:$G$497&lt;&gt;"Did not pass re-test"))*'Rework Log'!$I$2:$I$497)),"m/d"))),IF(C73="NOT STARTED",IF(H73="","No plan date set",IF(H73&lt;TODAY(),"Review - planned start passed","On track")),IF(C73="DB Dev",_xlfn.LET(_xlpm.sent,_xlfn.MAXIFS('Rework Log'!$B$2:$B$497,'Rework Log'!$A$2:$A$497,$B73,'Rework Log'!$D$2:$D$497,"DB Dev"),_xlpm.expfix,_xlfn.MAXIFS('Rework Log'!$I$2:$I$497,'Rework Log'!$A$2:$A$497,$B73,'Rework Log'!$D$2:$D$497,"DB Dev",'Rework Log'!$B$2:$B$497,_xlpm.sent),_xlpm.tgt,IF(_xlpm.expfix&gt;0,_xlpm.expfix,IF(L73&lt;&gt;"",L73,K73)),_xlpm.act,IF(AND(M73&lt;&gt;"",M73&gt;=_xlpm.sent),M73,""),IF(_xlpm.tgt="","No target set",IF(AND(_xlpm.tgt&lt;TODAY(),_xlpm.act=""),"Overdue","On track"))),IF(C73="PBI Dev",_xlfn.LET(_xlpm.sent,_xlfn.MAXIFS('Rework Log'!$B$2:$B$497,'Rework Log'!$A$2:$A$497,$B73,'Rework Log'!$D$2:$D$497,"PBI Dev"),_xlpm.expfix,_xlfn.MAXIFS('Rework Log'!$I$2:$I$497,'Rework Log'!$A$2:$A$497,$B73,'Rework Log'!$D$2:$D$497,"PBI Dev",'Rework Log'!$B$2:$B$497,_xlpm.sent),_xlpm.tgt,IF(_xlpm.expfix&gt;0,_xlpm.expfix,IF(R73&lt;&gt;"",R73,Q73)),_xlpm.act,IF(AND(S73&lt;&gt;"",S73&gt;=_xlpm.sent),S73,""),IF(_xlpm.tgt="","No target set",IF(AND(_xlpm.tgt&lt;TODAY(),_xlpm.act=""),"Overdue","On track"))),IF(C73="QA",_xlfn.LET(_xlpm.tgt,IF(AM73&lt;&gt;"",AM73,IF(W73&lt;&gt;"",W73,V73)),_xlpm.sent,_xlfn.MAXIFS('Rework Log'!$B$2:$B$497,'Rework Log'!$A$2:$A$497,$B73,'Rework Log'!$C$2:$C$497,"QA"),_xlpm.act,IF(AND(Y73&lt;&gt;"",Y73&gt;=_xlpm.sent),Y73,""),IF(_xlpm.tgt="","No target set",IF(AND(_xlpm.tgt&lt;TODAY(),_xlpm.act=""),"Overdue","On track"))),IF(C73="DPO Approval",_xlfn.LET(_xlpm.tgt,IF(AN73&lt;&gt;"",AN73,IF(AB73&lt;&gt;"",AB73,AA73)),_xlpm.sent,_xlfn.MAXIFS('Rework Log'!$B$2:$B$497,'Rework Log'!$A$2:$A$497,$B73,'Rework Log'!$C$2:$C$497,"DPO*"),_xlpm.act,IF(AND(AC73&lt;&gt;"",AC73&gt;=_xlpm.sent),AC73,""),IF(_xlpm.tgt="","No target set",IF(AND(_xlpm.tgt&lt;TODAY(),_xlpm.act=""),"Overdue","On track"))),IF(C73="RELEASED IN PROD","Delivered","")))))))))</f>
        <v>Overdue</v>
      </c>
      <c r="E73" s="31">
        <v>49</v>
      </c>
      <c r="F73" s="34" t="s">
        <v>209</v>
      </c>
      <c r="G73" s="31"/>
      <c r="H73" s="49">
        <v>46325</v>
      </c>
      <c r="I73" s="55" t="s">
        <v>244</v>
      </c>
      <c r="J73" s="31" t="s">
        <v>76</v>
      </c>
      <c r="K73" s="43">
        <v>46304</v>
      </c>
      <c r="L73" s="43">
        <v>46259</v>
      </c>
      <c r="M73" s="46">
        <v>46259</v>
      </c>
      <c r="N73" s="44" t="s">
        <v>45</v>
      </c>
      <c r="O73" s="44" t="s">
        <v>195</v>
      </c>
      <c r="P73" s="65" t="s">
        <v>77</v>
      </c>
      <c r="Q73" s="43">
        <v>46313</v>
      </c>
      <c r="R73" s="43">
        <v>46289</v>
      </c>
      <c r="S73" s="43">
        <v>46289</v>
      </c>
      <c r="T73" s="69" t="s">
        <v>245</v>
      </c>
      <c r="U73" s="31" t="s">
        <v>47</v>
      </c>
      <c r="V73" s="28">
        <v>46316</v>
      </c>
      <c r="W73" s="43"/>
      <c r="X73" s="36">
        <v>46296</v>
      </c>
      <c r="Y73" s="32">
        <v>46298</v>
      </c>
      <c r="Z73" s="31"/>
      <c r="AA73" s="28">
        <v>46325</v>
      </c>
      <c r="AB73" s="43">
        <v>46308</v>
      </c>
      <c r="AC73" s="43"/>
      <c r="AD73" s="31" t="s">
        <v>197</v>
      </c>
      <c r="AE73" s="31" t="s">
        <v>72</v>
      </c>
      <c r="AF73" s="31"/>
      <c r="AG73" s="31"/>
      <c r="AH73" s="31"/>
      <c r="AI73" s="31"/>
      <c r="AJ73" s="31"/>
      <c r="AK73" s="31" t="str" cm="1">
        <f t="array" ref="AK73">IF($B73="","",_xlfn.LET(_xlpm.nm,$B73,_xlpm.st,$C73,_xlpm.ou,SUMPRODUCT(('Rework Log'!$A$2:$A$497=_xlpm.nm)*('Rework Log'!$G$2:$G$497&lt;&gt;"Yes")*('Rework Log'!$G$2:$G$497&lt;&gt;"Did not pass re-test")*('Rework Log'!$J$2:$J$497="")),_xlpm.ob,SUMPRODUCT(('Rework Log'!$A$2:$A$497=_xlpm.nm)*('Rework Log'!$G$2:$G$497&lt;&gt;"Yes")*('Rework Log'!$G$2:$G$497&lt;&gt;"Did not pass re-test")),_xlpm.oto,IF(SUMPRODUCT(('Rework Log'!$A$2:$A$497=_xlpm.nm)*('Rework Log'!$G$2:$G$497&lt;&gt;"Yes")*('Rework Log'!$G$2:$G$497&lt;&gt;"Did not pass re-test")*('Rework Log'!$J$2:$J$497=""))=0,"",INDEX('Rework Log'!$D$2:$D$497,MATCH(1,('Rework Log'!$A$2:$A$497=_xlpm.nm)*('Rework Log'!$G$2:$G$497&lt;&gt;"Yes")*('Rework Log'!$G$2:$G$497&lt;&gt;"Did not pass re-test")*('Rework Log'!$J$2:$J$497=""),0))),_xlpm.sent,_xlfn.MAXIFS('Rework Log'!$B$2:$B$497,'Rework Log'!$A$2:$A$497,_xlpm.nm),_xlpm.act,_xlfn.IFS(_xlpm.st="NOT STARTED",$M73,_xlpm.st="DB Dev",$M73,_xlpm.st="PBI Dev",$S73,_xlpm.st="QA",$Y73,_xlpm.st="DPO Approval",$AC73,_xlpm.st="Ready for Release in Prod",$AG73,TRUE,""),_xlpm.nxt,_xlfn.IFS(_xlpm.st="NOT STARTED","PBI Dev",_xlpm.st="DB Dev","PBI Dev",_xlpm.st="PBI Dev","QA",_xlpm.st="QA","DPO Approval",_xlpm.st="DPO Approval","Ready for Release in Prod",_xlpm.st="Ready for Release in Prod","RELEASED IN PROD",TRUE,""),IF(AND(_xlpm.ou&gt;0,_xlpm.st&lt;&gt;_xlpm.oto),"Move status back to "&amp;_xlpm.oto,IF(AND(_xlpm.ob=0,LEFT($AJ73,3)="Yes"),"Blocked - log it on Rework Log",IF(AND(_xlpm.ob&gt;0,LEFT($AJ73,3)&lt;&gt;"Yes"),"Open rework row - mark Blocked or close it",IF(AND(_xlpm.ob=0,_xlpm.act&lt;&gt;"",_xlpm.act&gt;=_xlpm.sent,_xlpm.nxt&lt;&gt;""),"Move status to "&amp;_xlpm.nxt,IF(COUNTIF($B$2:$B$528,$B73)&gt;1,"Duplicate name - check row",IF(COUNTIF('Rework Log'!$A$2:$A$497,$B73)&gt;0,"",IF(AND($V73&lt;&gt;"",$K73&lt;&gt;"",$V73&lt;$K73),"QA target is before DB Dev target",IF(AND($V73&lt;&gt;"",$Q73&lt;&gt;"",$V73&lt;$Q73),"QA target is before PBI Dev target",IF(AND($AA73&lt;&gt;"",$V73&lt;&gt;"",$AA73&lt;$V73),"DPO Approval target is before QA target",IF(AND($AG73&lt;&gt;"",$AA73&lt;&gt;"",$AG73&lt;$AA73),"Confirmed Deployed date is before DPO Approval target",""))))))))))))</f>
        <v/>
      </c>
      <c r="AL73" s="31" t="s">
        <v>246</v>
      </c>
      <c r="AM73" s="32" t="str" cm="1">
        <f t="array" ref="AM73">_xlfn.LET(_xlpm.rep,$B73,_xlpm.sent,_xlfn.MAXIFS('Rework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
      </c>
      <c r="AN73" s="32" t="str" cm="1">
        <f t="array" ref="AN73">_xlfn.LET(_xlpm.rep,$B73,_xlpm.sent,_xlfn.MAXIFS('Rework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74" spans="1:40">
      <c r="A74" s="31" t="s">
        <v>126</v>
      </c>
      <c r="B74" s="31" t="s">
        <v>247</v>
      </c>
      <c r="C74" s="31" t="s">
        <v>206</v>
      </c>
      <c r="D74" t="str" cm="1">
        <f t="array" aca="1" ref="D74" ca="1">IF(AND(C74="Ready for Release in Prod",LEFT($AJ74,3)&lt;&gt;"Yes"),IF(AG74&lt;&gt;"","Delivered","On track"),IF($B74="","",IF(LEFT($AJ74,3)="Yes","Blocked - "&amp;MID($AJ74,7,100)&amp;IF(SUMPRODUCT(('Rework Log'!$A$2:$A$497=$B74)*('Rework Log'!$G$2:$G$497&lt;&gt;"Yes")*('Rework Log'!$G$2:$G$497&lt;&gt;"Did not pass re-test"))=0,"",IF(SUMPRODUCT(MAX((('Rework Log'!$A$2:$A$497=$B74)*('Rework Log'!$G$2:$G$497&lt;&gt;"Yes")*('Rework Log'!$G$2:$G$497&lt;&gt;"Did not pass re-test"))*'Rework Log'!$I$2:$I$497))=0," - unclaimed"," - promised "&amp;TEXT(SUMPRODUCT(MAX((('Rework Log'!$A$2:$A$497=$B74)*('Rework Log'!$G$2:$G$497&lt;&gt;"Yes")*('Rework Log'!$G$2:$G$497&lt;&gt;"Did not pass re-test"))*'Rework Log'!$I$2:$I$497)),"m/d"))),IF(C74="NOT STARTED",IF(H74="","No plan date set",IF(H74&lt;TODAY(),"Review - planned start passed","On track")),IF(C74="DB Dev",_xlfn.LET(_xlpm.sent,_xlfn.MAXIFS('Rework Log'!$B$2:$B$497,'Rework Log'!$A$2:$A$497,$B74,'Rework Log'!$D$2:$D$497,"DB Dev"),_xlpm.expfix,_xlfn.MAXIFS('Rework Log'!$I$2:$I$497,'Rework Log'!$A$2:$A$497,$B74,'Rework Log'!$D$2:$D$497,"DB Dev",'Rework Log'!$B$2:$B$497,_xlpm.sent),_xlpm.tgt,IF(_xlpm.expfix&gt;0,_xlpm.expfix,IF(L74&lt;&gt;"",L74,K74)),_xlpm.act,IF(AND(M74&lt;&gt;"",M74&gt;=_xlpm.sent),M74,""),IF(_xlpm.tgt="","No target set",IF(AND(_xlpm.tgt&lt;TODAY(),_xlpm.act=""),"Overdue","On track"))),IF(C74="PBI Dev",_xlfn.LET(_xlpm.sent,_xlfn.MAXIFS('Rework Log'!$B$2:$B$497,'Rework Log'!$A$2:$A$497,$B74,'Rework Log'!$D$2:$D$497,"PBI Dev"),_xlpm.expfix,_xlfn.MAXIFS('Rework Log'!$I$2:$I$497,'Rework Log'!$A$2:$A$497,$B74,'Rework Log'!$D$2:$D$497,"PBI Dev",'Rework Log'!$B$2:$B$497,_xlpm.sent),_xlpm.tgt,IF(_xlpm.expfix&gt;0,_xlpm.expfix,IF(R74&lt;&gt;"",R74,Q74)),_xlpm.act,IF(AND(S74&lt;&gt;"",S74&gt;=_xlpm.sent),S74,""),IF(_xlpm.tgt="","No target set",IF(AND(_xlpm.tgt&lt;TODAY(),_xlpm.act=""),"Overdue","On track"))),IF(C74="QA",_xlfn.LET(_xlpm.tgt,IF(AM74&lt;&gt;"",AM74,IF(W74&lt;&gt;"",W74,V74)),_xlpm.sent,_xlfn.MAXIFS('Rework Log'!$B$2:$B$497,'Rework Log'!$A$2:$A$497,$B74,'Rework Log'!$C$2:$C$497,"QA"),_xlpm.act,IF(AND(Y74&lt;&gt;"",Y74&gt;=_xlpm.sent),Y74,""),IF(_xlpm.tgt="","No target set",IF(AND(_xlpm.tgt&lt;TODAY(),_xlpm.act=""),"Overdue","On track"))),IF(C74="DPO Approval",_xlfn.LET(_xlpm.tgt,IF(AN74&lt;&gt;"",AN74,IF(AB74&lt;&gt;"",AB74,AA74)),_xlpm.sent,_xlfn.MAXIFS('Rework Log'!$B$2:$B$497,'Rework Log'!$A$2:$A$497,$B74,'Rework Log'!$C$2:$C$497,"DPO*"),_xlpm.act,IF(AND(AC74&lt;&gt;"",AC74&gt;=_xlpm.sent),AC74,""),IF(_xlpm.tgt="","No target set",IF(AND(_xlpm.tgt&lt;TODAY(),_xlpm.act=""),"Overdue","On track"))),IF(C74="RELEASED IN PROD","Delivered","")))))))))</f>
        <v>On track</v>
      </c>
      <c r="E74" s="31">
        <v>50</v>
      </c>
      <c r="F74" s="34" t="s">
        <v>209</v>
      </c>
      <c r="G74" s="31"/>
      <c r="H74" s="49">
        <v>46325</v>
      </c>
      <c r="I74" s="55" t="s">
        <v>244</v>
      </c>
      <c r="J74" s="53" t="s">
        <v>229</v>
      </c>
      <c r="K74" s="43">
        <v>46304</v>
      </c>
      <c r="L74" s="43">
        <v>46269</v>
      </c>
      <c r="M74" s="44">
        <v>46269</v>
      </c>
      <c r="N74" s="44"/>
      <c r="O74" s="44" t="s">
        <v>195</v>
      </c>
      <c r="P74" s="74" t="s">
        <v>77</v>
      </c>
      <c r="Q74" s="43">
        <v>46313</v>
      </c>
      <c r="R74" s="43">
        <v>46300</v>
      </c>
      <c r="S74" s="44">
        <v>46303</v>
      </c>
      <c r="T74" s="69" t="s">
        <v>245</v>
      </c>
      <c r="U74" s="46" t="s">
        <v>47</v>
      </c>
      <c r="V74" s="28">
        <v>46316</v>
      </c>
      <c r="W74" s="43"/>
      <c r="X74" s="31"/>
      <c r="Y74" s="31"/>
      <c r="Z74" s="36"/>
      <c r="AA74" s="28">
        <v>46325</v>
      </c>
      <c r="AB74" s="43"/>
      <c r="AC74" s="43"/>
      <c r="AD74" s="31" t="s">
        <v>170</v>
      </c>
      <c r="AE74" s="31" t="s">
        <v>94</v>
      </c>
      <c r="AF74" s="31"/>
      <c r="AG74" s="31"/>
      <c r="AH74" s="31"/>
      <c r="AI74" s="31"/>
      <c r="AJ74" s="31"/>
      <c r="AK74" s="31" t="str" cm="1">
        <f t="array" ref="AK74">IF($B74="","",_xlfn.LET(_xlpm.nm,$B74,_xlpm.st,$C74,_xlpm.ou,SUMPRODUCT(('Rework Log'!$A$2:$A$497=_xlpm.nm)*('Rework Log'!$G$2:$G$497&lt;&gt;"Yes")*('Rework Log'!$G$2:$G$497&lt;&gt;"Did not pass re-test")*('Rework Log'!$J$2:$J$497="")),_xlpm.ob,SUMPRODUCT(('Rework Log'!$A$2:$A$497=_xlpm.nm)*('Rework Log'!$G$2:$G$497&lt;&gt;"Yes")*('Rework Log'!$G$2:$G$497&lt;&gt;"Did not pass re-test")),_xlpm.oto,IF(SUMPRODUCT(('Rework Log'!$A$2:$A$497=_xlpm.nm)*('Rework Log'!$G$2:$G$497&lt;&gt;"Yes")*('Rework Log'!$G$2:$G$497&lt;&gt;"Did not pass re-test")*('Rework Log'!$J$2:$J$497=""))=0,"",INDEX('Rework Log'!$D$2:$D$497,MATCH(1,('Rework Log'!$A$2:$A$497=_xlpm.nm)*('Rework Log'!$G$2:$G$497&lt;&gt;"Yes")*('Rework Log'!$G$2:$G$497&lt;&gt;"Did not pass re-test")*('Rework Log'!$J$2:$J$497=""),0))),_xlpm.sent,_xlfn.MAXIFS('Rework Log'!$B$2:$B$497,'Rework Log'!$A$2:$A$497,_xlpm.nm),_xlpm.act,_xlfn.IFS(_xlpm.st="NOT STARTED",$M74,_xlpm.st="DB Dev",$M74,_xlpm.st="PBI Dev",$S74,_xlpm.st="QA",$Y74,_xlpm.st="DPO Approval",$AC74,_xlpm.st="Ready for Release in Prod",$AG74,TRUE,""),_xlpm.nxt,_xlfn.IFS(_xlpm.st="NOT STARTED","PBI Dev",_xlpm.st="DB Dev","PBI Dev",_xlpm.st="PBI Dev","QA",_xlpm.st="QA","DPO Approval",_xlpm.st="DPO Approval","Ready for Release in Prod",_xlpm.st="Ready for Release in Prod","RELEASED IN PROD",TRUE,""),IF(AND(_xlpm.ou&gt;0,_xlpm.st&lt;&gt;_xlpm.oto),"Move status back to "&amp;_xlpm.oto,IF(AND(_xlpm.ob=0,LEFT($AJ74,3)="Yes"),"Blocked - log it on Rework Log",IF(AND(_xlpm.ob&gt;0,LEFT($AJ74,3)&lt;&gt;"Yes"),"Open rework row - mark Blocked or close it",IF(AND(_xlpm.ob=0,_xlpm.act&lt;&gt;"",_xlpm.act&gt;=_xlpm.sent,_xlpm.nxt&lt;&gt;""),"Move status to "&amp;_xlpm.nxt,IF(COUNTIF($B$2:$B$528,$B74)&gt;1,"Duplicate name - check row",IF(COUNTIF('Rework Log'!$A$2:$A$497,$B74)&gt;0,"",IF(AND($V74&lt;&gt;"",$K74&lt;&gt;"",$V74&lt;$K74),"QA target is before DB Dev target",IF(AND($V74&lt;&gt;"",$Q74&lt;&gt;"",$V74&lt;$Q74),"QA target is before PBI Dev target",IF(AND($AA74&lt;&gt;"",$V74&lt;&gt;"",$AA74&lt;$V74),"DPO Approval target is before QA target",IF(AND($AG74&lt;&gt;"",$AA74&lt;&gt;"",$AG74&lt;$AA74),"Confirmed Deployed date is before DPO Approval target",""))))))))))))</f>
        <v/>
      </c>
      <c r="AL74" s="31"/>
      <c r="AM74" s="32" t="str" cm="1">
        <f t="array" ref="AM74">_xlfn.LET(_xlpm.rep,$B74,_xlpm.sent,_xlfn.MAXIFS('Rework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
      </c>
      <c r="AN74" s="32" t="str" cm="1">
        <f t="array" ref="AN74">_xlfn.LET(_xlpm.rep,$B74,_xlpm.sent,_xlfn.MAXIFS('Rework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75" spans="1:40" s="117" customFormat="1">
      <c r="A75" s="116" t="s">
        <v>126</v>
      </c>
      <c r="B75" s="116" t="s">
        <v>248</v>
      </c>
      <c r="C75" s="116" t="s">
        <v>234</v>
      </c>
      <c r="D75" s="117" t="str" cm="1">
        <f t="array" aca="1" ref="D75" ca="1">IF(AND(C75="Ready for Release in Prod",LEFT($AJ75,3)&lt;&gt;"Yes"),IF(AG75&lt;&gt;"","Delivered","On track"),IF($B75="","",IF(LEFT($AJ75,3)="Yes","Blocked - "&amp;MID($AJ75,7,100)&amp;IF(SUMPRODUCT(('Rework Log'!$A$2:$A$497=$B75)*('Rework Log'!$G$2:$G$497&lt;&gt;"Yes")*('Rework Log'!$G$2:$G$497&lt;&gt;"Did not pass re-test"))=0,"",IF(SUMPRODUCT(MAX((('Rework Log'!$A$2:$A$497=$B75)*('Rework Log'!$G$2:$G$497&lt;&gt;"Yes")*('Rework Log'!$G$2:$G$497&lt;&gt;"Did not pass re-test"))*'Rework Log'!$I$2:$I$497))=0," - unclaimed"," - promised "&amp;TEXT(SUMPRODUCT(MAX((('Rework Log'!$A$2:$A$497=$B75)*('Rework Log'!$G$2:$G$497&lt;&gt;"Yes")*('Rework Log'!$G$2:$G$497&lt;&gt;"Did not pass re-test"))*'Rework Log'!$I$2:$I$497)),"m/d"))),IF(C75="NOT STARTED",IF(H75="","No plan date set",IF(H75&lt;TODAY(),"Review - planned start passed","On track")),IF(C75="DB Dev",_xlfn.LET(_xlpm.sent,_xlfn.MAXIFS('Rework Log'!$B$2:$B$497,'Rework Log'!$A$2:$A$497,$B75,'Rework Log'!$D$2:$D$497,"DB Dev"),_xlpm.expfix,_xlfn.MAXIFS('Rework Log'!$I$2:$I$497,'Rework Log'!$A$2:$A$497,$B75,'Rework Log'!$D$2:$D$497,"DB Dev",'Rework Log'!$B$2:$B$497,_xlpm.sent),_xlpm.tgt,IF(_xlpm.expfix&gt;0,_xlpm.expfix,IF(L75&lt;&gt;"",L75,K75)),_xlpm.act,IF(AND(M75&lt;&gt;"",M75&gt;=_xlpm.sent),M75,""),IF(_xlpm.tgt="","No target set",IF(AND(_xlpm.tgt&lt;TODAY(),_xlpm.act=""),"Overdue","On track"))),IF(C75="PBI Dev",_xlfn.LET(_xlpm.sent,_xlfn.MAXIFS('Rework Log'!$B$2:$B$497,'Rework Log'!$A$2:$A$497,$B75,'Rework Log'!$D$2:$D$497,"PBI Dev"),_xlpm.expfix,_xlfn.MAXIFS('Rework Log'!$I$2:$I$497,'Rework Log'!$A$2:$A$497,$B75,'Rework Log'!$D$2:$D$497,"PBI Dev",'Rework Log'!$B$2:$B$497,_xlpm.sent),_xlpm.tgt,IF(_xlpm.expfix&gt;0,_xlpm.expfix,IF(R75&lt;&gt;"",R75,Q75)),_xlpm.act,IF(AND(S75&lt;&gt;"",S75&gt;=_xlpm.sent),S75,""),IF(_xlpm.tgt="","No target set",IF(AND(_xlpm.tgt&lt;TODAY(),_xlpm.act=""),"Overdue","On track"))),IF(C75="QA",_xlfn.LET(_xlpm.tgt,IF(AM75&lt;&gt;"",AM75,IF(W75&lt;&gt;"",W75,V75)),_xlpm.sent,_xlfn.MAXIFS('Rework Log'!$B$2:$B$497,'Rework Log'!$A$2:$A$497,$B75,'Rework Log'!$C$2:$C$497,"QA"),_xlpm.act,IF(AND(Y75&lt;&gt;"",Y75&gt;=_xlpm.sent),Y75,""),IF(_xlpm.tgt="","No target set",IF(AND(_xlpm.tgt&lt;TODAY(),_xlpm.act=""),"Overdue","On track"))),IF(C75="DPO Approval",_xlfn.LET(_xlpm.tgt,IF(AN75&lt;&gt;"",AN75,IF(AB75&lt;&gt;"",AB75,AA75)),_xlpm.sent,_xlfn.MAXIFS('Rework Log'!$B$2:$B$497,'Rework Log'!$A$2:$A$497,$B75,'Rework Log'!$C$2:$C$497,"DPO*"),_xlpm.act,IF(AND(AC75&lt;&gt;"",AC75&gt;=_xlpm.sent),AC75,""),IF(_xlpm.tgt="","No target set",IF(AND(_xlpm.tgt&lt;TODAY(),_xlpm.act=""),"Overdue","On track"))),IF(C75="RELEASED IN PROD","Delivered","")))))))))</f>
        <v>On track</v>
      </c>
      <c r="E75" s="116">
        <v>51</v>
      </c>
      <c r="F75" s="116"/>
      <c r="G75" s="116"/>
      <c r="H75" s="118">
        <v>46325</v>
      </c>
      <c r="I75" s="119" t="s">
        <v>244</v>
      </c>
      <c r="J75" s="116" t="s">
        <v>59</v>
      </c>
      <c r="K75" s="120">
        <v>46304</v>
      </c>
      <c r="L75" s="120"/>
      <c r="M75" s="121"/>
      <c r="N75" s="121"/>
      <c r="O75" s="121" t="s">
        <v>195</v>
      </c>
      <c r="P75" s="122"/>
      <c r="Q75" s="120">
        <v>46313</v>
      </c>
      <c r="R75" s="120"/>
      <c r="S75" s="121"/>
      <c r="T75" s="123" t="s">
        <v>245</v>
      </c>
      <c r="U75" s="124"/>
      <c r="V75" s="125">
        <v>46316</v>
      </c>
      <c r="W75" s="120"/>
      <c r="X75" s="116"/>
      <c r="Y75" s="116"/>
      <c r="Z75" s="126"/>
      <c r="AA75" s="125">
        <v>46325</v>
      </c>
      <c r="AB75" s="120"/>
      <c r="AC75" s="120"/>
      <c r="AD75" s="116" t="s">
        <v>249</v>
      </c>
      <c r="AE75" s="116" t="s">
        <v>94</v>
      </c>
      <c r="AF75" s="116"/>
      <c r="AG75" s="116"/>
      <c r="AH75" s="116"/>
      <c r="AI75" s="116"/>
      <c r="AJ75" s="116"/>
      <c r="AK75" s="116" t="str" cm="1">
        <f t="array" ref="AK75">IF($B75="","",_xlfn.LET(_xlpm.nm,$B75,_xlpm.st,$C75,_xlpm.ou,SUMPRODUCT(('Rework Log'!$A$2:$A$497=_xlpm.nm)*('Rework Log'!$G$2:$G$497&lt;&gt;"Yes")*('Rework Log'!$G$2:$G$497&lt;&gt;"Did not pass re-test")*('Rework Log'!$J$2:$J$497="")),_xlpm.ob,SUMPRODUCT(('Rework Log'!$A$2:$A$497=_xlpm.nm)*('Rework Log'!$G$2:$G$497&lt;&gt;"Yes")*('Rework Log'!$G$2:$G$497&lt;&gt;"Did not pass re-test")),_xlpm.oto,IF(SUMPRODUCT(('Rework Log'!$A$2:$A$497=_xlpm.nm)*('Rework Log'!$G$2:$G$497&lt;&gt;"Yes")*('Rework Log'!$G$2:$G$497&lt;&gt;"Did not pass re-test")*('Rework Log'!$J$2:$J$497=""))=0,"",INDEX('Rework Log'!$D$2:$D$497,MATCH(1,('Rework Log'!$A$2:$A$497=_xlpm.nm)*('Rework Log'!$G$2:$G$497&lt;&gt;"Yes")*('Rework Log'!$G$2:$G$497&lt;&gt;"Did not pass re-test")*('Rework Log'!$J$2:$J$497=""),0))),_xlpm.sent,_xlfn.MAXIFS('Rework Log'!$B$2:$B$497,'Rework Log'!$A$2:$A$497,_xlpm.nm),_xlpm.act,_xlfn.IFS(_xlpm.st="NOT STARTED",$M75,_xlpm.st="DB Dev",$M75,_xlpm.st="PBI Dev",$S75,_xlpm.st="QA",$Y75,_xlpm.st="DPO Approval",$AC75,_xlpm.st="Ready for Release in Prod",$AG75,TRUE,""),_xlpm.nxt,_xlfn.IFS(_xlpm.st="NOT STARTED","PBI Dev",_xlpm.st="DB Dev","PBI Dev",_xlpm.st="PBI Dev","QA",_xlpm.st="QA","DPO Approval",_xlpm.st="DPO Approval","Ready for Release in Prod",_xlpm.st="Ready for Release in Prod","RELEASED IN PROD",TRUE,""),IF(AND(_xlpm.ou&gt;0,_xlpm.st&lt;&gt;_xlpm.oto),"Move status back to "&amp;_xlpm.oto,IF(AND(_xlpm.ob=0,LEFT($AJ75,3)="Yes"),"Blocked - log it on Rework Log",IF(AND(_xlpm.ob&gt;0,LEFT($AJ75,3)&lt;&gt;"Yes"),"Open rework row - mark Blocked or close it",IF(AND(_xlpm.ob=0,_xlpm.act&lt;&gt;"",_xlpm.act&gt;=_xlpm.sent,_xlpm.nxt&lt;&gt;""),"Move status to "&amp;_xlpm.nxt,IF(COUNTIF($B$2:$B$528,$B75)&gt;1,"Duplicate name - check row",IF(COUNTIF('Rework Log'!$A$2:$A$497,$B75)&gt;0,"",IF(AND($V75&lt;&gt;"",$K75&lt;&gt;"",$V75&lt;$K75),"QA target is before DB Dev target",IF(AND($V75&lt;&gt;"",$Q75&lt;&gt;"",$V75&lt;$Q75),"QA target is before PBI Dev target",IF(AND($AA75&lt;&gt;"",$V75&lt;&gt;"",$AA75&lt;$V75),"DPO Approval target is before QA target",IF(AND($AG75&lt;&gt;"",$AA75&lt;&gt;"",$AG75&lt;$AA75),"Confirmed Deployed date is before DPO Approval target",""))))))))))))</f>
        <v/>
      </c>
      <c r="AL75" s="116"/>
      <c r="AM75" s="124" t="str" cm="1">
        <f t="array" ref="AM75">_xlfn.LET(_xlpm.rep,$B75,_xlpm.sent,_xlfn.MAXIFS('Rework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
      </c>
      <c r="AN75" s="124" t="str" cm="1">
        <f t="array" ref="AN75">_xlfn.LET(_xlpm.rep,$B75,_xlpm.sent,_xlfn.MAXIFS('Rework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76" spans="1:40" s="117" customFormat="1">
      <c r="A76" s="116" t="s">
        <v>126</v>
      </c>
      <c r="B76" s="116" t="s">
        <v>250</v>
      </c>
      <c r="C76" s="116" t="s">
        <v>234</v>
      </c>
      <c r="D76" s="117" t="str" cm="1">
        <f t="array" aca="1" ref="D76" ca="1">IF(AND(C76="Ready for Release in Prod",LEFT($AJ76,3)&lt;&gt;"Yes"),IF(AG76&lt;&gt;"","Delivered","On track"),IF($B76="","",IF(LEFT($AJ76,3)="Yes","Blocked - "&amp;MID($AJ76,7,100)&amp;IF(SUMPRODUCT(('Rework Log'!$A$2:$A$497=$B76)*('Rework Log'!$G$2:$G$497&lt;&gt;"Yes")*('Rework Log'!$G$2:$G$497&lt;&gt;"Did not pass re-test"))=0,"",IF(SUMPRODUCT(MAX((('Rework Log'!$A$2:$A$497=$B76)*('Rework Log'!$G$2:$G$497&lt;&gt;"Yes")*('Rework Log'!$G$2:$G$497&lt;&gt;"Did not pass re-test"))*'Rework Log'!$I$2:$I$497))=0," - unclaimed"," - promised "&amp;TEXT(SUMPRODUCT(MAX((('Rework Log'!$A$2:$A$497=$B76)*('Rework Log'!$G$2:$G$497&lt;&gt;"Yes")*('Rework Log'!$G$2:$G$497&lt;&gt;"Did not pass re-test"))*'Rework Log'!$I$2:$I$497)),"m/d"))),IF(C76="NOT STARTED",IF(H76="","No plan date set",IF(H76&lt;TODAY(),"Review - planned start passed","On track")),IF(C76="DB Dev",_xlfn.LET(_xlpm.sent,_xlfn.MAXIFS('Rework Log'!$B$2:$B$497,'Rework Log'!$A$2:$A$497,$B76,'Rework Log'!$D$2:$D$497,"DB Dev"),_xlpm.expfix,_xlfn.MAXIFS('Rework Log'!$I$2:$I$497,'Rework Log'!$A$2:$A$497,$B76,'Rework Log'!$D$2:$D$497,"DB Dev",'Rework Log'!$B$2:$B$497,_xlpm.sent),_xlpm.tgt,IF(_xlpm.expfix&gt;0,_xlpm.expfix,IF(L76&lt;&gt;"",L76,K76)),_xlpm.act,IF(AND(M76&lt;&gt;"",M76&gt;=_xlpm.sent),M76,""),IF(_xlpm.tgt="","No target set",IF(AND(_xlpm.tgt&lt;TODAY(),_xlpm.act=""),"Overdue","On track"))),IF(C76="PBI Dev",_xlfn.LET(_xlpm.sent,_xlfn.MAXIFS('Rework Log'!$B$2:$B$497,'Rework Log'!$A$2:$A$497,$B76,'Rework Log'!$D$2:$D$497,"PBI Dev"),_xlpm.expfix,_xlfn.MAXIFS('Rework Log'!$I$2:$I$497,'Rework Log'!$A$2:$A$497,$B76,'Rework Log'!$D$2:$D$497,"PBI Dev",'Rework Log'!$B$2:$B$497,_xlpm.sent),_xlpm.tgt,IF(_xlpm.expfix&gt;0,_xlpm.expfix,IF(R76&lt;&gt;"",R76,Q76)),_xlpm.act,IF(AND(S76&lt;&gt;"",S76&gt;=_xlpm.sent),S76,""),IF(_xlpm.tgt="","No target set",IF(AND(_xlpm.tgt&lt;TODAY(),_xlpm.act=""),"Overdue","On track"))),IF(C76="QA",_xlfn.LET(_xlpm.tgt,IF(AM76&lt;&gt;"",AM76,IF(W76&lt;&gt;"",W76,V76)),_xlpm.sent,_xlfn.MAXIFS('Rework Log'!$B$2:$B$497,'Rework Log'!$A$2:$A$497,$B76,'Rework Log'!$C$2:$C$497,"QA"),_xlpm.act,IF(AND(Y76&lt;&gt;"",Y76&gt;=_xlpm.sent),Y76,""),IF(_xlpm.tgt="","No target set",IF(AND(_xlpm.tgt&lt;TODAY(),_xlpm.act=""),"Overdue","On track"))),IF(C76="DPO Approval",_xlfn.LET(_xlpm.tgt,IF(AN76&lt;&gt;"",AN76,IF(AB76&lt;&gt;"",AB76,AA76)),_xlpm.sent,_xlfn.MAXIFS('Rework Log'!$B$2:$B$497,'Rework Log'!$A$2:$A$497,$B76,'Rework Log'!$C$2:$C$497,"DPO*"),_xlpm.act,IF(AND(AC76&lt;&gt;"",AC76&gt;=_xlpm.sent),AC76,""),IF(_xlpm.tgt="","No target set",IF(AND(_xlpm.tgt&lt;TODAY(),_xlpm.act=""),"Overdue","On track"))),IF(C76="RELEASED IN PROD","Delivered","")))))))))</f>
        <v>On track</v>
      </c>
      <c r="E76" s="116">
        <v>52</v>
      </c>
      <c r="F76" s="116"/>
      <c r="G76" s="116"/>
      <c r="H76" s="118">
        <v>46325</v>
      </c>
      <c r="I76" s="119" t="s">
        <v>244</v>
      </c>
      <c r="J76" s="116" t="s">
        <v>59</v>
      </c>
      <c r="K76" s="120">
        <v>46304</v>
      </c>
      <c r="L76" s="120"/>
      <c r="M76" s="121"/>
      <c r="N76" s="121"/>
      <c r="O76" s="121" t="s">
        <v>195</v>
      </c>
      <c r="P76" s="122"/>
      <c r="Q76" s="120">
        <v>46313</v>
      </c>
      <c r="R76" s="120"/>
      <c r="S76" s="121"/>
      <c r="T76" s="123" t="s">
        <v>245</v>
      </c>
      <c r="U76" s="124"/>
      <c r="V76" s="125">
        <v>46316</v>
      </c>
      <c r="W76" s="120"/>
      <c r="X76" s="116"/>
      <c r="Y76" s="116"/>
      <c r="Z76" s="126"/>
      <c r="AA76" s="125">
        <v>46325</v>
      </c>
      <c r="AB76" s="120"/>
      <c r="AC76" s="120"/>
      <c r="AD76" s="116" t="s">
        <v>249</v>
      </c>
      <c r="AE76" s="116" t="s">
        <v>94</v>
      </c>
      <c r="AF76" s="116"/>
      <c r="AG76" s="116"/>
      <c r="AH76" s="116"/>
      <c r="AI76" s="116"/>
      <c r="AJ76" s="116"/>
      <c r="AK76" s="116" t="str" cm="1">
        <f t="array" ref="AK76">IF($B76="","",_xlfn.LET(_xlpm.nm,$B76,_xlpm.st,$C76,_xlpm.ou,SUMPRODUCT(('Rework Log'!$A$2:$A$497=_xlpm.nm)*('Rework Log'!$G$2:$G$497&lt;&gt;"Yes")*('Rework Log'!$G$2:$G$497&lt;&gt;"Did not pass re-test")*('Rework Log'!$J$2:$J$497="")),_xlpm.ob,SUMPRODUCT(('Rework Log'!$A$2:$A$497=_xlpm.nm)*('Rework Log'!$G$2:$G$497&lt;&gt;"Yes")*('Rework Log'!$G$2:$G$497&lt;&gt;"Did not pass re-test")),_xlpm.oto,IF(SUMPRODUCT(('Rework Log'!$A$2:$A$497=_xlpm.nm)*('Rework Log'!$G$2:$G$497&lt;&gt;"Yes")*('Rework Log'!$G$2:$G$497&lt;&gt;"Did not pass re-test")*('Rework Log'!$J$2:$J$497=""))=0,"",INDEX('Rework Log'!$D$2:$D$497,MATCH(1,('Rework Log'!$A$2:$A$497=_xlpm.nm)*('Rework Log'!$G$2:$G$497&lt;&gt;"Yes")*('Rework Log'!$G$2:$G$497&lt;&gt;"Did not pass re-test")*('Rework Log'!$J$2:$J$497=""),0))),_xlpm.sent,_xlfn.MAXIFS('Rework Log'!$B$2:$B$497,'Rework Log'!$A$2:$A$497,_xlpm.nm),_xlpm.act,_xlfn.IFS(_xlpm.st="NOT STARTED",$M76,_xlpm.st="DB Dev",$M76,_xlpm.st="PBI Dev",$S76,_xlpm.st="QA",$Y76,_xlpm.st="DPO Approval",$AC76,_xlpm.st="Ready for Release in Prod",$AG76,TRUE,""),_xlpm.nxt,_xlfn.IFS(_xlpm.st="NOT STARTED","PBI Dev",_xlpm.st="DB Dev","PBI Dev",_xlpm.st="PBI Dev","QA",_xlpm.st="QA","DPO Approval",_xlpm.st="DPO Approval","Ready for Release in Prod",_xlpm.st="Ready for Release in Prod","RELEASED IN PROD",TRUE,""),IF(AND(_xlpm.ou&gt;0,_xlpm.st&lt;&gt;_xlpm.oto),"Move status back to "&amp;_xlpm.oto,IF(AND(_xlpm.ob=0,LEFT($AJ76,3)="Yes"),"Blocked - log it on Rework Log",IF(AND(_xlpm.ob&gt;0,LEFT($AJ76,3)&lt;&gt;"Yes"),"Open rework row - mark Blocked or close it",IF(AND(_xlpm.ob=0,_xlpm.act&lt;&gt;"",_xlpm.act&gt;=_xlpm.sent,_xlpm.nxt&lt;&gt;""),"Move status to "&amp;_xlpm.nxt,IF(COUNTIF($B$2:$B$528,$B76)&gt;1,"Duplicate name - check row",IF(COUNTIF('Rework Log'!$A$2:$A$497,$B76)&gt;0,"",IF(AND($V76&lt;&gt;"",$K76&lt;&gt;"",$V76&lt;$K76),"QA target is before DB Dev target",IF(AND($V76&lt;&gt;"",$Q76&lt;&gt;"",$V76&lt;$Q76),"QA target is before PBI Dev target",IF(AND($AA76&lt;&gt;"",$V76&lt;&gt;"",$AA76&lt;$V76),"DPO Approval target is before QA target",IF(AND($AG76&lt;&gt;"",$AA76&lt;&gt;"",$AG76&lt;$AA76),"Confirmed Deployed date is before DPO Approval target",""))))))))))))</f>
        <v/>
      </c>
      <c r="AL76" s="116"/>
      <c r="AM76" s="124" t="str" cm="1">
        <f t="array" ref="AM76">_xlfn.LET(_xlpm.rep,$B76,_xlpm.sent,_xlfn.MAXIFS('Rework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
      </c>
      <c r="AN76" s="124" t="str" cm="1">
        <f t="array" ref="AN76">_xlfn.LET(_xlpm.rep,$B76,_xlpm.sent,_xlfn.MAXIFS('Rework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77" spans="1:40" s="117" customFormat="1" ht="0.75" customHeight="1">
      <c r="A77" s="116" t="s">
        <v>126</v>
      </c>
      <c r="B77" s="116" t="s">
        <v>251</v>
      </c>
      <c r="C77" s="116" t="s">
        <v>234</v>
      </c>
      <c r="D77" s="117" t="str" cm="1">
        <f t="array" aca="1" ref="D77" ca="1">IF(AND(C77="Ready for Release in Prod",LEFT($AJ77,3)&lt;&gt;"Yes"),IF(AG77&lt;&gt;"","Delivered","On track"),IF($B77="","",IF(LEFT($AJ77,3)="Yes","Blocked - "&amp;MID($AJ77,7,100)&amp;IF(SUMPRODUCT(('Rework Log'!$A$2:$A$497=$B77)*('Rework Log'!$G$2:$G$497&lt;&gt;"Yes")*('Rework Log'!$G$2:$G$497&lt;&gt;"Did not pass re-test"))=0,"",IF(SUMPRODUCT(MAX((('Rework Log'!$A$2:$A$497=$B77)*('Rework Log'!$G$2:$G$497&lt;&gt;"Yes")*('Rework Log'!$G$2:$G$497&lt;&gt;"Did not pass re-test"))*'Rework Log'!$I$2:$I$497))=0," - unclaimed"," - promised "&amp;TEXT(SUMPRODUCT(MAX((('Rework Log'!$A$2:$A$497=$B77)*('Rework Log'!$G$2:$G$497&lt;&gt;"Yes")*('Rework Log'!$G$2:$G$497&lt;&gt;"Did not pass re-test"))*'Rework Log'!$I$2:$I$497)),"m/d"))),IF(C77="NOT STARTED",IF(H77="","No plan date set",IF(H77&lt;TODAY(),"Review - planned start passed","On track")),IF(C77="DB Dev",_xlfn.LET(_xlpm.sent,_xlfn.MAXIFS('Rework Log'!$B$2:$B$497,'Rework Log'!$A$2:$A$497,$B77,'Rework Log'!$D$2:$D$497,"DB Dev"),_xlpm.expfix,_xlfn.MAXIFS('Rework Log'!$I$2:$I$497,'Rework Log'!$A$2:$A$497,$B77,'Rework Log'!$D$2:$D$497,"DB Dev",'Rework Log'!$B$2:$B$497,_xlpm.sent),_xlpm.tgt,IF(_xlpm.expfix&gt;0,_xlpm.expfix,IF(L77&lt;&gt;"",L77,K77)),_xlpm.act,IF(AND(M77&lt;&gt;"",M77&gt;=_xlpm.sent),M77,""),IF(_xlpm.tgt="","No target set",IF(AND(_xlpm.tgt&lt;TODAY(),_xlpm.act=""),"Overdue","On track"))),IF(C77="PBI Dev",_xlfn.LET(_xlpm.sent,_xlfn.MAXIFS('Rework Log'!$B$2:$B$497,'Rework Log'!$A$2:$A$497,$B77,'Rework Log'!$D$2:$D$497,"PBI Dev"),_xlpm.expfix,_xlfn.MAXIFS('Rework Log'!$I$2:$I$497,'Rework Log'!$A$2:$A$497,$B77,'Rework Log'!$D$2:$D$497,"PBI Dev",'Rework Log'!$B$2:$B$497,_xlpm.sent),_xlpm.tgt,IF(_xlpm.expfix&gt;0,_xlpm.expfix,IF(R77&lt;&gt;"",R77,Q77)),_xlpm.act,IF(AND(S77&lt;&gt;"",S77&gt;=_xlpm.sent),S77,""),IF(_xlpm.tgt="","No target set",IF(AND(_xlpm.tgt&lt;TODAY(),_xlpm.act=""),"Overdue","On track"))),IF(C77="QA",_xlfn.LET(_xlpm.tgt,IF(AM77&lt;&gt;"",AM77,IF(W77&lt;&gt;"",W77,V77)),_xlpm.sent,_xlfn.MAXIFS('Rework Log'!$B$2:$B$497,'Rework Log'!$A$2:$A$497,$B77,'Rework Log'!$C$2:$C$497,"QA"),_xlpm.act,IF(AND(Y77&lt;&gt;"",Y77&gt;=_xlpm.sent),Y77,""),IF(_xlpm.tgt="","No target set",IF(AND(_xlpm.tgt&lt;TODAY(),_xlpm.act=""),"Overdue","On track"))),IF(C77="DPO Approval",_xlfn.LET(_xlpm.tgt,IF(AN77&lt;&gt;"",AN77,IF(AB77&lt;&gt;"",AB77,AA77)),_xlpm.sent,_xlfn.MAXIFS('Rework Log'!$B$2:$B$497,'Rework Log'!$A$2:$A$497,$B77,'Rework Log'!$C$2:$C$497,"DPO*"),_xlpm.act,IF(AND(AC77&lt;&gt;"",AC77&gt;=_xlpm.sent),AC77,""),IF(_xlpm.tgt="","No target set",IF(AND(_xlpm.tgt&lt;TODAY(),_xlpm.act=""),"Overdue","On track"))),IF(C77="RELEASED IN PROD","Delivered","")))))))))</f>
        <v>On track</v>
      </c>
      <c r="E77" s="116">
        <v>53</v>
      </c>
      <c r="F77" s="116"/>
      <c r="G77" s="116"/>
      <c r="H77" s="118">
        <v>46325</v>
      </c>
      <c r="I77" s="119" t="s">
        <v>244</v>
      </c>
      <c r="J77" s="116" t="s">
        <v>155</v>
      </c>
      <c r="K77" s="120">
        <v>46304</v>
      </c>
      <c r="L77" s="120"/>
      <c r="M77" s="121"/>
      <c r="N77" s="121"/>
      <c r="O77" s="121" t="s">
        <v>195</v>
      </c>
      <c r="P77" s="122"/>
      <c r="Q77" s="120">
        <v>46313</v>
      </c>
      <c r="R77" s="120"/>
      <c r="S77" s="121"/>
      <c r="T77" s="123" t="s">
        <v>245</v>
      </c>
      <c r="U77" s="124"/>
      <c r="V77" s="125">
        <v>46316</v>
      </c>
      <c r="W77" s="120"/>
      <c r="X77" s="116"/>
      <c r="Y77" s="116"/>
      <c r="Z77" s="126"/>
      <c r="AA77" s="125">
        <v>46325</v>
      </c>
      <c r="AB77" s="120"/>
      <c r="AC77" s="120"/>
      <c r="AD77" s="116" t="s">
        <v>249</v>
      </c>
      <c r="AE77" s="116" t="s">
        <v>94</v>
      </c>
      <c r="AF77" s="116"/>
      <c r="AG77" s="116"/>
      <c r="AH77" s="116"/>
      <c r="AI77" s="116"/>
      <c r="AJ77" s="116"/>
      <c r="AK77" s="116" t="str" cm="1">
        <f t="array" ref="AK77">IF($B77="","",_xlfn.LET(_xlpm.nm,$B77,_xlpm.st,$C77,_xlpm.ou,SUMPRODUCT(('Rework Log'!$A$2:$A$497=_xlpm.nm)*('Rework Log'!$G$2:$G$497&lt;&gt;"Yes")*('Rework Log'!$G$2:$G$497&lt;&gt;"Did not pass re-test")*('Rework Log'!$J$2:$J$497="")),_xlpm.ob,SUMPRODUCT(('Rework Log'!$A$2:$A$497=_xlpm.nm)*('Rework Log'!$G$2:$G$497&lt;&gt;"Yes")*('Rework Log'!$G$2:$G$497&lt;&gt;"Did not pass re-test")),_xlpm.oto,IF(SUMPRODUCT(('Rework Log'!$A$2:$A$497=_xlpm.nm)*('Rework Log'!$G$2:$G$497&lt;&gt;"Yes")*('Rework Log'!$G$2:$G$497&lt;&gt;"Did not pass re-test")*('Rework Log'!$J$2:$J$497=""))=0,"",INDEX('Rework Log'!$D$2:$D$497,MATCH(1,('Rework Log'!$A$2:$A$497=_xlpm.nm)*('Rework Log'!$G$2:$G$497&lt;&gt;"Yes")*('Rework Log'!$G$2:$G$497&lt;&gt;"Did not pass re-test")*('Rework Log'!$J$2:$J$497=""),0))),_xlpm.sent,_xlfn.MAXIFS('Rework Log'!$B$2:$B$497,'Rework Log'!$A$2:$A$497,_xlpm.nm),_xlpm.act,_xlfn.IFS(_xlpm.st="NOT STARTED",$M77,_xlpm.st="DB Dev",$M77,_xlpm.st="PBI Dev",$S77,_xlpm.st="QA",$Y77,_xlpm.st="DPO Approval",$AC77,_xlpm.st="Ready for Release in Prod",$AG77,TRUE,""),_xlpm.nxt,_xlfn.IFS(_xlpm.st="NOT STARTED","PBI Dev",_xlpm.st="DB Dev","PBI Dev",_xlpm.st="PBI Dev","QA",_xlpm.st="QA","DPO Approval",_xlpm.st="DPO Approval","Ready for Release in Prod",_xlpm.st="Ready for Release in Prod","RELEASED IN PROD",TRUE,""),IF(AND(_xlpm.ou&gt;0,_xlpm.st&lt;&gt;_xlpm.oto),"Move status back to "&amp;_xlpm.oto,IF(AND(_xlpm.ob=0,LEFT($AJ77,3)="Yes"),"Blocked - log it on Rework Log",IF(AND(_xlpm.ob&gt;0,LEFT($AJ77,3)&lt;&gt;"Yes"),"Open rework row - mark Blocked or close it",IF(AND(_xlpm.ob=0,_xlpm.act&lt;&gt;"",_xlpm.act&gt;=_xlpm.sent,_xlpm.nxt&lt;&gt;""),"Move status to "&amp;_xlpm.nxt,IF(COUNTIF($B$2:$B$528,$B77)&gt;1,"Duplicate name - check row",IF(COUNTIF('Rework Log'!$A$2:$A$497,$B77)&gt;0,"",IF(AND($V77&lt;&gt;"",$K77&lt;&gt;"",$V77&lt;$K77),"QA target is before DB Dev target",IF(AND($V77&lt;&gt;"",$Q77&lt;&gt;"",$V77&lt;$Q77),"QA target is before PBI Dev target",IF(AND($AA77&lt;&gt;"",$V77&lt;&gt;"",$AA77&lt;$V77),"DPO Approval target is before QA target",IF(AND($AG77&lt;&gt;"",$AA77&lt;&gt;"",$AG77&lt;$AA77),"Confirmed Deployed date is before DPO Approval target",""))))))))))))</f>
        <v/>
      </c>
      <c r="AL77" s="116"/>
      <c r="AM77" s="124" t="str" cm="1">
        <f t="array" ref="AM77">_xlfn.LET(_xlpm.rep,$B77,_xlpm.sent,_xlfn.MAXIFS('Rework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
      </c>
      <c r="AN77" s="124" t="str" cm="1">
        <f t="array" ref="AN77">_xlfn.LET(_xlpm.rep,$B77,_xlpm.sent,_xlfn.MAXIFS('Rework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78" spans="1:40" s="128" customFormat="1">
      <c r="A78" s="127" t="s">
        <v>126</v>
      </c>
      <c r="B78" s="127" t="s">
        <v>252</v>
      </c>
      <c r="C78" s="127" t="s">
        <v>223</v>
      </c>
      <c r="D78" s="128" t="str" cm="1">
        <f t="array" aca="1" ref="D78" ca="1">IF(AND(C78="Ready for Release in Prod",LEFT($AJ78,3)&lt;&gt;"Yes"),IF(AG78&lt;&gt;"","Delivered","On track"),IF($B78="","",IF(LEFT($AJ78,3)="Yes","Blocked - "&amp;MID($AJ78,7,100)&amp;IF(SUMPRODUCT(('Rework Log'!$A$2:$A$497=$B78)*('Rework Log'!$G$2:$G$497&lt;&gt;"Yes")*('Rework Log'!$G$2:$G$497&lt;&gt;"Did not pass re-test"))=0,"",IF(SUMPRODUCT(MAX((('Rework Log'!$A$2:$A$497=$B78)*('Rework Log'!$G$2:$G$497&lt;&gt;"Yes")*('Rework Log'!$G$2:$G$497&lt;&gt;"Did not pass re-test"))*'Rework Log'!$I$2:$I$497))=0," - unclaimed"," - promised "&amp;TEXT(SUMPRODUCT(MAX((('Rework Log'!$A$2:$A$497=$B78)*('Rework Log'!$G$2:$G$497&lt;&gt;"Yes")*('Rework Log'!$G$2:$G$497&lt;&gt;"Did not pass re-test"))*'Rework Log'!$I$2:$I$497)),"m/d"))),IF(C78="NOT STARTED",IF(H78="","No plan date set",IF(H78&lt;TODAY(),"Review - planned start passed","On track")),IF(C78="DB Dev",_xlfn.LET(_xlpm.sent,_xlfn.MAXIFS('Rework Log'!$B$2:$B$497,'Rework Log'!$A$2:$A$497,$B78,'Rework Log'!$D$2:$D$497,"DB Dev"),_xlpm.expfix,_xlfn.MAXIFS('Rework Log'!$I$2:$I$497,'Rework Log'!$A$2:$A$497,$B78,'Rework Log'!$D$2:$D$497,"DB Dev",'Rework Log'!$B$2:$B$497,_xlpm.sent),_xlpm.tgt,IF(_xlpm.expfix&gt;0,_xlpm.expfix,IF(L78&lt;&gt;"",L78,K78)),_xlpm.act,IF(AND(M78&lt;&gt;"",M78&gt;=_xlpm.sent),M78,""),IF(_xlpm.tgt="","No target set",IF(AND(_xlpm.tgt&lt;TODAY(),_xlpm.act=""),"Overdue","On track"))),IF(C78="PBI Dev",_xlfn.LET(_xlpm.sent,_xlfn.MAXIFS('Rework Log'!$B$2:$B$497,'Rework Log'!$A$2:$A$497,$B78,'Rework Log'!$D$2:$D$497,"PBI Dev"),_xlpm.expfix,_xlfn.MAXIFS('Rework Log'!$I$2:$I$497,'Rework Log'!$A$2:$A$497,$B78,'Rework Log'!$D$2:$D$497,"PBI Dev",'Rework Log'!$B$2:$B$497,_xlpm.sent),_xlpm.tgt,IF(_xlpm.expfix&gt;0,_xlpm.expfix,IF(R78&lt;&gt;"",R78,Q78)),_xlpm.act,IF(AND(S78&lt;&gt;"",S78&gt;=_xlpm.sent),S78,""),IF(_xlpm.tgt="","No target set",IF(AND(_xlpm.tgt&lt;TODAY(),_xlpm.act=""),"Overdue","On track"))),IF(C78="QA",_xlfn.LET(_xlpm.tgt,IF(AM78&lt;&gt;"",AM78,IF(W78&lt;&gt;"",W78,V78)),_xlpm.sent,_xlfn.MAXIFS('Rework Log'!$B$2:$B$497,'Rework Log'!$A$2:$A$497,$B78,'Rework Log'!$C$2:$C$497,"QA"),_xlpm.act,IF(AND(Y78&lt;&gt;"",Y78&gt;=_xlpm.sent),Y78,""),IF(_xlpm.tgt="","No target set",IF(AND(_xlpm.tgt&lt;TODAY(),_xlpm.act=""),"Overdue","On track"))),IF(C78="DPO Approval",_xlfn.LET(_xlpm.tgt,IF(AN78&lt;&gt;"",AN78,IF(AB78&lt;&gt;"",AB78,AA78)),_xlpm.sent,_xlfn.MAXIFS('Rework Log'!$B$2:$B$497,'Rework Log'!$A$2:$A$497,$B78,'Rework Log'!$C$2:$C$497,"DPO*"),_xlpm.act,IF(AND(AC78&lt;&gt;"",AC78&gt;=_xlpm.sent),AC78,""),IF(_xlpm.tgt="","No target set",IF(AND(_xlpm.tgt&lt;TODAY(),_xlpm.act=""),"Overdue","On track"))),IF(C78="RELEASED IN PROD","Delivered","")))))))))</f>
        <v>Blocked - needs DB Dev to fix</v>
      </c>
      <c r="E78" s="127">
        <v>54</v>
      </c>
      <c r="F78" s="127" t="s">
        <v>129</v>
      </c>
      <c r="G78" s="127"/>
      <c r="H78" s="129">
        <v>46325</v>
      </c>
      <c r="I78" s="130" t="s">
        <v>244</v>
      </c>
      <c r="J78" s="127" t="s">
        <v>44</v>
      </c>
      <c r="K78" s="131">
        <v>46304</v>
      </c>
      <c r="L78" s="131">
        <v>46266</v>
      </c>
      <c r="M78" s="132">
        <v>46266</v>
      </c>
      <c r="N78" s="132"/>
      <c r="O78" s="132" t="s">
        <v>253</v>
      </c>
      <c r="P78" s="133" t="s">
        <v>60</v>
      </c>
      <c r="Q78" s="131">
        <v>46313</v>
      </c>
      <c r="R78" s="131">
        <v>46302</v>
      </c>
      <c r="S78" s="132"/>
      <c r="T78" s="134" t="s">
        <v>245</v>
      </c>
      <c r="U78" s="135"/>
      <c r="V78" s="136">
        <v>46316</v>
      </c>
      <c r="W78" s="131">
        <v>46296</v>
      </c>
      <c r="X78" s="127"/>
      <c r="Y78" s="127"/>
      <c r="Z78" s="137"/>
      <c r="AA78" s="136">
        <v>46325</v>
      </c>
      <c r="AB78" s="131"/>
      <c r="AC78" s="131"/>
      <c r="AD78" s="127" t="s">
        <v>188</v>
      </c>
      <c r="AE78" s="127" t="s">
        <v>94</v>
      </c>
      <c r="AF78" s="127"/>
      <c r="AG78" s="127"/>
      <c r="AH78" s="127"/>
      <c r="AI78" s="127"/>
      <c r="AJ78" s="127" t="s">
        <v>254</v>
      </c>
      <c r="AK78" s="127" t="str" cm="1">
        <f t="array" ref="AK78">IF($B78="","",_xlfn.LET(_xlpm.nm,$B78,_xlpm.st,$C78,_xlpm.ou,SUMPRODUCT(('Rework Log'!$A$2:$A$497=_xlpm.nm)*('Rework Log'!$G$2:$G$497&lt;&gt;"Yes")*('Rework Log'!$G$2:$G$497&lt;&gt;"Did not pass re-test")*('Rework Log'!$J$2:$J$497="")),_xlpm.ob,SUMPRODUCT(('Rework Log'!$A$2:$A$497=_xlpm.nm)*('Rework Log'!$G$2:$G$497&lt;&gt;"Yes")*('Rework Log'!$G$2:$G$497&lt;&gt;"Did not pass re-test")),_xlpm.oto,IF(SUMPRODUCT(('Rework Log'!$A$2:$A$497=_xlpm.nm)*('Rework Log'!$G$2:$G$497&lt;&gt;"Yes")*('Rework Log'!$G$2:$G$497&lt;&gt;"Did not pass re-test")*('Rework Log'!$J$2:$J$497=""))=0,"",INDEX('Rework Log'!$D$2:$D$497,MATCH(1,('Rework Log'!$A$2:$A$497=_xlpm.nm)*('Rework Log'!$G$2:$G$497&lt;&gt;"Yes")*('Rework Log'!$G$2:$G$497&lt;&gt;"Did not pass re-test")*('Rework Log'!$J$2:$J$497=""),0))),_xlpm.sent,_xlfn.MAXIFS('Rework Log'!$B$2:$B$497,'Rework Log'!$A$2:$A$497,_xlpm.nm),_xlpm.act,_xlfn.IFS(_xlpm.st="NOT STARTED",$M78,_xlpm.st="DB Dev",$M78,_xlpm.st="PBI Dev",$S78,_xlpm.st="QA",$Y78,_xlpm.st="DPO Approval",$AC78,_xlpm.st="Ready for Release in Prod",$AG78,TRUE,""),_xlpm.nxt,_xlfn.IFS(_xlpm.st="NOT STARTED","PBI Dev",_xlpm.st="DB Dev","PBI Dev",_xlpm.st="PBI Dev","QA",_xlpm.st="QA","DPO Approval",_xlpm.st="DPO Approval","Ready for Release in Prod",_xlpm.st="Ready for Release in Prod","RELEASED IN PROD",TRUE,""),IF(AND(_xlpm.ou&gt;0,_xlpm.st&lt;&gt;_xlpm.oto),"Move status back to "&amp;_xlpm.oto,IF(AND(_xlpm.ob=0,LEFT($AJ78,3)="Yes"),"Blocked - log it on Rework Log",IF(AND(_xlpm.ob&gt;0,LEFT($AJ78,3)&lt;&gt;"Yes"),"Open rework row - mark Blocked or close it",IF(AND(_xlpm.ob=0,_xlpm.act&lt;&gt;"",_xlpm.act&gt;=_xlpm.sent,_xlpm.nxt&lt;&gt;""),"Move status to "&amp;_xlpm.nxt,IF(COUNTIF($B$2:$B$528,$B78)&gt;1,"Duplicate name - check row",IF(COUNTIF('Rework Log'!$A$2:$A$497,$B78)&gt;0,"",IF(AND($V78&lt;&gt;"",$K78&lt;&gt;"",$V78&lt;$K78),"QA target is before DB Dev target",IF(AND($V78&lt;&gt;"",$Q78&lt;&gt;"",$V78&lt;$Q78),"QA target is before PBI Dev target",IF(AND($AA78&lt;&gt;"",$V78&lt;&gt;"",$AA78&lt;$V78),"DPO Approval target is before QA target",IF(AND($AG78&lt;&gt;"",$AA78&lt;&gt;"",$AG78&lt;$AA78),"Confirmed Deployed date is before DPO Approval target",""))))))))))))</f>
        <v>Blocked - log it on Rework Log</v>
      </c>
      <c r="AL78" s="127" t="s">
        <v>255</v>
      </c>
      <c r="AM78" s="135" t="str" cm="1">
        <f t="array" ref="AM78">_xlfn.LET(_xlpm.rep,$B78,_xlpm.sent,_xlfn.MAXIFS('Rework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
      </c>
      <c r="AN78" s="135" t="str" cm="1">
        <f t="array" ref="AN78">_xlfn.LET(_xlpm.rep,$B78,_xlpm.sent,_xlfn.MAXIFS('Rework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79" spans="1:40">
      <c r="A79" s="31" t="s">
        <v>126</v>
      </c>
      <c r="B79" s="31" t="s">
        <v>256</v>
      </c>
      <c r="C79" s="31" t="s">
        <v>223</v>
      </c>
      <c r="D79" t="str" cm="1">
        <f t="array" aca="1" ref="D79" ca="1">IF(AND(C79="Ready for Release in Prod",LEFT($AJ79,3)&lt;&gt;"Yes"),IF(AG79&lt;&gt;"","Delivered","On track"),IF($B79="","",IF(LEFT($AJ79,3)="Yes","Blocked - "&amp;MID($AJ79,7,100)&amp;IF(SUMPRODUCT(('Rework Log'!$A$2:$A$497=$B79)*('Rework Log'!$G$2:$G$497&lt;&gt;"Yes")*('Rework Log'!$G$2:$G$497&lt;&gt;"Did not pass re-test"))=0,"",IF(SUMPRODUCT(MAX((('Rework Log'!$A$2:$A$497=$B79)*('Rework Log'!$G$2:$G$497&lt;&gt;"Yes")*('Rework Log'!$G$2:$G$497&lt;&gt;"Did not pass re-test"))*'Rework Log'!$I$2:$I$497))=0," - unclaimed"," - promised "&amp;TEXT(SUMPRODUCT(MAX((('Rework Log'!$A$2:$A$497=$B79)*('Rework Log'!$G$2:$G$497&lt;&gt;"Yes")*('Rework Log'!$G$2:$G$497&lt;&gt;"Did not pass re-test"))*'Rework Log'!$I$2:$I$497)),"m/d"))),IF(C79="NOT STARTED",IF(H79="","No plan date set",IF(H79&lt;TODAY(),"Review - planned start passed","On track")),IF(C79="DB Dev",_xlfn.LET(_xlpm.sent,_xlfn.MAXIFS('Rework Log'!$B$2:$B$497,'Rework Log'!$A$2:$A$497,$B79,'Rework Log'!$D$2:$D$497,"DB Dev"),_xlpm.expfix,_xlfn.MAXIFS('Rework Log'!$I$2:$I$497,'Rework Log'!$A$2:$A$497,$B79,'Rework Log'!$D$2:$D$497,"DB Dev",'Rework Log'!$B$2:$B$497,_xlpm.sent),_xlpm.tgt,IF(_xlpm.expfix&gt;0,_xlpm.expfix,IF(L79&lt;&gt;"",L79,K79)),_xlpm.act,IF(AND(M79&lt;&gt;"",M79&gt;=_xlpm.sent),M79,""),IF(_xlpm.tgt="","No target set",IF(AND(_xlpm.tgt&lt;TODAY(),_xlpm.act=""),"Overdue","On track"))),IF(C79="PBI Dev",_xlfn.LET(_xlpm.sent,_xlfn.MAXIFS('Rework Log'!$B$2:$B$497,'Rework Log'!$A$2:$A$497,$B79,'Rework Log'!$D$2:$D$497,"PBI Dev"),_xlpm.expfix,_xlfn.MAXIFS('Rework Log'!$I$2:$I$497,'Rework Log'!$A$2:$A$497,$B79,'Rework Log'!$D$2:$D$497,"PBI Dev",'Rework Log'!$B$2:$B$497,_xlpm.sent),_xlpm.tgt,IF(_xlpm.expfix&gt;0,_xlpm.expfix,IF(R79&lt;&gt;"",R79,Q79)),_xlpm.act,IF(AND(S79&lt;&gt;"",S79&gt;=_xlpm.sent),S79,""),IF(_xlpm.tgt="","No target set",IF(AND(_xlpm.tgt&lt;TODAY(),_xlpm.act=""),"Overdue","On track"))),IF(C79="QA",_xlfn.LET(_xlpm.tgt,IF(AM79&lt;&gt;"",AM79,IF(W79&lt;&gt;"",W79,V79)),_xlpm.sent,_xlfn.MAXIFS('Rework Log'!$B$2:$B$497,'Rework Log'!$A$2:$A$497,$B79,'Rework Log'!$C$2:$C$497,"QA"),_xlpm.act,IF(AND(Y79&lt;&gt;"",Y79&gt;=_xlpm.sent),Y79,""),IF(_xlpm.tgt="","No target set",IF(AND(_xlpm.tgt&lt;TODAY(),_xlpm.act=""),"Overdue","On track"))),IF(C79="DPO Approval",_xlfn.LET(_xlpm.tgt,IF(AN79&lt;&gt;"",AN79,IF(AB79&lt;&gt;"",AB79,AA79)),_xlpm.sent,_xlfn.MAXIFS('Rework Log'!$B$2:$B$497,'Rework Log'!$A$2:$A$497,$B79,'Rework Log'!$C$2:$C$497,"DPO*"),_xlpm.act,IF(AND(AC79&lt;&gt;"",AC79&gt;=_xlpm.sent),AC79,""),IF(_xlpm.tgt="","No target set",IF(AND(_xlpm.tgt&lt;TODAY(),_xlpm.act=""),"Overdue","On track"))),IF(C79="RELEASED IN PROD","Delivered","")))))))))</f>
        <v>Overdue</v>
      </c>
      <c r="E79" s="31">
        <v>55</v>
      </c>
      <c r="F79" s="31" t="s">
        <v>129</v>
      </c>
      <c r="G79" s="31"/>
      <c r="H79" s="49">
        <v>46326</v>
      </c>
      <c r="I79" s="55" t="s">
        <v>244</v>
      </c>
      <c r="J79" s="53" t="s">
        <v>76</v>
      </c>
      <c r="K79" s="43">
        <v>46304</v>
      </c>
      <c r="L79" s="43">
        <v>46266</v>
      </c>
      <c r="M79" s="46">
        <v>46266</v>
      </c>
      <c r="N79" s="44" t="s">
        <v>257</v>
      </c>
      <c r="O79" s="44" t="s">
        <v>195</v>
      </c>
      <c r="P79" s="74" t="s">
        <v>60</v>
      </c>
      <c r="Q79" s="43">
        <v>46313</v>
      </c>
      <c r="R79" s="43">
        <v>46297</v>
      </c>
      <c r="S79" s="44"/>
      <c r="T79" s="69" t="s">
        <v>245</v>
      </c>
      <c r="U79" s="46"/>
      <c r="V79" s="28">
        <v>46316</v>
      </c>
      <c r="W79" s="43"/>
      <c r="X79" s="31"/>
      <c r="Y79" s="31"/>
      <c r="Z79" s="36"/>
      <c r="AA79" s="28">
        <v>46325</v>
      </c>
      <c r="AB79" s="43"/>
      <c r="AC79" s="43"/>
      <c r="AD79" s="31" t="s">
        <v>258</v>
      </c>
      <c r="AE79" s="31" t="s">
        <v>94</v>
      </c>
      <c r="AF79" s="31"/>
      <c r="AG79" s="31"/>
      <c r="AH79" s="31"/>
      <c r="AI79" s="31"/>
      <c r="AJ79" s="31"/>
      <c r="AK79" s="31" t="str" cm="1">
        <f t="array" ref="AK79">IF($B79="","",_xlfn.LET(_xlpm.nm,$B79,_xlpm.st,$C79,_xlpm.ou,SUMPRODUCT(('Rework Log'!$A$2:$A$497=_xlpm.nm)*('Rework Log'!$G$2:$G$497&lt;&gt;"Yes")*('Rework Log'!$G$2:$G$497&lt;&gt;"Did not pass re-test")*('Rework Log'!$J$2:$J$497="")),_xlpm.ob,SUMPRODUCT(('Rework Log'!$A$2:$A$497=_xlpm.nm)*('Rework Log'!$G$2:$G$497&lt;&gt;"Yes")*('Rework Log'!$G$2:$G$497&lt;&gt;"Did not pass re-test")),_xlpm.oto,IF(SUMPRODUCT(('Rework Log'!$A$2:$A$497=_xlpm.nm)*('Rework Log'!$G$2:$G$497&lt;&gt;"Yes")*('Rework Log'!$G$2:$G$497&lt;&gt;"Did not pass re-test")*('Rework Log'!$J$2:$J$497=""))=0,"",INDEX('Rework Log'!$D$2:$D$497,MATCH(1,('Rework Log'!$A$2:$A$497=_xlpm.nm)*('Rework Log'!$G$2:$G$497&lt;&gt;"Yes")*('Rework Log'!$G$2:$G$497&lt;&gt;"Did not pass re-test")*('Rework Log'!$J$2:$J$497=""),0))),_xlpm.sent,_xlfn.MAXIFS('Rework Log'!$B$2:$B$497,'Rework Log'!$A$2:$A$497,_xlpm.nm),_xlpm.act,_xlfn.IFS(_xlpm.st="NOT STARTED",$M79,_xlpm.st="DB Dev",$M79,_xlpm.st="PBI Dev",$S79,_xlpm.st="QA",$Y79,_xlpm.st="DPO Approval",$AC79,_xlpm.st="Ready for Release in Prod",$AG79,TRUE,""),_xlpm.nxt,_xlfn.IFS(_xlpm.st="NOT STARTED","PBI Dev",_xlpm.st="DB Dev","PBI Dev",_xlpm.st="PBI Dev","QA",_xlpm.st="QA","DPO Approval",_xlpm.st="DPO Approval","Ready for Release in Prod",_xlpm.st="Ready for Release in Prod","RELEASED IN PROD",TRUE,""),IF(AND(_xlpm.ou&gt;0,_xlpm.st&lt;&gt;_xlpm.oto),"Move status back to "&amp;_xlpm.oto,IF(AND(_xlpm.ob=0,LEFT($AJ79,3)="Yes"),"Blocked - log it on Rework Log",IF(AND(_xlpm.ob&gt;0,LEFT($AJ79,3)&lt;&gt;"Yes"),"Open rework row - mark Blocked or close it",IF(AND(_xlpm.ob=0,_xlpm.act&lt;&gt;"",_xlpm.act&gt;=_xlpm.sent,_xlpm.nxt&lt;&gt;""),"Move status to "&amp;_xlpm.nxt,IF(COUNTIF($B$2:$B$528,$B79)&gt;1,"Duplicate name - check row",IF(COUNTIF('Rework Log'!$A$2:$A$497,$B79)&gt;0,"",IF(AND($V79&lt;&gt;"",$K79&lt;&gt;"",$V79&lt;$K79),"QA target is before DB Dev target",IF(AND($V79&lt;&gt;"",$Q79&lt;&gt;"",$V79&lt;$Q79),"QA target is before PBI Dev target",IF(AND($AA79&lt;&gt;"",$V79&lt;&gt;"",$AA79&lt;$V79),"DPO Approval target is before QA target",IF(AND($AG79&lt;&gt;"",$AA79&lt;&gt;"",$AG79&lt;$AA79),"Confirmed Deployed date is before DPO Approval target",""))))))))))))</f>
        <v/>
      </c>
      <c r="AL79" s="31" t="s">
        <v>259</v>
      </c>
      <c r="AM79" s="32" t="str" cm="1">
        <f t="array" ref="AM79">_xlfn.LET(_xlpm.rep,$B79,_xlpm.sent,_xlfn.MAXIFS('Rework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
      </c>
      <c r="AN79" s="32" t="str" cm="1">
        <f t="array" ref="AN79">_xlfn.LET(_xlpm.rep,$B79,_xlpm.sent,_xlfn.MAXIFS('Rework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80" spans="1:40">
      <c r="A80" s="31" t="s">
        <v>126</v>
      </c>
      <c r="B80" s="31" t="s">
        <v>260</v>
      </c>
      <c r="C80" s="31" t="s">
        <v>206</v>
      </c>
      <c r="D80" t="str" cm="1">
        <f t="array" aca="1" ref="D80" ca="1">IF(AND(C80="Ready for Release in Prod",LEFT($AJ80,3)&lt;&gt;"Yes"),IF(AG80&lt;&gt;"","Delivered","On track"),IF($B80="","",IF(LEFT($AJ80,3)="Yes","Blocked - "&amp;MID($AJ80,7,100)&amp;IF(SUMPRODUCT(('Rework Log'!$A$2:$A$497=$B80)*('Rework Log'!$G$2:$G$497&lt;&gt;"Yes")*('Rework Log'!$G$2:$G$497&lt;&gt;"Did not pass re-test"))=0,"",IF(SUMPRODUCT(MAX((('Rework Log'!$A$2:$A$497=$B80)*('Rework Log'!$G$2:$G$497&lt;&gt;"Yes")*('Rework Log'!$G$2:$G$497&lt;&gt;"Did not pass re-test"))*'Rework Log'!$I$2:$I$497))=0," - unclaimed"," - promised "&amp;TEXT(SUMPRODUCT(MAX((('Rework Log'!$A$2:$A$497=$B80)*('Rework Log'!$G$2:$G$497&lt;&gt;"Yes")*('Rework Log'!$G$2:$G$497&lt;&gt;"Did not pass re-test"))*'Rework Log'!$I$2:$I$497)),"m/d"))),IF(C80="NOT STARTED",IF(H80="","No plan date set",IF(H80&lt;TODAY(),"Review - planned start passed","On track")),IF(C80="DB Dev",_xlfn.LET(_xlpm.sent,_xlfn.MAXIFS('Rework Log'!$B$2:$B$497,'Rework Log'!$A$2:$A$497,$B80,'Rework Log'!$D$2:$D$497,"DB Dev"),_xlpm.expfix,_xlfn.MAXIFS('Rework Log'!$I$2:$I$497,'Rework Log'!$A$2:$A$497,$B80,'Rework Log'!$D$2:$D$497,"DB Dev",'Rework Log'!$B$2:$B$497,_xlpm.sent),_xlpm.tgt,IF(_xlpm.expfix&gt;0,_xlpm.expfix,IF(L80&lt;&gt;"",L80,K80)),_xlpm.act,IF(AND(M80&lt;&gt;"",M80&gt;=_xlpm.sent),M80,""),IF(_xlpm.tgt="","No target set",IF(AND(_xlpm.tgt&lt;TODAY(),_xlpm.act=""),"Overdue","On track"))),IF(C80="PBI Dev",_xlfn.LET(_xlpm.sent,_xlfn.MAXIFS('Rework Log'!$B$2:$B$497,'Rework Log'!$A$2:$A$497,$B80,'Rework Log'!$D$2:$D$497,"PBI Dev"),_xlpm.expfix,_xlfn.MAXIFS('Rework Log'!$I$2:$I$497,'Rework Log'!$A$2:$A$497,$B80,'Rework Log'!$D$2:$D$497,"PBI Dev",'Rework Log'!$B$2:$B$497,_xlpm.sent),_xlpm.tgt,IF(_xlpm.expfix&gt;0,_xlpm.expfix,IF(R80&lt;&gt;"",R80,Q80)),_xlpm.act,IF(AND(S80&lt;&gt;"",S80&gt;=_xlpm.sent),S80,""),IF(_xlpm.tgt="","No target set",IF(AND(_xlpm.tgt&lt;TODAY(),_xlpm.act=""),"Overdue","On track"))),IF(C80="QA",_xlfn.LET(_xlpm.tgt,IF(AM80&lt;&gt;"",AM80,IF(W80&lt;&gt;"",W80,V80)),_xlpm.sent,_xlfn.MAXIFS('Rework Log'!$B$2:$B$497,'Rework Log'!$A$2:$A$497,$B80,'Rework Log'!$C$2:$C$497,"QA"),_xlpm.act,IF(AND(Y80&lt;&gt;"",Y80&gt;=_xlpm.sent),Y80,""),IF(_xlpm.tgt="","No target set",IF(AND(_xlpm.tgt&lt;TODAY(),_xlpm.act=""),"Overdue","On track"))),IF(C80="DPO Approval",_xlfn.LET(_xlpm.tgt,IF(AN80&lt;&gt;"",AN80,IF(AB80&lt;&gt;"",AB80,AA80)),_xlpm.sent,_xlfn.MAXIFS('Rework Log'!$B$2:$B$497,'Rework Log'!$A$2:$A$497,$B80,'Rework Log'!$C$2:$C$497,"DPO*"),_xlpm.act,IF(AND(AC80&lt;&gt;"",AC80&gt;=_xlpm.sent),AC80,""),IF(_xlpm.tgt="","No target set",IF(AND(_xlpm.tgt&lt;TODAY(),_xlpm.act=""),"Overdue","On track"))),IF(C80="RELEASED IN PROD","Delivered","")))))))))</f>
        <v>On track</v>
      </c>
      <c r="E80" s="31">
        <v>56</v>
      </c>
      <c r="F80" s="31" t="s">
        <v>129</v>
      </c>
      <c r="G80" s="31"/>
      <c r="H80" s="49">
        <v>46325</v>
      </c>
      <c r="I80" s="55" t="s">
        <v>244</v>
      </c>
      <c r="J80" s="33" t="s">
        <v>103</v>
      </c>
      <c r="K80" s="43">
        <v>46304</v>
      </c>
      <c r="L80" s="43">
        <v>46276</v>
      </c>
      <c r="M80" s="46">
        <v>46280</v>
      </c>
      <c r="N80" s="44" t="s">
        <v>45</v>
      </c>
      <c r="O80" s="44" t="s">
        <v>253</v>
      </c>
      <c r="P80" s="74" t="s">
        <v>60</v>
      </c>
      <c r="Q80" s="43">
        <v>46313</v>
      </c>
      <c r="R80" s="43">
        <v>46302</v>
      </c>
      <c r="S80" s="44"/>
      <c r="T80" s="69" t="s">
        <v>245</v>
      </c>
      <c r="U80" s="46" t="s">
        <v>47</v>
      </c>
      <c r="V80" s="28">
        <v>46316</v>
      </c>
      <c r="W80" s="43"/>
      <c r="X80" s="32">
        <v>46309</v>
      </c>
      <c r="Y80" s="31"/>
      <c r="Z80" s="36"/>
      <c r="AA80" s="28">
        <v>46325</v>
      </c>
      <c r="AB80" s="43"/>
      <c r="AC80" s="43"/>
      <c r="AD80" s="31" t="s">
        <v>211</v>
      </c>
      <c r="AE80" s="31" t="s">
        <v>94</v>
      </c>
      <c r="AF80" s="31"/>
      <c r="AG80" s="31"/>
      <c r="AH80" s="31"/>
      <c r="AI80" s="31"/>
      <c r="AJ80" s="31" t="s">
        <v>53</v>
      </c>
      <c r="AK80" s="31" t="str" cm="1">
        <f t="array" ref="AK80">IF($B80="","",_xlfn.LET(_xlpm.nm,$B80,_xlpm.st,$C80,_xlpm.ou,SUMPRODUCT(('Rework Log'!$A$2:$A$497=_xlpm.nm)*('Rework Log'!$G$2:$G$497&lt;&gt;"Yes")*('Rework Log'!$G$2:$G$497&lt;&gt;"Did not pass re-test")*('Rework Log'!$J$2:$J$497="")),_xlpm.ob,SUMPRODUCT(('Rework Log'!$A$2:$A$497=_xlpm.nm)*('Rework Log'!$G$2:$G$497&lt;&gt;"Yes")*('Rework Log'!$G$2:$G$497&lt;&gt;"Did not pass re-test")),_xlpm.oto,IF(SUMPRODUCT(('Rework Log'!$A$2:$A$497=_xlpm.nm)*('Rework Log'!$G$2:$G$497&lt;&gt;"Yes")*('Rework Log'!$G$2:$G$497&lt;&gt;"Did not pass re-test")*('Rework Log'!$J$2:$J$497=""))=0,"",INDEX('Rework Log'!$D$2:$D$497,MATCH(1,('Rework Log'!$A$2:$A$497=_xlpm.nm)*('Rework Log'!$G$2:$G$497&lt;&gt;"Yes")*('Rework Log'!$G$2:$G$497&lt;&gt;"Did not pass re-test")*('Rework Log'!$J$2:$J$497=""),0))),_xlpm.sent,_xlfn.MAXIFS('Rework Log'!$B$2:$B$497,'Rework Log'!$A$2:$A$497,_xlpm.nm),_xlpm.act,_xlfn.IFS(_xlpm.st="NOT STARTED",$M80,_xlpm.st="DB Dev",$M80,_xlpm.st="PBI Dev",$S80,_xlpm.st="QA",$Y80,_xlpm.st="DPO Approval",$AC80,_xlpm.st="Ready for Release in Prod",$AG80,TRUE,""),_xlpm.nxt,_xlfn.IFS(_xlpm.st="NOT STARTED","PBI Dev",_xlpm.st="DB Dev","PBI Dev",_xlpm.st="PBI Dev","QA",_xlpm.st="QA","DPO Approval",_xlpm.st="DPO Approval","Ready for Release in Prod",_xlpm.st="Ready for Release in Prod","RELEASED IN PROD",TRUE,""),IF(AND(_xlpm.ou&gt;0,_xlpm.st&lt;&gt;_xlpm.oto),"Move status back to "&amp;_xlpm.oto,IF(AND(_xlpm.ob=0,LEFT($AJ80,3)="Yes"),"Blocked - log it on Rework Log",IF(AND(_xlpm.ob&gt;0,LEFT($AJ80,3)&lt;&gt;"Yes"),"Open rework row - mark Blocked or close it",IF(AND(_xlpm.ob=0,_xlpm.act&lt;&gt;"",_xlpm.act&gt;=_xlpm.sent,_xlpm.nxt&lt;&gt;""),"Move status to "&amp;_xlpm.nxt,IF(COUNTIF($B$2:$B$528,$B80)&gt;1,"Duplicate name - check row",IF(COUNTIF('Rework Log'!$A$2:$A$497,$B80)&gt;0,"",IF(AND($V80&lt;&gt;"",$K80&lt;&gt;"",$V80&lt;$K80),"QA target is before DB Dev target",IF(AND($V80&lt;&gt;"",$Q80&lt;&gt;"",$V80&lt;$Q80),"QA target is before PBI Dev target",IF(AND($AA80&lt;&gt;"",$V80&lt;&gt;"",$AA80&lt;$V80),"DPO Approval target is before QA target",IF(AND($AG80&lt;&gt;"",$AA80&lt;&gt;"",$AG80&lt;$AA80),"Confirmed Deployed date is before DPO Approval target",""))))))))))))</f>
        <v/>
      </c>
      <c r="AL80" s="31" t="s">
        <v>174</v>
      </c>
      <c r="AM80" s="32" t="str" cm="1">
        <f t="array" ref="AM80">_xlfn.LET(_xlpm.rep,$B80,_xlpm.sent,_xlfn.MAXIFS('Rework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
      </c>
      <c r="AN80" s="32" t="str" cm="1">
        <f t="array" ref="AN80">_xlfn.LET(_xlpm.rep,$B80,_xlpm.sent,_xlfn.MAXIFS('Rework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81" spans="1:40" s="128" customFormat="1">
      <c r="A81" s="127" t="s">
        <v>126</v>
      </c>
      <c r="B81" s="127" t="s">
        <v>261</v>
      </c>
      <c r="C81" s="127" t="s">
        <v>206</v>
      </c>
      <c r="D81" s="128" t="str" cm="1">
        <f t="array" aca="1" ref="D81" ca="1">IF(AND(C81="Ready for Release in Prod",LEFT($AJ81,3)&lt;&gt;"Yes"),IF(AG81&lt;&gt;"","Delivered","On track"),IF($B81="","",IF(LEFT($AJ81,3)="Yes","Blocked - "&amp;MID($AJ81,7,100)&amp;IF(SUMPRODUCT(('Rework Log'!$A$2:$A$497=$B81)*('Rework Log'!$G$2:$G$497&lt;&gt;"Yes")*('Rework Log'!$G$2:$G$497&lt;&gt;"Did not pass re-test"))=0,"",IF(SUMPRODUCT(MAX((('Rework Log'!$A$2:$A$497=$B81)*('Rework Log'!$G$2:$G$497&lt;&gt;"Yes")*('Rework Log'!$G$2:$G$497&lt;&gt;"Did not pass re-test"))*'Rework Log'!$I$2:$I$497))=0," - unclaimed"," - promised "&amp;TEXT(SUMPRODUCT(MAX((('Rework Log'!$A$2:$A$497=$B81)*('Rework Log'!$G$2:$G$497&lt;&gt;"Yes")*('Rework Log'!$G$2:$G$497&lt;&gt;"Did not pass re-test"))*'Rework Log'!$I$2:$I$497)),"m/d"))),IF(C81="NOT STARTED",IF(H81="","No plan date set",IF(H81&lt;TODAY(),"Review - planned start passed","On track")),IF(C81="DB Dev",_xlfn.LET(_xlpm.sent,_xlfn.MAXIFS('Rework Log'!$B$2:$B$497,'Rework Log'!$A$2:$A$497,$B81,'Rework Log'!$D$2:$D$497,"DB Dev"),_xlpm.expfix,_xlfn.MAXIFS('Rework Log'!$I$2:$I$497,'Rework Log'!$A$2:$A$497,$B81,'Rework Log'!$D$2:$D$497,"DB Dev",'Rework Log'!$B$2:$B$497,_xlpm.sent),_xlpm.tgt,IF(_xlpm.expfix&gt;0,_xlpm.expfix,IF(L81&lt;&gt;"",L81,K81)),_xlpm.act,IF(AND(M81&lt;&gt;"",M81&gt;=_xlpm.sent),M81,""),IF(_xlpm.tgt="","No target set",IF(AND(_xlpm.tgt&lt;TODAY(),_xlpm.act=""),"Overdue","On track"))),IF(C81="PBI Dev",_xlfn.LET(_xlpm.sent,_xlfn.MAXIFS('Rework Log'!$B$2:$B$497,'Rework Log'!$A$2:$A$497,$B81,'Rework Log'!$D$2:$D$497,"PBI Dev"),_xlpm.expfix,_xlfn.MAXIFS('Rework Log'!$I$2:$I$497,'Rework Log'!$A$2:$A$497,$B81,'Rework Log'!$D$2:$D$497,"PBI Dev",'Rework Log'!$B$2:$B$497,_xlpm.sent),_xlpm.tgt,IF(_xlpm.expfix&gt;0,_xlpm.expfix,IF(R81&lt;&gt;"",R81,Q81)),_xlpm.act,IF(AND(S81&lt;&gt;"",S81&gt;=_xlpm.sent),S81,""),IF(_xlpm.tgt="","No target set",IF(AND(_xlpm.tgt&lt;TODAY(),_xlpm.act=""),"Overdue","On track"))),IF(C81="QA",_xlfn.LET(_xlpm.tgt,IF(AM81&lt;&gt;"",AM81,IF(W81&lt;&gt;"",W81,V81)),_xlpm.sent,_xlfn.MAXIFS('Rework Log'!$B$2:$B$497,'Rework Log'!$A$2:$A$497,$B81,'Rework Log'!$C$2:$C$497,"QA"),_xlpm.act,IF(AND(Y81&lt;&gt;"",Y81&gt;=_xlpm.sent),Y81,""),IF(_xlpm.tgt="","No target set",IF(AND(_xlpm.tgt&lt;TODAY(),_xlpm.act=""),"Overdue","On track"))),IF(C81="DPO Approval",_xlfn.LET(_xlpm.tgt,IF(AN81&lt;&gt;"",AN81,IF(AB81&lt;&gt;"",AB81,AA81)),_xlpm.sent,_xlfn.MAXIFS('Rework Log'!$B$2:$B$497,'Rework Log'!$A$2:$A$497,$B81,'Rework Log'!$C$2:$C$497,"DPO*"),_xlpm.act,IF(AND(AC81&lt;&gt;"",AC81&gt;=_xlpm.sent),AC81,""),IF(_xlpm.tgt="","No target set",IF(AND(_xlpm.tgt&lt;TODAY(),_xlpm.act=""),"Overdue","On track"))),IF(C81="RELEASED IN PROD","Delivered","")))))))))</f>
        <v>On track</v>
      </c>
      <c r="E81" s="127">
        <v>57</v>
      </c>
      <c r="F81" s="127" t="s">
        <v>129</v>
      </c>
      <c r="G81" s="127"/>
      <c r="H81" s="129">
        <v>46325</v>
      </c>
      <c r="I81" s="130" t="s">
        <v>244</v>
      </c>
      <c r="J81" s="33" t="s">
        <v>103</v>
      </c>
      <c r="K81" s="131">
        <v>46304</v>
      </c>
      <c r="L81" s="131">
        <v>46287</v>
      </c>
      <c r="M81" s="131">
        <v>46287</v>
      </c>
      <c r="N81" s="132" t="s">
        <v>257</v>
      </c>
      <c r="O81" s="132" t="s">
        <v>253</v>
      </c>
      <c r="P81" s="133" t="s">
        <v>60</v>
      </c>
      <c r="Q81" s="131">
        <v>46313</v>
      </c>
      <c r="R81" s="131">
        <v>46295</v>
      </c>
      <c r="S81" s="132">
        <v>46294</v>
      </c>
      <c r="T81" s="69" t="s">
        <v>245</v>
      </c>
      <c r="U81" s="135" t="s">
        <v>47</v>
      </c>
      <c r="V81" s="136">
        <v>46316</v>
      </c>
      <c r="W81" s="131"/>
      <c r="X81" s="135">
        <v>46301</v>
      </c>
      <c r="Y81" s="127"/>
      <c r="Z81" s="137"/>
      <c r="AA81" s="136">
        <v>46325</v>
      </c>
      <c r="AB81" s="131"/>
      <c r="AC81" s="131"/>
      <c r="AD81" s="127" t="s">
        <v>220</v>
      </c>
      <c r="AE81" s="127" t="s">
        <v>94</v>
      </c>
      <c r="AF81" s="127"/>
      <c r="AG81" s="127"/>
      <c r="AH81" s="127"/>
      <c r="AI81" s="127"/>
      <c r="AJ81" s="127"/>
      <c r="AK81" s="127" t="str" cm="1">
        <f t="array" ref="AK81">IF($B81="","",_xlfn.LET(_xlpm.nm,$B81,_xlpm.st,$C81,_xlpm.ou,SUMPRODUCT(('Rework Log'!$A$2:$A$497=_xlpm.nm)*('Rework Log'!$G$2:$G$497&lt;&gt;"Yes")*('Rework Log'!$G$2:$G$497&lt;&gt;"Did not pass re-test")*('Rework Log'!$J$2:$J$497="")),_xlpm.ob,SUMPRODUCT(('Rework Log'!$A$2:$A$497=_xlpm.nm)*('Rework Log'!$G$2:$G$497&lt;&gt;"Yes")*('Rework Log'!$G$2:$G$497&lt;&gt;"Did not pass re-test")),_xlpm.oto,IF(SUMPRODUCT(('Rework Log'!$A$2:$A$497=_xlpm.nm)*('Rework Log'!$G$2:$G$497&lt;&gt;"Yes")*('Rework Log'!$G$2:$G$497&lt;&gt;"Did not pass re-test")*('Rework Log'!$J$2:$J$497=""))=0,"",INDEX('Rework Log'!$D$2:$D$497,MATCH(1,('Rework Log'!$A$2:$A$497=_xlpm.nm)*('Rework Log'!$G$2:$G$497&lt;&gt;"Yes")*('Rework Log'!$G$2:$G$497&lt;&gt;"Did not pass re-test")*('Rework Log'!$J$2:$J$497=""),0))),_xlpm.sent,_xlfn.MAXIFS('Rework Log'!$B$2:$B$497,'Rework Log'!$A$2:$A$497,_xlpm.nm),_xlpm.act,_xlfn.IFS(_xlpm.st="NOT STARTED",$M81,_xlpm.st="DB Dev",$M81,_xlpm.st="PBI Dev",$S81,_xlpm.st="QA",$Y81,_xlpm.st="DPO Approval",$AC81,_xlpm.st="Ready for Release in Prod",$AG81,TRUE,""),_xlpm.nxt,_xlfn.IFS(_xlpm.st="NOT STARTED","PBI Dev",_xlpm.st="DB Dev","PBI Dev",_xlpm.st="PBI Dev","QA",_xlpm.st="QA","DPO Approval",_xlpm.st="DPO Approval","Ready for Release in Prod",_xlpm.st="Ready for Release in Prod","RELEASED IN PROD",TRUE,""),IF(AND(_xlpm.ou&gt;0,_xlpm.st&lt;&gt;_xlpm.oto),"Move status back to "&amp;_xlpm.oto,IF(AND(_xlpm.ob=0,LEFT($AJ81,3)="Yes"),"Blocked - log it on Rework Log",IF(AND(_xlpm.ob&gt;0,LEFT($AJ81,3)&lt;&gt;"Yes"),"Open rework row - mark Blocked or close it",IF(AND(_xlpm.ob=0,_xlpm.act&lt;&gt;"",_xlpm.act&gt;=_xlpm.sent,_xlpm.nxt&lt;&gt;""),"Move status to "&amp;_xlpm.nxt,IF(COUNTIF($B$2:$B$528,$B81)&gt;1,"Duplicate name - check row",IF(COUNTIF('Rework Log'!$A$2:$A$497,$B81)&gt;0,"",IF(AND($V81&lt;&gt;"",$K81&lt;&gt;"",$V81&lt;$K81),"QA target is before DB Dev target",IF(AND($V81&lt;&gt;"",$Q81&lt;&gt;"",$V81&lt;$Q81),"QA target is before PBI Dev target",IF(AND($AA81&lt;&gt;"",$V81&lt;&gt;"",$AA81&lt;$V81),"DPO Approval target is before QA target",IF(AND($AG81&lt;&gt;"",$AA81&lt;&gt;"",$AG81&lt;$AA81),"Confirmed Deployed date is before DPO Approval target",""))))))))))))</f>
        <v/>
      </c>
      <c r="AL81" s="127" t="s">
        <v>174</v>
      </c>
      <c r="AM81" s="135" t="str" cm="1">
        <f t="array" ref="AM81">_xlfn.LET(_xlpm.rep,$B81,_xlpm.sent,_xlfn.MAXIFS('Rework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
      </c>
      <c r="AN81" s="135" t="str" cm="1">
        <f t="array" ref="AN81">_xlfn.LET(_xlpm.rep,$B81,_xlpm.sent,_xlfn.MAXIFS('Rework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82" spans="1:40">
      <c r="A82" s="31" t="s">
        <v>126</v>
      </c>
      <c r="B82" s="31" t="s">
        <v>262</v>
      </c>
      <c r="C82" s="31" t="s">
        <v>263</v>
      </c>
      <c r="D82" t="str" cm="1">
        <f t="array" aca="1" ref="D82" ca="1">IF(AND(C82="Ready for Release in Prod",LEFT($AJ82,3)&lt;&gt;"Yes"),IF(AG82&lt;&gt;"","Delivered","On track"),IF($B82="","",IF(LEFT($AJ82,3)="Yes","Blocked - "&amp;MID($AJ82,7,100)&amp;IF(SUMPRODUCT(('Rework Log'!$A$2:$A$497=$B82)*('Rework Log'!$G$2:$G$497&lt;&gt;"Yes")*('Rework Log'!$G$2:$G$497&lt;&gt;"Did not pass re-test"))=0,"",IF(SUMPRODUCT(MAX((('Rework Log'!$A$2:$A$497=$B82)*('Rework Log'!$G$2:$G$497&lt;&gt;"Yes")*('Rework Log'!$G$2:$G$497&lt;&gt;"Did not pass re-test"))*'Rework Log'!$I$2:$I$497))=0," - unclaimed"," - promised "&amp;TEXT(SUMPRODUCT(MAX((('Rework Log'!$A$2:$A$497=$B82)*('Rework Log'!$G$2:$G$497&lt;&gt;"Yes")*('Rework Log'!$G$2:$G$497&lt;&gt;"Did not pass re-test"))*'Rework Log'!$I$2:$I$497)),"m/d"))),IF(C82="NOT STARTED",IF(H82="","No plan date set",IF(H82&lt;TODAY(),"Review - planned start passed","On track")),IF(C82="DB Dev",_xlfn.LET(_xlpm.sent,_xlfn.MAXIFS('Rework Log'!$B$2:$B$497,'Rework Log'!$A$2:$A$497,$B82,'Rework Log'!$D$2:$D$497,"DB Dev"),_xlpm.expfix,_xlfn.MAXIFS('Rework Log'!$I$2:$I$497,'Rework Log'!$A$2:$A$497,$B82,'Rework Log'!$D$2:$D$497,"DB Dev",'Rework Log'!$B$2:$B$497,_xlpm.sent),_xlpm.tgt,IF(_xlpm.expfix&gt;0,_xlpm.expfix,IF(L82&lt;&gt;"",L82,K82)),_xlpm.act,IF(AND(M82&lt;&gt;"",M82&gt;=_xlpm.sent),M82,""),IF(_xlpm.tgt="","No target set",IF(AND(_xlpm.tgt&lt;TODAY(),_xlpm.act=""),"Overdue","On track"))),IF(C82="PBI Dev",_xlfn.LET(_xlpm.sent,_xlfn.MAXIFS('Rework Log'!$B$2:$B$497,'Rework Log'!$A$2:$A$497,$B82,'Rework Log'!$D$2:$D$497,"PBI Dev"),_xlpm.expfix,_xlfn.MAXIFS('Rework Log'!$I$2:$I$497,'Rework Log'!$A$2:$A$497,$B82,'Rework Log'!$D$2:$D$497,"PBI Dev",'Rework Log'!$B$2:$B$497,_xlpm.sent),_xlpm.tgt,IF(_xlpm.expfix&gt;0,_xlpm.expfix,IF(R82&lt;&gt;"",R82,Q82)),_xlpm.act,IF(AND(S82&lt;&gt;"",S82&gt;=_xlpm.sent),S82,""),IF(_xlpm.tgt="","No target set",IF(AND(_xlpm.tgt&lt;TODAY(),_xlpm.act=""),"Overdue","On track"))),IF(C82="QA",_xlfn.LET(_xlpm.tgt,IF(AM82&lt;&gt;"",AM82,IF(W82&lt;&gt;"",W82,V82)),_xlpm.sent,_xlfn.MAXIFS('Rework Log'!$B$2:$B$497,'Rework Log'!$A$2:$A$497,$B82,'Rework Log'!$C$2:$C$497,"QA"),_xlpm.act,IF(AND(Y82&lt;&gt;"",Y82&gt;=_xlpm.sent),Y82,""),IF(_xlpm.tgt="","No target set",IF(AND(_xlpm.tgt&lt;TODAY(),_xlpm.act=""),"Overdue","On track"))),IF(C82="DPO Approval",_xlfn.LET(_xlpm.tgt,IF(AN82&lt;&gt;"",AN82,IF(AB82&lt;&gt;"",AB82,AA82)),_xlpm.sent,_xlfn.MAXIFS('Rework Log'!$B$2:$B$497,'Rework Log'!$A$2:$A$497,$B82,'Rework Log'!$C$2:$C$497,"DPO*"),_xlpm.act,IF(AND(AC82&lt;&gt;"",AC82&gt;=_xlpm.sent),AC82,""),IF(_xlpm.tgt="","No target set",IF(AND(_xlpm.tgt&lt;TODAY(),_xlpm.act=""),"Overdue","On track"))),IF(C82="RELEASED IN PROD","Delivered","")))))))))</f>
        <v>On track</v>
      </c>
      <c r="E82" s="31">
        <v>58</v>
      </c>
      <c r="F82" s="31" t="s">
        <v>129</v>
      </c>
      <c r="G82" s="31"/>
      <c r="H82" s="49">
        <v>46325</v>
      </c>
      <c r="I82" s="55" t="s">
        <v>244</v>
      </c>
      <c r="J82" s="53" t="s">
        <v>155</v>
      </c>
      <c r="K82" s="43">
        <v>46304</v>
      </c>
      <c r="L82" s="43">
        <v>46281</v>
      </c>
      <c r="M82" s="44">
        <v>46283</v>
      </c>
      <c r="N82" s="46" t="s">
        <v>147</v>
      </c>
      <c r="O82" s="44" t="s">
        <v>253</v>
      </c>
      <c r="P82" s="74" t="s">
        <v>77</v>
      </c>
      <c r="Q82" s="43">
        <v>46313</v>
      </c>
      <c r="R82" s="43">
        <v>46304</v>
      </c>
      <c r="S82" s="44"/>
      <c r="T82" s="68" t="s">
        <v>264</v>
      </c>
      <c r="U82" s="46" t="s">
        <v>47</v>
      </c>
      <c r="V82" s="28">
        <v>46316</v>
      </c>
      <c r="W82" s="43"/>
      <c r="X82" s="31"/>
      <c r="Y82" s="31"/>
      <c r="Z82" s="36"/>
      <c r="AA82" s="28">
        <v>46325</v>
      </c>
      <c r="AB82" s="43"/>
      <c r="AC82" s="43"/>
      <c r="AD82" s="31" t="s">
        <v>265</v>
      </c>
      <c r="AE82" s="31" t="s">
        <v>94</v>
      </c>
      <c r="AF82" s="31"/>
      <c r="AG82" s="31"/>
      <c r="AH82" s="31"/>
      <c r="AI82" s="31"/>
      <c r="AJ82" s="31"/>
      <c r="AK82" s="31" t="str" cm="1">
        <f t="array" ref="AK82">IF($B82="","",_xlfn.LET(_xlpm.nm,$B82,_xlpm.st,$C82,_xlpm.ou,SUMPRODUCT(('Rework Log'!$A$2:$A$497=_xlpm.nm)*('Rework Log'!$G$2:$G$497&lt;&gt;"Yes")*('Rework Log'!$G$2:$G$497&lt;&gt;"Did not pass re-test")*('Rework Log'!$J$2:$J$497="")),_xlpm.ob,SUMPRODUCT(('Rework Log'!$A$2:$A$497=_xlpm.nm)*('Rework Log'!$G$2:$G$497&lt;&gt;"Yes")*('Rework Log'!$G$2:$G$497&lt;&gt;"Did not pass re-test")),_xlpm.oto,IF(SUMPRODUCT(('Rework Log'!$A$2:$A$497=_xlpm.nm)*('Rework Log'!$G$2:$G$497&lt;&gt;"Yes")*('Rework Log'!$G$2:$G$497&lt;&gt;"Did not pass re-test")*('Rework Log'!$J$2:$J$497=""))=0,"",INDEX('Rework Log'!$D$2:$D$497,MATCH(1,('Rework Log'!$A$2:$A$497=_xlpm.nm)*('Rework Log'!$G$2:$G$497&lt;&gt;"Yes")*('Rework Log'!$G$2:$G$497&lt;&gt;"Did not pass re-test")*('Rework Log'!$J$2:$J$497=""),0))),_xlpm.sent,_xlfn.MAXIFS('Rework Log'!$B$2:$B$497,'Rework Log'!$A$2:$A$497,_xlpm.nm),_xlpm.act,_xlfn.IFS(_xlpm.st="NOT STARTED",$M82,_xlpm.st="DB Dev",$M82,_xlpm.st="PBI Dev",$S82,_xlpm.st="QA",$Y82,_xlpm.st="DPO Approval",$AC82,_xlpm.st="Ready for Release in Prod",$AG82,TRUE,""),_xlpm.nxt,_xlfn.IFS(_xlpm.st="NOT STARTED","PBI Dev",_xlpm.st="DB Dev","PBI Dev",_xlpm.st="PBI Dev","QA",_xlpm.st="QA","DPO Approval",_xlpm.st="DPO Approval","Ready for Release in Prod",_xlpm.st="Ready for Release in Prod","RELEASED IN PROD",TRUE,""),IF(AND(_xlpm.ou&gt;0,_xlpm.st&lt;&gt;_xlpm.oto),"Move status back to "&amp;_xlpm.oto,IF(AND(_xlpm.ob=0,LEFT($AJ82,3)="Yes"),"Blocked - log it on Rework Log",IF(AND(_xlpm.ob&gt;0,LEFT($AJ82,3)&lt;&gt;"Yes"),"Open rework row - mark Blocked or close it",IF(AND(_xlpm.ob=0,_xlpm.act&lt;&gt;"",_xlpm.act&gt;=_xlpm.sent,_xlpm.nxt&lt;&gt;""),"Move status to "&amp;_xlpm.nxt,IF(COUNTIF($B$2:$B$528,$B82)&gt;1,"Duplicate name - check row",IF(COUNTIF('Rework Log'!$A$2:$A$497,$B82)&gt;0,"",IF(AND($V82&lt;&gt;"",$K82&lt;&gt;"",$V82&lt;$K82),"QA target is before DB Dev target",IF(AND($V82&lt;&gt;"",$Q82&lt;&gt;"",$V82&lt;$Q82),"QA target is before PBI Dev target",IF(AND($AA82&lt;&gt;"",$V82&lt;&gt;"",$AA82&lt;$V82),"DPO Approval target is before QA target",IF(AND($AG82&lt;&gt;"",$AA82&lt;&gt;"",$AG82&lt;$AA82),"Confirmed Deployed date is before DPO Approval target",""))))))))))))</f>
        <v>Move status to PBI Dev</v>
      </c>
      <c r="AL82" s="31"/>
      <c r="AM82" s="32" t="str" cm="1">
        <f t="array" ref="AM82">_xlfn.LET(_xlpm.rep,$B82,_xlpm.sent,_xlfn.MAXIFS('Rework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
      </c>
      <c r="AN82" s="32" t="str" cm="1">
        <f t="array" ref="AN82">_xlfn.LET(_xlpm.rep,$B82,_xlpm.sent,_xlfn.MAXIFS('Rework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83" spans="1:40">
      <c r="A83" s="31" t="s">
        <v>126</v>
      </c>
      <c r="B83" s="31" t="s">
        <v>266</v>
      </c>
      <c r="C83" s="31" t="s">
        <v>206</v>
      </c>
      <c r="D83" t="str" cm="1">
        <f t="array" aca="1" ref="D83" ca="1">IF(AND(C83="Ready for Release in Prod",LEFT($AJ83,3)&lt;&gt;"Yes"),IF(AG83&lt;&gt;"","Delivered","On track"),IF($B83="","",IF(LEFT($AJ83,3)="Yes","Blocked - "&amp;MID($AJ83,7,100)&amp;IF(SUMPRODUCT(('Rework Log'!$A$2:$A$497=$B83)*('Rework Log'!$G$2:$G$497&lt;&gt;"Yes")*('Rework Log'!$G$2:$G$497&lt;&gt;"Did not pass re-test"))=0,"",IF(SUMPRODUCT(MAX((('Rework Log'!$A$2:$A$497=$B83)*('Rework Log'!$G$2:$G$497&lt;&gt;"Yes")*('Rework Log'!$G$2:$G$497&lt;&gt;"Did not pass re-test"))*'Rework Log'!$I$2:$I$497))=0," - unclaimed"," - promised "&amp;TEXT(SUMPRODUCT(MAX((('Rework Log'!$A$2:$A$497=$B83)*('Rework Log'!$G$2:$G$497&lt;&gt;"Yes")*('Rework Log'!$G$2:$G$497&lt;&gt;"Did not pass re-test"))*'Rework Log'!$I$2:$I$497)),"m/d"))),IF(C83="NOT STARTED",IF(H83="","No plan date set",IF(H83&lt;TODAY(),"Review - planned start passed","On track")),IF(C83="DB Dev",_xlfn.LET(_xlpm.sent,_xlfn.MAXIFS('Rework Log'!$B$2:$B$497,'Rework Log'!$A$2:$A$497,$B83,'Rework Log'!$D$2:$D$497,"DB Dev"),_xlpm.expfix,_xlfn.MAXIFS('Rework Log'!$I$2:$I$497,'Rework Log'!$A$2:$A$497,$B83,'Rework Log'!$D$2:$D$497,"DB Dev",'Rework Log'!$B$2:$B$497,_xlpm.sent),_xlpm.tgt,IF(_xlpm.expfix&gt;0,_xlpm.expfix,IF(L83&lt;&gt;"",L83,K83)),_xlpm.act,IF(AND(M83&lt;&gt;"",M83&gt;=_xlpm.sent),M83,""),IF(_xlpm.tgt="","No target set",IF(AND(_xlpm.tgt&lt;TODAY(),_xlpm.act=""),"Overdue","On track"))),IF(C83="PBI Dev",_xlfn.LET(_xlpm.sent,_xlfn.MAXIFS('Rework Log'!$B$2:$B$497,'Rework Log'!$A$2:$A$497,$B83,'Rework Log'!$D$2:$D$497,"PBI Dev"),_xlpm.expfix,_xlfn.MAXIFS('Rework Log'!$I$2:$I$497,'Rework Log'!$A$2:$A$497,$B83,'Rework Log'!$D$2:$D$497,"PBI Dev",'Rework Log'!$B$2:$B$497,_xlpm.sent),_xlpm.tgt,IF(_xlpm.expfix&gt;0,_xlpm.expfix,IF(R83&lt;&gt;"",R83,Q83)),_xlpm.act,IF(AND(S83&lt;&gt;"",S83&gt;=_xlpm.sent),S83,""),IF(_xlpm.tgt="","No target set",IF(AND(_xlpm.tgt&lt;TODAY(),_xlpm.act=""),"Overdue","On track"))),IF(C83="QA",_xlfn.LET(_xlpm.tgt,IF(AM83&lt;&gt;"",AM83,IF(W83&lt;&gt;"",W83,V83)),_xlpm.sent,_xlfn.MAXIFS('Rework Log'!$B$2:$B$497,'Rework Log'!$A$2:$A$497,$B83,'Rework Log'!$C$2:$C$497,"QA"),_xlpm.act,IF(AND(Y83&lt;&gt;"",Y83&gt;=_xlpm.sent),Y83,""),IF(_xlpm.tgt="","No target set",IF(AND(_xlpm.tgt&lt;TODAY(),_xlpm.act=""),"Overdue","On track"))),IF(C83="DPO Approval",_xlfn.LET(_xlpm.tgt,IF(AN83&lt;&gt;"",AN83,IF(AB83&lt;&gt;"",AB83,AA83)),_xlpm.sent,_xlfn.MAXIFS('Rework Log'!$B$2:$B$497,'Rework Log'!$A$2:$A$497,$B83,'Rework Log'!$C$2:$C$497,"DPO*"),_xlpm.act,IF(AND(AC83&lt;&gt;"",AC83&gt;=_xlpm.sent),AC83,""),IF(_xlpm.tgt="","No target set",IF(AND(_xlpm.tgt&lt;TODAY(),_xlpm.act=""),"Overdue","On track"))),IF(C83="RELEASED IN PROD","Delivered","")))))))))</f>
        <v>On track</v>
      </c>
      <c r="E83" s="31">
        <v>59</v>
      </c>
      <c r="F83" s="31" t="s">
        <v>129</v>
      </c>
      <c r="G83" s="31"/>
      <c r="H83" s="49">
        <v>46325</v>
      </c>
      <c r="I83" s="55" t="s">
        <v>244</v>
      </c>
      <c r="J83" s="53" t="s">
        <v>76</v>
      </c>
      <c r="K83" s="43">
        <v>46304</v>
      </c>
      <c r="L83" s="43">
        <v>46268</v>
      </c>
      <c r="M83" s="46">
        <v>46268</v>
      </c>
      <c r="N83" s="44" t="s">
        <v>257</v>
      </c>
      <c r="O83" s="44" t="s">
        <v>253</v>
      </c>
      <c r="P83" s="74" t="s">
        <v>77</v>
      </c>
      <c r="Q83" s="43">
        <v>46313</v>
      </c>
      <c r="R83" s="43">
        <v>46294</v>
      </c>
      <c r="S83" s="44">
        <v>46294</v>
      </c>
      <c r="T83" s="69" t="s">
        <v>245</v>
      </c>
      <c r="U83" s="46" t="s">
        <v>47</v>
      </c>
      <c r="V83" s="28">
        <v>46316</v>
      </c>
      <c r="W83" s="43"/>
      <c r="X83" s="135">
        <v>46303</v>
      </c>
      <c r="Y83" s="31"/>
      <c r="Z83" s="36"/>
      <c r="AA83" s="28">
        <v>46325</v>
      </c>
      <c r="AB83" s="43"/>
      <c r="AC83" s="43"/>
      <c r="AD83" s="31" t="s">
        <v>267</v>
      </c>
      <c r="AE83" s="31" t="s">
        <v>94</v>
      </c>
      <c r="AF83" s="31"/>
      <c r="AG83" s="31"/>
      <c r="AH83" s="31"/>
      <c r="AI83" s="31"/>
      <c r="AJ83" s="31"/>
      <c r="AK83" s="31" t="str" cm="1">
        <f t="array" ref="AK83">IF($B83="","",_xlfn.LET(_xlpm.nm,$B83,_xlpm.st,$C83,_xlpm.ou,SUMPRODUCT(('Rework Log'!$A$2:$A$497=_xlpm.nm)*('Rework Log'!$G$2:$G$497&lt;&gt;"Yes")*('Rework Log'!$G$2:$G$497&lt;&gt;"Did not pass re-test")*('Rework Log'!$J$2:$J$497="")),_xlpm.ob,SUMPRODUCT(('Rework Log'!$A$2:$A$497=_xlpm.nm)*('Rework Log'!$G$2:$G$497&lt;&gt;"Yes")*('Rework Log'!$G$2:$G$497&lt;&gt;"Did not pass re-test")),_xlpm.oto,IF(SUMPRODUCT(('Rework Log'!$A$2:$A$497=_xlpm.nm)*('Rework Log'!$G$2:$G$497&lt;&gt;"Yes")*('Rework Log'!$G$2:$G$497&lt;&gt;"Did not pass re-test")*('Rework Log'!$J$2:$J$497=""))=0,"",INDEX('Rework Log'!$D$2:$D$497,MATCH(1,('Rework Log'!$A$2:$A$497=_xlpm.nm)*('Rework Log'!$G$2:$G$497&lt;&gt;"Yes")*('Rework Log'!$G$2:$G$497&lt;&gt;"Did not pass re-test")*('Rework Log'!$J$2:$J$497=""),0))),_xlpm.sent,_xlfn.MAXIFS('Rework Log'!$B$2:$B$497,'Rework Log'!$A$2:$A$497,_xlpm.nm),_xlpm.act,_xlfn.IFS(_xlpm.st="NOT STARTED",$M83,_xlpm.st="DB Dev",$M83,_xlpm.st="PBI Dev",$S83,_xlpm.st="QA",$Y83,_xlpm.st="DPO Approval",$AC83,_xlpm.st="Ready for Release in Prod",$AG83,TRUE,""),_xlpm.nxt,_xlfn.IFS(_xlpm.st="NOT STARTED","PBI Dev",_xlpm.st="DB Dev","PBI Dev",_xlpm.st="PBI Dev","QA",_xlpm.st="QA","DPO Approval",_xlpm.st="DPO Approval","Ready for Release in Prod",_xlpm.st="Ready for Release in Prod","RELEASED IN PROD",TRUE,""),IF(AND(_xlpm.ou&gt;0,_xlpm.st&lt;&gt;_xlpm.oto),"Move status back to "&amp;_xlpm.oto,IF(AND(_xlpm.ob=0,LEFT($AJ83,3)="Yes"),"Blocked - log it on Rework Log",IF(AND(_xlpm.ob&gt;0,LEFT($AJ83,3)&lt;&gt;"Yes"),"Open rework row - mark Blocked or close it",IF(AND(_xlpm.ob=0,_xlpm.act&lt;&gt;"",_xlpm.act&gt;=_xlpm.sent,_xlpm.nxt&lt;&gt;""),"Move status to "&amp;_xlpm.nxt,IF(COUNTIF($B$2:$B$528,$B83)&gt;1,"Duplicate name - check row",IF(COUNTIF('Rework Log'!$A$2:$A$497,$B83)&gt;0,"",IF(AND($V83&lt;&gt;"",$K83&lt;&gt;"",$V83&lt;$K83),"QA target is before DB Dev target",IF(AND($V83&lt;&gt;"",$Q83&lt;&gt;"",$V83&lt;$Q83),"QA target is before PBI Dev target",IF(AND($AA83&lt;&gt;"",$V83&lt;&gt;"",$AA83&lt;$V83),"DPO Approval target is before QA target",IF(AND($AG83&lt;&gt;"",$AA83&lt;&gt;"",$AG83&lt;$AA83),"Confirmed Deployed date is before DPO Approval target",""))))))))))))</f>
        <v/>
      </c>
      <c r="AL83" s="31" t="s">
        <v>174</v>
      </c>
      <c r="AM83" s="32" t="str" cm="1">
        <f t="array" ref="AM83">_xlfn.LET(_xlpm.rep,$B83,_xlpm.sent,_xlfn.MAXIFS('Rework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
      </c>
      <c r="AN83" s="32" t="str" cm="1">
        <f t="array" ref="AN83">_xlfn.LET(_xlpm.rep,$B83,_xlpm.sent,_xlfn.MAXIFS('Rework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84" spans="1:40">
      <c r="A84" s="31" t="s">
        <v>126</v>
      </c>
      <c r="B84" s="220" t="s">
        <v>268</v>
      </c>
      <c r="C84" s="31" t="s">
        <v>223</v>
      </c>
      <c r="D84" t="str" cm="1">
        <f t="array" aca="1" ref="D84" ca="1">IF(AND(C84="Ready for Release in Prod",LEFT($AJ84,3)&lt;&gt;"Yes"),IF(AG84&lt;&gt;"","Delivered","On track"),IF($B84="","",IF(LEFT($AJ84,3)="Yes","Blocked - "&amp;MID($AJ84,7,100)&amp;IF(SUMPRODUCT(('Rework Log'!$A$2:$A$497=$B84)*('Rework Log'!$G$2:$G$497&lt;&gt;"Yes")*('Rework Log'!$G$2:$G$497&lt;&gt;"Did not pass re-test"))=0,"",IF(SUMPRODUCT(MAX((('Rework Log'!$A$2:$A$497=$B84)*('Rework Log'!$G$2:$G$497&lt;&gt;"Yes")*('Rework Log'!$G$2:$G$497&lt;&gt;"Did not pass re-test"))*'Rework Log'!$I$2:$I$497))=0," - unclaimed"," - promised "&amp;TEXT(SUMPRODUCT(MAX((('Rework Log'!$A$2:$A$497=$B84)*('Rework Log'!$G$2:$G$497&lt;&gt;"Yes")*('Rework Log'!$G$2:$G$497&lt;&gt;"Did not pass re-test"))*'Rework Log'!$I$2:$I$497)),"m/d"))),IF(C84="NOT STARTED",IF(H84="","No plan date set",IF(H84&lt;TODAY(),"Review - planned start passed","On track")),IF(C84="DB Dev",_xlfn.LET(_xlpm.sent,_xlfn.MAXIFS('Rework Log'!$B$2:$B$497,'Rework Log'!$A$2:$A$497,$B84,'Rework Log'!$D$2:$D$497,"DB Dev"),_xlpm.expfix,_xlfn.MAXIFS('Rework Log'!$I$2:$I$497,'Rework Log'!$A$2:$A$497,$B84,'Rework Log'!$D$2:$D$497,"DB Dev",'Rework Log'!$B$2:$B$497,_xlpm.sent),_xlpm.tgt,IF(_xlpm.expfix&gt;0,_xlpm.expfix,IF(L84&lt;&gt;"",L84,K84)),_xlpm.act,IF(AND(M84&lt;&gt;"",M84&gt;=_xlpm.sent),M84,""),IF(_xlpm.tgt="","No target set",IF(AND(_xlpm.tgt&lt;TODAY(),_xlpm.act=""),"Overdue","On track"))),IF(C84="PBI Dev",_xlfn.LET(_xlpm.sent,_xlfn.MAXIFS('Rework Log'!$B$2:$B$497,'Rework Log'!$A$2:$A$497,$B84,'Rework Log'!$D$2:$D$497,"PBI Dev"),_xlpm.expfix,_xlfn.MAXIFS('Rework Log'!$I$2:$I$497,'Rework Log'!$A$2:$A$497,$B84,'Rework Log'!$D$2:$D$497,"PBI Dev",'Rework Log'!$B$2:$B$497,_xlpm.sent),_xlpm.tgt,IF(_xlpm.expfix&gt;0,_xlpm.expfix,IF(R84&lt;&gt;"",R84,Q84)),_xlpm.act,IF(AND(S84&lt;&gt;"",S84&gt;=_xlpm.sent),S84,""),IF(_xlpm.tgt="","No target set",IF(AND(_xlpm.tgt&lt;TODAY(),_xlpm.act=""),"Overdue","On track"))),IF(C84="QA",_xlfn.LET(_xlpm.tgt,IF(AM84&lt;&gt;"",AM84,IF(W84&lt;&gt;"",W84,V84)),_xlpm.sent,_xlfn.MAXIFS('Rework Log'!$B$2:$B$497,'Rework Log'!$A$2:$A$497,$B84,'Rework Log'!$C$2:$C$497,"QA"),_xlpm.act,IF(AND(Y84&lt;&gt;"",Y84&gt;=_xlpm.sent),Y84,""),IF(_xlpm.tgt="","No target set",IF(AND(_xlpm.tgt&lt;TODAY(),_xlpm.act=""),"Overdue","On track"))),IF(C84="DPO Approval",_xlfn.LET(_xlpm.tgt,IF(AN84&lt;&gt;"",AN84,IF(AB84&lt;&gt;"",AB84,AA84)),_xlpm.sent,_xlfn.MAXIFS('Rework Log'!$B$2:$B$497,'Rework Log'!$A$2:$A$497,$B84,'Rework Log'!$C$2:$C$497,"DPO*"),_xlpm.act,IF(AND(AC84&lt;&gt;"",AC84&gt;=_xlpm.sent),AC84,""),IF(_xlpm.tgt="","No target set",IF(AND(_xlpm.tgt&lt;TODAY(),_xlpm.act=""),"Overdue","On track"))),IF(C84="RELEASED IN PROD","Delivered","")))))))))</f>
        <v>Overdue</v>
      </c>
      <c r="E84" s="31">
        <v>60</v>
      </c>
      <c r="F84" s="34" t="s">
        <v>209</v>
      </c>
      <c r="G84" s="31"/>
      <c r="H84" s="49">
        <v>46325</v>
      </c>
      <c r="I84" s="55" t="s">
        <v>244</v>
      </c>
      <c r="J84" s="53" t="s">
        <v>76</v>
      </c>
      <c r="K84" s="43">
        <v>46304</v>
      </c>
      <c r="L84" s="43">
        <v>46286</v>
      </c>
      <c r="M84" s="46">
        <v>46286</v>
      </c>
      <c r="N84" s="44" t="s">
        <v>257</v>
      </c>
      <c r="O84" s="44" t="s">
        <v>253</v>
      </c>
      <c r="P84" s="74" t="s">
        <v>60</v>
      </c>
      <c r="Q84" s="43">
        <v>46313</v>
      </c>
      <c r="R84" s="43">
        <v>46302</v>
      </c>
      <c r="S84" s="44"/>
      <c r="T84" s="69" t="s">
        <v>245</v>
      </c>
      <c r="U84" s="46"/>
      <c r="V84" s="28">
        <v>46316</v>
      </c>
      <c r="W84" s="43"/>
      <c r="X84" s="31"/>
      <c r="Y84" s="31"/>
      <c r="Z84" s="36"/>
      <c r="AA84" s="28">
        <v>46325</v>
      </c>
      <c r="AB84" s="43"/>
      <c r="AC84" s="43"/>
      <c r="AD84" s="33" t="s">
        <v>124</v>
      </c>
      <c r="AE84" s="31" t="s">
        <v>72</v>
      </c>
      <c r="AF84" s="31"/>
      <c r="AG84" s="31"/>
      <c r="AH84" s="31"/>
      <c r="AI84" s="31"/>
      <c r="AJ84" s="31"/>
      <c r="AK84" s="31" t="str" cm="1">
        <f t="array" ref="AK84">IF($B84="","",_xlfn.LET(_xlpm.nm,$B84,_xlpm.st,$C84,_xlpm.ou,SUMPRODUCT(('Rework Log'!$A$2:$A$497=_xlpm.nm)*('Rework Log'!$G$2:$G$497&lt;&gt;"Yes")*('Rework Log'!$G$2:$G$497&lt;&gt;"Did not pass re-test")*('Rework Log'!$J$2:$J$497="")),_xlpm.ob,SUMPRODUCT(('Rework Log'!$A$2:$A$497=_xlpm.nm)*('Rework Log'!$G$2:$G$497&lt;&gt;"Yes")*('Rework Log'!$G$2:$G$497&lt;&gt;"Did not pass re-test")),_xlpm.oto,IF(SUMPRODUCT(('Rework Log'!$A$2:$A$497=_xlpm.nm)*('Rework Log'!$G$2:$G$497&lt;&gt;"Yes")*('Rework Log'!$G$2:$G$497&lt;&gt;"Did not pass re-test")*('Rework Log'!$J$2:$J$497=""))=0,"",INDEX('Rework Log'!$D$2:$D$497,MATCH(1,('Rework Log'!$A$2:$A$497=_xlpm.nm)*('Rework Log'!$G$2:$G$497&lt;&gt;"Yes")*('Rework Log'!$G$2:$G$497&lt;&gt;"Did not pass re-test")*('Rework Log'!$J$2:$J$497=""),0))),_xlpm.sent,_xlfn.MAXIFS('Rework Log'!$B$2:$B$497,'Rework Log'!$A$2:$A$497,_xlpm.nm),_xlpm.act,_xlfn.IFS(_xlpm.st="NOT STARTED",$M84,_xlpm.st="DB Dev",$M84,_xlpm.st="PBI Dev",$S84,_xlpm.st="QA",$Y84,_xlpm.st="DPO Approval",$AC84,_xlpm.st="Ready for Release in Prod",$AG84,TRUE,""),_xlpm.nxt,_xlfn.IFS(_xlpm.st="NOT STARTED","PBI Dev",_xlpm.st="DB Dev","PBI Dev",_xlpm.st="PBI Dev","QA",_xlpm.st="QA","DPO Approval",_xlpm.st="DPO Approval","Ready for Release in Prod",_xlpm.st="Ready for Release in Prod","RELEASED IN PROD",TRUE,""),IF(AND(_xlpm.ou&gt;0,_xlpm.st&lt;&gt;_xlpm.oto),"Move status back to "&amp;_xlpm.oto,IF(AND(_xlpm.ob=0,LEFT($AJ84,3)="Yes"),"Blocked - log it on Rework Log",IF(AND(_xlpm.ob&gt;0,LEFT($AJ84,3)&lt;&gt;"Yes"),"Open rework row - mark Blocked or close it",IF(AND(_xlpm.ob=0,_xlpm.act&lt;&gt;"",_xlpm.act&gt;=_xlpm.sent,_xlpm.nxt&lt;&gt;""),"Move status to "&amp;_xlpm.nxt,IF(COUNTIF($B$2:$B$528,$B84)&gt;1,"Duplicate name - check row",IF(COUNTIF('Rework Log'!$A$2:$A$497,$B84)&gt;0,"",IF(AND($V84&lt;&gt;"",$K84&lt;&gt;"",$V84&lt;$K84),"QA target is before DB Dev target",IF(AND($V84&lt;&gt;"",$Q84&lt;&gt;"",$V84&lt;$Q84),"QA target is before PBI Dev target",IF(AND($AA84&lt;&gt;"",$V84&lt;&gt;"",$AA84&lt;$V84),"DPO Approval target is before QA target",IF(AND($AG84&lt;&gt;"",$AA84&lt;&gt;"",$AG84&lt;$AA84),"Confirmed Deployed date is before DPO Approval target",""))))))))))))</f>
        <v/>
      </c>
      <c r="AL84" s="31"/>
      <c r="AM84" s="32" t="str" cm="1">
        <f t="array" ref="AM84">_xlfn.LET(_xlpm.rep,$B84,_xlpm.sent,_xlfn.MAXIFS('Rework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
      </c>
      <c r="AN84" s="32" t="str" cm="1">
        <f t="array" ref="AN84">_xlfn.LET(_xlpm.rep,$B84,_xlpm.sent,_xlfn.MAXIFS('Rework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85" spans="1:40">
      <c r="A85" s="31" t="s">
        <v>126</v>
      </c>
      <c r="B85" s="31" t="s">
        <v>269</v>
      </c>
      <c r="C85" s="31" t="s">
        <v>206</v>
      </c>
      <c r="D85" t="str" cm="1">
        <f t="array" aca="1" ref="D85" ca="1">IF(AND(C85="Ready for Release in Prod",LEFT($AJ85,3)&lt;&gt;"Yes"),IF(AG85&lt;&gt;"","Delivered","On track"),IF($B85="","",IF(LEFT($AJ85,3)="Yes","Blocked - "&amp;MID($AJ85,7,100)&amp;IF(SUMPRODUCT(('Rework Log'!$A$2:$A$497=$B85)*('Rework Log'!$G$2:$G$497&lt;&gt;"Yes")*('Rework Log'!$G$2:$G$497&lt;&gt;"Did not pass re-test"))=0,"",IF(SUMPRODUCT(MAX((('Rework Log'!$A$2:$A$497=$B85)*('Rework Log'!$G$2:$G$497&lt;&gt;"Yes")*('Rework Log'!$G$2:$G$497&lt;&gt;"Did not pass re-test"))*'Rework Log'!$I$2:$I$497))=0," - unclaimed"," - promised "&amp;TEXT(SUMPRODUCT(MAX((('Rework Log'!$A$2:$A$497=$B85)*('Rework Log'!$G$2:$G$497&lt;&gt;"Yes")*('Rework Log'!$G$2:$G$497&lt;&gt;"Did not pass re-test"))*'Rework Log'!$I$2:$I$497)),"m/d"))),IF(C85="NOT STARTED",IF(H85="","No plan date set",IF(H85&lt;TODAY(),"Review - planned start passed","On track")),IF(C85="DB Dev",_xlfn.LET(_xlpm.sent,_xlfn.MAXIFS('Rework Log'!$B$2:$B$497,'Rework Log'!$A$2:$A$497,$B85,'Rework Log'!$D$2:$D$497,"DB Dev"),_xlpm.expfix,_xlfn.MAXIFS('Rework Log'!$I$2:$I$497,'Rework Log'!$A$2:$A$497,$B85,'Rework Log'!$D$2:$D$497,"DB Dev",'Rework Log'!$B$2:$B$497,_xlpm.sent),_xlpm.tgt,IF(_xlpm.expfix&gt;0,_xlpm.expfix,IF(L85&lt;&gt;"",L85,K85)),_xlpm.act,IF(AND(M85&lt;&gt;"",M85&gt;=_xlpm.sent),M85,""),IF(_xlpm.tgt="","No target set",IF(AND(_xlpm.tgt&lt;TODAY(),_xlpm.act=""),"Overdue","On track"))),IF(C85="PBI Dev",_xlfn.LET(_xlpm.sent,_xlfn.MAXIFS('Rework Log'!$B$2:$B$497,'Rework Log'!$A$2:$A$497,$B85,'Rework Log'!$D$2:$D$497,"PBI Dev"),_xlpm.expfix,_xlfn.MAXIFS('Rework Log'!$I$2:$I$497,'Rework Log'!$A$2:$A$497,$B85,'Rework Log'!$D$2:$D$497,"PBI Dev",'Rework Log'!$B$2:$B$497,_xlpm.sent),_xlpm.tgt,IF(_xlpm.expfix&gt;0,_xlpm.expfix,IF(R85&lt;&gt;"",R85,Q85)),_xlpm.act,IF(AND(S85&lt;&gt;"",S85&gt;=_xlpm.sent),S85,""),IF(_xlpm.tgt="","No target set",IF(AND(_xlpm.tgt&lt;TODAY(),_xlpm.act=""),"Overdue","On track"))),IF(C85="QA",_xlfn.LET(_xlpm.tgt,IF(AM85&lt;&gt;"",AM85,IF(W85&lt;&gt;"",W85,V85)),_xlpm.sent,_xlfn.MAXIFS('Rework Log'!$B$2:$B$497,'Rework Log'!$A$2:$A$497,$B85,'Rework Log'!$C$2:$C$497,"QA"),_xlpm.act,IF(AND(Y85&lt;&gt;"",Y85&gt;=_xlpm.sent),Y85,""),IF(_xlpm.tgt="","No target set",IF(AND(_xlpm.tgt&lt;TODAY(),_xlpm.act=""),"Overdue","On track"))),IF(C85="DPO Approval",_xlfn.LET(_xlpm.tgt,IF(AN85&lt;&gt;"",AN85,IF(AB85&lt;&gt;"",AB85,AA85)),_xlpm.sent,_xlfn.MAXIFS('Rework Log'!$B$2:$B$497,'Rework Log'!$A$2:$A$497,$B85,'Rework Log'!$C$2:$C$497,"DPO*"),_xlpm.act,IF(AND(AC85&lt;&gt;"",AC85&gt;=_xlpm.sent),AC85,""),IF(_xlpm.tgt="","No target set",IF(AND(_xlpm.tgt&lt;TODAY(),_xlpm.act=""),"Overdue","On track"))),IF(C85="RELEASED IN PROD","Delivered","")))))))))</f>
        <v>On track</v>
      </c>
      <c r="E85" s="31" t="s">
        <v>270</v>
      </c>
      <c r="F85" s="34" t="s">
        <v>209</v>
      </c>
      <c r="G85" s="31"/>
      <c r="H85" s="49">
        <v>46325</v>
      </c>
      <c r="I85" s="55" t="s">
        <v>244</v>
      </c>
      <c r="J85" s="53" t="s">
        <v>44</v>
      </c>
      <c r="K85" s="43">
        <v>46304</v>
      </c>
      <c r="L85" s="43">
        <v>46276</v>
      </c>
      <c r="M85" s="44">
        <v>46286</v>
      </c>
      <c r="N85" s="44" t="s">
        <v>257</v>
      </c>
      <c r="O85" s="44" t="s">
        <v>253</v>
      </c>
      <c r="P85" s="74" t="s">
        <v>60</v>
      </c>
      <c r="Q85" s="43">
        <v>46313</v>
      </c>
      <c r="R85" s="43"/>
      <c r="S85" s="44"/>
      <c r="T85" s="68" t="s">
        <v>264</v>
      </c>
      <c r="U85" s="46"/>
      <c r="V85" s="28">
        <v>46316</v>
      </c>
      <c r="W85" s="43"/>
      <c r="X85" s="31"/>
      <c r="Y85" s="31"/>
      <c r="Z85" s="36"/>
      <c r="AA85" s="28">
        <v>46325</v>
      </c>
      <c r="AB85" s="43"/>
      <c r="AC85" s="43"/>
      <c r="AD85" s="31" t="s">
        <v>188</v>
      </c>
      <c r="AE85" s="31" t="s">
        <v>94</v>
      </c>
      <c r="AF85" s="31"/>
      <c r="AG85" s="31"/>
      <c r="AH85" s="31"/>
      <c r="AI85" s="31"/>
      <c r="AJ85" s="31"/>
      <c r="AK85" s="31" t="str" cm="1">
        <f t="array" ref="AK85">IF($B85="","",_xlfn.LET(_xlpm.nm,$B85,_xlpm.st,$C85,_xlpm.ou,SUMPRODUCT(('Rework Log'!$A$2:$A$497=_xlpm.nm)*('Rework Log'!$G$2:$G$497&lt;&gt;"Yes")*('Rework Log'!$G$2:$G$497&lt;&gt;"Did not pass re-test")*('Rework Log'!$J$2:$J$497="")),_xlpm.ob,SUMPRODUCT(('Rework Log'!$A$2:$A$497=_xlpm.nm)*('Rework Log'!$G$2:$G$497&lt;&gt;"Yes")*('Rework Log'!$G$2:$G$497&lt;&gt;"Did not pass re-test")),_xlpm.oto,IF(SUMPRODUCT(('Rework Log'!$A$2:$A$497=_xlpm.nm)*('Rework Log'!$G$2:$G$497&lt;&gt;"Yes")*('Rework Log'!$G$2:$G$497&lt;&gt;"Did not pass re-test")*('Rework Log'!$J$2:$J$497=""))=0,"",INDEX('Rework Log'!$D$2:$D$497,MATCH(1,('Rework Log'!$A$2:$A$497=_xlpm.nm)*('Rework Log'!$G$2:$G$497&lt;&gt;"Yes")*('Rework Log'!$G$2:$G$497&lt;&gt;"Did not pass re-test")*('Rework Log'!$J$2:$J$497=""),0))),_xlpm.sent,_xlfn.MAXIFS('Rework Log'!$B$2:$B$497,'Rework Log'!$A$2:$A$497,_xlpm.nm),_xlpm.act,_xlfn.IFS(_xlpm.st="NOT STARTED",$M85,_xlpm.st="DB Dev",$M85,_xlpm.st="PBI Dev",$S85,_xlpm.st="QA",$Y85,_xlpm.st="DPO Approval",$AC85,_xlpm.st="Ready for Release in Prod",$AG85,TRUE,""),_xlpm.nxt,_xlfn.IFS(_xlpm.st="NOT STARTED","PBI Dev",_xlpm.st="DB Dev","PBI Dev",_xlpm.st="PBI Dev","QA",_xlpm.st="QA","DPO Approval",_xlpm.st="DPO Approval","Ready for Release in Prod",_xlpm.st="Ready for Release in Prod","RELEASED IN PROD",TRUE,""),IF(AND(_xlpm.ou&gt;0,_xlpm.st&lt;&gt;_xlpm.oto),"Move status back to "&amp;_xlpm.oto,IF(AND(_xlpm.ob=0,LEFT($AJ85,3)="Yes"),"Blocked - log it on Rework Log",IF(AND(_xlpm.ob&gt;0,LEFT($AJ85,3)&lt;&gt;"Yes"),"Open rework row - mark Blocked or close it",IF(AND(_xlpm.ob=0,_xlpm.act&lt;&gt;"",_xlpm.act&gt;=_xlpm.sent,_xlpm.nxt&lt;&gt;""),"Move status to "&amp;_xlpm.nxt,IF(COUNTIF($B$2:$B$528,$B85)&gt;1,"Duplicate name - check row",IF(COUNTIF('Rework Log'!$A$2:$A$497,$B85)&gt;0,"",IF(AND($V85&lt;&gt;"",$K85&lt;&gt;"",$V85&lt;$K85),"QA target is before DB Dev target",IF(AND($V85&lt;&gt;"",$Q85&lt;&gt;"",$V85&lt;$Q85),"QA target is before PBI Dev target",IF(AND($AA85&lt;&gt;"",$V85&lt;&gt;"",$AA85&lt;$V85),"DPO Approval target is before QA target",IF(AND($AG85&lt;&gt;"",$AA85&lt;&gt;"",$AG85&lt;$AA85),"Confirmed Deployed date is before DPO Approval target",""))))))))))))</f>
        <v/>
      </c>
      <c r="AL85" s="31"/>
      <c r="AM85" s="32" t="str" cm="1">
        <f t="array" ref="AM85">_xlfn.LET(_xlpm.rep,$B85,_xlpm.sent,_xlfn.MAXIFS('Rework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
      </c>
      <c r="AN85" s="32" t="str" cm="1">
        <f t="array" ref="AN85">_xlfn.LET(_xlpm.rep,$B85,_xlpm.sent,_xlfn.MAXIFS('Rework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86" spans="1:40">
      <c r="A86" s="31" t="s">
        <v>126</v>
      </c>
      <c r="B86" s="31" t="s">
        <v>271</v>
      </c>
      <c r="C86" s="31" t="s">
        <v>234</v>
      </c>
      <c r="D86" t="str" cm="1">
        <f t="array" aca="1" ref="D86" ca="1">IF(AND(C86="Ready for Release in Prod",LEFT($AJ86,3)&lt;&gt;"Yes"),IF(AG86&lt;&gt;"","Delivered","On track"),IF($B86="","",IF(LEFT($AJ86,3)="Yes","Blocked - "&amp;MID($AJ86,7,100)&amp;IF(SUMPRODUCT(('Rework Log'!$A$2:$A$497=$B86)*('Rework Log'!$G$2:$G$497&lt;&gt;"Yes")*('Rework Log'!$G$2:$G$497&lt;&gt;"Did not pass re-test"))=0,"",IF(SUMPRODUCT(MAX((('Rework Log'!$A$2:$A$497=$B86)*('Rework Log'!$G$2:$G$497&lt;&gt;"Yes")*('Rework Log'!$G$2:$G$497&lt;&gt;"Did not pass re-test"))*'Rework Log'!$I$2:$I$497))=0," - unclaimed"," - promised "&amp;TEXT(SUMPRODUCT(MAX((('Rework Log'!$A$2:$A$497=$B86)*('Rework Log'!$G$2:$G$497&lt;&gt;"Yes")*('Rework Log'!$G$2:$G$497&lt;&gt;"Did not pass re-test"))*'Rework Log'!$I$2:$I$497)),"m/d"))),IF(C86="NOT STARTED",IF(H86="","No plan date set",IF(H86&lt;TODAY(),"Review - planned start passed","On track")),IF(C86="DB Dev",_xlfn.LET(_xlpm.sent,_xlfn.MAXIFS('Rework Log'!$B$2:$B$497,'Rework Log'!$A$2:$A$497,$B86,'Rework Log'!$D$2:$D$497,"DB Dev"),_xlpm.expfix,_xlfn.MAXIFS('Rework Log'!$I$2:$I$497,'Rework Log'!$A$2:$A$497,$B86,'Rework Log'!$D$2:$D$497,"DB Dev",'Rework Log'!$B$2:$B$497,_xlpm.sent),_xlpm.tgt,IF(_xlpm.expfix&gt;0,_xlpm.expfix,IF(L86&lt;&gt;"",L86,K86)),_xlpm.act,IF(AND(M86&lt;&gt;"",M86&gt;=_xlpm.sent),M86,""),IF(_xlpm.tgt="","No target set",IF(AND(_xlpm.tgt&lt;TODAY(),_xlpm.act=""),"Overdue","On track"))),IF(C86="PBI Dev",_xlfn.LET(_xlpm.sent,_xlfn.MAXIFS('Rework Log'!$B$2:$B$497,'Rework Log'!$A$2:$A$497,$B86,'Rework Log'!$D$2:$D$497,"PBI Dev"),_xlpm.expfix,_xlfn.MAXIFS('Rework Log'!$I$2:$I$497,'Rework Log'!$A$2:$A$497,$B86,'Rework Log'!$D$2:$D$497,"PBI Dev",'Rework Log'!$B$2:$B$497,_xlpm.sent),_xlpm.tgt,IF(_xlpm.expfix&gt;0,_xlpm.expfix,IF(R86&lt;&gt;"",R86,Q86)),_xlpm.act,IF(AND(S86&lt;&gt;"",S86&gt;=_xlpm.sent),S86,""),IF(_xlpm.tgt="","No target set",IF(AND(_xlpm.tgt&lt;TODAY(),_xlpm.act=""),"Overdue","On track"))),IF(C86="QA",_xlfn.LET(_xlpm.tgt,IF(AM86&lt;&gt;"",AM86,IF(W86&lt;&gt;"",W86,V86)),_xlpm.sent,_xlfn.MAXIFS('Rework Log'!$B$2:$B$497,'Rework Log'!$A$2:$A$497,$B86,'Rework Log'!$C$2:$C$497,"QA"),_xlpm.act,IF(AND(Y86&lt;&gt;"",Y86&gt;=_xlpm.sent),Y86,""),IF(_xlpm.tgt="","No target set",IF(AND(_xlpm.tgt&lt;TODAY(),_xlpm.act=""),"Overdue","On track"))),IF(C86="DPO Approval",_xlfn.LET(_xlpm.tgt,IF(AN86&lt;&gt;"",AN86,IF(AB86&lt;&gt;"",AB86,AA86)),_xlpm.sent,_xlfn.MAXIFS('Rework Log'!$B$2:$B$497,'Rework Log'!$A$2:$A$497,$B86,'Rework Log'!$C$2:$C$497,"DPO*"),_xlpm.act,IF(AND(AC86&lt;&gt;"",AC86&gt;=_xlpm.sent),AC86,""),IF(_xlpm.tgt="","No target set",IF(AND(_xlpm.tgt&lt;TODAY(),_xlpm.act=""),"Overdue","On track"))),IF(C86="RELEASED IN PROD","Delivered","")))))))))</f>
        <v>On track</v>
      </c>
      <c r="E86" s="31">
        <v>67</v>
      </c>
      <c r="F86" s="34" t="s">
        <v>209</v>
      </c>
      <c r="G86" s="31"/>
      <c r="H86" s="49">
        <v>46356</v>
      </c>
      <c r="I86" s="55" t="s">
        <v>272</v>
      </c>
      <c r="J86" s="53" t="s">
        <v>84</v>
      </c>
      <c r="K86" s="49">
        <v>46332</v>
      </c>
      <c r="L86" s="43">
        <v>46332</v>
      </c>
      <c r="M86" s="44">
        <v>46290</v>
      </c>
      <c r="N86" s="44"/>
      <c r="O86" s="44" t="s">
        <v>253</v>
      </c>
      <c r="P86" s="74" t="s">
        <v>60</v>
      </c>
      <c r="Q86" s="49">
        <v>46339</v>
      </c>
      <c r="R86" s="43"/>
      <c r="S86" s="44"/>
      <c r="T86" s="68" t="s">
        <v>264</v>
      </c>
      <c r="U86" s="46"/>
      <c r="V86" s="28">
        <v>46344</v>
      </c>
      <c r="W86" s="43"/>
      <c r="X86" s="31"/>
      <c r="Y86" s="31"/>
      <c r="Z86" s="36"/>
      <c r="AA86" s="28">
        <v>46356</v>
      </c>
      <c r="AB86" s="43"/>
      <c r="AC86" s="43"/>
      <c r="AD86" s="31" t="s">
        <v>273</v>
      </c>
      <c r="AE86" s="31" t="s">
        <v>49</v>
      </c>
      <c r="AF86" s="31"/>
      <c r="AG86" s="31"/>
      <c r="AH86" s="31"/>
      <c r="AI86" s="31"/>
      <c r="AJ86" s="31"/>
      <c r="AK86" s="31" t="str" cm="1">
        <f t="array" ref="AK86">IF($B86="","",_xlfn.LET(_xlpm.nm,$B86,_xlpm.st,$C86,_xlpm.ou,SUMPRODUCT(('Rework Log'!$A$2:$A$497=_xlpm.nm)*('Rework Log'!$G$2:$G$497&lt;&gt;"Yes")*('Rework Log'!$G$2:$G$497&lt;&gt;"Did not pass re-test")*('Rework Log'!$J$2:$J$497="")),_xlpm.ob,SUMPRODUCT(('Rework Log'!$A$2:$A$497=_xlpm.nm)*('Rework Log'!$G$2:$G$497&lt;&gt;"Yes")*('Rework Log'!$G$2:$G$497&lt;&gt;"Did not pass re-test")),_xlpm.oto,IF(SUMPRODUCT(('Rework Log'!$A$2:$A$497=_xlpm.nm)*('Rework Log'!$G$2:$G$497&lt;&gt;"Yes")*('Rework Log'!$G$2:$G$497&lt;&gt;"Did not pass re-test")*('Rework Log'!$J$2:$J$497=""))=0,"",INDEX('Rework Log'!$D$2:$D$497,MATCH(1,('Rework Log'!$A$2:$A$497=_xlpm.nm)*('Rework Log'!$G$2:$G$497&lt;&gt;"Yes")*('Rework Log'!$G$2:$G$497&lt;&gt;"Did not pass re-test")*('Rework Log'!$J$2:$J$497=""),0))),_xlpm.sent,_xlfn.MAXIFS('Rework Log'!$B$2:$B$497,'Rework Log'!$A$2:$A$497,_xlpm.nm),_xlpm.act,_xlfn.IFS(_xlpm.st="NOT STARTED",$M86,_xlpm.st="DB Dev",$M86,_xlpm.st="PBI Dev",$S86,_xlpm.st="QA",$Y86,_xlpm.st="DPO Approval",$AC86,_xlpm.st="Ready for Release in Prod",$AG86,TRUE,""),_xlpm.nxt,_xlfn.IFS(_xlpm.st="NOT STARTED","PBI Dev",_xlpm.st="DB Dev","PBI Dev",_xlpm.st="PBI Dev","QA",_xlpm.st="QA","DPO Approval",_xlpm.st="DPO Approval","Ready for Release in Prod",_xlpm.st="Ready for Release in Prod","RELEASED IN PROD",TRUE,""),IF(AND(_xlpm.ou&gt;0,_xlpm.st&lt;&gt;_xlpm.oto),"Move status back to "&amp;_xlpm.oto,IF(AND(_xlpm.ob=0,LEFT($AJ86,3)="Yes"),"Blocked - log it on Rework Log",IF(AND(_xlpm.ob&gt;0,LEFT($AJ86,3)&lt;&gt;"Yes"),"Open rework row - mark Blocked or close it",IF(AND(_xlpm.ob=0,_xlpm.act&lt;&gt;"",_xlpm.act&gt;=_xlpm.sent,_xlpm.nxt&lt;&gt;""),"Move status to "&amp;_xlpm.nxt,IF(COUNTIF($B$2:$B$528,$B86)&gt;1,"Duplicate name - check row",IF(COUNTIF('Rework Log'!$A$2:$A$497,$B86)&gt;0,"",IF(AND($V86&lt;&gt;"",$K86&lt;&gt;"",$V86&lt;$K86),"QA target is before DB Dev target",IF(AND($V86&lt;&gt;"",$Q86&lt;&gt;"",$V86&lt;$Q86),"QA target is before PBI Dev target",IF(AND($AA86&lt;&gt;"",$V86&lt;&gt;"",$AA86&lt;$V86),"DPO Approval target is before QA target",IF(AND($AG86&lt;&gt;"",$AA86&lt;&gt;"",$AG86&lt;$AA86),"Confirmed Deployed date is before DPO Approval target",""))))))))))))</f>
        <v>Move status to PBI Dev</v>
      </c>
      <c r="AL86" s="141" t="s">
        <v>274</v>
      </c>
      <c r="AM86" s="32" t="str" cm="1">
        <f t="array" ref="AM86">_xlfn.LET(_xlpm.rep,$B86,_xlpm.sent,_xlfn.MAXIFS('Rework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
      </c>
      <c r="AN86" s="32" t="str" cm="1">
        <f t="array" ref="AN86">_xlfn.LET(_xlpm.rep,$B86,_xlpm.sent,_xlfn.MAXIFS('Rework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87" spans="1:40">
      <c r="A87" s="31" t="s">
        <v>126</v>
      </c>
      <c r="B87" s="31" t="s">
        <v>275</v>
      </c>
      <c r="C87" s="31" t="s">
        <v>234</v>
      </c>
      <c r="D87" t="str" cm="1">
        <f t="array" aca="1" ref="D87" ca="1">IF(AND(C87="Ready for Release in Prod",LEFT($AJ87,3)&lt;&gt;"Yes"),IF(AG87&lt;&gt;"","Delivered","On track"),IF($B87="","",IF(LEFT($AJ87,3)="Yes","Blocked - "&amp;MID($AJ87,7,100)&amp;IF(SUMPRODUCT(('Rework Log'!$A$2:$A$497=$B87)*('Rework Log'!$G$2:$G$497&lt;&gt;"Yes")*('Rework Log'!$G$2:$G$497&lt;&gt;"Did not pass re-test"))=0,"",IF(SUMPRODUCT(MAX((('Rework Log'!$A$2:$A$497=$B87)*('Rework Log'!$G$2:$G$497&lt;&gt;"Yes")*('Rework Log'!$G$2:$G$497&lt;&gt;"Did not pass re-test"))*'Rework Log'!$I$2:$I$497))=0," - unclaimed"," - promised "&amp;TEXT(SUMPRODUCT(MAX((('Rework Log'!$A$2:$A$497=$B87)*('Rework Log'!$G$2:$G$497&lt;&gt;"Yes")*('Rework Log'!$G$2:$G$497&lt;&gt;"Did not pass re-test"))*'Rework Log'!$I$2:$I$497)),"m/d"))),IF(C87="NOT STARTED",IF(H87="","No plan date set",IF(H87&lt;TODAY(),"Review - planned start passed","On track")),IF(C87="DB Dev",_xlfn.LET(_xlpm.sent,_xlfn.MAXIFS('Rework Log'!$B$2:$B$497,'Rework Log'!$A$2:$A$497,$B87,'Rework Log'!$D$2:$D$497,"DB Dev"),_xlpm.expfix,_xlfn.MAXIFS('Rework Log'!$I$2:$I$497,'Rework Log'!$A$2:$A$497,$B87,'Rework Log'!$D$2:$D$497,"DB Dev",'Rework Log'!$B$2:$B$497,_xlpm.sent),_xlpm.tgt,IF(_xlpm.expfix&gt;0,_xlpm.expfix,IF(L87&lt;&gt;"",L87,K87)),_xlpm.act,IF(AND(M87&lt;&gt;"",M87&gt;=_xlpm.sent),M87,""),IF(_xlpm.tgt="","No target set",IF(AND(_xlpm.tgt&lt;TODAY(),_xlpm.act=""),"Overdue","On track"))),IF(C87="PBI Dev",_xlfn.LET(_xlpm.sent,_xlfn.MAXIFS('Rework Log'!$B$2:$B$497,'Rework Log'!$A$2:$A$497,$B87,'Rework Log'!$D$2:$D$497,"PBI Dev"),_xlpm.expfix,_xlfn.MAXIFS('Rework Log'!$I$2:$I$497,'Rework Log'!$A$2:$A$497,$B87,'Rework Log'!$D$2:$D$497,"PBI Dev",'Rework Log'!$B$2:$B$497,_xlpm.sent),_xlpm.tgt,IF(_xlpm.expfix&gt;0,_xlpm.expfix,IF(R87&lt;&gt;"",R87,Q87)),_xlpm.act,IF(AND(S87&lt;&gt;"",S87&gt;=_xlpm.sent),S87,""),IF(_xlpm.tgt="","No target set",IF(AND(_xlpm.tgt&lt;TODAY(),_xlpm.act=""),"Overdue","On track"))),IF(C87="QA",_xlfn.LET(_xlpm.tgt,IF(AM87&lt;&gt;"",AM87,IF(W87&lt;&gt;"",W87,V87)),_xlpm.sent,_xlfn.MAXIFS('Rework Log'!$B$2:$B$497,'Rework Log'!$A$2:$A$497,$B87,'Rework Log'!$C$2:$C$497,"QA"),_xlpm.act,IF(AND(Y87&lt;&gt;"",Y87&gt;=_xlpm.sent),Y87,""),IF(_xlpm.tgt="","No target set",IF(AND(_xlpm.tgt&lt;TODAY(),_xlpm.act=""),"Overdue","On track"))),IF(C87="DPO Approval",_xlfn.LET(_xlpm.tgt,IF(AN87&lt;&gt;"",AN87,IF(AB87&lt;&gt;"",AB87,AA87)),_xlpm.sent,_xlfn.MAXIFS('Rework Log'!$B$2:$B$497,'Rework Log'!$A$2:$A$497,$B87,'Rework Log'!$C$2:$C$497,"DPO*"),_xlpm.act,IF(AND(AC87&lt;&gt;"",AC87&gt;=_xlpm.sent),AC87,""),IF(_xlpm.tgt="","No target set",IF(AND(_xlpm.tgt&lt;TODAY(),_xlpm.act=""),"Overdue","On track"))),IF(C87="RELEASED IN PROD","Delivered","")))))))))</f>
        <v>On track</v>
      </c>
      <c r="E87" s="31">
        <v>68</v>
      </c>
      <c r="F87" s="34" t="s">
        <v>209</v>
      </c>
      <c r="G87" s="31"/>
      <c r="H87" s="49">
        <v>46356</v>
      </c>
      <c r="I87" s="55" t="s">
        <v>272</v>
      </c>
      <c r="J87" s="53" t="s">
        <v>59</v>
      </c>
      <c r="K87" s="49">
        <v>46332</v>
      </c>
      <c r="L87" s="43"/>
      <c r="M87" s="44"/>
      <c r="N87" s="44"/>
      <c r="O87" s="44" t="s">
        <v>253</v>
      </c>
      <c r="P87" s="74" t="s">
        <v>60</v>
      </c>
      <c r="Q87" s="49">
        <v>46339</v>
      </c>
      <c r="R87" s="43"/>
      <c r="S87" s="44"/>
      <c r="T87" s="68" t="s">
        <v>264</v>
      </c>
      <c r="U87" s="46"/>
      <c r="V87" s="28">
        <v>46344</v>
      </c>
      <c r="W87" s="43"/>
      <c r="X87" s="31"/>
      <c r="Y87" s="31"/>
      <c r="Z87" s="36"/>
      <c r="AA87" s="28">
        <v>46356</v>
      </c>
      <c r="AB87" s="43"/>
      <c r="AC87" s="43"/>
      <c r="AD87" s="31" t="s">
        <v>170</v>
      </c>
      <c r="AE87" s="31" t="s">
        <v>49</v>
      </c>
      <c r="AF87" s="31"/>
      <c r="AG87" s="31"/>
      <c r="AH87" s="31"/>
      <c r="AI87" s="31"/>
      <c r="AJ87" s="31"/>
      <c r="AK87" s="31" t="str" cm="1">
        <f t="array" ref="AK87">IF($B87="","",_xlfn.LET(_xlpm.nm,$B87,_xlpm.st,$C87,_xlpm.ou,SUMPRODUCT(('Rework Log'!$A$2:$A$497=_xlpm.nm)*('Rework Log'!$G$2:$G$497&lt;&gt;"Yes")*('Rework Log'!$G$2:$G$497&lt;&gt;"Did not pass re-test")*('Rework Log'!$J$2:$J$497="")),_xlpm.ob,SUMPRODUCT(('Rework Log'!$A$2:$A$497=_xlpm.nm)*('Rework Log'!$G$2:$G$497&lt;&gt;"Yes")*('Rework Log'!$G$2:$G$497&lt;&gt;"Did not pass re-test")),_xlpm.oto,IF(SUMPRODUCT(('Rework Log'!$A$2:$A$497=_xlpm.nm)*('Rework Log'!$G$2:$G$497&lt;&gt;"Yes")*('Rework Log'!$G$2:$G$497&lt;&gt;"Did not pass re-test")*('Rework Log'!$J$2:$J$497=""))=0,"",INDEX('Rework Log'!$D$2:$D$497,MATCH(1,('Rework Log'!$A$2:$A$497=_xlpm.nm)*('Rework Log'!$G$2:$G$497&lt;&gt;"Yes")*('Rework Log'!$G$2:$G$497&lt;&gt;"Did not pass re-test")*('Rework Log'!$J$2:$J$497=""),0))),_xlpm.sent,_xlfn.MAXIFS('Rework Log'!$B$2:$B$497,'Rework Log'!$A$2:$A$497,_xlpm.nm),_xlpm.act,_xlfn.IFS(_xlpm.st="NOT STARTED",$M87,_xlpm.st="DB Dev",$M87,_xlpm.st="PBI Dev",$S87,_xlpm.st="QA",$Y87,_xlpm.st="DPO Approval",$AC87,_xlpm.st="Ready for Release in Prod",$AG87,TRUE,""),_xlpm.nxt,_xlfn.IFS(_xlpm.st="NOT STARTED","PBI Dev",_xlpm.st="DB Dev","PBI Dev",_xlpm.st="PBI Dev","QA",_xlpm.st="QA","DPO Approval",_xlpm.st="DPO Approval","Ready for Release in Prod",_xlpm.st="Ready for Release in Prod","RELEASED IN PROD",TRUE,""),IF(AND(_xlpm.ou&gt;0,_xlpm.st&lt;&gt;_xlpm.oto),"Move status back to "&amp;_xlpm.oto,IF(AND(_xlpm.ob=0,LEFT($AJ87,3)="Yes"),"Blocked - log it on Rework Log",IF(AND(_xlpm.ob&gt;0,LEFT($AJ87,3)&lt;&gt;"Yes"),"Open rework row - mark Blocked or close it",IF(AND(_xlpm.ob=0,_xlpm.act&lt;&gt;"",_xlpm.act&gt;=_xlpm.sent,_xlpm.nxt&lt;&gt;""),"Move status to "&amp;_xlpm.nxt,IF(COUNTIF($B$2:$B$528,$B87)&gt;1,"Duplicate name - check row",IF(COUNTIF('Rework Log'!$A$2:$A$497,$B87)&gt;0,"",IF(AND($V87&lt;&gt;"",$K87&lt;&gt;"",$V87&lt;$K87),"QA target is before DB Dev target",IF(AND($V87&lt;&gt;"",$Q87&lt;&gt;"",$V87&lt;$Q87),"QA target is before PBI Dev target",IF(AND($AA87&lt;&gt;"",$V87&lt;&gt;"",$AA87&lt;$V87),"DPO Approval target is before QA target",IF(AND($AG87&lt;&gt;"",$AA87&lt;&gt;"",$AG87&lt;$AA87),"Confirmed Deployed date is before DPO Approval target",""))))))))))))</f>
        <v/>
      </c>
      <c r="AL87" s="31"/>
      <c r="AM87" s="32" t="str" cm="1">
        <f t="array" ref="AM87">_xlfn.LET(_xlpm.rep,$B87,_xlpm.sent,_xlfn.MAXIFS('Rework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
      </c>
      <c r="AN87" s="32" t="str" cm="1">
        <f t="array" ref="AN87">_xlfn.LET(_xlpm.rep,$B87,_xlpm.sent,_xlfn.MAXIFS('Rework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88" spans="1:40">
      <c r="A88" s="31" t="s">
        <v>126</v>
      </c>
      <c r="B88" s="31" t="s">
        <v>276</v>
      </c>
      <c r="C88" s="31" t="s">
        <v>234</v>
      </c>
      <c r="D88" t="str" cm="1">
        <f t="array" aca="1" ref="D88" ca="1">IF(AND(C88="Ready for Release in Prod",LEFT($AJ88,3)&lt;&gt;"Yes"),IF(AG88&lt;&gt;"","Delivered","On track"),IF($B88="","",IF(LEFT($AJ88,3)="Yes","Blocked - "&amp;MID($AJ88,7,100)&amp;IF(SUMPRODUCT(('Rework Log'!$A$2:$A$497=$B88)*('Rework Log'!$G$2:$G$497&lt;&gt;"Yes")*('Rework Log'!$G$2:$G$497&lt;&gt;"Did not pass re-test"))=0,"",IF(SUMPRODUCT(MAX((('Rework Log'!$A$2:$A$497=$B88)*('Rework Log'!$G$2:$G$497&lt;&gt;"Yes")*('Rework Log'!$G$2:$G$497&lt;&gt;"Did not pass re-test"))*'Rework Log'!$I$2:$I$497))=0," - unclaimed"," - promised "&amp;TEXT(SUMPRODUCT(MAX((('Rework Log'!$A$2:$A$497=$B88)*('Rework Log'!$G$2:$G$497&lt;&gt;"Yes")*('Rework Log'!$G$2:$G$497&lt;&gt;"Did not pass re-test"))*'Rework Log'!$I$2:$I$497)),"m/d"))),IF(C88="NOT STARTED",IF(H88="","No plan date set",IF(H88&lt;TODAY(),"Review - planned start passed","On track")),IF(C88="DB Dev",_xlfn.LET(_xlpm.sent,_xlfn.MAXIFS('Rework Log'!$B$2:$B$497,'Rework Log'!$A$2:$A$497,$B88,'Rework Log'!$D$2:$D$497,"DB Dev"),_xlpm.expfix,_xlfn.MAXIFS('Rework Log'!$I$2:$I$497,'Rework Log'!$A$2:$A$497,$B88,'Rework Log'!$D$2:$D$497,"DB Dev",'Rework Log'!$B$2:$B$497,_xlpm.sent),_xlpm.tgt,IF(_xlpm.expfix&gt;0,_xlpm.expfix,IF(L88&lt;&gt;"",L88,K88)),_xlpm.act,IF(AND(M88&lt;&gt;"",M88&gt;=_xlpm.sent),M88,""),IF(_xlpm.tgt="","No target set",IF(AND(_xlpm.tgt&lt;TODAY(),_xlpm.act=""),"Overdue","On track"))),IF(C88="PBI Dev",_xlfn.LET(_xlpm.sent,_xlfn.MAXIFS('Rework Log'!$B$2:$B$497,'Rework Log'!$A$2:$A$497,$B88,'Rework Log'!$D$2:$D$497,"PBI Dev"),_xlpm.expfix,_xlfn.MAXIFS('Rework Log'!$I$2:$I$497,'Rework Log'!$A$2:$A$497,$B88,'Rework Log'!$D$2:$D$497,"PBI Dev",'Rework Log'!$B$2:$B$497,_xlpm.sent),_xlpm.tgt,IF(_xlpm.expfix&gt;0,_xlpm.expfix,IF(R88&lt;&gt;"",R88,Q88)),_xlpm.act,IF(AND(S88&lt;&gt;"",S88&gt;=_xlpm.sent),S88,""),IF(_xlpm.tgt="","No target set",IF(AND(_xlpm.tgt&lt;TODAY(),_xlpm.act=""),"Overdue","On track"))),IF(C88="QA",_xlfn.LET(_xlpm.tgt,IF(AM88&lt;&gt;"",AM88,IF(W88&lt;&gt;"",W88,V88)),_xlpm.sent,_xlfn.MAXIFS('Rework Log'!$B$2:$B$497,'Rework Log'!$A$2:$A$497,$B88,'Rework Log'!$C$2:$C$497,"QA"),_xlpm.act,IF(AND(Y88&lt;&gt;"",Y88&gt;=_xlpm.sent),Y88,""),IF(_xlpm.tgt="","No target set",IF(AND(_xlpm.tgt&lt;TODAY(),_xlpm.act=""),"Overdue","On track"))),IF(C88="DPO Approval",_xlfn.LET(_xlpm.tgt,IF(AN88&lt;&gt;"",AN88,IF(AB88&lt;&gt;"",AB88,AA88)),_xlpm.sent,_xlfn.MAXIFS('Rework Log'!$B$2:$B$497,'Rework Log'!$A$2:$A$497,$B88,'Rework Log'!$C$2:$C$497,"DPO*"),_xlpm.act,IF(AND(AC88&lt;&gt;"",AC88&gt;=_xlpm.sent),AC88,""),IF(_xlpm.tgt="","No target set",IF(AND(_xlpm.tgt&lt;TODAY(),_xlpm.act=""),"Overdue","On track"))),IF(C88="RELEASED IN PROD","Delivered","")))))))))</f>
        <v>On track</v>
      </c>
      <c r="E88" s="31">
        <v>69</v>
      </c>
      <c r="F88" s="34" t="s">
        <v>209</v>
      </c>
      <c r="G88" s="31"/>
      <c r="H88" s="49">
        <v>46356</v>
      </c>
      <c r="I88" s="55" t="s">
        <v>272</v>
      </c>
      <c r="J88" s="53" t="s">
        <v>59</v>
      </c>
      <c r="K88" s="49">
        <v>46332</v>
      </c>
      <c r="L88" s="43"/>
      <c r="M88" s="44"/>
      <c r="N88" s="44"/>
      <c r="O88" s="44" t="s">
        <v>253</v>
      </c>
      <c r="P88" s="74" t="s">
        <v>77</v>
      </c>
      <c r="Q88" s="49">
        <v>46339</v>
      </c>
      <c r="R88" s="43"/>
      <c r="S88" s="44"/>
      <c r="T88" s="68" t="s">
        <v>277</v>
      </c>
      <c r="U88" s="46"/>
      <c r="V88" s="28">
        <v>46344</v>
      </c>
      <c r="W88" s="43"/>
      <c r="X88" s="31"/>
      <c r="Y88" s="31"/>
      <c r="Z88" s="36"/>
      <c r="AA88" s="28">
        <v>46356</v>
      </c>
      <c r="AB88" s="43"/>
      <c r="AC88" s="43"/>
      <c r="AD88" s="31" t="s">
        <v>170</v>
      </c>
      <c r="AE88" s="31" t="s">
        <v>72</v>
      </c>
      <c r="AF88" s="31"/>
      <c r="AG88" s="31"/>
      <c r="AH88" s="31"/>
      <c r="AI88" s="31"/>
      <c r="AJ88" s="31"/>
      <c r="AK88" s="31" t="str" cm="1">
        <f t="array" ref="AK88">IF($B88="","",_xlfn.LET(_xlpm.nm,$B88,_xlpm.st,$C88,_xlpm.ou,SUMPRODUCT(('Rework Log'!$A$2:$A$497=_xlpm.nm)*('Rework Log'!$G$2:$G$497&lt;&gt;"Yes")*('Rework Log'!$G$2:$G$497&lt;&gt;"Did not pass re-test")*('Rework Log'!$J$2:$J$497="")),_xlpm.ob,SUMPRODUCT(('Rework Log'!$A$2:$A$497=_xlpm.nm)*('Rework Log'!$G$2:$G$497&lt;&gt;"Yes")*('Rework Log'!$G$2:$G$497&lt;&gt;"Did not pass re-test")),_xlpm.oto,IF(SUMPRODUCT(('Rework Log'!$A$2:$A$497=_xlpm.nm)*('Rework Log'!$G$2:$G$497&lt;&gt;"Yes")*('Rework Log'!$G$2:$G$497&lt;&gt;"Did not pass re-test")*('Rework Log'!$J$2:$J$497=""))=0,"",INDEX('Rework Log'!$D$2:$D$497,MATCH(1,('Rework Log'!$A$2:$A$497=_xlpm.nm)*('Rework Log'!$G$2:$G$497&lt;&gt;"Yes")*('Rework Log'!$G$2:$G$497&lt;&gt;"Did not pass re-test")*('Rework Log'!$J$2:$J$497=""),0))),_xlpm.sent,_xlfn.MAXIFS('Rework Log'!$B$2:$B$497,'Rework Log'!$A$2:$A$497,_xlpm.nm),_xlpm.act,_xlfn.IFS(_xlpm.st="NOT STARTED",$M88,_xlpm.st="DB Dev",$M88,_xlpm.st="PBI Dev",$S88,_xlpm.st="QA",$Y88,_xlpm.st="DPO Approval",$AC88,_xlpm.st="Ready for Release in Prod",$AG88,TRUE,""),_xlpm.nxt,_xlfn.IFS(_xlpm.st="NOT STARTED","PBI Dev",_xlpm.st="DB Dev","PBI Dev",_xlpm.st="PBI Dev","QA",_xlpm.st="QA","DPO Approval",_xlpm.st="DPO Approval","Ready for Release in Prod",_xlpm.st="Ready for Release in Prod","RELEASED IN PROD",TRUE,""),IF(AND(_xlpm.ou&gt;0,_xlpm.st&lt;&gt;_xlpm.oto),"Move status back to "&amp;_xlpm.oto,IF(AND(_xlpm.ob=0,LEFT($AJ88,3)="Yes"),"Blocked - log it on Rework Log",IF(AND(_xlpm.ob&gt;0,LEFT($AJ88,3)&lt;&gt;"Yes"),"Open rework row - mark Blocked or close it",IF(AND(_xlpm.ob=0,_xlpm.act&lt;&gt;"",_xlpm.act&gt;=_xlpm.sent,_xlpm.nxt&lt;&gt;""),"Move status to "&amp;_xlpm.nxt,IF(COUNTIF($B$2:$B$528,$B88)&gt;1,"Duplicate name - check row",IF(COUNTIF('Rework Log'!$A$2:$A$497,$B88)&gt;0,"",IF(AND($V88&lt;&gt;"",$K88&lt;&gt;"",$V88&lt;$K88),"QA target is before DB Dev target",IF(AND($V88&lt;&gt;"",$Q88&lt;&gt;"",$V88&lt;$Q88),"QA target is before PBI Dev target",IF(AND($AA88&lt;&gt;"",$V88&lt;&gt;"",$AA88&lt;$V88),"DPO Approval target is before QA target",IF(AND($AG88&lt;&gt;"",$AA88&lt;&gt;"",$AG88&lt;$AA88),"Confirmed Deployed date is before DPO Approval target",""))))))))))))</f>
        <v/>
      </c>
      <c r="AL88" s="31"/>
      <c r="AM88" s="32" t="str" cm="1">
        <f t="array" ref="AM88">_xlfn.LET(_xlpm.rep,$B88,_xlpm.sent,_xlfn.MAXIFS('Rework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
      </c>
      <c r="AN88" s="32" t="str" cm="1">
        <f t="array" ref="AN88">_xlfn.LET(_xlpm.rep,$B88,_xlpm.sent,_xlfn.MAXIFS('Rework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89" spans="1:40">
      <c r="A89" s="31" t="s">
        <v>126</v>
      </c>
      <c r="B89" s="31" t="s">
        <v>278</v>
      </c>
      <c r="C89" s="31" t="s">
        <v>234</v>
      </c>
      <c r="D89" t="str" cm="1">
        <f t="array" aca="1" ref="D89" ca="1">IF(AND(C89="Ready for Release in Prod",LEFT($AJ89,3)&lt;&gt;"Yes"),IF(AG89&lt;&gt;"","Delivered","On track"),IF($B89="","",IF(LEFT($AJ89,3)="Yes","Blocked - "&amp;MID($AJ89,7,100)&amp;IF(SUMPRODUCT(('Rework Log'!$A$2:$A$497=$B89)*('Rework Log'!$G$2:$G$497&lt;&gt;"Yes")*('Rework Log'!$G$2:$G$497&lt;&gt;"Did not pass re-test"))=0,"",IF(SUMPRODUCT(MAX((('Rework Log'!$A$2:$A$497=$B89)*('Rework Log'!$G$2:$G$497&lt;&gt;"Yes")*('Rework Log'!$G$2:$G$497&lt;&gt;"Did not pass re-test"))*'Rework Log'!$I$2:$I$497))=0," - unclaimed"," - promised "&amp;TEXT(SUMPRODUCT(MAX((('Rework Log'!$A$2:$A$497=$B89)*('Rework Log'!$G$2:$G$497&lt;&gt;"Yes")*('Rework Log'!$G$2:$G$497&lt;&gt;"Did not pass re-test"))*'Rework Log'!$I$2:$I$497)),"m/d"))),IF(C89="NOT STARTED",IF(H89="","No plan date set",IF(H89&lt;TODAY(),"Review - planned start passed","On track")),IF(C89="DB Dev",_xlfn.LET(_xlpm.sent,_xlfn.MAXIFS('Rework Log'!$B$2:$B$497,'Rework Log'!$A$2:$A$497,$B89,'Rework Log'!$D$2:$D$497,"DB Dev"),_xlpm.expfix,_xlfn.MAXIFS('Rework Log'!$I$2:$I$497,'Rework Log'!$A$2:$A$497,$B89,'Rework Log'!$D$2:$D$497,"DB Dev",'Rework Log'!$B$2:$B$497,_xlpm.sent),_xlpm.tgt,IF(_xlpm.expfix&gt;0,_xlpm.expfix,IF(L89&lt;&gt;"",L89,K89)),_xlpm.act,IF(AND(M89&lt;&gt;"",M89&gt;=_xlpm.sent),M89,""),IF(_xlpm.tgt="","No target set",IF(AND(_xlpm.tgt&lt;TODAY(),_xlpm.act=""),"Overdue","On track"))),IF(C89="PBI Dev",_xlfn.LET(_xlpm.sent,_xlfn.MAXIFS('Rework Log'!$B$2:$B$497,'Rework Log'!$A$2:$A$497,$B89,'Rework Log'!$D$2:$D$497,"PBI Dev"),_xlpm.expfix,_xlfn.MAXIFS('Rework Log'!$I$2:$I$497,'Rework Log'!$A$2:$A$497,$B89,'Rework Log'!$D$2:$D$497,"PBI Dev",'Rework Log'!$B$2:$B$497,_xlpm.sent),_xlpm.tgt,IF(_xlpm.expfix&gt;0,_xlpm.expfix,IF(R89&lt;&gt;"",R89,Q89)),_xlpm.act,IF(AND(S89&lt;&gt;"",S89&gt;=_xlpm.sent),S89,""),IF(_xlpm.tgt="","No target set",IF(AND(_xlpm.tgt&lt;TODAY(),_xlpm.act=""),"Overdue","On track"))),IF(C89="QA",_xlfn.LET(_xlpm.tgt,IF(AM89&lt;&gt;"",AM89,IF(W89&lt;&gt;"",W89,V89)),_xlpm.sent,_xlfn.MAXIFS('Rework Log'!$B$2:$B$497,'Rework Log'!$A$2:$A$497,$B89,'Rework Log'!$C$2:$C$497,"QA"),_xlpm.act,IF(AND(Y89&lt;&gt;"",Y89&gt;=_xlpm.sent),Y89,""),IF(_xlpm.tgt="","No target set",IF(AND(_xlpm.tgt&lt;TODAY(),_xlpm.act=""),"Overdue","On track"))),IF(C89="DPO Approval",_xlfn.LET(_xlpm.tgt,IF(AN89&lt;&gt;"",AN89,IF(AB89&lt;&gt;"",AB89,AA89)),_xlpm.sent,_xlfn.MAXIFS('Rework Log'!$B$2:$B$497,'Rework Log'!$A$2:$A$497,$B89,'Rework Log'!$C$2:$C$497,"DPO*"),_xlpm.act,IF(AND(AC89&lt;&gt;"",AC89&gt;=_xlpm.sent),AC89,""),IF(_xlpm.tgt="","No target set",IF(AND(_xlpm.tgt&lt;TODAY(),_xlpm.act=""),"Overdue","On track"))),IF(C89="RELEASED IN PROD","Delivered","")))))))))</f>
        <v>On track</v>
      </c>
      <c r="E89" s="31">
        <v>70</v>
      </c>
      <c r="F89" s="34" t="s">
        <v>209</v>
      </c>
      <c r="G89" s="31"/>
      <c r="H89" s="49">
        <v>46356</v>
      </c>
      <c r="I89" s="55" t="s">
        <v>272</v>
      </c>
      <c r="J89" s="53" t="s">
        <v>229</v>
      </c>
      <c r="K89" s="49">
        <v>46332</v>
      </c>
      <c r="L89" s="43">
        <v>46282</v>
      </c>
      <c r="M89" s="44">
        <v>46282</v>
      </c>
      <c r="N89" s="44"/>
      <c r="O89" s="44" t="s">
        <v>253</v>
      </c>
      <c r="P89" s="74" t="s">
        <v>77</v>
      </c>
      <c r="Q89" s="49">
        <v>46339</v>
      </c>
      <c r="R89" s="43"/>
      <c r="S89" s="44"/>
      <c r="T89" s="68" t="s">
        <v>277</v>
      </c>
      <c r="U89" s="46"/>
      <c r="V89" s="28">
        <v>46344</v>
      </c>
      <c r="W89" s="43"/>
      <c r="X89" s="31"/>
      <c r="Y89" s="31"/>
      <c r="Z89" s="36"/>
      <c r="AA89" s="28">
        <v>46356</v>
      </c>
      <c r="AB89" s="43"/>
      <c r="AC89" s="43"/>
      <c r="AD89" s="31" t="s">
        <v>170</v>
      </c>
      <c r="AE89" s="31" t="s">
        <v>72</v>
      </c>
      <c r="AF89" s="31"/>
      <c r="AG89" s="31"/>
      <c r="AH89" s="31"/>
      <c r="AI89" s="31"/>
      <c r="AJ89" s="31"/>
      <c r="AK89" s="31" t="str" cm="1">
        <f t="array" ref="AK89">IF($B89="","",_xlfn.LET(_xlpm.nm,$B89,_xlpm.st,$C89,_xlpm.ou,SUMPRODUCT(('Rework Log'!$A$2:$A$497=_xlpm.nm)*('Rework Log'!$G$2:$G$497&lt;&gt;"Yes")*('Rework Log'!$G$2:$G$497&lt;&gt;"Did not pass re-test")*('Rework Log'!$J$2:$J$497="")),_xlpm.ob,SUMPRODUCT(('Rework Log'!$A$2:$A$497=_xlpm.nm)*('Rework Log'!$G$2:$G$497&lt;&gt;"Yes")*('Rework Log'!$G$2:$G$497&lt;&gt;"Did not pass re-test")),_xlpm.oto,IF(SUMPRODUCT(('Rework Log'!$A$2:$A$497=_xlpm.nm)*('Rework Log'!$G$2:$G$497&lt;&gt;"Yes")*('Rework Log'!$G$2:$G$497&lt;&gt;"Did not pass re-test")*('Rework Log'!$J$2:$J$497=""))=0,"",INDEX('Rework Log'!$D$2:$D$497,MATCH(1,('Rework Log'!$A$2:$A$497=_xlpm.nm)*('Rework Log'!$G$2:$G$497&lt;&gt;"Yes")*('Rework Log'!$G$2:$G$497&lt;&gt;"Did not pass re-test")*('Rework Log'!$J$2:$J$497=""),0))),_xlpm.sent,_xlfn.MAXIFS('Rework Log'!$B$2:$B$497,'Rework Log'!$A$2:$A$497,_xlpm.nm),_xlpm.act,_xlfn.IFS(_xlpm.st="NOT STARTED",$M89,_xlpm.st="DB Dev",$M89,_xlpm.st="PBI Dev",$S89,_xlpm.st="QA",$Y89,_xlpm.st="DPO Approval",$AC89,_xlpm.st="Ready for Release in Prod",$AG89,TRUE,""),_xlpm.nxt,_xlfn.IFS(_xlpm.st="NOT STARTED","PBI Dev",_xlpm.st="DB Dev","PBI Dev",_xlpm.st="PBI Dev","QA",_xlpm.st="QA","DPO Approval",_xlpm.st="DPO Approval","Ready for Release in Prod",_xlpm.st="Ready for Release in Prod","RELEASED IN PROD",TRUE,""),IF(AND(_xlpm.ou&gt;0,_xlpm.st&lt;&gt;_xlpm.oto),"Move status back to "&amp;_xlpm.oto,IF(AND(_xlpm.ob=0,LEFT($AJ89,3)="Yes"),"Blocked - log it on Rework Log",IF(AND(_xlpm.ob&gt;0,LEFT($AJ89,3)&lt;&gt;"Yes"),"Open rework row - mark Blocked or close it",IF(AND(_xlpm.ob=0,_xlpm.act&lt;&gt;"",_xlpm.act&gt;=_xlpm.sent,_xlpm.nxt&lt;&gt;""),"Move status to "&amp;_xlpm.nxt,IF(COUNTIF($B$2:$B$528,$B89)&gt;1,"Duplicate name - check row",IF(COUNTIF('Rework Log'!$A$2:$A$497,$B89)&gt;0,"",IF(AND($V89&lt;&gt;"",$K89&lt;&gt;"",$V89&lt;$K89),"QA target is before DB Dev target",IF(AND($V89&lt;&gt;"",$Q89&lt;&gt;"",$V89&lt;$Q89),"QA target is before PBI Dev target",IF(AND($AA89&lt;&gt;"",$V89&lt;&gt;"",$AA89&lt;$V89),"DPO Approval target is before QA target",IF(AND($AG89&lt;&gt;"",$AA89&lt;&gt;"",$AG89&lt;$AA89),"Confirmed Deployed date is before DPO Approval target",""))))))))))))</f>
        <v>Move status to PBI Dev</v>
      </c>
      <c r="AL89" s="31"/>
      <c r="AM89" s="32" t="str" cm="1">
        <f t="array" ref="AM89">_xlfn.LET(_xlpm.rep,$B89,_xlpm.sent,_xlfn.MAXIFS('Rework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
      </c>
      <c r="AN89" s="32" t="str" cm="1">
        <f t="array" ref="AN89">_xlfn.LET(_xlpm.rep,$B89,_xlpm.sent,_xlfn.MAXIFS('Rework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90" spans="1:40">
      <c r="A90" s="31" t="s">
        <v>126</v>
      </c>
      <c r="B90" s="31" t="s">
        <v>279</v>
      </c>
      <c r="C90" s="31" t="s">
        <v>234</v>
      </c>
      <c r="D90" t="str" cm="1">
        <f t="array" aca="1" ref="D90" ca="1">IF(AND(C90="Ready for Release in Prod",LEFT($AJ90,3)&lt;&gt;"Yes"),IF(AG90&lt;&gt;"","Delivered","On track"),IF($B90="","",IF(LEFT($AJ90,3)="Yes","Blocked - "&amp;MID($AJ90,7,100)&amp;IF(SUMPRODUCT(('Rework Log'!$A$2:$A$497=$B90)*('Rework Log'!$G$2:$G$497&lt;&gt;"Yes")*('Rework Log'!$G$2:$G$497&lt;&gt;"Did not pass re-test"))=0,"",IF(SUMPRODUCT(MAX((('Rework Log'!$A$2:$A$497=$B90)*('Rework Log'!$G$2:$G$497&lt;&gt;"Yes")*('Rework Log'!$G$2:$G$497&lt;&gt;"Did not pass re-test"))*'Rework Log'!$I$2:$I$497))=0," - unclaimed"," - promised "&amp;TEXT(SUMPRODUCT(MAX((('Rework Log'!$A$2:$A$497=$B90)*('Rework Log'!$G$2:$G$497&lt;&gt;"Yes")*('Rework Log'!$G$2:$G$497&lt;&gt;"Did not pass re-test"))*'Rework Log'!$I$2:$I$497)),"m/d"))),IF(C90="NOT STARTED",IF(H90="","No plan date set",IF(H90&lt;TODAY(),"Review - planned start passed","On track")),IF(C90="DB Dev",_xlfn.LET(_xlpm.sent,_xlfn.MAXIFS('Rework Log'!$B$2:$B$497,'Rework Log'!$A$2:$A$497,$B90,'Rework Log'!$D$2:$D$497,"DB Dev"),_xlpm.expfix,_xlfn.MAXIFS('Rework Log'!$I$2:$I$497,'Rework Log'!$A$2:$A$497,$B90,'Rework Log'!$D$2:$D$497,"DB Dev",'Rework Log'!$B$2:$B$497,_xlpm.sent),_xlpm.tgt,IF(_xlpm.expfix&gt;0,_xlpm.expfix,IF(L90&lt;&gt;"",L90,K90)),_xlpm.act,IF(AND(M90&lt;&gt;"",M90&gt;=_xlpm.sent),M90,""),IF(_xlpm.tgt="","No target set",IF(AND(_xlpm.tgt&lt;TODAY(),_xlpm.act=""),"Overdue","On track"))),IF(C90="PBI Dev",_xlfn.LET(_xlpm.sent,_xlfn.MAXIFS('Rework Log'!$B$2:$B$497,'Rework Log'!$A$2:$A$497,$B90,'Rework Log'!$D$2:$D$497,"PBI Dev"),_xlpm.expfix,_xlfn.MAXIFS('Rework Log'!$I$2:$I$497,'Rework Log'!$A$2:$A$497,$B90,'Rework Log'!$D$2:$D$497,"PBI Dev",'Rework Log'!$B$2:$B$497,_xlpm.sent),_xlpm.tgt,IF(_xlpm.expfix&gt;0,_xlpm.expfix,IF(R90&lt;&gt;"",R90,Q90)),_xlpm.act,IF(AND(S90&lt;&gt;"",S90&gt;=_xlpm.sent),S90,""),IF(_xlpm.tgt="","No target set",IF(AND(_xlpm.tgt&lt;TODAY(),_xlpm.act=""),"Overdue","On track"))),IF(C90="QA",_xlfn.LET(_xlpm.tgt,IF(AM90&lt;&gt;"",AM90,IF(W90&lt;&gt;"",W90,V90)),_xlpm.sent,_xlfn.MAXIFS('Rework Log'!$B$2:$B$497,'Rework Log'!$A$2:$A$497,$B90,'Rework Log'!$C$2:$C$497,"QA"),_xlpm.act,IF(AND(Y90&lt;&gt;"",Y90&gt;=_xlpm.sent),Y90,""),IF(_xlpm.tgt="","No target set",IF(AND(_xlpm.tgt&lt;TODAY(),_xlpm.act=""),"Overdue","On track"))),IF(C90="DPO Approval",_xlfn.LET(_xlpm.tgt,IF(AN90&lt;&gt;"",AN90,IF(AB90&lt;&gt;"",AB90,AA90)),_xlpm.sent,_xlfn.MAXIFS('Rework Log'!$B$2:$B$497,'Rework Log'!$A$2:$A$497,$B90,'Rework Log'!$C$2:$C$497,"DPO*"),_xlpm.act,IF(AND(AC90&lt;&gt;"",AC90&gt;=_xlpm.sent),AC90,""),IF(_xlpm.tgt="","No target set",IF(AND(_xlpm.tgt&lt;TODAY(),_xlpm.act=""),"Overdue","On track"))),IF(C90="RELEASED IN PROD","Delivered","")))))))))</f>
        <v>On track</v>
      </c>
      <c r="E90" s="31">
        <v>71</v>
      </c>
      <c r="F90" s="34" t="s">
        <v>209</v>
      </c>
      <c r="G90" s="31"/>
      <c r="H90" s="49">
        <v>46356</v>
      </c>
      <c r="I90" s="55" t="s">
        <v>272</v>
      </c>
      <c r="J90" s="53" t="s">
        <v>229</v>
      </c>
      <c r="K90" s="49">
        <v>46332</v>
      </c>
      <c r="L90" s="43">
        <v>46303</v>
      </c>
      <c r="M90" s="44">
        <v>46303</v>
      </c>
      <c r="N90" s="44"/>
      <c r="O90" s="36" t="s">
        <v>280</v>
      </c>
      <c r="P90" s="74" t="s">
        <v>60</v>
      </c>
      <c r="Q90" s="49">
        <v>46339</v>
      </c>
      <c r="R90" s="43"/>
      <c r="S90" s="44"/>
      <c r="T90" s="68" t="s">
        <v>277</v>
      </c>
      <c r="U90" s="46"/>
      <c r="V90" s="28">
        <v>46344</v>
      </c>
      <c r="W90" s="43"/>
      <c r="X90" s="31"/>
      <c r="Y90" s="31"/>
      <c r="Z90" s="36"/>
      <c r="AA90" s="28">
        <v>46356</v>
      </c>
      <c r="AB90" s="43"/>
      <c r="AC90" s="43"/>
      <c r="AD90" s="31" t="s">
        <v>170</v>
      </c>
      <c r="AE90" s="31" t="s">
        <v>72</v>
      </c>
      <c r="AF90" s="31"/>
      <c r="AG90" s="31"/>
      <c r="AH90" s="31"/>
      <c r="AI90" s="31"/>
      <c r="AJ90" s="31"/>
      <c r="AK90" s="31" t="str" cm="1">
        <f t="array" ref="AK90">IF($B90="","",_xlfn.LET(_xlpm.nm,$B90,_xlpm.st,$C90,_xlpm.ou,SUMPRODUCT(('Rework Log'!$A$2:$A$497=_xlpm.nm)*('Rework Log'!$G$2:$G$497&lt;&gt;"Yes")*('Rework Log'!$G$2:$G$497&lt;&gt;"Did not pass re-test")*('Rework Log'!$J$2:$J$497="")),_xlpm.ob,SUMPRODUCT(('Rework Log'!$A$2:$A$497=_xlpm.nm)*('Rework Log'!$G$2:$G$497&lt;&gt;"Yes")*('Rework Log'!$G$2:$G$497&lt;&gt;"Did not pass re-test")),_xlpm.oto,IF(SUMPRODUCT(('Rework Log'!$A$2:$A$497=_xlpm.nm)*('Rework Log'!$G$2:$G$497&lt;&gt;"Yes")*('Rework Log'!$G$2:$G$497&lt;&gt;"Did not pass re-test")*('Rework Log'!$J$2:$J$497=""))=0,"",INDEX('Rework Log'!$D$2:$D$497,MATCH(1,('Rework Log'!$A$2:$A$497=_xlpm.nm)*('Rework Log'!$G$2:$G$497&lt;&gt;"Yes")*('Rework Log'!$G$2:$G$497&lt;&gt;"Did not pass re-test")*('Rework Log'!$J$2:$J$497=""),0))),_xlpm.sent,_xlfn.MAXIFS('Rework Log'!$B$2:$B$497,'Rework Log'!$A$2:$A$497,_xlpm.nm),_xlpm.act,_xlfn.IFS(_xlpm.st="NOT STARTED",$M90,_xlpm.st="DB Dev",$M90,_xlpm.st="PBI Dev",$S90,_xlpm.st="QA",$Y90,_xlpm.st="DPO Approval",$AC90,_xlpm.st="Ready for Release in Prod",$AG90,TRUE,""),_xlpm.nxt,_xlfn.IFS(_xlpm.st="NOT STARTED","PBI Dev",_xlpm.st="DB Dev","PBI Dev",_xlpm.st="PBI Dev","QA",_xlpm.st="QA","DPO Approval",_xlpm.st="DPO Approval","Ready for Release in Prod",_xlpm.st="Ready for Release in Prod","RELEASED IN PROD",TRUE,""),IF(AND(_xlpm.ou&gt;0,_xlpm.st&lt;&gt;_xlpm.oto),"Move status back to "&amp;_xlpm.oto,IF(AND(_xlpm.ob=0,LEFT($AJ90,3)="Yes"),"Blocked - log it on Rework Log",IF(AND(_xlpm.ob&gt;0,LEFT($AJ90,3)&lt;&gt;"Yes"),"Open rework row - mark Blocked or close it",IF(AND(_xlpm.ob=0,_xlpm.act&lt;&gt;"",_xlpm.act&gt;=_xlpm.sent,_xlpm.nxt&lt;&gt;""),"Move status to "&amp;_xlpm.nxt,IF(COUNTIF($B$2:$B$528,$B90)&gt;1,"Duplicate name - check row",IF(COUNTIF('Rework Log'!$A$2:$A$497,$B90)&gt;0,"",IF(AND($V90&lt;&gt;"",$K90&lt;&gt;"",$V90&lt;$K90),"QA target is before DB Dev target",IF(AND($V90&lt;&gt;"",$Q90&lt;&gt;"",$V90&lt;$Q90),"QA target is before PBI Dev target",IF(AND($AA90&lt;&gt;"",$V90&lt;&gt;"",$AA90&lt;$V90),"DPO Approval target is before QA target",IF(AND($AG90&lt;&gt;"",$AA90&lt;&gt;"",$AG90&lt;$AA90),"Confirmed Deployed date is before DPO Approval target",""))))))))))))</f>
        <v>Move status to PBI Dev</v>
      </c>
      <c r="AL90" s="31"/>
      <c r="AM90" s="32" t="str" cm="1">
        <f t="array" ref="AM90">_xlfn.LET(_xlpm.rep,$B90,_xlpm.sent,_xlfn.MAXIFS('Rework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
      </c>
      <c r="AN90" s="32" t="str" cm="1">
        <f t="array" ref="AN90">_xlfn.LET(_xlpm.rep,$B90,_xlpm.sent,_xlfn.MAXIFS('Rework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91" spans="1:40">
      <c r="A91" s="31" t="s">
        <v>126</v>
      </c>
      <c r="B91" s="31" t="s">
        <v>281</v>
      </c>
      <c r="C91" s="31" t="s">
        <v>234</v>
      </c>
      <c r="D91" t="str" cm="1">
        <f t="array" aca="1" ref="D91" ca="1">IF(AND(C91="Ready for Release in Prod",LEFT($AJ91,3)&lt;&gt;"Yes"),IF(AG91&lt;&gt;"","Delivered","On track"),IF($B91="","",IF(LEFT($AJ91,3)="Yes","Blocked - "&amp;MID($AJ91,7,100)&amp;IF(SUMPRODUCT(('Rework Log'!$A$2:$A$497=$B91)*('Rework Log'!$G$2:$G$497&lt;&gt;"Yes")*('Rework Log'!$G$2:$G$497&lt;&gt;"Did not pass re-test"))=0,"",IF(SUMPRODUCT(MAX((('Rework Log'!$A$2:$A$497=$B91)*('Rework Log'!$G$2:$G$497&lt;&gt;"Yes")*('Rework Log'!$G$2:$G$497&lt;&gt;"Did not pass re-test"))*'Rework Log'!$I$2:$I$497))=0," - unclaimed"," - promised "&amp;TEXT(SUMPRODUCT(MAX((('Rework Log'!$A$2:$A$497=$B91)*('Rework Log'!$G$2:$G$497&lt;&gt;"Yes")*('Rework Log'!$G$2:$G$497&lt;&gt;"Did not pass re-test"))*'Rework Log'!$I$2:$I$497)),"m/d"))),IF(C91="NOT STARTED",IF(H91="","No plan date set",IF(H91&lt;TODAY(),"Review - planned start passed","On track")),IF(C91="DB Dev",_xlfn.LET(_xlpm.sent,_xlfn.MAXIFS('Rework Log'!$B$2:$B$497,'Rework Log'!$A$2:$A$497,$B91,'Rework Log'!$D$2:$D$497,"DB Dev"),_xlpm.expfix,_xlfn.MAXIFS('Rework Log'!$I$2:$I$497,'Rework Log'!$A$2:$A$497,$B91,'Rework Log'!$D$2:$D$497,"DB Dev",'Rework Log'!$B$2:$B$497,_xlpm.sent),_xlpm.tgt,IF(_xlpm.expfix&gt;0,_xlpm.expfix,IF(L91&lt;&gt;"",L91,K91)),_xlpm.act,IF(AND(M91&lt;&gt;"",M91&gt;=_xlpm.sent),M91,""),IF(_xlpm.tgt="","No target set",IF(AND(_xlpm.tgt&lt;TODAY(),_xlpm.act=""),"Overdue","On track"))),IF(C91="PBI Dev",_xlfn.LET(_xlpm.sent,_xlfn.MAXIFS('Rework Log'!$B$2:$B$497,'Rework Log'!$A$2:$A$497,$B91,'Rework Log'!$D$2:$D$497,"PBI Dev"),_xlpm.expfix,_xlfn.MAXIFS('Rework Log'!$I$2:$I$497,'Rework Log'!$A$2:$A$497,$B91,'Rework Log'!$D$2:$D$497,"PBI Dev",'Rework Log'!$B$2:$B$497,_xlpm.sent),_xlpm.tgt,IF(_xlpm.expfix&gt;0,_xlpm.expfix,IF(R91&lt;&gt;"",R91,Q91)),_xlpm.act,IF(AND(S91&lt;&gt;"",S91&gt;=_xlpm.sent),S91,""),IF(_xlpm.tgt="","No target set",IF(AND(_xlpm.tgt&lt;TODAY(),_xlpm.act=""),"Overdue","On track"))),IF(C91="QA",_xlfn.LET(_xlpm.tgt,IF(AM91&lt;&gt;"",AM91,IF(W91&lt;&gt;"",W91,V91)),_xlpm.sent,_xlfn.MAXIFS('Rework Log'!$B$2:$B$497,'Rework Log'!$A$2:$A$497,$B91,'Rework Log'!$C$2:$C$497,"QA"),_xlpm.act,IF(AND(Y91&lt;&gt;"",Y91&gt;=_xlpm.sent),Y91,""),IF(_xlpm.tgt="","No target set",IF(AND(_xlpm.tgt&lt;TODAY(),_xlpm.act=""),"Overdue","On track"))),IF(C91="DPO Approval",_xlfn.LET(_xlpm.tgt,IF(AN91&lt;&gt;"",AN91,IF(AB91&lt;&gt;"",AB91,AA91)),_xlpm.sent,_xlfn.MAXIFS('Rework Log'!$B$2:$B$497,'Rework Log'!$A$2:$A$497,$B91,'Rework Log'!$C$2:$C$497,"DPO*"),_xlpm.act,IF(AND(AC91&lt;&gt;"",AC91&gt;=_xlpm.sent),AC91,""),IF(_xlpm.tgt="","No target set",IF(AND(_xlpm.tgt&lt;TODAY(),_xlpm.act=""),"Overdue","On track"))),IF(C91="RELEASED IN PROD","Delivered","")))))))))</f>
        <v>On track</v>
      </c>
      <c r="E91" s="31">
        <v>72</v>
      </c>
      <c r="F91" s="31" t="s">
        <v>129</v>
      </c>
      <c r="G91" s="31"/>
      <c r="H91" s="49">
        <v>46356</v>
      </c>
      <c r="I91" s="55" t="s">
        <v>272</v>
      </c>
      <c r="J91" s="53" t="s">
        <v>65</v>
      </c>
      <c r="K91" s="49">
        <v>46332</v>
      </c>
      <c r="L91" s="43">
        <v>46273</v>
      </c>
      <c r="M91" s="46">
        <v>46273</v>
      </c>
      <c r="N91" s="46" t="s">
        <v>147</v>
      </c>
      <c r="O91" s="44" t="s">
        <v>253</v>
      </c>
      <c r="P91" s="74" t="s">
        <v>60</v>
      </c>
      <c r="Q91" s="49">
        <v>46339</v>
      </c>
      <c r="R91" s="43"/>
      <c r="S91" s="44"/>
      <c r="T91" s="68" t="s">
        <v>277</v>
      </c>
      <c r="U91" s="46"/>
      <c r="V91" s="28">
        <v>46344</v>
      </c>
      <c r="W91" s="43"/>
      <c r="X91" s="31"/>
      <c r="Y91" s="31"/>
      <c r="Z91" s="36"/>
      <c r="AA91" s="28">
        <v>46356</v>
      </c>
      <c r="AB91" s="43"/>
      <c r="AC91" s="43"/>
      <c r="AD91" s="31" t="s">
        <v>282</v>
      </c>
      <c r="AE91" s="31" t="s">
        <v>72</v>
      </c>
      <c r="AF91" s="31"/>
      <c r="AG91" s="31"/>
      <c r="AH91" s="31"/>
      <c r="AI91" s="31"/>
      <c r="AJ91" s="31"/>
      <c r="AK91" s="31" t="str" cm="1">
        <f t="array" ref="AK91">IF($B91="","",_xlfn.LET(_xlpm.nm,$B91,_xlpm.st,$C91,_xlpm.ou,SUMPRODUCT(('Rework Log'!$A$2:$A$497=_xlpm.nm)*('Rework Log'!$G$2:$G$497&lt;&gt;"Yes")*('Rework Log'!$G$2:$G$497&lt;&gt;"Did not pass re-test")*('Rework Log'!$J$2:$J$497="")),_xlpm.ob,SUMPRODUCT(('Rework Log'!$A$2:$A$497=_xlpm.nm)*('Rework Log'!$G$2:$G$497&lt;&gt;"Yes")*('Rework Log'!$G$2:$G$497&lt;&gt;"Did not pass re-test")),_xlpm.oto,IF(SUMPRODUCT(('Rework Log'!$A$2:$A$497=_xlpm.nm)*('Rework Log'!$G$2:$G$497&lt;&gt;"Yes")*('Rework Log'!$G$2:$G$497&lt;&gt;"Did not pass re-test")*('Rework Log'!$J$2:$J$497=""))=0,"",INDEX('Rework Log'!$D$2:$D$497,MATCH(1,('Rework Log'!$A$2:$A$497=_xlpm.nm)*('Rework Log'!$G$2:$G$497&lt;&gt;"Yes")*('Rework Log'!$G$2:$G$497&lt;&gt;"Did not pass re-test")*('Rework Log'!$J$2:$J$497=""),0))),_xlpm.sent,_xlfn.MAXIFS('Rework Log'!$B$2:$B$497,'Rework Log'!$A$2:$A$497,_xlpm.nm),_xlpm.act,_xlfn.IFS(_xlpm.st="NOT STARTED",$M91,_xlpm.st="DB Dev",$M91,_xlpm.st="PBI Dev",$S91,_xlpm.st="QA",$Y91,_xlpm.st="DPO Approval",$AC91,_xlpm.st="Ready for Release in Prod",$AG91,TRUE,""),_xlpm.nxt,_xlfn.IFS(_xlpm.st="NOT STARTED","PBI Dev",_xlpm.st="DB Dev","PBI Dev",_xlpm.st="PBI Dev","QA",_xlpm.st="QA","DPO Approval",_xlpm.st="DPO Approval","Ready for Release in Prod",_xlpm.st="Ready for Release in Prod","RELEASED IN PROD",TRUE,""),IF(AND(_xlpm.ou&gt;0,_xlpm.st&lt;&gt;_xlpm.oto),"Move status back to "&amp;_xlpm.oto,IF(AND(_xlpm.ob=0,LEFT($AJ91,3)="Yes"),"Blocked - log it on Rework Log",IF(AND(_xlpm.ob&gt;0,LEFT($AJ91,3)&lt;&gt;"Yes"),"Open rework row - mark Blocked or close it",IF(AND(_xlpm.ob=0,_xlpm.act&lt;&gt;"",_xlpm.act&gt;=_xlpm.sent,_xlpm.nxt&lt;&gt;""),"Move status to "&amp;_xlpm.nxt,IF(COUNTIF($B$2:$B$528,$B91)&gt;1,"Duplicate name - check row",IF(COUNTIF('Rework Log'!$A$2:$A$497,$B91)&gt;0,"",IF(AND($V91&lt;&gt;"",$K91&lt;&gt;"",$V91&lt;$K91),"QA target is before DB Dev target",IF(AND($V91&lt;&gt;"",$Q91&lt;&gt;"",$V91&lt;$Q91),"QA target is before PBI Dev target",IF(AND($AA91&lt;&gt;"",$V91&lt;&gt;"",$AA91&lt;$V91),"DPO Approval target is before QA target",IF(AND($AG91&lt;&gt;"",$AA91&lt;&gt;"",$AG91&lt;$AA91),"Confirmed Deployed date is before DPO Approval target",""))))))))))))</f>
        <v>Move status to PBI Dev</v>
      </c>
      <c r="AL91" s="31"/>
      <c r="AM91" s="32" t="str" cm="1">
        <f t="array" ref="AM91">_xlfn.LET(_xlpm.rep,$B91,_xlpm.sent,_xlfn.MAXIFS('Rework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
      </c>
      <c r="AN91" s="32" t="str" cm="1">
        <f t="array" ref="AN91">_xlfn.LET(_xlpm.rep,$B91,_xlpm.sent,_xlfn.MAXIFS('Rework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92" spans="1:40">
      <c r="A92" s="31" t="s">
        <v>126</v>
      </c>
      <c r="B92" s="31" t="s">
        <v>283</v>
      </c>
      <c r="C92" s="31" t="s">
        <v>234</v>
      </c>
      <c r="D92" t="str" cm="1">
        <f t="array" aca="1" ref="D92" ca="1">IF(AND(C92="Ready for Release in Prod",LEFT($AJ92,3)&lt;&gt;"Yes"),IF(AG92&lt;&gt;"","Delivered","On track"),IF($B92="","",IF(LEFT($AJ92,3)="Yes","Blocked - "&amp;MID($AJ92,7,100)&amp;IF(SUMPRODUCT(('Rework Log'!$A$2:$A$497=$B92)*('Rework Log'!$G$2:$G$497&lt;&gt;"Yes")*('Rework Log'!$G$2:$G$497&lt;&gt;"Did not pass re-test"))=0,"",IF(SUMPRODUCT(MAX((('Rework Log'!$A$2:$A$497=$B92)*('Rework Log'!$G$2:$G$497&lt;&gt;"Yes")*('Rework Log'!$G$2:$G$497&lt;&gt;"Did not pass re-test"))*'Rework Log'!$I$2:$I$497))=0," - unclaimed"," - promised "&amp;TEXT(SUMPRODUCT(MAX((('Rework Log'!$A$2:$A$497=$B92)*('Rework Log'!$G$2:$G$497&lt;&gt;"Yes")*('Rework Log'!$G$2:$G$497&lt;&gt;"Did not pass re-test"))*'Rework Log'!$I$2:$I$497)),"m/d"))),IF(C92="NOT STARTED",IF(H92="","No plan date set",IF(H92&lt;TODAY(),"Review - planned start passed","On track")),IF(C92="DB Dev",_xlfn.LET(_xlpm.sent,_xlfn.MAXIFS('Rework Log'!$B$2:$B$497,'Rework Log'!$A$2:$A$497,$B92,'Rework Log'!$D$2:$D$497,"DB Dev"),_xlpm.expfix,_xlfn.MAXIFS('Rework Log'!$I$2:$I$497,'Rework Log'!$A$2:$A$497,$B92,'Rework Log'!$D$2:$D$497,"DB Dev",'Rework Log'!$B$2:$B$497,_xlpm.sent),_xlpm.tgt,IF(_xlpm.expfix&gt;0,_xlpm.expfix,IF(L92&lt;&gt;"",L92,K92)),_xlpm.act,IF(AND(M92&lt;&gt;"",M92&gt;=_xlpm.sent),M92,""),IF(_xlpm.tgt="","No target set",IF(AND(_xlpm.tgt&lt;TODAY(),_xlpm.act=""),"Overdue","On track"))),IF(C92="PBI Dev",_xlfn.LET(_xlpm.sent,_xlfn.MAXIFS('Rework Log'!$B$2:$B$497,'Rework Log'!$A$2:$A$497,$B92,'Rework Log'!$D$2:$D$497,"PBI Dev"),_xlpm.expfix,_xlfn.MAXIFS('Rework Log'!$I$2:$I$497,'Rework Log'!$A$2:$A$497,$B92,'Rework Log'!$D$2:$D$497,"PBI Dev",'Rework Log'!$B$2:$B$497,_xlpm.sent),_xlpm.tgt,IF(_xlpm.expfix&gt;0,_xlpm.expfix,IF(R92&lt;&gt;"",R92,Q92)),_xlpm.act,IF(AND(S92&lt;&gt;"",S92&gt;=_xlpm.sent),S92,""),IF(_xlpm.tgt="","No target set",IF(AND(_xlpm.tgt&lt;TODAY(),_xlpm.act=""),"Overdue","On track"))),IF(C92="QA",_xlfn.LET(_xlpm.tgt,IF(AM92&lt;&gt;"",AM92,IF(W92&lt;&gt;"",W92,V92)),_xlpm.sent,_xlfn.MAXIFS('Rework Log'!$B$2:$B$497,'Rework Log'!$A$2:$A$497,$B92,'Rework Log'!$C$2:$C$497,"QA"),_xlpm.act,IF(AND(Y92&lt;&gt;"",Y92&gt;=_xlpm.sent),Y92,""),IF(_xlpm.tgt="","No target set",IF(AND(_xlpm.tgt&lt;TODAY(),_xlpm.act=""),"Overdue","On track"))),IF(C92="DPO Approval",_xlfn.LET(_xlpm.tgt,IF(AN92&lt;&gt;"",AN92,IF(AB92&lt;&gt;"",AB92,AA92)),_xlpm.sent,_xlfn.MAXIFS('Rework Log'!$B$2:$B$497,'Rework Log'!$A$2:$A$497,$B92,'Rework Log'!$C$2:$C$497,"DPO*"),_xlpm.act,IF(AND(AC92&lt;&gt;"",AC92&gt;=_xlpm.sent),AC92,""),IF(_xlpm.tgt="","No target set",IF(AND(_xlpm.tgt&lt;TODAY(),_xlpm.act=""),"Overdue","On track"))),IF(C92="RELEASED IN PROD","Delivered","")))))))))</f>
        <v>On track</v>
      </c>
      <c r="E92" s="31">
        <v>73</v>
      </c>
      <c r="F92" s="34" t="s">
        <v>209</v>
      </c>
      <c r="G92" s="31"/>
      <c r="H92" s="49">
        <v>46356</v>
      </c>
      <c r="I92" s="55" t="s">
        <v>272</v>
      </c>
      <c r="J92" s="53" t="s">
        <v>84</v>
      </c>
      <c r="K92" s="49">
        <v>46332</v>
      </c>
      <c r="L92" s="43">
        <v>46332</v>
      </c>
      <c r="M92" s="44">
        <v>46275</v>
      </c>
      <c r="N92" s="44"/>
      <c r="O92" s="44" t="s">
        <v>253</v>
      </c>
      <c r="P92" s="74" t="s">
        <v>77</v>
      </c>
      <c r="Q92" s="49">
        <v>46339</v>
      </c>
      <c r="R92" s="43"/>
      <c r="S92" s="44"/>
      <c r="T92" s="68" t="s">
        <v>277</v>
      </c>
      <c r="U92" s="46"/>
      <c r="V92" s="28">
        <v>46344</v>
      </c>
      <c r="W92" s="43"/>
      <c r="X92" s="31"/>
      <c r="Y92" s="31"/>
      <c r="Z92" s="36"/>
      <c r="AA92" s="28">
        <v>46356</v>
      </c>
      <c r="AB92" s="43"/>
      <c r="AC92" s="43"/>
      <c r="AD92" s="31" t="s">
        <v>170</v>
      </c>
      <c r="AE92" s="31" t="s">
        <v>72</v>
      </c>
      <c r="AF92" s="31"/>
      <c r="AG92" s="31"/>
      <c r="AH92" s="31"/>
      <c r="AI92" s="31"/>
      <c r="AJ92" s="31"/>
      <c r="AK92" s="31" t="str" cm="1">
        <f t="array" ref="AK92">IF($B92="","",_xlfn.LET(_xlpm.nm,$B92,_xlpm.st,$C92,_xlpm.ou,SUMPRODUCT(('Rework Log'!$A$2:$A$497=_xlpm.nm)*('Rework Log'!$G$2:$G$497&lt;&gt;"Yes")*('Rework Log'!$G$2:$G$497&lt;&gt;"Did not pass re-test")*('Rework Log'!$J$2:$J$497="")),_xlpm.ob,SUMPRODUCT(('Rework Log'!$A$2:$A$497=_xlpm.nm)*('Rework Log'!$G$2:$G$497&lt;&gt;"Yes")*('Rework Log'!$G$2:$G$497&lt;&gt;"Did not pass re-test")),_xlpm.oto,IF(SUMPRODUCT(('Rework Log'!$A$2:$A$497=_xlpm.nm)*('Rework Log'!$G$2:$G$497&lt;&gt;"Yes")*('Rework Log'!$G$2:$G$497&lt;&gt;"Did not pass re-test")*('Rework Log'!$J$2:$J$497=""))=0,"",INDEX('Rework Log'!$D$2:$D$497,MATCH(1,('Rework Log'!$A$2:$A$497=_xlpm.nm)*('Rework Log'!$G$2:$G$497&lt;&gt;"Yes")*('Rework Log'!$G$2:$G$497&lt;&gt;"Did not pass re-test")*('Rework Log'!$J$2:$J$497=""),0))),_xlpm.sent,_xlfn.MAXIFS('Rework Log'!$B$2:$B$497,'Rework Log'!$A$2:$A$497,_xlpm.nm),_xlpm.act,_xlfn.IFS(_xlpm.st="NOT STARTED",$M92,_xlpm.st="DB Dev",$M92,_xlpm.st="PBI Dev",$S92,_xlpm.st="QA",$Y92,_xlpm.st="DPO Approval",$AC92,_xlpm.st="Ready for Release in Prod",$AG92,TRUE,""),_xlpm.nxt,_xlfn.IFS(_xlpm.st="NOT STARTED","PBI Dev",_xlpm.st="DB Dev","PBI Dev",_xlpm.st="PBI Dev","QA",_xlpm.st="QA","DPO Approval",_xlpm.st="DPO Approval","Ready for Release in Prod",_xlpm.st="Ready for Release in Prod","RELEASED IN PROD",TRUE,""),IF(AND(_xlpm.ou&gt;0,_xlpm.st&lt;&gt;_xlpm.oto),"Move status back to "&amp;_xlpm.oto,IF(AND(_xlpm.ob=0,LEFT($AJ92,3)="Yes"),"Blocked - log it on Rework Log",IF(AND(_xlpm.ob&gt;0,LEFT($AJ92,3)&lt;&gt;"Yes"),"Open rework row - mark Blocked or close it",IF(AND(_xlpm.ob=0,_xlpm.act&lt;&gt;"",_xlpm.act&gt;=_xlpm.sent,_xlpm.nxt&lt;&gt;""),"Move status to "&amp;_xlpm.nxt,IF(COUNTIF($B$2:$B$528,$B92)&gt;1,"Duplicate name - check row",IF(COUNTIF('Rework Log'!$A$2:$A$497,$B92)&gt;0,"",IF(AND($V92&lt;&gt;"",$K92&lt;&gt;"",$V92&lt;$K92),"QA target is before DB Dev target",IF(AND($V92&lt;&gt;"",$Q92&lt;&gt;"",$V92&lt;$Q92),"QA target is before PBI Dev target",IF(AND($AA92&lt;&gt;"",$V92&lt;&gt;"",$AA92&lt;$V92),"DPO Approval target is before QA target",IF(AND($AG92&lt;&gt;"",$AA92&lt;&gt;"",$AG92&lt;$AA92),"Confirmed Deployed date is before DPO Approval target",""))))))))))))</f>
        <v>Move status to PBI Dev</v>
      </c>
      <c r="AL92" s="31" t="s">
        <v>284</v>
      </c>
      <c r="AM92" s="32" t="str" cm="1">
        <f t="array" ref="AM92">_xlfn.LET(_xlpm.rep,$B92,_xlpm.sent,_xlfn.MAXIFS('Rework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
      </c>
      <c r="AN92" s="32" t="str" cm="1">
        <f t="array" ref="AN92">_xlfn.LET(_xlpm.rep,$B92,_xlpm.sent,_xlfn.MAXIFS('Rework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93" spans="1:40">
      <c r="A93" s="31" t="s">
        <v>126</v>
      </c>
      <c r="B93" s="31" t="s">
        <v>285</v>
      </c>
      <c r="C93" s="31" t="s">
        <v>223</v>
      </c>
      <c r="D93" t="str" cm="1">
        <f t="array" aca="1" ref="D93" ca="1">IF(AND(C93="Ready for Release in Prod",LEFT($AJ93,3)&lt;&gt;"Yes"),IF(AG93&lt;&gt;"","Delivered","On track"),IF($B93="","",IF(LEFT($AJ93,3)="Yes","Blocked - "&amp;MID($AJ93,7,100)&amp;IF(SUMPRODUCT(('Rework Log'!$A$2:$A$497=$B93)*('Rework Log'!$G$2:$G$497&lt;&gt;"Yes")*('Rework Log'!$G$2:$G$497&lt;&gt;"Did not pass re-test"))=0,"",IF(SUMPRODUCT(MAX((('Rework Log'!$A$2:$A$497=$B93)*('Rework Log'!$G$2:$G$497&lt;&gt;"Yes")*('Rework Log'!$G$2:$G$497&lt;&gt;"Did not pass re-test"))*'Rework Log'!$I$2:$I$497))=0," - unclaimed"," - promised "&amp;TEXT(SUMPRODUCT(MAX((('Rework Log'!$A$2:$A$497=$B93)*('Rework Log'!$G$2:$G$497&lt;&gt;"Yes")*('Rework Log'!$G$2:$G$497&lt;&gt;"Did not pass re-test"))*'Rework Log'!$I$2:$I$497)),"m/d"))),IF(C93="NOT STARTED",IF(H93="","No plan date set",IF(H93&lt;TODAY(),"Review - planned start passed","On track")),IF(C93="DB Dev",_xlfn.LET(_xlpm.sent,_xlfn.MAXIFS('Rework Log'!$B$2:$B$497,'Rework Log'!$A$2:$A$497,$B93,'Rework Log'!$D$2:$D$497,"DB Dev"),_xlpm.expfix,_xlfn.MAXIFS('Rework Log'!$I$2:$I$497,'Rework Log'!$A$2:$A$497,$B93,'Rework Log'!$D$2:$D$497,"DB Dev",'Rework Log'!$B$2:$B$497,_xlpm.sent),_xlpm.tgt,IF(_xlpm.expfix&gt;0,_xlpm.expfix,IF(L93&lt;&gt;"",L93,K93)),_xlpm.act,IF(AND(M93&lt;&gt;"",M93&gt;=_xlpm.sent),M93,""),IF(_xlpm.tgt="","No target set",IF(AND(_xlpm.tgt&lt;TODAY(),_xlpm.act=""),"Overdue","On track"))),IF(C93="PBI Dev",_xlfn.LET(_xlpm.sent,_xlfn.MAXIFS('Rework Log'!$B$2:$B$497,'Rework Log'!$A$2:$A$497,$B93,'Rework Log'!$D$2:$D$497,"PBI Dev"),_xlpm.expfix,_xlfn.MAXIFS('Rework Log'!$I$2:$I$497,'Rework Log'!$A$2:$A$497,$B93,'Rework Log'!$D$2:$D$497,"PBI Dev",'Rework Log'!$B$2:$B$497,_xlpm.sent),_xlpm.tgt,IF(_xlpm.expfix&gt;0,_xlpm.expfix,IF(R93&lt;&gt;"",R93,Q93)),_xlpm.act,IF(AND(S93&lt;&gt;"",S93&gt;=_xlpm.sent),S93,""),IF(_xlpm.tgt="","No target set",IF(AND(_xlpm.tgt&lt;TODAY(),_xlpm.act=""),"Overdue","On track"))),IF(C93="QA",_xlfn.LET(_xlpm.tgt,IF(AM93&lt;&gt;"",AM93,IF(W93&lt;&gt;"",W93,V93)),_xlpm.sent,_xlfn.MAXIFS('Rework Log'!$B$2:$B$497,'Rework Log'!$A$2:$A$497,$B93,'Rework Log'!$C$2:$C$497,"QA"),_xlpm.act,IF(AND(Y93&lt;&gt;"",Y93&gt;=_xlpm.sent),Y93,""),IF(_xlpm.tgt="","No target set",IF(AND(_xlpm.tgt&lt;TODAY(),_xlpm.act=""),"Overdue","On track"))),IF(C93="DPO Approval",_xlfn.LET(_xlpm.tgt,IF(AN93&lt;&gt;"",AN93,IF(AB93&lt;&gt;"",AB93,AA93)),_xlpm.sent,_xlfn.MAXIFS('Rework Log'!$B$2:$B$497,'Rework Log'!$A$2:$A$497,$B93,'Rework Log'!$C$2:$C$497,"DPO*"),_xlpm.act,IF(AND(AC93&lt;&gt;"",AC93&gt;=_xlpm.sent),AC93,""),IF(_xlpm.tgt="","No target set",IF(AND(_xlpm.tgt&lt;TODAY(),_xlpm.act=""),"Overdue","On track"))),IF(C93="RELEASED IN PROD","Delivered","")))))))))</f>
        <v>On track</v>
      </c>
      <c r="E93" s="31">
        <v>74</v>
      </c>
      <c r="F93" s="31" t="s">
        <v>129</v>
      </c>
      <c r="G93" s="31"/>
      <c r="H93" s="49">
        <v>46356</v>
      </c>
      <c r="I93" s="55" t="s">
        <v>272</v>
      </c>
      <c r="J93" s="53" t="s">
        <v>155</v>
      </c>
      <c r="K93" s="49">
        <v>46332</v>
      </c>
      <c r="L93" s="43">
        <v>46303</v>
      </c>
      <c r="M93" s="43">
        <v>46308</v>
      </c>
      <c r="N93" s="46" t="s">
        <v>147</v>
      </c>
      <c r="O93" s="36" t="s">
        <v>280</v>
      </c>
      <c r="P93" s="74" t="s">
        <v>60</v>
      </c>
      <c r="Q93" s="49">
        <v>46339</v>
      </c>
      <c r="R93" s="43"/>
      <c r="S93" s="44"/>
      <c r="T93" s="68" t="s">
        <v>277</v>
      </c>
      <c r="U93" s="46"/>
      <c r="V93" s="28">
        <v>46344</v>
      </c>
      <c r="W93" s="43"/>
      <c r="X93" s="31"/>
      <c r="Y93" s="31"/>
      <c r="Z93" s="36"/>
      <c r="AA93" s="28">
        <v>46356</v>
      </c>
      <c r="AB93" s="43"/>
      <c r="AC93" s="43"/>
      <c r="AD93" s="31" t="s">
        <v>286</v>
      </c>
      <c r="AE93" s="31" t="s">
        <v>94</v>
      </c>
      <c r="AF93" s="31"/>
      <c r="AG93" s="31"/>
      <c r="AH93" s="31"/>
      <c r="AI93" s="31"/>
      <c r="AJ93" s="31"/>
      <c r="AK93" s="31" t="str" cm="1">
        <f t="array" ref="AK93">IF($B93="","",_xlfn.LET(_xlpm.nm,$B93,_xlpm.st,$C93,_xlpm.ou,SUMPRODUCT(('Rework Log'!$A$2:$A$497=_xlpm.nm)*('Rework Log'!$G$2:$G$497&lt;&gt;"Yes")*('Rework Log'!$G$2:$G$497&lt;&gt;"Did not pass re-test")*('Rework Log'!$J$2:$J$497="")),_xlpm.ob,SUMPRODUCT(('Rework Log'!$A$2:$A$497=_xlpm.nm)*('Rework Log'!$G$2:$G$497&lt;&gt;"Yes")*('Rework Log'!$G$2:$G$497&lt;&gt;"Did not pass re-test")),_xlpm.oto,IF(SUMPRODUCT(('Rework Log'!$A$2:$A$497=_xlpm.nm)*('Rework Log'!$G$2:$G$497&lt;&gt;"Yes")*('Rework Log'!$G$2:$G$497&lt;&gt;"Did not pass re-test")*('Rework Log'!$J$2:$J$497=""))=0,"",INDEX('Rework Log'!$D$2:$D$497,MATCH(1,('Rework Log'!$A$2:$A$497=_xlpm.nm)*('Rework Log'!$G$2:$G$497&lt;&gt;"Yes")*('Rework Log'!$G$2:$G$497&lt;&gt;"Did not pass re-test")*('Rework Log'!$J$2:$J$497=""),0))),_xlpm.sent,_xlfn.MAXIFS('Rework Log'!$B$2:$B$497,'Rework Log'!$A$2:$A$497,_xlpm.nm),_xlpm.act,_xlfn.IFS(_xlpm.st="NOT STARTED",$M93,_xlpm.st="DB Dev",$M93,_xlpm.st="PBI Dev",$S93,_xlpm.st="QA",$Y93,_xlpm.st="DPO Approval",$AC93,_xlpm.st="Ready for Release in Prod",$AG93,TRUE,""),_xlpm.nxt,_xlfn.IFS(_xlpm.st="NOT STARTED","PBI Dev",_xlpm.st="DB Dev","PBI Dev",_xlpm.st="PBI Dev","QA",_xlpm.st="QA","DPO Approval",_xlpm.st="DPO Approval","Ready for Release in Prod",_xlpm.st="Ready for Release in Prod","RELEASED IN PROD",TRUE,""),IF(AND(_xlpm.ou&gt;0,_xlpm.st&lt;&gt;_xlpm.oto),"Move status back to "&amp;_xlpm.oto,IF(AND(_xlpm.ob=0,LEFT($AJ93,3)="Yes"),"Blocked - log it on Rework Log",IF(AND(_xlpm.ob&gt;0,LEFT($AJ93,3)&lt;&gt;"Yes"),"Open rework row - mark Blocked or close it",IF(AND(_xlpm.ob=0,_xlpm.act&lt;&gt;"",_xlpm.act&gt;=_xlpm.sent,_xlpm.nxt&lt;&gt;""),"Move status to "&amp;_xlpm.nxt,IF(COUNTIF($B$2:$B$528,$B93)&gt;1,"Duplicate name - check row",IF(COUNTIF('Rework Log'!$A$2:$A$497,$B93)&gt;0,"",IF(AND($V93&lt;&gt;"",$K93&lt;&gt;"",$V93&lt;$K93),"QA target is before DB Dev target",IF(AND($V93&lt;&gt;"",$Q93&lt;&gt;"",$V93&lt;$Q93),"QA target is before PBI Dev target",IF(AND($AA93&lt;&gt;"",$V93&lt;&gt;"",$AA93&lt;$V93),"DPO Approval target is before QA target",IF(AND($AG93&lt;&gt;"",$AA93&lt;&gt;"",$AG93&lt;$AA93),"Confirmed Deployed date is before DPO Approval target",""))))))))))))</f>
        <v/>
      </c>
      <c r="AL93" s="31"/>
      <c r="AM93" s="32" t="str" cm="1">
        <f t="array" ref="AM93">_xlfn.LET(_xlpm.rep,$B93,_xlpm.sent,_xlfn.MAXIFS('Rework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
      </c>
      <c r="AN93" s="32" t="str" cm="1">
        <f t="array" ref="AN93">_xlfn.LET(_xlpm.rep,$B93,_xlpm.sent,_xlfn.MAXIFS('Rework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94" spans="1:40">
      <c r="A94" s="31" t="s">
        <v>126</v>
      </c>
      <c r="B94" s="31" t="s">
        <v>287</v>
      </c>
      <c r="C94" s="31" t="s">
        <v>223</v>
      </c>
      <c r="D94" t="str" cm="1">
        <f t="array" aca="1" ref="D94" ca="1">IF(AND(C94="Ready for Release in Prod",LEFT($AJ94,3)&lt;&gt;"Yes"),IF(AG94&lt;&gt;"","Delivered","On track"),IF($B94="","",IF(LEFT($AJ94,3)="Yes","Blocked - "&amp;MID($AJ94,7,100)&amp;IF(SUMPRODUCT(('Rework Log'!$A$2:$A$497=$B94)*('Rework Log'!$G$2:$G$497&lt;&gt;"Yes")*('Rework Log'!$G$2:$G$497&lt;&gt;"Did not pass re-test"))=0,"",IF(SUMPRODUCT(MAX((('Rework Log'!$A$2:$A$497=$B94)*('Rework Log'!$G$2:$G$497&lt;&gt;"Yes")*('Rework Log'!$G$2:$G$497&lt;&gt;"Did not pass re-test"))*'Rework Log'!$I$2:$I$497))=0," - unclaimed"," - promised "&amp;TEXT(SUMPRODUCT(MAX((('Rework Log'!$A$2:$A$497=$B94)*('Rework Log'!$G$2:$G$497&lt;&gt;"Yes")*('Rework Log'!$G$2:$G$497&lt;&gt;"Did not pass re-test"))*'Rework Log'!$I$2:$I$497)),"m/d"))),IF(C94="NOT STARTED",IF(H94="","No plan date set",IF(H94&lt;TODAY(),"Review - planned start passed","On track")),IF(C94="DB Dev",_xlfn.LET(_xlpm.sent,_xlfn.MAXIFS('Rework Log'!$B$2:$B$497,'Rework Log'!$A$2:$A$497,$B94,'Rework Log'!$D$2:$D$497,"DB Dev"),_xlpm.expfix,_xlfn.MAXIFS('Rework Log'!$I$2:$I$497,'Rework Log'!$A$2:$A$497,$B94,'Rework Log'!$D$2:$D$497,"DB Dev",'Rework Log'!$B$2:$B$497,_xlpm.sent),_xlpm.tgt,IF(_xlpm.expfix&gt;0,_xlpm.expfix,IF(L94&lt;&gt;"",L94,K94)),_xlpm.act,IF(AND(M94&lt;&gt;"",M94&gt;=_xlpm.sent),M94,""),IF(_xlpm.tgt="","No target set",IF(AND(_xlpm.tgt&lt;TODAY(),_xlpm.act=""),"Overdue","On track"))),IF(C94="PBI Dev",_xlfn.LET(_xlpm.sent,_xlfn.MAXIFS('Rework Log'!$B$2:$B$497,'Rework Log'!$A$2:$A$497,$B94,'Rework Log'!$D$2:$D$497,"PBI Dev"),_xlpm.expfix,_xlfn.MAXIFS('Rework Log'!$I$2:$I$497,'Rework Log'!$A$2:$A$497,$B94,'Rework Log'!$D$2:$D$497,"PBI Dev",'Rework Log'!$B$2:$B$497,_xlpm.sent),_xlpm.tgt,IF(_xlpm.expfix&gt;0,_xlpm.expfix,IF(R94&lt;&gt;"",R94,Q94)),_xlpm.act,IF(AND(S94&lt;&gt;"",S94&gt;=_xlpm.sent),S94,""),IF(_xlpm.tgt="","No target set",IF(AND(_xlpm.tgt&lt;TODAY(),_xlpm.act=""),"Overdue","On track"))),IF(C94="QA",_xlfn.LET(_xlpm.tgt,IF(AM94&lt;&gt;"",AM94,IF(W94&lt;&gt;"",W94,V94)),_xlpm.sent,_xlfn.MAXIFS('Rework Log'!$B$2:$B$497,'Rework Log'!$A$2:$A$497,$B94,'Rework Log'!$C$2:$C$497,"QA"),_xlpm.act,IF(AND(Y94&lt;&gt;"",Y94&gt;=_xlpm.sent),Y94,""),IF(_xlpm.tgt="","No target set",IF(AND(_xlpm.tgt&lt;TODAY(),_xlpm.act=""),"Overdue","On track"))),IF(C94="DPO Approval",_xlfn.LET(_xlpm.tgt,IF(AN94&lt;&gt;"",AN94,IF(AB94&lt;&gt;"",AB94,AA94)),_xlpm.sent,_xlfn.MAXIFS('Rework Log'!$B$2:$B$497,'Rework Log'!$A$2:$A$497,$B94,'Rework Log'!$C$2:$C$497,"DPO*"),_xlpm.act,IF(AND(AC94&lt;&gt;"",AC94&gt;=_xlpm.sent),AC94,""),IF(_xlpm.tgt="","No target set",IF(AND(_xlpm.tgt&lt;TODAY(),_xlpm.act=""),"Overdue","On track"))),IF(C94="RELEASED IN PROD","Delivered","")))))))))</f>
        <v>On track</v>
      </c>
      <c r="E94" s="31">
        <v>80</v>
      </c>
      <c r="F94" s="34" t="s">
        <v>209</v>
      </c>
      <c r="G94" s="31"/>
      <c r="H94" s="49">
        <v>46356</v>
      </c>
      <c r="I94" s="55" t="s">
        <v>272</v>
      </c>
      <c r="J94" s="53" t="s">
        <v>155</v>
      </c>
      <c r="K94" s="49">
        <v>46332</v>
      </c>
      <c r="L94" s="43">
        <v>46301</v>
      </c>
      <c r="M94" s="43">
        <v>46301</v>
      </c>
      <c r="N94" s="46" t="s">
        <v>147</v>
      </c>
      <c r="O94" s="36" t="s">
        <v>280</v>
      </c>
      <c r="P94" s="74" t="s">
        <v>77</v>
      </c>
      <c r="Q94" s="49">
        <v>46339</v>
      </c>
      <c r="R94" s="43"/>
      <c r="S94" s="44"/>
      <c r="T94" s="68" t="s">
        <v>277</v>
      </c>
      <c r="U94" s="46"/>
      <c r="V94" s="28">
        <v>46344</v>
      </c>
      <c r="W94" s="43"/>
      <c r="X94" s="31"/>
      <c r="Y94" s="31"/>
      <c r="Z94" s="36"/>
      <c r="AA94" s="28">
        <v>46356</v>
      </c>
      <c r="AB94" s="43"/>
      <c r="AC94" s="43"/>
      <c r="AD94" s="33" t="s">
        <v>124</v>
      </c>
      <c r="AE94" s="31" t="s">
        <v>72</v>
      </c>
      <c r="AF94" s="31"/>
      <c r="AG94" s="31"/>
      <c r="AH94" s="31"/>
      <c r="AI94" s="31"/>
      <c r="AJ94" s="31"/>
      <c r="AK94" s="31" t="str" cm="1">
        <f t="array" ref="AK94">IF($B94="","",_xlfn.LET(_xlpm.nm,$B94,_xlpm.st,$C94,_xlpm.ou,SUMPRODUCT(('Rework Log'!$A$2:$A$497=_xlpm.nm)*('Rework Log'!$G$2:$G$497&lt;&gt;"Yes")*('Rework Log'!$G$2:$G$497&lt;&gt;"Did not pass re-test")*('Rework Log'!$J$2:$J$497="")),_xlpm.ob,SUMPRODUCT(('Rework Log'!$A$2:$A$497=_xlpm.nm)*('Rework Log'!$G$2:$G$497&lt;&gt;"Yes")*('Rework Log'!$G$2:$G$497&lt;&gt;"Did not pass re-test")),_xlpm.oto,IF(SUMPRODUCT(('Rework Log'!$A$2:$A$497=_xlpm.nm)*('Rework Log'!$G$2:$G$497&lt;&gt;"Yes")*('Rework Log'!$G$2:$G$497&lt;&gt;"Did not pass re-test")*('Rework Log'!$J$2:$J$497=""))=0,"",INDEX('Rework Log'!$D$2:$D$497,MATCH(1,('Rework Log'!$A$2:$A$497=_xlpm.nm)*('Rework Log'!$G$2:$G$497&lt;&gt;"Yes")*('Rework Log'!$G$2:$G$497&lt;&gt;"Did not pass re-test")*('Rework Log'!$J$2:$J$497=""),0))),_xlpm.sent,_xlfn.MAXIFS('Rework Log'!$B$2:$B$497,'Rework Log'!$A$2:$A$497,_xlpm.nm),_xlpm.act,_xlfn.IFS(_xlpm.st="NOT STARTED",$M94,_xlpm.st="DB Dev",$M94,_xlpm.st="PBI Dev",$S94,_xlpm.st="QA",$Y94,_xlpm.st="DPO Approval",$AC94,_xlpm.st="Ready for Release in Prod",$AG94,TRUE,""),_xlpm.nxt,_xlfn.IFS(_xlpm.st="NOT STARTED","PBI Dev",_xlpm.st="DB Dev","PBI Dev",_xlpm.st="PBI Dev","QA",_xlpm.st="QA","DPO Approval",_xlpm.st="DPO Approval","Ready for Release in Prod",_xlpm.st="Ready for Release in Prod","RELEASED IN PROD",TRUE,""),IF(AND(_xlpm.ou&gt;0,_xlpm.st&lt;&gt;_xlpm.oto),"Move status back to "&amp;_xlpm.oto,IF(AND(_xlpm.ob=0,LEFT($AJ94,3)="Yes"),"Blocked - log it on Rework Log",IF(AND(_xlpm.ob&gt;0,LEFT($AJ94,3)&lt;&gt;"Yes"),"Open rework row - mark Blocked or close it",IF(AND(_xlpm.ob=0,_xlpm.act&lt;&gt;"",_xlpm.act&gt;=_xlpm.sent,_xlpm.nxt&lt;&gt;""),"Move status to "&amp;_xlpm.nxt,IF(COUNTIF($B$2:$B$528,$B94)&gt;1,"Duplicate name - check row",IF(COUNTIF('Rework Log'!$A$2:$A$497,$B94)&gt;0,"",IF(AND($V94&lt;&gt;"",$K94&lt;&gt;"",$V94&lt;$K94),"QA target is before DB Dev target",IF(AND($V94&lt;&gt;"",$Q94&lt;&gt;"",$V94&lt;$Q94),"QA target is before PBI Dev target",IF(AND($AA94&lt;&gt;"",$V94&lt;&gt;"",$AA94&lt;$V94),"DPO Approval target is before QA target",IF(AND($AG94&lt;&gt;"",$AA94&lt;&gt;"",$AG94&lt;$AA94),"Confirmed Deployed date is before DPO Approval target",""))))))))))))</f>
        <v/>
      </c>
      <c r="AL94" s="31"/>
      <c r="AM94" s="32" t="str" cm="1">
        <f t="array" ref="AM94">_xlfn.LET(_xlpm.rep,$B94,_xlpm.sent,_xlfn.MAXIFS('Rework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
      </c>
      <c r="AN94" s="32" t="str" cm="1">
        <f t="array" ref="AN94">_xlfn.LET(_xlpm.rep,$B94,_xlpm.sent,_xlfn.MAXIFS('Rework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95" spans="1:40">
      <c r="A95" s="31" t="s">
        <v>126</v>
      </c>
      <c r="B95" s="31" t="s">
        <v>288</v>
      </c>
      <c r="C95" s="31" t="s">
        <v>263</v>
      </c>
      <c r="D95" t="str" cm="1">
        <f t="array" aca="1" ref="D95" ca="1">IF(AND(C95="Ready for Release in Prod",LEFT($AJ95,3)&lt;&gt;"Yes"),IF(AG95&lt;&gt;"","Delivered","On track"),IF($B95="","",IF(LEFT($AJ95,3)="Yes","Blocked - "&amp;MID($AJ95,7,100)&amp;IF(SUMPRODUCT(('Rework Log'!$A$2:$A$497=$B95)*('Rework Log'!$G$2:$G$497&lt;&gt;"Yes")*('Rework Log'!$G$2:$G$497&lt;&gt;"Did not pass re-test"))=0,"",IF(SUMPRODUCT(MAX((('Rework Log'!$A$2:$A$497=$B95)*('Rework Log'!$G$2:$G$497&lt;&gt;"Yes")*('Rework Log'!$G$2:$G$497&lt;&gt;"Did not pass re-test"))*'Rework Log'!$I$2:$I$497))=0," - unclaimed"," - promised "&amp;TEXT(SUMPRODUCT(MAX((('Rework Log'!$A$2:$A$497=$B95)*('Rework Log'!$G$2:$G$497&lt;&gt;"Yes")*('Rework Log'!$G$2:$G$497&lt;&gt;"Did not pass re-test"))*'Rework Log'!$I$2:$I$497)),"m/d"))),IF(C95="NOT STARTED",IF(H95="","No plan date set",IF(H95&lt;TODAY(),"Review - planned start passed","On track")),IF(C95="DB Dev",_xlfn.LET(_xlpm.sent,_xlfn.MAXIFS('Rework Log'!$B$2:$B$497,'Rework Log'!$A$2:$A$497,$B95,'Rework Log'!$D$2:$D$497,"DB Dev"),_xlpm.expfix,_xlfn.MAXIFS('Rework Log'!$I$2:$I$497,'Rework Log'!$A$2:$A$497,$B95,'Rework Log'!$D$2:$D$497,"DB Dev",'Rework Log'!$B$2:$B$497,_xlpm.sent),_xlpm.tgt,IF(_xlpm.expfix&gt;0,_xlpm.expfix,IF(L95&lt;&gt;"",L95,K95)),_xlpm.act,IF(AND(M95&lt;&gt;"",M95&gt;=_xlpm.sent),M95,""),IF(_xlpm.tgt="","No target set",IF(AND(_xlpm.tgt&lt;TODAY(),_xlpm.act=""),"Overdue","On track"))),IF(C95="PBI Dev",_xlfn.LET(_xlpm.sent,_xlfn.MAXIFS('Rework Log'!$B$2:$B$497,'Rework Log'!$A$2:$A$497,$B95,'Rework Log'!$D$2:$D$497,"PBI Dev"),_xlpm.expfix,_xlfn.MAXIFS('Rework Log'!$I$2:$I$497,'Rework Log'!$A$2:$A$497,$B95,'Rework Log'!$D$2:$D$497,"PBI Dev",'Rework Log'!$B$2:$B$497,_xlpm.sent),_xlpm.tgt,IF(_xlpm.expfix&gt;0,_xlpm.expfix,IF(R95&lt;&gt;"",R95,Q95)),_xlpm.act,IF(AND(S95&lt;&gt;"",S95&gt;=_xlpm.sent),S95,""),IF(_xlpm.tgt="","No target set",IF(AND(_xlpm.tgt&lt;TODAY(),_xlpm.act=""),"Overdue","On track"))),IF(C95="QA",_xlfn.LET(_xlpm.tgt,IF(AM95&lt;&gt;"",AM95,IF(W95&lt;&gt;"",W95,V95)),_xlpm.sent,_xlfn.MAXIFS('Rework Log'!$B$2:$B$497,'Rework Log'!$A$2:$A$497,$B95,'Rework Log'!$C$2:$C$497,"QA"),_xlpm.act,IF(AND(Y95&lt;&gt;"",Y95&gt;=_xlpm.sent),Y95,""),IF(_xlpm.tgt="","No target set",IF(AND(_xlpm.tgt&lt;TODAY(),_xlpm.act=""),"Overdue","On track"))),IF(C95="DPO Approval",_xlfn.LET(_xlpm.tgt,IF(AN95&lt;&gt;"",AN95,IF(AB95&lt;&gt;"",AB95,AA95)),_xlpm.sent,_xlfn.MAXIFS('Rework Log'!$B$2:$B$497,'Rework Log'!$A$2:$A$497,$B95,'Rework Log'!$C$2:$C$497,"DPO*"),_xlpm.act,IF(AND(AC95&lt;&gt;"",AC95&gt;=_xlpm.sent),AC95,""),IF(_xlpm.tgt="","No target set",IF(AND(_xlpm.tgt&lt;TODAY(),_xlpm.act=""),"Overdue","On track"))),IF(C95="RELEASED IN PROD","Delivered","")))))))))</f>
        <v>On track</v>
      </c>
      <c r="E95" s="31">
        <v>81</v>
      </c>
      <c r="F95" s="34" t="s">
        <v>209</v>
      </c>
      <c r="G95" s="31"/>
      <c r="H95" s="49">
        <v>46356</v>
      </c>
      <c r="I95" s="55" t="s">
        <v>272</v>
      </c>
      <c r="J95" s="53" t="s">
        <v>76</v>
      </c>
      <c r="K95" s="49">
        <v>46332</v>
      </c>
      <c r="L95" s="43"/>
      <c r="M95" s="44"/>
      <c r="N95" s="44"/>
      <c r="O95" s="36" t="s">
        <v>280</v>
      </c>
      <c r="P95" s="74" t="s">
        <v>77</v>
      </c>
      <c r="Q95" s="49">
        <v>46339</v>
      </c>
      <c r="R95" s="43"/>
      <c r="S95" s="44"/>
      <c r="T95" s="68" t="s">
        <v>289</v>
      </c>
      <c r="U95" s="46"/>
      <c r="V95" s="28">
        <v>46344</v>
      </c>
      <c r="W95" s="43"/>
      <c r="X95" s="31"/>
      <c r="Y95" s="31"/>
      <c r="Z95" s="36"/>
      <c r="AA95" s="28">
        <v>46356</v>
      </c>
      <c r="AB95" s="43"/>
      <c r="AC95" s="43"/>
      <c r="AD95" s="31" t="s">
        <v>290</v>
      </c>
      <c r="AE95" s="31" t="s">
        <v>72</v>
      </c>
      <c r="AF95" s="31"/>
      <c r="AG95" s="31"/>
      <c r="AH95" s="31"/>
      <c r="AI95" s="31"/>
      <c r="AJ95" s="31"/>
      <c r="AK95" s="31" t="str" cm="1">
        <f t="array" ref="AK95">IF($B95="","",_xlfn.LET(_xlpm.nm,$B95,_xlpm.st,$C95,_xlpm.ou,SUMPRODUCT(('Rework Log'!$A$2:$A$497=_xlpm.nm)*('Rework Log'!$G$2:$G$497&lt;&gt;"Yes")*('Rework Log'!$G$2:$G$497&lt;&gt;"Did not pass re-test")*('Rework Log'!$J$2:$J$497="")),_xlpm.ob,SUMPRODUCT(('Rework Log'!$A$2:$A$497=_xlpm.nm)*('Rework Log'!$G$2:$G$497&lt;&gt;"Yes")*('Rework Log'!$G$2:$G$497&lt;&gt;"Did not pass re-test")),_xlpm.oto,IF(SUMPRODUCT(('Rework Log'!$A$2:$A$497=_xlpm.nm)*('Rework Log'!$G$2:$G$497&lt;&gt;"Yes")*('Rework Log'!$G$2:$G$497&lt;&gt;"Did not pass re-test")*('Rework Log'!$J$2:$J$497=""))=0,"",INDEX('Rework Log'!$D$2:$D$497,MATCH(1,('Rework Log'!$A$2:$A$497=_xlpm.nm)*('Rework Log'!$G$2:$G$497&lt;&gt;"Yes")*('Rework Log'!$G$2:$G$497&lt;&gt;"Did not pass re-test")*('Rework Log'!$J$2:$J$497=""),0))),_xlpm.sent,_xlfn.MAXIFS('Rework Log'!$B$2:$B$497,'Rework Log'!$A$2:$A$497,_xlpm.nm),_xlpm.act,_xlfn.IFS(_xlpm.st="NOT STARTED",$M95,_xlpm.st="DB Dev",$M95,_xlpm.st="PBI Dev",$S95,_xlpm.st="QA",$Y95,_xlpm.st="DPO Approval",$AC95,_xlpm.st="Ready for Release in Prod",$AG95,TRUE,""),_xlpm.nxt,_xlfn.IFS(_xlpm.st="NOT STARTED","PBI Dev",_xlpm.st="DB Dev","PBI Dev",_xlpm.st="PBI Dev","QA",_xlpm.st="QA","DPO Approval",_xlpm.st="DPO Approval","Ready for Release in Prod",_xlpm.st="Ready for Release in Prod","RELEASED IN PROD",TRUE,""),IF(AND(_xlpm.ou&gt;0,_xlpm.st&lt;&gt;_xlpm.oto),"Move status back to "&amp;_xlpm.oto,IF(AND(_xlpm.ob=0,LEFT($AJ95,3)="Yes"),"Blocked - log it on Rework Log",IF(AND(_xlpm.ob&gt;0,LEFT($AJ95,3)&lt;&gt;"Yes"),"Open rework row - mark Blocked or close it",IF(AND(_xlpm.ob=0,_xlpm.act&lt;&gt;"",_xlpm.act&gt;=_xlpm.sent,_xlpm.nxt&lt;&gt;""),"Move status to "&amp;_xlpm.nxt,IF(COUNTIF($B$2:$B$528,$B95)&gt;1,"Duplicate name - check row",IF(COUNTIF('Rework Log'!$A$2:$A$497,$B95)&gt;0,"",IF(AND($V95&lt;&gt;"",$K95&lt;&gt;"",$V95&lt;$K95),"QA target is before DB Dev target",IF(AND($V95&lt;&gt;"",$Q95&lt;&gt;"",$V95&lt;$Q95),"QA target is before PBI Dev target",IF(AND($AA95&lt;&gt;"",$V95&lt;&gt;"",$AA95&lt;$V95),"DPO Approval target is before QA target",IF(AND($AG95&lt;&gt;"",$AA95&lt;&gt;"",$AG95&lt;$AA95),"Confirmed Deployed date is before DPO Approval target",""))))))))))))</f>
        <v/>
      </c>
      <c r="AL95" s="31"/>
      <c r="AM95" s="32" t="str" cm="1">
        <f t="array" ref="AM95">_xlfn.LET(_xlpm.rep,$B95,_xlpm.sent,_xlfn.MAXIFS('Rework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
      </c>
      <c r="AN95" s="32" t="str" cm="1">
        <f t="array" ref="AN95">_xlfn.LET(_xlpm.rep,$B95,_xlpm.sent,_xlfn.MAXIFS('Rework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96" spans="1:40">
      <c r="A96" s="31" t="s">
        <v>126</v>
      </c>
      <c r="B96" s="220" t="s">
        <v>291</v>
      </c>
      <c r="C96" s="31" t="s">
        <v>223</v>
      </c>
      <c r="D96" t="str" cm="1">
        <f t="array" aca="1" ref="D96" ca="1">IF(AND(C96="Ready for Release in Prod",LEFT($AJ96,3)&lt;&gt;"Yes"),IF(AG96&lt;&gt;"","Delivered","On track"),IF($B96="","",IF(LEFT($AJ96,3)="Yes","Blocked - "&amp;MID($AJ96,7,100)&amp;IF(SUMPRODUCT(('Rework Log'!$A$2:$A$497=$B96)*('Rework Log'!$G$2:$G$497&lt;&gt;"Yes")*('Rework Log'!$G$2:$G$497&lt;&gt;"Did not pass re-test"))=0,"",IF(SUMPRODUCT(MAX((('Rework Log'!$A$2:$A$497=$B96)*('Rework Log'!$G$2:$G$497&lt;&gt;"Yes")*('Rework Log'!$G$2:$G$497&lt;&gt;"Did not pass re-test"))*'Rework Log'!$I$2:$I$497))=0," - unclaimed"," - promised "&amp;TEXT(SUMPRODUCT(MAX((('Rework Log'!$A$2:$A$497=$B96)*('Rework Log'!$G$2:$G$497&lt;&gt;"Yes")*('Rework Log'!$G$2:$G$497&lt;&gt;"Did not pass re-test"))*'Rework Log'!$I$2:$I$497)),"m/d"))),IF(C96="NOT STARTED",IF(H96="","No plan date set",IF(H96&lt;TODAY(),"Review - planned start passed","On track")),IF(C96="DB Dev",_xlfn.LET(_xlpm.sent,_xlfn.MAXIFS('Rework Log'!$B$2:$B$497,'Rework Log'!$A$2:$A$497,$B96,'Rework Log'!$D$2:$D$497,"DB Dev"),_xlpm.expfix,_xlfn.MAXIFS('Rework Log'!$I$2:$I$497,'Rework Log'!$A$2:$A$497,$B96,'Rework Log'!$D$2:$D$497,"DB Dev",'Rework Log'!$B$2:$B$497,_xlpm.sent),_xlpm.tgt,IF(_xlpm.expfix&gt;0,_xlpm.expfix,IF(L96&lt;&gt;"",L96,K96)),_xlpm.act,IF(AND(M96&lt;&gt;"",M96&gt;=_xlpm.sent),M96,""),IF(_xlpm.tgt="","No target set",IF(AND(_xlpm.tgt&lt;TODAY(),_xlpm.act=""),"Overdue","On track"))),IF(C96="PBI Dev",_xlfn.LET(_xlpm.sent,_xlfn.MAXIFS('Rework Log'!$B$2:$B$497,'Rework Log'!$A$2:$A$497,$B96,'Rework Log'!$D$2:$D$497,"PBI Dev"),_xlpm.expfix,_xlfn.MAXIFS('Rework Log'!$I$2:$I$497,'Rework Log'!$A$2:$A$497,$B96,'Rework Log'!$D$2:$D$497,"PBI Dev",'Rework Log'!$B$2:$B$497,_xlpm.sent),_xlpm.tgt,IF(_xlpm.expfix&gt;0,_xlpm.expfix,IF(R96&lt;&gt;"",R96,Q96)),_xlpm.act,IF(AND(S96&lt;&gt;"",S96&gt;=_xlpm.sent),S96,""),IF(_xlpm.tgt="","No target set",IF(AND(_xlpm.tgt&lt;TODAY(),_xlpm.act=""),"Overdue","On track"))),IF(C96="QA",_xlfn.LET(_xlpm.tgt,IF(AM96&lt;&gt;"",AM96,IF(W96&lt;&gt;"",W96,V96)),_xlpm.sent,_xlfn.MAXIFS('Rework Log'!$B$2:$B$497,'Rework Log'!$A$2:$A$497,$B96,'Rework Log'!$C$2:$C$497,"QA"),_xlpm.act,IF(AND(Y96&lt;&gt;"",Y96&gt;=_xlpm.sent),Y96,""),IF(_xlpm.tgt="","No target set",IF(AND(_xlpm.tgt&lt;TODAY(),_xlpm.act=""),"Overdue","On track"))),IF(C96="DPO Approval",_xlfn.LET(_xlpm.tgt,IF(AN96&lt;&gt;"",AN96,IF(AB96&lt;&gt;"",AB96,AA96)),_xlpm.sent,_xlfn.MAXIFS('Rework Log'!$B$2:$B$497,'Rework Log'!$A$2:$A$497,$B96,'Rework Log'!$C$2:$C$497,"DPO*"),_xlpm.act,IF(AND(AC96&lt;&gt;"",AC96&gt;=_xlpm.sent),AC96,""),IF(_xlpm.tgt="","No target set",IF(AND(_xlpm.tgt&lt;TODAY(),_xlpm.act=""),"Overdue","On track"))),IF(C96="RELEASED IN PROD","Delivered","")))))))))</f>
        <v>On track</v>
      </c>
      <c r="E96" s="31">
        <v>82</v>
      </c>
      <c r="F96" s="31" t="s">
        <v>129</v>
      </c>
      <c r="G96" s="31"/>
      <c r="H96" s="49">
        <v>46356</v>
      </c>
      <c r="I96" s="55" t="s">
        <v>272</v>
      </c>
      <c r="J96" s="53" t="s">
        <v>76</v>
      </c>
      <c r="K96" s="49">
        <v>46332</v>
      </c>
      <c r="L96" s="43">
        <v>46297</v>
      </c>
      <c r="M96" s="44"/>
      <c r="N96" s="44" t="s">
        <v>257</v>
      </c>
      <c r="O96" s="36" t="s">
        <v>280</v>
      </c>
      <c r="P96" s="74" t="s">
        <v>60</v>
      </c>
      <c r="Q96" s="49">
        <v>46339</v>
      </c>
      <c r="R96" s="43"/>
      <c r="S96" s="44"/>
      <c r="T96" s="68" t="s">
        <v>289</v>
      </c>
      <c r="U96" s="46"/>
      <c r="V96" s="28">
        <v>46344</v>
      </c>
      <c r="W96" s="43"/>
      <c r="X96" s="31"/>
      <c r="Y96" s="31"/>
      <c r="Z96" s="36"/>
      <c r="AA96" s="28">
        <v>46356</v>
      </c>
      <c r="AB96" s="43"/>
      <c r="AC96" s="43"/>
      <c r="AD96" s="31" t="s">
        <v>292</v>
      </c>
      <c r="AE96" s="31" t="s">
        <v>72</v>
      </c>
      <c r="AF96" s="31"/>
      <c r="AG96" s="31"/>
      <c r="AH96" s="31"/>
      <c r="AI96" s="31"/>
      <c r="AJ96" s="31"/>
      <c r="AK96" s="31" t="str" cm="1">
        <f t="array" ref="AK96">IF($B96="","",_xlfn.LET(_xlpm.nm,$B96,_xlpm.st,$C96,_xlpm.ou,SUMPRODUCT(('Rework Log'!$A$2:$A$497=_xlpm.nm)*('Rework Log'!$G$2:$G$497&lt;&gt;"Yes")*('Rework Log'!$G$2:$G$497&lt;&gt;"Did not pass re-test")*('Rework Log'!$J$2:$J$497="")),_xlpm.ob,SUMPRODUCT(('Rework Log'!$A$2:$A$497=_xlpm.nm)*('Rework Log'!$G$2:$G$497&lt;&gt;"Yes")*('Rework Log'!$G$2:$G$497&lt;&gt;"Did not pass re-test")),_xlpm.oto,IF(SUMPRODUCT(('Rework Log'!$A$2:$A$497=_xlpm.nm)*('Rework Log'!$G$2:$G$497&lt;&gt;"Yes")*('Rework Log'!$G$2:$G$497&lt;&gt;"Did not pass re-test")*('Rework Log'!$J$2:$J$497=""))=0,"",INDEX('Rework Log'!$D$2:$D$497,MATCH(1,('Rework Log'!$A$2:$A$497=_xlpm.nm)*('Rework Log'!$G$2:$G$497&lt;&gt;"Yes")*('Rework Log'!$G$2:$G$497&lt;&gt;"Did not pass re-test")*('Rework Log'!$J$2:$J$497=""),0))),_xlpm.sent,_xlfn.MAXIFS('Rework Log'!$B$2:$B$497,'Rework Log'!$A$2:$A$497,_xlpm.nm),_xlpm.act,_xlfn.IFS(_xlpm.st="NOT STARTED",$M96,_xlpm.st="DB Dev",$M96,_xlpm.st="PBI Dev",$S96,_xlpm.st="QA",$Y96,_xlpm.st="DPO Approval",$AC96,_xlpm.st="Ready for Release in Prod",$AG96,TRUE,""),_xlpm.nxt,_xlfn.IFS(_xlpm.st="NOT STARTED","PBI Dev",_xlpm.st="DB Dev","PBI Dev",_xlpm.st="PBI Dev","QA",_xlpm.st="QA","DPO Approval",_xlpm.st="DPO Approval","Ready for Release in Prod",_xlpm.st="Ready for Release in Prod","RELEASED IN PROD",TRUE,""),IF(AND(_xlpm.ou&gt;0,_xlpm.st&lt;&gt;_xlpm.oto),"Move status back to "&amp;_xlpm.oto,IF(AND(_xlpm.ob=0,LEFT($AJ96,3)="Yes"),"Blocked - log it on Rework Log",IF(AND(_xlpm.ob&gt;0,LEFT($AJ96,3)&lt;&gt;"Yes"),"Open rework row - mark Blocked or close it",IF(AND(_xlpm.ob=0,_xlpm.act&lt;&gt;"",_xlpm.act&gt;=_xlpm.sent,_xlpm.nxt&lt;&gt;""),"Move status to "&amp;_xlpm.nxt,IF(COUNTIF($B$2:$B$528,$B96)&gt;1,"Duplicate name - check row",IF(COUNTIF('Rework Log'!$A$2:$A$497,$B96)&gt;0,"",IF(AND($V96&lt;&gt;"",$K96&lt;&gt;"",$V96&lt;$K96),"QA target is before DB Dev target",IF(AND($V96&lt;&gt;"",$Q96&lt;&gt;"",$V96&lt;$Q96),"QA target is before PBI Dev target",IF(AND($AA96&lt;&gt;"",$V96&lt;&gt;"",$AA96&lt;$V96),"DPO Approval target is before QA target",IF(AND($AG96&lt;&gt;"",$AA96&lt;&gt;"",$AG96&lt;$AA96),"Confirmed Deployed date is before DPO Approval target",""))))))))))))</f>
        <v/>
      </c>
      <c r="AL96" s="31"/>
      <c r="AM96" s="32" t="str" cm="1">
        <f t="array" ref="AM96">_xlfn.LET(_xlpm.rep,$B96,_xlpm.sent,_xlfn.MAXIFS('Rework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
      </c>
      <c r="AN96" s="32" t="str" cm="1">
        <f t="array" ref="AN96">_xlfn.LET(_xlpm.rep,$B96,_xlpm.sent,_xlfn.MAXIFS('Rework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97" spans="1:40">
      <c r="A97" s="31" t="s">
        <v>126</v>
      </c>
      <c r="B97" s="31" t="s">
        <v>293</v>
      </c>
      <c r="C97" s="31" t="s">
        <v>263</v>
      </c>
      <c r="D97" t="str" cm="1">
        <f t="array" aca="1" ref="D97" ca="1">IF(AND(C97="Ready for Release in Prod",LEFT($AJ97,3)&lt;&gt;"Yes"),IF(AG97&lt;&gt;"","Delivered","On track"),IF($B97="","",IF(LEFT($AJ97,3)="Yes","Blocked - "&amp;MID($AJ97,7,100)&amp;IF(SUMPRODUCT(('Rework Log'!$A$2:$A$497=$B97)*('Rework Log'!$G$2:$G$497&lt;&gt;"Yes")*('Rework Log'!$G$2:$G$497&lt;&gt;"Did not pass re-test"))=0,"",IF(SUMPRODUCT(MAX((('Rework Log'!$A$2:$A$497=$B97)*('Rework Log'!$G$2:$G$497&lt;&gt;"Yes")*('Rework Log'!$G$2:$G$497&lt;&gt;"Did not pass re-test"))*'Rework Log'!$I$2:$I$497))=0," - unclaimed"," - promised "&amp;TEXT(SUMPRODUCT(MAX((('Rework Log'!$A$2:$A$497=$B97)*('Rework Log'!$G$2:$G$497&lt;&gt;"Yes")*('Rework Log'!$G$2:$G$497&lt;&gt;"Did not pass re-test"))*'Rework Log'!$I$2:$I$497)),"m/d"))),IF(C97="NOT STARTED",IF(H97="","No plan date set",IF(H97&lt;TODAY(),"Review - planned start passed","On track")),IF(C97="DB Dev",_xlfn.LET(_xlpm.sent,_xlfn.MAXIFS('Rework Log'!$B$2:$B$497,'Rework Log'!$A$2:$A$497,$B97,'Rework Log'!$D$2:$D$497,"DB Dev"),_xlpm.expfix,_xlfn.MAXIFS('Rework Log'!$I$2:$I$497,'Rework Log'!$A$2:$A$497,$B97,'Rework Log'!$D$2:$D$497,"DB Dev",'Rework Log'!$B$2:$B$497,_xlpm.sent),_xlpm.tgt,IF(_xlpm.expfix&gt;0,_xlpm.expfix,IF(L97&lt;&gt;"",L97,K97)),_xlpm.act,IF(AND(M97&lt;&gt;"",M97&gt;=_xlpm.sent),M97,""),IF(_xlpm.tgt="","No target set",IF(AND(_xlpm.tgt&lt;TODAY(),_xlpm.act=""),"Overdue","On track"))),IF(C97="PBI Dev",_xlfn.LET(_xlpm.sent,_xlfn.MAXIFS('Rework Log'!$B$2:$B$497,'Rework Log'!$A$2:$A$497,$B97,'Rework Log'!$D$2:$D$497,"PBI Dev"),_xlpm.expfix,_xlfn.MAXIFS('Rework Log'!$I$2:$I$497,'Rework Log'!$A$2:$A$497,$B97,'Rework Log'!$D$2:$D$497,"PBI Dev",'Rework Log'!$B$2:$B$497,_xlpm.sent),_xlpm.tgt,IF(_xlpm.expfix&gt;0,_xlpm.expfix,IF(R97&lt;&gt;"",R97,Q97)),_xlpm.act,IF(AND(S97&lt;&gt;"",S97&gt;=_xlpm.sent),S97,""),IF(_xlpm.tgt="","No target set",IF(AND(_xlpm.tgt&lt;TODAY(),_xlpm.act=""),"Overdue","On track"))),IF(C97="QA",_xlfn.LET(_xlpm.tgt,IF(AM97&lt;&gt;"",AM97,IF(W97&lt;&gt;"",W97,V97)),_xlpm.sent,_xlfn.MAXIFS('Rework Log'!$B$2:$B$497,'Rework Log'!$A$2:$A$497,$B97,'Rework Log'!$C$2:$C$497,"QA"),_xlpm.act,IF(AND(Y97&lt;&gt;"",Y97&gt;=_xlpm.sent),Y97,""),IF(_xlpm.tgt="","No target set",IF(AND(_xlpm.tgt&lt;TODAY(),_xlpm.act=""),"Overdue","On track"))),IF(C97="DPO Approval",_xlfn.LET(_xlpm.tgt,IF(AN97&lt;&gt;"",AN97,IF(AB97&lt;&gt;"",AB97,AA97)),_xlpm.sent,_xlfn.MAXIFS('Rework Log'!$B$2:$B$497,'Rework Log'!$A$2:$A$497,$B97,'Rework Log'!$C$2:$C$497,"DPO*"),_xlpm.act,IF(AND(AC97&lt;&gt;"",AC97&gt;=_xlpm.sent),AC97,""),IF(_xlpm.tgt="","No target set",IF(AND(_xlpm.tgt&lt;TODAY(),_xlpm.act=""),"Overdue","On track"))),IF(C97="RELEASED IN PROD","Delivered","")))))))))</f>
        <v>On track</v>
      </c>
      <c r="E97" s="31">
        <v>83</v>
      </c>
      <c r="F97" s="31" t="s">
        <v>129</v>
      </c>
      <c r="G97" s="31"/>
      <c r="H97" s="49">
        <v>46356</v>
      </c>
      <c r="I97" s="55" t="s">
        <v>272</v>
      </c>
      <c r="J97" s="53" t="s">
        <v>294</v>
      </c>
      <c r="K97" s="49">
        <v>46332</v>
      </c>
      <c r="L97" s="49">
        <v>46332</v>
      </c>
      <c r="M97" s="44"/>
      <c r="N97" s="44"/>
      <c r="O97" s="36" t="s">
        <v>280</v>
      </c>
      <c r="P97" s="74" t="s">
        <v>77</v>
      </c>
      <c r="Q97" s="49">
        <v>46339</v>
      </c>
      <c r="R97" s="43"/>
      <c r="S97" s="44"/>
      <c r="T97" s="68" t="s">
        <v>289</v>
      </c>
      <c r="U97" s="46"/>
      <c r="V97" s="28">
        <v>46344</v>
      </c>
      <c r="W97" s="43"/>
      <c r="X97" s="31"/>
      <c r="Y97" s="31"/>
      <c r="Z97" s="36"/>
      <c r="AA97" s="28">
        <v>46356</v>
      </c>
      <c r="AB97" s="43"/>
      <c r="AC97" s="43"/>
      <c r="AD97" s="31" t="s">
        <v>295</v>
      </c>
      <c r="AE97" s="31" t="s">
        <v>72</v>
      </c>
      <c r="AF97" s="31"/>
      <c r="AG97" s="31"/>
      <c r="AH97" s="31"/>
      <c r="AI97" s="31"/>
      <c r="AJ97" s="31"/>
      <c r="AK97" s="31" t="str" cm="1">
        <f t="array" ref="AK97">IF($B97="","",_xlfn.LET(_xlpm.nm,$B97,_xlpm.st,$C97,_xlpm.ou,SUMPRODUCT(('Rework Log'!$A$2:$A$497=_xlpm.nm)*('Rework Log'!$G$2:$G$497&lt;&gt;"Yes")*('Rework Log'!$G$2:$G$497&lt;&gt;"Did not pass re-test")*('Rework Log'!$J$2:$J$497="")),_xlpm.ob,SUMPRODUCT(('Rework Log'!$A$2:$A$497=_xlpm.nm)*('Rework Log'!$G$2:$G$497&lt;&gt;"Yes")*('Rework Log'!$G$2:$G$497&lt;&gt;"Did not pass re-test")),_xlpm.oto,IF(SUMPRODUCT(('Rework Log'!$A$2:$A$497=_xlpm.nm)*('Rework Log'!$G$2:$G$497&lt;&gt;"Yes")*('Rework Log'!$G$2:$G$497&lt;&gt;"Did not pass re-test")*('Rework Log'!$J$2:$J$497=""))=0,"",INDEX('Rework Log'!$D$2:$D$497,MATCH(1,('Rework Log'!$A$2:$A$497=_xlpm.nm)*('Rework Log'!$G$2:$G$497&lt;&gt;"Yes")*('Rework Log'!$G$2:$G$497&lt;&gt;"Did not pass re-test")*('Rework Log'!$J$2:$J$497=""),0))),_xlpm.sent,_xlfn.MAXIFS('Rework Log'!$B$2:$B$497,'Rework Log'!$A$2:$A$497,_xlpm.nm),_xlpm.act,_xlfn.IFS(_xlpm.st="NOT STARTED",$M97,_xlpm.st="DB Dev",$M97,_xlpm.st="PBI Dev",$S97,_xlpm.st="QA",$Y97,_xlpm.st="DPO Approval",$AC97,_xlpm.st="Ready for Release in Prod",$AG97,TRUE,""),_xlpm.nxt,_xlfn.IFS(_xlpm.st="NOT STARTED","PBI Dev",_xlpm.st="DB Dev","PBI Dev",_xlpm.st="PBI Dev","QA",_xlpm.st="QA","DPO Approval",_xlpm.st="DPO Approval","Ready for Release in Prod",_xlpm.st="Ready for Release in Prod","RELEASED IN PROD",TRUE,""),IF(AND(_xlpm.ou&gt;0,_xlpm.st&lt;&gt;_xlpm.oto),"Move status back to "&amp;_xlpm.oto,IF(AND(_xlpm.ob=0,LEFT($AJ97,3)="Yes"),"Blocked - log it on Rework Log",IF(AND(_xlpm.ob&gt;0,LEFT($AJ97,3)&lt;&gt;"Yes"),"Open rework row - mark Blocked or close it",IF(AND(_xlpm.ob=0,_xlpm.act&lt;&gt;"",_xlpm.act&gt;=_xlpm.sent,_xlpm.nxt&lt;&gt;""),"Move status to "&amp;_xlpm.nxt,IF(COUNTIF($B$2:$B$528,$B97)&gt;1,"Duplicate name - check row",IF(COUNTIF('Rework Log'!$A$2:$A$497,$B97)&gt;0,"",IF(AND($V97&lt;&gt;"",$K97&lt;&gt;"",$V97&lt;$K97),"QA target is before DB Dev target",IF(AND($V97&lt;&gt;"",$Q97&lt;&gt;"",$V97&lt;$Q97),"QA target is before PBI Dev target",IF(AND($AA97&lt;&gt;"",$V97&lt;&gt;"",$AA97&lt;$V97),"DPO Approval target is before QA target",IF(AND($AG97&lt;&gt;"",$AA97&lt;&gt;"",$AG97&lt;$AA97),"Confirmed Deployed date is before DPO Approval target",""))))))))))))</f>
        <v/>
      </c>
      <c r="AL97" s="31"/>
      <c r="AM97" s="32" t="str" cm="1">
        <f t="array" ref="AM97">_xlfn.LET(_xlpm.rep,$B97,_xlpm.sent,_xlfn.MAXIFS('Rework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
      </c>
      <c r="AN97" s="32" t="str" cm="1">
        <f t="array" ref="AN97">_xlfn.LET(_xlpm.rep,$B97,_xlpm.sent,_xlfn.MAXIFS('Rework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98" spans="1:40">
      <c r="A98" s="31" t="s">
        <v>126</v>
      </c>
      <c r="B98" s="31" t="s">
        <v>296</v>
      </c>
      <c r="C98" s="31" t="s">
        <v>223</v>
      </c>
      <c r="D98" t="str" cm="1">
        <f t="array" aca="1" ref="D98" ca="1">IF(AND(C98="Ready for Release in Prod",LEFT($AJ98,3)&lt;&gt;"Yes"),IF(AG98&lt;&gt;"","Delivered","On track"),IF($B98="","",IF(LEFT($AJ98,3)="Yes","Blocked - "&amp;MID($AJ98,7,100)&amp;IF(SUMPRODUCT(('Rework Log'!$A$2:$A$497=$B98)*('Rework Log'!$G$2:$G$497&lt;&gt;"Yes")*('Rework Log'!$G$2:$G$497&lt;&gt;"Did not pass re-test"))=0,"",IF(SUMPRODUCT(MAX((('Rework Log'!$A$2:$A$497=$B98)*('Rework Log'!$G$2:$G$497&lt;&gt;"Yes")*('Rework Log'!$G$2:$G$497&lt;&gt;"Did not pass re-test"))*'Rework Log'!$I$2:$I$497))=0," - unclaimed"," - promised "&amp;TEXT(SUMPRODUCT(MAX((('Rework Log'!$A$2:$A$497=$B98)*('Rework Log'!$G$2:$G$497&lt;&gt;"Yes")*('Rework Log'!$G$2:$G$497&lt;&gt;"Did not pass re-test"))*'Rework Log'!$I$2:$I$497)),"m/d"))),IF(C98="NOT STARTED",IF(H98="","No plan date set",IF(H98&lt;TODAY(),"Review - planned start passed","On track")),IF(C98="DB Dev",_xlfn.LET(_xlpm.sent,_xlfn.MAXIFS('Rework Log'!$B$2:$B$497,'Rework Log'!$A$2:$A$497,$B98,'Rework Log'!$D$2:$D$497,"DB Dev"),_xlpm.expfix,_xlfn.MAXIFS('Rework Log'!$I$2:$I$497,'Rework Log'!$A$2:$A$497,$B98,'Rework Log'!$D$2:$D$497,"DB Dev",'Rework Log'!$B$2:$B$497,_xlpm.sent),_xlpm.tgt,IF(_xlpm.expfix&gt;0,_xlpm.expfix,IF(L98&lt;&gt;"",L98,K98)),_xlpm.act,IF(AND(M98&lt;&gt;"",M98&gt;=_xlpm.sent),M98,""),IF(_xlpm.tgt="","No target set",IF(AND(_xlpm.tgt&lt;TODAY(),_xlpm.act=""),"Overdue","On track"))),IF(C98="PBI Dev",_xlfn.LET(_xlpm.sent,_xlfn.MAXIFS('Rework Log'!$B$2:$B$497,'Rework Log'!$A$2:$A$497,$B98,'Rework Log'!$D$2:$D$497,"PBI Dev"),_xlpm.expfix,_xlfn.MAXIFS('Rework Log'!$I$2:$I$497,'Rework Log'!$A$2:$A$497,$B98,'Rework Log'!$D$2:$D$497,"PBI Dev",'Rework Log'!$B$2:$B$497,_xlpm.sent),_xlpm.tgt,IF(_xlpm.expfix&gt;0,_xlpm.expfix,IF(R98&lt;&gt;"",R98,Q98)),_xlpm.act,IF(AND(S98&lt;&gt;"",S98&gt;=_xlpm.sent),S98,""),IF(_xlpm.tgt="","No target set",IF(AND(_xlpm.tgt&lt;TODAY(),_xlpm.act=""),"Overdue","On track"))),IF(C98="QA",_xlfn.LET(_xlpm.tgt,IF(AM98&lt;&gt;"",AM98,IF(W98&lt;&gt;"",W98,V98)),_xlpm.sent,_xlfn.MAXIFS('Rework Log'!$B$2:$B$497,'Rework Log'!$A$2:$A$497,$B98,'Rework Log'!$C$2:$C$497,"QA"),_xlpm.act,IF(AND(Y98&lt;&gt;"",Y98&gt;=_xlpm.sent),Y98,""),IF(_xlpm.tgt="","No target set",IF(AND(_xlpm.tgt&lt;TODAY(),_xlpm.act=""),"Overdue","On track"))),IF(C98="DPO Approval",_xlfn.LET(_xlpm.tgt,IF(AN98&lt;&gt;"",AN98,IF(AB98&lt;&gt;"",AB98,AA98)),_xlpm.sent,_xlfn.MAXIFS('Rework Log'!$B$2:$B$497,'Rework Log'!$A$2:$A$497,$B98,'Rework Log'!$C$2:$C$497,"DPO*"),_xlpm.act,IF(AND(AC98&lt;&gt;"",AC98&gt;=_xlpm.sent),AC98,""),IF(_xlpm.tgt="","No target set",IF(AND(_xlpm.tgt&lt;TODAY(),_xlpm.act=""),"Overdue","On track"))),IF(C98="RELEASED IN PROD","Delivered","")))))))))</f>
        <v>On track</v>
      </c>
      <c r="E98" s="31">
        <v>84</v>
      </c>
      <c r="F98" s="34" t="s">
        <v>209</v>
      </c>
      <c r="G98" s="31"/>
      <c r="H98" s="49">
        <v>46356</v>
      </c>
      <c r="I98" s="55" t="s">
        <v>272</v>
      </c>
      <c r="J98" s="53" t="s">
        <v>294</v>
      </c>
      <c r="K98" s="49">
        <v>46332</v>
      </c>
      <c r="L98" s="49">
        <v>46332</v>
      </c>
      <c r="M98" s="44">
        <v>46296</v>
      </c>
      <c r="N98" s="44" t="s">
        <v>147</v>
      </c>
      <c r="O98" s="36" t="s">
        <v>280</v>
      </c>
      <c r="P98" s="74" t="s">
        <v>60</v>
      </c>
      <c r="Q98" s="49">
        <v>46339</v>
      </c>
      <c r="R98" s="43"/>
      <c r="S98" s="44"/>
      <c r="T98" s="68" t="s">
        <v>289</v>
      </c>
      <c r="U98" s="46"/>
      <c r="V98" s="28">
        <v>46344</v>
      </c>
      <c r="W98" s="43"/>
      <c r="X98" s="31"/>
      <c r="Y98" s="31"/>
      <c r="Z98" s="36"/>
      <c r="AA98" s="28">
        <v>46356</v>
      </c>
      <c r="AB98" s="43"/>
      <c r="AC98" s="43"/>
      <c r="AD98" s="31" t="s">
        <v>170</v>
      </c>
      <c r="AE98" s="31" t="s">
        <v>49</v>
      </c>
      <c r="AF98" s="31"/>
      <c r="AG98" s="31"/>
      <c r="AH98" s="31"/>
      <c r="AI98" s="31"/>
      <c r="AJ98" s="31"/>
      <c r="AK98" s="31" t="str" cm="1">
        <f t="array" ref="AK98">IF($B98="","",_xlfn.LET(_xlpm.nm,$B98,_xlpm.st,$C98,_xlpm.ou,SUMPRODUCT(('Rework Log'!$A$2:$A$497=_xlpm.nm)*('Rework Log'!$G$2:$G$497&lt;&gt;"Yes")*('Rework Log'!$G$2:$G$497&lt;&gt;"Did not pass re-test")*('Rework Log'!$J$2:$J$497="")),_xlpm.ob,SUMPRODUCT(('Rework Log'!$A$2:$A$497=_xlpm.nm)*('Rework Log'!$G$2:$G$497&lt;&gt;"Yes")*('Rework Log'!$G$2:$G$497&lt;&gt;"Did not pass re-test")),_xlpm.oto,IF(SUMPRODUCT(('Rework Log'!$A$2:$A$497=_xlpm.nm)*('Rework Log'!$G$2:$G$497&lt;&gt;"Yes")*('Rework Log'!$G$2:$G$497&lt;&gt;"Did not pass re-test")*('Rework Log'!$J$2:$J$497=""))=0,"",INDEX('Rework Log'!$D$2:$D$497,MATCH(1,('Rework Log'!$A$2:$A$497=_xlpm.nm)*('Rework Log'!$G$2:$G$497&lt;&gt;"Yes")*('Rework Log'!$G$2:$G$497&lt;&gt;"Did not pass re-test")*('Rework Log'!$J$2:$J$497=""),0))),_xlpm.sent,_xlfn.MAXIFS('Rework Log'!$B$2:$B$497,'Rework Log'!$A$2:$A$497,_xlpm.nm),_xlpm.act,_xlfn.IFS(_xlpm.st="NOT STARTED",$M98,_xlpm.st="DB Dev",$M98,_xlpm.st="PBI Dev",$S98,_xlpm.st="QA",$Y98,_xlpm.st="DPO Approval",$AC98,_xlpm.st="Ready for Release in Prod",$AG98,TRUE,""),_xlpm.nxt,_xlfn.IFS(_xlpm.st="NOT STARTED","PBI Dev",_xlpm.st="DB Dev","PBI Dev",_xlpm.st="PBI Dev","QA",_xlpm.st="QA","DPO Approval",_xlpm.st="DPO Approval","Ready for Release in Prod",_xlpm.st="Ready for Release in Prod","RELEASED IN PROD",TRUE,""),IF(AND(_xlpm.ou&gt;0,_xlpm.st&lt;&gt;_xlpm.oto),"Move status back to "&amp;_xlpm.oto,IF(AND(_xlpm.ob=0,LEFT($AJ98,3)="Yes"),"Blocked - log it on Rework Log",IF(AND(_xlpm.ob&gt;0,LEFT($AJ98,3)&lt;&gt;"Yes"),"Open rework row - mark Blocked or close it",IF(AND(_xlpm.ob=0,_xlpm.act&lt;&gt;"",_xlpm.act&gt;=_xlpm.sent,_xlpm.nxt&lt;&gt;""),"Move status to "&amp;_xlpm.nxt,IF(COUNTIF($B$2:$B$528,$B98)&gt;1,"Duplicate name - check row",IF(COUNTIF('Rework Log'!$A$2:$A$497,$B98)&gt;0,"",IF(AND($V98&lt;&gt;"",$K98&lt;&gt;"",$V98&lt;$K98),"QA target is before DB Dev target",IF(AND($V98&lt;&gt;"",$Q98&lt;&gt;"",$V98&lt;$Q98),"QA target is before PBI Dev target",IF(AND($AA98&lt;&gt;"",$V98&lt;&gt;"",$AA98&lt;$V98),"DPO Approval target is before QA target",IF(AND($AG98&lt;&gt;"",$AA98&lt;&gt;"",$AG98&lt;$AA98),"Confirmed Deployed date is before DPO Approval target",""))))))))))))</f>
        <v/>
      </c>
      <c r="AL98" s="31"/>
      <c r="AM98" s="32" t="str" cm="1">
        <f t="array" ref="AM98">_xlfn.LET(_xlpm.rep,$B98,_xlpm.sent,_xlfn.MAXIFS('Rework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
      </c>
      <c r="AN98" s="32" t="str" cm="1">
        <f t="array" ref="AN98">_xlfn.LET(_xlpm.rep,$B98,_xlpm.sent,_xlfn.MAXIFS('Rework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99" spans="1:40">
      <c r="A99" s="31" t="s">
        <v>126</v>
      </c>
      <c r="B99" s="31" t="s">
        <v>297</v>
      </c>
      <c r="C99" s="31" t="s">
        <v>263</v>
      </c>
      <c r="D99" t="str" cm="1">
        <f t="array" aca="1" ref="D99" ca="1">IF(AND(C99="Ready for Release in Prod",LEFT($AJ99,3)&lt;&gt;"Yes"),IF(AG99&lt;&gt;"","Delivered","On track"),IF($B99="","",IF(LEFT($AJ99,3)="Yes","Blocked - "&amp;MID($AJ99,7,100)&amp;IF(SUMPRODUCT(('Rework Log'!$A$2:$A$497=$B99)*('Rework Log'!$G$2:$G$497&lt;&gt;"Yes")*('Rework Log'!$G$2:$G$497&lt;&gt;"Did not pass re-test"))=0,"",IF(SUMPRODUCT(MAX((('Rework Log'!$A$2:$A$497=$B99)*('Rework Log'!$G$2:$G$497&lt;&gt;"Yes")*('Rework Log'!$G$2:$G$497&lt;&gt;"Did not pass re-test"))*'Rework Log'!$I$2:$I$497))=0," - unclaimed"," - promised "&amp;TEXT(SUMPRODUCT(MAX((('Rework Log'!$A$2:$A$497=$B99)*('Rework Log'!$G$2:$G$497&lt;&gt;"Yes")*('Rework Log'!$G$2:$G$497&lt;&gt;"Did not pass re-test"))*'Rework Log'!$I$2:$I$497)),"m/d"))),IF(C99="NOT STARTED",IF(H99="","No plan date set",IF(H99&lt;TODAY(),"Review - planned start passed","On track")),IF(C99="DB Dev",_xlfn.LET(_xlpm.sent,_xlfn.MAXIFS('Rework Log'!$B$2:$B$497,'Rework Log'!$A$2:$A$497,$B99,'Rework Log'!$D$2:$D$497,"DB Dev"),_xlpm.expfix,_xlfn.MAXIFS('Rework Log'!$I$2:$I$497,'Rework Log'!$A$2:$A$497,$B99,'Rework Log'!$D$2:$D$497,"DB Dev",'Rework Log'!$B$2:$B$497,_xlpm.sent),_xlpm.tgt,IF(_xlpm.expfix&gt;0,_xlpm.expfix,IF(L99&lt;&gt;"",L99,K99)),_xlpm.act,IF(AND(M99&lt;&gt;"",M99&gt;=_xlpm.sent),M99,""),IF(_xlpm.tgt="","No target set",IF(AND(_xlpm.tgt&lt;TODAY(),_xlpm.act=""),"Overdue","On track"))),IF(C99="PBI Dev",_xlfn.LET(_xlpm.sent,_xlfn.MAXIFS('Rework Log'!$B$2:$B$497,'Rework Log'!$A$2:$A$497,$B99,'Rework Log'!$D$2:$D$497,"PBI Dev"),_xlpm.expfix,_xlfn.MAXIFS('Rework Log'!$I$2:$I$497,'Rework Log'!$A$2:$A$497,$B99,'Rework Log'!$D$2:$D$497,"PBI Dev",'Rework Log'!$B$2:$B$497,_xlpm.sent),_xlpm.tgt,IF(_xlpm.expfix&gt;0,_xlpm.expfix,IF(R99&lt;&gt;"",R99,Q99)),_xlpm.act,IF(AND(S99&lt;&gt;"",S99&gt;=_xlpm.sent),S99,""),IF(_xlpm.tgt="","No target set",IF(AND(_xlpm.tgt&lt;TODAY(),_xlpm.act=""),"Overdue","On track"))),IF(C99="QA",_xlfn.LET(_xlpm.tgt,IF(AM99&lt;&gt;"",AM99,IF(W99&lt;&gt;"",W99,V99)),_xlpm.sent,_xlfn.MAXIFS('Rework Log'!$B$2:$B$497,'Rework Log'!$A$2:$A$497,$B99,'Rework Log'!$C$2:$C$497,"QA"),_xlpm.act,IF(AND(Y99&lt;&gt;"",Y99&gt;=_xlpm.sent),Y99,""),IF(_xlpm.tgt="","No target set",IF(AND(_xlpm.tgt&lt;TODAY(),_xlpm.act=""),"Overdue","On track"))),IF(C99="DPO Approval",_xlfn.LET(_xlpm.tgt,IF(AN99&lt;&gt;"",AN99,IF(AB99&lt;&gt;"",AB99,AA99)),_xlpm.sent,_xlfn.MAXIFS('Rework Log'!$B$2:$B$497,'Rework Log'!$A$2:$A$497,$B99,'Rework Log'!$C$2:$C$497,"DPO*"),_xlpm.act,IF(AND(AC99&lt;&gt;"",AC99&gt;=_xlpm.sent),AC99,""),IF(_xlpm.tgt="","No target set",IF(AND(_xlpm.tgt&lt;TODAY(),_xlpm.act=""),"Overdue","On track"))),IF(C99="RELEASED IN PROD","Delivered","")))))))))</f>
        <v>Overdue</v>
      </c>
      <c r="E99" s="31" t="s">
        <v>298</v>
      </c>
      <c r="F99" s="31" t="s">
        <v>129</v>
      </c>
      <c r="G99" s="31"/>
      <c r="H99" s="49">
        <v>46356</v>
      </c>
      <c r="I99" s="55" t="s">
        <v>272</v>
      </c>
      <c r="J99" s="53" t="s">
        <v>65</v>
      </c>
      <c r="K99" s="49">
        <v>46332</v>
      </c>
      <c r="L99" s="43">
        <v>46302</v>
      </c>
      <c r="M99" s="44"/>
      <c r="N99" s="46" t="s">
        <v>147</v>
      </c>
      <c r="O99" s="44" t="s">
        <v>253</v>
      </c>
      <c r="P99" s="74" t="s">
        <v>60</v>
      </c>
      <c r="Q99" s="49">
        <v>46339</v>
      </c>
      <c r="R99" s="43"/>
      <c r="S99" s="44"/>
      <c r="T99" s="68" t="s">
        <v>289</v>
      </c>
      <c r="U99" s="46"/>
      <c r="V99" s="28">
        <v>46344</v>
      </c>
      <c r="W99" s="43"/>
      <c r="X99" s="31"/>
      <c r="Y99" s="31"/>
      <c r="Z99" s="36"/>
      <c r="AA99" s="28">
        <v>46356</v>
      </c>
      <c r="AB99" s="43"/>
      <c r="AC99" s="43"/>
      <c r="AD99" s="31" t="s">
        <v>299</v>
      </c>
      <c r="AE99" s="31" t="s">
        <v>94</v>
      </c>
      <c r="AF99" s="31"/>
      <c r="AG99" s="31"/>
      <c r="AH99" s="31"/>
      <c r="AI99" s="31"/>
      <c r="AJ99" s="31"/>
      <c r="AK99" s="31" t="str" cm="1">
        <f t="array" ref="AK99">IF($B99="","",_xlfn.LET(_xlpm.nm,$B99,_xlpm.st,$C99,_xlpm.ou,SUMPRODUCT(('Rework Log'!$A$2:$A$497=_xlpm.nm)*('Rework Log'!$G$2:$G$497&lt;&gt;"Yes")*('Rework Log'!$G$2:$G$497&lt;&gt;"Did not pass re-test")*('Rework Log'!$J$2:$J$497="")),_xlpm.ob,SUMPRODUCT(('Rework Log'!$A$2:$A$497=_xlpm.nm)*('Rework Log'!$G$2:$G$497&lt;&gt;"Yes")*('Rework Log'!$G$2:$G$497&lt;&gt;"Did not pass re-test")),_xlpm.oto,IF(SUMPRODUCT(('Rework Log'!$A$2:$A$497=_xlpm.nm)*('Rework Log'!$G$2:$G$497&lt;&gt;"Yes")*('Rework Log'!$G$2:$G$497&lt;&gt;"Did not pass re-test")*('Rework Log'!$J$2:$J$497=""))=0,"",INDEX('Rework Log'!$D$2:$D$497,MATCH(1,('Rework Log'!$A$2:$A$497=_xlpm.nm)*('Rework Log'!$G$2:$G$497&lt;&gt;"Yes")*('Rework Log'!$G$2:$G$497&lt;&gt;"Did not pass re-test")*('Rework Log'!$J$2:$J$497=""),0))),_xlpm.sent,_xlfn.MAXIFS('Rework Log'!$B$2:$B$497,'Rework Log'!$A$2:$A$497,_xlpm.nm),_xlpm.act,_xlfn.IFS(_xlpm.st="NOT STARTED",$M99,_xlpm.st="DB Dev",$M99,_xlpm.st="PBI Dev",$S99,_xlpm.st="QA",$Y99,_xlpm.st="DPO Approval",$AC99,_xlpm.st="Ready for Release in Prod",$AG99,TRUE,""),_xlpm.nxt,_xlfn.IFS(_xlpm.st="NOT STARTED","PBI Dev",_xlpm.st="DB Dev","PBI Dev",_xlpm.st="PBI Dev","QA",_xlpm.st="QA","DPO Approval",_xlpm.st="DPO Approval","Ready for Release in Prod",_xlpm.st="Ready for Release in Prod","RELEASED IN PROD",TRUE,""),IF(AND(_xlpm.ou&gt;0,_xlpm.st&lt;&gt;_xlpm.oto),"Move status back to "&amp;_xlpm.oto,IF(AND(_xlpm.ob=0,LEFT($AJ99,3)="Yes"),"Blocked - log it on Rework Log",IF(AND(_xlpm.ob&gt;0,LEFT($AJ99,3)&lt;&gt;"Yes"),"Open rework row - mark Blocked or close it",IF(AND(_xlpm.ob=0,_xlpm.act&lt;&gt;"",_xlpm.act&gt;=_xlpm.sent,_xlpm.nxt&lt;&gt;""),"Move status to "&amp;_xlpm.nxt,IF(COUNTIF($B$2:$B$528,$B99)&gt;1,"Duplicate name - check row",IF(COUNTIF('Rework Log'!$A$2:$A$497,$B99)&gt;0,"",IF(AND($V99&lt;&gt;"",$K99&lt;&gt;"",$V99&lt;$K99),"QA target is before DB Dev target",IF(AND($V99&lt;&gt;"",$Q99&lt;&gt;"",$V99&lt;$Q99),"QA target is before PBI Dev target",IF(AND($AA99&lt;&gt;"",$V99&lt;&gt;"",$AA99&lt;$V99),"DPO Approval target is before QA target",IF(AND($AG99&lt;&gt;"",$AA99&lt;&gt;"",$AG99&lt;$AA99),"Confirmed Deployed date is before DPO Approval target",""))))))))))))</f>
        <v/>
      </c>
      <c r="AL99" s="31"/>
      <c r="AM99" s="32" t="str" cm="1">
        <f t="array" ref="AM99">_xlfn.LET(_xlpm.rep,$B99,_xlpm.sent,_xlfn.MAXIFS('Rework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
      </c>
      <c r="AN99" s="32" t="str" cm="1">
        <f t="array" ref="AN99">_xlfn.LET(_xlpm.rep,$B99,_xlpm.sent,_xlfn.MAXIFS('Rework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100" spans="1:40">
      <c r="A100" s="31" t="s">
        <v>126</v>
      </c>
      <c r="B100" s="31" t="s">
        <v>300</v>
      </c>
      <c r="C100" s="31" t="s">
        <v>234</v>
      </c>
      <c r="D100" t="str" cm="1">
        <f t="array" aca="1" ref="D100" ca="1">IF(AND(C100="Ready for Release in Prod",LEFT($AJ100,3)&lt;&gt;"Yes"),IF(AG100&lt;&gt;"","Delivered","On track"),IF($B100="","",IF(LEFT($AJ100,3)="Yes","Blocked - "&amp;MID($AJ100,7,100)&amp;IF(SUMPRODUCT(('Rework Log'!$A$2:$A$497=$B100)*('Rework Log'!$G$2:$G$497&lt;&gt;"Yes")*('Rework Log'!$G$2:$G$497&lt;&gt;"Did not pass re-test"))=0,"",IF(SUMPRODUCT(MAX((('Rework Log'!$A$2:$A$497=$B100)*('Rework Log'!$G$2:$G$497&lt;&gt;"Yes")*('Rework Log'!$G$2:$G$497&lt;&gt;"Did not pass re-test"))*'Rework Log'!$I$2:$I$497))=0," - unclaimed"," - promised "&amp;TEXT(SUMPRODUCT(MAX((('Rework Log'!$A$2:$A$497=$B100)*('Rework Log'!$G$2:$G$497&lt;&gt;"Yes")*('Rework Log'!$G$2:$G$497&lt;&gt;"Did not pass re-test"))*'Rework Log'!$I$2:$I$497)),"m/d"))),IF(C100="NOT STARTED",IF(H100="","No plan date set",IF(H100&lt;TODAY(),"Review - planned start passed","On track")),IF(C100="DB Dev",_xlfn.LET(_xlpm.sent,_xlfn.MAXIFS('Rework Log'!$B$2:$B$497,'Rework Log'!$A$2:$A$497,$B100,'Rework Log'!$D$2:$D$497,"DB Dev"),_xlpm.expfix,_xlfn.MAXIFS('Rework Log'!$I$2:$I$497,'Rework Log'!$A$2:$A$497,$B100,'Rework Log'!$D$2:$D$497,"DB Dev",'Rework Log'!$B$2:$B$497,_xlpm.sent),_xlpm.tgt,IF(_xlpm.expfix&gt;0,_xlpm.expfix,IF(L100&lt;&gt;"",L100,K100)),_xlpm.act,IF(AND(M100&lt;&gt;"",M100&gt;=_xlpm.sent),M100,""),IF(_xlpm.tgt="","No target set",IF(AND(_xlpm.tgt&lt;TODAY(),_xlpm.act=""),"Overdue","On track"))),IF(C100="PBI Dev",_xlfn.LET(_xlpm.sent,_xlfn.MAXIFS('Rework Log'!$B$2:$B$497,'Rework Log'!$A$2:$A$497,$B100,'Rework Log'!$D$2:$D$497,"PBI Dev"),_xlpm.expfix,_xlfn.MAXIFS('Rework Log'!$I$2:$I$497,'Rework Log'!$A$2:$A$497,$B100,'Rework Log'!$D$2:$D$497,"PBI Dev",'Rework Log'!$B$2:$B$497,_xlpm.sent),_xlpm.tgt,IF(_xlpm.expfix&gt;0,_xlpm.expfix,IF(R100&lt;&gt;"",R100,Q100)),_xlpm.act,IF(AND(S100&lt;&gt;"",S100&gt;=_xlpm.sent),S100,""),IF(_xlpm.tgt="","No target set",IF(AND(_xlpm.tgt&lt;TODAY(),_xlpm.act=""),"Overdue","On track"))),IF(C100="QA",_xlfn.LET(_xlpm.tgt,IF(AM100&lt;&gt;"",AM100,IF(W100&lt;&gt;"",W100,V100)),_xlpm.sent,_xlfn.MAXIFS('Rework Log'!$B$2:$B$497,'Rework Log'!$A$2:$A$497,$B100,'Rework Log'!$C$2:$C$497,"QA"),_xlpm.act,IF(AND(Y100&lt;&gt;"",Y100&gt;=_xlpm.sent),Y100,""),IF(_xlpm.tgt="","No target set",IF(AND(_xlpm.tgt&lt;TODAY(),_xlpm.act=""),"Overdue","On track"))),IF(C100="DPO Approval",_xlfn.LET(_xlpm.tgt,IF(AN100&lt;&gt;"",AN100,IF(AB100&lt;&gt;"",AB100,AA100)),_xlpm.sent,_xlfn.MAXIFS('Rework Log'!$B$2:$B$497,'Rework Log'!$A$2:$A$497,$B100,'Rework Log'!$C$2:$C$497,"DPO*"),_xlpm.act,IF(AND(AC100&lt;&gt;"",AC100&gt;=_xlpm.sent),AC100,""),IF(_xlpm.tgt="","No target set",IF(AND(_xlpm.tgt&lt;TODAY(),_xlpm.act=""),"Overdue","On track"))),IF(C100="RELEASED IN PROD","Delivered","")))))))))</f>
        <v>On track</v>
      </c>
      <c r="E100" s="31">
        <v>85</v>
      </c>
      <c r="F100" s="31" t="s">
        <v>129</v>
      </c>
      <c r="G100" s="31"/>
      <c r="H100" s="49">
        <v>46356</v>
      </c>
      <c r="I100" s="55" t="s">
        <v>272</v>
      </c>
      <c r="J100" s="53" t="s">
        <v>84</v>
      </c>
      <c r="K100" s="49">
        <v>46332</v>
      </c>
      <c r="L100" s="43">
        <v>46332</v>
      </c>
      <c r="M100" s="44">
        <v>46297</v>
      </c>
      <c r="N100" s="44"/>
      <c r="O100" s="36" t="s">
        <v>280</v>
      </c>
      <c r="P100" s="74" t="s">
        <v>77</v>
      </c>
      <c r="Q100" s="49">
        <v>46339</v>
      </c>
      <c r="R100" s="43"/>
      <c r="S100" s="44"/>
      <c r="T100" s="68" t="s">
        <v>289</v>
      </c>
      <c r="U100" s="46"/>
      <c r="V100" s="28">
        <v>46344</v>
      </c>
      <c r="W100" s="43"/>
      <c r="X100" s="31"/>
      <c r="Y100" s="31"/>
      <c r="Z100" s="36"/>
      <c r="AA100" s="28">
        <v>46356</v>
      </c>
      <c r="AB100" s="43"/>
      <c r="AC100" s="43"/>
      <c r="AD100" s="31" t="s">
        <v>301</v>
      </c>
      <c r="AE100" s="31" t="s">
        <v>72</v>
      </c>
      <c r="AF100" s="31"/>
      <c r="AG100" s="31"/>
      <c r="AH100" s="31"/>
      <c r="AI100" s="31"/>
      <c r="AJ100" s="31"/>
      <c r="AK100" s="31" t="str" cm="1">
        <f t="array" ref="AK100">IF($B100="","",_xlfn.LET(_xlpm.nm,$B100,_xlpm.st,$C100,_xlpm.ou,SUMPRODUCT(('Rework Log'!$A$2:$A$497=_xlpm.nm)*('Rework Log'!$G$2:$G$497&lt;&gt;"Yes")*('Rework Log'!$G$2:$G$497&lt;&gt;"Did not pass re-test")*('Rework Log'!$J$2:$J$497="")),_xlpm.ob,SUMPRODUCT(('Rework Log'!$A$2:$A$497=_xlpm.nm)*('Rework Log'!$G$2:$G$497&lt;&gt;"Yes")*('Rework Log'!$G$2:$G$497&lt;&gt;"Did not pass re-test")),_xlpm.oto,IF(SUMPRODUCT(('Rework Log'!$A$2:$A$497=_xlpm.nm)*('Rework Log'!$G$2:$G$497&lt;&gt;"Yes")*('Rework Log'!$G$2:$G$497&lt;&gt;"Did not pass re-test")*('Rework Log'!$J$2:$J$497=""))=0,"",INDEX('Rework Log'!$D$2:$D$497,MATCH(1,('Rework Log'!$A$2:$A$497=_xlpm.nm)*('Rework Log'!$G$2:$G$497&lt;&gt;"Yes")*('Rework Log'!$G$2:$G$497&lt;&gt;"Did not pass re-test")*('Rework Log'!$J$2:$J$497=""),0))),_xlpm.sent,_xlfn.MAXIFS('Rework Log'!$B$2:$B$497,'Rework Log'!$A$2:$A$497,_xlpm.nm),_xlpm.act,_xlfn.IFS(_xlpm.st="NOT STARTED",$M100,_xlpm.st="DB Dev",$M100,_xlpm.st="PBI Dev",$S100,_xlpm.st="QA",$Y100,_xlpm.st="DPO Approval",$AC100,_xlpm.st="Ready for Release in Prod",$AG100,TRUE,""),_xlpm.nxt,_xlfn.IFS(_xlpm.st="NOT STARTED","PBI Dev",_xlpm.st="DB Dev","PBI Dev",_xlpm.st="PBI Dev","QA",_xlpm.st="QA","DPO Approval",_xlpm.st="DPO Approval","Ready for Release in Prod",_xlpm.st="Ready for Release in Prod","RELEASED IN PROD",TRUE,""),IF(AND(_xlpm.ou&gt;0,_xlpm.st&lt;&gt;_xlpm.oto),"Move status back to "&amp;_xlpm.oto,IF(AND(_xlpm.ob=0,LEFT($AJ100,3)="Yes"),"Blocked - log it on Rework Log",IF(AND(_xlpm.ob&gt;0,LEFT($AJ100,3)&lt;&gt;"Yes"),"Open rework row - mark Blocked or close it",IF(AND(_xlpm.ob=0,_xlpm.act&lt;&gt;"",_xlpm.act&gt;=_xlpm.sent,_xlpm.nxt&lt;&gt;""),"Move status to "&amp;_xlpm.nxt,IF(COUNTIF($B$2:$B$528,$B100)&gt;1,"Duplicate name - check row",IF(COUNTIF('Rework Log'!$A$2:$A$497,$B100)&gt;0,"",IF(AND($V100&lt;&gt;"",$K100&lt;&gt;"",$V100&lt;$K100),"QA target is before DB Dev target",IF(AND($V100&lt;&gt;"",$Q100&lt;&gt;"",$V100&lt;$Q100),"QA target is before PBI Dev target",IF(AND($AA100&lt;&gt;"",$V100&lt;&gt;"",$AA100&lt;$V100),"DPO Approval target is before QA target",IF(AND($AG100&lt;&gt;"",$AA100&lt;&gt;"",$AG100&lt;$AA100),"Confirmed Deployed date is before DPO Approval target",""))))))))))))</f>
        <v>Move status to PBI Dev</v>
      </c>
      <c r="AL100" s="31"/>
      <c r="AM100" s="32" t="str" cm="1">
        <f t="array" ref="AM100">_xlfn.LET(_xlpm.rep,$B100,_xlpm.sent,_xlfn.MAXIFS('Rework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
      </c>
      <c r="AN100" s="32" t="str" cm="1">
        <f t="array" ref="AN100">_xlfn.LET(_xlpm.rep,$B100,_xlpm.sent,_xlfn.MAXIFS('Rework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101" spans="1:40">
      <c r="A101" s="31" t="s">
        <v>302</v>
      </c>
      <c r="B101" s="31" t="s">
        <v>303</v>
      </c>
      <c r="C101" s="31" t="s">
        <v>263</v>
      </c>
      <c r="D101" t="str" cm="1">
        <f t="array" aca="1" ref="D101" ca="1">IF(AND(C101="Ready for Release in Prod",LEFT($AJ101,3)&lt;&gt;"Yes"),IF(AG101&lt;&gt;"","Delivered","On track"),IF($B101="","",IF(LEFT($AJ101,3)="Yes","Blocked - "&amp;MID($AJ101,7,100)&amp;IF(SUMPRODUCT(('Rework Log'!$A$2:$A$497=$B101)*('Rework Log'!$G$2:$G$497&lt;&gt;"Yes")*('Rework Log'!$G$2:$G$497&lt;&gt;"Did not pass re-test"))=0,"",IF(SUMPRODUCT(MAX((('Rework Log'!$A$2:$A$497=$B101)*('Rework Log'!$G$2:$G$497&lt;&gt;"Yes")*('Rework Log'!$G$2:$G$497&lt;&gt;"Did not pass re-test"))*'Rework Log'!$I$2:$I$497))=0," - unclaimed"," - promised "&amp;TEXT(SUMPRODUCT(MAX((('Rework Log'!$A$2:$A$497=$B101)*('Rework Log'!$G$2:$G$497&lt;&gt;"Yes")*('Rework Log'!$G$2:$G$497&lt;&gt;"Did not pass re-test"))*'Rework Log'!$I$2:$I$497)),"m/d"))),IF(C101="NOT STARTED",IF(H101="","No plan date set",IF(H101&lt;TODAY(),"Review - planned start passed","On track")),IF(C101="DB Dev",_xlfn.LET(_xlpm.sent,_xlfn.MAXIFS('Rework Log'!$B$2:$B$497,'Rework Log'!$A$2:$A$497,$B101,'Rework Log'!$D$2:$D$497,"DB Dev"),_xlpm.expfix,_xlfn.MAXIFS('Rework Log'!$I$2:$I$497,'Rework Log'!$A$2:$A$497,$B101,'Rework Log'!$D$2:$D$497,"DB Dev",'Rework Log'!$B$2:$B$497,_xlpm.sent),_xlpm.tgt,IF(_xlpm.expfix&gt;0,_xlpm.expfix,IF(L101&lt;&gt;"",L101,K101)),_xlpm.act,IF(AND(M101&lt;&gt;"",M101&gt;=_xlpm.sent),M101,""),IF(_xlpm.tgt="","No target set",IF(AND(_xlpm.tgt&lt;TODAY(),_xlpm.act=""),"Overdue","On track"))),IF(C101="PBI Dev",_xlfn.LET(_xlpm.sent,_xlfn.MAXIFS('Rework Log'!$B$2:$B$497,'Rework Log'!$A$2:$A$497,$B101,'Rework Log'!$D$2:$D$497,"PBI Dev"),_xlpm.expfix,_xlfn.MAXIFS('Rework Log'!$I$2:$I$497,'Rework Log'!$A$2:$A$497,$B101,'Rework Log'!$D$2:$D$497,"PBI Dev",'Rework Log'!$B$2:$B$497,_xlpm.sent),_xlpm.tgt,IF(_xlpm.expfix&gt;0,_xlpm.expfix,IF(R101&lt;&gt;"",R101,Q101)),_xlpm.act,IF(AND(S101&lt;&gt;"",S101&gt;=_xlpm.sent),S101,""),IF(_xlpm.tgt="","No target set",IF(AND(_xlpm.tgt&lt;TODAY(),_xlpm.act=""),"Overdue","On track"))),IF(C101="QA",_xlfn.LET(_xlpm.tgt,IF(AM101&lt;&gt;"",AM101,IF(W101&lt;&gt;"",W101,V101)),_xlpm.sent,_xlfn.MAXIFS('Rework Log'!$B$2:$B$497,'Rework Log'!$A$2:$A$497,$B101,'Rework Log'!$C$2:$C$497,"QA"),_xlpm.act,IF(AND(Y101&lt;&gt;"",Y101&gt;=_xlpm.sent),Y101,""),IF(_xlpm.tgt="","No target set",IF(AND(_xlpm.tgt&lt;TODAY(),_xlpm.act=""),"Overdue","On track"))),IF(C101="DPO Approval",_xlfn.LET(_xlpm.tgt,IF(AN101&lt;&gt;"",AN101,IF(AB101&lt;&gt;"",AB101,AA101)),_xlpm.sent,_xlfn.MAXIFS('Rework Log'!$B$2:$B$497,'Rework Log'!$A$2:$A$497,$B101,'Rework Log'!$C$2:$C$497,"DPO*"),_xlpm.act,IF(AND(AC101&lt;&gt;"",AC101&gt;=_xlpm.sent),AC101,""),IF(_xlpm.tgt="","No target set",IF(AND(_xlpm.tgt&lt;TODAY(),_xlpm.act=""),"Overdue","On track"))),IF(C101="RELEASED IN PROD","Delivered","")))))))))</f>
        <v>On track</v>
      </c>
      <c r="E101" s="31">
        <v>1</v>
      </c>
      <c r="F101" s="31" t="s">
        <v>129</v>
      </c>
      <c r="G101" s="31"/>
      <c r="H101" s="28">
        <v>46387</v>
      </c>
      <c r="I101" s="55" t="s">
        <v>304</v>
      </c>
      <c r="J101" s="53" t="s">
        <v>59</v>
      </c>
      <c r="K101" s="28">
        <v>46363</v>
      </c>
      <c r="L101" s="43"/>
      <c r="M101" s="31"/>
      <c r="N101" s="31"/>
      <c r="O101" s="36" t="s">
        <v>280</v>
      </c>
      <c r="P101" s="74"/>
      <c r="Q101" s="28">
        <v>46370</v>
      </c>
      <c r="R101" s="43"/>
      <c r="S101" s="31"/>
      <c r="T101" s="68" t="s">
        <v>289</v>
      </c>
      <c r="U101" s="46"/>
      <c r="V101" s="28">
        <v>46373</v>
      </c>
      <c r="W101" s="43"/>
      <c r="X101" s="31"/>
      <c r="Y101" s="31"/>
      <c r="Z101" s="36"/>
      <c r="AA101" s="28">
        <v>46386</v>
      </c>
      <c r="AB101" s="43"/>
      <c r="AC101" s="43"/>
      <c r="AD101" s="31" t="s">
        <v>305</v>
      </c>
      <c r="AE101" s="31" t="s">
        <v>94</v>
      </c>
      <c r="AF101" s="31"/>
      <c r="AG101" s="31"/>
      <c r="AH101" s="31"/>
      <c r="AI101" s="31"/>
      <c r="AJ101" s="31"/>
      <c r="AK101" s="31" t="str" cm="1">
        <f t="array" ref="AK101">IF($B101="","",_xlfn.LET(_xlpm.nm,$B101,_xlpm.st,$C101,_xlpm.ou,SUMPRODUCT(('Rework Log'!$A$2:$A$497=_xlpm.nm)*('Rework Log'!$G$2:$G$497&lt;&gt;"Yes")*('Rework Log'!$G$2:$G$497&lt;&gt;"Did not pass re-test")*('Rework Log'!$J$2:$J$497="")),_xlpm.ob,SUMPRODUCT(('Rework Log'!$A$2:$A$497=_xlpm.nm)*('Rework Log'!$G$2:$G$497&lt;&gt;"Yes")*('Rework Log'!$G$2:$G$497&lt;&gt;"Did not pass re-test")),_xlpm.oto,IF(SUMPRODUCT(('Rework Log'!$A$2:$A$497=_xlpm.nm)*('Rework Log'!$G$2:$G$497&lt;&gt;"Yes")*('Rework Log'!$G$2:$G$497&lt;&gt;"Did not pass re-test")*('Rework Log'!$J$2:$J$497=""))=0,"",INDEX('Rework Log'!$D$2:$D$497,MATCH(1,('Rework Log'!$A$2:$A$497=_xlpm.nm)*('Rework Log'!$G$2:$G$497&lt;&gt;"Yes")*('Rework Log'!$G$2:$G$497&lt;&gt;"Did not pass re-test")*('Rework Log'!$J$2:$J$497=""),0))),_xlpm.sent,_xlfn.MAXIFS('Rework Log'!$B$2:$B$497,'Rework Log'!$A$2:$A$497,_xlpm.nm),_xlpm.act,_xlfn.IFS(_xlpm.st="NOT STARTED",$M101,_xlpm.st="DB Dev",$M101,_xlpm.st="PBI Dev",$S101,_xlpm.st="QA",$Y101,_xlpm.st="DPO Approval",$AC101,_xlpm.st="Ready for Release in Prod",$AG101,TRUE,""),_xlpm.nxt,_xlfn.IFS(_xlpm.st="NOT STARTED","PBI Dev",_xlpm.st="DB Dev","PBI Dev",_xlpm.st="PBI Dev","QA",_xlpm.st="QA","DPO Approval",_xlpm.st="DPO Approval","Ready for Release in Prod",_xlpm.st="Ready for Release in Prod","RELEASED IN PROD",TRUE,""),IF(AND(_xlpm.ou&gt;0,_xlpm.st&lt;&gt;_xlpm.oto),"Move status back to "&amp;_xlpm.oto,IF(AND(_xlpm.ob=0,LEFT($AJ101,3)="Yes"),"Blocked - log it on Rework Log",IF(AND(_xlpm.ob&gt;0,LEFT($AJ101,3)&lt;&gt;"Yes"),"Open rework row - mark Blocked or close it",IF(AND(_xlpm.ob=0,_xlpm.act&lt;&gt;"",_xlpm.act&gt;=_xlpm.sent,_xlpm.nxt&lt;&gt;""),"Move status to "&amp;_xlpm.nxt,IF(COUNTIF($B$2:$B$528,$B101)&gt;1,"Duplicate name - check row",IF(COUNTIF('Rework Log'!$A$2:$A$497,$B101)&gt;0,"",IF(AND($V101&lt;&gt;"",$K101&lt;&gt;"",$V101&lt;$K101),"QA target is before DB Dev target",IF(AND($V101&lt;&gt;"",$Q101&lt;&gt;"",$V101&lt;$Q101),"QA target is before PBI Dev target",IF(AND($AA101&lt;&gt;"",$V101&lt;&gt;"",$AA101&lt;$V101),"DPO Approval target is before QA target",IF(AND($AG101&lt;&gt;"",$AA101&lt;&gt;"",$AG101&lt;$AA101),"Confirmed Deployed date is before DPO Approval target",""))))))))))))</f>
        <v/>
      </c>
      <c r="AL101" s="31"/>
      <c r="AM101" s="31" t="str" cm="1">
        <f t="array" ref="AM101">_xlfn.LET(_xlpm.rep,$B101,_xlpm.sent,_xlfn.MAXIFS('Rework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
      </c>
      <c r="AN101" s="31" t="str" cm="1">
        <f t="array" ref="AN101">_xlfn.LET(_xlpm.rep,$B101,_xlpm.sent,_xlfn.MAXIFS('Rework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102" spans="1:40">
      <c r="A102" s="31" t="s">
        <v>302</v>
      </c>
      <c r="B102" s="31" t="s">
        <v>306</v>
      </c>
      <c r="C102" s="31" t="s">
        <v>223</v>
      </c>
      <c r="D102" t="str" cm="1">
        <f t="array" aca="1" ref="D102" ca="1">IF(AND(C102="Ready for Release in Prod",LEFT($AJ102,3)&lt;&gt;"Yes"),IF(AG102&lt;&gt;"","Delivered","On track"),IF($B102="","",IF(LEFT($AJ102,3)="Yes","Blocked - "&amp;MID($AJ102,7,100)&amp;IF(SUMPRODUCT(('Rework Log'!$A$2:$A$497=$B102)*('Rework Log'!$G$2:$G$497&lt;&gt;"Yes")*('Rework Log'!$G$2:$G$497&lt;&gt;"Did not pass re-test"))=0,"",IF(SUMPRODUCT(MAX((('Rework Log'!$A$2:$A$497=$B102)*('Rework Log'!$G$2:$G$497&lt;&gt;"Yes")*('Rework Log'!$G$2:$G$497&lt;&gt;"Did not pass re-test"))*'Rework Log'!$I$2:$I$497))=0," - unclaimed"," - promised "&amp;TEXT(SUMPRODUCT(MAX((('Rework Log'!$A$2:$A$497=$B102)*('Rework Log'!$G$2:$G$497&lt;&gt;"Yes")*('Rework Log'!$G$2:$G$497&lt;&gt;"Did not pass re-test"))*'Rework Log'!$I$2:$I$497)),"m/d"))),IF(C102="NOT STARTED",IF(H102="","No plan date set",IF(H102&lt;TODAY(),"Review - planned start passed","On track")),IF(C102="DB Dev",_xlfn.LET(_xlpm.sent,_xlfn.MAXIFS('Rework Log'!$B$2:$B$497,'Rework Log'!$A$2:$A$497,$B102,'Rework Log'!$D$2:$D$497,"DB Dev"),_xlpm.expfix,_xlfn.MAXIFS('Rework Log'!$I$2:$I$497,'Rework Log'!$A$2:$A$497,$B102,'Rework Log'!$D$2:$D$497,"DB Dev",'Rework Log'!$B$2:$B$497,_xlpm.sent),_xlpm.tgt,IF(_xlpm.expfix&gt;0,_xlpm.expfix,IF(L102&lt;&gt;"",L102,K102)),_xlpm.act,IF(AND(M102&lt;&gt;"",M102&gt;=_xlpm.sent),M102,""),IF(_xlpm.tgt="","No target set",IF(AND(_xlpm.tgt&lt;TODAY(),_xlpm.act=""),"Overdue","On track"))),IF(C102="PBI Dev",_xlfn.LET(_xlpm.sent,_xlfn.MAXIFS('Rework Log'!$B$2:$B$497,'Rework Log'!$A$2:$A$497,$B102,'Rework Log'!$D$2:$D$497,"PBI Dev"),_xlpm.expfix,_xlfn.MAXIFS('Rework Log'!$I$2:$I$497,'Rework Log'!$A$2:$A$497,$B102,'Rework Log'!$D$2:$D$497,"PBI Dev",'Rework Log'!$B$2:$B$497,_xlpm.sent),_xlpm.tgt,IF(_xlpm.expfix&gt;0,_xlpm.expfix,IF(R102&lt;&gt;"",R102,Q102)),_xlpm.act,IF(AND(S102&lt;&gt;"",S102&gt;=_xlpm.sent),S102,""),IF(_xlpm.tgt="","No target set",IF(AND(_xlpm.tgt&lt;TODAY(),_xlpm.act=""),"Overdue","On track"))),IF(C102="QA",_xlfn.LET(_xlpm.tgt,IF(AM102&lt;&gt;"",AM102,IF(W102&lt;&gt;"",W102,V102)),_xlpm.sent,_xlfn.MAXIFS('Rework Log'!$B$2:$B$497,'Rework Log'!$A$2:$A$497,$B102,'Rework Log'!$C$2:$C$497,"QA"),_xlpm.act,IF(AND(Y102&lt;&gt;"",Y102&gt;=_xlpm.sent),Y102,""),IF(_xlpm.tgt="","No target set",IF(AND(_xlpm.tgt&lt;TODAY(),_xlpm.act=""),"Overdue","On track"))),IF(C102="DPO Approval",_xlfn.LET(_xlpm.tgt,IF(AN102&lt;&gt;"",AN102,IF(AB102&lt;&gt;"",AB102,AA102)),_xlpm.sent,_xlfn.MAXIFS('Rework Log'!$B$2:$B$497,'Rework Log'!$A$2:$A$497,$B102,'Rework Log'!$C$2:$C$497,"DPO*"),_xlpm.act,IF(AND(AC102&lt;&gt;"",AC102&gt;=_xlpm.sent),AC102,""),IF(_xlpm.tgt="","No target set",IF(AND(_xlpm.tgt&lt;TODAY(),_xlpm.act=""),"Overdue","On track"))),IF(C102="RELEASED IN PROD","Delivered","")))))))))</f>
        <v>On track</v>
      </c>
      <c r="E102" s="31">
        <v>2</v>
      </c>
      <c r="F102" s="31" t="s">
        <v>129</v>
      </c>
      <c r="G102" s="31"/>
      <c r="H102" s="28">
        <v>46387</v>
      </c>
      <c r="I102" s="55" t="s">
        <v>304</v>
      </c>
      <c r="J102" s="53" t="s">
        <v>44</v>
      </c>
      <c r="K102" s="28">
        <v>46363</v>
      </c>
      <c r="L102" s="43"/>
      <c r="M102" s="31"/>
      <c r="N102" s="31"/>
      <c r="O102" s="36" t="s">
        <v>280</v>
      </c>
      <c r="P102" s="74"/>
      <c r="Q102" s="28">
        <v>46370</v>
      </c>
      <c r="R102" s="43"/>
      <c r="S102" s="31"/>
      <c r="T102" s="68" t="s">
        <v>307</v>
      </c>
      <c r="U102" s="46"/>
      <c r="V102" s="28">
        <v>46373</v>
      </c>
      <c r="W102" s="43"/>
      <c r="X102" s="31"/>
      <c r="Y102" s="31"/>
      <c r="Z102" s="36"/>
      <c r="AA102" s="28">
        <v>46386</v>
      </c>
      <c r="AB102" s="43"/>
      <c r="AC102" s="43"/>
      <c r="AD102" s="31" t="s">
        <v>308</v>
      </c>
      <c r="AE102" s="31" t="s">
        <v>94</v>
      </c>
      <c r="AF102" s="31"/>
      <c r="AG102" s="31"/>
      <c r="AH102" s="31"/>
      <c r="AI102" s="31"/>
      <c r="AJ102" s="31"/>
      <c r="AK102" s="31" t="str" cm="1">
        <f t="array" ref="AK102">IF($B102="","",_xlfn.LET(_xlpm.nm,$B102,_xlpm.st,$C102,_xlpm.ou,SUMPRODUCT(('Rework Log'!$A$2:$A$497=_xlpm.nm)*('Rework Log'!$G$2:$G$497&lt;&gt;"Yes")*('Rework Log'!$G$2:$G$497&lt;&gt;"Did not pass re-test")*('Rework Log'!$J$2:$J$497="")),_xlpm.ob,SUMPRODUCT(('Rework Log'!$A$2:$A$497=_xlpm.nm)*('Rework Log'!$G$2:$G$497&lt;&gt;"Yes")*('Rework Log'!$G$2:$G$497&lt;&gt;"Did not pass re-test")),_xlpm.oto,IF(SUMPRODUCT(('Rework Log'!$A$2:$A$497=_xlpm.nm)*('Rework Log'!$G$2:$G$497&lt;&gt;"Yes")*('Rework Log'!$G$2:$G$497&lt;&gt;"Did not pass re-test")*('Rework Log'!$J$2:$J$497=""))=0,"",INDEX('Rework Log'!$D$2:$D$497,MATCH(1,('Rework Log'!$A$2:$A$497=_xlpm.nm)*('Rework Log'!$G$2:$G$497&lt;&gt;"Yes")*('Rework Log'!$G$2:$G$497&lt;&gt;"Did not pass re-test")*('Rework Log'!$J$2:$J$497=""),0))),_xlpm.sent,_xlfn.MAXIFS('Rework Log'!$B$2:$B$497,'Rework Log'!$A$2:$A$497,_xlpm.nm),_xlpm.act,_xlfn.IFS(_xlpm.st="NOT STARTED",$M102,_xlpm.st="DB Dev",$M102,_xlpm.st="PBI Dev",$S102,_xlpm.st="QA",$Y102,_xlpm.st="DPO Approval",$AC102,_xlpm.st="Ready for Release in Prod",$AG102,TRUE,""),_xlpm.nxt,_xlfn.IFS(_xlpm.st="NOT STARTED","PBI Dev",_xlpm.st="DB Dev","PBI Dev",_xlpm.st="PBI Dev","QA",_xlpm.st="QA","DPO Approval",_xlpm.st="DPO Approval","Ready for Release in Prod",_xlpm.st="Ready for Release in Prod","RELEASED IN PROD",TRUE,""),IF(AND(_xlpm.ou&gt;0,_xlpm.st&lt;&gt;_xlpm.oto),"Move status back to "&amp;_xlpm.oto,IF(AND(_xlpm.ob=0,LEFT($AJ102,3)="Yes"),"Blocked - log it on Rework Log",IF(AND(_xlpm.ob&gt;0,LEFT($AJ102,3)&lt;&gt;"Yes"),"Open rework row - mark Blocked or close it",IF(AND(_xlpm.ob=0,_xlpm.act&lt;&gt;"",_xlpm.act&gt;=_xlpm.sent,_xlpm.nxt&lt;&gt;""),"Move status to "&amp;_xlpm.nxt,IF(COUNTIF($B$2:$B$528,$B102)&gt;1,"Duplicate name - check row",IF(COUNTIF('Rework Log'!$A$2:$A$497,$B102)&gt;0,"",IF(AND($V102&lt;&gt;"",$K102&lt;&gt;"",$V102&lt;$K102),"QA target is before DB Dev target",IF(AND($V102&lt;&gt;"",$Q102&lt;&gt;"",$V102&lt;$Q102),"QA target is before PBI Dev target",IF(AND($AA102&lt;&gt;"",$V102&lt;&gt;"",$AA102&lt;$V102),"DPO Approval target is before QA target",IF(AND($AG102&lt;&gt;"",$AA102&lt;&gt;"",$AG102&lt;$AA102),"Confirmed Deployed date is before DPO Approval target",""))))))))))))</f>
        <v/>
      </c>
      <c r="AL102" s="31"/>
      <c r="AM102" s="31" t="str" cm="1">
        <f t="array" ref="AM102">_xlfn.LET(_xlpm.rep,$B102,_xlpm.sent,_xlfn.MAXIFS('Rework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
      </c>
      <c r="AN102" s="31" t="str" cm="1">
        <f t="array" ref="AN102">_xlfn.LET(_xlpm.rep,$B102,_xlpm.sent,_xlfn.MAXIFS('Rework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103" spans="1:40">
      <c r="A103" s="31" t="s">
        <v>302</v>
      </c>
      <c r="B103" s="31" t="s">
        <v>309</v>
      </c>
      <c r="C103" s="31" t="s">
        <v>223</v>
      </c>
      <c r="D103" t="str" cm="1">
        <f t="array" aca="1" ref="D103" ca="1">IF(AND(C103="Ready for Release in Prod",LEFT($AJ103,3)&lt;&gt;"Yes"),IF(AG103&lt;&gt;"","Delivered","On track"),IF($B103="","",IF(LEFT($AJ103,3)="Yes","Blocked - "&amp;MID($AJ103,7,100)&amp;IF(SUMPRODUCT(('Rework Log'!$A$2:$A$497=$B103)*('Rework Log'!$G$2:$G$497&lt;&gt;"Yes")*('Rework Log'!$G$2:$G$497&lt;&gt;"Did not pass re-test"))=0,"",IF(SUMPRODUCT(MAX((('Rework Log'!$A$2:$A$497=$B103)*('Rework Log'!$G$2:$G$497&lt;&gt;"Yes")*('Rework Log'!$G$2:$G$497&lt;&gt;"Did not pass re-test"))*'Rework Log'!$I$2:$I$497))=0," - unclaimed"," - promised "&amp;TEXT(SUMPRODUCT(MAX((('Rework Log'!$A$2:$A$497=$B103)*('Rework Log'!$G$2:$G$497&lt;&gt;"Yes")*('Rework Log'!$G$2:$G$497&lt;&gt;"Did not pass re-test"))*'Rework Log'!$I$2:$I$497)),"m/d"))),IF(C103="NOT STARTED",IF(H103="","No plan date set",IF(H103&lt;TODAY(),"Review - planned start passed","On track")),IF(C103="DB Dev",_xlfn.LET(_xlpm.sent,_xlfn.MAXIFS('Rework Log'!$B$2:$B$497,'Rework Log'!$A$2:$A$497,$B103,'Rework Log'!$D$2:$D$497,"DB Dev"),_xlpm.expfix,_xlfn.MAXIFS('Rework Log'!$I$2:$I$497,'Rework Log'!$A$2:$A$497,$B103,'Rework Log'!$D$2:$D$497,"DB Dev",'Rework Log'!$B$2:$B$497,_xlpm.sent),_xlpm.tgt,IF(_xlpm.expfix&gt;0,_xlpm.expfix,IF(L103&lt;&gt;"",L103,K103)),_xlpm.act,IF(AND(M103&lt;&gt;"",M103&gt;=_xlpm.sent),M103,""),IF(_xlpm.tgt="","No target set",IF(AND(_xlpm.tgt&lt;TODAY(),_xlpm.act=""),"Overdue","On track"))),IF(C103="PBI Dev",_xlfn.LET(_xlpm.sent,_xlfn.MAXIFS('Rework Log'!$B$2:$B$497,'Rework Log'!$A$2:$A$497,$B103,'Rework Log'!$D$2:$D$497,"PBI Dev"),_xlpm.expfix,_xlfn.MAXIFS('Rework Log'!$I$2:$I$497,'Rework Log'!$A$2:$A$497,$B103,'Rework Log'!$D$2:$D$497,"PBI Dev",'Rework Log'!$B$2:$B$497,_xlpm.sent),_xlpm.tgt,IF(_xlpm.expfix&gt;0,_xlpm.expfix,IF(R103&lt;&gt;"",R103,Q103)),_xlpm.act,IF(AND(S103&lt;&gt;"",S103&gt;=_xlpm.sent),S103,""),IF(_xlpm.tgt="","No target set",IF(AND(_xlpm.tgt&lt;TODAY(),_xlpm.act=""),"Overdue","On track"))),IF(C103="QA",_xlfn.LET(_xlpm.tgt,IF(AM103&lt;&gt;"",AM103,IF(W103&lt;&gt;"",W103,V103)),_xlpm.sent,_xlfn.MAXIFS('Rework Log'!$B$2:$B$497,'Rework Log'!$A$2:$A$497,$B103,'Rework Log'!$C$2:$C$497,"QA"),_xlpm.act,IF(AND(Y103&lt;&gt;"",Y103&gt;=_xlpm.sent),Y103,""),IF(_xlpm.tgt="","No target set",IF(AND(_xlpm.tgt&lt;TODAY(),_xlpm.act=""),"Overdue","On track"))),IF(C103="DPO Approval",_xlfn.LET(_xlpm.tgt,IF(AN103&lt;&gt;"",AN103,IF(AB103&lt;&gt;"",AB103,AA103)),_xlpm.sent,_xlfn.MAXIFS('Rework Log'!$B$2:$B$497,'Rework Log'!$A$2:$A$497,$B103,'Rework Log'!$C$2:$C$497,"DPO*"),_xlpm.act,IF(AND(AC103&lt;&gt;"",AC103&gt;=_xlpm.sent),AC103,""),IF(_xlpm.tgt="","No target set",IF(AND(_xlpm.tgt&lt;TODAY(),_xlpm.act=""),"Overdue","On track"))),IF(C103="RELEASED IN PROD","Delivered","")))))))))</f>
        <v>On track</v>
      </c>
      <c r="E103" s="31">
        <v>3</v>
      </c>
      <c r="F103" s="31" t="s">
        <v>129</v>
      </c>
      <c r="G103" s="31"/>
      <c r="H103" s="28">
        <v>46387</v>
      </c>
      <c r="I103" s="55" t="s">
        <v>304</v>
      </c>
      <c r="J103" s="53" t="s">
        <v>44</v>
      </c>
      <c r="K103" s="28">
        <v>46363</v>
      </c>
      <c r="L103" s="43"/>
      <c r="M103" s="31"/>
      <c r="N103" s="31"/>
      <c r="O103" s="36" t="s">
        <v>280</v>
      </c>
      <c r="P103" s="74"/>
      <c r="Q103" s="28">
        <v>46370</v>
      </c>
      <c r="R103" s="43"/>
      <c r="S103" s="31"/>
      <c r="T103" s="68" t="s">
        <v>307</v>
      </c>
      <c r="U103" s="46"/>
      <c r="V103" s="28">
        <v>46373</v>
      </c>
      <c r="W103" s="43"/>
      <c r="X103" s="31"/>
      <c r="Y103" s="31"/>
      <c r="Z103" s="36"/>
      <c r="AA103" s="28">
        <v>46386</v>
      </c>
      <c r="AB103" s="43"/>
      <c r="AC103" s="43"/>
      <c r="AD103" s="31" t="s">
        <v>310</v>
      </c>
      <c r="AE103" s="31" t="s">
        <v>94</v>
      </c>
      <c r="AF103" s="31"/>
      <c r="AG103" s="31"/>
      <c r="AH103" s="31"/>
      <c r="AI103" s="31"/>
      <c r="AJ103" s="31"/>
      <c r="AK103" s="31" t="str" cm="1">
        <f t="array" ref="AK103">IF($B103="","",_xlfn.LET(_xlpm.nm,$B103,_xlpm.st,$C103,_xlpm.ou,SUMPRODUCT(('Rework Log'!$A$2:$A$497=_xlpm.nm)*('Rework Log'!$G$2:$G$497&lt;&gt;"Yes")*('Rework Log'!$G$2:$G$497&lt;&gt;"Did not pass re-test")*('Rework Log'!$J$2:$J$497="")),_xlpm.ob,SUMPRODUCT(('Rework Log'!$A$2:$A$497=_xlpm.nm)*('Rework Log'!$G$2:$G$497&lt;&gt;"Yes")*('Rework Log'!$G$2:$G$497&lt;&gt;"Did not pass re-test")),_xlpm.oto,IF(SUMPRODUCT(('Rework Log'!$A$2:$A$497=_xlpm.nm)*('Rework Log'!$G$2:$G$497&lt;&gt;"Yes")*('Rework Log'!$G$2:$G$497&lt;&gt;"Did not pass re-test")*('Rework Log'!$J$2:$J$497=""))=0,"",INDEX('Rework Log'!$D$2:$D$497,MATCH(1,('Rework Log'!$A$2:$A$497=_xlpm.nm)*('Rework Log'!$G$2:$G$497&lt;&gt;"Yes")*('Rework Log'!$G$2:$G$497&lt;&gt;"Did not pass re-test")*('Rework Log'!$J$2:$J$497=""),0))),_xlpm.sent,_xlfn.MAXIFS('Rework Log'!$B$2:$B$497,'Rework Log'!$A$2:$A$497,_xlpm.nm),_xlpm.act,_xlfn.IFS(_xlpm.st="NOT STARTED",$M103,_xlpm.st="DB Dev",$M103,_xlpm.st="PBI Dev",$S103,_xlpm.st="QA",$Y103,_xlpm.st="DPO Approval",$AC103,_xlpm.st="Ready for Release in Prod",$AG103,TRUE,""),_xlpm.nxt,_xlfn.IFS(_xlpm.st="NOT STARTED","PBI Dev",_xlpm.st="DB Dev","PBI Dev",_xlpm.st="PBI Dev","QA",_xlpm.st="QA","DPO Approval",_xlpm.st="DPO Approval","Ready for Release in Prod",_xlpm.st="Ready for Release in Prod","RELEASED IN PROD",TRUE,""),IF(AND(_xlpm.ou&gt;0,_xlpm.st&lt;&gt;_xlpm.oto),"Move status back to "&amp;_xlpm.oto,IF(AND(_xlpm.ob=0,LEFT($AJ103,3)="Yes"),"Blocked - log it on Rework Log",IF(AND(_xlpm.ob&gt;0,LEFT($AJ103,3)&lt;&gt;"Yes"),"Open rework row - mark Blocked or close it",IF(AND(_xlpm.ob=0,_xlpm.act&lt;&gt;"",_xlpm.act&gt;=_xlpm.sent,_xlpm.nxt&lt;&gt;""),"Move status to "&amp;_xlpm.nxt,IF(COUNTIF($B$2:$B$528,$B103)&gt;1,"Duplicate name - check row",IF(COUNTIF('Rework Log'!$A$2:$A$497,$B103)&gt;0,"",IF(AND($V103&lt;&gt;"",$K103&lt;&gt;"",$V103&lt;$K103),"QA target is before DB Dev target",IF(AND($V103&lt;&gt;"",$Q103&lt;&gt;"",$V103&lt;$Q103),"QA target is before PBI Dev target",IF(AND($AA103&lt;&gt;"",$V103&lt;&gt;"",$AA103&lt;$V103),"DPO Approval target is before QA target",IF(AND($AG103&lt;&gt;"",$AA103&lt;&gt;"",$AG103&lt;$AA103),"Confirmed Deployed date is before DPO Approval target",""))))))))))))</f>
        <v/>
      </c>
      <c r="AL103" s="31"/>
      <c r="AM103" s="31" t="str" cm="1">
        <f t="array" ref="AM103">_xlfn.LET(_xlpm.rep,$B103,_xlpm.sent,_xlfn.MAXIFS('Rework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
      </c>
      <c r="AN103" s="31" t="str" cm="1">
        <f t="array" ref="AN103">_xlfn.LET(_xlpm.rep,$B103,_xlpm.sent,_xlfn.MAXIFS('Rework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104" spans="1:40">
      <c r="A104" s="31" t="s">
        <v>311</v>
      </c>
      <c r="B104" s="31" t="s">
        <v>312</v>
      </c>
      <c r="C104" s="31" t="s">
        <v>234</v>
      </c>
      <c r="D104" t="str" cm="1">
        <f t="array" aca="1" ref="D104" ca="1">IF(AND(C104="Ready for Release in Prod",LEFT($AJ104,3)&lt;&gt;"Yes"),IF(AG104&lt;&gt;"","Delivered","On track"),IF($B104="","",IF(LEFT($AJ104,3)="Yes","Blocked - "&amp;MID($AJ104,7,100)&amp;IF(SUMPRODUCT(('Rework Log'!$A$2:$A$497=$B104)*('Rework Log'!$G$2:$G$497&lt;&gt;"Yes")*('Rework Log'!$G$2:$G$497&lt;&gt;"Did not pass re-test"))=0,"",IF(SUMPRODUCT(MAX((('Rework Log'!$A$2:$A$497=$B104)*('Rework Log'!$G$2:$G$497&lt;&gt;"Yes")*('Rework Log'!$G$2:$G$497&lt;&gt;"Did not pass re-test"))*'Rework Log'!$I$2:$I$497))=0," - unclaimed"," - promised "&amp;TEXT(SUMPRODUCT(MAX((('Rework Log'!$A$2:$A$497=$B104)*('Rework Log'!$G$2:$G$497&lt;&gt;"Yes")*('Rework Log'!$G$2:$G$497&lt;&gt;"Did not pass re-test"))*'Rework Log'!$I$2:$I$497)),"m/d"))),IF(C104="NOT STARTED",IF(H104="","No plan date set",IF(H104&lt;TODAY(),"Review - planned start passed","On track")),IF(C104="DB Dev",_xlfn.LET(_xlpm.sent,_xlfn.MAXIFS('Rework Log'!$B$2:$B$497,'Rework Log'!$A$2:$A$497,$B104,'Rework Log'!$D$2:$D$497,"DB Dev"),_xlpm.expfix,_xlfn.MAXIFS('Rework Log'!$I$2:$I$497,'Rework Log'!$A$2:$A$497,$B104,'Rework Log'!$D$2:$D$497,"DB Dev",'Rework Log'!$B$2:$B$497,_xlpm.sent),_xlpm.tgt,IF(_xlpm.expfix&gt;0,_xlpm.expfix,IF(L104&lt;&gt;"",L104,K104)),_xlpm.act,IF(AND(M104&lt;&gt;"",M104&gt;=_xlpm.sent),M104,""),IF(_xlpm.tgt="","No target set",IF(AND(_xlpm.tgt&lt;TODAY(),_xlpm.act=""),"Overdue","On track"))),IF(C104="PBI Dev",_xlfn.LET(_xlpm.sent,_xlfn.MAXIFS('Rework Log'!$B$2:$B$497,'Rework Log'!$A$2:$A$497,$B104,'Rework Log'!$D$2:$D$497,"PBI Dev"),_xlpm.expfix,_xlfn.MAXIFS('Rework Log'!$I$2:$I$497,'Rework Log'!$A$2:$A$497,$B104,'Rework Log'!$D$2:$D$497,"PBI Dev",'Rework Log'!$B$2:$B$497,_xlpm.sent),_xlpm.tgt,IF(_xlpm.expfix&gt;0,_xlpm.expfix,IF(R104&lt;&gt;"",R104,Q104)),_xlpm.act,IF(AND(S104&lt;&gt;"",S104&gt;=_xlpm.sent),S104,""),IF(_xlpm.tgt="","No target set",IF(AND(_xlpm.tgt&lt;TODAY(),_xlpm.act=""),"Overdue","On track"))),IF(C104="QA",_xlfn.LET(_xlpm.tgt,IF(AM104&lt;&gt;"",AM104,IF(W104&lt;&gt;"",W104,V104)),_xlpm.sent,_xlfn.MAXIFS('Rework Log'!$B$2:$B$497,'Rework Log'!$A$2:$A$497,$B104,'Rework Log'!$C$2:$C$497,"QA"),_xlpm.act,IF(AND(Y104&lt;&gt;"",Y104&gt;=_xlpm.sent),Y104,""),IF(_xlpm.tgt="","No target set",IF(AND(_xlpm.tgt&lt;TODAY(),_xlpm.act=""),"Overdue","On track"))),IF(C104="DPO Approval",_xlfn.LET(_xlpm.tgt,IF(AN104&lt;&gt;"",AN104,IF(AB104&lt;&gt;"",AB104,AA104)),_xlpm.sent,_xlfn.MAXIFS('Rework Log'!$B$2:$B$497,'Rework Log'!$A$2:$A$497,$B104,'Rework Log'!$C$2:$C$497,"DPO*"),_xlpm.act,IF(AND(AC104&lt;&gt;"",AC104&gt;=_xlpm.sent),AC104,""),IF(_xlpm.tgt="","No target set",IF(AND(_xlpm.tgt&lt;TODAY(),_xlpm.act=""),"Overdue","On track"))),IF(C104="RELEASED IN PROD","Delivered","")))))))))</f>
        <v>On track</v>
      </c>
      <c r="E104" s="31">
        <v>4</v>
      </c>
      <c r="F104" s="31" t="s">
        <v>144</v>
      </c>
      <c r="G104" s="31"/>
      <c r="H104" s="28">
        <v>46387</v>
      </c>
      <c r="I104" s="55" t="s">
        <v>304</v>
      </c>
      <c r="J104" s="53" t="s">
        <v>84</v>
      </c>
      <c r="K104" s="28">
        <v>46363</v>
      </c>
      <c r="L104" s="43">
        <v>46304</v>
      </c>
      <c r="M104" s="32">
        <v>46302</v>
      </c>
      <c r="N104" s="31"/>
      <c r="O104" s="36" t="s">
        <v>280</v>
      </c>
      <c r="P104" s="74"/>
      <c r="Q104" s="28">
        <v>46370</v>
      </c>
      <c r="R104" s="43"/>
      <c r="S104" s="31"/>
      <c r="T104" s="68" t="s">
        <v>307</v>
      </c>
      <c r="U104" s="46"/>
      <c r="V104" s="28">
        <v>46373</v>
      </c>
      <c r="W104" s="43"/>
      <c r="X104" s="31"/>
      <c r="Y104" s="31"/>
      <c r="Z104" s="36"/>
      <c r="AA104" s="28">
        <v>46386</v>
      </c>
      <c r="AB104" s="43"/>
      <c r="AC104" s="43"/>
      <c r="AD104" s="31" t="s">
        <v>313</v>
      </c>
      <c r="AE104" s="31" t="s">
        <v>49</v>
      </c>
      <c r="AF104" s="31"/>
      <c r="AG104" s="31"/>
      <c r="AH104" s="31"/>
      <c r="AI104" s="31"/>
      <c r="AJ104" s="31"/>
      <c r="AK104" s="31" t="str" cm="1">
        <f t="array" ref="AK104">IF($B104="","",_xlfn.LET(_xlpm.nm,$B104,_xlpm.st,$C104,_xlpm.ou,SUMPRODUCT(('Rework Log'!$A$2:$A$497=_xlpm.nm)*('Rework Log'!$G$2:$G$497&lt;&gt;"Yes")*('Rework Log'!$G$2:$G$497&lt;&gt;"Did not pass re-test")*('Rework Log'!$J$2:$J$497="")),_xlpm.ob,SUMPRODUCT(('Rework Log'!$A$2:$A$497=_xlpm.nm)*('Rework Log'!$G$2:$G$497&lt;&gt;"Yes")*('Rework Log'!$G$2:$G$497&lt;&gt;"Did not pass re-test")),_xlpm.oto,IF(SUMPRODUCT(('Rework Log'!$A$2:$A$497=_xlpm.nm)*('Rework Log'!$G$2:$G$497&lt;&gt;"Yes")*('Rework Log'!$G$2:$G$497&lt;&gt;"Did not pass re-test")*('Rework Log'!$J$2:$J$497=""))=0,"",INDEX('Rework Log'!$D$2:$D$497,MATCH(1,('Rework Log'!$A$2:$A$497=_xlpm.nm)*('Rework Log'!$G$2:$G$497&lt;&gt;"Yes")*('Rework Log'!$G$2:$G$497&lt;&gt;"Did not pass re-test")*('Rework Log'!$J$2:$J$497=""),0))),_xlpm.sent,_xlfn.MAXIFS('Rework Log'!$B$2:$B$497,'Rework Log'!$A$2:$A$497,_xlpm.nm),_xlpm.act,_xlfn.IFS(_xlpm.st="NOT STARTED",$M104,_xlpm.st="DB Dev",$M104,_xlpm.st="PBI Dev",$S104,_xlpm.st="QA",$Y104,_xlpm.st="DPO Approval",$AC104,_xlpm.st="Ready for Release in Prod",$AG104,TRUE,""),_xlpm.nxt,_xlfn.IFS(_xlpm.st="NOT STARTED","PBI Dev",_xlpm.st="DB Dev","PBI Dev",_xlpm.st="PBI Dev","QA",_xlpm.st="QA","DPO Approval",_xlpm.st="DPO Approval","Ready for Release in Prod",_xlpm.st="Ready for Release in Prod","RELEASED IN PROD",TRUE,""),IF(AND(_xlpm.ou&gt;0,_xlpm.st&lt;&gt;_xlpm.oto),"Move status back to "&amp;_xlpm.oto,IF(AND(_xlpm.ob=0,LEFT($AJ104,3)="Yes"),"Blocked - log it on Rework Log",IF(AND(_xlpm.ob&gt;0,LEFT($AJ104,3)&lt;&gt;"Yes"),"Open rework row - mark Blocked or close it",IF(AND(_xlpm.ob=0,_xlpm.act&lt;&gt;"",_xlpm.act&gt;=_xlpm.sent,_xlpm.nxt&lt;&gt;""),"Move status to "&amp;_xlpm.nxt,IF(COUNTIF($B$2:$B$528,$B104)&gt;1,"Duplicate name - check row",IF(COUNTIF('Rework Log'!$A$2:$A$497,$B104)&gt;0,"",IF(AND($V104&lt;&gt;"",$K104&lt;&gt;"",$V104&lt;$K104),"QA target is before DB Dev target",IF(AND($V104&lt;&gt;"",$Q104&lt;&gt;"",$V104&lt;$Q104),"QA target is before PBI Dev target",IF(AND($AA104&lt;&gt;"",$V104&lt;&gt;"",$AA104&lt;$V104),"DPO Approval target is before QA target",IF(AND($AG104&lt;&gt;"",$AA104&lt;&gt;"",$AG104&lt;$AA104),"Confirmed Deployed date is before DPO Approval target",""))))))))))))</f>
        <v>Move status to PBI Dev</v>
      </c>
      <c r="AL104" s="31"/>
      <c r="AM104" s="31" t="str" cm="1">
        <f t="array" ref="AM104">_xlfn.LET(_xlpm.rep,$B104,_xlpm.sent,_xlfn.MAXIFS('Rework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
      </c>
      <c r="AN104" s="31" t="str" cm="1">
        <f t="array" ref="AN104">_xlfn.LET(_xlpm.rep,$B104,_xlpm.sent,_xlfn.MAXIFS('Rework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105" spans="1:40">
      <c r="A105" s="31" t="s">
        <v>302</v>
      </c>
      <c r="B105" s="31" t="s">
        <v>314</v>
      </c>
      <c r="C105" s="31" t="s">
        <v>223</v>
      </c>
      <c r="D105" t="str" cm="1">
        <f t="array" aca="1" ref="D105" ca="1">IF(AND(C105="Ready for Release in Prod",LEFT($AJ105,3)&lt;&gt;"Yes"),IF(AG105&lt;&gt;"","Delivered","On track"),IF($B105="","",IF(LEFT($AJ105,3)="Yes","Blocked - "&amp;MID($AJ105,7,100)&amp;IF(SUMPRODUCT(('Rework Log'!$A$2:$A$497=$B105)*('Rework Log'!$G$2:$G$497&lt;&gt;"Yes")*('Rework Log'!$G$2:$G$497&lt;&gt;"Did not pass re-test"))=0,"",IF(SUMPRODUCT(MAX((('Rework Log'!$A$2:$A$497=$B105)*('Rework Log'!$G$2:$G$497&lt;&gt;"Yes")*('Rework Log'!$G$2:$G$497&lt;&gt;"Did not pass re-test"))*'Rework Log'!$I$2:$I$497))=0," - unclaimed"," - promised "&amp;TEXT(SUMPRODUCT(MAX((('Rework Log'!$A$2:$A$497=$B105)*('Rework Log'!$G$2:$G$497&lt;&gt;"Yes")*('Rework Log'!$G$2:$G$497&lt;&gt;"Did not pass re-test"))*'Rework Log'!$I$2:$I$497)),"m/d"))),IF(C105="NOT STARTED",IF(H105="","No plan date set",IF(H105&lt;TODAY(),"Review - planned start passed","On track")),IF(C105="DB Dev",_xlfn.LET(_xlpm.sent,_xlfn.MAXIFS('Rework Log'!$B$2:$B$497,'Rework Log'!$A$2:$A$497,$B105,'Rework Log'!$D$2:$D$497,"DB Dev"),_xlpm.expfix,_xlfn.MAXIFS('Rework Log'!$I$2:$I$497,'Rework Log'!$A$2:$A$497,$B105,'Rework Log'!$D$2:$D$497,"DB Dev",'Rework Log'!$B$2:$B$497,_xlpm.sent),_xlpm.tgt,IF(_xlpm.expfix&gt;0,_xlpm.expfix,IF(L105&lt;&gt;"",L105,K105)),_xlpm.act,IF(AND(M105&lt;&gt;"",M105&gt;=_xlpm.sent),M105,""),IF(_xlpm.tgt="","No target set",IF(AND(_xlpm.tgt&lt;TODAY(),_xlpm.act=""),"Overdue","On track"))),IF(C105="PBI Dev",_xlfn.LET(_xlpm.sent,_xlfn.MAXIFS('Rework Log'!$B$2:$B$497,'Rework Log'!$A$2:$A$497,$B105,'Rework Log'!$D$2:$D$497,"PBI Dev"),_xlpm.expfix,_xlfn.MAXIFS('Rework Log'!$I$2:$I$497,'Rework Log'!$A$2:$A$497,$B105,'Rework Log'!$D$2:$D$497,"PBI Dev",'Rework Log'!$B$2:$B$497,_xlpm.sent),_xlpm.tgt,IF(_xlpm.expfix&gt;0,_xlpm.expfix,IF(R105&lt;&gt;"",R105,Q105)),_xlpm.act,IF(AND(S105&lt;&gt;"",S105&gt;=_xlpm.sent),S105,""),IF(_xlpm.tgt="","No target set",IF(AND(_xlpm.tgt&lt;TODAY(),_xlpm.act=""),"Overdue","On track"))),IF(C105="QA",_xlfn.LET(_xlpm.tgt,IF(AM105&lt;&gt;"",AM105,IF(W105&lt;&gt;"",W105,V105)),_xlpm.sent,_xlfn.MAXIFS('Rework Log'!$B$2:$B$497,'Rework Log'!$A$2:$A$497,$B105,'Rework Log'!$C$2:$C$497,"QA"),_xlpm.act,IF(AND(Y105&lt;&gt;"",Y105&gt;=_xlpm.sent),Y105,""),IF(_xlpm.tgt="","No target set",IF(AND(_xlpm.tgt&lt;TODAY(),_xlpm.act=""),"Overdue","On track"))),IF(C105="DPO Approval",_xlfn.LET(_xlpm.tgt,IF(AN105&lt;&gt;"",AN105,IF(AB105&lt;&gt;"",AB105,AA105)),_xlpm.sent,_xlfn.MAXIFS('Rework Log'!$B$2:$B$497,'Rework Log'!$A$2:$A$497,$B105,'Rework Log'!$C$2:$C$497,"DPO*"),_xlpm.act,IF(AND(AC105&lt;&gt;"",AC105&gt;=_xlpm.sent),AC105,""),IF(_xlpm.tgt="","No target set",IF(AND(_xlpm.tgt&lt;TODAY(),_xlpm.act=""),"Overdue","On track"))),IF(C105="RELEASED IN PROD","Delivered","")))))))))</f>
        <v>On track</v>
      </c>
      <c r="E105" s="31">
        <v>5</v>
      </c>
      <c r="F105" s="31" t="s">
        <v>129</v>
      </c>
      <c r="G105" s="31"/>
      <c r="H105" s="28">
        <v>46387</v>
      </c>
      <c r="I105" s="55" t="s">
        <v>304</v>
      </c>
      <c r="J105" s="53" t="s">
        <v>84</v>
      </c>
      <c r="K105" s="28">
        <v>46363</v>
      </c>
      <c r="L105" s="28">
        <v>46363</v>
      </c>
      <c r="M105" s="32">
        <v>46310</v>
      </c>
      <c r="N105" s="31"/>
      <c r="O105" s="36" t="s">
        <v>315</v>
      </c>
      <c r="P105" s="74"/>
      <c r="Q105" s="28">
        <v>46370</v>
      </c>
      <c r="R105" s="43"/>
      <c r="S105" s="31"/>
      <c r="T105" s="68" t="s">
        <v>307</v>
      </c>
      <c r="U105" s="46"/>
      <c r="V105" s="28">
        <v>46373</v>
      </c>
      <c r="W105" s="43"/>
      <c r="X105" s="31"/>
      <c r="Y105" s="31"/>
      <c r="Z105" s="36"/>
      <c r="AA105" s="28">
        <v>46386</v>
      </c>
      <c r="AB105" s="43"/>
      <c r="AC105" s="43"/>
      <c r="AD105" s="31" t="s">
        <v>316</v>
      </c>
      <c r="AE105" s="31" t="s">
        <v>72</v>
      </c>
      <c r="AF105" s="31"/>
      <c r="AG105" s="31"/>
      <c r="AH105" s="31"/>
      <c r="AI105" s="31"/>
      <c r="AJ105" s="31"/>
      <c r="AK105" s="31" t="str" cm="1">
        <f t="array" ref="AK105">IF($B105="","",_xlfn.LET(_xlpm.nm,$B105,_xlpm.st,$C105,_xlpm.ou,SUMPRODUCT(('Rework Log'!$A$2:$A$497=_xlpm.nm)*('Rework Log'!$G$2:$G$497&lt;&gt;"Yes")*('Rework Log'!$G$2:$G$497&lt;&gt;"Did not pass re-test")*('Rework Log'!$J$2:$J$497="")),_xlpm.ob,SUMPRODUCT(('Rework Log'!$A$2:$A$497=_xlpm.nm)*('Rework Log'!$G$2:$G$497&lt;&gt;"Yes")*('Rework Log'!$G$2:$G$497&lt;&gt;"Did not pass re-test")),_xlpm.oto,IF(SUMPRODUCT(('Rework Log'!$A$2:$A$497=_xlpm.nm)*('Rework Log'!$G$2:$G$497&lt;&gt;"Yes")*('Rework Log'!$G$2:$G$497&lt;&gt;"Did not pass re-test")*('Rework Log'!$J$2:$J$497=""))=0,"",INDEX('Rework Log'!$D$2:$D$497,MATCH(1,('Rework Log'!$A$2:$A$497=_xlpm.nm)*('Rework Log'!$G$2:$G$497&lt;&gt;"Yes")*('Rework Log'!$G$2:$G$497&lt;&gt;"Did not pass re-test")*('Rework Log'!$J$2:$J$497=""),0))),_xlpm.sent,_xlfn.MAXIFS('Rework Log'!$B$2:$B$497,'Rework Log'!$A$2:$A$497,_xlpm.nm),_xlpm.act,_xlfn.IFS(_xlpm.st="NOT STARTED",$M105,_xlpm.st="DB Dev",$M105,_xlpm.st="PBI Dev",$S105,_xlpm.st="QA",$Y105,_xlpm.st="DPO Approval",$AC105,_xlpm.st="Ready for Release in Prod",$AG105,TRUE,""),_xlpm.nxt,_xlfn.IFS(_xlpm.st="NOT STARTED","PBI Dev",_xlpm.st="DB Dev","PBI Dev",_xlpm.st="PBI Dev","QA",_xlpm.st="QA","DPO Approval",_xlpm.st="DPO Approval","Ready for Release in Prod",_xlpm.st="Ready for Release in Prod","RELEASED IN PROD",TRUE,""),IF(AND(_xlpm.ou&gt;0,_xlpm.st&lt;&gt;_xlpm.oto),"Move status back to "&amp;_xlpm.oto,IF(AND(_xlpm.ob=0,LEFT($AJ105,3)="Yes"),"Blocked - log it on Rework Log",IF(AND(_xlpm.ob&gt;0,LEFT($AJ105,3)&lt;&gt;"Yes"),"Open rework row - mark Blocked or close it",IF(AND(_xlpm.ob=0,_xlpm.act&lt;&gt;"",_xlpm.act&gt;=_xlpm.sent,_xlpm.nxt&lt;&gt;""),"Move status to "&amp;_xlpm.nxt,IF(COUNTIF($B$2:$B$528,$B105)&gt;1,"Duplicate name - check row",IF(COUNTIF('Rework Log'!$A$2:$A$497,$B105)&gt;0,"",IF(AND($V105&lt;&gt;"",$K105&lt;&gt;"",$V105&lt;$K105),"QA target is before DB Dev target",IF(AND($V105&lt;&gt;"",$Q105&lt;&gt;"",$V105&lt;$Q105),"QA target is before PBI Dev target",IF(AND($AA105&lt;&gt;"",$V105&lt;&gt;"",$AA105&lt;$V105),"DPO Approval target is before QA target",IF(AND($AG105&lt;&gt;"",$AA105&lt;&gt;"",$AG105&lt;$AA105),"Confirmed Deployed date is before DPO Approval target",""))))))))))))</f>
        <v/>
      </c>
      <c r="AL105" s="31"/>
      <c r="AM105" s="31" t="str" cm="1">
        <f t="array" ref="AM105">_xlfn.LET(_xlpm.rep,$B105,_xlpm.sent,_xlfn.MAXIFS('Rework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
      </c>
      <c r="AN105" s="31" t="str" cm="1">
        <f t="array" ref="AN105">_xlfn.LET(_xlpm.rep,$B105,_xlpm.sent,_xlfn.MAXIFS('Rework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106" spans="1:40">
      <c r="A106" s="31" t="s">
        <v>302</v>
      </c>
      <c r="B106" s="31" t="s">
        <v>317</v>
      </c>
      <c r="C106" s="31" t="s">
        <v>223</v>
      </c>
      <c r="D106" t="str" cm="1">
        <f t="array" aca="1" ref="D106" ca="1">IF(AND(C106="Ready for Release in Prod",LEFT($AJ106,3)&lt;&gt;"Yes"),IF(AG106&lt;&gt;"","Delivered","On track"),IF($B106="","",IF(LEFT($AJ106,3)="Yes","Blocked - "&amp;MID($AJ106,7,100)&amp;IF(SUMPRODUCT(('Rework Log'!$A$2:$A$497=$B106)*('Rework Log'!$G$2:$G$497&lt;&gt;"Yes")*('Rework Log'!$G$2:$G$497&lt;&gt;"Did not pass re-test"))=0,"",IF(SUMPRODUCT(MAX((('Rework Log'!$A$2:$A$497=$B106)*('Rework Log'!$G$2:$G$497&lt;&gt;"Yes")*('Rework Log'!$G$2:$G$497&lt;&gt;"Did not pass re-test"))*'Rework Log'!$I$2:$I$497))=0," - unclaimed"," - promised "&amp;TEXT(SUMPRODUCT(MAX((('Rework Log'!$A$2:$A$497=$B106)*('Rework Log'!$G$2:$G$497&lt;&gt;"Yes")*('Rework Log'!$G$2:$G$497&lt;&gt;"Did not pass re-test"))*'Rework Log'!$I$2:$I$497)),"m/d"))),IF(C106="NOT STARTED",IF(H106="","No plan date set",IF(H106&lt;TODAY(),"Review - planned start passed","On track")),IF(C106="DB Dev",_xlfn.LET(_xlpm.sent,_xlfn.MAXIFS('Rework Log'!$B$2:$B$497,'Rework Log'!$A$2:$A$497,$B106,'Rework Log'!$D$2:$D$497,"DB Dev"),_xlpm.expfix,_xlfn.MAXIFS('Rework Log'!$I$2:$I$497,'Rework Log'!$A$2:$A$497,$B106,'Rework Log'!$D$2:$D$497,"DB Dev",'Rework Log'!$B$2:$B$497,_xlpm.sent),_xlpm.tgt,IF(_xlpm.expfix&gt;0,_xlpm.expfix,IF(L106&lt;&gt;"",L106,K106)),_xlpm.act,IF(AND(M106&lt;&gt;"",M106&gt;=_xlpm.sent),M106,""),IF(_xlpm.tgt="","No target set",IF(AND(_xlpm.tgt&lt;TODAY(),_xlpm.act=""),"Overdue","On track"))),IF(C106="PBI Dev",_xlfn.LET(_xlpm.sent,_xlfn.MAXIFS('Rework Log'!$B$2:$B$497,'Rework Log'!$A$2:$A$497,$B106,'Rework Log'!$D$2:$D$497,"PBI Dev"),_xlpm.expfix,_xlfn.MAXIFS('Rework Log'!$I$2:$I$497,'Rework Log'!$A$2:$A$497,$B106,'Rework Log'!$D$2:$D$497,"PBI Dev",'Rework Log'!$B$2:$B$497,_xlpm.sent),_xlpm.tgt,IF(_xlpm.expfix&gt;0,_xlpm.expfix,IF(R106&lt;&gt;"",R106,Q106)),_xlpm.act,IF(AND(S106&lt;&gt;"",S106&gt;=_xlpm.sent),S106,""),IF(_xlpm.tgt="","No target set",IF(AND(_xlpm.tgt&lt;TODAY(),_xlpm.act=""),"Overdue","On track"))),IF(C106="QA",_xlfn.LET(_xlpm.tgt,IF(AM106&lt;&gt;"",AM106,IF(W106&lt;&gt;"",W106,V106)),_xlpm.sent,_xlfn.MAXIFS('Rework Log'!$B$2:$B$497,'Rework Log'!$A$2:$A$497,$B106,'Rework Log'!$C$2:$C$497,"QA"),_xlpm.act,IF(AND(Y106&lt;&gt;"",Y106&gt;=_xlpm.sent),Y106,""),IF(_xlpm.tgt="","No target set",IF(AND(_xlpm.tgt&lt;TODAY(),_xlpm.act=""),"Overdue","On track"))),IF(C106="DPO Approval",_xlfn.LET(_xlpm.tgt,IF(AN106&lt;&gt;"",AN106,IF(AB106&lt;&gt;"",AB106,AA106)),_xlpm.sent,_xlfn.MAXIFS('Rework Log'!$B$2:$B$497,'Rework Log'!$A$2:$A$497,$B106,'Rework Log'!$C$2:$C$497,"DPO*"),_xlpm.act,IF(AND(AC106&lt;&gt;"",AC106&gt;=_xlpm.sent),AC106,""),IF(_xlpm.tgt="","No target set",IF(AND(_xlpm.tgt&lt;TODAY(),_xlpm.act=""),"Overdue","On track"))),IF(C106="RELEASED IN PROD","Delivered","")))))))))</f>
        <v>On track</v>
      </c>
      <c r="E106" s="31">
        <v>6</v>
      </c>
      <c r="F106" s="31" t="s">
        <v>129</v>
      </c>
      <c r="G106" s="31"/>
      <c r="H106" s="28">
        <v>46387</v>
      </c>
      <c r="I106" s="55" t="s">
        <v>304</v>
      </c>
      <c r="J106" s="53" t="s">
        <v>84</v>
      </c>
      <c r="K106" s="28">
        <v>46363</v>
      </c>
      <c r="L106" s="28">
        <v>46363</v>
      </c>
      <c r="M106" s="32">
        <v>46307</v>
      </c>
      <c r="N106" s="31"/>
      <c r="O106" s="36" t="s">
        <v>315</v>
      </c>
      <c r="P106" s="74"/>
      <c r="Q106" s="28">
        <v>46370</v>
      </c>
      <c r="R106" s="43"/>
      <c r="S106" s="31"/>
      <c r="T106" s="68" t="s">
        <v>307</v>
      </c>
      <c r="U106" s="46"/>
      <c r="V106" s="28">
        <v>46373</v>
      </c>
      <c r="W106" s="43"/>
      <c r="X106" s="31"/>
      <c r="Y106" s="31"/>
      <c r="Z106" s="36"/>
      <c r="AA106" s="28">
        <v>46386</v>
      </c>
      <c r="AB106" s="43"/>
      <c r="AC106" s="43"/>
      <c r="AD106" s="31" t="s">
        <v>318</v>
      </c>
      <c r="AE106" s="31" t="s">
        <v>72</v>
      </c>
      <c r="AF106" s="31"/>
      <c r="AG106" s="31"/>
      <c r="AH106" s="31"/>
      <c r="AI106" s="31"/>
      <c r="AJ106" s="31"/>
      <c r="AK106" s="31" t="str" cm="1">
        <f t="array" ref="AK106">IF($B106="","",_xlfn.LET(_xlpm.nm,$B106,_xlpm.st,$C106,_xlpm.ou,SUMPRODUCT(('Rework Log'!$A$2:$A$497=_xlpm.nm)*('Rework Log'!$G$2:$G$497&lt;&gt;"Yes")*('Rework Log'!$G$2:$G$497&lt;&gt;"Did not pass re-test")*('Rework Log'!$J$2:$J$497="")),_xlpm.ob,SUMPRODUCT(('Rework Log'!$A$2:$A$497=_xlpm.nm)*('Rework Log'!$G$2:$G$497&lt;&gt;"Yes")*('Rework Log'!$G$2:$G$497&lt;&gt;"Did not pass re-test")),_xlpm.oto,IF(SUMPRODUCT(('Rework Log'!$A$2:$A$497=_xlpm.nm)*('Rework Log'!$G$2:$G$497&lt;&gt;"Yes")*('Rework Log'!$G$2:$G$497&lt;&gt;"Did not pass re-test")*('Rework Log'!$J$2:$J$497=""))=0,"",INDEX('Rework Log'!$D$2:$D$497,MATCH(1,('Rework Log'!$A$2:$A$497=_xlpm.nm)*('Rework Log'!$G$2:$G$497&lt;&gt;"Yes")*('Rework Log'!$G$2:$G$497&lt;&gt;"Did not pass re-test")*('Rework Log'!$J$2:$J$497=""),0))),_xlpm.sent,_xlfn.MAXIFS('Rework Log'!$B$2:$B$497,'Rework Log'!$A$2:$A$497,_xlpm.nm),_xlpm.act,_xlfn.IFS(_xlpm.st="NOT STARTED",$M106,_xlpm.st="DB Dev",$M106,_xlpm.st="PBI Dev",$S106,_xlpm.st="QA",$Y106,_xlpm.st="DPO Approval",$AC106,_xlpm.st="Ready for Release in Prod",$AG106,TRUE,""),_xlpm.nxt,_xlfn.IFS(_xlpm.st="NOT STARTED","PBI Dev",_xlpm.st="DB Dev","PBI Dev",_xlpm.st="PBI Dev","QA",_xlpm.st="QA","DPO Approval",_xlpm.st="DPO Approval","Ready for Release in Prod",_xlpm.st="Ready for Release in Prod","RELEASED IN PROD",TRUE,""),IF(AND(_xlpm.ou&gt;0,_xlpm.st&lt;&gt;_xlpm.oto),"Move status back to "&amp;_xlpm.oto,IF(AND(_xlpm.ob=0,LEFT($AJ106,3)="Yes"),"Blocked - log it on Rework Log",IF(AND(_xlpm.ob&gt;0,LEFT($AJ106,3)&lt;&gt;"Yes"),"Open rework row - mark Blocked or close it",IF(AND(_xlpm.ob=0,_xlpm.act&lt;&gt;"",_xlpm.act&gt;=_xlpm.sent,_xlpm.nxt&lt;&gt;""),"Move status to "&amp;_xlpm.nxt,IF(COUNTIF($B$2:$B$528,$B106)&gt;1,"Duplicate name - check row",IF(COUNTIF('Rework Log'!$A$2:$A$497,$B106)&gt;0,"",IF(AND($V106&lt;&gt;"",$K106&lt;&gt;"",$V106&lt;$K106),"QA target is before DB Dev target",IF(AND($V106&lt;&gt;"",$Q106&lt;&gt;"",$V106&lt;$Q106),"QA target is before PBI Dev target",IF(AND($AA106&lt;&gt;"",$V106&lt;&gt;"",$AA106&lt;$V106),"DPO Approval target is before QA target",IF(AND($AG106&lt;&gt;"",$AA106&lt;&gt;"",$AG106&lt;$AA106),"Confirmed Deployed date is before DPO Approval target",""))))))))))))</f>
        <v/>
      </c>
      <c r="AL106" s="31"/>
      <c r="AM106" s="31" t="str" cm="1">
        <f t="array" ref="AM106">_xlfn.LET(_xlpm.rep,$B106,_xlpm.sent,_xlfn.MAXIFS('Rework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
      </c>
      <c r="AN106" s="31" t="str" cm="1">
        <f t="array" ref="AN106">_xlfn.LET(_xlpm.rep,$B106,_xlpm.sent,_xlfn.MAXIFS('Rework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107" spans="1:40">
      <c r="A107" s="31" t="s">
        <v>302</v>
      </c>
      <c r="B107" s="31" t="s">
        <v>319</v>
      </c>
      <c r="C107" s="31" t="s">
        <v>223</v>
      </c>
      <c r="D107" t="str" cm="1">
        <f t="array" aca="1" ref="D107" ca="1">IF(AND(C107="Ready for Release in Prod",LEFT($AJ107,3)&lt;&gt;"Yes"),IF(AG107&lt;&gt;"","Delivered","On track"),IF($B107="","",IF(LEFT($AJ107,3)="Yes","Blocked - "&amp;MID($AJ107,7,100)&amp;IF(SUMPRODUCT(('Rework Log'!$A$2:$A$497=$B107)*('Rework Log'!$G$2:$G$497&lt;&gt;"Yes")*('Rework Log'!$G$2:$G$497&lt;&gt;"Did not pass re-test"))=0,"",IF(SUMPRODUCT(MAX((('Rework Log'!$A$2:$A$497=$B107)*('Rework Log'!$G$2:$G$497&lt;&gt;"Yes")*('Rework Log'!$G$2:$G$497&lt;&gt;"Did not pass re-test"))*'Rework Log'!$I$2:$I$497))=0," - unclaimed"," - promised "&amp;TEXT(SUMPRODUCT(MAX((('Rework Log'!$A$2:$A$497=$B107)*('Rework Log'!$G$2:$G$497&lt;&gt;"Yes")*('Rework Log'!$G$2:$G$497&lt;&gt;"Did not pass re-test"))*'Rework Log'!$I$2:$I$497)),"m/d"))),IF(C107="NOT STARTED",IF(H107="","No plan date set",IF(H107&lt;TODAY(),"Review - planned start passed","On track")),IF(C107="DB Dev",_xlfn.LET(_xlpm.sent,_xlfn.MAXIFS('Rework Log'!$B$2:$B$497,'Rework Log'!$A$2:$A$497,$B107,'Rework Log'!$D$2:$D$497,"DB Dev"),_xlpm.expfix,_xlfn.MAXIFS('Rework Log'!$I$2:$I$497,'Rework Log'!$A$2:$A$497,$B107,'Rework Log'!$D$2:$D$497,"DB Dev",'Rework Log'!$B$2:$B$497,_xlpm.sent),_xlpm.tgt,IF(_xlpm.expfix&gt;0,_xlpm.expfix,IF(L107&lt;&gt;"",L107,K107)),_xlpm.act,IF(AND(M107&lt;&gt;"",M107&gt;=_xlpm.sent),M107,""),IF(_xlpm.tgt="","No target set",IF(AND(_xlpm.tgt&lt;TODAY(),_xlpm.act=""),"Overdue","On track"))),IF(C107="PBI Dev",_xlfn.LET(_xlpm.sent,_xlfn.MAXIFS('Rework Log'!$B$2:$B$497,'Rework Log'!$A$2:$A$497,$B107,'Rework Log'!$D$2:$D$497,"PBI Dev"),_xlpm.expfix,_xlfn.MAXIFS('Rework Log'!$I$2:$I$497,'Rework Log'!$A$2:$A$497,$B107,'Rework Log'!$D$2:$D$497,"PBI Dev",'Rework Log'!$B$2:$B$497,_xlpm.sent),_xlpm.tgt,IF(_xlpm.expfix&gt;0,_xlpm.expfix,IF(R107&lt;&gt;"",R107,Q107)),_xlpm.act,IF(AND(S107&lt;&gt;"",S107&gt;=_xlpm.sent),S107,""),IF(_xlpm.tgt="","No target set",IF(AND(_xlpm.tgt&lt;TODAY(),_xlpm.act=""),"Overdue","On track"))),IF(C107="QA",_xlfn.LET(_xlpm.tgt,IF(AM107&lt;&gt;"",AM107,IF(W107&lt;&gt;"",W107,V107)),_xlpm.sent,_xlfn.MAXIFS('Rework Log'!$B$2:$B$497,'Rework Log'!$A$2:$A$497,$B107,'Rework Log'!$C$2:$C$497,"QA"),_xlpm.act,IF(AND(Y107&lt;&gt;"",Y107&gt;=_xlpm.sent),Y107,""),IF(_xlpm.tgt="","No target set",IF(AND(_xlpm.tgt&lt;TODAY(),_xlpm.act=""),"Overdue","On track"))),IF(C107="DPO Approval",_xlfn.LET(_xlpm.tgt,IF(AN107&lt;&gt;"",AN107,IF(AB107&lt;&gt;"",AB107,AA107)),_xlpm.sent,_xlfn.MAXIFS('Rework Log'!$B$2:$B$497,'Rework Log'!$A$2:$A$497,$B107,'Rework Log'!$C$2:$C$497,"DPO*"),_xlpm.act,IF(AND(AC107&lt;&gt;"",AC107&gt;=_xlpm.sent),AC107,""),IF(_xlpm.tgt="","No target set",IF(AND(_xlpm.tgt&lt;TODAY(),_xlpm.act=""),"Overdue","On track"))),IF(C107="RELEASED IN PROD","Delivered","")))))))))</f>
        <v>On track</v>
      </c>
      <c r="E107" s="31">
        <v>7</v>
      </c>
      <c r="F107" s="31" t="s">
        <v>129</v>
      </c>
      <c r="G107" s="31"/>
      <c r="H107" s="28">
        <v>46387</v>
      </c>
      <c r="I107" s="55" t="s">
        <v>304</v>
      </c>
      <c r="J107" s="53" t="s">
        <v>84</v>
      </c>
      <c r="K107" s="28">
        <v>46363</v>
      </c>
      <c r="L107" s="28">
        <v>46363</v>
      </c>
      <c r="M107" s="32">
        <v>46308</v>
      </c>
      <c r="N107" s="31"/>
      <c r="O107" s="36" t="s">
        <v>315</v>
      </c>
      <c r="P107" s="74"/>
      <c r="Q107" s="28">
        <v>46370</v>
      </c>
      <c r="R107" s="43"/>
      <c r="S107" s="31"/>
      <c r="T107" s="68" t="s">
        <v>307</v>
      </c>
      <c r="U107" s="46"/>
      <c r="V107" s="28">
        <v>46373</v>
      </c>
      <c r="W107" s="43"/>
      <c r="X107" s="31"/>
      <c r="Y107" s="31"/>
      <c r="Z107" s="36"/>
      <c r="AA107" s="28">
        <v>46386</v>
      </c>
      <c r="AB107" s="43"/>
      <c r="AC107" s="43"/>
      <c r="AD107" s="31" t="s">
        <v>320</v>
      </c>
      <c r="AE107" s="31" t="s">
        <v>72</v>
      </c>
      <c r="AF107" s="31"/>
      <c r="AG107" s="31"/>
      <c r="AH107" s="31"/>
      <c r="AI107" s="31"/>
      <c r="AJ107" s="31"/>
      <c r="AK107" s="31" t="str" cm="1">
        <f t="array" ref="AK107">IF($B107="","",_xlfn.LET(_xlpm.nm,$B107,_xlpm.st,$C107,_xlpm.ou,SUMPRODUCT(('Rework Log'!$A$2:$A$497=_xlpm.nm)*('Rework Log'!$G$2:$G$497&lt;&gt;"Yes")*('Rework Log'!$G$2:$G$497&lt;&gt;"Did not pass re-test")*('Rework Log'!$J$2:$J$497="")),_xlpm.ob,SUMPRODUCT(('Rework Log'!$A$2:$A$497=_xlpm.nm)*('Rework Log'!$G$2:$G$497&lt;&gt;"Yes")*('Rework Log'!$G$2:$G$497&lt;&gt;"Did not pass re-test")),_xlpm.oto,IF(SUMPRODUCT(('Rework Log'!$A$2:$A$497=_xlpm.nm)*('Rework Log'!$G$2:$G$497&lt;&gt;"Yes")*('Rework Log'!$G$2:$G$497&lt;&gt;"Did not pass re-test")*('Rework Log'!$J$2:$J$497=""))=0,"",INDEX('Rework Log'!$D$2:$D$497,MATCH(1,('Rework Log'!$A$2:$A$497=_xlpm.nm)*('Rework Log'!$G$2:$G$497&lt;&gt;"Yes")*('Rework Log'!$G$2:$G$497&lt;&gt;"Did not pass re-test")*('Rework Log'!$J$2:$J$497=""),0))),_xlpm.sent,_xlfn.MAXIFS('Rework Log'!$B$2:$B$497,'Rework Log'!$A$2:$A$497,_xlpm.nm),_xlpm.act,_xlfn.IFS(_xlpm.st="NOT STARTED",$M107,_xlpm.st="DB Dev",$M107,_xlpm.st="PBI Dev",$S107,_xlpm.st="QA",$Y107,_xlpm.st="DPO Approval",$AC107,_xlpm.st="Ready for Release in Prod",$AG107,TRUE,""),_xlpm.nxt,_xlfn.IFS(_xlpm.st="NOT STARTED","PBI Dev",_xlpm.st="DB Dev","PBI Dev",_xlpm.st="PBI Dev","QA",_xlpm.st="QA","DPO Approval",_xlpm.st="DPO Approval","Ready for Release in Prod",_xlpm.st="Ready for Release in Prod","RELEASED IN PROD",TRUE,""),IF(AND(_xlpm.ou&gt;0,_xlpm.st&lt;&gt;_xlpm.oto),"Move status back to "&amp;_xlpm.oto,IF(AND(_xlpm.ob=0,LEFT($AJ107,3)="Yes"),"Blocked - log it on Rework Log",IF(AND(_xlpm.ob&gt;0,LEFT($AJ107,3)&lt;&gt;"Yes"),"Open rework row - mark Blocked or close it",IF(AND(_xlpm.ob=0,_xlpm.act&lt;&gt;"",_xlpm.act&gt;=_xlpm.sent,_xlpm.nxt&lt;&gt;""),"Move status to "&amp;_xlpm.nxt,IF(COUNTIF($B$2:$B$528,$B107)&gt;1,"Duplicate name - check row",IF(COUNTIF('Rework Log'!$A$2:$A$497,$B107)&gt;0,"",IF(AND($V107&lt;&gt;"",$K107&lt;&gt;"",$V107&lt;$K107),"QA target is before DB Dev target",IF(AND($V107&lt;&gt;"",$Q107&lt;&gt;"",$V107&lt;$Q107),"QA target is before PBI Dev target",IF(AND($AA107&lt;&gt;"",$V107&lt;&gt;"",$AA107&lt;$V107),"DPO Approval target is before QA target",IF(AND($AG107&lt;&gt;"",$AA107&lt;&gt;"",$AG107&lt;$AA107),"Confirmed Deployed date is before DPO Approval target",""))))))))))))</f>
        <v/>
      </c>
      <c r="AL107" s="31"/>
      <c r="AM107" s="31" t="str" cm="1">
        <f t="array" ref="AM107">_xlfn.LET(_xlpm.rep,$B107,_xlpm.sent,_xlfn.MAXIFS('Rework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
      </c>
      <c r="AN107" s="31" t="str" cm="1">
        <f t="array" ref="AN107">_xlfn.LET(_xlpm.rep,$B107,_xlpm.sent,_xlfn.MAXIFS('Rework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108" spans="1:40">
      <c r="A108" s="31" t="s">
        <v>302</v>
      </c>
      <c r="B108" s="31" t="s">
        <v>321</v>
      </c>
      <c r="C108" s="31" t="s">
        <v>263</v>
      </c>
      <c r="D108" t="str" cm="1">
        <f t="array" aca="1" ref="D108" ca="1">IF(AND(C108="Ready for Release in Prod",LEFT($AJ108,3)&lt;&gt;"Yes"),IF(AG108&lt;&gt;"","Delivered","On track"),IF($B108="","",IF(LEFT($AJ108,3)="Yes","Blocked - "&amp;MID($AJ108,7,100)&amp;IF(SUMPRODUCT(('Rework Log'!$A$2:$A$497=$B108)*('Rework Log'!$G$2:$G$497&lt;&gt;"Yes")*('Rework Log'!$G$2:$G$497&lt;&gt;"Did not pass re-test"))=0,"",IF(SUMPRODUCT(MAX((('Rework Log'!$A$2:$A$497=$B108)*('Rework Log'!$G$2:$G$497&lt;&gt;"Yes")*('Rework Log'!$G$2:$G$497&lt;&gt;"Did not pass re-test"))*'Rework Log'!$I$2:$I$497))=0," - unclaimed"," - promised "&amp;TEXT(SUMPRODUCT(MAX((('Rework Log'!$A$2:$A$497=$B108)*('Rework Log'!$G$2:$G$497&lt;&gt;"Yes")*('Rework Log'!$G$2:$G$497&lt;&gt;"Did not pass re-test"))*'Rework Log'!$I$2:$I$497)),"m/d"))),IF(C108="NOT STARTED",IF(H108="","No plan date set",IF(H108&lt;TODAY(),"Review - planned start passed","On track")),IF(C108="DB Dev",_xlfn.LET(_xlpm.sent,_xlfn.MAXIFS('Rework Log'!$B$2:$B$497,'Rework Log'!$A$2:$A$497,$B108,'Rework Log'!$D$2:$D$497,"DB Dev"),_xlpm.expfix,_xlfn.MAXIFS('Rework Log'!$I$2:$I$497,'Rework Log'!$A$2:$A$497,$B108,'Rework Log'!$D$2:$D$497,"DB Dev",'Rework Log'!$B$2:$B$497,_xlpm.sent),_xlpm.tgt,IF(_xlpm.expfix&gt;0,_xlpm.expfix,IF(L108&lt;&gt;"",L108,K108)),_xlpm.act,IF(AND(M108&lt;&gt;"",M108&gt;=_xlpm.sent),M108,""),IF(_xlpm.tgt="","No target set",IF(AND(_xlpm.tgt&lt;TODAY(),_xlpm.act=""),"Overdue","On track"))),IF(C108="PBI Dev",_xlfn.LET(_xlpm.sent,_xlfn.MAXIFS('Rework Log'!$B$2:$B$497,'Rework Log'!$A$2:$A$497,$B108,'Rework Log'!$D$2:$D$497,"PBI Dev"),_xlpm.expfix,_xlfn.MAXIFS('Rework Log'!$I$2:$I$497,'Rework Log'!$A$2:$A$497,$B108,'Rework Log'!$D$2:$D$497,"PBI Dev",'Rework Log'!$B$2:$B$497,_xlpm.sent),_xlpm.tgt,IF(_xlpm.expfix&gt;0,_xlpm.expfix,IF(R108&lt;&gt;"",R108,Q108)),_xlpm.act,IF(AND(S108&lt;&gt;"",S108&gt;=_xlpm.sent),S108,""),IF(_xlpm.tgt="","No target set",IF(AND(_xlpm.tgt&lt;TODAY(),_xlpm.act=""),"Overdue","On track"))),IF(C108="QA",_xlfn.LET(_xlpm.tgt,IF(AM108&lt;&gt;"",AM108,IF(W108&lt;&gt;"",W108,V108)),_xlpm.sent,_xlfn.MAXIFS('Rework Log'!$B$2:$B$497,'Rework Log'!$A$2:$A$497,$B108,'Rework Log'!$C$2:$C$497,"QA"),_xlpm.act,IF(AND(Y108&lt;&gt;"",Y108&gt;=_xlpm.sent),Y108,""),IF(_xlpm.tgt="","No target set",IF(AND(_xlpm.tgt&lt;TODAY(),_xlpm.act=""),"Overdue","On track"))),IF(C108="DPO Approval",_xlfn.LET(_xlpm.tgt,IF(AN108&lt;&gt;"",AN108,IF(AB108&lt;&gt;"",AB108,AA108)),_xlpm.sent,_xlfn.MAXIFS('Rework Log'!$B$2:$B$497,'Rework Log'!$A$2:$A$497,$B108,'Rework Log'!$C$2:$C$497,"DPO*"),_xlpm.act,IF(AND(AC108&lt;&gt;"",AC108&gt;=_xlpm.sent),AC108,""),IF(_xlpm.tgt="","No target set",IF(AND(_xlpm.tgt&lt;TODAY(),_xlpm.act=""),"Overdue","On track"))),IF(C108="RELEASED IN PROD","Delivered","")))))))))</f>
        <v>On track</v>
      </c>
      <c r="E108" s="31">
        <v>8</v>
      </c>
      <c r="F108" s="31" t="s">
        <v>129</v>
      </c>
      <c r="G108" s="31"/>
      <c r="H108" s="28">
        <v>46387</v>
      </c>
      <c r="I108" s="55" t="s">
        <v>304</v>
      </c>
      <c r="J108" s="53" t="s">
        <v>294</v>
      </c>
      <c r="K108" s="28">
        <v>46363</v>
      </c>
      <c r="L108" s="43"/>
      <c r="M108" s="31"/>
      <c r="N108" s="31"/>
      <c r="O108" s="36" t="s">
        <v>315</v>
      </c>
      <c r="P108" s="74"/>
      <c r="Q108" s="28">
        <v>46370</v>
      </c>
      <c r="R108" s="43"/>
      <c r="S108" s="31"/>
      <c r="T108" s="68" t="s">
        <v>307</v>
      </c>
      <c r="U108" s="46"/>
      <c r="V108" s="28">
        <v>46373</v>
      </c>
      <c r="W108" s="43"/>
      <c r="X108" s="31"/>
      <c r="Y108" s="31"/>
      <c r="Z108" s="36"/>
      <c r="AA108" s="28">
        <v>46386</v>
      </c>
      <c r="AB108" s="43"/>
      <c r="AC108" s="43"/>
      <c r="AD108" s="31" t="s">
        <v>322</v>
      </c>
      <c r="AE108" s="31" t="s">
        <v>72</v>
      </c>
      <c r="AF108" s="31"/>
      <c r="AG108" s="31"/>
      <c r="AH108" s="31"/>
      <c r="AI108" s="31"/>
      <c r="AJ108" s="31"/>
      <c r="AK108" s="31" t="str" cm="1">
        <f t="array" ref="AK108">IF($B108="","",_xlfn.LET(_xlpm.nm,$B108,_xlpm.st,$C108,_xlpm.ou,SUMPRODUCT(('Rework Log'!$A$2:$A$497=_xlpm.nm)*('Rework Log'!$G$2:$G$497&lt;&gt;"Yes")*('Rework Log'!$G$2:$G$497&lt;&gt;"Did not pass re-test")*('Rework Log'!$J$2:$J$497="")),_xlpm.ob,SUMPRODUCT(('Rework Log'!$A$2:$A$497=_xlpm.nm)*('Rework Log'!$G$2:$G$497&lt;&gt;"Yes")*('Rework Log'!$G$2:$G$497&lt;&gt;"Did not pass re-test")),_xlpm.oto,IF(SUMPRODUCT(('Rework Log'!$A$2:$A$497=_xlpm.nm)*('Rework Log'!$G$2:$G$497&lt;&gt;"Yes")*('Rework Log'!$G$2:$G$497&lt;&gt;"Did not pass re-test")*('Rework Log'!$J$2:$J$497=""))=0,"",INDEX('Rework Log'!$D$2:$D$497,MATCH(1,('Rework Log'!$A$2:$A$497=_xlpm.nm)*('Rework Log'!$G$2:$G$497&lt;&gt;"Yes")*('Rework Log'!$G$2:$G$497&lt;&gt;"Did not pass re-test")*('Rework Log'!$J$2:$J$497=""),0))),_xlpm.sent,_xlfn.MAXIFS('Rework Log'!$B$2:$B$497,'Rework Log'!$A$2:$A$497,_xlpm.nm),_xlpm.act,_xlfn.IFS(_xlpm.st="NOT STARTED",$M108,_xlpm.st="DB Dev",$M108,_xlpm.st="PBI Dev",$S108,_xlpm.st="QA",$Y108,_xlpm.st="DPO Approval",$AC108,_xlpm.st="Ready for Release in Prod",$AG108,TRUE,""),_xlpm.nxt,_xlfn.IFS(_xlpm.st="NOT STARTED","PBI Dev",_xlpm.st="DB Dev","PBI Dev",_xlpm.st="PBI Dev","QA",_xlpm.st="QA","DPO Approval",_xlpm.st="DPO Approval","Ready for Release in Prod",_xlpm.st="Ready for Release in Prod","RELEASED IN PROD",TRUE,""),IF(AND(_xlpm.ou&gt;0,_xlpm.st&lt;&gt;_xlpm.oto),"Move status back to "&amp;_xlpm.oto,IF(AND(_xlpm.ob=0,LEFT($AJ108,3)="Yes"),"Blocked - log it on Rework Log",IF(AND(_xlpm.ob&gt;0,LEFT($AJ108,3)&lt;&gt;"Yes"),"Open rework row - mark Blocked or close it",IF(AND(_xlpm.ob=0,_xlpm.act&lt;&gt;"",_xlpm.act&gt;=_xlpm.sent,_xlpm.nxt&lt;&gt;""),"Move status to "&amp;_xlpm.nxt,IF(COUNTIF($B$2:$B$528,$B108)&gt;1,"Duplicate name - check row",IF(COUNTIF('Rework Log'!$A$2:$A$497,$B108)&gt;0,"",IF(AND($V108&lt;&gt;"",$K108&lt;&gt;"",$V108&lt;$K108),"QA target is before DB Dev target",IF(AND($V108&lt;&gt;"",$Q108&lt;&gt;"",$V108&lt;$Q108),"QA target is before PBI Dev target",IF(AND($AA108&lt;&gt;"",$V108&lt;&gt;"",$AA108&lt;$V108),"DPO Approval target is before QA target",IF(AND($AG108&lt;&gt;"",$AA108&lt;&gt;"",$AG108&lt;$AA108),"Confirmed Deployed date is before DPO Approval target",""))))))))))))</f>
        <v/>
      </c>
      <c r="AL108" s="31"/>
      <c r="AM108" s="31" t="str" cm="1">
        <f t="array" ref="AM108">_xlfn.LET(_xlpm.rep,$B108,_xlpm.sent,_xlfn.MAXIFS('Rework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
      </c>
      <c r="AN108" s="31" t="str" cm="1">
        <f t="array" ref="AN108">_xlfn.LET(_xlpm.rep,$B108,_xlpm.sent,_xlfn.MAXIFS('Rework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109" spans="1:40">
      <c r="A109" s="31" t="s">
        <v>311</v>
      </c>
      <c r="B109" s="31" t="s">
        <v>323</v>
      </c>
      <c r="C109" s="31" t="s">
        <v>223</v>
      </c>
      <c r="D109" t="str" cm="1">
        <f t="array" aca="1" ref="D109" ca="1">IF(AND(C109="Ready for Release in Prod",LEFT($AJ109,3)&lt;&gt;"Yes"),IF(AG109&lt;&gt;"","Delivered","On track"),IF($B109="","",IF(LEFT($AJ109,3)="Yes","Blocked - "&amp;MID($AJ109,7,100)&amp;IF(SUMPRODUCT(('Rework Log'!$A$2:$A$497=$B109)*('Rework Log'!$G$2:$G$497&lt;&gt;"Yes")*('Rework Log'!$G$2:$G$497&lt;&gt;"Did not pass re-test"))=0,"",IF(SUMPRODUCT(MAX((('Rework Log'!$A$2:$A$497=$B109)*('Rework Log'!$G$2:$G$497&lt;&gt;"Yes")*('Rework Log'!$G$2:$G$497&lt;&gt;"Did not pass re-test"))*'Rework Log'!$I$2:$I$497))=0," - unclaimed"," - promised "&amp;TEXT(SUMPRODUCT(MAX((('Rework Log'!$A$2:$A$497=$B109)*('Rework Log'!$G$2:$G$497&lt;&gt;"Yes")*('Rework Log'!$G$2:$G$497&lt;&gt;"Did not pass re-test"))*'Rework Log'!$I$2:$I$497)),"m/d"))),IF(C109="NOT STARTED",IF(H109="","No plan date set",IF(H109&lt;TODAY(),"Review - planned start passed","On track")),IF(C109="DB Dev",_xlfn.LET(_xlpm.sent,_xlfn.MAXIFS('Rework Log'!$B$2:$B$497,'Rework Log'!$A$2:$A$497,$B109,'Rework Log'!$D$2:$D$497,"DB Dev"),_xlpm.expfix,_xlfn.MAXIFS('Rework Log'!$I$2:$I$497,'Rework Log'!$A$2:$A$497,$B109,'Rework Log'!$D$2:$D$497,"DB Dev",'Rework Log'!$B$2:$B$497,_xlpm.sent),_xlpm.tgt,IF(_xlpm.expfix&gt;0,_xlpm.expfix,IF(L109&lt;&gt;"",L109,K109)),_xlpm.act,IF(AND(M109&lt;&gt;"",M109&gt;=_xlpm.sent),M109,""),IF(_xlpm.tgt="","No target set",IF(AND(_xlpm.tgt&lt;TODAY(),_xlpm.act=""),"Overdue","On track"))),IF(C109="PBI Dev",_xlfn.LET(_xlpm.sent,_xlfn.MAXIFS('Rework Log'!$B$2:$B$497,'Rework Log'!$A$2:$A$497,$B109,'Rework Log'!$D$2:$D$497,"PBI Dev"),_xlpm.expfix,_xlfn.MAXIFS('Rework Log'!$I$2:$I$497,'Rework Log'!$A$2:$A$497,$B109,'Rework Log'!$D$2:$D$497,"PBI Dev",'Rework Log'!$B$2:$B$497,_xlpm.sent),_xlpm.tgt,IF(_xlpm.expfix&gt;0,_xlpm.expfix,IF(R109&lt;&gt;"",R109,Q109)),_xlpm.act,IF(AND(S109&lt;&gt;"",S109&gt;=_xlpm.sent),S109,""),IF(_xlpm.tgt="","No target set",IF(AND(_xlpm.tgt&lt;TODAY(),_xlpm.act=""),"Overdue","On track"))),IF(C109="QA",_xlfn.LET(_xlpm.tgt,IF(AM109&lt;&gt;"",AM109,IF(W109&lt;&gt;"",W109,V109)),_xlpm.sent,_xlfn.MAXIFS('Rework Log'!$B$2:$B$497,'Rework Log'!$A$2:$A$497,$B109,'Rework Log'!$C$2:$C$497,"QA"),_xlpm.act,IF(AND(Y109&lt;&gt;"",Y109&gt;=_xlpm.sent),Y109,""),IF(_xlpm.tgt="","No target set",IF(AND(_xlpm.tgt&lt;TODAY(),_xlpm.act=""),"Overdue","On track"))),IF(C109="DPO Approval",_xlfn.LET(_xlpm.tgt,IF(AN109&lt;&gt;"",AN109,IF(AB109&lt;&gt;"",AB109,AA109)),_xlpm.sent,_xlfn.MAXIFS('Rework Log'!$B$2:$B$497,'Rework Log'!$A$2:$A$497,$B109,'Rework Log'!$C$2:$C$497,"DPO*"),_xlpm.act,IF(AND(AC109&lt;&gt;"",AC109&gt;=_xlpm.sent),AC109,""),IF(_xlpm.tgt="","No target set",IF(AND(_xlpm.tgt&lt;TODAY(),_xlpm.act=""),"Overdue","On track"))),IF(C109="RELEASED IN PROD","Delivered","")))))))))</f>
        <v>On track</v>
      </c>
      <c r="E109" s="31">
        <v>9</v>
      </c>
      <c r="F109" s="31" t="s">
        <v>144</v>
      </c>
      <c r="G109" s="31"/>
      <c r="H109" s="28">
        <v>46387</v>
      </c>
      <c r="I109" s="55" t="s">
        <v>304</v>
      </c>
      <c r="J109" s="53" t="s">
        <v>155</v>
      </c>
      <c r="K109" s="28">
        <v>46363</v>
      </c>
      <c r="L109" s="32">
        <v>46315</v>
      </c>
      <c r="M109" s="32">
        <v>46310</v>
      </c>
      <c r="N109" s="44" t="s">
        <v>257</v>
      </c>
      <c r="O109" s="36" t="s">
        <v>315</v>
      </c>
      <c r="P109" s="74"/>
      <c r="Q109" s="28">
        <v>46370</v>
      </c>
      <c r="R109" s="43"/>
      <c r="S109" s="31"/>
      <c r="T109" s="68" t="s">
        <v>324</v>
      </c>
      <c r="U109" s="46"/>
      <c r="V109" s="28">
        <v>46373</v>
      </c>
      <c r="W109" s="43"/>
      <c r="X109" s="31"/>
      <c r="Y109" s="31"/>
      <c r="Z109" s="36"/>
      <c r="AA109" s="28">
        <v>46386</v>
      </c>
      <c r="AB109" s="43"/>
      <c r="AC109" s="43"/>
      <c r="AD109" s="31" t="s">
        <v>325</v>
      </c>
      <c r="AE109" s="31" t="s">
        <v>72</v>
      </c>
      <c r="AF109" s="31"/>
      <c r="AG109" s="31"/>
      <c r="AH109" s="31"/>
      <c r="AI109" s="31"/>
      <c r="AJ109" s="31"/>
      <c r="AK109" s="31" t="str" cm="1">
        <f t="array" ref="AK109">IF($B109="","",_xlfn.LET(_xlpm.nm,$B109,_xlpm.st,$C109,_xlpm.ou,SUMPRODUCT(('Rework Log'!$A$2:$A$497=_xlpm.nm)*('Rework Log'!$G$2:$G$497&lt;&gt;"Yes")*('Rework Log'!$G$2:$G$497&lt;&gt;"Did not pass re-test")*('Rework Log'!$J$2:$J$497="")),_xlpm.ob,SUMPRODUCT(('Rework Log'!$A$2:$A$497=_xlpm.nm)*('Rework Log'!$G$2:$G$497&lt;&gt;"Yes")*('Rework Log'!$G$2:$G$497&lt;&gt;"Did not pass re-test")),_xlpm.oto,IF(SUMPRODUCT(('Rework Log'!$A$2:$A$497=_xlpm.nm)*('Rework Log'!$G$2:$G$497&lt;&gt;"Yes")*('Rework Log'!$G$2:$G$497&lt;&gt;"Did not pass re-test")*('Rework Log'!$J$2:$J$497=""))=0,"",INDEX('Rework Log'!$D$2:$D$497,MATCH(1,('Rework Log'!$A$2:$A$497=_xlpm.nm)*('Rework Log'!$G$2:$G$497&lt;&gt;"Yes")*('Rework Log'!$G$2:$G$497&lt;&gt;"Did not pass re-test")*('Rework Log'!$J$2:$J$497=""),0))),_xlpm.sent,_xlfn.MAXIFS('Rework Log'!$B$2:$B$497,'Rework Log'!$A$2:$A$497,_xlpm.nm),_xlpm.act,_xlfn.IFS(_xlpm.st="NOT STARTED",$M109,_xlpm.st="DB Dev",$M109,_xlpm.st="PBI Dev",$S109,_xlpm.st="QA",$Y109,_xlpm.st="DPO Approval",$AC109,_xlpm.st="Ready for Release in Prod",$AG109,TRUE,""),_xlpm.nxt,_xlfn.IFS(_xlpm.st="NOT STARTED","PBI Dev",_xlpm.st="DB Dev","PBI Dev",_xlpm.st="PBI Dev","QA",_xlpm.st="QA","DPO Approval",_xlpm.st="DPO Approval","Ready for Release in Prod",_xlpm.st="Ready for Release in Prod","RELEASED IN PROD",TRUE,""),IF(AND(_xlpm.ou&gt;0,_xlpm.st&lt;&gt;_xlpm.oto),"Move status back to "&amp;_xlpm.oto,IF(AND(_xlpm.ob=0,LEFT($AJ109,3)="Yes"),"Blocked - log it on Rework Log",IF(AND(_xlpm.ob&gt;0,LEFT($AJ109,3)&lt;&gt;"Yes"),"Open rework row - mark Blocked or close it",IF(AND(_xlpm.ob=0,_xlpm.act&lt;&gt;"",_xlpm.act&gt;=_xlpm.sent,_xlpm.nxt&lt;&gt;""),"Move status to "&amp;_xlpm.nxt,IF(COUNTIF($B$2:$B$528,$B109)&gt;1,"Duplicate name - check row",IF(COUNTIF('Rework Log'!$A$2:$A$497,$B109)&gt;0,"",IF(AND($V109&lt;&gt;"",$K109&lt;&gt;"",$V109&lt;$K109),"QA target is before DB Dev target",IF(AND($V109&lt;&gt;"",$Q109&lt;&gt;"",$V109&lt;$Q109),"QA target is before PBI Dev target",IF(AND($AA109&lt;&gt;"",$V109&lt;&gt;"",$AA109&lt;$V109),"DPO Approval target is before QA target",IF(AND($AG109&lt;&gt;"",$AA109&lt;&gt;"",$AG109&lt;$AA109),"Confirmed Deployed date is before DPO Approval target",""))))))))))))</f>
        <v/>
      </c>
      <c r="AL109" s="31"/>
      <c r="AM109" s="31" t="str" cm="1">
        <f t="array" ref="AM109">_xlfn.LET(_xlpm.rep,$B109,_xlpm.sent,_xlfn.MAXIFS('Rework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
      </c>
      <c r="AN109" s="31" t="str" cm="1">
        <f t="array" ref="AN109">_xlfn.LET(_xlpm.rep,$B109,_xlpm.sent,_xlfn.MAXIFS('Rework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110" spans="1:40">
      <c r="A110" s="31" t="s">
        <v>302</v>
      </c>
      <c r="B110" s="31" t="s">
        <v>326</v>
      </c>
      <c r="C110" s="31" t="s">
        <v>223</v>
      </c>
      <c r="D110" t="str" cm="1">
        <f t="array" aca="1" ref="D110" ca="1">IF(AND(C110="Ready for Release in Prod",LEFT($AJ110,3)&lt;&gt;"Yes"),IF(AG110&lt;&gt;"","Delivered","On track"),IF($B110="","",IF(LEFT($AJ110,3)="Yes","Blocked - "&amp;MID($AJ110,7,100)&amp;IF(SUMPRODUCT(('Rework Log'!$A$2:$A$497=$B110)*('Rework Log'!$G$2:$G$497&lt;&gt;"Yes")*('Rework Log'!$G$2:$G$497&lt;&gt;"Did not pass re-test"))=0,"",IF(SUMPRODUCT(MAX((('Rework Log'!$A$2:$A$497=$B110)*('Rework Log'!$G$2:$G$497&lt;&gt;"Yes")*('Rework Log'!$G$2:$G$497&lt;&gt;"Did not pass re-test"))*'Rework Log'!$I$2:$I$497))=0," - unclaimed"," - promised "&amp;TEXT(SUMPRODUCT(MAX((('Rework Log'!$A$2:$A$497=$B110)*('Rework Log'!$G$2:$G$497&lt;&gt;"Yes")*('Rework Log'!$G$2:$G$497&lt;&gt;"Did not pass re-test"))*'Rework Log'!$I$2:$I$497)),"m/d"))),IF(C110="NOT STARTED",IF(H110="","No plan date set",IF(H110&lt;TODAY(),"Review - planned start passed","On track")),IF(C110="DB Dev",_xlfn.LET(_xlpm.sent,_xlfn.MAXIFS('Rework Log'!$B$2:$B$497,'Rework Log'!$A$2:$A$497,$B110,'Rework Log'!$D$2:$D$497,"DB Dev"),_xlpm.expfix,_xlfn.MAXIFS('Rework Log'!$I$2:$I$497,'Rework Log'!$A$2:$A$497,$B110,'Rework Log'!$D$2:$D$497,"DB Dev",'Rework Log'!$B$2:$B$497,_xlpm.sent),_xlpm.tgt,IF(_xlpm.expfix&gt;0,_xlpm.expfix,IF(L110&lt;&gt;"",L110,K110)),_xlpm.act,IF(AND(M110&lt;&gt;"",M110&gt;=_xlpm.sent),M110,""),IF(_xlpm.tgt="","No target set",IF(AND(_xlpm.tgt&lt;TODAY(),_xlpm.act=""),"Overdue","On track"))),IF(C110="PBI Dev",_xlfn.LET(_xlpm.sent,_xlfn.MAXIFS('Rework Log'!$B$2:$B$497,'Rework Log'!$A$2:$A$497,$B110,'Rework Log'!$D$2:$D$497,"PBI Dev"),_xlpm.expfix,_xlfn.MAXIFS('Rework Log'!$I$2:$I$497,'Rework Log'!$A$2:$A$497,$B110,'Rework Log'!$D$2:$D$497,"PBI Dev",'Rework Log'!$B$2:$B$497,_xlpm.sent),_xlpm.tgt,IF(_xlpm.expfix&gt;0,_xlpm.expfix,IF(R110&lt;&gt;"",R110,Q110)),_xlpm.act,IF(AND(S110&lt;&gt;"",S110&gt;=_xlpm.sent),S110,""),IF(_xlpm.tgt="","No target set",IF(AND(_xlpm.tgt&lt;TODAY(),_xlpm.act=""),"Overdue","On track"))),IF(C110="QA",_xlfn.LET(_xlpm.tgt,IF(AM110&lt;&gt;"",AM110,IF(W110&lt;&gt;"",W110,V110)),_xlpm.sent,_xlfn.MAXIFS('Rework Log'!$B$2:$B$497,'Rework Log'!$A$2:$A$497,$B110,'Rework Log'!$C$2:$C$497,"QA"),_xlpm.act,IF(AND(Y110&lt;&gt;"",Y110&gt;=_xlpm.sent),Y110,""),IF(_xlpm.tgt="","No target set",IF(AND(_xlpm.tgt&lt;TODAY(),_xlpm.act=""),"Overdue","On track"))),IF(C110="DPO Approval",_xlfn.LET(_xlpm.tgt,IF(AN110&lt;&gt;"",AN110,IF(AB110&lt;&gt;"",AB110,AA110)),_xlpm.sent,_xlfn.MAXIFS('Rework Log'!$B$2:$B$497,'Rework Log'!$A$2:$A$497,$B110,'Rework Log'!$C$2:$C$497,"DPO*"),_xlpm.act,IF(AND(AC110&lt;&gt;"",AC110&gt;=_xlpm.sent),AC110,""),IF(_xlpm.tgt="","No target set",IF(AND(_xlpm.tgt&lt;TODAY(),_xlpm.act=""),"Overdue","On track"))),IF(C110="RELEASED IN PROD","Delivered","")))))))))</f>
        <v>On track</v>
      </c>
      <c r="E110" s="31">
        <v>10</v>
      </c>
      <c r="F110" s="31" t="s">
        <v>129</v>
      </c>
      <c r="G110" s="31"/>
      <c r="H110" s="28">
        <v>46387</v>
      </c>
      <c r="I110" s="55" t="s">
        <v>304</v>
      </c>
      <c r="J110" s="53" t="s">
        <v>155</v>
      </c>
      <c r="K110" s="28">
        <v>46363</v>
      </c>
      <c r="L110" s="32">
        <v>46310</v>
      </c>
      <c r="M110" s="32">
        <v>46308</v>
      </c>
      <c r="N110" s="44" t="s">
        <v>257</v>
      </c>
      <c r="O110" s="36" t="s">
        <v>315</v>
      </c>
      <c r="P110" s="74"/>
      <c r="Q110" s="28">
        <v>46370</v>
      </c>
      <c r="R110" s="43"/>
      <c r="S110" s="31"/>
      <c r="T110" s="68" t="s">
        <v>324</v>
      </c>
      <c r="U110" s="46"/>
      <c r="V110" s="28">
        <v>46373</v>
      </c>
      <c r="W110" s="43"/>
      <c r="X110" s="31"/>
      <c r="Y110" s="31"/>
      <c r="Z110" s="36"/>
      <c r="AA110" s="28">
        <v>46386</v>
      </c>
      <c r="AB110" s="43"/>
      <c r="AC110" s="43"/>
      <c r="AD110" s="31" t="s">
        <v>327</v>
      </c>
      <c r="AE110" s="31" t="s">
        <v>72</v>
      </c>
      <c r="AF110" s="31"/>
      <c r="AG110" s="31"/>
      <c r="AH110" s="31"/>
      <c r="AI110" s="31"/>
      <c r="AJ110" s="31"/>
      <c r="AK110" s="31" t="str" cm="1">
        <f t="array" ref="AK110">IF($B110="","",_xlfn.LET(_xlpm.nm,$B110,_xlpm.st,$C110,_xlpm.ou,SUMPRODUCT(('Rework Log'!$A$2:$A$497=_xlpm.nm)*('Rework Log'!$G$2:$G$497&lt;&gt;"Yes")*('Rework Log'!$G$2:$G$497&lt;&gt;"Did not pass re-test")*('Rework Log'!$J$2:$J$497="")),_xlpm.ob,SUMPRODUCT(('Rework Log'!$A$2:$A$497=_xlpm.nm)*('Rework Log'!$G$2:$G$497&lt;&gt;"Yes")*('Rework Log'!$G$2:$G$497&lt;&gt;"Did not pass re-test")),_xlpm.oto,IF(SUMPRODUCT(('Rework Log'!$A$2:$A$497=_xlpm.nm)*('Rework Log'!$G$2:$G$497&lt;&gt;"Yes")*('Rework Log'!$G$2:$G$497&lt;&gt;"Did not pass re-test")*('Rework Log'!$J$2:$J$497=""))=0,"",INDEX('Rework Log'!$D$2:$D$497,MATCH(1,('Rework Log'!$A$2:$A$497=_xlpm.nm)*('Rework Log'!$G$2:$G$497&lt;&gt;"Yes")*('Rework Log'!$G$2:$G$497&lt;&gt;"Did not pass re-test")*('Rework Log'!$J$2:$J$497=""),0))),_xlpm.sent,_xlfn.MAXIFS('Rework Log'!$B$2:$B$497,'Rework Log'!$A$2:$A$497,_xlpm.nm),_xlpm.act,_xlfn.IFS(_xlpm.st="NOT STARTED",$M110,_xlpm.st="DB Dev",$M110,_xlpm.st="PBI Dev",$S110,_xlpm.st="QA",$Y110,_xlpm.st="DPO Approval",$AC110,_xlpm.st="Ready for Release in Prod",$AG110,TRUE,""),_xlpm.nxt,_xlfn.IFS(_xlpm.st="NOT STARTED","PBI Dev",_xlpm.st="DB Dev","PBI Dev",_xlpm.st="PBI Dev","QA",_xlpm.st="QA","DPO Approval",_xlpm.st="DPO Approval","Ready for Release in Prod",_xlpm.st="Ready for Release in Prod","RELEASED IN PROD",TRUE,""),IF(AND(_xlpm.ou&gt;0,_xlpm.st&lt;&gt;_xlpm.oto),"Move status back to "&amp;_xlpm.oto,IF(AND(_xlpm.ob=0,LEFT($AJ110,3)="Yes"),"Blocked - log it on Rework Log",IF(AND(_xlpm.ob&gt;0,LEFT($AJ110,3)&lt;&gt;"Yes"),"Open rework row - mark Blocked or close it",IF(AND(_xlpm.ob=0,_xlpm.act&lt;&gt;"",_xlpm.act&gt;=_xlpm.sent,_xlpm.nxt&lt;&gt;""),"Move status to "&amp;_xlpm.nxt,IF(COUNTIF($B$2:$B$528,$B110)&gt;1,"Duplicate name - check row",IF(COUNTIF('Rework Log'!$A$2:$A$497,$B110)&gt;0,"",IF(AND($V110&lt;&gt;"",$K110&lt;&gt;"",$V110&lt;$K110),"QA target is before DB Dev target",IF(AND($V110&lt;&gt;"",$Q110&lt;&gt;"",$V110&lt;$Q110),"QA target is before PBI Dev target",IF(AND($AA110&lt;&gt;"",$V110&lt;&gt;"",$AA110&lt;$V110),"DPO Approval target is before QA target",IF(AND($AG110&lt;&gt;"",$AA110&lt;&gt;"",$AG110&lt;$AA110),"Confirmed Deployed date is before DPO Approval target",""))))))))))))</f>
        <v/>
      </c>
      <c r="AL110" s="31"/>
      <c r="AM110" s="31" t="str" cm="1">
        <f t="array" ref="AM110">_xlfn.LET(_xlpm.rep,$B110,_xlpm.sent,_xlfn.MAXIFS('Rework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
      </c>
      <c r="AN110" s="31" t="str" cm="1">
        <f t="array" ref="AN110">_xlfn.LET(_xlpm.rep,$B110,_xlpm.sent,_xlfn.MAXIFS('Rework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111" spans="1:40">
      <c r="A111" s="31" t="s">
        <v>311</v>
      </c>
      <c r="B111" s="31" t="s">
        <v>328</v>
      </c>
      <c r="C111" s="31" t="s">
        <v>234</v>
      </c>
      <c r="D111" t="str" cm="1">
        <f t="array" aca="1" ref="D111" ca="1">IF(AND(C111="Ready for Release in Prod",LEFT($AJ111,3)&lt;&gt;"Yes"),IF(AG111&lt;&gt;"","Delivered","On track"),IF($B111="","",IF(LEFT($AJ111,3)="Yes","Blocked - "&amp;MID($AJ111,7,100)&amp;IF(SUMPRODUCT(('Rework Log'!$A$2:$A$497=$B111)*('Rework Log'!$G$2:$G$497&lt;&gt;"Yes")*('Rework Log'!$G$2:$G$497&lt;&gt;"Did not pass re-test"))=0,"",IF(SUMPRODUCT(MAX((('Rework Log'!$A$2:$A$497=$B111)*('Rework Log'!$G$2:$G$497&lt;&gt;"Yes")*('Rework Log'!$G$2:$G$497&lt;&gt;"Did not pass re-test"))*'Rework Log'!$I$2:$I$497))=0," - unclaimed"," - promised "&amp;TEXT(SUMPRODUCT(MAX((('Rework Log'!$A$2:$A$497=$B111)*('Rework Log'!$G$2:$G$497&lt;&gt;"Yes")*('Rework Log'!$G$2:$G$497&lt;&gt;"Did not pass re-test"))*'Rework Log'!$I$2:$I$497)),"m/d"))),IF(C111="NOT STARTED",IF(H111="","No plan date set",IF(H111&lt;TODAY(),"Review - planned start passed","On track")),IF(C111="DB Dev",_xlfn.LET(_xlpm.sent,_xlfn.MAXIFS('Rework Log'!$B$2:$B$497,'Rework Log'!$A$2:$A$497,$B111,'Rework Log'!$D$2:$D$497,"DB Dev"),_xlpm.expfix,_xlfn.MAXIFS('Rework Log'!$I$2:$I$497,'Rework Log'!$A$2:$A$497,$B111,'Rework Log'!$D$2:$D$497,"DB Dev",'Rework Log'!$B$2:$B$497,_xlpm.sent),_xlpm.tgt,IF(_xlpm.expfix&gt;0,_xlpm.expfix,IF(L111&lt;&gt;"",L111,K111)),_xlpm.act,IF(AND(M111&lt;&gt;"",M111&gt;=_xlpm.sent),M111,""),IF(_xlpm.tgt="","No target set",IF(AND(_xlpm.tgt&lt;TODAY(),_xlpm.act=""),"Overdue","On track"))),IF(C111="PBI Dev",_xlfn.LET(_xlpm.sent,_xlfn.MAXIFS('Rework Log'!$B$2:$B$497,'Rework Log'!$A$2:$A$497,$B111,'Rework Log'!$D$2:$D$497,"PBI Dev"),_xlpm.expfix,_xlfn.MAXIFS('Rework Log'!$I$2:$I$497,'Rework Log'!$A$2:$A$497,$B111,'Rework Log'!$D$2:$D$497,"PBI Dev",'Rework Log'!$B$2:$B$497,_xlpm.sent),_xlpm.tgt,IF(_xlpm.expfix&gt;0,_xlpm.expfix,IF(R111&lt;&gt;"",R111,Q111)),_xlpm.act,IF(AND(S111&lt;&gt;"",S111&gt;=_xlpm.sent),S111,""),IF(_xlpm.tgt="","No target set",IF(AND(_xlpm.tgt&lt;TODAY(),_xlpm.act=""),"Overdue","On track"))),IF(C111="QA",_xlfn.LET(_xlpm.tgt,IF(AM111&lt;&gt;"",AM111,IF(W111&lt;&gt;"",W111,V111)),_xlpm.sent,_xlfn.MAXIFS('Rework Log'!$B$2:$B$497,'Rework Log'!$A$2:$A$497,$B111,'Rework Log'!$C$2:$C$497,"QA"),_xlpm.act,IF(AND(Y111&lt;&gt;"",Y111&gt;=_xlpm.sent),Y111,""),IF(_xlpm.tgt="","No target set",IF(AND(_xlpm.tgt&lt;TODAY(),_xlpm.act=""),"Overdue","On track"))),IF(C111="DPO Approval",_xlfn.LET(_xlpm.tgt,IF(AN111&lt;&gt;"",AN111,IF(AB111&lt;&gt;"",AB111,AA111)),_xlpm.sent,_xlfn.MAXIFS('Rework Log'!$B$2:$B$497,'Rework Log'!$A$2:$A$497,$B111,'Rework Log'!$C$2:$C$497,"DPO*"),_xlpm.act,IF(AND(AC111&lt;&gt;"",AC111&gt;=_xlpm.sent),AC111,""),IF(_xlpm.tgt="","No target set",IF(AND(_xlpm.tgt&lt;TODAY(),_xlpm.act=""),"Overdue","On track"))),IF(C111="RELEASED IN PROD","Delivered","")))))))))</f>
        <v>On track</v>
      </c>
      <c r="E111" s="31">
        <v>11</v>
      </c>
      <c r="F111" s="31" t="s">
        <v>144</v>
      </c>
      <c r="G111" s="31"/>
      <c r="H111" s="28">
        <v>46387</v>
      </c>
      <c r="I111" s="55" t="s">
        <v>304</v>
      </c>
      <c r="J111" s="53" t="s">
        <v>76</v>
      </c>
      <c r="K111" s="28">
        <v>46363</v>
      </c>
      <c r="L111" s="43"/>
      <c r="M111" s="31"/>
      <c r="N111" s="31"/>
      <c r="O111" s="36" t="s">
        <v>315</v>
      </c>
      <c r="P111" s="74"/>
      <c r="Q111" s="28">
        <v>46370</v>
      </c>
      <c r="R111" s="43"/>
      <c r="S111" s="31"/>
      <c r="T111" s="68" t="s">
        <v>324</v>
      </c>
      <c r="U111" s="46"/>
      <c r="V111" s="28">
        <v>46373</v>
      </c>
      <c r="W111" s="43"/>
      <c r="X111" s="31"/>
      <c r="Y111" s="31"/>
      <c r="Z111" s="36"/>
      <c r="AA111" s="28">
        <v>46386</v>
      </c>
      <c r="AB111" s="43"/>
      <c r="AC111" s="43"/>
      <c r="AD111" s="31" t="s">
        <v>329</v>
      </c>
      <c r="AE111" s="31" t="s">
        <v>72</v>
      </c>
      <c r="AF111" s="31"/>
      <c r="AG111" s="31"/>
      <c r="AH111" s="31"/>
      <c r="AI111" s="31"/>
      <c r="AJ111" s="31"/>
      <c r="AK111" s="31" t="str" cm="1">
        <f t="array" ref="AK111">IF($B111="","",_xlfn.LET(_xlpm.nm,$B111,_xlpm.st,$C111,_xlpm.ou,SUMPRODUCT(('Rework Log'!$A$2:$A$497=_xlpm.nm)*('Rework Log'!$G$2:$G$497&lt;&gt;"Yes")*('Rework Log'!$G$2:$G$497&lt;&gt;"Did not pass re-test")*('Rework Log'!$J$2:$J$497="")),_xlpm.ob,SUMPRODUCT(('Rework Log'!$A$2:$A$497=_xlpm.nm)*('Rework Log'!$G$2:$G$497&lt;&gt;"Yes")*('Rework Log'!$G$2:$G$497&lt;&gt;"Did not pass re-test")),_xlpm.oto,IF(SUMPRODUCT(('Rework Log'!$A$2:$A$497=_xlpm.nm)*('Rework Log'!$G$2:$G$497&lt;&gt;"Yes")*('Rework Log'!$G$2:$G$497&lt;&gt;"Did not pass re-test")*('Rework Log'!$J$2:$J$497=""))=0,"",INDEX('Rework Log'!$D$2:$D$497,MATCH(1,('Rework Log'!$A$2:$A$497=_xlpm.nm)*('Rework Log'!$G$2:$G$497&lt;&gt;"Yes")*('Rework Log'!$G$2:$G$497&lt;&gt;"Did not pass re-test")*('Rework Log'!$J$2:$J$497=""),0))),_xlpm.sent,_xlfn.MAXIFS('Rework Log'!$B$2:$B$497,'Rework Log'!$A$2:$A$497,_xlpm.nm),_xlpm.act,_xlfn.IFS(_xlpm.st="NOT STARTED",$M111,_xlpm.st="DB Dev",$M111,_xlpm.st="PBI Dev",$S111,_xlpm.st="QA",$Y111,_xlpm.st="DPO Approval",$AC111,_xlpm.st="Ready for Release in Prod",$AG111,TRUE,""),_xlpm.nxt,_xlfn.IFS(_xlpm.st="NOT STARTED","PBI Dev",_xlpm.st="DB Dev","PBI Dev",_xlpm.st="PBI Dev","QA",_xlpm.st="QA","DPO Approval",_xlpm.st="DPO Approval","Ready for Release in Prod",_xlpm.st="Ready for Release in Prod","RELEASED IN PROD",TRUE,""),IF(AND(_xlpm.ou&gt;0,_xlpm.st&lt;&gt;_xlpm.oto),"Move status back to "&amp;_xlpm.oto,IF(AND(_xlpm.ob=0,LEFT($AJ111,3)="Yes"),"Blocked - log it on Rework Log",IF(AND(_xlpm.ob&gt;0,LEFT($AJ111,3)&lt;&gt;"Yes"),"Open rework row - mark Blocked or close it",IF(AND(_xlpm.ob=0,_xlpm.act&lt;&gt;"",_xlpm.act&gt;=_xlpm.sent,_xlpm.nxt&lt;&gt;""),"Move status to "&amp;_xlpm.nxt,IF(COUNTIF($B$2:$B$528,$B111)&gt;1,"Duplicate name - check row",IF(COUNTIF('Rework Log'!$A$2:$A$497,$B111)&gt;0,"",IF(AND($V111&lt;&gt;"",$K111&lt;&gt;"",$V111&lt;$K111),"QA target is before DB Dev target",IF(AND($V111&lt;&gt;"",$Q111&lt;&gt;"",$V111&lt;$Q111),"QA target is before PBI Dev target",IF(AND($AA111&lt;&gt;"",$V111&lt;&gt;"",$AA111&lt;$V111),"DPO Approval target is before QA target",IF(AND($AG111&lt;&gt;"",$AA111&lt;&gt;"",$AG111&lt;$AA111),"Confirmed Deployed date is before DPO Approval target",""))))))))))))</f>
        <v/>
      </c>
      <c r="AL111" s="31"/>
      <c r="AM111" s="31" t="str" cm="1">
        <f t="array" ref="AM111">_xlfn.LET(_xlpm.rep,$B111,_xlpm.sent,_xlfn.MAXIFS('Rework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
      </c>
      <c r="AN111" s="31" t="str" cm="1">
        <f t="array" ref="AN111">_xlfn.LET(_xlpm.rep,$B111,_xlpm.sent,_xlfn.MAXIFS('Rework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112" spans="1:40">
      <c r="A112" s="31" t="s">
        <v>311</v>
      </c>
      <c r="B112" s="31" t="s">
        <v>330</v>
      </c>
      <c r="C112" s="31" t="s">
        <v>234</v>
      </c>
      <c r="D112" t="str" cm="1">
        <f t="array" aca="1" ref="D112" ca="1">IF(AND(C112="Ready for Release in Prod",LEFT($AJ112,3)&lt;&gt;"Yes"),IF(AG112&lt;&gt;"","Delivered","On track"),IF($B112="","",IF(LEFT($AJ112,3)="Yes","Blocked - "&amp;MID($AJ112,7,100)&amp;IF(SUMPRODUCT(('Rework Log'!$A$2:$A$497=$B112)*('Rework Log'!$G$2:$G$497&lt;&gt;"Yes")*('Rework Log'!$G$2:$G$497&lt;&gt;"Did not pass re-test"))=0,"",IF(SUMPRODUCT(MAX((('Rework Log'!$A$2:$A$497=$B112)*('Rework Log'!$G$2:$G$497&lt;&gt;"Yes")*('Rework Log'!$G$2:$G$497&lt;&gt;"Did not pass re-test"))*'Rework Log'!$I$2:$I$497))=0," - unclaimed"," - promised "&amp;TEXT(SUMPRODUCT(MAX((('Rework Log'!$A$2:$A$497=$B112)*('Rework Log'!$G$2:$G$497&lt;&gt;"Yes")*('Rework Log'!$G$2:$G$497&lt;&gt;"Did not pass re-test"))*'Rework Log'!$I$2:$I$497)),"m/d"))),IF(C112="NOT STARTED",IF(H112="","No plan date set",IF(H112&lt;TODAY(),"Review - planned start passed","On track")),IF(C112="DB Dev",_xlfn.LET(_xlpm.sent,_xlfn.MAXIFS('Rework Log'!$B$2:$B$497,'Rework Log'!$A$2:$A$497,$B112,'Rework Log'!$D$2:$D$497,"DB Dev"),_xlpm.expfix,_xlfn.MAXIFS('Rework Log'!$I$2:$I$497,'Rework Log'!$A$2:$A$497,$B112,'Rework Log'!$D$2:$D$497,"DB Dev",'Rework Log'!$B$2:$B$497,_xlpm.sent),_xlpm.tgt,IF(_xlpm.expfix&gt;0,_xlpm.expfix,IF(L112&lt;&gt;"",L112,K112)),_xlpm.act,IF(AND(M112&lt;&gt;"",M112&gt;=_xlpm.sent),M112,""),IF(_xlpm.tgt="","No target set",IF(AND(_xlpm.tgt&lt;TODAY(),_xlpm.act=""),"Overdue","On track"))),IF(C112="PBI Dev",_xlfn.LET(_xlpm.sent,_xlfn.MAXIFS('Rework Log'!$B$2:$B$497,'Rework Log'!$A$2:$A$497,$B112,'Rework Log'!$D$2:$D$497,"PBI Dev"),_xlpm.expfix,_xlfn.MAXIFS('Rework Log'!$I$2:$I$497,'Rework Log'!$A$2:$A$497,$B112,'Rework Log'!$D$2:$D$497,"PBI Dev",'Rework Log'!$B$2:$B$497,_xlpm.sent),_xlpm.tgt,IF(_xlpm.expfix&gt;0,_xlpm.expfix,IF(R112&lt;&gt;"",R112,Q112)),_xlpm.act,IF(AND(S112&lt;&gt;"",S112&gt;=_xlpm.sent),S112,""),IF(_xlpm.tgt="","No target set",IF(AND(_xlpm.tgt&lt;TODAY(),_xlpm.act=""),"Overdue","On track"))),IF(C112="QA",_xlfn.LET(_xlpm.tgt,IF(AM112&lt;&gt;"",AM112,IF(W112&lt;&gt;"",W112,V112)),_xlpm.sent,_xlfn.MAXIFS('Rework Log'!$B$2:$B$497,'Rework Log'!$A$2:$A$497,$B112,'Rework Log'!$C$2:$C$497,"QA"),_xlpm.act,IF(AND(Y112&lt;&gt;"",Y112&gt;=_xlpm.sent),Y112,""),IF(_xlpm.tgt="","No target set",IF(AND(_xlpm.tgt&lt;TODAY(),_xlpm.act=""),"Overdue","On track"))),IF(C112="DPO Approval",_xlfn.LET(_xlpm.tgt,IF(AN112&lt;&gt;"",AN112,IF(AB112&lt;&gt;"",AB112,AA112)),_xlpm.sent,_xlfn.MAXIFS('Rework Log'!$B$2:$B$497,'Rework Log'!$A$2:$A$497,$B112,'Rework Log'!$C$2:$C$497,"DPO*"),_xlpm.act,IF(AND(AC112&lt;&gt;"",AC112&gt;=_xlpm.sent),AC112,""),IF(_xlpm.tgt="","No target set",IF(AND(_xlpm.tgt&lt;TODAY(),_xlpm.act=""),"Overdue","On track"))),IF(C112="RELEASED IN PROD","Delivered","")))))))))</f>
        <v>On track</v>
      </c>
      <c r="E112" s="31">
        <v>12</v>
      </c>
      <c r="F112" s="31" t="s">
        <v>144</v>
      </c>
      <c r="G112" s="31"/>
      <c r="H112" s="28">
        <v>46387</v>
      </c>
      <c r="I112" s="55" t="s">
        <v>304</v>
      </c>
      <c r="J112" s="53" t="s">
        <v>229</v>
      </c>
      <c r="K112" s="28">
        <v>46363</v>
      </c>
      <c r="L112" s="43"/>
      <c r="M112" s="31"/>
      <c r="N112" s="31"/>
      <c r="O112" s="36" t="s">
        <v>315</v>
      </c>
      <c r="P112" s="74"/>
      <c r="Q112" s="28">
        <v>46370</v>
      </c>
      <c r="R112" s="43"/>
      <c r="S112" s="31"/>
      <c r="T112" s="68" t="s">
        <v>324</v>
      </c>
      <c r="U112" s="46"/>
      <c r="V112" s="28">
        <v>46373</v>
      </c>
      <c r="W112" s="43"/>
      <c r="X112" s="31"/>
      <c r="Y112" s="31"/>
      <c r="Z112" s="36"/>
      <c r="AA112" s="28">
        <v>46386</v>
      </c>
      <c r="AB112" s="43"/>
      <c r="AC112" s="43"/>
      <c r="AD112" s="31" t="s">
        <v>325</v>
      </c>
      <c r="AE112" s="31" t="s">
        <v>72</v>
      </c>
      <c r="AF112" s="31"/>
      <c r="AG112" s="31"/>
      <c r="AH112" s="31"/>
      <c r="AI112" s="31"/>
      <c r="AJ112" s="31"/>
      <c r="AK112" s="31" t="str" cm="1">
        <f t="array" ref="AK112">IF($B112="","",_xlfn.LET(_xlpm.nm,$B112,_xlpm.st,$C112,_xlpm.ou,SUMPRODUCT(('Rework Log'!$A$2:$A$497=_xlpm.nm)*('Rework Log'!$G$2:$G$497&lt;&gt;"Yes")*('Rework Log'!$G$2:$G$497&lt;&gt;"Did not pass re-test")*('Rework Log'!$J$2:$J$497="")),_xlpm.ob,SUMPRODUCT(('Rework Log'!$A$2:$A$497=_xlpm.nm)*('Rework Log'!$G$2:$G$497&lt;&gt;"Yes")*('Rework Log'!$G$2:$G$497&lt;&gt;"Did not pass re-test")),_xlpm.oto,IF(SUMPRODUCT(('Rework Log'!$A$2:$A$497=_xlpm.nm)*('Rework Log'!$G$2:$G$497&lt;&gt;"Yes")*('Rework Log'!$G$2:$G$497&lt;&gt;"Did not pass re-test")*('Rework Log'!$J$2:$J$497=""))=0,"",INDEX('Rework Log'!$D$2:$D$497,MATCH(1,('Rework Log'!$A$2:$A$497=_xlpm.nm)*('Rework Log'!$G$2:$G$497&lt;&gt;"Yes")*('Rework Log'!$G$2:$G$497&lt;&gt;"Did not pass re-test")*('Rework Log'!$J$2:$J$497=""),0))),_xlpm.sent,_xlfn.MAXIFS('Rework Log'!$B$2:$B$497,'Rework Log'!$A$2:$A$497,_xlpm.nm),_xlpm.act,_xlfn.IFS(_xlpm.st="NOT STARTED",$M112,_xlpm.st="DB Dev",$M112,_xlpm.st="PBI Dev",$S112,_xlpm.st="QA",$Y112,_xlpm.st="DPO Approval",$AC112,_xlpm.st="Ready for Release in Prod",$AG112,TRUE,""),_xlpm.nxt,_xlfn.IFS(_xlpm.st="NOT STARTED","PBI Dev",_xlpm.st="DB Dev","PBI Dev",_xlpm.st="PBI Dev","QA",_xlpm.st="QA","DPO Approval",_xlpm.st="DPO Approval","Ready for Release in Prod",_xlpm.st="Ready for Release in Prod","RELEASED IN PROD",TRUE,""),IF(AND(_xlpm.ou&gt;0,_xlpm.st&lt;&gt;_xlpm.oto),"Move status back to "&amp;_xlpm.oto,IF(AND(_xlpm.ob=0,LEFT($AJ112,3)="Yes"),"Blocked - log it on Rework Log",IF(AND(_xlpm.ob&gt;0,LEFT($AJ112,3)&lt;&gt;"Yes"),"Open rework row - mark Blocked or close it",IF(AND(_xlpm.ob=0,_xlpm.act&lt;&gt;"",_xlpm.act&gt;=_xlpm.sent,_xlpm.nxt&lt;&gt;""),"Move status to "&amp;_xlpm.nxt,IF(COUNTIF($B$2:$B$528,$B112)&gt;1,"Duplicate name - check row",IF(COUNTIF('Rework Log'!$A$2:$A$497,$B112)&gt;0,"",IF(AND($V112&lt;&gt;"",$K112&lt;&gt;"",$V112&lt;$K112),"QA target is before DB Dev target",IF(AND($V112&lt;&gt;"",$Q112&lt;&gt;"",$V112&lt;$Q112),"QA target is before PBI Dev target",IF(AND($AA112&lt;&gt;"",$V112&lt;&gt;"",$AA112&lt;$V112),"DPO Approval target is before QA target",IF(AND($AG112&lt;&gt;"",$AA112&lt;&gt;"",$AG112&lt;$AA112),"Confirmed Deployed date is before DPO Approval target",""))))))))))))</f>
        <v/>
      </c>
      <c r="AL112" s="31"/>
      <c r="AM112" s="31" t="str" cm="1">
        <f t="array" ref="AM112">_xlfn.LET(_xlpm.rep,$B112,_xlpm.sent,_xlfn.MAXIFS('Rework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
      </c>
      <c r="AN112" s="31" t="str" cm="1">
        <f t="array" ref="AN112">_xlfn.LET(_xlpm.rep,$B112,_xlpm.sent,_xlfn.MAXIFS('Rework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113" spans="1:40">
      <c r="A113" s="31" t="s">
        <v>311</v>
      </c>
      <c r="B113" s="31" t="s">
        <v>331</v>
      </c>
      <c r="C113" s="31" t="s">
        <v>263</v>
      </c>
      <c r="D113" t="str" cm="1">
        <f t="array" aca="1" ref="D113" ca="1">IF(AND(C113="Ready for Release in Prod",LEFT($AJ113,3)&lt;&gt;"Yes"),IF(AG113&lt;&gt;"","Delivered","On track"),IF($B113="","",IF(LEFT($AJ113,3)="Yes","Blocked - "&amp;MID($AJ113,7,100)&amp;IF(SUMPRODUCT(('Rework Log'!$A$2:$A$497=$B113)*('Rework Log'!$G$2:$G$497&lt;&gt;"Yes")*('Rework Log'!$G$2:$G$497&lt;&gt;"Did not pass re-test"))=0,"",IF(SUMPRODUCT(MAX((('Rework Log'!$A$2:$A$497=$B113)*('Rework Log'!$G$2:$G$497&lt;&gt;"Yes")*('Rework Log'!$G$2:$G$497&lt;&gt;"Did not pass re-test"))*'Rework Log'!$I$2:$I$497))=0," - unclaimed"," - promised "&amp;TEXT(SUMPRODUCT(MAX((('Rework Log'!$A$2:$A$497=$B113)*('Rework Log'!$G$2:$G$497&lt;&gt;"Yes")*('Rework Log'!$G$2:$G$497&lt;&gt;"Did not pass re-test"))*'Rework Log'!$I$2:$I$497)),"m/d"))),IF(C113="NOT STARTED",IF(H113="","No plan date set",IF(H113&lt;TODAY(),"Review - planned start passed","On track")),IF(C113="DB Dev",_xlfn.LET(_xlpm.sent,_xlfn.MAXIFS('Rework Log'!$B$2:$B$497,'Rework Log'!$A$2:$A$497,$B113,'Rework Log'!$D$2:$D$497,"DB Dev"),_xlpm.expfix,_xlfn.MAXIFS('Rework Log'!$I$2:$I$497,'Rework Log'!$A$2:$A$497,$B113,'Rework Log'!$D$2:$D$497,"DB Dev",'Rework Log'!$B$2:$B$497,_xlpm.sent),_xlpm.tgt,IF(_xlpm.expfix&gt;0,_xlpm.expfix,IF(L113&lt;&gt;"",L113,K113)),_xlpm.act,IF(AND(M113&lt;&gt;"",M113&gt;=_xlpm.sent),M113,""),IF(_xlpm.tgt="","No target set",IF(AND(_xlpm.tgt&lt;TODAY(),_xlpm.act=""),"Overdue","On track"))),IF(C113="PBI Dev",_xlfn.LET(_xlpm.sent,_xlfn.MAXIFS('Rework Log'!$B$2:$B$497,'Rework Log'!$A$2:$A$497,$B113,'Rework Log'!$D$2:$D$497,"PBI Dev"),_xlpm.expfix,_xlfn.MAXIFS('Rework Log'!$I$2:$I$497,'Rework Log'!$A$2:$A$497,$B113,'Rework Log'!$D$2:$D$497,"PBI Dev",'Rework Log'!$B$2:$B$497,_xlpm.sent),_xlpm.tgt,IF(_xlpm.expfix&gt;0,_xlpm.expfix,IF(R113&lt;&gt;"",R113,Q113)),_xlpm.act,IF(AND(S113&lt;&gt;"",S113&gt;=_xlpm.sent),S113,""),IF(_xlpm.tgt="","No target set",IF(AND(_xlpm.tgt&lt;TODAY(),_xlpm.act=""),"Overdue","On track"))),IF(C113="QA",_xlfn.LET(_xlpm.tgt,IF(AM113&lt;&gt;"",AM113,IF(W113&lt;&gt;"",W113,V113)),_xlpm.sent,_xlfn.MAXIFS('Rework Log'!$B$2:$B$497,'Rework Log'!$A$2:$A$497,$B113,'Rework Log'!$C$2:$C$497,"QA"),_xlpm.act,IF(AND(Y113&lt;&gt;"",Y113&gt;=_xlpm.sent),Y113,""),IF(_xlpm.tgt="","No target set",IF(AND(_xlpm.tgt&lt;TODAY(),_xlpm.act=""),"Overdue","On track"))),IF(C113="DPO Approval",_xlfn.LET(_xlpm.tgt,IF(AN113&lt;&gt;"",AN113,IF(AB113&lt;&gt;"",AB113,AA113)),_xlpm.sent,_xlfn.MAXIFS('Rework Log'!$B$2:$B$497,'Rework Log'!$A$2:$A$497,$B113,'Rework Log'!$C$2:$C$497,"DPO*"),_xlpm.act,IF(AND(AC113&lt;&gt;"",AC113&gt;=_xlpm.sent),AC113,""),IF(_xlpm.tgt="","No target set",IF(AND(_xlpm.tgt&lt;TODAY(),_xlpm.act=""),"Overdue","On track"))),IF(C113="RELEASED IN PROD","Delivered","")))))))))</f>
        <v>On track</v>
      </c>
      <c r="E113" s="31">
        <v>13</v>
      </c>
      <c r="F113" s="31" t="s">
        <v>144</v>
      </c>
      <c r="G113" s="31"/>
      <c r="H113" s="28">
        <v>46387</v>
      </c>
      <c r="I113" s="55" t="s">
        <v>304</v>
      </c>
      <c r="J113" s="53" t="s">
        <v>155</v>
      </c>
      <c r="K113" s="28">
        <v>46363</v>
      </c>
      <c r="L113" s="32">
        <v>46318</v>
      </c>
      <c r="M113" s="31"/>
      <c r="N113" s="31"/>
      <c r="O113" s="36" t="s">
        <v>315</v>
      </c>
      <c r="P113" s="74"/>
      <c r="Q113" s="28">
        <v>46370</v>
      </c>
      <c r="R113" s="43"/>
      <c r="S113" s="31"/>
      <c r="T113" s="68" t="s">
        <v>324</v>
      </c>
      <c r="U113" s="46"/>
      <c r="V113" s="28">
        <v>46373</v>
      </c>
      <c r="W113" s="43"/>
      <c r="X113" s="31"/>
      <c r="Y113" s="31"/>
      <c r="Z113" s="36"/>
      <c r="AA113" s="28">
        <v>46386</v>
      </c>
      <c r="AB113" s="43"/>
      <c r="AC113" s="43"/>
      <c r="AD113" s="31" t="s">
        <v>325</v>
      </c>
      <c r="AE113" s="31" t="s">
        <v>72</v>
      </c>
      <c r="AF113" s="31"/>
      <c r="AG113" s="31"/>
      <c r="AH113" s="31"/>
      <c r="AI113" s="31"/>
      <c r="AJ113" s="31"/>
      <c r="AK113" s="31" t="str" cm="1">
        <f t="array" ref="AK113">IF($B113="","",_xlfn.LET(_xlpm.nm,$B113,_xlpm.st,$C113,_xlpm.ou,SUMPRODUCT(('Rework Log'!$A$2:$A$497=_xlpm.nm)*('Rework Log'!$G$2:$G$497&lt;&gt;"Yes")*('Rework Log'!$G$2:$G$497&lt;&gt;"Did not pass re-test")*('Rework Log'!$J$2:$J$497="")),_xlpm.ob,SUMPRODUCT(('Rework Log'!$A$2:$A$497=_xlpm.nm)*('Rework Log'!$G$2:$G$497&lt;&gt;"Yes")*('Rework Log'!$G$2:$G$497&lt;&gt;"Did not pass re-test")),_xlpm.oto,IF(SUMPRODUCT(('Rework Log'!$A$2:$A$497=_xlpm.nm)*('Rework Log'!$G$2:$G$497&lt;&gt;"Yes")*('Rework Log'!$G$2:$G$497&lt;&gt;"Did not pass re-test")*('Rework Log'!$J$2:$J$497=""))=0,"",INDEX('Rework Log'!$D$2:$D$497,MATCH(1,('Rework Log'!$A$2:$A$497=_xlpm.nm)*('Rework Log'!$G$2:$G$497&lt;&gt;"Yes")*('Rework Log'!$G$2:$G$497&lt;&gt;"Did not pass re-test")*('Rework Log'!$J$2:$J$497=""),0))),_xlpm.sent,_xlfn.MAXIFS('Rework Log'!$B$2:$B$497,'Rework Log'!$A$2:$A$497,_xlpm.nm),_xlpm.act,_xlfn.IFS(_xlpm.st="NOT STARTED",$M113,_xlpm.st="DB Dev",$M113,_xlpm.st="PBI Dev",$S113,_xlpm.st="QA",$Y113,_xlpm.st="DPO Approval",$AC113,_xlpm.st="Ready for Release in Prod",$AG113,TRUE,""),_xlpm.nxt,_xlfn.IFS(_xlpm.st="NOT STARTED","PBI Dev",_xlpm.st="DB Dev","PBI Dev",_xlpm.st="PBI Dev","QA",_xlpm.st="QA","DPO Approval",_xlpm.st="DPO Approval","Ready for Release in Prod",_xlpm.st="Ready for Release in Prod","RELEASED IN PROD",TRUE,""),IF(AND(_xlpm.ou&gt;0,_xlpm.st&lt;&gt;_xlpm.oto),"Move status back to "&amp;_xlpm.oto,IF(AND(_xlpm.ob=0,LEFT($AJ113,3)="Yes"),"Blocked - log it on Rework Log",IF(AND(_xlpm.ob&gt;0,LEFT($AJ113,3)&lt;&gt;"Yes"),"Open rework row - mark Blocked or close it",IF(AND(_xlpm.ob=0,_xlpm.act&lt;&gt;"",_xlpm.act&gt;=_xlpm.sent,_xlpm.nxt&lt;&gt;""),"Move status to "&amp;_xlpm.nxt,IF(COUNTIF($B$2:$B$528,$B113)&gt;1,"Duplicate name - check row",IF(COUNTIF('Rework Log'!$A$2:$A$497,$B113)&gt;0,"",IF(AND($V113&lt;&gt;"",$K113&lt;&gt;"",$V113&lt;$K113),"QA target is before DB Dev target",IF(AND($V113&lt;&gt;"",$Q113&lt;&gt;"",$V113&lt;$Q113),"QA target is before PBI Dev target",IF(AND($AA113&lt;&gt;"",$V113&lt;&gt;"",$AA113&lt;$V113),"DPO Approval target is before QA target",IF(AND($AG113&lt;&gt;"",$AA113&lt;&gt;"",$AG113&lt;$AA113),"Confirmed Deployed date is before DPO Approval target",""))))))))))))</f>
        <v/>
      </c>
      <c r="AL113" s="31"/>
      <c r="AM113" s="31" t="str" cm="1">
        <f t="array" ref="AM113">_xlfn.LET(_xlpm.rep,$B113,_xlpm.sent,_xlfn.MAXIFS('Rework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
      </c>
      <c r="AN113" s="31" t="str" cm="1">
        <f t="array" ref="AN113">_xlfn.LET(_xlpm.rep,$B113,_xlpm.sent,_xlfn.MAXIFS('Rework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114" spans="1:40">
      <c r="A114" s="31" t="s">
        <v>311</v>
      </c>
      <c r="B114" s="31" t="s">
        <v>332</v>
      </c>
      <c r="C114" s="31" t="s">
        <v>234</v>
      </c>
      <c r="D114" t="str" cm="1">
        <f t="array" aca="1" ref="D114" ca="1">IF(AND(C114="Ready for Release in Prod",LEFT($AJ114,3)&lt;&gt;"Yes"),IF(AG114&lt;&gt;"","Delivered","On track"),IF($B114="","",IF(LEFT($AJ114,3)="Yes","Blocked - "&amp;MID($AJ114,7,100)&amp;IF(SUMPRODUCT(('Rework Log'!$A$2:$A$497=$B114)*('Rework Log'!$G$2:$G$497&lt;&gt;"Yes")*('Rework Log'!$G$2:$G$497&lt;&gt;"Did not pass re-test"))=0,"",IF(SUMPRODUCT(MAX((('Rework Log'!$A$2:$A$497=$B114)*('Rework Log'!$G$2:$G$497&lt;&gt;"Yes")*('Rework Log'!$G$2:$G$497&lt;&gt;"Did not pass re-test"))*'Rework Log'!$I$2:$I$497))=0," - unclaimed"," - promised "&amp;TEXT(SUMPRODUCT(MAX((('Rework Log'!$A$2:$A$497=$B114)*('Rework Log'!$G$2:$G$497&lt;&gt;"Yes")*('Rework Log'!$G$2:$G$497&lt;&gt;"Did not pass re-test"))*'Rework Log'!$I$2:$I$497)),"m/d"))),IF(C114="NOT STARTED",IF(H114="","No plan date set",IF(H114&lt;TODAY(),"Review - planned start passed","On track")),IF(C114="DB Dev",_xlfn.LET(_xlpm.sent,_xlfn.MAXIFS('Rework Log'!$B$2:$B$497,'Rework Log'!$A$2:$A$497,$B114,'Rework Log'!$D$2:$D$497,"DB Dev"),_xlpm.expfix,_xlfn.MAXIFS('Rework Log'!$I$2:$I$497,'Rework Log'!$A$2:$A$497,$B114,'Rework Log'!$D$2:$D$497,"DB Dev",'Rework Log'!$B$2:$B$497,_xlpm.sent),_xlpm.tgt,IF(_xlpm.expfix&gt;0,_xlpm.expfix,IF(L114&lt;&gt;"",L114,K114)),_xlpm.act,IF(AND(M114&lt;&gt;"",M114&gt;=_xlpm.sent),M114,""),IF(_xlpm.tgt="","No target set",IF(AND(_xlpm.tgt&lt;TODAY(),_xlpm.act=""),"Overdue","On track"))),IF(C114="PBI Dev",_xlfn.LET(_xlpm.sent,_xlfn.MAXIFS('Rework Log'!$B$2:$B$497,'Rework Log'!$A$2:$A$497,$B114,'Rework Log'!$D$2:$D$497,"PBI Dev"),_xlpm.expfix,_xlfn.MAXIFS('Rework Log'!$I$2:$I$497,'Rework Log'!$A$2:$A$497,$B114,'Rework Log'!$D$2:$D$497,"PBI Dev",'Rework Log'!$B$2:$B$497,_xlpm.sent),_xlpm.tgt,IF(_xlpm.expfix&gt;0,_xlpm.expfix,IF(R114&lt;&gt;"",R114,Q114)),_xlpm.act,IF(AND(S114&lt;&gt;"",S114&gt;=_xlpm.sent),S114,""),IF(_xlpm.tgt="","No target set",IF(AND(_xlpm.tgt&lt;TODAY(),_xlpm.act=""),"Overdue","On track"))),IF(C114="QA",_xlfn.LET(_xlpm.tgt,IF(AM114&lt;&gt;"",AM114,IF(W114&lt;&gt;"",W114,V114)),_xlpm.sent,_xlfn.MAXIFS('Rework Log'!$B$2:$B$497,'Rework Log'!$A$2:$A$497,$B114,'Rework Log'!$C$2:$C$497,"QA"),_xlpm.act,IF(AND(Y114&lt;&gt;"",Y114&gt;=_xlpm.sent),Y114,""),IF(_xlpm.tgt="","No target set",IF(AND(_xlpm.tgt&lt;TODAY(),_xlpm.act=""),"Overdue","On track"))),IF(C114="DPO Approval",_xlfn.LET(_xlpm.tgt,IF(AN114&lt;&gt;"",AN114,IF(AB114&lt;&gt;"",AB114,AA114)),_xlpm.sent,_xlfn.MAXIFS('Rework Log'!$B$2:$B$497,'Rework Log'!$A$2:$A$497,$B114,'Rework Log'!$C$2:$C$497,"DPO*"),_xlpm.act,IF(AND(AC114&lt;&gt;"",AC114&gt;=_xlpm.sent),AC114,""),IF(_xlpm.tgt="","No target set",IF(AND(_xlpm.tgt&lt;TODAY(),_xlpm.act=""),"Overdue","On track"))),IF(C114="RELEASED IN PROD","Delivered","")))))))))</f>
        <v>On track</v>
      </c>
      <c r="E114" s="31">
        <v>14</v>
      </c>
      <c r="F114" s="31" t="s">
        <v>144</v>
      </c>
      <c r="G114" s="31"/>
      <c r="H114" s="28">
        <v>46387</v>
      </c>
      <c r="I114" s="55" t="s">
        <v>304</v>
      </c>
      <c r="J114" s="53" t="s">
        <v>84</v>
      </c>
      <c r="K114" s="28">
        <v>46363</v>
      </c>
      <c r="L114" s="43"/>
      <c r="M114" s="31"/>
      <c r="N114" s="31"/>
      <c r="O114" s="36" t="s">
        <v>315</v>
      </c>
      <c r="P114" s="74"/>
      <c r="Q114" s="28">
        <v>46370</v>
      </c>
      <c r="R114" s="43"/>
      <c r="S114" s="31"/>
      <c r="T114" s="68" t="s">
        <v>324</v>
      </c>
      <c r="U114" s="46"/>
      <c r="V114" s="28">
        <v>46373</v>
      </c>
      <c r="W114" s="43"/>
      <c r="X114" s="31"/>
      <c r="Y114" s="31"/>
      <c r="Z114" s="36"/>
      <c r="AA114" s="28">
        <v>46386</v>
      </c>
      <c r="AB114" s="43"/>
      <c r="AC114" s="43"/>
      <c r="AD114" s="31" t="s">
        <v>329</v>
      </c>
      <c r="AE114" s="31" t="s">
        <v>72</v>
      </c>
      <c r="AF114" s="31"/>
      <c r="AG114" s="31"/>
      <c r="AH114" s="31"/>
      <c r="AI114" s="31"/>
      <c r="AJ114" s="31"/>
      <c r="AK114" s="31" t="str" cm="1">
        <f t="array" ref="AK114">IF($B114="","",_xlfn.LET(_xlpm.nm,$B114,_xlpm.st,$C114,_xlpm.ou,SUMPRODUCT(('Rework Log'!$A$2:$A$497=_xlpm.nm)*('Rework Log'!$G$2:$G$497&lt;&gt;"Yes")*('Rework Log'!$G$2:$G$497&lt;&gt;"Did not pass re-test")*('Rework Log'!$J$2:$J$497="")),_xlpm.ob,SUMPRODUCT(('Rework Log'!$A$2:$A$497=_xlpm.nm)*('Rework Log'!$G$2:$G$497&lt;&gt;"Yes")*('Rework Log'!$G$2:$G$497&lt;&gt;"Did not pass re-test")),_xlpm.oto,IF(SUMPRODUCT(('Rework Log'!$A$2:$A$497=_xlpm.nm)*('Rework Log'!$G$2:$G$497&lt;&gt;"Yes")*('Rework Log'!$G$2:$G$497&lt;&gt;"Did not pass re-test")*('Rework Log'!$J$2:$J$497=""))=0,"",INDEX('Rework Log'!$D$2:$D$497,MATCH(1,('Rework Log'!$A$2:$A$497=_xlpm.nm)*('Rework Log'!$G$2:$G$497&lt;&gt;"Yes")*('Rework Log'!$G$2:$G$497&lt;&gt;"Did not pass re-test")*('Rework Log'!$J$2:$J$497=""),0))),_xlpm.sent,_xlfn.MAXIFS('Rework Log'!$B$2:$B$497,'Rework Log'!$A$2:$A$497,_xlpm.nm),_xlpm.act,_xlfn.IFS(_xlpm.st="NOT STARTED",$M114,_xlpm.st="DB Dev",$M114,_xlpm.st="PBI Dev",$S114,_xlpm.st="QA",$Y114,_xlpm.st="DPO Approval",$AC114,_xlpm.st="Ready for Release in Prod",$AG114,TRUE,""),_xlpm.nxt,_xlfn.IFS(_xlpm.st="NOT STARTED","PBI Dev",_xlpm.st="DB Dev","PBI Dev",_xlpm.st="PBI Dev","QA",_xlpm.st="QA","DPO Approval",_xlpm.st="DPO Approval","Ready for Release in Prod",_xlpm.st="Ready for Release in Prod","RELEASED IN PROD",TRUE,""),IF(AND(_xlpm.ou&gt;0,_xlpm.st&lt;&gt;_xlpm.oto),"Move status back to "&amp;_xlpm.oto,IF(AND(_xlpm.ob=0,LEFT($AJ114,3)="Yes"),"Blocked - log it on Rework Log",IF(AND(_xlpm.ob&gt;0,LEFT($AJ114,3)&lt;&gt;"Yes"),"Open rework row - mark Blocked or close it",IF(AND(_xlpm.ob=0,_xlpm.act&lt;&gt;"",_xlpm.act&gt;=_xlpm.sent,_xlpm.nxt&lt;&gt;""),"Move status to "&amp;_xlpm.nxt,IF(COUNTIF($B$2:$B$528,$B114)&gt;1,"Duplicate name - check row",IF(COUNTIF('Rework Log'!$A$2:$A$497,$B114)&gt;0,"",IF(AND($V114&lt;&gt;"",$K114&lt;&gt;"",$V114&lt;$K114),"QA target is before DB Dev target",IF(AND($V114&lt;&gt;"",$Q114&lt;&gt;"",$V114&lt;$Q114),"QA target is before PBI Dev target",IF(AND($AA114&lt;&gt;"",$V114&lt;&gt;"",$AA114&lt;$V114),"DPO Approval target is before QA target",IF(AND($AG114&lt;&gt;"",$AA114&lt;&gt;"",$AG114&lt;$AA114),"Confirmed Deployed date is before DPO Approval target",""))))))))))))</f>
        <v/>
      </c>
      <c r="AL114" s="31"/>
      <c r="AM114" s="31" t="str" cm="1">
        <f t="array" ref="AM114">_xlfn.LET(_xlpm.rep,$B114,_xlpm.sent,_xlfn.MAXIFS('Rework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
      </c>
      <c r="AN114" s="31" t="str" cm="1">
        <f t="array" ref="AN114">_xlfn.LET(_xlpm.rep,$B114,_xlpm.sent,_xlfn.MAXIFS('Rework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115" spans="1:40" ht="21" customHeight="1">
      <c r="A115" s="31" t="s">
        <v>311</v>
      </c>
      <c r="B115" s="31" t="s">
        <v>333</v>
      </c>
      <c r="C115" s="31" t="s">
        <v>234</v>
      </c>
      <c r="D115" t="str" cm="1">
        <f t="array" aca="1" ref="D115" ca="1">IF(AND(C115="Ready for Release in Prod",LEFT($AJ115,3)&lt;&gt;"Yes"),IF(AG115&lt;&gt;"","Delivered","On track"),IF($B115="","",IF(LEFT($AJ115,3)="Yes","Blocked - "&amp;MID($AJ115,7,100)&amp;IF(SUMPRODUCT(('Rework Log'!$A$2:$A$497=$B115)*('Rework Log'!$G$2:$G$497&lt;&gt;"Yes")*('Rework Log'!$G$2:$G$497&lt;&gt;"Did not pass re-test"))=0,"",IF(SUMPRODUCT(MAX((('Rework Log'!$A$2:$A$497=$B115)*('Rework Log'!$G$2:$G$497&lt;&gt;"Yes")*('Rework Log'!$G$2:$G$497&lt;&gt;"Did not pass re-test"))*'Rework Log'!$I$2:$I$497))=0," - unclaimed"," - promised "&amp;TEXT(SUMPRODUCT(MAX((('Rework Log'!$A$2:$A$497=$B115)*('Rework Log'!$G$2:$G$497&lt;&gt;"Yes")*('Rework Log'!$G$2:$G$497&lt;&gt;"Did not pass re-test"))*'Rework Log'!$I$2:$I$497)),"m/d"))),IF(C115="NOT STARTED",IF(H115="","No plan date set",IF(H115&lt;TODAY(),"Review - planned start passed","On track")),IF(C115="DB Dev",_xlfn.LET(_xlpm.sent,_xlfn.MAXIFS('Rework Log'!$B$2:$B$497,'Rework Log'!$A$2:$A$497,$B115,'Rework Log'!$D$2:$D$497,"DB Dev"),_xlpm.expfix,_xlfn.MAXIFS('Rework Log'!$I$2:$I$497,'Rework Log'!$A$2:$A$497,$B115,'Rework Log'!$D$2:$D$497,"DB Dev",'Rework Log'!$B$2:$B$497,_xlpm.sent),_xlpm.tgt,IF(_xlpm.expfix&gt;0,_xlpm.expfix,IF(L115&lt;&gt;"",L115,K115)),_xlpm.act,IF(AND(M115&lt;&gt;"",M115&gt;=_xlpm.sent),M115,""),IF(_xlpm.tgt="","No target set",IF(AND(_xlpm.tgt&lt;TODAY(),_xlpm.act=""),"Overdue","On track"))),IF(C115="PBI Dev",_xlfn.LET(_xlpm.sent,_xlfn.MAXIFS('Rework Log'!$B$2:$B$497,'Rework Log'!$A$2:$A$497,$B115,'Rework Log'!$D$2:$D$497,"PBI Dev"),_xlpm.expfix,_xlfn.MAXIFS('Rework Log'!$I$2:$I$497,'Rework Log'!$A$2:$A$497,$B115,'Rework Log'!$D$2:$D$497,"PBI Dev",'Rework Log'!$B$2:$B$497,_xlpm.sent),_xlpm.tgt,IF(_xlpm.expfix&gt;0,_xlpm.expfix,IF(R115&lt;&gt;"",R115,Q115)),_xlpm.act,IF(AND(S115&lt;&gt;"",S115&gt;=_xlpm.sent),S115,""),IF(_xlpm.tgt="","No target set",IF(AND(_xlpm.tgt&lt;TODAY(),_xlpm.act=""),"Overdue","On track"))),IF(C115="QA",_xlfn.LET(_xlpm.tgt,IF(AM115&lt;&gt;"",AM115,IF(W115&lt;&gt;"",W115,V115)),_xlpm.sent,_xlfn.MAXIFS('Rework Log'!$B$2:$B$497,'Rework Log'!$A$2:$A$497,$B115,'Rework Log'!$C$2:$C$497,"QA"),_xlpm.act,IF(AND(Y115&lt;&gt;"",Y115&gt;=_xlpm.sent),Y115,""),IF(_xlpm.tgt="","No target set",IF(AND(_xlpm.tgt&lt;TODAY(),_xlpm.act=""),"Overdue","On track"))),IF(C115="DPO Approval",_xlfn.LET(_xlpm.tgt,IF(AN115&lt;&gt;"",AN115,IF(AB115&lt;&gt;"",AB115,AA115)),_xlpm.sent,_xlfn.MAXIFS('Rework Log'!$B$2:$B$497,'Rework Log'!$A$2:$A$497,$B115,'Rework Log'!$C$2:$C$497,"DPO*"),_xlpm.act,IF(AND(AC115&lt;&gt;"",AC115&gt;=_xlpm.sent),AC115,""),IF(_xlpm.tgt="","No target set",IF(AND(_xlpm.tgt&lt;TODAY(),_xlpm.act=""),"Overdue","On track"))),IF(C115="RELEASED IN PROD","Delivered","")))))))))</f>
        <v>On track</v>
      </c>
      <c r="E115" s="31">
        <v>15</v>
      </c>
      <c r="F115" s="31" t="s">
        <v>144</v>
      </c>
      <c r="G115" s="31"/>
      <c r="H115" s="28">
        <v>46387</v>
      </c>
      <c r="I115" s="55" t="s">
        <v>304</v>
      </c>
      <c r="J115" s="53"/>
      <c r="K115" s="28">
        <v>46363</v>
      </c>
      <c r="L115" s="43"/>
      <c r="M115" s="31"/>
      <c r="N115" s="31"/>
      <c r="O115" s="36" t="s">
        <v>334</v>
      </c>
      <c r="P115" s="74"/>
      <c r="Q115" s="28">
        <v>46370</v>
      </c>
      <c r="R115" s="43"/>
      <c r="S115" s="31"/>
      <c r="T115" s="68" t="s">
        <v>324</v>
      </c>
      <c r="U115" s="46"/>
      <c r="V115" s="28">
        <v>46373</v>
      </c>
      <c r="W115" s="43"/>
      <c r="X115" s="31"/>
      <c r="Y115" s="31"/>
      <c r="Z115" s="36"/>
      <c r="AA115" s="28">
        <v>46386</v>
      </c>
      <c r="AB115" s="43"/>
      <c r="AC115" s="43"/>
      <c r="AD115" s="31" t="s">
        <v>273</v>
      </c>
      <c r="AE115" s="31" t="s">
        <v>72</v>
      </c>
      <c r="AF115" s="31"/>
      <c r="AG115" s="31"/>
      <c r="AH115" s="31"/>
      <c r="AI115" s="31"/>
      <c r="AJ115" s="31"/>
      <c r="AK115" s="31" t="str" cm="1">
        <f t="array" ref="AK115">IF($B115="","",_xlfn.LET(_xlpm.nm,$B115,_xlpm.st,$C115,_xlpm.ou,SUMPRODUCT(('Rework Log'!$A$2:$A$497=_xlpm.nm)*('Rework Log'!$G$2:$G$497&lt;&gt;"Yes")*('Rework Log'!$G$2:$G$497&lt;&gt;"Did not pass re-test")*('Rework Log'!$J$2:$J$497="")),_xlpm.ob,SUMPRODUCT(('Rework Log'!$A$2:$A$497=_xlpm.nm)*('Rework Log'!$G$2:$G$497&lt;&gt;"Yes")*('Rework Log'!$G$2:$G$497&lt;&gt;"Did not pass re-test")),_xlpm.oto,IF(SUMPRODUCT(('Rework Log'!$A$2:$A$497=_xlpm.nm)*('Rework Log'!$G$2:$G$497&lt;&gt;"Yes")*('Rework Log'!$G$2:$G$497&lt;&gt;"Did not pass re-test")*('Rework Log'!$J$2:$J$497=""))=0,"",INDEX('Rework Log'!$D$2:$D$497,MATCH(1,('Rework Log'!$A$2:$A$497=_xlpm.nm)*('Rework Log'!$G$2:$G$497&lt;&gt;"Yes")*('Rework Log'!$G$2:$G$497&lt;&gt;"Did not pass re-test")*('Rework Log'!$J$2:$J$497=""),0))),_xlpm.sent,_xlfn.MAXIFS('Rework Log'!$B$2:$B$497,'Rework Log'!$A$2:$A$497,_xlpm.nm),_xlpm.act,_xlfn.IFS(_xlpm.st="NOT STARTED",$M115,_xlpm.st="DB Dev",$M115,_xlpm.st="PBI Dev",$S115,_xlpm.st="QA",$Y115,_xlpm.st="DPO Approval",$AC115,_xlpm.st="Ready for Release in Prod",$AG115,TRUE,""),_xlpm.nxt,_xlfn.IFS(_xlpm.st="NOT STARTED","PBI Dev",_xlpm.st="DB Dev","PBI Dev",_xlpm.st="PBI Dev","QA",_xlpm.st="QA","DPO Approval",_xlpm.st="DPO Approval","Ready for Release in Prod",_xlpm.st="Ready for Release in Prod","RELEASED IN PROD",TRUE,""),IF(AND(_xlpm.ou&gt;0,_xlpm.st&lt;&gt;_xlpm.oto),"Move status back to "&amp;_xlpm.oto,IF(AND(_xlpm.ob=0,LEFT($AJ115,3)="Yes"),"Blocked - log it on Rework Log",IF(AND(_xlpm.ob&gt;0,LEFT($AJ115,3)&lt;&gt;"Yes"),"Open rework row - mark Blocked or close it",IF(AND(_xlpm.ob=0,_xlpm.act&lt;&gt;"",_xlpm.act&gt;=_xlpm.sent,_xlpm.nxt&lt;&gt;""),"Move status to "&amp;_xlpm.nxt,IF(COUNTIF($B$2:$B$528,$B115)&gt;1,"Duplicate name - check row",IF(COUNTIF('Rework Log'!$A$2:$A$497,$B115)&gt;0,"",IF(AND($V115&lt;&gt;"",$K115&lt;&gt;"",$V115&lt;$K115),"QA target is before DB Dev target",IF(AND($V115&lt;&gt;"",$Q115&lt;&gt;"",$V115&lt;$Q115),"QA target is before PBI Dev target",IF(AND($AA115&lt;&gt;"",$V115&lt;&gt;"",$AA115&lt;$V115),"DPO Approval target is before QA target",IF(AND($AG115&lt;&gt;"",$AA115&lt;&gt;"",$AG115&lt;$AA115),"Confirmed Deployed date is before DPO Approval target",""))))))))))))</f>
        <v/>
      </c>
      <c r="AL115" s="31"/>
      <c r="AM115" s="31" t="str" cm="1">
        <f t="array" ref="AM115">_xlfn.LET(_xlpm.rep,$B115,_xlpm.sent,_xlfn.MAXIFS('Rework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
      </c>
      <c r="AN115" s="31" t="str" cm="1">
        <f t="array" ref="AN115">_xlfn.LET(_xlpm.rep,$B115,_xlpm.sent,_xlfn.MAXIFS('Rework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116" spans="1:40">
      <c r="A116" s="31" t="s">
        <v>335</v>
      </c>
      <c r="B116" s="31" t="s">
        <v>336</v>
      </c>
      <c r="C116" s="31" t="s">
        <v>234</v>
      </c>
      <c r="E116" s="31">
        <v>1</v>
      </c>
      <c r="F116" s="31" t="s">
        <v>144</v>
      </c>
      <c r="G116" s="31"/>
      <c r="H116" s="28">
        <v>46418</v>
      </c>
      <c r="I116" s="55" t="s">
        <v>337</v>
      </c>
      <c r="J116" s="53"/>
      <c r="K116" s="28">
        <v>46387</v>
      </c>
      <c r="L116" s="43"/>
      <c r="M116" s="31"/>
      <c r="N116" s="31"/>
      <c r="O116" s="36"/>
      <c r="P116" s="74"/>
      <c r="Q116" s="28">
        <v>46402</v>
      </c>
      <c r="R116" s="43"/>
      <c r="S116" s="31"/>
      <c r="T116" s="68"/>
      <c r="U116" s="46"/>
      <c r="V116" s="28">
        <v>46397</v>
      </c>
      <c r="W116" s="43"/>
      <c r="X116" s="46"/>
      <c r="Y116" s="46"/>
      <c r="Z116" s="36"/>
      <c r="AA116" s="28"/>
      <c r="AB116" s="43"/>
      <c r="AC116" s="43"/>
      <c r="AD116" s="31"/>
      <c r="AE116" s="31"/>
      <c r="AF116" s="31"/>
      <c r="AG116" s="31"/>
      <c r="AH116" s="31"/>
      <c r="AI116" s="31"/>
      <c r="AJ116" s="40" t="s">
        <v>133</v>
      </c>
      <c r="AK116" s="31"/>
      <c r="AL116" s="31"/>
      <c r="AM116" s="31" t="str" cm="1">
        <f t="array" ref="AM116">_xlfn.LET(_xlpm.rep,$B116,_xlpm.sent,_xlfn.MAXIFS('Rework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
      </c>
      <c r="AN116" s="31" t="str" cm="1">
        <f t="array" ref="AN116">_xlfn.LET(_xlpm.rep,$B116,_xlpm.sent,_xlfn.MAXIFS('Rework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117" spans="1:40">
      <c r="A117" s="31" t="s">
        <v>335</v>
      </c>
      <c r="B117" s="31" t="s">
        <v>338</v>
      </c>
      <c r="C117" s="31" t="s">
        <v>234</v>
      </c>
      <c r="E117" s="31">
        <v>2</v>
      </c>
      <c r="F117" s="31" t="s">
        <v>144</v>
      </c>
      <c r="G117" s="31"/>
      <c r="H117" s="28">
        <v>46418</v>
      </c>
      <c r="I117" s="55" t="s">
        <v>337</v>
      </c>
      <c r="J117" s="53"/>
      <c r="K117" s="28">
        <v>46387</v>
      </c>
      <c r="L117" s="43"/>
      <c r="M117" s="31"/>
      <c r="N117" s="31"/>
      <c r="O117" s="36"/>
      <c r="P117" s="74"/>
      <c r="Q117" s="28">
        <v>46402</v>
      </c>
      <c r="R117" s="43"/>
      <c r="S117" s="31"/>
      <c r="T117" s="68"/>
      <c r="U117" s="46"/>
      <c r="V117" s="28">
        <v>46397</v>
      </c>
      <c r="W117" s="43"/>
      <c r="X117" s="46"/>
      <c r="Y117" s="46"/>
      <c r="Z117" s="36"/>
      <c r="AB117" s="43"/>
      <c r="AC117" s="43"/>
      <c r="AD117" s="31"/>
      <c r="AE117" s="31"/>
      <c r="AF117" s="31"/>
      <c r="AG117" s="31"/>
      <c r="AH117" s="31"/>
      <c r="AI117" s="31"/>
      <c r="AJ117" s="31"/>
      <c r="AK117" s="31"/>
      <c r="AL117" s="31"/>
      <c r="AM117" s="31" t="str" cm="1">
        <f t="array" ref="AM117">_xlfn.LET(_xlpm.rep,$B117,_xlpm.sent,_xlfn.MAXIFS('Rework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
      </c>
      <c r="AN117" s="31" t="str" cm="1">
        <f t="array" ref="AN117">_xlfn.LET(_xlpm.rep,$B117,_xlpm.sent,_xlfn.MAXIFS('Rework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118" spans="1:40">
      <c r="A118" s="31" t="s">
        <v>335</v>
      </c>
      <c r="B118" s="31" t="s">
        <v>339</v>
      </c>
      <c r="C118" s="31" t="s">
        <v>234</v>
      </c>
      <c r="E118" s="31">
        <v>3</v>
      </c>
      <c r="F118" s="31" t="s">
        <v>144</v>
      </c>
      <c r="G118" s="31"/>
      <c r="H118" s="28">
        <v>46418</v>
      </c>
      <c r="I118" s="55" t="s">
        <v>337</v>
      </c>
      <c r="J118" s="53"/>
      <c r="K118" s="28">
        <v>46387</v>
      </c>
      <c r="L118" s="43"/>
      <c r="M118" s="31"/>
      <c r="N118" s="31"/>
      <c r="O118" s="36"/>
      <c r="P118" s="74"/>
      <c r="Q118" s="28">
        <v>46402</v>
      </c>
      <c r="R118" s="43"/>
      <c r="S118" s="31"/>
      <c r="T118" s="68"/>
      <c r="U118" s="46"/>
      <c r="V118" s="28">
        <v>46397</v>
      </c>
      <c r="W118" s="43"/>
      <c r="X118" s="46"/>
      <c r="Y118" s="46"/>
      <c r="Z118" s="36"/>
      <c r="AB118" s="43"/>
      <c r="AC118" s="43"/>
      <c r="AD118" s="31"/>
      <c r="AE118" s="31"/>
      <c r="AF118" s="31"/>
      <c r="AG118" s="31"/>
      <c r="AH118" s="31"/>
      <c r="AI118" s="31"/>
      <c r="AJ118" s="31"/>
      <c r="AK118" s="31"/>
      <c r="AL118" s="31"/>
      <c r="AM118" s="31" t="str" cm="1">
        <f t="array" ref="AM118">_xlfn.LET(_xlpm.rep,$B118,_xlpm.sent,_xlfn.MAXIFS('Rework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
      </c>
      <c r="AN118" s="31" t="str" cm="1">
        <f t="array" ref="AN118">_xlfn.LET(_xlpm.rep,$B118,_xlpm.sent,_xlfn.MAXIFS('Rework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119" spans="1:40">
      <c r="A119" s="31" t="s">
        <v>335</v>
      </c>
      <c r="B119" s="31" t="s">
        <v>340</v>
      </c>
      <c r="C119" s="31" t="s">
        <v>234</v>
      </c>
      <c r="E119" s="31">
        <v>4</v>
      </c>
      <c r="F119" s="31" t="s">
        <v>144</v>
      </c>
      <c r="G119" s="31"/>
      <c r="H119" s="28">
        <v>46418</v>
      </c>
      <c r="I119" s="55" t="s">
        <v>337</v>
      </c>
      <c r="J119" s="53"/>
      <c r="K119" s="28">
        <v>46387</v>
      </c>
      <c r="L119" s="43"/>
      <c r="M119" s="31"/>
      <c r="N119" s="31"/>
      <c r="O119" s="36"/>
      <c r="P119" s="74"/>
      <c r="Q119" s="28">
        <v>46402</v>
      </c>
      <c r="R119" s="43"/>
      <c r="S119" s="31"/>
      <c r="T119" s="68"/>
      <c r="U119" s="46"/>
      <c r="V119" s="28">
        <v>46397</v>
      </c>
      <c r="W119" s="43"/>
      <c r="X119" s="46"/>
      <c r="Y119" s="46"/>
      <c r="Z119" s="36"/>
      <c r="AB119" s="43"/>
      <c r="AC119" s="43"/>
      <c r="AD119" s="31"/>
      <c r="AE119" s="31"/>
      <c r="AF119" s="31"/>
      <c r="AG119" s="31"/>
      <c r="AH119" s="31"/>
      <c r="AI119" s="31"/>
      <c r="AJ119" s="31"/>
      <c r="AK119" s="31"/>
      <c r="AL119" s="31"/>
      <c r="AM119" s="31" t="str" cm="1">
        <f t="array" ref="AM119">_xlfn.LET(_xlpm.rep,$B119,_xlpm.sent,_xlfn.MAXIFS('Rework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
      </c>
      <c r="AN119" s="31" t="str" cm="1">
        <f t="array" ref="AN119">_xlfn.LET(_xlpm.rep,$B119,_xlpm.sent,_xlfn.MAXIFS('Rework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120" spans="1:40">
      <c r="A120" s="31"/>
      <c r="B120" s="31"/>
      <c r="C120" s="31"/>
      <c r="E120" s="31"/>
      <c r="F120" s="31"/>
      <c r="G120" s="31"/>
      <c r="J120" s="31"/>
      <c r="L120" s="31"/>
      <c r="M120" s="31"/>
      <c r="N120" s="31"/>
      <c r="O120" s="31"/>
      <c r="P120" s="65"/>
      <c r="R120" s="31"/>
      <c r="S120" s="31"/>
      <c r="T120" s="70"/>
      <c r="U120" s="31"/>
      <c r="W120" s="31"/>
      <c r="Y120" s="31"/>
      <c r="Z120" s="31"/>
      <c r="AA120" s="31"/>
      <c r="AB120" s="31"/>
      <c r="AC120" s="31"/>
      <c r="AD120" s="31"/>
      <c r="AE120" s="31"/>
      <c r="AG120" s="31"/>
    </row>
    <row r="121" spans="1:40">
      <c r="A121" s="31"/>
      <c r="B121" s="31"/>
      <c r="C121" s="31"/>
      <c r="E121" s="31"/>
      <c r="F121" s="31"/>
      <c r="G121" s="31"/>
      <c r="J121" s="31"/>
      <c r="L121" s="31"/>
      <c r="M121" s="31"/>
      <c r="N121" s="31"/>
      <c r="O121" s="31"/>
      <c r="P121" s="65"/>
      <c r="R121" s="31"/>
      <c r="S121" s="31"/>
      <c r="T121" s="70"/>
      <c r="U121" s="31"/>
      <c r="W121" s="31"/>
      <c r="Y121" s="31"/>
      <c r="Z121" s="31"/>
      <c r="AA121" s="31"/>
      <c r="AB121" s="31"/>
      <c r="AC121" s="31"/>
      <c r="AD121" s="31"/>
      <c r="AE121" s="31"/>
      <c r="AG121" s="31"/>
    </row>
    <row r="122" spans="1:40">
      <c r="A122" s="31"/>
      <c r="B122" s="31"/>
      <c r="C122" s="31"/>
      <c r="E122" s="31"/>
      <c r="F122" s="31"/>
      <c r="G122" s="31"/>
      <c r="J122" s="31"/>
      <c r="L122" s="31"/>
      <c r="M122" s="31"/>
      <c r="N122" s="31"/>
      <c r="O122" s="31"/>
      <c r="P122" s="65"/>
      <c r="R122" s="31"/>
      <c r="S122" s="31"/>
      <c r="T122" s="70"/>
      <c r="U122" s="31"/>
      <c r="W122" s="31"/>
      <c r="Y122" s="31"/>
      <c r="Z122" s="31"/>
      <c r="AA122" s="31"/>
      <c r="AB122" s="31"/>
      <c r="AC122" s="31"/>
      <c r="AD122" s="31"/>
      <c r="AE122" s="31"/>
      <c r="AG122" s="31"/>
    </row>
    <row r="123" spans="1:40">
      <c r="A123" s="31"/>
      <c r="B123" s="31"/>
      <c r="C123" s="31"/>
      <c r="E123" s="31"/>
      <c r="F123" s="31"/>
      <c r="G123" s="31"/>
      <c r="J123" s="31"/>
      <c r="L123" s="31"/>
      <c r="M123" s="31"/>
      <c r="N123" s="31"/>
      <c r="O123" s="31"/>
      <c r="P123" s="65"/>
      <c r="R123" s="31"/>
      <c r="S123" s="31"/>
      <c r="T123" s="70"/>
      <c r="U123" s="31"/>
      <c r="W123" s="31"/>
      <c r="Y123" s="31"/>
      <c r="Z123" s="31"/>
      <c r="AA123" s="31"/>
      <c r="AB123" s="31"/>
      <c r="AC123" s="31"/>
      <c r="AD123" s="31"/>
      <c r="AE123" s="31"/>
      <c r="AG123" s="31"/>
    </row>
    <row r="124" spans="1:40">
      <c r="B124" s="31"/>
      <c r="C124" s="31"/>
      <c r="E124" s="31"/>
      <c r="F124" s="31"/>
      <c r="G124" s="31"/>
      <c r="J124" s="31"/>
      <c r="L124" s="31"/>
      <c r="M124" s="31"/>
      <c r="N124" s="31"/>
      <c r="O124" s="31"/>
      <c r="P124" s="65"/>
      <c r="R124" s="31"/>
      <c r="S124" s="31"/>
      <c r="T124" s="70"/>
      <c r="U124" s="31"/>
      <c r="W124" s="31"/>
      <c r="Y124" s="31"/>
      <c r="Z124" s="31"/>
      <c r="AA124" s="31"/>
      <c r="AB124" s="31"/>
      <c r="AC124" s="31"/>
      <c r="AD124" s="31"/>
      <c r="AE124" s="31"/>
      <c r="AG124" s="31"/>
    </row>
    <row r="125" spans="1:40">
      <c r="A125" s="31"/>
      <c r="B125" s="31"/>
      <c r="C125" s="31"/>
      <c r="E125" s="31"/>
      <c r="F125" s="31"/>
      <c r="G125" s="31"/>
      <c r="J125" s="31"/>
      <c r="L125" s="31"/>
      <c r="M125" s="31"/>
      <c r="N125" s="31"/>
      <c r="O125" s="31"/>
      <c r="P125" s="65"/>
      <c r="R125" s="31"/>
      <c r="S125" s="31"/>
      <c r="T125" s="70"/>
      <c r="U125" s="31"/>
      <c r="W125" s="31"/>
      <c r="Y125" s="31"/>
      <c r="Z125" s="31"/>
      <c r="AA125" s="31"/>
      <c r="AB125" s="31"/>
      <c r="AC125" s="31"/>
      <c r="AD125" s="31"/>
      <c r="AE125" s="31"/>
      <c r="AG125" s="31"/>
    </row>
    <row r="126" spans="1:40">
      <c r="A126" s="31"/>
      <c r="B126" s="31"/>
      <c r="C126" s="31"/>
      <c r="E126" s="31"/>
      <c r="F126" s="31"/>
      <c r="G126" s="31"/>
      <c r="J126" s="31"/>
      <c r="L126" s="31"/>
      <c r="M126" s="31"/>
      <c r="N126" s="31"/>
      <c r="O126" s="31"/>
      <c r="P126" s="65"/>
      <c r="R126" s="31"/>
      <c r="S126" s="31"/>
      <c r="T126" s="70"/>
      <c r="U126" s="31"/>
      <c r="W126" s="31"/>
      <c r="Y126" s="31"/>
      <c r="Z126" s="31"/>
      <c r="AA126" s="31"/>
      <c r="AB126" s="31"/>
      <c r="AC126" s="31"/>
      <c r="AD126" s="31"/>
      <c r="AE126" s="31"/>
      <c r="AG126" s="31"/>
    </row>
    <row r="127" spans="1:40">
      <c r="A127" s="31"/>
      <c r="B127" s="31"/>
      <c r="C127" s="31"/>
      <c r="E127" s="31"/>
      <c r="F127" s="31"/>
      <c r="G127" s="31"/>
      <c r="J127" s="31"/>
      <c r="L127" s="31"/>
      <c r="M127" s="31"/>
      <c r="N127" s="31"/>
      <c r="O127" s="31"/>
      <c r="P127" s="65"/>
      <c r="R127" s="31"/>
      <c r="S127" s="31"/>
      <c r="T127" s="70"/>
      <c r="U127" s="31"/>
      <c r="W127" s="31"/>
      <c r="Y127" s="31"/>
      <c r="Z127" s="31"/>
      <c r="AA127" s="31"/>
      <c r="AB127" s="31"/>
      <c r="AC127" s="31"/>
      <c r="AD127" s="31"/>
      <c r="AE127" s="31"/>
      <c r="AG127" s="31"/>
    </row>
    <row r="128" spans="1:40">
      <c r="A128" s="31"/>
      <c r="B128" s="31"/>
      <c r="C128" s="31"/>
      <c r="E128" s="31"/>
      <c r="F128" s="31"/>
      <c r="G128" s="31"/>
      <c r="J128" s="31"/>
      <c r="L128" s="31"/>
      <c r="M128" s="31"/>
      <c r="N128" s="31"/>
      <c r="O128" s="31"/>
      <c r="P128" s="65"/>
      <c r="R128" s="31"/>
      <c r="S128" s="31"/>
      <c r="T128" s="70"/>
      <c r="U128" s="31"/>
      <c r="W128" s="31"/>
      <c r="Y128" s="31"/>
      <c r="Z128" s="31"/>
      <c r="AA128" s="31"/>
      <c r="AB128" s="31"/>
      <c r="AC128" s="31"/>
      <c r="AD128" s="31"/>
      <c r="AE128" s="31"/>
      <c r="AG128" s="31"/>
    </row>
    <row r="129" spans="1:33">
      <c r="A129" s="31"/>
      <c r="B129" s="31"/>
      <c r="C129" s="31"/>
      <c r="E129" s="31"/>
      <c r="F129" s="31"/>
      <c r="G129" s="31"/>
      <c r="J129" s="31"/>
      <c r="L129" s="31"/>
      <c r="M129" s="31"/>
      <c r="N129" s="31"/>
      <c r="O129" s="31"/>
      <c r="P129" s="65"/>
      <c r="R129" s="31"/>
      <c r="S129" s="31"/>
      <c r="T129" s="70"/>
      <c r="U129" s="31"/>
      <c r="W129" s="31"/>
      <c r="Y129" s="31"/>
      <c r="Z129" s="31"/>
      <c r="AA129" s="31"/>
      <c r="AB129" s="31"/>
      <c r="AC129" s="31"/>
      <c r="AD129" s="31"/>
      <c r="AE129" s="31"/>
      <c r="AG129" s="31"/>
    </row>
    <row r="130" spans="1:33">
      <c r="A130" s="31"/>
      <c r="B130" s="31"/>
      <c r="C130" s="31"/>
      <c r="E130" s="31"/>
      <c r="F130" s="31"/>
      <c r="G130" s="31"/>
      <c r="J130" s="31"/>
      <c r="L130" s="31"/>
      <c r="M130" s="31"/>
      <c r="N130" s="31"/>
      <c r="O130" s="31"/>
      <c r="P130" s="65"/>
      <c r="R130" s="31"/>
      <c r="S130" s="31"/>
      <c r="T130" s="70"/>
      <c r="U130" s="31"/>
      <c r="W130" s="31"/>
      <c r="Y130" s="31"/>
      <c r="Z130" s="31"/>
      <c r="AA130" s="31"/>
      <c r="AB130" s="31"/>
      <c r="AC130" s="31"/>
      <c r="AD130" s="31"/>
      <c r="AE130" s="31"/>
      <c r="AG130" s="31"/>
    </row>
    <row r="131" spans="1:33">
      <c r="A131" s="31"/>
      <c r="B131" s="31"/>
      <c r="C131" s="31"/>
      <c r="E131" s="31"/>
      <c r="F131" s="31"/>
      <c r="G131" s="31"/>
      <c r="J131" s="31"/>
      <c r="L131" s="31"/>
      <c r="M131" s="31"/>
      <c r="N131" s="31"/>
      <c r="O131" s="31"/>
      <c r="P131" s="65"/>
      <c r="R131" s="31"/>
      <c r="S131" s="31"/>
      <c r="T131" s="70"/>
      <c r="U131" s="31"/>
      <c r="W131" s="31"/>
      <c r="Y131" s="31"/>
      <c r="Z131" s="31"/>
      <c r="AA131" s="31"/>
      <c r="AB131" s="31"/>
      <c r="AC131" s="31"/>
      <c r="AD131" s="31"/>
      <c r="AE131" s="31"/>
      <c r="AG131" s="31"/>
    </row>
    <row r="132" spans="1:33">
      <c r="A132" s="31"/>
      <c r="B132" s="31"/>
      <c r="C132" s="31"/>
      <c r="E132" s="31"/>
      <c r="F132" s="31"/>
      <c r="G132" s="31"/>
      <c r="J132" s="31"/>
      <c r="L132" s="31"/>
      <c r="M132" s="31"/>
      <c r="N132" s="31"/>
      <c r="O132" s="31"/>
      <c r="P132" s="65"/>
      <c r="R132" s="31"/>
      <c r="S132" s="31"/>
      <c r="T132" s="70"/>
      <c r="U132" s="31"/>
      <c r="W132" s="31"/>
      <c r="Y132" s="31"/>
      <c r="Z132" s="31"/>
      <c r="AA132" s="31"/>
      <c r="AB132" s="31"/>
      <c r="AC132" s="31"/>
      <c r="AD132" s="31"/>
      <c r="AE132" s="31"/>
      <c r="AG132" s="31"/>
    </row>
    <row r="133" spans="1:33">
      <c r="A133" s="31"/>
      <c r="B133" s="31"/>
      <c r="C133" s="31"/>
      <c r="E133" s="31"/>
      <c r="F133" s="31"/>
      <c r="G133" s="31"/>
      <c r="J133" s="31"/>
      <c r="L133" s="31"/>
      <c r="M133" s="31"/>
      <c r="N133" s="31"/>
      <c r="O133" s="31"/>
      <c r="P133" s="65"/>
      <c r="R133" s="31"/>
      <c r="S133" s="31"/>
      <c r="T133" s="70"/>
      <c r="U133" s="31"/>
      <c r="W133" s="31"/>
      <c r="Y133" s="31"/>
      <c r="Z133" s="31"/>
      <c r="AA133" s="31"/>
      <c r="AB133" s="31"/>
      <c r="AC133" s="31"/>
      <c r="AD133" s="31"/>
      <c r="AE133" s="31"/>
      <c r="AG133" s="31"/>
    </row>
    <row r="134" spans="1:33">
      <c r="A134" s="31"/>
      <c r="B134" s="31"/>
      <c r="C134" s="31"/>
      <c r="E134" s="31"/>
      <c r="F134" s="31"/>
      <c r="G134" s="31"/>
      <c r="J134" s="31"/>
      <c r="L134" s="31"/>
      <c r="M134" s="31"/>
      <c r="N134" s="31"/>
      <c r="O134" s="31"/>
      <c r="P134" s="65"/>
      <c r="R134" s="31"/>
      <c r="S134" s="31"/>
      <c r="T134" s="70"/>
      <c r="U134" s="31"/>
      <c r="W134" s="31"/>
      <c r="Y134" s="31"/>
      <c r="Z134" s="31"/>
      <c r="AA134" s="31"/>
      <c r="AB134" s="31"/>
      <c r="AC134" s="31"/>
      <c r="AD134" s="31"/>
      <c r="AE134" s="31"/>
      <c r="AG134" s="31"/>
    </row>
    <row r="135" spans="1:33">
      <c r="A135" s="31"/>
      <c r="B135" s="31"/>
      <c r="C135" s="31"/>
      <c r="E135" s="31"/>
      <c r="F135" s="31"/>
      <c r="G135" s="31"/>
      <c r="J135" s="31"/>
      <c r="L135" s="31"/>
      <c r="M135" s="31"/>
      <c r="N135" s="31"/>
      <c r="O135" s="31"/>
      <c r="P135" s="65"/>
      <c r="R135" s="31"/>
      <c r="S135" s="31"/>
      <c r="T135" s="70"/>
      <c r="U135" s="31"/>
      <c r="W135" s="31"/>
      <c r="Y135" s="31"/>
      <c r="Z135" s="31"/>
      <c r="AA135" s="31"/>
      <c r="AB135" s="31"/>
      <c r="AC135" s="31"/>
      <c r="AD135" s="31"/>
      <c r="AE135" s="31"/>
      <c r="AG135" s="31"/>
    </row>
    <row r="136" spans="1:33">
      <c r="A136" s="31"/>
      <c r="B136" s="31"/>
      <c r="C136" s="31"/>
      <c r="E136" s="31"/>
      <c r="F136" s="31"/>
      <c r="G136" s="31"/>
      <c r="J136" s="31"/>
      <c r="L136" s="31"/>
      <c r="M136" s="31"/>
      <c r="N136" s="31"/>
      <c r="O136" s="31"/>
      <c r="P136" s="65"/>
      <c r="R136" s="31"/>
      <c r="S136" s="31"/>
      <c r="T136" s="70"/>
      <c r="U136" s="31"/>
      <c r="W136" s="31"/>
      <c r="Y136" s="31"/>
      <c r="Z136" s="31"/>
      <c r="AA136" s="31"/>
      <c r="AB136" s="31"/>
      <c r="AC136" s="31"/>
      <c r="AD136" s="31"/>
      <c r="AE136" s="31"/>
      <c r="AG136" s="31"/>
    </row>
    <row r="137" spans="1:33">
      <c r="A137" s="31"/>
      <c r="B137" s="31"/>
      <c r="C137" s="31"/>
      <c r="E137" s="31"/>
      <c r="F137" s="31"/>
      <c r="G137" s="31"/>
      <c r="J137" s="31"/>
      <c r="L137" s="31"/>
      <c r="M137" s="31"/>
      <c r="N137" s="31"/>
      <c r="O137" s="31"/>
      <c r="P137" s="65"/>
      <c r="R137" s="31"/>
      <c r="S137" s="31"/>
      <c r="T137" s="70"/>
      <c r="U137" s="31"/>
      <c r="W137" s="31"/>
      <c r="Y137" s="31"/>
      <c r="Z137" s="31"/>
      <c r="AA137" s="31"/>
      <c r="AB137" s="31"/>
      <c r="AC137" s="31"/>
      <c r="AD137" s="31"/>
      <c r="AE137" s="31"/>
      <c r="AG137" s="31"/>
    </row>
    <row r="138" spans="1:33">
      <c r="A138" s="31"/>
      <c r="B138" s="31"/>
      <c r="C138" s="31"/>
      <c r="E138" s="31"/>
      <c r="F138" s="31"/>
      <c r="G138" s="31"/>
      <c r="J138" s="31"/>
      <c r="L138" s="31"/>
      <c r="M138" s="31"/>
      <c r="N138" s="31"/>
      <c r="O138" s="31"/>
      <c r="P138" s="65"/>
      <c r="R138" s="31"/>
      <c r="S138" s="31"/>
      <c r="T138" s="70"/>
      <c r="U138" s="31"/>
      <c r="W138" s="31"/>
      <c r="Y138" s="31"/>
      <c r="Z138" s="31"/>
      <c r="AA138" s="31"/>
      <c r="AB138" s="31"/>
      <c r="AC138" s="31"/>
      <c r="AD138" s="31"/>
      <c r="AE138" s="31"/>
      <c r="AG138" s="31"/>
    </row>
    <row r="139" spans="1:33">
      <c r="A139" s="31"/>
      <c r="B139" s="31"/>
      <c r="C139" s="31"/>
      <c r="E139" s="31"/>
      <c r="F139" s="31"/>
      <c r="G139" s="31"/>
      <c r="J139" s="31"/>
      <c r="L139" s="31"/>
      <c r="M139" s="31"/>
      <c r="N139" s="31"/>
      <c r="O139" s="31"/>
      <c r="P139" s="65"/>
      <c r="R139" s="31"/>
      <c r="S139" s="31"/>
      <c r="T139" s="70"/>
      <c r="U139" s="31"/>
      <c r="W139" s="31"/>
      <c r="Y139" s="31"/>
      <c r="Z139" s="31"/>
      <c r="AA139" s="31"/>
      <c r="AB139" s="31"/>
      <c r="AC139" s="31"/>
      <c r="AD139" s="31"/>
      <c r="AE139" s="31"/>
      <c r="AG139" s="31"/>
    </row>
    <row r="140" spans="1:33">
      <c r="A140" s="31"/>
      <c r="B140" s="31"/>
      <c r="C140" s="31"/>
      <c r="E140" s="31"/>
      <c r="F140" s="31"/>
      <c r="G140" s="31"/>
      <c r="J140" s="31"/>
      <c r="L140" s="31"/>
      <c r="M140" s="31"/>
      <c r="N140" s="31"/>
      <c r="O140" s="31"/>
      <c r="P140" s="65"/>
      <c r="R140" s="31"/>
      <c r="S140" s="31"/>
      <c r="T140" s="70"/>
      <c r="U140" s="31"/>
      <c r="W140" s="31"/>
      <c r="Y140" s="31"/>
      <c r="Z140" s="31"/>
      <c r="AA140" s="31"/>
      <c r="AB140" s="31"/>
      <c r="AC140" s="31"/>
      <c r="AD140" s="31"/>
      <c r="AE140" s="31"/>
      <c r="AG140" s="31"/>
    </row>
    <row r="141" spans="1:33">
      <c r="A141" s="31"/>
      <c r="B141" s="31"/>
      <c r="C141" s="31"/>
      <c r="E141" s="31"/>
      <c r="F141" s="31"/>
      <c r="G141" s="31"/>
      <c r="J141" s="31"/>
      <c r="L141" s="31"/>
      <c r="M141" s="31"/>
      <c r="N141" s="31"/>
      <c r="O141" s="31"/>
      <c r="P141" s="65"/>
      <c r="R141" s="31"/>
      <c r="S141" s="31"/>
      <c r="T141" s="70"/>
      <c r="U141" s="31"/>
      <c r="W141" s="31"/>
      <c r="Y141" s="31"/>
      <c r="Z141" s="31"/>
      <c r="AA141" s="31"/>
      <c r="AB141" s="31"/>
      <c r="AC141" s="31"/>
      <c r="AD141" s="31"/>
      <c r="AE141" s="31"/>
      <c r="AG141" s="31"/>
    </row>
    <row r="142" spans="1:33">
      <c r="A142" s="31"/>
      <c r="B142" s="31"/>
      <c r="C142" s="31"/>
      <c r="E142" s="31"/>
      <c r="F142" s="31"/>
      <c r="G142" s="31"/>
      <c r="J142" s="31"/>
      <c r="L142" s="31"/>
      <c r="M142" s="31"/>
      <c r="N142" s="31"/>
      <c r="O142" s="31"/>
      <c r="P142" s="65"/>
      <c r="R142" s="31"/>
      <c r="S142" s="31"/>
      <c r="T142" s="70"/>
      <c r="U142" s="31"/>
      <c r="W142" s="31"/>
      <c r="Y142" s="31"/>
      <c r="Z142" s="31"/>
      <c r="AA142" s="31"/>
      <c r="AB142" s="31"/>
      <c r="AC142" s="31"/>
      <c r="AD142" s="31"/>
      <c r="AE142" s="31"/>
      <c r="AG142" s="31"/>
    </row>
    <row r="143" spans="1:33">
      <c r="A143" s="31"/>
      <c r="B143" s="31"/>
      <c r="C143" s="31"/>
      <c r="E143" s="31"/>
      <c r="F143" s="31"/>
      <c r="G143" s="31"/>
      <c r="J143" s="31"/>
      <c r="L143" s="31"/>
      <c r="M143" s="31"/>
      <c r="N143" s="31"/>
      <c r="O143" s="31"/>
      <c r="P143" s="65"/>
      <c r="R143" s="31"/>
      <c r="S143" s="31"/>
      <c r="T143" s="70"/>
      <c r="U143" s="31"/>
      <c r="W143" s="31"/>
      <c r="Y143" s="31"/>
      <c r="Z143" s="31"/>
      <c r="AA143" s="31"/>
      <c r="AB143" s="31"/>
      <c r="AC143" s="31"/>
      <c r="AD143" s="31"/>
      <c r="AE143" s="31"/>
      <c r="AG143" s="31"/>
    </row>
    <row r="144" spans="1:33">
      <c r="A144" s="31"/>
      <c r="B144" s="31"/>
      <c r="C144" s="31"/>
      <c r="E144" s="31"/>
      <c r="F144" s="31"/>
      <c r="G144" s="31"/>
      <c r="J144" s="31"/>
      <c r="L144" s="31"/>
      <c r="M144" s="31"/>
      <c r="N144" s="31"/>
      <c r="O144" s="31"/>
      <c r="P144" s="65"/>
      <c r="R144" s="31"/>
      <c r="S144" s="31"/>
      <c r="T144" s="70"/>
      <c r="U144" s="31"/>
      <c r="W144" s="31"/>
      <c r="Y144" s="31"/>
      <c r="Z144" s="31"/>
      <c r="AA144" s="31"/>
      <c r="AB144" s="31"/>
      <c r="AC144" s="31"/>
      <c r="AD144" s="31"/>
      <c r="AE144" s="31"/>
      <c r="AG144" s="31"/>
    </row>
    <row r="145" spans="1:33">
      <c r="A145" s="31"/>
      <c r="B145" s="31"/>
      <c r="C145" s="31"/>
      <c r="E145" s="31"/>
      <c r="F145" s="31"/>
      <c r="G145" s="31"/>
      <c r="J145" s="31"/>
      <c r="L145" s="31"/>
      <c r="M145" s="31"/>
      <c r="N145" s="31"/>
      <c r="O145" s="31"/>
      <c r="P145" s="65"/>
      <c r="R145" s="31"/>
      <c r="S145" s="31"/>
      <c r="T145" s="70"/>
      <c r="U145" s="31"/>
      <c r="W145" s="31"/>
      <c r="Y145" s="31"/>
      <c r="Z145" s="31"/>
      <c r="AA145" s="31"/>
      <c r="AB145" s="31"/>
      <c r="AC145" s="31"/>
      <c r="AD145" s="31"/>
      <c r="AE145" s="31"/>
      <c r="AG145" s="31"/>
    </row>
    <row r="146" spans="1:33">
      <c r="A146" s="31"/>
      <c r="B146" s="31"/>
      <c r="C146" s="31"/>
      <c r="E146" s="31"/>
      <c r="F146" s="31"/>
      <c r="G146" s="31"/>
      <c r="J146" s="31"/>
      <c r="L146" s="31"/>
      <c r="M146" s="31"/>
      <c r="N146" s="31"/>
      <c r="O146" s="31"/>
      <c r="P146" s="65"/>
      <c r="R146" s="31"/>
      <c r="S146" s="31"/>
      <c r="T146" s="70"/>
      <c r="U146" s="31"/>
      <c r="W146" s="31"/>
      <c r="Y146" s="31"/>
      <c r="Z146" s="31"/>
      <c r="AA146" s="31"/>
      <c r="AB146" s="31"/>
      <c r="AC146" s="31"/>
      <c r="AD146" s="31"/>
      <c r="AE146" s="31"/>
      <c r="AG146" s="31"/>
    </row>
    <row r="147" spans="1:33">
      <c r="A147" s="31"/>
      <c r="B147" s="31"/>
      <c r="C147" s="31"/>
      <c r="E147" s="31"/>
      <c r="F147" s="31"/>
      <c r="G147" s="31"/>
      <c r="J147" s="31"/>
      <c r="L147" s="31"/>
      <c r="M147" s="31"/>
      <c r="N147" s="31"/>
      <c r="O147" s="31"/>
      <c r="P147" s="65"/>
      <c r="R147" s="31"/>
      <c r="S147" s="31"/>
      <c r="T147" s="70"/>
      <c r="U147" s="31"/>
      <c r="W147" s="31"/>
      <c r="Y147" s="31"/>
      <c r="Z147" s="31"/>
      <c r="AA147" s="31"/>
      <c r="AB147" s="31"/>
      <c r="AC147" s="31"/>
      <c r="AD147" s="31"/>
      <c r="AE147" s="31"/>
      <c r="AG147" s="31"/>
    </row>
    <row r="148" spans="1:33">
      <c r="A148" s="31"/>
      <c r="B148" s="31"/>
      <c r="C148" s="31"/>
      <c r="E148" s="31"/>
      <c r="F148" s="31"/>
      <c r="G148" s="31"/>
      <c r="J148" s="31"/>
      <c r="L148" s="31"/>
      <c r="M148" s="31"/>
      <c r="N148" s="31"/>
      <c r="O148" s="31"/>
      <c r="P148" s="65"/>
      <c r="R148" s="31"/>
      <c r="S148" s="31"/>
      <c r="T148" s="70"/>
      <c r="U148" s="31"/>
      <c r="W148" s="31"/>
      <c r="Y148" s="31"/>
      <c r="Z148" s="31"/>
      <c r="AA148" s="31"/>
      <c r="AB148" s="31"/>
      <c r="AC148" s="31"/>
      <c r="AD148" s="31"/>
      <c r="AE148" s="31"/>
      <c r="AG148" s="31"/>
    </row>
    <row r="149" spans="1:33">
      <c r="A149" s="31"/>
      <c r="B149" s="31"/>
      <c r="C149" s="31"/>
      <c r="E149" s="31"/>
      <c r="F149" s="31"/>
      <c r="G149" s="31"/>
      <c r="J149" s="31"/>
      <c r="L149" s="31"/>
      <c r="M149" s="31"/>
      <c r="N149" s="31"/>
      <c r="O149" s="31"/>
      <c r="P149" s="65"/>
      <c r="R149" s="31"/>
      <c r="S149" s="31"/>
      <c r="T149" s="70"/>
      <c r="U149" s="31"/>
      <c r="W149" s="31"/>
      <c r="Y149" s="31"/>
      <c r="Z149" s="31"/>
      <c r="AA149" s="31"/>
      <c r="AB149" s="31"/>
      <c r="AC149" s="31"/>
      <c r="AD149" s="31"/>
      <c r="AE149" s="31"/>
      <c r="AG149" s="31"/>
    </row>
    <row r="150" spans="1:33">
      <c r="A150" s="31"/>
      <c r="B150" s="31"/>
      <c r="C150" s="31"/>
      <c r="E150" s="31"/>
      <c r="F150" s="31"/>
      <c r="G150" s="31"/>
      <c r="J150" s="31"/>
      <c r="L150" s="31"/>
      <c r="M150" s="31"/>
      <c r="N150" s="31"/>
      <c r="O150" s="31"/>
      <c r="P150" s="65"/>
      <c r="R150" s="31"/>
      <c r="S150" s="31"/>
      <c r="T150" s="70"/>
      <c r="U150" s="31"/>
      <c r="W150" s="31"/>
      <c r="Y150" s="31"/>
      <c r="Z150" s="31"/>
      <c r="AA150" s="31"/>
      <c r="AB150" s="31"/>
      <c r="AC150" s="31"/>
      <c r="AD150" s="31"/>
      <c r="AE150" s="31"/>
      <c r="AG150" s="31"/>
    </row>
    <row r="151" spans="1:33">
      <c r="A151" s="31"/>
      <c r="B151" s="31"/>
      <c r="C151" s="31"/>
      <c r="E151" s="31"/>
      <c r="F151" s="31"/>
      <c r="G151" s="31"/>
      <c r="J151" s="31"/>
      <c r="L151" s="31"/>
      <c r="M151" s="31"/>
      <c r="N151" s="31"/>
      <c r="O151" s="31"/>
      <c r="P151" s="65"/>
      <c r="R151" s="31"/>
      <c r="S151" s="31"/>
      <c r="T151" s="70"/>
      <c r="U151" s="31"/>
      <c r="W151" s="31"/>
      <c r="Y151" s="31"/>
      <c r="Z151" s="31"/>
      <c r="AA151" s="31"/>
      <c r="AB151" s="31"/>
      <c r="AC151" s="31"/>
      <c r="AD151" s="31"/>
      <c r="AE151" s="31"/>
      <c r="AG151" s="31"/>
    </row>
    <row r="152" spans="1:33">
      <c r="A152" s="31"/>
      <c r="B152" s="31"/>
      <c r="C152" s="31"/>
      <c r="E152" s="31"/>
      <c r="F152" s="31"/>
      <c r="G152" s="31"/>
      <c r="J152" s="31"/>
      <c r="L152" s="31"/>
      <c r="M152" s="31"/>
      <c r="N152" s="31"/>
      <c r="O152" s="31"/>
      <c r="P152" s="65"/>
      <c r="R152" s="31"/>
      <c r="S152" s="31"/>
      <c r="T152" s="70"/>
      <c r="U152" s="31"/>
      <c r="W152" s="31"/>
      <c r="Y152" s="31"/>
      <c r="Z152" s="31"/>
      <c r="AA152" s="31"/>
      <c r="AB152" s="31"/>
      <c r="AC152" s="31"/>
      <c r="AD152" s="31"/>
      <c r="AE152" s="31"/>
      <c r="AG152" s="31"/>
    </row>
    <row r="153" spans="1:33">
      <c r="A153" s="31"/>
      <c r="B153" s="31"/>
      <c r="C153" s="31"/>
      <c r="E153" s="31"/>
      <c r="F153" s="31"/>
      <c r="G153" s="31"/>
      <c r="J153" s="31"/>
      <c r="L153" s="31"/>
      <c r="M153" s="31"/>
      <c r="N153" s="31"/>
      <c r="O153" s="31"/>
      <c r="P153" s="65"/>
      <c r="R153" s="31"/>
      <c r="S153" s="31"/>
      <c r="T153" s="70"/>
      <c r="U153" s="31"/>
      <c r="W153" s="31"/>
      <c r="Y153" s="31"/>
      <c r="Z153" s="31"/>
      <c r="AA153" s="31"/>
      <c r="AB153" s="31"/>
      <c r="AC153" s="31"/>
      <c r="AD153" s="31"/>
      <c r="AE153" s="31"/>
      <c r="AG153" s="31"/>
    </row>
    <row r="154" spans="1:33">
      <c r="A154" s="31"/>
      <c r="B154" s="31"/>
      <c r="C154" s="31"/>
      <c r="E154" s="31"/>
      <c r="F154" s="31"/>
      <c r="G154" s="31"/>
      <c r="J154" s="31"/>
      <c r="L154" s="31"/>
      <c r="M154" s="31"/>
      <c r="N154" s="31"/>
      <c r="O154" s="31"/>
      <c r="P154" s="65"/>
      <c r="R154" s="31"/>
      <c r="S154" s="31"/>
      <c r="T154" s="70"/>
      <c r="U154" s="31"/>
      <c r="W154" s="31"/>
      <c r="Y154" s="31"/>
      <c r="Z154" s="31"/>
      <c r="AA154" s="31"/>
      <c r="AB154" s="31"/>
      <c r="AC154" s="31"/>
      <c r="AD154" s="31"/>
      <c r="AE154" s="31"/>
      <c r="AG154" s="31"/>
    </row>
    <row r="155" spans="1:33">
      <c r="A155" s="31"/>
      <c r="B155" s="31"/>
      <c r="C155" s="31"/>
      <c r="E155" s="31"/>
      <c r="F155" s="31"/>
      <c r="G155" s="31"/>
      <c r="J155" s="31"/>
      <c r="L155" s="31"/>
      <c r="M155" s="31"/>
      <c r="N155" s="31"/>
      <c r="O155" s="31"/>
      <c r="P155" s="65"/>
      <c r="R155" s="31"/>
      <c r="S155" s="31"/>
      <c r="T155" s="70"/>
      <c r="U155" s="31"/>
      <c r="W155" s="31"/>
      <c r="Y155" s="31"/>
      <c r="Z155" s="31"/>
      <c r="AA155" s="31"/>
      <c r="AB155" s="31"/>
      <c r="AC155" s="31"/>
      <c r="AD155" s="31"/>
      <c r="AE155" s="31"/>
      <c r="AG155" s="31"/>
    </row>
    <row r="156" spans="1:33">
      <c r="A156" s="31"/>
      <c r="B156" s="31"/>
      <c r="C156" s="31"/>
      <c r="E156" s="31"/>
      <c r="F156" s="31"/>
      <c r="G156" s="31"/>
      <c r="J156" s="31"/>
      <c r="L156" s="31"/>
      <c r="M156" s="31"/>
      <c r="N156" s="31"/>
      <c r="O156" s="31"/>
      <c r="P156" s="65"/>
      <c r="R156" s="31"/>
      <c r="S156" s="31"/>
      <c r="T156" s="70"/>
      <c r="U156" s="31"/>
      <c r="W156" s="31"/>
      <c r="Y156" s="31"/>
      <c r="Z156" s="31"/>
      <c r="AA156" s="31"/>
      <c r="AB156" s="31"/>
      <c r="AC156" s="31"/>
      <c r="AD156" s="31"/>
      <c r="AE156" s="31"/>
      <c r="AG156" s="31"/>
    </row>
    <row r="157" spans="1:33">
      <c r="A157" s="31"/>
      <c r="B157" s="31"/>
      <c r="C157" s="31"/>
      <c r="E157" s="31"/>
      <c r="F157" s="31"/>
      <c r="G157" s="31"/>
      <c r="J157" s="31"/>
      <c r="L157" s="31"/>
      <c r="M157" s="31"/>
      <c r="N157" s="31"/>
      <c r="O157" s="31"/>
      <c r="P157" s="65"/>
      <c r="R157" s="31"/>
      <c r="S157" s="31"/>
      <c r="T157" s="70"/>
      <c r="U157" s="31"/>
      <c r="W157" s="31"/>
      <c r="Y157" s="31"/>
      <c r="Z157" s="31"/>
      <c r="AA157" s="31"/>
      <c r="AB157" s="31"/>
      <c r="AC157" s="31"/>
      <c r="AD157" s="31"/>
      <c r="AE157" s="31"/>
      <c r="AG157" s="31"/>
    </row>
    <row r="158" spans="1:33">
      <c r="A158" s="31"/>
      <c r="B158" s="31"/>
      <c r="C158" s="31"/>
      <c r="E158" s="31"/>
      <c r="F158" s="31"/>
      <c r="G158" s="31"/>
      <c r="J158" s="31"/>
      <c r="L158" s="31"/>
      <c r="M158" s="31"/>
      <c r="N158" s="31"/>
      <c r="O158" s="31"/>
      <c r="P158" s="65"/>
      <c r="R158" s="31"/>
      <c r="S158" s="31"/>
      <c r="T158" s="70"/>
      <c r="U158" s="31"/>
      <c r="W158" s="31"/>
      <c r="Y158" s="31"/>
      <c r="Z158" s="31"/>
      <c r="AA158" s="31"/>
      <c r="AB158" s="31"/>
      <c r="AC158" s="31"/>
      <c r="AD158" s="31"/>
      <c r="AE158" s="31"/>
      <c r="AG158" s="31"/>
    </row>
    <row r="159" spans="1:33">
      <c r="A159" s="31"/>
      <c r="B159" s="31"/>
      <c r="C159" s="31"/>
      <c r="E159" s="31"/>
      <c r="F159" s="31"/>
      <c r="G159" s="31"/>
      <c r="J159" s="31"/>
      <c r="L159" s="31"/>
      <c r="M159" s="31"/>
      <c r="N159" s="31"/>
      <c r="O159" s="31"/>
      <c r="P159" s="65"/>
      <c r="R159" s="31"/>
      <c r="S159" s="31"/>
      <c r="T159" s="70"/>
      <c r="U159" s="31"/>
      <c r="W159" s="31"/>
      <c r="Y159" s="31"/>
      <c r="Z159" s="31"/>
      <c r="AA159" s="31"/>
      <c r="AB159" s="31"/>
      <c r="AC159" s="31"/>
      <c r="AD159" s="31"/>
      <c r="AE159" s="31"/>
      <c r="AG159" s="31"/>
    </row>
    <row r="160" spans="1:33">
      <c r="A160" s="31"/>
      <c r="B160" s="31"/>
      <c r="C160" s="31"/>
      <c r="E160" s="31"/>
      <c r="F160" s="31"/>
      <c r="G160" s="31"/>
      <c r="J160" s="31"/>
      <c r="L160" s="31"/>
      <c r="M160" s="31"/>
      <c r="N160" s="31"/>
      <c r="O160" s="31"/>
      <c r="P160" s="65"/>
      <c r="R160" s="31"/>
      <c r="S160" s="31"/>
      <c r="T160" s="70"/>
      <c r="U160" s="31"/>
      <c r="W160" s="31"/>
      <c r="Y160" s="31"/>
      <c r="Z160" s="31"/>
      <c r="AA160" s="31"/>
      <c r="AB160" s="31"/>
      <c r="AC160" s="31"/>
      <c r="AD160" s="31"/>
      <c r="AE160" s="31"/>
      <c r="AG160" s="31"/>
    </row>
    <row r="161" spans="1:33">
      <c r="A161" s="31"/>
      <c r="B161" s="31"/>
      <c r="C161" s="31"/>
      <c r="E161" s="31"/>
      <c r="F161" s="31"/>
      <c r="G161" s="31"/>
      <c r="J161" s="31"/>
      <c r="L161" s="31"/>
      <c r="M161" s="31"/>
      <c r="N161" s="31"/>
      <c r="O161" s="31"/>
      <c r="P161" s="65"/>
      <c r="R161" s="31"/>
      <c r="S161" s="31"/>
      <c r="T161" s="70"/>
      <c r="U161" s="31"/>
      <c r="W161" s="31"/>
      <c r="Y161" s="31"/>
      <c r="Z161" s="31"/>
      <c r="AA161" s="31"/>
      <c r="AB161" s="31"/>
      <c r="AC161" s="31"/>
      <c r="AD161" s="31"/>
      <c r="AE161" s="31"/>
      <c r="AG161" s="31"/>
    </row>
    <row r="162" spans="1:33">
      <c r="A162" s="31"/>
      <c r="B162" s="31"/>
      <c r="C162" s="31"/>
      <c r="E162" s="31"/>
      <c r="F162" s="31"/>
      <c r="G162" s="31"/>
      <c r="J162" s="31"/>
      <c r="L162" s="31"/>
      <c r="M162" s="31"/>
      <c r="N162" s="31"/>
      <c r="O162" s="31"/>
      <c r="P162" s="65"/>
      <c r="R162" s="31"/>
      <c r="S162" s="31"/>
      <c r="T162" s="70"/>
      <c r="U162" s="31"/>
      <c r="W162" s="31"/>
      <c r="Y162" s="31"/>
      <c r="Z162" s="31"/>
      <c r="AA162" s="31"/>
      <c r="AB162" s="31"/>
      <c r="AC162" s="31"/>
      <c r="AD162" s="31"/>
      <c r="AE162" s="31"/>
      <c r="AG162" s="31"/>
    </row>
    <row r="163" spans="1:33">
      <c r="A163" s="31"/>
      <c r="B163" s="31"/>
      <c r="C163" s="31"/>
      <c r="E163" s="31"/>
      <c r="F163" s="31"/>
      <c r="G163" s="31"/>
      <c r="J163" s="31"/>
      <c r="L163" s="31"/>
      <c r="M163" s="31"/>
      <c r="N163" s="31"/>
      <c r="O163" s="31"/>
      <c r="P163" s="65"/>
      <c r="R163" s="31"/>
      <c r="S163" s="31"/>
      <c r="T163" s="70"/>
      <c r="U163" s="31"/>
      <c r="W163" s="31"/>
      <c r="Y163" s="31"/>
      <c r="Z163" s="31"/>
      <c r="AA163" s="31"/>
      <c r="AB163" s="31"/>
      <c r="AC163" s="31"/>
      <c r="AD163" s="31"/>
      <c r="AE163" s="31"/>
      <c r="AG163" s="31"/>
    </row>
    <row r="164" spans="1:33">
      <c r="A164" s="31"/>
      <c r="B164" s="31"/>
      <c r="C164" s="31"/>
      <c r="E164" s="31"/>
      <c r="F164" s="31"/>
      <c r="G164" s="31"/>
      <c r="J164" s="31"/>
      <c r="L164" s="31"/>
      <c r="M164" s="31"/>
      <c r="N164" s="31"/>
      <c r="O164" s="31"/>
      <c r="P164" s="65"/>
      <c r="R164" s="31"/>
      <c r="S164" s="31"/>
      <c r="T164" s="70"/>
      <c r="U164" s="31"/>
      <c r="W164" s="31"/>
      <c r="Y164" s="31"/>
      <c r="Z164" s="31"/>
      <c r="AA164" s="31"/>
      <c r="AB164" s="31"/>
      <c r="AC164" s="31"/>
      <c r="AD164" s="31"/>
      <c r="AE164" s="31"/>
      <c r="AG164" s="31"/>
    </row>
    <row r="165" spans="1:33">
      <c r="A165" s="31"/>
      <c r="B165" s="31"/>
      <c r="C165" s="31"/>
      <c r="E165" s="31"/>
      <c r="F165" s="31"/>
      <c r="G165" s="31"/>
      <c r="J165" s="31"/>
      <c r="L165" s="31"/>
      <c r="M165" s="31"/>
      <c r="N165" s="31"/>
      <c r="O165" s="31"/>
      <c r="P165" s="65"/>
      <c r="R165" s="31"/>
      <c r="S165" s="31"/>
      <c r="T165" s="70"/>
      <c r="U165" s="31"/>
      <c r="W165" s="31"/>
      <c r="Y165" s="31"/>
      <c r="Z165" s="31"/>
      <c r="AA165" s="31"/>
      <c r="AB165" s="31"/>
      <c r="AC165" s="31"/>
      <c r="AD165" s="31"/>
      <c r="AE165" s="31"/>
      <c r="AG165" s="31"/>
    </row>
    <row r="166" spans="1:33">
      <c r="A166" s="31"/>
      <c r="B166" s="31"/>
      <c r="C166" s="31"/>
      <c r="E166" s="31"/>
      <c r="F166" s="31"/>
      <c r="G166" s="31"/>
      <c r="J166" s="31"/>
      <c r="L166" s="31"/>
      <c r="M166" s="31"/>
      <c r="N166" s="31"/>
      <c r="O166" s="31"/>
      <c r="P166" s="65"/>
      <c r="R166" s="31"/>
      <c r="S166" s="31"/>
      <c r="T166" s="70"/>
      <c r="U166" s="31"/>
      <c r="W166" s="31"/>
      <c r="Y166" s="31"/>
      <c r="Z166" s="31"/>
      <c r="AA166" s="31"/>
      <c r="AB166" s="31"/>
      <c r="AC166" s="31"/>
      <c r="AD166" s="31"/>
      <c r="AE166" s="31"/>
      <c r="AG166" s="31"/>
    </row>
    <row r="167" spans="1:33">
      <c r="A167" s="31"/>
      <c r="B167" s="31"/>
      <c r="C167" s="31"/>
      <c r="E167" s="31"/>
      <c r="F167" s="31"/>
      <c r="G167" s="31"/>
      <c r="J167" s="31"/>
      <c r="L167" s="31"/>
      <c r="M167" s="31"/>
      <c r="N167" s="31"/>
      <c r="O167" s="31"/>
      <c r="P167" s="65"/>
      <c r="R167" s="31"/>
      <c r="S167" s="31"/>
      <c r="T167" s="70"/>
      <c r="U167" s="31"/>
      <c r="W167" s="31"/>
      <c r="Y167" s="31"/>
      <c r="Z167" s="31"/>
      <c r="AA167" s="31"/>
      <c r="AB167" s="31"/>
      <c r="AC167" s="31"/>
      <c r="AD167" s="31"/>
      <c r="AE167" s="31"/>
      <c r="AG167" s="31"/>
    </row>
    <row r="168" spans="1:33">
      <c r="A168" s="31"/>
      <c r="B168" s="31"/>
      <c r="C168" s="31"/>
      <c r="E168" s="31"/>
      <c r="F168" s="31"/>
      <c r="G168" s="31"/>
      <c r="J168" s="31"/>
      <c r="L168" s="31"/>
      <c r="M168" s="31"/>
      <c r="N168" s="31"/>
      <c r="O168" s="31"/>
      <c r="P168" s="65"/>
      <c r="R168" s="31"/>
      <c r="S168" s="31"/>
      <c r="T168" s="70"/>
      <c r="U168" s="31"/>
      <c r="W168" s="31"/>
      <c r="Y168" s="31"/>
      <c r="Z168" s="31"/>
      <c r="AA168" s="31"/>
      <c r="AB168" s="31"/>
      <c r="AC168" s="31"/>
      <c r="AD168" s="31"/>
      <c r="AE168" s="31"/>
      <c r="AG168" s="31"/>
    </row>
    <row r="169" spans="1:33">
      <c r="A169" s="31"/>
      <c r="B169" s="31"/>
      <c r="C169" s="31"/>
      <c r="E169" s="31"/>
      <c r="F169" s="31"/>
      <c r="G169" s="31"/>
      <c r="J169" s="31"/>
      <c r="L169" s="31"/>
      <c r="M169" s="31"/>
      <c r="N169" s="31"/>
      <c r="O169" s="31"/>
      <c r="P169" s="65"/>
      <c r="R169" s="31"/>
      <c r="S169" s="31"/>
      <c r="T169" s="70"/>
      <c r="U169" s="31"/>
      <c r="W169" s="31"/>
      <c r="Y169" s="31"/>
      <c r="Z169" s="31"/>
      <c r="AA169" s="31"/>
      <c r="AB169" s="31"/>
      <c r="AC169" s="31"/>
      <c r="AD169" s="31"/>
      <c r="AE169" s="31"/>
      <c r="AG169" s="31"/>
    </row>
    <row r="170" spans="1:33">
      <c r="A170" s="31"/>
      <c r="B170" s="31"/>
      <c r="C170" s="31"/>
      <c r="E170" s="31"/>
      <c r="F170" s="31"/>
      <c r="G170" s="31"/>
      <c r="J170" s="31"/>
      <c r="L170" s="31"/>
      <c r="M170" s="31"/>
      <c r="N170" s="31"/>
      <c r="O170" s="31"/>
      <c r="P170" s="65"/>
      <c r="R170" s="31"/>
      <c r="S170" s="31"/>
      <c r="T170" s="70"/>
      <c r="U170" s="31"/>
      <c r="W170" s="31"/>
      <c r="Y170" s="31"/>
      <c r="Z170" s="31"/>
      <c r="AA170" s="31"/>
      <c r="AB170" s="31"/>
      <c r="AC170" s="31"/>
      <c r="AD170" s="31"/>
      <c r="AE170" s="31"/>
      <c r="AG170" s="31"/>
    </row>
    <row r="171" spans="1:33">
      <c r="A171" s="31"/>
      <c r="B171" s="31"/>
      <c r="C171" s="31"/>
      <c r="E171" s="31"/>
      <c r="F171" s="31"/>
      <c r="G171" s="31"/>
      <c r="J171" s="31"/>
      <c r="L171" s="31"/>
      <c r="M171" s="31"/>
      <c r="N171" s="31"/>
      <c r="O171" s="31"/>
      <c r="P171" s="65"/>
      <c r="R171" s="31"/>
      <c r="S171" s="31"/>
      <c r="T171" s="70"/>
      <c r="U171" s="31"/>
      <c r="W171" s="31"/>
      <c r="Y171" s="31"/>
      <c r="Z171" s="31"/>
      <c r="AA171" s="31"/>
      <c r="AB171" s="31"/>
      <c r="AC171" s="31"/>
      <c r="AD171" s="31"/>
      <c r="AE171" s="31"/>
      <c r="AG171" s="31"/>
    </row>
    <row r="172" spans="1:33">
      <c r="A172" s="31"/>
      <c r="B172" s="31"/>
      <c r="C172" s="31"/>
      <c r="E172" s="31"/>
      <c r="F172" s="31"/>
      <c r="G172" s="31"/>
      <c r="J172" s="31"/>
      <c r="L172" s="31"/>
      <c r="M172" s="31"/>
      <c r="N172" s="31"/>
      <c r="O172" s="31"/>
      <c r="P172" s="65"/>
      <c r="R172" s="31"/>
      <c r="S172" s="31"/>
      <c r="T172" s="70"/>
      <c r="U172" s="31"/>
      <c r="W172" s="31"/>
      <c r="Y172" s="31"/>
      <c r="Z172" s="31"/>
      <c r="AA172" s="31"/>
      <c r="AB172" s="31"/>
      <c r="AC172" s="31"/>
      <c r="AD172" s="31"/>
      <c r="AE172" s="31"/>
      <c r="AG172" s="31"/>
    </row>
    <row r="173" spans="1:33">
      <c r="A173" s="31"/>
      <c r="B173" s="31"/>
      <c r="C173" s="31"/>
      <c r="E173" s="31"/>
      <c r="F173" s="31"/>
      <c r="G173" s="31"/>
      <c r="J173" s="31"/>
      <c r="L173" s="31"/>
      <c r="M173" s="31"/>
      <c r="N173" s="31"/>
      <c r="O173" s="31"/>
      <c r="P173" s="65"/>
      <c r="R173" s="31"/>
      <c r="S173" s="31"/>
      <c r="T173" s="70"/>
      <c r="U173" s="31"/>
      <c r="W173" s="31"/>
      <c r="Y173" s="31"/>
      <c r="Z173" s="31"/>
      <c r="AA173" s="31"/>
      <c r="AB173" s="31"/>
      <c r="AC173" s="31"/>
      <c r="AD173" s="31"/>
      <c r="AE173" s="31"/>
      <c r="AG173" s="31"/>
    </row>
    <row r="174" spans="1:33">
      <c r="A174" s="31"/>
      <c r="B174" s="31"/>
      <c r="C174" s="31"/>
      <c r="E174" s="31"/>
      <c r="F174" s="31"/>
      <c r="G174" s="31"/>
      <c r="J174" s="31"/>
      <c r="L174" s="31"/>
      <c r="M174" s="31"/>
      <c r="N174" s="31"/>
      <c r="O174" s="31"/>
      <c r="P174" s="65"/>
      <c r="R174" s="31"/>
      <c r="S174" s="31"/>
      <c r="T174" s="70"/>
      <c r="U174" s="31"/>
      <c r="W174" s="31"/>
      <c r="Y174" s="31"/>
      <c r="Z174" s="31"/>
      <c r="AA174" s="31"/>
      <c r="AB174" s="31"/>
      <c r="AC174" s="31"/>
      <c r="AD174" s="31"/>
      <c r="AE174" s="31"/>
      <c r="AG174" s="31"/>
    </row>
    <row r="175" spans="1:33">
      <c r="A175" s="31"/>
      <c r="B175" s="31"/>
      <c r="C175" s="31"/>
      <c r="E175" s="31"/>
      <c r="F175" s="31"/>
      <c r="G175" s="31"/>
      <c r="J175" s="31"/>
      <c r="L175" s="31"/>
      <c r="M175" s="31"/>
      <c r="N175" s="31"/>
      <c r="O175" s="31"/>
      <c r="P175" s="65"/>
      <c r="R175" s="31"/>
      <c r="S175" s="31"/>
      <c r="T175" s="70"/>
      <c r="U175" s="31"/>
      <c r="W175" s="31"/>
      <c r="Y175" s="31"/>
      <c r="Z175" s="31"/>
      <c r="AA175" s="31"/>
      <c r="AB175" s="31"/>
      <c r="AC175" s="31"/>
      <c r="AD175" s="31"/>
      <c r="AE175" s="31"/>
      <c r="AG175" s="31"/>
    </row>
    <row r="176" spans="1:33">
      <c r="A176" s="31"/>
      <c r="B176" s="31"/>
      <c r="C176" s="31"/>
      <c r="E176" s="31"/>
      <c r="F176" s="31"/>
      <c r="G176" s="31"/>
      <c r="J176" s="31"/>
      <c r="L176" s="31"/>
      <c r="M176" s="31"/>
      <c r="N176" s="31"/>
      <c r="O176" s="31"/>
      <c r="P176" s="65"/>
      <c r="R176" s="31"/>
      <c r="S176" s="31"/>
      <c r="T176" s="70"/>
      <c r="U176" s="31"/>
      <c r="W176" s="31"/>
      <c r="Y176" s="31"/>
      <c r="Z176" s="31"/>
      <c r="AA176" s="31"/>
      <c r="AB176" s="31"/>
      <c r="AC176" s="31"/>
      <c r="AD176" s="31"/>
      <c r="AE176" s="31"/>
      <c r="AG176" s="31"/>
    </row>
    <row r="177" spans="1:33">
      <c r="A177" s="31"/>
      <c r="B177" s="31"/>
      <c r="C177" s="31"/>
      <c r="E177" s="31"/>
      <c r="F177" s="31"/>
      <c r="G177" s="31"/>
      <c r="J177" s="31"/>
      <c r="L177" s="31"/>
      <c r="M177" s="31"/>
      <c r="N177" s="31"/>
      <c r="O177" s="31"/>
      <c r="P177" s="65"/>
      <c r="R177" s="31"/>
      <c r="S177" s="31"/>
      <c r="T177" s="70"/>
      <c r="U177" s="31"/>
      <c r="W177" s="31"/>
      <c r="Y177" s="31"/>
      <c r="Z177" s="31"/>
      <c r="AA177" s="31"/>
      <c r="AB177" s="31"/>
      <c r="AC177" s="31"/>
      <c r="AD177" s="31"/>
      <c r="AE177" s="31"/>
      <c r="AG177" s="31"/>
    </row>
    <row r="178" spans="1:33">
      <c r="A178" s="31"/>
      <c r="B178" s="31"/>
      <c r="C178" s="31"/>
      <c r="E178" s="31"/>
      <c r="F178" s="31"/>
      <c r="G178" s="31"/>
      <c r="J178" s="31"/>
      <c r="L178" s="31"/>
      <c r="M178" s="31"/>
      <c r="N178" s="31"/>
      <c r="O178" s="31"/>
      <c r="P178" s="65"/>
      <c r="R178" s="31"/>
      <c r="S178" s="31"/>
      <c r="T178" s="70"/>
      <c r="U178" s="31"/>
      <c r="W178" s="31"/>
      <c r="Y178" s="31"/>
      <c r="Z178" s="31"/>
      <c r="AA178" s="31"/>
      <c r="AB178" s="31"/>
      <c r="AC178" s="31"/>
      <c r="AD178" s="31"/>
      <c r="AE178" s="31"/>
      <c r="AG178" s="31"/>
    </row>
    <row r="179" spans="1:33">
      <c r="A179" s="31"/>
      <c r="B179" s="31"/>
      <c r="C179" s="31"/>
      <c r="E179" s="31"/>
      <c r="F179" s="31"/>
      <c r="G179" s="31"/>
      <c r="J179" s="31"/>
      <c r="L179" s="31"/>
      <c r="M179" s="31"/>
      <c r="N179" s="31"/>
      <c r="O179" s="31"/>
      <c r="P179" s="65"/>
      <c r="R179" s="31"/>
      <c r="S179" s="31"/>
      <c r="T179" s="70"/>
      <c r="U179" s="31"/>
      <c r="W179" s="31"/>
      <c r="Y179" s="31"/>
      <c r="Z179" s="31"/>
      <c r="AA179" s="31"/>
      <c r="AB179" s="31"/>
      <c r="AC179" s="31"/>
      <c r="AD179" s="31"/>
      <c r="AE179" s="31"/>
      <c r="AG179" s="31"/>
    </row>
    <row r="180" spans="1:33">
      <c r="A180" s="31"/>
      <c r="B180" s="31"/>
      <c r="C180" s="31"/>
      <c r="E180" s="31"/>
      <c r="F180" s="31"/>
      <c r="G180" s="31"/>
      <c r="J180" s="31"/>
      <c r="L180" s="31"/>
      <c r="M180" s="31"/>
      <c r="N180" s="31"/>
      <c r="O180" s="31"/>
      <c r="P180" s="65"/>
      <c r="R180" s="31"/>
      <c r="S180" s="31"/>
      <c r="T180" s="70"/>
      <c r="U180" s="31"/>
      <c r="W180" s="31"/>
      <c r="Y180" s="31"/>
      <c r="Z180" s="31"/>
      <c r="AA180" s="31"/>
      <c r="AB180" s="31"/>
      <c r="AC180" s="31"/>
      <c r="AD180" s="31"/>
      <c r="AE180" s="31"/>
      <c r="AG180" s="31"/>
    </row>
    <row r="181" spans="1:33">
      <c r="A181" s="31"/>
      <c r="B181" s="31"/>
      <c r="C181" s="31"/>
      <c r="E181" s="31"/>
      <c r="F181" s="31"/>
      <c r="G181" s="31"/>
      <c r="J181" s="31"/>
      <c r="L181" s="31"/>
      <c r="M181" s="31"/>
      <c r="N181" s="31"/>
      <c r="O181" s="31"/>
      <c r="P181" s="65"/>
      <c r="R181" s="31"/>
      <c r="S181" s="31"/>
      <c r="T181" s="70"/>
      <c r="U181" s="31"/>
      <c r="W181" s="31"/>
      <c r="Y181" s="31"/>
      <c r="Z181" s="31"/>
      <c r="AA181" s="31"/>
      <c r="AB181" s="31"/>
      <c r="AC181" s="31"/>
      <c r="AD181" s="31"/>
      <c r="AE181" s="31"/>
      <c r="AG181" s="31"/>
    </row>
    <row r="182" spans="1:33">
      <c r="A182" s="31"/>
      <c r="B182" s="31"/>
      <c r="C182" s="31"/>
      <c r="E182" s="31"/>
      <c r="F182" s="31"/>
      <c r="G182" s="31"/>
      <c r="J182" s="31"/>
      <c r="L182" s="31"/>
      <c r="M182" s="31"/>
      <c r="N182" s="31"/>
      <c r="O182" s="31"/>
      <c r="P182" s="65"/>
      <c r="R182" s="31"/>
      <c r="S182" s="31"/>
      <c r="T182" s="70"/>
      <c r="U182" s="31"/>
      <c r="W182" s="31"/>
      <c r="Y182" s="31"/>
      <c r="Z182" s="31"/>
      <c r="AA182" s="31"/>
      <c r="AB182" s="31"/>
      <c r="AC182" s="31"/>
      <c r="AD182" s="31"/>
      <c r="AE182" s="31"/>
      <c r="AG182" s="31"/>
    </row>
    <row r="183" spans="1:33">
      <c r="A183" s="31"/>
      <c r="B183" s="31"/>
      <c r="C183" s="31"/>
      <c r="E183" s="31"/>
      <c r="F183" s="31"/>
      <c r="G183" s="31"/>
      <c r="J183" s="31"/>
      <c r="L183" s="31"/>
      <c r="M183" s="31"/>
      <c r="N183" s="31"/>
      <c r="O183" s="31"/>
      <c r="P183" s="65"/>
      <c r="R183" s="31"/>
      <c r="S183" s="31"/>
      <c r="T183" s="70"/>
      <c r="U183" s="31"/>
      <c r="W183" s="31"/>
      <c r="Y183" s="31"/>
      <c r="Z183" s="31"/>
      <c r="AA183" s="31"/>
      <c r="AB183" s="31"/>
      <c r="AC183" s="31"/>
      <c r="AD183" s="31"/>
      <c r="AE183" s="31"/>
      <c r="AG183" s="31"/>
    </row>
    <row r="184" spans="1:33">
      <c r="A184" s="31"/>
      <c r="B184" s="31"/>
      <c r="C184" s="31"/>
      <c r="E184" s="31"/>
      <c r="F184" s="31"/>
      <c r="G184" s="31"/>
      <c r="J184" s="31"/>
      <c r="L184" s="31"/>
      <c r="M184" s="31"/>
      <c r="N184" s="31"/>
      <c r="O184" s="31"/>
      <c r="P184" s="65"/>
      <c r="R184" s="31"/>
      <c r="S184" s="31"/>
      <c r="T184" s="70"/>
      <c r="U184" s="31"/>
      <c r="W184" s="31"/>
      <c r="Y184" s="31"/>
      <c r="Z184" s="31"/>
      <c r="AA184" s="31"/>
      <c r="AB184" s="31"/>
      <c r="AC184" s="31"/>
      <c r="AD184" s="31"/>
      <c r="AE184" s="31"/>
      <c r="AG184" s="31"/>
    </row>
    <row r="185" spans="1:33">
      <c r="A185" s="31"/>
      <c r="B185" s="31"/>
      <c r="C185" s="31"/>
      <c r="E185" s="31"/>
      <c r="F185" s="31"/>
      <c r="G185" s="31"/>
      <c r="J185" s="31"/>
      <c r="L185" s="31"/>
      <c r="M185" s="31"/>
      <c r="N185" s="31"/>
      <c r="O185" s="31"/>
      <c r="P185" s="65"/>
      <c r="R185" s="31"/>
      <c r="S185" s="31"/>
      <c r="T185" s="70"/>
      <c r="U185" s="31"/>
      <c r="W185" s="31"/>
      <c r="Y185" s="31"/>
      <c r="Z185" s="31"/>
      <c r="AA185" s="31"/>
      <c r="AB185" s="31"/>
      <c r="AC185" s="31"/>
      <c r="AD185" s="31"/>
      <c r="AE185" s="31"/>
      <c r="AG185" s="31"/>
    </row>
    <row r="186" spans="1:33">
      <c r="A186" s="31"/>
      <c r="B186" s="31"/>
      <c r="C186" s="31"/>
      <c r="E186" s="31"/>
      <c r="F186" s="31"/>
      <c r="G186" s="31"/>
      <c r="J186" s="31"/>
      <c r="L186" s="31"/>
      <c r="M186" s="31"/>
      <c r="N186" s="31"/>
      <c r="O186" s="31"/>
      <c r="P186" s="65"/>
      <c r="R186" s="31"/>
      <c r="S186" s="31"/>
      <c r="T186" s="70"/>
      <c r="U186" s="31"/>
      <c r="W186" s="31"/>
      <c r="Y186" s="31"/>
      <c r="Z186" s="31"/>
      <c r="AA186" s="31"/>
      <c r="AB186" s="31"/>
      <c r="AC186" s="31"/>
      <c r="AD186" s="31"/>
      <c r="AE186" s="31"/>
      <c r="AG186" s="31"/>
    </row>
    <row r="187" spans="1:33">
      <c r="A187" s="31"/>
      <c r="B187" s="31"/>
      <c r="C187" s="31"/>
      <c r="E187" s="31"/>
      <c r="F187" s="31"/>
      <c r="G187" s="31"/>
      <c r="J187" s="31"/>
      <c r="L187" s="31"/>
      <c r="M187" s="31"/>
      <c r="N187" s="31"/>
      <c r="O187" s="31"/>
      <c r="P187" s="65"/>
      <c r="R187" s="31"/>
      <c r="S187" s="31"/>
      <c r="T187" s="70"/>
      <c r="U187" s="31"/>
      <c r="W187" s="31"/>
      <c r="Y187" s="31"/>
      <c r="Z187" s="31"/>
      <c r="AA187" s="31"/>
      <c r="AB187" s="31"/>
      <c r="AC187" s="31"/>
      <c r="AD187" s="31"/>
      <c r="AE187" s="31"/>
      <c r="AG187" s="31"/>
    </row>
    <row r="188" spans="1:33">
      <c r="A188" s="31"/>
      <c r="B188" s="31"/>
      <c r="C188" s="31"/>
      <c r="E188" s="31"/>
      <c r="F188" s="31"/>
      <c r="G188" s="31"/>
      <c r="J188" s="31"/>
      <c r="L188" s="31"/>
      <c r="M188" s="31"/>
      <c r="N188" s="31"/>
      <c r="O188" s="31"/>
      <c r="P188" s="65"/>
      <c r="R188" s="31"/>
      <c r="S188" s="31"/>
      <c r="T188" s="70"/>
      <c r="U188" s="31"/>
      <c r="W188" s="31"/>
      <c r="Y188" s="31"/>
      <c r="Z188" s="31"/>
      <c r="AA188" s="31"/>
      <c r="AB188" s="31"/>
      <c r="AC188" s="31"/>
      <c r="AD188" s="31"/>
      <c r="AE188" s="31"/>
      <c r="AG188" s="31"/>
    </row>
    <row r="189" spans="1:33">
      <c r="A189" s="31"/>
      <c r="B189" s="31"/>
      <c r="C189" s="31"/>
      <c r="E189" s="31"/>
      <c r="F189" s="31"/>
      <c r="G189" s="31"/>
      <c r="J189" s="31"/>
      <c r="L189" s="31"/>
      <c r="M189" s="31"/>
      <c r="N189" s="31"/>
      <c r="O189" s="31"/>
      <c r="P189" s="65"/>
      <c r="R189" s="31"/>
      <c r="S189" s="31"/>
      <c r="T189" s="70"/>
      <c r="U189" s="31"/>
      <c r="W189" s="31"/>
      <c r="Y189" s="31"/>
      <c r="Z189" s="31"/>
      <c r="AA189" s="31"/>
      <c r="AB189" s="31"/>
      <c r="AC189" s="31"/>
      <c r="AD189" s="31"/>
      <c r="AE189" s="31"/>
      <c r="AG189" s="31"/>
    </row>
    <row r="190" spans="1:33">
      <c r="A190" s="31"/>
      <c r="B190" s="31"/>
      <c r="C190" s="31"/>
      <c r="E190" s="31"/>
      <c r="F190" s="31"/>
      <c r="G190" s="31"/>
      <c r="J190" s="31"/>
      <c r="L190" s="31"/>
      <c r="M190" s="31"/>
      <c r="N190" s="31"/>
      <c r="O190" s="31"/>
      <c r="P190" s="65"/>
      <c r="R190" s="31"/>
      <c r="S190" s="31"/>
      <c r="T190" s="70"/>
      <c r="U190" s="31"/>
      <c r="W190" s="31"/>
      <c r="Y190" s="31"/>
      <c r="Z190" s="31"/>
      <c r="AA190" s="31"/>
      <c r="AB190" s="31"/>
      <c r="AC190" s="31"/>
      <c r="AD190" s="31"/>
      <c r="AE190" s="31"/>
      <c r="AG190" s="31"/>
    </row>
    <row r="191" spans="1:33">
      <c r="A191" s="31"/>
      <c r="B191" s="31"/>
      <c r="C191" s="31"/>
      <c r="E191" s="31"/>
      <c r="F191" s="31"/>
      <c r="G191" s="31"/>
      <c r="J191" s="31"/>
      <c r="L191" s="31"/>
      <c r="M191" s="31"/>
      <c r="N191" s="31"/>
      <c r="O191" s="31"/>
      <c r="P191" s="65"/>
      <c r="R191" s="31"/>
      <c r="S191" s="31"/>
      <c r="T191" s="70"/>
      <c r="U191" s="31"/>
      <c r="W191" s="31"/>
      <c r="Y191" s="31"/>
      <c r="Z191" s="31"/>
      <c r="AA191" s="31"/>
      <c r="AB191" s="31"/>
      <c r="AC191" s="31"/>
      <c r="AD191" s="31"/>
      <c r="AE191" s="31"/>
      <c r="AG191" s="31"/>
    </row>
    <row r="192" spans="1:33">
      <c r="A192" s="31"/>
      <c r="B192" s="31"/>
      <c r="C192" s="31"/>
      <c r="E192" s="31"/>
      <c r="F192" s="31"/>
      <c r="G192" s="31"/>
      <c r="J192" s="31"/>
      <c r="L192" s="31"/>
      <c r="M192" s="31"/>
      <c r="N192" s="31"/>
      <c r="O192" s="31"/>
      <c r="P192" s="65"/>
      <c r="R192" s="31"/>
      <c r="S192" s="31"/>
      <c r="T192" s="70"/>
      <c r="U192" s="31"/>
      <c r="W192" s="31"/>
      <c r="Y192" s="31"/>
      <c r="Z192" s="31"/>
      <c r="AA192" s="31"/>
      <c r="AB192" s="31"/>
      <c r="AC192" s="31"/>
      <c r="AD192" s="31"/>
      <c r="AE192" s="31"/>
      <c r="AG192" s="31"/>
    </row>
    <row r="193" spans="1:33">
      <c r="A193" s="31"/>
      <c r="B193" s="31"/>
      <c r="C193" s="31"/>
      <c r="E193" s="31"/>
      <c r="F193" s="31"/>
      <c r="G193" s="31"/>
      <c r="J193" s="31"/>
      <c r="L193" s="31"/>
      <c r="M193" s="31"/>
      <c r="N193" s="31"/>
      <c r="O193" s="31"/>
      <c r="P193" s="65"/>
      <c r="R193" s="31"/>
      <c r="S193" s="31"/>
      <c r="T193" s="70"/>
      <c r="U193" s="31"/>
      <c r="W193" s="31"/>
      <c r="Y193" s="31"/>
      <c r="Z193" s="31"/>
      <c r="AA193" s="31"/>
      <c r="AB193" s="31"/>
      <c r="AC193" s="31"/>
      <c r="AD193" s="31"/>
      <c r="AE193" s="31"/>
      <c r="AG193" s="31"/>
    </row>
    <row r="194" spans="1:33">
      <c r="A194" s="31"/>
      <c r="B194" s="31"/>
      <c r="C194" s="31"/>
      <c r="E194" s="31"/>
      <c r="F194" s="31"/>
      <c r="G194" s="31"/>
      <c r="J194" s="31"/>
      <c r="L194" s="31"/>
      <c r="M194" s="31"/>
      <c r="N194" s="31"/>
      <c r="O194" s="31"/>
      <c r="P194" s="65"/>
      <c r="R194" s="31"/>
      <c r="S194" s="31"/>
      <c r="T194" s="70"/>
      <c r="U194" s="31"/>
      <c r="W194" s="31"/>
      <c r="Y194" s="31"/>
      <c r="Z194" s="31"/>
      <c r="AA194" s="31"/>
      <c r="AB194" s="31"/>
      <c r="AC194" s="31"/>
      <c r="AD194" s="31"/>
      <c r="AE194" s="31"/>
      <c r="AG194" s="31"/>
    </row>
    <row r="195" spans="1:33">
      <c r="A195" s="31"/>
      <c r="B195" s="31"/>
      <c r="C195" s="31"/>
      <c r="E195" s="31"/>
      <c r="F195" s="31"/>
      <c r="G195" s="31"/>
      <c r="J195" s="31"/>
      <c r="L195" s="31"/>
      <c r="M195" s="31"/>
      <c r="N195" s="31"/>
      <c r="O195" s="31"/>
      <c r="P195" s="65"/>
      <c r="R195" s="31"/>
      <c r="S195" s="31"/>
      <c r="T195" s="70"/>
      <c r="U195" s="31"/>
      <c r="W195" s="31"/>
      <c r="Y195" s="31"/>
      <c r="Z195" s="31"/>
      <c r="AA195" s="31"/>
      <c r="AB195" s="31"/>
      <c r="AC195" s="31"/>
      <c r="AD195" s="31"/>
      <c r="AE195" s="31"/>
      <c r="AG195" s="31"/>
    </row>
    <row r="196" spans="1:33">
      <c r="A196" s="31"/>
      <c r="B196" s="31"/>
      <c r="C196" s="31"/>
      <c r="E196" s="31"/>
      <c r="F196" s="31"/>
      <c r="G196" s="31"/>
      <c r="J196" s="31"/>
      <c r="L196" s="31"/>
      <c r="M196" s="31"/>
      <c r="N196" s="31"/>
      <c r="O196" s="31"/>
      <c r="P196" s="65"/>
      <c r="R196" s="31"/>
      <c r="S196" s="31"/>
      <c r="T196" s="70"/>
      <c r="U196" s="31"/>
      <c r="W196" s="31"/>
      <c r="Y196" s="31"/>
      <c r="Z196" s="31"/>
      <c r="AA196" s="31"/>
      <c r="AB196" s="31"/>
      <c r="AC196" s="31"/>
      <c r="AD196" s="31"/>
      <c r="AE196" s="31"/>
      <c r="AG196" s="31"/>
    </row>
    <row r="197" spans="1:33">
      <c r="A197" s="31"/>
      <c r="B197" s="31"/>
      <c r="C197" s="31"/>
      <c r="E197" s="31"/>
      <c r="F197" s="31"/>
      <c r="G197" s="31"/>
      <c r="J197" s="31"/>
      <c r="L197" s="31"/>
      <c r="M197" s="31"/>
      <c r="N197" s="31"/>
      <c r="O197" s="31"/>
      <c r="P197" s="65"/>
      <c r="R197" s="31"/>
      <c r="S197" s="31"/>
      <c r="T197" s="70"/>
      <c r="U197" s="31"/>
      <c r="W197" s="31"/>
      <c r="Y197" s="31"/>
      <c r="Z197" s="31"/>
      <c r="AA197" s="31"/>
      <c r="AB197" s="31"/>
      <c r="AC197" s="31"/>
      <c r="AD197" s="31"/>
      <c r="AE197" s="31"/>
      <c r="AG197" s="31"/>
    </row>
    <row r="198" spans="1:33">
      <c r="A198" s="31"/>
      <c r="B198" s="31"/>
      <c r="C198" s="31"/>
      <c r="E198" s="31"/>
      <c r="F198" s="31"/>
      <c r="G198" s="31"/>
      <c r="J198" s="31"/>
      <c r="L198" s="31"/>
      <c r="M198" s="31"/>
      <c r="N198" s="31"/>
      <c r="O198" s="31"/>
      <c r="P198" s="65"/>
      <c r="R198" s="31"/>
      <c r="S198" s="31"/>
      <c r="T198" s="70"/>
      <c r="U198" s="31"/>
      <c r="W198" s="31"/>
      <c r="Y198" s="31"/>
      <c r="Z198" s="31"/>
      <c r="AA198" s="31"/>
      <c r="AB198" s="31"/>
      <c r="AC198" s="31"/>
      <c r="AD198" s="31"/>
      <c r="AE198" s="31"/>
      <c r="AG198" s="31"/>
    </row>
    <row r="199" spans="1:33">
      <c r="A199" s="31"/>
      <c r="B199" s="31"/>
      <c r="C199" s="31"/>
      <c r="E199" s="31"/>
      <c r="F199" s="31"/>
      <c r="G199" s="31"/>
      <c r="J199" s="31"/>
      <c r="L199" s="31"/>
      <c r="M199" s="31"/>
      <c r="N199" s="31"/>
      <c r="O199" s="31"/>
      <c r="P199" s="65"/>
      <c r="R199" s="31"/>
      <c r="S199" s="31"/>
      <c r="T199" s="70"/>
      <c r="U199" s="31"/>
      <c r="W199" s="31"/>
      <c r="Y199" s="31"/>
      <c r="Z199" s="31"/>
      <c r="AA199" s="31"/>
      <c r="AB199" s="31"/>
      <c r="AC199" s="31"/>
      <c r="AD199" s="31"/>
      <c r="AE199" s="31"/>
      <c r="AG199" s="31"/>
    </row>
    <row r="200" spans="1:33">
      <c r="A200" s="31"/>
      <c r="B200" s="31"/>
      <c r="C200" s="31"/>
      <c r="E200" s="31"/>
      <c r="F200" s="31"/>
      <c r="G200" s="31"/>
      <c r="J200" s="31"/>
      <c r="L200" s="31"/>
      <c r="M200" s="31"/>
      <c r="N200" s="31"/>
      <c r="O200" s="31"/>
      <c r="P200" s="65"/>
      <c r="R200" s="31"/>
      <c r="S200" s="31"/>
      <c r="T200" s="70"/>
      <c r="U200" s="31"/>
      <c r="W200" s="31"/>
      <c r="Y200" s="31"/>
      <c r="Z200" s="31"/>
      <c r="AA200" s="31"/>
      <c r="AB200" s="31"/>
      <c r="AC200" s="31"/>
      <c r="AD200" s="31"/>
      <c r="AE200" s="31"/>
      <c r="AG200" s="31"/>
    </row>
    <row r="201" spans="1:33">
      <c r="A201" s="31"/>
      <c r="B201" s="31"/>
      <c r="C201" s="31"/>
      <c r="E201" s="31"/>
      <c r="F201" s="31"/>
      <c r="G201" s="31"/>
      <c r="J201" s="31"/>
      <c r="L201" s="31"/>
      <c r="M201" s="31"/>
      <c r="N201" s="31"/>
      <c r="O201" s="31"/>
      <c r="P201" s="65"/>
      <c r="R201" s="31"/>
      <c r="S201" s="31"/>
      <c r="T201" s="70"/>
      <c r="U201" s="31"/>
      <c r="W201" s="31"/>
      <c r="Y201" s="31"/>
      <c r="Z201" s="31"/>
      <c r="AA201" s="31"/>
      <c r="AB201" s="31"/>
      <c r="AC201" s="31"/>
      <c r="AD201" s="31"/>
      <c r="AE201" s="31"/>
      <c r="AG201" s="31"/>
    </row>
    <row r="202" spans="1:33">
      <c r="A202" s="31"/>
      <c r="B202" s="31"/>
      <c r="C202" s="31"/>
      <c r="E202" s="31"/>
      <c r="F202" s="31"/>
      <c r="G202" s="31"/>
      <c r="J202" s="31"/>
      <c r="L202" s="31"/>
      <c r="M202" s="31"/>
      <c r="N202" s="31"/>
      <c r="O202" s="31"/>
      <c r="P202" s="65"/>
      <c r="R202" s="31"/>
      <c r="S202" s="31"/>
      <c r="T202" s="70"/>
      <c r="U202" s="31"/>
      <c r="W202" s="31"/>
      <c r="Y202" s="31"/>
      <c r="Z202" s="31"/>
      <c r="AA202" s="31"/>
      <c r="AB202" s="31"/>
      <c r="AC202" s="31"/>
      <c r="AD202" s="31"/>
      <c r="AE202" s="31"/>
      <c r="AG202" s="31"/>
    </row>
    <row r="203" spans="1:33">
      <c r="A203" s="31"/>
      <c r="B203" s="31"/>
      <c r="C203" s="31"/>
      <c r="E203" s="31"/>
      <c r="F203" s="31"/>
      <c r="G203" s="31"/>
      <c r="J203" s="31"/>
      <c r="L203" s="31"/>
      <c r="M203" s="31"/>
      <c r="N203" s="31"/>
      <c r="O203" s="31"/>
      <c r="P203" s="65"/>
      <c r="R203" s="31"/>
      <c r="S203" s="31"/>
      <c r="T203" s="70"/>
      <c r="U203" s="31"/>
      <c r="W203" s="31"/>
      <c r="Y203" s="31"/>
      <c r="Z203" s="31"/>
      <c r="AA203" s="31"/>
      <c r="AB203" s="31"/>
      <c r="AC203" s="31"/>
      <c r="AD203" s="31"/>
      <c r="AE203" s="31"/>
      <c r="AG203" s="31"/>
    </row>
    <row r="204" spans="1:33">
      <c r="A204" s="31"/>
      <c r="B204" s="31"/>
      <c r="C204" s="31"/>
      <c r="E204" s="31"/>
      <c r="F204" s="31"/>
      <c r="G204" s="31"/>
      <c r="J204" s="31"/>
      <c r="L204" s="31"/>
      <c r="M204" s="31"/>
      <c r="N204" s="31"/>
      <c r="O204" s="31"/>
      <c r="P204" s="65"/>
      <c r="R204" s="31"/>
      <c r="S204" s="31"/>
      <c r="T204" s="70"/>
      <c r="U204" s="31"/>
      <c r="W204" s="31"/>
      <c r="Y204" s="31"/>
      <c r="Z204" s="31"/>
      <c r="AA204" s="31"/>
      <c r="AB204" s="31"/>
      <c r="AC204" s="31"/>
      <c r="AD204" s="31"/>
      <c r="AE204" s="31"/>
      <c r="AG204" s="31"/>
    </row>
    <row r="205" spans="1:33">
      <c r="A205" s="31"/>
      <c r="B205" s="31"/>
      <c r="C205" s="31"/>
      <c r="E205" s="31"/>
      <c r="F205" s="31"/>
      <c r="G205" s="31"/>
      <c r="J205" s="31"/>
      <c r="L205" s="31"/>
      <c r="M205" s="31"/>
      <c r="N205" s="31"/>
      <c r="O205" s="31"/>
      <c r="P205" s="65"/>
      <c r="R205" s="31"/>
      <c r="S205" s="31"/>
      <c r="T205" s="70"/>
      <c r="U205" s="31"/>
      <c r="W205" s="31"/>
      <c r="Y205" s="31"/>
      <c r="Z205" s="31"/>
      <c r="AA205" s="31"/>
      <c r="AB205" s="31"/>
      <c r="AC205" s="31"/>
      <c r="AD205" s="31"/>
      <c r="AE205" s="31"/>
      <c r="AG205" s="31"/>
    </row>
    <row r="206" spans="1:33">
      <c r="A206" s="31"/>
      <c r="B206" s="31"/>
      <c r="C206" s="31"/>
      <c r="E206" s="31"/>
      <c r="F206" s="31"/>
      <c r="G206" s="31"/>
      <c r="J206" s="31"/>
      <c r="L206" s="31"/>
      <c r="M206" s="31"/>
      <c r="N206" s="31"/>
      <c r="O206" s="31"/>
      <c r="P206" s="65"/>
      <c r="R206" s="31"/>
      <c r="S206" s="31"/>
      <c r="T206" s="70"/>
      <c r="U206" s="31"/>
      <c r="W206" s="31"/>
      <c r="Y206" s="31"/>
      <c r="Z206" s="31"/>
      <c r="AA206" s="31"/>
      <c r="AB206" s="31"/>
      <c r="AC206" s="31"/>
      <c r="AD206" s="31"/>
      <c r="AE206" s="31"/>
      <c r="AG206" s="31"/>
    </row>
    <row r="207" spans="1:33">
      <c r="A207" s="31"/>
      <c r="B207" s="31"/>
      <c r="C207" s="31"/>
      <c r="E207" s="31"/>
      <c r="F207" s="31"/>
      <c r="G207" s="31"/>
      <c r="J207" s="31"/>
      <c r="L207" s="31"/>
      <c r="M207" s="31"/>
      <c r="N207" s="31"/>
      <c r="O207" s="31"/>
      <c r="P207" s="65"/>
      <c r="R207" s="31"/>
      <c r="S207" s="31"/>
      <c r="T207" s="70"/>
      <c r="U207" s="31"/>
      <c r="W207" s="31"/>
      <c r="Y207" s="31"/>
      <c r="Z207" s="31"/>
      <c r="AA207" s="31"/>
      <c r="AB207" s="31"/>
      <c r="AC207" s="31"/>
      <c r="AD207" s="31"/>
      <c r="AE207" s="31"/>
      <c r="AG207" s="31"/>
    </row>
    <row r="208" spans="1:33">
      <c r="A208" s="31"/>
      <c r="B208" s="31"/>
      <c r="C208" s="31"/>
      <c r="E208" s="31"/>
      <c r="F208" s="31"/>
      <c r="G208" s="31"/>
      <c r="J208" s="31"/>
      <c r="L208" s="31"/>
      <c r="M208" s="31"/>
      <c r="N208" s="31"/>
      <c r="O208" s="31"/>
      <c r="P208" s="65"/>
      <c r="R208" s="31"/>
      <c r="S208" s="31"/>
      <c r="T208" s="70"/>
      <c r="U208" s="31"/>
      <c r="W208" s="31"/>
      <c r="Y208" s="31"/>
      <c r="Z208" s="31"/>
      <c r="AA208" s="31"/>
      <c r="AB208" s="31"/>
      <c r="AC208" s="31"/>
      <c r="AD208" s="31"/>
      <c r="AE208" s="31"/>
      <c r="AG208" s="31"/>
    </row>
    <row r="209" spans="1:33">
      <c r="A209" s="31"/>
      <c r="B209" s="31"/>
      <c r="C209" s="31"/>
      <c r="E209" s="31"/>
      <c r="F209" s="31"/>
      <c r="G209" s="31"/>
      <c r="J209" s="31"/>
      <c r="L209" s="31"/>
      <c r="M209" s="31"/>
      <c r="N209" s="31"/>
      <c r="O209" s="31"/>
      <c r="P209" s="65"/>
      <c r="R209" s="31"/>
      <c r="S209" s="31"/>
      <c r="T209" s="70"/>
      <c r="U209" s="31"/>
      <c r="W209" s="31"/>
      <c r="Y209" s="31"/>
      <c r="Z209" s="31"/>
      <c r="AA209" s="31"/>
      <c r="AB209" s="31"/>
      <c r="AC209" s="31"/>
      <c r="AD209" s="31"/>
      <c r="AE209" s="31"/>
      <c r="AG209" s="31"/>
    </row>
    <row r="210" spans="1:33">
      <c r="A210" s="31"/>
      <c r="B210" s="31"/>
      <c r="C210" s="31"/>
      <c r="E210" s="31"/>
      <c r="F210" s="31"/>
      <c r="G210" s="31"/>
      <c r="J210" s="31"/>
      <c r="L210" s="31"/>
      <c r="M210" s="31"/>
      <c r="N210" s="31"/>
      <c r="O210" s="31"/>
      <c r="P210" s="65"/>
      <c r="R210" s="31"/>
      <c r="S210" s="31"/>
      <c r="T210" s="70"/>
      <c r="U210" s="31"/>
      <c r="W210" s="31"/>
      <c r="Y210" s="31"/>
      <c r="Z210" s="31"/>
      <c r="AA210" s="31"/>
      <c r="AB210" s="31"/>
      <c r="AC210" s="31"/>
      <c r="AD210" s="31"/>
      <c r="AE210" s="31"/>
      <c r="AG210" s="31"/>
    </row>
    <row r="211" spans="1:33">
      <c r="A211" s="31"/>
      <c r="B211" s="31"/>
      <c r="C211" s="31"/>
      <c r="E211" s="31"/>
      <c r="F211" s="31"/>
      <c r="G211" s="31"/>
      <c r="J211" s="31"/>
      <c r="L211" s="31"/>
      <c r="M211" s="31"/>
      <c r="N211" s="31"/>
      <c r="O211" s="31"/>
      <c r="P211" s="65"/>
      <c r="R211" s="31"/>
      <c r="S211" s="31"/>
      <c r="T211" s="70"/>
      <c r="U211" s="31"/>
      <c r="W211" s="31"/>
      <c r="Y211" s="31"/>
      <c r="Z211" s="31"/>
      <c r="AA211" s="31"/>
      <c r="AB211" s="31"/>
      <c r="AC211" s="31"/>
      <c r="AD211" s="31"/>
      <c r="AE211" s="31"/>
      <c r="AG211" s="31"/>
    </row>
    <row r="212" spans="1:33">
      <c r="A212" s="31"/>
      <c r="B212" s="31"/>
      <c r="C212" s="31"/>
      <c r="E212" s="31"/>
      <c r="F212" s="31"/>
      <c r="G212" s="31"/>
      <c r="J212" s="31"/>
      <c r="L212" s="31"/>
      <c r="M212" s="31"/>
      <c r="N212" s="31"/>
      <c r="O212" s="31"/>
      <c r="P212" s="65"/>
      <c r="R212" s="31"/>
      <c r="S212" s="31"/>
      <c r="T212" s="70"/>
      <c r="U212" s="31"/>
      <c r="W212" s="31"/>
      <c r="Y212" s="31"/>
      <c r="Z212" s="31"/>
      <c r="AA212" s="31"/>
      <c r="AB212" s="31"/>
      <c r="AC212" s="31"/>
      <c r="AD212" s="31"/>
      <c r="AE212" s="31"/>
      <c r="AG212" s="31"/>
    </row>
    <row r="213" spans="1:33">
      <c r="A213" s="31"/>
      <c r="B213" s="31"/>
      <c r="C213" s="31"/>
      <c r="E213" s="31"/>
      <c r="F213" s="31"/>
      <c r="G213" s="31"/>
      <c r="J213" s="31"/>
      <c r="L213" s="31"/>
      <c r="M213" s="31"/>
      <c r="N213" s="31"/>
      <c r="O213" s="31"/>
      <c r="P213" s="65"/>
      <c r="R213" s="31"/>
      <c r="S213" s="31"/>
      <c r="T213" s="70"/>
      <c r="U213" s="31"/>
      <c r="W213" s="31"/>
      <c r="Y213" s="31"/>
      <c r="Z213" s="31"/>
      <c r="AA213" s="31"/>
      <c r="AB213" s="31"/>
      <c r="AC213" s="31"/>
      <c r="AD213" s="31"/>
      <c r="AE213" s="31"/>
      <c r="AG213" s="31"/>
    </row>
    <row r="214" spans="1:33">
      <c r="A214" s="31"/>
      <c r="B214" s="31"/>
      <c r="C214" s="31"/>
      <c r="E214" s="31"/>
      <c r="F214" s="31"/>
      <c r="G214" s="31"/>
      <c r="J214" s="31"/>
      <c r="L214" s="31"/>
      <c r="M214" s="31"/>
      <c r="N214" s="31"/>
      <c r="O214" s="31"/>
      <c r="P214" s="65"/>
      <c r="R214" s="31"/>
      <c r="S214" s="31"/>
      <c r="T214" s="70"/>
      <c r="U214" s="31"/>
      <c r="W214" s="31"/>
      <c r="Y214" s="31"/>
      <c r="Z214" s="31"/>
      <c r="AA214" s="31"/>
      <c r="AB214" s="31"/>
      <c r="AC214" s="31"/>
      <c r="AD214" s="31"/>
      <c r="AE214" s="31"/>
      <c r="AG214" s="31"/>
    </row>
    <row r="215" spans="1:33">
      <c r="A215" s="31"/>
      <c r="B215" s="31"/>
      <c r="C215" s="31"/>
      <c r="E215" s="31"/>
      <c r="F215" s="31"/>
      <c r="G215" s="31"/>
      <c r="J215" s="31"/>
      <c r="L215" s="31"/>
      <c r="M215" s="31"/>
      <c r="N215" s="31"/>
      <c r="O215" s="31"/>
      <c r="P215" s="65"/>
      <c r="R215" s="31"/>
      <c r="S215" s="31"/>
      <c r="T215" s="70"/>
      <c r="U215" s="31"/>
      <c r="W215" s="31"/>
      <c r="Y215" s="31"/>
      <c r="Z215" s="31"/>
      <c r="AA215" s="31"/>
      <c r="AB215" s="31"/>
      <c r="AC215" s="31"/>
      <c r="AD215" s="31"/>
      <c r="AE215" s="31"/>
      <c r="AG215" s="31"/>
    </row>
    <row r="216" spans="1:33">
      <c r="A216" s="31"/>
      <c r="B216" s="31"/>
      <c r="C216" s="31"/>
      <c r="E216" s="31"/>
      <c r="F216" s="31"/>
      <c r="G216" s="31"/>
      <c r="J216" s="31"/>
      <c r="L216" s="31"/>
      <c r="M216" s="31"/>
      <c r="N216" s="31"/>
      <c r="O216" s="31"/>
      <c r="P216" s="65"/>
      <c r="R216" s="31"/>
      <c r="S216" s="31"/>
      <c r="T216" s="70"/>
      <c r="U216" s="31"/>
      <c r="W216" s="31"/>
      <c r="Y216" s="31"/>
      <c r="Z216" s="31"/>
      <c r="AA216" s="31"/>
      <c r="AB216" s="31"/>
      <c r="AC216" s="31"/>
      <c r="AD216" s="31"/>
      <c r="AE216" s="31"/>
      <c r="AG216" s="31"/>
    </row>
    <row r="217" spans="1:33">
      <c r="A217" s="31"/>
      <c r="B217" s="31"/>
      <c r="C217" s="31"/>
      <c r="E217" s="31"/>
      <c r="F217" s="31"/>
      <c r="G217" s="31"/>
      <c r="J217" s="31"/>
      <c r="L217" s="31"/>
      <c r="M217" s="31"/>
      <c r="N217" s="31"/>
      <c r="O217" s="31"/>
      <c r="P217" s="65"/>
      <c r="R217" s="31"/>
      <c r="S217" s="31"/>
      <c r="T217" s="70"/>
      <c r="U217" s="31"/>
      <c r="W217" s="31"/>
      <c r="Y217" s="31"/>
      <c r="Z217" s="31"/>
      <c r="AA217" s="31"/>
      <c r="AB217" s="31"/>
      <c r="AC217" s="31"/>
      <c r="AD217" s="31"/>
      <c r="AE217" s="31"/>
      <c r="AG217" s="31"/>
    </row>
    <row r="218" spans="1:33">
      <c r="A218" s="31"/>
      <c r="B218" s="31"/>
      <c r="C218" s="31"/>
      <c r="E218" s="31"/>
      <c r="F218" s="31"/>
      <c r="G218" s="31"/>
      <c r="J218" s="31"/>
      <c r="L218" s="31"/>
      <c r="M218" s="31"/>
      <c r="N218" s="31"/>
      <c r="O218" s="31"/>
      <c r="P218" s="65"/>
      <c r="R218" s="31"/>
      <c r="S218" s="31"/>
      <c r="T218" s="70"/>
      <c r="U218" s="31"/>
      <c r="W218" s="31"/>
      <c r="Y218" s="31"/>
      <c r="Z218" s="31"/>
      <c r="AA218" s="31"/>
      <c r="AB218" s="31"/>
      <c r="AC218" s="31"/>
      <c r="AD218" s="31"/>
      <c r="AE218" s="31"/>
      <c r="AG218" s="31"/>
    </row>
    <row r="219" spans="1:33">
      <c r="A219" s="31"/>
      <c r="B219" s="31"/>
      <c r="C219" s="31"/>
      <c r="E219" s="31"/>
      <c r="F219" s="31"/>
      <c r="G219" s="31"/>
      <c r="J219" s="31"/>
      <c r="L219" s="31"/>
      <c r="M219" s="31"/>
      <c r="N219" s="31"/>
      <c r="O219" s="31"/>
      <c r="P219" s="65"/>
      <c r="R219" s="31"/>
      <c r="S219" s="31"/>
      <c r="T219" s="70"/>
      <c r="U219" s="31"/>
      <c r="W219" s="31"/>
      <c r="Y219" s="31"/>
      <c r="Z219" s="31"/>
      <c r="AA219" s="31"/>
      <c r="AB219" s="31"/>
      <c r="AC219" s="31"/>
      <c r="AD219" s="31"/>
      <c r="AE219" s="31"/>
      <c r="AG219" s="31"/>
    </row>
    <row r="220" spans="1:33">
      <c r="A220" s="31"/>
      <c r="B220" s="31"/>
      <c r="C220" s="31"/>
      <c r="E220" s="31"/>
      <c r="F220" s="31"/>
      <c r="G220" s="31"/>
      <c r="J220" s="31"/>
      <c r="L220" s="31"/>
      <c r="M220" s="31"/>
      <c r="N220" s="31"/>
      <c r="O220" s="31"/>
      <c r="P220" s="65"/>
      <c r="R220" s="31"/>
      <c r="S220" s="31"/>
      <c r="T220" s="70"/>
      <c r="U220" s="31"/>
      <c r="W220" s="31"/>
      <c r="Y220" s="31"/>
      <c r="Z220" s="31"/>
      <c r="AA220" s="31"/>
      <c r="AB220" s="31"/>
      <c r="AC220" s="31"/>
      <c r="AD220" s="31"/>
      <c r="AE220" s="31"/>
      <c r="AG220" s="31"/>
    </row>
    <row r="221" spans="1:33">
      <c r="A221" s="31"/>
      <c r="B221" s="31"/>
      <c r="C221" s="31"/>
      <c r="E221" s="31"/>
      <c r="F221" s="31"/>
      <c r="G221" s="31"/>
      <c r="J221" s="31"/>
      <c r="L221" s="31"/>
      <c r="M221" s="31"/>
      <c r="N221" s="31"/>
      <c r="O221" s="31"/>
      <c r="P221" s="65"/>
      <c r="R221" s="31"/>
      <c r="S221" s="31"/>
      <c r="T221" s="70"/>
      <c r="U221" s="31"/>
      <c r="W221" s="31"/>
      <c r="Y221" s="31"/>
      <c r="Z221" s="31"/>
      <c r="AA221" s="31"/>
      <c r="AB221" s="31"/>
      <c r="AC221" s="31"/>
      <c r="AD221" s="31"/>
      <c r="AE221" s="31"/>
      <c r="AG221" s="31"/>
    </row>
    <row r="222" spans="1:33">
      <c r="A222" s="31"/>
      <c r="B222" s="31"/>
      <c r="C222" s="31"/>
      <c r="E222" s="31"/>
      <c r="F222" s="31"/>
      <c r="G222" s="31"/>
      <c r="J222" s="31"/>
      <c r="L222" s="31"/>
      <c r="M222" s="31"/>
      <c r="N222" s="31"/>
      <c r="O222" s="31"/>
      <c r="P222" s="65"/>
      <c r="R222" s="31"/>
      <c r="S222" s="31"/>
      <c r="T222" s="70"/>
      <c r="U222" s="31"/>
      <c r="W222" s="31"/>
      <c r="Y222" s="31"/>
      <c r="Z222" s="31"/>
      <c r="AA222" s="31"/>
      <c r="AB222" s="31"/>
      <c r="AC222" s="31"/>
      <c r="AD222" s="31"/>
      <c r="AE222" s="31"/>
      <c r="AG222" s="31"/>
    </row>
    <row r="223" spans="1:33">
      <c r="A223" s="31"/>
      <c r="B223" s="31"/>
      <c r="C223" s="31"/>
      <c r="E223" s="31"/>
      <c r="F223" s="31"/>
      <c r="G223" s="31"/>
      <c r="J223" s="31"/>
      <c r="L223" s="31"/>
      <c r="M223" s="31"/>
      <c r="N223" s="31"/>
      <c r="O223" s="31"/>
      <c r="P223" s="65"/>
      <c r="R223" s="31"/>
      <c r="S223" s="31"/>
      <c r="T223" s="70"/>
      <c r="U223" s="31"/>
      <c r="W223" s="31"/>
      <c r="Y223" s="31"/>
      <c r="Z223" s="31"/>
      <c r="AA223" s="31"/>
      <c r="AB223" s="31"/>
      <c r="AC223" s="31"/>
      <c r="AD223" s="31"/>
      <c r="AE223" s="31"/>
      <c r="AG223" s="31"/>
    </row>
    <row r="224" spans="1:33">
      <c r="A224" s="31"/>
      <c r="B224" s="31"/>
      <c r="C224" s="31"/>
      <c r="E224" s="31"/>
      <c r="F224" s="31"/>
      <c r="G224" s="31"/>
      <c r="J224" s="31"/>
      <c r="L224" s="31"/>
      <c r="M224" s="31"/>
      <c r="N224" s="31"/>
      <c r="O224" s="31"/>
      <c r="P224" s="65"/>
      <c r="R224" s="31"/>
      <c r="S224" s="31"/>
      <c r="T224" s="70"/>
      <c r="U224" s="31"/>
      <c r="W224" s="31"/>
      <c r="Y224" s="31"/>
      <c r="Z224" s="31"/>
      <c r="AA224" s="31"/>
      <c r="AB224" s="31"/>
      <c r="AC224" s="31"/>
      <c r="AD224" s="31"/>
      <c r="AE224" s="31"/>
      <c r="AG224" s="31"/>
    </row>
    <row r="225" spans="1:33">
      <c r="A225" s="31"/>
      <c r="B225" s="31"/>
      <c r="C225" s="31"/>
      <c r="E225" s="31"/>
      <c r="F225" s="31"/>
      <c r="G225" s="31"/>
      <c r="J225" s="31"/>
      <c r="L225" s="31"/>
      <c r="M225" s="31"/>
      <c r="N225" s="31"/>
      <c r="O225" s="31"/>
      <c r="P225" s="65"/>
      <c r="R225" s="31"/>
      <c r="S225" s="31"/>
      <c r="T225" s="70"/>
      <c r="U225" s="31"/>
      <c r="W225" s="31"/>
      <c r="Y225" s="31"/>
      <c r="Z225" s="31"/>
      <c r="AA225" s="31"/>
      <c r="AB225" s="31"/>
      <c r="AC225" s="31"/>
      <c r="AD225" s="31"/>
      <c r="AE225" s="31"/>
      <c r="AG225" s="31"/>
    </row>
    <row r="226" spans="1:33">
      <c r="A226" s="31"/>
      <c r="B226" s="31"/>
      <c r="C226" s="31"/>
      <c r="E226" s="31"/>
      <c r="F226" s="31"/>
      <c r="G226" s="31"/>
      <c r="J226" s="31"/>
      <c r="L226" s="31"/>
      <c r="M226" s="31"/>
      <c r="N226" s="31"/>
      <c r="O226" s="31"/>
      <c r="P226" s="65"/>
      <c r="R226" s="31"/>
      <c r="S226" s="31"/>
      <c r="T226" s="70"/>
      <c r="U226" s="31"/>
      <c r="W226" s="31"/>
      <c r="Y226" s="31"/>
      <c r="Z226" s="31"/>
      <c r="AA226" s="31"/>
      <c r="AB226" s="31"/>
      <c r="AC226" s="31"/>
      <c r="AD226" s="31"/>
      <c r="AE226" s="31"/>
      <c r="AG226" s="31"/>
    </row>
    <row r="227" spans="1:33">
      <c r="A227" s="31"/>
      <c r="B227" s="31"/>
      <c r="C227" s="31"/>
      <c r="E227" s="31"/>
      <c r="F227" s="31"/>
      <c r="G227" s="31"/>
      <c r="J227" s="31"/>
      <c r="L227" s="31"/>
      <c r="M227" s="31"/>
      <c r="N227" s="31"/>
      <c r="O227" s="31"/>
      <c r="P227" s="65"/>
      <c r="R227" s="31"/>
      <c r="S227" s="31"/>
      <c r="T227" s="70"/>
      <c r="U227" s="31"/>
      <c r="W227" s="31"/>
      <c r="Y227" s="31"/>
      <c r="Z227" s="31"/>
      <c r="AA227" s="31"/>
      <c r="AB227" s="31"/>
      <c r="AC227" s="31"/>
      <c r="AD227" s="31"/>
      <c r="AE227" s="31"/>
      <c r="AG227" s="31"/>
    </row>
    <row r="228" spans="1:33">
      <c r="A228" s="31"/>
      <c r="B228" s="31"/>
      <c r="C228" s="31"/>
      <c r="E228" s="31"/>
      <c r="F228" s="31"/>
      <c r="G228" s="31"/>
      <c r="J228" s="31"/>
      <c r="L228" s="31"/>
      <c r="M228" s="31"/>
      <c r="N228" s="31"/>
      <c r="O228" s="31"/>
      <c r="P228" s="65"/>
      <c r="R228" s="31"/>
      <c r="S228" s="31"/>
      <c r="T228" s="70"/>
      <c r="U228" s="31"/>
      <c r="W228" s="31"/>
      <c r="Y228" s="31"/>
      <c r="Z228" s="31"/>
      <c r="AA228" s="31"/>
      <c r="AB228" s="31"/>
      <c r="AC228" s="31"/>
      <c r="AD228" s="31"/>
      <c r="AE228" s="31"/>
      <c r="AG228" s="31"/>
    </row>
    <row r="229" spans="1:33">
      <c r="A229" s="31"/>
      <c r="B229" s="31"/>
      <c r="C229" s="31"/>
      <c r="E229" s="31"/>
      <c r="F229" s="31"/>
      <c r="G229" s="31"/>
      <c r="J229" s="31"/>
      <c r="L229" s="31"/>
      <c r="M229" s="31"/>
      <c r="N229" s="31"/>
      <c r="O229" s="31"/>
      <c r="P229" s="65"/>
      <c r="R229" s="31"/>
      <c r="S229" s="31"/>
      <c r="T229" s="70"/>
      <c r="U229" s="31"/>
      <c r="W229" s="31"/>
      <c r="Y229" s="31"/>
      <c r="Z229" s="31"/>
      <c r="AA229" s="31"/>
      <c r="AB229" s="31"/>
      <c r="AC229" s="31"/>
      <c r="AD229" s="31"/>
      <c r="AE229" s="31"/>
      <c r="AG229" s="31"/>
    </row>
    <row r="230" spans="1:33">
      <c r="A230" s="31"/>
      <c r="B230" s="31"/>
      <c r="C230" s="31"/>
      <c r="E230" s="31"/>
      <c r="F230" s="31"/>
      <c r="G230" s="31"/>
      <c r="J230" s="31"/>
      <c r="L230" s="31"/>
      <c r="M230" s="31"/>
      <c r="N230" s="31"/>
      <c r="O230" s="31"/>
      <c r="P230" s="65"/>
      <c r="R230" s="31"/>
      <c r="S230" s="31"/>
      <c r="T230" s="70"/>
      <c r="U230" s="31"/>
      <c r="W230" s="31"/>
      <c r="Y230" s="31"/>
      <c r="Z230" s="31"/>
      <c r="AA230" s="31"/>
      <c r="AB230" s="31"/>
      <c r="AC230" s="31"/>
      <c r="AD230" s="31"/>
      <c r="AE230" s="31"/>
      <c r="AG230" s="31"/>
    </row>
    <row r="231" spans="1:33">
      <c r="A231" s="31"/>
      <c r="B231" s="31"/>
      <c r="C231" s="31"/>
      <c r="E231" s="31"/>
      <c r="F231" s="31"/>
      <c r="G231" s="31"/>
      <c r="J231" s="31"/>
      <c r="L231" s="31"/>
      <c r="M231" s="31"/>
      <c r="N231" s="31"/>
      <c r="O231" s="31"/>
      <c r="P231" s="65"/>
      <c r="R231" s="31"/>
      <c r="S231" s="31"/>
      <c r="T231" s="70"/>
      <c r="U231" s="31"/>
      <c r="W231" s="31"/>
      <c r="Y231" s="31"/>
      <c r="Z231" s="31"/>
      <c r="AA231" s="31"/>
      <c r="AB231" s="31"/>
      <c r="AC231" s="31"/>
      <c r="AD231" s="31"/>
      <c r="AE231" s="31"/>
      <c r="AG231" s="31"/>
    </row>
    <row r="232" spans="1:33">
      <c r="A232" s="31"/>
      <c r="B232" s="31"/>
      <c r="C232" s="31"/>
      <c r="E232" s="31"/>
      <c r="F232" s="31"/>
      <c r="G232" s="31"/>
      <c r="J232" s="31"/>
      <c r="L232" s="31"/>
      <c r="M232" s="31"/>
      <c r="N232" s="31"/>
      <c r="O232" s="31"/>
      <c r="P232" s="65"/>
      <c r="R232" s="31"/>
      <c r="S232" s="31"/>
      <c r="T232" s="70"/>
      <c r="U232" s="31"/>
      <c r="W232" s="31"/>
      <c r="Y232" s="31"/>
      <c r="Z232" s="31"/>
      <c r="AA232" s="31"/>
      <c r="AB232" s="31"/>
      <c r="AC232" s="31"/>
      <c r="AD232" s="31"/>
      <c r="AE232" s="31"/>
      <c r="AG232" s="31"/>
    </row>
    <row r="233" spans="1:33">
      <c r="A233" s="31"/>
      <c r="B233" s="31"/>
      <c r="C233" s="31"/>
      <c r="E233" s="31"/>
      <c r="F233" s="31"/>
      <c r="G233" s="31"/>
      <c r="J233" s="31"/>
      <c r="L233" s="31"/>
      <c r="M233" s="31"/>
      <c r="N233" s="31"/>
      <c r="O233" s="31"/>
      <c r="P233" s="65"/>
      <c r="R233" s="31"/>
      <c r="S233" s="31"/>
      <c r="T233" s="70"/>
      <c r="U233" s="31"/>
      <c r="W233" s="31"/>
      <c r="Y233" s="31"/>
      <c r="Z233" s="31"/>
      <c r="AA233" s="31"/>
      <c r="AB233" s="31"/>
      <c r="AC233" s="31"/>
      <c r="AD233" s="31"/>
      <c r="AE233" s="31"/>
      <c r="AG233" s="31"/>
    </row>
    <row r="234" spans="1:33">
      <c r="A234" s="31"/>
      <c r="B234" s="31"/>
      <c r="C234" s="31"/>
      <c r="E234" s="31"/>
      <c r="F234" s="31"/>
      <c r="G234" s="31"/>
      <c r="J234" s="31"/>
      <c r="L234" s="31"/>
      <c r="M234" s="31"/>
      <c r="N234" s="31"/>
      <c r="O234" s="31"/>
      <c r="P234" s="65"/>
      <c r="R234" s="31"/>
      <c r="S234" s="31"/>
      <c r="T234" s="70"/>
      <c r="U234" s="31"/>
      <c r="W234" s="31"/>
      <c r="Y234" s="31"/>
      <c r="Z234" s="31"/>
      <c r="AA234" s="31"/>
      <c r="AB234" s="31"/>
      <c r="AC234" s="31"/>
      <c r="AD234" s="31"/>
      <c r="AE234" s="31"/>
      <c r="AG234" s="31"/>
    </row>
    <row r="235" spans="1:33">
      <c r="A235" s="31"/>
      <c r="B235" s="31"/>
      <c r="C235" s="31"/>
      <c r="E235" s="31"/>
      <c r="F235" s="31"/>
      <c r="G235" s="31"/>
      <c r="J235" s="31"/>
      <c r="L235" s="31"/>
      <c r="M235" s="31"/>
      <c r="N235" s="31"/>
      <c r="O235" s="31"/>
      <c r="P235" s="65"/>
      <c r="R235" s="31"/>
      <c r="S235" s="31"/>
      <c r="T235" s="70"/>
      <c r="U235" s="31"/>
      <c r="W235" s="31"/>
      <c r="Y235" s="31"/>
      <c r="Z235" s="31"/>
      <c r="AA235" s="31"/>
      <c r="AB235" s="31"/>
      <c r="AC235" s="31"/>
      <c r="AD235" s="31"/>
      <c r="AE235" s="31"/>
      <c r="AG235" s="31"/>
    </row>
    <row r="236" spans="1:33">
      <c r="A236" s="31"/>
      <c r="B236" s="31"/>
      <c r="C236" s="31"/>
      <c r="E236" s="31"/>
      <c r="F236" s="31"/>
      <c r="G236" s="31"/>
      <c r="J236" s="31"/>
      <c r="L236" s="31"/>
      <c r="M236" s="31"/>
      <c r="N236" s="31"/>
      <c r="O236" s="31"/>
      <c r="P236" s="65"/>
      <c r="R236" s="31"/>
      <c r="S236" s="31"/>
      <c r="T236" s="70"/>
      <c r="U236" s="31"/>
      <c r="W236" s="31"/>
      <c r="Y236" s="31"/>
      <c r="Z236" s="31"/>
      <c r="AA236" s="31"/>
      <c r="AB236" s="31"/>
      <c r="AC236" s="31"/>
      <c r="AD236" s="31"/>
      <c r="AE236" s="31"/>
      <c r="AG236" s="31"/>
    </row>
    <row r="237" spans="1:33">
      <c r="A237" s="31"/>
      <c r="B237" s="31"/>
      <c r="C237" s="31"/>
      <c r="E237" s="31"/>
      <c r="F237" s="31"/>
      <c r="G237" s="31"/>
      <c r="J237" s="31"/>
      <c r="L237" s="31"/>
      <c r="M237" s="31"/>
      <c r="N237" s="31"/>
      <c r="O237" s="31"/>
      <c r="P237" s="65"/>
      <c r="R237" s="31"/>
      <c r="S237" s="31"/>
      <c r="T237" s="70"/>
      <c r="U237" s="31"/>
      <c r="W237" s="31"/>
      <c r="Y237" s="31"/>
      <c r="Z237" s="31"/>
      <c r="AA237" s="31"/>
      <c r="AB237" s="31"/>
      <c r="AC237" s="31"/>
      <c r="AD237" s="31"/>
      <c r="AE237" s="31"/>
      <c r="AG237" s="31"/>
    </row>
    <row r="238" spans="1:33">
      <c r="A238" s="31"/>
      <c r="B238" s="31"/>
      <c r="C238" s="31"/>
      <c r="E238" s="31"/>
      <c r="F238" s="31"/>
      <c r="G238" s="31"/>
      <c r="J238" s="31"/>
      <c r="L238" s="31"/>
      <c r="M238" s="31"/>
      <c r="N238" s="31"/>
      <c r="O238" s="31"/>
      <c r="P238" s="65"/>
      <c r="R238" s="31"/>
      <c r="S238" s="31"/>
      <c r="T238" s="70"/>
      <c r="U238" s="31"/>
      <c r="W238" s="31"/>
      <c r="Y238" s="31"/>
      <c r="Z238" s="31"/>
      <c r="AA238" s="31"/>
      <c r="AB238" s="31"/>
      <c r="AC238" s="31"/>
      <c r="AD238" s="31"/>
      <c r="AE238" s="31"/>
      <c r="AG238" s="31"/>
    </row>
    <row r="239" spans="1:33">
      <c r="A239" s="31"/>
      <c r="B239" s="31"/>
      <c r="C239" s="31"/>
      <c r="E239" s="31"/>
      <c r="F239" s="31"/>
      <c r="G239" s="31"/>
      <c r="J239" s="31"/>
      <c r="L239" s="31"/>
      <c r="M239" s="31"/>
      <c r="N239" s="31"/>
      <c r="O239" s="31"/>
      <c r="P239" s="65"/>
      <c r="R239" s="31"/>
      <c r="S239" s="31"/>
      <c r="T239" s="70"/>
      <c r="U239" s="31"/>
      <c r="W239" s="31"/>
      <c r="Y239" s="31"/>
      <c r="Z239" s="31"/>
      <c r="AA239" s="31"/>
      <c r="AB239" s="31"/>
      <c r="AC239" s="31"/>
      <c r="AD239" s="31"/>
      <c r="AE239" s="31"/>
      <c r="AG239" s="31"/>
    </row>
    <row r="240" spans="1:33">
      <c r="A240" s="31"/>
      <c r="B240" s="31"/>
      <c r="C240" s="31"/>
      <c r="E240" s="31"/>
      <c r="F240" s="31"/>
      <c r="G240" s="31"/>
      <c r="J240" s="31"/>
      <c r="L240" s="31"/>
      <c r="M240" s="31"/>
      <c r="N240" s="31"/>
      <c r="O240" s="31"/>
      <c r="P240" s="65"/>
      <c r="R240" s="31"/>
      <c r="S240" s="31"/>
      <c r="T240" s="70"/>
      <c r="U240" s="31"/>
      <c r="W240" s="31"/>
      <c r="Y240" s="31"/>
      <c r="Z240" s="31"/>
      <c r="AA240" s="31"/>
      <c r="AB240" s="31"/>
      <c r="AC240" s="31"/>
      <c r="AD240" s="31"/>
      <c r="AE240" s="31"/>
      <c r="AG240" s="31"/>
    </row>
    <row r="241" spans="1:33">
      <c r="A241" s="31"/>
      <c r="B241" s="31"/>
      <c r="C241" s="31"/>
      <c r="E241" s="31"/>
      <c r="F241" s="31"/>
      <c r="G241" s="31"/>
      <c r="J241" s="31"/>
      <c r="L241" s="31"/>
      <c r="M241" s="31"/>
      <c r="N241" s="31"/>
      <c r="O241" s="31"/>
      <c r="P241" s="65"/>
      <c r="R241" s="31"/>
      <c r="S241" s="31"/>
      <c r="T241" s="70"/>
      <c r="U241" s="31"/>
      <c r="W241" s="31"/>
      <c r="Y241" s="31"/>
      <c r="Z241" s="31"/>
      <c r="AA241" s="31"/>
      <c r="AB241" s="31"/>
      <c r="AC241" s="31"/>
      <c r="AD241" s="31"/>
      <c r="AE241" s="31"/>
      <c r="AG241" s="31"/>
    </row>
    <row r="242" spans="1:33">
      <c r="A242" s="31"/>
      <c r="B242" s="31"/>
      <c r="C242" s="31"/>
      <c r="E242" s="31"/>
      <c r="F242" s="31"/>
      <c r="G242" s="31"/>
      <c r="J242" s="31"/>
      <c r="L242" s="31"/>
      <c r="M242" s="31"/>
      <c r="N242" s="31"/>
      <c r="O242" s="31"/>
      <c r="P242" s="65"/>
      <c r="R242" s="31"/>
      <c r="S242" s="31"/>
      <c r="T242" s="70"/>
      <c r="U242" s="31"/>
      <c r="W242" s="31"/>
      <c r="Y242" s="31"/>
      <c r="Z242" s="31"/>
      <c r="AA242" s="31"/>
      <c r="AB242" s="31"/>
      <c r="AC242" s="31"/>
      <c r="AD242" s="31"/>
      <c r="AE242" s="31"/>
      <c r="AG242" s="31"/>
    </row>
    <row r="243" spans="1:33">
      <c r="A243" s="31"/>
      <c r="B243" s="31"/>
      <c r="C243" s="31"/>
      <c r="E243" s="31"/>
      <c r="F243" s="31"/>
      <c r="G243" s="31"/>
      <c r="J243" s="31"/>
      <c r="L243" s="31"/>
      <c r="M243" s="31"/>
      <c r="N243" s="31"/>
      <c r="O243" s="31"/>
      <c r="P243" s="65"/>
      <c r="R243" s="31"/>
      <c r="S243" s="31"/>
      <c r="T243" s="70"/>
      <c r="U243" s="31"/>
      <c r="W243" s="31"/>
      <c r="Y243" s="31"/>
      <c r="Z243" s="31"/>
      <c r="AA243" s="31"/>
      <c r="AB243" s="31"/>
      <c r="AC243" s="31"/>
      <c r="AD243" s="31"/>
      <c r="AE243" s="31"/>
      <c r="AG243" s="31"/>
    </row>
    <row r="244" spans="1:33">
      <c r="A244" s="31"/>
      <c r="B244" s="31"/>
      <c r="C244" s="31"/>
      <c r="E244" s="31"/>
      <c r="F244" s="31"/>
      <c r="G244" s="31"/>
      <c r="J244" s="31"/>
      <c r="L244" s="31"/>
      <c r="M244" s="31"/>
      <c r="N244" s="31"/>
      <c r="O244" s="31"/>
      <c r="P244" s="65"/>
      <c r="R244" s="31"/>
      <c r="S244" s="31"/>
      <c r="T244" s="70"/>
      <c r="U244" s="31"/>
      <c r="W244" s="31"/>
      <c r="Y244" s="31"/>
      <c r="Z244" s="31"/>
      <c r="AA244" s="31"/>
      <c r="AB244" s="31"/>
      <c r="AC244" s="31"/>
      <c r="AD244" s="31"/>
      <c r="AE244" s="31"/>
      <c r="AG244" s="31"/>
    </row>
    <row r="245" spans="1:33">
      <c r="A245" s="31"/>
      <c r="B245" s="31"/>
      <c r="C245" s="31"/>
      <c r="E245" s="31"/>
      <c r="F245" s="31"/>
      <c r="G245" s="31"/>
      <c r="J245" s="31"/>
      <c r="L245" s="31"/>
      <c r="M245" s="31"/>
      <c r="N245" s="31"/>
      <c r="O245" s="31"/>
      <c r="P245" s="65"/>
      <c r="R245" s="31"/>
      <c r="S245" s="31"/>
      <c r="T245" s="70"/>
      <c r="U245" s="31"/>
      <c r="W245" s="31"/>
      <c r="Y245" s="31"/>
      <c r="Z245" s="31"/>
      <c r="AA245" s="31"/>
      <c r="AB245" s="31"/>
      <c r="AC245" s="31"/>
      <c r="AD245" s="31"/>
      <c r="AE245" s="31"/>
      <c r="AG245" s="31"/>
    </row>
    <row r="246" spans="1:33">
      <c r="A246" s="31"/>
      <c r="B246" s="31"/>
      <c r="C246" s="31"/>
      <c r="E246" s="31"/>
      <c r="F246" s="31"/>
      <c r="G246" s="31"/>
      <c r="J246" s="31"/>
      <c r="L246" s="31"/>
      <c r="M246" s="31"/>
      <c r="N246" s="31"/>
      <c r="O246" s="31"/>
      <c r="P246" s="65"/>
      <c r="R246" s="31"/>
      <c r="S246" s="31"/>
      <c r="T246" s="70"/>
      <c r="U246" s="31"/>
      <c r="W246" s="31"/>
      <c r="Y246" s="31"/>
      <c r="Z246" s="31"/>
      <c r="AA246" s="31"/>
      <c r="AB246" s="31"/>
      <c r="AC246" s="31"/>
      <c r="AD246" s="31"/>
      <c r="AE246" s="31"/>
      <c r="AG246" s="31"/>
    </row>
    <row r="247" spans="1:33">
      <c r="A247" s="31"/>
      <c r="B247" s="31"/>
      <c r="C247" s="31"/>
      <c r="E247" s="31"/>
      <c r="F247" s="31"/>
      <c r="G247" s="31"/>
      <c r="J247" s="31"/>
      <c r="L247" s="31"/>
      <c r="M247" s="31"/>
      <c r="N247" s="31"/>
      <c r="O247" s="31"/>
      <c r="P247" s="65"/>
      <c r="R247" s="31"/>
      <c r="S247" s="31"/>
      <c r="T247" s="70"/>
      <c r="U247" s="31"/>
      <c r="W247" s="31"/>
      <c r="Y247" s="31"/>
      <c r="Z247" s="31"/>
      <c r="AA247" s="31"/>
      <c r="AB247" s="31"/>
      <c r="AC247" s="31"/>
      <c r="AD247" s="31"/>
      <c r="AE247" s="31"/>
      <c r="AG247" s="31"/>
    </row>
    <row r="248" spans="1:33">
      <c r="A248" s="31"/>
      <c r="B248" s="31"/>
      <c r="C248" s="31"/>
      <c r="E248" s="31"/>
      <c r="F248" s="31"/>
      <c r="G248" s="31"/>
      <c r="J248" s="31"/>
      <c r="L248" s="31"/>
      <c r="M248" s="31"/>
      <c r="N248" s="31"/>
      <c r="O248" s="31"/>
      <c r="P248" s="65"/>
      <c r="R248" s="31"/>
      <c r="S248" s="31"/>
      <c r="T248" s="70"/>
      <c r="U248" s="31"/>
      <c r="W248" s="31"/>
      <c r="Y248" s="31"/>
      <c r="Z248" s="31"/>
      <c r="AA248" s="31"/>
      <c r="AB248" s="31"/>
      <c r="AC248" s="31"/>
      <c r="AD248" s="31"/>
      <c r="AE248" s="31"/>
      <c r="AG248" s="31"/>
    </row>
    <row r="249" spans="1:33">
      <c r="A249" s="31"/>
      <c r="B249" s="31"/>
      <c r="C249" s="31"/>
      <c r="E249" s="31"/>
      <c r="F249" s="31"/>
      <c r="G249" s="31"/>
      <c r="J249" s="31"/>
      <c r="L249" s="31"/>
      <c r="M249" s="31"/>
      <c r="N249" s="31"/>
      <c r="O249" s="31"/>
      <c r="P249" s="65"/>
      <c r="R249" s="31"/>
      <c r="S249" s="31"/>
      <c r="T249" s="70"/>
      <c r="U249" s="31"/>
      <c r="W249" s="31"/>
      <c r="Y249" s="31"/>
      <c r="Z249" s="31"/>
      <c r="AA249" s="31"/>
      <c r="AB249" s="31"/>
      <c r="AC249" s="31"/>
      <c r="AD249" s="31"/>
      <c r="AE249" s="31"/>
      <c r="AG249" s="31"/>
    </row>
    <row r="250" spans="1:33">
      <c r="A250" s="31"/>
      <c r="B250" s="31"/>
      <c r="C250" s="31"/>
      <c r="E250" s="31"/>
      <c r="F250" s="31"/>
      <c r="G250" s="31"/>
      <c r="J250" s="31"/>
      <c r="L250" s="31"/>
      <c r="M250" s="31"/>
      <c r="N250" s="31"/>
      <c r="O250" s="31"/>
      <c r="P250" s="65"/>
      <c r="R250" s="31"/>
      <c r="S250" s="31"/>
      <c r="T250" s="70"/>
      <c r="U250" s="31"/>
      <c r="W250" s="31"/>
      <c r="Y250" s="31"/>
      <c r="Z250" s="31"/>
      <c r="AA250" s="31"/>
      <c r="AB250" s="31"/>
      <c r="AC250" s="31"/>
      <c r="AD250" s="31"/>
      <c r="AE250" s="31"/>
      <c r="AG250" s="31"/>
    </row>
    <row r="251" spans="1:33">
      <c r="A251" s="31"/>
      <c r="B251" s="31"/>
      <c r="C251" s="31"/>
      <c r="E251" s="31"/>
      <c r="F251" s="31"/>
      <c r="G251" s="31"/>
      <c r="J251" s="31"/>
      <c r="L251" s="31"/>
      <c r="M251" s="31"/>
      <c r="N251" s="31"/>
      <c r="O251" s="31"/>
      <c r="P251" s="65"/>
      <c r="R251" s="31"/>
      <c r="S251" s="31"/>
      <c r="T251" s="70"/>
      <c r="U251" s="31"/>
      <c r="W251" s="31"/>
      <c r="Y251" s="31"/>
      <c r="Z251" s="31"/>
      <c r="AA251" s="31"/>
      <c r="AB251" s="31"/>
      <c r="AC251" s="31"/>
      <c r="AD251" s="31"/>
      <c r="AE251" s="31"/>
      <c r="AG251" s="31"/>
    </row>
    <row r="252" spans="1:33">
      <c r="A252" s="31"/>
      <c r="B252" s="31"/>
      <c r="C252" s="31"/>
      <c r="E252" s="31"/>
      <c r="F252" s="31"/>
      <c r="G252" s="31"/>
      <c r="J252" s="31"/>
      <c r="L252" s="31"/>
      <c r="M252" s="31"/>
      <c r="N252" s="31"/>
      <c r="O252" s="31"/>
      <c r="P252" s="65"/>
      <c r="R252" s="31"/>
      <c r="S252" s="31"/>
      <c r="T252" s="70"/>
      <c r="U252" s="31"/>
      <c r="W252" s="31"/>
      <c r="Y252" s="31"/>
      <c r="Z252" s="31"/>
      <c r="AA252" s="31"/>
      <c r="AB252" s="31"/>
      <c r="AC252" s="31"/>
      <c r="AD252" s="31"/>
      <c r="AE252" s="31"/>
      <c r="AG252" s="31"/>
    </row>
    <row r="253" spans="1:33">
      <c r="A253" s="31"/>
      <c r="B253" s="31"/>
      <c r="C253" s="31"/>
      <c r="E253" s="31"/>
      <c r="F253" s="31"/>
      <c r="G253" s="31"/>
      <c r="J253" s="31"/>
      <c r="L253" s="31"/>
      <c r="M253" s="31"/>
      <c r="N253" s="31"/>
      <c r="O253" s="31"/>
      <c r="P253" s="65"/>
      <c r="R253" s="31"/>
      <c r="S253" s="31"/>
      <c r="T253" s="70"/>
      <c r="U253" s="31"/>
      <c r="W253" s="31"/>
      <c r="Y253" s="31"/>
      <c r="Z253" s="31"/>
      <c r="AA253" s="31"/>
      <c r="AB253" s="31"/>
      <c r="AC253" s="31"/>
      <c r="AD253" s="31"/>
      <c r="AE253" s="31"/>
      <c r="AG253" s="31"/>
    </row>
    <row r="254" spans="1:33">
      <c r="A254" s="31"/>
      <c r="B254" s="31"/>
      <c r="C254" s="31"/>
      <c r="E254" s="31"/>
      <c r="F254" s="31"/>
      <c r="G254" s="31"/>
      <c r="J254" s="31"/>
      <c r="L254" s="31"/>
      <c r="M254" s="31"/>
      <c r="N254" s="31"/>
      <c r="O254" s="31"/>
      <c r="P254" s="65"/>
      <c r="R254" s="31"/>
      <c r="S254" s="31"/>
      <c r="T254" s="70"/>
      <c r="U254" s="31"/>
      <c r="W254" s="31"/>
      <c r="Y254" s="31"/>
      <c r="Z254" s="31"/>
      <c r="AA254" s="31"/>
      <c r="AB254" s="31"/>
      <c r="AC254" s="31"/>
      <c r="AD254" s="31"/>
      <c r="AE254" s="31"/>
      <c r="AG254" s="31"/>
    </row>
    <row r="255" spans="1:33">
      <c r="A255" s="31"/>
      <c r="B255" s="31"/>
      <c r="C255" s="31"/>
      <c r="E255" s="31"/>
      <c r="F255" s="31"/>
      <c r="G255" s="31"/>
      <c r="J255" s="31"/>
      <c r="L255" s="31"/>
      <c r="M255" s="31"/>
      <c r="N255" s="31"/>
      <c r="O255" s="31"/>
      <c r="P255" s="65"/>
      <c r="R255" s="31"/>
      <c r="S255" s="31"/>
      <c r="T255" s="70"/>
      <c r="U255" s="31"/>
      <c r="W255" s="31"/>
      <c r="Y255" s="31"/>
      <c r="Z255" s="31"/>
      <c r="AA255" s="31"/>
      <c r="AB255" s="31"/>
      <c r="AC255" s="31"/>
      <c r="AD255" s="31"/>
      <c r="AE255" s="31"/>
      <c r="AG255" s="31"/>
    </row>
    <row r="256" spans="1:33">
      <c r="A256" s="31"/>
      <c r="B256" s="31"/>
      <c r="C256" s="31"/>
      <c r="E256" s="31"/>
      <c r="F256" s="31"/>
      <c r="G256" s="31"/>
      <c r="J256" s="31"/>
      <c r="L256" s="31"/>
      <c r="M256" s="31"/>
      <c r="N256" s="31"/>
      <c r="O256" s="31"/>
      <c r="P256" s="65"/>
      <c r="R256" s="31"/>
      <c r="S256" s="31"/>
      <c r="T256" s="70"/>
      <c r="U256" s="31"/>
      <c r="W256" s="31"/>
      <c r="Y256" s="31"/>
      <c r="Z256" s="31"/>
      <c r="AA256" s="31"/>
      <c r="AB256" s="31"/>
      <c r="AC256" s="31"/>
      <c r="AD256" s="31"/>
      <c r="AE256" s="31"/>
      <c r="AG256" s="31"/>
    </row>
    <row r="257" spans="1:33">
      <c r="A257" s="31"/>
      <c r="B257" s="31"/>
      <c r="C257" s="31"/>
      <c r="E257" s="31"/>
      <c r="F257" s="31"/>
      <c r="G257" s="31"/>
      <c r="J257" s="31"/>
      <c r="L257" s="31"/>
      <c r="M257" s="31"/>
      <c r="N257" s="31"/>
      <c r="O257" s="31"/>
      <c r="P257" s="65"/>
      <c r="R257" s="31"/>
      <c r="S257" s="31"/>
      <c r="T257" s="70"/>
      <c r="U257" s="31"/>
      <c r="W257" s="31"/>
      <c r="Y257" s="31"/>
      <c r="Z257" s="31"/>
      <c r="AA257" s="31"/>
      <c r="AB257" s="31"/>
      <c r="AC257" s="31"/>
      <c r="AD257" s="31"/>
      <c r="AE257" s="31"/>
      <c r="AG257" s="31"/>
    </row>
    <row r="258" spans="1:33">
      <c r="A258" s="31"/>
      <c r="B258" s="31"/>
      <c r="C258" s="31"/>
      <c r="E258" s="31"/>
      <c r="F258" s="31"/>
      <c r="G258" s="31"/>
      <c r="J258" s="31"/>
      <c r="L258" s="31"/>
      <c r="M258" s="31"/>
      <c r="N258" s="31"/>
      <c r="O258" s="31"/>
      <c r="P258" s="65"/>
      <c r="R258" s="31"/>
      <c r="S258" s="31"/>
      <c r="T258" s="70"/>
      <c r="U258" s="31"/>
      <c r="W258" s="31"/>
      <c r="Y258" s="31"/>
      <c r="Z258" s="31"/>
      <c r="AA258" s="31"/>
      <c r="AB258" s="31"/>
      <c r="AC258" s="31"/>
      <c r="AD258" s="31"/>
      <c r="AE258" s="31"/>
      <c r="AG258" s="31"/>
    </row>
    <row r="259" spans="1:33">
      <c r="A259" s="31"/>
      <c r="B259" s="31"/>
      <c r="C259" s="31"/>
      <c r="E259" s="31"/>
      <c r="F259" s="31"/>
      <c r="G259" s="31"/>
      <c r="J259" s="31"/>
      <c r="L259" s="31"/>
      <c r="M259" s="31"/>
      <c r="N259" s="31"/>
      <c r="O259" s="31"/>
      <c r="P259" s="65"/>
      <c r="R259" s="31"/>
      <c r="S259" s="31"/>
      <c r="T259" s="70"/>
      <c r="U259" s="31"/>
      <c r="W259" s="31"/>
      <c r="Y259" s="31"/>
      <c r="Z259" s="31"/>
      <c r="AA259" s="31"/>
      <c r="AB259" s="31"/>
      <c r="AC259" s="31"/>
      <c r="AD259" s="31"/>
      <c r="AE259" s="31"/>
      <c r="AG259" s="31"/>
    </row>
    <row r="260" spans="1:33">
      <c r="A260" s="31"/>
      <c r="B260" s="31"/>
      <c r="C260" s="31"/>
      <c r="E260" s="31"/>
      <c r="F260" s="31"/>
      <c r="G260" s="31"/>
      <c r="J260" s="31"/>
      <c r="L260" s="31"/>
      <c r="M260" s="31"/>
      <c r="N260" s="31"/>
      <c r="O260" s="31"/>
      <c r="P260" s="65"/>
      <c r="R260" s="31"/>
      <c r="S260" s="31"/>
      <c r="T260" s="70"/>
      <c r="U260" s="31"/>
      <c r="W260" s="31"/>
      <c r="Y260" s="31"/>
      <c r="Z260" s="31"/>
      <c r="AA260" s="31"/>
      <c r="AB260" s="31"/>
      <c r="AC260" s="31"/>
      <c r="AD260" s="31"/>
      <c r="AE260" s="31"/>
      <c r="AG260" s="31"/>
    </row>
    <row r="261" spans="1:33">
      <c r="A261" s="31"/>
      <c r="B261" s="31"/>
      <c r="C261" s="31"/>
      <c r="E261" s="31"/>
      <c r="F261" s="31"/>
      <c r="G261" s="31"/>
      <c r="J261" s="31"/>
      <c r="L261" s="31"/>
      <c r="M261" s="31"/>
      <c r="N261" s="31"/>
      <c r="O261" s="31"/>
      <c r="P261" s="65"/>
      <c r="R261" s="31"/>
      <c r="S261" s="31"/>
      <c r="T261" s="70"/>
      <c r="U261" s="31"/>
      <c r="W261" s="31"/>
      <c r="Y261" s="31"/>
      <c r="Z261" s="31"/>
      <c r="AA261" s="31"/>
      <c r="AB261" s="31"/>
      <c r="AC261" s="31"/>
      <c r="AD261" s="31"/>
      <c r="AE261" s="31"/>
      <c r="AG261" s="31"/>
    </row>
    <row r="262" spans="1:33">
      <c r="A262" s="31"/>
      <c r="B262" s="31"/>
      <c r="C262" s="31"/>
      <c r="E262" s="31"/>
      <c r="F262" s="31"/>
      <c r="G262" s="31"/>
      <c r="J262" s="31"/>
      <c r="L262" s="31"/>
      <c r="M262" s="31"/>
      <c r="N262" s="31"/>
      <c r="O262" s="31"/>
      <c r="P262" s="65"/>
      <c r="R262" s="31"/>
      <c r="S262" s="31"/>
      <c r="T262" s="70"/>
      <c r="U262" s="31"/>
      <c r="W262" s="31"/>
      <c r="Y262" s="31"/>
      <c r="Z262" s="31"/>
      <c r="AA262" s="31"/>
      <c r="AB262" s="31"/>
      <c r="AC262" s="31"/>
      <c r="AD262" s="31"/>
      <c r="AE262" s="31"/>
      <c r="AG262" s="31"/>
    </row>
    <row r="263" spans="1:33">
      <c r="A263" s="31"/>
      <c r="B263" s="31"/>
      <c r="C263" s="31"/>
      <c r="E263" s="31"/>
      <c r="F263" s="31"/>
      <c r="G263" s="31"/>
      <c r="J263" s="31"/>
      <c r="L263" s="31"/>
      <c r="M263" s="31"/>
      <c r="N263" s="31"/>
      <c r="O263" s="31"/>
      <c r="P263" s="65"/>
      <c r="R263" s="31"/>
      <c r="S263" s="31"/>
      <c r="T263" s="70"/>
      <c r="U263" s="31"/>
      <c r="W263" s="31"/>
      <c r="Y263" s="31"/>
      <c r="Z263" s="31"/>
      <c r="AA263" s="31"/>
      <c r="AB263" s="31"/>
      <c r="AC263" s="31"/>
      <c r="AD263" s="31"/>
      <c r="AE263" s="31"/>
      <c r="AG263" s="31"/>
    </row>
    <row r="264" spans="1:33">
      <c r="A264" s="31"/>
      <c r="B264" s="31"/>
      <c r="C264" s="31"/>
      <c r="E264" s="31"/>
      <c r="F264" s="31"/>
      <c r="G264" s="31"/>
      <c r="J264" s="31"/>
      <c r="L264" s="31"/>
      <c r="M264" s="31"/>
      <c r="N264" s="31"/>
      <c r="O264" s="31"/>
      <c r="P264" s="65"/>
      <c r="R264" s="31"/>
      <c r="S264" s="31"/>
      <c r="T264" s="70"/>
      <c r="U264" s="31"/>
      <c r="W264" s="31"/>
      <c r="Y264" s="31"/>
      <c r="Z264" s="31"/>
      <c r="AA264" s="31"/>
      <c r="AB264" s="31"/>
      <c r="AC264" s="31"/>
      <c r="AD264" s="31"/>
      <c r="AE264" s="31"/>
      <c r="AG264" s="31"/>
    </row>
    <row r="265" spans="1:33">
      <c r="A265" s="31"/>
      <c r="B265" s="31"/>
      <c r="C265" s="31"/>
      <c r="E265" s="31"/>
      <c r="F265" s="31"/>
      <c r="G265" s="31"/>
      <c r="J265" s="31"/>
      <c r="L265" s="31"/>
      <c r="M265" s="31"/>
      <c r="N265" s="31"/>
      <c r="O265" s="31"/>
      <c r="P265" s="65"/>
      <c r="R265" s="31"/>
      <c r="S265" s="31"/>
      <c r="T265" s="70"/>
      <c r="U265" s="31"/>
      <c r="W265" s="31"/>
      <c r="Y265" s="31"/>
      <c r="Z265" s="31"/>
      <c r="AA265" s="31"/>
      <c r="AB265" s="31"/>
      <c r="AC265" s="31"/>
      <c r="AD265" s="31"/>
      <c r="AE265" s="31"/>
      <c r="AG265" s="31"/>
    </row>
    <row r="266" spans="1:33">
      <c r="A266" s="31"/>
      <c r="B266" s="31"/>
      <c r="C266" s="31"/>
      <c r="E266" s="31"/>
      <c r="F266" s="31"/>
      <c r="G266" s="31"/>
      <c r="J266" s="31"/>
      <c r="L266" s="31"/>
      <c r="M266" s="31"/>
      <c r="N266" s="31"/>
      <c r="O266" s="31"/>
      <c r="P266" s="65"/>
      <c r="R266" s="31"/>
      <c r="S266" s="31"/>
      <c r="T266" s="70"/>
      <c r="U266" s="31"/>
      <c r="W266" s="31"/>
      <c r="Y266" s="31"/>
      <c r="Z266" s="31"/>
      <c r="AA266" s="31"/>
      <c r="AB266" s="31"/>
      <c r="AC266" s="31"/>
      <c r="AD266" s="31"/>
      <c r="AE266" s="31"/>
      <c r="AG266" s="31"/>
    </row>
    <row r="267" spans="1:33">
      <c r="A267" s="31"/>
      <c r="B267" s="31"/>
      <c r="C267" s="31"/>
      <c r="E267" s="31"/>
      <c r="F267" s="31"/>
      <c r="G267" s="31"/>
      <c r="J267" s="31"/>
      <c r="L267" s="31"/>
      <c r="M267" s="31"/>
      <c r="N267" s="31"/>
      <c r="O267" s="31"/>
      <c r="P267" s="65"/>
      <c r="R267" s="31"/>
      <c r="S267" s="31"/>
      <c r="T267" s="70"/>
      <c r="U267" s="31"/>
      <c r="W267" s="31"/>
      <c r="Y267" s="31"/>
      <c r="Z267" s="31"/>
      <c r="AA267" s="31"/>
      <c r="AB267" s="31"/>
      <c r="AC267" s="31"/>
      <c r="AD267" s="31"/>
      <c r="AE267" s="31"/>
      <c r="AG267" s="31"/>
    </row>
    <row r="268" spans="1:33">
      <c r="A268" s="31"/>
      <c r="B268" s="31"/>
      <c r="C268" s="31"/>
      <c r="E268" s="31"/>
      <c r="F268" s="31"/>
      <c r="G268" s="31"/>
      <c r="J268" s="31"/>
      <c r="L268" s="31"/>
      <c r="M268" s="31"/>
      <c r="N268" s="31"/>
      <c r="O268" s="31"/>
      <c r="P268" s="65"/>
      <c r="R268" s="31"/>
      <c r="S268" s="31"/>
      <c r="T268" s="70"/>
      <c r="U268" s="31"/>
      <c r="W268" s="31"/>
      <c r="Y268" s="31"/>
      <c r="Z268" s="31"/>
      <c r="AA268" s="31"/>
      <c r="AB268" s="31"/>
      <c r="AC268" s="31"/>
      <c r="AD268" s="31"/>
      <c r="AE268" s="31"/>
      <c r="AG268" s="31"/>
    </row>
    <row r="269" spans="1:33">
      <c r="A269" s="31"/>
      <c r="B269" s="31"/>
      <c r="C269" s="31"/>
      <c r="E269" s="31"/>
      <c r="F269" s="31"/>
      <c r="G269" s="31"/>
      <c r="J269" s="31"/>
      <c r="L269" s="31"/>
      <c r="M269" s="31"/>
      <c r="N269" s="31"/>
      <c r="O269" s="31"/>
      <c r="P269" s="65"/>
      <c r="R269" s="31"/>
      <c r="S269" s="31"/>
      <c r="T269" s="70"/>
      <c r="U269" s="31"/>
      <c r="W269" s="31"/>
      <c r="Y269" s="31"/>
      <c r="Z269" s="31"/>
      <c r="AA269" s="31"/>
      <c r="AB269" s="31"/>
      <c r="AC269" s="31"/>
      <c r="AD269" s="31"/>
      <c r="AE269" s="31"/>
      <c r="AG269" s="31"/>
    </row>
    <row r="270" spans="1:33">
      <c r="A270" s="31"/>
      <c r="B270" s="31"/>
      <c r="C270" s="31"/>
      <c r="E270" s="31"/>
      <c r="F270" s="31"/>
      <c r="G270" s="31"/>
      <c r="J270" s="31"/>
      <c r="L270" s="31"/>
      <c r="M270" s="31"/>
      <c r="N270" s="31"/>
      <c r="O270" s="31"/>
      <c r="P270" s="65"/>
      <c r="R270" s="31"/>
      <c r="S270" s="31"/>
      <c r="T270" s="70"/>
      <c r="U270" s="31"/>
      <c r="W270" s="31"/>
      <c r="Y270" s="31"/>
      <c r="Z270" s="31"/>
      <c r="AA270" s="31"/>
      <c r="AB270" s="31"/>
      <c r="AC270" s="31"/>
      <c r="AD270" s="31"/>
      <c r="AE270" s="31"/>
      <c r="AG270" s="31"/>
    </row>
    <row r="271" spans="1:33">
      <c r="A271" s="31"/>
      <c r="B271" s="31"/>
      <c r="C271" s="31"/>
      <c r="E271" s="31"/>
      <c r="F271" s="31"/>
      <c r="G271" s="31"/>
      <c r="J271" s="31"/>
      <c r="L271" s="31"/>
      <c r="M271" s="31"/>
      <c r="N271" s="31"/>
      <c r="O271" s="31"/>
      <c r="P271" s="65"/>
      <c r="R271" s="31"/>
      <c r="S271" s="31"/>
      <c r="T271" s="70"/>
      <c r="U271" s="31"/>
      <c r="W271" s="31"/>
      <c r="Y271" s="31"/>
      <c r="Z271" s="31"/>
      <c r="AA271" s="31"/>
      <c r="AB271" s="31"/>
      <c r="AC271" s="31"/>
      <c r="AD271" s="31"/>
      <c r="AE271" s="31"/>
      <c r="AG271" s="31"/>
    </row>
    <row r="272" spans="1:33">
      <c r="A272" s="31"/>
      <c r="B272" s="31"/>
      <c r="C272" s="31"/>
      <c r="E272" s="31"/>
      <c r="F272" s="31"/>
      <c r="G272" s="31"/>
      <c r="J272" s="31"/>
      <c r="L272" s="31"/>
      <c r="M272" s="31"/>
      <c r="N272" s="31"/>
      <c r="O272" s="31"/>
      <c r="P272" s="65"/>
      <c r="R272" s="31"/>
      <c r="S272" s="31"/>
      <c r="T272" s="70"/>
      <c r="U272" s="31"/>
      <c r="W272" s="31"/>
      <c r="Y272" s="31"/>
      <c r="Z272" s="31"/>
      <c r="AA272" s="31"/>
      <c r="AB272" s="31"/>
      <c r="AC272" s="31"/>
      <c r="AD272" s="31"/>
      <c r="AE272" s="31"/>
      <c r="AG272" s="31"/>
    </row>
    <row r="273" spans="1:33">
      <c r="A273" s="31"/>
      <c r="B273" s="31"/>
      <c r="C273" s="31"/>
      <c r="E273" s="31"/>
      <c r="F273" s="31"/>
      <c r="G273" s="31"/>
      <c r="J273" s="31"/>
      <c r="L273" s="31"/>
      <c r="M273" s="31"/>
      <c r="N273" s="31"/>
      <c r="O273" s="31"/>
      <c r="P273" s="65"/>
      <c r="R273" s="31"/>
      <c r="S273" s="31"/>
      <c r="T273" s="70"/>
      <c r="U273" s="31"/>
      <c r="W273" s="31"/>
      <c r="Y273" s="31"/>
      <c r="Z273" s="31"/>
      <c r="AA273" s="31"/>
      <c r="AB273" s="31"/>
      <c r="AC273" s="31"/>
      <c r="AD273" s="31"/>
      <c r="AE273" s="31"/>
      <c r="AG273" s="31"/>
    </row>
    <row r="274" spans="1:33">
      <c r="A274" s="31"/>
      <c r="B274" s="31"/>
      <c r="C274" s="31"/>
      <c r="E274" s="31"/>
      <c r="F274" s="31"/>
      <c r="G274" s="31"/>
      <c r="J274" s="31"/>
      <c r="L274" s="31"/>
      <c r="M274" s="31"/>
      <c r="N274" s="31"/>
      <c r="O274" s="31"/>
      <c r="P274" s="65"/>
      <c r="R274" s="31"/>
      <c r="S274" s="31"/>
      <c r="T274" s="70"/>
      <c r="U274" s="31"/>
      <c r="W274" s="31"/>
      <c r="Y274" s="31"/>
      <c r="Z274" s="31"/>
      <c r="AA274" s="31"/>
      <c r="AB274" s="31"/>
      <c r="AC274" s="31"/>
      <c r="AD274" s="31"/>
      <c r="AE274" s="31"/>
      <c r="AG274" s="31"/>
    </row>
    <row r="275" spans="1:33">
      <c r="A275" s="31"/>
      <c r="B275" s="31"/>
      <c r="C275" s="31"/>
      <c r="E275" s="31"/>
      <c r="F275" s="31"/>
      <c r="G275" s="31"/>
      <c r="J275" s="31"/>
      <c r="L275" s="31"/>
      <c r="M275" s="31"/>
      <c r="N275" s="31"/>
      <c r="O275" s="31"/>
      <c r="P275" s="65"/>
      <c r="R275" s="31"/>
      <c r="S275" s="31"/>
      <c r="T275" s="70"/>
      <c r="U275" s="31"/>
      <c r="W275" s="31"/>
      <c r="Y275" s="31"/>
      <c r="Z275" s="31"/>
      <c r="AA275" s="31"/>
      <c r="AB275" s="31"/>
      <c r="AC275" s="31"/>
      <c r="AD275" s="31"/>
      <c r="AE275" s="31"/>
      <c r="AG275" s="31"/>
    </row>
    <row r="276" spans="1:33">
      <c r="A276" s="31"/>
      <c r="B276" s="31"/>
      <c r="C276" s="31"/>
      <c r="E276" s="31"/>
      <c r="F276" s="31"/>
      <c r="G276" s="31"/>
      <c r="J276" s="31"/>
      <c r="L276" s="31"/>
      <c r="M276" s="31"/>
      <c r="N276" s="31"/>
      <c r="O276" s="31"/>
      <c r="P276" s="65"/>
      <c r="R276" s="31"/>
      <c r="S276" s="31"/>
      <c r="T276" s="70"/>
      <c r="U276" s="31"/>
      <c r="W276" s="31"/>
      <c r="Y276" s="31"/>
      <c r="Z276" s="31"/>
      <c r="AA276" s="31"/>
      <c r="AB276" s="31"/>
      <c r="AC276" s="31"/>
      <c r="AD276" s="31"/>
      <c r="AE276" s="31"/>
      <c r="AG276" s="31"/>
    </row>
    <row r="277" spans="1:33">
      <c r="A277" s="31"/>
      <c r="B277" s="31"/>
      <c r="C277" s="31"/>
      <c r="E277" s="31"/>
      <c r="F277" s="31"/>
      <c r="G277" s="31"/>
      <c r="J277" s="31"/>
      <c r="L277" s="31"/>
      <c r="M277" s="31"/>
      <c r="N277" s="31"/>
      <c r="O277" s="31"/>
      <c r="P277" s="65"/>
      <c r="R277" s="31"/>
      <c r="S277" s="31"/>
      <c r="T277" s="70"/>
      <c r="U277" s="31"/>
      <c r="W277" s="31"/>
      <c r="Y277" s="31"/>
      <c r="Z277" s="31"/>
      <c r="AA277" s="31"/>
      <c r="AB277" s="31"/>
      <c r="AC277" s="31"/>
      <c r="AD277" s="31"/>
      <c r="AE277" s="31"/>
      <c r="AG277" s="31"/>
    </row>
    <row r="278" spans="1:33">
      <c r="A278" s="31"/>
      <c r="B278" s="31"/>
      <c r="C278" s="31"/>
      <c r="E278" s="31"/>
      <c r="F278" s="31"/>
      <c r="G278" s="31"/>
      <c r="J278" s="31"/>
      <c r="L278" s="31"/>
      <c r="M278" s="31"/>
      <c r="N278" s="31"/>
      <c r="O278" s="31"/>
      <c r="P278" s="65"/>
      <c r="R278" s="31"/>
      <c r="S278" s="31"/>
      <c r="T278" s="70"/>
      <c r="U278" s="31"/>
      <c r="W278" s="31"/>
      <c r="Y278" s="31"/>
      <c r="Z278" s="31"/>
      <c r="AA278" s="31"/>
      <c r="AB278" s="31"/>
      <c r="AC278" s="31"/>
      <c r="AD278" s="31"/>
      <c r="AE278" s="31"/>
      <c r="AG278" s="31"/>
    </row>
    <row r="279" spans="1:33">
      <c r="A279" s="31"/>
      <c r="B279" s="31"/>
      <c r="C279" s="31"/>
      <c r="E279" s="31"/>
      <c r="F279" s="31"/>
      <c r="G279" s="31"/>
      <c r="J279" s="31"/>
      <c r="L279" s="31"/>
      <c r="M279" s="31"/>
      <c r="N279" s="31"/>
      <c r="O279" s="31"/>
      <c r="P279" s="65"/>
      <c r="R279" s="31"/>
      <c r="S279" s="31"/>
      <c r="T279" s="70"/>
      <c r="U279" s="31"/>
      <c r="W279" s="31"/>
      <c r="Y279" s="31"/>
      <c r="Z279" s="31"/>
      <c r="AA279" s="31"/>
      <c r="AB279" s="31"/>
      <c r="AC279" s="31"/>
      <c r="AD279" s="31"/>
      <c r="AE279" s="31"/>
      <c r="AG279" s="31"/>
    </row>
    <row r="280" spans="1:33">
      <c r="A280" s="31"/>
      <c r="B280" s="31"/>
      <c r="C280" s="31"/>
      <c r="E280" s="31"/>
      <c r="F280" s="31"/>
      <c r="G280" s="31"/>
      <c r="J280" s="31"/>
      <c r="L280" s="31"/>
      <c r="M280" s="31"/>
      <c r="N280" s="31"/>
      <c r="O280" s="31"/>
      <c r="P280" s="65"/>
      <c r="R280" s="31"/>
      <c r="S280" s="31"/>
      <c r="T280" s="70"/>
      <c r="U280" s="31"/>
      <c r="W280" s="31"/>
      <c r="Y280" s="31"/>
      <c r="Z280" s="31"/>
      <c r="AA280" s="31"/>
      <c r="AB280" s="31"/>
      <c r="AC280" s="31"/>
      <c r="AD280" s="31"/>
      <c r="AE280" s="31"/>
      <c r="AG280" s="31"/>
    </row>
    <row r="281" spans="1:33">
      <c r="A281" s="31"/>
      <c r="B281" s="31"/>
      <c r="C281" s="31"/>
      <c r="E281" s="31"/>
      <c r="F281" s="31"/>
      <c r="G281" s="31"/>
      <c r="J281" s="31"/>
      <c r="L281" s="31"/>
      <c r="M281" s="31"/>
      <c r="N281" s="31"/>
      <c r="O281" s="31"/>
      <c r="P281" s="65"/>
      <c r="R281" s="31"/>
      <c r="S281" s="31"/>
      <c r="T281" s="70"/>
      <c r="U281" s="31"/>
      <c r="W281" s="31"/>
      <c r="Y281" s="31"/>
      <c r="Z281" s="31"/>
      <c r="AA281" s="31"/>
      <c r="AB281" s="31"/>
      <c r="AC281" s="31"/>
      <c r="AD281" s="31"/>
      <c r="AE281" s="31"/>
      <c r="AG281" s="31"/>
    </row>
    <row r="282" spans="1:33">
      <c r="A282" s="31"/>
      <c r="B282" s="31"/>
      <c r="C282" s="31"/>
      <c r="E282" s="31"/>
      <c r="F282" s="31"/>
      <c r="G282" s="31"/>
      <c r="J282" s="31"/>
      <c r="L282" s="31"/>
      <c r="M282" s="31"/>
      <c r="N282" s="31"/>
      <c r="O282" s="31"/>
      <c r="P282" s="65"/>
      <c r="R282" s="31"/>
      <c r="S282" s="31"/>
      <c r="T282" s="70"/>
      <c r="U282" s="31"/>
      <c r="W282" s="31"/>
      <c r="Y282" s="31"/>
      <c r="Z282" s="31"/>
      <c r="AA282" s="31"/>
      <c r="AB282" s="31"/>
      <c r="AC282" s="31"/>
      <c r="AD282" s="31"/>
      <c r="AE282" s="31"/>
      <c r="AG282" s="31"/>
    </row>
    <row r="283" spans="1:33">
      <c r="A283" s="31"/>
      <c r="B283" s="31"/>
      <c r="C283" s="31"/>
      <c r="E283" s="31"/>
      <c r="F283" s="31"/>
      <c r="G283" s="31"/>
      <c r="J283" s="31"/>
      <c r="L283" s="31"/>
      <c r="M283" s="31"/>
      <c r="N283" s="31"/>
      <c r="O283" s="31"/>
      <c r="P283" s="65"/>
      <c r="R283" s="31"/>
      <c r="S283" s="31"/>
      <c r="T283" s="70"/>
      <c r="U283" s="31"/>
      <c r="W283" s="31"/>
      <c r="Y283" s="31"/>
      <c r="Z283" s="31"/>
      <c r="AA283" s="31"/>
      <c r="AB283" s="31"/>
      <c r="AC283" s="31"/>
      <c r="AD283" s="31"/>
      <c r="AE283" s="31"/>
      <c r="AG283" s="31"/>
    </row>
    <row r="284" spans="1:33">
      <c r="A284" s="31"/>
      <c r="B284" s="31"/>
      <c r="C284" s="31"/>
      <c r="E284" s="31"/>
      <c r="F284" s="31"/>
      <c r="G284" s="31"/>
      <c r="J284" s="31"/>
      <c r="L284" s="31"/>
      <c r="M284" s="31"/>
      <c r="N284" s="31"/>
      <c r="O284" s="31"/>
      <c r="P284" s="65"/>
      <c r="R284" s="31"/>
      <c r="S284" s="31"/>
      <c r="T284" s="70"/>
      <c r="U284" s="31"/>
      <c r="W284" s="31"/>
      <c r="Y284" s="31"/>
      <c r="Z284" s="31"/>
      <c r="AA284" s="31"/>
      <c r="AB284" s="31"/>
      <c r="AC284" s="31"/>
      <c r="AD284" s="31"/>
      <c r="AE284" s="31"/>
      <c r="AG284" s="31"/>
    </row>
    <row r="285" spans="1:33">
      <c r="A285" s="31"/>
      <c r="B285" s="31"/>
      <c r="C285" s="31"/>
      <c r="E285" s="31"/>
      <c r="F285" s="31"/>
      <c r="G285" s="31"/>
      <c r="J285" s="31"/>
      <c r="L285" s="31"/>
      <c r="M285" s="31"/>
      <c r="N285" s="31"/>
      <c r="O285" s="31"/>
      <c r="P285" s="65"/>
      <c r="R285" s="31"/>
      <c r="S285" s="31"/>
      <c r="T285" s="70"/>
      <c r="U285" s="31"/>
      <c r="W285" s="31"/>
      <c r="Y285" s="31"/>
      <c r="Z285" s="31"/>
      <c r="AA285" s="31"/>
      <c r="AB285" s="31"/>
      <c r="AC285" s="31"/>
      <c r="AD285" s="31"/>
      <c r="AE285" s="31"/>
      <c r="AG285" s="31"/>
    </row>
    <row r="286" spans="1:33">
      <c r="A286" s="31"/>
      <c r="B286" s="31"/>
      <c r="C286" s="31"/>
      <c r="E286" s="31"/>
      <c r="F286" s="31"/>
      <c r="G286" s="31"/>
      <c r="J286" s="31"/>
      <c r="L286" s="31"/>
      <c r="M286" s="31"/>
      <c r="N286" s="31"/>
      <c r="O286" s="31"/>
      <c r="P286" s="65"/>
      <c r="R286" s="31"/>
      <c r="S286" s="31"/>
      <c r="T286" s="70"/>
      <c r="U286" s="31"/>
      <c r="W286" s="31"/>
      <c r="Y286" s="31"/>
      <c r="Z286" s="31"/>
      <c r="AA286" s="31"/>
      <c r="AB286" s="31"/>
      <c r="AC286" s="31"/>
      <c r="AD286" s="31"/>
      <c r="AE286" s="31"/>
      <c r="AG286" s="31"/>
    </row>
    <row r="287" spans="1:33">
      <c r="A287" s="31"/>
      <c r="B287" s="31"/>
      <c r="C287" s="31"/>
      <c r="E287" s="31"/>
      <c r="F287" s="31"/>
      <c r="G287" s="31"/>
      <c r="J287" s="31"/>
      <c r="L287" s="31"/>
      <c r="M287" s="31"/>
      <c r="N287" s="31"/>
      <c r="O287" s="31"/>
      <c r="P287" s="65"/>
      <c r="R287" s="31"/>
      <c r="S287" s="31"/>
      <c r="T287" s="70"/>
      <c r="U287" s="31"/>
      <c r="W287" s="31"/>
      <c r="Y287" s="31"/>
      <c r="Z287" s="31"/>
      <c r="AA287" s="31"/>
      <c r="AB287" s="31"/>
      <c r="AC287" s="31"/>
      <c r="AD287" s="31"/>
      <c r="AE287" s="31"/>
      <c r="AG287" s="31"/>
    </row>
    <row r="288" spans="1:33">
      <c r="A288" s="31"/>
      <c r="B288" s="31"/>
      <c r="C288" s="31"/>
      <c r="E288" s="31"/>
      <c r="F288" s="31"/>
      <c r="G288" s="31"/>
      <c r="J288" s="31"/>
      <c r="L288" s="31"/>
      <c r="M288" s="31"/>
      <c r="N288" s="31"/>
      <c r="O288" s="31"/>
      <c r="P288" s="65"/>
      <c r="R288" s="31"/>
      <c r="S288" s="31"/>
      <c r="T288" s="70"/>
      <c r="U288" s="31"/>
      <c r="W288" s="31"/>
      <c r="Y288" s="31"/>
      <c r="Z288" s="31"/>
      <c r="AA288" s="31"/>
      <c r="AB288" s="31"/>
      <c r="AC288" s="31"/>
      <c r="AD288" s="31"/>
      <c r="AE288" s="31"/>
      <c r="AG288" s="31"/>
    </row>
    <row r="289" spans="1:33">
      <c r="A289" s="31"/>
      <c r="B289" s="31"/>
      <c r="C289" s="31"/>
      <c r="E289" s="31"/>
      <c r="F289" s="31"/>
      <c r="G289" s="31"/>
      <c r="J289" s="31"/>
      <c r="L289" s="31"/>
      <c r="M289" s="31"/>
      <c r="N289" s="31"/>
      <c r="O289" s="31"/>
      <c r="P289" s="65"/>
      <c r="R289" s="31"/>
      <c r="S289" s="31"/>
      <c r="T289" s="70"/>
      <c r="U289" s="31"/>
      <c r="W289" s="31"/>
      <c r="Y289" s="31"/>
      <c r="Z289" s="31"/>
      <c r="AA289" s="31"/>
      <c r="AB289" s="31"/>
      <c r="AC289" s="31"/>
      <c r="AD289" s="31"/>
      <c r="AE289" s="31"/>
      <c r="AG289" s="31"/>
    </row>
    <row r="290" spans="1:33">
      <c r="A290" s="31"/>
      <c r="B290" s="31"/>
      <c r="C290" s="31"/>
      <c r="E290" s="31"/>
      <c r="F290" s="31"/>
      <c r="G290" s="31"/>
      <c r="J290" s="31"/>
      <c r="L290" s="31"/>
      <c r="M290" s="31"/>
      <c r="N290" s="31"/>
      <c r="O290" s="31"/>
      <c r="P290" s="65"/>
      <c r="R290" s="31"/>
      <c r="S290" s="31"/>
      <c r="T290" s="70"/>
      <c r="U290" s="31"/>
      <c r="W290" s="31"/>
      <c r="Y290" s="31"/>
      <c r="Z290" s="31"/>
      <c r="AA290" s="31"/>
      <c r="AB290" s="31"/>
      <c r="AC290" s="31"/>
      <c r="AD290" s="31"/>
      <c r="AE290" s="31"/>
      <c r="AG290" s="31"/>
    </row>
    <row r="291" spans="1:33">
      <c r="A291" s="31"/>
      <c r="B291" s="31"/>
      <c r="C291" s="31"/>
      <c r="E291" s="31"/>
      <c r="F291" s="31"/>
      <c r="G291" s="31"/>
      <c r="J291" s="31"/>
      <c r="L291" s="31"/>
      <c r="M291" s="31"/>
      <c r="N291" s="31"/>
      <c r="O291" s="31"/>
      <c r="P291" s="65"/>
      <c r="R291" s="31"/>
      <c r="S291" s="31"/>
      <c r="T291" s="70"/>
      <c r="U291" s="31"/>
      <c r="W291" s="31"/>
      <c r="Y291" s="31"/>
      <c r="Z291" s="31"/>
      <c r="AA291" s="31"/>
      <c r="AB291" s="31"/>
      <c r="AC291" s="31"/>
      <c r="AD291" s="31"/>
      <c r="AE291" s="31"/>
      <c r="AG291" s="31"/>
    </row>
    <row r="292" spans="1:33">
      <c r="A292" s="31"/>
      <c r="B292" s="31"/>
      <c r="C292" s="31"/>
      <c r="E292" s="31"/>
      <c r="F292" s="31"/>
      <c r="G292" s="31"/>
      <c r="J292" s="31"/>
      <c r="L292" s="31"/>
      <c r="M292" s="31"/>
      <c r="N292" s="31"/>
      <c r="O292" s="31"/>
      <c r="P292" s="65"/>
      <c r="R292" s="31"/>
      <c r="S292" s="31"/>
      <c r="T292" s="70"/>
      <c r="U292" s="31"/>
      <c r="W292" s="31"/>
      <c r="Y292" s="31"/>
      <c r="Z292" s="31"/>
      <c r="AA292" s="31"/>
      <c r="AB292" s="31"/>
      <c r="AC292" s="31"/>
      <c r="AD292" s="31"/>
      <c r="AE292" s="31"/>
      <c r="AG292" s="31"/>
    </row>
    <row r="293" spans="1:33">
      <c r="A293" s="31"/>
      <c r="B293" s="31"/>
      <c r="C293" s="31"/>
      <c r="E293" s="31"/>
      <c r="F293" s="31"/>
      <c r="G293" s="31"/>
      <c r="J293" s="31"/>
      <c r="L293" s="31"/>
      <c r="M293" s="31"/>
      <c r="N293" s="31"/>
      <c r="O293" s="31"/>
      <c r="P293" s="65"/>
      <c r="R293" s="31"/>
      <c r="S293" s="31"/>
      <c r="T293" s="70"/>
      <c r="U293" s="31"/>
      <c r="W293" s="31"/>
      <c r="Y293" s="31"/>
      <c r="Z293" s="31"/>
      <c r="AA293" s="31"/>
      <c r="AB293" s="31"/>
      <c r="AC293" s="31"/>
      <c r="AD293" s="31"/>
      <c r="AE293" s="31"/>
      <c r="AG293" s="31"/>
    </row>
    <row r="294" spans="1:33">
      <c r="A294" s="31"/>
      <c r="B294" s="31"/>
      <c r="C294" s="31"/>
      <c r="E294" s="31"/>
      <c r="F294" s="31"/>
      <c r="G294" s="31"/>
      <c r="J294" s="31"/>
      <c r="L294" s="31"/>
      <c r="M294" s="31"/>
      <c r="N294" s="31"/>
      <c r="O294" s="31"/>
      <c r="P294" s="65"/>
      <c r="R294" s="31"/>
      <c r="S294" s="31"/>
      <c r="T294" s="70"/>
      <c r="U294" s="31"/>
      <c r="W294" s="31"/>
      <c r="Y294" s="31"/>
      <c r="Z294" s="31"/>
      <c r="AA294" s="31"/>
      <c r="AB294" s="31"/>
      <c r="AC294" s="31"/>
      <c r="AD294" s="31"/>
      <c r="AE294" s="31"/>
      <c r="AG294" s="31"/>
    </row>
    <row r="295" spans="1:33">
      <c r="A295" s="31"/>
      <c r="B295" s="31"/>
      <c r="C295" s="31"/>
      <c r="E295" s="31"/>
      <c r="F295" s="31"/>
      <c r="G295" s="31"/>
      <c r="J295" s="31"/>
      <c r="L295" s="31"/>
      <c r="M295" s="31"/>
      <c r="N295" s="31"/>
      <c r="O295" s="31"/>
      <c r="P295" s="65"/>
      <c r="R295" s="31"/>
      <c r="S295" s="31"/>
      <c r="T295" s="70"/>
      <c r="U295" s="31"/>
      <c r="W295" s="31"/>
      <c r="Y295" s="31"/>
      <c r="Z295" s="31"/>
      <c r="AA295" s="31"/>
      <c r="AB295" s="31"/>
      <c r="AC295" s="31"/>
      <c r="AD295" s="31"/>
      <c r="AE295" s="31"/>
      <c r="AG295" s="31"/>
    </row>
    <row r="296" spans="1:33">
      <c r="A296" s="31"/>
      <c r="B296" s="31"/>
      <c r="C296" s="31"/>
      <c r="E296" s="31"/>
      <c r="F296" s="31"/>
      <c r="G296" s="31"/>
      <c r="J296" s="31"/>
      <c r="L296" s="31"/>
      <c r="M296" s="31"/>
      <c r="N296" s="31"/>
      <c r="O296" s="31"/>
      <c r="P296" s="65"/>
      <c r="R296" s="31"/>
      <c r="S296" s="31"/>
      <c r="T296" s="70"/>
      <c r="U296" s="31"/>
      <c r="W296" s="31"/>
      <c r="Y296" s="31"/>
      <c r="Z296" s="31"/>
      <c r="AA296" s="31"/>
      <c r="AB296" s="31"/>
      <c r="AC296" s="31"/>
      <c r="AD296" s="31"/>
      <c r="AE296" s="31"/>
      <c r="AG296" s="31"/>
    </row>
    <row r="297" spans="1:33">
      <c r="A297" s="31"/>
      <c r="B297" s="31"/>
      <c r="C297" s="31"/>
      <c r="E297" s="31"/>
      <c r="F297" s="31"/>
      <c r="G297" s="31"/>
      <c r="J297" s="31"/>
      <c r="L297" s="31"/>
      <c r="M297" s="31"/>
      <c r="N297" s="31"/>
      <c r="O297" s="31"/>
      <c r="P297" s="65"/>
      <c r="R297" s="31"/>
      <c r="S297" s="31"/>
      <c r="T297" s="70"/>
      <c r="U297" s="31"/>
      <c r="W297" s="31"/>
      <c r="Y297" s="31"/>
      <c r="Z297" s="31"/>
      <c r="AA297" s="31"/>
      <c r="AB297" s="31"/>
      <c r="AC297" s="31"/>
      <c r="AD297" s="31"/>
      <c r="AE297" s="31"/>
      <c r="AG297" s="31"/>
    </row>
    <row r="298" spans="1:33">
      <c r="A298" s="31"/>
      <c r="B298" s="31"/>
      <c r="C298" s="31"/>
      <c r="E298" s="31"/>
      <c r="F298" s="31"/>
      <c r="G298" s="31"/>
      <c r="J298" s="31"/>
      <c r="L298" s="31"/>
      <c r="M298" s="31"/>
      <c r="N298" s="31"/>
      <c r="O298" s="31"/>
      <c r="P298" s="65"/>
      <c r="R298" s="31"/>
      <c r="S298" s="31"/>
      <c r="T298" s="70"/>
      <c r="U298" s="31"/>
      <c r="W298" s="31"/>
      <c r="Y298" s="31"/>
      <c r="Z298" s="31"/>
      <c r="AA298" s="31"/>
      <c r="AB298" s="31"/>
      <c r="AC298" s="31"/>
      <c r="AD298" s="31"/>
      <c r="AE298" s="31"/>
      <c r="AG298" s="31"/>
    </row>
    <row r="299" spans="1:33">
      <c r="A299" s="31"/>
      <c r="B299" s="31"/>
      <c r="C299" s="31"/>
      <c r="E299" s="31"/>
      <c r="F299" s="31"/>
      <c r="G299" s="31"/>
      <c r="J299" s="31"/>
      <c r="L299" s="31"/>
      <c r="M299" s="31"/>
      <c r="N299" s="31"/>
      <c r="O299" s="31"/>
      <c r="P299" s="65"/>
      <c r="R299" s="31"/>
      <c r="S299" s="31"/>
      <c r="T299" s="70"/>
      <c r="U299" s="31"/>
      <c r="W299" s="31"/>
      <c r="Y299" s="31"/>
      <c r="Z299" s="31"/>
      <c r="AA299" s="31"/>
      <c r="AB299" s="31"/>
      <c r="AC299" s="31"/>
      <c r="AD299" s="31"/>
      <c r="AE299" s="31"/>
      <c r="AG299" s="31"/>
    </row>
    <row r="300" spans="1:33">
      <c r="A300" s="31"/>
      <c r="B300" s="31"/>
      <c r="C300" s="31"/>
      <c r="E300" s="31"/>
      <c r="F300" s="31"/>
      <c r="G300" s="31"/>
      <c r="J300" s="31"/>
      <c r="L300" s="31"/>
      <c r="M300" s="31"/>
      <c r="N300" s="31"/>
      <c r="O300" s="31"/>
      <c r="P300" s="65"/>
      <c r="R300" s="31"/>
      <c r="S300" s="31"/>
      <c r="T300" s="70"/>
      <c r="U300" s="31"/>
      <c r="W300" s="31"/>
      <c r="Y300" s="31"/>
      <c r="Z300" s="31"/>
      <c r="AA300" s="31"/>
      <c r="AB300" s="31"/>
      <c r="AC300" s="31"/>
      <c r="AD300" s="31"/>
      <c r="AE300" s="31"/>
      <c r="AG300" s="31"/>
    </row>
    <row r="301" spans="1:33">
      <c r="A301" s="31"/>
      <c r="B301" s="31"/>
      <c r="C301" s="31"/>
      <c r="E301" s="31"/>
      <c r="F301" s="31"/>
      <c r="G301" s="31"/>
      <c r="J301" s="31"/>
      <c r="L301" s="31"/>
      <c r="M301" s="31"/>
      <c r="N301" s="31"/>
      <c r="O301" s="31"/>
      <c r="P301" s="65"/>
      <c r="R301" s="31"/>
      <c r="S301" s="31"/>
      <c r="T301" s="70"/>
      <c r="U301" s="31"/>
      <c r="W301" s="31"/>
      <c r="Y301" s="31"/>
      <c r="Z301" s="31"/>
      <c r="AA301" s="31"/>
      <c r="AB301" s="31"/>
      <c r="AC301" s="31"/>
      <c r="AD301" s="31"/>
      <c r="AE301" s="31"/>
      <c r="AG301" s="31"/>
    </row>
    <row r="302" spans="1:33">
      <c r="A302" s="31"/>
      <c r="B302" s="31"/>
      <c r="C302" s="31"/>
      <c r="E302" s="31"/>
      <c r="F302" s="31"/>
      <c r="G302" s="31"/>
      <c r="J302" s="31"/>
      <c r="L302" s="31"/>
      <c r="M302" s="31"/>
      <c r="N302" s="31"/>
      <c r="O302" s="31"/>
      <c r="P302" s="65"/>
      <c r="R302" s="31"/>
      <c r="S302" s="31"/>
      <c r="T302" s="70"/>
      <c r="U302" s="31"/>
      <c r="W302" s="31"/>
      <c r="Y302" s="31"/>
      <c r="Z302" s="31"/>
      <c r="AA302" s="31"/>
      <c r="AB302" s="31"/>
      <c r="AC302" s="31"/>
      <c r="AD302" s="31"/>
      <c r="AE302" s="31"/>
      <c r="AG302" s="31"/>
    </row>
    <row r="303" spans="1:33">
      <c r="A303" s="31"/>
      <c r="B303" s="31"/>
      <c r="C303" s="31"/>
      <c r="E303" s="31"/>
      <c r="F303" s="31"/>
      <c r="G303" s="31"/>
      <c r="J303" s="31"/>
      <c r="L303" s="31"/>
      <c r="M303" s="31"/>
      <c r="N303" s="31"/>
      <c r="O303" s="31"/>
      <c r="P303" s="65"/>
      <c r="R303" s="31"/>
      <c r="S303" s="31"/>
      <c r="T303" s="70"/>
      <c r="U303" s="31"/>
      <c r="W303" s="31"/>
      <c r="Y303" s="31"/>
      <c r="Z303" s="31"/>
      <c r="AA303" s="31"/>
      <c r="AB303" s="31"/>
      <c r="AC303" s="31"/>
      <c r="AD303" s="31"/>
      <c r="AE303" s="31"/>
      <c r="AG303" s="31"/>
    </row>
    <row r="304" spans="1:33">
      <c r="A304" s="31"/>
      <c r="B304" s="31"/>
      <c r="C304" s="31"/>
      <c r="E304" s="31"/>
      <c r="F304" s="31"/>
      <c r="G304" s="31"/>
      <c r="J304" s="31"/>
      <c r="L304" s="31"/>
      <c r="M304" s="31"/>
      <c r="N304" s="31"/>
      <c r="O304" s="31"/>
      <c r="P304" s="65"/>
      <c r="R304" s="31"/>
      <c r="S304" s="31"/>
      <c r="T304" s="70"/>
      <c r="U304" s="31"/>
      <c r="W304" s="31"/>
      <c r="Y304" s="31"/>
      <c r="Z304" s="31"/>
      <c r="AA304" s="31"/>
      <c r="AB304" s="31"/>
      <c r="AC304" s="31"/>
      <c r="AD304" s="31"/>
      <c r="AE304" s="31"/>
      <c r="AG304" s="31"/>
    </row>
    <row r="305" spans="1:33">
      <c r="A305" s="31"/>
      <c r="B305" s="31"/>
      <c r="C305" s="31"/>
      <c r="E305" s="31"/>
      <c r="F305" s="31"/>
      <c r="G305" s="31"/>
      <c r="J305" s="31"/>
      <c r="L305" s="31"/>
      <c r="M305" s="31"/>
      <c r="N305" s="31"/>
      <c r="O305" s="31"/>
      <c r="P305" s="65"/>
      <c r="R305" s="31"/>
      <c r="S305" s="31"/>
      <c r="T305" s="70"/>
      <c r="U305" s="31"/>
      <c r="W305" s="31"/>
      <c r="Y305" s="31"/>
      <c r="Z305" s="31"/>
      <c r="AA305" s="31"/>
      <c r="AB305" s="31"/>
      <c r="AC305" s="31"/>
      <c r="AD305" s="31"/>
      <c r="AE305" s="31"/>
      <c r="AG305" s="31"/>
    </row>
    <row r="306" spans="1:33">
      <c r="A306" s="31"/>
      <c r="B306" s="31"/>
      <c r="C306" s="31"/>
      <c r="E306" s="31"/>
      <c r="F306" s="31"/>
      <c r="G306" s="31"/>
      <c r="J306" s="31"/>
      <c r="L306" s="31"/>
      <c r="M306" s="31"/>
      <c r="N306" s="31"/>
      <c r="O306" s="31"/>
      <c r="P306" s="65"/>
      <c r="R306" s="31"/>
      <c r="S306" s="31"/>
      <c r="T306" s="70"/>
      <c r="U306" s="31"/>
      <c r="W306" s="31"/>
      <c r="Y306" s="31"/>
      <c r="Z306" s="31"/>
      <c r="AA306" s="31"/>
      <c r="AB306" s="31"/>
      <c r="AC306" s="31"/>
      <c r="AD306" s="31"/>
      <c r="AE306" s="31"/>
      <c r="AG306" s="31"/>
    </row>
    <row r="307" spans="1:33">
      <c r="A307" s="31"/>
      <c r="B307" s="31"/>
      <c r="C307" s="31"/>
      <c r="E307" s="31"/>
      <c r="F307" s="31"/>
      <c r="G307" s="31"/>
      <c r="J307" s="31"/>
      <c r="L307" s="31"/>
      <c r="M307" s="31"/>
      <c r="N307" s="31"/>
      <c r="O307" s="31"/>
      <c r="P307" s="65"/>
      <c r="R307" s="31"/>
      <c r="S307" s="31"/>
      <c r="T307" s="70"/>
      <c r="U307" s="31"/>
      <c r="W307" s="31"/>
      <c r="Y307" s="31"/>
      <c r="Z307" s="31"/>
      <c r="AA307" s="31"/>
      <c r="AB307" s="31"/>
      <c r="AC307" s="31"/>
      <c r="AD307" s="31"/>
      <c r="AE307" s="31"/>
      <c r="AG307" s="31"/>
    </row>
    <row r="308" spans="1:33">
      <c r="A308" s="31"/>
      <c r="B308" s="31"/>
      <c r="C308" s="31"/>
      <c r="E308" s="31"/>
      <c r="F308" s="31"/>
      <c r="G308" s="31"/>
      <c r="J308" s="31"/>
      <c r="L308" s="31"/>
      <c r="M308" s="31"/>
      <c r="N308" s="31"/>
      <c r="O308" s="31"/>
      <c r="P308" s="65"/>
      <c r="R308" s="31"/>
      <c r="S308" s="31"/>
      <c r="T308" s="70"/>
      <c r="U308" s="31"/>
      <c r="W308" s="31"/>
      <c r="Y308" s="31"/>
      <c r="Z308" s="31"/>
      <c r="AA308" s="31"/>
      <c r="AB308" s="31"/>
      <c r="AC308" s="31"/>
      <c r="AD308" s="31"/>
      <c r="AE308" s="31"/>
      <c r="AG308" s="31"/>
    </row>
    <row r="309" spans="1:33">
      <c r="A309" s="31"/>
      <c r="B309" s="31"/>
      <c r="C309" s="31"/>
      <c r="E309" s="31"/>
      <c r="F309" s="31"/>
      <c r="G309" s="31"/>
      <c r="J309" s="31"/>
      <c r="L309" s="31"/>
      <c r="M309" s="31"/>
      <c r="N309" s="31"/>
      <c r="O309" s="31"/>
      <c r="P309" s="65"/>
      <c r="R309" s="31"/>
      <c r="S309" s="31"/>
      <c r="T309" s="70"/>
      <c r="U309" s="31"/>
      <c r="W309" s="31"/>
      <c r="Y309" s="31"/>
      <c r="Z309" s="31"/>
      <c r="AA309" s="31"/>
      <c r="AB309" s="31"/>
      <c r="AC309" s="31"/>
      <c r="AD309" s="31"/>
      <c r="AE309" s="31"/>
      <c r="AG309" s="31"/>
    </row>
    <row r="310" spans="1:33">
      <c r="A310" s="31"/>
      <c r="B310" s="31"/>
      <c r="C310" s="31"/>
      <c r="E310" s="31"/>
      <c r="F310" s="31"/>
      <c r="G310" s="31"/>
      <c r="J310" s="31"/>
      <c r="L310" s="31"/>
      <c r="M310" s="31"/>
      <c r="N310" s="31"/>
      <c r="O310" s="31"/>
      <c r="P310" s="65"/>
      <c r="R310" s="31"/>
      <c r="S310" s="31"/>
      <c r="T310" s="70"/>
      <c r="U310" s="31"/>
      <c r="W310" s="31"/>
      <c r="Y310" s="31"/>
      <c r="Z310" s="31"/>
      <c r="AA310" s="31"/>
      <c r="AB310" s="31"/>
      <c r="AC310" s="31"/>
      <c r="AD310" s="31"/>
      <c r="AE310" s="31"/>
      <c r="AG310" s="31"/>
    </row>
    <row r="311" spans="1:33">
      <c r="A311" s="31"/>
      <c r="B311" s="31"/>
      <c r="C311" s="31"/>
      <c r="E311" s="31"/>
      <c r="F311" s="31"/>
      <c r="G311" s="31"/>
      <c r="J311" s="31"/>
      <c r="L311" s="31"/>
      <c r="M311" s="31"/>
      <c r="N311" s="31"/>
      <c r="O311" s="31"/>
      <c r="P311" s="65"/>
      <c r="R311" s="31"/>
      <c r="S311" s="31"/>
      <c r="T311" s="70"/>
      <c r="U311" s="31"/>
      <c r="W311" s="31"/>
      <c r="Y311" s="31"/>
      <c r="Z311" s="31"/>
      <c r="AA311" s="31"/>
      <c r="AB311" s="31"/>
      <c r="AC311" s="31"/>
      <c r="AD311" s="31"/>
      <c r="AE311" s="31"/>
      <c r="AG311" s="31"/>
    </row>
    <row r="312" spans="1:33">
      <c r="A312" s="31"/>
      <c r="B312" s="31"/>
      <c r="C312" s="31"/>
      <c r="E312" s="31"/>
      <c r="F312" s="31"/>
      <c r="G312" s="31"/>
      <c r="J312" s="31"/>
      <c r="L312" s="31"/>
      <c r="M312" s="31"/>
      <c r="N312" s="31"/>
      <c r="O312" s="31"/>
      <c r="P312" s="65"/>
      <c r="R312" s="31"/>
      <c r="S312" s="31"/>
      <c r="T312" s="70"/>
      <c r="U312" s="31"/>
      <c r="W312" s="31"/>
      <c r="Y312" s="31"/>
      <c r="Z312" s="31"/>
      <c r="AA312" s="31"/>
      <c r="AB312" s="31"/>
      <c r="AC312" s="31"/>
      <c r="AD312" s="31"/>
      <c r="AE312" s="31"/>
      <c r="AG312" s="31"/>
    </row>
    <row r="313" spans="1:33">
      <c r="A313" s="31"/>
      <c r="B313" s="31"/>
      <c r="C313" s="31"/>
      <c r="E313" s="31"/>
      <c r="F313" s="31"/>
      <c r="G313" s="31"/>
      <c r="J313" s="31"/>
      <c r="L313" s="31"/>
      <c r="M313" s="31"/>
      <c r="N313" s="31"/>
      <c r="O313" s="31"/>
      <c r="P313" s="65"/>
      <c r="R313" s="31"/>
      <c r="S313" s="31"/>
      <c r="T313" s="70"/>
      <c r="U313" s="31"/>
      <c r="W313" s="31"/>
      <c r="Y313" s="31"/>
      <c r="Z313" s="31"/>
      <c r="AA313" s="31"/>
      <c r="AB313" s="31"/>
      <c r="AC313" s="31"/>
      <c r="AD313" s="31"/>
      <c r="AE313" s="31"/>
      <c r="AG313" s="31"/>
    </row>
    <row r="314" spans="1:33">
      <c r="A314" s="31"/>
      <c r="B314" s="31"/>
      <c r="C314" s="31"/>
      <c r="E314" s="31"/>
      <c r="F314" s="31"/>
      <c r="G314" s="31"/>
      <c r="J314" s="31"/>
      <c r="L314" s="31"/>
      <c r="M314" s="31"/>
      <c r="N314" s="31"/>
      <c r="O314" s="31"/>
      <c r="P314" s="65"/>
      <c r="R314" s="31"/>
      <c r="S314" s="31"/>
      <c r="T314" s="70"/>
      <c r="U314" s="31"/>
      <c r="W314" s="31"/>
      <c r="Y314" s="31"/>
      <c r="Z314" s="31"/>
      <c r="AA314" s="31"/>
      <c r="AB314" s="31"/>
      <c r="AC314" s="31"/>
      <c r="AD314" s="31"/>
      <c r="AE314" s="31"/>
      <c r="AG314" s="31"/>
    </row>
    <row r="315" spans="1:33">
      <c r="A315" s="31"/>
      <c r="B315" s="31"/>
      <c r="C315" s="31"/>
      <c r="E315" s="31"/>
      <c r="F315" s="31"/>
      <c r="G315" s="31"/>
      <c r="J315" s="31"/>
      <c r="L315" s="31"/>
      <c r="M315" s="31"/>
      <c r="N315" s="31"/>
      <c r="O315" s="31"/>
      <c r="P315" s="65"/>
      <c r="R315" s="31"/>
      <c r="S315" s="31"/>
      <c r="T315" s="70"/>
      <c r="U315" s="31"/>
      <c r="W315" s="31"/>
      <c r="Y315" s="31"/>
      <c r="Z315" s="31"/>
      <c r="AA315" s="31"/>
      <c r="AB315" s="31"/>
      <c r="AC315" s="31"/>
      <c r="AD315" s="31"/>
      <c r="AE315" s="31"/>
      <c r="AG315" s="31"/>
    </row>
    <row r="316" spans="1:33">
      <c r="A316" s="31"/>
      <c r="B316" s="31"/>
      <c r="C316" s="31"/>
      <c r="E316" s="31"/>
      <c r="F316" s="31"/>
      <c r="G316" s="31"/>
      <c r="J316" s="31"/>
      <c r="L316" s="31"/>
      <c r="M316" s="31"/>
      <c r="N316" s="31"/>
      <c r="O316" s="31"/>
      <c r="P316" s="65"/>
      <c r="R316" s="31"/>
      <c r="S316" s="31"/>
      <c r="T316" s="70"/>
      <c r="U316" s="31"/>
      <c r="W316" s="31"/>
      <c r="Y316" s="31"/>
      <c r="Z316" s="31"/>
      <c r="AA316" s="31"/>
      <c r="AB316" s="31"/>
      <c r="AC316" s="31"/>
      <c r="AD316" s="31"/>
      <c r="AE316" s="31"/>
      <c r="AG316" s="31"/>
    </row>
    <row r="317" spans="1:33">
      <c r="A317" s="31"/>
      <c r="B317" s="31"/>
      <c r="C317" s="31"/>
      <c r="E317" s="31"/>
      <c r="F317" s="31"/>
      <c r="G317" s="31"/>
      <c r="J317" s="31"/>
      <c r="L317" s="31"/>
      <c r="M317" s="31"/>
      <c r="N317" s="31"/>
      <c r="O317" s="31"/>
      <c r="P317" s="65"/>
      <c r="R317" s="31"/>
      <c r="S317" s="31"/>
      <c r="T317" s="70"/>
      <c r="U317" s="31"/>
      <c r="W317" s="31"/>
      <c r="Y317" s="31"/>
      <c r="Z317" s="31"/>
      <c r="AA317" s="31"/>
      <c r="AB317" s="31"/>
      <c r="AC317" s="31"/>
      <c r="AD317" s="31"/>
      <c r="AE317" s="31"/>
      <c r="AG317" s="31"/>
    </row>
    <row r="318" spans="1:33">
      <c r="A318" s="31"/>
      <c r="B318" s="31"/>
      <c r="C318" s="31"/>
      <c r="E318" s="31"/>
      <c r="F318" s="31"/>
      <c r="G318" s="31"/>
      <c r="J318" s="31"/>
      <c r="L318" s="31"/>
      <c r="M318" s="31"/>
      <c r="N318" s="31"/>
      <c r="O318" s="31"/>
      <c r="P318" s="65"/>
      <c r="R318" s="31"/>
      <c r="S318" s="31"/>
      <c r="T318" s="70"/>
      <c r="U318" s="31"/>
      <c r="W318" s="31"/>
      <c r="Y318" s="31"/>
      <c r="Z318" s="31"/>
      <c r="AA318" s="31"/>
      <c r="AB318" s="31"/>
      <c r="AC318" s="31"/>
      <c r="AD318" s="31"/>
      <c r="AE318" s="31"/>
      <c r="AG318" s="31"/>
    </row>
    <row r="319" spans="1:33">
      <c r="A319" s="31"/>
      <c r="B319" s="31"/>
      <c r="C319" s="31"/>
      <c r="E319" s="31"/>
      <c r="F319" s="31"/>
      <c r="G319" s="31"/>
      <c r="J319" s="31"/>
      <c r="L319" s="31"/>
      <c r="M319" s="31"/>
      <c r="N319" s="31"/>
      <c r="O319" s="31"/>
      <c r="P319" s="65"/>
      <c r="R319" s="31"/>
      <c r="S319" s="31"/>
      <c r="T319" s="70"/>
      <c r="U319" s="31"/>
      <c r="W319" s="31"/>
      <c r="Y319" s="31"/>
      <c r="Z319" s="31"/>
      <c r="AA319" s="31"/>
      <c r="AB319" s="31"/>
      <c r="AC319" s="31"/>
      <c r="AD319" s="31"/>
      <c r="AE319" s="31"/>
      <c r="AG319" s="31"/>
    </row>
    <row r="320" spans="1:33">
      <c r="A320" s="31"/>
      <c r="B320" s="31"/>
      <c r="C320" s="31"/>
      <c r="E320" s="31"/>
      <c r="F320" s="31"/>
      <c r="G320" s="31"/>
      <c r="J320" s="31"/>
      <c r="L320" s="31"/>
      <c r="M320" s="31"/>
      <c r="N320" s="31"/>
      <c r="O320" s="31"/>
      <c r="P320" s="65"/>
      <c r="R320" s="31"/>
      <c r="S320" s="31"/>
      <c r="T320" s="70"/>
      <c r="U320" s="31"/>
      <c r="W320" s="31"/>
      <c r="Y320" s="31"/>
      <c r="Z320" s="31"/>
      <c r="AA320" s="31"/>
      <c r="AB320" s="31"/>
      <c r="AC320" s="31"/>
      <c r="AD320" s="31"/>
      <c r="AE320" s="31"/>
      <c r="AG320" s="31"/>
    </row>
    <row r="321" spans="1:33">
      <c r="A321" s="31"/>
      <c r="B321" s="31"/>
      <c r="C321" s="31"/>
      <c r="E321" s="31"/>
      <c r="F321" s="31"/>
      <c r="G321" s="31"/>
      <c r="J321" s="31"/>
      <c r="L321" s="31"/>
      <c r="M321" s="31"/>
      <c r="N321" s="31"/>
      <c r="O321" s="31"/>
      <c r="P321" s="65"/>
      <c r="R321" s="31"/>
      <c r="S321" s="31"/>
      <c r="T321" s="70"/>
      <c r="U321" s="31"/>
      <c r="W321" s="31"/>
      <c r="Y321" s="31"/>
      <c r="Z321" s="31"/>
      <c r="AA321" s="31"/>
      <c r="AB321" s="31"/>
      <c r="AC321" s="31"/>
      <c r="AD321" s="31"/>
      <c r="AE321" s="31"/>
      <c r="AG321" s="31"/>
    </row>
    <row r="322" spans="1:33">
      <c r="A322" s="31"/>
      <c r="B322" s="31"/>
      <c r="C322" s="31"/>
      <c r="E322" s="31"/>
      <c r="F322" s="31"/>
      <c r="G322" s="31"/>
      <c r="J322" s="31"/>
      <c r="L322" s="31"/>
      <c r="M322" s="31"/>
      <c r="N322" s="31"/>
      <c r="O322" s="31"/>
      <c r="P322" s="65"/>
      <c r="R322" s="31"/>
      <c r="S322" s="31"/>
      <c r="T322" s="70"/>
      <c r="U322" s="31"/>
      <c r="W322" s="31"/>
      <c r="Y322" s="31"/>
      <c r="Z322" s="31"/>
      <c r="AA322" s="31"/>
      <c r="AB322" s="31"/>
      <c r="AC322" s="31"/>
      <c r="AD322" s="31"/>
      <c r="AE322" s="31"/>
      <c r="AG322" s="31"/>
    </row>
    <row r="323" spans="1:33">
      <c r="A323" s="31"/>
      <c r="B323" s="31"/>
      <c r="C323" s="31"/>
      <c r="E323" s="31"/>
      <c r="F323" s="31"/>
      <c r="G323" s="31"/>
      <c r="J323" s="31"/>
      <c r="L323" s="31"/>
      <c r="M323" s="31"/>
      <c r="N323" s="31"/>
      <c r="O323" s="31"/>
      <c r="P323" s="65"/>
      <c r="R323" s="31"/>
      <c r="S323" s="31"/>
      <c r="T323" s="70"/>
      <c r="U323" s="31"/>
      <c r="W323" s="31"/>
      <c r="Y323" s="31"/>
      <c r="Z323" s="31"/>
      <c r="AA323" s="31"/>
      <c r="AB323" s="31"/>
      <c r="AC323" s="31"/>
      <c r="AD323" s="31"/>
      <c r="AE323" s="31"/>
      <c r="AG323" s="31"/>
    </row>
    <row r="324" spans="1:33">
      <c r="A324" s="31"/>
      <c r="B324" s="31"/>
      <c r="C324" s="31"/>
      <c r="E324" s="31"/>
      <c r="F324" s="31"/>
      <c r="G324" s="31"/>
      <c r="J324" s="31"/>
      <c r="L324" s="31"/>
      <c r="M324" s="31"/>
      <c r="N324" s="31"/>
      <c r="O324" s="31"/>
      <c r="P324" s="65"/>
      <c r="R324" s="31"/>
      <c r="S324" s="31"/>
      <c r="T324" s="70"/>
      <c r="U324" s="31"/>
      <c r="W324" s="31"/>
      <c r="Y324" s="31"/>
      <c r="Z324" s="31"/>
      <c r="AA324" s="31"/>
      <c r="AB324" s="31"/>
      <c r="AC324" s="31"/>
      <c r="AD324" s="31"/>
      <c r="AE324" s="31"/>
      <c r="AG324" s="31"/>
    </row>
    <row r="325" spans="1:33">
      <c r="A325" s="31"/>
      <c r="B325" s="31"/>
      <c r="C325" s="31"/>
      <c r="E325" s="31"/>
      <c r="F325" s="31"/>
      <c r="G325" s="31"/>
      <c r="J325" s="31"/>
      <c r="L325" s="31"/>
      <c r="M325" s="31"/>
      <c r="N325" s="31"/>
      <c r="O325" s="31"/>
      <c r="P325" s="65"/>
      <c r="R325" s="31"/>
      <c r="S325" s="31"/>
      <c r="T325" s="70"/>
      <c r="U325" s="31"/>
      <c r="W325" s="31"/>
      <c r="Y325" s="31"/>
      <c r="Z325" s="31"/>
      <c r="AA325" s="31"/>
      <c r="AB325" s="31"/>
      <c r="AC325" s="31"/>
      <c r="AD325" s="31"/>
      <c r="AE325" s="31"/>
      <c r="AG325" s="31"/>
    </row>
    <row r="326" spans="1:33">
      <c r="A326" s="31"/>
      <c r="B326" s="31"/>
      <c r="C326" s="31"/>
      <c r="E326" s="31"/>
      <c r="F326" s="31"/>
      <c r="G326" s="31"/>
      <c r="J326" s="31"/>
      <c r="L326" s="31"/>
      <c r="M326" s="31"/>
      <c r="N326" s="31"/>
      <c r="O326" s="31"/>
      <c r="P326" s="65"/>
      <c r="R326" s="31"/>
      <c r="S326" s="31"/>
      <c r="T326" s="70"/>
      <c r="U326" s="31"/>
      <c r="W326" s="31"/>
      <c r="Y326" s="31"/>
      <c r="Z326" s="31"/>
      <c r="AA326" s="31"/>
      <c r="AB326" s="31"/>
      <c r="AC326" s="31"/>
      <c r="AD326" s="31"/>
      <c r="AE326" s="31"/>
      <c r="AG326" s="31"/>
    </row>
    <row r="327" spans="1:33">
      <c r="A327" s="31"/>
      <c r="B327" s="31"/>
      <c r="C327" s="31"/>
      <c r="E327" s="31"/>
      <c r="F327" s="31"/>
      <c r="G327" s="31"/>
      <c r="J327" s="31"/>
      <c r="L327" s="31"/>
      <c r="M327" s="31"/>
      <c r="N327" s="31"/>
      <c r="O327" s="31"/>
      <c r="P327" s="65"/>
      <c r="R327" s="31"/>
      <c r="S327" s="31"/>
      <c r="T327" s="70"/>
      <c r="U327" s="31"/>
      <c r="W327" s="31"/>
      <c r="Y327" s="31"/>
      <c r="Z327" s="31"/>
      <c r="AA327" s="31"/>
      <c r="AB327" s="31"/>
      <c r="AC327" s="31"/>
      <c r="AD327" s="31"/>
      <c r="AE327" s="31"/>
      <c r="AG327" s="31"/>
    </row>
    <row r="328" spans="1:33">
      <c r="A328" s="31"/>
      <c r="B328" s="31"/>
      <c r="C328" s="31"/>
      <c r="E328" s="31"/>
      <c r="F328" s="31"/>
      <c r="G328" s="31"/>
      <c r="J328" s="31"/>
      <c r="L328" s="31"/>
      <c r="M328" s="31"/>
      <c r="N328" s="31"/>
      <c r="O328" s="31"/>
      <c r="P328" s="65"/>
      <c r="R328" s="31"/>
      <c r="S328" s="31"/>
      <c r="T328" s="70"/>
      <c r="U328" s="31"/>
      <c r="W328" s="31"/>
      <c r="Y328" s="31"/>
      <c r="Z328" s="31"/>
      <c r="AA328" s="31"/>
      <c r="AB328" s="31"/>
      <c r="AC328" s="31"/>
      <c r="AD328" s="31"/>
      <c r="AE328" s="31"/>
      <c r="AG328" s="31"/>
    </row>
    <row r="329" spans="1:33">
      <c r="A329" s="31"/>
      <c r="B329" s="31"/>
      <c r="C329" s="31"/>
      <c r="E329" s="31"/>
      <c r="F329" s="31"/>
      <c r="G329" s="31"/>
      <c r="J329" s="31"/>
      <c r="L329" s="31"/>
      <c r="M329" s="31"/>
      <c r="N329" s="31"/>
      <c r="O329" s="31"/>
      <c r="P329" s="65"/>
      <c r="R329" s="31"/>
      <c r="S329" s="31"/>
      <c r="T329" s="70"/>
      <c r="U329" s="31"/>
      <c r="W329" s="31"/>
      <c r="Y329" s="31"/>
      <c r="Z329" s="31"/>
      <c r="AA329" s="31"/>
      <c r="AB329" s="31"/>
      <c r="AC329" s="31"/>
      <c r="AD329" s="31"/>
      <c r="AE329" s="31"/>
      <c r="AG329" s="31"/>
    </row>
    <row r="330" spans="1:33">
      <c r="A330" s="31"/>
      <c r="B330" s="31"/>
      <c r="C330" s="31"/>
      <c r="E330" s="31"/>
      <c r="F330" s="31"/>
      <c r="G330" s="31"/>
      <c r="J330" s="31"/>
      <c r="L330" s="31"/>
      <c r="M330" s="31"/>
      <c r="N330" s="31"/>
      <c r="O330" s="31"/>
      <c r="P330" s="65"/>
      <c r="R330" s="31"/>
      <c r="S330" s="31"/>
      <c r="T330" s="70"/>
      <c r="U330" s="31"/>
      <c r="W330" s="31"/>
      <c r="Y330" s="31"/>
      <c r="Z330" s="31"/>
      <c r="AA330" s="31"/>
      <c r="AB330" s="31"/>
      <c r="AC330" s="31"/>
      <c r="AD330" s="31"/>
      <c r="AE330" s="31"/>
      <c r="AG330" s="31"/>
    </row>
    <row r="331" spans="1:33">
      <c r="A331" s="31"/>
      <c r="B331" s="31"/>
      <c r="C331" s="31"/>
      <c r="E331" s="31"/>
      <c r="F331" s="31"/>
      <c r="G331" s="31"/>
      <c r="J331" s="31"/>
      <c r="L331" s="31"/>
      <c r="M331" s="31"/>
      <c r="N331" s="31"/>
      <c r="O331" s="31"/>
      <c r="P331" s="65"/>
      <c r="R331" s="31"/>
      <c r="S331" s="31"/>
      <c r="T331" s="70"/>
      <c r="U331" s="31"/>
      <c r="W331" s="31"/>
      <c r="Y331" s="31"/>
      <c r="Z331" s="31"/>
      <c r="AA331" s="31"/>
      <c r="AB331" s="31"/>
      <c r="AC331" s="31"/>
      <c r="AD331" s="31"/>
      <c r="AE331" s="31"/>
      <c r="AG331" s="31"/>
    </row>
    <row r="332" spans="1:33">
      <c r="A332" s="31"/>
      <c r="B332" s="31"/>
      <c r="C332" s="31"/>
      <c r="E332" s="31"/>
      <c r="F332" s="31"/>
      <c r="G332" s="31"/>
      <c r="J332" s="31"/>
      <c r="L332" s="31"/>
      <c r="M332" s="31"/>
      <c r="N332" s="31"/>
      <c r="O332" s="31"/>
      <c r="P332" s="65"/>
      <c r="R332" s="31"/>
      <c r="S332" s="31"/>
      <c r="T332" s="70"/>
      <c r="U332" s="31"/>
      <c r="W332" s="31"/>
      <c r="Y332" s="31"/>
      <c r="Z332" s="31"/>
      <c r="AA332" s="31"/>
      <c r="AB332" s="31"/>
      <c r="AC332" s="31"/>
      <c r="AD332" s="31"/>
      <c r="AE332" s="31"/>
      <c r="AG332" s="31"/>
    </row>
    <row r="333" spans="1:33">
      <c r="A333" s="31"/>
      <c r="B333" s="31"/>
      <c r="C333" s="31"/>
      <c r="E333" s="31"/>
      <c r="F333" s="31"/>
      <c r="G333" s="31"/>
      <c r="J333" s="31"/>
      <c r="L333" s="31"/>
      <c r="M333" s="31"/>
      <c r="N333" s="31"/>
      <c r="O333" s="31"/>
      <c r="P333" s="65"/>
      <c r="R333" s="31"/>
      <c r="S333" s="31"/>
      <c r="T333" s="70"/>
      <c r="U333" s="31"/>
      <c r="W333" s="31"/>
      <c r="Y333" s="31"/>
      <c r="Z333" s="31"/>
      <c r="AA333" s="31"/>
      <c r="AB333" s="31"/>
      <c r="AC333" s="31"/>
      <c r="AD333" s="31"/>
      <c r="AE333" s="31"/>
      <c r="AG333" s="31"/>
    </row>
    <row r="334" spans="1:33">
      <c r="A334" s="31"/>
      <c r="B334" s="31"/>
      <c r="C334" s="31"/>
      <c r="E334" s="31"/>
      <c r="F334" s="31"/>
      <c r="G334" s="31"/>
      <c r="J334" s="31"/>
      <c r="L334" s="31"/>
      <c r="M334" s="31"/>
      <c r="N334" s="31"/>
      <c r="O334" s="31"/>
      <c r="P334" s="65"/>
      <c r="R334" s="31"/>
      <c r="S334" s="31"/>
      <c r="T334" s="70"/>
      <c r="U334" s="31"/>
      <c r="W334" s="31"/>
      <c r="Y334" s="31"/>
      <c r="Z334" s="31"/>
      <c r="AA334" s="31"/>
      <c r="AB334" s="31"/>
      <c r="AC334" s="31"/>
      <c r="AD334" s="31"/>
      <c r="AE334" s="31"/>
      <c r="AG334" s="31"/>
    </row>
    <row r="335" spans="1:33">
      <c r="A335" s="31"/>
      <c r="B335" s="31"/>
      <c r="C335" s="31"/>
      <c r="E335" s="31"/>
      <c r="F335" s="31"/>
      <c r="G335" s="31"/>
      <c r="J335" s="31"/>
      <c r="L335" s="31"/>
      <c r="M335" s="31"/>
      <c r="N335" s="31"/>
      <c r="O335" s="31"/>
      <c r="P335" s="65"/>
      <c r="R335" s="31"/>
      <c r="S335" s="31"/>
      <c r="T335" s="70"/>
      <c r="U335" s="31"/>
      <c r="W335" s="31"/>
      <c r="Y335" s="31"/>
      <c r="Z335" s="31"/>
      <c r="AA335" s="31"/>
      <c r="AB335" s="31"/>
      <c r="AC335" s="31"/>
      <c r="AD335" s="31"/>
      <c r="AE335" s="31"/>
      <c r="AG335" s="31"/>
    </row>
    <row r="336" spans="1:33">
      <c r="A336" s="31"/>
      <c r="B336" s="31"/>
      <c r="C336" s="31"/>
      <c r="E336" s="31"/>
      <c r="F336" s="31"/>
      <c r="G336" s="31"/>
      <c r="J336" s="31"/>
      <c r="L336" s="31"/>
      <c r="M336" s="31"/>
      <c r="N336" s="31"/>
      <c r="O336" s="31"/>
      <c r="P336" s="65"/>
      <c r="R336" s="31"/>
      <c r="S336" s="31"/>
      <c r="T336" s="70"/>
      <c r="U336" s="31"/>
      <c r="W336" s="31"/>
      <c r="Y336" s="31"/>
      <c r="Z336" s="31"/>
      <c r="AA336" s="31"/>
      <c r="AB336" s="31"/>
      <c r="AC336" s="31"/>
      <c r="AD336" s="31"/>
      <c r="AE336" s="31"/>
      <c r="AG336" s="31"/>
    </row>
    <row r="337" spans="1:33">
      <c r="A337" s="31"/>
      <c r="B337" s="31"/>
      <c r="C337" s="31"/>
      <c r="E337" s="31"/>
      <c r="F337" s="31"/>
      <c r="G337" s="31"/>
      <c r="J337" s="31"/>
      <c r="L337" s="31"/>
      <c r="M337" s="31"/>
      <c r="N337" s="31"/>
      <c r="O337" s="31"/>
      <c r="P337" s="65"/>
      <c r="R337" s="31"/>
      <c r="S337" s="31"/>
      <c r="T337" s="70"/>
      <c r="U337" s="31"/>
      <c r="W337" s="31"/>
      <c r="Y337" s="31"/>
      <c r="Z337" s="31"/>
      <c r="AA337" s="31"/>
      <c r="AB337" s="31"/>
      <c r="AC337" s="31"/>
      <c r="AD337" s="31"/>
      <c r="AE337" s="31"/>
      <c r="AG337" s="31"/>
    </row>
    <row r="338" spans="1:33">
      <c r="A338" s="31"/>
      <c r="B338" s="31"/>
      <c r="C338" s="31"/>
      <c r="E338" s="31"/>
      <c r="F338" s="31"/>
      <c r="G338" s="31"/>
      <c r="J338" s="31"/>
      <c r="L338" s="31"/>
      <c r="M338" s="31"/>
      <c r="N338" s="31"/>
      <c r="O338" s="31"/>
      <c r="P338" s="65"/>
      <c r="R338" s="31"/>
      <c r="S338" s="31"/>
      <c r="T338" s="70"/>
      <c r="U338" s="31"/>
      <c r="W338" s="31"/>
      <c r="Y338" s="31"/>
      <c r="Z338" s="31"/>
      <c r="AA338" s="31"/>
      <c r="AB338" s="31"/>
      <c r="AC338" s="31"/>
      <c r="AD338" s="31"/>
      <c r="AE338" s="31"/>
      <c r="AG338" s="31"/>
    </row>
    <row r="339" spans="1:33">
      <c r="A339" s="31"/>
      <c r="B339" s="31"/>
      <c r="C339" s="31"/>
      <c r="E339" s="31"/>
      <c r="F339" s="31"/>
      <c r="G339" s="31"/>
      <c r="J339" s="31"/>
      <c r="L339" s="31"/>
      <c r="M339" s="31"/>
      <c r="N339" s="31"/>
      <c r="O339" s="31"/>
      <c r="P339" s="65"/>
      <c r="R339" s="31"/>
      <c r="S339" s="31"/>
      <c r="T339" s="70"/>
      <c r="U339" s="31"/>
      <c r="W339" s="31"/>
      <c r="Y339" s="31"/>
      <c r="Z339" s="31"/>
      <c r="AA339" s="31"/>
      <c r="AB339" s="31"/>
      <c r="AC339" s="31"/>
      <c r="AD339" s="31"/>
      <c r="AE339" s="31"/>
      <c r="AG339" s="31"/>
    </row>
    <row r="340" spans="1:33">
      <c r="A340" s="31"/>
      <c r="B340" s="31"/>
      <c r="C340" s="31"/>
      <c r="E340" s="31"/>
      <c r="F340" s="31"/>
      <c r="G340" s="31"/>
      <c r="J340" s="31"/>
      <c r="L340" s="31"/>
      <c r="M340" s="31"/>
      <c r="N340" s="31"/>
      <c r="O340" s="31"/>
      <c r="P340" s="65"/>
      <c r="R340" s="31"/>
      <c r="S340" s="31"/>
      <c r="T340" s="70"/>
      <c r="U340" s="31"/>
      <c r="W340" s="31"/>
      <c r="Y340" s="31"/>
      <c r="Z340" s="31"/>
      <c r="AA340" s="31"/>
      <c r="AB340" s="31"/>
      <c r="AC340" s="31"/>
      <c r="AD340" s="31"/>
      <c r="AE340" s="31"/>
      <c r="AG340" s="31"/>
    </row>
    <row r="341" spans="1:33">
      <c r="A341" s="31"/>
      <c r="B341" s="31"/>
      <c r="C341" s="31"/>
      <c r="E341" s="31"/>
      <c r="F341" s="31"/>
      <c r="G341" s="31"/>
      <c r="J341" s="31"/>
      <c r="L341" s="31"/>
      <c r="M341" s="31"/>
      <c r="N341" s="31"/>
      <c r="O341" s="31"/>
      <c r="P341" s="65"/>
      <c r="R341" s="31"/>
      <c r="S341" s="31"/>
      <c r="T341" s="70"/>
      <c r="U341" s="31"/>
      <c r="W341" s="31"/>
      <c r="Y341" s="31"/>
      <c r="Z341" s="31"/>
      <c r="AA341" s="31"/>
      <c r="AB341" s="31"/>
      <c r="AC341" s="31"/>
      <c r="AD341" s="31"/>
      <c r="AE341" s="31"/>
      <c r="AG341" s="31"/>
    </row>
    <row r="342" spans="1:33">
      <c r="A342" s="31"/>
      <c r="B342" s="31"/>
      <c r="C342" s="31"/>
      <c r="E342" s="31"/>
      <c r="F342" s="31"/>
      <c r="G342" s="31"/>
      <c r="J342" s="31"/>
      <c r="L342" s="31"/>
      <c r="M342" s="31"/>
      <c r="N342" s="31"/>
      <c r="O342" s="31"/>
      <c r="P342" s="65"/>
      <c r="R342" s="31"/>
      <c r="S342" s="31"/>
      <c r="T342" s="70"/>
      <c r="U342" s="31"/>
      <c r="W342" s="31"/>
      <c r="Y342" s="31"/>
      <c r="Z342" s="31"/>
      <c r="AA342" s="31"/>
      <c r="AB342" s="31"/>
      <c r="AC342" s="31"/>
      <c r="AD342" s="31"/>
      <c r="AE342" s="31"/>
      <c r="AG342" s="31"/>
    </row>
    <row r="343" spans="1:33">
      <c r="A343" s="31"/>
      <c r="B343" s="31"/>
      <c r="C343" s="31"/>
      <c r="E343" s="31"/>
      <c r="F343" s="31"/>
      <c r="G343" s="31"/>
      <c r="J343" s="31"/>
      <c r="L343" s="31"/>
      <c r="M343" s="31"/>
      <c r="N343" s="31"/>
      <c r="O343" s="31"/>
      <c r="P343" s="65"/>
      <c r="R343" s="31"/>
      <c r="S343" s="31"/>
      <c r="T343" s="70"/>
      <c r="U343" s="31"/>
      <c r="W343" s="31"/>
      <c r="Y343" s="31"/>
      <c r="Z343" s="31"/>
      <c r="AA343" s="31"/>
      <c r="AB343" s="31"/>
      <c r="AC343" s="31"/>
      <c r="AD343" s="31"/>
      <c r="AE343" s="31"/>
      <c r="AG343" s="31"/>
    </row>
    <row r="344" spans="1:33">
      <c r="A344" s="31"/>
      <c r="B344" s="31"/>
      <c r="C344" s="31"/>
      <c r="E344" s="31"/>
      <c r="F344" s="31"/>
      <c r="G344" s="31"/>
      <c r="J344" s="31"/>
      <c r="L344" s="31"/>
      <c r="M344" s="31"/>
      <c r="N344" s="31"/>
      <c r="O344" s="31"/>
      <c r="P344" s="65"/>
      <c r="R344" s="31"/>
      <c r="S344" s="31"/>
      <c r="T344" s="70"/>
      <c r="U344" s="31"/>
      <c r="W344" s="31"/>
      <c r="Y344" s="31"/>
      <c r="Z344" s="31"/>
      <c r="AA344" s="31"/>
      <c r="AB344" s="31"/>
      <c r="AC344" s="31"/>
      <c r="AD344" s="31"/>
      <c r="AE344" s="31"/>
      <c r="AG344" s="31"/>
    </row>
    <row r="345" spans="1:33">
      <c r="A345" s="31"/>
      <c r="B345" s="31"/>
      <c r="C345" s="31"/>
      <c r="E345" s="31"/>
      <c r="F345" s="31"/>
      <c r="G345" s="31"/>
      <c r="J345" s="31"/>
      <c r="L345" s="31"/>
      <c r="M345" s="31"/>
      <c r="N345" s="31"/>
      <c r="O345" s="31"/>
      <c r="P345" s="65"/>
      <c r="R345" s="31"/>
      <c r="S345" s="31"/>
      <c r="T345" s="70"/>
      <c r="U345" s="31"/>
      <c r="W345" s="31"/>
      <c r="Y345" s="31"/>
      <c r="Z345" s="31"/>
      <c r="AA345" s="31"/>
      <c r="AB345" s="31"/>
      <c r="AC345" s="31"/>
      <c r="AD345" s="31"/>
      <c r="AE345" s="31"/>
      <c r="AG345" s="31"/>
    </row>
    <row r="346" spans="1:33">
      <c r="A346" s="31"/>
      <c r="B346" s="31"/>
      <c r="C346" s="31"/>
      <c r="E346" s="31"/>
      <c r="F346" s="31"/>
      <c r="G346" s="31"/>
      <c r="J346" s="31"/>
      <c r="L346" s="31"/>
      <c r="M346" s="31"/>
      <c r="N346" s="31"/>
      <c r="O346" s="31"/>
      <c r="P346" s="65"/>
      <c r="R346" s="31"/>
      <c r="S346" s="31"/>
      <c r="T346" s="70"/>
      <c r="U346" s="31"/>
      <c r="W346" s="31"/>
      <c r="Y346" s="31"/>
      <c r="Z346" s="31"/>
      <c r="AA346" s="31"/>
      <c r="AB346" s="31"/>
      <c r="AC346" s="31"/>
      <c r="AD346" s="31"/>
      <c r="AE346" s="31"/>
      <c r="AG346" s="31"/>
    </row>
    <row r="347" spans="1:33">
      <c r="A347" s="31"/>
      <c r="B347" s="31"/>
      <c r="C347" s="31"/>
      <c r="E347" s="31"/>
      <c r="F347" s="31"/>
      <c r="G347" s="31"/>
      <c r="J347" s="31"/>
      <c r="L347" s="31"/>
      <c r="M347" s="31"/>
      <c r="N347" s="31"/>
      <c r="O347" s="31"/>
      <c r="P347" s="65"/>
      <c r="R347" s="31"/>
      <c r="S347" s="31"/>
      <c r="T347" s="70"/>
      <c r="U347" s="31"/>
      <c r="W347" s="31"/>
      <c r="Y347" s="31"/>
      <c r="Z347" s="31"/>
      <c r="AA347" s="31"/>
      <c r="AB347" s="31"/>
      <c r="AC347" s="31"/>
      <c r="AD347" s="31"/>
      <c r="AE347" s="31"/>
      <c r="AG347" s="31"/>
    </row>
    <row r="348" spans="1:33">
      <c r="A348" s="31"/>
      <c r="B348" s="31"/>
      <c r="C348" s="31"/>
      <c r="E348" s="31"/>
      <c r="F348" s="31"/>
      <c r="G348" s="31"/>
      <c r="J348" s="31"/>
      <c r="L348" s="31"/>
      <c r="M348" s="31"/>
      <c r="N348" s="31"/>
      <c r="O348" s="31"/>
      <c r="P348" s="65"/>
      <c r="R348" s="31"/>
      <c r="S348" s="31"/>
      <c r="T348" s="70"/>
      <c r="U348" s="31"/>
      <c r="W348" s="31"/>
      <c r="Y348" s="31"/>
      <c r="Z348" s="31"/>
      <c r="AA348" s="31"/>
      <c r="AB348" s="31"/>
      <c r="AC348" s="31"/>
      <c r="AD348" s="31"/>
      <c r="AE348" s="31"/>
      <c r="AG348" s="31"/>
    </row>
    <row r="349" spans="1:33">
      <c r="A349" s="31"/>
      <c r="B349" s="31"/>
      <c r="C349" s="31"/>
      <c r="E349" s="31"/>
      <c r="F349" s="31"/>
      <c r="G349" s="31"/>
      <c r="J349" s="31"/>
      <c r="L349" s="31"/>
      <c r="M349" s="31"/>
      <c r="N349" s="31"/>
      <c r="O349" s="31"/>
      <c r="P349" s="65"/>
      <c r="R349" s="31"/>
      <c r="S349" s="31"/>
      <c r="T349" s="70"/>
      <c r="U349" s="31"/>
      <c r="W349" s="31"/>
      <c r="Y349" s="31"/>
      <c r="Z349" s="31"/>
      <c r="AA349" s="31"/>
      <c r="AB349" s="31"/>
      <c r="AC349" s="31"/>
      <c r="AD349" s="31"/>
      <c r="AE349" s="31"/>
      <c r="AG349" s="31"/>
    </row>
    <row r="350" spans="1:33">
      <c r="A350" s="31"/>
      <c r="B350" s="31"/>
      <c r="C350" s="31"/>
      <c r="E350" s="31"/>
      <c r="F350" s="31"/>
      <c r="G350" s="31"/>
      <c r="J350" s="31"/>
      <c r="L350" s="31"/>
      <c r="M350" s="31"/>
      <c r="N350" s="31"/>
      <c r="O350" s="31"/>
      <c r="P350" s="65"/>
      <c r="R350" s="31"/>
      <c r="S350" s="31"/>
      <c r="T350" s="70"/>
      <c r="U350" s="31"/>
      <c r="W350" s="31"/>
      <c r="Y350" s="31"/>
      <c r="Z350" s="31"/>
      <c r="AA350" s="31"/>
      <c r="AB350" s="31"/>
      <c r="AC350" s="31"/>
      <c r="AD350" s="31"/>
      <c r="AE350" s="31"/>
      <c r="AG350" s="31"/>
    </row>
    <row r="351" spans="1:33">
      <c r="A351" s="31"/>
      <c r="B351" s="31"/>
      <c r="C351" s="31"/>
      <c r="E351" s="31"/>
      <c r="F351" s="31"/>
      <c r="G351" s="31"/>
      <c r="J351" s="31"/>
      <c r="L351" s="31"/>
      <c r="M351" s="31"/>
      <c r="N351" s="31"/>
      <c r="O351" s="31"/>
      <c r="P351" s="65"/>
      <c r="R351" s="31"/>
      <c r="S351" s="31"/>
      <c r="T351" s="70"/>
      <c r="U351" s="31"/>
      <c r="W351" s="31"/>
      <c r="Y351" s="31"/>
      <c r="Z351" s="31"/>
      <c r="AA351" s="31"/>
      <c r="AB351" s="31"/>
      <c r="AC351" s="31"/>
      <c r="AD351" s="31"/>
      <c r="AE351" s="31"/>
      <c r="AG351" s="31"/>
    </row>
    <row r="352" spans="1:33">
      <c r="A352" s="31"/>
      <c r="B352" s="31"/>
      <c r="C352" s="31"/>
      <c r="E352" s="31"/>
      <c r="F352" s="31"/>
      <c r="G352" s="31"/>
      <c r="J352" s="31"/>
      <c r="L352" s="31"/>
      <c r="M352" s="31"/>
      <c r="N352" s="31"/>
      <c r="O352" s="31"/>
      <c r="P352" s="65"/>
      <c r="R352" s="31"/>
      <c r="S352" s="31"/>
      <c r="T352" s="70"/>
      <c r="U352" s="31"/>
      <c r="W352" s="31"/>
      <c r="Y352" s="31"/>
      <c r="Z352" s="31"/>
      <c r="AA352" s="31"/>
      <c r="AB352" s="31"/>
      <c r="AC352" s="31"/>
      <c r="AD352" s="31"/>
      <c r="AE352" s="31"/>
      <c r="AG352" s="31"/>
    </row>
    <row r="353" spans="1:33">
      <c r="A353" s="31"/>
      <c r="B353" s="31"/>
      <c r="C353" s="31"/>
      <c r="E353" s="31"/>
      <c r="F353" s="31"/>
      <c r="G353" s="31"/>
      <c r="J353" s="31"/>
      <c r="L353" s="31"/>
      <c r="M353" s="31"/>
      <c r="N353" s="31"/>
      <c r="O353" s="31"/>
      <c r="P353" s="65"/>
      <c r="R353" s="31"/>
      <c r="S353" s="31"/>
      <c r="T353" s="70"/>
      <c r="U353" s="31"/>
      <c r="W353" s="31"/>
      <c r="Y353" s="31"/>
      <c r="Z353" s="31"/>
      <c r="AA353" s="31"/>
      <c r="AB353" s="31"/>
      <c r="AC353" s="31"/>
      <c r="AD353" s="31"/>
      <c r="AE353" s="31"/>
      <c r="AG353" s="31"/>
    </row>
    <row r="354" spans="1:33">
      <c r="A354" s="31"/>
      <c r="B354" s="31"/>
      <c r="C354" s="31"/>
      <c r="E354" s="31"/>
      <c r="F354" s="31"/>
      <c r="G354" s="31"/>
      <c r="J354" s="31"/>
      <c r="L354" s="31"/>
      <c r="M354" s="31"/>
      <c r="N354" s="31"/>
      <c r="O354" s="31"/>
      <c r="P354" s="65"/>
      <c r="R354" s="31"/>
      <c r="S354" s="31"/>
      <c r="T354" s="70"/>
      <c r="U354" s="31"/>
      <c r="W354" s="31"/>
      <c r="Y354" s="31"/>
      <c r="Z354" s="31"/>
      <c r="AA354" s="31"/>
      <c r="AB354" s="31"/>
      <c r="AC354" s="31"/>
      <c r="AD354" s="31"/>
      <c r="AE354" s="31"/>
      <c r="AG354" s="31"/>
    </row>
    <row r="355" spans="1:33">
      <c r="A355" s="31"/>
      <c r="B355" s="31"/>
      <c r="C355" s="31"/>
      <c r="E355" s="31"/>
      <c r="F355" s="31"/>
      <c r="G355" s="31"/>
      <c r="J355" s="31"/>
      <c r="L355" s="31"/>
      <c r="M355" s="31"/>
      <c r="N355" s="31"/>
      <c r="O355" s="31"/>
      <c r="P355" s="65"/>
      <c r="R355" s="31"/>
      <c r="S355" s="31"/>
      <c r="T355" s="70"/>
      <c r="U355" s="31"/>
      <c r="W355" s="31"/>
      <c r="Y355" s="31"/>
      <c r="Z355" s="31"/>
      <c r="AA355" s="31"/>
      <c r="AB355" s="31"/>
      <c r="AC355" s="31"/>
      <c r="AD355" s="31"/>
      <c r="AE355" s="31"/>
      <c r="AG355" s="31"/>
    </row>
    <row r="356" spans="1:33">
      <c r="A356" s="31"/>
      <c r="B356" s="31"/>
      <c r="C356" s="31"/>
      <c r="E356" s="31"/>
      <c r="F356" s="31"/>
      <c r="G356" s="31"/>
      <c r="J356" s="31"/>
      <c r="L356" s="31"/>
      <c r="M356" s="31"/>
      <c r="N356" s="31"/>
      <c r="O356" s="31"/>
      <c r="P356" s="65"/>
      <c r="R356" s="31"/>
      <c r="S356" s="31"/>
      <c r="T356" s="70"/>
      <c r="U356" s="31"/>
      <c r="W356" s="31"/>
      <c r="Y356" s="31"/>
      <c r="Z356" s="31"/>
      <c r="AA356" s="31"/>
      <c r="AB356" s="31"/>
      <c r="AC356" s="31"/>
      <c r="AD356" s="31"/>
      <c r="AE356" s="31"/>
      <c r="AG356" s="31"/>
    </row>
    <row r="357" spans="1:33">
      <c r="A357" s="31"/>
      <c r="B357" s="31"/>
      <c r="C357" s="31"/>
      <c r="E357" s="31"/>
      <c r="F357" s="31"/>
      <c r="G357" s="31"/>
      <c r="J357" s="31"/>
      <c r="L357" s="31"/>
      <c r="M357" s="31"/>
      <c r="N357" s="31"/>
      <c r="O357" s="31"/>
      <c r="P357" s="65"/>
      <c r="R357" s="31"/>
      <c r="S357" s="31"/>
      <c r="T357" s="70"/>
      <c r="U357" s="31"/>
      <c r="W357" s="31"/>
      <c r="Y357" s="31"/>
      <c r="Z357" s="31"/>
      <c r="AA357" s="31"/>
      <c r="AB357" s="31"/>
      <c r="AC357" s="31"/>
      <c r="AD357" s="31"/>
      <c r="AE357" s="31"/>
      <c r="AG357" s="31"/>
    </row>
    <row r="358" spans="1:33">
      <c r="A358" s="31"/>
      <c r="B358" s="31"/>
      <c r="C358" s="31"/>
      <c r="E358" s="31"/>
      <c r="F358" s="31"/>
      <c r="G358" s="31"/>
      <c r="J358" s="31"/>
      <c r="L358" s="31"/>
      <c r="M358" s="31"/>
      <c r="N358" s="31"/>
      <c r="O358" s="31"/>
      <c r="P358" s="65"/>
      <c r="R358" s="31"/>
      <c r="S358" s="31"/>
      <c r="T358" s="70"/>
      <c r="U358" s="31"/>
      <c r="W358" s="31"/>
      <c r="Y358" s="31"/>
      <c r="Z358" s="31"/>
      <c r="AA358" s="31"/>
      <c r="AB358" s="31"/>
      <c r="AC358" s="31"/>
      <c r="AD358" s="31"/>
      <c r="AE358" s="31"/>
      <c r="AG358" s="31"/>
    </row>
    <row r="359" spans="1:33">
      <c r="A359" s="31"/>
      <c r="B359" s="31"/>
      <c r="C359" s="31"/>
      <c r="E359" s="31"/>
      <c r="F359" s="31"/>
      <c r="G359" s="31"/>
      <c r="J359" s="31"/>
      <c r="L359" s="31"/>
      <c r="M359" s="31"/>
      <c r="N359" s="31"/>
      <c r="O359" s="31"/>
      <c r="P359" s="65"/>
      <c r="R359" s="31"/>
      <c r="S359" s="31"/>
      <c r="T359" s="70"/>
      <c r="U359" s="31"/>
      <c r="W359" s="31"/>
      <c r="Y359" s="31"/>
      <c r="Z359" s="31"/>
      <c r="AA359" s="31"/>
      <c r="AB359" s="31"/>
      <c r="AC359" s="31"/>
      <c r="AD359" s="31"/>
      <c r="AE359" s="31"/>
      <c r="AG359" s="31"/>
    </row>
    <row r="360" spans="1:33">
      <c r="A360" s="31"/>
      <c r="B360" s="31"/>
      <c r="C360" s="31"/>
      <c r="E360" s="31"/>
      <c r="F360" s="31"/>
      <c r="G360" s="31"/>
      <c r="J360" s="31"/>
      <c r="L360" s="31"/>
      <c r="M360" s="31"/>
      <c r="N360" s="31"/>
      <c r="O360" s="31"/>
      <c r="P360" s="65"/>
      <c r="R360" s="31"/>
      <c r="S360" s="31"/>
      <c r="T360" s="70"/>
      <c r="U360" s="31"/>
      <c r="W360" s="31"/>
      <c r="Y360" s="31"/>
      <c r="Z360" s="31"/>
      <c r="AA360" s="31"/>
      <c r="AB360" s="31"/>
      <c r="AC360" s="31"/>
      <c r="AD360" s="31"/>
      <c r="AE360" s="31"/>
      <c r="AG360" s="31"/>
    </row>
    <row r="361" spans="1:33">
      <c r="A361" s="31"/>
      <c r="B361" s="31"/>
      <c r="C361" s="31"/>
      <c r="E361" s="31"/>
      <c r="F361" s="31"/>
      <c r="G361" s="31"/>
      <c r="J361" s="31"/>
      <c r="L361" s="31"/>
      <c r="M361" s="31"/>
      <c r="N361" s="31"/>
      <c r="O361" s="31"/>
      <c r="P361" s="65"/>
      <c r="R361" s="31"/>
      <c r="S361" s="31"/>
      <c r="T361" s="70"/>
      <c r="U361" s="31"/>
      <c r="W361" s="31"/>
      <c r="Y361" s="31"/>
      <c r="Z361" s="31"/>
      <c r="AA361" s="31"/>
      <c r="AB361" s="31"/>
      <c r="AC361" s="31"/>
      <c r="AD361" s="31"/>
      <c r="AE361" s="31"/>
      <c r="AG361" s="31"/>
    </row>
    <row r="362" spans="1:33">
      <c r="A362" s="31"/>
      <c r="B362" s="31"/>
      <c r="C362" s="31"/>
      <c r="E362" s="31"/>
      <c r="F362" s="31"/>
      <c r="G362" s="31"/>
      <c r="J362" s="31"/>
      <c r="L362" s="31"/>
      <c r="M362" s="31"/>
      <c r="N362" s="31"/>
      <c r="O362" s="31"/>
      <c r="P362" s="65"/>
      <c r="R362" s="31"/>
      <c r="S362" s="31"/>
      <c r="T362" s="70"/>
      <c r="U362" s="31"/>
      <c r="W362" s="31"/>
      <c r="Y362" s="31"/>
      <c r="Z362" s="31"/>
      <c r="AA362" s="31"/>
      <c r="AB362" s="31"/>
      <c r="AC362" s="31"/>
      <c r="AD362" s="31"/>
      <c r="AE362" s="31"/>
      <c r="AG362" s="31"/>
    </row>
    <row r="363" spans="1:33">
      <c r="A363" s="31"/>
      <c r="B363" s="31"/>
      <c r="C363" s="31"/>
      <c r="E363" s="31"/>
      <c r="F363" s="31"/>
      <c r="G363" s="31"/>
      <c r="J363" s="31"/>
      <c r="L363" s="31"/>
      <c r="M363" s="31"/>
      <c r="N363" s="31"/>
      <c r="O363" s="31"/>
      <c r="P363" s="65"/>
      <c r="R363" s="31"/>
      <c r="S363" s="31"/>
      <c r="T363" s="70"/>
      <c r="U363" s="31"/>
      <c r="W363" s="31"/>
      <c r="Y363" s="31"/>
      <c r="Z363" s="31"/>
      <c r="AA363" s="31"/>
      <c r="AB363" s="31"/>
      <c r="AC363" s="31"/>
      <c r="AD363" s="31"/>
      <c r="AE363" s="31"/>
      <c r="AG363" s="31"/>
    </row>
    <row r="364" spans="1:33">
      <c r="A364" s="31"/>
      <c r="B364" s="31"/>
      <c r="C364" s="31"/>
      <c r="E364" s="31"/>
      <c r="F364" s="31"/>
      <c r="G364" s="31"/>
      <c r="J364" s="31"/>
      <c r="L364" s="31"/>
      <c r="M364" s="31"/>
      <c r="N364" s="31"/>
      <c r="O364" s="31"/>
      <c r="P364" s="65"/>
      <c r="R364" s="31"/>
      <c r="S364" s="31"/>
      <c r="T364" s="70"/>
      <c r="U364" s="31"/>
      <c r="W364" s="31"/>
      <c r="Y364" s="31"/>
      <c r="Z364" s="31"/>
      <c r="AA364" s="31"/>
      <c r="AB364" s="31"/>
      <c r="AC364" s="31"/>
      <c r="AD364" s="31"/>
      <c r="AE364" s="31"/>
      <c r="AG364" s="31"/>
    </row>
    <row r="365" spans="1:33">
      <c r="A365" s="31"/>
      <c r="B365" s="31"/>
      <c r="C365" s="31"/>
      <c r="E365" s="31"/>
      <c r="F365" s="31"/>
      <c r="G365" s="31"/>
      <c r="J365" s="31"/>
      <c r="L365" s="31"/>
      <c r="M365" s="31"/>
      <c r="N365" s="31"/>
      <c r="O365" s="31"/>
      <c r="P365" s="65"/>
      <c r="R365" s="31"/>
      <c r="S365" s="31"/>
      <c r="T365" s="70"/>
      <c r="U365" s="31"/>
      <c r="W365" s="31"/>
      <c r="Y365" s="31"/>
      <c r="Z365" s="31"/>
      <c r="AA365" s="31"/>
      <c r="AB365" s="31"/>
      <c r="AC365" s="31"/>
      <c r="AD365" s="31"/>
      <c r="AE365" s="31"/>
      <c r="AG365" s="31"/>
    </row>
    <row r="366" spans="1:33">
      <c r="A366" s="31"/>
      <c r="B366" s="31"/>
      <c r="C366" s="31"/>
      <c r="E366" s="31"/>
      <c r="F366" s="31"/>
      <c r="G366" s="31"/>
      <c r="J366" s="31"/>
      <c r="L366" s="31"/>
      <c r="M366" s="31"/>
      <c r="N366" s="31"/>
      <c r="O366" s="31"/>
      <c r="P366" s="65"/>
      <c r="R366" s="31"/>
      <c r="S366" s="31"/>
      <c r="T366" s="70"/>
      <c r="U366" s="31"/>
      <c r="W366" s="31"/>
      <c r="Y366" s="31"/>
      <c r="Z366" s="31"/>
      <c r="AA366" s="31"/>
      <c r="AB366" s="31"/>
      <c r="AC366" s="31"/>
      <c r="AD366" s="31"/>
      <c r="AE366" s="31"/>
      <c r="AG366" s="31"/>
    </row>
    <row r="367" spans="1:33">
      <c r="A367" s="31"/>
      <c r="B367" s="31"/>
      <c r="C367" s="31"/>
      <c r="E367" s="31"/>
      <c r="F367" s="31"/>
      <c r="G367" s="31"/>
      <c r="J367" s="31"/>
      <c r="L367" s="31"/>
      <c r="M367" s="31"/>
      <c r="N367" s="31"/>
      <c r="O367" s="31"/>
      <c r="P367" s="65"/>
      <c r="R367" s="31"/>
      <c r="S367" s="31"/>
      <c r="T367" s="70"/>
      <c r="U367" s="31"/>
      <c r="W367" s="31"/>
      <c r="Y367" s="31"/>
      <c r="Z367" s="31"/>
      <c r="AA367" s="31"/>
      <c r="AB367" s="31"/>
      <c r="AC367" s="31"/>
      <c r="AD367" s="31"/>
      <c r="AE367" s="31"/>
      <c r="AG367" s="31"/>
    </row>
    <row r="368" spans="1:33">
      <c r="A368" s="31"/>
      <c r="B368" s="31"/>
      <c r="C368" s="31"/>
      <c r="E368" s="31"/>
      <c r="F368" s="31"/>
      <c r="G368" s="31"/>
      <c r="J368" s="31"/>
      <c r="L368" s="31"/>
      <c r="M368" s="31"/>
      <c r="N368" s="31"/>
      <c r="O368" s="31"/>
      <c r="P368" s="65"/>
      <c r="R368" s="31"/>
      <c r="S368" s="31"/>
      <c r="T368" s="70"/>
      <c r="U368" s="31"/>
      <c r="W368" s="31"/>
      <c r="Y368" s="31"/>
      <c r="Z368" s="31"/>
      <c r="AA368" s="31"/>
      <c r="AB368" s="31"/>
      <c r="AC368" s="31"/>
      <c r="AD368" s="31"/>
      <c r="AE368" s="31"/>
      <c r="AG368" s="31"/>
    </row>
    <row r="369" spans="1:33">
      <c r="A369" s="31"/>
      <c r="B369" s="31"/>
      <c r="C369" s="31"/>
      <c r="E369" s="31"/>
      <c r="F369" s="31"/>
      <c r="G369" s="31"/>
      <c r="J369" s="31"/>
      <c r="L369" s="31"/>
      <c r="M369" s="31"/>
      <c r="N369" s="31"/>
      <c r="O369" s="31"/>
      <c r="P369" s="65"/>
      <c r="R369" s="31"/>
      <c r="S369" s="31"/>
      <c r="T369" s="70"/>
      <c r="U369" s="31"/>
      <c r="W369" s="31"/>
      <c r="Y369" s="31"/>
      <c r="Z369" s="31"/>
      <c r="AA369" s="31"/>
      <c r="AB369" s="31"/>
      <c r="AC369" s="31"/>
      <c r="AD369" s="31"/>
      <c r="AE369" s="31"/>
      <c r="AG369" s="31"/>
    </row>
    <row r="370" spans="1:33">
      <c r="A370" s="31"/>
      <c r="B370" s="31"/>
      <c r="C370" s="31"/>
      <c r="E370" s="31"/>
      <c r="F370" s="31"/>
      <c r="G370" s="31"/>
      <c r="J370" s="31"/>
      <c r="L370" s="31"/>
      <c r="M370" s="31"/>
      <c r="N370" s="31"/>
      <c r="O370" s="31"/>
      <c r="P370" s="65"/>
      <c r="R370" s="31"/>
      <c r="S370" s="31"/>
      <c r="T370" s="70"/>
      <c r="U370" s="31"/>
      <c r="W370" s="31"/>
      <c r="Y370" s="31"/>
      <c r="Z370" s="31"/>
      <c r="AA370" s="31"/>
      <c r="AB370" s="31"/>
      <c r="AC370" s="31"/>
      <c r="AD370" s="31"/>
      <c r="AE370" s="31"/>
      <c r="AG370" s="31"/>
    </row>
    <row r="371" spans="1:33">
      <c r="A371" s="31"/>
      <c r="B371" s="31"/>
      <c r="C371" s="31"/>
      <c r="E371" s="31"/>
      <c r="F371" s="31"/>
      <c r="G371" s="31"/>
      <c r="J371" s="31"/>
      <c r="L371" s="31"/>
      <c r="M371" s="31"/>
      <c r="N371" s="31"/>
      <c r="O371" s="31"/>
      <c r="P371" s="65"/>
      <c r="R371" s="31"/>
      <c r="S371" s="31"/>
      <c r="T371" s="70"/>
      <c r="U371" s="31"/>
      <c r="W371" s="31"/>
      <c r="Y371" s="31"/>
      <c r="Z371" s="31"/>
      <c r="AA371" s="31"/>
      <c r="AB371" s="31"/>
      <c r="AC371" s="31"/>
      <c r="AD371" s="31"/>
      <c r="AE371" s="31"/>
      <c r="AG371" s="31"/>
    </row>
    <row r="372" spans="1:33">
      <c r="A372" s="31"/>
      <c r="B372" s="31"/>
      <c r="C372" s="31"/>
      <c r="E372" s="31"/>
      <c r="F372" s="31"/>
      <c r="G372" s="31"/>
      <c r="J372" s="31"/>
      <c r="L372" s="31"/>
      <c r="M372" s="31"/>
      <c r="N372" s="31"/>
      <c r="O372" s="31"/>
      <c r="P372" s="65"/>
      <c r="R372" s="31"/>
      <c r="S372" s="31"/>
      <c r="T372" s="70"/>
      <c r="U372" s="31"/>
      <c r="W372" s="31"/>
      <c r="Y372" s="31"/>
      <c r="Z372" s="31"/>
      <c r="AA372" s="31"/>
      <c r="AB372" s="31"/>
      <c r="AC372" s="31"/>
      <c r="AD372" s="31"/>
      <c r="AE372" s="31"/>
      <c r="AG372" s="31"/>
    </row>
    <row r="373" spans="1:33">
      <c r="A373" s="31"/>
      <c r="B373" s="31"/>
      <c r="C373" s="31"/>
      <c r="E373" s="31"/>
      <c r="F373" s="31"/>
      <c r="G373" s="31"/>
      <c r="J373" s="31"/>
      <c r="L373" s="31"/>
      <c r="M373" s="31"/>
      <c r="N373" s="31"/>
      <c r="O373" s="31"/>
      <c r="P373" s="65"/>
      <c r="R373" s="31"/>
      <c r="S373" s="31"/>
      <c r="T373" s="70"/>
      <c r="U373" s="31"/>
      <c r="W373" s="31"/>
      <c r="Y373" s="31"/>
      <c r="Z373" s="31"/>
      <c r="AA373" s="31"/>
      <c r="AB373" s="31"/>
      <c r="AC373" s="31"/>
      <c r="AD373" s="31"/>
      <c r="AE373" s="31"/>
      <c r="AG373" s="31"/>
    </row>
    <row r="374" spans="1:33">
      <c r="A374" s="31"/>
      <c r="B374" s="31"/>
      <c r="C374" s="31"/>
      <c r="E374" s="31"/>
      <c r="F374" s="31"/>
      <c r="G374" s="31"/>
      <c r="J374" s="31"/>
      <c r="L374" s="31"/>
      <c r="M374" s="31"/>
      <c r="N374" s="31"/>
      <c r="O374" s="31"/>
      <c r="P374" s="65"/>
      <c r="R374" s="31"/>
      <c r="S374" s="31"/>
      <c r="T374" s="70"/>
      <c r="U374" s="31"/>
      <c r="W374" s="31"/>
      <c r="Y374" s="31"/>
      <c r="Z374" s="31"/>
      <c r="AA374" s="31"/>
      <c r="AB374" s="31"/>
      <c r="AC374" s="31"/>
      <c r="AD374" s="31"/>
      <c r="AE374" s="31"/>
      <c r="AG374" s="31"/>
    </row>
    <row r="375" spans="1:33">
      <c r="A375" s="31"/>
      <c r="B375" s="31"/>
      <c r="C375" s="31"/>
      <c r="E375" s="31"/>
      <c r="F375" s="31"/>
      <c r="G375" s="31"/>
      <c r="J375" s="31"/>
      <c r="L375" s="31"/>
      <c r="M375" s="31"/>
      <c r="N375" s="31"/>
      <c r="O375" s="31"/>
      <c r="P375" s="65"/>
      <c r="R375" s="31"/>
      <c r="S375" s="31"/>
      <c r="T375" s="70"/>
      <c r="U375" s="31"/>
      <c r="W375" s="31"/>
      <c r="Y375" s="31"/>
      <c r="Z375" s="31"/>
      <c r="AA375" s="31"/>
      <c r="AB375" s="31"/>
      <c r="AC375" s="31"/>
      <c r="AD375" s="31"/>
      <c r="AE375" s="31"/>
      <c r="AG375" s="31"/>
    </row>
    <row r="376" spans="1:33">
      <c r="A376" s="31"/>
      <c r="B376" s="31"/>
      <c r="C376" s="31"/>
      <c r="E376" s="31"/>
      <c r="F376" s="31"/>
      <c r="G376" s="31"/>
      <c r="J376" s="31"/>
      <c r="L376" s="31"/>
      <c r="M376" s="31"/>
      <c r="N376" s="31"/>
      <c r="O376" s="31"/>
      <c r="P376" s="65"/>
      <c r="R376" s="31"/>
      <c r="S376" s="31"/>
      <c r="T376" s="70"/>
      <c r="U376" s="31"/>
      <c r="W376" s="31"/>
      <c r="Y376" s="31"/>
      <c r="Z376" s="31"/>
      <c r="AA376" s="31"/>
      <c r="AB376" s="31"/>
      <c r="AC376" s="31"/>
      <c r="AD376" s="31"/>
      <c r="AE376" s="31"/>
      <c r="AG376" s="31"/>
    </row>
    <row r="377" spans="1:33">
      <c r="A377" s="31"/>
      <c r="B377" s="31"/>
      <c r="C377" s="31"/>
      <c r="E377" s="31"/>
      <c r="F377" s="31"/>
      <c r="G377" s="31"/>
      <c r="J377" s="31"/>
      <c r="L377" s="31"/>
      <c r="M377" s="31"/>
      <c r="N377" s="31"/>
      <c r="O377" s="31"/>
      <c r="P377" s="65"/>
      <c r="R377" s="31"/>
      <c r="S377" s="31"/>
      <c r="T377" s="70"/>
      <c r="U377" s="31"/>
      <c r="W377" s="31"/>
      <c r="Y377" s="31"/>
      <c r="Z377" s="31"/>
      <c r="AA377" s="31"/>
      <c r="AB377" s="31"/>
      <c r="AC377" s="31"/>
      <c r="AD377" s="31"/>
      <c r="AE377" s="31"/>
      <c r="AG377" s="31"/>
    </row>
    <row r="378" spans="1:33">
      <c r="A378" s="31"/>
      <c r="B378" s="31"/>
      <c r="C378" s="31"/>
      <c r="E378" s="31"/>
      <c r="F378" s="31"/>
      <c r="G378" s="31"/>
      <c r="J378" s="31"/>
      <c r="L378" s="31"/>
      <c r="M378" s="31"/>
      <c r="N378" s="31"/>
      <c r="O378" s="31"/>
      <c r="P378" s="65"/>
      <c r="R378" s="31"/>
      <c r="S378" s="31"/>
      <c r="T378" s="70"/>
      <c r="U378" s="31"/>
      <c r="W378" s="31"/>
      <c r="Y378" s="31"/>
      <c r="Z378" s="31"/>
      <c r="AA378" s="31"/>
      <c r="AB378" s="31"/>
      <c r="AC378" s="31"/>
      <c r="AD378" s="31"/>
      <c r="AE378" s="31"/>
      <c r="AG378" s="31"/>
    </row>
    <row r="379" spans="1:33">
      <c r="A379" s="31"/>
      <c r="B379" s="31"/>
      <c r="C379" s="31"/>
      <c r="E379" s="31"/>
      <c r="F379" s="31"/>
      <c r="G379" s="31"/>
      <c r="J379" s="31"/>
      <c r="L379" s="31"/>
      <c r="M379" s="31"/>
      <c r="N379" s="31"/>
      <c r="O379" s="31"/>
      <c r="P379" s="65"/>
      <c r="R379" s="31"/>
      <c r="S379" s="31"/>
      <c r="T379" s="70"/>
      <c r="U379" s="31"/>
      <c r="W379" s="31"/>
      <c r="Y379" s="31"/>
      <c r="Z379" s="31"/>
      <c r="AA379" s="31"/>
      <c r="AB379" s="31"/>
      <c r="AC379" s="31"/>
      <c r="AD379" s="31"/>
      <c r="AE379" s="31"/>
      <c r="AG379" s="31"/>
    </row>
    <row r="380" spans="1:33">
      <c r="A380" s="31"/>
      <c r="B380" s="31"/>
      <c r="C380" s="31"/>
      <c r="E380" s="31"/>
      <c r="F380" s="31"/>
      <c r="G380" s="31"/>
      <c r="J380" s="31"/>
      <c r="L380" s="31"/>
      <c r="M380" s="31"/>
      <c r="N380" s="31"/>
      <c r="O380" s="31"/>
      <c r="P380" s="65"/>
      <c r="R380" s="31"/>
      <c r="S380" s="31"/>
      <c r="T380" s="70"/>
      <c r="U380" s="31"/>
      <c r="W380" s="31"/>
      <c r="Y380" s="31"/>
      <c r="Z380" s="31"/>
      <c r="AA380" s="31"/>
      <c r="AB380" s="31"/>
      <c r="AC380" s="31"/>
      <c r="AD380" s="31"/>
      <c r="AE380" s="31"/>
      <c r="AG380" s="31"/>
    </row>
    <row r="381" spans="1:33">
      <c r="A381" s="31"/>
      <c r="B381" s="31"/>
      <c r="C381" s="31"/>
      <c r="E381" s="31"/>
      <c r="F381" s="31"/>
      <c r="G381" s="31"/>
      <c r="J381" s="31"/>
      <c r="L381" s="31"/>
      <c r="M381" s="31"/>
      <c r="N381" s="31"/>
      <c r="O381" s="31"/>
      <c r="P381" s="65"/>
      <c r="R381" s="31"/>
      <c r="S381" s="31"/>
      <c r="T381" s="70"/>
      <c r="U381" s="31"/>
      <c r="W381" s="31"/>
      <c r="Y381" s="31"/>
      <c r="Z381" s="31"/>
      <c r="AA381" s="31"/>
      <c r="AB381" s="31"/>
      <c r="AC381" s="31"/>
      <c r="AD381" s="31"/>
      <c r="AE381" s="31"/>
      <c r="AG381" s="31"/>
    </row>
    <row r="382" spans="1:33">
      <c r="A382" s="31"/>
      <c r="B382" s="31"/>
      <c r="C382" s="31"/>
      <c r="E382" s="31"/>
      <c r="F382" s="31"/>
      <c r="G382" s="31"/>
      <c r="J382" s="31"/>
      <c r="L382" s="31"/>
      <c r="M382" s="31"/>
      <c r="N382" s="31"/>
      <c r="O382" s="31"/>
      <c r="P382" s="65"/>
      <c r="R382" s="31"/>
      <c r="S382" s="31"/>
      <c r="T382" s="70"/>
      <c r="U382" s="31"/>
      <c r="W382" s="31"/>
      <c r="Y382" s="31"/>
      <c r="Z382" s="31"/>
      <c r="AA382" s="31"/>
      <c r="AB382" s="31"/>
      <c r="AC382" s="31"/>
      <c r="AD382" s="31"/>
      <c r="AE382" s="31"/>
      <c r="AG382" s="31"/>
    </row>
    <row r="383" spans="1:33">
      <c r="A383" s="31"/>
      <c r="B383" s="31"/>
      <c r="C383" s="31"/>
      <c r="E383" s="31"/>
      <c r="F383" s="31"/>
      <c r="G383" s="31"/>
      <c r="J383" s="31"/>
      <c r="L383" s="31"/>
      <c r="M383" s="31"/>
      <c r="N383" s="31"/>
      <c r="O383" s="31"/>
      <c r="P383" s="65"/>
      <c r="R383" s="31"/>
      <c r="S383" s="31"/>
      <c r="T383" s="70"/>
      <c r="U383" s="31"/>
      <c r="W383" s="31"/>
      <c r="Y383" s="31"/>
      <c r="Z383" s="31"/>
      <c r="AA383" s="31"/>
      <c r="AB383" s="31"/>
      <c r="AC383" s="31"/>
      <c r="AD383" s="31"/>
      <c r="AE383" s="31"/>
      <c r="AG383" s="31"/>
    </row>
    <row r="384" spans="1:33">
      <c r="A384" s="31"/>
      <c r="B384" s="31"/>
      <c r="C384" s="31"/>
      <c r="E384" s="31"/>
      <c r="F384" s="31"/>
      <c r="G384" s="31"/>
      <c r="J384" s="31"/>
      <c r="L384" s="31"/>
      <c r="M384" s="31"/>
      <c r="N384" s="31"/>
      <c r="O384" s="31"/>
      <c r="P384" s="65"/>
      <c r="R384" s="31"/>
      <c r="S384" s="31"/>
      <c r="T384" s="70"/>
      <c r="U384" s="31"/>
      <c r="W384" s="31"/>
      <c r="Y384" s="31"/>
      <c r="Z384" s="31"/>
      <c r="AA384" s="31"/>
      <c r="AB384" s="31"/>
      <c r="AC384" s="31"/>
      <c r="AD384" s="31"/>
      <c r="AE384" s="31"/>
      <c r="AG384" s="31"/>
    </row>
    <row r="385" spans="1:33">
      <c r="A385" s="31"/>
      <c r="B385" s="31"/>
      <c r="C385" s="31"/>
      <c r="E385" s="31"/>
      <c r="F385" s="31"/>
      <c r="G385" s="31"/>
      <c r="J385" s="31"/>
      <c r="L385" s="31"/>
      <c r="M385" s="31"/>
      <c r="N385" s="31"/>
      <c r="O385" s="31"/>
      <c r="P385" s="65"/>
      <c r="R385" s="31"/>
      <c r="S385" s="31"/>
      <c r="T385" s="70"/>
      <c r="U385" s="31"/>
      <c r="W385" s="31"/>
      <c r="Y385" s="31"/>
      <c r="Z385" s="31"/>
      <c r="AA385" s="31"/>
      <c r="AB385" s="31"/>
      <c r="AC385" s="31"/>
      <c r="AD385" s="31"/>
      <c r="AE385" s="31"/>
      <c r="AG385" s="31"/>
    </row>
    <row r="386" spans="1:33">
      <c r="A386" s="31"/>
      <c r="B386" s="31"/>
      <c r="C386" s="31"/>
      <c r="E386" s="31"/>
      <c r="F386" s="31"/>
      <c r="G386" s="31"/>
      <c r="J386" s="31"/>
      <c r="L386" s="31"/>
      <c r="M386" s="31"/>
      <c r="N386" s="31"/>
      <c r="O386" s="31"/>
      <c r="P386" s="65"/>
      <c r="R386" s="31"/>
      <c r="S386" s="31"/>
      <c r="T386" s="70"/>
      <c r="U386" s="31"/>
      <c r="W386" s="31"/>
      <c r="Y386" s="31"/>
      <c r="Z386" s="31"/>
      <c r="AA386" s="31"/>
      <c r="AB386" s="31"/>
      <c r="AC386" s="31"/>
      <c r="AD386" s="31"/>
      <c r="AE386" s="31"/>
      <c r="AG386" s="31"/>
    </row>
    <row r="387" spans="1:33">
      <c r="A387" s="31"/>
      <c r="B387" s="31"/>
      <c r="C387" s="31"/>
      <c r="E387" s="31"/>
      <c r="F387" s="31"/>
      <c r="G387" s="31"/>
      <c r="J387" s="31"/>
      <c r="L387" s="31"/>
      <c r="M387" s="31"/>
      <c r="N387" s="31"/>
      <c r="O387" s="31"/>
      <c r="P387" s="65"/>
      <c r="R387" s="31"/>
      <c r="S387" s="31"/>
      <c r="T387" s="70"/>
      <c r="U387" s="31"/>
      <c r="W387" s="31"/>
      <c r="Y387" s="31"/>
      <c r="Z387" s="31"/>
      <c r="AA387" s="31"/>
      <c r="AB387" s="31"/>
      <c r="AC387" s="31"/>
      <c r="AD387" s="31"/>
      <c r="AE387" s="31"/>
      <c r="AG387" s="31"/>
    </row>
    <row r="388" spans="1:33">
      <c r="A388" s="31"/>
      <c r="B388" s="31"/>
      <c r="C388" s="31"/>
      <c r="E388" s="31"/>
      <c r="F388" s="31"/>
      <c r="G388" s="31"/>
      <c r="J388" s="31"/>
      <c r="L388" s="31"/>
      <c r="M388" s="31"/>
      <c r="N388" s="31"/>
      <c r="O388" s="31"/>
      <c r="P388" s="65"/>
      <c r="R388" s="31"/>
      <c r="S388" s="31"/>
      <c r="T388" s="70"/>
      <c r="U388" s="31"/>
      <c r="W388" s="31"/>
      <c r="Y388" s="31"/>
      <c r="Z388" s="31"/>
      <c r="AA388" s="31"/>
      <c r="AB388" s="31"/>
      <c r="AC388" s="31"/>
      <c r="AD388" s="31"/>
      <c r="AE388" s="31"/>
      <c r="AG388" s="31"/>
    </row>
    <row r="389" spans="1:33">
      <c r="A389" s="31"/>
      <c r="B389" s="31"/>
      <c r="C389" s="31"/>
      <c r="E389" s="31"/>
      <c r="F389" s="31"/>
      <c r="G389" s="31"/>
      <c r="J389" s="31"/>
      <c r="L389" s="31"/>
      <c r="M389" s="31"/>
      <c r="N389" s="31"/>
      <c r="O389" s="31"/>
      <c r="P389" s="65"/>
      <c r="R389" s="31"/>
      <c r="S389" s="31"/>
      <c r="T389" s="70"/>
      <c r="U389" s="31"/>
      <c r="W389" s="31"/>
      <c r="Y389" s="31"/>
      <c r="Z389" s="31"/>
      <c r="AA389" s="31"/>
      <c r="AB389" s="31"/>
      <c r="AC389" s="31"/>
      <c r="AD389" s="31"/>
      <c r="AE389" s="31"/>
      <c r="AG389" s="31"/>
    </row>
    <row r="390" spans="1:33">
      <c r="A390" s="31"/>
      <c r="B390" s="31"/>
      <c r="C390" s="31"/>
      <c r="E390" s="31"/>
      <c r="F390" s="31"/>
      <c r="G390" s="31"/>
      <c r="J390" s="31"/>
      <c r="L390" s="31"/>
      <c r="M390" s="31"/>
      <c r="N390" s="31"/>
      <c r="O390" s="31"/>
      <c r="P390" s="65"/>
      <c r="R390" s="31"/>
      <c r="S390" s="31"/>
      <c r="T390" s="70"/>
      <c r="U390" s="31"/>
      <c r="W390" s="31"/>
      <c r="Y390" s="31"/>
      <c r="Z390" s="31"/>
      <c r="AA390" s="31"/>
      <c r="AB390" s="31"/>
      <c r="AC390" s="31"/>
      <c r="AD390" s="31"/>
      <c r="AE390" s="31"/>
      <c r="AG390" s="31"/>
    </row>
    <row r="391" spans="1:33">
      <c r="A391" s="31"/>
      <c r="B391" s="31"/>
      <c r="C391" s="31"/>
      <c r="E391" s="31"/>
      <c r="F391" s="31"/>
      <c r="G391" s="31"/>
      <c r="J391" s="31"/>
      <c r="L391" s="31"/>
      <c r="M391" s="31"/>
      <c r="N391" s="31"/>
      <c r="O391" s="31"/>
      <c r="P391" s="65"/>
      <c r="R391" s="31"/>
      <c r="S391" s="31"/>
      <c r="T391" s="70"/>
      <c r="U391" s="31"/>
      <c r="W391" s="31"/>
      <c r="Y391" s="31"/>
      <c r="Z391" s="31"/>
      <c r="AA391" s="31"/>
      <c r="AB391" s="31"/>
      <c r="AC391" s="31"/>
      <c r="AD391" s="31"/>
      <c r="AE391" s="31"/>
      <c r="AG391" s="31"/>
    </row>
    <row r="392" spans="1:33">
      <c r="A392" s="31"/>
      <c r="B392" s="31"/>
      <c r="C392" s="31"/>
      <c r="E392" s="31"/>
      <c r="F392" s="31"/>
      <c r="G392" s="31"/>
      <c r="J392" s="31"/>
      <c r="L392" s="31"/>
      <c r="M392" s="31"/>
      <c r="N392" s="31"/>
      <c r="O392" s="31"/>
      <c r="P392" s="65"/>
      <c r="R392" s="31"/>
      <c r="S392" s="31"/>
      <c r="T392" s="70"/>
      <c r="U392" s="31"/>
      <c r="W392" s="31"/>
      <c r="Y392" s="31"/>
      <c r="Z392" s="31"/>
      <c r="AA392" s="31"/>
      <c r="AB392" s="31"/>
      <c r="AC392" s="31"/>
      <c r="AD392" s="31"/>
      <c r="AE392" s="31"/>
      <c r="AG392" s="31"/>
    </row>
    <row r="393" spans="1:33">
      <c r="A393" s="31"/>
      <c r="B393" s="31"/>
      <c r="C393" s="31"/>
      <c r="E393" s="31"/>
      <c r="F393" s="31"/>
      <c r="G393" s="31"/>
      <c r="J393" s="31"/>
      <c r="L393" s="31"/>
      <c r="M393" s="31"/>
      <c r="N393" s="31"/>
      <c r="O393" s="31"/>
      <c r="P393" s="65"/>
      <c r="R393" s="31"/>
      <c r="S393" s="31"/>
      <c r="T393" s="70"/>
      <c r="U393" s="31"/>
      <c r="W393" s="31"/>
      <c r="Y393" s="31"/>
      <c r="Z393" s="31"/>
      <c r="AA393" s="31"/>
      <c r="AB393" s="31"/>
      <c r="AC393" s="31"/>
      <c r="AD393" s="31"/>
      <c r="AE393" s="31"/>
      <c r="AG393" s="31"/>
    </row>
    <row r="394" spans="1:33">
      <c r="A394" s="31"/>
      <c r="B394" s="31"/>
      <c r="C394" s="31"/>
      <c r="E394" s="31"/>
      <c r="F394" s="31"/>
      <c r="G394" s="31"/>
      <c r="J394" s="31"/>
      <c r="L394" s="31"/>
      <c r="M394" s="31"/>
      <c r="N394" s="31"/>
      <c r="O394" s="31"/>
      <c r="P394" s="65"/>
      <c r="R394" s="31"/>
      <c r="S394" s="31"/>
      <c r="T394" s="70"/>
      <c r="U394" s="31"/>
      <c r="W394" s="31"/>
      <c r="Y394" s="31"/>
      <c r="Z394" s="31"/>
      <c r="AA394" s="31"/>
      <c r="AB394" s="31"/>
      <c r="AC394" s="31"/>
      <c r="AD394" s="31"/>
      <c r="AE394" s="31"/>
      <c r="AG394" s="31"/>
    </row>
    <row r="395" spans="1:33">
      <c r="A395" s="31"/>
      <c r="B395" s="31"/>
      <c r="C395" s="31"/>
      <c r="E395" s="31"/>
      <c r="F395" s="31"/>
      <c r="G395" s="31"/>
      <c r="J395" s="31"/>
      <c r="L395" s="31"/>
      <c r="M395" s="31"/>
      <c r="N395" s="31"/>
      <c r="O395" s="31"/>
      <c r="P395" s="65"/>
      <c r="R395" s="31"/>
      <c r="S395" s="31"/>
      <c r="T395" s="70"/>
      <c r="U395" s="31"/>
      <c r="W395" s="31"/>
      <c r="Y395" s="31"/>
      <c r="Z395" s="31"/>
      <c r="AA395" s="31"/>
      <c r="AB395" s="31"/>
      <c r="AC395" s="31"/>
      <c r="AD395" s="31"/>
      <c r="AE395" s="31"/>
      <c r="AG395" s="31"/>
    </row>
    <row r="396" spans="1:33">
      <c r="A396" s="31"/>
      <c r="B396" s="31"/>
      <c r="C396" s="31"/>
      <c r="E396" s="31"/>
      <c r="F396" s="31"/>
      <c r="G396" s="31"/>
      <c r="J396" s="31"/>
      <c r="L396" s="31"/>
      <c r="M396" s="31"/>
      <c r="N396" s="31"/>
      <c r="O396" s="31"/>
      <c r="P396" s="65"/>
      <c r="R396" s="31"/>
      <c r="S396" s="31"/>
      <c r="T396" s="70"/>
      <c r="U396" s="31"/>
      <c r="W396" s="31"/>
      <c r="Y396" s="31"/>
      <c r="Z396" s="31"/>
      <c r="AA396" s="31"/>
      <c r="AB396" s="31"/>
      <c r="AC396" s="31"/>
      <c r="AD396" s="31"/>
      <c r="AE396" s="31"/>
      <c r="AG396" s="31"/>
    </row>
    <row r="397" spans="1:33">
      <c r="A397" s="31"/>
      <c r="B397" s="31"/>
      <c r="C397" s="31"/>
      <c r="E397" s="31"/>
      <c r="F397" s="31"/>
      <c r="G397" s="31"/>
      <c r="J397" s="31"/>
      <c r="L397" s="31"/>
      <c r="M397" s="31"/>
      <c r="N397" s="31"/>
      <c r="O397" s="31"/>
      <c r="P397" s="65"/>
      <c r="R397" s="31"/>
      <c r="S397" s="31"/>
      <c r="T397" s="70"/>
      <c r="U397" s="31"/>
      <c r="W397" s="31"/>
      <c r="Y397" s="31"/>
      <c r="Z397" s="31"/>
      <c r="AA397" s="31"/>
      <c r="AB397" s="31"/>
      <c r="AC397" s="31"/>
      <c r="AD397" s="31"/>
      <c r="AE397" s="31"/>
      <c r="AG397" s="31"/>
    </row>
    <row r="398" spans="1:33">
      <c r="A398" s="31"/>
      <c r="B398" s="31"/>
      <c r="C398" s="31"/>
      <c r="E398" s="31"/>
      <c r="F398" s="31"/>
      <c r="G398" s="31"/>
      <c r="J398" s="31"/>
      <c r="L398" s="31"/>
      <c r="M398" s="31"/>
      <c r="N398" s="31"/>
      <c r="O398" s="31"/>
      <c r="P398" s="65"/>
      <c r="R398" s="31"/>
      <c r="S398" s="31"/>
      <c r="T398" s="70"/>
      <c r="U398" s="31"/>
      <c r="W398" s="31"/>
      <c r="Y398" s="31"/>
      <c r="Z398" s="31"/>
      <c r="AA398" s="31"/>
      <c r="AB398" s="31"/>
      <c r="AC398" s="31"/>
      <c r="AD398" s="31"/>
      <c r="AE398" s="31"/>
      <c r="AG398" s="31"/>
    </row>
    <row r="399" spans="1:33">
      <c r="A399" s="31"/>
      <c r="B399" s="31"/>
      <c r="C399" s="31"/>
      <c r="E399" s="31"/>
      <c r="F399" s="31"/>
      <c r="G399" s="31"/>
      <c r="J399" s="31"/>
      <c r="L399" s="31"/>
      <c r="M399" s="31"/>
      <c r="N399" s="31"/>
      <c r="O399" s="31"/>
      <c r="P399" s="65"/>
      <c r="R399" s="31"/>
      <c r="S399" s="31"/>
      <c r="T399" s="70"/>
      <c r="U399" s="31"/>
      <c r="W399" s="31"/>
      <c r="Y399" s="31"/>
      <c r="Z399" s="31"/>
      <c r="AA399" s="31"/>
      <c r="AB399" s="31"/>
      <c r="AC399" s="31"/>
      <c r="AD399" s="31"/>
      <c r="AE399" s="31"/>
      <c r="AG399" s="31"/>
    </row>
    <row r="400" spans="1:33">
      <c r="A400" s="31"/>
      <c r="B400" s="31"/>
      <c r="C400" s="31"/>
      <c r="E400" s="31"/>
      <c r="F400" s="31"/>
      <c r="G400" s="31"/>
      <c r="J400" s="31"/>
      <c r="L400" s="31"/>
      <c r="M400" s="31"/>
      <c r="N400" s="31"/>
      <c r="O400" s="31"/>
      <c r="P400" s="65"/>
      <c r="R400" s="31"/>
      <c r="S400" s="31"/>
      <c r="T400" s="70"/>
      <c r="U400" s="31"/>
      <c r="W400" s="31"/>
      <c r="Y400" s="31"/>
      <c r="Z400" s="31"/>
      <c r="AA400" s="31"/>
      <c r="AB400" s="31"/>
      <c r="AC400" s="31"/>
      <c r="AD400" s="31"/>
      <c r="AE400" s="31"/>
      <c r="AG400" s="31"/>
    </row>
    <row r="401" spans="1:33">
      <c r="A401" s="31"/>
      <c r="B401" s="31"/>
      <c r="C401" s="31"/>
      <c r="E401" s="31"/>
      <c r="F401" s="31"/>
      <c r="G401" s="31"/>
      <c r="J401" s="31"/>
      <c r="L401" s="31"/>
      <c r="M401" s="31"/>
      <c r="N401" s="31"/>
      <c r="O401" s="31"/>
      <c r="P401" s="65"/>
      <c r="R401" s="31"/>
      <c r="S401" s="31"/>
      <c r="T401" s="70"/>
      <c r="U401" s="31"/>
      <c r="W401" s="31"/>
      <c r="Y401" s="31"/>
      <c r="Z401" s="31"/>
      <c r="AA401" s="31"/>
      <c r="AB401" s="31"/>
      <c r="AC401" s="31"/>
      <c r="AD401" s="31"/>
      <c r="AE401" s="31"/>
      <c r="AG401" s="31"/>
    </row>
    <row r="402" spans="1:33">
      <c r="A402" s="31"/>
      <c r="B402" s="31"/>
      <c r="C402" s="31"/>
      <c r="E402" s="31"/>
      <c r="F402" s="31"/>
      <c r="G402" s="31"/>
      <c r="J402" s="31"/>
      <c r="L402" s="31"/>
      <c r="M402" s="31"/>
      <c r="N402" s="31"/>
      <c r="O402" s="31"/>
      <c r="P402" s="65"/>
      <c r="R402" s="31"/>
      <c r="S402" s="31"/>
      <c r="T402" s="70"/>
      <c r="U402" s="31"/>
      <c r="W402" s="31"/>
      <c r="Y402" s="31"/>
      <c r="Z402" s="31"/>
      <c r="AA402" s="31"/>
      <c r="AB402" s="31"/>
      <c r="AC402" s="31"/>
      <c r="AD402" s="31"/>
      <c r="AE402" s="31"/>
      <c r="AG402" s="31"/>
    </row>
    <row r="403" spans="1:33">
      <c r="A403" s="31"/>
      <c r="B403" s="31"/>
      <c r="C403" s="31"/>
      <c r="E403" s="31"/>
      <c r="F403" s="31"/>
      <c r="G403" s="31"/>
      <c r="J403" s="31"/>
      <c r="L403" s="31"/>
      <c r="M403" s="31"/>
      <c r="N403" s="31"/>
      <c r="O403" s="31"/>
      <c r="P403" s="65"/>
      <c r="R403" s="31"/>
      <c r="S403" s="31"/>
      <c r="T403" s="70"/>
      <c r="U403" s="31"/>
      <c r="W403" s="31"/>
      <c r="Y403" s="31"/>
      <c r="Z403" s="31"/>
      <c r="AA403" s="31"/>
      <c r="AB403" s="31"/>
      <c r="AC403" s="31"/>
      <c r="AD403" s="31"/>
      <c r="AE403" s="31"/>
      <c r="AG403" s="31"/>
    </row>
    <row r="404" spans="1:33">
      <c r="A404" s="31"/>
      <c r="B404" s="31"/>
      <c r="C404" s="31"/>
      <c r="E404" s="31"/>
      <c r="F404" s="31"/>
      <c r="G404" s="31"/>
      <c r="J404" s="31"/>
      <c r="L404" s="31"/>
      <c r="M404" s="31"/>
      <c r="N404" s="31"/>
      <c r="O404" s="31"/>
      <c r="P404" s="65"/>
      <c r="R404" s="31"/>
      <c r="S404" s="31"/>
      <c r="T404" s="70"/>
      <c r="U404" s="31"/>
      <c r="W404" s="31"/>
      <c r="Y404" s="31"/>
      <c r="Z404" s="31"/>
      <c r="AA404" s="31"/>
      <c r="AB404" s="31"/>
      <c r="AC404" s="31"/>
      <c r="AD404" s="31"/>
      <c r="AE404" s="31"/>
      <c r="AG404" s="31"/>
    </row>
    <row r="405" spans="1:33">
      <c r="A405" s="31"/>
      <c r="B405" s="31"/>
      <c r="C405" s="31"/>
      <c r="E405" s="31"/>
      <c r="F405" s="31"/>
      <c r="G405" s="31"/>
      <c r="J405" s="31"/>
      <c r="L405" s="31"/>
      <c r="M405" s="31"/>
      <c r="N405" s="31"/>
      <c r="O405" s="31"/>
      <c r="P405" s="65"/>
      <c r="R405" s="31"/>
      <c r="S405" s="31"/>
      <c r="T405" s="70"/>
      <c r="U405" s="31"/>
      <c r="W405" s="31"/>
      <c r="Y405" s="31"/>
      <c r="Z405" s="31"/>
      <c r="AA405" s="31"/>
      <c r="AB405" s="31"/>
      <c r="AC405" s="31"/>
      <c r="AD405" s="31"/>
      <c r="AE405" s="31"/>
      <c r="AG405" s="31"/>
    </row>
    <row r="406" spans="1:33">
      <c r="A406" s="31"/>
      <c r="B406" s="31"/>
      <c r="C406" s="31"/>
      <c r="E406" s="31"/>
      <c r="F406" s="31"/>
      <c r="G406" s="31"/>
      <c r="J406" s="31"/>
      <c r="L406" s="31"/>
      <c r="M406" s="31"/>
      <c r="N406" s="31"/>
      <c r="O406" s="31"/>
      <c r="P406" s="65"/>
      <c r="R406" s="31"/>
      <c r="S406" s="31"/>
      <c r="T406" s="70"/>
      <c r="U406" s="31"/>
      <c r="W406" s="31"/>
      <c r="Y406" s="31"/>
      <c r="Z406" s="31"/>
      <c r="AA406" s="31"/>
      <c r="AB406" s="31"/>
      <c r="AC406" s="31"/>
      <c r="AD406" s="31"/>
      <c r="AE406" s="31"/>
      <c r="AG406" s="31"/>
    </row>
    <row r="407" spans="1:33">
      <c r="A407" s="31"/>
      <c r="B407" s="31"/>
      <c r="C407" s="31"/>
      <c r="E407" s="31"/>
      <c r="F407" s="31"/>
      <c r="G407" s="31"/>
      <c r="J407" s="31"/>
      <c r="L407" s="31"/>
      <c r="M407" s="31"/>
      <c r="N407" s="31"/>
      <c r="O407" s="31"/>
      <c r="P407" s="65"/>
      <c r="R407" s="31"/>
      <c r="S407" s="31"/>
      <c r="T407" s="70"/>
      <c r="U407" s="31"/>
      <c r="W407" s="31"/>
      <c r="Y407" s="31"/>
      <c r="Z407" s="31"/>
      <c r="AA407" s="31"/>
      <c r="AB407" s="31"/>
      <c r="AC407" s="31"/>
      <c r="AD407" s="31"/>
      <c r="AE407" s="31"/>
      <c r="AG407" s="31"/>
    </row>
    <row r="408" spans="1:33">
      <c r="A408" s="31"/>
      <c r="B408" s="31"/>
      <c r="C408" s="31"/>
      <c r="E408" s="31"/>
      <c r="F408" s="31"/>
      <c r="G408" s="31"/>
      <c r="J408" s="31"/>
      <c r="L408" s="31"/>
      <c r="M408" s="31"/>
      <c r="N408" s="31"/>
      <c r="O408" s="31"/>
      <c r="P408" s="65"/>
      <c r="R408" s="31"/>
      <c r="S408" s="31"/>
      <c r="T408" s="70"/>
      <c r="U408" s="31"/>
      <c r="W408" s="31"/>
      <c r="Y408" s="31"/>
      <c r="Z408" s="31"/>
      <c r="AA408" s="31"/>
      <c r="AB408" s="31"/>
      <c r="AC408" s="31"/>
      <c r="AD408" s="31"/>
      <c r="AE408" s="31"/>
      <c r="AG408" s="31"/>
    </row>
    <row r="409" spans="1:33">
      <c r="A409" s="31"/>
      <c r="B409" s="31"/>
      <c r="C409" s="31"/>
      <c r="E409" s="31"/>
      <c r="F409" s="31"/>
      <c r="G409" s="31"/>
      <c r="J409" s="31"/>
      <c r="L409" s="31"/>
      <c r="M409" s="31"/>
      <c r="N409" s="31"/>
      <c r="O409" s="31"/>
      <c r="P409" s="65"/>
      <c r="R409" s="31"/>
      <c r="S409" s="31"/>
      <c r="T409" s="70"/>
      <c r="U409" s="31"/>
      <c r="W409" s="31"/>
      <c r="Y409" s="31"/>
      <c r="Z409" s="31"/>
      <c r="AA409" s="31"/>
      <c r="AB409" s="31"/>
      <c r="AC409" s="31"/>
      <c r="AD409" s="31"/>
      <c r="AE409" s="31"/>
      <c r="AG409" s="31"/>
    </row>
    <row r="410" spans="1:33">
      <c r="A410" s="31"/>
      <c r="B410" s="31"/>
      <c r="C410" s="31"/>
      <c r="E410" s="31"/>
      <c r="F410" s="31"/>
      <c r="G410" s="31"/>
      <c r="J410" s="31"/>
      <c r="L410" s="31"/>
      <c r="M410" s="31"/>
      <c r="N410" s="31"/>
      <c r="O410" s="31"/>
      <c r="P410" s="65"/>
      <c r="R410" s="31"/>
      <c r="S410" s="31"/>
      <c r="T410" s="70"/>
      <c r="U410" s="31"/>
      <c r="W410" s="31"/>
      <c r="Y410" s="31"/>
      <c r="Z410" s="31"/>
      <c r="AA410" s="31"/>
      <c r="AB410" s="31"/>
      <c r="AC410" s="31"/>
      <c r="AD410" s="31"/>
      <c r="AE410" s="31"/>
      <c r="AG410" s="31"/>
    </row>
    <row r="411" spans="1:33">
      <c r="A411" s="31"/>
      <c r="B411" s="31"/>
      <c r="C411" s="31"/>
      <c r="E411" s="31"/>
      <c r="F411" s="31"/>
      <c r="G411" s="31"/>
      <c r="J411" s="31"/>
      <c r="L411" s="31"/>
      <c r="M411" s="31"/>
      <c r="N411" s="31"/>
      <c r="O411" s="31"/>
      <c r="P411" s="65"/>
      <c r="R411" s="31"/>
      <c r="S411" s="31"/>
      <c r="T411" s="70"/>
      <c r="U411" s="31"/>
      <c r="W411" s="31"/>
      <c r="Y411" s="31"/>
      <c r="Z411" s="31"/>
      <c r="AA411" s="31"/>
      <c r="AB411" s="31"/>
      <c r="AC411" s="31"/>
      <c r="AD411" s="31"/>
      <c r="AE411" s="31"/>
      <c r="AG411" s="31"/>
    </row>
    <row r="412" spans="1:33">
      <c r="A412" s="31"/>
      <c r="B412" s="31"/>
      <c r="C412" s="31"/>
      <c r="E412" s="31"/>
      <c r="F412" s="31"/>
      <c r="G412" s="31"/>
      <c r="J412" s="31"/>
      <c r="L412" s="31"/>
      <c r="M412" s="31"/>
      <c r="N412" s="31"/>
      <c r="O412" s="31"/>
      <c r="P412" s="65"/>
      <c r="R412" s="31"/>
      <c r="S412" s="31"/>
      <c r="T412" s="70"/>
      <c r="U412" s="31"/>
      <c r="W412" s="31"/>
      <c r="Y412" s="31"/>
      <c r="Z412" s="31"/>
      <c r="AA412" s="31"/>
      <c r="AB412" s="31"/>
      <c r="AC412" s="31"/>
      <c r="AD412" s="31"/>
      <c r="AE412" s="31"/>
      <c r="AG412" s="31"/>
    </row>
    <row r="413" spans="1:33">
      <c r="A413" s="31"/>
      <c r="B413" s="31"/>
      <c r="C413" s="31"/>
      <c r="E413" s="31"/>
      <c r="F413" s="31"/>
      <c r="G413" s="31"/>
      <c r="J413" s="31"/>
      <c r="L413" s="31"/>
      <c r="M413" s="31"/>
      <c r="N413" s="31"/>
      <c r="O413" s="31"/>
      <c r="P413" s="65"/>
      <c r="R413" s="31"/>
      <c r="S413" s="31"/>
      <c r="T413" s="70"/>
      <c r="U413" s="31"/>
      <c r="W413" s="31"/>
      <c r="Y413" s="31"/>
      <c r="Z413" s="31"/>
      <c r="AA413" s="31"/>
      <c r="AB413" s="31"/>
      <c r="AC413" s="31"/>
      <c r="AD413" s="31"/>
      <c r="AE413" s="31"/>
      <c r="AG413" s="31"/>
    </row>
    <row r="414" spans="1:33">
      <c r="A414" s="31"/>
      <c r="B414" s="31"/>
      <c r="C414" s="31"/>
      <c r="E414" s="31"/>
      <c r="F414" s="31"/>
      <c r="G414" s="31"/>
      <c r="J414" s="31"/>
      <c r="L414" s="31"/>
      <c r="M414" s="31"/>
      <c r="N414" s="31"/>
      <c r="O414" s="31"/>
      <c r="P414" s="65"/>
      <c r="R414" s="31"/>
      <c r="S414" s="31"/>
      <c r="T414" s="70"/>
      <c r="U414" s="31"/>
      <c r="W414" s="31"/>
      <c r="Y414" s="31"/>
      <c r="Z414" s="31"/>
      <c r="AA414" s="31"/>
      <c r="AB414" s="31"/>
      <c r="AC414" s="31"/>
      <c r="AD414" s="31"/>
      <c r="AE414" s="31"/>
      <c r="AG414" s="31"/>
    </row>
    <row r="415" spans="1:33">
      <c r="A415" s="31"/>
      <c r="B415" s="31"/>
      <c r="C415" s="31"/>
      <c r="E415" s="31"/>
      <c r="F415" s="31"/>
      <c r="G415" s="31"/>
      <c r="J415" s="31"/>
      <c r="L415" s="31"/>
      <c r="M415" s="31"/>
      <c r="N415" s="31"/>
      <c r="O415" s="31"/>
      <c r="P415" s="65"/>
      <c r="R415" s="31"/>
      <c r="S415" s="31"/>
      <c r="T415" s="70"/>
      <c r="U415" s="31"/>
      <c r="W415" s="31"/>
      <c r="Y415" s="31"/>
      <c r="Z415" s="31"/>
      <c r="AA415" s="31"/>
      <c r="AB415" s="31"/>
      <c r="AC415" s="31"/>
      <c r="AD415" s="31"/>
      <c r="AE415" s="31"/>
      <c r="AG415" s="31"/>
    </row>
    <row r="416" spans="1:33">
      <c r="A416" s="31"/>
      <c r="B416" s="31"/>
      <c r="C416" s="31"/>
      <c r="E416" s="31"/>
      <c r="F416" s="31"/>
      <c r="G416" s="31"/>
      <c r="J416" s="31"/>
      <c r="L416" s="31"/>
      <c r="M416" s="31"/>
      <c r="N416" s="31"/>
      <c r="O416" s="31"/>
      <c r="P416" s="65"/>
      <c r="R416" s="31"/>
      <c r="S416" s="31"/>
      <c r="T416" s="70"/>
      <c r="U416" s="31"/>
      <c r="W416" s="31"/>
      <c r="Y416" s="31"/>
      <c r="Z416" s="31"/>
      <c r="AA416" s="31"/>
      <c r="AB416" s="31"/>
      <c r="AC416" s="31"/>
      <c r="AD416" s="31"/>
      <c r="AE416" s="31"/>
      <c r="AG416" s="31"/>
    </row>
    <row r="417" spans="1:33">
      <c r="A417" s="31"/>
      <c r="B417" s="31"/>
      <c r="C417" s="31"/>
      <c r="E417" s="31"/>
      <c r="F417" s="31"/>
      <c r="G417" s="31"/>
      <c r="J417" s="31"/>
      <c r="L417" s="31"/>
      <c r="M417" s="31"/>
      <c r="N417" s="31"/>
      <c r="O417" s="31"/>
      <c r="P417" s="65"/>
      <c r="R417" s="31"/>
      <c r="S417" s="31"/>
      <c r="T417" s="70"/>
      <c r="U417" s="31"/>
      <c r="W417" s="31"/>
      <c r="Y417" s="31"/>
      <c r="Z417" s="31"/>
      <c r="AA417" s="31"/>
      <c r="AB417" s="31"/>
      <c r="AC417" s="31"/>
      <c r="AD417" s="31"/>
      <c r="AE417" s="31"/>
      <c r="AG417" s="31"/>
    </row>
    <row r="418" spans="1:33">
      <c r="A418" s="31"/>
      <c r="B418" s="31"/>
      <c r="C418" s="31"/>
      <c r="E418" s="31"/>
      <c r="F418" s="31"/>
      <c r="G418" s="31"/>
      <c r="J418" s="31"/>
      <c r="L418" s="31"/>
      <c r="M418" s="31"/>
      <c r="N418" s="31"/>
      <c r="O418" s="31"/>
      <c r="P418" s="65"/>
      <c r="R418" s="31"/>
      <c r="S418" s="31"/>
      <c r="T418" s="70"/>
      <c r="U418" s="31"/>
      <c r="W418" s="31"/>
      <c r="Y418" s="31"/>
      <c r="Z418" s="31"/>
      <c r="AA418" s="31"/>
      <c r="AB418" s="31"/>
      <c r="AC418" s="31"/>
      <c r="AD418" s="31"/>
      <c r="AE418" s="31"/>
      <c r="AG418" s="31"/>
    </row>
    <row r="419" spans="1:33">
      <c r="A419" s="31"/>
      <c r="B419" s="31"/>
      <c r="C419" s="31"/>
      <c r="E419" s="31"/>
      <c r="F419" s="31"/>
      <c r="G419" s="31"/>
      <c r="J419" s="31"/>
      <c r="L419" s="31"/>
      <c r="M419" s="31"/>
      <c r="N419" s="31"/>
      <c r="O419" s="31"/>
      <c r="P419" s="65"/>
      <c r="R419" s="31"/>
      <c r="S419" s="31"/>
      <c r="T419" s="70"/>
      <c r="U419" s="31"/>
      <c r="W419" s="31"/>
      <c r="Y419" s="31"/>
      <c r="Z419" s="31"/>
      <c r="AA419" s="31"/>
      <c r="AB419" s="31"/>
      <c r="AC419" s="31"/>
      <c r="AD419" s="31"/>
      <c r="AE419" s="31"/>
      <c r="AG419" s="31"/>
    </row>
    <row r="420" spans="1:33">
      <c r="A420" s="31"/>
      <c r="B420" s="31"/>
      <c r="C420" s="31"/>
      <c r="E420" s="31"/>
      <c r="F420" s="31"/>
      <c r="G420" s="31"/>
      <c r="J420" s="31"/>
      <c r="L420" s="31"/>
      <c r="M420" s="31"/>
      <c r="N420" s="31"/>
      <c r="O420" s="31"/>
      <c r="P420" s="65"/>
      <c r="R420" s="31"/>
      <c r="S420" s="31"/>
      <c r="T420" s="70"/>
      <c r="U420" s="31"/>
      <c r="W420" s="31"/>
      <c r="Y420" s="31"/>
      <c r="Z420" s="31"/>
      <c r="AA420" s="31"/>
      <c r="AB420" s="31"/>
      <c r="AC420" s="31"/>
      <c r="AD420" s="31"/>
      <c r="AE420" s="31"/>
      <c r="AG420" s="31"/>
    </row>
    <row r="421" spans="1:33">
      <c r="A421" s="31"/>
      <c r="B421" s="31"/>
      <c r="C421" s="31"/>
      <c r="E421" s="31"/>
      <c r="F421" s="31"/>
      <c r="G421" s="31"/>
      <c r="J421" s="31"/>
      <c r="L421" s="31"/>
      <c r="M421" s="31"/>
      <c r="N421" s="31"/>
      <c r="O421" s="31"/>
      <c r="P421" s="65"/>
      <c r="R421" s="31"/>
      <c r="S421" s="31"/>
      <c r="T421" s="70"/>
      <c r="U421" s="31"/>
      <c r="W421" s="31"/>
      <c r="Y421" s="31"/>
      <c r="Z421" s="31"/>
      <c r="AA421" s="31"/>
      <c r="AB421" s="31"/>
      <c r="AC421" s="31"/>
      <c r="AD421" s="31"/>
      <c r="AE421" s="31"/>
      <c r="AG421" s="31"/>
    </row>
    <row r="422" spans="1:33">
      <c r="A422" s="31"/>
      <c r="B422" s="31"/>
      <c r="C422" s="31"/>
      <c r="E422" s="31"/>
      <c r="F422" s="31"/>
      <c r="G422" s="31"/>
      <c r="J422" s="31"/>
      <c r="L422" s="31"/>
      <c r="M422" s="31"/>
      <c r="N422" s="31"/>
      <c r="O422" s="31"/>
      <c r="P422" s="65"/>
      <c r="R422" s="31"/>
      <c r="S422" s="31"/>
      <c r="T422" s="70"/>
      <c r="U422" s="31"/>
      <c r="W422" s="31"/>
      <c r="Y422" s="31"/>
      <c r="Z422" s="31"/>
      <c r="AA422" s="31"/>
      <c r="AB422" s="31"/>
      <c r="AC422" s="31"/>
      <c r="AD422" s="31"/>
      <c r="AE422" s="31"/>
      <c r="AG422" s="31"/>
    </row>
    <row r="423" spans="1:33">
      <c r="A423" s="31"/>
      <c r="B423" s="31"/>
      <c r="C423" s="31"/>
      <c r="E423" s="31"/>
      <c r="F423" s="31"/>
      <c r="G423" s="31"/>
      <c r="J423" s="31"/>
      <c r="L423" s="31"/>
      <c r="M423" s="31"/>
      <c r="N423" s="31"/>
      <c r="O423" s="31"/>
      <c r="P423" s="65"/>
      <c r="R423" s="31"/>
      <c r="S423" s="31"/>
      <c r="T423" s="70"/>
      <c r="U423" s="31"/>
      <c r="W423" s="31"/>
      <c r="Y423" s="31"/>
      <c r="Z423" s="31"/>
      <c r="AA423" s="31"/>
      <c r="AB423" s="31"/>
      <c r="AC423" s="31"/>
      <c r="AD423" s="31"/>
      <c r="AE423" s="31"/>
      <c r="AG423" s="31"/>
    </row>
    <row r="424" spans="1:33">
      <c r="A424" s="31"/>
      <c r="B424" s="31"/>
      <c r="C424" s="31"/>
      <c r="E424" s="31"/>
      <c r="F424" s="31"/>
      <c r="G424" s="31"/>
      <c r="J424" s="31"/>
      <c r="L424" s="31"/>
      <c r="M424" s="31"/>
      <c r="N424" s="31"/>
      <c r="O424" s="31"/>
      <c r="P424" s="65"/>
      <c r="R424" s="31"/>
      <c r="S424" s="31"/>
      <c r="T424" s="70"/>
      <c r="U424" s="31"/>
      <c r="W424" s="31"/>
      <c r="Y424" s="31"/>
      <c r="Z424" s="31"/>
      <c r="AA424" s="31"/>
      <c r="AB424" s="31"/>
      <c r="AC424" s="31"/>
      <c r="AD424" s="31"/>
      <c r="AE424" s="31"/>
      <c r="AG424" s="31"/>
    </row>
    <row r="425" spans="1:33">
      <c r="A425" s="31"/>
      <c r="B425" s="31"/>
      <c r="C425" s="31"/>
      <c r="E425" s="31"/>
      <c r="F425" s="31"/>
      <c r="G425" s="31"/>
      <c r="J425" s="31"/>
      <c r="L425" s="31"/>
      <c r="M425" s="31"/>
      <c r="N425" s="31"/>
      <c r="O425" s="31"/>
      <c r="P425" s="65"/>
      <c r="R425" s="31"/>
      <c r="S425" s="31"/>
      <c r="T425" s="70"/>
      <c r="U425" s="31"/>
      <c r="W425" s="31"/>
      <c r="Y425" s="31"/>
      <c r="Z425" s="31"/>
      <c r="AA425" s="31"/>
      <c r="AB425" s="31"/>
      <c r="AC425" s="31"/>
      <c r="AD425" s="31"/>
      <c r="AE425" s="31"/>
      <c r="AG425" s="31"/>
    </row>
    <row r="426" spans="1:33">
      <c r="A426" s="31"/>
      <c r="B426" s="31"/>
      <c r="C426" s="31"/>
      <c r="E426" s="31"/>
      <c r="F426" s="31"/>
      <c r="G426" s="31"/>
      <c r="J426" s="31"/>
      <c r="L426" s="31"/>
      <c r="M426" s="31"/>
      <c r="N426" s="31"/>
      <c r="O426" s="31"/>
      <c r="P426" s="65"/>
      <c r="R426" s="31"/>
      <c r="S426" s="31"/>
      <c r="T426" s="70"/>
      <c r="U426" s="31"/>
      <c r="W426" s="31"/>
      <c r="Y426" s="31"/>
      <c r="Z426" s="31"/>
      <c r="AA426" s="31"/>
      <c r="AB426" s="31"/>
      <c r="AC426" s="31"/>
      <c r="AD426" s="31"/>
      <c r="AE426" s="31"/>
      <c r="AG426" s="31"/>
    </row>
    <row r="427" spans="1:33">
      <c r="A427" s="31"/>
      <c r="B427" s="31"/>
      <c r="C427" s="31"/>
      <c r="E427" s="31"/>
      <c r="F427" s="31"/>
      <c r="G427" s="31"/>
      <c r="J427" s="31"/>
      <c r="L427" s="31"/>
      <c r="M427" s="31"/>
      <c r="N427" s="31"/>
      <c r="O427" s="31"/>
      <c r="P427" s="65"/>
      <c r="R427" s="31"/>
      <c r="S427" s="31"/>
      <c r="T427" s="70"/>
      <c r="U427" s="31"/>
      <c r="W427" s="31"/>
      <c r="Y427" s="31"/>
      <c r="Z427" s="31"/>
      <c r="AA427" s="31"/>
      <c r="AB427" s="31"/>
      <c r="AC427" s="31"/>
      <c r="AD427" s="31"/>
      <c r="AE427" s="31"/>
      <c r="AG427" s="31"/>
    </row>
    <row r="428" spans="1:33">
      <c r="A428" s="31"/>
      <c r="B428" s="31"/>
      <c r="C428" s="31"/>
      <c r="E428" s="31"/>
      <c r="F428" s="31"/>
      <c r="G428" s="31"/>
      <c r="J428" s="31"/>
      <c r="L428" s="31"/>
      <c r="M428" s="31"/>
      <c r="N428" s="31"/>
      <c r="O428" s="31"/>
      <c r="P428" s="65"/>
      <c r="R428" s="31"/>
      <c r="S428" s="31"/>
      <c r="T428" s="70"/>
      <c r="U428" s="31"/>
      <c r="W428" s="31"/>
      <c r="Y428" s="31"/>
      <c r="Z428" s="31"/>
      <c r="AA428" s="31"/>
      <c r="AB428" s="31"/>
      <c r="AC428" s="31"/>
      <c r="AD428" s="31"/>
      <c r="AE428" s="31"/>
      <c r="AG428" s="31"/>
    </row>
    <row r="429" spans="1:33">
      <c r="A429" s="31"/>
      <c r="B429" s="31"/>
      <c r="C429" s="31"/>
      <c r="E429" s="31"/>
      <c r="F429" s="31"/>
      <c r="G429" s="31"/>
      <c r="J429" s="31"/>
      <c r="L429" s="31"/>
      <c r="M429" s="31"/>
      <c r="N429" s="31"/>
      <c r="O429" s="31"/>
      <c r="P429" s="65"/>
      <c r="R429" s="31"/>
      <c r="S429" s="31"/>
      <c r="T429" s="70"/>
      <c r="U429" s="31"/>
      <c r="W429" s="31"/>
      <c r="Y429" s="31"/>
      <c r="Z429" s="31"/>
      <c r="AA429" s="31"/>
      <c r="AB429" s="31"/>
      <c r="AC429" s="31"/>
      <c r="AD429" s="31"/>
      <c r="AE429" s="31"/>
      <c r="AG429" s="31"/>
    </row>
    <row r="430" spans="1:33">
      <c r="A430" s="31"/>
      <c r="B430" s="31"/>
      <c r="C430" s="31"/>
      <c r="E430" s="31"/>
      <c r="F430" s="31"/>
      <c r="G430" s="31"/>
      <c r="J430" s="31"/>
      <c r="L430" s="31"/>
      <c r="M430" s="31"/>
      <c r="N430" s="31"/>
      <c r="O430" s="31"/>
      <c r="P430" s="65"/>
      <c r="R430" s="31"/>
      <c r="S430" s="31"/>
      <c r="T430" s="70"/>
      <c r="U430" s="31"/>
      <c r="W430" s="31"/>
      <c r="Y430" s="31"/>
      <c r="Z430" s="31"/>
      <c r="AA430" s="31"/>
      <c r="AB430" s="31"/>
      <c r="AC430" s="31"/>
      <c r="AD430" s="31"/>
      <c r="AE430" s="31"/>
      <c r="AG430" s="31"/>
    </row>
    <row r="431" spans="1:33">
      <c r="A431" s="31"/>
      <c r="B431" s="31"/>
      <c r="C431" s="31"/>
      <c r="E431" s="31"/>
      <c r="F431" s="31"/>
      <c r="G431" s="31"/>
      <c r="J431" s="31"/>
      <c r="L431" s="31"/>
      <c r="M431" s="31"/>
      <c r="N431" s="31"/>
      <c r="O431" s="31"/>
      <c r="P431" s="65"/>
      <c r="R431" s="31"/>
      <c r="S431" s="31"/>
      <c r="T431" s="70"/>
      <c r="U431" s="31"/>
      <c r="W431" s="31"/>
      <c r="Y431" s="31"/>
      <c r="Z431" s="31"/>
      <c r="AA431" s="31"/>
      <c r="AB431" s="31"/>
      <c r="AC431" s="31"/>
      <c r="AD431" s="31"/>
      <c r="AE431" s="31"/>
      <c r="AG431" s="31"/>
    </row>
    <row r="432" spans="1:33">
      <c r="A432" s="31"/>
      <c r="B432" s="31"/>
      <c r="C432" s="31"/>
      <c r="E432" s="31"/>
      <c r="F432" s="31"/>
      <c r="G432" s="31"/>
      <c r="J432" s="31"/>
      <c r="L432" s="31"/>
      <c r="M432" s="31"/>
      <c r="N432" s="31"/>
      <c r="O432" s="31"/>
      <c r="P432" s="65"/>
      <c r="R432" s="31"/>
      <c r="S432" s="31"/>
      <c r="T432" s="70"/>
      <c r="U432" s="31"/>
      <c r="W432" s="31"/>
      <c r="Y432" s="31"/>
      <c r="Z432" s="31"/>
      <c r="AA432" s="31"/>
      <c r="AB432" s="31"/>
      <c r="AC432" s="31"/>
      <c r="AD432" s="31"/>
      <c r="AE432" s="31"/>
      <c r="AG432" s="31"/>
    </row>
    <row r="433" spans="1:33">
      <c r="A433" s="31"/>
      <c r="B433" s="31"/>
      <c r="C433" s="31"/>
      <c r="E433" s="31"/>
      <c r="F433" s="31"/>
      <c r="G433" s="31"/>
      <c r="J433" s="31"/>
      <c r="L433" s="31"/>
      <c r="M433" s="31"/>
      <c r="N433" s="31"/>
      <c r="O433" s="31"/>
      <c r="P433" s="65"/>
      <c r="R433" s="31"/>
      <c r="S433" s="31"/>
      <c r="T433" s="70"/>
      <c r="U433" s="31"/>
      <c r="W433" s="31"/>
      <c r="Y433" s="31"/>
      <c r="Z433" s="31"/>
      <c r="AA433" s="31"/>
      <c r="AB433" s="31"/>
      <c r="AC433" s="31"/>
      <c r="AD433" s="31"/>
      <c r="AE433" s="31"/>
      <c r="AG433" s="31"/>
    </row>
    <row r="434" spans="1:33">
      <c r="A434" s="31"/>
      <c r="B434" s="31"/>
      <c r="C434" s="31"/>
      <c r="E434" s="31"/>
      <c r="F434" s="31"/>
      <c r="G434" s="31"/>
      <c r="J434" s="31"/>
      <c r="L434" s="31"/>
      <c r="M434" s="31"/>
      <c r="N434" s="31"/>
      <c r="O434" s="31"/>
      <c r="P434" s="65"/>
      <c r="R434" s="31"/>
      <c r="S434" s="31"/>
      <c r="T434" s="70"/>
      <c r="U434" s="31"/>
      <c r="W434" s="31"/>
      <c r="Y434" s="31"/>
      <c r="Z434" s="31"/>
      <c r="AA434" s="31"/>
      <c r="AB434" s="31"/>
      <c r="AC434" s="31"/>
      <c r="AD434" s="31"/>
      <c r="AE434" s="31"/>
      <c r="AG434" s="31"/>
    </row>
    <row r="435" spans="1:33">
      <c r="A435" s="31"/>
      <c r="B435" s="31"/>
      <c r="C435" s="31"/>
      <c r="E435" s="31"/>
      <c r="F435" s="31"/>
      <c r="G435" s="31"/>
      <c r="J435" s="31"/>
      <c r="L435" s="31"/>
      <c r="M435" s="31"/>
      <c r="N435" s="31"/>
      <c r="O435" s="31"/>
      <c r="P435" s="65"/>
      <c r="R435" s="31"/>
      <c r="S435" s="31"/>
      <c r="T435" s="70"/>
      <c r="U435" s="31"/>
      <c r="W435" s="31"/>
      <c r="Y435" s="31"/>
      <c r="Z435" s="31"/>
      <c r="AA435" s="31"/>
      <c r="AB435" s="31"/>
      <c r="AC435" s="31"/>
      <c r="AD435" s="31"/>
      <c r="AE435" s="31"/>
      <c r="AG435" s="31"/>
    </row>
    <row r="436" spans="1:33">
      <c r="A436" s="31"/>
      <c r="B436" s="31"/>
      <c r="C436" s="31"/>
      <c r="E436" s="31"/>
      <c r="F436" s="31"/>
      <c r="G436" s="31"/>
      <c r="J436" s="31"/>
      <c r="L436" s="31"/>
      <c r="M436" s="31"/>
      <c r="N436" s="31"/>
      <c r="O436" s="31"/>
      <c r="P436" s="65"/>
      <c r="R436" s="31"/>
      <c r="S436" s="31"/>
      <c r="T436" s="70"/>
      <c r="U436" s="31"/>
      <c r="W436" s="31"/>
      <c r="Y436" s="31"/>
      <c r="Z436" s="31"/>
      <c r="AA436" s="31"/>
      <c r="AB436" s="31"/>
      <c r="AC436" s="31"/>
      <c r="AD436" s="31"/>
      <c r="AE436" s="31"/>
      <c r="AG436" s="31"/>
    </row>
    <row r="437" spans="1:33">
      <c r="A437" s="31"/>
      <c r="B437" s="31"/>
      <c r="C437" s="31"/>
      <c r="E437" s="31"/>
      <c r="F437" s="31"/>
      <c r="G437" s="31"/>
      <c r="J437" s="31"/>
      <c r="L437" s="31"/>
      <c r="M437" s="31"/>
      <c r="N437" s="31"/>
      <c r="O437" s="31"/>
      <c r="P437" s="65"/>
      <c r="R437" s="31"/>
      <c r="S437" s="31"/>
      <c r="T437" s="70"/>
      <c r="U437" s="31"/>
      <c r="W437" s="31"/>
      <c r="Y437" s="31"/>
      <c r="Z437" s="31"/>
      <c r="AA437" s="31"/>
      <c r="AB437" s="31"/>
      <c r="AC437" s="31"/>
      <c r="AD437" s="31"/>
      <c r="AE437" s="31"/>
      <c r="AG437" s="31"/>
    </row>
    <row r="438" spans="1:33">
      <c r="A438" s="31"/>
      <c r="B438" s="31"/>
      <c r="C438" s="31"/>
      <c r="E438" s="31"/>
      <c r="F438" s="31"/>
      <c r="G438" s="31"/>
      <c r="J438" s="31"/>
      <c r="L438" s="31"/>
      <c r="M438" s="31"/>
      <c r="N438" s="31"/>
      <c r="O438" s="31"/>
      <c r="P438" s="65"/>
      <c r="R438" s="31"/>
      <c r="S438" s="31"/>
      <c r="T438" s="70"/>
      <c r="U438" s="31"/>
      <c r="W438" s="31"/>
      <c r="Y438" s="31"/>
      <c r="Z438" s="31"/>
      <c r="AA438" s="31"/>
      <c r="AB438" s="31"/>
      <c r="AC438" s="31"/>
      <c r="AD438" s="31"/>
      <c r="AE438" s="31"/>
      <c r="AG438" s="31"/>
    </row>
    <row r="439" spans="1:33">
      <c r="A439" s="31"/>
      <c r="B439" s="31"/>
      <c r="C439" s="31"/>
      <c r="E439" s="31"/>
      <c r="F439" s="31"/>
      <c r="G439" s="31"/>
      <c r="J439" s="31"/>
      <c r="L439" s="31"/>
      <c r="M439" s="31"/>
      <c r="N439" s="31"/>
      <c r="O439" s="31"/>
      <c r="P439" s="65"/>
      <c r="R439" s="31"/>
      <c r="S439" s="31"/>
      <c r="T439" s="70"/>
      <c r="U439" s="31"/>
      <c r="W439" s="31"/>
      <c r="Y439" s="31"/>
      <c r="Z439" s="31"/>
      <c r="AA439" s="31"/>
      <c r="AB439" s="31"/>
      <c r="AC439" s="31"/>
      <c r="AD439" s="31"/>
      <c r="AE439" s="31"/>
      <c r="AG439" s="31"/>
    </row>
    <row r="440" spans="1:33">
      <c r="A440" s="31"/>
      <c r="B440" s="31"/>
      <c r="C440" s="31"/>
      <c r="E440" s="31"/>
      <c r="F440" s="31"/>
      <c r="G440" s="31"/>
      <c r="J440" s="31"/>
      <c r="L440" s="31"/>
      <c r="M440" s="31"/>
      <c r="N440" s="31"/>
      <c r="O440" s="31"/>
      <c r="P440" s="65"/>
      <c r="R440" s="31"/>
      <c r="S440" s="31"/>
      <c r="T440" s="70"/>
      <c r="U440" s="31"/>
      <c r="W440" s="31"/>
      <c r="Y440" s="31"/>
      <c r="Z440" s="31"/>
      <c r="AA440" s="31"/>
      <c r="AB440" s="31"/>
      <c r="AC440" s="31"/>
      <c r="AD440" s="31"/>
      <c r="AE440" s="31"/>
      <c r="AG440" s="31"/>
    </row>
    <row r="441" spans="1:33">
      <c r="A441" s="31"/>
      <c r="B441" s="31"/>
      <c r="C441" s="31"/>
      <c r="E441" s="31"/>
      <c r="F441" s="31"/>
      <c r="G441" s="31"/>
      <c r="J441" s="31"/>
      <c r="L441" s="31"/>
      <c r="M441" s="31"/>
      <c r="N441" s="31"/>
      <c r="O441" s="31"/>
      <c r="P441" s="65"/>
      <c r="R441" s="31"/>
      <c r="S441" s="31"/>
      <c r="T441" s="70"/>
      <c r="U441" s="31"/>
      <c r="W441" s="31"/>
      <c r="Y441" s="31"/>
      <c r="Z441" s="31"/>
      <c r="AA441" s="31"/>
      <c r="AB441" s="31"/>
      <c r="AC441" s="31"/>
      <c r="AD441" s="31"/>
      <c r="AE441" s="31"/>
      <c r="AG441" s="31"/>
    </row>
    <row r="442" spans="1:33">
      <c r="A442" s="31"/>
      <c r="B442" s="31"/>
      <c r="C442" s="31"/>
      <c r="E442" s="31"/>
      <c r="F442" s="31"/>
      <c r="G442" s="31"/>
      <c r="J442" s="31"/>
      <c r="L442" s="31"/>
      <c r="M442" s="31"/>
      <c r="N442" s="31"/>
      <c r="O442" s="31"/>
      <c r="P442" s="65"/>
      <c r="R442" s="31"/>
      <c r="S442" s="31"/>
      <c r="T442" s="70"/>
      <c r="U442" s="31"/>
      <c r="W442" s="31"/>
      <c r="Y442" s="31"/>
      <c r="Z442" s="31"/>
      <c r="AA442" s="31"/>
      <c r="AB442" s="31"/>
      <c r="AC442" s="31"/>
      <c r="AD442" s="31"/>
      <c r="AE442" s="31"/>
      <c r="AG442" s="31"/>
    </row>
    <row r="443" spans="1:33">
      <c r="A443" s="31"/>
      <c r="B443" s="31"/>
      <c r="C443" s="31"/>
      <c r="E443" s="31"/>
      <c r="F443" s="31"/>
      <c r="G443" s="31"/>
      <c r="J443" s="31"/>
      <c r="L443" s="31"/>
      <c r="M443" s="31"/>
      <c r="N443" s="31"/>
      <c r="O443" s="31"/>
      <c r="P443" s="65"/>
      <c r="R443" s="31"/>
      <c r="S443" s="31"/>
      <c r="T443" s="70"/>
      <c r="U443" s="31"/>
      <c r="W443" s="31"/>
      <c r="Y443" s="31"/>
      <c r="Z443" s="31"/>
      <c r="AA443" s="31"/>
      <c r="AB443" s="31"/>
      <c r="AC443" s="31"/>
      <c r="AD443" s="31"/>
      <c r="AE443" s="31"/>
      <c r="AG443" s="31"/>
    </row>
    <row r="444" spans="1:33">
      <c r="A444" s="31"/>
      <c r="B444" s="31"/>
      <c r="C444" s="31"/>
      <c r="E444" s="31"/>
      <c r="F444" s="31"/>
      <c r="G444" s="31"/>
      <c r="J444" s="31"/>
      <c r="L444" s="31"/>
      <c r="M444" s="31"/>
      <c r="N444" s="31"/>
      <c r="O444" s="31"/>
      <c r="P444" s="65"/>
      <c r="R444" s="31"/>
      <c r="S444" s="31"/>
      <c r="T444" s="70"/>
      <c r="U444" s="31"/>
      <c r="W444" s="31"/>
      <c r="Y444" s="31"/>
      <c r="Z444" s="31"/>
      <c r="AA444" s="31"/>
      <c r="AB444" s="31"/>
      <c r="AC444" s="31"/>
      <c r="AD444" s="31"/>
      <c r="AE444" s="31"/>
      <c r="AG444" s="31"/>
    </row>
    <row r="445" spans="1:33">
      <c r="A445" s="31"/>
      <c r="B445" s="31"/>
      <c r="C445" s="31"/>
      <c r="E445" s="31"/>
      <c r="F445" s="31"/>
      <c r="G445" s="31"/>
      <c r="J445" s="31"/>
      <c r="L445" s="31"/>
      <c r="M445" s="31"/>
      <c r="N445" s="31"/>
      <c r="O445" s="31"/>
      <c r="P445" s="65"/>
      <c r="R445" s="31"/>
      <c r="S445" s="31"/>
      <c r="T445" s="70"/>
      <c r="U445" s="31"/>
      <c r="W445" s="31"/>
      <c r="Y445" s="31"/>
      <c r="Z445" s="31"/>
      <c r="AA445" s="31"/>
      <c r="AB445" s="31"/>
      <c r="AC445" s="31"/>
      <c r="AD445" s="31"/>
      <c r="AE445" s="31"/>
      <c r="AG445" s="31"/>
    </row>
    <row r="446" spans="1:33">
      <c r="A446" s="31"/>
      <c r="B446" s="31"/>
      <c r="C446" s="31"/>
      <c r="E446" s="31"/>
      <c r="F446" s="31"/>
      <c r="G446" s="31"/>
      <c r="J446" s="31"/>
      <c r="L446" s="31"/>
      <c r="M446" s="31"/>
      <c r="N446" s="31"/>
      <c r="O446" s="31"/>
      <c r="P446" s="65"/>
      <c r="R446" s="31"/>
      <c r="S446" s="31"/>
      <c r="T446" s="70"/>
      <c r="U446" s="31"/>
      <c r="W446" s="31"/>
      <c r="Y446" s="31"/>
      <c r="Z446" s="31"/>
      <c r="AA446" s="31"/>
      <c r="AB446" s="31"/>
      <c r="AC446" s="31"/>
      <c r="AD446" s="31"/>
      <c r="AE446" s="31"/>
      <c r="AG446" s="31"/>
    </row>
    <row r="447" spans="1:33">
      <c r="A447" s="31"/>
      <c r="B447" s="31"/>
      <c r="C447" s="31"/>
      <c r="E447" s="31"/>
      <c r="F447" s="31"/>
      <c r="G447" s="31"/>
      <c r="J447" s="31"/>
      <c r="L447" s="31"/>
      <c r="M447" s="31"/>
      <c r="N447" s="31"/>
      <c r="O447" s="31"/>
      <c r="P447" s="65"/>
      <c r="R447" s="31"/>
      <c r="S447" s="31"/>
      <c r="T447" s="70"/>
      <c r="U447" s="31"/>
      <c r="W447" s="31"/>
      <c r="Y447" s="31"/>
      <c r="Z447" s="31"/>
      <c r="AA447" s="31"/>
      <c r="AB447" s="31"/>
      <c r="AC447" s="31"/>
      <c r="AD447" s="31"/>
      <c r="AE447" s="31"/>
      <c r="AG447" s="31"/>
    </row>
    <row r="448" spans="1:33">
      <c r="A448" s="31"/>
      <c r="B448" s="31"/>
      <c r="C448" s="31"/>
      <c r="E448" s="31"/>
      <c r="F448" s="31"/>
      <c r="G448" s="31"/>
      <c r="J448" s="31"/>
      <c r="L448" s="31"/>
      <c r="M448" s="31"/>
      <c r="N448" s="31"/>
      <c r="O448" s="31"/>
      <c r="P448" s="65"/>
      <c r="R448" s="31"/>
      <c r="S448" s="31"/>
      <c r="T448" s="70"/>
      <c r="U448" s="31"/>
      <c r="W448" s="31"/>
      <c r="Y448" s="31"/>
      <c r="Z448" s="31"/>
      <c r="AA448" s="31"/>
      <c r="AB448" s="31"/>
      <c r="AC448" s="31"/>
      <c r="AD448" s="31"/>
      <c r="AE448" s="31"/>
      <c r="AG448" s="31"/>
    </row>
    <row r="449" spans="1:33">
      <c r="A449" s="31"/>
      <c r="B449" s="31"/>
      <c r="C449" s="31"/>
      <c r="E449" s="31"/>
      <c r="F449" s="31"/>
      <c r="G449" s="31"/>
      <c r="J449" s="31"/>
      <c r="L449" s="31"/>
      <c r="M449" s="31"/>
      <c r="N449" s="31"/>
      <c r="O449" s="31"/>
      <c r="P449" s="65"/>
      <c r="R449" s="31"/>
      <c r="S449" s="31"/>
      <c r="T449" s="70"/>
      <c r="U449" s="31"/>
      <c r="W449" s="31"/>
      <c r="Y449" s="31"/>
      <c r="Z449" s="31"/>
      <c r="AA449" s="31"/>
      <c r="AB449" s="31"/>
      <c r="AC449" s="31"/>
      <c r="AD449" s="31"/>
      <c r="AE449" s="31"/>
      <c r="AG449" s="31"/>
    </row>
    <row r="450" spans="1:33">
      <c r="A450" s="31"/>
      <c r="B450" s="31"/>
      <c r="C450" s="31"/>
      <c r="E450" s="31"/>
      <c r="F450" s="31"/>
      <c r="G450" s="31"/>
      <c r="J450" s="31"/>
      <c r="L450" s="31"/>
      <c r="M450" s="31"/>
      <c r="N450" s="31"/>
      <c r="O450" s="31"/>
      <c r="P450" s="65"/>
      <c r="R450" s="31"/>
      <c r="S450" s="31"/>
      <c r="T450" s="70"/>
      <c r="U450" s="31"/>
      <c r="W450" s="31"/>
      <c r="Y450" s="31"/>
      <c r="Z450" s="31"/>
      <c r="AA450" s="31"/>
      <c r="AB450" s="31"/>
      <c r="AC450" s="31"/>
      <c r="AD450" s="31"/>
      <c r="AE450" s="31"/>
      <c r="AG450" s="31"/>
    </row>
    <row r="451" spans="1:33">
      <c r="A451" s="31"/>
      <c r="B451" s="31"/>
      <c r="C451" s="31"/>
      <c r="E451" s="31"/>
      <c r="F451" s="31"/>
      <c r="G451" s="31"/>
      <c r="J451" s="31"/>
      <c r="L451" s="31"/>
      <c r="M451" s="31"/>
      <c r="N451" s="31"/>
      <c r="O451" s="31"/>
      <c r="P451" s="65"/>
      <c r="R451" s="31"/>
      <c r="S451" s="31"/>
      <c r="T451" s="70"/>
      <c r="U451" s="31"/>
      <c r="W451" s="31"/>
      <c r="Y451" s="31"/>
      <c r="Z451" s="31"/>
      <c r="AA451" s="31"/>
      <c r="AB451" s="31"/>
      <c r="AC451" s="31"/>
      <c r="AD451" s="31"/>
      <c r="AE451" s="31"/>
      <c r="AG451" s="31"/>
    </row>
    <row r="452" spans="1:33">
      <c r="A452" s="31"/>
      <c r="B452" s="31"/>
      <c r="C452" s="31"/>
      <c r="E452" s="31"/>
      <c r="F452" s="31"/>
      <c r="G452" s="31"/>
      <c r="J452" s="31"/>
      <c r="L452" s="31"/>
      <c r="M452" s="31"/>
      <c r="N452" s="31"/>
      <c r="O452" s="31"/>
      <c r="P452" s="65"/>
      <c r="R452" s="31"/>
      <c r="S452" s="31"/>
      <c r="T452" s="70"/>
      <c r="U452" s="31"/>
      <c r="W452" s="31"/>
      <c r="Y452" s="31"/>
      <c r="Z452" s="31"/>
      <c r="AA452" s="31"/>
      <c r="AB452" s="31"/>
      <c r="AC452" s="31"/>
      <c r="AD452" s="31"/>
      <c r="AE452" s="31"/>
      <c r="AG452" s="31"/>
    </row>
    <row r="453" spans="1:33">
      <c r="A453" s="31"/>
      <c r="B453" s="31"/>
      <c r="C453" s="31"/>
      <c r="E453" s="31"/>
      <c r="F453" s="31"/>
      <c r="G453" s="31"/>
      <c r="J453" s="31"/>
      <c r="L453" s="31"/>
      <c r="M453" s="31"/>
      <c r="N453" s="31"/>
      <c r="O453" s="31"/>
      <c r="P453" s="65"/>
      <c r="R453" s="31"/>
      <c r="S453" s="31"/>
      <c r="T453" s="70"/>
      <c r="U453" s="31"/>
      <c r="W453" s="31"/>
      <c r="Y453" s="31"/>
      <c r="Z453" s="31"/>
      <c r="AA453" s="31"/>
      <c r="AB453" s="31"/>
      <c r="AC453" s="31"/>
      <c r="AD453" s="31"/>
      <c r="AE453" s="31"/>
      <c r="AG453" s="31"/>
    </row>
    <row r="454" spans="1:33">
      <c r="A454" s="31"/>
      <c r="B454" s="31"/>
      <c r="C454" s="31"/>
      <c r="E454" s="31"/>
      <c r="F454" s="31"/>
      <c r="G454" s="31"/>
      <c r="J454" s="31"/>
      <c r="L454" s="31"/>
      <c r="M454" s="31"/>
      <c r="N454" s="31"/>
      <c r="O454" s="31"/>
      <c r="P454" s="65"/>
      <c r="R454" s="31"/>
      <c r="S454" s="31"/>
      <c r="T454" s="70"/>
      <c r="U454" s="31"/>
      <c r="W454" s="31"/>
      <c r="Y454" s="31"/>
      <c r="Z454" s="31"/>
      <c r="AA454" s="31"/>
      <c r="AB454" s="31"/>
      <c r="AC454" s="31"/>
      <c r="AD454" s="31"/>
      <c r="AE454" s="31"/>
      <c r="AG454" s="31"/>
    </row>
    <row r="455" spans="1:33">
      <c r="A455" s="31"/>
      <c r="B455" s="31"/>
      <c r="C455" s="31"/>
      <c r="E455" s="31"/>
      <c r="F455" s="31"/>
      <c r="G455" s="31"/>
      <c r="J455" s="31"/>
      <c r="L455" s="31"/>
      <c r="M455" s="31"/>
      <c r="N455" s="31"/>
      <c r="O455" s="31"/>
      <c r="P455" s="65"/>
      <c r="R455" s="31"/>
      <c r="S455" s="31"/>
      <c r="T455" s="70"/>
      <c r="U455" s="31"/>
      <c r="W455" s="31"/>
      <c r="Y455" s="31"/>
      <c r="Z455" s="31"/>
      <c r="AA455" s="31"/>
      <c r="AB455" s="31"/>
      <c r="AC455" s="31"/>
      <c r="AD455" s="31"/>
      <c r="AE455" s="31"/>
      <c r="AG455" s="31"/>
    </row>
    <row r="456" spans="1:33">
      <c r="A456" s="31"/>
      <c r="B456" s="31"/>
      <c r="C456" s="31"/>
      <c r="E456" s="31"/>
      <c r="F456" s="31"/>
      <c r="G456" s="31"/>
      <c r="J456" s="31"/>
      <c r="L456" s="31"/>
      <c r="M456" s="31"/>
      <c r="N456" s="31"/>
      <c r="O456" s="31"/>
      <c r="P456" s="65"/>
      <c r="R456" s="31"/>
      <c r="S456" s="31"/>
      <c r="T456" s="70"/>
      <c r="U456" s="31"/>
      <c r="W456" s="31"/>
      <c r="Y456" s="31"/>
      <c r="Z456" s="31"/>
      <c r="AA456" s="31"/>
      <c r="AB456" s="31"/>
      <c r="AC456" s="31"/>
      <c r="AD456" s="31"/>
      <c r="AE456" s="31"/>
      <c r="AG456" s="31"/>
    </row>
    <row r="457" spans="1:33">
      <c r="A457" s="31"/>
      <c r="B457" s="31"/>
      <c r="C457" s="31"/>
      <c r="E457" s="31"/>
      <c r="F457" s="31"/>
      <c r="G457" s="31"/>
      <c r="J457" s="31"/>
      <c r="L457" s="31"/>
      <c r="M457" s="31"/>
      <c r="N457" s="31"/>
      <c r="O457" s="31"/>
      <c r="P457" s="65"/>
      <c r="R457" s="31"/>
      <c r="S457" s="31"/>
      <c r="T457" s="70"/>
      <c r="U457" s="31"/>
      <c r="W457" s="31"/>
      <c r="Y457" s="31"/>
      <c r="Z457" s="31"/>
      <c r="AA457" s="31"/>
      <c r="AB457" s="31"/>
      <c r="AC457" s="31"/>
      <c r="AD457" s="31"/>
      <c r="AE457" s="31"/>
      <c r="AG457" s="31"/>
    </row>
    <row r="458" spans="1:33">
      <c r="A458" s="31"/>
      <c r="B458" s="31"/>
      <c r="C458" s="31"/>
      <c r="E458" s="31"/>
      <c r="F458" s="31"/>
      <c r="G458" s="31"/>
      <c r="J458" s="31"/>
      <c r="L458" s="31"/>
      <c r="M458" s="31"/>
      <c r="N458" s="31"/>
      <c r="O458" s="31"/>
      <c r="P458" s="65"/>
      <c r="R458" s="31"/>
      <c r="S458" s="31"/>
      <c r="T458" s="70"/>
      <c r="U458" s="31"/>
      <c r="W458" s="31"/>
      <c r="Y458" s="31"/>
      <c r="Z458" s="31"/>
      <c r="AA458" s="31"/>
      <c r="AB458" s="31"/>
      <c r="AC458" s="31"/>
      <c r="AD458" s="31"/>
      <c r="AE458" s="31"/>
      <c r="AG458" s="31"/>
    </row>
    <row r="459" spans="1:33">
      <c r="A459" s="31"/>
      <c r="B459" s="31"/>
      <c r="C459" s="31"/>
      <c r="E459" s="31"/>
      <c r="F459" s="31"/>
      <c r="G459" s="31"/>
      <c r="J459" s="31"/>
      <c r="L459" s="31"/>
      <c r="M459" s="31"/>
      <c r="N459" s="31"/>
      <c r="O459" s="31"/>
      <c r="P459" s="65"/>
      <c r="R459" s="31"/>
      <c r="S459" s="31"/>
      <c r="T459" s="70"/>
      <c r="U459" s="31"/>
      <c r="W459" s="31"/>
      <c r="Y459" s="31"/>
      <c r="Z459" s="31"/>
      <c r="AA459" s="31"/>
      <c r="AB459" s="31"/>
      <c r="AC459" s="31"/>
      <c r="AD459" s="31"/>
      <c r="AE459" s="31"/>
      <c r="AG459" s="31"/>
    </row>
    <row r="460" spans="1:33">
      <c r="A460" s="31"/>
      <c r="B460" s="31"/>
      <c r="C460" s="31"/>
      <c r="E460" s="31"/>
      <c r="F460" s="31"/>
      <c r="G460" s="31"/>
      <c r="J460" s="31"/>
      <c r="L460" s="31"/>
      <c r="M460" s="31"/>
      <c r="N460" s="31"/>
      <c r="O460" s="31"/>
      <c r="P460" s="65"/>
      <c r="R460" s="31"/>
      <c r="S460" s="31"/>
      <c r="T460" s="70"/>
      <c r="U460" s="31"/>
      <c r="W460" s="31"/>
      <c r="Y460" s="31"/>
      <c r="Z460" s="31"/>
      <c r="AA460" s="31"/>
      <c r="AB460" s="31"/>
      <c r="AC460" s="31"/>
      <c r="AD460" s="31"/>
      <c r="AE460" s="31"/>
      <c r="AG460" s="31"/>
    </row>
    <row r="461" spans="1:33">
      <c r="A461" s="31"/>
      <c r="B461" s="31"/>
      <c r="C461" s="31"/>
      <c r="E461" s="31"/>
      <c r="F461" s="31"/>
      <c r="G461" s="31"/>
      <c r="J461" s="31"/>
      <c r="L461" s="31"/>
      <c r="M461" s="31"/>
      <c r="N461" s="31"/>
      <c r="O461" s="31"/>
      <c r="P461" s="65"/>
      <c r="R461" s="31"/>
      <c r="S461" s="31"/>
      <c r="T461" s="70"/>
      <c r="U461" s="31"/>
      <c r="W461" s="31"/>
      <c r="Y461" s="31"/>
      <c r="Z461" s="31"/>
      <c r="AA461" s="31"/>
      <c r="AB461" s="31"/>
      <c r="AC461" s="31"/>
      <c r="AD461" s="31"/>
      <c r="AE461" s="31"/>
      <c r="AG461" s="31"/>
    </row>
    <row r="462" spans="1:33">
      <c r="A462" s="31"/>
      <c r="B462" s="31"/>
      <c r="C462" s="31"/>
      <c r="E462" s="31"/>
      <c r="F462" s="31"/>
      <c r="G462" s="31"/>
      <c r="J462" s="31"/>
      <c r="L462" s="31"/>
      <c r="M462" s="31"/>
      <c r="N462" s="31"/>
      <c r="O462" s="31"/>
      <c r="P462" s="65"/>
      <c r="R462" s="31"/>
      <c r="S462" s="31"/>
      <c r="T462" s="70"/>
      <c r="U462" s="31"/>
      <c r="W462" s="31"/>
      <c r="Y462" s="31"/>
      <c r="Z462" s="31"/>
      <c r="AA462" s="31"/>
      <c r="AB462" s="31"/>
      <c r="AC462" s="31"/>
      <c r="AD462" s="31"/>
      <c r="AE462" s="31"/>
      <c r="AG462" s="31"/>
    </row>
    <row r="463" spans="1:33">
      <c r="A463" s="31"/>
      <c r="B463" s="31"/>
      <c r="C463" s="31"/>
      <c r="E463" s="31"/>
      <c r="F463" s="31"/>
      <c r="G463" s="31"/>
      <c r="J463" s="31"/>
      <c r="L463" s="31"/>
      <c r="M463" s="31"/>
      <c r="N463" s="31"/>
      <c r="O463" s="31"/>
      <c r="P463" s="65"/>
      <c r="R463" s="31"/>
      <c r="S463" s="31"/>
      <c r="T463" s="70"/>
      <c r="U463" s="31"/>
      <c r="W463" s="31"/>
      <c r="Y463" s="31"/>
      <c r="Z463" s="31"/>
      <c r="AA463" s="31"/>
      <c r="AB463" s="31"/>
      <c r="AC463" s="31"/>
      <c r="AD463" s="31"/>
      <c r="AE463" s="31"/>
      <c r="AG463" s="31"/>
    </row>
    <row r="464" spans="1:33">
      <c r="A464" s="31"/>
      <c r="B464" s="31"/>
      <c r="C464" s="31"/>
      <c r="E464" s="31"/>
      <c r="F464" s="31"/>
      <c r="G464" s="31"/>
      <c r="J464" s="31"/>
      <c r="L464" s="31"/>
      <c r="M464" s="31"/>
      <c r="N464" s="31"/>
      <c r="O464" s="31"/>
      <c r="P464" s="65"/>
      <c r="R464" s="31"/>
      <c r="S464" s="31"/>
      <c r="T464" s="70"/>
      <c r="U464" s="31"/>
      <c r="W464" s="31"/>
      <c r="Y464" s="31"/>
      <c r="Z464" s="31"/>
      <c r="AA464" s="31"/>
      <c r="AB464" s="31"/>
      <c r="AC464" s="31"/>
      <c r="AD464" s="31"/>
      <c r="AE464" s="31"/>
      <c r="AG464" s="31"/>
    </row>
    <row r="465" spans="1:33">
      <c r="A465" s="31"/>
      <c r="B465" s="31"/>
      <c r="C465" s="31"/>
      <c r="E465" s="31"/>
      <c r="F465" s="31"/>
      <c r="G465" s="31"/>
      <c r="J465" s="31"/>
      <c r="L465" s="31"/>
      <c r="M465" s="31"/>
      <c r="N465" s="31"/>
      <c r="O465" s="31"/>
      <c r="P465" s="65"/>
      <c r="R465" s="31"/>
      <c r="S465" s="31"/>
      <c r="T465" s="70"/>
      <c r="U465" s="31"/>
      <c r="W465" s="31"/>
      <c r="Y465" s="31"/>
      <c r="Z465" s="31"/>
      <c r="AA465" s="31"/>
      <c r="AB465" s="31"/>
      <c r="AC465" s="31"/>
      <c r="AD465" s="31"/>
      <c r="AE465" s="31"/>
      <c r="AG465" s="31"/>
    </row>
    <row r="466" spans="1:33">
      <c r="A466" s="31"/>
      <c r="B466" s="31"/>
      <c r="C466" s="31"/>
      <c r="E466" s="31"/>
      <c r="F466" s="31"/>
      <c r="G466" s="31"/>
      <c r="J466" s="31"/>
      <c r="L466" s="31"/>
      <c r="M466" s="31"/>
      <c r="N466" s="31"/>
      <c r="O466" s="31"/>
      <c r="P466" s="65"/>
      <c r="R466" s="31"/>
      <c r="S466" s="31"/>
      <c r="T466" s="70"/>
      <c r="U466" s="31"/>
      <c r="W466" s="31"/>
      <c r="Y466" s="31"/>
      <c r="Z466" s="31"/>
      <c r="AA466" s="31"/>
      <c r="AB466" s="31"/>
      <c r="AC466" s="31"/>
      <c r="AD466" s="31"/>
      <c r="AE466" s="31"/>
      <c r="AG466" s="31"/>
    </row>
    <row r="467" spans="1:33">
      <c r="A467" s="31"/>
      <c r="B467" s="31"/>
      <c r="C467" s="31"/>
      <c r="E467" s="31"/>
      <c r="F467" s="31"/>
      <c r="G467" s="31"/>
      <c r="J467" s="31"/>
      <c r="L467" s="31"/>
      <c r="M467" s="31"/>
      <c r="N467" s="31"/>
      <c r="O467" s="31"/>
      <c r="P467" s="65"/>
      <c r="R467" s="31"/>
      <c r="S467" s="31"/>
      <c r="T467" s="70"/>
      <c r="U467" s="31"/>
      <c r="W467" s="31"/>
      <c r="Y467" s="31"/>
      <c r="Z467" s="31"/>
      <c r="AA467" s="31"/>
      <c r="AB467" s="31"/>
      <c r="AC467" s="31"/>
      <c r="AD467" s="31"/>
      <c r="AE467" s="31"/>
      <c r="AG467" s="31"/>
    </row>
    <row r="468" spans="1:33">
      <c r="A468" s="31"/>
      <c r="B468" s="31"/>
      <c r="C468" s="31"/>
      <c r="E468" s="31"/>
      <c r="F468" s="31"/>
      <c r="G468" s="31"/>
      <c r="J468" s="31"/>
      <c r="L468" s="31"/>
      <c r="M468" s="31"/>
      <c r="N468" s="31"/>
      <c r="O468" s="31"/>
      <c r="P468" s="65"/>
      <c r="R468" s="31"/>
      <c r="S468" s="31"/>
      <c r="T468" s="70"/>
      <c r="U468" s="31"/>
      <c r="W468" s="31"/>
      <c r="Y468" s="31"/>
      <c r="Z468" s="31"/>
      <c r="AA468" s="31"/>
      <c r="AB468" s="31"/>
      <c r="AC468" s="31"/>
      <c r="AD468" s="31"/>
      <c r="AE468" s="31"/>
      <c r="AG468" s="31"/>
    </row>
    <row r="469" spans="1:33">
      <c r="A469" s="31"/>
      <c r="B469" s="31"/>
      <c r="C469" s="31"/>
      <c r="E469" s="31"/>
      <c r="F469" s="31"/>
      <c r="G469" s="31"/>
      <c r="J469" s="31"/>
      <c r="L469" s="31"/>
      <c r="M469" s="31"/>
      <c r="N469" s="31"/>
      <c r="O469" s="31"/>
      <c r="P469" s="65"/>
      <c r="R469" s="31"/>
      <c r="S469" s="31"/>
      <c r="T469" s="70"/>
      <c r="U469" s="31"/>
      <c r="W469" s="31"/>
      <c r="Y469" s="31"/>
      <c r="Z469" s="31"/>
      <c r="AA469" s="31"/>
      <c r="AB469" s="31"/>
      <c r="AC469" s="31"/>
      <c r="AD469" s="31"/>
      <c r="AE469" s="31"/>
      <c r="AG469" s="31"/>
    </row>
    <row r="470" spans="1:33">
      <c r="A470" s="31"/>
      <c r="B470" s="31"/>
      <c r="C470" s="31"/>
      <c r="E470" s="31"/>
      <c r="F470" s="31"/>
      <c r="G470" s="31"/>
      <c r="J470" s="31"/>
      <c r="L470" s="31"/>
      <c r="M470" s="31"/>
      <c r="N470" s="31"/>
      <c r="O470" s="31"/>
      <c r="P470" s="65"/>
      <c r="R470" s="31"/>
      <c r="S470" s="31"/>
      <c r="T470" s="70"/>
      <c r="U470" s="31"/>
      <c r="W470" s="31"/>
      <c r="Y470" s="31"/>
      <c r="Z470" s="31"/>
      <c r="AA470" s="31"/>
      <c r="AB470" s="31"/>
      <c r="AC470" s="31"/>
      <c r="AD470" s="31"/>
      <c r="AE470" s="31"/>
      <c r="AG470" s="31"/>
    </row>
    <row r="471" spans="1:33">
      <c r="A471" s="31"/>
      <c r="B471" s="31"/>
      <c r="C471" s="31"/>
      <c r="E471" s="31"/>
      <c r="F471" s="31"/>
      <c r="G471" s="31"/>
      <c r="J471" s="31"/>
      <c r="L471" s="31"/>
      <c r="M471" s="31"/>
      <c r="N471" s="31"/>
      <c r="O471" s="31"/>
      <c r="P471" s="65"/>
      <c r="R471" s="31"/>
      <c r="S471" s="31"/>
      <c r="T471" s="70"/>
      <c r="U471" s="31"/>
      <c r="W471" s="31"/>
      <c r="Y471" s="31"/>
      <c r="Z471" s="31"/>
      <c r="AA471" s="31"/>
      <c r="AB471" s="31"/>
      <c r="AC471" s="31"/>
      <c r="AD471" s="31"/>
      <c r="AE471" s="31"/>
      <c r="AG471" s="31"/>
    </row>
    <row r="472" spans="1:33">
      <c r="A472" s="31"/>
      <c r="B472" s="31"/>
      <c r="C472" s="31"/>
      <c r="E472" s="31"/>
      <c r="F472" s="31"/>
      <c r="G472" s="31"/>
      <c r="J472" s="31"/>
      <c r="L472" s="31"/>
      <c r="M472" s="31"/>
      <c r="N472" s="31"/>
      <c r="O472" s="31"/>
      <c r="P472" s="65"/>
      <c r="R472" s="31"/>
      <c r="S472" s="31"/>
      <c r="T472" s="70"/>
      <c r="U472" s="31"/>
      <c r="W472" s="31"/>
      <c r="Y472" s="31"/>
      <c r="Z472" s="31"/>
      <c r="AA472" s="31"/>
      <c r="AB472" s="31"/>
      <c r="AC472" s="31"/>
      <c r="AD472" s="31"/>
      <c r="AE472" s="31"/>
      <c r="AG472" s="31"/>
    </row>
    <row r="473" spans="1:33">
      <c r="A473" s="31"/>
      <c r="B473" s="31"/>
      <c r="C473" s="31"/>
      <c r="E473" s="31"/>
      <c r="F473" s="31"/>
      <c r="G473" s="31"/>
      <c r="J473" s="31"/>
      <c r="L473" s="31"/>
      <c r="M473" s="31"/>
      <c r="N473" s="31"/>
      <c r="O473" s="31"/>
      <c r="P473" s="65"/>
      <c r="R473" s="31"/>
      <c r="S473" s="31"/>
      <c r="T473" s="70"/>
      <c r="U473" s="31"/>
      <c r="W473" s="31"/>
      <c r="Y473" s="31"/>
      <c r="Z473" s="31"/>
      <c r="AA473" s="31"/>
      <c r="AB473" s="31"/>
      <c r="AC473" s="31"/>
      <c r="AD473" s="31"/>
      <c r="AE473" s="31"/>
      <c r="AG473" s="31"/>
    </row>
    <row r="474" spans="1:33">
      <c r="A474" s="31"/>
      <c r="B474" s="31"/>
      <c r="C474" s="31"/>
      <c r="E474" s="31"/>
      <c r="F474" s="31"/>
      <c r="G474" s="31"/>
      <c r="J474" s="31"/>
      <c r="L474" s="31"/>
      <c r="M474" s="31"/>
      <c r="N474" s="31"/>
      <c r="O474" s="31"/>
      <c r="P474" s="65"/>
      <c r="R474" s="31"/>
      <c r="S474" s="31"/>
      <c r="T474" s="70"/>
      <c r="U474" s="31"/>
      <c r="W474" s="31"/>
      <c r="Y474" s="31"/>
      <c r="Z474" s="31"/>
      <c r="AA474" s="31"/>
      <c r="AB474" s="31"/>
      <c r="AC474" s="31"/>
      <c r="AD474" s="31"/>
      <c r="AE474" s="31"/>
      <c r="AG474" s="31"/>
    </row>
    <row r="475" spans="1:33">
      <c r="A475" s="31"/>
      <c r="B475" s="31"/>
      <c r="C475" s="31"/>
      <c r="E475" s="31"/>
      <c r="F475" s="31"/>
      <c r="G475" s="31"/>
      <c r="J475" s="31"/>
      <c r="L475" s="31"/>
      <c r="M475" s="31"/>
      <c r="N475" s="31"/>
      <c r="O475" s="31"/>
      <c r="P475" s="65"/>
      <c r="R475" s="31"/>
      <c r="S475" s="31"/>
      <c r="T475" s="70"/>
      <c r="U475" s="31"/>
      <c r="W475" s="31"/>
      <c r="Y475" s="31"/>
      <c r="Z475" s="31"/>
      <c r="AA475" s="31"/>
      <c r="AB475" s="31"/>
      <c r="AC475" s="31"/>
      <c r="AD475" s="31"/>
      <c r="AE475" s="31"/>
      <c r="AG475" s="31"/>
    </row>
    <row r="476" spans="1:33">
      <c r="A476" s="31"/>
      <c r="B476" s="31"/>
      <c r="C476" s="31"/>
      <c r="E476" s="31"/>
      <c r="F476" s="31"/>
      <c r="G476" s="31"/>
      <c r="J476" s="31"/>
      <c r="L476" s="31"/>
      <c r="M476" s="31"/>
      <c r="N476" s="31"/>
      <c r="O476" s="31"/>
      <c r="P476" s="65"/>
      <c r="R476" s="31"/>
      <c r="S476" s="31"/>
      <c r="T476" s="70"/>
      <c r="U476" s="31"/>
      <c r="W476" s="31"/>
      <c r="Y476" s="31"/>
      <c r="Z476" s="31"/>
      <c r="AA476" s="31"/>
      <c r="AB476" s="31"/>
      <c r="AC476" s="31"/>
      <c r="AD476" s="31"/>
      <c r="AE476" s="31"/>
      <c r="AG476" s="31"/>
    </row>
    <row r="477" spans="1:33">
      <c r="A477" s="31"/>
      <c r="B477" s="31"/>
      <c r="C477" s="31"/>
      <c r="E477" s="31"/>
      <c r="F477" s="31"/>
      <c r="G477" s="31"/>
      <c r="J477" s="31"/>
      <c r="L477" s="31"/>
      <c r="M477" s="31"/>
      <c r="N477" s="31"/>
      <c r="O477" s="31"/>
      <c r="P477" s="65"/>
      <c r="R477" s="31"/>
      <c r="S477" s="31"/>
      <c r="T477" s="70"/>
      <c r="U477" s="31"/>
      <c r="W477" s="31"/>
      <c r="Y477" s="31"/>
      <c r="Z477" s="31"/>
      <c r="AA477" s="31"/>
      <c r="AB477" s="31"/>
      <c r="AC477" s="31"/>
      <c r="AD477" s="31"/>
      <c r="AE477" s="31"/>
      <c r="AG477" s="31"/>
    </row>
    <row r="478" spans="1:33">
      <c r="A478" s="31"/>
      <c r="B478" s="31"/>
      <c r="C478" s="31"/>
      <c r="E478" s="31"/>
      <c r="F478" s="31"/>
      <c r="G478" s="31"/>
      <c r="J478" s="31"/>
      <c r="L478" s="31"/>
      <c r="M478" s="31"/>
      <c r="N478" s="31"/>
      <c r="O478" s="31"/>
      <c r="P478" s="65"/>
      <c r="R478" s="31"/>
      <c r="S478" s="31"/>
      <c r="T478" s="70"/>
      <c r="U478" s="31"/>
      <c r="W478" s="31"/>
      <c r="Y478" s="31"/>
      <c r="Z478" s="31"/>
      <c r="AA478" s="31"/>
      <c r="AB478" s="31"/>
      <c r="AC478" s="31"/>
      <c r="AD478" s="31"/>
      <c r="AE478" s="31"/>
      <c r="AG478" s="31"/>
    </row>
    <row r="479" spans="1:33">
      <c r="A479" s="31"/>
      <c r="B479" s="31"/>
      <c r="C479" s="31"/>
      <c r="E479" s="31"/>
      <c r="F479" s="31"/>
      <c r="G479" s="31"/>
      <c r="J479" s="31"/>
      <c r="L479" s="31"/>
      <c r="M479" s="31"/>
      <c r="N479" s="31"/>
      <c r="O479" s="31"/>
      <c r="P479" s="65"/>
      <c r="R479" s="31"/>
      <c r="S479" s="31"/>
      <c r="T479" s="70"/>
      <c r="U479" s="31"/>
      <c r="W479" s="31"/>
      <c r="Y479" s="31"/>
      <c r="Z479" s="31"/>
      <c r="AA479" s="31"/>
      <c r="AB479" s="31"/>
      <c r="AC479" s="31"/>
      <c r="AD479" s="31"/>
      <c r="AE479" s="31"/>
      <c r="AG479" s="31"/>
    </row>
    <row r="480" spans="1:33">
      <c r="A480" s="31"/>
      <c r="B480" s="31"/>
      <c r="C480" s="31"/>
      <c r="E480" s="31"/>
      <c r="F480" s="31"/>
      <c r="G480" s="31"/>
      <c r="J480" s="31"/>
      <c r="L480" s="31"/>
      <c r="M480" s="31"/>
      <c r="N480" s="31"/>
      <c r="O480" s="31"/>
      <c r="P480" s="65"/>
      <c r="R480" s="31"/>
      <c r="S480" s="31"/>
      <c r="T480" s="70"/>
      <c r="U480" s="31"/>
      <c r="W480" s="31"/>
      <c r="Y480" s="31"/>
      <c r="Z480" s="31"/>
      <c r="AA480" s="31"/>
      <c r="AB480" s="31"/>
      <c r="AC480" s="31"/>
      <c r="AD480" s="31"/>
      <c r="AE480" s="31"/>
      <c r="AG480" s="31"/>
    </row>
    <row r="481" spans="1:33">
      <c r="A481" s="31"/>
      <c r="B481" s="31"/>
      <c r="C481" s="31"/>
      <c r="E481" s="31"/>
      <c r="F481" s="31"/>
      <c r="G481" s="31"/>
      <c r="J481" s="31"/>
      <c r="L481" s="31"/>
      <c r="M481" s="31"/>
      <c r="N481" s="31"/>
      <c r="O481" s="31"/>
      <c r="P481" s="65"/>
      <c r="R481" s="31"/>
      <c r="S481" s="31"/>
      <c r="T481" s="70"/>
      <c r="U481" s="31"/>
      <c r="W481" s="31"/>
      <c r="Y481" s="31"/>
      <c r="Z481" s="31"/>
      <c r="AA481" s="31"/>
      <c r="AB481" s="31"/>
      <c r="AC481" s="31"/>
      <c r="AD481" s="31"/>
      <c r="AE481" s="31"/>
      <c r="AG481" s="31"/>
    </row>
    <row r="482" spans="1:33">
      <c r="A482" s="31"/>
      <c r="B482" s="31"/>
      <c r="C482" s="31"/>
      <c r="E482" s="31"/>
      <c r="F482" s="31"/>
      <c r="G482" s="31"/>
      <c r="J482" s="31"/>
      <c r="L482" s="31"/>
      <c r="M482" s="31"/>
      <c r="N482" s="31"/>
      <c r="O482" s="31"/>
      <c r="P482" s="65"/>
      <c r="R482" s="31"/>
      <c r="S482" s="31"/>
      <c r="T482" s="70"/>
      <c r="U482" s="31"/>
      <c r="W482" s="31"/>
      <c r="Y482" s="31"/>
      <c r="Z482" s="31"/>
      <c r="AA482" s="31"/>
      <c r="AB482" s="31"/>
      <c r="AC482" s="31"/>
      <c r="AD482" s="31"/>
      <c r="AE482" s="31"/>
      <c r="AG482" s="31"/>
    </row>
    <row r="483" spans="1:33">
      <c r="A483" s="31"/>
      <c r="B483" s="31"/>
      <c r="C483" s="31"/>
      <c r="E483" s="31"/>
      <c r="F483" s="31"/>
      <c r="G483" s="31"/>
      <c r="J483" s="31"/>
      <c r="L483" s="31"/>
      <c r="M483" s="31"/>
      <c r="N483" s="31"/>
      <c r="O483" s="31"/>
      <c r="P483" s="65"/>
      <c r="R483" s="31"/>
      <c r="S483" s="31"/>
      <c r="T483" s="70"/>
      <c r="U483" s="31"/>
      <c r="W483" s="31"/>
      <c r="Y483" s="31"/>
      <c r="Z483" s="31"/>
      <c r="AA483" s="31"/>
      <c r="AB483" s="31"/>
      <c r="AC483" s="31"/>
      <c r="AD483" s="31"/>
      <c r="AE483" s="31"/>
      <c r="AG483" s="31"/>
    </row>
    <row r="484" spans="1:33">
      <c r="A484" s="31"/>
      <c r="B484" s="31"/>
      <c r="C484" s="31"/>
      <c r="E484" s="31"/>
      <c r="F484" s="31"/>
      <c r="G484" s="31"/>
      <c r="J484" s="31"/>
      <c r="L484" s="31"/>
      <c r="M484" s="31"/>
      <c r="N484" s="31"/>
      <c r="O484" s="31"/>
      <c r="P484" s="65"/>
      <c r="R484" s="31"/>
      <c r="S484" s="31"/>
      <c r="T484" s="70"/>
      <c r="U484" s="31"/>
      <c r="W484" s="31"/>
      <c r="Y484" s="31"/>
      <c r="Z484" s="31"/>
      <c r="AA484" s="31"/>
      <c r="AB484" s="31"/>
      <c r="AC484" s="31"/>
      <c r="AD484" s="31"/>
      <c r="AE484" s="31"/>
      <c r="AG484" s="31"/>
    </row>
    <row r="485" spans="1:33">
      <c r="A485" s="31"/>
      <c r="B485" s="31"/>
      <c r="C485" s="31"/>
      <c r="E485" s="31"/>
      <c r="F485" s="31"/>
      <c r="G485" s="31"/>
      <c r="J485" s="31"/>
      <c r="L485" s="31"/>
      <c r="M485" s="31"/>
      <c r="N485" s="31"/>
      <c r="O485" s="31"/>
      <c r="P485" s="65"/>
      <c r="R485" s="31"/>
      <c r="S485" s="31"/>
      <c r="T485" s="70"/>
      <c r="U485" s="31"/>
      <c r="W485" s="31"/>
      <c r="Y485" s="31"/>
      <c r="Z485" s="31"/>
      <c r="AA485" s="31"/>
      <c r="AB485" s="31"/>
      <c r="AC485" s="31"/>
      <c r="AD485" s="31"/>
      <c r="AE485" s="31"/>
      <c r="AG485" s="31"/>
    </row>
    <row r="486" spans="1:33">
      <c r="A486" s="31"/>
      <c r="B486" s="31"/>
      <c r="C486" s="31"/>
      <c r="E486" s="31"/>
      <c r="F486" s="31"/>
      <c r="G486" s="31"/>
      <c r="J486" s="31"/>
      <c r="L486" s="31"/>
      <c r="M486" s="31"/>
      <c r="N486" s="31"/>
      <c r="O486" s="31"/>
      <c r="P486" s="65"/>
      <c r="R486" s="31"/>
      <c r="S486" s="31"/>
      <c r="T486" s="70"/>
      <c r="U486" s="31"/>
      <c r="W486" s="31"/>
      <c r="Y486" s="31"/>
      <c r="Z486" s="31"/>
      <c r="AA486" s="31"/>
      <c r="AB486" s="31"/>
      <c r="AC486" s="31"/>
      <c r="AD486" s="31"/>
      <c r="AE486" s="31"/>
      <c r="AG486" s="31"/>
    </row>
    <row r="487" spans="1:33">
      <c r="A487" s="31"/>
      <c r="B487" s="31"/>
      <c r="C487" s="31"/>
      <c r="E487" s="31"/>
      <c r="F487" s="31"/>
      <c r="G487" s="31"/>
      <c r="J487" s="31"/>
      <c r="L487" s="31"/>
      <c r="M487" s="31"/>
      <c r="N487" s="31"/>
      <c r="O487" s="31"/>
      <c r="P487" s="65"/>
      <c r="R487" s="31"/>
      <c r="S487" s="31"/>
      <c r="T487" s="70"/>
      <c r="U487" s="31"/>
      <c r="W487" s="31"/>
      <c r="Y487" s="31"/>
      <c r="Z487" s="31"/>
      <c r="AA487" s="31"/>
      <c r="AB487" s="31"/>
      <c r="AC487" s="31"/>
      <c r="AD487" s="31"/>
      <c r="AE487" s="31"/>
      <c r="AG487" s="31"/>
    </row>
    <row r="488" spans="1:33">
      <c r="A488" s="31"/>
      <c r="B488" s="31"/>
      <c r="C488" s="31"/>
      <c r="E488" s="31"/>
      <c r="F488" s="31"/>
      <c r="G488" s="31"/>
      <c r="J488" s="31"/>
      <c r="L488" s="31"/>
      <c r="M488" s="31"/>
      <c r="N488" s="31"/>
      <c r="O488" s="31"/>
      <c r="P488" s="65"/>
      <c r="R488" s="31"/>
      <c r="S488" s="31"/>
      <c r="T488" s="70"/>
      <c r="U488" s="31"/>
      <c r="W488" s="31"/>
      <c r="Y488" s="31"/>
      <c r="Z488" s="31"/>
      <c r="AA488" s="31"/>
      <c r="AB488" s="31"/>
      <c r="AC488" s="31"/>
      <c r="AD488" s="31"/>
      <c r="AE488" s="31"/>
      <c r="AG488" s="31"/>
    </row>
    <row r="489" spans="1:33">
      <c r="A489" s="31"/>
      <c r="B489" s="31"/>
      <c r="C489" s="31"/>
      <c r="E489" s="31"/>
      <c r="F489" s="31"/>
      <c r="G489" s="31"/>
      <c r="J489" s="31"/>
      <c r="L489" s="31"/>
      <c r="M489" s="31"/>
      <c r="N489" s="31"/>
      <c r="O489" s="31"/>
      <c r="P489" s="65"/>
      <c r="R489" s="31"/>
      <c r="S489" s="31"/>
      <c r="T489" s="70"/>
      <c r="U489" s="31"/>
      <c r="W489" s="31"/>
      <c r="Y489" s="31"/>
      <c r="Z489" s="31"/>
      <c r="AA489" s="31"/>
      <c r="AB489" s="31"/>
      <c r="AC489" s="31"/>
      <c r="AD489" s="31"/>
      <c r="AE489" s="31"/>
      <c r="AG489" s="31"/>
    </row>
    <row r="490" spans="1:33">
      <c r="A490" s="31"/>
      <c r="B490" s="31"/>
      <c r="C490" s="31"/>
      <c r="E490" s="31"/>
      <c r="F490" s="31"/>
      <c r="G490" s="31"/>
      <c r="J490" s="31"/>
      <c r="L490" s="31"/>
      <c r="M490" s="31"/>
      <c r="N490" s="31"/>
      <c r="O490" s="31"/>
      <c r="P490" s="65"/>
      <c r="R490" s="31"/>
      <c r="S490" s="31"/>
      <c r="T490" s="70"/>
      <c r="U490" s="31"/>
      <c r="W490" s="31"/>
      <c r="Y490" s="31"/>
      <c r="Z490" s="31"/>
      <c r="AA490" s="31"/>
      <c r="AB490" s="31"/>
      <c r="AC490" s="31"/>
      <c r="AD490" s="31"/>
      <c r="AE490" s="31"/>
      <c r="AG490" s="31"/>
    </row>
    <row r="491" spans="1:33">
      <c r="A491" s="31"/>
      <c r="B491" s="31"/>
      <c r="C491" s="31"/>
      <c r="E491" s="31"/>
      <c r="F491" s="31"/>
      <c r="G491" s="31"/>
      <c r="J491" s="31"/>
      <c r="L491" s="31"/>
      <c r="M491" s="31"/>
      <c r="N491" s="31"/>
      <c r="O491" s="31"/>
      <c r="P491" s="65"/>
      <c r="R491" s="31"/>
      <c r="S491" s="31"/>
      <c r="T491" s="70"/>
      <c r="U491" s="31"/>
      <c r="W491" s="31"/>
      <c r="Y491" s="31"/>
      <c r="Z491" s="31"/>
      <c r="AA491" s="31"/>
      <c r="AB491" s="31"/>
      <c r="AC491" s="31"/>
      <c r="AD491" s="31"/>
      <c r="AE491" s="31"/>
      <c r="AG491" s="31"/>
    </row>
    <row r="492" spans="1:33">
      <c r="A492" s="31"/>
      <c r="B492" s="31"/>
      <c r="C492" s="31"/>
      <c r="E492" s="31"/>
      <c r="F492" s="31"/>
      <c r="G492" s="31"/>
      <c r="J492" s="31"/>
      <c r="L492" s="31"/>
      <c r="M492" s="31"/>
      <c r="N492" s="31"/>
      <c r="O492" s="31"/>
      <c r="P492" s="65"/>
      <c r="R492" s="31"/>
      <c r="S492" s="31"/>
      <c r="T492" s="70"/>
      <c r="U492" s="31"/>
      <c r="W492" s="31"/>
      <c r="Y492" s="31"/>
      <c r="Z492" s="31"/>
      <c r="AA492" s="31"/>
      <c r="AB492" s="31"/>
      <c r="AC492" s="31"/>
      <c r="AD492" s="31"/>
      <c r="AE492" s="31"/>
      <c r="AG492" s="31"/>
    </row>
    <row r="493" spans="1:33">
      <c r="A493" s="31"/>
      <c r="B493" s="31"/>
      <c r="C493" s="31"/>
      <c r="E493" s="31"/>
      <c r="F493" s="31"/>
      <c r="G493" s="31"/>
      <c r="J493" s="31"/>
      <c r="L493" s="31"/>
      <c r="M493" s="31"/>
      <c r="N493" s="31"/>
      <c r="O493" s="31"/>
      <c r="P493" s="65"/>
      <c r="R493" s="31"/>
      <c r="S493" s="31"/>
      <c r="T493" s="70"/>
      <c r="U493" s="31"/>
      <c r="W493" s="31"/>
      <c r="Y493" s="31"/>
      <c r="Z493" s="31"/>
      <c r="AA493" s="31"/>
      <c r="AB493" s="31"/>
      <c r="AC493" s="31"/>
      <c r="AD493" s="31"/>
      <c r="AE493" s="31"/>
      <c r="AG493" s="31"/>
    </row>
    <row r="494" spans="1:33">
      <c r="A494" s="31"/>
      <c r="B494" s="31"/>
      <c r="C494" s="31"/>
      <c r="E494" s="31"/>
      <c r="F494" s="31"/>
      <c r="G494" s="31"/>
      <c r="J494" s="31"/>
      <c r="L494" s="31"/>
      <c r="M494" s="31"/>
      <c r="N494" s="31"/>
      <c r="O494" s="31"/>
      <c r="P494" s="65"/>
      <c r="R494" s="31"/>
      <c r="S494" s="31"/>
      <c r="T494" s="70"/>
      <c r="U494" s="31"/>
      <c r="W494" s="31"/>
      <c r="Y494" s="31"/>
      <c r="Z494" s="31"/>
      <c r="AA494" s="31"/>
      <c r="AB494" s="31"/>
      <c r="AC494" s="31"/>
      <c r="AD494" s="31"/>
      <c r="AE494" s="31"/>
      <c r="AG494" s="31"/>
    </row>
    <row r="495" spans="1:33">
      <c r="A495" s="31"/>
      <c r="B495" s="31"/>
      <c r="C495" s="31"/>
      <c r="E495" s="31"/>
      <c r="F495" s="31"/>
      <c r="G495" s="31"/>
      <c r="J495" s="31"/>
      <c r="L495" s="31"/>
      <c r="M495" s="31"/>
      <c r="N495" s="31"/>
      <c r="O495" s="31"/>
      <c r="P495" s="65"/>
      <c r="R495" s="31"/>
      <c r="S495" s="31"/>
      <c r="T495" s="70"/>
      <c r="U495" s="31"/>
      <c r="W495" s="31"/>
      <c r="Y495" s="31"/>
      <c r="Z495" s="31"/>
      <c r="AA495" s="31"/>
      <c r="AB495" s="31"/>
      <c r="AC495" s="31"/>
      <c r="AD495" s="31"/>
      <c r="AE495" s="31"/>
      <c r="AG495" s="31"/>
    </row>
    <row r="496" spans="1:33">
      <c r="A496" s="31"/>
      <c r="B496" s="31"/>
      <c r="C496" s="31"/>
      <c r="E496" s="31"/>
      <c r="F496" s="31"/>
      <c r="G496" s="31"/>
      <c r="J496" s="31"/>
      <c r="L496" s="31"/>
      <c r="M496" s="31"/>
      <c r="N496" s="31"/>
      <c r="O496" s="31"/>
      <c r="P496" s="65"/>
      <c r="R496" s="31"/>
      <c r="S496" s="31"/>
      <c r="T496" s="70"/>
      <c r="U496" s="31"/>
      <c r="W496" s="31"/>
      <c r="Y496" s="31"/>
      <c r="Z496" s="31"/>
      <c r="AA496" s="31"/>
      <c r="AB496" s="31"/>
      <c r="AC496" s="31"/>
      <c r="AD496" s="31"/>
      <c r="AE496" s="31"/>
      <c r="AG496" s="31"/>
    </row>
    <row r="497" spans="1:33">
      <c r="A497" s="31"/>
      <c r="B497" s="31"/>
      <c r="C497" s="31"/>
      <c r="E497" s="31"/>
      <c r="F497" s="31"/>
      <c r="G497" s="31"/>
      <c r="J497" s="31"/>
      <c r="L497" s="31"/>
      <c r="M497" s="31"/>
      <c r="N497" s="31"/>
      <c r="O497" s="31"/>
      <c r="P497" s="65"/>
      <c r="R497" s="31"/>
      <c r="S497" s="31"/>
      <c r="T497" s="70"/>
      <c r="U497" s="31"/>
      <c r="W497" s="31"/>
      <c r="Y497" s="31"/>
      <c r="Z497" s="31"/>
      <c r="AA497" s="31"/>
      <c r="AB497" s="31"/>
      <c r="AC497" s="31"/>
      <c r="AD497" s="31"/>
      <c r="AE497" s="31"/>
      <c r="AG497" s="31"/>
    </row>
    <row r="498" spans="1:33">
      <c r="A498" s="31"/>
      <c r="B498" s="31"/>
      <c r="C498" s="31"/>
      <c r="E498" s="31"/>
      <c r="F498" s="31"/>
      <c r="G498" s="31"/>
      <c r="J498" s="31"/>
      <c r="L498" s="31"/>
      <c r="M498" s="31"/>
      <c r="N498" s="31"/>
      <c r="O498" s="31"/>
      <c r="P498" s="65"/>
      <c r="R498" s="31"/>
      <c r="S498" s="31"/>
      <c r="T498" s="70"/>
      <c r="U498" s="31"/>
      <c r="W498" s="31"/>
      <c r="Y498" s="31"/>
      <c r="Z498" s="31"/>
      <c r="AA498" s="31"/>
      <c r="AB498" s="31"/>
      <c r="AC498" s="31"/>
      <c r="AD498" s="31"/>
      <c r="AE498" s="31"/>
      <c r="AG498" s="31"/>
    </row>
    <row r="499" spans="1:33">
      <c r="A499" s="31"/>
      <c r="B499" s="31"/>
      <c r="C499" s="31"/>
      <c r="E499" s="31"/>
      <c r="F499" s="31"/>
      <c r="G499" s="31"/>
      <c r="J499" s="31"/>
      <c r="L499" s="31"/>
      <c r="M499" s="31"/>
      <c r="N499" s="31"/>
      <c r="O499" s="31"/>
      <c r="P499" s="65"/>
      <c r="R499" s="31"/>
      <c r="S499" s="31"/>
      <c r="T499" s="70"/>
      <c r="U499" s="31"/>
      <c r="W499" s="31"/>
      <c r="Y499" s="31"/>
      <c r="Z499" s="31"/>
      <c r="AA499" s="31"/>
      <c r="AB499" s="31"/>
      <c r="AC499" s="31"/>
      <c r="AD499" s="31"/>
      <c r="AE499" s="31"/>
      <c r="AG499" s="31"/>
    </row>
    <row r="500" spans="1:33">
      <c r="A500" s="31"/>
      <c r="B500" s="31"/>
      <c r="C500" s="31"/>
      <c r="E500" s="31"/>
      <c r="F500" s="31"/>
      <c r="G500" s="31"/>
      <c r="J500" s="31"/>
      <c r="L500" s="31"/>
      <c r="M500" s="31"/>
      <c r="N500" s="31"/>
      <c r="O500" s="31"/>
      <c r="P500" s="65"/>
      <c r="R500" s="31"/>
      <c r="S500" s="31"/>
      <c r="T500" s="70"/>
      <c r="U500" s="31"/>
      <c r="W500" s="31"/>
      <c r="Y500" s="31"/>
      <c r="Z500" s="31"/>
      <c r="AA500" s="31"/>
      <c r="AB500" s="31"/>
      <c r="AC500" s="31"/>
      <c r="AD500" s="31"/>
      <c r="AE500" s="31"/>
      <c r="AG500" s="31"/>
    </row>
    <row r="501" spans="1:33" ht="15" customHeight="1">
      <c r="A501" s="31"/>
      <c r="B501" s="31"/>
      <c r="C501" s="31"/>
      <c r="E501" s="31"/>
      <c r="F501" s="31"/>
      <c r="G501" s="31"/>
      <c r="J501" s="31"/>
      <c r="L501" s="31"/>
      <c r="M501" s="31"/>
      <c r="N501" s="31"/>
      <c r="O501" s="31"/>
      <c r="P501" s="65"/>
      <c r="R501" s="31"/>
      <c r="S501" s="31"/>
      <c r="T501" s="70"/>
      <c r="U501" s="31"/>
      <c r="W501" s="31"/>
      <c r="Y501" s="31"/>
      <c r="Z501" s="31"/>
      <c r="AA501" s="31"/>
      <c r="AB501" s="31"/>
      <c r="AC501" s="31"/>
      <c r="AD501" s="31"/>
      <c r="AE501" s="31"/>
      <c r="AG501" s="31"/>
    </row>
    <row r="502" spans="1:33" ht="15" customHeight="1">
      <c r="A502" s="31"/>
      <c r="B502" s="31"/>
      <c r="C502" s="31"/>
      <c r="E502" s="31"/>
      <c r="F502" s="31"/>
      <c r="G502" s="31"/>
      <c r="J502" s="31"/>
      <c r="L502" s="31"/>
      <c r="M502" s="31"/>
      <c r="N502" s="31"/>
      <c r="O502" s="31"/>
      <c r="P502" s="65"/>
      <c r="R502" s="31"/>
      <c r="S502" s="31"/>
      <c r="T502" s="70"/>
      <c r="U502" s="31"/>
      <c r="W502" s="31"/>
      <c r="Y502" s="31"/>
      <c r="Z502" s="31"/>
      <c r="AA502" s="31"/>
      <c r="AB502" s="31"/>
      <c r="AC502" s="31"/>
      <c r="AD502" s="31"/>
      <c r="AE502" s="31"/>
      <c r="AG502" s="31"/>
    </row>
    <row r="503" spans="1:33" ht="15" customHeight="1">
      <c r="A503" s="31"/>
      <c r="B503" s="31"/>
      <c r="C503" s="31"/>
      <c r="E503" s="31"/>
      <c r="F503" s="31"/>
      <c r="G503" s="31"/>
      <c r="J503" s="31"/>
      <c r="L503" s="31"/>
      <c r="M503" s="31"/>
      <c r="N503" s="31"/>
      <c r="O503" s="31"/>
      <c r="P503" s="65"/>
      <c r="R503" s="31"/>
      <c r="S503" s="31"/>
      <c r="T503" s="70"/>
      <c r="U503" s="31"/>
      <c r="W503" s="31"/>
      <c r="Y503" s="31"/>
      <c r="Z503" s="31"/>
      <c r="AA503" s="31"/>
      <c r="AB503" s="31"/>
      <c r="AC503" s="31"/>
      <c r="AD503" s="31"/>
      <c r="AE503" s="31"/>
      <c r="AG503" s="31"/>
    </row>
    <row r="504" spans="1:33" ht="15" customHeight="1">
      <c r="A504" s="31"/>
      <c r="B504" s="31"/>
      <c r="C504" s="31"/>
      <c r="E504" s="31"/>
      <c r="F504" s="31"/>
      <c r="G504" s="31"/>
      <c r="J504" s="31"/>
      <c r="L504" s="31"/>
      <c r="M504" s="31"/>
      <c r="N504" s="31"/>
      <c r="O504" s="31"/>
      <c r="P504" s="65"/>
      <c r="R504" s="31"/>
      <c r="S504" s="31"/>
      <c r="T504" s="70"/>
      <c r="U504" s="31"/>
      <c r="W504" s="31"/>
      <c r="Y504" s="31"/>
      <c r="Z504" s="31"/>
      <c r="AA504" s="31"/>
      <c r="AB504" s="31"/>
      <c r="AC504" s="31"/>
      <c r="AD504" s="31"/>
      <c r="AE504" s="31"/>
      <c r="AG504" s="31"/>
    </row>
    <row r="505" spans="1:33" ht="15" customHeight="1">
      <c r="A505" s="31"/>
      <c r="B505" s="31"/>
      <c r="C505" s="31"/>
      <c r="E505" s="31"/>
      <c r="F505" s="31"/>
      <c r="G505" s="31"/>
      <c r="J505" s="31"/>
      <c r="L505" s="31"/>
      <c r="M505" s="31"/>
      <c r="N505" s="31"/>
      <c r="O505" s="31"/>
      <c r="P505" s="65"/>
      <c r="R505" s="31"/>
      <c r="S505" s="31"/>
      <c r="T505" s="70"/>
      <c r="U505" s="31"/>
      <c r="W505" s="31"/>
      <c r="Y505" s="31"/>
      <c r="Z505" s="31"/>
      <c r="AA505" s="31"/>
      <c r="AB505" s="31"/>
      <c r="AC505" s="31"/>
      <c r="AD505" s="31"/>
      <c r="AE505" s="31"/>
      <c r="AG505" s="31"/>
    </row>
    <row r="506" spans="1:33" ht="15" customHeight="1">
      <c r="A506" s="31"/>
      <c r="B506" s="31"/>
      <c r="C506" s="31"/>
      <c r="E506" s="31"/>
      <c r="F506" s="31"/>
      <c r="G506" s="31"/>
      <c r="J506" s="31"/>
      <c r="L506" s="31"/>
      <c r="M506" s="31"/>
      <c r="N506" s="31"/>
      <c r="O506" s="31"/>
      <c r="P506" s="65"/>
      <c r="R506" s="31"/>
      <c r="S506" s="31"/>
      <c r="T506" s="70"/>
      <c r="U506" s="31"/>
      <c r="W506" s="31"/>
      <c r="Y506" s="31"/>
      <c r="Z506" s="31"/>
      <c r="AA506" s="31"/>
      <c r="AB506" s="31"/>
      <c r="AC506" s="31"/>
      <c r="AD506" s="31"/>
      <c r="AE506" s="31"/>
      <c r="AG506" s="31"/>
    </row>
    <row r="507" spans="1:33" ht="15" customHeight="1">
      <c r="A507" s="31"/>
      <c r="B507" s="31"/>
      <c r="C507" s="31"/>
      <c r="E507" s="31"/>
      <c r="F507" s="31"/>
      <c r="G507" s="31"/>
      <c r="J507" s="31"/>
      <c r="L507" s="31"/>
      <c r="M507" s="31"/>
      <c r="N507" s="31"/>
      <c r="O507" s="31"/>
      <c r="P507" s="65"/>
      <c r="R507" s="31"/>
      <c r="S507" s="31"/>
      <c r="T507" s="70"/>
      <c r="U507" s="31"/>
      <c r="W507" s="31"/>
      <c r="Y507" s="31"/>
      <c r="Z507" s="31"/>
      <c r="AA507" s="31"/>
      <c r="AB507" s="31"/>
      <c r="AC507" s="31"/>
      <c r="AD507" s="31"/>
      <c r="AE507" s="31"/>
      <c r="AG507" s="31"/>
    </row>
    <row r="508" spans="1:33" ht="15" customHeight="1">
      <c r="A508" s="31"/>
      <c r="B508" s="31"/>
      <c r="C508" s="31"/>
      <c r="E508" s="31"/>
      <c r="F508" s="31"/>
      <c r="G508" s="31"/>
      <c r="J508" s="31"/>
      <c r="L508" s="31"/>
      <c r="M508" s="31"/>
      <c r="N508" s="31"/>
      <c r="O508" s="31"/>
      <c r="P508" s="65"/>
      <c r="R508" s="31"/>
      <c r="S508" s="31"/>
      <c r="T508" s="70"/>
      <c r="U508" s="31"/>
      <c r="W508" s="31"/>
      <c r="Y508" s="31"/>
      <c r="Z508" s="31"/>
      <c r="AA508" s="31"/>
      <c r="AB508" s="31"/>
      <c r="AC508" s="31"/>
      <c r="AD508" s="31"/>
      <c r="AE508" s="31"/>
      <c r="AG508" s="31"/>
    </row>
    <row r="509" spans="1:33" ht="15" customHeight="1">
      <c r="A509" s="31"/>
      <c r="B509" s="31"/>
      <c r="C509" s="31"/>
      <c r="E509" s="31"/>
      <c r="F509" s="31"/>
      <c r="G509" s="31"/>
      <c r="J509" s="31"/>
      <c r="L509" s="31"/>
      <c r="M509" s="31"/>
      <c r="N509" s="31"/>
      <c r="O509" s="31"/>
      <c r="P509" s="65"/>
      <c r="R509" s="31"/>
      <c r="S509" s="31"/>
      <c r="T509" s="70"/>
      <c r="U509" s="31"/>
      <c r="W509" s="31"/>
      <c r="Y509" s="31"/>
      <c r="Z509" s="31"/>
      <c r="AA509" s="31"/>
      <c r="AB509" s="31"/>
      <c r="AC509" s="31"/>
      <c r="AD509" s="31"/>
      <c r="AE509" s="31"/>
      <c r="AG509" s="31"/>
    </row>
    <row r="510" spans="1:33" ht="15" customHeight="1">
      <c r="A510" s="31"/>
      <c r="B510" s="31"/>
      <c r="C510" s="31"/>
      <c r="E510" s="31"/>
      <c r="F510" s="31"/>
      <c r="G510" s="31"/>
      <c r="J510" s="31"/>
      <c r="L510" s="31"/>
      <c r="M510" s="31"/>
      <c r="N510" s="31"/>
      <c r="O510" s="31"/>
      <c r="P510" s="65"/>
      <c r="R510" s="31"/>
      <c r="S510" s="31"/>
      <c r="T510" s="70"/>
      <c r="U510" s="31"/>
      <c r="W510" s="31"/>
      <c r="Y510" s="31"/>
      <c r="Z510" s="31"/>
      <c r="AA510" s="31"/>
      <c r="AB510" s="31"/>
      <c r="AC510" s="31"/>
      <c r="AD510" s="31"/>
      <c r="AE510" s="31"/>
      <c r="AG510" s="31"/>
    </row>
    <row r="511" spans="1:33" ht="15" customHeight="1">
      <c r="A511" s="31"/>
      <c r="B511" s="31"/>
      <c r="C511" s="31"/>
      <c r="E511" s="31"/>
      <c r="F511" s="31"/>
      <c r="G511" s="31"/>
      <c r="J511" s="31"/>
      <c r="L511" s="31"/>
      <c r="M511" s="31"/>
      <c r="N511" s="31"/>
      <c r="O511" s="31"/>
      <c r="P511" s="65"/>
      <c r="R511" s="31"/>
      <c r="S511" s="31"/>
      <c r="T511" s="70"/>
      <c r="U511" s="31"/>
      <c r="W511" s="31"/>
      <c r="Y511" s="31"/>
      <c r="Z511" s="31"/>
      <c r="AA511" s="31"/>
      <c r="AB511" s="31"/>
      <c r="AC511" s="31"/>
      <c r="AD511" s="31"/>
      <c r="AE511" s="31"/>
      <c r="AG511" s="31"/>
    </row>
    <row r="512" spans="1:33" ht="15" customHeight="1">
      <c r="A512" s="31"/>
      <c r="B512" s="31"/>
      <c r="C512" s="31"/>
      <c r="E512" s="31"/>
      <c r="F512" s="31"/>
      <c r="G512" s="31"/>
      <c r="J512" s="31"/>
      <c r="L512" s="31"/>
      <c r="M512" s="31"/>
      <c r="N512" s="31"/>
      <c r="O512" s="31"/>
      <c r="P512" s="65"/>
      <c r="R512" s="31"/>
      <c r="S512" s="31"/>
      <c r="T512" s="70"/>
      <c r="U512" s="31"/>
      <c r="W512" s="31"/>
      <c r="Y512" s="31"/>
      <c r="Z512" s="31"/>
      <c r="AA512" s="31"/>
      <c r="AB512" s="31"/>
      <c r="AC512" s="31"/>
      <c r="AD512" s="31"/>
      <c r="AE512" s="31"/>
      <c r="AG512" s="31"/>
    </row>
    <row r="513" spans="1:33" ht="15" customHeight="1">
      <c r="A513" s="31"/>
      <c r="B513" s="31"/>
      <c r="C513" s="31"/>
      <c r="E513" s="31"/>
      <c r="F513" s="31"/>
      <c r="G513" s="31"/>
      <c r="J513" s="31"/>
      <c r="L513" s="31"/>
      <c r="M513" s="31"/>
      <c r="N513" s="31"/>
      <c r="O513" s="31"/>
      <c r="P513" s="65"/>
      <c r="R513" s="31"/>
      <c r="S513" s="31"/>
      <c r="T513" s="70"/>
      <c r="U513" s="31"/>
      <c r="W513" s="31"/>
      <c r="Y513" s="31"/>
      <c r="Z513" s="31"/>
      <c r="AA513" s="31"/>
      <c r="AB513" s="31"/>
      <c r="AC513" s="31"/>
      <c r="AD513" s="31"/>
      <c r="AE513" s="31"/>
      <c r="AG513" s="31"/>
    </row>
    <row r="514" spans="1:33" ht="15" customHeight="1">
      <c r="A514" s="31"/>
      <c r="B514" s="31"/>
      <c r="C514" s="31"/>
      <c r="E514" s="31"/>
      <c r="F514" s="31"/>
      <c r="G514" s="31"/>
      <c r="J514" s="31"/>
      <c r="L514" s="31"/>
      <c r="M514" s="31"/>
      <c r="N514" s="31"/>
      <c r="O514" s="31"/>
      <c r="P514" s="65"/>
      <c r="R514" s="31"/>
      <c r="S514" s="31"/>
      <c r="T514" s="70"/>
      <c r="U514" s="31"/>
      <c r="W514" s="31"/>
      <c r="Y514" s="31"/>
      <c r="Z514" s="31"/>
      <c r="AA514" s="31"/>
      <c r="AB514" s="31"/>
      <c r="AC514" s="31"/>
      <c r="AD514" s="31"/>
      <c r="AE514" s="31"/>
      <c r="AG514" s="31"/>
    </row>
    <row r="515" spans="1:33" ht="15" customHeight="1">
      <c r="A515" s="31"/>
      <c r="B515" s="31"/>
      <c r="C515" s="31"/>
      <c r="E515" s="31"/>
      <c r="F515" s="31"/>
      <c r="G515" s="31"/>
      <c r="J515" s="31"/>
      <c r="L515" s="31"/>
      <c r="M515" s="31"/>
      <c r="N515" s="31"/>
      <c r="O515" s="31"/>
      <c r="P515" s="65"/>
      <c r="R515" s="31"/>
      <c r="S515" s="31"/>
      <c r="T515" s="70"/>
      <c r="U515" s="31"/>
      <c r="W515" s="31"/>
      <c r="Y515" s="31"/>
      <c r="Z515" s="31"/>
      <c r="AA515" s="31"/>
      <c r="AB515" s="31"/>
      <c r="AC515" s="31"/>
      <c r="AD515" s="31"/>
      <c r="AE515" s="31"/>
      <c r="AG515" s="31"/>
    </row>
    <row r="516" spans="1:33" ht="15" customHeight="1">
      <c r="A516" s="31"/>
      <c r="B516" s="31"/>
      <c r="C516" s="31"/>
      <c r="E516" s="31"/>
      <c r="F516" s="31"/>
      <c r="G516" s="31"/>
      <c r="J516" s="31"/>
      <c r="L516" s="31"/>
      <c r="M516" s="31"/>
      <c r="N516" s="31"/>
      <c r="O516" s="31"/>
      <c r="P516" s="65"/>
      <c r="R516" s="31"/>
      <c r="S516" s="31"/>
      <c r="T516" s="70"/>
      <c r="U516" s="31"/>
      <c r="W516" s="31"/>
      <c r="Y516" s="31"/>
      <c r="Z516" s="31"/>
      <c r="AA516" s="31"/>
      <c r="AB516" s="31"/>
      <c r="AC516" s="31"/>
      <c r="AD516" s="31"/>
      <c r="AE516" s="31"/>
      <c r="AG516" s="31"/>
    </row>
    <row r="517" spans="1:33" ht="15" customHeight="1">
      <c r="A517" s="31"/>
      <c r="B517" s="31"/>
      <c r="C517" s="31"/>
      <c r="E517" s="31"/>
      <c r="F517" s="31"/>
      <c r="G517" s="31"/>
      <c r="J517" s="31"/>
      <c r="L517" s="31"/>
      <c r="M517" s="31"/>
      <c r="N517" s="31"/>
      <c r="O517" s="31"/>
      <c r="P517" s="65"/>
      <c r="R517" s="31"/>
      <c r="S517" s="31"/>
      <c r="T517" s="70"/>
      <c r="U517" s="31"/>
      <c r="W517" s="31"/>
      <c r="Y517" s="31"/>
      <c r="Z517" s="31"/>
      <c r="AA517" s="31"/>
      <c r="AB517" s="31"/>
      <c r="AC517" s="31"/>
      <c r="AD517" s="31"/>
      <c r="AE517" s="31"/>
      <c r="AG517" s="31"/>
    </row>
    <row r="518" spans="1:33" ht="15" customHeight="1">
      <c r="A518" s="31"/>
      <c r="B518" s="31"/>
      <c r="C518" s="31"/>
      <c r="E518" s="31"/>
      <c r="F518" s="31"/>
      <c r="G518" s="31"/>
      <c r="J518" s="31"/>
      <c r="L518" s="31"/>
      <c r="M518" s="31"/>
      <c r="N518" s="31"/>
      <c r="O518" s="31"/>
      <c r="P518" s="65"/>
      <c r="R518" s="31"/>
      <c r="S518" s="31"/>
      <c r="T518" s="70"/>
      <c r="U518" s="31"/>
      <c r="W518" s="31"/>
      <c r="Y518" s="31"/>
      <c r="Z518" s="31"/>
      <c r="AA518" s="31"/>
      <c r="AB518" s="31"/>
      <c r="AC518" s="31"/>
      <c r="AD518" s="31"/>
      <c r="AE518" s="31"/>
      <c r="AG518" s="31"/>
    </row>
    <row r="519" spans="1:33" ht="15" customHeight="1">
      <c r="A519" s="31"/>
      <c r="B519" s="31"/>
      <c r="C519" s="31"/>
      <c r="E519" s="31"/>
      <c r="F519" s="31"/>
      <c r="G519" s="31"/>
      <c r="J519" s="31"/>
      <c r="L519" s="31"/>
      <c r="M519" s="31"/>
      <c r="N519" s="31"/>
      <c r="O519" s="31"/>
      <c r="P519" s="65"/>
      <c r="R519" s="31"/>
      <c r="S519" s="31"/>
      <c r="T519" s="70"/>
      <c r="U519" s="31"/>
      <c r="W519" s="31"/>
      <c r="Y519" s="31"/>
      <c r="Z519" s="31"/>
      <c r="AA519" s="31"/>
      <c r="AB519" s="31"/>
      <c r="AC519" s="31"/>
      <c r="AD519" s="31"/>
      <c r="AE519" s="31"/>
      <c r="AG519" s="31"/>
    </row>
    <row r="520" spans="1:33" ht="15" customHeight="1">
      <c r="A520" s="31"/>
      <c r="B520" s="31"/>
      <c r="C520" s="31"/>
      <c r="E520" s="31"/>
      <c r="F520" s="31"/>
      <c r="G520" s="31"/>
      <c r="J520" s="31"/>
      <c r="L520" s="31"/>
      <c r="M520" s="31"/>
      <c r="N520" s="31"/>
      <c r="O520" s="31"/>
      <c r="P520" s="65"/>
      <c r="R520" s="31"/>
      <c r="S520" s="31"/>
      <c r="T520" s="70"/>
      <c r="U520" s="31"/>
      <c r="W520" s="31"/>
      <c r="Y520" s="31"/>
      <c r="Z520" s="31"/>
      <c r="AA520" s="31"/>
      <c r="AB520" s="31"/>
      <c r="AC520" s="31"/>
      <c r="AD520" s="31"/>
      <c r="AE520" s="31"/>
      <c r="AG520" s="31"/>
    </row>
    <row r="521" spans="1:33" ht="15" customHeight="1">
      <c r="A521" s="31"/>
      <c r="B521" s="31"/>
      <c r="C521" s="31"/>
      <c r="E521" s="31"/>
      <c r="F521" s="31"/>
      <c r="G521" s="31"/>
      <c r="J521" s="31"/>
      <c r="L521" s="31"/>
      <c r="M521" s="31"/>
      <c r="N521" s="31"/>
      <c r="O521" s="31"/>
      <c r="P521" s="65"/>
      <c r="R521" s="31"/>
      <c r="S521" s="31"/>
      <c r="T521" s="70"/>
      <c r="U521" s="31"/>
      <c r="W521" s="31"/>
      <c r="Y521" s="31"/>
      <c r="Z521" s="31"/>
      <c r="AA521" s="31"/>
      <c r="AB521" s="31"/>
      <c r="AC521" s="31"/>
      <c r="AD521" s="31"/>
      <c r="AE521" s="31"/>
      <c r="AG521" s="31"/>
    </row>
    <row r="522" spans="1:33" ht="15" customHeight="1">
      <c r="A522" s="31"/>
      <c r="B522" s="31"/>
      <c r="C522" s="31"/>
      <c r="E522" s="31"/>
      <c r="F522" s="31"/>
      <c r="G522" s="31"/>
      <c r="J522" s="31"/>
      <c r="L522" s="31"/>
      <c r="M522" s="31"/>
      <c r="N522" s="31"/>
      <c r="O522" s="31"/>
      <c r="P522" s="65"/>
      <c r="R522" s="31"/>
      <c r="S522" s="31"/>
      <c r="T522" s="70"/>
      <c r="U522" s="31"/>
      <c r="W522" s="31"/>
      <c r="Y522" s="31"/>
      <c r="Z522" s="31"/>
      <c r="AA522" s="31"/>
      <c r="AB522" s="31"/>
      <c r="AC522" s="31"/>
      <c r="AD522" s="31"/>
      <c r="AE522" s="31"/>
      <c r="AG522" s="31"/>
    </row>
    <row r="523" spans="1:33" ht="15" customHeight="1">
      <c r="A523" s="31"/>
      <c r="B523" s="31"/>
      <c r="C523" s="31"/>
      <c r="E523" s="31"/>
      <c r="F523" s="31"/>
      <c r="G523" s="31"/>
      <c r="J523" s="31"/>
      <c r="L523" s="31"/>
      <c r="M523" s="31"/>
      <c r="N523" s="31"/>
      <c r="O523" s="31"/>
      <c r="P523" s="65"/>
      <c r="R523" s="31"/>
      <c r="S523" s="31"/>
      <c r="T523" s="70"/>
      <c r="U523" s="31"/>
      <c r="W523" s="31"/>
      <c r="Y523" s="31"/>
      <c r="Z523" s="31"/>
      <c r="AA523" s="31"/>
      <c r="AB523" s="31"/>
      <c r="AC523" s="31"/>
      <c r="AD523" s="31"/>
      <c r="AE523" s="31"/>
      <c r="AG523" s="31"/>
    </row>
    <row r="524" spans="1:33" ht="15" customHeight="1">
      <c r="A524" s="31"/>
      <c r="B524" s="31"/>
      <c r="C524" s="31"/>
      <c r="E524" s="31"/>
      <c r="F524" s="31"/>
      <c r="G524" s="31"/>
      <c r="J524" s="31"/>
      <c r="L524" s="31"/>
      <c r="M524" s="31"/>
      <c r="N524" s="31"/>
      <c r="O524" s="31"/>
      <c r="P524" s="65"/>
      <c r="R524" s="31"/>
      <c r="S524" s="31"/>
      <c r="T524" s="70"/>
      <c r="U524" s="31"/>
      <c r="W524" s="31"/>
      <c r="Y524" s="31"/>
      <c r="Z524" s="31"/>
      <c r="AA524" s="31"/>
      <c r="AB524" s="31"/>
      <c r="AC524" s="31"/>
      <c r="AD524" s="31"/>
      <c r="AE524" s="31"/>
      <c r="AG524" s="31"/>
    </row>
    <row r="525" spans="1:33" ht="15" customHeight="1">
      <c r="A525" s="31"/>
      <c r="B525" s="31"/>
      <c r="C525" s="31"/>
      <c r="E525" s="31"/>
      <c r="F525" s="31"/>
      <c r="G525" s="31"/>
      <c r="J525" s="31"/>
      <c r="L525" s="31"/>
      <c r="M525" s="31"/>
      <c r="N525" s="31"/>
      <c r="O525" s="31"/>
      <c r="P525" s="65"/>
      <c r="R525" s="31"/>
      <c r="S525" s="31"/>
      <c r="T525" s="70"/>
      <c r="U525" s="31"/>
      <c r="W525" s="31"/>
      <c r="Y525" s="31"/>
      <c r="Z525" s="31"/>
      <c r="AA525" s="31"/>
      <c r="AB525" s="31"/>
      <c r="AC525" s="31"/>
      <c r="AD525" s="31"/>
      <c r="AE525" s="31"/>
      <c r="AG525" s="31"/>
    </row>
    <row r="526" spans="1:33" ht="15" customHeight="1">
      <c r="A526" s="31"/>
      <c r="B526" s="31"/>
      <c r="C526" s="31"/>
      <c r="E526" s="31"/>
      <c r="F526" s="31"/>
      <c r="G526" s="31"/>
      <c r="J526" s="31"/>
      <c r="L526" s="31"/>
      <c r="M526" s="31"/>
      <c r="N526" s="31"/>
      <c r="O526" s="31"/>
      <c r="P526" s="65"/>
      <c r="R526" s="31"/>
      <c r="S526" s="31"/>
      <c r="T526" s="70"/>
      <c r="U526" s="31"/>
      <c r="W526" s="31"/>
      <c r="Y526" s="31"/>
      <c r="Z526" s="31"/>
      <c r="AA526" s="31"/>
      <c r="AB526" s="31"/>
      <c r="AC526" s="31"/>
      <c r="AD526" s="31"/>
      <c r="AE526" s="31"/>
      <c r="AG526" s="31"/>
    </row>
    <row r="527" spans="1:33" ht="15" customHeight="1">
      <c r="A527" s="31"/>
      <c r="B527" s="31"/>
      <c r="C527" s="31"/>
      <c r="E527" s="31"/>
      <c r="F527" s="31"/>
      <c r="G527" s="31"/>
      <c r="J527" s="31"/>
      <c r="L527" s="31"/>
      <c r="M527" s="31"/>
      <c r="N527" s="31"/>
      <c r="O527" s="31"/>
      <c r="P527" s="65"/>
      <c r="R527" s="31"/>
      <c r="S527" s="31"/>
      <c r="T527" s="70"/>
      <c r="U527" s="31"/>
      <c r="W527" s="31"/>
      <c r="Y527" s="31"/>
      <c r="Z527" s="31"/>
      <c r="AA527" s="31"/>
      <c r="AB527" s="31"/>
      <c r="AC527" s="31"/>
      <c r="AD527" s="31"/>
      <c r="AE527" s="31"/>
      <c r="AG527" s="31"/>
    </row>
    <row r="528" spans="1:33" ht="15" customHeight="1">
      <c r="A528" s="31"/>
      <c r="B528" s="31"/>
      <c r="C528" s="31"/>
      <c r="E528" s="31"/>
      <c r="F528" s="31"/>
      <c r="G528" s="31"/>
      <c r="J528" s="31"/>
      <c r="L528" s="31"/>
      <c r="M528" s="31"/>
      <c r="N528" s="31"/>
      <c r="O528" s="31"/>
      <c r="P528" s="65"/>
      <c r="R528" s="31"/>
      <c r="S528" s="31"/>
      <c r="T528" s="70"/>
      <c r="U528" s="31"/>
      <c r="W528" s="31"/>
      <c r="Y528" s="31"/>
      <c r="Z528" s="31"/>
      <c r="AA528" s="31"/>
      <c r="AB528" s="31"/>
      <c r="AC528" s="31"/>
      <c r="AD528" s="31"/>
      <c r="AE528" s="31"/>
      <c r="AG528" s="31"/>
    </row>
  </sheetData>
  <sheetProtection formatColumns="0" formatRows="0" sort="0" autoFilter="0"/>
  <phoneticPr fontId="17" type="noConversion"/>
  <conditionalFormatting sqref="A2:F87 G2:V40 W2:Y54 N3:N44 L41:V42 G43:V64 G65:Q65 T65:V65 G66:V73 G41:J42 Z2:AL2 Z3 Z4:AL41 Z42:AK42 Z43:AL44 Z45:AK47 Z48:AL72 W55:X55 W56:Y58 W59:X59 W60:Y70 W71 Z73:AH100 Z101:AE115 AB3:AL3 AJ30:AJ42 AJ44:AJ48 AJ116 W72:Y116 A120:AC123 G116:AE116 A116:F119 G117:AC119 A125:AC528 B124:AC124 A74:V115">
    <cfRule type="expression" dxfId="173" priority="75">
      <formula>AND($B2&lt;&gt;"",MOD(ROW(),2)=0)</formula>
    </cfRule>
  </conditionalFormatting>
  <conditionalFormatting sqref="C2:C119">
    <cfRule type="expression" dxfId="172" priority="636">
      <formula>LEFT($AK2,4)="Move"</formula>
    </cfRule>
  </conditionalFormatting>
  <conditionalFormatting sqref="D2:D528">
    <cfRule type="expression" dxfId="171" priority="59">
      <formula>ISNUMBER(SEARCH("Blocked",$D2))</formula>
    </cfRule>
    <cfRule type="expression" dxfId="170" priority="60">
      <formula>ISNUMBER(SEARCH("overdue",$D2))</formula>
    </cfRule>
    <cfRule type="expression" dxfId="169" priority="61">
      <formula>ISNUMBER(SEARCH("no target",$D2))</formula>
    </cfRule>
    <cfRule type="expression" dxfId="168" priority="62">
      <formula>ISNUMBER(SEARCH("Review",$D2))</formula>
    </cfRule>
    <cfRule type="expression" dxfId="167" priority="63">
      <formula>OR($D2="On track",$D2="Delivered")</formula>
    </cfRule>
  </conditionalFormatting>
  <conditionalFormatting sqref="D88">
    <cfRule type="expression" dxfId="166" priority="635">
      <formula>AND($B50&lt;&gt;"",MOD(ROW(),2)=0)</formula>
    </cfRule>
  </conditionalFormatting>
  <conditionalFormatting sqref="J2:O119">
    <cfRule type="expression" dxfId="165" priority="37">
      <formula>$AJ2="Yes – needs DB Dev to fix"</formula>
    </cfRule>
  </conditionalFormatting>
  <conditionalFormatting sqref="J117:O193">
    <cfRule type="expression" dxfId="164" priority="42">
      <formula>$AH117="Yes – needs DB Dev to fix"</formula>
    </cfRule>
  </conditionalFormatting>
  <conditionalFormatting sqref="K41">
    <cfRule type="expression" dxfId="163" priority="618">
      <formula>AND($B41&lt;&gt;"",MOD(ROW(),2)=0)</formula>
    </cfRule>
    <cfRule type="expression" dxfId="162" priority="619">
      <formula>$AJ41="Yes – needs DB Dev to fix"</formula>
    </cfRule>
  </conditionalFormatting>
  <conditionalFormatting sqref="K42">
    <cfRule type="expression" dxfId="161" priority="621">
      <formula>$AJ41="Yes – needs DB Dev to fix"</formula>
    </cfRule>
    <cfRule type="expression" dxfId="160" priority="620">
      <formula>AND($B41&lt;&gt;"",MOD(ROW(),2)=0)</formula>
    </cfRule>
  </conditionalFormatting>
  <conditionalFormatting sqref="K73:L100">
    <cfRule type="expression" dxfId="159" priority="134">
      <formula>$AF73="Yes – needs DB Dev to fix"</formula>
    </cfRule>
  </conditionalFormatting>
  <conditionalFormatting sqref="K101:L116">
    <cfRule type="expression" dxfId="158" priority="364">
      <formula>$AA101="Yes – needs DB Dev to fix"</formula>
    </cfRule>
  </conditionalFormatting>
  <conditionalFormatting sqref="K117:L528">
    <cfRule type="expression" dxfId="157" priority="591">
      <formula>$X117="Yes – needs DB Dev to fix"</formula>
    </cfRule>
  </conditionalFormatting>
  <conditionalFormatting sqref="M73">
    <cfRule type="expression" dxfId="156" priority="41">
      <formula>$AF73="Yes – needs DB Dev to fix"</formula>
    </cfRule>
  </conditionalFormatting>
  <conditionalFormatting sqref="M79:M81">
    <cfRule type="expression" dxfId="155" priority="15">
      <formula>$AF79="Yes – needs DB Dev to fix"</formula>
    </cfRule>
  </conditionalFormatting>
  <conditionalFormatting sqref="M83:M84">
    <cfRule type="expression" dxfId="154" priority="17">
      <formula>$AF83="Yes – needs DB Dev to fix"</formula>
    </cfRule>
  </conditionalFormatting>
  <conditionalFormatting sqref="M91">
    <cfRule type="expression" dxfId="153" priority="21">
      <formula>$AF91="Yes – needs DB Dev to fix"</formula>
    </cfRule>
  </conditionalFormatting>
  <conditionalFormatting sqref="M93:M94">
    <cfRule type="expression" dxfId="152" priority="14">
      <formula>$AF93="Yes – needs DB Dev to fix"</formula>
    </cfRule>
  </conditionalFormatting>
  <conditionalFormatting sqref="M73:P100">
    <cfRule type="expression" dxfId="151" priority="319">
      <formula>$AD73="Yes – needs PBI Dev to fix"</formula>
    </cfRule>
  </conditionalFormatting>
  <conditionalFormatting sqref="M101:P116">
    <cfRule type="expression" dxfId="150" priority="366">
      <formula>$AA101="Yes – needs PBI Dev to fix"</formula>
    </cfRule>
  </conditionalFormatting>
  <conditionalFormatting sqref="M117:P528">
    <cfRule type="expression" dxfId="149" priority="592">
      <formula>$X117="Yes – needs PBI Dev to fix"</formula>
    </cfRule>
  </conditionalFormatting>
  <conditionalFormatting sqref="N58">
    <cfRule type="expression" dxfId="148" priority="22">
      <formula>$AD58="Yes – needs PBI Dev to fix"</formula>
    </cfRule>
  </conditionalFormatting>
  <conditionalFormatting sqref="N70">
    <cfRule type="expression" dxfId="147" priority="23">
      <formula>$AD70="Yes – needs PBI Dev to fix"</formula>
    </cfRule>
  </conditionalFormatting>
  <conditionalFormatting sqref="N82">
    <cfRule type="expression" dxfId="146" priority="19">
      <formula>$AD82="Yes – needs PBI Dev to fix"</formula>
    </cfRule>
  </conditionalFormatting>
  <conditionalFormatting sqref="O101:O114">
    <cfRule type="expression" dxfId="145" priority="16">
      <formula>$AD101="Yes – needs PBI Dev to fix"</formula>
    </cfRule>
  </conditionalFormatting>
  <conditionalFormatting sqref="Q73:Q100">
    <cfRule type="expression" dxfId="144" priority="35">
      <formula>$AJ73="Yes – needs DB Dev to fix"</formula>
    </cfRule>
    <cfRule type="expression" dxfId="143" priority="36">
      <formula>$AF73="Yes – needs DB Dev to fix"</formula>
    </cfRule>
    <cfRule type="expression" dxfId="142" priority="138">
      <formula>$AF73="Yes – needs PBI Dev to fix"</formula>
    </cfRule>
  </conditionalFormatting>
  <conditionalFormatting sqref="Q101:R116 X101:X116 V101:V119">
    <cfRule type="expression" dxfId="141" priority="34">
      <formula>$AA101="Yes – needs QA to fix"</formula>
    </cfRule>
  </conditionalFormatting>
  <conditionalFormatting sqref="Q117:R528">
    <cfRule type="expression" dxfId="140" priority="593">
      <formula>$X117="Yes – needs QA to fix"</formula>
    </cfRule>
  </conditionalFormatting>
  <conditionalFormatting sqref="Q2:U64 U10:V19 X10:X19 J29 M29:P29 J32:J33 M32:P33 K40:K41 M40:P41 Q65 T65:U65 Q66:U115 V101:V115 X101:X116 Q116:V116">
    <cfRule type="expression" dxfId="139" priority="49">
      <formula>$AJ2="Yes – needs PBI Dev to fix"</formula>
    </cfRule>
  </conditionalFormatting>
  <conditionalFormatting sqref="R58">
    <cfRule type="expression" dxfId="138" priority="336">
      <formula>$AJ65="Yes – needs PBI Dev to fix"</formula>
    </cfRule>
    <cfRule type="expression" dxfId="137" priority="334">
      <formula>AND($B65&lt;&gt;"",MOD(ROW(),2)=0)</formula>
    </cfRule>
  </conditionalFormatting>
  <conditionalFormatting sqref="R60">
    <cfRule type="expression" dxfId="136" priority="27">
      <formula>$AJ67="Yes – needs PBI Dev to fix"</formula>
    </cfRule>
    <cfRule type="expression" dxfId="135" priority="26">
      <formula>AND($B67&lt;&gt;"",MOD(ROW(),2)=0)</formula>
    </cfRule>
  </conditionalFormatting>
  <conditionalFormatting sqref="R60:S60">
    <cfRule type="expression" dxfId="134" priority="24">
      <formula>AND($B67&lt;&gt;"",MOD(ROW(),2)=0)</formula>
    </cfRule>
    <cfRule type="expression" dxfId="133" priority="25">
      <formula>$AJ67="Yes – needs PBI Dev to fix"</formula>
    </cfRule>
  </conditionalFormatting>
  <conditionalFormatting sqref="R73:U100 T96:T101">
    <cfRule type="expression" dxfId="132" priority="140">
      <formula>$AF73="Yes – needs QA to fix"</formula>
    </cfRule>
  </conditionalFormatting>
  <conditionalFormatting sqref="S101:U116">
    <cfRule type="expression" dxfId="131" priority="380">
      <formula>$AA101="Yes – needs DPO Approval to fix"</formula>
    </cfRule>
  </conditionalFormatting>
  <conditionalFormatting sqref="S117:U528">
    <cfRule type="expression" dxfId="130" priority="594">
      <formula>$X117="Yes – needs DPO Approval to fix"</formula>
    </cfRule>
  </conditionalFormatting>
  <conditionalFormatting sqref="X101:X528 U101:V528">
    <cfRule type="expression" dxfId="129" priority="67">
      <formula>$V101="Yes"</formula>
    </cfRule>
  </conditionalFormatting>
  <conditionalFormatting sqref="U73:Y100">
    <cfRule type="expression" dxfId="128" priority="142">
      <formula>$AF73="Yes – needs DPO Approval to fix"</formula>
    </cfRule>
  </conditionalFormatting>
  <conditionalFormatting sqref="X117:X528">
    <cfRule type="expression" dxfId="127" priority="595">
      <formula>LEFT($X117,3)="Yes"</formula>
    </cfRule>
  </conditionalFormatting>
  <conditionalFormatting sqref="X73:Z100">
    <cfRule type="expression" dxfId="126" priority="494">
      <formula>$Y73="Yes"</formula>
    </cfRule>
  </conditionalFormatting>
  <conditionalFormatting sqref="Z117:AA528">
    <cfRule type="expression" dxfId="125" priority="72">
      <formula>ISNUMBER(SEARCH("log it",$Z117))</formula>
    </cfRule>
    <cfRule type="expression" dxfId="124" priority="72">
      <formula>ISNUMBER(SEARCH("Open rework",$Z117))</formula>
    </cfRule>
    <cfRule type="expression" dxfId="123" priority="74">
      <formula>$Z117&lt;&gt;""</formula>
    </cfRule>
    <cfRule type="expression" dxfId="122" priority="73">
      <formula>ISNUMBER(SEARCH("Duplicate",$Z117))</formula>
    </cfRule>
    <cfRule type="expression" dxfId="121" priority="72">
      <formula>ISNUMBER(SEARCH("Move old",$Z117))</formula>
    </cfRule>
  </conditionalFormatting>
  <conditionalFormatting sqref="AA3">
    <cfRule type="expression" dxfId="120" priority="623">
      <formula>$AJ3="Yes – needs DPO Approval to fix"</formula>
    </cfRule>
    <cfRule type="expression" dxfId="119" priority="622">
      <formula>AND($B3&lt;&gt;"",MOD(ROW(),2)=0)</formula>
    </cfRule>
  </conditionalFormatting>
  <conditionalFormatting sqref="AA101:AA115 U116:AA116 U2:Z54 U55:X55 Z55 U56:Z58 U59:X59 Z59 U60:Z70 U71:W71 Z71 U72:Z116">
    <cfRule type="expression" dxfId="118" priority="32">
      <formula>$AJ2="Yes – needs QA to fix"</formula>
    </cfRule>
  </conditionalFormatting>
  <conditionalFormatting sqref="AA101:AA116">
    <cfRule type="expression" dxfId="117" priority="29">
      <formula>$AJ101="Yes – needs PBI Dev to fix"</formula>
    </cfRule>
    <cfRule type="expression" dxfId="116" priority="30">
      <formula>$AA101="Yes – needs QA to fix"</formula>
    </cfRule>
    <cfRule type="expression" dxfId="115" priority="31">
      <formula>$V101="Yes"</formula>
    </cfRule>
    <cfRule type="expression" dxfId="114" priority="388">
      <formula>LEFT($AA101,3)="Yes"</formula>
    </cfRule>
  </conditionalFormatting>
  <conditionalFormatting sqref="AA2:AE2 AB3:AE3 AA4:AE100">
    <cfRule type="expression" dxfId="113" priority="116">
      <formula>$AJ2="Yes – needs DPO Approval to fix"</formula>
    </cfRule>
  </conditionalFormatting>
  <conditionalFormatting sqref="AB101:AC116">
    <cfRule type="expression" dxfId="112" priority="396">
      <formula>ISNUMBER(SEARCH("Open rework",$AB101))</formula>
    </cfRule>
    <cfRule type="expression" dxfId="111" priority="397">
      <formula>ISNUMBER(SEARCH("Move old",$AB101))</formula>
    </cfRule>
    <cfRule type="expression" dxfId="110" priority="398">
      <formula>ISNUMBER(SEARCH("log it",$AB101))</formula>
    </cfRule>
    <cfRule type="expression" dxfId="109" priority="399">
      <formula>ISNUMBER(SEARCH("Duplicate",$AB101))</formula>
    </cfRule>
    <cfRule type="expression" dxfId="108" priority="400">
      <formula>$AB101&lt;&gt;""</formula>
    </cfRule>
  </conditionalFormatting>
  <conditionalFormatting sqref="AF2:AF119">
    <cfRule type="expression" dxfId="107" priority="88">
      <formula>$AF2="Yes"</formula>
    </cfRule>
  </conditionalFormatting>
  <conditionalFormatting sqref="AF73:AF100">
    <cfRule type="expression" dxfId="106" priority="146">
      <formula>LEFT($AF73,3)="Yes"</formula>
    </cfRule>
  </conditionalFormatting>
  <conditionalFormatting sqref="AG73:AG100">
    <cfRule type="expression" dxfId="105" priority="156">
      <formula>$AG73&lt;&gt;""</formula>
    </cfRule>
    <cfRule type="expression" dxfId="104" priority="153">
      <formula>ISNUMBER(SEARCH("Move old",$AG73))</formula>
    </cfRule>
    <cfRule type="expression" dxfId="103" priority="155">
      <formula>ISNUMBER(SEARCH("Duplicate",$AG73))</formula>
    </cfRule>
    <cfRule type="expression" dxfId="102" priority="154">
      <formula>ISNUMBER(SEARCH("log it",$AG73))</formula>
    </cfRule>
    <cfRule type="expression" dxfId="101" priority="152">
      <formula>ISNUMBER(SEARCH("Open rework",$AG73))</formula>
    </cfRule>
  </conditionalFormatting>
  <conditionalFormatting sqref="AJ2:AJ119">
    <cfRule type="expression" dxfId="100" priority="90">
      <formula>LEFT($AJ2,3)="Yes"</formula>
    </cfRule>
  </conditionalFormatting>
  <conditionalFormatting sqref="AK2:AK119">
    <cfRule type="expression" dxfId="99" priority="98">
      <formula>ISNUMBER(SEARCH("Move old",$AK2))</formula>
    </cfRule>
    <cfRule type="expression" dxfId="98" priority="96">
      <formula>ISNUMBER(SEARCH("log it",$AK2))</formula>
    </cfRule>
    <cfRule type="expression" dxfId="97" priority="97">
      <formula>ISNUMBER(SEARCH("Open rework",$AK2))</formula>
    </cfRule>
    <cfRule type="expression" dxfId="96" priority="100">
      <formula>$AK2&lt;&gt;""</formula>
    </cfRule>
    <cfRule type="expression" dxfId="95" priority="99">
      <formula>ISNUMBER(SEARCH("Duplicate",$AK2))</formula>
    </cfRule>
  </conditionalFormatting>
  <conditionalFormatting sqref="AL45:AL47">
    <cfRule type="expression" dxfId="94" priority="39">
      <formula>AND($B49&lt;&gt;"",MOD(ROW(),2)=0)</formula>
    </cfRule>
  </conditionalFormatting>
  <conditionalFormatting sqref="L109:L110">
    <cfRule type="expression" dxfId="93" priority="13">
      <formula>$AA109="Yes – needs PBI Dev to fix"</formula>
    </cfRule>
  </conditionalFormatting>
  <conditionalFormatting sqref="N109:N110">
    <cfRule type="expression" dxfId="92" priority="12">
      <formula>$AD109="Yes – needs PBI Dev to fix"</formula>
    </cfRule>
  </conditionalFormatting>
  <conditionalFormatting sqref="K117:K119">
    <cfRule type="expression" dxfId="91" priority="11">
      <formula>$AA117="Yes – needs DB Dev to fix"</formula>
    </cfRule>
  </conditionalFormatting>
  <conditionalFormatting sqref="Q117:Q119">
    <cfRule type="expression" dxfId="90" priority="9">
      <formula>$AA117="Yes – needs QA to fix"</formula>
    </cfRule>
  </conditionalFormatting>
  <conditionalFormatting sqref="Q117:Q119">
    <cfRule type="expression" dxfId="89" priority="10">
      <formula>$AJ117="Yes – needs PBI Dev to fix"</formula>
    </cfRule>
  </conditionalFormatting>
  <conditionalFormatting sqref="K117:K119">
    <cfRule type="expression" dxfId="88" priority="8">
      <formula>$AA117="Yes – needs DB Dev to fix"</formula>
    </cfRule>
  </conditionalFormatting>
  <conditionalFormatting sqref="Q117:Q119">
    <cfRule type="expression" dxfId="87" priority="6">
      <formula>$AA117="Yes – needs QA to fix"</formula>
    </cfRule>
  </conditionalFormatting>
  <conditionalFormatting sqref="Q117:Q119">
    <cfRule type="expression" dxfId="86" priority="7">
      <formula>$AJ117="Yes – needs PBI Dev to fix"</formula>
    </cfRule>
  </conditionalFormatting>
  <conditionalFormatting sqref="V117:V119">
    <cfRule type="expression" dxfId="85" priority="5">
      <formula>$AJ117="Yes – needs PBI Dev to fix"</formula>
    </cfRule>
  </conditionalFormatting>
  <conditionalFormatting sqref="V117:V119">
    <cfRule type="expression" dxfId="84" priority="4">
      <formula>$AJ117="Yes – needs QA to fix"</formula>
    </cfRule>
  </conditionalFormatting>
  <conditionalFormatting sqref="M109">
    <cfRule type="expression" dxfId="83" priority="3">
      <formula>$AA109="Yes – needs DB Dev to fix"</formula>
    </cfRule>
  </conditionalFormatting>
  <conditionalFormatting sqref="M109">
    <cfRule type="expression" dxfId="82" priority="2">
      <formula>$AA109="Yes – needs PBI Dev to fix"</formula>
    </cfRule>
  </conditionalFormatting>
  <conditionalFormatting sqref="L113">
    <cfRule type="expression" dxfId="81" priority="1">
      <formula>$AA113="Yes – needs PBI Dev to fix"</formula>
    </cfRule>
  </conditionalFormatting>
  <dataValidations count="9">
    <dataValidation type="date" operator="greaterThanOrEqual" allowBlank="1" showErrorMessage="1" errorTitle="Real date only" error="This column only accepts real dates. Put notes in Comments instead." sqref="H2:H528 AB2:AB72 S117:S528 Y117:Y528 Q2:R64 Q65 M81 W2:W72 X2:X60 M84 S73 X62:X70 X72:X73 V2:V119 AA2:AA116 K2:K528 L2:L108 W101:X528 M93:M94 Q66:R528 L117:M528 L111:L112 L114:L116" xr:uid="{00000000-0002-0000-0100-000000000000}">
      <formula1>DATE(2020,1,1)</formula1>
    </dataValidation>
    <dataValidation allowBlank="1" showInputMessage="1" showErrorMessage="1" sqref="AE1" xr:uid="{FECAB9FC-5D18-4A69-8AB2-F9B5CCD5292C}"/>
    <dataValidation type="list" allowBlank="1" showInputMessage="1" showErrorMessage="1" sqref="AC117:AC1048576 AE2:AE119" xr:uid="{DA68FF9D-BD58-4B66-BD0E-CEC5E83F324E}">
      <formula1>$T$2:$T$4</formula1>
    </dataValidation>
    <dataValidation type="date" operator="greaterThanOrEqual" allowBlank="1" showInputMessage="1" showErrorMessage="1" errorTitle="Real date only" error="This column only accepts real dates. Put notes in Comments instead." promptTitle="Completion date" prompt="Thanks for keeping this up to date. Once your completion date is in, please move the report to the next stage in the Current Status column." sqref="M2:M80 M82:M83 L109:L110 M85:M92 M95:M116 L113" xr:uid="{356A837F-8753-4C1E-A1D5-877A4BC27C34}">
      <formula1>DATE(2020,1,1)</formula1>
    </dataValidation>
    <dataValidation type="date" operator="greaterThanOrEqual" allowBlank="1" showInputMessage="1" showErrorMessage="1" promptTitle="Completion date" prompt="Thanks for keeping this up to date. Once your completion date is in, please move the report to the next stage in the Current Status column." sqref="X61 S2:S72 AC2:AC116 S74:S116 W71 Y72:Y116 X55 Y2:Y54 X59 Y56:Y58 Y60:Y70" xr:uid="{876BBA2E-2076-4976-B520-28DBA5599D47}">
      <formula1>43831</formula1>
    </dataValidation>
    <dataValidation type="date" operator="greaterThanOrEqual" allowBlank="1" showInputMessage="1" showErrorMessage="1" promptTitle="Completion date" prompt="After you enter your completion date here, go to the Current Status column and move the report to the next stage." sqref="X61 AC2:AC116 W71 Y72:Y116 X55 Y2:Y54 X59 Y56:Y58 Y60:Y70" xr:uid="{25196384-F129-49AA-BD0B-96E3342BCA70}">
      <formula1>43831</formula1>
    </dataValidation>
    <dataValidation type="date" operator="greaterThanOrEqual" allowBlank="1" showInputMessage="1" showErrorMessage="1" promptTitle="Completion date" prompt="Thanks for keeping this up to date. Once the deployed date is in, please set the Current Status column to RELEASED IN PROD." sqref="AG2:AG119" xr:uid="{7EAE3209-EAF4-4EFD-85BE-F4614D0FF701}">
      <formula1>43831</formula1>
    </dataValidation>
    <dataValidation operator="greaterThanOrEqual" allowBlank="1" showErrorMessage="1" errorTitle="Real date only" error="This column only accepts real dates. Put notes in Comments instead." sqref="P1:P1048569" xr:uid="{DAD9BD11-4282-4C05-A84B-0F51450196AD}"/>
    <dataValidation type="list" allowBlank="1" showInputMessage="1" showErrorMessage="1" sqref="J1:J1048569" xr:uid="{21F3A93D-2A33-4A7C-9F45-C528B522B74E}">
      <formula1>"Fetwi,Siva,Sreevasha,Siddu,Sree,Rupa,Greeta,Nick,Mejo,Michael"</formula1>
    </dataValidation>
  </dataValidations>
  <hyperlinks>
    <hyperlink ref="AL42" r:id="rId1" xr:uid="{5E1EBC8C-185D-4586-BE86-5E620BE457BD}"/>
  </hyperlinks>
  <pageMargins left="0.75" right="0.75" top="1" bottom="1" header="0.5" footer="0.5"/>
  <pageSetup orientation="portrait" r:id="rId2"/>
  <headerFooter>
    <oddFooter>&amp;L_x000D_&amp;1#&amp;"Aptos"&amp;10&amp;K000000 This content is for internal use only</oddFooter>
  </headerFooter>
  <legacyDrawing r:id="rId3"/>
  <tableParts count="1">
    <tablePart r:id="rId4"/>
  </tableParts>
  <extLst>
    <ext xmlns:x14="http://schemas.microsoft.com/office/spreadsheetml/2009/9/main" uri="{CCE6A557-97BC-4b89-ADB6-D9C93CAAB3DF}">
      <x14:dataValidations xmlns:xm="http://schemas.microsoft.com/office/excel/2006/main" count="12">
        <x14:dataValidation type="list" allowBlank="1" showInputMessage="1" showErrorMessage="1" promptTitle="Confirmed Deployed?" prompt="Confirmed live in production? Yes/No." xr:uid="{00000000-0002-0000-0100-000007000000}">
          <x14:formula1>
            <xm:f>'Data Validation'!$E$3:$E$4</xm:f>
          </x14:formula1>
          <xm:sqref>AF2:AF72 X117:X528 U117:U528 V120:V528</xm:sqref>
        </x14:dataValidation>
        <x14:dataValidation type="list" allowBlank="1" showInputMessage="1" showErrorMessage="1" promptTitle="Blocked?" prompt="Is this report blocked, and if so, does a previous stage need to fix something? Pick from the list. Log details on Rework Log." xr:uid="{00000000-0002-0000-0100-000008000000}">
          <x14:formula1>
            <xm:f>'Data Validation'!$I$3:$I$8</xm:f>
          </x14:formula1>
          <xm:sqref>X117:X528</xm:sqref>
        </x14:dataValidation>
        <x14:dataValidation type="list" allowBlank="1" showInputMessage="1" promptTitle="QA Tester" prompt="Pick from the list, or type a new name." xr:uid="{00000000-0002-0000-0100-000006000000}">
          <x14:formula1>
            <xm:f>'Data Validation'!$H$3:$H$6</xm:f>
          </x14:formula1>
          <xm:sqref>U117:U528</xm:sqref>
        </x14:dataValidation>
        <x14:dataValidation type="list" allowBlank="1" showInputMessage="1" promptTitle="Current Status" prompt="Where is this report right now?" xr:uid="{00000000-0002-0000-0100-000002000000}">
          <x14:formula1>
            <xm:f>'Data Validation'!$F$3:$F$9</xm:f>
          </x14:formula1>
          <xm:sqref>C120:C528</xm:sqref>
        </x14:dataValidation>
        <x14:dataValidation type="list" allowBlank="1" showInputMessage="1" showErrorMessage="1" errorTitle="QA Tester" error="Pick a tester from the list. To add a new tester, add the name to the QA Tester list on the Data Validation tab." xr:uid="{8AA8E9FF-4D26-46D0-8785-CDE50C069E01}">
          <x14:formula1>
            <xm:f>'Data Validation'!$H$3:$H$7</xm:f>
          </x14:formula1>
          <xm:sqref>U2:U116</xm:sqref>
        </x14:dataValidation>
        <x14:dataValidation type="list" allowBlank="1" showInputMessage="1" showErrorMessage="1" xr:uid="{DE28ABC5-7592-4DD3-8CAA-C21F555A62CA}">
          <x14:formula1>
            <xm:f>'Data Validation'!$E$3:$E$4</xm:f>
          </x14:formula1>
          <xm:sqref>AF73:AF100</xm:sqref>
        </x14:dataValidation>
        <x14:dataValidation type="list" allowBlank="1" showInputMessage="1" promptTitle="Current stage" prompt="Once the completion date is in, please move Current Status to the next stage." xr:uid="{336805B9-9197-4DFE-8185-FF4B11254704}">
          <x14:formula1>
            <xm:f>'Data Validation'!$F$3:$F$9</xm:f>
          </x14:formula1>
          <xm:sqref>C2:C119</xm:sqref>
        </x14:dataValidation>
        <x14:dataValidation type="list" allowBlank="1" showInputMessage="1" promptTitle="Domain" prompt="Pick from the list, or type a new domain." xr:uid="{00000000-0002-0000-0100-000001000000}">
          <x14:formula1>
            <xm:f>'Data Validation'!$A$3:$A$7</xm:f>
          </x14:formula1>
          <xm:sqref>A2:A123 A125:A528</xm:sqref>
        </x14:dataValidation>
        <x14:dataValidation type="list" allowBlank="1" showInputMessage="1" promptTitle="PO" prompt="Pick from the list, or type a new PO name." xr:uid="{00000000-0002-0000-0100-000003000000}">
          <x14:formula1>
            <xm:f>'Data Validation'!$D$3:$D$4</xm:f>
          </x14:formula1>
          <xm:sqref>F2:F528</xm:sqref>
        </x14:dataValidation>
        <x14:dataValidation type="list" allowBlank="1" showInputMessage="1" promptTitle="PBI Developer" prompt="Pick from the list, or type a new name." xr:uid="{00000000-0002-0000-0100-000005000000}">
          <x14:formula1>
            <xm:f>'Data Validation'!$C$3:$C$5</xm:f>
          </x14:formula1>
          <xm:sqref>P2:P528</xm:sqref>
        </x14:dataValidation>
        <x14:dataValidation type="list" allowBlank="1" showInputMessage="1" showErrorMessage="1" xr:uid="{93DF17FC-2AFB-4DB1-9C8B-30D4ED3B9678}">
          <x14:formula1>
            <xm:f>'Data Validation'!$R$2:$R$4</xm:f>
          </x14:formula1>
          <xm:sqref>N1:N1048576</xm:sqref>
        </x14:dataValidation>
        <x14:dataValidation type="list" allowBlank="1" showInputMessage="1" showErrorMessage="1" promptTitle="Blocked?" prompt="Is this report blocked, and if so, does a previous stage need to fix something? Pick from the list. Log details on Rework Log." xr:uid="{710EA959-AD75-4FD5-AEB8-F2E0E2AA907A}">
          <x14:formula1>
            <xm:f>'Data Validation'!$I$3:$I$9</xm:f>
          </x14:formula1>
          <xm:sqref>AJ2:AJ528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7D6608"/>
  </sheetPr>
  <dimension ref="A1:E31"/>
  <sheetViews>
    <sheetView showGridLines="0" workbookViewId="0"/>
  </sheetViews>
  <sheetFormatPr defaultRowHeight="15"/>
  <cols>
    <col min="1" max="1" width="24" customWidth="1"/>
    <col min="2" max="5" width="16" customWidth="1"/>
  </cols>
  <sheetData>
    <row r="1" spans="1:5" ht="21" customHeight="1">
      <c r="A1" s="7" t="s">
        <v>341</v>
      </c>
    </row>
    <row r="2" spans="1:5">
      <c r="A2" s="6" t="s">
        <v>342</v>
      </c>
    </row>
    <row r="4" spans="1:5" ht="21.95" customHeight="1">
      <c r="A4" s="5" t="s">
        <v>343</v>
      </c>
      <c r="B4" s="267"/>
      <c r="C4" s="268"/>
      <c r="D4" s="268"/>
      <c r="E4" s="268"/>
    </row>
    <row r="6" spans="1:5">
      <c r="A6" s="42" t="s">
        <v>0</v>
      </c>
      <c r="B6" s="223" t="str">
        <f>IF($B$4="","",IFERROR(INDEX('Combined Delivery Data'!$A:$A,MATCH($B$4,'Combined Delivery Data'!$B:$B,0)),""))</f>
        <v/>
      </c>
      <c r="C6" s="269"/>
      <c r="D6" s="269"/>
      <c r="E6" s="270"/>
    </row>
    <row r="7" spans="1:5">
      <c r="A7" s="42" t="s">
        <v>344</v>
      </c>
      <c r="B7" s="223" t="str">
        <f>IF($B$4="","",IFERROR(INDEX('Combined Delivery Data'!$C:$C,MATCH($B$4,'Combined Delivery Data'!$B:$B,0)),""))</f>
        <v/>
      </c>
      <c r="C7" s="269"/>
      <c r="D7" s="269"/>
      <c r="E7" s="270"/>
    </row>
    <row r="8" spans="1:5">
      <c r="A8" s="42" t="s">
        <v>3</v>
      </c>
      <c r="B8" s="223" t="str">
        <f>IF($B$4="","",IFERROR(INDEX('Combined Delivery Data'!$D:$D,MATCH($B$4,'Combined Delivery Data'!$B:$B,0)),""))</f>
        <v/>
      </c>
      <c r="C8" s="269"/>
      <c r="D8" s="269"/>
      <c r="E8" s="270"/>
    </row>
    <row r="9" spans="1:5">
      <c r="A9" s="42" t="s">
        <v>4</v>
      </c>
      <c r="B9" s="223" t="str">
        <f>IF($B$4="","",IFERROR(INDEX('Combined Delivery Data'!$E:$E,MATCH($B$4,'Combined Delivery Data'!$B:$B,0)),""))</f>
        <v/>
      </c>
      <c r="C9" s="269"/>
      <c r="D9" s="269"/>
      <c r="E9" s="270"/>
    </row>
    <row r="10" spans="1:5">
      <c r="A10" s="42" t="s">
        <v>5</v>
      </c>
      <c r="B10" s="223" t="str">
        <f>IF($B$4="","",IFERROR(INDEX('Combined Delivery Data'!$F:$F,MATCH($B$4,'Combined Delivery Data'!$B:$B,0)),""))</f>
        <v/>
      </c>
      <c r="C10" s="269"/>
      <c r="D10" s="269"/>
      <c r="E10" s="270"/>
    </row>
    <row r="11" spans="1:5">
      <c r="A11" s="42" t="s">
        <v>9</v>
      </c>
      <c r="B11" s="223" t="str">
        <f>IF($B$4="","",IFERROR(INDEX('Combined Delivery Data'!$J:$J,MATCH($B$4,'Combined Delivery Data'!$B:$B,0)),""))</f>
        <v/>
      </c>
      <c r="C11" s="269"/>
      <c r="D11" s="269"/>
      <c r="E11" s="270"/>
    </row>
    <row r="12" spans="1:5">
      <c r="A12" s="42" t="s">
        <v>15</v>
      </c>
      <c r="B12" s="223" t="str">
        <f>IF($B$4="","",IFERROR(INDEX('Combined Delivery Data'!$P:$P,MATCH($B$4,'Combined Delivery Data'!$B:$B,0)),""))</f>
        <v/>
      </c>
      <c r="C12" s="269"/>
      <c r="D12" s="269"/>
      <c r="E12" s="270"/>
    </row>
    <row r="13" spans="1:5">
      <c r="A13" s="42" t="s">
        <v>20</v>
      </c>
      <c r="B13" s="223" t="str">
        <f>IF($B$4="","",IFERROR(INDEX('Combined Delivery Data'!$U:$U,MATCH($B$4,'Combined Delivery Data'!$B:$B,0)),""))</f>
        <v/>
      </c>
      <c r="C13" s="269"/>
      <c r="D13" s="269"/>
      <c r="E13" s="270"/>
    </row>
    <row r="14" spans="1:5">
      <c r="A14" s="42" t="s">
        <v>345</v>
      </c>
      <c r="B14" s="222" t="str">
        <f>IF($B$4="","",IFERROR(INDEX('Combined Delivery Data'!$K:$K,MATCH($B$4,'Combined Delivery Data'!$B:$B,0)),""))</f>
        <v/>
      </c>
      <c r="C14" s="269"/>
      <c r="D14" s="269"/>
      <c r="E14" s="270"/>
    </row>
    <row r="15" spans="1:5">
      <c r="A15" s="42" t="s">
        <v>346</v>
      </c>
      <c r="B15" s="222" t="str">
        <f>IF($B$4="","",IFERROR(INDEX('Combined Delivery Data'!$L:$L,MATCH($B$4,'Combined Delivery Data'!$B:$B,0)),""))</f>
        <v/>
      </c>
      <c r="C15" s="269"/>
      <c r="D15" s="269"/>
      <c r="E15" s="270"/>
    </row>
    <row r="16" spans="1:5">
      <c r="A16" s="42" t="s">
        <v>347</v>
      </c>
      <c r="B16" s="222" t="str">
        <f>IF($B$4="","",IFERROR(INDEX('Combined Delivery Data'!$M:$M,MATCH($B$4,'Combined Delivery Data'!$B:$B,0)),""))</f>
        <v/>
      </c>
      <c r="C16" s="269"/>
      <c r="D16" s="269"/>
      <c r="E16" s="270"/>
    </row>
    <row r="17" spans="1:5">
      <c r="A17" s="42" t="s">
        <v>348</v>
      </c>
      <c r="B17" s="222" t="str">
        <f>IF($B$4="","",IFERROR(INDEX('Combined Delivery Data'!$O:$O,MATCH($B$4,'Combined Delivery Data'!$B:$B,0)),""))</f>
        <v/>
      </c>
      <c r="C17" s="269"/>
      <c r="D17" s="269"/>
      <c r="E17" s="270"/>
    </row>
    <row r="18" spans="1:5">
      <c r="A18" s="42" t="s">
        <v>349</v>
      </c>
      <c r="B18" s="222" t="str">
        <f>IF($B$4="","",IFERROR(INDEX('Combined Delivery Data'!$Q:$Q,MATCH($B$4,'Combined Delivery Data'!$B:$B,0)),""))</f>
        <v/>
      </c>
      <c r="C18" s="269"/>
      <c r="D18" s="269"/>
      <c r="E18" s="270"/>
    </row>
    <row r="19" spans="1:5">
      <c r="A19" s="42" t="s">
        <v>350</v>
      </c>
      <c r="B19" s="222" t="str">
        <f>IF($B$4="","",IFERROR(INDEX('Combined Delivery Data'!$R:$R,MATCH($B$4,'Combined Delivery Data'!$B:$B,0)),""))</f>
        <v/>
      </c>
      <c r="C19" s="269"/>
      <c r="D19" s="269"/>
      <c r="E19" s="270"/>
    </row>
    <row r="20" spans="1:5">
      <c r="A20" s="42" t="s">
        <v>351</v>
      </c>
      <c r="B20" s="222" t="str">
        <f>IF($B$4="","",IFERROR(INDEX('Combined Delivery Data'!$S:$S,MATCH($B$4,'Combined Delivery Data'!$B:$B,0)),""))</f>
        <v/>
      </c>
      <c r="C20" s="269"/>
      <c r="D20" s="269"/>
      <c r="E20" s="270"/>
    </row>
    <row r="21" spans="1:5">
      <c r="A21" s="42" t="s">
        <v>29</v>
      </c>
      <c r="B21" s="223" t="str">
        <f>IF($B$4="","",IFERROR(INDEX('Combined Delivery Data'!$T:$T,MATCH($B$4,'Combined Delivery Data'!$B:$B,0)),""))</f>
        <v/>
      </c>
      <c r="C21" s="269"/>
      <c r="D21" s="269"/>
      <c r="E21" s="270"/>
    </row>
    <row r="22" spans="1:5">
      <c r="A22" s="42" t="s">
        <v>31</v>
      </c>
      <c r="B22" s="223" t="str">
        <f>IF($B$4="","",IFERROR(INDEX('Combined Delivery Data'!$V:$V,MATCH($B$4,'Combined Delivery Data'!$B:$B,0)),""))</f>
        <v/>
      </c>
      <c r="C22" s="269"/>
      <c r="D22" s="269"/>
      <c r="E22" s="270"/>
    </row>
    <row r="23" spans="1:5">
      <c r="A23" s="42" t="s">
        <v>32</v>
      </c>
      <c r="B23" s="222" t="str">
        <f>IF($B$4="","",IFERROR(INDEX('Combined Delivery Data'!$W:$W,MATCH($B$4,'Combined Delivery Data'!$B:$B,0)),""))</f>
        <v/>
      </c>
      <c r="C23" s="269"/>
      <c r="D23" s="269"/>
      <c r="E23" s="270"/>
    </row>
    <row r="24" spans="1:5">
      <c r="A24" s="42" t="s">
        <v>35</v>
      </c>
      <c r="B24" s="223" t="str">
        <f>IF($B$4="","",IFERROR(INDEX('Combined Delivery Data'!$X:$X,MATCH($B$4,'Combined Delivery Data'!$B:$B,0)),""))</f>
        <v/>
      </c>
      <c r="C24" s="269"/>
      <c r="D24" s="269"/>
      <c r="E24" s="270"/>
    </row>
    <row r="25" spans="1:5">
      <c r="A25" s="42" t="s">
        <v>36</v>
      </c>
      <c r="B25" s="223" t="str">
        <f>IF($B$4="","",IFERROR(INDEX('Combined Delivery Data'!$Z:$Z,MATCH($B$4,'Combined Delivery Data'!$B:$B,0)),""))</f>
        <v/>
      </c>
      <c r="C25" s="269"/>
      <c r="D25" s="269"/>
      <c r="E25" s="270"/>
    </row>
    <row r="26" spans="1:5">
      <c r="A26" s="42" t="s">
        <v>352</v>
      </c>
      <c r="B26" s="223" t="str">
        <f>IF($B$4="","",IFERROR(INDEX('Rework Log'!$Q:$Q,MATCH($B$4,'Rework Log'!$P:$P,0)),""))</f>
        <v/>
      </c>
      <c r="C26" s="269"/>
      <c r="D26" s="269"/>
      <c r="E26" s="270"/>
    </row>
    <row r="27" spans="1:5">
      <c r="A27" s="42" t="s">
        <v>353</v>
      </c>
      <c r="B27" s="223" t="str">
        <f>IF($B$4="","",IFERROR(INDEX('Rework Log'!$R:$R,MATCH($B$4,'Rework Log'!$P:$P,0)),""))</f>
        <v/>
      </c>
      <c r="C27" s="269"/>
      <c r="D27" s="269"/>
      <c r="E27" s="270"/>
    </row>
    <row r="28" spans="1:5">
      <c r="A28" s="42" t="s">
        <v>354</v>
      </c>
      <c r="B28" s="223" t="str">
        <f>IF($B$4="","",IFERROR(INDEX('Rework Log'!$S:$S,MATCH($B$4,'Rework Log'!$P:$P,0)),""))</f>
        <v/>
      </c>
      <c r="C28" s="269"/>
      <c r="D28" s="269"/>
      <c r="E28" s="270"/>
    </row>
    <row r="29" spans="1:5">
      <c r="A29" s="42" t="s">
        <v>355</v>
      </c>
      <c r="B29" s="223" t="str">
        <f>IF($B$4="","",IFERROR(INDEX('Rework Log'!$T:$T,MATCH($B$4,'Rework Log'!$P:$P,0)),""))</f>
        <v/>
      </c>
      <c r="C29" s="269"/>
      <c r="D29" s="269"/>
      <c r="E29" s="270"/>
    </row>
    <row r="30" spans="1:5" ht="15.6" customHeight="1">
      <c r="A30" s="42"/>
      <c r="B30" s="223"/>
      <c r="C30" s="269"/>
      <c r="D30" s="269"/>
      <c r="E30" s="270"/>
    </row>
    <row r="31" spans="1:5" ht="15.6" customHeight="1">
      <c r="A31" s="5" t="s">
        <v>37</v>
      </c>
      <c r="B31" s="271" t="str">
        <f>IF($B$4="","",IFERROR(INDEX('Combined Delivery Data'!$AB:$AB,MATCH($B$4,'Combined Delivery Data'!$B:$B,0)),""))</f>
        <v/>
      </c>
      <c r="C31" s="268"/>
      <c r="D31" s="268"/>
      <c r="E31" s="268"/>
    </row>
  </sheetData>
  <mergeCells count="27">
    <mergeCell ref="B4:E4"/>
    <mergeCell ref="B16:E16"/>
    <mergeCell ref="B7:E7"/>
    <mergeCell ref="B25:E25"/>
    <mergeCell ref="B22:E22"/>
    <mergeCell ref="B11:E11"/>
    <mergeCell ref="B8:E8"/>
    <mergeCell ref="B10:E10"/>
    <mergeCell ref="B9:E9"/>
    <mergeCell ref="B6:E6"/>
    <mergeCell ref="B15:E15"/>
    <mergeCell ref="B24:E24"/>
    <mergeCell ref="B20:E20"/>
    <mergeCell ref="B31:E31"/>
    <mergeCell ref="B18:E18"/>
    <mergeCell ref="B27:E27"/>
    <mergeCell ref="B12:E12"/>
    <mergeCell ref="B21:E21"/>
    <mergeCell ref="B14:E14"/>
    <mergeCell ref="B17:E17"/>
    <mergeCell ref="B23:E23"/>
    <mergeCell ref="B13:E13"/>
    <mergeCell ref="B29:E29"/>
    <mergeCell ref="B19:E19"/>
    <mergeCell ref="B28:E28"/>
    <mergeCell ref="B30:E30"/>
    <mergeCell ref="B26:E26"/>
  </mergeCells>
  <pageMargins left="0.75" right="0.75" top="1" bottom="1" header="0.5" footer="0.5"/>
  <headerFooter>
    <oddFooter>&amp;L&amp;"Aptos"&amp;10 &amp;K000000_x000D_# This content is for internal use only_x000D_&amp;1#&amp;"Aptos"&amp;10&amp;K000000 This content is for internal use only</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A93226"/>
  </sheetPr>
  <dimension ref="A1:T497"/>
  <sheetViews>
    <sheetView workbookViewId="0">
      <pane ySplit="1" topLeftCell="A43" activePane="bottomLeft" state="frozen"/>
      <selection pane="bottomLeft" activeCell="A40" sqref="A40"/>
    </sheetView>
  </sheetViews>
  <sheetFormatPr defaultRowHeight="15"/>
  <cols>
    <col min="1" max="1" width="50.5703125" customWidth="1"/>
    <col min="2" max="2" width="14" customWidth="1"/>
    <col min="3" max="4" width="11" customWidth="1"/>
    <col min="5" max="5" width="13" customWidth="1"/>
    <col min="6" max="6" width="72.7109375" customWidth="1"/>
    <col min="7" max="7" width="9.7109375" customWidth="1"/>
    <col min="8" max="8" width="16.28515625" customWidth="1"/>
    <col min="9" max="9" width="17.7109375" customWidth="1"/>
    <col min="10" max="11" width="12" customWidth="1"/>
    <col min="12" max="12" width="51.140625" bestFit="1" customWidth="1"/>
    <col min="13" max="13" width="18" customWidth="1"/>
    <col min="15" max="15" width="84.42578125" customWidth="1"/>
    <col min="16" max="16" width="34" customWidth="1"/>
    <col min="17" max="18" width="12" customWidth="1"/>
    <col min="19" max="19" width="14" customWidth="1"/>
    <col min="20" max="20" width="16" customWidth="1"/>
  </cols>
  <sheetData>
    <row r="1" spans="1:20" ht="30" customHeight="1">
      <c r="A1" s="17" t="s">
        <v>1</v>
      </c>
      <c r="B1" s="17" t="s">
        <v>356</v>
      </c>
      <c r="C1" s="17" t="s">
        <v>357</v>
      </c>
      <c r="D1" s="17" t="s">
        <v>358</v>
      </c>
      <c r="E1" s="17" t="s">
        <v>359</v>
      </c>
      <c r="F1" s="17" t="s">
        <v>360</v>
      </c>
      <c r="G1" s="17" t="s">
        <v>361</v>
      </c>
      <c r="H1" s="56" t="s">
        <v>362</v>
      </c>
      <c r="I1" s="30" t="s">
        <v>363</v>
      </c>
      <c r="J1" s="30" t="s">
        <v>364</v>
      </c>
      <c r="K1" s="30" t="s">
        <v>365</v>
      </c>
      <c r="L1" s="30" t="s">
        <v>366</v>
      </c>
      <c r="M1" s="21" t="s">
        <v>367</v>
      </c>
      <c r="N1" s="21" t="s">
        <v>368</v>
      </c>
      <c r="P1" s="13" t="s">
        <v>1</v>
      </c>
      <c r="Q1" s="13" t="s">
        <v>352</v>
      </c>
      <c r="R1" s="13" t="s">
        <v>353</v>
      </c>
      <c r="S1" s="13" t="s">
        <v>354</v>
      </c>
      <c r="T1" s="13" t="s">
        <v>355</v>
      </c>
    </row>
    <row r="2" spans="1:20">
      <c r="A2" s="33" t="s">
        <v>143</v>
      </c>
      <c r="B2" s="36">
        <v>46230</v>
      </c>
      <c r="C2" s="33" t="s">
        <v>206</v>
      </c>
      <c r="D2" s="33" t="s">
        <v>263</v>
      </c>
      <c r="E2" s="33" t="s">
        <v>144</v>
      </c>
      <c r="F2" s="33" t="s">
        <v>369</v>
      </c>
      <c r="G2" s="33" t="s">
        <v>50</v>
      </c>
      <c r="H2" s="46" t="s">
        <v>84</v>
      </c>
      <c r="I2" s="52"/>
      <c r="J2" s="52">
        <v>46247</v>
      </c>
      <c r="K2" s="33"/>
      <c r="L2" s="33"/>
      <c r="M2" s="3" t="str">
        <f ca="1">IF($A2="","",IF($G2="Did not pass re-test","Sent back again",IF(NOT(ISNUMBER($B2)),"Missing sent-back date",IF($J2&lt;&gt;"","Fixed",IF($I2="","UNCLAIMED "&amp;(TODAY()-$B2)&amp;" d",IF(TODAY()&gt;$I2,(TODAY()-$I2)&amp;" d LATE","Open "&amp;(TODAY()-$B2)&amp;" d"))))))</f>
        <v>Fixed</v>
      </c>
      <c r="N2" t="s">
        <v>50</v>
      </c>
      <c r="P2" t="str">
        <f>'Combined Delivery Data'!B2</f>
        <v>RPT_04_Active Leaks</v>
      </c>
      <c r="Q2">
        <f t="shared" ref="Q2:Q15" si="0">IF($P2="","",COUNTIF($A$2:$A$497,$P2))</f>
        <v>0</v>
      </c>
      <c r="R2">
        <f t="shared" ref="R2:R15" si="1">IF($P2="","",SUMPRODUCT(($A$2:$A$497=$P2)*($G$2:$G$497&lt;&gt;"Yes")*($G$2:$G$497&lt;&gt;"Did not pass re-test")))</f>
        <v>0</v>
      </c>
      <c r="S2" s="28" t="str">
        <f t="shared" ref="S2:S15" si="2">IF($P2="","",IF(SUMPRODUCT(MAX(($A$2:$A$497=$P2)*ROW($A$2:$A$497)))=0,"",INDEX($B:$B,SUMPRODUCT(MAX(($A$2:$A$497=$P2)*ROW($A$2:$A$497))))))</f>
        <v/>
      </c>
      <c r="T2" t="str">
        <f t="shared" ref="T2:T15" si="3">IF($P2="","",IF(SUMPRODUCT(MAX(($A$2:$A$497=$P2)*ROW($A$2:$A$497)))=0,"",INDEX($C:$C,SUMPRODUCT(MAX(($A$2:$A$497=$P2)*ROW($A$2:$A$497))))&amp;" -&gt; "&amp;INDEX($D:$D,SUMPRODUCT(MAX(($A$2:$A$497=$P2)*ROW($A$2:$A$497))))))</f>
        <v/>
      </c>
    </row>
    <row r="3" spans="1:20">
      <c r="A3" s="31" t="s">
        <v>153</v>
      </c>
      <c r="B3" s="32">
        <v>46237</v>
      </c>
      <c r="C3" s="31" t="s">
        <v>206</v>
      </c>
      <c r="D3" s="31" t="s">
        <v>263</v>
      </c>
      <c r="E3" s="31" t="s">
        <v>144</v>
      </c>
      <c r="F3" s="31" t="s">
        <v>370</v>
      </c>
      <c r="G3" s="31" t="s">
        <v>50</v>
      </c>
      <c r="H3" s="32" t="s">
        <v>155</v>
      </c>
      <c r="I3" s="32"/>
      <c r="J3" s="32">
        <v>46247</v>
      </c>
      <c r="K3" s="31" t="s">
        <v>60</v>
      </c>
      <c r="L3" s="31" t="s">
        <v>371</v>
      </c>
      <c r="M3" s="3" t="str">
        <f t="shared" ref="M3:M64" ca="1" si="4">IF($A3="","",IF($G3="Did not pass re-test","Sent back again",IF(NOT(ISNUMBER($B3)),"Missing sent-back date",IF($J3&lt;&gt;"","Fixed",IF($I3="","UNCLAIMED "&amp;(TODAY()-$B3)&amp;" d",IF(TODAY()&gt;$I3,(TODAY()-$I3)&amp;" d LATE","Open "&amp;(TODAY()-$B3)&amp;" d"))))))</f>
        <v>Fixed</v>
      </c>
      <c r="N3" t="s">
        <v>50</v>
      </c>
      <c r="P3" t="str">
        <f>'Combined Delivery Data'!B3</f>
        <v>RPT_04_Count of Active Leaks On Hand</v>
      </c>
      <c r="Q3">
        <f t="shared" si="0"/>
        <v>0</v>
      </c>
      <c r="R3">
        <f t="shared" si="1"/>
        <v>0</v>
      </c>
      <c r="S3" s="28" t="str">
        <f t="shared" si="2"/>
        <v/>
      </c>
      <c r="T3" t="str">
        <f t="shared" si="3"/>
        <v/>
      </c>
    </row>
    <row r="4" spans="1:20">
      <c r="A4" s="53" t="s">
        <v>127</v>
      </c>
      <c r="B4" s="32">
        <v>46238</v>
      </c>
      <c r="C4" s="31" t="s">
        <v>206</v>
      </c>
      <c r="D4" s="31" t="s">
        <v>263</v>
      </c>
      <c r="E4" s="31" t="s">
        <v>129</v>
      </c>
      <c r="F4" s="31" t="s">
        <v>372</v>
      </c>
      <c r="G4" s="31" t="s">
        <v>50</v>
      </c>
      <c r="H4" s="32" t="s">
        <v>76</v>
      </c>
      <c r="I4" s="32"/>
      <c r="J4" s="32">
        <v>46245</v>
      </c>
      <c r="K4" s="31"/>
      <c r="L4" s="31"/>
      <c r="M4" s="3" t="str">
        <f t="shared" ca="1" si="4"/>
        <v>Fixed</v>
      </c>
      <c r="N4" t="s">
        <v>50</v>
      </c>
      <c r="P4" t="e">
        <f>'Combined Delivery Data'!#REF!</f>
        <v>#REF!</v>
      </c>
      <c r="Q4" t="e">
        <f t="shared" si="0"/>
        <v>#REF!</v>
      </c>
      <c r="R4" t="e">
        <f t="shared" si="1"/>
        <v>#REF!</v>
      </c>
      <c r="S4" s="28" t="e">
        <f t="shared" si="2"/>
        <v>#REF!</v>
      </c>
      <c r="T4" t="e">
        <f t="shared" si="3"/>
        <v>#REF!</v>
      </c>
    </row>
    <row r="5" spans="1:20">
      <c r="A5" s="53" t="s">
        <v>141</v>
      </c>
      <c r="B5" s="32">
        <v>46234</v>
      </c>
      <c r="C5" s="31" t="s">
        <v>206</v>
      </c>
      <c r="D5" s="31" t="s">
        <v>263</v>
      </c>
      <c r="E5" s="31" t="s">
        <v>129</v>
      </c>
      <c r="F5" s="31" t="s">
        <v>373</v>
      </c>
      <c r="G5" s="31" t="s">
        <v>50</v>
      </c>
      <c r="H5" s="32" t="s">
        <v>103</v>
      </c>
      <c r="I5" s="32"/>
      <c r="J5" s="32">
        <v>46251</v>
      </c>
      <c r="K5" s="31"/>
      <c r="L5" s="31"/>
      <c r="M5" s="3" t="str">
        <f t="shared" ca="1" si="4"/>
        <v>Fixed</v>
      </c>
      <c r="N5" t="s">
        <v>50</v>
      </c>
      <c r="P5" t="str">
        <f>'Combined Delivery Data'!B4</f>
        <v>RPT_04_Leak Days Remaining</v>
      </c>
      <c r="Q5">
        <f t="shared" si="0"/>
        <v>0</v>
      </c>
      <c r="R5">
        <f t="shared" si="1"/>
        <v>0</v>
      </c>
      <c r="S5" s="28" t="str">
        <f t="shared" si="2"/>
        <v/>
      </c>
      <c r="T5" t="str">
        <f t="shared" si="3"/>
        <v/>
      </c>
    </row>
    <row r="6" spans="1:20">
      <c r="A6" s="53" t="s">
        <v>135</v>
      </c>
      <c r="B6" s="32">
        <v>46239</v>
      </c>
      <c r="C6" s="31" t="s">
        <v>206</v>
      </c>
      <c r="D6" s="31" t="s">
        <v>263</v>
      </c>
      <c r="E6" s="31" t="s">
        <v>129</v>
      </c>
      <c r="F6" s="31" t="s">
        <v>374</v>
      </c>
      <c r="G6" s="31" t="s">
        <v>50</v>
      </c>
      <c r="H6" s="32" t="s">
        <v>65</v>
      </c>
      <c r="I6" s="32"/>
      <c r="J6" s="32">
        <v>46251</v>
      </c>
      <c r="K6" s="31"/>
      <c r="L6" s="31"/>
      <c r="M6" s="3" t="str">
        <f t="shared" ca="1" si="4"/>
        <v>Fixed</v>
      </c>
      <c r="N6" t="s">
        <v>50</v>
      </c>
      <c r="P6" t="str">
        <f>'Combined Delivery Data'!B5</f>
        <v>RPT_04_Cleared Leaks</v>
      </c>
      <c r="Q6">
        <f t="shared" si="0"/>
        <v>0</v>
      </c>
      <c r="R6">
        <f t="shared" si="1"/>
        <v>0</v>
      </c>
      <c r="S6" s="28" t="str">
        <f t="shared" si="2"/>
        <v/>
      </c>
      <c r="T6" t="str">
        <f t="shared" si="3"/>
        <v/>
      </c>
    </row>
    <row r="7" spans="1:20">
      <c r="A7" s="53" t="s">
        <v>135</v>
      </c>
      <c r="B7" s="32">
        <v>46246</v>
      </c>
      <c r="C7" s="31" t="s">
        <v>206</v>
      </c>
      <c r="D7" s="31" t="s">
        <v>263</v>
      </c>
      <c r="E7" s="31" t="s">
        <v>129</v>
      </c>
      <c r="F7" s="31" t="s">
        <v>375</v>
      </c>
      <c r="G7" s="31" t="s">
        <v>50</v>
      </c>
      <c r="H7" s="32" t="s">
        <v>65</v>
      </c>
      <c r="I7" s="32"/>
      <c r="J7" s="32">
        <v>46251</v>
      </c>
      <c r="K7" s="31"/>
      <c r="L7" s="31"/>
      <c r="M7" s="3" t="str">
        <f t="shared" ca="1" si="4"/>
        <v>Fixed</v>
      </c>
      <c r="N7" t="s">
        <v>376</v>
      </c>
      <c r="P7" t="str">
        <f>'Combined Delivery Data'!B10</f>
        <v>RPT_04_Rechecks Completed less than 14 days</v>
      </c>
      <c r="Q7">
        <f t="shared" si="0"/>
        <v>0</v>
      </c>
      <c r="R7">
        <f t="shared" si="1"/>
        <v>0</v>
      </c>
      <c r="S7" s="28" t="str">
        <f t="shared" si="2"/>
        <v/>
      </c>
      <c r="T7" t="str">
        <f t="shared" si="3"/>
        <v/>
      </c>
    </row>
    <row r="8" spans="1:20">
      <c r="A8" s="31" t="s">
        <v>153</v>
      </c>
      <c r="B8" s="32">
        <v>46251</v>
      </c>
      <c r="C8" s="31" t="s">
        <v>206</v>
      </c>
      <c r="D8" s="31" t="s">
        <v>263</v>
      </c>
      <c r="E8" s="31" t="s">
        <v>144</v>
      </c>
      <c r="F8" s="31" t="s">
        <v>377</v>
      </c>
      <c r="G8" s="31" t="s">
        <v>50</v>
      </c>
      <c r="H8" s="32" t="s">
        <v>155</v>
      </c>
      <c r="I8" s="32"/>
      <c r="J8" s="32">
        <v>46254</v>
      </c>
      <c r="K8" s="31"/>
      <c r="L8" s="31"/>
      <c r="M8" s="3" t="str">
        <f t="shared" ca="1" si="4"/>
        <v>Fixed</v>
      </c>
      <c r="N8" t="s">
        <v>376</v>
      </c>
      <c r="P8" t="str">
        <f>'Combined Delivery Data'!B11</f>
        <v>RPT_04_SEI Leak Activity</v>
      </c>
      <c r="Q8">
        <f t="shared" si="0"/>
        <v>0</v>
      </c>
      <c r="R8">
        <f t="shared" si="1"/>
        <v>0</v>
      </c>
      <c r="S8" s="28" t="str">
        <f t="shared" si="2"/>
        <v/>
      </c>
      <c r="T8" t="str">
        <f t="shared" si="3"/>
        <v/>
      </c>
    </row>
    <row r="9" spans="1:20">
      <c r="A9" s="31" t="s">
        <v>143</v>
      </c>
      <c r="B9" s="32">
        <v>46237</v>
      </c>
      <c r="C9" s="31" t="s">
        <v>206</v>
      </c>
      <c r="D9" s="31" t="s">
        <v>263</v>
      </c>
      <c r="E9" s="31" t="s">
        <v>144</v>
      </c>
      <c r="F9" s="31" t="s">
        <v>370</v>
      </c>
      <c r="G9" s="31" t="s">
        <v>50</v>
      </c>
      <c r="H9" s="32" t="s">
        <v>84</v>
      </c>
      <c r="I9" s="32"/>
      <c r="J9" s="32">
        <v>46252</v>
      </c>
      <c r="K9" s="31"/>
      <c r="L9" s="31"/>
      <c r="M9" s="3" t="str">
        <f t="shared" ca="1" si="4"/>
        <v>Fixed</v>
      </c>
      <c r="N9" t="s">
        <v>376</v>
      </c>
      <c r="P9" t="str">
        <f>'Combined Delivery Data'!B12</f>
        <v>RPT_04_CMS Leak Productivity</v>
      </c>
      <c r="Q9">
        <f t="shared" si="0"/>
        <v>0</v>
      </c>
      <c r="R9">
        <f t="shared" si="1"/>
        <v>0</v>
      </c>
      <c r="S9" s="28" t="str">
        <f t="shared" si="2"/>
        <v/>
      </c>
      <c r="T9" t="str">
        <f t="shared" si="3"/>
        <v/>
      </c>
    </row>
    <row r="10" spans="1:20">
      <c r="A10" s="53" t="s">
        <v>135</v>
      </c>
      <c r="B10" s="32">
        <v>46254</v>
      </c>
      <c r="C10" s="31" t="s">
        <v>206</v>
      </c>
      <c r="D10" s="31" t="s">
        <v>263</v>
      </c>
      <c r="E10" s="31" t="s">
        <v>129</v>
      </c>
      <c r="F10" s="31" t="s">
        <v>372</v>
      </c>
      <c r="G10" s="31" t="s">
        <v>50</v>
      </c>
      <c r="H10" s="32" t="s">
        <v>65</v>
      </c>
      <c r="I10" s="32"/>
      <c r="J10" s="32">
        <v>46255</v>
      </c>
      <c r="K10" s="31"/>
      <c r="L10" s="31"/>
      <c r="M10" s="75" t="str">
        <f ca="1">IF($A10="","",IF($G10="Did not pass re-test","Sent back again",IF(NOT(ISNUMBER($B10)),"Missing sent-back date",IF($J10&lt;&gt;"","Fixed",IF($I10="","UNCLAIMED "&amp;(TODAY()-$B10)&amp;" d",IF(TODAY()&gt;$I10,(TODAY()-$I10)&amp;" d LATE","Open "&amp;(TODAY()-$B10)&amp;" d"))))))</f>
        <v>Fixed</v>
      </c>
      <c r="N10" t="s">
        <v>50</v>
      </c>
      <c r="P10" t="str">
        <f>'Combined Delivery Data'!B13</f>
        <v>RPT_04_Main Break Corrosion and Leak Cluster</v>
      </c>
      <c r="Q10">
        <f t="shared" si="0"/>
        <v>0</v>
      </c>
      <c r="R10">
        <f t="shared" si="1"/>
        <v>0</v>
      </c>
      <c r="S10" s="28" t="str">
        <f t="shared" si="2"/>
        <v/>
      </c>
      <c r="T10" t="str">
        <f t="shared" si="3"/>
        <v/>
      </c>
    </row>
    <row r="11" spans="1:20">
      <c r="A11" s="53" t="s">
        <v>150</v>
      </c>
      <c r="B11" s="32">
        <v>46254</v>
      </c>
      <c r="C11" s="31" t="s">
        <v>206</v>
      </c>
      <c r="D11" s="31" t="s">
        <v>263</v>
      </c>
      <c r="E11" s="31" t="s">
        <v>144</v>
      </c>
      <c r="F11" s="31" t="s">
        <v>378</v>
      </c>
      <c r="G11" s="31" t="s">
        <v>50</v>
      </c>
      <c r="H11" s="32" t="s">
        <v>84</v>
      </c>
      <c r="I11" s="32"/>
      <c r="J11" s="32">
        <v>46255</v>
      </c>
      <c r="K11" s="31"/>
      <c r="L11" s="31"/>
      <c r="M11" s="75" t="str">
        <f ca="1">IF($A11="","",IF($G11="Did not pass re-test","Sent back again",IF(NOT(ISNUMBER($B11)),"Missing sent-back date",IF($J11&lt;&gt;"","Fixed",IF($I11="","UNCLAIMED "&amp;(TODAY()-$B11)&amp;" d",IF(TODAY()&gt;$I11,(TODAY()-$I11)&amp;" d LATE","Open "&amp;(TODAY()-$B11)&amp;" d"))))))</f>
        <v>Fixed</v>
      </c>
      <c r="N11" t="s">
        <v>379</v>
      </c>
      <c r="P11" t="str">
        <f>'Combined Delivery Data'!B14</f>
        <v>RPT_04_Leak Summary Status</v>
      </c>
      <c r="Q11">
        <f t="shared" si="0"/>
        <v>0</v>
      </c>
      <c r="R11">
        <f t="shared" si="1"/>
        <v>0</v>
      </c>
      <c r="S11" s="28" t="str">
        <f t="shared" si="2"/>
        <v/>
      </c>
      <c r="T11" t="str">
        <f t="shared" si="3"/>
        <v/>
      </c>
    </row>
    <row r="12" spans="1:20">
      <c r="A12" s="53" t="s">
        <v>139</v>
      </c>
      <c r="B12" s="32">
        <v>46258</v>
      </c>
      <c r="C12" s="31" t="s">
        <v>206</v>
      </c>
      <c r="D12" s="31" t="s">
        <v>263</v>
      </c>
      <c r="E12" s="31" t="s">
        <v>129</v>
      </c>
      <c r="F12" s="31" t="s">
        <v>380</v>
      </c>
      <c r="G12" s="31" t="s">
        <v>50</v>
      </c>
      <c r="H12" s="32" t="s">
        <v>59</v>
      </c>
      <c r="I12" s="32"/>
      <c r="J12" s="32">
        <v>46258</v>
      </c>
      <c r="K12" s="31"/>
      <c r="L12" s="31"/>
      <c r="M12" s="75" t="str">
        <f ca="1">IF($A12="","",IF($G12="Did not pass re-test","Sent back again",IF(NOT(ISNUMBER($B12)),"Missing sent-back date",IF($J12&lt;&gt;"","Fixed",IF($I12="","UNCLAIMED "&amp;(TODAY()-$B12)&amp;" d",IF(TODAY()&gt;$I12,(TODAY()-$I12)&amp;" d LATE","Open "&amp;(TODAY()-$B12)&amp;" d"))))))</f>
        <v>Fixed</v>
      </c>
      <c r="N12" t="s">
        <v>50</v>
      </c>
      <c r="P12" t="str">
        <f>'Combined Delivery Data'!B15</f>
        <v>RPT_04_PSC Leak Printout</v>
      </c>
      <c r="Q12">
        <f t="shared" si="0"/>
        <v>0</v>
      </c>
      <c r="R12">
        <f t="shared" si="1"/>
        <v>0</v>
      </c>
      <c r="S12" s="28" t="str">
        <f t="shared" si="2"/>
        <v/>
      </c>
      <c r="T12" t="str">
        <f t="shared" si="3"/>
        <v/>
      </c>
    </row>
    <row r="13" spans="1:20">
      <c r="A13" s="31" t="s">
        <v>146</v>
      </c>
      <c r="B13" s="32">
        <v>46258</v>
      </c>
      <c r="C13" s="31" t="s">
        <v>206</v>
      </c>
      <c r="D13" s="31" t="s">
        <v>223</v>
      </c>
      <c r="E13" s="31" t="s">
        <v>144</v>
      </c>
      <c r="F13" s="31" t="s">
        <v>381</v>
      </c>
      <c r="G13" s="31" t="s">
        <v>50</v>
      </c>
      <c r="H13" s="32" t="s">
        <v>46</v>
      </c>
      <c r="I13" s="32"/>
      <c r="J13" s="32">
        <v>46258</v>
      </c>
      <c r="K13" s="31"/>
      <c r="L13" s="31"/>
      <c r="M13" s="3" t="str">
        <f t="shared" ca="1" si="4"/>
        <v>Fixed</v>
      </c>
      <c r="N13" t="s">
        <v>50</v>
      </c>
      <c r="P13" t="str">
        <f>'Combined Delivery Data'!B20</f>
        <v>RPT_04_Leak Control Report</v>
      </c>
      <c r="Q13">
        <f t="shared" si="0"/>
        <v>0</v>
      </c>
      <c r="R13">
        <f t="shared" si="1"/>
        <v>0</v>
      </c>
      <c r="S13" s="28" t="str">
        <f t="shared" si="2"/>
        <v/>
      </c>
      <c r="T13" t="str">
        <f t="shared" si="3"/>
        <v/>
      </c>
    </row>
    <row r="14" spans="1:20">
      <c r="A14" s="31" t="s">
        <v>156</v>
      </c>
      <c r="B14" s="32">
        <v>46258</v>
      </c>
      <c r="C14" s="31" t="s">
        <v>206</v>
      </c>
      <c r="D14" s="31" t="s">
        <v>223</v>
      </c>
      <c r="E14" s="31" t="s">
        <v>144</v>
      </c>
      <c r="F14" s="31" t="s">
        <v>382</v>
      </c>
      <c r="G14" s="31" t="s">
        <v>50</v>
      </c>
      <c r="H14" s="32" t="s">
        <v>77</v>
      </c>
      <c r="I14" s="32"/>
      <c r="J14" s="32">
        <v>46258</v>
      </c>
      <c r="K14" s="31"/>
      <c r="L14" s="31"/>
      <c r="M14" s="3" t="str">
        <f t="shared" ca="1" si="4"/>
        <v>Fixed</v>
      </c>
      <c r="N14" t="s">
        <v>50</v>
      </c>
      <c r="P14" t="str">
        <f>'Combined Delivery Data'!B21</f>
        <v>RPT_04_Leak Life Cycle</v>
      </c>
      <c r="Q14">
        <f t="shared" si="0"/>
        <v>0</v>
      </c>
      <c r="R14">
        <f t="shared" si="1"/>
        <v>0</v>
      </c>
      <c r="S14" s="28" t="str">
        <f t="shared" si="2"/>
        <v/>
      </c>
      <c r="T14" t="str">
        <f t="shared" si="3"/>
        <v/>
      </c>
    </row>
    <row r="15" spans="1:20">
      <c r="A15" s="31" t="s">
        <v>149</v>
      </c>
      <c r="B15" s="32">
        <v>46258</v>
      </c>
      <c r="C15" s="31" t="s">
        <v>206</v>
      </c>
      <c r="D15" s="31" t="s">
        <v>263</v>
      </c>
      <c r="E15" s="31" t="s">
        <v>144</v>
      </c>
      <c r="F15" s="31" t="s">
        <v>383</v>
      </c>
      <c r="G15" s="31" t="s">
        <v>50</v>
      </c>
      <c r="H15" s="32" t="s">
        <v>65</v>
      </c>
      <c r="I15" s="32"/>
      <c r="J15" s="32">
        <v>46258</v>
      </c>
      <c r="K15" s="31"/>
      <c r="L15" s="31"/>
      <c r="M15" s="3" t="str">
        <f t="shared" ca="1" si="4"/>
        <v>Fixed</v>
      </c>
      <c r="N15" t="s">
        <v>379</v>
      </c>
      <c r="P15" t="str">
        <f>'Combined Delivery Data'!B10</f>
        <v>RPT_04_Rechecks Completed less than 14 days</v>
      </c>
      <c r="Q15">
        <f t="shared" si="0"/>
        <v>0</v>
      </c>
      <c r="R15">
        <f t="shared" si="1"/>
        <v>0</v>
      </c>
      <c r="S15" s="28" t="str">
        <f t="shared" si="2"/>
        <v/>
      </c>
      <c r="T15" t="str">
        <f t="shared" si="3"/>
        <v/>
      </c>
    </row>
    <row r="16" spans="1:20">
      <c r="A16" s="31" t="s">
        <v>146</v>
      </c>
      <c r="B16" s="32">
        <v>46260</v>
      </c>
      <c r="C16" s="31" t="s">
        <v>206</v>
      </c>
      <c r="D16" s="31" t="s">
        <v>223</v>
      </c>
      <c r="E16" s="31" t="s">
        <v>144</v>
      </c>
      <c r="F16" s="31" t="s">
        <v>384</v>
      </c>
      <c r="G16" s="31" t="s">
        <v>50</v>
      </c>
      <c r="H16" s="32" t="s">
        <v>46</v>
      </c>
      <c r="I16" s="32"/>
      <c r="J16" s="32"/>
      <c r="K16" s="31"/>
      <c r="L16" s="31"/>
      <c r="M16" s="3"/>
      <c r="S16" s="28"/>
    </row>
    <row r="17" spans="1:20">
      <c r="A17" s="33" t="s">
        <v>181</v>
      </c>
      <c r="B17" s="32">
        <v>46261</v>
      </c>
      <c r="C17" s="31" t="s">
        <v>206</v>
      </c>
      <c r="D17" s="31" t="s">
        <v>263</v>
      </c>
      <c r="E17" s="31" t="s">
        <v>129</v>
      </c>
      <c r="F17" s="31" t="s">
        <v>385</v>
      </c>
      <c r="G17" s="31" t="s">
        <v>50</v>
      </c>
      <c r="H17" s="32" t="s">
        <v>155</v>
      </c>
      <c r="I17" s="32"/>
      <c r="J17" s="32">
        <v>46261</v>
      </c>
      <c r="K17" s="31" t="s">
        <v>155</v>
      </c>
      <c r="L17" s="31"/>
      <c r="M17" s="3" t="str">
        <f t="shared" ca="1" si="4"/>
        <v>Fixed</v>
      </c>
      <c r="N17" t="s">
        <v>50</v>
      </c>
      <c r="P17" t="str">
        <f>'Combined Delivery Data'!B12</f>
        <v>RPT_04_CMS Leak Productivity</v>
      </c>
      <c r="Q17">
        <f t="shared" ref="Q17:Q80" si="5">IF($P17="","",COUNTIF($A$2:$A$497,$P17))</f>
        <v>0</v>
      </c>
      <c r="R17">
        <f t="shared" ref="R17:R80" si="6">IF($P17="","",SUMPRODUCT(($A$2:$A$497=$P17)*($G$2:$G$497&lt;&gt;"Yes")*($G$2:$G$497&lt;&gt;"Did not pass re-test")))</f>
        <v>0</v>
      </c>
      <c r="S17" s="28" t="str">
        <f t="shared" ref="S17:S44" si="7">IF($P17="","",IF(SUMPRODUCT(MAX(($A$2:$A$497=$P17)*ROW($A$2:$A$497)))=0,"",INDEX($B:$B,SUMPRODUCT(MAX(($A$2:$A$497=$P17)*ROW($A$2:$A$497))))))</f>
        <v/>
      </c>
      <c r="T17" t="str">
        <f t="shared" ref="T17:T44" si="8">IF($P17="","",IF(SUMPRODUCT(MAX(($A$2:$A$497=$P17)*ROW($A$2:$A$497)))=0,"",INDEX($C:$C,SUMPRODUCT(MAX(($A$2:$A$497=$P17)*ROW($A$2:$A$497))))&amp;" -&gt; "&amp;INDEX($D:$D,SUMPRODUCT(MAX(($A$2:$A$497=$P17)*ROW($A$2:$A$497))))))</f>
        <v/>
      </c>
    </row>
    <row r="18" spans="1:20">
      <c r="A18" s="31" t="s">
        <v>146</v>
      </c>
      <c r="B18" s="32">
        <v>46262</v>
      </c>
      <c r="C18" s="31" t="s">
        <v>206</v>
      </c>
      <c r="D18" s="31" t="s">
        <v>223</v>
      </c>
      <c r="E18" s="31" t="s">
        <v>144</v>
      </c>
      <c r="F18" s="31" t="s">
        <v>386</v>
      </c>
      <c r="G18" s="31" t="s">
        <v>50</v>
      </c>
      <c r="H18" s="32" t="s">
        <v>46</v>
      </c>
      <c r="I18" s="32"/>
      <c r="J18" s="32">
        <v>46266</v>
      </c>
      <c r="K18" s="31"/>
      <c r="L18" s="31"/>
      <c r="M18" s="3" t="str">
        <f t="shared" ca="1" si="4"/>
        <v>Fixed</v>
      </c>
      <c r="N18" t="s">
        <v>376</v>
      </c>
      <c r="P18" t="str">
        <f>'Combined Delivery Data'!B13</f>
        <v>RPT_04_Main Break Corrosion and Leak Cluster</v>
      </c>
      <c r="Q18">
        <f t="shared" si="5"/>
        <v>0</v>
      </c>
      <c r="R18">
        <f t="shared" si="6"/>
        <v>0</v>
      </c>
      <c r="S18" s="28" t="str">
        <f t="shared" si="7"/>
        <v/>
      </c>
      <c r="T18" t="str">
        <f t="shared" si="8"/>
        <v/>
      </c>
    </row>
    <row r="19" spans="1:20">
      <c r="A19" s="31" t="s">
        <v>173</v>
      </c>
      <c r="B19" s="32">
        <v>46265</v>
      </c>
      <c r="C19" s="31" t="s">
        <v>206</v>
      </c>
      <c r="D19" s="31" t="s">
        <v>223</v>
      </c>
      <c r="E19" s="31" t="s">
        <v>47</v>
      </c>
      <c r="F19" s="31" t="s">
        <v>387</v>
      </c>
      <c r="G19" s="31" t="s">
        <v>50</v>
      </c>
      <c r="H19" s="32" t="s">
        <v>77</v>
      </c>
      <c r="I19" s="32">
        <v>46265</v>
      </c>
      <c r="J19" s="32">
        <v>46265</v>
      </c>
      <c r="K19" s="31" t="s">
        <v>77</v>
      </c>
      <c r="L19" s="31" t="s">
        <v>388</v>
      </c>
      <c r="M19" s="3" t="str">
        <f t="shared" ca="1" si="4"/>
        <v>Fixed</v>
      </c>
      <c r="N19" t="s">
        <v>379</v>
      </c>
      <c r="P19" t="str">
        <f>'Combined Delivery Data'!B14</f>
        <v>RPT_04_Leak Summary Status</v>
      </c>
      <c r="Q19">
        <f t="shared" si="5"/>
        <v>0</v>
      </c>
      <c r="R19">
        <f t="shared" si="6"/>
        <v>0</v>
      </c>
      <c r="S19" s="28" t="str">
        <f t="shared" si="7"/>
        <v/>
      </c>
      <c r="T19" t="str">
        <f t="shared" si="8"/>
        <v/>
      </c>
    </row>
    <row r="20" spans="1:20">
      <c r="A20" s="31" t="s">
        <v>175</v>
      </c>
      <c r="B20" s="32">
        <v>46265</v>
      </c>
      <c r="C20" s="31" t="s">
        <v>206</v>
      </c>
      <c r="D20" s="31" t="s">
        <v>263</v>
      </c>
      <c r="E20" s="31" t="s">
        <v>47</v>
      </c>
      <c r="F20" s="31" t="s">
        <v>389</v>
      </c>
      <c r="G20" s="31" t="s">
        <v>50</v>
      </c>
      <c r="H20" s="32" t="s">
        <v>84</v>
      </c>
      <c r="I20" s="32">
        <v>46266</v>
      </c>
      <c r="J20" s="32">
        <v>46266</v>
      </c>
      <c r="K20" s="31"/>
      <c r="L20" s="31" t="s">
        <v>390</v>
      </c>
      <c r="M20" s="3" t="str">
        <f t="shared" ca="1" si="4"/>
        <v>Fixed</v>
      </c>
      <c r="N20" t="s">
        <v>50</v>
      </c>
      <c r="P20" t="str">
        <f>'Combined Delivery Data'!B15</f>
        <v>RPT_04_PSC Leak Printout</v>
      </c>
      <c r="Q20">
        <f t="shared" si="5"/>
        <v>0</v>
      </c>
      <c r="R20">
        <f t="shared" si="6"/>
        <v>0</v>
      </c>
      <c r="S20" s="28" t="str">
        <f t="shared" si="7"/>
        <v/>
      </c>
      <c r="T20" t="str">
        <f t="shared" si="8"/>
        <v/>
      </c>
    </row>
    <row r="21" spans="1:20">
      <c r="A21" s="53" t="s">
        <v>139</v>
      </c>
      <c r="B21" s="32">
        <v>46265</v>
      </c>
      <c r="C21" s="31" t="s">
        <v>206</v>
      </c>
      <c r="D21" s="31" t="s">
        <v>263</v>
      </c>
      <c r="E21" s="31" t="s">
        <v>129</v>
      </c>
      <c r="F21" s="31" t="s">
        <v>391</v>
      </c>
      <c r="G21" s="31" t="s">
        <v>50</v>
      </c>
      <c r="H21" s="32" t="s">
        <v>59</v>
      </c>
      <c r="I21" s="32"/>
      <c r="J21" s="32">
        <v>46266</v>
      </c>
      <c r="K21" s="31" t="s">
        <v>59</v>
      </c>
      <c r="L21" s="31"/>
      <c r="M21" s="3" t="str">
        <f t="shared" ca="1" si="4"/>
        <v>Fixed</v>
      </c>
      <c r="N21" t="s">
        <v>379</v>
      </c>
      <c r="P21" t="str">
        <f>'Combined Delivery Data'!B21</f>
        <v>RPT_04_Leak Life Cycle</v>
      </c>
      <c r="Q21">
        <f t="shared" si="5"/>
        <v>0</v>
      </c>
      <c r="R21">
        <f t="shared" si="6"/>
        <v>0</v>
      </c>
      <c r="S21" s="28" t="str">
        <f t="shared" si="7"/>
        <v/>
      </c>
      <c r="T21" t="str">
        <f t="shared" si="8"/>
        <v/>
      </c>
    </row>
    <row r="22" spans="1:20">
      <c r="A22" s="31" t="s">
        <v>169</v>
      </c>
      <c r="B22" s="32">
        <v>46266</v>
      </c>
      <c r="C22" s="31" t="s">
        <v>206</v>
      </c>
      <c r="D22" s="31" t="s">
        <v>223</v>
      </c>
      <c r="E22" s="31" t="s">
        <v>47</v>
      </c>
      <c r="F22" s="31" t="s">
        <v>392</v>
      </c>
      <c r="G22" s="31" t="s">
        <v>50</v>
      </c>
      <c r="H22" s="32" t="s">
        <v>46</v>
      </c>
      <c r="I22" s="32">
        <v>46267</v>
      </c>
      <c r="J22" s="32">
        <v>46268</v>
      </c>
      <c r="K22" s="31" t="s">
        <v>46</v>
      </c>
      <c r="L22" s="31" t="s">
        <v>390</v>
      </c>
      <c r="M22" s="3" t="str">
        <f t="shared" ca="1" si="4"/>
        <v>Fixed</v>
      </c>
      <c r="N22" t="s">
        <v>50</v>
      </c>
      <c r="P22" t="str">
        <f>'Combined Delivery Data'!B22</f>
        <v>RPT_04_Leak Life Cycle Legacy LMS LI</v>
      </c>
      <c r="Q22">
        <f t="shared" si="5"/>
        <v>0</v>
      </c>
      <c r="R22">
        <f t="shared" si="6"/>
        <v>0</v>
      </c>
      <c r="S22" s="28" t="str">
        <f t="shared" si="7"/>
        <v/>
      </c>
      <c r="T22" t="str">
        <f t="shared" si="8"/>
        <v/>
      </c>
    </row>
    <row r="23" spans="1:20">
      <c r="A23" s="31" t="s">
        <v>169</v>
      </c>
      <c r="B23" s="32">
        <v>46266</v>
      </c>
      <c r="C23" s="31" t="s">
        <v>206</v>
      </c>
      <c r="D23" s="31" t="s">
        <v>223</v>
      </c>
      <c r="E23" s="31" t="s">
        <v>47</v>
      </c>
      <c r="F23" s="31" t="s">
        <v>393</v>
      </c>
      <c r="G23" s="31" t="s">
        <v>50</v>
      </c>
      <c r="H23" s="32" t="s">
        <v>46</v>
      </c>
      <c r="I23" s="138">
        <v>46267</v>
      </c>
      <c r="J23" s="32">
        <v>46268</v>
      </c>
      <c r="K23" s="31" t="s">
        <v>46</v>
      </c>
      <c r="L23" s="31" t="s">
        <v>390</v>
      </c>
      <c r="M23" s="3" t="str">
        <f t="shared" ca="1" si="4"/>
        <v>Fixed</v>
      </c>
      <c r="N23" t="s">
        <v>379</v>
      </c>
      <c r="P23" t="str">
        <f>'Combined Delivery Data'!B23</f>
        <v>RPT_04_Leak Increase Reads</v>
      </c>
      <c r="Q23">
        <f t="shared" si="5"/>
        <v>0</v>
      </c>
      <c r="R23">
        <f t="shared" si="6"/>
        <v>0</v>
      </c>
      <c r="S23" s="28" t="str">
        <f t="shared" si="7"/>
        <v/>
      </c>
      <c r="T23" t="str">
        <f t="shared" si="8"/>
        <v/>
      </c>
    </row>
    <row r="24" spans="1:20" ht="30" customHeight="1">
      <c r="A24" s="31" t="s">
        <v>169</v>
      </c>
      <c r="B24" s="32">
        <v>46267</v>
      </c>
      <c r="C24" s="31" t="s">
        <v>206</v>
      </c>
      <c r="D24" s="31" t="s">
        <v>223</v>
      </c>
      <c r="E24" s="31" t="s">
        <v>47</v>
      </c>
      <c r="F24" s="76" t="s">
        <v>394</v>
      </c>
      <c r="G24" s="31" t="s">
        <v>50</v>
      </c>
      <c r="H24" s="32" t="s">
        <v>46</v>
      </c>
      <c r="I24" s="32">
        <v>46267</v>
      </c>
      <c r="J24" s="32">
        <v>46268</v>
      </c>
      <c r="K24" s="31" t="s">
        <v>46</v>
      </c>
      <c r="L24" s="31" t="s">
        <v>390</v>
      </c>
      <c r="M24" s="3" t="str">
        <f t="shared" ca="1" si="4"/>
        <v>Fixed</v>
      </c>
      <c r="N24" s="33" t="s">
        <v>379</v>
      </c>
      <c r="P24" t="str">
        <f>'Combined Delivery Data'!B24</f>
        <v>Leak 360 Dashboard</v>
      </c>
      <c r="Q24">
        <f t="shared" si="5"/>
        <v>0</v>
      </c>
      <c r="R24">
        <f t="shared" si="6"/>
        <v>0</v>
      </c>
      <c r="S24" s="28" t="str">
        <f t="shared" si="7"/>
        <v/>
      </c>
      <c r="T24" t="str">
        <f t="shared" si="8"/>
        <v/>
      </c>
    </row>
    <row r="25" spans="1:20">
      <c r="A25" s="53" t="s">
        <v>186</v>
      </c>
      <c r="B25" s="32">
        <v>46267</v>
      </c>
      <c r="C25" s="31" t="s">
        <v>206</v>
      </c>
      <c r="D25" s="31" t="s">
        <v>223</v>
      </c>
      <c r="E25" s="31" t="s">
        <v>129</v>
      </c>
      <c r="F25" s="31" t="s">
        <v>395</v>
      </c>
      <c r="G25" s="31" t="s">
        <v>50</v>
      </c>
      <c r="H25" s="32" t="s">
        <v>46</v>
      </c>
      <c r="I25" s="32"/>
      <c r="J25" s="32"/>
      <c r="K25" s="31"/>
      <c r="L25" s="31"/>
      <c r="M25" s="3" t="str">
        <f ca="1">IF($A25="","",IF($G25="Did not pass re-test","Sent back again",IF(NOT(ISNUMBER($B25)),"Missing sent-back date",IF($J25&lt;&gt;"","Fixed",IF($I25="","UNCLAIMED "&amp;(TODAY()-$B25)&amp;" d",IF(TODAY()&gt;$I25,(TODAY()-$I25)&amp;" d LATE","Open "&amp;(TODAY()-$B25)&amp;" d"))))))</f>
        <v>UNCLAIMED 44 d</v>
      </c>
      <c r="N25" t="s">
        <v>50</v>
      </c>
      <c r="P25" t="str">
        <f>'Combined Delivery Data'!B25</f>
        <v>RPT_04_Leak Recheck Control</v>
      </c>
      <c r="Q25">
        <f t="shared" si="5"/>
        <v>0</v>
      </c>
      <c r="R25">
        <f t="shared" si="6"/>
        <v>0</v>
      </c>
      <c r="S25" s="28" t="str">
        <f t="shared" si="7"/>
        <v/>
      </c>
      <c r="T25" t="str">
        <f t="shared" si="8"/>
        <v/>
      </c>
    </row>
    <row r="26" spans="1:20">
      <c r="A26" s="53" t="s">
        <v>181</v>
      </c>
      <c r="B26" s="32">
        <v>46267</v>
      </c>
      <c r="C26" s="31" t="s">
        <v>206</v>
      </c>
      <c r="D26" s="31" t="s">
        <v>263</v>
      </c>
      <c r="E26" s="31" t="s">
        <v>129</v>
      </c>
      <c r="F26" s="31" t="s">
        <v>385</v>
      </c>
      <c r="G26" s="31" t="s">
        <v>50</v>
      </c>
      <c r="H26" s="32" t="s">
        <v>155</v>
      </c>
      <c r="I26" s="32"/>
      <c r="J26" s="32">
        <v>46267</v>
      </c>
      <c r="K26" s="31" t="s">
        <v>155</v>
      </c>
      <c r="L26" s="31"/>
      <c r="M26" s="3" t="str">
        <f ca="1">IF($A26="","",IF($G26="Did not pass re-test","Sent back again",IF(NOT(ISNUMBER($B26)),"Missing sent-back date",IF($J26&lt;&gt;"","Fixed",IF($I26="","UNCLAIMED "&amp;(TODAY()-$B26)&amp;" d",IF(TODAY()&gt;$I26,(TODAY()-$I26)&amp;" d LATE","Open "&amp;(TODAY()-$B26)&amp;" d"))))))</f>
        <v>Fixed</v>
      </c>
      <c r="N26" t="s">
        <v>379</v>
      </c>
      <c r="P26" t="str">
        <f>'Combined Delivery Data'!B26</f>
        <v>RPT_04_Main_Replacement Report</v>
      </c>
      <c r="Q26">
        <f t="shared" si="5"/>
        <v>0</v>
      </c>
      <c r="R26">
        <f t="shared" si="6"/>
        <v>0</v>
      </c>
      <c r="S26" s="28" t="str">
        <f t="shared" si="7"/>
        <v/>
      </c>
      <c r="T26" t="str">
        <f t="shared" si="8"/>
        <v/>
      </c>
    </row>
    <row r="27" spans="1:20">
      <c r="A27" s="31" t="s">
        <v>156</v>
      </c>
      <c r="B27" s="32">
        <v>46267</v>
      </c>
      <c r="C27" s="31" t="s">
        <v>206</v>
      </c>
      <c r="D27" s="31" t="s">
        <v>223</v>
      </c>
      <c r="E27" s="31" t="s">
        <v>144</v>
      </c>
      <c r="F27" s="31" t="s">
        <v>396</v>
      </c>
      <c r="G27" s="31" t="s">
        <v>50</v>
      </c>
      <c r="H27" s="32" t="s">
        <v>77</v>
      </c>
      <c r="I27" s="32"/>
      <c r="J27" s="32">
        <v>46267</v>
      </c>
      <c r="K27" s="31" t="s">
        <v>77</v>
      </c>
      <c r="L27" s="31" t="s">
        <v>397</v>
      </c>
      <c r="M27" s="3" t="str">
        <f t="shared" ca="1" si="4"/>
        <v>Fixed</v>
      </c>
      <c r="N27" t="s">
        <v>379</v>
      </c>
      <c r="P27" t="str">
        <f>'Combined Delivery Data'!B27</f>
        <v>New Report: Leak Repair Exception</v>
      </c>
      <c r="Q27">
        <f t="shared" si="5"/>
        <v>0</v>
      </c>
      <c r="R27">
        <f t="shared" si="6"/>
        <v>0</v>
      </c>
      <c r="S27" s="28" t="str">
        <f t="shared" si="7"/>
        <v/>
      </c>
      <c r="T27" t="str">
        <f t="shared" si="8"/>
        <v/>
      </c>
    </row>
    <row r="28" spans="1:20">
      <c r="A28" s="31" t="s">
        <v>137</v>
      </c>
      <c r="B28" s="32">
        <v>46267</v>
      </c>
      <c r="C28" s="31" t="s">
        <v>206</v>
      </c>
      <c r="D28" s="31" t="s">
        <v>223</v>
      </c>
      <c r="E28" s="31" t="s">
        <v>129</v>
      </c>
      <c r="F28" s="31" t="s">
        <v>396</v>
      </c>
      <c r="G28" s="31" t="s">
        <v>50</v>
      </c>
      <c r="H28" s="32" t="s">
        <v>77</v>
      </c>
      <c r="I28" s="32"/>
      <c r="J28" s="32">
        <v>46267</v>
      </c>
      <c r="K28" s="31" t="s">
        <v>77</v>
      </c>
      <c r="L28" s="113" t="s">
        <v>397</v>
      </c>
      <c r="M28" s="3" t="str">
        <f t="shared" ca="1" si="4"/>
        <v>Fixed</v>
      </c>
      <c r="N28" t="s">
        <v>50</v>
      </c>
      <c r="P28" t="str">
        <f>'Combined Delivery Data'!B28</f>
        <v>New Report: (Leak reading sample point mismatch ) Creating a new report that...</v>
      </c>
      <c r="Q28">
        <f t="shared" si="5"/>
        <v>0</v>
      </c>
      <c r="R28">
        <f t="shared" si="6"/>
        <v>0</v>
      </c>
      <c r="S28" s="28" t="str">
        <f t="shared" si="7"/>
        <v/>
      </c>
      <c r="T28" t="str">
        <f t="shared" si="8"/>
        <v/>
      </c>
    </row>
    <row r="29" spans="1:20">
      <c r="A29" s="31" t="s">
        <v>157</v>
      </c>
      <c r="B29" s="32">
        <v>46267</v>
      </c>
      <c r="C29" s="31" t="s">
        <v>206</v>
      </c>
      <c r="D29" s="31" t="s">
        <v>223</v>
      </c>
      <c r="E29" s="31" t="s">
        <v>129</v>
      </c>
      <c r="F29" s="31" t="s">
        <v>396</v>
      </c>
      <c r="G29" s="31" t="s">
        <v>50</v>
      </c>
      <c r="H29" s="32" t="s">
        <v>77</v>
      </c>
      <c r="I29" s="32"/>
      <c r="J29" s="32">
        <v>46267</v>
      </c>
      <c r="K29" s="31" t="s">
        <v>77</v>
      </c>
      <c r="L29" s="113" t="s">
        <v>397</v>
      </c>
      <c r="M29" s="3" t="str">
        <f t="shared" ca="1" si="4"/>
        <v>Fixed</v>
      </c>
      <c r="N29" t="s">
        <v>50</v>
      </c>
      <c r="P29" t="str">
        <f>'Combined Delivery Data'!B29</f>
        <v>RPT_02_CO Flue Warning Tag Control</v>
      </c>
      <c r="Q29">
        <f t="shared" si="5"/>
        <v>1</v>
      </c>
      <c r="R29">
        <f t="shared" si="6"/>
        <v>0</v>
      </c>
      <c r="S29" s="28">
        <f t="shared" si="7"/>
        <v>46238</v>
      </c>
      <c r="T29" t="str">
        <f t="shared" si="8"/>
        <v>QA -&gt; DB Dev</v>
      </c>
    </row>
    <row r="30" spans="1:20">
      <c r="A30" s="53" t="s">
        <v>181</v>
      </c>
      <c r="B30" s="32">
        <v>46267</v>
      </c>
      <c r="C30" s="31" t="s">
        <v>206</v>
      </c>
      <c r="D30" s="31" t="s">
        <v>263</v>
      </c>
      <c r="E30" s="31" t="s">
        <v>129</v>
      </c>
      <c r="F30" s="31" t="s">
        <v>398</v>
      </c>
      <c r="G30" s="31" t="s">
        <v>50</v>
      </c>
      <c r="H30" s="32" t="s">
        <v>155</v>
      </c>
      <c r="I30" s="32"/>
      <c r="J30" s="32">
        <v>46267</v>
      </c>
      <c r="K30" s="31" t="s">
        <v>155</v>
      </c>
      <c r="L30" s="31"/>
      <c r="M30" s="3" t="str">
        <f t="shared" ca="1" si="4"/>
        <v>Fixed</v>
      </c>
      <c r="N30" t="s">
        <v>379</v>
      </c>
      <c r="P30" t="str">
        <f>'Combined Delivery Data'!B30</f>
        <v>RPT_02_Warning Tag HEFPA</v>
      </c>
      <c r="Q30">
        <f t="shared" si="5"/>
        <v>3</v>
      </c>
      <c r="R30">
        <f t="shared" si="6"/>
        <v>0</v>
      </c>
      <c r="S30" s="28">
        <f t="shared" si="7"/>
        <v>46254</v>
      </c>
      <c r="T30" t="str">
        <f t="shared" si="8"/>
        <v>QA -&gt; DB Dev</v>
      </c>
    </row>
    <row r="31" spans="1:20">
      <c r="A31" s="31" t="s">
        <v>164</v>
      </c>
      <c r="B31" s="32">
        <v>46268</v>
      </c>
      <c r="C31" s="31" t="s">
        <v>206</v>
      </c>
      <c r="D31" s="31" t="s">
        <v>263</v>
      </c>
      <c r="E31" s="31" t="s">
        <v>47</v>
      </c>
      <c r="F31" s="31" t="s">
        <v>399</v>
      </c>
      <c r="G31" s="31" t="s">
        <v>50</v>
      </c>
      <c r="H31" s="32" t="s">
        <v>103</v>
      </c>
      <c r="I31" s="32">
        <v>46269</v>
      </c>
      <c r="J31" s="32">
        <v>46269</v>
      </c>
      <c r="K31" s="31"/>
      <c r="L31" s="31" t="s">
        <v>390</v>
      </c>
      <c r="M31" s="3" t="str">
        <f t="shared" ca="1" si="4"/>
        <v>Fixed</v>
      </c>
      <c r="N31" t="s">
        <v>50</v>
      </c>
      <c r="P31" t="str">
        <f>'Combined Delivery Data'!B31</f>
        <v>RPT_02_Warning tag Printout</v>
      </c>
      <c r="Q31">
        <f t="shared" si="5"/>
        <v>1</v>
      </c>
      <c r="R31">
        <f t="shared" si="6"/>
        <v>0</v>
      </c>
      <c r="S31" s="28">
        <f t="shared" si="7"/>
        <v>46267</v>
      </c>
      <c r="T31" t="str">
        <f t="shared" si="8"/>
        <v>QA -&gt; PBI Dev</v>
      </c>
    </row>
    <row r="32" spans="1:20">
      <c r="A32" s="31" t="s">
        <v>183</v>
      </c>
      <c r="B32" s="32">
        <v>46267</v>
      </c>
      <c r="C32" s="31" t="s">
        <v>206</v>
      </c>
      <c r="D32" s="31" t="s">
        <v>263</v>
      </c>
      <c r="E32" s="31" t="s">
        <v>201</v>
      </c>
      <c r="F32" s="31" t="s">
        <v>400</v>
      </c>
      <c r="G32" s="31" t="s">
        <v>50</v>
      </c>
      <c r="H32" s="32" t="s">
        <v>44</v>
      </c>
      <c r="I32" s="32"/>
      <c r="J32" s="32">
        <v>46268</v>
      </c>
      <c r="K32" s="31"/>
      <c r="L32" s="31"/>
      <c r="M32" s="3" t="str">
        <f t="shared" ca="1" si="4"/>
        <v>Fixed</v>
      </c>
      <c r="N32" t="s">
        <v>50</v>
      </c>
      <c r="P32" t="str">
        <f>'Combined Delivery Data'!B32</f>
        <v>RPT_02_Corrosion</v>
      </c>
      <c r="Q32">
        <f t="shared" si="5"/>
        <v>2</v>
      </c>
      <c r="R32">
        <f t="shared" si="6"/>
        <v>0</v>
      </c>
      <c r="S32" s="28">
        <f t="shared" si="7"/>
        <v>46265</v>
      </c>
      <c r="T32" t="str">
        <f t="shared" si="8"/>
        <v>QA -&gt; DB Dev</v>
      </c>
    </row>
    <row r="33" spans="1:20">
      <c r="A33" s="31" t="s">
        <v>164</v>
      </c>
      <c r="B33" s="32">
        <v>46273</v>
      </c>
      <c r="C33" s="31" t="s">
        <v>206</v>
      </c>
      <c r="D33" s="31" t="s">
        <v>263</v>
      </c>
      <c r="E33" s="31" t="s">
        <v>47</v>
      </c>
      <c r="F33" s="31" t="s">
        <v>401</v>
      </c>
      <c r="G33" s="31" t="s">
        <v>50</v>
      </c>
      <c r="H33" s="32" t="s">
        <v>103</v>
      </c>
      <c r="I33" s="32">
        <v>46274</v>
      </c>
      <c r="J33" s="32">
        <v>46274</v>
      </c>
      <c r="K33" s="31"/>
      <c r="L33" s="31" t="s">
        <v>390</v>
      </c>
      <c r="M33" s="3" t="str">
        <f t="shared" ca="1" si="4"/>
        <v>Fixed</v>
      </c>
      <c r="N33" t="s">
        <v>50</v>
      </c>
      <c r="P33" t="str">
        <f>'Combined Delivery Data'!B33</f>
        <v>RPT_02_House Pipe Test Comment Control</v>
      </c>
      <c r="Q33">
        <f t="shared" si="5"/>
        <v>1</v>
      </c>
      <c r="R33">
        <f t="shared" si="6"/>
        <v>0</v>
      </c>
      <c r="S33" s="28">
        <f t="shared" si="7"/>
        <v>46234</v>
      </c>
      <c r="T33" t="str">
        <f t="shared" si="8"/>
        <v>QA -&gt; DB Dev</v>
      </c>
    </row>
    <row r="34" spans="1:20" ht="25.5" customHeight="1">
      <c r="A34" s="31" t="s">
        <v>193</v>
      </c>
      <c r="B34" s="32">
        <v>46274</v>
      </c>
      <c r="C34" s="31" t="s">
        <v>206</v>
      </c>
      <c r="D34" s="31" t="s">
        <v>223</v>
      </c>
      <c r="E34" s="31" t="s">
        <v>47</v>
      </c>
      <c r="F34" s="76" t="s">
        <v>402</v>
      </c>
      <c r="G34" s="31" t="s">
        <v>50</v>
      </c>
      <c r="H34" s="32" t="s">
        <v>77</v>
      </c>
      <c r="I34" s="32">
        <v>46275</v>
      </c>
      <c r="J34" s="32">
        <v>46275</v>
      </c>
      <c r="K34" s="31" t="s">
        <v>77</v>
      </c>
      <c r="L34" s="31" t="s">
        <v>403</v>
      </c>
      <c r="M34" s="3" t="str">
        <f t="shared" ca="1" si="4"/>
        <v>Fixed</v>
      </c>
      <c r="N34" t="s">
        <v>50</v>
      </c>
      <c r="P34" t="str">
        <f>'Combined Delivery Data'!B34</f>
        <v>RPT_02_Required Regulator Inspection Performed Control</v>
      </c>
      <c r="Q34">
        <f t="shared" si="5"/>
        <v>2</v>
      </c>
      <c r="R34">
        <f t="shared" si="6"/>
        <v>0</v>
      </c>
      <c r="S34" s="28">
        <f t="shared" si="7"/>
        <v>46237</v>
      </c>
      <c r="T34" t="str">
        <f t="shared" si="8"/>
        <v>QA -&gt; DB Dev</v>
      </c>
    </row>
    <row r="35" spans="1:20">
      <c r="A35" s="33" t="s">
        <v>181</v>
      </c>
      <c r="B35" s="32">
        <v>46275</v>
      </c>
      <c r="C35" s="31" t="s">
        <v>206</v>
      </c>
      <c r="D35" s="31" t="s">
        <v>263</v>
      </c>
      <c r="E35" s="31" t="s">
        <v>129</v>
      </c>
      <c r="F35" s="31" t="s">
        <v>404</v>
      </c>
      <c r="G35" s="31" t="s">
        <v>50</v>
      </c>
      <c r="H35" s="32" t="s">
        <v>155</v>
      </c>
      <c r="I35" s="32"/>
      <c r="J35" s="32">
        <v>46276</v>
      </c>
      <c r="K35" s="31" t="s">
        <v>155</v>
      </c>
      <c r="L35" s="31"/>
      <c r="M35" s="3" t="str">
        <f t="shared" ca="1" si="4"/>
        <v>Fixed</v>
      </c>
      <c r="N35" t="s">
        <v>379</v>
      </c>
      <c r="P35" t="str">
        <f>'Combined Delivery Data'!B36</f>
        <v>RPT_02_Service Regulator Inspection Printout</v>
      </c>
      <c r="Q35">
        <f t="shared" si="5"/>
        <v>1</v>
      </c>
      <c r="R35">
        <f t="shared" si="6"/>
        <v>0</v>
      </c>
      <c r="S35" s="28">
        <f t="shared" si="7"/>
        <v>46258</v>
      </c>
      <c r="T35" t="str">
        <f t="shared" si="8"/>
        <v>QA -&gt; DB Dev</v>
      </c>
    </row>
    <row r="36" spans="1:20">
      <c r="A36" s="33" t="s">
        <v>186</v>
      </c>
      <c r="B36" s="32">
        <v>46275</v>
      </c>
      <c r="C36" s="31" t="s">
        <v>206</v>
      </c>
      <c r="D36" s="31" t="s">
        <v>263</v>
      </c>
      <c r="E36" s="31" t="s">
        <v>129</v>
      </c>
      <c r="F36" s="31" t="s">
        <v>405</v>
      </c>
      <c r="G36" s="31" t="s">
        <v>53</v>
      </c>
      <c r="H36" s="32" t="s">
        <v>65</v>
      </c>
      <c r="I36" s="32"/>
      <c r="J36" s="32">
        <v>46288</v>
      </c>
      <c r="K36" s="31"/>
      <c r="L36" s="31"/>
      <c r="M36" s="3" t="str">
        <f t="shared" ca="1" si="4"/>
        <v>Fixed</v>
      </c>
      <c r="N36" t="s">
        <v>379</v>
      </c>
      <c r="P36" t="str">
        <f>'Combined Delivery Data'!B37</f>
        <v>RPT_02_20 Year Regulator Inspection</v>
      </c>
      <c r="Q36">
        <f t="shared" si="5"/>
        <v>1</v>
      </c>
      <c r="R36">
        <f t="shared" si="6"/>
        <v>0</v>
      </c>
      <c r="S36" s="28">
        <f t="shared" si="7"/>
        <v>46254</v>
      </c>
      <c r="T36" t="str">
        <f t="shared" si="8"/>
        <v>QA -&gt; DB Dev</v>
      </c>
    </row>
    <row r="37" spans="1:20">
      <c r="A37" s="33" t="s">
        <v>181</v>
      </c>
      <c r="B37" s="32">
        <v>46279</v>
      </c>
      <c r="C37" s="31" t="s">
        <v>206</v>
      </c>
      <c r="D37" s="31" t="s">
        <v>263</v>
      </c>
      <c r="E37" s="31" t="s">
        <v>129</v>
      </c>
      <c r="F37" s="31" t="s">
        <v>406</v>
      </c>
      <c r="G37" s="31" t="s">
        <v>50</v>
      </c>
      <c r="H37" s="32" t="s">
        <v>155</v>
      </c>
      <c r="I37" s="32">
        <v>46282</v>
      </c>
      <c r="J37" s="32">
        <v>46282</v>
      </c>
      <c r="K37" s="31" t="s">
        <v>155</v>
      </c>
      <c r="L37" s="31" t="s">
        <v>407</v>
      </c>
      <c r="M37" s="3" t="str">
        <f t="shared" ca="1" si="4"/>
        <v>Fixed</v>
      </c>
      <c r="N37" t="s">
        <v>379</v>
      </c>
      <c r="P37" t="str">
        <f>'Combined Delivery Data'!B38</f>
        <v>RPT_02_Fixed Factor</v>
      </c>
      <c r="Q37">
        <f t="shared" si="5"/>
        <v>2</v>
      </c>
      <c r="R37">
        <f t="shared" si="6"/>
        <v>0</v>
      </c>
      <c r="S37" s="28">
        <f t="shared" si="7"/>
        <v>46251</v>
      </c>
      <c r="T37" t="str">
        <f t="shared" si="8"/>
        <v>QA -&gt; DB Dev</v>
      </c>
    </row>
    <row r="38" spans="1:20">
      <c r="A38" s="31" t="s">
        <v>190</v>
      </c>
      <c r="B38" s="32">
        <v>46279</v>
      </c>
      <c r="C38" s="31" t="s">
        <v>206</v>
      </c>
      <c r="D38" s="31" t="s">
        <v>223</v>
      </c>
      <c r="E38" s="31" t="s">
        <v>144</v>
      </c>
      <c r="F38" s="31" t="s">
        <v>408</v>
      </c>
      <c r="G38" s="31" t="s">
        <v>50</v>
      </c>
      <c r="H38" s="32" t="s">
        <v>77</v>
      </c>
      <c r="I38" s="32">
        <v>46281</v>
      </c>
      <c r="J38" s="32">
        <v>46281</v>
      </c>
      <c r="K38" s="31" t="s">
        <v>77</v>
      </c>
      <c r="L38" s="31" t="s">
        <v>409</v>
      </c>
      <c r="M38" s="3" t="str">
        <f t="shared" ca="1" si="4"/>
        <v>Fixed</v>
      </c>
      <c r="N38" t="s">
        <v>50</v>
      </c>
      <c r="P38" t="str">
        <f>'Combined Delivery Data'!B39</f>
        <v>RPT_02_Fixed Factor Printout</v>
      </c>
      <c r="Q38">
        <f t="shared" si="5"/>
        <v>2</v>
      </c>
      <c r="R38">
        <f t="shared" si="6"/>
        <v>0</v>
      </c>
      <c r="S38" s="28">
        <f t="shared" si="7"/>
        <v>46267</v>
      </c>
      <c r="T38" t="str">
        <f t="shared" si="8"/>
        <v>QA -&gt; PBI Dev</v>
      </c>
    </row>
    <row r="39" spans="1:20">
      <c r="A39" s="31" t="s">
        <v>208</v>
      </c>
      <c r="B39" s="32">
        <v>46280</v>
      </c>
      <c r="C39" s="31" t="s">
        <v>206</v>
      </c>
      <c r="D39" s="31" t="s">
        <v>263</v>
      </c>
      <c r="E39" s="31" t="s">
        <v>47</v>
      </c>
      <c r="F39" s="31" t="s">
        <v>410</v>
      </c>
      <c r="G39" s="31" t="s">
        <v>50</v>
      </c>
      <c r="H39" s="32" t="s">
        <v>44</v>
      </c>
      <c r="I39" s="32">
        <v>46283</v>
      </c>
      <c r="J39" s="32">
        <v>46283</v>
      </c>
      <c r="K39" s="31"/>
      <c r="L39" s="31" t="s">
        <v>411</v>
      </c>
      <c r="M39" s="3" t="str">
        <f t="shared" ca="1" si="4"/>
        <v>Fixed</v>
      </c>
      <c r="N39" t="s">
        <v>50</v>
      </c>
      <c r="P39" t="str">
        <f>'Combined Delivery Data'!B40</f>
        <v>RPT_02_Work Order Completion Printout</v>
      </c>
      <c r="Q39">
        <f t="shared" si="5"/>
        <v>1</v>
      </c>
      <c r="R39">
        <f t="shared" si="6"/>
        <v>0</v>
      </c>
      <c r="S39" s="28">
        <f t="shared" si="7"/>
        <v>46267</v>
      </c>
      <c r="T39" t="str">
        <f t="shared" si="8"/>
        <v>QA -&gt; PBI Dev</v>
      </c>
    </row>
    <row r="40" spans="1:20">
      <c r="A40" s="31" t="s">
        <v>204</v>
      </c>
      <c r="B40" s="32">
        <v>46281</v>
      </c>
      <c r="C40" s="31" t="s">
        <v>206</v>
      </c>
      <c r="D40" s="31" t="s">
        <v>223</v>
      </c>
      <c r="E40" s="31" t="s">
        <v>201</v>
      </c>
      <c r="F40" s="31" t="s">
        <v>412</v>
      </c>
      <c r="G40" s="31" t="s">
        <v>50</v>
      </c>
      <c r="H40" s="32" t="s">
        <v>46</v>
      </c>
      <c r="I40" s="32"/>
      <c r="J40" s="32"/>
      <c r="K40" s="31"/>
      <c r="L40" s="31"/>
      <c r="M40" s="3" t="str">
        <f t="shared" ca="1" si="4"/>
        <v>UNCLAIMED 30 d</v>
      </c>
      <c r="P40" t="str">
        <f>'Combined Delivery Data'!B41</f>
        <v>RPT_02_GRO Control</v>
      </c>
      <c r="Q40">
        <f t="shared" si="5"/>
        <v>0</v>
      </c>
      <c r="R40">
        <f t="shared" si="6"/>
        <v>0</v>
      </c>
      <c r="S40" s="28" t="str">
        <f t="shared" si="7"/>
        <v/>
      </c>
      <c r="T40" t="str">
        <f t="shared" si="8"/>
        <v/>
      </c>
    </row>
    <row r="41" spans="1:20">
      <c r="A41" s="31" t="s">
        <v>210</v>
      </c>
      <c r="B41" s="32">
        <v>46282</v>
      </c>
      <c r="C41" s="31" t="s">
        <v>206</v>
      </c>
      <c r="D41" s="31" t="s">
        <v>263</v>
      </c>
      <c r="E41" s="31" t="s">
        <v>47</v>
      </c>
      <c r="F41" s="31" t="s">
        <v>413</v>
      </c>
      <c r="G41" s="31" t="s">
        <v>50</v>
      </c>
      <c r="H41" s="32" t="s">
        <v>155</v>
      </c>
      <c r="I41" s="32">
        <v>46282</v>
      </c>
      <c r="J41" s="32">
        <v>46282</v>
      </c>
      <c r="K41" s="31"/>
      <c r="L41" s="31" t="s">
        <v>414</v>
      </c>
      <c r="M41" s="3" t="str">
        <f t="shared" ca="1" si="4"/>
        <v>Fixed</v>
      </c>
      <c r="P41" t="str">
        <f>'Combined Delivery Data'!B42</f>
        <v>RPT_02_GRO Monitor</v>
      </c>
      <c r="Q41">
        <f t="shared" si="5"/>
        <v>0</v>
      </c>
      <c r="R41">
        <f t="shared" si="6"/>
        <v>0</v>
      </c>
      <c r="S41" s="28" t="str">
        <f t="shared" si="7"/>
        <v/>
      </c>
      <c r="T41" t="str">
        <f t="shared" si="8"/>
        <v/>
      </c>
    </row>
    <row r="42" spans="1:20">
      <c r="A42" s="33" t="s">
        <v>212</v>
      </c>
      <c r="B42" s="32">
        <v>46287</v>
      </c>
      <c r="C42" s="31" t="s">
        <v>206</v>
      </c>
      <c r="D42" s="31" t="s">
        <v>263</v>
      </c>
      <c r="E42" s="31" t="s">
        <v>129</v>
      </c>
      <c r="F42" s="31" t="s">
        <v>415</v>
      </c>
      <c r="G42" s="31" t="s">
        <v>50</v>
      </c>
      <c r="H42" s="32" t="s">
        <v>44</v>
      </c>
      <c r="I42" s="32"/>
      <c r="J42" s="32"/>
      <c r="K42" s="31"/>
      <c r="L42" s="31"/>
      <c r="M42" s="3" t="str">
        <f t="shared" ca="1" si="4"/>
        <v>UNCLAIMED 24 d</v>
      </c>
      <c r="N42" t="s">
        <v>50</v>
      </c>
      <c r="P42" t="str">
        <f>'Combined Delivery Data'!B43</f>
        <v>RPT_02_Public Buildings Inspection</v>
      </c>
      <c r="Q42">
        <f t="shared" si="5"/>
        <v>3</v>
      </c>
      <c r="R42">
        <f t="shared" si="6"/>
        <v>0</v>
      </c>
      <c r="S42" s="28">
        <f t="shared" si="7"/>
        <v>46288</v>
      </c>
      <c r="T42" t="str">
        <f t="shared" si="8"/>
        <v>DPO Approval -&gt; PBI Dev</v>
      </c>
    </row>
    <row r="43" spans="1:20">
      <c r="A43" s="31" t="s">
        <v>164</v>
      </c>
      <c r="B43" s="32">
        <v>46288</v>
      </c>
      <c r="C43" s="31" t="s">
        <v>187</v>
      </c>
      <c r="D43" s="31" t="s">
        <v>223</v>
      </c>
      <c r="E43" s="31" t="s">
        <v>144</v>
      </c>
      <c r="F43" s="31" t="s">
        <v>416</v>
      </c>
      <c r="G43" s="31" t="s">
        <v>50</v>
      </c>
      <c r="H43" s="32" t="s">
        <v>60</v>
      </c>
      <c r="I43" s="32">
        <v>46294</v>
      </c>
      <c r="J43" s="32">
        <v>46295</v>
      </c>
      <c r="K43" s="31" t="s">
        <v>60</v>
      </c>
      <c r="L43" s="31" t="s">
        <v>417</v>
      </c>
      <c r="M43" s="3" t="str">
        <f t="shared" ca="1" si="4"/>
        <v>Fixed</v>
      </c>
      <c r="N43" t="s">
        <v>379</v>
      </c>
      <c r="P43" t="str">
        <f>'Combined Delivery Data'!B44</f>
        <v>RPT_02_Investigate Wall Check and Service Check</v>
      </c>
      <c r="Q43">
        <f t="shared" si="5"/>
        <v>3</v>
      </c>
      <c r="R43">
        <f t="shared" si="6"/>
        <v>0</v>
      </c>
      <c r="S43" s="28">
        <f t="shared" si="7"/>
        <v>46267</v>
      </c>
      <c r="T43" t="str">
        <f t="shared" si="8"/>
        <v>QA -&gt; PBI Dev</v>
      </c>
    </row>
    <row r="44" spans="1:20">
      <c r="A44" s="33" t="s">
        <v>224</v>
      </c>
      <c r="B44" s="32">
        <v>46295</v>
      </c>
      <c r="C44" s="31" t="s">
        <v>206</v>
      </c>
      <c r="D44" s="31" t="s">
        <v>263</v>
      </c>
      <c r="E44" s="31" t="s">
        <v>129</v>
      </c>
      <c r="F44" s="31" t="s">
        <v>418</v>
      </c>
      <c r="G44" s="31" t="s">
        <v>53</v>
      </c>
      <c r="H44" s="32" t="s">
        <v>44</v>
      </c>
      <c r="I44" s="32"/>
      <c r="J44" s="32"/>
      <c r="K44" s="31"/>
      <c r="L44" s="31"/>
      <c r="M44" s="3" t="str">
        <f t="shared" ca="1" si="4"/>
        <v>UNCLAIMED 16 d</v>
      </c>
      <c r="N44" t="s">
        <v>50</v>
      </c>
      <c r="P44" t="str">
        <f>'Combined Delivery Data'!B45</f>
        <v>RPT_02_Cut Out Orders</v>
      </c>
      <c r="Q44">
        <f t="shared" si="5"/>
        <v>1</v>
      </c>
      <c r="R44">
        <f t="shared" si="6"/>
        <v>0</v>
      </c>
      <c r="S44" s="28">
        <f t="shared" si="7"/>
        <v>46265</v>
      </c>
      <c r="T44" t="str">
        <f t="shared" si="8"/>
        <v>QA -&gt; PBI Dev</v>
      </c>
    </row>
    <row r="45" spans="1:20">
      <c r="A45" s="33" t="s">
        <v>217</v>
      </c>
      <c r="B45" s="32">
        <v>46297</v>
      </c>
      <c r="C45" s="31" t="s">
        <v>206</v>
      </c>
      <c r="D45" s="31" t="s">
        <v>263</v>
      </c>
      <c r="E45" s="31" t="s">
        <v>201</v>
      </c>
      <c r="F45" s="31" t="s">
        <v>419</v>
      </c>
      <c r="G45" s="31" t="s">
        <v>50</v>
      </c>
      <c r="H45" s="32" t="s">
        <v>84</v>
      </c>
      <c r="I45" s="32"/>
      <c r="J45" s="32">
        <v>46300</v>
      </c>
      <c r="K45" s="31" t="s">
        <v>84</v>
      </c>
      <c r="L45" s="31"/>
      <c r="M45" s="3" t="s">
        <v>420</v>
      </c>
      <c r="N45" t="s">
        <v>50</v>
      </c>
      <c r="S45" s="28"/>
    </row>
    <row r="46" spans="1:20">
      <c r="A46" s="53" t="s">
        <v>205</v>
      </c>
      <c r="B46" s="32">
        <v>46309</v>
      </c>
      <c r="C46" s="31" t="s">
        <v>206</v>
      </c>
      <c r="D46" s="31" t="s">
        <v>223</v>
      </c>
      <c r="E46" s="31" t="s">
        <v>129</v>
      </c>
      <c r="F46" s="31" t="s">
        <v>421</v>
      </c>
      <c r="G46" s="31" t="s">
        <v>53</v>
      </c>
      <c r="H46" s="32" t="s">
        <v>77</v>
      </c>
      <c r="I46" s="32"/>
      <c r="J46" s="32"/>
      <c r="K46" s="31"/>
      <c r="L46" s="31"/>
      <c r="M46" s="3" t="str">
        <f t="shared" ca="1" si="4"/>
        <v>UNCLAIMED 2 d</v>
      </c>
      <c r="N46" t="s">
        <v>50</v>
      </c>
      <c r="P46" t="str">
        <f>'Combined Delivery Data'!B47</f>
        <v>RPT_02_Wall Check Control</v>
      </c>
      <c r="Q46">
        <f t="shared" si="5"/>
        <v>0</v>
      </c>
      <c r="R46">
        <f t="shared" si="6"/>
        <v>0</v>
      </c>
      <c r="S46" s="28" t="str">
        <f t="shared" ref="S46:S109" si="9">IF($P46="","",IF(SUMPRODUCT(MAX(($A$2:$A$497=$P46)*ROW($A$2:$A$497)))=0,"",INDEX($B:$B,SUMPRODUCT(MAX(($A$2:$A$497=$P46)*ROW($A$2:$A$497))))))</f>
        <v/>
      </c>
      <c r="T46" t="str">
        <f t="shared" ref="T46:T109" si="10">IF($P46="","",IF(SUMPRODUCT(MAX(($A$2:$A$497=$P46)*ROW($A$2:$A$497)))=0,"",INDEX($C:$C,SUMPRODUCT(MAX(($A$2:$A$497=$P46)*ROW($A$2:$A$497))))&amp;" -&gt; "&amp;INDEX($D:$D,SUMPRODUCT(MAX(($A$2:$A$497=$P46)*ROW($A$2:$A$497))))))</f>
        <v/>
      </c>
    </row>
    <row r="47" spans="1:20">
      <c r="A47" s="31"/>
      <c r="B47" s="32"/>
      <c r="C47" s="31" t="s">
        <v>206</v>
      </c>
      <c r="D47" s="31"/>
      <c r="E47" s="31"/>
      <c r="F47" s="31"/>
      <c r="G47" s="31" t="s">
        <v>53</v>
      </c>
      <c r="H47" s="32"/>
      <c r="I47" s="32"/>
      <c r="J47" s="32"/>
      <c r="K47" s="31"/>
      <c r="L47" s="31"/>
      <c r="M47" s="3" t="str">
        <f t="shared" ca="1" si="4"/>
        <v/>
      </c>
      <c r="P47" t="str">
        <f>'Combined Delivery Data'!B48</f>
        <v>RPT_02_High Pressure Steel Inside Inspection</v>
      </c>
      <c r="Q47">
        <f t="shared" si="5"/>
        <v>0</v>
      </c>
      <c r="R47">
        <f t="shared" si="6"/>
        <v>0</v>
      </c>
      <c r="S47" s="28" t="str">
        <f t="shared" si="9"/>
        <v/>
      </c>
      <c r="T47" t="str">
        <f t="shared" si="10"/>
        <v/>
      </c>
    </row>
    <row r="48" spans="1:20">
      <c r="A48" s="31"/>
      <c r="B48" s="32"/>
      <c r="C48" s="31" t="s">
        <v>206</v>
      </c>
      <c r="D48" s="31"/>
      <c r="E48" s="31"/>
      <c r="F48" s="31"/>
      <c r="G48" s="31" t="s">
        <v>53</v>
      </c>
      <c r="H48" s="32"/>
      <c r="I48" s="32"/>
      <c r="J48" s="32"/>
      <c r="K48" s="31"/>
      <c r="L48" s="31"/>
      <c r="M48" s="3" t="str">
        <f t="shared" ca="1" si="4"/>
        <v/>
      </c>
      <c r="P48" t="str">
        <f>'Combined Delivery Data'!B49</f>
        <v>RPT_02_Large Gas Outage</v>
      </c>
      <c r="Q48">
        <f t="shared" si="5"/>
        <v>5</v>
      </c>
      <c r="R48">
        <f t="shared" si="6"/>
        <v>0</v>
      </c>
      <c r="S48" s="28">
        <f t="shared" si="9"/>
        <v>46279</v>
      </c>
      <c r="T48" t="str">
        <f t="shared" si="10"/>
        <v>QA -&gt; DB Dev</v>
      </c>
    </row>
    <row r="49" spans="1:20">
      <c r="A49" s="31"/>
      <c r="B49" s="32"/>
      <c r="C49" s="31" t="s">
        <v>206</v>
      </c>
      <c r="D49" s="31"/>
      <c r="E49" s="31"/>
      <c r="F49" s="31"/>
      <c r="G49" s="31" t="s">
        <v>53</v>
      </c>
      <c r="H49" s="32"/>
      <c r="I49" s="32"/>
      <c r="J49" s="32"/>
      <c r="K49" s="31"/>
      <c r="L49" s="31"/>
      <c r="M49" s="3" t="str">
        <f t="shared" ca="1" si="4"/>
        <v/>
      </c>
      <c r="P49" t="str">
        <f>'Combined Delivery Data'!B50</f>
        <v>RPT_02_Fitting Work</v>
      </c>
      <c r="Q49">
        <f t="shared" si="5"/>
        <v>1</v>
      </c>
      <c r="R49">
        <f t="shared" si="6"/>
        <v>0</v>
      </c>
      <c r="S49" s="28">
        <f t="shared" si="9"/>
        <v>46267</v>
      </c>
      <c r="T49" t="str">
        <f t="shared" si="10"/>
        <v>QA -&gt; DB Dev</v>
      </c>
    </row>
    <row r="50" spans="1:20">
      <c r="A50" s="31"/>
      <c r="B50" s="32"/>
      <c r="C50" s="31" t="s">
        <v>206</v>
      </c>
      <c r="D50" s="31"/>
      <c r="E50" s="31"/>
      <c r="F50" s="31"/>
      <c r="G50" s="31" t="s">
        <v>53</v>
      </c>
      <c r="H50" s="32"/>
      <c r="I50" s="32"/>
      <c r="J50" s="32"/>
      <c r="K50" s="31"/>
      <c r="L50" s="31"/>
      <c r="M50" s="3" t="str">
        <f t="shared" ca="1" si="4"/>
        <v/>
      </c>
      <c r="P50" t="str">
        <f>'Combined Delivery Data'!B51</f>
        <v>RPT_02_Field Collector Report</v>
      </c>
      <c r="Q50">
        <f t="shared" si="5"/>
        <v>0</v>
      </c>
      <c r="R50">
        <f t="shared" si="6"/>
        <v>0</v>
      </c>
      <c r="S50" s="28" t="str">
        <f t="shared" si="9"/>
        <v/>
      </c>
      <c r="T50" t="str">
        <f t="shared" si="10"/>
        <v/>
      </c>
    </row>
    <row r="51" spans="1:20">
      <c r="A51" s="31"/>
      <c r="B51" s="32"/>
      <c r="C51" s="31" t="s">
        <v>206</v>
      </c>
      <c r="D51" s="31"/>
      <c r="E51" s="31"/>
      <c r="F51" s="31"/>
      <c r="G51" s="31" t="s">
        <v>53</v>
      </c>
      <c r="H51" s="32"/>
      <c r="I51" s="32"/>
      <c r="J51" s="32"/>
      <c r="K51" s="31"/>
      <c r="L51" s="31"/>
      <c r="M51" s="3" t="str">
        <f t="shared" ca="1" si="4"/>
        <v/>
      </c>
      <c r="P51" t="str">
        <f>'Combined Delivery Data'!B52</f>
        <v>RPT_02_Turn On for Non-Payment</v>
      </c>
      <c r="Q51">
        <f t="shared" si="5"/>
        <v>2</v>
      </c>
      <c r="R51">
        <f t="shared" si="6"/>
        <v>1</v>
      </c>
      <c r="S51" s="28">
        <f t="shared" si="9"/>
        <v>46275</v>
      </c>
      <c r="T51" t="str">
        <f t="shared" si="10"/>
        <v>QA -&gt; DB Dev</v>
      </c>
    </row>
    <row r="52" spans="1:20">
      <c r="A52" s="31"/>
      <c r="B52" s="32"/>
      <c r="C52" s="31" t="s">
        <v>206</v>
      </c>
      <c r="D52" s="31"/>
      <c r="E52" s="31"/>
      <c r="F52" s="31"/>
      <c r="G52" s="31" t="s">
        <v>53</v>
      </c>
      <c r="H52" s="32"/>
      <c r="I52" s="32"/>
      <c r="J52" s="32"/>
      <c r="K52" s="31"/>
      <c r="L52" s="31"/>
      <c r="M52" s="3" t="str">
        <f t="shared" ca="1" si="4"/>
        <v/>
      </c>
      <c r="P52" t="str">
        <f>'Combined Delivery Data'!B53</f>
        <v>RPT_02_Collector Payment Recap</v>
      </c>
      <c r="Q52">
        <f t="shared" si="5"/>
        <v>1</v>
      </c>
      <c r="R52">
        <f t="shared" si="6"/>
        <v>0</v>
      </c>
      <c r="S52" s="28">
        <f t="shared" si="9"/>
        <v>46279</v>
      </c>
      <c r="T52" t="str">
        <f t="shared" si="10"/>
        <v>QA -&gt; PBI Dev</v>
      </c>
    </row>
    <row r="53" spans="1:20">
      <c r="A53" s="31"/>
      <c r="B53" s="32"/>
      <c r="C53" s="31" t="s">
        <v>206</v>
      </c>
      <c r="D53" s="31"/>
      <c r="E53" s="31"/>
      <c r="F53" s="31"/>
      <c r="G53" s="31" t="s">
        <v>53</v>
      </c>
      <c r="H53" s="32"/>
      <c r="I53" s="32"/>
      <c r="J53" s="32"/>
      <c r="K53" s="31"/>
      <c r="L53" s="31"/>
      <c r="M53" s="3" t="str">
        <f t="shared" ca="1" si="4"/>
        <v/>
      </c>
      <c r="P53" t="str">
        <f>'Combined Delivery Data'!B54</f>
        <v>RPT_02_Incentive Management</v>
      </c>
      <c r="Q53">
        <f t="shared" si="5"/>
        <v>0</v>
      </c>
      <c r="R53">
        <f t="shared" si="6"/>
        <v>0</v>
      </c>
      <c r="S53" s="28" t="str">
        <f t="shared" si="9"/>
        <v/>
      </c>
      <c r="T53" t="str">
        <f t="shared" si="10"/>
        <v/>
      </c>
    </row>
    <row r="54" spans="1:20">
      <c r="A54" s="31"/>
      <c r="B54" s="32"/>
      <c r="C54" s="31" t="s">
        <v>206</v>
      </c>
      <c r="D54" s="31"/>
      <c r="E54" s="31"/>
      <c r="F54" s="31"/>
      <c r="G54" s="31" t="s">
        <v>53</v>
      </c>
      <c r="H54" s="32"/>
      <c r="I54" s="32"/>
      <c r="J54" s="32"/>
      <c r="K54" s="31"/>
      <c r="L54" s="31"/>
      <c r="M54" s="3" t="str">
        <f t="shared" ca="1" si="4"/>
        <v/>
      </c>
      <c r="P54" t="str">
        <f>'Combined Delivery Data'!B55</f>
        <v>RPT_02_UTC Report</v>
      </c>
      <c r="Q54">
        <f t="shared" si="5"/>
        <v>1</v>
      </c>
      <c r="R54">
        <f t="shared" si="6"/>
        <v>0</v>
      </c>
      <c r="S54" s="28">
        <f t="shared" si="9"/>
        <v>46274</v>
      </c>
      <c r="T54" t="str">
        <f t="shared" si="10"/>
        <v>QA -&gt; PBI Dev</v>
      </c>
    </row>
    <row r="55" spans="1:20">
      <c r="A55" s="31"/>
      <c r="B55" s="32"/>
      <c r="C55" s="31" t="s">
        <v>206</v>
      </c>
      <c r="D55" s="31"/>
      <c r="E55" s="31"/>
      <c r="F55" s="31"/>
      <c r="G55" s="31" t="s">
        <v>53</v>
      </c>
      <c r="H55" s="32"/>
      <c r="I55" s="32"/>
      <c r="J55" s="32"/>
      <c r="K55" s="31"/>
      <c r="L55" s="31"/>
      <c r="M55" s="3" t="str">
        <f t="shared" ca="1" si="4"/>
        <v/>
      </c>
      <c r="P55" t="str">
        <f>'Combined Delivery Data'!B56</f>
        <v>RPT_02_Adjacent Property Checks</v>
      </c>
      <c r="Q55">
        <f t="shared" si="5"/>
        <v>0</v>
      </c>
      <c r="R55">
        <f t="shared" si="6"/>
        <v>0</v>
      </c>
      <c r="S55" s="28" t="str">
        <f t="shared" si="9"/>
        <v/>
      </c>
      <c r="T55" t="str">
        <f t="shared" si="10"/>
        <v/>
      </c>
    </row>
    <row r="56" spans="1:20">
      <c r="A56" s="31"/>
      <c r="B56" s="32"/>
      <c r="C56" s="31" t="s">
        <v>206</v>
      </c>
      <c r="D56" s="31"/>
      <c r="E56" s="31"/>
      <c r="F56" s="31"/>
      <c r="G56" s="31" t="s">
        <v>53</v>
      </c>
      <c r="H56" s="32"/>
      <c r="I56" s="32"/>
      <c r="J56" s="32"/>
      <c r="K56" s="31"/>
      <c r="L56" s="31"/>
      <c r="M56" s="3" t="str">
        <f t="shared" ca="1" si="4"/>
        <v/>
      </c>
      <c r="P56" t="str">
        <f>'Combined Delivery Data'!B57</f>
        <v>RPT_02_High Bill Investigations</v>
      </c>
      <c r="Q56">
        <f t="shared" si="5"/>
        <v>1</v>
      </c>
      <c r="R56">
        <f t="shared" si="6"/>
        <v>0</v>
      </c>
      <c r="S56" s="28">
        <f t="shared" si="9"/>
        <v>46281</v>
      </c>
      <c r="T56" t="str">
        <f t="shared" si="10"/>
        <v>QA -&gt; PBI Dev</v>
      </c>
    </row>
    <row r="57" spans="1:20">
      <c r="A57" s="31"/>
      <c r="B57" s="32"/>
      <c r="C57" s="31" t="s">
        <v>206</v>
      </c>
      <c r="D57" s="31"/>
      <c r="E57" s="31"/>
      <c r="F57" s="31"/>
      <c r="G57" s="31" t="s">
        <v>53</v>
      </c>
      <c r="H57" s="32"/>
      <c r="I57" s="32"/>
      <c r="J57" s="32"/>
      <c r="K57" s="31"/>
      <c r="L57" s="31"/>
      <c r="M57" s="3" t="str">
        <f t="shared" ca="1" si="4"/>
        <v/>
      </c>
      <c r="P57" t="str">
        <f>'Combined Delivery Data'!B58</f>
        <v>RPT_02_Emergency Order Type</v>
      </c>
      <c r="Q57">
        <f t="shared" si="5"/>
        <v>1</v>
      </c>
      <c r="R57">
        <f t="shared" si="6"/>
        <v>1</v>
      </c>
      <c r="S57" s="28">
        <f t="shared" si="9"/>
        <v>46309</v>
      </c>
      <c r="T57" t="str">
        <f t="shared" si="10"/>
        <v>QA -&gt; PBI Dev</v>
      </c>
    </row>
    <row r="58" spans="1:20">
      <c r="A58" s="31"/>
      <c r="B58" s="32"/>
      <c r="C58" s="31" t="s">
        <v>206</v>
      </c>
      <c r="D58" s="31"/>
      <c r="E58" s="31"/>
      <c r="F58" s="31"/>
      <c r="G58" s="31" t="s">
        <v>53</v>
      </c>
      <c r="H58" s="32"/>
      <c r="I58" s="32"/>
      <c r="J58" s="32"/>
      <c r="K58" s="31"/>
      <c r="L58" s="31"/>
      <c r="M58" s="3" t="str">
        <f t="shared" ca="1" si="4"/>
        <v/>
      </c>
      <c r="P58" t="str">
        <f>'Combined Delivery Data'!B59</f>
        <v>RPT_02_Cut Out Curb Box</v>
      </c>
      <c r="Q58">
        <f t="shared" si="5"/>
        <v>1</v>
      </c>
      <c r="R58">
        <f t="shared" si="6"/>
        <v>0</v>
      </c>
      <c r="S58" s="28">
        <f t="shared" si="9"/>
        <v>46280</v>
      </c>
      <c r="T58" t="str">
        <f t="shared" si="10"/>
        <v>QA -&gt; DB Dev</v>
      </c>
    </row>
    <row r="59" spans="1:20">
      <c r="A59" s="31"/>
      <c r="B59" s="32"/>
      <c r="C59" s="31" t="s">
        <v>206</v>
      </c>
      <c r="D59" s="31"/>
      <c r="E59" s="31"/>
      <c r="F59" s="31"/>
      <c r="G59" s="31" t="s">
        <v>53</v>
      </c>
      <c r="H59" s="32"/>
      <c r="I59" s="32"/>
      <c r="J59" s="32"/>
      <c r="K59" s="31"/>
      <c r="L59" s="31"/>
      <c r="M59" s="3" t="str">
        <f t="shared" ca="1" si="4"/>
        <v/>
      </c>
      <c r="P59" t="str">
        <f>'Combined Delivery Data'!B60</f>
        <v>RPT_02_New York Incident</v>
      </c>
      <c r="Q59">
        <f t="shared" si="5"/>
        <v>1</v>
      </c>
      <c r="R59">
        <f t="shared" si="6"/>
        <v>0</v>
      </c>
      <c r="S59" s="28">
        <f t="shared" si="9"/>
        <v>46282</v>
      </c>
      <c r="T59" t="str">
        <f t="shared" si="10"/>
        <v>QA -&gt; DB Dev</v>
      </c>
    </row>
    <row r="60" spans="1:20">
      <c r="A60" s="31"/>
      <c r="B60" s="32"/>
      <c r="C60" s="31" t="s">
        <v>206</v>
      </c>
      <c r="D60" s="31"/>
      <c r="E60" s="31"/>
      <c r="F60" s="31"/>
      <c r="G60" s="31" t="s">
        <v>53</v>
      </c>
      <c r="H60" s="32"/>
      <c r="I60" s="32"/>
      <c r="J60" s="32"/>
      <c r="K60" s="31"/>
      <c r="L60" s="31"/>
      <c r="M60" s="3" t="str">
        <f t="shared" ca="1" si="4"/>
        <v/>
      </c>
      <c r="P60" t="str">
        <f>'Combined Delivery Data'!B61</f>
        <v>RPT_02_Outside Repeat Leaks</v>
      </c>
      <c r="Q60">
        <f t="shared" si="5"/>
        <v>1</v>
      </c>
      <c r="R60">
        <f t="shared" si="6"/>
        <v>0</v>
      </c>
      <c r="S60" s="28">
        <f t="shared" si="9"/>
        <v>46287</v>
      </c>
      <c r="T60" t="str">
        <f t="shared" si="10"/>
        <v>QA -&gt; DB Dev</v>
      </c>
    </row>
    <row r="61" spans="1:20">
      <c r="A61" s="31"/>
      <c r="B61" s="32"/>
      <c r="C61" s="31" t="s">
        <v>206</v>
      </c>
      <c r="D61" s="31"/>
      <c r="E61" s="31"/>
      <c r="F61" s="31"/>
      <c r="G61" s="31" t="s">
        <v>53</v>
      </c>
      <c r="H61" s="32"/>
      <c r="I61" s="32"/>
      <c r="J61" s="32"/>
      <c r="K61" s="31"/>
      <c r="L61" s="31"/>
      <c r="M61" s="3" t="str">
        <f t="shared" ca="1" si="4"/>
        <v/>
      </c>
      <c r="P61" t="str">
        <f>'Combined Delivery Data'!B62</f>
        <v>RPT_02_Meter Change</v>
      </c>
      <c r="Q61">
        <f t="shared" si="5"/>
        <v>0</v>
      </c>
      <c r="R61">
        <f t="shared" si="6"/>
        <v>0</v>
      </c>
      <c r="S61" s="28" t="str">
        <f t="shared" si="9"/>
        <v/>
      </c>
      <c r="T61" t="str">
        <f t="shared" si="10"/>
        <v/>
      </c>
    </row>
    <row r="62" spans="1:20">
      <c r="A62" s="31"/>
      <c r="B62" s="32"/>
      <c r="C62" s="31" t="s">
        <v>206</v>
      </c>
      <c r="D62" s="31"/>
      <c r="E62" s="31"/>
      <c r="F62" s="31"/>
      <c r="G62" s="31" t="s">
        <v>53</v>
      </c>
      <c r="H62" s="32"/>
      <c r="I62" s="32"/>
      <c r="J62" s="32"/>
      <c r="K62" s="31"/>
      <c r="L62" s="31"/>
      <c r="M62" s="3" t="str">
        <f t="shared" ca="1" si="4"/>
        <v/>
      </c>
      <c r="P62" t="str">
        <f>'Combined Delivery Data'!B63</f>
        <v>RPT_02_Field Order Value</v>
      </c>
      <c r="Q62">
        <f t="shared" si="5"/>
        <v>1</v>
      </c>
      <c r="R62">
        <f t="shared" si="6"/>
        <v>0</v>
      </c>
      <c r="S62" s="28">
        <f t="shared" si="9"/>
        <v>46297</v>
      </c>
      <c r="T62" t="str">
        <f t="shared" si="10"/>
        <v>QA -&gt; DB Dev</v>
      </c>
    </row>
    <row r="63" spans="1:20">
      <c r="A63" s="31"/>
      <c r="B63" s="32"/>
      <c r="C63" s="31" t="s">
        <v>206</v>
      </c>
      <c r="D63" s="31"/>
      <c r="E63" s="31"/>
      <c r="F63" s="31"/>
      <c r="G63" s="31" t="s">
        <v>53</v>
      </c>
      <c r="H63" s="32"/>
      <c r="I63" s="32"/>
      <c r="J63" s="32"/>
      <c r="K63" s="31"/>
      <c r="L63" s="31"/>
      <c r="M63" s="3" t="str">
        <f t="shared" ca="1" si="4"/>
        <v/>
      </c>
      <c r="P63" t="str">
        <f>'Combined Delivery Data'!B64</f>
        <v>RPT_02_Same Day Reconnect</v>
      </c>
      <c r="Q63">
        <f t="shared" si="5"/>
        <v>0</v>
      </c>
      <c r="R63">
        <f t="shared" si="6"/>
        <v>0</v>
      </c>
      <c r="S63" s="28" t="str">
        <f t="shared" si="9"/>
        <v/>
      </c>
      <c r="T63" t="str">
        <f t="shared" si="10"/>
        <v/>
      </c>
    </row>
    <row r="64" spans="1:20">
      <c r="A64" s="31"/>
      <c r="B64" s="32"/>
      <c r="C64" s="31" t="s">
        <v>206</v>
      </c>
      <c r="D64" s="31"/>
      <c r="E64" s="31"/>
      <c r="F64" s="31"/>
      <c r="G64" s="31" t="s">
        <v>53</v>
      </c>
      <c r="H64" s="32"/>
      <c r="I64" s="32"/>
      <c r="J64" s="32"/>
      <c r="K64" s="31"/>
      <c r="L64" s="31"/>
      <c r="M64" s="3" t="str">
        <f t="shared" ca="1" si="4"/>
        <v/>
      </c>
      <c r="P64" t="str">
        <f>'Combined Delivery Data'!B65</f>
        <v>RPT_02_Site Specific Analysis</v>
      </c>
      <c r="Q64">
        <f t="shared" si="5"/>
        <v>0</v>
      </c>
      <c r="R64">
        <f t="shared" si="6"/>
        <v>0</v>
      </c>
      <c r="S64" s="28" t="str">
        <f t="shared" si="9"/>
        <v/>
      </c>
      <c r="T64" t="str">
        <f t="shared" si="10"/>
        <v/>
      </c>
    </row>
    <row r="65" spans="1:20">
      <c r="A65" s="31"/>
      <c r="B65" s="32"/>
      <c r="C65" s="31" t="s">
        <v>206</v>
      </c>
      <c r="D65" s="31"/>
      <c r="E65" s="31"/>
      <c r="F65" s="31"/>
      <c r="G65" s="31" t="s">
        <v>53</v>
      </c>
      <c r="H65" s="32"/>
      <c r="I65" s="32"/>
      <c r="J65" s="32"/>
      <c r="K65" s="31"/>
      <c r="L65" s="31"/>
      <c r="M65" s="3" t="str">
        <f t="shared" ref="M65:M68" ca="1" si="11">IF($A65="","",IF($G65="Did not pass re-test","Sent back again",IF(NOT(ISNUMBER($B65)),"Missing sent-back date",IF($J65&lt;&gt;"","Fixed",IF($I65="","UNCLAIMED "&amp;(TODAY()-$B65)&amp;" d",IF(TODAY()&gt;$I65,(TODAY()-$I65)&amp;" d LATE","Open "&amp;(TODAY()-$B65)&amp;" d"))))))</f>
        <v/>
      </c>
      <c r="P65" t="str">
        <f>'Combined Delivery Data'!B66</f>
        <v>RPT_02_PSC Wire Down Response Time</v>
      </c>
      <c r="Q65">
        <f t="shared" si="5"/>
        <v>0</v>
      </c>
      <c r="R65">
        <f t="shared" si="6"/>
        <v>0</v>
      </c>
      <c r="S65" s="28" t="str">
        <f t="shared" si="9"/>
        <v/>
      </c>
      <c r="T65" t="str">
        <f t="shared" si="10"/>
        <v/>
      </c>
    </row>
    <row r="66" spans="1:20">
      <c r="A66" s="31"/>
      <c r="B66" s="32"/>
      <c r="C66" s="31" t="s">
        <v>206</v>
      </c>
      <c r="D66" s="31"/>
      <c r="E66" s="31"/>
      <c r="F66" s="31"/>
      <c r="G66" s="31" t="s">
        <v>53</v>
      </c>
      <c r="H66" s="32"/>
      <c r="I66" s="32"/>
      <c r="J66" s="32"/>
      <c r="K66" s="31"/>
      <c r="L66" s="31"/>
      <c r="M66" s="3" t="str">
        <f t="shared" ca="1" si="11"/>
        <v/>
      </c>
      <c r="P66" t="str">
        <f>'Combined Delivery Data'!B67</f>
        <v>RPT_02_Hazardous Above Ground Leak</v>
      </c>
      <c r="Q66">
        <f t="shared" si="5"/>
        <v>1</v>
      </c>
      <c r="R66">
        <f t="shared" si="6"/>
        <v>1</v>
      </c>
      <c r="S66" s="28">
        <f t="shared" si="9"/>
        <v>46295</v>
      </c>
      <c r="T66" t="str">
        <f t="shared" si="10"/>
        <v>QA -&gt; DB Dev</v>
      </c>
    </row>
    <row r="67" spans="1:20">
      <c r="A67" s="31"/>
      <c r="B67" s="32"/>
      <c r="C67" s="31" t="s">
        <v>206</v>
      </c>
      <c r="D67" s="31"/>
      <c r="E67" s="31"/>
      <c r="F67" s="31"/>
      <c r="G67" s="31" t="s">
        <v>53</v>
      </c>
      <c r="H67" s="32"/>
      <c r="I67" s="32"/>
      <c r="J67" s="32"/>
      <c r="K67" s="31"/>
      <c r="L67" s="31"/>
      <c r="M67" s="3" t="str">
        <f t="shared" ca="1" si="11"/>
        <v/>
      </c>
      <c r="P67" t="str">
        <f>'Combined Delivery Data'!B68</f>
        <v>RPT_02_AMI Contractor Completion Report</v>
      </c>
      <c r="Q67">
        <f t="shared" si="5"/>
        <v>0</v>
      </c>
      <c r="R67">
        <f t="shared" si="6"/>
        <v>0</v>
      </c>
      <c r="S67" s="28" t="str">
        <f t="shared" si="9"/>
        <v/>
      </c>
      <c r="T67" t="str">
        <f t="shared" si="10"/>
        <v/>
      </c>
    </row>
    <row r="68" spans="1:20">
      <c r="A68" s="31"/>
      <c r="B68" s="32"/>
      <c r="C68" s="31" t="s">
        <v>206</v>
      </c>
      <c r="D68" s="31"/>
      <c r="E68" s="31"/>
      <c r="F68" s="31"/>
      <c r="G68" s="31" t="s">
        <v>53</v>
      </c>
      <c r="H68" s="32"/>
      <c r="I68" s="32"/>
      <c r="J68" s="32"/>
      <c r="K68" s="31"/>
      <c r="L68" s="31"/>
      <c r="M68" s="3" t="str">
        <f t="shared" ca="1" si="11"/>
        <v/>
      </c>
      <c r="P68" t="str">
        <f>'Combined Delivery Data'!B69</f>
        <v>RPT_02_Collection Statistic</v>
      </c>
      <c r="Q68">
        <f t="shared" si="5"/>
        <v>0</v>
      </c>
      <c r="R68">
        <f t="shared" si="6"/>
        <v>0</v>
      </c>
      <c r="S68" s="28" t="str">
        <f t="shared" si="9"/>
        <v/>
      </c>
      <c r="T68" t="str">
        <f t="shared" si="10"/>
        <v/>
      </c>
    </row>
    <row r="69" spans="1:20">
      <c r="A69" s="31"/>
      <c r="B69" s="32"/>
      <c r="C69" s="31" t="s">
        <v>206</v>
      </c>
      <c r="D69" s="31"/>
      <c r="E69" s="31"/>
      <c r="F69" s="31"/>
      <c r="G69" s="31" t="s">
        <v>53</v>
      </c>
      <c r="H69" s="32"/>
      <c r="I69" s="32"/>
      <c r="J69" s="32"/>
      <c r="K69" s="31"/>
      <c r="L69" s="31"/>
      <c r="M69" s="3" t="str">
        <f t="shared" ref="M69:M127" ca="1" si="12">IF($A69="","",IF($G69="Did not pass re-test","Sent back again",IF(NOT(ISNUMBER($B69)),"Missing sent-back date",IF(ISNUMBER($J69),"Fixed in "&amp;($J69-$B69)&amp;" d",IF($I69="","UNCLAIMED "&amp;(TODAY()-$B69)&amp;" d",IF(TODAY()&gt;$I69,(TODAY()-$I69)&amp;" d LATE","Open "&amp;(TODAY()-$B69)&amp;" d"))))))</f>
        <v/>
      </c>
      <c r="P69" t="str">
        <f>'Combined Delivery Data'!B70</f>
        <v>RPT_02_First and Last Job</v>
      </c>
      <c r="Q69">
        <f t="shared" si="5"/>
        <v>0</v>
      </c>
      <c r="R69">
        <f t="shared" si="6"/>
        <v>0</v>
      </c>
      <c r="S69" s="28" t="str">
        <f t="shared" si="9"/>
        <v/>
      </c>
      <c r="T69" t="str">
        <f t="shared" si="10"/>
        <v/>
      </c>
    </row>
    <row r="70" spans="1:20">
      <c r="A70" s="31"/>
      <c r="B70" s="32"/>
      <c r="C70" s="31" t="s">
        <v>206</v>
      </c>
      <c r="D70" s="31"/>
      <c r="E70" s="31"/>
      <c r="F70" s="31"/>
      <c r="G70" s="31" t="s">
        <v>53</v>
      </c>
      <c r="H70" s="32"/>
      <c r="I70" s="32"/>
      <c r="J70" s="32"/>
      <c r="K70" s="31"/>
      <c r="L70" s="31"/>
      <c r="M70" s="3" t="str">
        <f t="shared" ca="1" si="12"/>
        <v/>
      </c>
      <c r="P70" t="str">
        <f>'Combined Delivery Data'!B71</f>
        <v>RPT_02_Rate Class</v>
      </c>
      <c r="Q70">
        <f t="shared" si="5"/>
        <v>0</v>
      </c>
      <c r="R70">
        <f t="shared" si="6"/>
        <v>0</v>
      </c>
      <c r="S70" s="28" t="str">
        <f t="shared" si="9"/>
        <v/>
      </c>
      <c r="T70" t="str">
        <f t="shared" si="10"/>
        <v/>
      </c>
    </row>
    <row r="71" spans="1:20">
      <c r="A71" s="31"/>
      <c r="B71" s="32"/>
      <c r="C71" s="31" t="s">
        <v>206</v>
      </c>
      <c r="D71" s="31"/>
      <c r="E71" s="31"/>
      <c r="F71" s="31"/>
      <c r="G71" s="31" t="s">
        <v>53</v>
      </c>
      <c r="H71" s="32"/>
      <c r="I71" s="32"/>
      <c r="J71" s="32"/>
      <c r="K71" s="31"/>
      <c r="L71" s="31"/>
      <c r="M71" s="3" t="str">
        <f t="shared" ca="1" si="12"/>
        <v/>
      </c>
      <c r="P71" t="str">
        <f>'Combined Delivery Data'!B72</f>
        <v>RPT_04_Leak Recheck Times</v>
      </c>
      <c r="Q71">
        <f t="shared" si="5"/>
        <v>0</v>
      </c>
      <c r="R71">
        <f t="shared" si="6"/>
        <v>0</v>
      </c>
      <c r="S71" s="28" t="str">
        <f t="shared" si="9"/>
        <v/>
      </c>
      <c r="T71" t="str">
        <f t="shared" si="10"/>
        <v/>
      </c>
    </row>
    <row r="72" spans="1:20">
      <c r="A72" s="31"/>
      <c r="B72" s="32"/>
      <c r="C72" s="31" t="s">
        <v>206</v>
      </c>
      <c r="D72" s="31"/>
      <c r="E72" s="31"/>
      <c r="F72" s="31"/>
      <c r="G72" s="31" t="s">
        <v>53</v>
      </c>
      <c r="H72" s="32"/>
      <c r="I72" s="32"/>
      <c r="J72" s="32"/>
      <c r="K72" s="31"/>
      <c r="L72" s="31"/>
      <c r="M72" s="3" t="str">
        <f t="shared" ca="1" si="12"/>
        <v/>
      </c>
      <c r="P72" t="str">
        <f>'Combined Delivery Data'!B73</f>
        <v>RPT_02_Service Resource Activity</v>
      </c>
      <c r="Q72">
        <f t="shared" si="5"/>
        <v>0</v>
      </c>
      <c r="R72">
        <f t="shared" si="6"/>
        <v>0</v>
      </c>
      <c r="S72" s="28" t="str">
        <f t="shared" si="9"/>
        <v/>
      </c>
      <c r="T72" t="str">
        <f t="shared" si="10"/>
        <v/>
      </c>
    </row>
    <row r="73" spans="1:20">
      <c r="A73" s="31"/>
      <c r="B73" s="32"/>
      <c r="C73" s="31" t="s">
        <v>206</v>
      </c>
      <c r="D73" s="31"/>
      <c r="E73" s="31"/>
      <c r="F73" s="31"/>
      <c r="G73" s="31" t="s">
        <v>53</v>
      </c>
      <c r="H73" s="32"/>
      <c r="I73" s="32"/>
      <c r="J73" s="32"/>
      <c r="K73" s="31"/>
      <c r="L73" s="31"/>
      <c r="M73" s="3" t="str">
        <f t="shared" ca="1" si="12"/>
        <v/>
      </c>
      <c r="P73" t="str">
        <f>'Combined Delivery Data'!B101</f>
        <v>RPT_05_Department of Transportation</v>
      </c>
      <c r="Q73">
        <f t="shared" si="5"/>
        <v>0</v>
      </c>
      <c r="R73">
        <f t="shared" si="6"/>
        <v>0</v>
      </c>
      <c r="S73" s="28" t="str">
        <f t="shared" si="9"/>
        <v/>
      </c>
      <c r="T73" t="str">
        <f t="shared" si="10"/>
        <v/>
      </c>
    </row>
    <row r="74" spans="1:20">
      <c r="A74" s="31"/>
      <c r="B74" s="32"/>
      <c r="C74" s="31" t="s">
        <v>206</v>
      </c>
      <c r="D74" s="31"/>
      <c r="E74" s="31"/>
      <c r="F74" s="31"/>
      <c r="G74" s="31" t="s">
        <v>53</v>
      </c>
      <c r="H74" s="32"/>
      <c r="I74" s="32"/>
      <c r="J74" s="32"/>
      <c r="K74" s="31"/>
      <c r="L74" s="31"/>
      <c r="M74" s="3" t="str">
        <f t="shared" ca="1" si="12"/>
        <v/>
      </c>
      <c r="P74" t="str">
        <f>'Combined Delivery Data'!B102</f>
        <v>RPT_05_ Inside Meter Relocation</v>
      </c>
      <c r="Q74">
        <f t="shared" si="5"/>
        <v>0</v>
      </c>
      <c r="R74">
        <f t="shared" si="6"/>
        <v>0</v>
      </c>
      <c r="S74" s="28" t="str">
        <f t="shared" si="9"/>
        <v/>
      </c>
      <c r="T74" t="str">
        <f t="shared" si="10"/>
        <v/>
      </c>
    </row>
    <row r="75" spans="1:20">
      <c r="A75" s="31"/>
      <c r="B75" s="32"/>
      <c r="C75" s="31" t="s">
        <v>206</v>
      </c>
      <c r="D75" s="31"/>
      <c r="E75" s="31"/>
      <c r="F75" s="31"/>
      <c r="G75" s="31" t="s">
        <v>53</v>
      </c>
      <c r="H75" s="32"/>
      <c r="I75" s="32"/>
      <c r="J75" s="32"/>
      <c r="K75" s="31"/>
      <c r="L75" s="31"/>
      <c r="M75" s="3" t="str">
        <f t="shared" ca="1" si="12"/>
        <v/>
      </c>
      <c r="P75" t="str">
        <f>'Combined Delivery Data'!B103</f>
        <v>RPT_05_Mapped Work Order Information</v>
      </c>
      <c r="Q75">
        <f t="shared" si="5"/>
        <v>0</v>
      </c>
      <c r="R75">
        <f t="shared" si="6"/>
        <v>0</v>
      </c>
      <c r="S75" s="28" t="str">
        <f t="shared" si="9"/>
        <v/>
      </c>
      <c r="T75" t="str">
        <f t="shared" si="10"/>
        <v/>
      </c>
    </row>
    <row r="76" spans="1:20">
      <c r="A76" s="31"/>
      <c r="B76" s="32"/>
      <c r="C76" s="31" t="s">
        <v>206</v>
      </c>
      <c r="D76" s="31"/>
      <c r="E76" s="31"/>
      <c r="F76" s="31"/>
      <c r="G76" s="31" t="s">
        <v>53</v>
      </c>
      <c r="H76" s="32"/>
      <c r="I76" s="32"/>
      <c r="J76" s="32"/>
      <c r="K76" s="31"/>
      <c r="L76" s="31"/>
      <c r="M76" s="3" t="str">
        <f t="shared" ca="1" si="12"/>
        <v/>
      </c>
      <c r="P76" t="str">
        <f>'Combined Delivery Data'!B104</f>
        <v>RPT_06_Retired Meters</v>
      </c>
      <c r="Q76">
        <f t="shared" si="5"/>
        <v>0</v>
      </c>
      <c r="R76">
        <f t="shared" si="6"/>
        <v>0</v>
      </c>
      <c r="S76" s="28" t="str">
        <f t="shared" si="9"/>
        <v/>
      </c>
      <c r="T76" t="str">
        <f t="shared" si="10"/>
        <v/>
      </c>
    </row>
    <row r="77" spans="1:20">
      <c r="A77" s="31"/>
      <c r="B77" s="32"/>
      <c r="C77" s="31" t="s">
        <v>206</v>
      </c>
      <c r="D77" s="31"/>
      <c r="E77" s="31"/>
      <c r="F77" s="31"/>
      <c r="G77" s="31" t="s">
        <v>53</v>
      </c>
      <c r="H77" s="32"/>
      <c r="I77" s="32"/>
      <c r="J77" s="32"/>
      <c r="K77" s="31"/>
      <c r="L77" s="31"/>
      <c r="M77" s="3" t="str">
        <f t="shared" ca="1" si="12"/>
        <v/>
      </c>
      <c r="P77" t="str">
        <f>'Combined Delivery Data'!B105</f>
        <v>RPT_13_Survey Book</v>
      </c>
      <c r="Q77">
        <f t="shared" si="5"/>
        <v>0</v>
      </c>
      <c r="R77">
        <f t="shared" si="6"/>
        <v>0</v>
      </c>
      <c r="S77" s="28" t="str">
        <f t="shared" si="9"/>
        <v/>
      </c>
      <c r="T77" t="str">
        <f t="shared" si="10"/>
        <v/>
      </c>
    </row>
    <row r="78" spans="1:20">
      <c r="A78" s="31"/>
      <c r="B78" s="32"/>
      <c r="C78" s="31" t="s">
        <v>206</v>
      </c>
      <c r="D78" s="31"/>
      <c r="E78" s="31"/>
      <c r="F78" s="31"/>
      <c r="G78" s="31" t="s">
        <v>53</v>
      </c>
      <c r="H78" s="32"/>
      <c r="I78" s="32"/>
      <c r="J78" s="32"/>
      <c r="K78" s="31"/>
      <c r="L78" s="31"/>
      <c r="M78" s="3" t="str">
        <f t="shared" ca="1" si="12"/>
        <v/>
      </c>
      <c r="P78" t="str">
        <f>'Combined Delivery Data'!B106</f>
        <v>RPT_05_Leak Survey Mains Summary</v>
      </c>
      <c r="Q78">
        <f t="shared" si="5"/>
        <v>0</v>
      </c>
      <c r="R78">
        <f t="shared" si="6"/>
        <v>0</v>
      </c>
      <c r="S78" s="28" t="str">
        <f t="shared" si="9"/>
        <v/>
      </c>
      <c r="T78" t="str">
        <f t="shared" si="10"/>
        <v/>
      </c>
    </row>
    <row r="79" spans="1:20">
      <c r="A79" s="31"/>
      <c r="B79" s="32"/>
      <c r="C79" s="31" t="s">
        <v>206</v>
      </c>
      <c r="D79" s="31"/>
      <c r="E79" s="31"/>
      <c r="F79" s="31"/>
      <c r="G79" s="31" t="s">
        <v>53</v>
      </c>
      <c r="H79" s="32"/>
      <c r="I79" s="32"/>
      <c r="J79" s="32"/>
      <c r="K79" s="31"/>
      <c r="L79" s="31"/>
      <c r="M79" s="3" t="str">
        <f t="shared" ca="1" si="12"/>
        <v/>
      </c>
      <c r="P79" t="str">
        <f>'Combined Delivery Data'!B107</f>
        <v>RPT_13_Customer Service Point</v>
      </c>
      <c r="Q79">
        <f t="shared" si="5"/>
        <v>0</v>
      </c>
      <c r="R79">
        <f t="shared" si="6"/>
        <v>0</v>
      </c>
      <c r="S79" s="28" t="str">
        <f t="shared" si="9"/>
        <v/>
      </c>
      <c r="T79" t="str">
        <f t="shared" si="10"/>
        <v/>
      </c>
    </row>
    <row r="80" spans="1:20">
      <c r="A80" s="31"/>
      <c r="B80" s="32"/>
      <c r="C80" s="31" t="s">
        <v>206</v>
      </c>
      <c r="D80" s="31"/>
      <c r="E80" s="31"/>
      <c r="F80" s="31"/>
      <c r="G80" s="31" t="s">
        <v>53</v>
      </c>
      <c r="H80" s="32"/>
      <c r="I80" s="32"/>
      <c r="J80" s="32"/>
      <c r="K80" s="31"/>
      <c r="L80" s="31"/>
      <c r="M80" s="3" t="str">
        <f t="shared" ca="1" si="12"/>
        <v/>
      </c>
      <c r="P80" t="str">
        <f>'Combined Delivery Data'!B108</f>
        <v>RPT_02_Emergency Operation Checklist</v>
      </c>
      <c r="Q80">
        <f t="shared" si="5"/>
        <v>0</v>
      </c>
      <c r="R80">
        <f t="shared" si="6"/>
        <v>0</v>
      </c>
      <c r="S80" s="28" t="str">
        <f t="shared" si="9"/>
        <v/>
      </c>
      <c r="T80" t="str">
        <f t="shared" si="10"/>
        <v/>
      </c>
    </row>
    <row r="81" spans="1:20">
      <c r="A81" s="31"/>
      <c r="B81" s="32"/>
      <c r="C81" s="31" t="s">
        <v>206</v>
      </c>
      <c r="D81" s="31"/>
      <c r="E81" s="31"/>
      <c r="F81" s="31"/>
      <c r="G81" s="31" t="s">
        <v>53</v>
      </c>
      <c r="H81" s="32"/>
      <c r="I81" s="32"/>
      <c r="J81" s="32"/>
      <c r="K81" s="31"/>
      <c r="L81" s="31"/>
      <c r="M81" s="3" t="str">
        <f t="shared" ca="1" si="12"/>
        <v/>
      </c>
      <c r="P81" t="str">
        <f>'Combined Delivery Data'!B109</f>
        <v>RPT_06_ERT List</v>
      </c>
      <c r="Q81">
        <f t="shared" ref="Q81:Q144" si="13">IF($P81="","",COUNTIF($A$2:$A$497,$P81))</f>
        <v>0</v>
      </c>
      <c r="R81">
        <f t="shared" ref="R81:R144" si="14">IF($P81="","",SUMPRODUCT(($A$2:$A$497=$P81)*($G$2:$G$497&lt;&gt;"Yes")*($G$2:$G$497&lt;&gt;"Did not pass re-test")))</f>
        <v>0</v>
      </c>
      <c r="S81" s="28" t="str">
        <f t="shared" si="9"/>
        <v/>
      </c>
      <c r="T81" t="str">
        <f t="shared" si="10"/>
        <v/>
      </c>
    </row>
    <row r="82" spans="1:20">
      <c r="A82" s="31"/>
      <c r="B82" s="32"/>
      <c r="C82" s="31" t="s">
        <v>206</v>
      </c>
      <c r="D82" s="31"/>
      <c r="E82" s="31"/>
      <c r="F82" s="31"/>
      <c r="G82" s="31" t="s">
        <v>53</v>
      </c>
      <c r="H82" s="32"/>
      <c r="I82" s="32"/>
      <c r="J82" s="32"/>
      <c r="K82" s="31"/>
      <c r="L82" s="31"/>
      <c r="M82" s="3" t="str">
        <f t="shared" ca="1" si="12"/>
        <v/>
      </c>
      <c r="P82" t="str">
        <f>'Combined Delivery Data'!B110</f>
        <v>RPT_13_Blue Card</v>
      </c>
      <c r="Q82">
        <f t="shared" si="13"/>
        <v>0</v>
      </c>
      <c r="R82">
        <f t="shared" si="14"/>
        <v>0</v>
      </c>
      <c r="S82" s="28" t="str">
        <f t="shared" si="9"/>
        <v/>
      </c>
      <c r="T82" t="str">
        <f t="shared" si="10"/>
        <v/>
      </c>
    </row>
    <row r="83" spans="1:20">
      <c r="A83" s="31"/>
      <c r="B83" s="32"/>
      <c r="C83" s="31" t="s">
        <v>206</v>
      </c>
      <c r="D83" s="31"/>
      <c r="E83" s="31"/>
      <c r="F83" s="31"/>
      <c r="G83" s="31" t="s">
        <v>53</v>
      </c>
      <c r="H83" s="32"/>
      <c r="I83" s="32"/>
      <c r="J83" s="32"/>
      <c r="K83" s="31"/>
      <c r="L83" s="31"/>
      <c r="M83" s="3" t="str">
        <f t="shared" ca="1" si="12"/>
        <v/>
      </c>
      <c r="P83" t="str">
        <f>'Combined Delivery Data'!B111</f>
        <v>RPT_06_Out of Route Meters Gas</v>
      </c>
      <c r="Q83">
        <f t="shared" si="13"/>
        <v>0</v>
      </c>
      <c r="R83">
        <f t="shared" si="14"/>
        <v>0</v>
      </c>
      <c r="S83" s="28" t="str">
        <f t="shared" si="9"/>
        <v/>
      </c>
      <c r="T83" t="str">
        <f t="shared" si="10"/>
        <v/>
      </c>
    </row>
    <row r="84" spans="1:20">
      <c r="A84" s="31"/>
      <c r="B84" s="32"/>
      <c r="C84" s="31" t="s">
        <v>206</v>
      </c>
      <c r="D84" s="31"/>
      <c r="E84" s="31"/>
      <c r="F84" s="31"/>
      <c r="G84" s="31" t="s">
        <v>53</v>
      </c>
      <c r="H84" s="32"/>
      <c r="I84" s="32"/>
      <c r="J84" s="32"/>
      <c r="K84" s="31"/>
      <c r="L84" s="31"/>
      <c r="M84" s="3" t="str">
        <f t="shared" ca="1" si="12"/>
        <v/>
      </c>
      <c r="P84" t="str">
        <f>'Combined Delivery Data'!B112</f>
        <v>RPT_06_Yard Meter Inventory</v>
      </c>
      <c r="Q84">
        <f t="shared" si="13"/>
        <v>0</v>
      </c>
      <c r="R84">
        <f t="shared" si="14"/>
        <v>0</v>
      </c>
      <c r="S84" s="28" t="str">
        <f t="shared" si="9"/>
        <v/>
      </c>
      <c r="T84" t="str">
        <f t="shared" si="10"/>
        <v/>
      </c>
    </row>
    <row r="85" spans="1:20">
      <c r="A85" s="31"/>
      <c r="B85" s="32"/>
      <c r="C85" s="31" t="s">
        <v>206</v>
      </c>
      <c r="D85" s="31"/>
      <c r="E85" s="31"/>
      <c r="F85" s="31"/>
      <c r="G85" s="31" t="s">
        <v>53</v>
      </c>
      <c r="H85" s="32"/>
      <c r="I85" s="32"/>
      <c r="J85" s="32"/>
      <c r="K85" s="31"/>
      <c r="L85" s="31"/>
      <c r="M85" s="3" t="str">
        <f t="shared" ca="1" si="12"/>
        <v/>
      </c>
      <c r="P85" t="str">
        <f>'Combined Delivery Data'!B113</f>
        <v>RPT_06_ERTtoEPSLoadReportbyReceiptNumber</v>
      </c>
      <c r="Q85">
        <f t="shared" si="13"/>
        <v>0</v>
      </c>
      <c r="R85">
        <f t="shared" si="14"/>
        <v>0</v>
      </c>
      <c r="S85" s="28" t="str">
        <f t="shared" si="9"/>
        <v/>
      </c>
      <c r="T85" t="str">
        <f t="shared" si="10"/>
        <v/>
      </c>
    </row>
    <row r="86" spans="1:20">
      <c r="A86" s="31"/>
      <c r="B86" s="32"/>
      <c r="C86" s="31" t="s">
        <v>206</v>
      </c>
      <c r="D86" s="31"/>
      <c r="E86" s="31"/>
      <c r="F86" s="31"/>
      <c r="G86" s="31" t="s">
        <v>53</v>
      </c>
      <c r="H86" s="32"/>
      <c r="I86" s="32"/>
      <c r="J86" s="32"/>
      <c r="K86" s="31"/>
      <c r="L86" s="31"/>
      <c r="M86" s="3" t="str">
        <f t="shared" ca="1" si="12"/>
        <v/>
      </c>
      <c r="P86" t="str">
        <f>'Combined Delivery Data'!B114</f>
        <v>RPT_06_Out of Route Meters Electric</v>
      </c>
      <c r="Q86">
        <f t="shared" si="13"/>
        <v>0</v>
      </c>
      <c r="R86">
        <f t="shared" si="14"/>
        <v>0</v>
      </c>
      <c r="S86" s="28" t="str">
        <f t="shared" si="9"/>
        <v/>
      </c>
      <c r="T86" t="str">
        <f t="shared" si="10"/>
        <v/>
      </c>
    </row>
    <row r="87" spans="1:20">
      <c r="A87" s="31"/>
      <c r="B87" s="32"/>
      <c r="C87" s="31" t="s">
        <v>206</v>
      </c>
      <c r="D87" s="31"/>
      <c r="E87" s="31"/>
      <c r="F87" s="31"/>
      <c r="G87" s="31" t="s">
        <v>53</v>
      </c>
      <c r="H87" s="32"/>
      <c r="I87" s="32"/>
      <c r="J87" s="32"/>
      <c r="K87" s="31"/>
      <c r="L87" s="31"/>
      <c r="M87" s="3" t="str">
        <f t="shared" ca="1" si="12"/>
        <v/>
      </c>
      <c r="P87" t="str">
        <f>'Combined Delivery Data'!B115</f>
        <v>RPT_06_Installed Meters</v>
      </c>
      <c r="Q87">
        <f t="shared" si="13"/>
        <v>0</v>
      </c>
      <c r="R87">
        <f t="shared" si="14"/>
        <v>0</v>
      </c>
      <c r="S87" s="28" t="str">
        <f t="shared" si="9"/>
        <v/>
      </c>
      <c r="T87" t="str">
        <f t="shared" si="10"/>
        <v/>
      </c>
    </row>
    <row r="88" spans="1:20">
      <c r="A88" s="31"/>
      <c r="B88" s="32"/>
      <c r="C88" s="31" t="s">
        <v>206</v>
      </c>
      <c r="D88" s="31"/>
      <c r="E88" s="31"/>
      <c r="F88" s="31"/>
      <c r="G88" s="31" t="s">
        <v>53</v>
      </c>
      <c r="H88" s="32"/>
      <c r="I88" s="32"/>
      <c r="J88" s="32"/>
      <c r="K88" s="31"/>
      <c r="L88" s="31"/>
      <c r="M88" s="3" t="str">
        <f t="shared" ca="1" si="12"/>
        <v/>
      </c>
      <c r="P88" t="str">
        <f>'Combined Delivery Data'!B117</f>
        <v>RPT_05_Kedny Compliance</v>
      </c>
      <c r="Q88">
        <f t="shared" si="13"/>
        <v>0</v>
      </c>
      <c r="R88">
        <f t="shared" si="14"/>
        <v>0</v>
      </c>
      <c r="S88" s="28" t="str">
        <f t="shared" si="9"/>
        <v/>
      </c>
      <c r="T88" t="str">
        <f t="shared" si="10"/>
        <v/>
      </c>
    </row>
    <row r="89" spans="1:20">
      <c r="A89" s="31"/>
      <c r="B89" s="32"/>
      <c r="C89" s="31" t="s">
        <v>206</v>
      </c>
      <c r="D89" s="31"/>
      <c r="E89" s="31"/>
      <c r="F89" s="31"/>
      <c r="G89" s="31" t="s">
        <v>53</v>
      </c>
      <c r="H89" s="32"/>
      <c r="I89" s="32"/>
      <c r="J89" s="32"/>
      <c r="K89" s="31"/>
      <c r="L89" s="31"/>
      <c r="M89" s="3" t="str">
        <f t="shared" ca="1" si="12"/>
        <v/>
      </c>
      <c r="P89" t="str">
        <f>'Combined Delivery Data'!B118</f>
        <v>RPT_05_CI Encroachment</v>
      </c>
      <c r="Q89">
        <f t="shared" si="13"/>
        <v>0</v>
      </c>
      <c r="R89">
        <f t="shared" si="14"/>
        <v>0</v>
      </c>
      <c r="S89" s="28" t="str">
        <f t="shared" si="9"/>
        <v/>
      </c>
      <c r="T89" t="str">
        <f t="shared" si="10"/>
        <v/>
      </c>
    </row>
    <row r="90" spans="1:20">
      <c r="A90" s="31"/>
      <c r="B90" s="32"/>
      <c r="C90" s="31" t="s">
        <v>206</v>
      </c>
      <c r="D90" s="31"/>
      <c r="E90" s="31"/>
      <c r="F90" s="31"/>
      <c r="G90" s="31" t="s">
        <v>53</v>
      </c>
      <c r="H90" s="32"/>
      <c r="I90" s="32"/>
      <c r="J90" s="32"/>
      <c r="K90" s="31"/>
      <c r="L90" s="31"/>
      <c r="M90" s="3" t="str">
        <f t="shared" ca="1" si="12"/>
        <v/>
      </c>
      <c r="P90" t="str">
        <f>'Combined Delivery Data'!B119</f>
        <v>RPT_05_Design Processing</v>
      </c>
      <c r="Q90">
        <f t="shared" si="13"/>
        <v>0</v>
      </c>
      <c r="R90">
        <f t="shared" si="14"/>
        <v>0</v>
      </c>
      <c r="S90" s="28" t="str">
        <f t="shared" si="9"/>
        <v/>
      </c>
      <c r="T90" t="str">
        <f t="shared" si="10"/>
        <v/>
      </c>
    </row>
    <row r="91" spans="1:20">
      <c r="A91" s="31"/>
      <c r="B91" s="32"/>
      <c r="C91" s="31" t="s">
        <v>206</v>
      </c>
      <c r="D91" s="31"/>
      <c r="E91" s="31"/>
      <c r="F91" s="31"/>
      <c r="G91" s="31" t="s">
        <v>53</v>
      </c>
      <c r="H91" s="32"/>
      <c r="I91" s="32"/>
      <c r="J91" s="32"/>
      <c r="K91" s="31"/>
      <c r="L91" s="31"/>
      <c r="M91" s="3" t="str">
        <f t="shared" ca="1" si="12"/>
        <v/>
      </c>
      <c r="P91">
        <f>'Combined Delivery Data'!B120</f>
        <v>0</v>
      </c>
      <c r="Q91">
        <f t="shared" si="13"/>
        <v>0</v>
      </c>
      <c r="R91">
        <f t="shared" si="14"/>
        <v>451</v>
      </c>
      <c r="S91" s="28">
        <f t="shared" si="9"/>
        <v>0</v>
      </c>
      <c r="T91" t="str">
        <f t="shared" si="10"/>
        <v xml:space="preserve"> -&gt; </v>
      </c>
    </row>
    <row r="92" spans="1:20">
      <c r="A92" s="31"/>
      <c r="B92" s="32"/>
      <c r="C92" s="31" t="s">
        <v>206</v>
      </c>
      <c r="D92" s="31"/>
      <c r="E92" s="31"/>
      <c r="F92" s="31"/>
      <c r="G92" s="31" t="s">
        <v>53</v>
      </c>
      <c r="H92" s="32"/>
      <c r="I92" s="32"/>
      <c r="J92" s="32"/>
      <c r="K92" s="31"/>
      <c r="L92" s="31"/>
      <c r="M92" s="3" t="str">
        <f t="shared" ca="1" si="12"/>
        <v/>
      </c>
      <c r="P92">
        <f>'Combined Delivery Data'!B121</f>
        <v>0</v>
      </c>
      <c r="Q92">
        <f t="shared" si="13"/>
        <v>0</v>
      </c>
      <c r="R92">
        <f t="shared" si="14"/>
        <v>451</v>
      </c>
      <c r="S92" s="28">
        <f t="shared" si="9"/>
        <v>0</v>
      </c>
      <c r="T92" t="str">
        <f t="shared" si="10"/>
        <v xml:space="preserve"> -&gt; </v>
      </c>
    </row>
    <row r="93" spans="1:20">
      <c r="A93" s="31"/>
      <c r="B93" s="32"/>
      <c r="C93" s="31" t="s">
        <v>206</v>
      </c>
      <c r="D93" s="31"/>
      <c r="E93" s="31"/>
      <c r="F93" s="31"/>
      <c r="G93" s="31" t="s">
        <v>53</v>
      </c>
      <c r="H93" s="32"/>
      <c r="I93" s="32"/>
      <c r="J93" s="32"/>
      <c r="K93" s="31"/>
      <c r="L93" s="31"/>
      <c r="M93" s="3" t="str">
        <f t="shared" ca="1" si="12"/>
        <v/>
      </c>
      <c r="P93">
        <f>'Combined Delivery Data'!B122</f>
        <v>0</v>
      </c>
      <c r="Q93">
        <f t="shared" si="13"/>
        <v>0</v>
      </c>
      <c r="R93">
        <f t="shared" si="14"/>
        <v>451</v>
      </c>
      <c r="S93" s="28">
        <f t="shared" si="9"/>
        <v>0</v>
      </c>
      <c r="T93" t="str">
        <f t="shared" si="10"/>
        <v xml:space="preserve"> -&gt; </v>
      </c>
    </row>
    <row r="94" spans="1:20">
      <c r="A94" s="31"/>
      <c r="B94" s="32"/>
      <c r="C94" s="31" t="s">
        <v>206</v>
      </c>
      <c r="D94" s="31"/>
      <c r="E94" s="31"/>
      <c r="F94" s="31"/>
      <c r="G94" s="31" t="s">
        <v>53</v>
      </c>
      <c r="H94" s="32"/>
      <c r="I94" s="32"/>
      <c r="J94" s="32"/>
      <c r="K94" s="31"/>
      <c r="L94" s="31"/>
      <c r="M94" s="3" t="str">
        <f t="shared" ca="1" si="12"/>
        <v/>
      </c>
      <c r="P94">
        <f>'Combined Delivery Data'!B123</f>
        <v>0</v>
      </c>
      <c r="Q94">
        <f t="shared" si="13"/>
        <v>0</v>
      </c>
      <c r="R94">
        <f t="shared" si="14"/>
        <v>451</v>
      </c>
      <c r="S94" s="28">
        <f t="shared" si="9"/>
        <v>0</v>
      </c>
      <c r="T94" t="str">
        <f t="shared" si="10"/>
        <v xml:space="preserve"> -&gt; </v>
      </c>
    </row>
    <row r="95" spans="1:20">
      <c r="A95" s="31"/>
      <c r="B95" s="32"/>
      <c r="C95" s="31" t="s">
        <v>206</v>
      </c>
      <c r="D95" s="31"/>
      <c r="E95" s="31"/>
      <c r="F95" s="31"/>
      <c r="G95" s="31" t="s">
        <v>53</v>
      </c>
      <c r="H95" s="32"/>
      <c r="I95" s="32"/>
      <c r="J95" s="32"/>
      <c r="K95" s="31"/>
      <c r="L95" s="31"/>
      <c r="M95" s="3" t="str">
        <f t="shared" ca="1" si="12"/>
        <v/>
      </c>
      <c r="P95">
        <f>'Combined Delivery Data'!B124</f>
        <v>0</v>
      </c>
      <c r="Q95">
        <f t="shared" si="13"/>
        <v>0</v>
      </c>
      <c r="R95">
        <f t="shared" si="14"/>
        <v>451</v>
      </c>
      <c r="S95" s="28">
        <f t="shared" si="9"/>
        <v>0</v>
      </c>
      <c r="T95" t="str">
        <f t="shared" si="10"/>
        <v xml:space="preserve"> -&gt; </v>
      </c>
    </row>
    <row r="96" spans="1:20">
      <c r="A96" s="31"/>
      <c r="B96" s="32"/>
      <c r="C96" s="31" t="s">
        <v>206</v>
      </c>
      <c r="D96" s="31"/>
      <c r="E96" s="31"/>
      <c r="F96" s="31"/>
      <c r="G96" s="31" t="s">
        <v>53</v>
      </c>
      <c r="H96" s="32"/>
      <c r="I96" s="32"/>
      <c r="J96" s="32"/>
      <c r="K96" s="31"/>
      <c r="L96" s="31"/>
      <c r="M96" s="3" t="str">
        <f t="shared" ca="1" si="12"/>
        <v/>
      </c>
      <c r="P96">
        <f>'Combined Delivery Data'!B125</f>
        <v>0</v>
      </c>
      <c r="Q96">
        <f t="shared" si="13"/>
        <v>0</v>
      </c>
      <c r="R96">
        <f t="shared" si="14"/>
        <v>451</v>
      </c>
      <c r="S96" s="28">
        <f t="shared" si="9"/>
        <v>0</v>
      </c>
      <c r="T96" t="str">
        <f t="shared" si="10"/>
        <v xml:space="preserve"> -&gt; </v>
      </c>
    </row>
    <row r="97" spans="1:20">
      <c r="A97" s="31"/>
      <c r="B97" s="32"/>
      <c r="C97" s="31" t="s">
        <v>206</v>
      </c>
      <c r="D97" s="31"/>
      <c r="E97" s="31"/>
      <c r="F97" s="31"/>
      <c r="G97" s="31" t="s">
        <v>53</v>
      </c>
      <c r="H97" s="32"/>
      <c r="I97" s="32"/>
      <c r="J97" s="32"/>
      <c r="K97" s="31"/>
      <c r="L97" s="31"/>
      <c r="M97" s="3" t="str">
        <f t="shared" ca="1" si="12"/>
        <v/>
      </c>
      <c r="P97">
        <f>'Combined Delivery Data'!B126</f>
        <v>0</v>
      </c>
      <c r="Q97">
        <f t="shared" si="13"/>
        <v>0</v>
      </c>
      <c r="R97">
        <f t="shared" si="14"/>
        <v>451</v>
      </c>
      <c r="S97" s="28">
        <f t="shared" si="9"/>
        <v>0</v>
      </c>
      <c r="T97" t="str">
        <f t="shared" si="10"/>
        <v xml:space="preserve"> -&gt; </v>
      </c>
    </row>
    <row r="98" spans="1:20">
      <c r="A98" s="31"/>
      <c r="B98" s="32"/>
      <c r="C98" s="31" t="s">
        <v>206</v>
      </c>
      <c r="D98" s="31"/>
      <c r="E98" s="31"/>
      <c r="F98" s="31"/>
      <c r="G98" s="31" t="s">
        <v>53</v>
      </c>
      <c r="H98" s="32"/>
      <c r="I98" s="32"/>
      <c r="J98" s="32"/>
      <c r="K98" s="31"/>
      <c r="L98" s="31"/>
      <c r="M98" s="3" t="str">
        <f t="shared" ca="1" si="12"/>
        <v/>
      </c>
      <c r="P98">
        <f>'Combined Delivery Data'!B127</f>
        <v>0</v>
      </c>
      <c r="Q98">
        <f t="shared" si="13"/>
        <v>0</v>
      </c>
      <c r="R98">
        <f t="shared" si="14"/>
        <v>451</v>
      </c>
      <c r="S98" s="28">
        <f t="shared" si="9"/>
        <v>0</v>
      </c>
      <c r="T98" t="str">
        <f t="shared" si="10"/>
        <v xml:space="preserve"> -&gt; </v>
      </c>
    </row>
    <row r="99" spans="1:20">
      <c r="A99" s="31"/>
      <c r="B99" s="32"/>
      <c r="C99" s="31" t="s">
        <v>206</v>
      </c>
      <c r="D99" s="31"/>
      <c r="E99" s="31"/>
      <c r="F99" s="31"/>
      <c r="G99" s="31" t="s">
        <v>53</v>
      </c>
      <c r="H99" s="32"/>
      <c r="I99" s="32"/>
      <c r="J99" s="32"/>
      <c r="K99" s="31"/>
      <c r="L99" s="31"/>
      <c r="M99" s="3" t="str">
        <f t="shared" ca="1" si="12"/>
        <v/>
      </c>
      <c r="P99">
        <f>'Combined Delivery Data'!B128</f>
        <v>0</v>
      </c>
      <c r="Q99">
        <f t="shared" si="13"/>
        <v>0</v>
      </c>
      <c r="R99">
        <f t="shared" si="14"/>
        <v>451</v>
      </c>
      <c r="S99" s="28">
        <f t="shared" si="9"/>
        <v>0</v>
      </c>
      <c r="T99" t="str">
        <f t="shared" si="10"/>
        <v xml:space="preserve"> -&gt; </v>
      </c>
    </row>
    <row r="100" spans="1:20">
      <c r="A100" s="31"/>
      <c r="B100" s="32"/>
      <c r="C100" s="31" t="s">
        <v>206</v>
      </c>
      <c r="D100" s="31"/>
      <c r="E100" s="31"/>
      <c r="F100" s="31"/>
      <c r="G100" s="31" t="s">
        <v>53</v>
      </c>
      <c r="H100" s="32"/>
      <c r="I100" s="32"/>
      <c r="J100" s="32"/>
      <c r="K100" s="31"/>
      <c r="L100" s="31"/>
      <c r="M100" s="3" t="str">
        <f t="shared" ca="1" si="12"/>
        <v/>
      </c>
      <c r="P100">
        <f>'Combined Delivery Data'!B129</f>
        <v>0</v>
      </c>
      <c r="Q100">
        <f t="shared" si="13"/>
        <v>0</v>
      </c>
      <c r="R100">
        <f t="shared" si="14"/>
        <v>451</v>
      </c>
      <c r="S100" s="28">
        <f t="shared" si="9"/>
        <v>0</v>
      </c>
      <c r="T100" t="str">
        <f t="shared" si="10"/>
        <v xml:space="preserve"> -&gt; </v>
      </c>
    </row>
    <row r="101" spans="1:20">
      <c r="A101" s="31"/>
      <c r="B101" s="32"/>
      <c r="C101" s="31" t="s">
        <v>206</v>
      </c>
      <c r="D101" s="31"/>
      <c r="E101" s="31"/>
      <c r="F101" s="31"/>
      <c r="G101" s="31" t="s">
        <v>53</v>
      </c>
      <c r="H101" s="32"/>
      <c r="I101" s="32"/>
      <c r="J101" s="32"/>
      <c r="K101" s="31"/>
      <c r="L101" s="31"/>
      <c r="M101" s="3" t="str">
        <f t="shared" ca="1" si="12"/>
        <v/>
      </c>
      <c r="P101">
        <f>'Combined Delivery Data'!B130</f>
        <v>0</v>
      </c>
      <c r="Q101">
        <f t="shared" si="13"/>
        <v>0</v>
      </c>
      <c r="R101">
        <f t="shared" si="14"/>
        <v>451</v>
      </c>
      <c r="S101" s="28">
        <f t="shared" si="9"/>
        <v>0</v>
      </c>
      <c r="T101" t="str">
        <f t="shared" si="10"/>
        <v xml:space="preserve"> -&gt; </v>
      </c>
    </row>
    <row r="102" spans="1:20">
      <c r="A102" s="31"/>
      <c r="B102" s="32"/>
      <c r="C102" s="31" t="s">
        <v>206</v>
      </c>
      <c r="D102" s="31"/>
      <c r="E102" s="31"/>
      <c r="F102" s="31"/>
      <c r="G102" s="31" t="s">
        <v>53</v>
      </c>
      <c r="H102" s="32"/>
      <c r="I102" s="32"/>
      <c r="J102" s="32"/>
      <c r="K102" s="31"/>
      <c r="L102" s="31"/>
      <c r="M102" s="3" t="str">
        <f t="shared" ca="1" si="12"/>
        <v/>
      </c>
      <c r="P102">
        <f>'Combined Delivery Data'!B131</f>
        <v>0</v>
      </c>
      <c r="Q102">
        <f t="shared" si="13"/>
        <v>0</v>
      </c>
      <c r="R102">
        <f t="shared" si="14"/>
        <v>451</v>
      </c>
      <c r="S102" s="28">
        <f t="shared" si="9"/>
        <v>0</v>
      </c>
      <c r="T102" t="str">
        <f t="shared" si="10"/>
        <v xml:space="preserve"> -&gt; </v>
      </c>
    </row>
    <row r="103" spans="1:20">
      <c r="A103" s="31"/>
      <c r="B103" s="32"/>
      <c r="C103" s="31" t="s">
        <v>206</v>
      </c>
      <c r="D103" s="31"/>
      <c r="E103" s="31"/>
      <c r="F103" s="31"/>
      <c r="G103" s="31" t="s">
        <v>53</v>
      </c>
      <c r="H103" s="32"/>
      <c r="I103" s="32"/>
      <c r="J103" s="32"/>
      <c r="K103" s="31"/>
      <c r="L103" s="31"/>
      <c r="M103" s="3" t="str">
        <f t="shared" ca="1" si="12"/>
        <v/>
      </c>
      <c r="P103">
        <f>'Combined Delivery Data'!B132</f>
        <v>0</v>
      </c>
      <c r="Q103">
        <f t="shared" si="13"/>
        <v>0</v>
      </c>
      <c r="R103">
        <f t="shared" si="14"/>
        <v>451</v>
      </c>
      <c r="S103" s="28">
        <f t="shared" si="9"/>
        <v>0</v>
      </c>
      <c r="T103" t="str">
        <f t="shared" si="10"/>
        <v xml:space="preserve"> -&gt; </v>
      </c>
    </row>
    <row r="104" spans="1:20">
      <c r="A104" s="31"/>
      <c r="B104" s="32"/>
      <c r="C104" s="31" t="s">
        <v>206</v>
      </c>
      <c r="D104" s="31"/>
      <c r="E104" s="31"/>
      <c r="F104" s="31"/>
      <c r="G104" s="31" t="s">
        <v>53</v>
      </c>
      <c r="H104" s="32"/>
      <c r="I104" s="32"/>
      <c r="J104" s="32"/>
      <c r="K104" s="31"/>
      <c r="L104" s="31"/>
      <c r="M104" s="3" t="str">
        <f t="shared" ca="1" si="12"/>
        <v/>
      </c>
      <c r="P104">
        <f>'Combined Delivery Data'!B134</f>
        <v>0</v>
      </c>
      <c r="Q104">
        <f t="shared" si="13"/>
        <v>0</v>
      </c>
      <c r="R104">
        <f t="shared" si="14"/>
        <v>451</v>
      </c>
      <c r="S104" s="28">
        <f t="shared" si="9"/>
        <v>0</v>
      </c>
      <c r="T104" t="str">
        <f t="shared" si="10"/>
        <v xml:space="preserve"> -&gt; </v>
      </c>
    </row>
    <row r="105" spans="1:20">
      <c r="A105" s="31"/>
      <c r="B105" s="32"/>
      <c r="C105" s="31" t="s">
        <v>206</v>
      </c>
      <c r="D105" s="31"/>
      <c r="E105" s="31"/>
      <c r="F105" s="31"/>
      <c r="G105" s="31" t="s">
        <v>53</v>
      </c>
      <c r="H105" s="32"/>
      <c r="I105" s="32"/>
      <c r="J105" s="32"/>
      <c r="K105" s="31"/>
      <c r="L105" s="31"/>
      <c r="M105" s="3" t="str">
        <f t="shared" ca="1" si="12"/>
        <v/>
      </c>
      <c r="P105">
        <f>'Combined Delivery Data'!B135</f>
        <v>0</v>
      </c>
      <c r="Q105">
        <f t="shared" si="13"/>
        <v>0</v>
      </c>
      <c r="R105">
        <f t="shared" si="14"/>
        <v>451</v>
      </c>
      <c r="S105" s="28">
        <f t="shared" si="9"/>
        <v>0</v>
      </c>
      <c r="T105" t="str">
        <f t="shared" si="10"/>
        <v xml:space="preserve"> -&gt; </v>
      </c>
    </row>
    <row r="106" spans="1:20">
      <c r="A106" s="31"/>
      <c r="B106" s="32"/>
      <c r="C106" s="31" t="s">
        <v>206</v>
      </c>
      <c r="D106" s="31"/>
      <c r="E106" s="31"/>
      <c r="F106" s="31"/>
      <c r="G106" s="31" t="s">
        <v>53</v>
      </c>
      <c r="H106" s="32"/>
      <c r="I106" s="32"/>
      <c r="J106" s="32"/>
      <c r="K106" s="31"/>
      <c r="L106" s="31"/>
      <c r="M106" s="3" t="str">
        <f t="shared" ca="1" si="12"/>
        <v/>
      </c>
      <c r="P106">
        <f>'Combined Delivery Data'!B136</f>
        <v>0</v>
      </c>
      <c r="Q106">
        <f t="shared" si="13"/>
        <v>0</v>
      </c>
      <c r="R106">
        <f t="shared" si="14"/>
        <v>451</v>
      </c>
      <c r="S106" s="28">
        <f t="shared" si="9"/>
        <v>0</v>
      </c>
      <c r="T106" t="str">
        <f t="shared" si="10"/>
        <v xml:space="preserve"> -&gt; </v>
      </c>
    </row>
    <row r="107" spans="1:20">
      <c r="A107" s="31"/>
      <c r="B107" s="32"/>
      <c r="C107" s="31" t="s">
        <v>206</v>
      </c>
      <c r="D107" s="31"/>
      <c r="E107" s="31"/>
      <c r="F107" s="31"/>
      <c r="G107" s="31" t="s">
        <v>53</v>
      </c>
      <c r="H107" s="32"/>
      <c r="I107" s="32"/>
      <c r="J107" s="32"/>
      <c r="K107" s="31"/>
      <c r="L107" s="31"/>
      <c r="M107" s="3" t="str">
        <f t="shared" ca="1" si="12"/>
        <v/>
      </c>
      <c r="P107">
        <f>'Combined Delivery Data'!B137</f>
        <v>0</v>
      </c>
      <c r="Q107">
        <f t="shared" si="13"/>
        <v>0</v>
      </c>
      <c r="R107">
        <f t="shared" si="14"/>
        <v>451</v>
      </c>
      <c r="S107" s="28">
        <f t="shared" si="9"/>
        <v>0</v>
      </c>
      <c r="T107" t="str">
        <f t="shared" si="10"/>
        <v xml:space="preserve"> -&gt; </v>
      </c>
    </row>
    <row r="108" spans="1:20">
      <c r="A108" s="31"/>
      <c r="B108" s="32"/>
      <c r="C108" s="31" t="s">
        <v>206</v>
      </c>
      <c r="D108" s="31"/>
      <c r="E108" s="31"/>
      <c r="F108" s="31"/>
      <c r="G108" s="31" t="s">
        <v>53</v>
      </c>
      <c r="H108" s="32"/>
      <c r="I108" s="32"/>
      <c r="J108" s="32"/>
      <c r="K108" s="31"/>
      <c r="L108" s="31"/>
      <c r="M108" s="3" t="str">
        <f t="shared" ca="1" si="12"/>
        <v/>
      </c>
      <c r="P108">
        <f>'Combined Delivery Data'!B138</f>
        <v>0</v>
      </c>
      <c r="Q108">
        <f t="shared" si="13"/>
        <v>0</v>
      </c>
      <c r="R108">
        <f t="shared" si="14"/>
        <v>451</v>
      </c>
      <c r="S108" s="28">
        <f t="shared" si="9"/>
        <v>0</v>
      </c>
      <c r="T108" t="str">
        <f t="shared" si="10"/>
        <v xml:space="preserve"> -&gt; </v>
      </c>
    </row>
    <row r="109" spans="1:20">
      <c r="A109" s="31"/>
      <c r="B109" s="32"/>
      <c r="C109" s="31" t="s">
        <v>206</v>
      </c>
      <c r="D109" s="31"/>
      <c r="E109" s="31"/>
      <c r="F109" s="31"/>
      <c r="G109" s="31" t="s">
        <v>53</v>
      </c>
      <c r="H109" s="32"/>
      <c r="I109" s="32"/>
      <c r="J109" s="32"/>
      <c r="K109" s="31"/>
      <c r="L109" s="31"/>
      <c r="M109" s="3" t="str">
        <f t="shared" ca="1" si="12"/>
        <v/>
      </c>
      <c r="P109">
        <f>'Combined Delivery Data'!B139</f>
        <v>0</v>
      </c>
      <c r="Q109">
        <f t="shared" si="13"/>
        <v>0</v>
      </c>
      <c r="R109">
        <f t="shared" si="14"/>
        <v>451</v>
      </c>
      <c r="S109" s="28">
        <f t="shared" si="9"/>
        <v>0</v>
      </c>
      <c r="T109" t="str">
        <f t="shared" si="10"/>
        <v xml:space="preserve"> -&gt; </v>
      </c>
    </row>
    <row r="110" spans="1:20">
      <c r="A110" s="31"/>
      <c r="B110" s="32"/>
      <c r="C110" s="31" t="s">
        <v>206</v>
      </c>
      <c r="D110" s="31"/>
      <c r="E110" s="31"/>
      <c r="F110" s="31"/>
      <c r="G110" s="31" t="s">
        <v>53</v>
      </c>
      <c r="H110" s="32"/>
      <c r="I110" s="32"/>
      <c r="J110" s="32"/>
      <c r="K110" s="31"/>
      <c r="L110" s="31"/>
      <c r="M110" s="3" t="str">
        <f t="shared" ca="1" si="12"/>
        <v/>
      </c>
      <c r="P110">
        <f>'Combined Delivery Data'!B140</f>
        <v>0</v>
      </c>
      <c r="Q110">
        <f t="shared" si="13"/>
        <v>0</v>
      </c>
      <c r="R110">
        <f t="shared" si="14"/>
        <v>451</v>
      </c>
      <c r="S110" s="28">
        <f t="shared" ref="S110:S173" si="15">IF($P110="","",IF(SUMPRODUCT(MAX(($A$2:$A$497=$P110)*ROW($A$2:$A$497)))=0,"",INDEX($B:$B,SUMPRODUCT(MAX(($A$2:$A$497=$P110)*ROW($A$2:$A$497))))))</f>
        <v>0</v>
      </c>
      <c r="T110" t="str">
        <f t="shared" ref="T110:T173" si="16">IF($P110="","",IF(SUMPRODUCT(MAX(($A$2:$A$497=$P110)*ROW($A$2:$A$497)))=0,"",INDEX($C:$C,SUMPRODUCT(MAX(($A$2:$A$497=$P110)*ROW($A$2:$A$497))))&amp;" -&gt; "&amp;INDEX($D:$D,SUMPRODUCT(MAX(($A$2:$A$497=$P110)*ROW($A$2:$A$497))))))</f>
        <v xml:space="preserve"> -&gt; </v>
      </c>
    </row>
    <row r="111" spans="1:20">
      <c r="A111" s="31"/>
      <c r="B111" s="32"/>
      <c r="C111" s="31" t="s">
        <v>206</v>
      </c>
      <c r="D111" s="31"/>
      <c r="E111" s="31"/>
      <c r="F111" s="31"/>
      <c r="G111" s="31" t="s">
        <v>53</v>
      </c>
      <c r="H111" s="32"/>
      <c r="I111" s="32"/>
      <c r="J111" s="32"/>
      <c r="K111" s="31"/>
      <c r="L111" s="31"/>
      <c r="M111" s="3" t="str">
        <f t="shared" ca="1" si="12"/>
        <v/>
      </c>
      <c r="P111">
        <f>'Combined Delivery Data'!B141</f>
        <v>0</v>
      </c>
      <c r="Q111">
        <f t="shared" si="13"/>
        <v>0</v>
      </c>
      <c r="R111">
        <f t="shared" si="14"/>
        <v>451</v>
      </c>
      <c r="S111" s="28">
        <f t="shared" si="15"/>
        <v>0</v>
      </c>
      <c r="T111" t="str">
        <f t="shared" si="16"/>
        <v xml:space="preserve"> -&gt; </v>
      </c>
    </row>
    <row r="112" spans="1:20">
      <c r="A112" s="31"/>
      <c r="B112" s="32"/>
      <c r="C112" s="31" t="s">
        <v>206</v>
      </c>
      <c r="D112" s="31"/>
      <c r="E112" s="31"/>
      <c r="F112" s="31"/>
      <c r="G112" s="31" t="s">
        <v>53</v>
      </c>
      <c r="H112" s="32"/>
      <c r="I112" s="32"/>
      <c r="J112" s="32"/>
      <c r="K112" s="31"/>
      <c r="L112" s="31"/>
      <c r="M112" s="3" t="str">
        <f t="shared" ca="1" si="12"/>
        <v/>
      </c>
      <c r="P112">
        <f>'Combined Delivery Data'!B142</f>
        <v>0</v>
      </c>
      <c r="Q112">
        <f t="shared" si="13"/>
        <v>0</v>
      </c>
      <c r="R112">
        <f t="shared" si="14"/>
        <v>451</v>
      </c>
      <c r="S112" s="28">
        <f t="shared" si="15"/>
        <v>0</v>
      </c>
      <c r="T112" t="str">
        <f t="shared" si="16"/>
        <v xml:space="preserve"> -&gt; </v>
      </c>
    </row>
    <row r="113" spans="1:20">
      <c r="A113" s="31"/>
      <c r="B113" s="32"/>
      <c r="C113" s="31" t="s">
        <v>206</v>
      </c>
      <c r="D113" s="31"/>
      <c r="E113" s="31"/>
      <c r="F113" s="31"/>
      <c r="G113" s="31" t="s">
        <v>53</v>
      </c>
      <c r="H113" s="32"/>
      <c r="I113" s="32"/>
      <c r="J113" s="32"/>
      <c r="K113" s="31"/>
      <c r="L113" s="31"/>
      <c r="M113" s="3" t="str">
        <f t="shared" ca="1" si="12"/>
        <v/>
      </c>
      <c r="P113">
        <f>'Combined Delivery Data'!B143</f>
        <v>0</v>
      </c>
      <c r="Q113">
        <f t="shared" si="13"/>
        <v>0</v>
      </c>
      <c r="R113">
        <f t="shared" si="14"/>
        <v>451</v>
      </c>
      <c r="S113" s="28">
        <f t="shared" si="15"/>
        <v>0</v>
      </c>
      <c r="T113" t="str">
        <f t="shared" si="16"/>
        <v xml:space="preserve"> -&gt; </v>
      </c>
    </row>
    <row r="114" spans="1:20">
      <c r="A114" s="31"/>
      <c r="B114" s="32"/>
      <c r="C114" s="31" t="s">
        <v>206</v>
      </c>
      <c r="D114" s="31"/>
      <c r="E114" s="31"/>
      <c r="F114" s="31"/>
      <c r="G114" s="31" t="s">
        <v>53</v>
      </c>
      <c r="H114" s="32"/>
      <c r="I114" s="32"/>
      <c r="J114" s="32"/>
      <c r="K114" s="31"/>
      <c r="L114" s="31"/>
      <c r="M114" s="3" t="str">
        <f t="shared" ca="1" si="12"/>
        <v/>
      </c>
      <c r="P114">
        <f>'Combined Delivery Data'!B144</f>
        <v>0</v>
      </c>
      <c r="Q114">
        <f t="shared" si="13"/>
        <v>0</v>
      </c>
      <c r="R114">
        <f t="shared" si="14"/>
        <v>451</v>
      </c>
      <c r="S114" s="28">
        <f t="shared" si="15"/>
        <v>0</v>
      </c>
      <c r="T114" t="str">
        <f t="shared" si="16"/>
        <v xml:space="preserve"> -&gt; </v>
      </c>
    </row>
    <row r="115" spans="1:20">
      <c r="A115" s="31"/>
      <c r="B115" s="32"/>
      <c r="C115" s="31" t="s">
        <v>206</v>
      </c>
      <c r="D115" s="31"/>
      <c r="E115" s="31"/>
      <c r="F115" s="31"/>
      <c r="G115" s="31" t="s">
        <v>53</v>
      </c>
      <c r="H115" s="32"/>
      <c r="I115" s="32"/>
      <c r="J115" s="32"/>
      <c r="K115" s="31"/>
      <c r="L115" s="31"/>
      <c r="M115" s="3" t="str">
        <f t="shared" ca="1" si="12"/>
        <v/>
      </c>
      <c r="P115">
        <f>'Combined Delivery Data'!B145</f>
        <v>0</v>
      </c>
      <c r="Q115">
        <f t="shared" si="13"/>
        <v>0</v>
      </c>
      <c r="R115">
        <f t="shared" si="14"/>
        <v>451</v>
      </c>
      <c r="S115" s="28">
        <f t="shared" si="15"/>
        <v>0</v>
      </c>
      <c r="T115" t="str">
        <f t="shared" si="16"/>
        <v xml:space="preserve"> -&gt; </v>
      </c>
    </row>
    <row r="116" spans="1:20">
      <c r="A116" s="31"/>
      <c r="B116" s="32"/>
      <c r="C116" s="31" t="s">
        <v>206</v>
      </c>
      <c r="D116" s="31"/>
      <c r="E116" s="31"/>
      <c r="F116" s="31"/>
      <c r="G116" s="31" t="s">
        <v>53</v>
      </c>
      <c r="H116" s="32"/>
      <c r="I116" s="32"/>
      <c r="J116" s="32"/>
      <c r="K116" s="31"/>
      <c r="L116" s="31"/>
      <c r="M116" s="3" t="str">
        <f t="shared" ca="1" si="12"/>
        <v/>
      </c>
      <c r="P116">
        <f>'Combined Delivery Data'!B146</f>
        <v>0</v>
      </c>
      <c r="Q116">
        <f t="shared" si="13"/>
        <v>0</v>
      </c>
      <c r="R116">
        <f t="shared" si="14"/>
        <v>451</v>
      </c>
      <c r="S116" s="28">
        <f t="shared" si="15"/>
        <v>0</v>
      </c>
      <c r="T116" t="str">
        <f t="shared" si="16"/>
        <v xml:space="preserve"> -&gt; </v>
      </c>
    </row>
    <row r="117" spans="1:20">
      <c r="A117" s="31"/>
      <c r="B117" s="32"/>
      <c r="C117" s="31" t="s">
        <v>206</v>
      </c>
      <c r="D117" s="31"/>
      <c r="E117" s="31"/>
      <c r="F117" s="31"/>
      <c r="G117" s="31" t="s">
        <v>53</v>
      </c>
      <c r="H117" s="32"/>
      <c r="I117" s="32"/>
      <c r="J117" s="32"/>
      <c r="K117" s="31"/>
      <c r="L117" s="31"/>
      <c r="M117" s="3" t="str">
        <f t="shared" ca="1" si="12"/>
        <v/>
      </c>
      <c r="P117">
        <f>'Combined Delivery Data'!B147</f>
        <v>0</v>
      </c>
      <c r="Q117">
        <f t="shared" si="13"/>
        <v>0</v>
      </c>
      <c r="R117">
        <f t="shared" si="14"/>
        <v>451</v>
      </c>
      <c r="S117" s="28">
        <f t="shared" si="15"/>
        <v>0</v>
      </c>
      <c r="T117" t="str">
        <f t="shared" si="16"/>
        <v xml:space="preserve"> -&gt; </v>
      </c>
    </row>
    <row r="118" spans="1:20">
      <c r="A118" s="31"/>
      <c r="B118" s="32"/>
      <c r="C118" s="31" t="s">
        <v>206</v>
      </c>
      <c r="D118" s="31"/>
      <c r="E118" s="31"/>
      <c r="F118" s="31"/>
      <c r="G118" s="31" t="s">
        <v>53</v>
      </c>
      <c r="H118" s="32"/>
      <c r="I118" s="32"/>
      <c r="J118" s="32"/>
      <c r="K118" s="31"/>
      <c r="L118" s="31"/>
      <c r="M118" s="3" t="str">
        <f t="shared" ca="1" si="12"/>
        <v/>
      </c>
      <c r="P118">
        <f>'Combined Delivery Data'!B148</f>
        <v>0</v>
      </c>
      <c r="Q118">
        <f t="shared" si="13"/>
        <v>0</v>
      </c>
      <c r="R118">
        <f t="shared" si="14"/>
        <v>451</v>
      </c>
      <c r="S118" s="28">
        <f t="shared" si="15"/>
        <v>0</v>
      </c>
      <c r="T118" t="str">
        <f t="shared" si="16"/>
        <v xml:space="preserve"> -&gt; </v>
      </c>
    </row>
    <row r="119" spans="1:20">
      <c r="A119" s="31"/>
      <c r="B119" s="32"/>
      <c r="C119" s="31" t="s">
        <v>206</v>
      </c>
      <c r="D119" s="31"/>
      <c r="E119" s="31"/>
      <c r="F119" s="31"/>
      <c r="G119" s="31" t="s">
        <v>53</v>
      </c>
      <c r="H119" s="32"/>
      <c r="I119" s="32"/>
      <c r="J119" s="32"/>
      <c r="K119" s="31"/>
      <c r="L119" s="31"/>
      <c r="M119" s="3" t="str">
        <f t="shared" ca="1" si="12"/>
        <v/>
      </c>
      <c r="P119">
        <f>'Combined Delivery Data'!B149</f>
        <v>0</v>
      </c>
      <c r="Q119">
        <f t="shared" si="13"/>
        <v>0</v>
      </c>
      <c r="R119">
        <f t="shared" si="14"/>
        <v>451</v>
      </c>
      <c r="S119" s="28">
        <f t="shared" si="15"/>
        <v>0</v>
      </c>
      <c r="T119" t="str">
        <f t="shared" si="16"/>
        <v xml:space="preserve"> -&gt; </v>
      </c>
    </row>
    <row r="120" spans="1:20">
      <c r="A120" s="31"/>
      <c r="B120" s="32"/>
      <c r="C120" s="31" t="s">
        <v>206</v>
      </c>
      <c r="D120" s="31"/>
      <c r="E120" s="31"/>
      <c r="F120" s="31"/>
      <c r="G120" s="31" t="s">
        <v>53</v>
      </c>
      <c r="H120" s="32"/>
      <c r="I120" s="32"/>
      <c r="J120" s="32"/>
      <c r="K120" s="31"/>
      <c r="L120" s="31"/>
      <c r="M120" s="3" t="str">
        <f t="shared" ca="1" si="12"/>
        <v/>
      </c>
      <c r="P120">
        <f>'Combined Delivery Data'!B150</f>
        <v>0</v>
      </c>
      <c r="Q120">
        <f t="shared" si="13"/>
        <v>0</v>
      </c>
      <c r="R120">
        <f t="shared" si="14"/>
        <v>451</v>
      </c>
      <c r="S120" s="28">
        <f t="shared" si="15"/>
        <v>0</v>
      </c>
      <c r="T120" t="str">
        <f t="shared" si="16"/>
        <v xml:space="preserve"> -&gt; </v>
      </c>
    </row>
    <row r="121" spans="1:20">
      <c r="A121" s="31"/>
      <c r="B121" s="32"/>
      <c r="C121" s="31" t="s">
        <v>206</v>
      </c>
      <c r="D121" s="31"/>
      <c r="E121" s="31"/>
      <c r="F121" s="31"/>
      <c r="G121" s="31" t="s">
        <v>53</v>
      </c>
      <c r="H121" s="32"/>
      <c r="I121" s="32"/>
      <c r="J121" s="32"/>
      <c r="K121" s="31"/>
      <c r="L121" s="31"/>
      <c r="M121" s="3" t="str">
        <f t="shared" ca="1" si="12"/>
        <v/>
      </c>
      <c r="P121">
        <f>'Combined Delivery Data'!B151</f>
        <v>0</v>
      </c>
      <c r="Q121">
        <f t="shared" si="13"/>
        <v>0</v>
      </c>
      <c r="R121">
        <f t="shared" si="14"/>
        <v>451</v>
      </c>
      <c r="S121" s="28">
        <f t="shared" si="15"/>
        <v>0</v>
      </c>
      <c r="T121" t="str">
        <f t="shared" si="16"/>
        <v xml:space="preserve"> -&gt; </v>
      </c>
    </row>
    <row r="122" spans="1:20">
      <c r="A122" s="31"/>
      <c r="B122" s="32"/>
      <c r="C122" s="31" t="s">
        <v>206</v>
      </c>
      <c r="D122" s="31"/>
      <c r="E122" s="31"/>
      <c r="F122" s="31"/>
      <c r="G122" s="31" t="s">
        <v>53</v>
      </c>
      <c r="H122" s="32"/>
      <c r="I122" s="32"/>
      <c r="J122" s="32"/>
      <c r="K122" s="31"/>
      <c r="L122" s="31"/>
      <c r="M122" s="3" t="str">
        <f t="shared" ca="1" si="12"/>
        <v/>
      </c>
      <c r="P122">
        <f>'Combined Delivery Data'!B152</f>
        <v>0</v>
      </c>
      <c r="Q122">
        <f t="shared" si="13"/>
        <v>0</v>
      </c>
      <c r="R122">
        <f t="shared" si="14"/>
        <v>451</v>
      </c>
      <c r="S122" s="28">
        <f t="shared" si="15"/>
        <v>0</v>
      </c>
      <c r="T122" t="str">
        <f t="shared" si="16"/>
        <v xml:space="preserve"> -&gt; </v>
      </c>
    </row>
    <row r="123" spans="1:20">
      <c r="A123" s="31"/>
      <c r="B123" s="32"/>
      <c r="C123" s="31" t="s">
        <v>206</v>
      </c>
      <c r="D123" s="31"/>
      <c r="E123" s="31"/>
      <c r="F123" s="31"/>
      <c r="G123" s="31" t="s">
        <v>53</v>
      </c>
      <c r="H123" s="32"/>
      <c r="I123" s="32"/>
      <c r="J123" s="32"/>
      <c r="K123" s="31"/>
      <c r="L123" s="31"/>
      <c r="M123" s="3" t="str">
        <f t="shared" ca="1" si="12"/>
        <v/>
      </c>
      <c r="P123">
        <f>'Combined Delivery Data'!B153</f>
        <v>0</v>
      </c>
      <c r="Q123">
        <f t="shared" si="13"/>
        <v>0</v>
      </c>
      <c r="R123">
        <f t="shared" si="14"/>
        <v>451</v>
      </c>
      <c r="S123" s="28">
        <f t="shared" si="15"/>
        <v>0</v>
      </c>
      <c r="T123" t="str">
        <f t="shared" si="16"/>
        <v xml:space="preserve"> -&gt; </v>
      </c>
    </row>
    <row r="124" spans="1:20">
      <c r="A124" s="31"/>
      <c r="B124" s="32"/>
      <c r="C124" s="31" t="s">
        <v>206</v>
      </c>
      <c r="D124" s="31"/>
      <c r="E124" s="31"/>
      <c r="F124" s="31"/>
      <c r="G124" s="31" t="s">
        <v>53</v>
      </c>
      <c r="H124" s="32"/>
      <c r="I124" s="32"/>
      <c r="J124" s="32"/>
      <c r="K124" s="31"/>
      <c r="L124" s="31"/>
      <c r="M124" s="3" t="str">
        <f t="shared" ca="1" si="12"/>
        <v/>
      </c>
      <c r="P124">
        <f>'Combined Delivery Data'!B154</f>
        <v>0</v>
      </c>
      <c r="Q124">
        <f t="shared" si="13"/>
        <v>0</v>
      </c>
      <c r="R124">
        <f t="shared" si="14"/>
        <v>451</v>
      </c>
      <c r="S124" s="28">
        <f t="shared" si="15"/>
        <v>0</v>
      </c>
      <c r="T124" t="str">
        <f t="shared" si="16"/>
        <v xml:space="preserve"> -&gt; </v>
      </c>
    </row>
    <row r="125" spans="1:20">
      <c r="A125" s="31"/>
      <c r="B125" s="32"/>
      <c r="C125" s="31" t="s">
        <v>206</v>
      </c>
      <c r="D125" s="31"/>
      <c r="E125" s="31"/>
      <c r="F125" s="31"/>
      <c r="G125" s="31" t="s">
        <v>53</v>
      </c>
      <c r="H125" s="32"/>
      <c r="I125" s="32"/>
      <c r="J125" s="32"/>
      <c r="K125" s="31"/>
      <c r="L125" s="31"/>
      <c r="M125" s="3" t="str">
        <f t="shared" ca="1" si="12"/>
        <v/>
      </c>
      <c r="P125">
        <f>'Combined Delivery Data'!B155</f>
        <v>0</v>
      </c>
      <c r="Q125">
        <f t="shared" si="13"/>
        <v>0</v>
      </c>
      <c r="R125">
        <f t="shared" si="14"/>
        <v>451</v>
      </c>
      <c r="S125" s="28">
        <f t="shared" si="15"/>
        <v>0</v>
      </c>
      <c r="T125" t="str">
        <f t="shared" si="16"/>
        <v xml:space="preserve"> -&gt; </v>
      </c>
    </row>
    <row r="126" spans="1:20">
      <c r="A126" s="31"/>
      <c r="B126" s="32"/>
      <c r="C126" s="31" t="s">
        <v>206</v>
      </c>
      <c r="D126" s="31"/>
      <c r="E126" s="31"/>
      <c r="F126" s="31"/>
      <c r="G126" s="31" t="s">
        <v>53</v>
      </c>
      <c r="H126" s="32"/>
      <c r="I126" s="32"/>
      <c r="J126" s="32"/>
      <c r="K126" s="31"/>
      <c r="L126" s="31"/>
      <c r="M126" s="3" t="str">
        <f t="shared" ca="1" si="12"/>
        <v/>
      </c>
      <c r="P126">
        <f>'Combined Delivery Data'!B156</f>
        <v>0</v>
      </c>
      <c r="Q126">
        <f t="shared" si="13"/>
        <v>0</v>
      </c>
      <c r="R126">
        <f t="shared" si="14"/>
        <v>451</v>
      </c>
      <c r="S126" s="28">
        <f t="shared" si="15"/>
        <v>0</v>
      </c>
      <c r="T126" t="str">
        <f t="shared" si="16"/>
        <v xml:space="preserve"> -&gt; </v>
      </c>
    </row>
    <row r="127" spans="1:20">
      <c r="A127" s="31"/>
      <c r="B127" s="32"/>
      <c r="C127" s="31" t="s">
        <v>206</v>
      </c>
      <c r="D127" s="31"/>
      <c r="E127" s="31"/>
      <c r="F127" s="31"/>
      <c r="G127" s="31" t="s">
        <v>53</v>
      </c>
      <c r="H127" s="32"/>
      <c r="I127" s="32"/>
      <c r="J127" s="32"/>
      <c r="K127" s="31"/>
      <c r="L127" s="31"/>
      <c r="M127" s="3" t="str">
        <f t="shared" ca="1" si="12"/>
        <v/>
      </c>
      <c r="P127">
        <f>'Combined Delivery Data'!B157</f>
        <v>0</v>
      </c>
      <c r="Q127">
        <f t="shared" si="13"/>
        <v>0</v>
      </c>
      <c r="R127">
        <f t="shared" si="14"/>
        <v>451</v>
      </c>
      <c r="S127" s="28">
        <f t="shared" si="15"/>
        <v>0</v>
      </c>
      <c r="T127" t="str">
        <f t="shared" si="16"/>
        <v xml:space="preserve"> -&gt; </v>
      </c>
    </row>
    <row r="128" spans="1:20">
      <c r="A128" s="31"/>
      <c r="B128" s="32"/>
      <c r="C128" s="31" t="s">
        <v>206</v>
      </c>
      <c r="D128" s="31"/>
      <c r="E128" s="31"/>
      <c r="F128" s="31"/>
      <c r="G128" s="31" t="s">
        <v>53</v>
      </c>
      <c r="H128" s="32"/>
      <c r="I128" s="32"/>
      <c r="J128" s="32"/>
      <c r="K128" s="31"/>
      <c r="L128" s="31"/>
      <c r="M128" s="3" t="str">
        <f t="shared" ref="M128:M191" ca="1" si="17">IF($A128="","",IF($G128="Did not pass re-test","Sent back again",IF(NOT(ISNUMBER($B128)),"Missing sent-back date",IF(ISNUMBER($J128),"Fixed in "&amp;($J128-$B128)&amp;" d",IF($I128="","UNCLAIMED "&amp;(TODAY()-$B128)&amp;" d",IF(TODAY()&gt;$I128,(TODAY()-$I128)&amp;" d LATE","Open "&amp;(TODAY()-$B128)&amp;" d"))))))</f>
        <v/>
      </c>
      <c r="P128">
        <f>'Combined Delivery Data'!B158</f>
        <v>0</v>
      </c>
      <c r="Q128">
        <f t="shared" si="13"/>
        <v>0</v>
      </c>
      <c r="R128">
        <f t="shared" si="14"/>
        <v>451</v>
      </c>
      <c r="S128" s="28">
        <f t="shared" si="15"/>
        <v>0</v>
      </c>
      <c r="T128" t="str">
        <f t="shared" si="16"/>
        <v xml:space="preserve"> -&gt; </v>
      </c>
    </row>
    <row r="129" spans="1:20">
      <c r="A129" s="31"/>
      <c r="B129" s="32"/>
      <c r="C129" s="31" t="s">
        <v>206</v>
      </c>
      <c r="D129" s="31"/>
      <c r="E129" s="31"/>
      <c r="F129" s="31"/>
      <c r="G129" s="31" t="s">
        <v>53</v>
      </c>
      <c r="H129" s="32"/>
      <c r="I129" s="32"/>
      <c r="J129" s="32"/>
      <c r="K129" s="31"/>
      <c r="L129" s="31"/>
      <c r="M129" s="3" t="str">
        <f t="shared" ca="1" si="17"/>
        <v/>
      </c>
      <c r="P129">
        <f>'Combined Delivery Data'!B159</f>
        <v>0</v>
      </c>
      <c r="Q129">
        <f t="shared" si="13"/>
        <v>0</v>
      </c>
      <c r="R129">
        <f t="shared" si="14"/>
        <v>451</v>
      </c>
      <c r="S129" s="28">
        <f t="shared" si="15"/>
        <v>0</v>
      </c>
      <c r="T129" t="str">
        <f t="shared" si="16"/>
        <v xml:space="preserve"> -&gt; </v>
      </c>
    </row>
    <row r="130" spans="1:20">
      <c r="A130" s="31"/>
      <c r="B130" s="32"/>
      <c r="C130" s="31" t="s">
        <v>206</v>
      </c>
      <c r="D130" s="31"/>
      <c r="E130" s="31"/>
      <c r="F130" s="31"/>
      <c r="G130" s="31" t="s">
        <v>53</v>
      </c>
      <c r="H130" s="32"/>
      <c r="I130" s="32"/>
      <c r="J130" s="32"/>
      <c r="K130" s="31"/>
      <c r="L130" s="31"/>
      <c r="M130" s="3" t="str">
        <f t="shared" ca="1" si="17"/>
        <v/>
      </c>
      <c r="P130">
        <f>'Combined Delivery Data'!B160</f>
        <v>0</v>
      </c>
      <c r="Q130">
        <f t="shared" si="13"/>
        <v>0</v>
      </c>
      <c r="R130">
        <f t="shared" si="14"/>
        <v>451</v>
      </c>
      <c r="S130" s="28">
        <f t="shared" si="15"/>
        <v>0</v>
      </c>
      <c r="T130" t="str">
        <f t="shared" si="16"/>
        <v xml:space="preserve"> -&gt; </v>
      </c>
    </row>
    <row r="131" spans="1:20">
      <c r="A131" s="31"/>
      <c r="B131" s="32"/>
      <c r="C131" s="31" t="s">
        <v>206</v>
      </c>
      <c r="D131" s="31"/>
      <c r="E131" s="31"/>
      <c r="F131" s="31"/>
      <c r="G131" s="31" t="s">
        <v>53</v>
      </c>
      <c r="H131" s="32"/>
      <c r="I131" s="32"/>
      <c r="J131" s="32"/>
      <c r="K131" s="31"/>
      <c r="L131" s="31"/>
      <c r="M131" s="3" t="str">
        <f t="shared" ca="1" si="17"/>
        <v/>
      </c>
      <c r="P131">
        <f>'Combined Delivery Data'!B161</f>
        <v>0</v>
      </c>
      <c r="Q131">
        <f t="shared" si="13"/>
        <v>0</v>
      </c>
      <c r="R131">
        <f t="shared" si="14"/>
        <v>451</v>
      </c>
      <c r="S131" s="28">
        <f t="shared" si="15"/>
        <v>0</v>
      </c>
      <c r="T131" t="str">
        <f t="shared" si="16"/>
        <v xml:space="preserve"> -&gt; </v>
      </c>
    </row>
    <row r="132" spans="1:20">
      <c r="A132" s="31"/>
      <c r="B132" s="32"/>
      <c r="C132" s="31" t="s">
        <v>206</v>
      </c>
      <c r="D132" s="31"/>
      <c r="E132" s="31"/>
      <c r="F132" s="31"/>
      <c r="G132" s="31" t="s">
        <v>53</v>
      </c>
      <c r="H132" s="32"/>
      <c r="I132" s="32"/>
      <c r="J132" s="32"/>
      <c r="K132" s="31"/>
      <c r="L132" s="31"/>
      <c r="M132" s="3" t="str">
        <f t="shared" ca="1" si="17"/>
        <v/>
      </c>
      <c r="P132">
        <f>'Combined Delivery Data'!B162</f>
        <v>0</v>
      </c>
      <c r="Q132">
        <f t="shared" si="13"/>
        <v>0</v>
      </c>
      <c r="R132">
        <f t="shared" si="14"/>
        <v>451</v>
      </c>
      <c r="S132" s="28">
        <f t="shared" si="15"/>
        <v>0</v>
      </c>
      <c r="T132" t="str">
        <f t="shared" si="16"/>
        <v xml:space="preserve"> -&gt; </v>
      </c>
    </row>
    <row r="133" spans="1:20">
      <c r="A133" s="31"/>
      <c r="B133" s="32"/>
      <c r="C133" s="31" t="s">
        <v>206</v>
      </c>
      <c r="D133" s="31"/>
      <c r="E133" s="31"/>
      <c r="F133" s="31"/>
      <c r="G133" s="31" t="s">
        <v>53</v>
      </c>
      <c r="H133" s="32"/>
      <c r="I133" s="32"/>
      <c r="J133" s="32"/>
      <c r="K133" s="31"/>
      <c r="L133" s="31"/>
      <c r="M133" s="3" t="str">
        <f t="shared" ca="1" si="17"/>
        <v/>
      </c>
      <c r="P133">
        <f>'Combined Delivery Data'!B163</f>
        <v>0</v>
      </c>
      <c r="Q133">
        <f t="shared" si="13"/>
        <v>0</v>
      </c>
      <c r="R133">
        <f t="shared" si="14"/>
        <v>451</v>
      </c>
      <c r="S133" s="28">
        <f t="shared" si="15"/>
        <v>0</v>
      </c>
      <c r="T133" t="str">
        <f t="shared" si="16"/>
        <v xml:space="preserve"> -&gt; </v>
      </c>
    </row>
    <row r="134" spans="1:20">
      <c r="A134" s="31"/>
      <c r="B134" s="32"/>
      <c r="C134" s="31" t="s">
        <v>206</v>
      </c>
      <c r="D134" s="31"/>
      <c r="E134" s="31"/>
      <c r="F134" s="31"/>
      <c r="G134" s="31" t="s">
        <v>53</v>
      </c>
      <c r="H134" s="32"/>
      <c r="I134" s="32"/>
      <c r="J134" s="32"/>
      <c r="K134" s="31"/>
      <c r="L134" s="31"/>
      <c r="M134" s="3" t="str">
        <f t="shared" ca="1" si="17"/>
        <v/>
      </c>
      <c r="P134">
        <f>'Combined Delivery Data'!B164</f>
        <v>0</v>
      </c>
      <c r="Q134">
        <f t="shared" si="13"/>
        <v>0</v>
      </c>
      <c r="R134">
        <f t="shared" si="14"/>
        <v>451</v>
      </c>
      <c r="S134" s="28">
        <f t="shared" si="15"/>
        <v>0</v>
      </c>
      <c r="T134" t="str">
        <f t="shared" si="16"/>
        <v xml:space="preserve"> -&gt; </v>
      </c>
    </row>
    <row r="135" spans="1:20">
      <c r="A135" s="31"/>
      <c r="B135" s="32"/>
      <c r="C135" s="31" t="s">
        <v>206</v>
      </c>
      <c r="D135" s="31"/>
      <c r="E135" s="31"/>
      <c r="F135" s="31"/>
      <c r="G135" s="31" t="s">
        <v>53</v>
      </c>
      <c r="H135" s="32"/>
      <c r="I135" s="32"/>
      <c r="J135" s="32"/>
      <c r="K135" s="31"/>
      <c r="L135" s="31"/>
      <c r="M135" s="3" t="str">
        <f t="shared" ca="1" si="17"/>
        <v/>
      </c>
      <c r="P135">
        <f>'Combined Delivery Data'!B165</f>
        <v>0</v>
      </c>
      <c r="Q135">
        <f t="shared" si="13"/>
        <v>0</v>
      </c>
      <c r="R135">
        <f t="shared" si="14"/>
        <v>451</v>
      </c>
      <c r="S135" s="28">
        <f t="shared" si="15"/>
        <v>0</v>
      </c>
      <c r="T135" t="str">
        <f t="shared" si="16"/>
        <v xml:space="preserve"> -&gt; </v>
      </c>
    </row>
    <row r="136" spans="1:20">
      <c r="A136" s="31"/>
      <c r="B136" s="32"/>
      <c r="C136" s="31" t="s">
        <v>206</v>
      </c>
      <c r="D136" s="31"/>
      <c r="E136" s="31"/>
      <c r="F136" s="31"/>
      <c r="G136" s="31" t="s">
        <v>53</v>
      </c>
      <c r="H136" s="32"/>
      <c r="I136" s="32"/>
      <c r="J136" s="32"/>
      <c r="K136" s="31"/>
      <c r="L136" s="31"/>
      <c r="M136" s="3" t="str">
        <f t="shared" ca="1" si="17"/>
        <v/>
      </c>
      <c r="P136">
        <f>'Combined Delivery Data'!B166</f>
        <v>0</v>
      </c>
      <c r="Q136">
        <f t="shared" si="13"/>
        <v>0</v>
      </c>
      <c r="R136">
        <f t="shared" si="14"/>
        <v>451</v>
      </c>
      <c r="S136" s="28">
        <f t="shared" si="15"/>
        <v>0</v>
      </c>
      <c r="T136" t="str">
        <f t="shared" si="16"/>
        <v xml:space="preserve"> -&gt; </v>
      </c>
    </row>
    <row r="137" spans="1:20">
      <c r="A137" s="31"/>
      <c r="B137" s="32"/>
      <c r="C137" s="31" t="s">
        <v>206</v>
      </c>
      <c r="D137" s="31"/>
      <c r="E137" s="31"/>
      <c r="F137" s="31"/>
      <c r="G137" s="31" t="s">
        <v>53</v>
      </c>
      <c r="H137" s="32"/>
      <c r="I137" s="32"/>
      <c r="J137" s="32"/>
      <c r="K137" s="31"/>
      <c r="L137" s="31"/>
      <c r="M137" s="3" t="str">
        <f t="shared" ca="1" si="17"/>
        <v/>
      </c>
      <c r="P137">
        <f>'Combined Delivery Data'!B167</f>
        <v>0</v>
      </c>
      <c r="Q137">
        <f t="shared" si="13"/>
        <v>0</v>
      </c>
      <c r="R137">
        <f t="shared" si="14"/>
        <v>451</v>
      </c>
      <c r="S137" s="28">
        <f t="shared" si="15"/>
        <v>0</v>
      </c>
      <c r="T137" t="str">
        <f t="shared" si="16"/>
        <v xml:space="preserve"> -&gt; </v>
      </c>
    </row>
    <row r="138" spans="1:20">
      <c r="A138" s="31"/>
      <c r="B138" s="32"/>
      <c r="C138" s="31" t="s">
        <v>206</v>
      </c>
      <c r="D138" s="31"/>
      <c r="E138" s="31"/>
      <c r="F138" s="31"/>
      <c r="G138" s="31" t="s">
        <v>53</v>
      </c>
      <c r="H138" s="32"/>
      <c r="I138" s="32"/>
      <c r="J138" s="32"/>
      <c r="K138" s="31"/>
      <c r="L138" s="31"/>
      <c r="M138" s="3" t="str">
        <f t="shared" ca="1" si="17"/>
        <v/>
      </c>
      <c r="P138">
        <f>'Combined Delivery Data'!B168</f>
        <v>0</v>
      </c>
      <c r="Q138">
        <f t="shared" si="13"/>
        <v>0</v>
      </c>
      <c r="R138">
        <f t="shared" si="14"/>
        <v>451</v>
      </c>
      <c r="S138" s="28">
        <f t="shared" si="15"/>
        <v>0</v>
      </c>
      <c r="T138" t="str">
        <f t="shared" si="16"/>
        <v xml:space="preserve"> -&gt; </v>
      </c>
    </row>
    <row r="139" spans="1:20">
      <c r="A139" s="31"/>
      <c r="B139" s="32"/>
      <c r="C139" s="31" t="s">
        <v>206</v>
      </c>
      <c r="D139" s="31"/>
      <c r="E139" s="31"/>
      <c r="F139" s="31"/>
      <c r="G139" s="31" t="s">
        <v>53</v>
      </c>
      <c r="H139" s="32"/>
      <c r="I139" s="32"/>
      <c r="J139" s="32"/>
      <c r="K139" s="31"/>
      <c r="L139" s="31"/>
      <c r="M139" s="3" t="str">
        <f t="shared" ca="1" si="17"/>
        <v/>
      </c>
      <c r="P139">
        <f>'Combined Delivery Data'!B169</f>
        <v>0</v>
      </c>
      <c r="Q139">
        <f t="shared" si="13"/>
        <v>0</v>
      </c>
      <c r="R139">
        <f t="shared" si="14"/>
        <v>451</v>
      </c>
      <c r="S139" s="28">
        <f t="shared" si="15"/>
        <v>0</v>
      </c>
      <c r="T139" t="str">
        <f t="shared" si="16"/>
        <v xml:space="preserve"> -&gt; </v>
      </c>
    </row>
    <row r="140" spans="1:20">
      <c r="A140" s="31"/>
      <c r="B140" s="32"/>
      <c r="C140" s="31" t="s">
        <v>206</v>
      </c>
      <c r="D140" s="31"/>
      <c r="E140" s="31"/>
      <c r="F140" s="31"/>
      <c r="G140" s="31" t="s">
        <v>53</v>
      </c>
      <c r="H140" s="32"/>
      <c r="I140" s="32"/>
      <c r="J140" s="32"/>
      <c r="K140" s="31"/>
      <c r="L140" s="31"/>
      <c r="M140" s="3" t="str">
        <f t="shared" ca="1" si="17"/>
        <v/>
      </c>
      <c r="P140">
        <f>'Combined Delivery Data'!B170</f>
        <v>0</v>
      </c>
      <c r="Q140">
        <f t="shared" si="13"/>
        <v>0</v>
      </c>
      <c r="R140">
        <f t="shared" si="14"/>
        <v>451</v>
      </c>
      <c r="S140" s="28">
        <f t="shared" si="15"/>
        <v>0</v>
      </c>
      <c r="T140" t="str">
        <f t="shared" si="16"/>
        <v xml:space="preserve"> -&gt; </v>
      </c>
    </row>
    <row r="141" spans="1:20">
      <c r="A141" s="31"/>
      <c r="B141" s="32"/>
      <c r="C141" s="31" t="s">
        <v>206</v>
      </c>
      <c r="D141" s="31"/>
      <c r="E141" s="31"/>
      <c r="F141" s="31"/>
      <c r="G141" s="31" t="s">
        <v>53</v>
      </c>
      <c r="H141" s="32"/>
      <c r="I141" s="32"/>
      <c r="J141" s="32"/>
      <c r="K141" s="31"/>
      <c r="L141" s="31"/>
      <c r="M141" s="3" t="str">
        <f t="shared" ca="1" si="17"/>
        <v/>
      </c>
      <c r="P141">
        <f>'Combined Delivery Data'!B171</f>
        <v>0</v>
      </c>
      <c r="Q141">
        <f t="shared" si="13"/>
        <v>0</v>
      </c>
      <c r="R141">
        <f t="shared" si="14"/>
        <v>451</v>
      </c>
      <c r="S141" s="28">
        <f t="shared" si="15"/>
        <v>0</v>
      </c>
      <c r="T141" t="str">
        <f t="shared" si="16"/>
        <v xml:space="preserve"> -&gt; </v>
      </c>
    </row>
    <row r="142" spans="1:20">
      <c r="A142" s="31"/>
      <c r="B142" s="32"/>
      <c r="C142" s="31" t="s">
        <v>206</v>
      </c>
      <c r="D142" s="31"/>
      <c r="E142" s="31"/>
      <c r="F142" s="31"/>
      <c r="G142" s="31" t="s">
        <v>53</v>
      </c>
      <c r="H142" s="32"/>
      <c r="I142" s="32"/>
      <c r="J142" s="32"/>
      <c r="K142" s="31"/>
      <c r="L142" s="31"/>
      <c r="M142" s="3" t="str">
        <f t="shared" ca="1" si="17"/>
        <v/>
      </c>
      <c r="P142">
        <f>'Combined Delivery Data'!B172</f>
        <v>0</v>
      </c>
      <c r="Q142">
        <f t="shared" si="13"/>
        <v>0</v>
      </c>
      <c r="R142">
        <f t="shared" si="14"/>
        <v>451</v>
      </c>
      <c r="S142" s="28">
        <f t="shared" si="15"/>
        <v>0</v>
      </c>
      <c r="T142" t="str">
        <f t="shared" si="16"/>
        <v xml:space="preserve"> -&gt; </v>
      </c>
    </row>
    <row r="143" spans="1:20">
      <c r="A143" s="31"/>
      <c r="B143" s="32"/>
      <c r="C143" s="31" t="s">
        <v>206</v>
      </c>
      <c r="D143" s="31"/>
      <c r="E143" s="31"/>
      <c r="F143" s="31"/>
      <c r="G143" s="31" t="s">
        <v>53</v>
      </c>
      <c r="H143" s="32"/>
      <c r="I143" s="32"/>
      <c r="J143" s="32"/>
      <c r="K143" s="31"/>
      <c r="L143" s="31"/>
      <c r="M143" s="3" t="str">
        <f t="shared" ca="1" si="17"/>
        <v/>
      </c>
      <c r="P143">
        <f>'Combined Delivery Data'!B173</f>
        <v>0</v>
      </c>
      <c r="Q143">
        <f t="shared" si="13"/>
        <v>0</v>
      </c>
      <c r="R143">
        <f t="shared" si="14"/>
        <v>451</v>
      </c>
      <c r="S143" s="28">
        <f t="shared" si="15"/>
        <v>0</v>
      </c>
      <c r="T143" t="str">
        <f t="shared" si="16"/>
        <v xml:space="preserve"> -&gt; </v>
      </c>
    </row>
    <row r="144" spans="1:20">
      <c r="A144" s="31"/>
      <c r="B144" s="32"/>
      <c r="C144" s="31" t="s">
        <v>206</v>
      </c>
      <c r="D144" s="31"/>
      <c r="E144" s="31"/>
      <c r="F144" s="31"/>
      <c r="G144" s="31" t="s">
        <v>53</v>
      </c>
      <c r="H144" s="32"/>
      <c r="I144" s="32"/>
      <c r="J144" s="32"/>
      <c r="K144" s="31"/>
      <c r="L144" s="31"/>
      <c r="M144" s="3" t="str">
        <f t="shared" ca="1" si="17"/>
        <v/>
      </c>
      <c r="P144">
        <f>'Combined Delivery Data'!B174</f>
        <v>0</v>
      </c>
      <c r="Q144">
        <f t="shared" si="13"/>
        <v>0</v>
      </c>
      <c r="R144">
        <f t="shared" si="14"/>
        <v>451</v>
      </c>
      <c r="S144" s="28">
        <f t="shared" si="15"/>
        <v>0</v>
      </c>
      <c r="T144" t="str">
        <f t="shared" si="16"/>
        <v xml:space="preserve"> -&gt; </v>
      </c>
    </row>
    <row r="145" spans="1:20">
      <c r="A145" s="31"/>
      <c r="B145" s="32"/>
      <c r="C145" s="31" t="s">
        <v>206</v>
      </c>
      <c r="D145" s="31"/>
      <c r="E145" s="31"/>
      <c r="F145" s="31"/>
      <c r="G145" s="31" t="s">
        <v>53</v>
      </c>
      <c r="H145" s="32"/>
      <c r="I145" s="32"/>
      <c r="J145" s="32"/>
      <c r="K145" s="31"/>
      <c r="L145" s="31"/>
      <c r="M145" s="3" t="str">
        <f t="shared" ca="1" si="17"/>
        <v/>
      </c>
      <c r="P145">
        <f>'Combined Delivery Data'!B175</f>
        <v>0</v>
      </c>
      <c r="Q145">
        <f t="shared" ref="Q145:Q208" si="18">IF($P145="","",COUNTIF($A$2:$A$497,$P145))</f>
        <v>0</v>
      </c>
      <c r="R145">
        <f t="shared" ref="R145:R208" si="19">IF($P145="","",SUMPRODUCT(($A$2:$A$497=$P145)*($G$2:$G$497&lt;&gt;"Yes")*($G$2:$G$497&lt;&gt;"Did not pass re-test")))</f>
        <v>451</v>
      </c>
      <c r="S145" s="28">
        <f t="shared" si="15"/>
        <v>0</v>
      </c>
      <c r="T145" t="str">
        <f t="shared" si="16"/>
        <v xml:space="preserve"> -&gt; </v>
      </c>
    </row>
    <row r="146" spans="1:20">
      <c r="A146" s="31"/>
      <c r="B146" s="32"/>
      <c r="C146" s="31" t="s">
        <v>206</v>
      </c>
      <c r="D146" s="31"/>
      <c r="E146" s="31"/>
      <c r="F146" s="31"/>
      <c r="G146" s="31" t="s">
        <v>53</v>
      </c>
      <c r="H146" s="32"/>
      <c r="I146" s="32"/>
      <c r="J146" s="32"/>
      <c r="K146" s="31"/>
      <c r="L146" s="31"/>
      <c r="M146" s="3" t="str">
        <f t="shared" ca="1" si="17"/>
        <v/>
      </c>
      <c r="P146">
        <f>'Combined Delivery Data'!B176</f>
        <v>0</v>
      </c>
      <c r="Q146">
        <f t="shared" si="18"/>
        <v>0</v>
      </c>
      <c r="R146">
        <f t="shared" si="19"/>
        <v>451</v>
      </c>
      <c r="S146" s="28">
        <f t="shared" si="15"/>
        <v>0</v>
      </c>
      <c r="T146" t="str">
        <f t="shared" si="16"/>
        <v xml:space="preserve"> -&gt; </v>
      </c>
    </row>
    <row r="147" spans="1:20">
      <c r="A147" s="31"/>
      <c r="B147" s="32"/>
      <c r="C147" s="31" t="s">
        <v>206</v>
      </c>
      <c r="D147" s="31"/>
      <c r="E147" s="31"/>
      <c r="F147" s="31"/>
      <c r="G147" s="31" t="s">
        <v>53</v>
      </c>
      <c r="H147" s="32"/>
      <c r="I147" s="32"/>
      <c r="J147" s="32"/>
      <c r="K147" s="31"/>
      <c r="L147" s="31"/>
      <c r="M147" s="3" t="str">
        <f t="shared" ca="1" si="17"/>
        <v/>
      </c>
      <c r="P147">
        <f>'Combined Delivery Data'!B177</f>
        <v>0</v>
      </c>
      <c r="Q147">
        <f t="shared" si="18"/>
        <v>0</v>
      </c>
      <c r="R147">
        <f t="shared" si="19"/>
        <v>451</v>
      </c>
      <c r="S147" s="28">
        <f t="shared" si="15"/>
        <v>0</v>
      </c>
      <c r="T147" t="str">
        <f t="shared" si="16"/>
        <v xml:space="preserve"> -&gt; </v>
      </c>
    </row>
    <row r="148" spans="1:20">
      <c r="A148" s="31"/>
      <c r="B148" s="32"/>
      <c r="C148" s="31" t="s">
        <v>206</v>
      </c>
      <c r="D148" s="31"/>
      <c r="E148" s="31"/>
      <c r="F148" s="31"/>
      <c r="G148" s="31" t="s">
        <v>53</v>
      </c>
      <c r="H148" s="32"/>
      <c r="I148" s="32"/>
      <c r="J148" s="32"/>
      <c r="K148" s="31"/>
      <c r="L148" s="31"/>
      <c r="M148" s="3" t="str">
        <f t="shared" ca="1" si="17"/>
        <v/>
      </c>
      <c r="P148">
        <f>'Combined Delivery Data'!B178</f>
        <v>0</v>
      </c>
      <c r="Q148">
        <f t="shared" si="18"/>
        <v>0</v>
      </c>
      <c r="R148">
        <f t="shared" si="19"/>
        <v>451</v>
      </c>
      <c r="S148" s="28">
        <f t="shared" si="15"/>
        <v>0</v>
      </c>
      <c r="T148" t="str">
        <f t="shared" si="16"/>
        <v xml:space="preserve"> -&gt; </v>
      </c>
    </row>
    <row r="149" spans="1:20">
      <c r="A149" s="31"/>
      <c r="B149" s="32"/>
      <c r="C149" s="31" t="s">
        <v>206</v>
      </c>
      <c r="D149" s="31"/>
      <c r="E149" s="31"/>
      <c r="F149" s="31"/>
      <c r="G149" s="31" t="s">
        <v>53</v>
      </c>
      <c r="H149" s="32"/>
      <c r="I149" s="32"/>
      <c r="J149" s="32"/>
      <c r="K149" s="31"/>
      <c r="L149" s="31"/>
      <c r="M149" s="3" t="str">
        <f t="shared" ca="1" si="17"/>
        <v/>
      </c>
      <c r="P149">
        <f>'Combined Delivery Data'!B179</f>
        <v>0</v>
      </c>
      <c r="Q149">
        <f t="shared" si="18"/>
        <v>0</v>
      </c>
      <c r="R149">
        <f t="shared" si="19"/>
        <v>451</v>
      </c>
      <c r="S149" s="28">
        <f t="shared" si="15"/>
        <v>0</v>
      </c>
      <c r="T149" t="str">
        <f t="shared" si="16"/>
        <v xml:space="preserve"> -&gt; </v>
      </c>
    </row>
    <row r="150" spans="1:20">
      <c r="A150" s="31"/>
      <c r="B150" s="32"/>
      <c r="C150" s="31" t="s">
        <v>206</v>
      </c>
      <c r="D150" s="31"/>
      <c r="E150" s="31"/>
      <c r="F150" s="31"/>
      <c r="G150" s="31" t="s">
        <v>53</v>
      </c>
      <c r="H150" s="32"/>
      <c r="I150" s="32"/>
      <c r="J150" s="32"/>
      <c r="K150" s="31"/>
      <c r="L150" s="31"/>
      <c r="M150" s="3" t="str">
        <f t="shared" ca="1" si="17"/>
        <v/>
      </c>
      <c r="P150">
        <f>'Combined Delivery Data'!B180</f>
        <v>0</v>
      </c>
      <c r="Q150">
        <f t="shared" si="18"/>
        <v>0</v>
      </c>
      <c r="R150">
        <f t="shared" si="19"/>
        <v>451</v>
      </c>
      <c r="S150" s="28">
        <f t="shared" si="15"/>
        <v>0</v>
      </c>
      <c r="T150" t="str">
        <f t="shared" si="16"/>
        <v xml:space="preserve"> -&gt; </v>
      </c>
    </row>
    <row r="151" spans="1:20">
      <c r="A151" s="31"/>
      <c r="B151" s="32"/>
      <c r="C151" s="31" t="s">
        <v>206</v>
      </c>
      <c r="D151" s="31"/>
      <c r="E151" s="31"/>
      <c r="F151" s="31"/>
      <c r="G151" s="31" t="s">
        <v>53</v>
      </c>
      <c r="H151" s="32"/>
      <c r="I151" s="32"/>
      <c r="J151" s="32"/>
      <c r="K151" s="31"/>
      <c r="L151" s="31"/>
      <c r="M151" s="3" t="str">
        <f t="shared" ca="1" si="17"/>
        <v/>
      </c>
      <c r="P151">
        <f>'Combined Delivery Data'!B181</f>
        <v>0</v>
      </c>
      <c r="Q151">
        <f t="shared" si="18"/>
        <v>0</v>
      </c>
      <c r="R151">
        <f t="shared" si="19"/>
        <v>451</v>
      </c>
      <c r="S151" s="28">
        <f t="shared" si="15"/>
        <v>0</v>
      </c>
      <c r="T151" t="str">
        <f t="shared" si="16"/>
        <v xml:space="preserve"> -&gt; </v>
      </c>
    </row>
    <row r="152" spans="1:20">
      <c r="A152" s="31"/>
      <c r="B152" s="32"/>
      <c r="C152" s="31" t="s">
        <v>206</v>
      </c>
      <c r="D152" s="31"/>
      <c r="E152" s="31"/>
      <c r="F152" s="31"/>
      <c r="G152" s="31" t="s">
        <v>53</v>
      </c>
      <c r="H152" s="32"/>
      <c r="I152" s="32"/>
      <c r="J152" s="32"/>
      <c r="K152" s="31"/>
      <c r="L152" s="31"/>
      <c r="M152" s="3" t="str">
        <f t="shared" ca="1" si="17"/>
        <v/>
      </c>
      <c r="P152">
        <f>'Combined Delivery Data'!B182</f>
        <v>0</v>
      </c>
      <c r="Q152">
        <f t="shared" si="18"/>
        <v>0</v>
      </c>
      <c r="R152">
        <f t="shared" si="19"/>
        <v>451</v>
      </c>
      <c r="S152" s="28">
        <f t="shared" si="15"/>
        <v>0</v>
      </c>
      <c r="T152" t="str">
        <f t="shared" si="16"/>
        <v xml:space="preserve"> -&gt; </v>
      </c>
    </row>
    <row r="153" spans="1:20">
      <c r="A153" s="31"/>
      <c r="B153" s="32"/>
      <c r="C153" s="31" t="s">
        <v>206</v>
      </c>
      <c r="D153" s="31"/>
      <c r="E153" s="31"/>
      <c r="F153" s="31"/>
      <c r="G153" s="31" t="s">
        <v>53</v>
      </c>
      <c r="H153" s="32"/>
      <c r="I153" s="32"/>
      <c r="J153" s="32"/>
      <c r="K153" s="31"/>
      <c r="L153" s="31"/>
      <c r="M153" s="3" t="str">
        <f t="shared" ca="1" si="17"/>
        <v/>
      </c>
      <c r="P153">
        <f>'Combined Delivery Data'!B183</f>
        <v>0</v>
      </c>
      <c r="Q153">
        <f t="shared" si="18"/>
        <v>0</v>
      </c>
      <c r="R153">
        <f t="shared" si="19"/>
        <v>451</v>
      </c>
      <c r="S153" s="28">
        <f t="shared" si="15"/>
        <v>0</v>
      </c>
      <c r="T153" t="str">
        <f t="shared" si="16"/>
        <v xml:space="preserve"> -&gt; </v>
      </c>
    </row>
    <row r="154" spans="1:20">
      <c r="A154" s="31"/>
      <c r="B154" s="32"/>
      <c r="C154" s="31" t="s">
        <v>206</v>
      </c>
      <c r="D154" s="31"/>
      <c r="E154" s="31"/>
      <c r="F154" s="31"/>
      <c r="G154" s="31" t="s">
        <v>53</v>
      </c>
      <c r="H154" s="32"/>
      <c r="I154" s="32"/>
      <c r="J154" s="32"/>
      <c r="K154" s="31"/>
      <c r="L154" s="31"/>
      <c r="M154" s="3" t="str">
        <f t="shared" ca="1" si="17"/>
        <v/>
      </c>
      <c r="P154">
        <f>'Combined Delivery Data'!B184</f>
        <v>0</v>
      </c>
      <c r="Q154">
        <f t="shared" si="18"/>
        <v>0</v>
      </c>
      <c r="R154">
        <f t="shared" si="19"/>
        <v>451</v>
      </c>
      <c r="S154" s="28">
        <f t="shared" si="15"/>
        <v>0</v>
      </c>
      <c r="T154" t="str">
        <f t="shared" si="16"/>
        <v xml:space="preserve"> -&gt; </v>
      </c>
    </row>
    <row r="155" spans="1:20">
      <c r="A155" s="31"/>
      <c r="B155" s="32"/>
      <c r="C155" s="31" t="s">
        <v>206</v>
      </c>
      <c r="D155" s="31"/>
      <c r="E155" s="31"/>
      <c r="F155" s="31"/>
      <c r="G155" s="31" t="s">
        <v>53</v>
      </c>
      <c r="H155" s="32"/>
      <c r="I155" s="32"/>
      <c r="J155" s="32"/>
      <c r="K155" s="31"/>
      <c r="L155" s="31"/>
      <c r="M155" s="3" t="str">
        <f t="shared" ca="1" si="17"/>
        <v/>
      </c>
      <c r="P155">
        <f>'Combined Delivery Data'!B185</f>
        <v>0</v>
      </c>
      <c r="Q155">
        <f t="shared" si="18"/>
        <v>0</v>
      </c>
      <c r="R155">
        <f t="shared" si="19"/>
        <v>451</v>
      </c>
      <c r="S155" s="28">
        <f t="shared" si="15"/>
        <v>0</v>
      </c>
      <c r="T155" t="str">
        <f t="shared" si="16"/>
        <v xml:space="preserve"> -&gt; </v>
      </c>
    </row>
    <row r="156" spans="1:20">
      <c r="A156" s="31"/>
      <c r="B156" s="32"/>
      <c r="C156" s="31" t="s">
        <v>206</v>
      </c>
      <c r="D156" s="31"/>
      <c r="E156" s="31"/>
      <c r="F156" s="31"/>
      <c r="G156" s="31" t="s">
        <v>53</v>
      </c>
      <c r="H156" s="32"/>
      <c r="I156" s="32"/>
      <c r="J156" s="32"/>
      <c r="K156" s="31"/>
      <c r="L156" s="31"/>
      <c r="M156" s="3" t="str">
        <f t="shared" ca="1" si="17"/>
        <v/>
      </c>
      <c r="P156">
        <f>'Combined Delivery Data'!B186</f>
        <v>0</v>
      </c>
      <c r="Q156">
        <f t="shared" si="18"/>
        <v>0</v>
      </c>
      <c r="R156">
        <f t="shared" si="19"/>
        <v>451</v>
      </c>
      <c r="S156" s="28">
        <f t="shared" si="15"/>
        <v>0</v>
      </c>
      <c r="T156" t="str">
        <f t="shared" si="16"/>
        <v xml:space="preserve"> -&gt; </v>
      </c>
    </row>
    <row r="157" spans="1:20">
      <c r="A157" s="31"/>
      <c r="B157" s="32"/>
      <c r="C157" s="31" t="s">
        <v>206</v>
      </c>
      <c r="D157" s="31"/>
      <c r="E157" s="31"/>
      <c r="F157" s="31"/>
      <c r="G157" s="31" t="s">
        <v>53</v>
      </c>
      <c r="H157" s="32"/>
      <c r="I157" s="32"/>
      <c r="J157" s="32"/>
      <c r="K157" s="31"/>
      <c r="L157" s="31"/>
      <c r="M157" s="3" t="str">
        <f t="shared" ca="1" si="17"/>
        <v/>
      </c>
      <c r="P157">
        <f>'Combined Delivery Data'!B187</f>
        <v>0</v>
      </c>
      <c r="Q157">
        <f t="shared" si="18"/>
        <v>0</v>
      </c>
      <c r="R157">
        <f t="shared" si="19"/>
        <v>451</v>
      </c>
      <c r="S157" s="28">
        <f t="shared" si="15"/>
        <v>0</v>
      </c>
      <c r="T157" t="str">
        <f t="shared" si="16"/>
        <v xml:space="preserve"> -&gt; </v>
      </c>
    </row>
    <row r="158" spans="1:20">
      <c r="A158" s="31"/>
      <c r="B158" s="32"/>
      <c r="C158" s="31" t="s">
        <v>206</v>
      </c>
      <c r="D158" s="31"/>
      <c r="E158" s="31"/>
      <c r="F158" s="31"/>
      <c r="G158" s="31" t="s">
        <v>53</v>
      </c>
      <c r="H158" s="32"/>
      <c r="I158" s="32"/>
      <c r="J158" s="32"/>
      <c r="K158" s="31"/>
      <c r="L158" s="31"/>
      <c r="M158" s="3" t="str">
        <f t="shared" ca="1" si="17"/>
        <v/>
      </c>
      <c r="P158">
        <f>'Combined Delivery Data'!B188</f>
        <v>0</v>
      </c>
      <c r="Q158">
        <f t="shared" si="18"/>
        <v>0</v>
      </c>
      <c r="R158">
        <f t="shared" si="19"/>
        <v>451</v>
      </c>
      <c r="S158" s="28">
        <f t="shared" si="15"/>
        <v>0</v>
      </c>
      <c r="T158" t="str">
        <f t="shared" si="16"/>
        <v xml:space="preserve"> -&gt; </v>
      </c>
    </row>
    <row r="159" spans="1:20">
      <c r="A159" s="31"/>
      <c r="B159" s="32"/>
      <c r="C159" s="31" t="s">
        <v>206</v>
      </c>
      <c r="D159" s="31"/>
      <c r="E159" s="31"/>
      <c r="F159" s="31"/>
      <c r="G159" s="31" t="s">
        <v>53</v>
      </c>
      <c r="H159" s="32"/>
      <c r="I159" s="32"/>
      <c r="J159" s="32"/>
      <c r="K159" s="31"/>
      <c r="L159" s="31"/>
      <c r="M159" s="3" t="str">
        <f t="shared" ca="1" si="17"/>
        <v/>
      </c>
      <c r="P159">
        <f>'Combined Delivery Data'!B189</f>
        <v>0</v>
      </c>
      <c r="Q159">
        <f t="shared" si="18"/>
        <v>0</v>
      </c>
      <c r="R159">
        <f t="shared" si="19"/>
        <v>451</v>
      </c>
      <c r="S159" s="28">
        <f t="shared" si="15"/>
        <v>0</v>
      </c>
      <c r="T159" t="str">
        <f t="shared" si="16"/>
        <v xml:space="preserve"> -&gt; </v>
      </c>
    </row>
    <row r="160" spans="1:20">
      <c r="A160" s="31"/>
      <c r="B160" s="32"/>
      <c r="C160" s="31" t="s">
        <v>206</v>
      </c>
      <c r="D160" s="31"/>
      <c r="E160" s="31"/>
      <c r="F160" s="31"/>
      <c r="G160" s="31" t="s">
        <v>53</v>
      </c>
      <c r="H160" s="32"/>
      <c r="I160" s="32"/>
      <c r="J160" s="32"/>
      <c r="K160" s="31"/>
      <c r="L160" s="31"/>
      <c r="M160" s="3" t="str">
        <f t="shared" ca="1" si="17"/>
        <v/>
      </c>
      <c r="P160">
        <f>'Combined Delivery Data'!B190</f>
        <v>0</v>
      </c>
      <c r="Q160">
        <f t="shared" si="18"/>
        <v>0</v>
      </c>
      <c r="R160">
        <f t="shared" si="19"/>
        <v>451</v>
      </c>
      <c r="S160" s="28">
        <f t="shared" si="15"/>
        <v>0</v>
      </c>
      <c r="T160" t="str">
        <f t="shared" si="16"/>
        <v xml:space="preserve"> -&gt; </v>
      </c>
    </row>
    <row r="161" spans="1:20">
      <c r="A161" s="31"/>
      <c r="B161" s="32"/>
      <c r="C161" s="31" t="s">
        <v>206</v>
      </c>
      <c r="D161" s="31"/>
      <c r="E161" s="31"/>
      <c r="F161" s="31"/>
      <c r="G161" s="31" t="s">
        <v>53</v>
      </c>
      <c r="H161" s="32"/>
      <c r="I161" s="32"/>
      <c r="J161" s="32"/>
      <c r="K161" s="31"/>
      <c r="L161" s="31"/>
      <c r="M161" s="3" t="str">
        <f t="shared" ca="1" si="17"/>
        <v/>
      </c>
      <c r="P161">
        <f>'Combined Delivery Data'!B191</f>
        <v>0</v>
      </c>
      <c r="Q161">
        <f t="shared" si="18"/>
        <v>0</v>
      </c>
      <c r="R161">
        <f t="shared" si="19"/>
        <v>451</v>
      </c>
      <c r="S161" s="28">
        <f t="shared" si="15"/>
        <v>0</v>
      </c>
      <c r="T161" t="str">
        <f t="shared" si="16"/>
        <v xml:space="preserve"> -&gt; </v>
      </c>
    </row>
    <row r="162" spans="1:20">
      <c r="A162" s="31"/>
      <c r="B162" s="32"/>
      <c r="C162" s="31" t="s">
        <v>206</v>
      </c>
      <c r="D162" s="31"/>
      <c r="E162" s="31"/>
      <c r="F162" s="31"/>
      <c r="G162" s="31" t="s">
        <v>53</v>
      </c>
      <c r="H162" s="32"/>
      <c r="I162" s="32"/>
      <c r="J162" s="32"/>
      <c r="K162" s="31"/>
      <c r="L162" s="31"/>
      <c r="M162" s="3" t="str">
        <f t="shared" ca="1" si="17"/>
        <v/>
      </c>
      <c r="P162">
        <f>'Combined Delivery Data'!B192</f>
        <v>0</v>
      </c>
      <c r="Q162">
        <f t="shared" si="18"/>
        <v>0</v>
      </c>
      <c r="R162">
        <f t="shared" si="19"/>
        <v>451</v>
      </c>
      <c r="S162" s="28">
        <f t="shared" si="15"/>
        <v>0</v>
      </c>
      <c r="T162" t="str">
        <f t="shared" si="16"/>
        <v xml:space="preserve"> -&gt; </v>
      </c>
    </row>
    <row r="163" spans="1:20">
      <c r="A163" s="31"/>
      <c r="B163" s="32"/>
      <c r="C163" s="31" t="s">
        <v>206</v>
      </c>
      <c r="D163" s="31"/>
      <c r="E163" s="31"/>
      <c r="F163" s="31"/>
      <c r="G163" s="31" t="s">
        <v>53</v>
      </c>
      <c r="H163" s="32"/>
      <c r="I163" s="32"/>
      <c r="J163" s="32"/>
      <c r="K163" s="31"/>
      <c r="L163" s="31"/>
      <c r="M163" s="3" t="str">
        <f t="shared" ca="1" si="17"/>
        <v/>
      </c>
      <c r="P163">
        <f>'Combined Delivery Data'!B193</f>
        <v>0</v>
      </c>
      <c r="Q163">
        <f t="shared" si="18"/>
        <v>0</v>
      </c>
      <c r="R163">
        <f t="shared" si="19"/>
        <v>451</v>
      </c>
      <c r="S163" s="28">
        <f t="shared" si="15"/>
        <v>0</v>
      </c>
      <c r="T163" t="str">
        <f t="shared" si="16"/>
        <v xml:space="preserve"> -&gt; </v>
      </c>
    </row>
    <row r="164" spans="1:20">
      <c r="A164" s="31"/>
      <c r="B164" s="32"/>
      <c r="C164" s="31" t="s">
        <v>206</v>
      </c>
      <c r="D164" s="31"/>
      <c r="E164" s="31"/>
      <c r="F164" s="31"/>
      <c r="G164" s="31" t="s">
        <v>53</v>
      </c>
      <c r="H164" s="32"/>
      <c r="I164" s="32"/>
      <c r="J164" s="32"/>
      <c r="K164" s="31"/>
      <c r="L164" s="31"/>
      <c r="M164" s="3" t="str">
        <f t="shared" ca="1" si="17"/>
        <v/>
      </c>
      <c r="P164">
        <f>'Combined Delivery Data'!B194</f>
        <v>0</v>
      </c>
      <c r="Q164">
        <f t="shared" si="18"/>
        <v>0</v>
      </c>
      <c r="R164">
        <f t="shared" si="19"/>
        <v>451</v>
      </c>
      <c r="S164" s="28">
        <f t="shared" si="15"/>
        <v>0</v>
      </c>
      <c r="T164" t="str">
        <f t="shared" si="16"/>
        <v xml:space="preserve"> -&gt; </v>
      </c>
    </row>
    <row r="165" spans="1:20">
      <c r="A165" s="31"/>
      <c r="B165" s="32"/>
      <c r="C165" s="31" t="s">
        <v>206</v>
      </c>
      <c r="D165" s="31"/>
      <c r="E165" s="31"/>
      <c r="F165" s="31"/>
      <c r="G165" s="31" t="s">
        <v>53</v>
      </c>
      <c r="H165" s="32"/>
      <c r="I165" s="32"/>
      <c r="J165" s="32"/>
      <c r="K165" s="31"/>
      <c r="L165" s="31"/>
      <c r="M165" s="3" t="str">
        <f t="shared" ca="1" si="17"/>
        <v/>
      </c>
      <c r="P165">
        <f>'Combined Delivery Data'!B195</f>
        <v>0</v>
      </c>
      <c r="Q165">
        <f t="shared" si="18"/>
        <v>0</v>
      </c>
      <c r="R165">
        <f t="shared" si="19"/>
        <v>451</v>
      </c>
      <c r="S165" s="28">
        <f t="shared" si="15"/>
        <v>0</v>
      </c>
      <c r="T165" t="str">
        <f t="shared" si="16"/>
        <v xml:space="preserve"> -&gt; </v>
      </c>
    </row>
    <row r="166" spans="1:20">
      <c r="A166" s="31"/>
      <c r="B166" s="32"/>
      <c r="C166" s="31" t="s">
        <v>206</v>
      </c>
      <c r="D166" s="31"/>
      <c r="E166" s="31"/>
      <c r="F166" s="31"/>
      <c r="G166" s="31" t="s">
        <v>53</v>
      </c>
      <c r="H166" s="32"/>
      <c r="I166" s="32"/>
      <c r="J166" s="32"/>
      <c r="K166" s="31"/>
      <c r="L166" s="31"/>
      <c r="M166" s="3" t="str">
        <f t="shared" ca="1" si="17"/>
        <v/>
      </c>
      <c r="P166">
        <f>'Combined Delivery Data'!B196</f>
        <v>0</v>
      </c>
      <c r="Q166">
        <f t="shared" si="18"/>
        <v>0</v>
      </c>
      <c r="R166">
        <f t="shared" si="19"/>
        <v>451</v>
      </c>
      <c r="S166" s="28">
        <f t="shared" si="15"/>
        <v>0</v>
      </c>
      <c r="T166" t="str">
        <f t="shared" si="16"/>
        <v xml:space="preserve"> -&gt; </v>
      </c>
    </row>
    <row r="167" spans="1:20">
      <c r="A167" s="31"/>
      <c r="B167" s="32"/>
      <c r="C167" s="31" t="s">
        <v>206</v>
      </c>
      <c r="D167" s="31"/>
      <c r="E167" s="31"/>
      <c r="F167" s="31"/>
      <c r="G167" s="31" t="s">
        <v>53</v>
      </c>
      <c r="H167" s="32"/>
      <c r="I167" s="32"/>
      <c r="J167" s="32"/>
      <c r="K167" s="31"/>
      <c r="L167" s="31"/>
      <c r="M167" s="3" t="str">
        <f t="shared" ca="1" si="17"/>
        <v/>
      </c>
      <c r="P167">
        <f>'Combined Delivery Data'!B197</f>
        <v>0</v>
      </c>
      <c r="Q167">
        <f t="shared" si="18"/>
        <v>0</v>
      </c>
      <c r="R167">
        <f t="shared" si="19"/>
        <v>451</v>
      </c>
      <c r="S167" s="28">
        <f t="shared" si="15"/>
        <v>0</v>
      </c>
      <c r="T167" t="str">
        <f t="shared" si="16"/>
        <v xml:space="preserve"> -&gt; </v>
      </c>
    </row>
    <row r="168" spans="1:20">
      <c r="A168" s="31"/>
      <c r="B168" s="32"/>
      <c r="C168" s="31" t="s">
        <v>206</v>
      </c>
      <c r="D168" s="31"/>
      <c r="E168" s="31"/>
      <c r="F168" s="31"/>
      <c r="G168" s="31" t="s">
        <v>53</v>
      </c>
      <c r="H168" s="32"/>
      <c r="I168" s="32"/>
      <c r="J168" s="32"/>
      <c r="K168" s="31"/>
      <c r="L168" s="31"/>
      <c r="M168" s="3" t="str">
        <f t="shared" ca="1" si="17"/>
        <v/>
      </c>
      <c r="P168">
        <f>'Combined Delivery Data'!B198</f>
        <v>0</v>
      </c>
      <c r="Q168">
        <f t="shared" si="18"/>
        <v>0</v>
      </c>
      <c r="R168">
        <f t="shared" si="19"/>
        <v>451</v>
      </c>
      <c r="S168" s="28">
        <f t="shared" si="15"/>
        <v>0</v>
      </c>
      <c r="T168" t="str">
        <f t="shared" si="16"/>
        <v xml:space="preserve"> -&gt; </v>
      </c>
    </row>
    <row r="169" spans="1:20">
      <c r="A169" s="31"/>
      <c r="B169" s="32"/>
      <c r="C169" s="31" t="s">
        <v>206</v>
      </c>
      <c r="D169" s="31"/>
      <c r="E169" s="31"/>
      <c r="F169" s="31"/>
      <c r="G169" s="31" t="s">
        <v>53</v>
      </c>
      <c r="H169" s="32"/>
      <c r="I169" s="32"/>
      <c r="J169" s="32"/>
      <c r="K169" s="31"/>
      <c r="L169" s="31"/>
      <c r="M169" s="3" t="str">
        <f t="shared" ca="1" si="17"/>
        <v/>
      </c>
      <c r="P169">
        <f>'Combined Delivery Data'!B199</f>
        <v>0</v>
      </c>
      <c r="Q169">
        <f t="shared" si="18"/>
        <v>0</v>
      </c>
      <c r="R169">
        <f t="shared" si="19"/>
        <v>451</v>
      </c>
      <c r="S169" s="28">
        <f t="shared" si="15"/>
        <v>0</v>
      </c>
      <c r="T169" t="str">
        <f t="shared" si="16"/>
        <v xml:space="preserve"> -&gt; </v>
      </c>
    </row>
    <row r="170" spans="1:20">
      <c r="A170" s="31"/>
      <c r="B170" s="32"/>
      <c r="C170" s="31" t="s">
        <v>206</v>
      </c>
      <c r="D170" s="31"/>
      <c r="E170" s="31"/>
      <c r="F170" s="31"/>
      <c r="G170" s="31" t="s">
        <v>53</v>
      </c>
      <c r="H170" s="32"/>
      <c r="I170" s="32"/>
      <c r="J170" s="32"/>
      <c r="K170" s="31"/>
      <c r="L170" s="31"/>
      <c r="M170" s="3" t="str">
        <f t="shared" ca="1" si="17"/>
        <v/>
      </c>
      <c r="P170">
        <f>'Combined Delivery Data'!B200</f>
        <v>0</v>
      </c>
      <c r="Q170">
        <f t="shared" si="18"/>
        <v>0</v>
      </c>
      <c r="R170">
        <f t="shared" si="19"/>
        <v>451</v>
      </c>
      <c r="S170" s="28">
        <f t="shared" si="15"/>
        <v>0</v>
      </c>
      <c r="T170" t="str">
        <f t="shared" si="16"/>
        <v xml:space="preserve"> -&gt; </v>
      </c>
    </row>
    <row r="171" spans="1:20">
      <c r="A171" s="31"/>
      <c r="B171" s="32"/>
      <c r="C171" s="31" t="s">
        <v>206</v>
      </c>
      <c r="D171" s="31"/>
      <c r="E171" s="31"/>
      <c r="F171" s="31"/>
      <c r="G171" s="31" t="s">
        <v>53</v>
      </c>
      <c r="H171" s="32"/>
      <c r="I171" s="32"/>
      <c r="J171" s="32"/>
      <c r="K171" s="31"/>
      <c r="L171" s="31"/>
      <c r="M171" s="3" t="str">
        <f t="shared" ca="1" si="17"/>
        <v/>
      </c>
      <c r="P171">
        <f>'Combined Delivery Data'!B201</f>
        <v>0</v>
      </c>
      <c r="Q171">
        <f t="shared" si="18"/>
        <v>0</v>
      </c>
      <c r="R171">
        <f t="shared" si="19"/>
        <v>451</v>
      </c>
      <c r="S171" s="28">
        <f t="shared" si="15"/>
        <v>0</v>
      </c>
      <c r="T171" t="str">
        <f t="shared" si="16"/>
        <v xml:space="preserve"> -&gt; </v>
      </c>
    </row>
    <row r="172" spans="1:20">
      <c r="A172" s="31"/>
      <c r="B172" s="32"/>
      <c r="C172" s="31" t="s">
        <v>206</v>
      </c>
      <c r="D172" s="31"/>
      <c r="E172" s="31"/>
      <c r="F172" s="31"/>
      <c r="G172" s="31" t="s">
        <v>53</v>
      </c>
      <c r="H172" s="32"/>
      <c r="I172" s="32"/>
      <c r="J172" s="32"/>
      <c r="K172" s="31"/>
      <c r="L172" s="31"/>
      <c r="M172" s="3" t="str">
        <f t="shared" ca="1" si="17"/>
        <v/>
      </c>
      <c r="P172">
        <f>'Combined Delivery Data'!B202</f>
        <v>0</v>
      </c>
      <c r="Q172">
        <f t="shared" si="18"/>
        <v>0</v>
      </c>
      <c r="R172">
        <f t="shared" si="19"/>
        <v>451</v>
      </c>
      <c r="S172" s="28">
        <f t="shared" si="15"/>
        <v>0</v>
      </c>
      <c r="T172" t="str">
        <f t="shared" si="16"/>
        <v xml:space="preserve"> -&gt; </v>
      </c>
    </row>
    <row r="173" spans="1:20">
      <c r="A173" s="31"/>
      <c r="B173" s="32"/>
      <c r="C173" s="31" t="s">
        <v>206</v>
      </c>
      <c r="D173" s="31"/>
      <c r="E173" s="31"/>
      <c r="F173" s="31"/>
      <c r="G173" s="31" t="s">
        <v>53</v>
      </c>
      <c r="H173" s="32"/>
      <c r="I173" s="32"/>
      <c r="J173" s="32"/>
      <c r="K173" s="31"/>
      <c r="L173" s="31"/>
      <c r="M173" s="3" t="str">
        <f t="shared" ca="1" si="17"/>
        <v/>
      </c>
      <c r="P173">
        <f>'Combined Delivery Data'!B203</f>
        <v>0</v>
      </c>
      <c r="Q173">
        <f t="shared" si="18"/>
        <v>0</v>
      </c>
      <c r="R173">
        <f t="shared" si="19"/>
        <v>451</v>
      </c>
      <c r="S173" s="28">
        <f t="shared" si="15"/>
        <v>0</v>
      </c>
      <c r="T173" t="str">
        <f t="shared" si="16"/>
        <v xml:space="preserve"> -&gt; </v>
      </c>
    </row>
    <row r="174" spans="1:20">
      <c r="A174" s="31"/>
      <c r="B174" s="32"/>
      <c r="C174" s="31" t="s">
        <v>206</v>
      </c>
      <c r="D174" s="31"/>
      <c r="E174" s="31"/>
      <c r="F174" s="31"/>
      <c r="G174" s="31" t="s">
        <v>53</v>
      </c>
      <c r="H174" s="32"/>
      <c r="I174" s="32"/>
      <c r="J174" s="32"/>
      <c r="K174" s="31"/>
      <c r="L174" s="31"/>
      <c r="M174" s="3" t="str">
        <f t="shared" ca="1" si="17"/>
        <v/>
      </c>
      <c r="P174">
        <f>'Combined Delivery Data'!B204</f>
        <v>0</v>
      </c>
      <c r="Q174">
        <f t="shared" si="18"/>
        <v>0</v>
      </c>
      <c r="R174">
        <f t="shared" si="19"/>
        <v>451</v>
      </c>
      <c r="S174" s="28">
        <f t="shared" ref="S174:S237" si="20">IF($P174="","",IF(SUMPRODUCT(MAX(($A$2:$A$497=$P174)*ROW($A$2:$A$497)))=0,"",INDEX($B:$B,SUMPRODUCT(MAX(($A$2:$A$497=$P174)*ROW($A$2:$A$497))))))</f>
        <v>0</v>
      </c>
      <c r="T174" t="str">
        <f t="shared" ref="T174:T237" si="21">IF($P174="","",IF(SUMPRODUCT(MAX(($A$2:$A$497=$P174)*ROW($A$2:$A$497)))=0,"",INDEX($C:$C,SUMPRODUCT(MAX(($A$2:$A$497=$P174)*ROW($A$2:$A$497))))&amp;" -&gt; "&amp;INDEX($D:$D,SUMPRODUCT(MAX(($A$2:$A$497=$P174)*ROW($A$2:$A$497))))))</f>
        <v xml:space="preserve"> -&gt; </v>
      </c>
    </row>
    <row r="175" spans="1:20">
      <c r="A175" s="31"/>
      <c r="B175" s="32"/>
      <c r="C175" s="31" t="s">
        <v>206</v>
      </c>
      <c r="D175" s="31"/>
      <c r="E175" s="31"/>
      <c r="F175" s="31"/>
      <c r="G175" s="31" t="s">
        <v>53</v>
      </c>
      <c r="H175" s="32"/>
      <c r="I175" s="32"/>
      <c r="J175" s="32"/>
      <c r="K175" s="31"/>
      <c r="L175" s="31"/>
      <c r="M175" s="3" t="str">
        <f t="shared" ca="1" si="17"/>
        <v/>
      </c>
      <c r="P175">
        <f>'Combined Delivery Data'!B205</f>
        <v>0</v>
      </c>
      <c r="Q175">
        <f t="shared" si="18"/>
        <v>0</v>
      </c>
      <c r="R175">
        <f t="shared" si="19"/>
        <v>451</v>
      </c>
      <c r="S175" s="28">
        <f t="shared" si="20"/>
        <v>0</v>
      </c>
      <c r="T175" t="str">
        <f t="shared" si="21"/>
        <v xml:space="preserve"> -&gt; </v>
      </c>
    </row>
    <row r="176" spans="1:20">
      <c r="A176" s="31"/>
      <c r="B176" s="32"/>
      <c r="C176" s="31" t="s">
        <v>206</v>
      </c>
      <c r="D176" s="31"/>
      <c r="E176" s="31"/>
      <c r="F176" s="31"/>
      <c r="G176" s="31" t="s">
        <v>53</v>
      </c>
      <c r="H176" s="32"/>
      <c r="I176" s="32"/>
      <c r="J176" s="32"/>
      <c r="K176" s="31"/>
      <c r="L176" s="31"/>
      <c r="M176" s="3" t="str">
        <f t="shared" ca="1" si="17"/>
        <v/>
      </c>
      <c r="P176">
        <f>'Combined Delivery Data'!B206</f>
        <v>0</v>
      </c>
      <c r="Q176">
        <f t="shared" si="18"/>
        <v>0</v>
      </c>
      <c r="R176">
        <f t="shared" si="19"/>
        <v>451</v>
      </c>
      <c r="S176" s="28">
        <f t="shared" si="20"/>
        <v>0</v>
      </c>
      <c r="T176" t="str">
        <f t="shared" si="21"/>
        <v xml:space="preserve"> -&gt; </v>
      </c>
    </row>
    <row r="177" spans="1:20">
      <c r="A177" s="31"/>
      <c r="B177" s="32"/>
      <c r="C177" s="31" t="s">
        <v>206</v>
      </c>
      <c r="D177" s="31"/>
      <c r="E177" s="31"/>
      <c r="F177" s="31"/>
      <c r="G177" s="31" t="s">
        <v>53</v>
      </c>
      <c r="H177" s="32"/>
      <c r="I177" s="32"/>
      <c r="J177" s="32"/>
      <c r="K177" s="31"/>
      <c r="L177" s="31"/>
      <c r="M177" s="3" t="str">
        <f t="shared" ca="1" si="17"/>
        <v/>
      </c>
      <c r="P177">
        <f>'Combined Delivery Data'!B207</f>
        <v>0</v>
      </c>
      <c r="Q177">
        <f t="shared" si="18"/>
        <v>0</v>
      </c>
      <c r="R177">
        <f t="shared" si="19"/>
        <v>451</v>
      </c>
      <c r="S177" s="28">
        <f t="shared" si="20"/>
        <v>0</v>
      </c>
      <c r="T177" t="str">
        <f t="shared" si="21"/>
        <v xml:space="preserve"> -&gt; </v>
      </c>
    </row>
    <row r="178" spans="1:20">
      <c r="A178" s="31"/>
      <c r="B178" s="32"/>
      <c r="C178" s="31" t="s">
        <v>206</v>
      </c>
      <c r="D178" s="31"/>
      <c r="E178" s="31"/>
      <c r="F178" s="31"/>
      <c r="G178" s="31" t="s">
        <v>53</v>
      </c>
      <c r="H178" s="32"/>
      <c r="I178" s="32"/>
      <c r="J178" s="32"/>
      <c r="K178" s="31"/>
      <c r="L178" s="31"/>
      <c r="M178" s="3" t="str">
        <f t="shared" ca="1" si="17"/>
        <v/>
      </c>
      <c r="P178">
        <f>'Combined Delivery Data'!B208</f>
        <v>0</v>
      </c>
      <c r="Q178">
        <f t="shared" si="18"/>
        <v>0</v>
      </c>
      <c r="R178">
        <f t="shared" si="19"/>
        <v>451</v>
      </c>
      <c r="S178" s="28">
        <f t="shared" si="20"/>
        <v>0</v>
      </c>
      <c r="T178" t="str">
        <f t="shared" si="21"/>
        <v xml:space="preserve"> -&gt; </v>
      </c>
    </row>
    <row r="179" spans="1:20">
      <c r="A179" s="31"/>
      <c r="B179" s="32"/>
      <c r="C179" s="31" t="s">
        <v>206</v>
      </c>
      <c r="D179" s="31"/>
      <c r="E179" s="31"/>
      <c r="F179" s="31"/>
      <c r="G179" s="31" t="s">
        <v>53</v>
      </c>
      <c r="H179" s="32"/>
      <c r="I179" s="32"/>
      <c r="J179" s="32"/>
      <c r="K179" s="31"/>
      <c r="L179" s="31"/>
      <c r="M179" s="3" t="str">
        <f t="shared" ca="1" si="17"/>
        <v/>
      </c>
      <c r="P179">
        <f>'Combined Delivery Data'!B209</f>
        <v>0</v>
      </c>
      <c r="Q179">
        <f t="shared" si="18"/>
        <v>0</v>
      </c>
      <c r="R179">
        <f t="shared" si="19"/>
        <v>451</v>
      </c>
      <c r="S179" s="28">
        <f t="shared" si="20"/>
        <v>0</v>
      </c>
      <c r="T179" t="str">
        <f t="shared" si="21"/>
        <v xml:space="preserve"> -&gt; </v>
      </c>
    </row>
    <row r="180" spans="1:20">
      <c r="A180" s="31"/>
      <c r="B180" s="32"/>
      <c r="C180" s="31" t="s">
        <v>206</v>
      </c>
      <c r="D180" s="31"/>
      <c r="E180" s="31"/>
      <c r="F180" s="31"/>
      <c r="G180" s="31" t="s">
        <v>53</v>
      </c>
      <c r="H180" s="32"/>
      <c r="I180" s="32"/>
      <c r="J180" s="32"/>
      <c r="K180" s="31"/>
      <c r="L180" s="31"/>
      <c r="M180" s="3" t="str">
        <f t="shared" ca="1" si="17"/>
        <v/>
      </c>
      <c r="P180">
        <f>'Combined Delivery Data'!B210</f>
        <v>0</v>
      </c>
      <c r="Q180">
        <f t="shared" si="18"/>
        <v>0</v>
      </c>
      <c r="R180">
        <f t="shared" si="19"/>
        <v>451</v>
      </c>
      <c r="S180" s="28">
        <f t="shared" si="20"/>
        <v>0</v>
      </c>
      <c r="T180" t="str">
        <f t="shared" si="21"/>
        <v xml:space="preserve"> -&gt; </v>
      </c>
    </row>
    <row r="181" spans="1:20">
      <c r="A181" s="31"/>
      <c r="B181" s="32"/>
      <c r="C181" s="31" t="s">
        <v>206</v>
      </c>
      <c r="D181" s="31"/>
      <c r="E181" s="31"/>
      <c r="F181" s="31"/>
      <c r="G181" s="31" t="s">
        <v>53</v>
      </c>
      <c r="H181" s="32"/>
      <c r="I181" s="32"/>
      <c r="J181" s="32"/>
      <c r="K181" s="31"/>
      <c r="L181" s="31"/>
      <c r="M181" s="3" t="str">
        <f t="shared" ca="1" si="17"/>
        <v/>
      </c>
      <c r="P181">
        <f>'Combined Delivery Data'!B211</f>
        <v>0</v>
      </c>
      <c r="Q181">
        <f t="shared" si="18"/>
        <v>0</v>
      </c>
      <c r="R181">
        <f t="shared" si="19"/>
        <v>451</v>
      </c>
      <c r="S181" s="28">
        <f t="shared" si="20"/>
        <v>0</v>
      </c>
      <c r="T181" t="str">
        <f t="shared" si="21"/>
        <v xml:space="preserve"> -&gt; </v>
      </c>
    </row>
    <row r="182" spans="1:20">
      <c r="A182" s="31"/>
      <c r="B182" s="32"/>
      <c r="C182" s="31" t="s">
        <v>206</v>
      </c>
      <c r="D182" s="31"/>
      <c r="E182" s="31"/>
      <c r="F182" s="31"/>
      <c r="G182" s="31" t="s">
        <v>53</v>
      </c>
      <c r="H182" s="32"/>
      <c r="I182" s="32"/>
      <c r="J182" s="32"/>
      <c r="K182" s="31"/>
      <c r="L182" s="31"/>
      <c r="M182" s="3" t="str">
        <f t="shared" ca="1" si="17"/>
        <v/>
      </c>
      <c r="P182">
        <f>'Combined Delivery Data'!B212</f>
        <v>0</v>
      </c>
      <c r="Q182">
        <f t="shared" si="18"/>
        <v>0</v>
      </c>
      <c r="R182">
        <f t="shared" si="19"/>
        <v>451</v>
      </c>
      <c r="S182" s="28">
        <f t="shared" si="20"/>
        <v>0</v>
      </c>
      <c r="T182" t="str">
        <f t="shared" si="21"/>
        <v xml:space="preserve"> -&gt; </v>
      </c>
    </row>
    <row r="183" spans="1:20">
      <c r="A183" s="31"/>
      <c r="B183" s="32"/>
      <c r="C183" s="31" t="s">
        <v>206</v>
      </c>
      <c r="D183" s="31"/>
      <c r="E183" s="31"/>
      <c r="F183" s="31"/>
      <c r="G183" s="31" t="s">
        <v>53</v>
      </c>
      <c r="H183" s="32"/>
      <c r="I183" s="32"/>
      <c r="J183" s="32"/>
      <c r="K183" s="31"/>
      <c r="L183" s="31"/>
      <c r="M183" s="3" t="str">
        <f t="shared" ca="1" si="17"/>
        <v/>
      </c>
      <c r="P183">
        <f>'Combined Delivery Data'!B213</f>
        <v>0</v>
      </c>
      <c r="Q183">
        <f t="shared" si="18"/>
        <v>0</v>
      </c>
      <c r="R183">
        <f t="shared" si="19"/>
        <v>451</v>
      </c>
      <c r="S183" s="28">
        <f t="shared" si="20"/>
        <v>0</v>
      </c>
      <c r="T183" t="str">
        <f t="shared" si="21"/>
        <v xml:space="preserve"> -&gt; </v>
      </c>
    </row>
    <row r="184" spans="1:20">
      <c r="A184" s="31"/>
      <c r="B184" s="32"/>
      <c r="C184" s="31" t="s">
        <v>206</v>
      </c>
      <c r="D184" s="31"/>
      <c r="E184" s="31"/>
      <c r="F184" s="31"/>
      <c r="G184" s="31" t="s">
        <v>53</v>
      </c>
      <c r="H184" s="32"/>
      <c r="I184" s="32"/>
      <c r="J184" s="32"/>
      <c r="K184" s="31"/>
      <c r="L184" s="31"/>
      <c r="M184" s="3" t="str">
        <f t="shared" ca="1" si="17"/>
        <v/>
      </c>
      <c r="P184">
        <f>'Combined Delivery Data'!B214</f>
        <v>0</v>
      </c>
      <c r="Q184">
        <f t="shared" si="18"/>
        <v>0</v>
      </c>
      <c r="R184">
        <f t="shared" si="19"/>
        <v>451</v>
      </c>
      <c r="S184" s="28">
        <f t="shared" si="20"/>
        <v>0</v>
      </c>
      <c r="T184" t="str">
        <f t="shared" si="21"/>
        <v xml:space="preserve"> -&gt; </v>
      </c>
    </row>
    <row r="185" spans="1:20">
      <c r="A185" s="31"/>
      <c r="B185" s="32"/>
      <c r="C185" s="31" t="s">
        <v>206</v>
      </c>
      <c r="D185" s="31"/>
      <c r="E185" s="31"/>
      <c r="F185" s="31"/>
      <c r="G185" s="31" t="s">
        <v>53</v>
      </c>
      <c r="H185" s="32"/>
      <c r="I185" s="32"/>
      <c r="J185" s="32"/>
      <c r="K185" s="31"/>
      <c r="L185" s="31"/>
      <c r="M185" s="3" t="str">
        <f t="shared" ca="1" si="17"/>
        <v/>
      </c>
      <c r="P185">
        <f>'Combined Delivery Data'!B215</f>
        <v>0</v>
      </c>
      <c r="Q185">
        <f t="shared" si="18"/>
        <v>0</v>
      </c>
      <c r="R185">
        <f t="shared" si="19"/>
        <v>451</v>
      </c>
      <c r="S185" s="28">
        <f t="shared" si="20"/>
        <v>0</v>
      </c>
      <c r="T185" t="str">
        <f t="shared" si="21"/>
        <v xml:space="preserve"> -&gt; </v>
      </c>
    </row>
    <row r="186" spans="1:20">
      <c r="A186" s="31"/>
      <c r="B186" s="32"/>
      <c r="C186" s="31" t="s">
        <v>206</v>
      </c>
      <c r="D186" s="31"/>
      <c r="E186" s="31"/>
      <c r="F186" s="31"/>
      <c r="G186" s="31" t="s">
        <v>53</v>
      </c>
      <c r="H186" s="32"/>
      <c r="I186" s="32"/>
      <c r="J186" s="32"/>
      <c r="K186" s="31"/>
      <c r="L186" s="31"/>
      <c r="M186" s="3" t="str">
        <f t="shared" ca="1" si="17"/>
        <v/>
      </c>
      <c r="P186">
        <f>'Combined Delivery Data'!B216</f>
        <v>0</v>
      </c>
      <c r="Q186">
        <f t="shared" si="18"/>
        <v>0</v>
      </c>
      <c r="R186">
        <f t="shared" si="19"/>
        <v>451</v>
      </c>
      <c r="S186" s="28">
        <f t="shared" si="20"/>
        <v>0</v>
      </c>
      <c r="T186" t="str">
        <f t="shared" si="21"/>
        <v xml:space="preserve"> -&gt; </v>
      </c>
    </row>
    <row r="187" spans="1:20">
      <c r="A187" s="31"/>
      <c r="B187" s="32"/>
      <c r="C187" s="31" t="s">
        <v>206</v>
      </c>
      <c r="D187" s="31"/>
      <c r="E187" s="31"/>
      <c r="F187" s="31"/>
      <c r="G187" s="31" t="s">
        <v>53</v>
      </c>
      <c r="H187" s="32"/>
      <c r="I187" s="32"/>
      <c r="J187" s="32"/>
      <c r="K187" s="31"/>
      <c r="L187" s="31"/>
      <c r="M187" s="3" t="str">
        <f t="shared" ca="1" si="17"/>
        <v/>
      </c>
      <c r="P187">
        <f>'Combined Delivery Data'!B217</f>
        <v>0</v>
      </c>
      <c r="Q187">
        <f t="shared" si="18"/>
        <v>0</v>
      </c>
      <c r="R187">
        <f t="shared" si="19"/>
        <v>451</v>
      </c>
      <c r="S187" s="28">
        <f t="shared" si="20"/>
        <v>0</v>
      </c>
      <c r="T187" t="str">
        <f t="shared" si="21"/>
        <v xml:space="preserve"> -&gt; </v>
      </c>
    </row>
    <row r="188" spans="1:20">
      <c r="A188" s="31"/>
      <c r="B188" s="32"/>
      <c r="C188" s="31" t="s">
        <v>206</v>
      </c>
      <c r="D188" s="31"/>
      <c r="E188" s="31"/>
      <c r="F188" s="31"/>
      <c r="G188" s="31" t="s">
        <v>53</v>
      </c>
      <c r="H188" s="32"/>
      <c r="I188" s="32"/>
      <c r="J188" s="32"/>
      <c r="K188" s="31"/>
      <c r="L188" s="31"/>
      <c r="M188" s="3" t="str">
        <f t="shared" ca="1" si="17"/>
        <v/>
      </c>
      <c r="P188">
        <f>'Combined Delivery Data'!B218</f>
        <v>0</v>
      </c>
      <c r="Q188">
        <f t="shared" si="18"/>
        <v>0</v>
      </c>
      <c r="R188">
        <f t="shared" si="19"/>
        <v>451</v>
      </c>
      <c r="S188" s="28">
        <f t="shared" si="20"/>
        <v>0</v>
      </c>
      <c r="T188" t="str">
        <f t="shared" si="21"/>
        <v xml:space="preserve"> -&gt; </v>
      </c>
    </row>
    <row r="189" spans="1:20">
      <c r="A189" s="31"/>
      <c r="B189" s="32"/>
      <c r="C189" s="31" t="s">
        <v>206</v>
      </c>
      <c r="D189" s="31"/>
      <c r="E189" s="31"/>
      <c r="F189" s="31"/>
      <c r="G189" s="31" t="s">
        <v>53</v>
      </c>
      <c r="H189" s="32"/>
      <c r="I189" s="32"/>
      <c r="J189" s="32"/>
      <c r="K189" s="31"/>
      <c r="L189" s="31"/>
      <c r="M189" s="3" t="str">
        <f t="shared" ca="1" si="17"/>
        <v/>
      </c>
      <c r="P189">
        <f>'Combined Delivery Data'!B219</f>
        <v>0</v>
      </c>
      <c r="Q189">
        <f t="shared" si="18"/>
        <v>0</v>
      </c>
      <c r="R189">
        <f t="shared" si="19"/>
        <v>451</v>
      </c>
      <c r="S189" s="28">
        <f t="shared" si="20"/>
        <v>0</v>
      </c>
      <c r="T189" t="str">
        <f t="shared" si="21"/>
        <v xml:space="preserve"> -&gt; </v>
      </c>
    </row>
    <row r="190" spans="1:20">
      <c r="A190" s="31"/>
      <c r="B190" s="32"/>
      <c r="C190" s="31" t="s">
        <v>206</v>
      </c>
      <c r="D190" s="31"/>
      <c r="E190" s="31"/>
      <c r="F190" s="31"/>
      <c r="G190" s="31" t="s">
        <v>53</v>
      </c>
      <c r="H190" s="32"/>
      <c r="I190" s="32"/>
      <c r="J190" s="32"/>
      <c r="K190" s="31"/>
      <c r="L190" s="31"/>
      <c r="M190" s="3" t="str">
        <f t="shared" ca="1" si="17"/>
        <v/>
      </c>
      <c r="P190">
        <f>'Combined Delivery Data'!B220</f>
        <v>0</v>
      </c>
      <c r="Q190">
        <f t="shared" si="18"/>
        <v>0</v>
      </c>
      <c r="R190">
        <f t="shared" si="19"/>
        <v>451</v>
      </c>
      <c r="S190" s="28">
        <f t="shared" si="20"/>
        <v>0</v>
      </c>
      <c r="T190" t="str">
        <f t="shared" si="21"/>
        <v xml:space="preserve"> -&gt; </v>
      </c>
    </row>
    <row r="191" spans="1:20">
      <c r="A191" s="31"/>
      <c r="B191" s="32"/>
      <c r="C191" s="31" t="s">
        <v>206</v>
      </c>
      <c r="D191" s="31"/>
      <c r="E191" s="31"/>
      <c r="F191" s="31"/>
      <c r="G191" s="31" t="s">
        <v>53</v>
      </c>
      <c r="H191" s="32"/>
      <c r="I191" s="32"/>
      <c r="J191" s="32"/>
      <c r="K191" s="31"/>
      <c r="L191" s="31"/>
      <c r="M191" s="3" t="str">
        <f t="shared" ca="1" si="17"/>
        <v/>
      </c>
      <c r="P191">
        <f>'Combined Delivery Data'!B221</f>
        <v>0</v>
      </c>
      <c r="Q191">
        <f t="shared" si="18"/>
        <v>0</v>
      </c>
      <c r="R191">
        <f t="shared" si="19"/>
        <v>451</v>
      </c>
      <c r="S191" s="28">
        <f t="shared" si="20"/>
        <v>0</v>
      </c>
      <c r="T191" t="str">
        <f t="shared" si="21"/>
        <v xml:space="preserve"> -&gt; </v>
      </c>
    </row>
    <row r="192" spans="1:20">
      <c r="A192" s="31"/>
      <c r="B192" s="32"/>
      <c r="C192" s="31" t="s">
        <v>206</v>
      </c>
      <c r="D192" s="31"/>
      <c r="E192" s="31"/>
      <c r="F192" s="31"/>
      <c r="G192" s="31" t="s">
        <v>53</v>
      </c>
      <c r="H192" s="32"/>
      <c r="I192" s="32"/>
      <c r="J192" s="32"/>
      <c r="K192" s="31"/>
      <c r="L192" s="31"/>
      <c r="M192" s="3" t="str">
        <f t="shared" ref="M192:M255" ca="1" si="22">IF($A192="","",IF($G192="Did not pass re-test","Sent back again",IF(NOT(ISNUMBER($B192)),"Missing sent-back date",IF(ISNUMBER($J192),"Fixed in "&amp;($J192-$B192)&amp;" d",IF($I192="","UNCLAIMED "&amp;(TODAY()-$B192)&amp;" d",IF(TODAY()&gt;$I192,(TODAY()-$I192)&amp;" d LATE","Open "&amp;(TODAY()-$B192)&amp;" d"))))))</f>
        <v/>
      </c>
      <c r="P192">
        <f>'Combined Delivery Data'!B222</f>
        <v>0</v>
      </c>
      <c r="Q192">
        <f t="shared" si="18"/>
        <v>0</v>
      </c>
      <c r="R192">
        <f t="shared" si="19"/>
        <v>451</v>
      </c>
      <c r="S192" s="28">
        <f t="shared" si="20"/>
        <v>0</v>
      </c>
      <c r="T192" t="str">
        <f t="shared" si="21"/>
        <v xml:space="preserve"> -&gt; </v>
      </c>
    </row>
    <row r="193" spans="1:20">
      <c r="A193" s="31"/>
      <c r="B193" s="32"/>
      <c r="C193" s="31" t="s">
        <v>206</v>
      </c>
      <c r="D193" s="31"/>
      <c r="E193" s="31"/>
      <c r="F193" s="31"/>
      <c r="G193" s="31" t="s">
        <v>53</v>
      </c>
      <c r="H193" s="32"/>
      <c r="I193" s="32"/>
      <c r="J193" s="32"/>
      <c r="K193" s="31"/>
      <c r="L193" s="31"/>
      <c r="M193" s="3" t="str">
        <f t="shared" ca="1" si="22"/>
        <v/>
      </c>
      <c r="P193">
        <f>'Combined Delivery Data'!B223</f>
        <v>0</v>
      </c>
      <c r="Q193">
        <f t="shared" si="18"/>
        <v>0</v>
      </c>
      <c r="R193">
        <f t="shared" si="19"/>
        <v>451</v>
      </c>
      <c r="S193" s="28">
        <f t="shared" si="20"/>
        <v>0</v>
      </c>
      <c r="T193" t="str">
        <f t="shared" si="21"/>
        <v xml:space="preserve"> -&gt; </v>
      </c>
    </row>
    <row r="194" spans="1:20">
      <c r="A194" s="31"/>
      <c r="B194" s="32"/>
      <c r="C194" s="31" t="s">
        <v>206</v>
      </c>
      <c r="D194" s="31"/>
      <c r="E194" s="31"/>
      <c r="F194" s="31"/>
      <c r="G194" s="31" t="s">
        <v>53</v>
      </c>
      <c r="H194" s="32"/>
      <c r="I194" s="32"/>
      <c r="J194" s="32"/>
      <c r="K194" s="31"/>
      <c r="L194" s="31"/>
      <c r="M194" s="3" t="str">
        <f t="shared" ca="1" si="22"/>
        <v/>
      </c>
      <c r="P194">
        <f>'Combined Delivery Data'!B224</f>
        <v>0</v>
      </c>
      <c r="Q194">
        <f t="shared" si="18"/>
        <v>0</v>
      </c>
      <c r="R194">
        <f t="shared" si="19"/>
        <v>451</v>
      </c>
      <c r="S194" s="28">
        <f t="shared" si="20"/>
        <v>0</v>
      </c>
      <c r="T194" t="str">
        <f t="shared" si="21"/>
        <v xml:space="preserve"> -&gt; </v>
      </c>
    </row>
    <row r="195" spans="1:20">
      <c r="A195" s="31"/>
      <c r="B195" s="32"/>
      <c r="C195" s="31" t="s">
        <v>206</v>
      </c>
      <c r="D195" s="31"/>
      <c r="E195" s="31"/>
      <c r="F195" s="31"/>
      <c r="G195" s="31" t="s">
        <v>53</v>
      </c>
      <c r="H195" s="32"/>
      <c r="I195" s="32"/>
      <c r="J195" s="32"/>
      <c r="K195" s="31"/>
      <c r="L195" s="31"/>
      <c r="M195" s="3" t="str">
        <f t="shared" ca="1" si="22"/>
        <v/>
      </c>
      <c r="P195">
        <f>'Combined Delivery Data'!B225</f>
        <v>0</v>
      </c>
      <c r="Q195">
        <f t="shared" si="18"/>
        <v>0</v>
      </c>
      <c r="R195">
        <f t="shared" si="19"/>
        <v>451</v>
      </c>
      <c r="S195" s="28">
        <f t="shared" si="20"/>
        <v>0</v>
      </c>
      <c r="T195" t="str">
        <f t="shared" si="21"/>
        <v xml:space="preserve"> -&gt; </v>
      </c>
    </row>
    <row r="196" spans="1:20">
      <c r="A196" s="31"/>
      <c r="B196" s="32"/>
      <c r="C196" s="31" t="s">
        <v>206</v>
      </c>
      <c r="D196" s="31"/>
      <c r="E196" s="31"/>
      <c r="F196" s="31"/>
      <c r="G196" s="31" t="s">
        <v>53</v>
      </c>
      <c r="H196" s="32"/>
      <c r="I196" s="32"/>
      <c r="J196" s="32"/>
      <c r="K196" s="31"/>
      <c r="L196" s="31"/>
      <c r="M196" s="3" t="str">
        <f t="shared" ca="1" si="22"/>
        <v/>
      </c>
      <c r="P196">
        <f>'Combined Delivery Data'!B226</f>
        <v>0</v>
      </c>
      <c r="Q196">
        <f t="shared" si="18"/>
        <v>0</v>
      </c>
      <c r="R196">
        <f t="shared" si="19"/>
        <v>451</v>
      </c>
      <c r="S196" s="28">
        <f t="shared" si="20"/>
        <v>0</v>
      </c>
      <c r="T196" t="str">
        <f t="shared" si="21"/>
        <v xml:space="preserve"> -&gt; </v>
      </c>
    </row>
    <row r="197" spans="1:20">
      <c r="A197" s="31"/>
      <c r="B197" s="32"/>
      <c r="C197" s="31" t="s">
        <v>206</v>
      </c>
      <c r="D197" s="31"/>
      <c r="E197" s="31"/>
      <c r="F197" s="31"/>
      <c r="G197" s="31" t="s">
        <v>53</v>
      </c>
      <c r="H197" s="32"/>
      <c r="I197" s="32"/>
      <c r="J197" s="32"/>
      <c r="K197" s="31"/>
      <c r="L197" s="31"/>
      <c r="M197" s="3" t="str">
        <f t="shared" ca="1" si="22"/>
        <v/>
      </c>
      <c r="P197">
        <f>'Combined Delivery Data'!B227</f>
        <v>0</v>
      </c>
      <c r="Q197">
        <f t="shared" si="18"/>
        <v>0</v>
      </c>
      <c r="R197">
        <f t="shared" si="19"/>
        <v>451</v>
      </c>
      <c r="S197" s="28">
        <f t="shared" si="20"/>
        <v>0</v>
      </c>
      <c r="T197" t="str">
        <f t="shared" si="21"/>
        <v xml:space="preserve"> -&gt; </v>
      </c>
    </row>
    <row r="198" spans="1:20">
      <c r="A198" s="31"/>
      <c r="B198" s="32"/>
      <c r="C198" s="31"/>
      <c r="D198" s="31"/>
      <c r="E198" s="31"/>
      <c r="F198" s="31"/>
      <c r="G198" s="31"/>
      <c r="H198" s="32"/>
      <c r="I198" s="32"/>
      <c r="J198" s="32"/>
      <c r="K198" s="31"/>
      <c r="L198" s="31"/>
      <c r="M198" s="3" t="str">
        <f t="shared" ca="1" si="22"/>
        <v/>
      </c>
      <c r="P198">
        <f>'Combined Delivery Data'!B228</f>
        <v>0</v>
      </c>
      <c r="Q198">
        <f t="shared" si="18"/>
        <v>0</v>
      </c>
      <c r="R198">
        <f t="shared" si="19"/>
        <v>451</v>
      </c>
      <c r="S198" s="28">
        <f t="shared" si="20"/>
        <v>0</v>
      </c>
      <c r="T198" t="str">
        <f t="shared" si="21"/>
        <v xml:space="preserve"> -&gt; </v>
      </c>
    </row>
    <row r="199" spans="1:20">
      <c r="A199" s="31"/>
      <c r="B199" s="32"/>
      <c r="C199" s="31"/>
      <c r="D199" s="31"/>
      <c r="E199" s="31"/>
      <c r="F199" s="31"/>
      <c r="G199" s="31"/>
      <c r="H199" s="32"/>
      <c r="I199" s="32"/>
      <c r="J199" s="32"/>
      <c r="K199" s="31"/>
      <c r="L199" s="31"/>
      <c r="M199" s="3" t="str">
        <f t="shared" ca="1" si="22"/>
        <v/>
      </c>
      <c r="P199">
        <f>'Combined Delivery Data'!B229</f>
        <v>0</v>
      </c>
      <c r="Q199">
        <f t="shared" si="18"/>
        <v>0</v>
      </c>
      <c r="R199">
        <f t="shared" si="19"/>
        <v>451</v>
      </c>
      <c r="S199" s="28">
        <f t="shared" si="20"/>
        <v>0</v>
      </c>
      <c r="T199" t="str">
        <f t="shared" si="21"/>
        <v xml:space="preserve"> -&gt; </v>
      </c>
    </row>
    <row r="200" spans="1:20">
      <c r="A200" s="31"/>
      <c r="B200" s="32"/>
      <c r="C200" s="31"/>
      <c r="D200" s="31"/>
      <c r="E200" s="31"/>
      <c r="F200" s="31"/>
      <c r="G200" s="31"/>
      <c r="H200" s="32"/>
      <c r="I200" s="32"/>
      <c r="J200" s="32"/>
      <c r="K200" s="31"/>
      <c r="L200" s="31"/>
      <c r="M200" s="3" t="str">
        <f t="shared" ca="1" si="22"/>
        <v/>
      </c>
      <c r="P200">
        <f>'Combined Delivery Data'!B230</f>
        <v>0</v>
      </c>
      <c r="Q200">
        <f t="shared" si="18"/>
        <v>0</v>
      </c>
      <c r="R200">
        <f t="shared" si="19"/>
        <v>451</v>
      </c>
      <c r="S200" s="28">
        <f t="shared" si="20"/>
        <v>0</v>
      </c>
      <c r="T200" t="str">
        <f t="shared" si="21"/>
        <v xml:space="preserve"> -&gt; </v>
      </c>
    </row>
    <row r="201" spans="1:20">
      <c r="A201" s="31"/>
      <c r="B201" s="32"/>
      <c r="C201" s="31"/>
      <c r="D201" s="31"/>
      <c r="E201" s="31"/>
      <c r="F201" s="31"/>
      <c r="G201" s="31"/>
      <c r="H201" s="32"/>
      <c r="I201" s="32"/>
      <c r="J201" s="32"/>
      <c r="K201" s="31"/>
      <c r="L201" s="31"/>
      <c r="M201" s="3" t="str">
        <f t="shared" ca="1" si="22"/>
        <v/>
      </c>
      <c r="P201">
        <f>'Combined Delivery Data'!B231</f>
        <v>0</v>
      </c>
      <c r="Q201">
        <f t="shared" si="18"/>
        <v>0</v>
      </c>
      <c r="R201">
        <f t="shared" si="19"/>
        <v>451</v>
      </c>
      <c r="S201" s="28">
        <f t="shared" si="20"/>
        <v>0</v>
      </c>
      <c r="T201" t="str">
        <f t="shared" si="21"/>
        <v xml:space="preserve"> -&gt; </v>
      </c>
    </row>
    <row r="202" spans="1:20">
      <c r="A202" s="31"/>
      <c r="B202" s="32"/>
      <c r="C202" s="31"/>
      <c r="D202" s="31"/>
      <c r="E202" s="31"/>
      <c r="F202" s="31"/>
      <c r="G202" s="31"/>
      <c r="H202" s="32"/>
      <c r="I202" s="32"/>
      <c r="J202" s="32"/>
      <c r="K202" s="31"/>
      <c r="L202" s="31"/>
      <c r="M202" s="3" t="str">
        <f t="shared" ca="1" si="22"/>
        <v/>
      </c>
      <c r="P202">
        <f>'Combined Delivery Data'!B232</f>
        <v>0</v>
      </c>
      <c r="Q202">
        <f t="shared" si="18"/>
        <v>0</v>
      </c>
      <c r="R202">
        <f t="shared" si="19"/>
        <v>451</v>
      </c>
      <c r="S202" s="28">
        <f t="shared" si="20"/>
        <v>0</v>
      </c>
      <c r="T202" t="str">
        <f t="shared" si="21"/>
        <v xml:space="preserve"> -&gt; </v>
      </c>
    </row>
    <row r="203" spans="1:20">
      <c r="A203" s="31"/>
      <c r="B203" s="32"/>
      <c r="C203" s="31"/>
      <c r="D203" s="31"/>
      <c r="E203" s="31"/>
      <c r="F203" s="31"/>
      <c r="G203" s="31"/>
      <c r="H203" s="32"/>
      <c r="I203" s="32"/>
      <c r="J203" s="32"/>
      <c r="K203" s="31"/>
      <c r="L203" s="31"/>
      <c r="M203" s="3" t="str">
        <f t="shared" ca="1" si="22"/>
        <v/>
      </c>
      <c r="P203">
        <f>'Combined Delivery Data'!B233</f>
        <v>0</v>
      </c>
      <c r="Q203">
        <f t="shared" si="18"/>
        <v>0</v>
      </c>
      <c r="R203">
        <f t="shared" si="19"/>
        <v>451</v>
      </c>
      <c r="S203" s="28">
        <f t="shared" si="20"/>
        <v>0</v>
      </c>
      <c r="T203" t="str">
        <f t="shared" si="21"/>
        <v xml:space="preserve"> -&gt; </v>
      </c>
    </row>
    <row r="204" spans="1:20">
      <c r="A204" s="31"/>
      <c r="B204" s="32"/>
      <c r="C204" s="31"/>
      <c r="D204" s="31"/>
      <c r="E204" s="31"/>
      <c r="F204" s="31"/>
      <c r="G204" s="31"/>
      <c r="H204" s="32"/>
      <c r="I204" s="32"/>
      <c r="J204" s="32"/>
      <c r="K204" s="31"/>
      <c r="L204" s="31"/>
      <c r="M204" s="3" t="str">
        <f t="shared" ca="1" si="22"/>
        <v/>
      </c>
      <c r="P204">
        <f>'Combined Delivery Data'!B234</f>
        <v>0</v>
      </c>
      <c r="Q204">
        <f t="shared" si="18"/>
        <v>0</v>
      </c>
      <c r="R204">
        <f t="shared" si="19"/>
        <v>451</v>
      </c>
      <c r="S204" s="28">
        <f t="shared" si="20"/>
        <v>0</v>
      </c>
      <c r="T204" t="str">
        <f t="shared" si="21"/>
        <v xml:space="preserve"> -&gt; </v>
      </c>
    </row>
    <row r="205" spans="1:20">
      <c r="A205" s="31"/>
      <c r="B205" s="32"/>
      <c r="C205" s="31"/>
      <c r="D205" s="31"/>
      <c r="E205" s="31"/>
      <c r="F205" s="31"/>
      <c r="G205" s="31"/>
      <c r="H205" s="32"/>
      <c r="I205" s="32"/>
      <c r="J205" s="32"/>
      <c r="K205" s="31"/>
      <c r="L205" s="31"/>
      <c r="M205" s="3" t="str">
        <f t="shared" ca="1" si="22"/>
        <v/>
      </c>
      <c r="P205">
        <f>'Combined Delivery Data'!B235</f>
        <v>0</v>
      </c>
      <c r="Q205">
        <f t="shared" si="18"/>
        <v>0</v>
      </c>
      <c r="R205">
        <f t="shared" si="19"/>
        <v>451</v>
      </c>
      <c r="S205" s="28">
        <f t="shared" si="20"/>
        <v>0</v>
      </c>
      <c r="T205" t="str">
        <f t="shared" si="21"/>
        <v xml:space="preserve"> -&gt; </v>
      </c>
    </row>
    <row r="206" spans="1:20">
      <c r="A206" s="31"/>
      <c r="B206" s="32"/>
      <c r="C206" s="31"/>
      <c r="D206" s="31"/>
      <c r="E206" s="31"/>
      <c r="F206" s="31"/>
      <c r="G206" s="31"/>
      <c r="H206" s="32"/>
      <c r="I206" s="32"/>
      <c r="J206" s="32"/>
      <c r="K206" s="31"/>
      <c r="L206" s="31"/>
      <c r="M206" s="3" t="str">
        <f t="shared" ca="1" si="22"/>
        <v/>
      </c>
      <c r="P206">
        <f>'Combined Delivery Data'!B236</f>
        <v>0</v>
      </c>
      <c r="Q206">
        <f t="shared" si="18"/>
        <v>0</v>
      </c>
      <c r="R206">
        <f t="shared" si="19"/>
        <v>451</v>
      </c>
      <c r="S206" s="28">
        <f t="shared" si="20"/>
        <v>0</v>
      </c>
      <c r="T206" t="str">
        <f t="shared" si="21"/>
        <v xml:space="preserve"> -&gt; </v>
      </c>
    </row>
    <row r="207" spans="1:20">
      <c r="A207" s="31"/>
      <c r="B207" s="32"/>
      <c r="C207" s="31"/>
      <c r="D207" s="31"/>
      <c r="E207" s="31"/>
      <c r="F207" s="31"/>
      <c r="G207" s="31"/>
      <c r="H207" s="32"/>
      <c r="I207" s="32"/>
      <c r="J207" s="32"/>
      <c r="K207" s="31"/>
      <c r="L207" s="31"/>
      <c r="M207" s="3" t="str">
        <f t="shared" ca="1" si="22"/>
        <v/>
      </c>
      <c r="P207">
        <f>'Combined Delivery Data'!B237</f>
        <v>0</v>
      </c>
      <c r="Q207">
        <f t="shared" si="18"/>
        <v>0</v>
      </c>
      <c r="R207">
        <f t="shared" si="19"/>
        <v>451</v>
      </c>
      <c r="S207" s="28">
        <f t="shared" si="20"/>
        <v>0</v>
      </c>
      <c r="T207" t="str">
        <f t="shared" si="21"/>
        <v xml:space="preserve"> -&gt; </v>
      </c>
    </row>
    <row r="208" spans="1:20">
      <c r="A208" s="31"/>
      <c r="B208" s="32"/>
      <c r="C208" s="31"/>
      <c r="D208" s="31"/>
      <c r="E208" s="31"/>
      <c r="F208" s="31"/>
      <c r="G208" s="31"/>
      <c r="H208" s="32"/>
      <c r="I208" s="32"/>
      <c r="J208" s="32"/>
      <c r="K208" s="31"/>
      <c r="L208" s="31"/>
      <c r="M208" s="3" t="str">
        <f t="shared" ca="1" si="22"/>
        <v/>
      </c>
      <c r="P208">
        <f>'Combined Delivery Data'!B238</f>
        <v>0</v>
      </c>
      <c r="Q208">
        <f t="shared" si="18"/>
        <v>0</v>
      </c>
      <c r="R208">
        <f t="shared" si="19"/>
        <v>451</v>
      </c>
      <c r="S208" s="28">
        <f t="shared" si="20"/>
        <v>0</v>
      </c>
      <c r="T208" t="str">
        <f t="shared" si="21"/>
        <v xml:space="preserve"> -&gt; </v>
      </c>
    </row>
    <row r="209" spans="1:20">
      <c r="A209" s="31"/>
      <c r="B209" s="32"/>
      <c r="C209" s="31"/>
      <c r="D209" s="31"/>
      <c r="E209" s="31"/>
      <c r="F209" s="31"/>
      <c r="G209" s="31"/>
      <c r="H209" s="32"/>
      <c r="I209" s="32"/>
      <c r="J209" s="32"/>
      <c r="K209" s="31"/>
      <c r="L209" s="31"/>
      <c r="M209" s="3" t="str">
        <f t="shared" ca="1" si="22"/>
        <v/>
      </c>
      <c r="P209">
        <f>'Combined Delivery Data'!B239</f>
        <v>0</v>
      </c>
      <c r="Q209">
        <f t="shared" ref="Q209:Q272" si="23">IF($P209="","",COUNTIF($A$2:$A$497,$P209))</f>
        <v>0</v>
      </c>
      <c r="R209">
        <f t="shared" ref="R209:R272" si="24">IF($P209="","",SUMPRODUCT(($A$2:$A$497=$P209)*($G$2:$G$497&lt;&gt;"Yes")*($G$2:$G$497&lt;&gt;"Did not pass re-test")))</f>
        <v>451</v>
      </c>
      <c r="S209" s="28">
        <f t="shared" si="20"/>
        <v>0</v>
      </c>
      <c r="T209" t="str">
        <f t="shared" si="21"/>
        <v xml:space="preserve"> -&gt; </v>
      </c>
    </row>
    <row r="210" spans="1:20">
      <c r="A210" s="31"/>
      <c r="B210" s="32"/>
      <c r="C210" s="31"/>
      <c r="D210" s="31"/>
      <c r="E210" s="31"/>
      <c r="F210" s="31"/>
      <c r="G210" s="31"/>
      <c r="H210" s="32"/>
      <c r="I210" s="32"/>
      <c r="J210" s="32"/>
      <c r="K210" s="31"/>
      <c r="L210" s="31"/>
      <c r="M210" s="3" t="str">
        <f t="shared" ca="1" si="22"/>
        <v/>
      </c>
      <c r="P210">
        <f>'Combined Delivery Data'!B240</f>
        <v>0</v>
      </c>
      <c r="Q210">
        <f t="shared" si="23"/>
        <v>0</v>
      </c>
      <c r="R210">
        <f t="shared" si="24"/>
        <v>451</v>
      </c>
      <c r="S210" s="28">
        <f t="shared" si="20"/>
        <v>0</v>
      </c>
      <c r="T210" t="str">
        <f t="shared" si="21"/>
        <v xml:space="preserve"> -&gt; </v>
      </c>
    </row>
    <row r="211" spans="1:20">
      <c r="A211" s="31"/>
      <c r="B211" s="32"/>
      <c r="C211" s="31"/>
      <c r="D211" s="31"/>
      <c r="E211" s="31"/>
      <c r="F211" s="31"/>
      <c r="G211" s="31"/>
      <c r="H211" s="32"/>
      <c r="I211" s="32"/>
      <c r="J211" s="32"/>
      <c r="K211" s="31"/>
      <c r="L211" s="31"/>
      <c r="M211" s="3" t="str">
        <f t="shared" ca="1" si="22"/>
        <v/>
      </c>
      <c r="P211">
        <f>'Combined Delivery Data'!B241</f>
        <v>0</v>
      </c>
      <c r="Q211">
        <f t="shared" si="23"/>
        <v>0</v>
      </c>
      <c r="R211">
        <f t="shared" si="24"/>
        <v>451</v>
      </c>
      <c r="S211" s="28">
        <f t="shared" si="20"/>
        <v>0</v>
      </c>
      <c r="T211" t="str">
        <f t="shared" si="21"/>
        <v xml:space="preserve"> -&gt; </v>
      </c>
    </row>
    <row r="212" spans="1:20">
      <c r="A212" s="31"/>
      <c r="B212" s="32"/>
      <c r="C212" s="31"/>
      <c r="D212" s="31"/>
      <c r="E212" s="31"/>
      <c r="F212" s="31"/>
      <c r="G212" s="31"/>
      <c r="H212" s="32"/>
      <c r="I212" s="32"/>
      <c r="J212" s="32"/>
      <c r="K212" s="31"/>
      <c r="L212" s="31"/>
      <c r="M212" s="3" t="str">
        <f t="shared" ca="1" si="22"/>
        <v/>
      </c>
      <c r="P212">
        <f>'Combined Delivery Data'!B242</f>
        <v>0</v>
      </c>
      <c r="Q212">
        <f t="shared" si="23"/>
        <v>0</v>
      </c>
      <c r="R212">
        <f t="shared" si="24"/>
        <v>451</v>
      </c>
      <c r="S212" s="28">
        <f t="shared" si="20"/>
        <v>0</v>
      </c>
      <c r="T212" t="str">
        <f t="shared" si="21"/>
        <v xml:space="preserve"> -&gt; </v>
      </c>
    </row>
    <row r="213" spans="1:20">
      <c r="A213" s="31"/>
      <c r="B213" s="32"/>
      <c r="C213" s="31"/>
      <c r="D213" s="31"/>
      <c r="E213" s="31"/>
      <c r="F213" s="31"/>
      <c r="G213" s="31"/>
      <c r="H213" s="32"/>
      <c r="I213" s="32"/>
      <c r="J213" s="32"/>
      <c r="K213" s="31"/>
      <c r="L213" s="31"/>
      <c r="M213" s="3" t="str">
        <f t="shared" ca="1" si="22"/>
        <v/>
      </c>
      <c r="P213">
        <f>'Combined Delivery Data'!B243</f>
        <v>0</v>
      </c>
      <c r="Q213">
        <f t="shared" si="23"/>
        <v>0</v>
      </c>
      <c r="R213">
        <f t="shared" si="24"/>
        <v>451</v>
      </c>
      <c r="S213" s="28">
        <f t="shared" si="20"/>
        <v>0</v>
      </c>
      <c r="T213" t="str">
        <f t="shared" si="21"/>
        <v xml:space="preserve"> -&gt; </v>
      </c>
    </row>
    <row r="214" spans="1:20">
      <c r="A214" s="31"/>
      <c r="B214" s="32"/>
      <c r="C214" s="31"/>
      <c r="D214" s="31"/>
      <c r="E214" s="31"/>
      <c r="F214" s="31"/>
      <c r="G214" s="31"/>
      <c r="H214" s="32"/>
      <c r="I214" s="32"/>
      <c r="J214" s="32"/>
      <c r="K214" s="31"/>
      <c r="L214" s="31"/>
      <c r="M214" s="3" t="str">
        <f t="shared" ca="1" si="22"/>
        <v/>
      </c>
      <c r="P214">
        <f>'Combined Delivery Data'!B244</f>
        <v>0</v>
      </c>
      <c r="Q214">
        <f t="shared" si="23"/>
        <v>0</v>
      </c>
      <c r="R214">
        <f t="shared" si="24"/>
        <v>451</v>
      </c>
      <c r="S214" s="28">
        <f t="shared" si="20"/>
        <v>0</v>
      </c>
      <c r="T214" t="str">
        <f t="shared" si="21"/>
        <v xml:space="preserve"> -&gt; </v>
      </c>
    </row>
    <row r="215" spans="1:20">
      <c r="A215" s="31"/>
      <c r="B215" s="32"/>
      <c r="C215" s="31"/>
      <c r="D215" s="31"/>
      <c r="E215" s="31"/>
      <c r="F215" s="31"/>
      <c r="G215" s="31"/>
      <c r="H215" s="32"/>
      <c r="I215" s="32"/>
      <c r="J215" s="32"/>
      <c r="K215" s="31"/>
      <c r="L215" s="31"/>
      <c r="M215" s="3" t="str">
        <f t="shared" ca="1" si="22"/>
        <v/>
      </c>
      <c r="P215">
        <f>'Combined Delivery Data'!B245</f>
        <v>0</v>
      </c>
      <c r="Q215">
        <f t="shared" si="23"/>
        <v>0</v>
      </c>
      <c r="R215">
        <f t="shared" si="24"/>
        <v>451</v>
      </c>
      <c r="S215" s="28">
        <f t="shared" si="20"/>
        <v>0</v>
      </c>
      <c r="T215" t="str">
        <f t="shared" si="21"/>
        <v xml:space="preserve"> -&gt; </v>
      </c>
    </row>
    <row r="216" spans="1:20">
      <c r="A216" s="31"/>
      <c r="B216" s="32"/>
      <c r="C216" s="31"/>
      <c r="D216" s="31"/>
      <c r="E216" s="31"/>
      <c r="F216" s="31"/>
      <c r="G216" s="31"/>
      <c r="H216" s="32"/>
      <c r="I216" s="32"/>
      <c r="J216" s="32"/>
      <c r="K216" s="31"/>
      <c r="L216" s="31"/>
      <c r="M216" s="3" t="str">
        <f t="shared" ca="1" si="22"/>
        <v/>
      </c>
      <c r="P216">
        <f>'Combined Delivery Data'!B246</f>
        <v>0</v>
      </c>
      <c r="Q216">
        <f t="shared" si="23"/>
        <v>0</v>
      </c>
      <c r="R216">
        <f t="shared" si="24"/>
        <v>451</v>
      </c>
      <c r="S216" s="28">
        <f t="shared" si="20"/>
        <v>0</v>
      </c>
      <c r="T216" t="str">
        <f t="shared" si="21"/>
        <v xml:space="preserve"> -&gt; </v>
      </c>
    </row>
    <row r="217" spans="1:20">
      <c r="A217" s="31"/>
      <c r="B217" s="32"/>
      <c r="C217" s="31"/>
      <c r="D217" s="31"/>
      <c r="E217" s="31"/>
      <c r="F217" s="31"/>
      <c r="G217" s="31"/>
      <c r="H217" s="32"/>
      <c r="I217" s="32"/>
      <c r="J217" s="32"/>
      <c r="K217" s="31"/>
      <c r="L217" s="31"/>
      <c r="M217" s="3" t="str">
        <f t="shared" ca="1" si="22"/>
        <v/>
      </c>
      <c r="P217">
        <f>'Combined Delivery Data'!B247</f>
        <v>0</v>
      </c>
      <c r="Q217">
        <f t="shared" si="23"/>
        <v>0</v>
      </c>
      <c r="R217">
        <f t="shared" si="24"/>
        <v>451</v>
      </c>
      <c r="S217" s="28">
        <f t="shared" si="20"/>
        <v>0</v>
      </c>
      <c r="T217" t="str">
        <f t="shared" si="21"/>
        <v xml:space="preserve"> -&gt; </v>
      </c>
    </row>
    <row r="218" spans="1:20">
      <c r="A218" s="31"/>
      <c r="B218" s="32"/>
      <c r="C218" s="31"/>
      <c r="D218" s="31"/>
      <c r="E218" s="31"/>
      <c r="F218" s="31"/>
      <c r="G218" s="31"/>
      <c r="H218" s="32"/>
      <c r="I218" s="32"/>
      <c r="J218" s="32"/>
      <c r="K218" s="31"/>
      <c r="L218" s="31"/>
      <c r="M218" s="3" t="str">
        <f t="shared" ca="1" si="22"/>
        <v/>
      </c>
      <c r="P218">
        <f>'Combined Delivery Data'!B248</f>
        <v>0</v>
      </c>
      <c r="Q218">
        <f t="shared" si="23"/>
        <v>0</v>
      </c>
      <c r="R218">
        <f t="shared" si="24"/>
        <v>451</v>
      </c>
      <c r="S218" s="28">
        <f t="shared" si="20"/>
        <v>0</v>
      </c>
      <c r="T218" t="str">
        <f t="shared" si="21"/>
        <v xml:space="preserve"> -&gt; </v>
      </c>
    </row>
    <row r="219" spans="1:20">
      <c r="A219" s="31"/>
      <c r="B219" s="32"/>
      <c r="C219" s="31"/>
      <c r="D219" s="31"/>
      <c r="E219" s="31"/>
      <c r="F219" s="31"/>
      <c r="G219" s="31"/>
      <c r="H219" s="32"/>
      <c r="I219" s="32"/>
      <c r="J219" s="32"/>
      <c r="K219" s="31"/>
      <c r="L219" s="31"/>
      <c r="M219" s="3" t="str">
        <f t="shared" ca="1" si="22"/>
        <v/>
      </c>
      <c r="P219">
        <f>'Combined Delivery Data'!B249</f>
        <v>0</v>
      </c>
      <c r="Q219">
        <f t="shared" si="23"/>
        <v>0</v>
      </c>
      <c r="R219">
        <f t="shared" si="24"/>
        <v>451</v>
      </c>
      <c r="S219" s="28">
        <f t="shared" si="20"/>
        <v>0</v>
      </c>
      <c r="T219" t="str">
        <f t="shared" si="21"/>
        <v xml:space="preserve"> -&gt; </v>
      </c>
    </row>
    <row r="220" spans="1:20">
      <c r="A220" s="31"/>
      <c r="B220" s="32"/>
      <c r="C220" s="31"/>
      <c r="D220" s="31"/>
      <c r="E220" s="31"/>
      <c r="F220" s="31"/>
      <c r="G220" s="31"/>
      <c r="H220" s="32"/>
      <c r="I220" s="32"/>
      <c r="J220" s="32"/>
      <c r="K220" s="31"/>
      <c r="L220" s="31"/>
      <c r="M220" s="3" t="str">
        <f t="shared" ca="1" si="22"/>
        <v/>
      </c>
      <c r="P220">
        <f>'Combined Delivery Data'!B250</f>
        <v>0</v>
      </c>
      <c r="Q220">
        <f t="shared" si="23"/>
        <v>0</v>
      </c>
      <c r="R220">
        <f t="shared" si="24"/>
        <v>451</v>
      </c>
      <c r="S220" s="28">
        <f t="shared" si="20"/>
        <v>0</v>
      </c>
      <c r="T220" t="str">
        <f t="shared" si="21"/>
        <v xml:space="preserve"> -&gt; </v>
      </c>
    </row>
    <row r="221" spans="1:20">
      <c r="A221" s="31"/>
      <c r="B221" s="32"/>
      <c r="C221" s="31"/>
      <c r="D221" s="31"/>
      <c r="E221" s="31"/>
      <c r="F221" s="31"/>
      <c r="G221" s="31"/>
      <c r="H221" s="32"/>
      <c r="I221" s="32"/>
      <c r="J221" s="32"/>
      <c r="K221" s="31"/>
      <c r="L221" s="31"/>
      <c r="M221" s="3" t="str">
        <f t="shared" ca="1" si="22"/>
        <v/>
      </c>
      <c r="P221">
        <f>'Combined Delivery Data'!B251</f>
        <v>0</v>
      </c>
      <c r="Q221">
        <f t="shared" si="23"/>
        <v>0</v>
      </c>
      <c r="R221">
        <f t="shared" si="24"/>
        <v>451</v>
      </c>
      <c r="S221" s="28">
        <f t="shared" si="20"/>
        <v>0</v>
      </c>
      <c r="T221" t="str">
        <f t="shared" si="21"/>
        <v xml:space="preserve"> -&gt; </v>
      </c>
    </row>
    <row r="222" spans="1:20">
      <c r="A222" s="31"/>
      <c r="B222" s="32"/>
      <c r="C222" s="31"/>
      <c r="D222" s="31"/>
      <c r="E222" s="31"/>
      <c r="F222" s="31"/>
      <c r="G222" s="31"/>
      <c r="H222" s="32"/>
      <c r="I222" s="32"/>
      <c r="J222" s="32"/>
      <c r="K222" s="31"/>
      <c r="L222" s="31"/>
      <c r="M222" s="3" t="str">
        <f t="shared" ca="1" si="22"/>
        <v/>
      </c>
      <c r="P222">
        <f>'Combined Delivery Data'!B252</f>
        <v>0</v>
      </c>
      <c r="Q222">
        <f t="shared" si="23"/>
        <v>0</v>
      </c>
      <c r="R222">
        <f t="shared" si="24"/>
        <v>451</v>
      </c>
      <c r="S222" s="28">
        <f t="shared" si="20"/>
        <v>0</v>
      </c>
      <c r="T222" t="str">
        <f t="shared" si="21"/>
        <v xml:space="preserve"> -&gt; </v>
      </c>
    </row>
    <row r="223" spans="1:20">
      <c r="A223" s="31"/>
      <c r="B223" s="32"/>
      <c r="C223" s="31"/>
      <c r="D223" s="31"/>
      <c r="E223" s="31"/>
      <c r="F223" s="31"/>
      <c r="G223" s="31"/>
      <c r="H223" s="32"/>
      <c r="I223" s="32"/>
      <c r="J223" s="32"/>
      <c r="K223" s="31"/>
      <c r="L223" s="31"/>
      <c r="M223" s="3" t="str">
        <f t="shared" ca="1" si="22"/>
        <v/>
      </c>
      <c r="P223">
        <f>'Combined Delivery Data'!B253</f>
        <v>0</v>
      </c>
      <c r="Q223">
        <f t="shared" si="23"/>
        <v>0</v>
      </c>
      <c r="R223">
        <f t="shared" si="24"/>
        <v>451</v>
      </c>
      <c r="S223" s="28">
        <f t="shared" si="20"/>
        <v>0</v>
      </c>
      <c r="T223" t="str">
        <f t="shared" si="21"/>
        <v xml:space="preserve"> -&gt; </v>
      </c>
    </row>
    <row r="224" spans="1:20">
      <c r="A224" s="31"/>
      <c r="B224" s="32"/>
      <c r="C224" s="31"/>
      <c r="D224" s="31"/>
      <c r="E224" s="31"/>
      <c r="F224" s="31"/>
      <c r="G224" s="31"/>
      <c r="H224" s="32"/>
      <c r="I224" s="32"/>
      <c r="J224" s="32"/>
      <c r="K224" s="31"/>
      <c r="L224" s="31"/>
      <c r="M224" s="3" t="str">
        <f t="shared" ca="1" si="22"/>
        <v/>
      </c>
      <c r="P224">
        <f>'Combined Delivery Data'!B254</f>
        <v>0</v>
      </c>
      <c r="Q224">
        <f t="shared" si="23"/>
        <v>0</v>
      </c>
      <c r="R224">
        <f t="shared" si="24"/>
        <v>451</v>
      </c>
      <c r="S224" s="28">
        <f t="shared" si="20"/>
        <v>0</v>
      </c>
      <c r="T224" t="str">
        <f t="shared" si="21"/>
        <v xml:space="preserve"> -&gt; </v>
      </c>
    </row>
    <row r="225" spans="1:20">
      <c r="A225" s="31"/>
      <c r="B225" s="32"/>
      <c r="C225" s="31"/>
      <c r="D225" s="31"/>
      <c r="E225" s="31"/>
      <c r="F225" s="31"/>
      <c r="G225" s="31"/>
      <c r="H225" s="32"/>
      <c r="I225" s="32"/>
      <c r="J225" s="32"/>
      <c r="K225" s="31"/>
      <c r="L225" s="31"/>
      <c r="M225" s="3" t="str">
        <f t="shared" ca="1" si="22"/>
        <v/>
      </c>
      <c r="P225">
        <f>'Combined Delivery Data'!B255</f>
        <v>0</v>
      </c>
      <c r="Q225">
        <f t="shared" si="23"/>
        <v>0</v>
      </c>
      <c r="R225">
        <f t="shared" si="24"/>
        <v>451</v>
      </c>
      <c r="S225" s="28">
        <f t="shared" si="20"/>
        <v>0</v>
      </c>
      <c r="T225" t="str">
        <f t="shared" si="21"/>
        <v xml:space="preserve"> -&gt; </v>
      </c>
    </row>
    <row r="226" spans="1:20">
      <c r="A226" s="31"/>
      <c r="B226" s="32"/>
      <c r="C226" s="31"/>
      <c r="D226" s="31"/>
      <c r="E226" s="31"/>
      <c r="F226" s="31"/>
      <c r="G226" s="31"/>
      <c r="H226" s="32"/>
      <c r="I226" s="32"/>
      <c r="J226" s="32"/>
      <c r="K226" s="31"/>
      <c r="L226" s="31"/>
      <c r="M226" s="3" t="str">
        <f t="shared" ca="1" si="22"/>
        <v/>
      </c>
      <c r="P226">
        <f>'Combined Delivery Data'!B256</f>
        <v>0</v>
      </c>
      <c r="Q226">
        <f t="shared" si="23"/>
        <v>0</v>
      </c>
      <c r="R226">
        <f t="shared" si="24"/>
        <v>451</v>
      </c>
      <c r="S226" s="28">
        <f t="shared" si="20"/>
        <v>0</v>
      </c>
      <c r="T226" t="str">
        <f t="shared" si="21"/>
        <v xml:space="preserve"> -&gt; </v>
      </c>
    </row>
    <row r="227" spans="1:20">
      <c r="A227" s="31"/>
      <c r="B227" s="32"/>
      <c r="C227" s="31"/>
      <c r="D227" s="31"/>
      <c r="E227" s="31"/>
      <c r="F227" s="31"/>
      <c r="G227" s="31"/>
      <c r="H227" s="32"/>
      <c r="I227" s="32"/>
      <c r="J227" s="32"/>
      <c r="K227" s="31"/>
      <c r="L227" s="31"/>
      <c r="M227" s="3" t="str">
        <f t="shared" ca="1" si="22"/>
        <v/>
      </c>
      <c r="P227">
        <f>'Combined Delivery Data'!B257</f>
        <v>0</v>
      </c>
      <c r="Q227">
        <f t="shared" si="23"/>
        <v>0</v>
      </c>
      <c r="R227">
        <f t="shared" si="24"/>
        <v>451</v>
      </c>
      <c r="S227" s="28">
        <f t="shared" si="20"/>
        <v>0</v>
      </c>
      <c r="T227" t="str">
        <f t="shared" si="21"/>
        <v xml:space="preserve"> -&gt; </v>
      </c>
    </row>
    <row r="228" spans="1:20">
      <c r="A228" s="31"/>
      <c r="B228" s="32"/>
      <c r="C228" s="31"/>
      <c r="D228" s="31"/>
      <c r="E228" s="31"/>
      <c r="F228" s="31"/>
      <c r="G228" s="31"/>
      <c r="H228" s="32"/>
      <c r="I228" s="32"/>
      <c r="J228" s="32"/>
      <c r="K228" s="31"/>
      <c r="L228" s="31"/>
      <c r="M228" s="3" t="str">
        <f t="shared" ca="1" si="22"/>
        <v/>
      </c>
      <c r="P228">
        <f>'Combined Delivery Data'!B258</f>
        <v>0</v>
      </c>
      <c r="Q228">
        <f t="shared" si="23"/>
        <v>0</v>
      </c>
      <c r="R228">
        <f t="shared" si="24"/>
        <v>451</v>
      </c>
      <c r="S228" s="28">
        <f t="shared" si="20"/>
        <v>0</v>
      </c>
      <c r="T228" t="str">
        <f t="shared" si="21"/>
        <v xml:space="preserve"> -&gt; </v>
      </c>
    </row>
    <row r="229" spans="1:20">
      <c r="A229" s="31"/>
      <c r="B229" s="32"/>
      <c r="C229" s="31"/>
      <c r="D229" s="31"/>
      <c r="E229" s="31"/>
      <c r="F229" s="31"/>
      <c r="G229" s="31"/>
      <c r="H229" s="32"/>
      <c r="I229" s="32"/>
      <c r="J229" s="32"/>
      <c r="K229" s="31"/>
      <c r="L229" s="31"/>
      <c r="M229" s="3" t="str">
        <f t="shared" ca="1" si="22"/>
        <v/>
      </c>
      <c r="P229">
        <f>'Combined Delivery Data'!B259</f>
        <v>0</v>
      </c>
      <c r="Q229">
        <f t="shared" si="23"/>
        <v>0</v>
      </c>
      <c r="R229">
        <f t="shared" si="24"/>
        <v>451</v>
      </c>
      <c r="S229" s="28">
        <f t="shared" si="20"/>
        <v>0</v>
      </c>
      <c r="T229" t="str">
        <f t="shared" si="21"/>
        <v xml:space="preserve"> -&gt; </v>
      </c>
    </row>
    <row r="230" spans="1:20">
      <c r="A230" s="31"/>
      <c r="B230" s="32"/>
      <c r="C230" s="31"/>
      <c r="D230" s="31"/>
      <c r="E230" s="31"/>
      <c r="F230" s="31"/>
      <c r="G230" s="31"/>
      <c r="H230" s="32"/>
      <c r="I230" s="32"/>
      <c r="J230" s="32"/>
      <c r="K230" s="31"/>
      <c r="L230" s="31"/>
      <c r="M230" s="3" t="str">
        <f t="shared" ca="1" si="22"/>
        <v/>
      </c>
      <c r="P230">
        <f>'Combined Delivery Data'!B260</f>
        <v>0</v>
      </c>
      <c r="Q230">
        <f t="shared" si="23"/>
        <v>0</v>
      </c>
      <c r="R230">
        <f t="shared" si="24"/>
        <v>451</v>
      </c>
      <c r="S230" s="28">
        <f t="shared" si="20"/>
        <v>0</v>
      </c>
      <c r="T230" t="str">
        <f t="shared" si="21"/>
        <v xml:space="preserve"> -&gt; </v>
      </c>
    </row>
    <row r="231" spans="1:20">
      <c r="A231" s="31"/>
      <c r="B231" s="32"/>
      <c r="C231" s="31"/>
      <c r="D231" s="31"/>
      <c r="E231" s="31"/>
      <c r="F231" s="31"/>
      <c r="G231" s="31"/>
      <c r="H231" s="32"/>
      <c r="I231" s="32"/>
      <c r="J231" s="32"/>
      <c r="K231" s="31"/>
      <c r="L231" s="31"/>
      <c r="M231" s="3" t="str">
        <f t="shared" ca="1" si="22"/>
        <v/>
      </c>
      <c r="P231">
        <f>'Combined Delivery Data'!B261</f>
        <v>0</v>
      </c>
      <c r="Q231">
        <f t="shared" si="23"/>
        <v>0</v>
      </c>
      <c r="R231">
        <f t="shared" si="24"/>
        <v>451</v>
      </c>
      <c r="S231" s="28">
        <f t="shared" si="20"/>
        <v>0</v>
      </c>
      <c r="T231" t="str">
        <f t="shared" si="21"/>
        <v xml:space="preserve"> -&gt; </v>
      </c>
    </row>
    <row r="232" spans="1:20">
      <c r="A232" s="31"/>
      <c r="B232" s="32"/>
      <c r="C232" s="31"/>
      <c r="D232" s="31"/>
      <c r="E232" s="31"/>
      <c r="F232" s="31"/>
      <c r="G232" s="31"/>
      <c r="H232" s="32"/>
      <c r="I232" s="32"/>
      <c r="J232" s="32"/>
      <c r="K232" s="31"/>
      <c r="L232" s="31"/>
      <c r="M232" s="3" t="str">
        <f t="shared" ca="1" si="22"/>
        <v/>
      </c>
      <c r="P232">
        <f>'Combined Delivery Data'!B262</f>
        <v>0</v>
      </c>
      <c r="Q232">
        <f t="shared" si="23"/>
        <v>0</v>
      </c>
      <c r="R232">
        <f t="shared" si="24"/>
        <v>451</v>
      </c>
      <c r="S232" s="28">
        <f t="shared" si="20"/>
        <v>0</v>
      </c>
      <c r="T232" t="str">
        <f t="shared" si="21"/>
        <v xml:space="preserve"> -&gt; </v>
      </c>
    </row>
    <row r="233" spans="1:20">
      <c r="A233" s="31"/>
      <c r="B233" s="32"/>
      <c r="C233" s="31"/>
      <c r="D233" s="31"/>
      <c r="E233" s="31"/>
      <c r="F233" s="31"/>
      <c r="G233" s="31"/>
      <c r="H233" s="32"/>
      <c r="I233" s="32"/>
      <c r="J233" s="32"/>
      <c r="K233" s="31"/>
      <c r="L233" s="31"/>
      <c r="M233" s="3" t="str">
        <f t="shared" ca="1" si="22"/>
        <v/>
      </c>
      <c r="P233">
        <f>'Combined Delivery Data'!B263</f>
        <v>0</v>
      </c>
      <c r="Q233">
        <f t="shared" si="23"/>
        <v>0</v>
      </c>
      <c r="R233">
        <f t="shared" si="24"/>
        <v>451</v>
      </c>
      <c r="S233" s="28">
        <f t="shared" si="20"/>
        <v>0</v>
      </c>
      <c r="T233" t="str">
        <f t="shared" si="21"/>
        <v xml:space="preserve"> -&gt; </v>
      </c>
    </row>
    <row r="234" spans="1:20">
      <c r="A234" s="31"/>
      <c r="B234" s="32"/>
      <c r="C234" s="31"/>
      <c r="D234" s="31"/>
      <c r="E234" s="31"/>
      <c r="F234" s="31"/>
      <c r="G234" s="31"/>
      <c r="H234" s="32"/>
      <c r="I234" s="32"/>
      <c r="J234" s="32"/>
      <c r="K234" s="31"/>
      <c r="L234" s="31"/>
      <c r="M234" s="3" t="str">
        <f t="shared" ca="1" si="22"/>
        <v/>
      </c>
      <c r="P234">
        <f>'Combined Delivery Data'!B264</f>
        <v>0</v>
      </c>
      <c r="Q234">
        <f t="shared" si="23"/>
        <v>0</v>
      </c>
      <c r="R234">
        <f t="shared" si="24"/>
        <v>451</v>
      </c>
      <c r="S234" s="28">
        <f t="shared" si="20"/>
        <v>0</v>
      </c>
      <c r="T234" t="str">
        <f t="shared" si="21"/>
        <v xml:space="preserve"> -&gt; </v>
      </c>
    </row>
    <row r="235" spans="1:20">
      <c r="A235" s="31"/>
      <c r="B235" s="32"/>
      <c r="C235" s="31"/>
      <c r="D235" s="31"/>
      <c r="E235" s="31"/>
      <c r="F235" s="31"/>
      <c r="G235" s="31"/>
      <c r="H235" s="32"/>
      <c r="I235" s="32"/>
      <c r="J235" s="32"/>
      <c r="K235" s="31"/>
      <c r="L235" s="31"/>
      <c r="M235" s="3" t="str">
        <f t="shared" ca="1" si="22"/>
        <v/>
      </c>
      <c r="P235">
        <f>'Combined Delivery Data'!B265</f>
        <v>0</v>
      </c>
      <c r="Q235">
        <f t="shared" si="23"/>
        <v>0</v>
      </c>
      <c r="R235">
        <f t="shared" si="24"/>
        <v>451</v>
      </c>
      <c r="S235" s="28">
        <f t="shared" si="20"/>
        <v>0</v>
      </c>
      <c r="T235" t="str">
        <f t="shared" si="21"/>
        <v xml:space="preserve"> -&gt; </v>
      </c>
    </row>
    <row r="236" spans="1:20">
      <c r="A236" s="31"/>
      <c r="B236" s="32"/>
      <c r="C236" s="31"/>
      <c r="D236" s="31"/>
      <c r="E236" s="31"/>
      <c r="F236" s="31"/>
      <c r="G236" s="31"/>
      <c r="H236" s="32"/>
      <c r="I236" s="32"/>
      <c r="J236" s="32"/>
      <c r="K236" s="31"/>
      <c r="L236" s="31"/>
      <c r="M236" s="3" t="str">
        <f t="shared" ca="1" si="22"/>
        <v/>
      </c>
      <c r="P236">
        <f>'Combined Delivery Data'!B266</f>
        <v>0</v>
      </c>
      <c r="Q236">
        <f t="shared" si="23"/>
        <v>0</v>
      </c>
      <c r="R236">
        <f t="shared" si="24"/>
        <v>451</v>
      </c>
      <c r="S236" s="28">
        <f t="shared" si="20"/>
        <v>0</v>
      </c>
      <c r="T236" t="str">
        <f t="shared" si="21"/>
        <v xml:space="preserve"> -&gt; </v>
      </c>
    </row>
    <row r="237" spans="1:20">
      <c r="A237" s="31"/>
      <c r="B237" s="32"/>
      <c r="C237" s="31"/>
      <c r="D237" s="31"/>
      <c r="E237" s="31"/>
      <c r="F237" s="31"/>
      <c r="G237" s="31"/>
      <c r="H237" s="32"/>
      <c r="I237" s="32"/>
      <c r="J237" s="32"/>
      <c r="K237" s="31"/>
      <c r="L237" s="31"/>
      <c r="M237" s="3" t="str">
        <f t="shared" ca="1" si="22"/>
        <v/>
      </c>
      <c r="P237">
        <f>'Combined Delivery Data'!B267</f>
        <v>0</v>
      </c>
      <c r="Q237">
        <f t="shared" si="23"/>
        <v>0</v>
      </c>
      <c r="R237">
        <f t="shared" si="24"/>
        <v>451</v>
      </c>
      <c r="S237" s="28">
        <f t="shared" si="20"/>
        <v>0</v>
      </c>
      <c r="T237" t="str">
        <f t="shared" si="21"/>
        <v xml:space="preserve"> -&gt; </v>
      </c>
    </row>
    <row r="238" spans="1:20">
      <c r="A238" s="31"/>
      <c r="B238" s="32"/>
      <c r="C238" s="31"/>
      <c r="D238" s="31"/>
      <c r="E238" s="31"/>
      <c r="F238" s="31"/>
      <c r="G238" s="31"/>
      <c r="H238" s="32"/>
      <c r="I238" s="32"/>
      <c r="J238" s="32"/>
      <c r="K238" s="31"/>
      <c r="L238" s="31"/>
      <c r="M238" s="3" t="str">
        <f t="shared" ca="1" si="22"/>
        <v/>
      </c>
      <c r="P238">
        <f>'Combined Delivery Data'!B268</f>
        <v>0</v>
      </c>
      <c r="Q238">
        <f t="shared" si="23"/>
        <v>0</v>
      </c>
      <c r="R238">
        <f t="shared" si="24"/>
        <v>451</v>
      </c>
      <c r="S238" s="28">
        <f t="shared" ref="S238:S301" si="25">IF($P238="","",IF(SUMPRODUCT(MAX(($A$2:$A$497=$P238)*ROW($A$2:$A$497)))=0,"",INDEX($B:$B,SUMPRODUCT(MAX(($A$2:$A$497=$P238)*ROW($A$2:$A$497))))))</f>
        <v>0</v>
      </c>
      <c r="T238" t="str">
        <f t="shared" ref="T238:T301" si="26">IF($P238="","",IF(SUMPRODUCT(MAX(($A$2:$A$497=$P238)*ROW($A$2:$A$497)))=0,"",INDEX($C:$C,SUMPRODUCT(MAX(($A$2:$A$497=$P238)*ROW($A$2:$A$497))))&amp;" -&gt; "&amp;INDEX($D:$D,SUMPRODUCT(MAX(($A$2:$A$497=$P238)*ROW($A$2:$A$497))))))</f>
        <v xml:space="preserve"> -&gt; </v>
      </c>
    </row>
    <row r="239" spans="1:20">
      <c r="A239" s="31"/>
      <c r="B239" s="32"/>
      <c r="C239" s="31"/>
      <c r="D239" s="31"/>
      <c r="E239" s="31"/>
      <c r="F239" s="31"/>
      <c r="G239" s="31"/>
      <c r="H239" s="32"/>
      <c r="I239" s="32"/>
      <c r="J239" s="32"/>
      <c r="K239" s="31"/>
      <c r="L239" s="31"/>
      <c r="M239" s="3" t="str">
        <f t="shared" ca="1" si="22"/>
        <v/>
      </c>
      <c r="P239">
        <f>'Combined Delivery Data'!B269</f>
        <v>0</v>
      </c>
      <c r="Q239">
        <f t="shared" si="23"/>
        <v>0</v>
      </c>
      <c r="R239">
        <f t="shared" si="24"/>
        <v>451</v>
      </c>
      <c r="S239" s="28">
        <f t="shared" si="25"/>
        <v>0</v>
      </c>
      <c r="T239" t="str">
        <f t="shared" si="26"/>
        <v xml:space="preserve"> -&gt; </v>
      </c>
    </row>
    <row r="240" spans="1:20">
      <c r="A240" s="31"/>
      <c r="B240" s="32"/>
      <c r="C240" s="31"/>
      <c r="D240" s="31"/>
      <c r="E240" s="31"/>
      <c r="F240" s="31"/>
      <c r="G240" s="31"/>
      <c r="H240" s="32"/>
      <c r="I240" s="32"/>
      <c r="J240" s="32"/>
      <c r="K240" s="31"/>
      <c r="L240" s="31"/>
      <c r="M240" s="3" t="str">
        <f t="shared" ca="1" si="22"/>
        <v/>
      </c>
      <c r="P240">
        <f>'Combined Delivery Data'!B270</f>
        <v>0</v>
      </c>
      <c r="Q240">
        <f t="shared" si="23"/>
        <v>0</v>
      </c>
      <c r="R240">
        <f t="shared" si="24"/>
        <v>451</v>
      </c>
      <c r="S240" s="28">
        <f t="shared" si="25"/>
        <v>0</v>
      </c>
      <c r="T240" t="str">
        <f t="shared" si="26"/>
        <v xml:space="preserve"> -&gt; </v>
      </c>
    </row>
    <row r="241" spans="1:20">
      <c r="A241" s="31"/>
      <c r="B241" s="32"/>
      <c r="C241" s="31"/>
      <c r="D241" s="31"/>
      <c r="E241" s="31"/>
      <c r="F241" s="31"/>
      <c r="G241" s="31"/>
      <c r="H241" s="32"/>
      <c r="I241" s="32"/>
      <c r="J241" s="32"/>
      <c r="K241" s="31"/>
      <c r="L241" s="31"/>
      <c r="M241" s="3" t="str">
        <f t="shared" ca="1" si="22"/>
        <v/>
      </c>
      <c r="P241">
        <f>'Combined Delivery Data'!B271</f>
        <v>0</v>
      </c>
      <c r="Q241">
        <f t="shared" si="23"/>
        <v>0</v>
      </c>
      <c r="R241">
        <f t="shared" si="24"/>
        <v>451</v>
      </c>
      <c r="S241" s="28">
        <f t="shared" si="25"/>
        <v>0</v>
      </c>
      <c r="T241" t="str">
        <f t="shared" si="26"/>
        <v xml:space="preserve"> -&gt; </v>
      </c>
    </row>
    <row r="242" spans="1:20">
      <c r="A242" s="31"/>
      <c r="B242" s="32"/>
      <c r="C242" s="31"/>
      <c r="D242" s="31"/>
      <c r="E242" s="31"/>
      <c r="F242" s="31"/>
      <c r="G242" s="31"/>
      <c r="H242" s="32"/>
      <c r="I242" s="32"/>
      <c r="J242" s="32"/>
      <c r="K242" s="31"/>
      <c r="L242" s="31"/>
      <c r="M242" s="3" t="str">
        <f t="shared" ca="1" si="22"/>
        <v/>
      </c>
      <c r="P242">
        <f>'Combined Delivery Data'!B272</f>
        <v>0</v>
      </c>
      <c r="Q242">
        <f t="shared" si="23"/>
        <v>0</v>
      </c>
      <c r="R242">
        <f t="shared" si="24"/>
        <v>451</v>
      </c>
      <c r="S242" s="28">
        <f t="shared" si="25"/>
        <v>0</v>
      </c>
      <c r="T242" t="str">
        <f t="shared" si="26"/>
        <v xml:space="preserve"> -&gt; </v>
      </c>
    </row>
    <row r="243" spans="1:20">
      <c r="A243" s="31"/>
      <c r="B243" s="32"/>
      <c r="C243" s="31"/>
      <c r="D243" s="31"/>
      <c r="E243" s="31"/>
      <c r="F243" s="31"/>
      <c r="G243" s="31"/>
      <c r="H243" s="32"/>
      <c r="I243" s="32"/>
      <c r="J243" s="32"/>
      <c r="K243" s="31"/>
      <c r="L243" s="31"/>
      <c r="M243" s="3" t="str">
        <f t="shared" ca="1" si="22"/>
        <v/>
      </c>
      <c r="P243">
        <f>'Combined Delivery Data'!B273</f>
        <v>0</v>
      </c>
      <c r="Q243">
        <f t="shared" si="23"/>
        <v>0</v>
      </c>
      <c r="R243">
        <f t="shared" si="24"/>
        <v>451</v>
      </c>
      <c r="S243" s="28">
        <f t="shared" si="25"/>
        <v>0</v>
      </c>
      <c r="T243" t="str">
        <f t="shared" si="26"/>
        <v xml:space="preserve"> -&gt; </v>
      </c>
    </row>
    <row r="244" spans="1:20">
      <c r="A244" s="31"/>
      <c r="B244" s="32"/>
      <c r="C244" s="31"/>
      <c r="D244" s="31"/>
      <c r="E244" s="31"/>
      <c r="F244" s="31"/>
      <c r="G244" s="31"/>
      <c r="H244" s="32"/>
      <c r="I244" s="32"/>
      <c r="J244" s="32"/>
      <c r="K244" s="31"/>
      <c r="L244" s="31"/>
      <c r="M244" s="3" t="str">
        <f t="shared" ca="1" si="22"/>
        <v/>
      </c>
      <c r="P244">
        <f>'Combined Delivery Data'!B274</f>
        <v>0</v>
      </c>
      <c r="Q244">
        <f t="shared" si="23"/>
        <v>0</v>
      </c>
      <c r="R244">
        <f t="shared" si="24"/>
        <v>451</v>
      </c>
      <c r="S244" s="28">
        <f t="shared" si="25"/>
        <v>0</v>
      </c>
      <c r="T244" t="str">
        <f t="shared" si="26"/>
        <v xml:space="preserve"> -&gt; </v>
      </c>
    </row>
    <row r="245" spans="1:20">
      <c r="A245" s="31"/>
      <c r="B245" s="32"/>
      <c r="C245" s="31"/>
      <c r="D245" s="31"/>
      <c r="E245" s="31"/>
      <c r="F245" s="31"/>
      <c r="G245" s="31"/>
      <c r="H245" s="32"/>
      <c r="I245" s="32"/>
      <c r="J245" s="32"/>
      <c r="K245" s="31"/>
      <c r="L245" s="31"/>
      <c r="M245" s="3" t="str">
        <f t="shared" ca="1" si="22"/>
        <v/>
      </c>
      <c r="P245">
        <f>'Combined Delivery Data'!B275</f>
        <v>0</v>
      </c>
      <c r="Q245">
        <f t="shared" si="23"/>
        <v>0</v>
      </c>
      <c r="R245">
        <f t="shared" si="24"/>
        <v>451</v>
      </c>
      <c r="S245" s="28">
        <f t="shared" si="25"/>
        <v>0</v>
      </c>
      <c r="T245" t="str">
        <f t="shared" si="26"/>
        <v xml:space="preserve"> -&gt; </v>
      </c>
    </row>
    <row r="246" spans="1:20">
      <c r="A246" s="31"/>
      <c r="B246" s="32"/>
      <c r="C246" s="31"/>
      <c r="D246" s="31"/>
      <c r="E246" s="31"/>
      <c r="F246" s="31"/>
      <c r="G246" s="31"/>
      <c r="H246" s="32"/>
      <c r="I246" s="32"/>
      <c r="J246" s="32"/>
      <c r="K246" s="31"/>
      <c r="L246" s="31"/>
      <c r="M246" s="3" t="str">
        <f t="shared" ca="1" si="22"/>
        <v/>
      </c>
      <c r="P246">
        <f>'Combined Delivery Data'!B276</f>
        <v>0</v>
      </c>
      <c r="Q246">
        <f t="shared" si="23"/>
        <v>0</v>
      </c>
      <c r="R246">
        <f t="shared" si="24"/>
        <v>451</v>
      </c>
      <c r="S246" s="28">
        <f t="shared" si="25"/>
        <v>0</v>
      </c>
      <c r="T246" t="str">
        <f t="shared" si="26"/>
        <v xml:space="preserve"> -&gt; </v>
      </c>
    </row>
    <row r="247" spans="1:20">
      <c r="A247" s="31"/>
      <c r="B247" s="32"/>
      <c r="C247" s="31"/>
      <c r="D247" s="31"/>
      <c r="E247" s="31"/>
      <c r="F247" s="31"/>
      <c r="G247" s="31"/>
      <c r="H247" s="32"/>
      <c r="I247" s="32"/>
      <c r="J247" s="32"/>
      <c r="K247" s="31"/>
      <c r="L247" s="31"/>
      <c r="M247" s="3" t="str">
        <f t="shared" ca="1" si="22"/>
        <v/>
      </c>
      <c r="P247">
        <f>'Combined Delivery Data'!B277</f>
        <v>0</v>
      </c>
      <c r="Q247">
        <f t="shared" si="23"/>
        <v>0</v>
      </c>
      <c r="R247">
        <f t="shared" si="24"/>
        <v>451</v>
      </c>
      <c r="S247" s="28">
        <f t="shared" si="25"/>
        <v>0</v>
      </c>
      <c r="T247" t="str">
        <f t="shared" si="26"/>
        <v xml:space="preserve"> -&gt; </v>
      </c>
    </row>
    <row r="248" spans="1:20">
      <c r="A248" s="31"/>
      <c r="B248" s="32"/>
      <c r="C248" s="31"/>
      <c r="D248" s="31"/>
      <c r="E248" s="31"/>
      <c r="F248" s="31"/>
      <c r="G248" s="31"/>
      <c r="H248" s="32"/>
      <c r="I248" s="32"/>
      <c r="J248" s="32"/>
      <c r="K248" s="31"/>
      <c r="L248" s="31"/>
      <c r="M248" s="3" t="str">
        <f t="shared" ca="1" si="22"/>
        <v/>
      </c>
      <c r="P248">
        <f>'Combined Delivery Data'!B278</f>
        <v>0</v>
      </c>
      <c r="Q248">
        <f t="shared" si="23"/>
        <v>0</v>
      </c>
      <c r="R248">
        <f t="shared" si="24"/>
        <v>451</v>
      </c>
      <c r="S248" s="28">
        <f t="shared" si="25"/>
        <v>0</v>
      </c>
      <c r="T248" t="str">
        <f t="shared" si="26"/>
        <v xml:space="preserve"> -&gt; </v>
      </c>
    </row>
    <row r="249" spans="1:20">
      <c r="A249" s="31"/>
      <c r="B249" s="32"/>
      <c r="C249" s="31"/>
      <c r="D249" s="31"/>
      <c r="E249" s="31"/>
      <c r="F249" s="31"/>
      <c r="G249" s="31"/>
      <c r="H249" s="32"/>
      <c r="I249" s="32"/>
      <c r="J249" s="32"/>
      <c r="K249" s="31"/>
      <c r="L249" s="31"/>
      <c r="M249" s="3" t="str">
        <f t="shared" ca="1" si="22"/>
        <v/>
      </c>
      <c r="P249">
        <f>'Combined Delivery Data'!B279</f>
        <v>0</v>
      </c>
      <c r="Q249">
        <f t="shared" si="23"/>
        <v>0</v>
      </c>
      <c r="R249">
        <f t="shared" si="24"/>
        <v>451</v>
      </c>
      <c r="S249" s="28">
        <f t="shared" si="25"/>
        <v>0</v>
      </c>
      <c r="T249" t="str">
        <f t="shared" si="26"/>
        <v xml:space="preserve"> -&gt; </v>
      </c>
    </row>
    <row r="250" spans="1:20">
      <c r="A250" s="31"/>
      <c r="B250" s="32"/>
      <c r="C250" s="31"/>
      <c r="D250" s="31"/>
      <c r="E250" s="31"/>
      <c r="F250" s="31"/>
      <c r="G250" s="31"/>
      <c r="H250" s="32"/>
      <c r="I250" s="32"/>
      <c r="J250" s="32"/>
      <c r="K250" s="31"/>
      <c r="L250" s="31"/>
      <c r="M250" s="3" t="str">
        <f t="shared" ca="1" si="22"/>
        <v/>
      </c>
      <c r="P250">
        <f>'Combined Delivery Data'!B280</f>
        <v>0</v>
      </c>
      <c r="Q250">
        <f t="shared" si="23"/>
        <v>0</v>
      </c>
      <c r="R250">
        <f t="shared" si="24"/>
        <v>451</v>
      </c>
      <c r="S250" s="28">
        <f t="shared" si="25"/>
        <v>0</v>
      </c>
      <c r="T250" t="str">
        <f t="shared" si="26"/>
        <v xml:space="preserve"> -&gt; </v>
      </c>
    </row>
    <row r="251" spans="1:20">
      <c r="A251" s="31"/>
      <c r="B251" s="32"/>
      <c r="C251" s="31"/>
      <c r="D251" s="31"/>
      <c r="E251" s="31"/>
      <c r="F251" s="31"/>
      <c r="G251" s="31"/>
      <c r="H251" s="32"/>
      <c r="I251" s="32"/>
      <c r="J251" s="32"/>
      <c r="K251" s="31"/>
      <c r="L251" s="31"/>
      <c r="M251" s="3" t="str">
        <f t="shared" ca="1" si="22"/>
        <v/>
      </c>
      <c r="P251">
        <f>'Combined Delivery Data'!B281</f>
        <v>0</v>
      </c>
      <c r="Q251">
        <f t="shared" si="23"/>
        <v>0</v>
      </c>
      <c r="R251">
        <f t="shared" si="24"/>
        <v>451</v>
      </c>
      <c r="S251" s="28">
        <f t="shared" si="25"/>
        <v>0</v>
      </c>
      <c r="T251" t="str">
        <f t="shared" si="26"/>
        <v xml:space="preserve"> -&gt; </v>
      </c>
    </row>
    <row r="252" spans="1:20">
      <c r="A252" s="31"/>
      <c r="B252" s="32"/>
      <c r="C252" s="31"/>
      <c r="D252" s="31"/>
      <c r="E252" s="31"/>
      <c r="F252" s="31"/>
      <c r="G252" s="31"/>
      <c r="H252" s="32"/>
      <c r="I252" s="32"/>
      <c r="J252" s="32"/>
      <c r="K252" s="31"/>
      <c r="L252" s="31"/>
      <c r="M252" s="3" t="str">
        <f t="shared" ca="1" si="22"/>
        <v/>
      </c>
      <c r="P252">
        <f>'Combined Delivery Data'!B282</f>
        <v>0</v>
      </c>
      <c r="Q252">
        <f t="shared" si="23"/>
        <v>0</v>
      </c>
      <c r="R252">
        <f t="shared" si="24"/>
        <v>451</v>
      </c>
      <c r="S252" s="28">
        <f t="shared" si="25"/>
        <v>0</v>
      </c>
      <c r="T252" t="str">
        <f t="shared" si="26"/>
        <v xml:space="preserve"> -&gt; </v>
      </c>
    </row>
    <row r="253" spans="1:20">
      <c r="A253" s="31"/>
      <c r="B253" s="32"/>
      <c r="C253" s="31"/>
      <c r="D253" s="31"/>
      <c r="E253" s="31"/>
      <c r="F253" s="31"/>
      <c r="G253" s="31"/>
      <c r="H253" s="32"/>
      <c r="I253" s="32"/>
      <c r="J253" s="32"/>
      <c r="K253" s="31"/>
      <c r="L253" s="31"/>
      <c r="M253" s="3" t="str">
        <f t="shared" ca="1" si="22"/>
        <v/>
      </c>
      <c r="P253">
        <f>'Combined Delivery Data'!B283</f>
        <v>0</v>
      </c>
      <c r="Q253">
        <f t="shared" si="23"/>
        <v>0</v>
      </c>
      <c r="R253">
        <f t="shared" si="24"/>
        <v>451</v>
      </c>
      <c r="S253" s="28">
        <f t="shared" si="25"/>
        <v>0</v>
      </c>
      <c r="T253" t="str">
        <f t="shared" si="26"/>
        <v xml:space="preserve"> -&gt; </v>
      </c>
    </row>
    <row r="254" spans="1:20">
      <c r="A254" s="31"/>
      <c r="B254" s="32"/>
      <c r="C254" s="31"/>
      <c r="D254" s="31"/>
      <c r="E254" s="31"/>
      <c r="F254" s="31"/>
      <c r="G254" s="31"/>
      <c r="H254" s="32"/>
      <c r="I254" s="32"/>
      <c r="J254" s="32"/>
      <c r="K254" s="31"/>
      <c r="L254" s="31"/>
      <c r="M254" s="3" t="str">
        <f t="shared" ca="1" si="22"/>
        <v/>
      </c>
      <c r="P254">
        <f>'Combined Delivery Data'!B284</f>
        <v>0</v>
      </c>
      <c r="Q254">
        <f t="shared" si="23"/>
        <v>0</v>
      </c>
      <c r="R254">
        <f t="shared" si="24"/>
        <v>451</v>
      </c>
      <c r="S254" s="28">
        <f t="shared" si="25"/>
        <v>0</v>
      </c>
      <c r="T254" t="str">
        <f t="shared" si="26"/>
        <v xml:space="preserve"> -&gt; </v>
      </c>
    </row>
    <row r="255" spans="1:20">
      <c r="A255" s="31"/>
      <c r="B255" s="32"/>
      <c r="C255" s="31"/>
      <c r="D255" s="31"/>
      <c r="E255" s="31"/>
      <c r="F255" s="31"/>
      <c r="G255" s="31"/>
      <c r="H255" s="32"/>
      <c r="I255" s="32"/>
      <c r="J255" s="32"/>
      <c r="K255" s="31"/>
      <c r="L255" s="31"/>
      <c r="M255" s="3" t="str">
        <f t="shared" ca="1" si="22"/>
        <v/>
      </c>
      <c r="P255">
        <f>'Combined Delivery Data'!B285</f>
        <v>0</v>
      </c>
      <c r="Q255">
        <f t="shared" si="23"/>
        <v>0</v>
      </c>
      <c r="R255">
        <f t="shared" si="24"/>
        <v>451</v>
      </c>
      <c r="S255" s="28">
        <f t="shared" si="25"/>
        <v>0</v>
      </c>
      <c r="T255" t="str">
        <f t="shared" si="26"/>
        <v xml:space="preserve"> -&gt; </v>
      </c>
    </row>
    <row r="256" spans="1:20">
      <c r="A256" s="31"/>
      <c r="B256" s="32"/>
      <c r="C256" s="31"/>
      <c r="D256" s="31"/>
      <c r="E256" s="31"/>
      <c r="F256" s="31"/>
      <c r="G256" s="31"/>
      <c r="H256" s="32"/>
      <c r="I256" s="32"/>
      <c r="J256" s="32"/>
      <c r="K256" s="31"/>
      <c r="L256" s="31"/>
      <c r="M256" s="3" t="str">
        <f t="shared" ref="M256:M319" ca="1" si="27">IF($A256="","",IF($G256="Did not pass re-test","Sent back again",IF(NOT(ISNUMBER($B256)),"Missing sent-back date",IF(ISNUMBER($J256),"Fixed in "&amp;($J256-$B256)&amp;" d",IF($I256="","UNCLAIMED "&amp;(TODAY()-$B256)&amp;" d",IF(TODAY()&gt;$I256,(TODAY()-$I256)&amp;" d LATE","Open "&amp;(TODAY()-$B256)&amp;" d"))))))</f>
        <v/>
      </c>
      <c r="P256">
        <f>'Combined Delivery Data'!B286</f>
        <v>0</v>
      </c>
      <c r="Q256">
        <f t="shared" si="23"/>
        <v>0</v>
      </c>
      <c r="R256">
        <f t="shared" si="24"/>
        <v>451</v>
      </c>
      <c r="S256" s="28">
        <f t="shared" si="25"/>
        <v>0</v>
      </c>
      <c r="T256" t="str">
        <f t="shared" si="26"/>
        <v xml:space="preserve"> -&gt; </v>
      </c>
    </row>
    <row r="257" spans="1:20">
      <c r="A257" s="31"/>
      <c r="B257" s="32"/>
      <c r="C257" s="31"/>
      <c r="D257" s="31"/>
      <c r="E257" s="31"/>
      <c r="F257" s="31"/>
      <c r="G257" s="31"/>
      <c r="H257" s="32"/>
      <c r="I257" s="32"/>
      <c r="J257" s="32"/>
      <c r="K257" s="31"/>
      <c r="L257" s="31"/>
      <c r="M257" s="3" t="str">
        <f t="shared" ca="1" si="27"/>
        <v/>
      </c>
      <c r="P257">
        <f>'Combined Delivery Data'!B287</f>
        <v>0</v>
      </c>
      <c r="Q257">
        <f t="shared" si="23"/>
        <v>0</v>
      </c>
      <c r="R257">
        <f t="shared" si="24"/>
        <v>451</v>
      </c>
      <c r="S257" s="28">
        <f t="shared" si="25"/>
        <v>0</v>
      </c>
      <c r="T257" t="str">
        <f t="shared" si="26"/>
        <v xml:space="preserve"> -&gt; </v>
      </c>
    </row>
    <row r="258" spans="1:20">
      <c r="A258" s="31"/>
      <c r="B258" s="32"/>
      <c r="C258" s="31"/>
      <c r="D258" s="31"/>
      <c r="E258" s="31"/>
      <c r="F258" s="31"/>
      <c r="G258" s="31"/>
      <c r="H258" s="32"/>
      <c r="I258" s="32"/>
      <c r="J258" s="32"/>
      <c r="K258" s="31"/>
      <c r="L258" s="31"/>
      <c r="M258" s="3" t="str">
        <f t="shared" ca="1" si="27"/>
        <v/>
      </c>
      <c r="P258">
        <f>'Combined Delivery Data'!B288</f>
        <v>0</v>
      </c>
      <c r="Q258">
        <f t="shared" si="23"/>
        <v>0</v>
      </c>
      <c r="R258">
        <f t="shared" si="24"/>
        <v>451</v>
      </c>
      <c r="S258" s="28">
        <f t="shared" si="25"/>
        <v>0</v>
      </c>
      <c r="T258" t="str">
        <f t="shared" si="26"/>
        <v xml:space="preserve"> -&gt; </v>
      </c>
    </row>
    <row r="259" spans="1:20">
      <c r="A259" s="31"/>
      <c r="B259" s="32"/>
      <c r="C259" s="31"/>
      <c r="D259" s="31"/>
      <c r="E259" s="31"/>
      <c r="F259" s="31"/>
      <c r="G259" s="31"/>
      <c r="H259" s="32"/>
      <c r="I259" s="32"/>
      <c r="J259" s="32"/>
      <c r="K259" s="31"/>
      <c r="L259" s="31"/>
      <c r="M259" s="3" t="str">
        <f t="shared" ca="1" si="27"/>
        <v/>
      </c>
      <c r="P259">
        <f>'Combined Delivery Data'!B289</f>
        <v>0</v>
      </c>
      <c r="Q259">
        <f t="shared" si="23"/>
        <v>0</v>
      </c>
      <c r="R259">
        <f t="shared" si="24"/>
        <v>451</v>
      </c>
      <c r="S259" s="28">
        <f t="shared" si="25"/>
        <v>0</v>
      </c>
      <c r="T259" t="str">
        <f t="shared" si="26"/>
        <v xml:space="preserve"> -&gt; </v>
      </c>
    </row>
    <row r="260" spans="1:20">
      <c r="A260" s="31"/>
      <c r="B260" s="32"/>
      <c r="C260" s="31"/>
      <c r="D260" s="31"/>
      <c r="E260" s="31"/>
      <c r="F260" s="31"/>
      <c r="G260" s="31"/>
      <c r="H260" s="32"/>
      <c r="I260" s="32"/>
      <c r="J260" s="32"/>
      <c r="K260" s="31"/>
      <c r="L260" s="31"/>
      <c r="M260" s="3" t="str">
        <f t="shared" ca="1" si="27"/>
        <v/>
      </c>
      <c r="P260">
        <f>'Combined Delivery Data'!B290</f>
        <v>0</v>
      </c>
      <c r="Q260">
        <f t="shared" si="23"/>
        <v>0</v>
      </c>
      <c r="R260">
        <f t="shared" si="24"/>
        <v>451</v>
      </c>
      <c r="S260" s="28">
        <f t="shared" si="25"/>
        <v>0</v>
      </c>
      <c r="T260" t="str">
        <f t="shared" si="26"/>
        <v xml:space="preserve"> -&gt; </v>
      </c>
    </row>
    <row r="261" spans="1:20">
      <c r="A261" s="31"/>
      <c r="B261" s="32"/>
      <c r="C261" s="31"/>
      <c r="D261" s="31"/>
      <c r="E261" s="31"/>
      <c r="F261" s="31"/>
      <c r="G261" s="31"/>
      <c r="H261" s="32"/>
      <c r="I261" s="32"/>
      <c r="J261" s="32"/>
      <c r="K261" s="31"/>
      <c r="L261" s="31"/>
      <c r="M261" s="3" t="str">
        <f t="shared" ca="1" si="27"/>
        <v/>
      </c>
      <c r="P261">
        <f>'Combined Delivery Data'!B291</f>
        <v>0</v>
      </c>
      <c r="Q261">
        <f t="shared" si="23"/>
        <v>0</v>
      </c>
      <c r="R261">
        <f t="shared" si="24"/>
        <v>451</v>
      </c>
      <c r="S261" s="28">
        <f t="shared" si="25"/>
        <v>0</v>
      </c>
      <c r="T261" t="str">
        <f t="shared" si="26"/>
        <v xml:space="preserve"> -&gt; </v>
      </c>
    </row>
    <row r="262" spans="1:20">
      <c r="A262" s="31"/>
      <c r="B262" s="32"/>
      <c r="C262" s="31"/>
      <c r="D262" s="31"/>
      <c r="E262" s="31"/>
      <c r="F262" s="31"/>
      <c r="G262" s="31"/>
      <c r="H262" s="32"/>
      <c r="I262" s="32"/>
      <c r="J262" s="32"/>
      <c r="K262" s="31"/>
      <c r="L262" s="31"/>
      <c r="M262" s="3" t="str">
        <f t="shared" ca="1" si="27"/>
        <v/>
      </c>
      <c r="P262">
        <f>'Combined Delivery Data'!B292</f>
        <v>0</v>
      </c>
      <c r="Q262">
        <f t="shared" si="23"/>
        <v>0</v>
      </c>
      <c r="R262">
        <f t="shared" si="24"/>
        <v>451</v>
      </c>
      <c r="S262" s="28">
        <f t="shared" si="25"/>
        <v>0</v>
      </c>
      <c r="T262" t="str">
        <f t="shared" si="26"/>
        <v xml:space="preserve"> -&gt; </v>
      </c>
    </row>
    <row r="263" spans="1:20">
      <c r="A263" s="31"/>
      <c r="B263" s="32"/>
      <c r="C263" s="31"/>
      <c r="D263" s="31"/>
      <c r="E263" s="31"/>
      <c r="F263" s="31"/>
      <c r="G263" s="31"/>
      <c r="H263" s="32"/>
      <c r="I263" s="32"/>
      <c r="J263" s="32"/>
      <c r="K263" s="31"/>
      <c r="L263" s="31"/>
      <c r="M263" s="3" t="str">
        <f t="shared" ca="1" si="27"/>
        <v/>
      </c>
      <c r="P263">
        <f>'Combined Delivery Data'!B293</f>
        <v>0</v>
      </c>
      <c r="Q263">
        <f t="shared" si="23"/>
        <v>0</v>
      </c>
      <c r="R263">
        <f t="shared" si="24"/>
        <v>451</v>
      </c>
      <c r="S263" s="28">
        <f t="shared" si="25"/>
        <v>0</v>
      </c>
      <c r="T263" t="str">
        <f t="shared" si="26"/>
        <v xml:space="preserve"> -&gt; </v>
      </c>
    </row>
    <row r="264" spans="1:20">
      <c r="A264" s="31"/>
      <c r="B264" s="32"/>
      <c r="C264" s="31"/>
      <c r="D264" s="31"/>
      <c r="E264" s="31"/>
      <c r="F264" s="31"/>
      <c r="G264" s="31"/>
      <c r="H264" s="32"/>
      <c r="I264" s="32"/>
      <c r="J264" s="32"/>
      <c r="K264" s="31"/>
      <c r="L264" s="31"/>
      <c r="M264" s="3" t="str">
        <f t="shared" ca="1" si="27"/>
        <v/>
      </c>
      <c r="P264">
        <f>'Combined Delivery Data'!B294</f>
        <v>0</v>
      </c>
      <c r="Q264">
        <f t="shared" si="23"/>
        <v>0</v>
      </c>
      <c r="R264">
        <f t="shared" si="24"/>
        <v>451</v>
      </c>
      <c r="S264" s="28">
        <f t="shared" si="25"/>
        <v>0</v>
      </c>
      <c r="T264" t="str">
        <f t="shared" si="26"/>
        <v xml:space="preserve"> -&gt; </v>
      </c>
    </row>
    <row r="265" spans="1:20">
      <c r="A265" s="31"/>
      <c r="B265" s="32"/>
      <c r="C265" s="31"/>
      <c r="D265" s="31"/>
      <c r="E265" s="31"/>
      <c r="F265" s="31"/>
      <c r="G265" s="31"/>
      <c r="H265" s="32"/>
      <c r="I265" s="32"/>
      <c r="J265" s="32"/>
      <c r="K265" s="31"/>
      <c r="L265" s="31"/>
      <c r="M265" s="3" t="str">
        <f t="shared" ca="1" si="27"/>
        <v/>
      </c>
      <c r="P265">
        <f>'Combined Delivery Data'!B295</f>
        <v>0</v>
      </c>
      <c r="Q265">
        <f t="shared" si="23"/>
        <v>0</v>
      </c>
      <c r="R265">
        <f t="shared" si="24"/>
        <v>451</v>
      </c>
      <c r="S265" s="28">
        <f t="shared" si="25"/>
        <v>0</v>
      </c>
      <c r="T265" t="str">
        <f t="shared" si="26"/>
        <v xml:space="preserve"> -&gt; </v>
      </c>
    </row>
    <row r="266" spans="1:20">
      <c r="A266" s="31"/>
      <c r="B266" s="32"/>
      <c r="C266" s="31"/>
      <c r="D266" s="31"/>
      <c r="E266" s="31"/>
      <c r="F266" s="31"/>
      <c r="G266" s="31"/>
      <c r="H266" s="32"/>
      <c r="I266" s="32"/>
      <c r="J266" s="32"/>
      <c r="K266" s="31"/>
      <c r="L266" s="31"/>
      <c r="M266" s="3" t="str">
        <f t="shared" ca="1" si="27"/>
        <v/>
      </c>
      <c r="P266">
        <f>'Combined Delivery Data'!B296</f>
        <v>0</v>
      </c>
      <c r="Q266">
        <f t="shared" si="23"/>
        <v>0</v>
      </c>
      <c r="R266">
        <f t="shared" si="24"/>
        <v>451</v>
      </c>
      <c r="S266" s="28">
        <f t="shared" si="25"/>
        <v>0</v>
      </c>
      <c r="T266" t="str">
        <f t="shared" si="26"/>
        <v xml:space="preserve"> -&gt; </v>
      </c>
    </row>
    <row r="267" spans="1:20">
      <c r="A267" s="31"/>
      <c r="B267" s="32"/>
      <c r="C267" s="31"/>
      <c r="D267" s="31"/>
      <c r="E267" s="31"/>
      <c r="F267" s="31"/>
      <c r="G267" s="31"/>
      <c r="H267" s="32"/>
      <c r="I267" s="32"/>
      <c r="J267" s="32"/>
      <c r="K267" s="31"/>
      <c r="L267" s="31"/>
      <c r="M267" s="3" t="str">
        <f t="shared" ca="1" si="27"/>
        <v/>
      </c>
      <c r="P267">
        <f>'Combined Delivery Data'!B297</f>
        <v>0</v>
      </c>
      <c r="Q267">
        <f t="shared" si="23"/>
        <v>0</v>
      </c>
      <c r="R267">
        <f t="shared" si="24"/>
        <v>451</v>
      </c>
      <c r="S267" s="28">
        <f t="shared" si="25"/>
        <v>0</v>
      </c>
      <c r="T267" t="str">
        <f t="shared" si="26"/>
        <v xml:space="preserve"> -&gt; </v>
      </c>
    </row>
    <row r="268" spans="1:20">
      <c r="A268" s="31"/>
      <c r="B268" s="32"/>
      <c r="C268" s="31"/>
      <c r="D268" s="31"/>
      <c r="E268" s="31"/>
      <c r="F268" s="31"/>
      <c r="G268" s="31"/>
      <c r="H268" s="32"/>
      <c r="I268" s="32"/>
      <c r="J268" s="32"/>
      <c r="K268" s="31"/>
      <c r="L268" s="31"/>
      <c r="M268" s="3" t="str">
        <f t="shared" ca="1" si="27"/>
        <v/>
      </c>
      <c r="P268">
        <f>'Combined Delivery Data'!B298</f>
        <v>0</v>
      </c>
      <c r="Q268">
        <f t="shared" si="23"/>
        <v>0</v>
      </c>
      <c r="R268">
        <f t="shared" si="24"/>
        <v>451</v>
      </c>
      <c r="S268" s="28">
        <f t="shared" si="25"/>
        <v>0</v>
      </c>
      <c r="T268" t="str">
        <f t="shared" si="26"/>
        <v xml:space="preserve"> -&gt; </v>
      </c>
    </row>
    <row r="269" spans="1:20">
      <c r="A269" s="31"/>
      <c r="B269" s="32"/>
      <c r="C269" s="31"/>
      <c r="D269" s="31"/>
      <c r="E269" s="31"/>
      <c r="F269" s="31"/>
      <c r="G269" s="31"/>
      <c r="H269" s="32"/>
      <c r="I269" s="32"/>
      <c r="J269" s="32"/>
      <c r="K269" s="31"/>
      <c r="L269" s="31"/>
      <c r="M269" s="3" t="str">
        <f t="shared" ca="1" si="27"/>
        <v/>
      </c>
      <c r="P269">
        <f>'Combined Delivery Data'!B299</f>
        <v>0</v>
      </c>
      <c r="Q269">
        <f t="shared" si="23"/>
        <v>0</v>
      </c>
      <c r="R269">
        <f t="shared" si="24"/>
        <v>451</v>
      </c>
      <c r="S269" s="28">
        <f t="shared" si="25"/>
        <v>0</v>
      </c>
      <c r="T269" t="str">
        <f t="shared" si="26"/>
        <v xml:space="preserve"> -&gt; </v>
      </c>
    </row>
    <row r="270" spans="1:20">
      <c r="A270" s="31"/>
      <c r="B270" s="32"/>
      <c r="C270" s="31"/>
      <c r="D270" s="31"/>
      <c r="E270" s="31"/>
      <c r="F270" s="31"/>
      <c r="G270" s="31"/>
      <c r="H270" s="32"/>
      <c r="I270" s="32"/>
      <c r="J270" s="32"/>
      <c r="K270" s="31"/>
      <c r="L270" s="31"/>
      <c r="M270" s="3" t="str">
        <f t="shared" ca="1" si="27"/>
        <v/>
      </c>
      <c r="P270">
        <f>'Combined Delivery Data'!B300</f>
        <v>0</v>
      </c>
      <c r="Q270">
        <f t="shared" si="23"/>
        <v>0</v>
      </c>
      <c r="R270">
        <f t="shared" si="24"/>
        <v>451</v>
      </c>
      <c r="S270" s="28">
        <f t="shared" si="25"/>
        <v>0</v>
      </c>
      <c r="T270" t="str">
        <f t="shared" si="26"/>
        <v xml:space="preserve"> -&gt; </v>
      </c>
    </row>
    <row r="271" spans="1:20">
      <c r="A271" s="31"/>
      <c r="B271" s="32"/>
      <c r="C271" s="31"/>
      <c r="D271" s="31"/>
      <c r="E271" s="31"/>
      <c r="F271" s="31"/>
      <c r="G271" s="31"/>
      <c r="H271" s="32"/>
      <c r="I271" s="32"/>
      <c r="J271" s="32"/>
      <c r="K271" s="31"/>
      <c r="L271" s="31"/>
      <c r="M271" s="3" t="str">
        <f t="shared" ca="1" si="27"/>
        <v/>
      </c>
      <c r="P271">
        <f>'Combined Delivery Data'!B301</f>
        <v>0</v>
      </c>
      <c r="Q271">
        <f t="shared" si="23"/>
        <v>0</v>
      </c>
      <c r="R271">
        <f t="shared" si="24"/>
        <v>451</v>
      </c>
      <c r="S271" s="28">
        <f t="shared" si="25"/>
        <v>0</v>
      </c>
      <c r="T271" t="str">
        <f t="shared" si="26"/>
        <v xml:space="preserve"> -&gt; </v>
      </c>
    </row>
    <row r="272" spans="1:20">
      <c r="A272" s="31"/>
      <c r="B272" s="32"/>
      <c r="C272" s="31"/>
      <c r="D272" s="31"/>
      <c r="E272" s="31"/>
      <c r="F272" s="31"/>
      <c r="G272" s="31"/>
      <c r="H272" s="32"/>
      <c r="I272" s="32"/>
      <c r="J272" s="32"/>
      <c r="K272" s="31"/>
      <c r="L272" s="31"/>
      <c r="M272" s="3" t="str">
        <f t="shared" ca="1" si="27"/>
        <v/>
      </c>
      <c r="P272">
        <f>'Combined Delivery Data'!B302</f>
        <v>0</v>
      </c>
      <c r="Q272">
        <f t="shared" si="23"/>
        <v>0</v>
      </c>
      <c r="R272">
        <f t="shared" si="24"/>
        <v>451</v>
      </c>
      <c r="S272" s="28">
        <f t="shared" si="25"/>
        <v>0</v>
      </c>
      <c r="T272" t="str">
        <f t="shared" si="26"/>
        <v xml:space="preserve"> -&gt; </v>
      </c>
    </row>
    <row r="273" spans="1:20">
      <c r="A273" s="31"/>
      <c r="B273" s="32"/>
      <c r="C273" s="31"/>
      <c r="D273" s="31"/>
      <c r="E273" s="31"/>
      <c r="F273" s="31"/>
      <c r="G273" s="31"/>
      <c r="H273" s="32"/>
      <c r="I273" s="32"/>
      <c r="J273" s="32"/>
      <c r="K273" s="31"/>
      <c r="L273" s="31"/>
      <c r="M273" s="3" t="str">
        <f t="shared" ca="1" si="27"/>
        <v/>
      </c>
      <c r="P273">
        <f>'Combined Delivery Data'!B303</f>
        <v>0</v>
      </c>
      <c r="Q273">
        <f t="shared" ref="Q273:Q336" si="28">IF($P273="","",COUNTIF($A$2:$A$497,$P273))</f>
        <v>0</v>
      </c>
      <c r="R273">
        <f t="shared" ref="R273:R336" si="29">IF($P273="","",SUMPRODUCT(($A$2:$A$497=$P273)*($G$2:$G$497&lt;&gt;"Yes")*($G$2:$G$497&lt;&gt;"Did not pass re-test")))</f>
        <v>451</v>
      </c>
      <c r="S273" s="28">
        <f t="shared" si="25"/>
        <v>0</v>
      </c>
      <c r="T273" t="str">
        <f t="shared" si="26"/>
        <v xml:space="preserve"> -&gt; </v>
      </c>
    </row>
    <row r="274" spans="1:20">
      <c r="A274" s="31"/>
      <c r="B274" s="32"/>
      <c r="C274" s="31"/>
      <c r="D274" s="31"/>
      <c r="E274" s="31"/>
      <c r="F274" s="31"/>
      <c r="G274" s="31"/>
      <c r="H274" s="32"/>
      <c r="I274" s="32"/>
      <c r="J274" s="32"/>
      <c r="K274" s="31"/>
      <c r="L274" s="31"/>
      <c r="M274" s="3" t="str">
        <f t="shared" ca="1" si="27"/>
        <v/>
      </c>
      <c r="P274">
        <f>'Combined Delivery Data'!B304</f>
        <v>0</v>
      </c>
      <c r="Q274">
        <f t="shared" si="28"/>
        <v>0</v>
      </c>
      <c r="R274">
        <f t="shared" si="29"/>
        <v>451</v>
      </c>
      <c r="S274" s="28">
        <f t="shared" si="25"/>
        <v>0</v>
      </c>
      <c r="T274" t="str">
        <f t="shared" si="26"/>
        <v xml:space="preserve"> -&gt; </v>
      </c>
    </row>
    <row r="275" spans="1:20">
      <c r="A275" s="31"/>
      <c r="B275" s="32"/>
      <c r="C275" s="31"/>
      <c r="D275" s="31"/>
      <c r="E275" s="31"/>
      <c r="F275" s="31"/>
      <c r="G275" s="31"/>
      <c r="H275" s="32"/>
      <c r="I275" s="32"/>
      <c r="J275" s="32"/>
      <c r="K275" s="31"/>
      <c r="L275" s="31"/>
      <c r="M275" s="3" t="str">
        <f t="shared" ca="1" si="27"/>
        <v/>
      </c>
      <c r="P275">
        <f>'Combined Delivery Data'!B305</f>
        <v>0</v>
      </c>
      <c r="Q275">
        <f t="shared" si="28"/>
        <v>0</v>
      </c>
      <c r="R275">
        <f t="shared" si="29"/>
        <v>451</v>
      </c>
      <c r="S275" s="28">
        <f t="shared" si="25"/>
        <v>0</v>
      </c>
      <c r="T275" t="str">
        <f t="shared" si="26"/>
        <v xml:space="preserve"> -&gt; </v>
      </c>
    </row>
    <row r="276" spans="1:20">
      <c r="A276" s="31"/>
      <c r="B276" s="32"/>
      <c r="C276" s="31"/>
      <c r="D276" s="31"/>
      <c r="E276" s="31"/>
      <c r="F276" s="31"/>
      <c r="G276" s="31"/>
      <c r="H276" s="32"/>
      <c r="I276" s="32"/>
      <c r="J276" s="32"/>
      <c r="K276" s="31"/>
      <c r="L276" s="31"/>
      <c r="M276" s="3" t="str">
        <f t="shared" ca="1" si="27"/>
        <v/>
      </c>
      <c r="P276">
        <f>'Combined Delivery Data'!B306</f>
        <v>0</v>
      </c>
      <c r="Q276">
        <f t="shared" si="28"/>
        <v>0</v>
      </c>
      <c r="R276">
        <f t="shared" si="29"/>
        <v>451</v>
      </c>
      <c r="S276" s="28">
        <f t="shared" si="25"/>
        <v>0</v>
      </c>
      <c r="T276" t="str">
        <f t="shared" si="26"/>
        <v xml:space="preserve"> -&gt; </v>
      </c>
    </row>
    <row r="277" spans="1:20">
      <c r="A277" s="31"/>
      <c r="B277" s="32"/>
      <c r="C277" s="31"/>
      <c r="D277" s="31"/>
      <c r="E277" s="31"/>
      <c r="F277" s="31"/>
      <c r="G277" s="31"/>
      <c r="H277" s="32"/>
      <c r="I277" s="32"/>
      <c r="J277" s="32"/>
      <c r="K277" s="31"/>
      <c r="L277" s="31"/>
      <c r="M277" s="3" t="str">
        <f t="shared" ca="1" si="27"/>
        <v/>
      </c>
      <c r="P277">
        <f>'Combined Delivery Data'!B307</f>
        <v>0</v>
      </c>
      <c r="Q277">
        <f t="shared" si="28"/>
        <v>0</v>
      </c>
      <c r="R277">
        <f t="shared" si="29"/>
        <v>451</v>
      </c>
      <c r="S277" s="28">
        <f t="shared" si="25"/>
        <v>0</v>
      </c>
      <c r="T277" t="str">
        <f t="shared" si="26"/>
        <v xml:space="preserve"> -&gt; </v>
      </c>
    </row>
    <row r="278" spans="1:20">
      <c r="A278" s="31"/>
      <c r="B278" s="32"/>
      <c r="C278" s="31"/>
      <c r="D278" s="31"/>
      <c r="E278" s="31"/>
      <c r="F278" s="31"/>
      <c r="G278" s="31"/>
      <c r="H278" s="32"/>
      <c r="I278" s="32"/>
      <c r="J278" s="32"/>
      <c r="K278" s="31"/>
      <c r="L278" s="31"/>
      <c r="M278" s="3" t="str">
        <f t="shared" ca="1" si="27"/>
        <v/>
      </c>
      <c r="P278">
        <f>'Combined Delivery Data'!B308</f>
        <v>0</v>
      </c>
      <c r="Q278">
        <f t="shared" si="28"/>
        <v>0</v>
      </c>
      <c r="R278">
        <f t="shared" si="29"/>
        <v>451</v>
      </c>
      <c r="S278" s="28">
        <f t="shared" si="25"/>
        <v>0</v>
      </c>
      <c r="T278" t="str">
        <f t="shared" si="26"/>
        <v xml:space="preserve"> -&gt; </v>
      </c>
    </row>
    <row r="279" spans="1:20">
      <c r="A279" s="31"/>
      <c r="B279" s="32"/>
      <c r="C279" s="31"/>
      <c r="D279" s="31"/>
      <c r="E279" s="31"/>
      <c r="F279" s="31"/>
      <c r="G279" s="31"/>
      <c r="H279" s="32"/>
      <c r="I279" s="32"/>
      <c r="J279" s="32"/>
      <c r="K279" s="31"/>
      <c r="L279" s="31"/>
      <c r="M279" s="3" t="str">
        <f t="shared" ca="1" si="27"/>
        <v/>
      </c>
      <c r="P279">
        <f>'Combined Delivery Data'!B309</f>
        <v>0</v>
      </c>
      <c r="Q279">
        <f t="shared" si="28"/>
        <v>0</v>
      </c>
      <c r="R279">
        <f t="shared" si="29"/>
        <v>451</v>
      </c>
      <c r="S279" s="28">
        <f t="shared" si="25"/>
        <v>0</v>
      </c>
      <c r="T279" t="str">
        <f t="shared" si="26"/>
        <v xml:space="preserve"> -&gt; </v>
      </c>
    </row>
    <row r="280" spans="1:20">
      <c r="A280" s="31"/>
      <c r="B280" s="32"/>
      <c r="C280" s="31"/>
      <c r="D280" s="31"/>
      <c r="E280" s="31"/>
      <c r="F280" s="31"/>
      <c r="G280" s="31"/>
      <c r="H280" s="32"/>
      <c r="I280" s="32"/>
      <c r="J280" s="32"/>
      <c r="K280" s="31"/>
      <c r="L280" s="31"/>
      <c r="M280" s="3" t="str">
        <f t="shared" ca="1" si="27"/>
        <v/>
      </c>
      <c r="P280">
        <f>'Combined Delivery Data'!B310</f>
        <v>0</v>
      </c>
      <c r="Q280">
        <f t="shared" si="28"/>
        <v>0</v>
      </c>
      <c r="R280">
        <f t="shared" si="29"/>
        <v>451</v>
      </c>
      <c r="S280" s="28">
        <f t="shared" si="25"/>
        <v>0</v>
      </c>
      <c r="T280" t="str">
        <f t="shared" si="26"/>
        <v xml:space="preserve"> -&gt; </v>
      </c>
    </row>
    <row r="281" spans="1:20">
      <c r="A281" s="31"/>
      <c r="B281" s="32"/>
      <c r="C281" s="31"/>
      <c r="D281" s="31"/>
      <c r="E281" s="31"/>
      <c r="F281" s="31"/>
      <c r="G281" s="31"/>
      <c r="H281" s="32"/>
      <c r="I281" s="32"/>
      <c r="J281" s="32"/>
      <c r="K281" s="31"/>
      <c r="L281" s="31"/>
      <c r="M281" s="3" t="str">
        <f t="shared" ca="1" si="27"/>
        <v/>
      </c>
      <c r="P281">
        <f>'Combined Delivery Data'!B311</f>
        <v>0</v>
      </c>
      <c r="Q281">
        <f t="shared" si="28"/>
        <v>0</v>
      </c>
      <c r="R281">
        <f t="shared" si="29"/>
        <v>451</v>
      </c>
      <c r="S281" s="28">
        <f t="shared" si="25"/>
        <v>0</v>
      </c>
      <c r="T281" t="str">
        <f t="shared" si="26"/>
        <v xml:space="preserve"> -&gt; </v>
      </c>
    </row>
    <row r="282" spans="1:20">
      <c r="A282" s="31"/>
      <c r="B282" s="32"/>
      <c r="C282" s="31"/>
      <c r="D282" s="31"/>
      <c r="E282" s="31"/>
      <c r="F282" s="31"/>
      <c r="G282" s="31"/>
      <c r="H282" s="32"/>
      <c r="I282" s="32"/>
      <c r="J282" s="32"/>
      <c r="K282" s="31"/>
      <c r="L282" s="31"/>
      <c r="M282" s="3" t="str">
        <f t="shared" ca="1" si="27"/>
        <v/>
      </c>
      <c r="P282">
        <f>'Combined Delivery Data'!B312</f>
        <v>0</v>
      </c>
      <c r="Q282">
        <f t="shared" si="28"/>
        <v>0</v>
      </c>
      <c r="R282">
        <f t="shared" si="29"/>
        <v>451</v>
      </c>
      <c r="S282" s="28">
        <f t="shared" si="25"/>
        <v>0</v>
      </c>
      <c r="T282" t="str">
        <f t="shared" si="26"/>
        <v xml:space="preserve"> -&gt; </v>
      </c>
    </row>
    <row r="283" spans="1:20">
      <c r="A283" s="31"/>
      <c r="B283" s="32"/>
      <c r="C283" s="31"/>
      <c r="D283" s="31"/>
      <c r="E283" s="31"/>
      <c r="F283" s="31"/>
      <c r="G283" s="31"/>
      <c r="H283" s="32"/>
      <c r="I283" s="32"/>
      <c r="J283" s="32"/>
      <c r="K283" s="31"/>
      <c r="L283" s="31"/>
      <c r="M283" s="3" t="str">
        <f t="shared" ca="1" si="27"/>
        <v/>
      </c>
      <c r="P283">
        <f>'Combined Delivery Data'!B313</f>
        <v>0</v>
      </c>
      <c r="Q283">
        <f t="shared" si="28"/>
        <v>0</v>
      </c>
      <c r="R283">
        <f t="shared" si="29"/>
        <v>451</v>
      </c>
      <c r="S283" s="28">
        <f t="shared" si="25"/>
        <v>0</v>
      </c>
      <c r="T283" t="str">
        <f t="shared" si="26"/>
        <v xml:space="preserve"> -&gt; </v>
      </c>
    </row>
    <row r="284" spans="1:20">
      <c r="A284" s="31"/>
      <c r="B284" s="32"/>
      <c r="C284" s="31"/>
      <c r="D284" s="31"/>
      <c r="E284" s="31"/>
      <c r="F284" s="31"/>
      <c r="G284" s="31"/>
      <c r="H284" s="32"/>
      <c r="I284" s="32"/>
      <c r="J284" s="32"/>
      <c r="K284" s="31"/>
      <c r="L284" s="31"/>
      <c r="M284" s="3" t="str">
        <f t="shared" ca="1" si="27"/>
        <v/>
      </c>
      <c r="P284">
        <f>'Combined Delivery Data'!B314</f>
        <v>0</v>
      </c>
      <c r="Q284">
        <f t="shared" si="28"/>
        <v>0</v>
      </c>
      <c r="R284">
        <f t="shared" si="29"/>
        <v>451</v>
      </c>
      <c r="S284" s="28">
        <f t="shared" si="25"/>
        <v>0</v>
      </c>
      <c r="T284" t="str">
        <f t="shared" si="26"/>
        <v xml:space="preserve"> -&gt; </v>
      </c>
    </row>
    <row r="285" spans="1:20">
      <c r="A285" s="31"/>
      <c r="B285" s="32"/>
      <c r="C285" s="31"/>
      <c r="D285" s="31"/>
      <c r="E285" s="31"/>
      <c r="F285" s="31"/>
      <c r="G285" s="31"/>
      <c r="H285" s="32"/>
      <c r="I285" s="32"/>
      <c r="J285" s="32"/>
      <c r="K285" s="31"/>
      <c r="L285" s="31"/>
      <c r="M285" s="3" t="str">
        <f t="shared" ca="1" si="27"/>
        <v/>
      </c>
      <c r="P285">
        <f>'Combined Delivery Data'!B315</f>
        <v>0</v>
      </c>
      <c r="Q285">
        <f t="shared" si="28"/>
        <v>0</v>
      </c>
      <c r="R285">
        <f t="shared" si="29"/>
        <v>451</v>
      </c>
      <c r="S285" s="28">
        <f t="shared" si="25"/>
        <v>0</v>
      </c>
      <c r="T285" t="str">
        <f t="shared" si="26"/>
        <v xml:space="preserve"> -&gt; </v>
      </c>
    </row>
    <row r="286" spans="1:20">
      <c r="A286" s="31"/>
      <c r="B286" s="32"/>
      <c r="C286" s="31"/>
      <c r="D286" s="31"/>
      <c r="E286" s="31"/>
      <c r="F286" s="31"/>
      <c r="G286" s="31"/>
      <c r="H286" s="32"/>
      <c r="I286" s="32"/>
      <c r="J286" s="32"/>
      <c r="K286" s="31"/>
      <c r="L286" s="31"/>
      <c r="M286" s="3" t="str">
        <f t="shared" ca="1" si="27"/>
        <v/>
      </c>
      <c r="P286">
        <f>'Combined Delivery Data'!B316</f>
        <v>0</v>
      </c>
      <c r="Q286">
        <f t="shared" si="28"/>
        <v>0</v>
      </c>
      <c r="R286">
        <f t="shared" si="29"/>
        <v>451</v>
      </c>
      <c r="S286" s="28">
        <f t="shared" si="25"/>
        <v>0</v>
      </c>
      <c r="T286" t="str">
        <f t="shared" si="26"/>
        <v xml:space="preserve"> -&gt; </v>
      </c>
    </row>
    <row r="287" spans="1:20">
      <c r="A287" s="31"/>
      <c r="B287" s="32"/>
      <c r="C287" s="31"/>
      <c r="D287" s="31"/>
      <c r="E287" s="31"/>
      <c r="F287" s="31"/>
      <c r="G287" s="31"/>
      <c r="H287" s="32"/>
      <c r="I287" s="32"/>
      <c r="J287" s="32"/>
      <c r="K287" s="31"/>
      <c r="L287" s="31"/>
      <c r="M287" s="3" t="str">
        <f t="shared" ca="1" si="27"/>
        <v/>
      </c>
      <c r="P287">
        <f>'Combined Delivery Data'!B317</f>
        <v>0</v>
      </c>
      <c r="Q287">
        <f t="shared" si="28"/>
        <v>0</v>
      </c>
      <c r="R287">
        <f t="shared" si="29"/>
        <v>451</v>
      </c>
      <c r="S287" s="28">
        <f t="shared" si="25"/>
        <v>0</v>
      </c>
      <c r="T287" t="str">
        <f t="shared" si="26"/>
        <v xml:space="preserve"> -&gt; </v>
      </c>
    </row>
    <row r="288" spans="1:20">
      <c r="A288" s="31"/>
      <c r="B288" s="32"/>
      <c r="C288" s="31"/>
      <c r="D288" s="31"/>
      <c r="E288" s="31"/>
      <c r="F288" s="31"/>
      <c r="G288" s="31"/>
      <c r="H288" s="32"/>
      <c r="I288" s="32"/>
      <c r="J288" s="32"/>
      <c r="K288" s="31"/>
      <c r="L288" s="31"/>
      <c r="M288" s="3" t="str">
        <f t="shared" ca="1" si="27"/>
        <v/>
      </c>
      <c r="P288">
        <f>'Combined Delivery Data'!B318</f>
        <v>0</v>
      </c>
      <c r="Q288">
        <f t="shared" si="28"/>
        <v>0</v>
      </c>
      <c r="R288">
        <f t="shared" si="29"/>
        <v>451</v>
      </c>
      <c r="S288" s="28">
        <f t="shared" si="25"/>
        <v>0</v>
      </c>
      <c r="T288" t="str">
        <f t="shared" si="26"/>
        <v xml:space="preserve"> -&gt; </v>
      </c>
    </row>
    <row r="289" spans="1:20">
      <c r="A289" s="31"/>
      <c r="B289" s="32"/>
      <c r="C289" s="31"/>
      <c r="D289" s="31"/>
      <c r="E289" s="31"/>
      <c r="F289" s="31"/>
      <c r="G289" s="31"/>
      <c r="H289" s="32"/>
      <c r="I289" s="32"/>
      <c r="J289" s="32"/>
      <c r="K289" s="31"/>
      <c r="L289" s="31"/>
      <c r="M289" s="3" t="str">
        <f t="shared" ca="1" si="27"/>
        <v/>
      </c>
      <c r="P289">
        <f>'Combined Delivery Data'!B319</f>
        <v>0</v>
      </c>
      <c r="Q289">
        <f t="shared" si="28"/>
        <v>0</v>
      </c>
      <c r="R289">
        <f t="shared" si="29"/>
        <v>451</v>
      </c>
      <c r="S289" s="28">
        <f t="shared" si="25"/>
        <v>0</v>
      </c>
      <c r="T289" t="str">
        <f t="shared" si="26"/>
        <v xml:space="preserve"> -&gt; </v>
      </c>
    </row>
    <row r="290" spans="1:20">
      <c r="A290" s="31"/>
      <c r="B290" s="32"/>
      <c r="C290" s="31"/>
      <c r="D290" s="31"/>
      <c r="E290" s="31"/>
      <c r="F290" s="31"/>
      <c r="G290" s="31"/>
      <c r="H290" s="32"/>
      <c r="I290" s="32"/>
      <c r="J290" s="32"/>
      <c r="K290" s="31"/>
      <c r="L290" s="31"/>
      <c r="M290" s="3" t="str">
        <f t="shared" ca="1" si="27"/>
        <v/>
      </c>
      <c r="P290">
        <f>'Combined Delivery Data'!B320</f>
        <v>0</v>
      </c>
      <c r="Q290">
        <f t="shared" si="28"/>
        <v>0</v>
      </c>
      <c r="R290">
        <f t="shared" si="29"/>
        <v>451</v>
      </c>
      <c r="S290" s="28">
        <f t="shared" si="25"/>
        <v>0</v>
      </c>
      <c r="T290" t="str">
        <f t="shared" si="26"/>
        <v xml:space="preserve"> -&gt; </v>
      </c>
    </row>
    <row r="291" spans="1:20">
      <c r="A291" s="31"/>
      <c r="B291" s="32"/>
      <c r="C291" s="31"/>
      <c r="D291" s="31"/>
      <c r="E291" s="31"/>
      <c r="F291" s="31"/>
      <c r="G291" s="31"/>
      <c r="H291" s="32"/>
      <c r="I291" s="32"/>
      <c r="J291" s="32"/>
      <c r="K291" s="31"/>
      <c r="L291" s="31"/>
      <c r="M291" s="3" t="str">
        <f t="shared" ca="1" si="27"/>
        <v/>
      </c>
      <c r="P291">
        <f>'Combined Delivery Data'!B321</f>
        <v>0</v>
      </c>
      <c r="Q291">
        <f t="shared" si="28"/>
        <v>0</v>
      </c>
      <c r="R291">
        <f t="shared" si="29"/>
        <v>451</v>
      </c>
      <c r="S291" s="28">
        <f t="shared" si="25"/>
        <v>0</v>
      </c>
      <c r="T291" t="str">
        <f t="shared" si="26"/>
        <v xml:space="preserve"> -&gt; </v>
      </c>
    </row>
    <row r="292" spans="1:20">
      <c r="A292" s="31"/>
      <c r="B292" s="32"/>
      <c r="C292" s="31"/>
      <c r="D292" s="31"/>
      <c r="E292" s="31"/>
      <c r="F292" s="31"/>
      <c r="G292" s="31"/>
      <c r="H292" s="32"/>
      <c r="I292" s="32"/>
      <c r="J292" s="32"/>
      <c r="K292" s="31"/>
      <c r="L292" s="31"/>
      <c r="M292" s="3" t="str">
        <f t="shared" ca="1" si="27"/>
        <v/>
      </c>
      <c r="P292">
        <f>'Combined Delivery Data'!B322</f>
        <v>0</v>
      </c>
      <c r="Q292">
        <f t="shared" si="28"/>
        <v>0</v>
      </c>
      <c r="R292">
        <f t="shared" si="29"/>
        <v>451</v>
      </c>
      <c r="S292" s="28">
        <f t="shared" si="25"/>
        <v>0</v>
      </c>
      <c r="T292" t="str">
        <f t="shared" si="26"/>
        <v xml:space="preserve"> -&gt; </v>
      </c>
    </row>
    <row r="293" spans="1:20">
      <c r="A293" s="31"/>
      <c r="B293" s="32"/>
      <c r="C293" s="31"/>
      <c r="D293" s="31"/>
      <c r="E293" s="31"/>
      <c r="F293" s="31"/>
      <c r="G293" s="31"/>
      <c r="H293" s="32"/>
      <c r="I293" s="32"/>
      <c r="J293" s="32"/>
      <c r="K293" s="31"/>
      <c r="L293" s="31"/>
      <c r="M293" s="3" t="str">
        <f t="shared" ca="1" si="27"/>
        <v/>
      </c>
      <c r="P293">
        <f>'Combined Delivery Data'!B323</f>
        <v>0</v>
      </c>
      <c r="Q293">
        <f t="shared" si="28"/>
        <v>0</v>
      </c>
      <c r="R293">
        <f t="shared" si="29"/>
        <v>451</v>
      </c>
      <c r="S293" s="28">
        <f t="shared" si="25"/>
        <v>0</v>
      </c>
      <c r="T293" t="str">
        <f t="shared" si="26"/>
        <v xml:space="preserve"> -&gt; </v>
      </c>
    </row>
    <row r="294" spans="1:20">
      <c r="A294" s="31"/>
      <c r="B294" s="32"/>
      <c r="C294" s="31"/>
      <c r="D294" s="31"/>
      <c r="E294" s="31"/>
      <c r="F294" s="31"/>
      <c r="G294" s="31"/>
      <c r="H294" s="32"/>
      <c r="I294" s="32"/>
      <c r="J294" s="32"/>
      <c r="K294" s="31"/>
      <c r="L294" s="31"/>
      <c r="M294" s="3" t="str">
        <f t="shared" ca="1" si="27"/>
        <v/>
      </c>
      <c r="P294">
        <f>'Combined Delivery Data'!B324</f>
        <v>0</v>
      </c>
      <c r="Q294">
        <f t="shared" si="28"/>
        <v>0</v>
      </c>
      <c r="R294">
        <f t="shared" si="29"/>
        <v>451</v>
      </c>
      <c r="S294" s="28">
        <f t="shared" si="25"/>
        <v>0</v>
      </c>
      <c r="T294" t="str">
        <f t="shared" si="26"/>
        <v xml:space="preserve"> -&gt; </v>
      </c>
    </row>
    <row r="295" spans="1:20">
      <c r="A295" s="31"/>
      <c r="B295" s="32"/>
      <c r="C295" s="31"/>
      <c r="D295" s="31"/>
      <c r="E295" s="31"/>
      <c r="F295" s="31"/>
      <c r="G295" s="31"/>
      <c r="H295" s="32"/>
      <c r="I295" s="32"/>
      <c r="J295" s="32"/>
      <c r="K295" s="31"/>
      <c r="L295" s="31"/>
      <c r="M295" s="3" t="str">
        <f t="shared" ca="1" si="27"/>
        <v/>
      </c>
      <c r="P295">
        <f>'Combined Delivery Data'!B325</f>
        <v>0</v>
      </c>
      <c r="Q295">
        <f t="shared" si="28"/>
        <v>0</v>
      </c>
      <c r="R295">
        <f t="shared" si="29"/>
        <v>451</v>
      </c>
      <c r="S295" s="28">
        <f t="shared" si="25"/>
        <v>0</v>
      </c>
      <c r="T295" t="str">
        <f t="shared" si="26"/>
        <v xml:space="preserve"> -&gt; </v>
      </c>
    </row>
    <row r="296" spans="1:20">
      <c r="A296" s="31"/>
      <c r="B296" s="32"/>
      <c r="C296" s="31"/>
      <c r="D296" s="31"/>
      <c r="E296" s="31"/>
      <c r="F296" s="31"/>
      <c r="G296" s="31"/>
      <c r="H296" s="32"/>
      <c r="I296" s="32"/>
      <c r="J296" s="32"/>
      <c r="K296" s="31"/>
      <c r="L296" s="31"/>
      <c r="M296" s="3" t="str">
        <f t="shared" ca="1" si="27"/>
        <v/>
      </c>
      <c r="P296">
        <f>'Combined Delivery Data'!B326</f>
        <v>0</v>
      </c>
      <c r="Q296">
        <f t="shared" si="28"/>
        <v>0</v>
      </c>
      <c r="R296">
        <f t="shared" si="29"/>
        <v>451</v>
      </c>
      <c r="S296" s="28">
        <f t="shared" si="25"/>
        <v>0</v>
      </c>
      <c r="T296" t="str">
        <f t="shared" si="26"/>
        <v xml:space="preserve"> -&gt; </v>
      </c>
    </row>
    <row r="297" spans="1:20">
      <c r="A297" s="31"/>
      <c r="B297" s="32"/>
      <c r="C297" s="31"/>
      <c r="D297" s="31"/>
      <c r="E297" s="31"/>
      <c r="F297" s="31"/>
      <c r="G297" s="31"/>
      <c r="H297" s="32"/>
      <c r="I297" s="32"/>
      <c r="J297" s="32"/>
      <c r="K297" s="31"/>
      <c r="L297" s="31"/>
      <c r="M297" s="3" t="str">
        <f t="shared" ca="1" si="27"/>
        <v/>
      </c>
      <c r="P297">
        <f>'Combined Delivery Data'!B327</f>
        <v>0</v>
      </c>
      <c r="Q297">
        <f t="shared" si="28"/>
        <v>0</v>
      </c>
      <c r="R297">
        <f t="shared" si="29"/>
        <v>451</v>
      </c>
      <c r="S297" s="28">
        <f t="shared" si="25"/>
        <v>0</v>
      </c>
      <c r="T297" t="str">
        <f t="shared" si="26"/>
        <v xml:space="preserve"> -&gt; </v>
      </c>
    </row>
    <row r="298" spans="1:20">
      <c r="A298" s="31"/>
      <c r="B298" s="32"/>
      <c r="C298" s="31"/>
      <c r="D298" s="31"/>
      <c r="E298" s="31"/>
      <c r="F298" s="31"/>
      <c r="G298" s="31"/>
      <c r="H298" s="32"/>
      <c r="I298" s="32"/>
      <c r="J298" s="32"/>
      <c r="K298" s="31"/>
      <c r="L298" s="31"/>
      <c r="M298" s="3" t="str">
        <f t="shared" ca="1" si="27"/>
        <v/>
      </c>
      <c r="P298">
        <f>'Combined Delivery Data'!B328</f>
        <v>0</v>
      </c>
      <c r="Q298">
        <f t="shared" si="28"/>
        <v>0</v>
      </c>
      <c r="R298">
        <f t="shared" si="29"/>
        <v>451</v>
      </c>
      <c r="S298" s="28">
        <f t="shared" si="25"/>
        <v>0</v>
      </c>
      <c r="T298" t="str">
        <f t="shared" si="26"/>
        <v xml:space="preserve"> -&gt; </v>
      </c>
    </row>
    <row r="299" spans="1:20">
      <c r="A299" s="31"/>
      <c r="B299" s="32"/>
      <c r="C299" s="31"/>
      <c r="D299" s="31"/>
      <c r="E299" s="31"/>
      <c r="F299" s="31"/>
      <c r="G299" s="31"/>
      <c r="H299" s="32"/>
      <c r="I299" s="32"/>
      <c r="J299" s="32"/>
      <c r="K299" s="31"/>
      <c r="L299" s="31"/>
      <c r="M299" s="3" t="str">
        <f t="shared" ca="1" si="27"/>
        <v/>
      </c>
      <c r="P299">
        <f>'Combined Delivery Data'!B329</f>
        <v>0</v>
      </c>
      <c r="Q299">
        <f t="shared" si="28"/>
        <v>0</v>
      </c>
      <c r="R299">
        <f t="shared" si="29"/>
        <v>451</v>
      </c>
      <c r="S299" s="28">
        <f t="shared" si="25"/>
        <v>0</v>
      </c>
      <c r="T299" t="str">
        <f t="shared" si="26"/>
        <v xml:space="preserve"> -&gt; </v>
      </c>
    </row>
    <row r="300" spans="1:20">
      <c r="A300" s="31"/>
      <c r="B300" s="32"/>
      <c r="C300" s="31"/>
      <c r="D300" s="31"/>
      <c r="E300" s="31"/>
      <c r="F300" s="31"/>
      <c r="G300" s="31"/>
      <c r="H300" s="32"/>
      <c r="I300" s="32"/>
      <c r="J300" s="32"/>
      <c r="K300" s="31"/>
      <c r="L300" s="31"/>
      <c r="M300" s="3" t="str">
        <f t="shared" ca="1" si="27"/>
        <v/>
      </c>
      <c r="P300">
        <f>'Combined Delivery Data'!B330</f>
        <v>0</v>
      </c>
      <c r="Q300">
        <f t="shared" si="28"/>
        <v>0</v>
      </c>
      <c r="R300">
        <f t="shared" si="29"/>
        <v>451</v>
      </c>
      <c r="S300" s="28">
        <f t="shared" si="25"/>
        <v>0</v>
      </c>
      <c r="T300" t="str">
        <f t="shared" si="26"/>
        <v xml:space="preserve"> -&gt; </v>
      </c>
    </row>
    <row r="301" spans="1:20">
      <c r="A301" s="31"/>
      <c r="B301" s="32"/>
      <c r="C301" s="31"/>
      <c r="D301" s="31"/>
      <c r="E301" s="31"/>
      <c r="F301" s="31"/>
      <c r="G301" s="31"/>
      <c r="H301" s="32"/>
      <c r="I301" s="32"/>
      <c r="J301" s="32"/>
      <c r="K301" s="31"/>
      <c r="L301" s="31"/>
      <c r="M301" s="3" t="str">
        <f t="shared" ca="1" si="27"/>
        <v/>
      </c>
      <c r="P301">
        <f>'Combined Delivery Data'!B331</f>
        <v>0</v>
      </c>
      <c r="Q301">
        <f t="shared" si="28"/>
        <v>0</v>
      </c>
      <c r="R301">
        <f t="shared" si="29"/>
        <v>451</v>
      </c>
      <c r="S301" s="28">
        <f t="shared" si="25"/>
        <v>0</v>
      </c>
      <c r="T301" t="str">
        <f t="shared" si="26"/>
        <v xml:space="preserve"> -&gt; </v>
      </c>
    </row>
    <row r="302" spans="1:20">
      <c r="A302" s="31"/>
      <c r="B302" s="32"/>
      <c r="C302" s="31"/>
      <c r="D302" s="31"/>
      <c r="E302" s="31"/>
      <c r="F302" s="31"/>
      <c r="G302" s="31"/>
      <c r="H302" s="32"/>
      <c r="I302" s="32"/>
      <c r="J302" s="32"/>
      <c r="K302" s="31"/>
      <c r="L302" s="31"/>
      <c r="M302" s="3" t="str">
        <f t="shared" ca="1" si="27"/>
        <v/>
      </c>
      <c r="P302">
        <f>'Combined Delivery Data'!B332</f>
        <v>0</v>
      </c>
      <c r="Q302">
        <f t="shared" si="28"/>
        <v>0</v>
      </c>
      <c r="R302">
        <f t="shared" si="29"/>
        <v>451</v>
      </c>
      <c r="S302" s="28">
        <f t="shared" ref="S302:S365" si="30">IF($P302="","",IF(SUMPRODUCT(MAX(($A$2:$A$497=$P302)*ROW($A$2:$A$497)))=0,"",INDEX($B:$B,SUMPRODUCT(MAX(($A$2:$A$497=$P302)*ROW($A$2:$A$497))))))</f>
        <v>0</v>
      </c>
      <c r="T302" t="str">
        <f t="shared" ref="T302:T365" si="31">IF($P302="","",IF(SUMPRODUCT(MAX(($A$2:$A$497=$P302)*ROW($A$2:$A$497)))=0,"",INDEX($C:$C,SUMPRODUCT(MAX(($A$2:$A$497=$P302)*ROW($A$2:$A$497))))&amp;" -&gt; "&amp;INDEX($D:$D,SUMPRODUCT(MAX(($A$2:$A$497=$P302)*ROW($A$2:$A$497))))))</f>
        <v xml:space="preserve"> -&gt; </v>
      </c>
    </row>
    <row r="303" spans="1:20">
      <c r="A303" s="31"/>
      <c r="B303" s="32"/>
      <c r="C303" s="31"/>
      <c r="D303" s="31"/>
      <c r="E303" s="31"/>
      <c r="F303" s="31"/>
      <c r="G303" s="31"/>
      <c r="H303" s="32"/>
      <c r="I303" s="32"/>
      <c r="J303" s="32"/>
      <c r="K303" s="31"/>
      <c r="L303" s="31"/>
      <c r="M303" s="3" t="str">
        <f t="shared" ca="1" si="27"/>
        <v/>
      </c>
      <c r="P303">
        <f>'Combined Delivery Data'!B333</f>
        <v>0</v>
      </c>
      <c r="Q303">
        <f t="shared" si="28"/>
        <v>0</v>
      </c>
      <c r="R303">
        <f t="shared" si="29"/>
        <v>451</v>
      </c>
      <c r="S303" s="28">
        <f t="shared" si="30"/>
        <v>0</v>
      </c>
      <c r="T303" t="str">
        <f t="shared" si="31"/>
        <v xml:space="preserve"> -&gt; </v>
      </c>
    </row>
    <row r="304" spans="1:20">
      <c r="A304" s="31"/>
      <c r="B304" s="32"/>
      <c r="C304" s="31"/>
      <c r="D304" s="31"/>
      <c r="E304" s="31"/>
      <c r="F304" s="31"/>
      <c r="G304" s="31"/>
      <c r="H304" s="32"/>
      <c r="I304" s="32"/>
      <c r="J304" s="32"/>
      <c r="K304" s="31"/>
      <c r="L304" s="31"/>
      <c r="M304" s="3" t="str">
        <f t="shared" ca="1" si="27"/>
        <v/>
      </c>
      <c r="P304">
        <f>'Combined Delivery Data'!B334</f>
        <v>0</v>
      </c>
      <c r="Q304">
        <f t="shared" si="28"/>
        <v>0</v>
      </c>
      <c r="R304">
        <f t="shared" si="29"/>
        <v>451</v>
      </c>
      <c r="S304" s="28">
        <f t="shared" si="30"/>
        <v>0</v>
      </c>
      <c r="T304" t="str">
        <f t="shared" si="31"/>
        <v xml:space="preserve"> -&gt; </v>
      </c>
    </row>
    <row r="305" spans="1:20">
      <c r="A305" s="31"/>
      <c r="B305" s="32"/>
      <c r="C305" s="31"/>
      <c r="D305" s="31"/>
      <c r="E305" s="31"/>
      <c r="F305" s="31"/>
      <c r="G305" s="31"/>
      <c r="H305" s="32"/>
      <c r="I305" s="32"/>
      <c r="J305" s="32"/>
      <c r="K305" s="31"/>
      <c r="L305" s="31"/>
      <c r="M305" s="3" t="str">
        <f t="shared" ca="1" si="27"/>
        <v/>
      </c>
      <c r="P305">
        <f>'Combined Delivery Data'!B335</f>
        <v>0</v>
      </c>
      <c r="Q305">
        <f t="shared" si="28"/>
        <v>0</v>
      </c>
      <c r="R305">
        <f t="shared" si="29"/>
        <v>451</v>
      </c>
      <c r="S305" s="28">
        <f t="shared" si="30"/>
        <v>0</v>
      </c>
      <c r="T305" t="str">
        <f t="shared" si="31"/>
        <v xml:space="preserve"> -&gt; </v>
      </c>
    </row>
    <row r="306" spans="1:20">
      <c r="A306" s="31"/>
      <c r="B306" s="32"/>
      <c r="C306" s="31"/>
      <c r="D306" s="31"/>
      <c r="E306" s="31"/>
      <c r="F306" s="31"/>
      <c r="G306" s="31"/>
      <c r="H306" s="32"/>
      <c r="I306" s="32"/>
      <c r="J306" s="32"/>
      <c r="K306" s="31"/>
      <c r="L306" s="31"/>
      <c r="M306" s="3" t="str">
        <f t="shared" ca="1" si="27"/>
        <v/>
      </c>
      <c r="P306">
        <f>'Combined Delivery Data'!B336</f>
        <v>0</v>
      </c>
      <c r="Q306">
        <f t="shared" si="28"/>
        <v>0</v>
      </c>
      <c r="R306">
        <f t="shared" si="29"/>
        <v>451</v>
      </c>
      <c r="S306" s="28">
        <f t="shared" si="30"/>
        <v>0</v>
      </c>
      <c r="T306" t="str">
        <f t="shared" si="31"/>
        <v xml:space="preserve"> -&gt; </v>
      </c>
    </row>
    <row r="307" spans="1:20">
      <c r="A307" s="31"/>
      <c r="B307" s="32"/>
      <c r="C307" s="31"/>
      <c r="D307" s="31"/>
      <c r="E307" s="31"/>
      <c r="F307" s="31"/>
      <c r="G307" s="31"/>
      <c r="H307" s="32"/>
      <c r="I307" s="32"/>
      <c r="J307" s="32"/>
      <c r="K307" s="31"/>
      <c r="L307" s="31"/>
      <c r="M307" s="3" t="str">
        <f t="shared" ca="1" si="27"/>
        <v/>
      </c>
      <c r="P307">
        <f>'Combined Delivery Data'!B337</f>
        <v>0</v>
      </c>
      <c r="Q307">
        <f t="shared" si="28"/>
        <v>0</v>
      </c>
      <c r="R307">
        <f t="shared" si="29"/>
        <v>451</v>
      </c>
      <c r="S307" s="28">
        <f t="shared" si="30"/>
        <v>0</v>
      </c>
      <c r="T307" t="str">
        <f t="shared" si="31"/>
        <v xml:space="preserve"> -&gt; </v>
      </c>
    </row>
    <row r="308" spans="1:20">
      <c r="A308" s="31"/>
      <c r="B308" s="32"/>
      <c r="C308" s="31"/>
      <c r="D308" s="31"/>
      <c r="E308" s="31"/>
      <c r="F308" s="31"/>
      <c r="G308" s="31"/>
      <c r="H308" s="32"/>
      <c r="I308" s="32"/>
      <c r="J308" s="32"/>
      <c r="K308" s="31"/>
      <c r="L308" s="31"/>
      <c r="M308" s="3" t="str">
        <f t="shared" ca="1" si="27"/>
        <v/>
      </c>
      <c r="P308">
        <f>'Combined Delivery Data'!B338</f>
        <v>0</v>
      </c>
      <c r="Q308">
        <f t="shared" si="28"/>
        <v>0</v>
      </c>
      <c r="R308">
        <f t="shared" si="29"/>
        <v>451</v>
      </c>
      <c r="S308" s="28">
        <f t="shared" si="30"/>
        <v>0</v>
      </c>
      <c r="T308" t="str">
        <f t="shared" si="31"/>
        <v xml:space="preserve"> -&gt; </v>
      </c>
    </row>
    <row r="309" spans="1:20">
      <c r="A309" s="31"/>
      <c r="B309" s="32"/>
      <c r="C309" s="31"/>
      <c r="D309" s="31"/>
      <c r="E309" s="31"/>
      <c r="F309" s="31"/>
      <c r="G309" s="31"/>
      <c r="H309" s="32"/>
      <c r="I309" s="32"/>
      <c r="J309" s="32"/>
      <c r="K309" s="31"/>
      <c r="L309" s="31"/>
      <c r="M309" s="3" t="str">
        <f t="shared" ca="1" si="27"/>
        <v/>
      </c>
      <c r="P309">
        <f>'Combined Delivery Data'!B339</f>
        <v>0</v>
      </c>
      <c r="Q309">
        <f t="shared" si="28"/>
        <v>0</v>
      </c>
      <c r="R309">
        <f t="shared" si="29"/>
        <v>451</v>
      </c>
      <c r="S309" s="28">
        <f t="shared" si="30"/>
        <v>0</v>
      </c>
      <c r="T309" t="str">
        <f t="shared" si="31"/>
        <v xml:space="preserve"> -&gt; </v>
      </c>
    </row>
    <row r="310" spans="1:20">
      <c r="A310" s="31"/>
      <c r="B310" s="32"/>
      <c r="C310" s="31"/>
      <c r="D310" s="31"/>
      <c r="E310" s="31"/>
      <c r="F310" s="31"/>
      <c r="G310" s="31"/>
      <c r="H310" s="32"/>
      <c r="I310" s="32"/>
      <c r="J310" s="32"/>
      <c r="K310" s="31"/>
      <c r="L310" s="31"/>
      <c r="M310" s="3" t="str">
        <f t="shared" ca="1" si="27"/>
        <v/>
      </c>
      <c r="P310">
        <f>'Combined Delivery Data'!B340</f>
        <v>0</v>
      </c>
      <c r="Q310">
        <f t="shared" si="28"/>
        <v>0</v>
      </c>
      <c r="R310">
        <f t="shared" si="29"/>
        <v>451</v>
      </c>
      <c r="S310" s="28">
        <f t="shared" si="30"/>
        <v>0</v>
      </c>
      <c r="T310" t="str">
        <f t="shared" si="31"/>
        <v xml:space="preserve"> -&gt; </v>
      </c>
    </row>
    <row r="311" spans="1:20">
      <c r="A311" s="31"/>
      <c r="B311" s="32"/>
      <c r="C311" s="31"/>
      <c r="D311" s="31"/>
      <c r="E311" s="31"/>
      <c r="F311" s="31"/>
      <c r="G311" s="31"/>
      <c r="H311" s="32"/>
      <c r="I311" s="32"/>
      <c r="J311" s="32"/>
      <c r="K311" s="31"/>
      <c r="L311" s="31"/>
      <c r="M311" s="3" t="str">
        <f t="shared" ca="1" si="27"/>
        <v/>
      </c>
      <c r="P311">
        <f>'Combined Delivery Data'!B341</f>
        <v>0</v>
      </c>
      <c r="Q311">
        <f t="shared" si="28"/>
        <v>0</v>
      </c>
      <c r="R311">
        <f t="shared" si="29"/>
        <v>451</v>
      </c>
      <c r="S311" s="28">
        <f t="shared" si="30"/>
        <v>0</v>
      </c>
      <c r="T311" t="str">
        <f t="shared" si="31"/>
        <v xml:space="preserve"> -&gt; </v>
      </c>
    </row>
    <row r="312" spans="1:20">
      <c r="A312" s="31"/>
      <c r="B312" s="32"/>
      <c r="C312" s="31"/>
      <c r="D312" s="31"/>
      <c r="E312" s="31"/>
      <c r="F312" s="31"/>
      <c r="G312" s="31"/>
      <c r="H312" s="32"/>
      <c r="I312" s="32"/>
      <c r="J312" s="32"/>
      <c r="K312" s="31"/>
      <c r="L312" s="31"/>
      <c r="M312" s="3" t="str">
        <f t="shared" ca="1" si="27"/>
        <v/>
      </c>
      <c r="P312">
        <f>'Combined Delivery Data'!B342</f>
        <v>0</v>
      </c>
      <c r="Q312">
        <f t="shared" si="28"/>
        <v>0</v>
      </c>
      <c r="R312">
        <f t="shared" si="29"/>
        <v>451</v>
      </c>
      <c r="S312" s="28">
        <f t="shared" si="30"/>
        <v>0</v>
      </c>
      <c r="T312" t="str">
        <f t="shared" si="31"/>
        <v xml:space="preserve"> -&gt; </v>
      </c>
    </row>
    <row r="313" spans="1:20">
      <c r="A313" s="31"/>
      <c r="B313" s="32"/>
      <c r="C313" s="31"/>
      <c r="D313" s="31"/>
      <c r="E313" s="31"/>
      <c r="F313" s="31"/>
      <c r="G313" s="31"/>
      <c r="H313" s="32"/>
      <c r="I313" s="32"/>
      <c r="J313" s="32"/>
      <c r="K313" s="31"/>
      <c r="L313" s="31"/>
      <c r="M313" s="3" t="str">
        <f t="shared" ca="1" si="27"/>
        <v/>
      </c>
      <c r="P313">
        <f>'Combined Delivery Data'!B343</f>
        <v>0</v>
      </c>
      <c r="Q313">
        <f t="shared" si="28"/>
        <v>0</v>
      </c>
      <c r="R313">
        <f t="shared" si="29"/>
        <v>451</v>
      </c>
      <c r="S313" s="28">
        <f t="shared" si="30"/>
        <v>0</v>
      </c>
      <c r="T313" t="str">
        <f t="shared" si="31"/>
        <v xml:space="preserve"> -&gt; </v>
      </c>
    </row>
    <row r="314" spans="1:20">
      <c r="A314" s="31"/>
      <c r="B314" s="32"/>
      <c r="C314" s="31"/>
      <c r="D314" s="31"/>
      <c r="E314" s="31"/>
      <c r="F314" s="31"/>
      <c r="G314" s="31"/>
      <c r="H314" s="32"/>
      <c r="I314" s="32"/>
      <c r="J314" s="32"/>
      <c r="K314" s="31"/>
      <c r="L314" s="31"/>
      <c r="M314" s="3" t="str">
        <f t="shared" ca="1" si="27"/>
        <v/>
      </c>
      <c r="P314">
        <f>'Combined Delivery Data'!B344</f>
        <v>0</v>
      </c>
      <c r="Q314">
        <f t="shared" si="28"/>
        <v>0</v>
      </c>
      <c r="R314">
        <f t="shared" si="29"/>
        <v>451</v>
      </c>
      <c r="S314" s="28">
        <f t="shared" si="30"/>
        <v>0</v>
      </c>
      <c r="T314" t="str">
        <f t="shared" si="31"/>
        <v xml:space="preserve"> -&gt; </v>
      </c>
    </row>
    <row r="315" spans="1:20">
      <c r="A315" s="31"/>
      <c r="B315" s="32"/>
      <c r="C315" s="31"/>
      <c r="D315" s="31"/>
      <c r="E315" s="31"/>
      <c r="F315" s="31"/>
      <c r="G315" s="31"/>
      <c r="H315" s="32"/>
      <c r="I315" s="32"/>
      <c r="J315" s="32"/>
      <c r="K315" s="31"/>
      <c r="L315" s="31"/>
      <c r="M315" s="3" t="str">
        <f t="shared" ca="1" si="27"/>
        <v/>
      </c>
      <c r="P315">
        <f>'Combined Delivery Data'!B345</f>
        <v>0</v>
      </c>
      <c r="Q315">
        <f t="shared" si="28"/>
        <v>0</v>
      </c>
      <c r="R315">
        <f t="shared" si="29"/>
        <v>451</v>
      </c>
      <c r="S315" s="28">
        <f t="shared" si="30"/>
        <v>0</v>
      </c>
      <c r="T315" t="str">
        <f t="shared" si="31"/>
        <v xml:space="preserve"> -&gt; </v>
      </c>
    </row>
    <row r="316" spans="1:20">
      <c r="A316" s="31"/>
      <c r="B316" s="32"/>
      <c r="C316" s="31"/>
      <c r="D316" s="31"/>
      <c r="E316" s="31"/>
      <c r="F316" s="31"/>
      <c r="G316" s="31"/>
      <c r="H316" s="32"/>
      <c r="I316" s="32"/>
      <c r="J316" s="32"/>
      <c r="K316" s="31"/>
      <c r="L316" s="31"/>
      <c r="M316" s="3" t="str">
        <f t="shared" ca="1" si="27"/>
        <v/>
      </c>
      <c r="P316">
        <f>'Combined Delivery Data'!B346</f>
        <v>0</v>
      </c>
      <c r="Q316">
        <f t="shared" si="28"/>
        <v>0</v>
      </c>
      <c r="R316">
        <f t="shared" si="29"/>
        <v>451</v>
      </c>
      <c r="S316" s="28">
        <f t="shared" si="30"/>
        <v>0</v>
      </c>
      <c r="T316" t="str">
        <f t="shared" si="31"/>
        <v xml:space="preserve"> -&gt; </v>
      </c>
    </row>
    <row r="317" spans="1:20">
      <c r="A317" s="31"/>
      <c r="B317" s="32"/>
      <c r="C317" s="31"/>
      <c r="D317" s="31"/>
      <c r="E317" s="31"/>
      <c r="F317" s="31"/>
      <c r="G317" s="31"/>
      <c r="H317" s="32"/>
      <c r="I317" s="32"/>
      <c r="J317" s="32"/>
      <c r="K317" s="31"/>
      <c r="L317" s="31"/>
      <c r="M317" s="3" t="str">
        <f t="shared" ca="1" si="27"/>
        <v/>
      </c>
      <c r="P317">
        <f>'Combined Delivery Data'!B347</f>
        <v>0</v>
      </c>
      <c r="Q317">
        <f t="shared" si="28"/>
        <v>0</v>
      </c>
      <c r="R317">
        <f t="shared" si="29"/>
        <v>451</v>
      </c>
      <c r="S317" s="28">
        <f t="shared" si="30"/>
        <v>0</v>
      </c>
      <c r="T317" t="str">
        <f t="shared" si="31"/>
        <v xml:space="preserve"> -&gt; </v>
      </c>
    </row>
    <row r="318" spans="1:20">
      <c r="A318" s="31"/>
      <c r="B318" s="32"/>
      <c r="C318" s="31"/>
      <c r="D318" s="31"/>
      <c r="E318" s="31"/>
      <c r="F318" s="31"/>
      <c r="G318" s="31"/>
      <c r="H318" s="32"/>
      <c r="I318" s="32"/>
      <c r="J318" s="32"/>
      <c r="K318" s="31"/>
      <c r="L318" s="31"/>
      <c r="M318" s="3" t="str">
        <f t="shared" ca="1" si="27"/>
        <v/>
      </c>
      <c r="P318">
        <f>'Combined Delivery Data'!B348</f>
        <v>0</v>
      </c>
      <c r="Q318">
        <f t="shared" si="28"/>
        <v>0</v>
      </c>
      <c r="R318">
        <f t="shared" si="29"/>
        <v>451</v>
      </c>
      <c r="S318" s="28">
        <f t="shared" si="30"/>
        <v>0</v>
      </c>
      <c r="T318" t="str">
        <f t="shared" si="31"/>
        <v xml:space="preserve"> -&gt; </v>
      </c>
    </row>
    <row r="319" spans="1:20">
      <c r="A319" s="31"/>
      <c r="B319" s="32"/>
      <c r="C319" s="31"/>
      <c r="D319" s="31"/>
      <c r="E319" s="31"/>
      <c r="F319" s="31"/>
      <c r="G319" s="31"/>
      <c r="H319" s="32"/>
      <c r="I319" s="32"/>
      <c r="J319" s="32"/>
      <c r="K319" s="31"/>
      <c r="L319" s="31"/>
      <c r="M319" s="3" t="str">
        <f t="shared" ca="1" si="27"/>
        <v/>
      </c>
      <c r="P319">
        <f>'Combined Delivery Data'!B349</f>
        <v>0</v>
      </c>
      <c r="Q319">
        <f t="shared" si="28"/>
        <v>0</v>
      </c>
      <c r="R319">
        <f t="shared" si="29"/>
        <v>451</v>
      </c>
      <c r="S319" s="28">
        <f t="shared" si="30"/>
        <v>0</v>
      </c>
      <c r="T319" t="str">
        <f t="shared" si="31"/>
        <v xml:space="preserve"> -&gt; </v>
      </c>
    </row>
    <row r="320" spans="1:20">
      <c r="A320" s="31"/>
      <c r="B320" s="32"/>
      <c r="C320" s="31"/>
      <c r="D320" s="31"/>
      <c r="E320" s="31"/>
      <c r="F320" s="31"/>
      <c r="G320" s="31"/>
      <c r="H320" s="32"/>
      <c r="I320" s="32"/>
      <c r="J320" s="32"/>
      <c r="K320" s="31"/>
      <c r="L320" s="31"/>
      <c r="M320" s="3" t="str">
        <f t="shared" ref="M320:M383" ca="1" si="32">IF($A320="","",IF($G320="Did not pass re-test","Sent back again",IF(NOT(ISNUMBER($B320)),"Missing sent-back date",IF(ISNUMBER($J320),"Fixed in "&amp;($J320-$B320)&amp;" d",IF($I320="","UNCLAIMED "&amp;(TODAY()-$B320)&amp;" d",IF(TODAY()&gt;$I320,(TODAY()-$I320)&amp;" d LATE","Open "&amp;(TODAY()-$B320)&amp;" d"))))))</f>
        <v/>
      </c>
      <c r="P320">
        <f>'Combined Delivery Data'!B350</f>
        <v>0</v>
      </c>
      <c r="Q320">
        <f t="shared" si="28"/>
        <v>0</v>
      </c>
      <c r="R320">
        <f t="shared" si="29"/>
        <v>451</v>
      </c>
      <c r="S320" s="28">
        <f t="shared" si="30"/>
        <v>0</v>
      </c>
      <c r="T320" t="str">
        <f t="shared" si="31"/>
        <v xml:space="preserve"> -&gt; </v>
      </c>
    </row>
    <row r="321" spans="1:20">
      <c r="A321" s="31"/>
      <c r="B321" s="32"/>
      <c r="C321" s="31"/>
      <c r="D321" s="31"/>
      <c r="E321" s="31"/>
      <c r="F321" s="31"/>
      <c r="G321" s="31"/>
      <c r="H321" s="32"/>
      <c r="I321" s="32"/>
      <c r="J321" s="32"/>
      <c r="K321" s="31"/>
      <c r="L321" s="31"/>
      <c r="M321" s="3" t="str">
        <f t="shared" ca="1" si="32"/>
        <v/>
      </c>
      <c r="P321">
        <f>'Combined Delivery Data'!B351</f>
        <v>0</v>
      </c>
      <c r="Q321">
        <f t="shared" si="28"/>
        <v>0</v>
      </c>
      <c r="R321">
        <f t="shared" si="29"/>
        <v>451</v>
      </c>
      <c r="S321" s="28">
        <f t="shared" si="30"/>
        <v>0</v>
      </c>
      <c r="T321" t="str">
        <f t="shared" si="31"/>
        <v xml:space="preserve"> -&gt; </v>
      </c>
    </row>
    <row r="322" spans="1:20">
      <c r="A322" s="31"/>
      <c r="B322" s="32"/>
      <c r="C322" s="31"/>
      <c r="D322" s="31"/>
      <c r="E322" s="31"/>
      <c r="F322" s="31"/>
      <c r="G322" s="31"/>
      <c r="H322" s="32"/>
      <c r="I322" s="32"/>
      <c r="J322" s="32"/>
      <c r="K322" s="31"/>
      <c r="L322" s="31"/>
      <c r="M322" s="3" t="str">
        <f t="shared" ca="1" si="32"/>
        <v/>
      </c>
      <c r="P322">
        <f>'Combined Delivery Data'!B352</f>
        <v>0</v>
      </c>
      <c r="Q322">
        <f t="shared" si="28"/>
        <v>0</v>
      </c>
      <c r="R322">
        <f t="shared" si="29"/>
        <v>451</v>
      </c>
      <c r="S322" s="28">
        <f t="shared" si="30"/>
        <v>0</v>
      </c>
      <c r="T322" t="str">
        <f t="shared" si="31"/>
        <v xml:space="preserve"> -&gt; </v>
      </c>
    </row>
    <row r="323" spans="1:20">
      <c r="A323" s="31"/>
      <c r="B323" s="32"/>
      <c r="C323" s="31"/>
      <c r="D323" s="31"/>
      <c r="E323" s="31"/>
      <c r="F323" s="31"/>
      <c r="G323" s="31"/>
      <c r="H323" s="32"/>
      <c r="I323" s="32"/>
      <c r="J323" s="32"/>
      <c r="K323" s="31"/>
      <c r="L323" s="31"/>
      <c r="M323" s="3" t="str">
        <f t="shared" ca="1" si="32"/>
        <v/>
      </c>
      <c r="P323">
        <f>'Combined Delivery Data'!B353</f>
        <v>0</v>
      </c>
      <c r="Q323">
        <f t="shared" si="28"/>
        <v>0</v>
      </c>
      <c r="R323">
        <f t="shared" si="29"/>
        <v>451</v>
      </c>
      <c r="S323" s="28">
        <f t="shared" si="30"/>
        <v>0</v>
      </c>
      <c r="T323" t="str">
        <f t="shared" si="31"/>
        <v xml:space="preserve"> -&gt; </v>
      </c>
    </row>
    <row r="324" spans="1:20">
      <c r="A324" s="31"/>
      <c r="B324" s="32"/>
      <c r="C324" s="31"/>
      <c r="D324" s="31"/>
      <c r="E324" s="31"/>
      <c r="F324" s="31"/>
      <c r="G324" s="31"/>
      <c r="H324" s="32"/>
      <c r="I324" s="32"/>
      <c r="J324" s="32"/>
      <c r="K324" s="31"/>
      <c r="L324" s="31"/>
      <c r="M324" s="3" t="str">
        <f t="shared" ca="1" si="32"/>
        <v/>
      </c>
      <c r="P324">
        <f>'Combined Delivery Data'!B354</f>
        <v>0</v>
      </c>
      <c r="Q324">
        <f t="shared" si="28"/>
        <v>0</v>
      </c>
      <c r="R324">
        <f t="shared" si="29"/>
        <v>451</v>
      </c>
      <c r="S324" s="28">
        <f t="shared" si="30"/>
        <v>0</v>
      </c>
      <c r="T324" t="str">
        <f t="shared" si="31"/>
        <v xml:space="preserve"> -&gt; </v>
      </c>
    </row>
    <row r="325" spans="1:20">
      <c r="A325" s="31"/>
      <c r="B325" s="32"/>
      <c r="C325" s="31"/>
      <c r="D325" s="31"/>
      <c r="E325" s="31"/>
      <c r="F325" s="31"/>
      <c r="G325" s="31"/>
      <c r="H325" s="32"/>
      <c r="I325" s="32"/>
      <c r="J325" s="32"/>
      <c r="K325" s="31"/>
      <c r="L325" s="31"/>
      <c r="M325" s="3" t="str">
        <f t="shared" ca="1" si="32"/>
        <v/>
      </c>
      <c r="P325">
        <f>'Combined Delivery Data'!B355</f>
        <v>0</v>
      </c>
      <c r="Q325">
        <f t="shared" si="28"/>
        <v>0</v>
      </c>
      <c r="R325">
        <f t="shared" si="29"/>
        <v>451</v>
      </c>
      <c r="S325" s="28">
        <f t="shared" si="30"/>
        <v>0</v>
      </c>
      <c r="T325" t="str">
        <f t="shared" si="31"/>
        <v xml:space="preserve"> -&gt; </v>
      </c>
    </row>
    <row r="326" spans="1:20">
      <c r="A326" s="31"/>
      <c r="B326" s="32"/>
      <c r="C326" s="31"/>
      <c r="D326" s="31"/>
      <c r="E326" s="31"/>
      <c r="F326" s="31"/>
      <c r="G326" s="31"/>
      <c r="H326" s="32"/>
      <c r="I326" s="32"/>
      <c r="J326" s="32"/>
      <c r="K326" s="31"/>
      <c r="L326" s="31"/>
      <c r="M326" s="3" t="str">
        <f t="shared" ca="1" si="32"/>
        <v/>
      </c>
      <c r="P326">
        <f>'Combined Delivery Data'!B356</f>
        <v>0</v>
      </c>
      <c r="Q326">
        <f t="shared" si="28"/>
        <v>0</v>
      </c>
      <c r="R326">
        <f t="shared" si="29"/>
        <v>451</v>
      </c>
      <c r="S326" s="28">
        <f t="shared" si="30"/>
        <v>0</v>
      </c>
      <c r="T326" t="str">
        <f t="shared" si="31"/>
        <v xml:space="preserve"> -&gt; </v>
      </c>
    </row>
    <row r="327" spans="1:20">
      <c r="A327" s="31"/>
      <c r="B327" s="32"/>
      <c r="C327" s="31"/>
      <c r="D327" s="31"/>
      <c r="E327" s="31"/>
      <c r="F327" s="31"/>
      <c r="G327" s="31"/>
      <c r="H327" s="32"/>
      <c r="I327" s="32"/>
      <c r="J327" s="32"/>
      <c r="K327" s="31"/>
      <c r="L327" s="31"/>
      <c r="M327" s="3" t="str">
        <f t="shared" ca="1" si="32"/>
        <v/>
      </c>
      <c r="P327">
        <f>'Combined Delivery Data'!B357</f>
        <v>0</v>
      </c>
      <c r="Q327">
        <f t="shared" si="28"/>
        <v>0</v>
      </c>
      <c r="R327">
        <f t="shared" si="29"/>
        <v>451</v>
      </c>
      <c r="S327" s="28">
        <f t="shared" si="30"/>
        <v>0</v>
      </c>
      <c r="T327" t="str">
        <f t="shared" si="31"/>
        <v xml:space="preserve"> -&gt; </v>
      </c>
    </row>
    <row r="328" spans="1:20">
      <c r="A328" s="31"/>
      <c r="B328" s="32"/>
      <c r="C328" s="31"/>
      <c r="D328" s="31"/>
      <c r="E328" s="31"/>
      <c r="F328" s="31"/>
      <c r="G328" s="31"/>
      <c r="H328" s="32"/>
      <c r="I328" s="32"/>
      <c r="J328" s="32"/>
      <c r="K328" s="31"/>
      <c r="L328" s="31"/>
      <c r="M328" s="3" t="str">
        <f t="shared" ca="1" si="32"/>
        <v/>
      </c>
      <c r="P328">
        <f>'Combined Delivery Data'!B358</f>
        <v>0</v>
      </c>
      <c r="Q328">
        <f t="shared" si="28"/>
        <v>0</v>
      </c>
      <c r="R328">
        <f t="shared" si="29"/>
        <v>451</v>
      </c>
      <c r="S328" s="28">
        <f t="shared" si="30"/>
        <v>0</v>
      </c>
      <c r="T328" t="str">
        <f t="shared" si="31"/>
        <v xml:space="preserve"> -&gt; </v>
      </c>
    </row>
    <row r="329" spans="1:20">
      <c r="A329" s="31"/>
      <c r="B329" s="32"/>
      <c r="C329" s="31"/>
      <c r="D329" s="31"/>
      <c r="E329" s="31"/>
      <c r="F329" s="31"/>
      <c r="G329" s="31"/>
      <c r="H329" s="32"/>
      <c r="I329" s="32"/>
      <c r="J329" s="32"/>
      <c r="K329" s="31"/>
      <c r="L329" s="31"/>
      <c r="M329" s="3" t="str">
        <f t="shared" ca="1" si="32"/>
        <v/>
      </c>
      <c r="P329">
        <f>'Combined Delivery Data'!B359</f>
        <v>0</v>
      </c>
      <c r="Q329">
        <f t="shared" si="28"/>
        <v>0</v>
      </c>
      <c r="R329">
        <f t="shared" si="29"/>
        <v>451</v>
      </c>
      <c r="S329" s="28">
        <f t="shared" si="30"/>
        <v>0</v>
      </c>
      <c r="T329" t="str">
        <f t="shared" si="31"/>
        <v xml:space="preserve"> -&gt; </v>
      </c>
    </row>
    <row r="330" spans="1:20">
      <c r="A330" s="31"/>
      <c r="B330" s="32"/>
      <c r="C330" s="31"/>
      <c r="D330" s="31"/>
      <c r="E330" s="31"/>
      <c r="F330" s="31"/>
      <c r="G330" s="31"/>
      <c r="H330" s="32"/>
      <c r="I330" s="32"/>
      <c r="J330" s="32"/>
      <c r="K330" s="31"/>
      <c r="L330" s="31"/>
      <c r="M330" s="3" t="str">
        <f t="shared" ca="1" si="32"/>
        <v/>
      </c>
      <c r="P330">
        <f>'Combined Delivery Data'!B360</f>
        <v>0</v>
      </c>
      <c r="Q330">
        <f t="shared" si="28"/>
        <v>0</v>
      </c>
      <c r="R330">
        <f t="shared" si="29"/>
        <v>451</v>
      </c>
      <c r="S330" s="28">
        <f t="shared" si="30"/>
        <v>0</v>
      </c>
      <c r="T330" t="str">
        <f t="shared" si="31"/>
        <v xml:space="preserve"> -&gt; </v>
      </c>
    </row>
    <row r="331" spans="1:20">
      <c r="A331" s="31"/>
      <c r="B331" s="32"/>
      <c r="C331" s="31"/>
      <c r="D331" s="31"/>
      <c r="E331" s="31"/>
      <c r="F331" s="31"/>
      <c r="G331" s="31"/>
      <c r="H331" s="32"/>
      <c r="I331" s="32"/>
      <c r="J331" s="32"/>
      <c r="K331" s="31"/>
      <c r="L331" s="31"/>
      <c r="M331" s="3" t="str">
        <f t="shared" ca="1" si="32"/>
        <v/>
      </c>
      <c r="P331">
        <f>'Combined Delivery Data'!B361</f>
        <v>0</v>
      </c>
      <c r="Q331">
        <f t="shared" si="28"/>
        <v>0</v>
      </c>
      <c r="R331">
        <f t="shared" si="29"/>
        <v>451</v>
      </c>
      <c r="S331" s="28">
        <f t="shared" si="30"/>
        <v>0</v>
      </c>
      <c r="T331" t="str">
        <f t="shared" si="31"/>
        <v xml:space="preserve"> -&gt; </v>
      </c>
    </row>
    <row r="332" spans="1:20">
      <c r="A332" s="31"/>
      <c r="B332" s="32"/>
      <c r="C332" s="31"/>
      <c r="D332" s="31"/>
      <c r="E332" s="31"/>
      <c r="F332" s="31"/>
      <c r="G332" s="31"/>
      <c r="H332" s="32"/>
      <c r="I332" s="32"/>
      <c r="J332" s="32"/>
      <c r="K332" s="31"/>
      <c r="L332" s="31"/>
      <c r="M332" s="3" t="str">
        <f t="shared" ca="1" si="32"/>
        <v/>
      </c>
      <c r="P332">
        <f>'Combined Delivery Data'!B362</f>
        <v>0</v>
      </c>
      <c r="Q332">
        <f t="shared" si="28"/>
        <v>0</v>
      </c>
      <c r="R332">
        <f t="shared" si="29"/>
        <v>451</v>
      </c>
      <c r="S332" s="28">
        <f t="shared" si="30"/>
        <v>0</v>
      </c>
      <c r="T332" t="str">
        <f t="shared" si="31"/>
        <v xml:space="preserve"> -&gt; </v>
      </c>
    </row>
    <row r="333" spans="1:20">
      <c r="A333" s="31"/>
      <c r="B333" s="32"/>
      <c r="C333" s="31"/>
      <c r="D333" s="31"/>
      <c r="E333" s="31"/>
      <c r="F333" s="31"/>
      <c r="G333" s="31"/>
      <c r="H333" s="32"/>
      <c r="I333" s="32"/>
      <c r="J333" s="32"/>
      <c r="K333" s="31"/>
      <c r="L333" s="31"/>
      <c r="M333" s="3" t="str">
        <f t="shared" ca="1" si="32"/>
        <v/>
      </c>
      <c r="P333">
        <f>'Combined Delivery Data'!B363</f>
        <v>0</v>
      </c>
      <c r="Q333">
        <f t="shared" si="28"/>
        <v>0</v>
      </c>
      <c r="R333">
        <f t="shared" si="29"/>
        <v>451</v>
      </c>
      <c r="S333" s="28">
        <f t="shared" si="30"/>
        <v>0</v>
      </c>
      <c r="T333" t="str">
        <f t="shared" si="31"/>
        <v xml:space="preserve"> -&gt; </v>
      </c>
    </row>
    <row r="334" spans="1:20">
      <c r="A334" s="31"/>
      <c r="B334" s="32"/>
      <c r="C334" s="31"/>
      <c r="D334" s="31"/>
      <c r="E334" s="31"/>
      <c r="F334" s="31"/>
      <c r="G334" s="31"/>
      <c r="H334" s="32"/>
      <c r="I334" s="32"/>
      <c r="J334" s="32"/>
      <c r="K334" s="31"/>
      <c r="L334" s="31"/>
      <c r="M334" s="3" t="str">
        <f t="shared" ca="1" si="32"/>
        <v/>
      </c>
      <c r="P334">
        <f>'Combined Delivery Data'!B364</f>
        <v>0</v>
      </c>
      <c r="Q334">
        <f t="shared" si="28"/>
        <v>0</v>
      </c>
      <c r="R334">
        <f t="shared" si="29"/>
        <v>451</v>
      </c>
      <c r="S334" s="28">
        <f t="shared" si="30"/>
        <v>0</v>
      </c>
      <c r="T334" t="str">
        <f t="shared" si="31"/>
        <v xml:space="preserve"> -&gt; </v>
      </c>
    </row>
    <row r="335" spans="1:20">
      <c r="A335" s="31"/>
      <c r="B335" s="32"/>
      <c r="C335" s="31"/>
      <c r="D335" s="31"/>
      <c r="E335" s="31"/>
      <c r="F335" s="31"/>
      <c r="G335" s="31"/>
      <c r="H335" s="32"/>
      <c r="I335" s="32"/>
      <c r="J335" s="32"/>
      <c r="K335" s="31"/>
      <c r="L335" s="31"/>
      <c r="M335" s="3" t="str">
        <f t="shared" ca="1" si="32"/>
        <v/>
      </c>
      <c r="P335">
        <f>'Combined Delivery Data'!B365</f>
        <v>0</v>
      </c>
      <c r="Q335">
        <f t="shared" si="28"/>
        <v>0</v>
      </c>
      <c r="R335">
        <f t="shared" si="29"/>
        <v>451</v>
      </c>
      <c r="S335" s="28">
        <f t="shared" si="30"/>
        <v>0</v>
      </c>
      <c r="T335" t="str">
        <f t="shared" si="31"/>
        <v xml:space="preserve"> -&gt; </v>
      </c>
    </row>
    <row r="336" spans="1:20">
      <c r="A336" s="31"/>
      <c r="B336" s="32"/>
      <c r="C336" s="31"/>
      <c r="D336" s="31"/>
      <c r="E336" s="31"/>
      <c r="F336" s="31"/>
      <c r="G336" s="31"/>
      <c r="H336" s="32"/>
      <c r="I336" s="32"/>
      <c r="J336" s="32"/>
      <c r="K336" s="31"/>
      <c r="L336" s="31"/>
      <c r="M336" s="3" t="str">
        <f t="shared" ca="1" si="32"/>
        <v/>
      </c>
      <c r="P336">
        <f>'Combined Delivery Data'!B366</f>
        <v>0</v>
      </c>
      <c r="Q336">
        <f t="shared" si="28"/>
        <v>0</v>
      </c>
      <c r="R336">
        <f t="shared" si="29"/>
        <v>451</v>
      </c>
      <c r="S336" s="28">
        <f t="shared" si="30"/>
        <v>0</v>
      </c>
      <c r="T336" t="str">
        <f t="shared" si="31"/>
        <v xml:space="preserve"> -&gt; </v>
      </c>
    </row>
    <row r="337" spans="1:20">
      <c r="A337" s="31"/>
      <c r="B337" s="32"/>
      <c r="C337" s="31"/>
      <c r="D337" s="31"/>
      <c r="E337" s="31"/>
      <c r="F337" s="31"/>
      <c r="G337" s="31"/>
      <c r="H337" s="32"/>
      <c r="I337" s="32"/>
      <c r="J337" s="32"/>
      <c r="K337" s="31"/>
      <c r="L337" s="31"/>
      <c r="M337" s="3" t="str">
        <f t="shared" ca="1" si="32"/>
        <v/>
      </c>
      <c r="P337">
        <f>'Combined Delivery Data'!B367</f>
        <v>0</v>
      </c>
      <c r="Q337">
        <f t="shared" ref="Q337:Q400" si="33">IF($P337="","",COUNTIF($A$2:$A$497,$P337))</f>
        <v>0</v>
      </c>
      <c r="R337">
        <f t="shared" ref="R337:R400" si="34">IF($P337="","",SUMPRODUCT(($A$2:$A$497=$P337)*($G$2:$G$497&lt;&gt;"Yes")*($G$2:$G$497&lt;&gt;"Did not pass re-test")))</f>
        <v>451</v>
      </c>
      <c r="S337" s="28">
        <f t="shared" si="30"/>
        <v>0</v>
      </c>
      <c r="T337" t="str">
        <f t="shared" si="31"/>
        <v xml:space="preserve"> -&gt; </v>
      </c>
    </row>
    <row r="338" spans="1:20">
      <c r="A338" s="31"/>
      <c r="B338" s="32"/>
      <c r="C338" s="31"/>
      <c r="D338" s="31"/>
      <c r="E338" s="31"/>
      <c r="F338" s="31"/>
      <c r="G338" s="31"/>
      <c r="H338" s="32"/>
      <c r="I338" s="32"/>
      <c r="J338" s="32"/>
      <c r="K338" s="31"/>
      <c r="L338" s="31"/>
      <c r="M338" s="3" t="str">
        <f t="shared" ca="1" si="32"/>
        <v/>
      </c>
      <c r="P338">
        <f>'Combined Delivery Data'!B368</f>
        <v>0</v>
      </c>
      <c r="Q338">
        <f t="shared" si="33"/>
        <v>0</v>
      </c>
      <c r="R338">
        <f t="shared" si="34"/>
        <v>451</v>
      </c>
      <c r="S338" s="28">
        <f t="shared" si="30"/>
        <v>0</v>
      </c>
      <c r="T338" t="str">
        <f t="shared" si="31"/>
        <v xml:space="preserve"> -&gt; </v>
      </c>
    </row>
    <row r="339" spans="1:20">
      <c r="A339" s="31"/>
      <c r="B339" s="32"/>
      <c r="C339" s="31"/>
      <c r="D339" s="31"/>
      <c r="E339" s="31"/>
      <c r="F339" s="31"/>
      <c r="G339" s="31"/>
      <c r="H339" s="32"/>
      <c r="I339" s="32"/>
      <c r="J339" s="32"/>
      <c r="K339" s="31"/>
      <c r="L339" s="31"/>
      <c r="M339" s="3" t="str">
        <f t="shared" ca="1" si="32"/>
        <v/>
      </c>
      <c r="P339">
        <f>'Combined Delivery Data'!B369</f>
        <v>0</v>
      </c>
      <c r="Q339">
        <f t="shared" si="33"/>
        <v>0</v>
      </c>
      <c r="R339">
        <f t="shared" si="34"/>
        <v>451</v>
      </c>
      <c r="S339" s="28">
        <f t="shared" si="30"/>
        <v>0</v>
      </c>
      <c r="T339" t="str">
        <f t="shared" si="31"/>
        <v xml:space="preserve"> -&gt; </v>
      </c>
    </row>
    <row r="340" spans="1:20">
      <c r="A340" s="31"/>
      <c r="B340" s="32"/>
      <c r="C340" s="31"/>
      <c r="D340" s="31"/>
      <c r="E340" s="31"/>
      <c r="F340" s="31"/>
      <c r="G340" s="31"/>
      <c r="H340" s="32"/>
      <c r="I340" s="32"/>
      <c r="J340" s="32"/>
      <c r="K340" s="31"/>
      <c r="L340" s="31"/>
      <c r="M340" s="3" t="str">
        <f t="shared" ca="1" si="32"/>
        <v/>
      </c>
      <c r="P340">
        <f>'Combined Delivery Data'!B370</f>
        <v>0</v>
      </c>
      <c r="Q340">
        <f t="shared" si="33"/>
        <v>0</v>
      </c>
      <c r="R340">
        <f t="shared" si="34"/>
        <v>451</v>
      </c>
      <c r="S340" s="28">
        <f t="shared" si="30"/>
        <v>0</v>
      </c>
      <c r="T340" t="str">
        <f t="shared" si="31"/>
        <v xml:space="preserve"> -&gt; </v>
      </c>
    </row>
    <row r="341" spans="1:20">
      <c r="A341" s="31"/>
      <c r="B341" s="32"/>
      <c r="C341" s="31"/>
      <c r="D341" s="31"/>
      <c r="E341" s="31"/>
      <c r="F341" s="31"/>
      <c r="G341" s="31"/>
      <c r="H341" s="32"/>
      <c r="I341" s="32"/>
      <c r="J341" s="32"/>
      <c r="K341" s="31"/>
      <c r="L341" s="31"/>
      <c r="M341" s="3" t="str">
        <f t="shared" ca="1" si="32"/>
        <v/>
      </c>
      <c r="P341">
        <f>'Combined Delivery Data'!B371</f>
        <v>0</v>
      </c>
      <c r="Q341">
        <f t="shared" si="33"/>
        <v>0</v>
      </c>
      <c r="R341">
        <f t="shared" si="34"/>
        <v>451</v>
      </c>
      <c r="S341" s="28">
        <f t="shared" si="30"/>
        <v>0</v>
      </c>
      <c r="T341" t="str">
        <f t="shared" si="31"/>
        <v xml:space="preserve"> -&gt; </v>
      </c>
    </row>
    <row r="342" spans="1:20">
      <c r="A342" s="31"/>
      <c r="B342" s="32"/>
      <c r="C342" s="31"/>
      <c r="D342" s="31"/>
      <c r="E342" s="31"/>
      <c r="F342" s="31"/>
      <c r="G342" s="31"/>
      <c r="H342" s="32"/>
      <c r="I342" s="32"/>
      <c r="J342" s="32"/>
      <c r="K342" s="31"/>
      <c r="L342" s="31"/>
      <c r="M342" s="3" t="str">
        <f t="shared" ca="1" si="32"/>
        <v/>
      </c>
      <c r="P342">
        <f>'Combined Delivery Data'!B372</f>
        <v>0</v>
      </c>
      <c r="Q342">
        <f t="shared" si="33"/>
        <v>0</v>
      </c>
      <c r="R342">
        <f t="shared" si="34"/>
        <v>451</v>
      </c>
      <c r="S342" s="28">
        <f t="shared" si="30"/>
        <v>0</v>
      </c>
      <c r="T342" t="str">
        <f t="shared" si="31"/>
        <v xml:space="preserve"> -&gt; </v>
      </c>
    </row>
    <row r="343" spans="1:20">
      <c r="A343" s="31"/>
      <c r="B343" s="32"/>
      <c r="C343" s="31"/>
      <c r="D343" s="31"/>
      <c r="E343" s="31"/>
      <c r="F343" s="31"/>
      <c r="G343" s="31"/>
      <c r="H343" s="32"/>
      <c r="I343" s="32"/>
      <c r="J343" s="32"/>
      <c r="K343" s="31"/>
      <c r="L343" s="31"/>
      <c r="M343" s="3" t="str">
        <f t="shared" ca="1" si="32"/>
        <v/>
      </c>
      <c r="P343">
        <f>'Combined Delivery Data'!B373</f>
        <v>0</v>
      </c>
      <c r="Q343">
        <f t="shared" si="33"/>
        <v>0</v>
      </c>
      <c r="R343">
        <f t="shared" si="34"/>
        <v>451</v>
      </c>
      <c r="S343" s="28">
        <f t="shared" si="30"/>
        <v>0</v>
      </c>
      <c r="T343" t="str">
        <f t="shared" si="31"/>
        <v xml:space="preserve"> -&gt; </v>
      </c>
    </row>
    <row r="344" spans="1:20">
      <c r="A344" s="31"/>
      <c r="B344" s="32"/>
      <c r="C344" s="31"/>
      <c r="D344" s="31"/>
      <c r="E344" s="31"/>
      <c r="F344" s="31"/>
      <c r="G344" s="31"/>
      <c r="H344" s="32"/>
      <c r="I344" s="32"/>
      <c r="J344" s="32"/>
      <c r="K344" s="31"/>
      <c r="L344" s="31"/>
      <c r="M344" s="3" t="str">
        <f t="shared" ca="1" si="32"/>
        <v/>
      </c>
      <c r="P344">
        <f>'Combined Delivery Data'!B374</f>
        <v>0</v>
      </c>
      <c r="Q344">
        <f t="shared" si="33"/>
        <v>0</v>
      </c>
      <c r="R344">
        <f t="shared" si="34"/>
        <v>451</v>
      </c>
      <c r="S344" s="28">
        <f t="shared" si="30"/>
        <v>0</v>
      </c>
      <c r="T344" t="str">
        <f t="shared" si="31"/>
        <v xml:space="preserve"> -&gt; </v>
      </c>
    </row>
    <row r="345" spans="1:20">
      <c r="A345" s="31"/>
      <c r="B345" s="32"/>
      <c r="C345" s="31"/>
      <c r="D345" s="31"/>
      <c r="E345" s="31"/>
      <c r="F345" s="31"/>
      <c r="G345" s="31"/>
      <c r="H345" s="32"/>
      <c r="I345" s="32"/>
      <c r="J345" s="32"/>
      <c r="K345" s="31"/>
      <c r="L345" s="31"/>
      <c r="M345" s="3" t="str">
        <f t="shared" ca="1" si="32"/>
        <v/>
      </c>
      <c r="P345">
        <f>'Combined Delivery Data'!B375</f>
        <v>0</v>
      </c>
      <c r="Q345">
        <f t="shared" si="33"/>
        <v>0</v>
      </c>
      <c r="R345">
        <f t="shared" si="34"/>
        <v>451</v>
      </c>
      <c r="S345" s="28">
        <f t="shared" si="30"/>
        <v>0</v>
      </c>
      <c r="T345" t="str">
        <f t="shared" si="31"/>
        <v xml:space="preserve"> -&gt; </v>
      </c>
    </row>
    <row r="346" spans="1:20">
      <c r="A346" s="31"/>
      <c r="B346" s="32"/>
      <c r="C346" s="31"/>
      <c r="D346" s="31"/>
      <c r="E346" s="31"/>
      <c r="F346" s="31"/>
      <c r="G346" s="31"/>
      <c r="H346" s="32"/>
      <c r="I346" s="32"/>
      <c r="J346" s="32"/>
      <c r="K346" s="31"/>
      <c r="L346" s="31"/>
      <c r="M346" s="3" t="str">
        <f t="shared" ca="1" si="32"/>
        <v/>
      </c>
      <c r="P346">
        <f>'Combined Delivery Data'!B376</f>
        <v>0</v>
      </c>
      <c r="Q346">
        <f t="shared" si="33"/>
        <v>0</v>
      </c>
      <c r="R346">
        <f t="shared" si="34"/>
        <v>451</v>
      </c>
      <c r="S346" s="28">
        <f t="shared" si="30"/>
        <v>0</v>
      </c>
      <c r="T346" t="str">
        <f t="shared" si="31"/>
        <v xml:space="preserve"> -&gt; </v>
      </c>
    </row>
    <row r="347" spans="1:20">
      <c r="A347" s="31"/>
      <c r="B347" s="32"/>
      <c r="C347" s="31"/>
      <c r="D347" s="31"/>
      <c r="E347" s="31"/>
      <c r="F347" s="31"/>
      <c r="G347" s="31"/>
      <c r="H347" s="32"/>
      <c r="I347" s="32"/>
      <c r="J347" s="32"/>
      <c r="K347" s="31"/>
      <c r="L347" s="31"/>
      <c r="M347" s="3" t="str">
        <f t="shared" ca="1" si="32"/>
        <v/>
      </c>
      <c r="P347">
        <f>'Combined Delivery Data'!B377</f>
        <v>0</v>
      </c>
      <c r="Q347">
        <f t="shared" si="33"/>
        <v>0</v>
      </c>
      <c r="R347">
        <f t="shared" si="34"/>
        <v>451</v>
      </c>
      <c r="S347" s="28">
        <f t="shared" si="30"/>
        <v>0</v>
      </c>
      <c r="T347" t="str">
        <f t="shared" si="31"/>
        <v xml:space="preserve"> -&gt; </v>
      </c>
    </row>
    <row r="348" spans="1:20">
      <c r="A348" s="31"/>
      <c r="B348" s="32"/>
      <c r="C348" s="31"/>
      <c r="D348" s="31"/>
      <c r="E348" s="31"/>
      <c r="F348" s="31"/>
      <c r="G348" s="31"/>
      <c r="H348" s="32"/>
      <c r="I348" s="32"/>
      <c r="J348" s="32"/>
      <c r="K348" s="31"/>
      <c r="L348" s="31"/>
      <c r="M348" s="3" t="str">
        <f t="shared" ca="1" si="32"/>
        <v/>
      </c>
      <c r="P348">
        <f>'Combined Delivery Data'!B378</f>
        <v>0</v>
      </c>
      <c r="Q348">
        <f t="shared" si="33"/>
        <v>0</v>
      </c>
      <c r="R348">
        <f t="shared" si="34"/>
        <v>451</v>
      </c>
      <c r="S348" s="28">
        <f t="shared" si="30"/>
        <v>0</v>
      </c>
      <c r="T348" t="str">
        <f t="shared" si="31"/>
        <v xml:space="preserve"> -&gt; </v>
      </c>
    </row>
    <row r="349" spans="1:20">
      <c r="A349" s="31"/>
      <c r="B349" s="32"/>
      <c r="C349" s="31"/>
      <c r="D349" s="31"/>
      <c r="E349" s="31"/>
      <c r="F349" s="31"/>
      <c r="G349" s="31"/>
      <c r="H349" s="32"/>
      <c r="I349" s="32"/>
      <c r="J349" s="32"/>
      <c r="K349" s="31"/>
      <c r="L349" s="31"/>
      <c r="M349" s="3" t="str">
        <f t="shared" ca="1" si="32"/>
        <v/>
      </c>
      <c r="P349">
        <f>'Combined Delivery Data'!B379</f>
        <v>0</v>
      </c>
      <c r="Q349">
        <f t="shared" si="33"/>
        <v>0</v>
      </c>
      <c r="R349">
        <f t="shared" si="34"/>
        <v>451</v>
      </c>
      <c r="S349" s="28">
        <f t="shared" si="30"/>
        <v>0</v>
      </c>
      <c r="T349" t="str">
        <f t="shared" si="31"/>
        <v xml:space="preserve"> -&gt; </v>
      </c>
    </row>
    <row r="350" spans="1:20">
      <c r="A350" s="31"/>
      <c r="B350" s="32"/>
      <c r="C350" s="31"/>
      <c r="D350" s="31"/>
      <c r="E350" s="31"/>
      <c r="F350" s="31"/>
      <c r="G350" s="31"/>
      <c r="H350" s="32"/>
      <c r="I350" s="32"/>
      <c r="J350" s="32"/>
      <c r="K350" s="31"/>
      <c r="L350" s="31"/>
      <c r="M350" s="3" t="str">
        <f t="shared" ca="1" si="32"/>
        <v/>
      </c>
      <c r="P350">
        <f>'Combined Delivery Data'!B380</f>
        <v>0</v>
      </c>
      <c r="Q350">
        <f t="shared" si="33"/>
        <v>0</v>
      </c>
      <c r="R350">
        <f t="shared" si="34"/>
        <v>451</v>
      </c>
      <c r="S350" s="28">
        <f t="shared" si="30"/>
        <v>0</v>
      </c>
      <c r="T350" t="str">
        <f t="shared" si="31"/>
        <v xml:space="preserve"> -&gt; </v>
      </c>
    </row>
    <row r="351" spans="1:20">
      <c r="A351" s="31"/>
      <c r="B351" s="32"/>
      <c r="C351" s="31"/>
      <c r="D351" s="31"/>
      <c r="E351" s="31"/>
      <c r="F351" s="31"/>
      <c r="G351" s="31"/>
      <c r="H351" s="32"/>
      <c r="I351" s="32"/>
      <c r="J351" s="32"/>
      <c r="K351" s="31"/>
      <c r="L351" s="31"/>
      <c r="M351" s="3" t="str">
        <f t="shared" ca="1" si="32"/>
        <v/>
      </c>
      <c r="P351">
        <f>'Combined Delivery Data'!B381</f>
        <v>0</v>
      </c>
      <c r="Q351">
        <f t="shared" si="33"/>
        <v>0</v>
      </c>
      <c r="R351">
        <f t="shared" si="34"/>
        <v>451</v>
      </c>
      <c r="S351" s="28">
        <f t="shared" si="30"/>
        <v>0</v>
      </c>
      <c r="T351" t="str">
        <f t="shared" si="31"/>
        <v xml:space="preserve"> -&gt; </v>
      </c>
    </row>
    <row r="352" spans="1:20">
      <c r="A352" s="31"/>
      <c r="B352" s="32"/>
      <c r="C352" s="31"/>
      <c r="D352" s="31"/>
      <c r="E352" s="31"/>
      <c r="F352" s="31"/>
      <c r="G352" s="31"/>
      <c r="H352" s="32"/>
      <c r="I352" s="32"/>
      <c r="J352" s="32"/>
      <c r="K352" s="31"/>
      <c r="L352" s="31"/>
      <c r="M352" s="3" t="str">
        <f t="shared" ca="1" si="32"/>
        <v/>
      </c>
      <c r="P352">
        <f>'Combined Delivery Data'!B382</f>
        <v>0</v>
      </c>
      <c r="Q352">
        <f t="shared" si="33"/>
        <v>0</v>
      </c>
      <c r="R352">
        <f t="shared" si="34"/>
        <v>451</v>
      </c>
      <c r="S352" s="28">
        <f t="shared" si="30"/>
        <v>0</v>
      </c>
      <c r="T352" t="str">
        <f t="shared" si="31"/>
        <v xml:space="preserve"> -&gt; </v>
      </c>
    </row>
    <row r="353" spans="1:20">
      <c r="A353" s="31"/>
      <c r="B353" s="32"/>
      <c r="C353" s="31"/>
      <c r="D353" s="31"/>
      <c r="E353" s="31"/>
      <c r="F353" s="31"/>
      <c r="G353" s="31"/>
      <c r="H353" s="32"/>
      <c r="I353" s="32"/>
      <c r="J353" s="32"/>
      <c r="K353" s="31"/>
      <c r="L353" s="31"/>
      <c r="M353" s="3" t="str">
        <f t="shared" ca="1" si="32"/>
        <v/>
      </c>
      <c r="P353">
        <f>'Combined Delivery Data'!B383</f>
        <v>0</v>
      </c>
      <c r="Q353">
        <f t="shared" si="33"/>
        <v>0</v>
      </c>
      <c r="R353">
        <f t="shared" si="34"/>
        <v>451</v>
      </c>
      <c r="S353" s="28">
        <f t="shared" si="30"/>
        <v>0</v>
      </c>
      <c r="T353" t="str">
        <f t="shared" si="31"/>
        <v xml:space="preserve"> -&gt; </v>
      </c>
    </row>
    <row r="354" spans="1:20">
      <c r="A354" s="31"/>
      <c r="B354" s="32"/>
      <c r="C354" s="31"/>
      <c r="D354" s="31"/>
      <c r="E354" s="31"/>
      <c r="F354" s="31"/>
      <c r="G354" s="31"/>
      <c r="H354" s="32"/>
      <c r="I354" s="32"/>
      <c r="J354" s="32"/>
      <c r="K354" s="31"/>
      <c r="L354" s="31"/>
      <c r="M354" s="3" t="str">
        <f t="shared" ca="1" si="32"/>
        <v/>
      </c>
      <c r="P354">
        <f>'Combined Delivery Data'!B384</f>
        <v>0</v>
      </c>
      <c r="Q354">
        <f t="shared" si="33"/>
        <v>0</v>
      </c>
      <c r="R354">
        <f t="shared" si="34"/>
        <v>451</v>
      </c>
      <c r="S354" s="28">
        <f t="shared" si="30"/>
        <v>0</v>
      </c>
      <c r="T354" t="str">
        <f t="shared" si="31"/>
        <v xml:space="preserve"> -&gt; </v>
      </c>
    </row>
    <row r="355" spans="1:20">
      <c r="A355" s="31"/>
      <c r="B355" s="32"/>
      <c r="C355" s="31"/>
      <c r="D355" s="31"/>
      <c r="E355" s="31"/>
      <c r="F355" s="31"/>
      <c r="G355" s="31"/>
      <c r="H355" s="32"/>
      <c r="I355" s="32"/>
      <c r="J355" s="32"/>
      <c r="K355" s="31"/>
      <c r="L355" s="31"/>
      <c r="M355" s="3" t="str">
        <f t="shared" ca="1" si="32"/>
        <v/>
      </c>
      <c r="P355">
        <f>'Combined Delivery Data'!B385</f>
        <v>0</v>
      </c>
      <c r="Q355">
        <f t="shared" si="33"/>
        <v>0</v>
      </c>
      <c r="R355">
        <f t="shared" si="34"/>
        <v>451</v>
      </c>
      <c r="S355" s="28">
        <f t="shared" si="30"/>
        <v>0</v>
      </c>
      <c r="T355" t="str">
        <f t="shared" si="31"/>
        <v xml:space="preserve"> -&gt; </v>
      </c>
    </row>
    <row r="356" spans="1:20">
      <c r="A356" s="31"/>
      <c r="B356" s="32"/>
      <c r="C356" s="31"/>
      <c r="D356" s="31"/>
      <c r="E356" s="31"/>
      <c r="F356" s="31"/>
      <c r="G356" s="31"/>
      <c r="H356" s="32"/>
      <c r="I356" s="32"/>
      <c r="J356" s="32"/>
      <c r="K356" s="31"/>
      <c r="L356" s="31"/>
      <c r="M356" s="3" t="str">
        <f t="shared" ca="1" si="32"/>
        <v/>
      </c>
      <c r="P356">
        <f>'Combined Delivery Data'!B386</f>
        <v>0</v>
      </c>
      <c r="Q356">
        <f t="shared" si="33"/>
        <v>0</v>
      </c>
      <c r="R356">
        <f t="shared" si="34"/>
        <v>451</v>
      </c>
      <c r="S356" s="28">
        <f t="shared" si="30"/>
        <v>0</v>
      </c>
      <c r="T356" t="str">
        <f t="shared" si="31"/>
        <v xml:space="preserve"> -&gt; </v>
      </c>
    </row>
    <row r="357" spans="1:20">
      <c r="A357" s="31"/>
      <c r="B357" s="32"/>
      <c r="C357" s="31"/>
      <c r="D357" s="31"/>
      <c r="E357" s="31"/>
      <c r="F357" s="31"/>
      <c r="G357" s="31"/>
      <c r="H357" s="32"/>
      <c r="I357" s="32"/>
      <c r="J357" s="32"/>
      <c r="K357" s="31"/>
      <c r="L357" s="31"/>
      <c r="M357" s="3" t="str">
        <f t="shared" ca="1" si="32"/>
        <v/>
      </c>
      <c r="P357">
        <f>'Combined Delivery Data'!B387</f>
        <v>0</v>
      </c>
      <c r="Q357">
        <f t="shared" si="33"/>
        <v>0</v>
      </c>
      <c r="R357">
        <f t="shared" si="34"/>
        <v>451</v>
      </c>
      <c r="S357" s="28">
        <f t="shared" si="30"/>
        <v>0</v>
      </c>
      <c r="T357" t="str">
        <f t="shared" si="31"/>
        <v xml:space="preserve"> -&gt; </v>
      </c>
    </row>
    <row r="358" spans="1:20">
      <c r="A358" s="31"/>
      <c r="B358" s="32"/>
      <c r="C358" s="31"/>
      <c r="D358" s="31"/>
      <c r="E358" s="31"/>
      <c r="F358" s="31"/>
      <c r="G358" s="31"/>
      <c r="H358" s="32"/>
      <c r="I358" s="32"/>
      <c r="J358" s="32"/>
      <c r="K358" s="31"/>
      <c r="L358" s="31"/>
      <c r="M358" s="3" t="str">
        <f t="shared" ca="1" si="32"/>
        <v/>
      </c>
      <c r="P358">
        <f>'Combined Delivery Data'!B388</f>
        <v>0</v>
      </c>
      <c r="Q358">
        <f t="shared" si="33"/>
        <v>0</v>
      </c>
      <c r="R358">
        <f t="shared" si="34"/>
        <v>451</v>
      </c>
      <c r="S358" s="28">
        <f t="shared" si="30"/>
        <v>0</v>
      </c>
      <c r="T358" t="str">
        <f t="shared" si="31"/>
        <v xml:space="preserve"> -&gt; </v>
      </c>
    </row>
    <row r="359" spans="1:20">
      <c r="A359" s="31"/>
      <c r="B359" s="32"/>
      <c r="C359" s="31"/>
      <c r="D359" s="31"/>
      <c r="E359" s="31"/>
      <c r="F359" s="31"/>
      <c r="G359" s="31"/>
      <c r="H359" s="32"/>
      <c r="I359" s="32"/>
      <c r="J359" s="32"/>
      <c r="K359" s="31"/>
      <c r="L359" s="31"/>
      <c r="M359" s="3" t="str">
        <f t="shared" ca="1" si="32"/>
        <v/>
      </c>
      <c r="P359">
        <f>'Combined Delivery Data'!B389</f>
        <v>0</v>
      </c>
      <c r="Q359">
        <f t="shared" si="33"/>
        <v>0</v>
      </c>
      <c r="R359">
        <f t="shared" si="34"/>
        <v>451</v>
      </c>
      <c r="S359" s="28">
        <f t="shared" si="30"/>
        <v>0</v>
      </c>
      <c r="T359" t="str">
        <f t="shared" si="31"/>
        <v xml:space="preserve"> -&gt; </v>
      </c>
    </row>
    <row r="360" spans="1:20">
      <c r="A360" s="31"/>
      <c r="B360" s="32"/>
      <c r="C360" s="31"/>
      <c r="D360" s="31"/>
      <c r="E360" s="31"/>
      <c r="F360" s="31"/>
      <c r="G360" s="31"/>
      <c r="H360" s="32"/>
      <c r="I360" s="32"/>
      <c r="J360" s="32"/>
      <c r="K360" s="31"/>
      <c r="L360" s="31"/>
      <c r="M360" s="3" t="str">
        <f t="shared" ca="1" si="32"/>
        <v/>
      </c>
      <c r="P360">
        <f>'Combined Delivery Data'!B390</f>
        <v>0</v>
      </c>
      <c r="Q360">
        <f t="shared" si="33"/>
        <v>0</v>
      </c>
      <c r="R360">
        <f t="shared" si="34"/>
        <v>451</v>
      </c>
      <c r="S360" s="28">
        <f t="shared" si="30"/>
        <v>0</v>
      </c>
      <c r="T360" t="str">
        <f t="shared" si="31"/>
        <v xml:space="preserve"> -&gt; </v>
      </c>
    </row>
    <row r="361" spans="1:20">
      <c r="A361" s="31"/>
      <c r="B361" s="32"/>
      <c r="C361" s="31"/>
      <c r="D361" s="31"/>
      <c r="E361" s="31"/>
      <c r="F361" s="31"/>
      <c r="G361" s="31"/>
      <c r="H361" s="32"/>
      <c r="I361" s="32"/>
      <c r="J361" s="32"/>
      <c r="K361" s="31"/>
      <c r="L361" s="31"/>
      <c r="M361" s="3" t="str">
        <f t="shared" ca="1" si="32"/>
        <v/>
      </c>
      <c r="P361">
        <f>'Combined Delivery Data'!B391</f>
        <v>0</v>
      </c>
      <c r="Q361">
        <f t="shared" si="33"/>
        <v>0</v>
      </c>
      <c r="R361">
        <f t="shared" si="34"/>
        <v>451</v>
      </c>
      <c r="S361" s="28">
        <f t="shared" si="30"/>
        <v>0</v>
      </c>
      <c r="T361" t="str">
        <f t="shared" si="31"/>
        <v xml:space="preserve"> -&gt; </v>
      </c>
    </row>
    <row r="362" spans="1:20">
      <c r="A362" s="31"/>
      <c r="B362" s="32"/>
      <c r="C362" s="31"/>
      <c r="D362" s="31"/>
      <c r="E362" s="31"/>
      <c r="F362" s="31"/>
      <c r="G362" s="31"/>
      <c r="H362" s="32"/>
      <c r="I362" s="32"/>
      <c r="J362" s="32"/>
      <c r="K362" s="31"/>
      <c r="L362" s="31"/>
      <c r="M362" s="3" t="str">
        <f t="shared" ca="1" si="32"/>
        <v/>
      </c>
      <c r="P362">
        <f>'Combined Delivery Data'!B392</f>
        <v>0</v>
      </c>
      <c r="Q362">
        <f t="shared" si="33"/>
        <v>0</v>
      </c>
      <c r="R362">
        <f t="shared" si="34"/>
        <v>451</v>
      </c>
      <c r="S362" s="28">
        <f t="shared" si="30"/>
        <v>0</v>
      </c>
      <c r="T362" t="str">
        <f t="shared" si="31"/>
        <v xml:space="preserve"> -&gt; </v>
      </c>
    </row>
    <row r="363" spans="1:20">
      <c r="A363" s="31"/>
      <c r="B363" s="32"/>
      <c r="C363" s="31"/>
      <c r="D363" s="31"/>
      <c r="E363" s="31"/>
      <c r="F363" s="31"/>
      <c r="G363" s="31"/>
      <c r="H363" s="32"/>
      <c r="I363" s="32"/>
      <c r="J363" s="32"/>
      <c r="K363" s="31"/>
      <c r="L363" s="31"/>
      <c r="M363" s="3" t="str">
        <f t="shared" ca="1" si="32"/>
        <v/>
      </c>
      <c r="P363">
        <f>'Combined Delivery Data'!B393</f>
        <v>0</v>
      </c>
      <c r="Q363">
        <f t="shared" si="33"/>
        <v>0</v>
      </c>
      <c r="R363">
        <f t="shared" si="34"/>
        <v>451</v>
      </c>
      <c r="S363" s="28">
        <f t="shared" si="30"/>
        <v>0</v>
      </c>
      <c r="T363" t="str">
        <f t="shared" si="31"/>
        <v xml:space="preserve"> -&gt; </v>
      </c>
    </row>
    <row r="364" spans="1:20">
      <c r="A364" s="31"/>
      <c r="B364" s="32"/>
      <c r="C364" s="31"/>
      <c r="D364" s="31"/>
      <c r="E364" s="31"/>
      <c r="F364" s="31"/>
      <c r="G364" s="31"/>
      <c r="H364" s="32"/>
      <c r="I364" s="32"/>
      <c r="J364" s="32"/>
      <c r="K364" s="31"/>
      <c r="L364" s="31"/>
      <c r="M364" s="3" t="str">
        <f t="shared" ca="1" si="32"/>
        <v/>
      </c>
      <c r="P364">
        <f>'Combined Delivery Data'!B394</f>
        <v>0</v>
      </c>
      <c r="Q364">
        <f t="shared" si="33"/>
        <v>0</v>
      </c>
      <c r="R364">
        <f t="shared" si="34"/>
        <v>451</v>
      </c>
      <c r="S364" s="28">
        <f t="shared" si="30"/>
        <v>0</v>
      </c>
      <c r="T364" t="str">
        <f t="shared" si="31"/>
        <v xml:space="preserve"> -&gt; </v>
      </c>
    </row>
    <row r="365" spans="1:20">
      <c r="A365" s="31"/>
      <c r="B365" s="32"/>
      <c r="C365" s="31"/>
      <c r="D365" s="31"/>
      <c r="E365" s="31"/>
      <c r="F365" s="31"/>
      <c r="G365" s="31"/>
      <c r="H365" s="32"/>
      <c r="I365" s="32"/>
      <c r="J365" s="32"/>
      <c r="K365" s="31"/>
      <c r="L365" s="31"/>
      <c r="M365" s="3" t="str">
        <f t="shared" ca="1" si="32"/>
        <v/>
      </c>
      <c r="P365">
        <f>'Combined Delivery Data'!B395</f>
        <v>0</v>
      </c>
      <c r="Q365">
        <f t="shared" si="33"/>
        <v>0</v>
      </c>
      <c r="R365">
        <f t="shared" si="34"/>
        <v>451</v>
      </c>
      <c r="S365" s="28">
        <f t="shared" si="30"/>
        <v>0</v>
      </c>
      <c r="T365" t="str">
        <f t="shared" si="31"/>
        <v xml:space="preserve"> -&gt; </v>
      </c>
    </row>
    <row r="366" spans="1:20">
      <c r="A366" s="31"/>
      <c r="B366" s="32"/>
      <c r="C366" s="31"/>
      <c r="D366" s="31"/>
      <c r="E366" s="31"/>
      <c r="F366" s="31"/>
      <c r="G366" s="31"/>
      <c r="H366" s="32"/>
      <c r="I366" s="32"/>
      <c r="J366" s="32"/>
      <c r="K366" s="31"/>
      <c r="L366" s="31"/>
      <c r="M366" s="3" t="str">
        <f t="shared" ca="1" si="32"/>
        <v/>
      </c>
      <c r="P366">
        <f>'Combined Delivery Data'!B396</f>
        <v>0</v>
      </c>
      <c r="Q366">
        <f t="shared" si="33"/>
        <v>0</v>
      </c>
      <c r="R366">
        <f t="shared" si="34"/>
        <v>451</v>
      </c>
      <c r="S366" s="28">
        <f t="shared" ref="S366:S429" si="35">IF($P366="","",IF(SUMPRODUCT(MAX(($A$2:$A$497=$P366)*ROW($A$2:$A$497)))=0,"",INDEX($B:$B,SUMPRODUCT(MAX(($A$2:$A$497=$P366)*ROW($A$2:$A$497))))))</f>
        <v>0</v>
      </c>
      <c r="T366" t="str">
        <f t="shared" ref="T366:T429" si="36">IF($P366="","",IF(SUMPRODUCT(MAX(($A$2:$A$497=$P366)*ROW($A$2:$A$497)))=0,"",INDEX($C:$C,SUMPRODUCT(MAX(($A$2:$A$497=$P366)*ROW($A$2:$A$497))))&amp;" -&gt; "&amp;INDEX($D:$D,SUMPRODUCT(MAX(($A$2:$A$497=$P366)*ROW($A$2:$A$497))))))</f>
        <v xml:space="preserve"> -&gt; </v>
      </c>
    </row>
    <row r="367" spans="1:20">
      <c r="A367" s="31"/>
      <c r="B367" s="32"/>
      <c r="C367" s="31"/>
      <c r="D367" s="31"/>
      <c r="E367" s="31"/>
      <c r="F367" s="31"/>
      <c r="G367" s="31"/>
      <c r="H367" s="32"/>
      <c r="I367" s="32"/>
      <c r="J367" s="32"/>
      <c r="K367" s="31"/>
      <c r="L367" s="31"/>
      <c r="M367" s="3" t="str">
        <f t="shared" ca="1" si="32"/>
        <v/>
      </c>
      <c r="P367">
        <f>'Combined Delivery Data'!B397</f>
        <v>0</v>
      </c>
      <c r="Q367">
        <f t="shared" si="33"/>
        <v>0</v>
      </c>
      <c r="R367">
        <f t="shared" si="34"/>
        <v>451</v>
      </c>
      <c r="S367" s="28">
        <f t="shared" si="35"/>
        <v>0</v>
      </c>
      <c r="T367" t="str">
        <f t="shared" si="36"/>
        <v xml:space="preserve"> -&gt; </v>
      </c>
    </row>
    <row r="368" spans="1:20">
      <c r="A368" s="31"/>
      <c r="B368" s="32"/>
      <c r="C368" s="31"/>
      <c r="D368" s="31"/>
      <c r="E368" s="31"/>
      <c r="F368" s="31"/>
      <c r="G368" s="31"/>
      <c r="H368" s="32"/>
      <c r="I368" s="32"/>
      <c r="J368" s="32"/>
      <c r="K368" s="31"/>
      <c r="L368" s="31"/>
      <c r="M368" s="3" t="str">
        <f t="shared" ca="1" si="32"/>
        <v/>
      </c>
      <c r="P368">
        <f>'Combined Delivery Data'!B398</f>
        <v>0</v>
      </c>
      <c r="Q368">
        <f t="shared" si="33"/>
        <v>0</v>
      </c>
      <c r="R368">
        <f t="shared" si="34"/>
        <v>451</v>
      </c>
      <c r="S368" s="28">
        <f t="shared" si="35"/>
        <v>0</v>
      </c>
      <c r="T368" t="str">
        <f t="shared" si="36"/>
        <v xml:space="preserve"> -&gt; </v>
      </c>
    </row>
    <row r="369" spans="1:20">
      <c r="A369" s="31"/>
      <c r="B369" s="32"/>
      <c r="C369" s="31"/>
      <c r="D369" s="31"/>
      <c r="E369" s="31"/>
      <c r="F369" s="31"/>
      <c r="G369" s="31"/>
      <c r="H369" s="32"/>
      <c r="I369" s="32"/>
      <c r="J369" s="32"/>
      <c r="K369" s="31"/>
      <c r="L369" s="31"/>
      <c r="M369" s="3" t="str">
        <f t="shared" ca="1" si="32"/>
        <v/>
      </c>
      <c r="P369">
        <f>'Combined Delivery Data'!B399</f>
        <v>0</v>
      </c>
      <c r="Q369">
        <f t="shared" si="33"/>
        <v>0</v>
      </c>
      <c r="R369">
        <f t="shared" si="34"/>
        <v>451</v>
      </c>
      <c r="S369" s="28">
        <f t="shared" si="35"/>
        <v>0</v>
      </c>
      <c r="T369" t="str">
        <f t="shared" si="36"/>
        <v xml:space="preserve"> -&gt; </v>
      </c>
    </row>
    <row r="370" spans="1:20">
      <c r="A370" s="31"/>
      <c r="B370" s="32"/>
      <c r="C370" s="31"/>
      <c r="D370" s="31"/>
      <c r="E370" s="31"/>
      <c r="F370" s="31"/>
      <c r="G370" s="31"/>
      <c r="H370" s="32"/>
      <c r="I370" s="32"/>
      <c r="J370" s="32"/>
      <c r="K370" s="31"/>
      <c r="L370" s="31"/>
      <c r="M370" s="3" t="str">
        <f t="shared" ca="1" si="32"/>
        <v/>
      </c>
      <c r="P370">
        <f>'Combined Delivery Data'!B400</f>
        <v>0</v>
      </c>
      <c r="Q370">
        <f t="shared" si="33"/>
        <v>0</v>
      </c>
      <c r="R370">
        <f t="shared" si="34"/>
        <v>451</v>
      </c>
      <c r="S370" s="28">
        <f t="shared" si="35"/>
        <v>0</v>
      </c>
      <c r="T370" t="str">
        <f t="shared" si="36"/>
        <v xml:space="preserve"> -&gt; </v>
      </c>
    </row>
    <row r="371" spans="1:20">
      <c r="A371" s="31"/>
      <c r="B371" s="32"/>
      <c r="C371" s="31"/>
      <c r="D371" s="31"/>
      <c r="E371" s="31"/>
      <c r="F371" s="31"/>
      <c r="G371" s="31"/>
      <c r="H371" s="32"/>
      <c r="I371" s="32"/>
      <c r="J371" s="32"/>
      <c r="K371" s="31"/>
      <c r="L371" s="31"/>
      <c r="M371" s="3" t="str">
        <f t="shared" ca="1" si="32"/>
        <v/>
      </c>
      <c r="P371">
        <f>'Combined Delivery Data'!B401</f>
        <v>0</v>
      </c>
      <c r="Q371">
        <f t="shared" si="33"/>
        <v>0</v>
      </c>
      <c r="R371">
        <f t="shared" si="34"/>
        <v>451</v>
      </c>
      <c r="S371" s="28">
        <f t="shared" si="35"/>
        <v>0</v>
      </c>
      <c r="T371" t="str">
        <f t="shared" si="36"/>
        <v xml:space="preserve"> -&gt; </v>
      </c>
    </row>
    <row r="372" spans="1:20">
      <c r="A372" s="31"/>
      <c r="B372" s="32"/>
      <c r="C372" s="31"/>
      <c r="D372" s="31"/>
      <c r="E372" s="31"/>
      <c r="F372" s="31"/>
      <c r="G372" s="31"/>
      <c r="H372" s="32"/>
      <c r="I372" s="32"/>
      <c r="J372" s="32"/>
      <c r="K372" s="31"/>
      <c r="L372" s="31"/>
      <c r="M372" s="3" t="str">
        <f t="shared" ca="1" si="32"/>
        <v/>
      </c>
      <c r="P372">
        <f>'Combined Delivery Data'!B402</f>
        <v>0</v>
      </c>
      <c r="Q372">
        <f t="shared" si="33"/>
        <v>0</v>
      </c>
      <c r="R372">
        <f t="shared" si="34"/>
        <v>451</v>
      </c>
      <c r="S372" s="28">
        <f t="shared" si="35"/>
        <v>0</v>
      </c>
      <c r="T372" t="str">
        <f t="shared" si="36"/>
        <v xml:space="preserve"> -&gt; </v>
      </c>
    </row>
    <row r="373" spans="1:20">
      <c r="A373" s="31"/>
      <c r="B373" s="32"/>
      <c r="C373" s="31"/>
      <c r="D373" s="31"/>
      <c r="E373" s="31"/>
      <c r="F373" s="31"/>
      <c r="G373" s="31"/>
      <c r="H373" s="32"/>
      <c r="I373" s="32"/>
      <c r="J373" s="32"/>
      <c r="K373" s="31"/>
      <c r="L373" s="31"/>
      <c r="M373" s="3" t="str">
        <f t="shared" ca="1" si="32"/>
        <v/>
      </c>
      <c r="P373">
        <f>'Combined Delivery Data'!B403</f>
        <v>0</v>
      </c>
      <c r="Q373">
        <f t="shared" si="33"/>
        <v>0</v>
      </c>
      <c r="R373">
        <f t="shared" si="34"/>
        <v>451</v>
      </c>
      <c r="S373" s="28">
        <f t="shared" si="35"/>
        <v>0</v>
      </c>
      <c r="T373" t="str">
        <f t="shared" si="36"/>
        <v xml:space="preserve"> -&gt; </v>
      </c>
    </row>
    <row r="374" spans="1:20">
      <c r="A374" s="31"/>
      <c r="B374" s="32"/>
      <c r="C374" s="31"/>
      <c r="D374" s="31"/>
      <c r="E374" s="31"/>
      <c r="F374" s="31"/>
      <c r="G374" s="31"/>
      <c r="H374" s="32"/>
      <c r="I374" s="32"/>
      <c r="J374" s="32"/>
      <c r="K374" s="31"/>
      <c r="L374" s="31"/>
      <c r="M374" s="3" t="str">
        <f t="shared" ca="1" si="32"/>
        <v/>
      </c>
      <c r="P374">
        <f>'Combined Delivery Data'!B404</f>
        <v>0</v>
      </c>
      <c r="Q374">
        <f t="shared" si="33"/>
        <v>0</v>
      </c>
      <c r="R374">
        <f t="shared" si="34"/>
        <v>451</v>
      </c>
      <c r="S374" s="28">
        <f t="shared" si="35"/>
        <v>0</v>
      </c>
      <c r="T374" t="str">
        <f t="shared" si="36"/>
        <v xml:space="preserve"> -&gt; </v>
      </c>
    </row>
    <row r="375" spans="1:20">
      <c r="A375" s="31"/>
      <c r="B375" s="32"/>
      <c r="C375" s="31"/>
      <c r="D375" s="31"/>
      <c r="E375" s="31"/>
      <c r="F375" s="31"/>
      <c r="G375" s="31"/>
      <c r="H375" s="32"/>
      <c r="I375" s="32"/>
      <c r="J375" s="32"/>
      <c r="K375" s="31"/>
      <c r="L375" s="31"/>
      <c r="M375" s="3" t="str">
        <f t="shared" ca="1" si="32"/>
        <v/>
      </c>
      <c r="P375">
        <f>'Combined Delivery Data'!B405</f>
        <v>0</v>
      </c>
      <c r="Q375">
        <f t="shared" si="33"/>
        <v>0</v>
      </c>
      <c r="R375">
        <f t="shared" si="34"/>
        <v>451</v>
      </c>
      <c r="S375" s="28">
        <f t="shared" si="35"/>
        <v>0</v>
      </c>
      <c r="T375" t="str">
        <f t="shared" si="36"/>
        <v xml:space="preserve"> -&gt; </v>
      </c>
    </row>
    <row r="376" spans="1:20">
      <c r="A376" s="31"/>
      <c r="B376" s="32"/>
      <c r="C376" s="31"/>
      <c r="D376" s="31"/>
      <c r="E376" s="31"/>
      <c r="F376" s="31"/>
      <c r="G376" s="31"/>
      <c r="H376" s="32"/>
      <c r="I376" s="32"/>
      <c r="J376" s="32"/>
      <c r="K376" s="31"/>
      <c r="L376" s="31"/>
      <c r="M376" s="3" t="str">
        <f t="shared" ca="1" si="32"/>
        <v/>
      </c>
      <c r="P376">
        <f>'Combined Delivery Data'!B406</f>
        <v>0</v>
      </c>
      <c r="Q376">
        <f t="shared" si="33"/>
        <v>0</v>
      </c>
      <c r="R376">
        <f t="shared" si="34"/>
        <v>451</v>
      </c>
      <c r="S376" s="28">
        <f t="shared" si="35"/>
        <v>0</v>
      </c>
      <c r="T376" t="str">
        <f t="shared" si="36"/>
        <v xml:space="preserve"> -&gt; </v>
      </c>
    </row>
    <row r="377" spans="1:20">
      <c r="A377" s="31"/>
      <c r="B377" s="32"/>
      <c r="C377" s="31"/>
      <c r="D377" s="31"/>
      <c r="E377" s="31"/>
      <c r="F377" s="31"/>
      <c r="G377" s="31"/>
      <c r="H377" s="32"/>
      <c r="I377" s="32"/>
      <c r="J377" s="32"/>
      <c r="K377" s="31"/>
      <c r="L377" s="31"/>
      <c r="M377" s="3" t="str">
        <f t="shared" ca="1" si="32"/>
        <v/>
      </c>
      <c r="P377">
        <f>'Combined Delivery Data'!B407</f>
        <v>0</v>
      </c>
      <c r="Q377">
        <f t="shared" si="33"/>
        <v>0</v>
      </c>
      <c r="R377">
        <f t="shared" si="34"/>
        <v>451</v>
      </c>
      <c r="S377" s="28">
        <f t="shared" si="35"/>
        <v>0</v>
      </c>
      <c r="T377" t="str">
        <f t="shared" si="36"/>
        <v xml:space="preserve"> -&gt; </v>
      </c>
    </row>
    <row r="378" spans="1:20">
      <c r="A378" s="31"/>
      <c r="B378" s="32"/>
      <c r="C378" s="31"/>
      <c r="D378" s="31"/>
      <c r="E378" s="31"/>
      <c r="F378" s="31"/>
      <c r="G378" s="31"/>
      <c r="H378" s="32"/>
      <c r="I378" s="32"/>
      <c r="J378" s="32"/>
      <c r="K378" s="31"/>
      <c r="L378" s="31"/>
      <c r="M378" s="3" t="str">
        <f t="shared" ca="1" si="32"/>
        <v/>
      </c>
      <c r="P378">
        <f>'Combined Delivery Data'!B408</f>
        <v>0</v>
      </c>
      <c r="Q378">
        <f t="shared" si="33"/>
        <v>0</v>
      </c>
      <c r="R378">
        <f t="shared" si="34"/>
        <v>451</v>
      </c>
      <c r="S378" s="28">
        <f t="shared" si="35"/>
        <v>0</v>
      </c>
      <c r="T378" t="str">
        <f t="shared" si="36"/>
        <v xml:space="preserve"> -&gt; </v>
      </c>
    </row>
    <row r="379" spans="1:20">
      <c r="A379" s="31"/>
      <c r="B379" s="32"/>
      <c r="C379" s="31"/>
      <c r="D379" s="31"/>
      <c r="E379" s="31"/>
      <c r="F379" s="31"/>
      <c r="G379" s="31"/>
      <c r="H379" s="32"/>
      <c r="I379" s="32"/>
      <c r="J379" s="32"/>
      <c r="K379" s="31"/>
      <c r="L379" s="31"/>
      <c r="M379" s="3" t="str">
        <f t="shared" ca="1" si="32"/>
        <v/>
      </c>
      <c r="P379">
        <f>'Combined Delivery Data'!B409</f>
        <v>0</v>
      </c>
      <c r="Q379">
        <f t="shared" si="33"/>
        <v>0</v>
      </c>
      <c r="R379">
        <f t="shared" si="34"/>
        <v>451</v>
      </c>
      <c r="S379" s="28">
        <f t="shared" si="35"/>
        <v>0</v>
      </c>
      <c r="T379" t="str">
        <f t="shared" si="36"/>
        <v xml:space="preserve"> -&gt; </v>
      </c>
    </row>
    <row r="380" spans="1:20">
      <c r="A380" s="31"/>
      <c r="B380" s="32"/>
      <c r="C380" s="31"/>
      <c r="D380" s="31"/>
      <c r="E380" s="31"/>
      <c r="F380" s="31"/>
      <c r="G380" s="31"/>
      <c r="H380" s="32"/>
      <c r="I380" s="32"/>
      <c r="J380" s="32"/>
      <c r="K380" s="31"/>
      <c r="L380" s="31"/>
      <c r="M380" s="3" t="str">
        <f t="shared" ca="1" si="32"/>
        <v/>
      </c>
      <c r="P380">
        <f>'Combined Delivery Data'!B410</f>
        <v>0</v>
      </c>
      <c r="Q380">
        <f t="shared" si="33"/>
        <v>0</v>
      </c>
      <c r="R380">
        <f t="shared" si="34"/>
        <v>451</v>
      </c>
      <c r="S380" s="28">
        <f t="shared" si="35"/>
        <v>0</v>
      </c>
      <c r="T380" t="str">
        <f t="shared" si="36"/>
        <v xml:space="preserve"> -&gt; </v>
      </c>
    </row>
    <row r="381" spans="1:20">
      <c r="A381" s="31"/>
      <c r="B381" s="32"/>
      <c r="C381" s="31"/>
      <c r="D381" s="31"/>
      <c r="E381" s="31"/>
      <c r="F381" s="31"/>
      <c r="G381" s="31"/>
      <c r="H381" s="32"/>
      <c r="I381" s="32"/>
      <c r="J381" s="32"/>
      <c r="K381" s="31"/>
      <c r="L381" s="31"/>
      <c r="M381" s="3" t="str">
        <f t="shared" ca="1" si="32"/>
        <v/>
      </c>
      <c r="P381">
        <f>'Combined Delivery Data'!B411</f>
        <v>0</v>
      </c>
      <c r="Q381">
        <f t="shared" si="33"/>
        <v>0</v>
      </c>
      <c r="R381">
        <f t="shared" si="34"/>
        <v>451</v>
      </c>
      <c r="S381" s="28">
        <f t="shared" si="35"/>
        <v>0</v>
      </c>
      <c r="T381" t="str">
        <f t="shared" si="36"/>
        <v xml:space="preserve"> -&gt; </v>
      </c>
    </row>
    <row r="382" spans="1:20">
      <c r="A382" s="31"/>
      <c r="B382" s="32"/>
      <c r="C382" s="31"/>
      <c r="D382" s="31"/>
      <c r="E382" s="31"/>
      <c r="F382" s="31"/>
      <c r="G382" s="31"/>
      <c r="H382" s="32"/>
      <c r="I382" s="32"/>
      <c r="J382" s="32"/>
      <c r="K382" s="31"/>
      <c r="L382" s="31"/>
      <c r="M382" s="3" t="str">
        <f t="shared" ca="1" si="32"/>
        <v/>
      </c>
      <c r="P382">
        <f>'Combined Delivery Data'!B412</f>
        <v>0</v>
      </c>
      <c r="Q382">
        <f t="shared" si="33"/>
        <v>0</v>
      </c>
      <c r="R382">
        <f t="shared" si="34"/>
        <v>451</v>
      </c>
      <c r="S382" s="28">
        <f t="shared" si="35"/>
        <v>0</v>
      </c>
      <c r="T382" t="str">
        <f t="shared" si="36"/>
        <v xml:space="preserve"> -&gt; </v>
      </c>
    </row>
    <row r="383" spans="1:20">
      <c r="A383" s="31"/>
      <c r="B383" s="32"/>
      <c r="C383" s="31"/>
      <c r="D383" s="31"/>
      <c r="E383" s="31"/>
      <c r="F383" s="31"/>
      <c r="G383" s="31"/>
      <c r="H383" s="32"/>
      <c r="I383" s="32"/>
      <c r="J383" s="32"/>
      <c r="K383" s="31"/>
      <c r="L383" s="31"/>
      <c r="M383" s="3" t="str">
        <f t="shared" ca="1" si="32"/>
        <v/>
      </c>
      <c r="P383">
        <f>'Combined Delivery Data'!B413</f>
        <v>0</v>
      </c>
      <c r="Q383">
        <f t="shared" si="33"/>
        <v>0</v>
      </c>
      <c r="R383">
        <f t="shared" si="34"/>
        <v>451</v>
      </c>
      <c r="S383" s="28">
        <f t="shared" si="35"/>
        <v>0</v>
      </c>
      <c r="T383" t="str">
        <f t="shared" si="36"/>
        <v xml:space="preserve"> -&gt; </v>
      </c>
    </row>
    <row r="384" spans="1:20">
      <c r="A384" s="31"/>
      <c r="B384" s="32"/>
      <c r="C384" s="31"/>
      <c r="D384" s="31"/>
      <c r="E384" s="31"/>
      <c r="F384" s="31"/>
      <c r="G384" s="31"/>
      <c r="H384" s="32"/>
      <c r="I384" s="32"/>
      <c r="J384" s="32"/>
      <c r="K384" s="31"/>
      <c r="L384" s="31"/>
      <c r="M384" s="3" t="str">
        <f t="shared" ref="M384:M447" ca="1" si="37">IF($A384="","",IF($G384="Did not pass re-test","Sent back again",IF(NOT(ISNUMBER($B384)),"Missing sent-back date",IF(ISNUMBER($J384),"Fixed in "&amp;($J384-$B384)&amp;" d",IF($I384="","UNCLAIMED "&amp;(TODAY()-$B384)&amp;" d",IF(TODAY()&gt;$I384,(TODAY()-$I384)&amp;" d LATE","Open "&amp;(TODAY()-$B384)&amp;" d"))))))</f>
        <v/>
      </c>
      <c r="P384">
        <f>'Combined Delivery Data'!B414</f>
        <v>0</v>
      </c>
      <c r="Q384">
        <f t="shared" si="33"/>
        <v>0</v>
      </c>
      <c r="R384">
        <f t="shared" si="34"/>
        <v>451</v>
      </c>
      <c r="S384" s="28">
        <f t="shared" si="35"/>
        <v>0</v>
      </c>
      <c r="T384" t="str">
        <f t="shared" si="36"/>
        <v xml:space="preserve"> -&gt; </v>
      </c>
    </row>
    <row r="385" spans="1:20">
      <c r="A385" s="31"/>
      <c r="B385" s="32"/>
      <c r="C385" s="31"/>
      <c r="D385" s="31"/>
      <c r="E385" s="31"/>
      <c r="F385" s="31"/>
      <c r="G385" s="31"/>
      <c r="H385" s="32"/>
      <c r="I385" s="32"/>
      <c r="J385" s="32"/>
      <c r="K385" s="31"/>
      <c r="L385" s="31"/>
      <c r="M385" s="3" t="str">
        <f t="shared" ca="1" si="37"/>
        <v/>
      </c>
      <c r="P385">
        <f>'Combined Delivery Data'!B415</f>
        <v>0</v>
      </c>
      <c r="Q385">
        <f t="shared" si="33"/>
        <v>0</v>
      </c>
      <c r="R385">
        <f t="shared" si="34"/>
        <v>451</v>
      </c>
      <c r="S385" s="28">
        <f t="shared" si="35"/>
        <v>0</v>
      </c>
      <c r="T385" t="str">
        <f t="shared" si="36"/>
        <v xml:space="preserve"> -&gt; </v>
      </c>
    </row>
    <row r="386" spans="1:20">
      <c r="A386" s="31"/>
      <c r="B386" s="32"/>
      <c r="C386" s="31"/>
      <c r="D386" s="31"/>
      <c r="E386" s="31"/>
      <c r="F386" s="31"/>
      <c r="G386" s="31"/>
      <c r="H386" s="32"/>
      <c r="I386" s="32"/>
      <c r="J386" s="32"/>
      <c r="K386" s="31"/>
      <c r="L386" s="31"/>
      <c r="M386" s="3" t="str">
        <f t="shared" ca="1" si="37"/>
        <v/>
      </c>
      <c r="P386">
        <f>'Combined Delivery Data'!B416</f>
        <v>0</v>
      </c>
      <c r="Q386">
        <f t="shared" si="33"/>
        <v>0</v>
      </c>
      <c r="R386">
        <f t="shared" si="34"/>
        <v>451</v>
      </c>
      <c r="S386" s="28">
        <f t="shared" si="35"/>
        <v>0</v>
      </c>
      <c r="T386" t="str">
        <f t="shared" si="36"/>
        <v xml:space="preserve"> -&gt; </v>
      </c>
    </row>
    <row r="387" spans="1:20">
      <c r="A387" s="31"/>
      <c r="B387" s="32"/>
      <c r="C387" s="31"/>
      <c r="D387" s="31"/>
      <c r="E387" s="31"/>
      <c r="F387" s="31"/>
      <c r="G387" s="31"/>
      <c r="H387" s="32"/>
      <c r="I387" s="32"/>
      <c r="J387" s="32"/>
      <c r="K387" s="31"/>
      <c r="L387" s="31"/>
      <c r="M387" s="3" t="str">
        <f t="shared" ca="1" si="37"/>
        <v/>
      </c>
      <c r="P387">
        <f>'Combined Delivery Data'!B417</f>
        <v>0</v>
      </c>
      <c r="Q387">
        <f t="shared" si="33"/>
        <v>0</v>
      </c>
      <c r="R387">
        <f t="shared" si="34"/>
        <v>451</v>
      </c>
      <c r="S387" s="28">
        <f t="shared" si="35"/>
        <v>0</v>
      </c>
      <c r="T387" t="str">
        <f t="shared" si="36"/>
        <v xml:space="preserve"> -&gt; </v>
      </c>
    </row>
    <row r="388" spans="1:20">
      <c r="A388" s="31"/>
      <c r="B388" s="32"/>
      <c r="C388" s="31"/>
      <c r="D388" s="31"/>
      <c r="E388" s="31"/>
      <c r="F388" s="31"/>
      <c r="G388" s="31"/>
      <c r="H388" s="32"/>
      <c r="I388" s="32"/>
      <c r="J388" s="32"/>
      <c r="K388" s="31"/>
      <c r="L388" s="31"/>
      <c r="M388" s="3" t="str">
        <f t="shared" ca="1" si="37"/>
        <v/>
      </c>
      <c r="P388">
        <f>'Combined Delivery Data'!B418</f>
        <v>0</v>
      </c>
      <c r="Q388">
        <f t="shared" si="33"/>
        <v>0</v>
      </c>
      <c r="R388">
        <f t="shared" si="34"/>
        <v>451</v>
      </c>
      <c r="S388" s="28">
        <f t="shared" si="35"/>
        <v>0</v>
      </c>
      <c r="T388" t="str">
        <f t="shared" si="36"/>
        <v xml:space="preserve"> -&gt; </v>
      </c>
    </row>
    <row r="389" spans="1:20">
      <c r="A389" s="31"/>
      <c r="B389" s="32"/>
      <c r="C389" s="31"/>
      <c r="D389" s="31"/>
      <c r="E389" s="31"/>
      <c r="F389" s="31"/>
      <c r="G389" s="31"/>
      <c r="H389" s="32"/>
      <c r="I389" s="32"/>
      <c r="J389" s="32"/>
      <c r="K389" s="31"/>
      <c r="L389" s="31"/>
      <c r="M389" s="3" t="str">
        <f t="shared" ca="1" si="37"/>
        <v/>
      </c>
      <c r="P389">
        <f>'Combined Delivery Data'!B419</f>
        <v>0</v>
      </c>
      <c r="Q389">
        <f t="shared" si="33"/>
        <v>0</v>
      </c>
      <c r="R389">
        <f t="shared" si="34"/>
        <v>451</v>
      </c>
      <c r="S389" s="28">
        <f t="shared" si="35"/>
        <v>0</v>
      </c>
      <c r="T389" t="str">
        <f t="shared" si="36"/>
        <v xml:space="preserve"> -&gt; </v>
      </c>
    </row>
    <row r="390" spans="1:20">
      <c r="A390" s="31"/>
      <c r="B390" s="32"/>
      <c r="C390" s="31"/>
      <c r="D390" s="31"/>
      <c r="E390" s="31"/>
      <c r="F390" s="31"/>
      <c r="G390" s="31"/>
      <c r="H390" s="32"/>
      <c r="I390" s="32"/>
      <c r="J390" s="32"/>
      <c r="K390" s="31"/>
      <c r="L390" s="31"/>
      <c r="M390" s="3" t="str">
        <f t="shared" ca="1" si="37"/>
        <v/>
      </c>
      <c r="P390">
        <f>'Combined Delivery Data'!B420</f>
        <v>0</v>
      </c>
      <c r="Q390">
        <f t="shared" si="33"/>
        <v>0</v>
      </c>
      <c r="R390">
        <f t="shared" si="34"/>
        <v>451</v>
      </c>
      <c r="S390" s="28">
        <f t="shared" si="35"/>
        <v>0</v>
      </c>
      <c r="T390" t="str">
        <f t="shared" si="36"/>
        <v xml:space="preserve"> -&gt; </v>
      </c>
    </row>
    <row r="391" spans="1:20">
      <c r="A391" s="31"/>
      <c r="B391" s="32"/>
      <c r="C391" s="31"/>
      <c r="D391" s="31"/>
      <c r="E391" s="31"/>
      <c r="F391" s="31"/>
      <c r="G391" s="31"/>
      <c r="H391" s="32"/>
      <c r="I391" s="32"/>
      <c r="J391" s="32"/>
      <c r="K391" s="31"/>
      <c r="L391" s="31"/>
      <c r="M391" s="3" t="str">
        <f t="shared" ca="1" si="37"/>
        <v/>
      </c>
      <c r="P391">
        <f>'Combined Delivery Data'!B421</f>
        <v>0</v>
      </c>
      <c r="Q391">
        <f t="shared" si="33"/>
        <v>0</v>
      </c>
      <c r="R391">
        <f t="shared" si="34"/>
        <v>451</v>
      </c>
      <c r="S391" s="28">
        <f t="shared" si="35"/>
        <v>0</v>
      </c>
      <c r="T391" t="str">
        <f t="shared" si="36"/>
        <v xml:space="preserve"> -&gt; </v>
      </c>
    </row>
    <row r="392" spans="1:20">
      <c r="A392" s="31"/>
      <c r="B392" s="32"/>
      <c r="C392" s="31"/>
      <c r="D392" s="31"/>
      <c r="E392" s="31"/>
      <c r="F392" s="31"/>
      <c r="G392" s="31"/>
      <c r="H392" s="32"/>
      <c r="I392" s="32"/>
      <c r="J392" s="32"/>
      <c r="K392" s="31"/>
      <c r="L392" s="31"/>
      <c r="M392" s="3" t="str">
        <f t="shared" ca="1" si="37"/>
        <v/>
      </c>
      <c r="P392">
        <f>'Combined Delivery Data'!B422</f>
        <v>0</v>
      </c>
      <c r="Q392">
        <f t="shared" si="33"/>
        <v>0</v>
      </c>
      <c r="R392">
        <f t="shared" si="34"/>
        <v>451</v>
      </c>
      <c r="S392" s="28">
        <f t="shared" si="35"/>
        <v>0</v>
      </c>
      <c r="T392" t="str">
        <f t="shared" si="36"/>
        <v xml:space="preserve"> -&gt; </v>
      </c>
    </row>
    <row r="393" spans="1:20">
      <c r="A393" s="31"/>
      <c r="B393" s="32"/>
      <c r="C393" s="31"/>
      <c r="D393" s="31"/>
      <c r="E393" s="31"/>
      <c r="F393" s="31"/>
      <c r="G393" s="31"/>
      <c r="H393" s="32"/>
      <c r="I393" s="32"/>
      <c r="J393" s="32"/>
      <c r="K393" s="31"/>
      <c r="L393" s="31"/>
      <c r="M393" s="3" t="str">
        <f t="shared" ca="1" si="37"/>
        <v/>
      </c>
      <c r="P393">
        <f>'Combined Delivery Data'!B423</f>
        <v>0</v>
      </c>
      <c r="Q393">
        <f t="shared" si="33"/>
        <v>0</v>
      </c>
      <c r="R393">
        <f t="shared" si="34"/>
        <v>451</v>
      </c>
      <c r="S393" s="28">
        <f t="shared" si="35"/>
        <v>0</v>
      </c>
      <c r="T393" t="str">
        <f t="shared" si="36"/>
        <v xml:space="preserve"> -&gt; </v>
      </c>
    </row>
    <row r="394" spans="1:20">
      <c r="A394" s="31"/>
      <c r="B394" s="32"/>
      <c r="C394" s="31"/>
      <c r="D394" s="31"/>
      <c r="E394" s="31"/>
      <c r="F394" s="31"/>
      <c r="G394" s="31"/>
      <c r="H394" s="32"/>
      <c r="I394" s="32"/>
      <c r="J394" s="32"/>
      <c r="K394" s="31"/>
      <c r="L394" s="31"/>
      <c r="M394" s="3" t="str">
        <f t="shared" ca="1" si="37"/>
        <v/>
      </c>
      <c r="P394">
        <f>'Combined Delivery Data'!B424</f>
        <v>0</v>
      </c>
      <c r="Q394">
        <f t="shared" si="33"/>
        <v>0</v>
      </c>
      <c r="R394">
        <f t="shared" si="34"/>
        <v>451</v>
      </c>
      <c r="S394" s="28">
        <f t="shared" si="35"/>
        <v>0</v>
      </c>
      <c r="T394" t="str">
        <f t="shared" si="36"/>
        <v xml:space="preserve"> -&gt; </v>
      </c>
    </row>
    <row r="395" spans="1:20">
      <c r="A395" s="31"/>
      <c r="B395" s="32"/>
      <c r="C395" s="31"/>
      <c r="D395" s="31"/>
      <c r="E395" s="31"/>
      <c r="F395" s="31"/>
      <c r="G395" s="31"/>
      <c r="H395" s="32"/>
      <c r="I395" s="32"/>
      <c r="J395" s="32"/>
      <c r="K395" s="31"/>
      <c r="L395" s="31"/>
      <c r="M395" s="3" t="str">
        <f t="shared" ca="1" si="37"/>
        <v/>
      </c>
      <c r="P395">
        <f>'Combined Delivery Data'!B425</f>
        <v>0</v>
      </c>
      <c r="Q395">
        <f t="shared" si="33"/>
        <v>0</v>
      </c>
      <c r="R395">
        <f t="shared" si="34"/>
        <v>451</v>
      </c>
      <c r="S395" s="28">
        <f t="shared" si="35"/>
        <v>0</v>
      </c>
      <c r="T395" t="str">
        <f t="shared" si="36"/>
        <v xml:space="preserve"> -&gt; </v>
      </c>
    </row>
    <row r="396" spans="1:20">
      <c r="A396" s="31"/>
      <c r="B396" s="32"/>
      <c r="C396" s="31"/>
      <c r="D396" s="31"/>
      <c r="E396" s="31"/>
      <c r="F396" s="31"/>
      <c r="G396" s="31"/>
      <c r="H396" s="32"/>
      <c r="I396" s="32"/>
      <c r="J396" s="32"/>
      <c r="K396" s="31"/>
      <c r="L396" s="31"/>
      <c r="M396" s="3" t="str">
        <f t="shared" ca="1" si="37"/>
        <v/>
      </c>
      <c r="P396">
        <f>'Combined Delivery Data'!B426</f>
        <v>0</v>
      </c>
      <c r="Q396">
        <f t="shared" si="33"/>
        <v>0</v>
      </c>
      <c r="R396">
        <f t="shared" si="34"/>
        <v>451</v>
      </c>
      <c r="S396" s="28">
        <f t="shared" si="35"/>
        <v>0</v>
      </c>
      <c r="T396" t="str">
        <f t="shared" si="36"/>
        <v xml:space="preserve"> -&gt; </v>
      </c>
    </row>
    <row r="397" spans="1:20">
      <c r="A397" s="31"/>
      <c r="B397" s="32"/>
      <c r="C397" s="31"/>
      <c r="D397" s="31"/>
      <c r="E397" s="31"/>
      <c r="F397" s="31"/>
      <c r="G397" s="31"/>
      <c r="H397" s="32"/>
      <c r="I397" s="32"/>
      <c r="J397" s="32"/>
      <c r="K397" s="31"/>
      <c r="L397" s="31"/>
      <c r="M397" s="3" t="str">
        <f t="shared" ca="1" si="37"/>
        <v/>
      </c>
      <c r="P397">
        <f>'Combined Delivery Data'!B427</f>
        <v>0</v>
      </c>
      <c r="Q397">
        <f t="shared" si="33"/>
        <v>0</v>
      </c>
      <c r="R397">
        <f t="shared" si="34"/>
        <v>451</v>
      </c>
      <c r="S397" s="28">
        <f t="shared" si="35"/>
        <v>0</v>
      </c>
      <c r="T397" t="str">
        <f t="shared" si="36"/>
        <v xml:space="preserve"> -&gt; </v>
      </c>
    </row>
    <row r="398" spans="1:20">
      <c r="A398" s="31"/>
      <c r="B398" s="32"/>
      <c r="C398" s="31"/>
      <c r="D398" s="31"/>
      <c r="E398" s="31"/>
      <c r="F398" s="31"/>
      <c r="G398" s="31"/>
      <c r="H398" s="32"/>
      <c r="I398" s="32"/>
      <c r="J398" s="32"/>
      <c r="K398" s="31"/>
      <c r="L398" s="31"/>
      <c r="M398" s="3" t="str">
        <f t="shared" ca="1" si="37"/>
        <v/>
      </c>
      <c r="P398">
        <f>'Combined Delivery Data'!B428</f>
        <v>0</v>
      </c>
      <c r="Q398">
        <f t="shared" si="33"/>
        <v>0</v>
      </c>
      <c r="R398">
        <f t="shared" si="34"/>
        <v>451</v>
      </c>
      <c r="S398" s="28">
        <f t="shared" si="35"/>
        <v>0</v>
      </c>
      <c r="T398" t="str">
        <f t="shared" si="36"/>
        <v xml:space="preserve"> -&gt; </v>
      </c>
    </row>
    <row r="399" spans="1:20">
      <c r="A399" s="31"/>
      <c r="B399" s="32"/>
      <c r="C399" s="31"/>
      <c r="D399" s="31"/>
      <c r="E399" s="31"/>
      <c r="F399" s="31"/>
      <c r="G399" s="31"/>
      <c r="H399" s="32"/>
      <c r="I399" s="32"/>
      <c r="J399" s="32"/>
      <c r="K399" s="31"/>
      <c r="L399" s="31"/>
      <c r="M399" s="3" t="str">
        <f t="shared" ca="1" si="37"/>
        <v/>
      </c>
      <c r="P399">
        <f>'Combined Delivery Data'!B429</f>
        <v>0</v>
      </c>
      <c r="Q399">
        <f t="shared" si="33"/>
        <v>0</v>
      </c>
      <c r="R399">
        <f t="shared" si="34"/>
        <v>451</v>
      </c>
      <c r="S399" s="28">
        <f t="shared" si="35"/>
        <v>0</v>
      </c>
      <c r="T399" t="str">
        <f t="shared" si="36"/>
        <v xml:space="preserve"> -&gt; </v>
      </c>
    </row>
    <row r="400" spans="1:20">
      <c r="A400" s="31"/>
      <c r="B400" s="32"/>
      <c r="C400" s="31"/>
      <c r="D400" s="31"/>
      <c r="E400" s="31"/>
      <c r="F400" s="31"/>
      <c r="G400" s="31"/>
      <c r="H400" s="32"/>
      <c r="I400" s="32"/>
      <c r="J400" s="32"/>
      <c r="K400" s="31"/>
      <c r="L400" s="31"/>
      <c r="M400" s="3" t="str">
        <f t="shared" ca="1" si="37"/>
        <v/>
      </c>
      <c r="P400">
        <f>'Combined Delivery Data'!B430</f>
        <v>0</v>
      </c>
      <c r="Q400">
        <f t="shared" si="33"/>
        <v>0</v>
      </c>
      <c r="R400">
        <f t="shared" si="34"/>
        <v>451</v>
      </c>
      <c r="S400" s="28">
        <f t="shared" si="35"/>
        <v>0</v>
      </c>
      <c r="T400" t="str">
        <f t="shared" si="36"/>
        <v xml:space="preserve"> -&gt; </v>
      </c>
    </row>
    <row r="401" spans="1:20">
      <c r="A401" s="31"/>
      <c r="B401" s="32"/>
      <c r="C401" s="31"/>
      <c r="D401" s="31"/>
      <c r="E401" s="31"/>
      <c r="F401" s="31"/>
      <c r="G401" s="31"/>
      <c r="H401" s="32"/>
      <c r="I401" s="32"/>
      <c r="J401" s="32"/>
      <c r="K401" s="31"/>
      <c r="L401" s="31"/>
      <c r="M401" s="3" t="str">
        <f t="shared" ca="1" si="37"/>
        <v/>
      </c>
      <c r="P401">
        <f>'Combined Delivery Data'!B431</f>
        <v>0</v>
      </c>
      <c r="Q401">
        <f t="shared" ref="Q401:Q464" si="38">IF($P401="","",COUNTIF($A$2:$A$497,$P401))</f>
        <v>0</v>
      </c>
      <c r="R401">
        <f t="shared" ref="R401:R464" si="39">IF($P401="","",SUMPRODUCT(($A$2:$A$497=$P401)*($G$2:$G$497&lt;&gt;"Yes")*($G$2:$G$497&lt;&gt;"Did not pass re-test")))</f>
        <v>451</v>
      </c>
      <c r="S401" s="28">
        <f t="shared" si="35"/>
        <v>0</v>
      </c>
      <c r="T401" t="str">
        <f t="shared" si="36"/>
        <v xml:space="preserve"> -&gt; </v>
      </c>
    </row>
    <row r="402" spans="1:20">
      <c r="A402" s="31"/>
      <c r="B402" s="32"/>
      <c r="C402" s="31"/>
      <c r="D402" s="31"/>
      <c r="E402" s="31"/>
      <c r="F402" s="31"/>
      <c r="G402" s="31"/>
      <c r="H402" s="32"/>
      <c r="I402" s="32"/>
      <c r="J402" s="32"/>
      <c r="K402" s="31"/>
      <c r="L402" s="31"/>
      <c r="M402" s="3" t="str">
        <f t="shared" ca="1" si="37"/>
        <v/>
      </c>
      <c r="P402">
        <f>'Combined Delivery Data'!B432</f>
        <v>0</v>
      </c>
      <c r="Q402">
        <f t="shared" si="38"/>
        <v>0</v>
      </c>
      <c r="R402">
        <f t="shared" si="39"/>
        <v>451</v>
      </c>
      <c r="S402" s="28">
        <f t="shared" si="35"/>
        <v>0</v>
      </c>
      <c r="T402" t="str">
        <f t="shared" si="36"/>
        <v xml:space="preserve"> -&gt; </v>
      </c>
    </row>
    <row r="403" spans="1:20">
      <c r="A403" s="31"/>
      <c r="B403" s="32"/>
      <c r="C403" s="31"/>
      <c r="D403" s="31"/>
      <c r="E403" s="31"/>
      <c r="F403" s="31"/>
      <c r="G403" s="31"/>
      <c r="H403" s="32"/>
      <c r="I403" s="32"/>
      <c r="J403" s="32"/>
      <c r="K403" s="31"/>
      <c r="L403" s="31"/>
      <c r="M403" s="3" t="str">
        <f t="shared" ca="1" si="37"/>
        <v/>
      </c>
      <c r="P403">
        <f>'Combined Delivery Data'!B433</f>
        <v>0</v>
      </c>
      <c r="Q403">
        <f t="shared" si="38"/>
        <v>0</v>
      </c>
      <c r="R403">
        <f t="shared" si="39"/>
        <v>451</v>
      </c>
      <c r="S403" s="28">
        <f t="shared" si="35"/>
        <v>0</v>
      </c>
      <c r="T403" t="str">
        <f t="shared" si="36"/>
        <v xml:space="preserve"> -&gt; </v>
      </c>
    </row>
    <row r="404" spans="1:20">
      <c r="A404" s="31"/>
      <c r="B404" s="32"/>
      <c r="C404" s="31"/>
      <c r="D404" s="31"/>
      <c r="E404" s="31"/>
      <c r="F404" s="31"/>
      <c r="G404" s="31"/>
      <c r="H404" s="32"/>
      <c r="I404" s="32"/>
      <c r="J404" s="32"/>
      <c r="K404" s="31"/>
      <c r="L404" s="31"/>
      <c r="M404" s="3" t="str">
        <f t="shared" ca="1" si="37"/>
        <v/>
      </c>
      <c r="P404">
        <f>'Combined Delivery Data'!B434</f>
        <v>0</v>
      </c>
      <c r="Q404">
        <f t="shared" si="38"/>
        <v>0</v>
      </c>
      <c r="R404">
        <f t="shared" si="39"/>
        <v>451</v>
      </c>
      <c r="S404" s="28">
        <f t="shared" si="35"/>
        <v>0</v>
      </c>
      <c r="T404" t="str">
        <f t="shared" si="36"/>
        <v xml:space="preserve"> -&gt; </v>
      </c>
    </row>
    <row r="405" spans="1:20">
      <c r="A405" s="31"/>
      <c r="B405" s="32"/>
      <c r="C405" s="31"/>
      <c r="D405" s="31"/>
      <c r="E405" s="31"/>
      <c r="F405" s="31"/>
      <c r="G405" s="31"/>
      <c r="H405" s="32"/>
      <c r="I405" s="32"/>
      <c r="J405" s="32"/>
      <c r="K405" s="31"/>
      <c r="L405" s="31"/>
      <c r="M405" s="3" t="str">
        <f t="shared" ca="1" si="37"/>
        <v/>
      </c>
      <c r="P405">
        <f>'Combined Delivery Data'!B435</f>
        <v>0</v>
      </c>
      <c r="Q405">
        <f t="shared" si="38"/>
        <v>0</v>
      </c>
      <c r="R405">
        <f t="shared" si="39"/>
        <v>451</v>
      </c>
      <c r="S405" s="28">
        <f t="shared" si="35"/>
        <v>0</v>
      </c>
      <c r="T405" t="str">
        <f t="shared" si="36"/>
        <v xml:space="preserve"> -&gt; </v>
      </c>
    </row>
    <row r="406" spans="1:20">
      <c r="A406" s="31"/>
      <c r="B406" s="32"/>
      <c r="C406" s="31"/>
      <c r="D406" s="31"/>
      <c r="E406" s="31"/>
      <c r="F406" s="31"/>
      <c r="G406" s="31"/>
      <c r="H406" s="32"/>
      <c r="I406" s="32"/>
      <c r="J406" s="32"/>
      <c r="K406" s="31"/>
      <c r="L406" s="31"/>
      <c r="M406" s="3" t="str">
        <f t="shared" ca="1" si="37"/>
        <v/>
      </c>
      <c r="P406">
        <f>'Combined Delivery Data'!B436</f>
        <v>0</v>
      </c>
      <c r="Q406">
        <f t="shared" si="38"/>
        <v>0</v>
      </c>
      <c r="R406">
        <f t="shared" si="39"/>
        <v>451</v>
      </c>
      <c r="S406" s="28">
        <f t="shared" si="35"/>
        <v>0</v>
      </c>
      <c r="T406" t="str">
        <f t="shared" si="36"/>
        <v xml:space="preserve"> -&gt; </v>
      </c>
    </row>
    <row r="407" spans="1:20">
      <c r="A407" s="31"/>
      <c r="B407" s="32"/>
      <c r="C407" s="31"/>
      <c r="D407" s="31"/>
      <c r="E407" s="31"/>
      <c r="F407" s="31"/>
      <c r="G407" s="31"/>
      <c r="H407" s="32"/>
      <c r="I407" s="32"/>
      <c r="J407" s="32"/>
      <c r="K407" s="31"/>
      <c r="L407" s="31"/>
      <c r="M407" s="3" t="str">
        <f t="shared" ca="1" si="37"/>
        <v/>
      </c>
      <c r="P407">
        <f>'Combined Delivery Data'!B437</f>
        <v>0</v>
      </c>
      <c r="Q407">
        <f t="shared" si="38"/>
        <v>0</v>
      </c>
      <c r="R407">
        <f t="shared" si="39"/>
        <v>451</v>
      </c>
      <c r="S407" s="28">
        <f t="shared" si="35"/>
        <v>0</v>
      </c>
      <c r="T407" t="str">
        <f t="shared" si="36"/>
        <v xml:space="preserve"> -&gt; </v>
      </c>
    </row>
    <row r="408" spans="1:20">
      <c r="A408" s="31"/>
      <c r="B408" s="32"/>
      <c r="C408" s="31"/>
      <c r="D408" s="31"/>
      <c r="E408" s="31"/>
      <c r="F408" s="31"/>
      <c r="G408" s="31"/>
      <c r="H408" s="32"/>
      <c r="I408" s="32"/>
      <c r="J408" s="32"/>
      <c r="K408" s="31"/>
      <c r="L408" s="31"/>
      <c r="M408" s="3" t="str">
        <f t="shared" ca="1" si="37"/>
        <v/>
      </c>
      <c r="P408">
        <f>'Combined Delivery Data'!B438</f>
        <v>0</v>
      </c>
      <c r="Q408">
        <f t="shared" si="38"/>
        <v>0</v>
      </c>
      <c r="R408">
        <f t="shared" si="39"/>
        <v>451</v>
      </c>
      <c r="S408" s="28">
        <f t="shared" si="35"/>
        <v>0</v>
      </c>
      <c r="T408" t="str">
        <f t="shared" si="36"/>
        <v xml:space="preserve"> -&gt; </v>
      </c>
    </row>
    <row r="409" spans="1:20">
      <c r="A409" s="31"/>
      <c r="B409" s="32"/>
      <c r="C409" s="31"/>
      <c r="D409" s="31"/>
      <c r="E409" s="31"/>
      <c r="F409" s="31"/>
      <c r="G409" s="31"/>
      <c r="H409" s="32"/>
      <c r="I409" s="32"/>
      <c r="J409" s="32"/>
      <c r="K409" s="31"/>
      <c r="L409" s="31"/>
      <c r="M409" s="3" t="str">
        <f t="shared" ca="1" si="37"/>
        <v/>
      </c>
      <c r="P409">
        <f>'Combined Delivery Data'!B439</f>
        <v>0</v>
      </c>
      <c r="Q409">
        <f t="shared" si="38"/>
        <v>0</v>
      </c>
      <c r="R409">
        <f t="shared" si="39"/>
        <v>451</v>
      </c>
      <c r="S409" s="28">
        <f t="shared" si="35"/>
        <v>0</v>
      </c>
      <c r="T409" t="str">
        <f t="shared" si="36"/>
        <v xml:space="preserve"> -&gt; </v>
      </c>
    </row>
    <row r="410" spans="1:20">
      <c r="A410" s="31"/>
      <c r="B410" s="32"/>
      <c r="C410" s="31"/>
      <c r="D410" s="31"/>
      <c r="E410" s="31"/>
      <c r="F410" s="31"/>
      <c r="G410" s="31"/>
      <c r="H410" s="32"/>
      <c r="I410" s="32"/>
      <c r="J410" s="32"/>
      <c r="K410" s="31"/>
      <c r="L410" s="31"/>
      <c r="M410" s="3" t="str">
        <f t="shared" ca="1" si="37"/>
        <v/>
      </c>
      <c r="P410">
        <f>'Combined Delivery Data'!B440</f>
        <v>0</v>
      </c>
      <c r="Q410">
        <f t="shared" si="38"/>
        <v>0</v>
      </c>
      <c r="R410">
        <f t="shared" si="39"/>
        <v>451</v>
      </c>
      <c r="S410" s="28">
        <f t="shared" si="35"/>
        <v>0</v>
      </c>
      <c r="T410" t="str">
        <f t="shared" si="36"/>
        <v xml:space="preserve"> -&gt; </v>
      </c>
    </row>
    <row r="411" spans="1:20">
      <c r="A411" s="31"/>
      <c r="B411" s="32"/>
      <c r="C411" s="31"/>
      <c r="D411" s="31"/>
      <c r="E411" s="31"/>
      <c r="F411" s="31"/>
      <c r="G411" s="31"/>
      <c r="H411" s="32"/>
      <c r="I411" s="32"/>
      <c r="J411" s="32"/>
      <c r="K411" s="31"/>
      <c r="L411" s="31"/>
      <c r="M411" s="3" t="str">
        <f t="shared" ca="1" si="37"/>
        <v/>
      </c>
      <c r="P411">
        <f>'Combined Delivery Data'!B441</f>
        <v>0</v>
      </c>
      <c r="Q411">
        <f t="shared" si="38"/>
        <v>0</v>
      </c>
      <c r="R411">
        <f t="shared" si="39"/>
        <v>451</v>
      </c>
      <c r="S411" s="28">
        <f t="shared" si="35"/>
        <v>0</v>
      </c>
      <c r="T411" t="str">
        <f t="shared" si="36"/>
        <v xml:space="preserve"> -&gt; </v>
      </c>
    </row>
    <row r="412" spans="1:20">
      <c r="A412" s="31"/>
      <c r="B412" s="32"/>
      <c r="C412" s="31"/>
      <c r="D412" s="31"/>
      <c r="E412" s="31"/>
      <c r="F412" s="31"/>
      <c r="G412" s="31"/>
      <c r="H412" s="32"/>
      <c r="I412" s="32"/>
      <c r="J412" s="32"/>
      <c r="K412" s="31"/>
      <c r="L412" s="31"/>
      <c r="M412" s="3" t="str">
        <f t="shared" ca="1" si="37"/>
        <v/>
      </c>
      <c r="P412">
        <f>'Combined Delivery Data'!B442</f>
        <v>0</v>
      </c>
      <c r="Q412">
        <f t="shared" si="38"/>
        <v>0</v>
      </c>
      <c r="R412">
        <f t="shared" si="39"/>
        <v>451</v>
      </c>
      <c r="S412" s="28">
        <f t="shared" si="35"/>
        <v>0</v>
      </c>
      <c r="T412" t="str">
        <f t="shared" si="36"/>
        <v xml:space="preserve"> -&gt; </v>
      </c>
    </row>
    <row r="413" spans="1:20">
      <c r="A413" s="31"/>
      <c r="B413" s="32"/>
      <c r="C413" s="31"/>
      <c r="D413" s="31"/>
      <c r="E413" s="31"/>
      <c r="F413" s="31"/>
      <c r="G413" s="31"/>
      <c r="H413" s="32"/>
      <c r="I413" s="32"/>
      <c r="J413" s="32"/>
      <c r="K413" s="31"/>
      <c r="L413" s="31"/>
      <c r="M413" s="3" t="str">
        <f t="shared" ca="1" si="37"/>
        <v/>
      </c>
      <c r="P413">
        <f>'Combined Delivery Data'!B443</f>
        <v>0</v>
      </c>
      <c r="Q413">
        <f t="shared" si="38"/>
        <v>0</v>
      </c>
      <c r="R413">
        <f t="shared" si="39"/>
        <v>451</v>
      </c>
      <c r="S413" s="28">
        <f t="shared" si="35"/>
        <v>0</v>
      </c>
      <c r="T413" t="str">
        <f t="shared" si="36"/>
        <v xml:space="preserve"> -&gt; </v>
      </c>
    </row>
    <row r="414" spans="1:20">
      <c r="A414" s="31"/>
      <c r="B414" s="32"/>
      <c r="C414" s="31"/>
      <c r="D414" s="31"/>
      <c r="E414" s="31"/>
      <c r="F414" s="31"/>
      <c r="G414" s="31"/>
      <c r="H414" s="32"/>
      <c r="I414" s="32"/>
      <c r="J414" s="32"/>
      <c r="K414" s="31"/>
      <c r="L414" s="31"/>
      <c r="M414" s="3" t="str">
        <f t="shared" ca="1" si="37"/>
        <v/>
      </c>
      <c r="P414">
        <f>'Combined Delivery Data'!B444</f>
        <v>0</v>
      </c>
      <c r="Q414">
        <f t="shared" si="38"/>
        <v>0</v>
      </c>
      <c r="R414">
        <f t="shared" si="39"/>
        <v>451</v>
      </c>
      <c r="S414" s="28">
        <f t="shared" si="35"/>
        <v>0</v>
      </c>
      <c r="T414" t="str">
        <f t="shared" si="36"/>
        <v xml:space="preserve"> -&gt; </v>
      </c>
    </row>
    <row r="415" spans="1:20">
      <c r="A415" s="31"/>
      <c r="B415" s="32"/>
      <c r="C415" s="31"/>
      <c r="D415" s="31"/>
      <c r="E415" s="31"/>
      <c r="F415" s="31"/>
      <c r="G415" s="31"/>
      <c r="H415" s="32"/>
      <c r="I415" s="32"/>
      <c r="J415" s="32"/>
      <c r="K415" s="31"/>
      <c r="L415" s="31"/>
      <c r="M415" s="3" t="str">
        <f t="shared" ca="1" si="37"/>
        <v/>
      </c>
      <c r="P415">
        <f>'Combined Delivery Data'!B445</f>
        <v>0</v>
      </c>
      <c r="Q415">
        <f t="shared" si="38"/>
        <v>0</v>
      </c>
      <c r="R415">
        <f t="shared" si="39"/>
        <v>451</v>
      </c>
      <c r="S415" s="28">
        <f t="shared" si="35"/>
        <v>0</v>
      </c>
      <c r="T415" t="str">
        <f t="shared" si="36"/>
        <v xml:space="preserve"> -&gt; </v>
      </c>
    </row>
    <row r="416" spans="1:20">
      <c r="A416" s="31"/>
      <c r="B416" s="32"/>
      <c r="C416" s="31"/>
      <c r="D416" s="31"/>
      <c r="E416" s="31"/>
      <c r="F416" s="31"/>
      <c r="G416" s="31"/>
      <c r="H416" s="32"/>
      <c r="I416" s="32"/>
      <c r="J416" s="32"/>
      <c r="K416" s="31"/>
      <c r="L416" s="31"/>
      <c r="M416" s="3" t="str">
        <f t="shared" ca="1" si="37"/>
        <v/>
      </c>
      <c r="P416">
        <f>'Combined Delivery Data'!B446</f>
        <v>0</v>
      </c>
      <c r="Q416">
        <f t="shared" si="38"/>
        <v>0</v>
      </c>
      <c r="R416">
        <f t="shared" si="39"/>
        <v>451</v>
      </c>
      <c r="S416" s="28">
        <f t="shared" si="35"/>
        <v>0</v>
      </c>
      <c r="T416" t="str">
        <f t="shared" si="36"/>
        <v xml:space="preserve"> -&gt; </v>
      </c>
    </row>
    <row r="417" spans="1:20">
      <c r="A417" s="31"/>
      <c r="B417" s="32"/>
      <c r="C417" s="31"/>
      <c r="D417" s="31"/>
      <c r="E417" s="31"/>
      <c r="F417" s="31"/>
      <c r="G417" s="31"/>
      <c r="H417" s="32"/>
      <c r="I417" s="32"/>
      <c r="J417" s="32"/>
      <c r="K417" s="31"/>
      <c r="L417" s="31"/>
      <c r="M417" s="3" t="str">
        <f t="shared" ca="1" si="37"/>
        <v/>
      </c>
      <c r="P417">
        <f>'Combined Delivery Data'!B447</f>
        <v>0</v>
      </c>
      <c r="Q417">
        <f t="shared" si="38"/>
        <v>0</v>
      </c>
      <c r="R417">
        <f t="shared" si="39"/>
        <v>451</v>
      </c>
      <c r="S417" s="28">
        <f t="shared" si="35"/>
        <v>0</v>
      </c>
      <c r="T417" t="str">
        <f t="shared" si="36"/>
        <v xml:space="preserve"> -&gt; </v>
      </c>
    </row>
    <row r="418" spans="1:20">
      <c r="A418" s="31"/>
      <c r="B418" s="32"/>
      <c r="C418" s="31"/>
      <c r="D418" s="31"/>
      <c r="E418" s="31"/>
      <c r="F418" s="31"/>
      <c r="G418" s="31"/>
      <c r="H418" s="32"/>
      <c r="I418" s="32"/>
      <c r="J418" s="32"/>
      <c r="K418" s="31"/>
      <c r="L418" s="31"/>
      <c r="M418" s="3" t="str">
        <f t="shared" ca="1" si="37"/>
        <v/>
      </c>
      <c r="P418">
        <f>'Combined Delivery Data'!B448</f>
        <v>0</v>
      </c>
      <c r="Q418">
        <f t="shared" si="38"/>
        <v>0</v>
      </c>
      <c r="R418">
        <f t="shared" si="39"/>
        <v>451</v>
      </c>
      <c r="S418" s="28">
        <f t="shared" si="35"/>
        <v>0</v>
      </c>
      <c r="T418" t="str">
        <f t="shared" si="36"/>
        <v xml:space="preserve"> -&gt; </v>
      </c>
    </row>
    <row r="419" spans="1:20">
      <c r="A419" s="31"/>
      <c r="B419" s="32"/>
      <c r="C419" s="31"/>
      <c r="D419" s="31"/>
      <c r="E419" s="31"/>
      <c r="F419" s="31"/>
      <c r="G419" s="31"/>
      <c r="H419" s="32"/>
      <c r="I419" s="32"/>
      <c r="J419" s="32"/>
      <c r="K419" s="31"/>
      <c r="L419" s="31"/>
      <c r="M419" s="3" t="str">
        <f t="shared" ca="1" si="37"/>
        <v/>
      </c>
      <c r="P419">
        <f>'Combined Delivery Data'!B449</f>
        <v>0</v>
      </c>
      <c r="Q419">
        <f t="shared" si="38"/>
        <v>0</v>
      </c>
      <c r="R419">
        <f t="shared" si="39"/>
        <v>451</v>
      </c>
      <c r="S419" s="28">
        <f t="shared" si="35"/>
        <v>0</v>
      </c>
      <c r="T419" t="str">
        <f t="shared" si="36"/>
        <v xml:space="preserve"> -&gt; </v>
      </c>
    </row>
    <row r="420" spans="1:20">
      <c r="A420" s="31"/>
      <c r="B420" s="32"/>
      <c r="C420" s="31"/>
      <c r="D420" s="31"/>
      <c r="E420" s="31"/>
      <c r="F420" s="31"/>
      <c r="G420" s="31"/>
      <c r="H420" s="32"/>
      <c r="I420" s="32"/>
      <c r="J420" s="32"/>
      <c r="K420" s="31"/>
      <c r="L420" s="31"/>
      <c r="M420" s="3" t="str">
        <f t="shared" ca="1" si="37"/>
        <v/>
      </c>
      <c r="P420">
        <f>'Combined Delivery Data'!B450</f>
        <v>0</v>
      </c>
      <c r="Q420">
        <f t="shared" si="38"/>
        <v>0</v>
      </c>
      <c r="R420">
        <f t="shared" si="39"/>
        <v>451</v>
      </c>
      <c r="S420" s="28">
        <f t="shared" si="35"/>
        <v>0</v>
      </c>
      <c r="T420" t="str">
        <f t="shared" si="36"/>
        <v xml:space="preserve"> -&gt; </v>
      </c>
    </row>
    <row r="421" spans="1:20">
      <c r="A421" s="31"/>
      <c r="B421" s="32"/>
      <c r="C421" s="31"/>
      <c r="D421" s="31"/>
      <c r="E421" s="31"/>
      <c r="F421" s="31"/>
      <c r="G421" s="31"/>
      <c r="H421" s="32"/>
      <c r="I421" s="32"/>
      <c r="J421" s="32"/>
      <c r="K421" s="31"/>
      <c r="L421" s="31"/>
      <c r="M421" s="3" t="str">
        <f t="shared" ca="1" si="37"/>
        <v/>
      </c>
      <c r="P421">
        <f>'Combined Delivery Data'!B451</f>
        <v>0</v>
      </c>
      <c r="Q421">
        <f t="shared" si="38"/>
        <v>0</v>
      </c>
      <c r="R421">
        <f t="shared" si="39"/>
        <v>451</v>
      </c>
      <c r="S421" s="28">
        <f t="shared" si="35"/>
        <v>0</v>
      </c>
      <c r="T421" t="str">
        <f t="shared" si="36"/>
        <v xml:space="preserve"> -&gt; </v>
      </c>
    </row>
    <row r="422" spans="1:20">
      <c r="A422" s="31"/>
      <c r="B422" s="32"/>
      <c r="C422" s="31"/>
      <c r="D422" s="31"/>
      <c r="E422" s="31"/>
      <c r="F422" s="31"/>
      <c r="G422" s="31"/>
      <c r="H422" s="32"/>
      <c r="I422" s="32"/>
      <c r="J422" s="32"/>
      <c r="K422" s="31"/>
      <c r="L422" s="31"/>
      <c r="M422" s="3" t="str">
        <f t="shared" ca="1" si="37"/>
        <v/>
      </c>
      <c r="P422">
        <f>'Combined Delivery Data'!B452</f>
        <v>0</v>
      </c>
      <c r="Q422">
        <f t="shared" si="38"/>
        <v>0</v>
      </c>
      <c r="R422">
        <f t="shared" si="39"/>
        <v>451</v>
      </c>
      <c r="S422" s="28">
        <f t="shared" si="35"/>
        <v>0</v>
      </c>
      <c r="T422" t="str">
        <f t="shared" si="36"/>
        <v xml:space="preserve"> -&gt; </v>
      </c>
    </row>
    <row r="423" spans="1:20">
      <c r="A423" s="31"/>
      <c r="B423" s="32"/>
      <c r="C423" s="31"/>
      <c r="D423" s="31"/>
      <c r="E423" s="31"/>
      <c r="F423" s="31"/>
      <c r="G423" s="31"/>
      <c r="H423" s="32"/>
      <c r="I423" s="32"/>
      <c r="J423" s="32"/>
      <c r="K423" s="31"/>
      <c r="L423" s="31"/>
      <c r="M423" s="3" t="str">
        <f t="shared" ca="1" si="37"/>
        <v/>
      </c>
      <c r="P423">
        <f>'Combined Delivery Data'!B453</f>
        <v>0</v>
      </c>
      <c r="Q423">
        <f t="shared" si="38"/>
        <v>0</v>
      </c>
      <c r="R423">
        <f t="shared" si="39"/>
        <v>451</v>
      </c>
      <c r="S423" s="28">
        <f t="shared" si="35"/>
        <v>0</v>
      </c>
      <c r="T423" t="str">
        <f t="shared" si="36"/>
        <v xml:space="preserve"> -&gt; </v>
      </c>
    </row>
    <row r="424" spans="1:20">
      <c r="A424" s="31"/>
      <c r="B424" s="32"/>
      <c r="C424" s="31"/>
      <c r="D424" s="31"/>
      <c r="E424" s="31"/>
      <c r="F424" s="31"/>
      <c r="G424" s="31"/>
      <c r="H424" s="32"/>
      <c r="I424" s="32"/>
      <c r="J424" s="32"/>
      <c r="K424" s="31"/>
      <c r="L424" s="31"/>
      <c r="M424" s="3" t="str">
        <f t="shared" ca="1" si="37"/>
        <v/>
      </c>
      <c r="P424">
        <f>'Combined Delivery Data'!B454</f>
        <v>0</v>
      </c>
      <c r="Q424">
        <f t="shared" si="38"/>
        <v>0</v>
      </c>
      <c r="R424">
        <f t="shared" si="39"/>
        <v>451</v>
      </c>
      <c r="S424" s="28">
        <f t="shared" si="35"/>
        <v>0</v>
      </c>
      <c r="T424" t="str">
        <f t="shared" si="36"/>
        <v xml:space="preserve"> -&gt; </v>
      </c>
    </row>
    <row r="425" spans="1:20">
      <c r="A425" s="31"/>
      <c r="B425" s="32"/>
      <c r="C425" s="31"/>
      <c r="D425" s="31"/>
      <c r="E425" s="31"/>
      <c r="F425" s="31"/>
      <c r="G425" s="31"/>
      <c r="H425" s="32"/>
      <c r="I425" s="32"/>
      <c r="J425" s="32"/>
      <c r="K425" s="31"/>
      <c r="L425" s="31"/>
      <c r="M425" s="3" t="str">
        <f t="shared" ca="1" si="37"/>
        <v/>
      </c>
      <c r="P425">
        <f>'Combined Delivery Data'!B455</f>
        <v>0</v>
      </c>
      <c r="Q425">
        <f t="shared" si="38"/>
        <v>0</v>
      </c>
      <c r="R425">
        <f t="shared" si="39"/>
        <v>451</v>
      </c>
      <c r="S425" s="28">
        <f t="shared" si="35"/>
        <v>0</v>
      </c>
      <c r="T425" t="str">
        <f t="shared" si="36"/>
        <v xml:space="preserve"> -&gt; </v>
      </c>
    </row>
    <row r="426" spans="1:20">
      <c r="A426" s="31"/>
      <c r="B426" s="32"/>
      <c r="C426" s="31"/>
      <c r="D426" s="31"/>
      <c r="E426" s="31"/>
      <c r="F426" s="31"/>
      <c r="G426" s="31"/>
      <c r="H426" s="32"/>
      <c r="I426" s="32"/>
      <c r="J426" s="32"/>
      <c r="K426" s="31"/>
      <c r="L426" s="31"/>
      <c r="M426" s="3" t="str">
        <f t="shared" ca="1" si="37"/>
        <v/>
      </c>
      <c r="P426">
        <f>'Combined Delivery Data'!B456</f>
        <v>0</v>
      </c>
      <c r="Q426">
        <f t="shared" si="38"/>
        <v>0</v>
      </c>
      <c r="R426">
        <f t="shared" si="39"/>
        <v>451</v>
      </c>
      <c r="S426" s="28">
        <f t="shared" si="35"/>
        <v>0</v>
      </c>
      <c r="T426" t="str">
        <f t="shared" si="36"/>
        <v xml:space="preserve"> -&gt; </v>
      </c>
    </row>
    <row r="427" spans="1:20">
      <c r="A427" s="31"/>
      <c r="B427" s="32"/>
      <c r="C427" s="31"/>
      <c r="D427" s="31"/>
      <c r="E427" s="31"/>
      <c r="F427" s="31"/>
      <c r="G427" s="31"/>
      <c r="H427" s="32"/>
      <c r="I427" s="32"/>
      <c r="J427" s="32"/>
      <c r="K427" s="31"/>
      <c r="L427" s="31"/>
      <c r="M427" s="3" t="str">
        <f t="shared" ca="1" si="37"/>
        <v/>
      </c>
      <c r="P427">
        <f>'Combined Delivery Data'!B457</f>
        <v>0</v>
      </c>
      <c r="Q427">
        <f t="shared" si="38"/>
        <v>0</v>
      </c>
      <c r="R427">
        <f t="shared" si="39"/>
        <v>451</v>
      </c>
      <c r="S427" s="28">
        <f t="shared" si="35"/>
        <v>0</v>
      </c>
      <c r="T427" t="str">
        <f t="shared" si="36"/>
        <v xml:space="preserve"> -&gt; </v>
      </c>
    </row>
    <row r="428" spans="1:20">
      <c r="A428" s="31"/>
      <c r="B428" s="32"/>
      <c r="C428" s="31"/>
      <c r="D428" s="31"/>
      <c r="E428" s="31"/>
      <c r="F428" s="31"/>
      <c r="G428" s="31"/>
      <c r="H428" s="32"/>
      <c r="I428" s="32"/>
      <c r="J428" s="32"/>
      <c r="K428" s="31"/>
      <c r="L428" s="31"/>
      <c r="M428" s="3" t="str">
        <f t="shared" ca="1" si="37"/>
        <v/>
      </c>
      <c r="P428">
        <f>'Combined Delivery Data'!B458</f>
        <v>0</v>
      </c>
      <c r="Q428">
        <f t="shared" si="38"/>
        <v>0</v>
      </c>
      <c r="R428">
        <f t="shared" si="39"/>
        <v>451</v>
      </c>
      <c r="S428" s="28">
        <f t="shared" si="35"/>
        <v>0</v>
      </c>
      <c r="T428" t="str">
        <f t="shared" si="36"/>
        <v xml:space="preserve"> -&gt; </v>
      </c>
    </row>
    <row r="429" spans="1:20">
      <c r="A429" s="31"/>
      <c r="B429" s="32"/>
      <c r="C429" s="31"/>
      <c r="D429" s="31"/>
      <c r="E429" s="31"/>
      <c r="F429" s="31"/>
      <c r="G429" s="31"/>
      <c r="H429" s="32"/>
      <c r="I429" s="32"/>
      <c r="J429" s="32"/>
      <c r="K429" s="31"/>
      <c r="L429" s="31"/>
      <c r="M429" s="3" t="str">
        <f t="shared" ca="1" si="37"/>
        <v/>
      </c>
      <c r="P429">
        <f>'Combined Delivery Data'!B459</f>
        <v>0</v>
      </c>
      <c r="Q429">
        <f t="shared" si="38"/>
        <v>0</v>
      </c>
      <c r="R429">
        <f t="shared" si="39"/>
        <v>451</v>
      </c>
      <c r="S429" s="28">
        <f t="shared" si="35"/>
        <v>0</v>
      </c>
      <c r="T429" t="str">
        <f t="shared" si="36"/>
        <v xml:space="preserve"> -&gt; </v>
      </c>
    </row>
    <row r="430" spans="1:20">
      <c r="A430" s="31"/>
      <c r="B430" s="32"/>
      <c r="C430" s="31"/>
      <c r="D430" s="31"/>
      <c r="E430" s="31"/>
      <c r="F430" s="31"/>
      <c r="G430" s="31"/>
      <c r="H430" s="32"/>
      <c r="I430" s="32"/>
      <c r="J430" s="32"/>
      <c r="K430" s="31"/>
      <c r="L430" s="31"/>
      <c r="M430" s="3" t="str">
        <f t="shared" ca="1" si="37"/>
        <v/>
      </c>
      <c r="P430">
        <f>'Combined Delivery Data'!B460</f>
        <v>0</v>
      </c>
      <c r="Q430">
        <f t="shared" si="38"/>
        <v>0</v>
      </c>
      <c r="R430">
        <f t="shared" si="39"/>
        <v>451</v>
      </c>
      <c r="S430" s="28">
        <f t="shared" ref="S430:S497" si="40">IF($P430="","",IF(SUMPRODUCT(MAX(($A$2:$A$497=$P430)*ROW($A$2:$A$497)))=0,"",INDEX($B:$B,SUMPRODUCT(MAX(($A$2:$A$497=$P430)*ROW($A$2:$A$497))))))</f>
        <v>0</v>
      </c>
      <c r="T430" t="str">
        <f t="shared" ref="T430:T497" si="41">IF($P430="","",IF(SUMPRODUCT(MAX(($A$2:$A$497=$P430)*ROW($A$2:$A$497)))=0,"",INDEX($C:$C,SUMPRODUCT(MAX(($A$2:$A$497=$P430)*ROW($A$2:$A$497))))&amp;" -&gt; "&amp;INDEX($D:$D,SUMPRODUCT(MAX(($A$2:$A$497=$P430)*ROW($A$2:$A$497))))))</f>
        <v xml:space="preserve"> -&gt; </v>
      </c>
    </row>
    <row r="431" spans="1:20">
      <c r="A431" s="31"/>
      <c r="B431" s="32"/>
      <c r="C431" s="31"/>
      <c r="D431" s="31"/>
      <c r="E431" s="31"/>
      <c r="F431" s="31"/>
      <c r="G431" s="31"/>
      <c r="H431" s="32"/>
      <c r="I431" s="32"/>
      <c r="J431" s="32"/>
      <c r="K431" s="31"/>
      <c r="L431" s="31"/>
      <c r="M431" s="3" t="str">
        <f t="shared" ca="1" si="37"/>
        <v/>
      </c>
      <c r="P431">
        <f>'Combined Delivery Data'!B461</f>
        <v>0</v>
      </c>
      <c r="Q431">
        <f t="shared" si="38"/>
        <v>0</v>
      </c>
      <c r="R431">
        <f t="shared" si="39"/>
        <v>451</v>
      </c>
      <c r="S431" s="28">
        <f t="shared" si="40"/>
        <v>0</v>
      </c>
      <c r="T431" t="str">
        <f t="shared" si="41"/>
        <v xml:space="preserve"> -&gt; </v>
      </c>
    </row>
    <row r="432" spans="1:20">
      <c r="A432" s="31"/>
      <c r="B432" s="32"/>
      <c r="C432" s="31"/>
      <c r="D432" s="31"/>
      <c r="E432" s="31"/>
      <c r="F432" s="31"/>
      <c r="G432" s="31"/>
      <c r="H432" s="32"/>
      <c r="I432" s="32"/>
      <c r="J432" s="32"/>
      <c r="K432" s="31"/>
      <c r="L432" s="31"/>
      <c r="M432" s="3" t="str">
        <f t="shared" ca="1" si="37"/>
        <v/>
      </c>
      <c r="P432">
        <f>'Combined Delivery Data'!B462</f>
        <v>0</v>
      </c>
      <c r="Q432">
        <f t="shared" si="38"/>
        <v>0</v>
      </c>
      <c r="R432">
        <f t="shared" si="39"/>
        <v>451</v>
      </c>
      <c r="S432" s="28">
        <f t="shared" si="40"/>
        <v>0</v>
      </c>
      <c r="T432" t="str">
        <f t="shared" si="41"/>
        <v xml:space="preserve"> -&gt; </v>
      </c>
    </row>
    <row r="433" spans="1:20">
      <c r="A433" s="31"/>
      <c r="B433" s="32"/>
      <c r="C433" s="31"/>
      <c r="D433" s="31"/>
      <c r="E433" s="31"/>
      <c r="F433" s="31"/>
      <c r="G433" s="31"/>
      <c r="H433" s="32"/>
      <c r="I433" s="32"/>
      <c r="J433" s="32"/>
      <c r="K433" s="31"/>
      <c r="L433" s="31"/>
      <c r="M433" s="3" t="str">
        <f t="shared" ca="1" si="37"/>
        <v/>
      </c>
      <c r="P433">
        <f>'Combined Delivery Data'!B463</f>
        <v>0</v>
      </c>
      <c r="Q433">
        <f t="shared" si="38"/>
        <v>0</v>
      </c>
      <c r="R433">
        <f t="shared" si="39"/>
        <v>451</v>
      </c>
      <c r="S433" s="28">
        <f t="shared" si="40"/>
        <v>0</v>
      </c>
      <c r="T433" t="str">
        <f t="shared" si="41"/>
        <v xml:space="preserve"> -&gt; </v>
      </c>
    </row>
    <row r="434" spans="1:20">
      <c r="A434" s="31"/>
      <c r="B434" s="32"/>
      <c r="C434" s="31"/>
      <c r="D434" s="31"/>
      <c r="E434" s="31"/>
      <c r="F434" s="31"/>
      <c r="G434" s="31"/>
      <c r="H434" s="32"/>
      <c r="I434" s="32"/>
      <c r="J434" s="32"/>
      <c r="K434" s="31"/>
      <c r="L434" s="31"/>
      <c r="M434" s="3" t="str">
        <f t="shared" ca="1" si="37"/>
        <v/>
      </c>
      <c r="P434">
        <f>'Combined Delivery Data'!B464</f>
        <v>0</v>
      </c>
      <c r="Q434">
        <f t="shared" si="38"/>
        <v>0</v>
      </c>
      <c r="R434">
        <f t="shared" si="39"/>
        <v>451</v>
      </c>
      <c r="S434" s="28">
        <f t="shared" si="40"/>
        <v>0</v>
      </c>
      <c r="T434" t="str">
        <f t="shared" si="41"/>
        <v xml:space="preserve"> -&gt; </v>
      </c>
    </row>
    <row r="435" spans="1:20">
      <c r="A435" s="31"/>
      <c r="B435" s="32"/>
      <c r="C435" s="31"/>
      <c r="D435" s="31"/>
      <c r="E435" s="31"/>
      <c r="F435" s="31"/>
      <c r="G435" s="31"/>
      <c r="H435" s="32"/>
      <c r="I435" s="32"/>
      <c r="J435" s="32"/>
      <c r="K435" s="31"/>
      <c r="L435" s="31"/>
      <c r="M435" s="3" t="str">
        <f t="shared" ca="1" si="37"/>
        <v/>
      </c>
      <c r="P435">
        <f>'Combined Delivery Data'!B465</f>
        <v>0</v>
      </c>
      <c r="Q435">
        <f t="shared" si="38"/>
        <v>0</v>
      </c>
      <c r="R435">
        <f t="shared" si="39"/>
        <v>451</v>
      </c>
      <c r="S435" s="28">
        <f t="shared" si="40"/>
        <v>0</v>
      </c>
      <c r="T435" t="str">
        <f t="shared" si="41"/>
        <v xml:space="preserve"> -&gt; </v>
      </c>
    </row>
    <row r="436" spans="1:20">
      <c r="A436" s="31"/>
      <c r="B436" s="32"/>
      <c r="C436" s="31"/>
      <c r="D436" s="31"/>
      <c r="E436" s="31"/>
      <c r="F436" s="31"/>
      <c r="G436" s="31"/>
      <c r="H436" s="32"/>
      <c r="I436" s="32"/>
      <c r="J436" s="32"/>
      <c r="K436" s="31"/>
      <c r="L436" s="31"/>
      <c r="M436" s="3" t="str">
        <f t="shared" ca="1" si="37"/>
        <v/>
      </c>
      <c r="P436">
        <f>'Combined Delivery Data'!B466</f>
        <v>0</v>
      </c>
      <c r="Q436">
        <f t="shared" si="38"/>
        <v>0</v>
      </c>
      <c r="R436">
        <f t="shared" si="39"/>
        <v>451</v>
      </c>
      <c r="S436" s="28">
        <f t="shared" si="40"/>
        <v>0</v>
      </c>
      <c r="T436" t="str">
        <f t="shared" si="41"/>
        <v xml:space="preserve"> -&gt; </v>
      </c>
    </row>
    <row r="437" spans="1:20">
      <c r="A437" s="31"/>
      <c r="B437" s="32"/>
      <c r="C437" s="31"/>
      <c r="D437" s="31"/>
      <c r="E437" s="31"/>
      <c r="F437" s="31"/>
      <c r="G437" s="31"/>
      <c r="H437" s="32"/>
      <c r="I437" s="32"/>
      <c r="J437" s="32"/>
      <c r="K437" s="31"/>
      <c r="L437" s="31"/>
      <c r="M437" s="3" t="str">
        <f t="shared" ca="1" si="37"/>
        <v/>
      </c>
      <c r="P437">
        <f>'Combined Delivery Data'!B467</f>
        <v>0</v>
      </c>
      <c r="Q437">
        <f t="shared" si="38"/>
        <v>0</v>
      </c>
      <c r="R437">
        <f t="shared" si="39"/>
        <v>451</v>
      </c>
      <c r="S437" s="28">
        <f t="shared" si="40"/>
        <v>0</v>
      </c>
      <c r="T437" t="str">
        <f t="shared" si="41"/>
        <v xml:space="preserve"> -&gt; </v>
      </c>
    </row>
    <row r="438" spans="1:20">
      <c r="A438" s="31"/>
      <c r="B438" s="32"/>
      <c r="C438" s="31"/>
      <c r="D438" s="31"/>
      <c r="E438" s="31"/>
      <c r="F438" s="31"/>
      <c r="G438" s="31"/>
      <c r="H438" s="32"/>
      <c r="I438" s="32"/>
      <c r="J438" s="32"/>
      <c r="K438" s="31"/>
      <c r="L438" s="31"/>
      <c r="M438" s="3" t="str">
        <f t="shared" ca="1" si="37"/>
        <v/>
      </c>
      <c r="P438">
        <f>'Combined Delivery Data'!B468</f>
        <v>0</v>
      </c>
      <c r="Q438">
        <f t="shared" si="38"/>
        <v>0</v>
      </c>
      <c r="R438">
        <f t="shared" si="39"/>
        <v>451</v>
      </c>
      <c r="S438" s="28">
        <f t="shared" si="40"/>
        <v>0</v>
      </c>
      <c r="T438" t="str">
        <f t="shared" si="41"/>
        <v xml:space="preserve"> -&gt; </v>
      </c>
    </row>
    <row r="439" spans="1:20">
      <c r="A439" s="31"/>
      <c r="B439" s="32"/>
      <c r="C439" s="31"/>
      <c r="D439" s="31"/>
      <c r="E439" s="31"/>
      <c r="F439" s="31"/>
      <c r="G439" s="31"/>
      <c r="H439" s="32"/>
      <c r="I439" s="32"/>
      <c r="J439" s="32"/>
      <c r="K439" s="31"/>
      <c r="L439" s="31"/>
      <c r="M439" s="3" t="str">
        <f t="shared" ca="1" si="37"/>
        <v/>
      </c>
      <c r="P439">
        <f>'Combined Delivery Data'!B469</f>
        <v>0</v>
      </c>
      <c r="Q439">
        <f t="shared" si="38"/>
        <v>0</v>
      </c>
      <c r="R439">
        <f t="shared" si="39"/>
        <v>451</v>
      </c>
      <c r="S439" s="28">
        <f t="shared" si="40"/>
        <v>0</v>
      </c>
      <c r="T439" t="str">
        <f t="shared" si="41"/>
        <v xml:space="preserve"> -&gt; </v>
      </c>
    </row>
    <row r="440" spans="1:20">
      <c r="A440" s="31"/>
      <c r="B440" s="32"/>
      <c r="C440" s="31"/>
      <c r="D440" s="31"/>
      <c r="E440" s="31"/>
      <c r="F440" s="31"/>
      <c r="G440" s="31"/>
      <c r="H440" s="32"/>
      <c r="I440" s="32"/>
      <c r="J440" s="32"/>
      <c r="K440" s="31"/>
      <c r="L440" s="31"/>
      <c r="M440" s="3" t="str">
        <f t="shared" ca="1" si="37"/>
        <v/>
      </c>
      <c r="P440">
        <f>'Combined Delivery Data'!B470</f>
        <v>0</v>
      </c>
      <c r="Q440">
        <f t="shared" si="38"/>
        <v>0</v>
      </c>
      <c r="R440">
        <f t="shared" si="39"/>
        <v>451</v>
      </c>
      <c r="S440" s="28">
        <f t="shared" si="40"/>
        <v>0</v>
      </c>
      <c r="T440" t="str">
        <f t="shared" si="41"/>
        <v xml:space="preserve"> -&gt; </v>
      </c>
    </row>
    <row r="441" spans="1:20">
      <c r="A441" s="31"/>
      <c r="B441" s="32"/>
      <c r="C441" s="31"/>
      <c r="D441" s="31"/>
      <c r="E441" s="31"/>
      <c r="F441" s="31"/>
      <c r="G441" s="31"/>
      <c r="H441" s="32"/>
      <c r="I441" s="32"/>
      <c r="J441" s="32"/>
      <c r="K441" s="31"/>
      <c r="L441" s="31"/>
      <c r="M441" s="3" t="str">
        <f t="shared" ca="1" si="37"/>
        <v/>
      </c>
      <c r="P441">
        <f>'Combined Delivery Data'!B471</f>
        <v>0</v>
      </c>
      <c r="Q441">
        <f t="shared" si="38"/>
        <v>0</v>
      </c>
      <c r="R441">
        <f t="shared" si="39"/>
        <v>451</v>
      </c>
      <c r="S441" s="28">
        <f t="shared" si="40"/>
        <v>0</v>
      </c>
      <c r="T441" t="str">
        <f t="shared" si="41"/>
        <v xml:space="preserve"> -&gt; </v>
      </c>
    </row>
    <row r="442" spans="1:20">
      <c r="A442" s="31"/>
      <c r="B442" s="32"/>
      <c r="C442" s="31"/>
      <c r="D442" s="31"/>
      <c r="E442" s="31"/>
      <c r="F442" s="31"/>
      <c r="G442" s="31"/>
      <c r="H442" s="32"/>
      <c r="I442" s="32"/>
      <c r="J442" s="32"/>
      <c r="K442" s="31"/>
      <c r="L442" s="31"/>
      <c r="M442" s="3" t="str">
        <f t="shared" ca="1" si="37"/>
        <v/>
      </c>
      <c r="P442">
        <f>'Combined Delivery Data'!B472</f>
        <v>0</v>
      </c>
      <c r="Q442">
        <f t="shared" si="38"/>
        <v>0</v>
      </c>
      <c r="R442">
        <f t="shared" si="39"/>
        <v>451</v>
      </c>
      <c r="S442" s="28">
        <f t="shared" si="40"/>
        <v>0</v>
      </c>
      <c r="T442" t="str">
        <f t="shared" si="41"/>
        <v xml:space="preserve"> -&gt; </v>
      </c>
    </row>
    <row r="443" spans="1:20">
      <c r="A443" s="31"/>
      <c r="B443" s="32"/>
      <c r="C443" s="31"/>
      <c r="D443" s="31"/>
      <c r="E443" s="31"/>
      <c r="F443" s="31"/>
      <c r="G443" s="31"/>
      <c r="H443" s="32"/>
      <c r="I443" s="32"/>
      <c r="J443" s="32"/>
      <c r="K443" s="31"/>
      <c r="L443" s="31"/>
      <c r="M443" s="3" t="str">
        <f t="shared" ca="1" si="37"/>
        <v/>
      </c>
      <c r="P443">
        <f>'Combined Delivery Data'!B473</f>
        <v>0</v>
      </c>
      <c r="Q443">
        <f t="shared" si="38"/>
        <v>0</v>
      </c>
      <c r="R443">
        <f t="shared" si="39"/>
        <v>451</v>
      </c>
      <c r="S443" s="28">
        <f t="shared" si="40"/>
        <v>0</v>
      </c>
      <c r="T443" t="str">
        <f t="shared" si="41"/>
        <v xml:space="preserve"> -&gt; </v>
      </c>
    </row>
    <row r="444" spans="1:20">
      <c r="A444" s="31"/>
      <c r="B444" s="32"/>
      <c r="C444" s="31"/>
      <c r="D444" s="31"/>
      <c r="E444" s="31"/>
      <c r="F444" s="31"/>
      <c r="G444" s="31"/>
      <c r="H444" s="32"/>
      <c r="I444" s="32"/>
      <c r="J444" s="32"/>
      <c r="K444" s="31"/>
      <c r="L444" s="31"/>
      <c r="M444" s="3" t="str">
        <f t="shared" ca="1" si="37"/>
        <v/>
      </c>
      <c r="P444">
        <f>'Combined Delivery Data'!B474</f>
        <v>0</v>
      </c>
      <c r="Q444">
        <f t="shared" si="38"/>
        <v>0</v>
      </c>
      <c r="R444">
        <f t="shared" si="39"/>
        <v>451</v>
      </c>
      <c r="S444" s="28">
        <f t="shared" si="40"/>
        <v>0</v>
      </c>
      <c r="T444" t="str">
        <f t="shared" si="41"/>
        <v xml:space="preserve"> -&gt; </v>
      </c>
    </row>
    <row r="445" spans="1:20">
      <c r="A445" s="31"/>
      <c r="B445" s="32"/>
      <c r="C445" s="31"/>
      <c r="D445" s="31"/>
      <c r="E445" s="31"/>
      <c r="F445" s="31"/>
      <c r="G445" s="31"/>
      <c r="H445" s="32"/>
      <c r="I445" s="32"/>
      <c r="J445" s="32"/>
      <c r="K445" s="31"/>
      <c r="L445" s="31"/>
      <c r="M445" s="3" t="str">
        <f t="shared" ca="1" si="37"/>
        <v/>
      </c>
      <c r="P445">
        <f>'Combined Delivery Data'!B475</f>
        <v>0</v>
      </c>
      <c r="Q445">
        <f t="shared" si="38"/>
        <v>0</v>
      </c>
      <c r="R445">
        <f t="shared" si="39"/>
        <v>451</v>
      </c>
      <c r="S445" s="28">
        <f t="shared" si="40"/>
        <v>0</v>
      </c>
      <c r="T445" t="str">
        <f t="shared" si="41"/>
        <v xml:space="preserve"> -&gt; </v>
      </c>
    </row>
    <row r="446" spans="1:20">
      <c r="A446" s="31"/>
      <c r="B446" s="32"/>
      <c r="C446" s="31"/>
      <c r="D446" s="31"/>
      <c r="E446" s="31"/>
      <c r="F446" s="31"/>
      <c r="G446" s="31"/>
      <c r="H446" s="32"/>
      <c r="I446" s="32"/>
      <c r="J446" s="32"/>
      <c r="K446" s="31"/>
      <c r="L446" s="31"/>
      <c r="M446" s="3" t="str">
        <f t="shared" ca="1" si="37"/>
        <v/>
      </c>
      <c r="P446">
        <f>'Combined Delivery Data'!B476</f>
        <v>0</v>
      </c>
      <c r="Q446">
        <f t="shared" si="38"/>
        <v>0</v>
      </c>
      <c r="R446">
        <f t="shared" si="39"/>
        <v>451</v>
      </c>
      <c r="S446" s="28">
        <f t="shared" si="40"/>
        <v>0</v>
      </c>
      <c r="T446" t="str">
        <f t="shared" si="41"/>
        <v xml:space="preserve"> -&gt; </v>
      </c>
    </row>
    <row r="447" spans="1:20">
      <c r="A447" s="31"/>
      <c r="B447" s="32"/>
      <c r="C447" s="31"/>
      <c r="D447" s="31"/>
      <c r="E447" s="31"/>
      <c r="F447" s="31"/>
      <c r="G447" s="31"/>
      <c r="H447" s="32"/>
      <c r="I447" s="32"/>
      <c r="J447" s="32"/>
      <c r="K447" s="31"/>
      <c r="L447" s="31"/>
      <c r="M447" s="3" t="str">
        <f t="shared" ca="1" si="37"/>
        <v/>
      </c>
      <c r="P447">
        <f>'Combined Delivery Data'!B477</f>
        <v>0</v>
      </c>
      <c r="Q447">
        <f t="shared" si="38"/>
        <v>0</v>
      </c>
      <c r="R447">
        <f t="shared" si="39"/>
        <v>451</v>
      </c>
      <c r="S447" s="28">
        <f t="shared" si="40"/>
        <v>0</v>
      </c>
      <c r="T447" t="str">
        <f t="shared" si="41"/>
        <v xml:space="preserve"> -&gt; </v>
      </c>
    </row>
    <row r="448" spans="1:20">
      <c r="A448" s="31"/>
      <c r="B448" s="32"/>
      <c r="C448" s="31"/>
      <c r="D448" s="31"/>
      <c r="E448" s="31"/>
      <c r="F448" s="31"/>
      <c r="G448" s="31"/>
      <c r="H448" s="32"/>
      <c r="I448" s="32"/>
      <c r="J448" s="32"/>
      <c r="K448" s="31"/>
      <c r="L448" s="31"/>
      <c r="M448" s="3" t="str">
        <f t="shared" ref="M448:M497" ca="1" si="42">IF($A448="","",IF($G448="Did not pass re-test","Sent back again",IF(NOT(ISNUMBER($B448)),"Missing sent-back date",IF(ISNUMBER($J448),"Fixed in "&amp;($J448-$B448)&amp;" d",IF($I448="","UNCLAIMED "&amp;(TODAY()-$B448)&amp;" d",IF(TODAY()&gt;$I448,(TODAY()-$I448)&amp;" d LATE","Open "&amp;(TODAY()-$B448)&amp;" d"))))))</f>
        <v/>
      </c>
      <c r="P448">
        <f>'Combined Delivery Data'!B478</f>
        <v>0</v>
      </c>
      <c r="Q448">
        <f t="shared" si="38"/>
        <v>0</v>
      </c>
      <c r="R448">
        <f t="shared" si="39"/>
        <v>451</v>
      </c>
      <c r="S448" s="28">
        <f t="shared" si="40"/>
        <v>0</v>
      </c>
      <c r="T448" t="str">
        <f t="shared" si="41"/>
        <v xml:space="preserve"> -&gt; </v>
      </c>
    </row>
    <row r="449" spans="1:20">
      <c r="A449" s="31"/>
      <c r="B449" s="32"/>
      <c r="C449" s="31"/>
      <c r="D449" s="31"/>
      <c r="E449" s="31"/>
      <c r="F449" s="31"/>
      <c r="G449" s="31"/>
      <c r="H449" s="32"/>
      <c r="I449" s="32"/>
      <c r="J449" s="32"/>
      <c r="K449" s="31"/>
      <c r="L449" s="31"/>
      <c r="M449" s="3" t="str">
        <f t="shared" ca="1" si="42"/>
        <v/>
      </c>
      <c r="P449">
        <f>'Combined Delivery Data'!B479</f>
        <v>0</v>
      </c>
      <c r="Q449">
        <f t="shared" si="38"/>
        <v>0</v>
      </c>
      <c r="R449">
        <f t="shared" si="39"/>
        <v>451</v>
      </c>
      <c r="S449" s="28">
        <f t="shared" si="40"/>
        <v>0</v>
      </c>
      <c r="T449" t="str">
        <f t="shared" si="41"/>
        <v xml:space="preserve"> -&gt; </v>
      </c>
    </row>
    <row r="450" spans="1:20">
      <c r="A450" s="31"/>
      <c r="B450" s="32"/>
      <c r="C450" s="31"/>
      <c r="D450" s="31"/>
      <c r="E450" s="31"/>
      <c r="F450" s="31"/>
      <c r="G450" s="31"/>
      <c r="H450" s="32"/>
      <c r="I450" s="32"/>
      <c r="J450" s="32"/>
      <c r="K450" s="31"/>
      <c r="L450" s="31"/>
      <c r="M450" s="3" t="str">
        <f t="shared" ca="1" si="42"/>
        <v/>
      </c>
      <c r="P450">
        <f>'Combined Delivery Data'!B480</f>
        <v>0</v>
      </c>
      <c r="Q450">
        <f t="shared" si="38"/>
        <v>0</v>
      </c>
      <c r="R450">
        <f t="shared" si="39"/>
        <v>451</v>
      </c>
      <c r="S450" s="28">
        <f t="shared" si="40"/>
        <v>0</v>
      </c>
      <c r="T450" t="str">
        <f t="shared" si="41"/>
        <v xml:space="preserve"> -&gt; </v>
      </c>
    </row>
    <row r="451" spans="1:20">
      <c r="A451" s="31"/>
      <c r="B451" s="32"/>
      <c r="C451" s="31"/>
      <c r="D451" s="31"/>
      <c r="E451" s="31"/>
      <c r="F451" s="31"/>
      <c r="G451" s="31"/>
      <c r="H451" s="32"/>
      <c r="I451" s="32"/>
      <c r="J451" s="32"/>
      <c r="K451" s="31"/>
      <c r="L451" s="31"/>
      <c r="M451" s="3" t="str">
        <f t="shared" ca="1" si="42"/>
        <v/>
      </c>
      <c r="P451">
        <f>'Combined Delivery Data'!B481</f>
        <v>0</v>
      </c>
      <c r="Q451">
        <f t="shared" si="38"/>
        <v>0</v>
      </c>
      <c r="R451">
        <f t="shared" si="39"/>
        <v>451</v>
      </c>
      <c r="S451" s="28">
        <f t="shared" si="40"/>
        <v>0</v>
      </c>
      <c r="T451" t="str">
        <f t="shared" si="41"/>
        <v xml:space="preserve"> -&gt; </v>
      </c>
    </row>
    <row r="452" spans="1:20">
      <c r="A452" s="31"/>
      <c r="B452" s="32"/>
      <c r="C452" s="31"/>
      <c r="D452" s="31"/>
      <c r="E452" s="31"/>
      <c r="F452" s="31"/>
      <c r="G452" s="31"/>
      <c r="H452" s="32"/>
      <c r="I452" s="32"/>
      <c r="J452" s="32"/>
      <c r="K452" s="31"/>
      <c r="L452" s="31"/>
      <c r="M452" s="3" t="str">
        <f t="shared" ca="1" si="42"/>
        <v/>
      </c>
      <c r="P452">
        <f>'Combined Delivery Data'!B482</f>
        <v>0</v>
      </c>
      <c r="Q452">
        <f t="shared" si="38"/>
        <v>0</v>
      </c>
      <c r="R452">
        <f t="shared" si="39"/>
        <v>451</v>
      </c>
      <c r="S452" s="28">
        <f t="shared" si="40"/>
        <v>0</v>
      </c>
      <c r="T452" t="str">
        <f t="shared" si="41"/>
        <v xml:space="preserve"> -&gt; </v>
      </c>
    </row>
    <row r="453" spans="1:20">
      <c r="A453" s="31"/>
      <c r="B453" s="32"/>
      <c r="C453" s="31"/>
      <c r="D453" s="31"/>
      <c r="E453" s="31"/>
      <c r="F453" s="31"/>
      <c r="G453" s="31"/>
      <c r="H453" s="32"/>
      <c r="I453" s="32"/>
      <c r="J453" s="32"/>
      <c r="K453" s="31"/>
      <c r="L453" s="31"/>
      <c r="M453" s="3" t="str">
        <f t="shared" ca="1" si="42"/>
        <v/>
      </c>
      <c r="P453">
        <f>'Combined Delivery Data'!B483</f>
        <v>0</v>
      </c>
      <c r="Q453">
        <f t="shared" si="38"/>
        <v>0</v>
      </c>
      <c r="R453">
        <f t="shared" si="39"/>
        <v>451</v>
      </c>
      <c r="S453" s="28">
        <f t="shared" si="40"/>
        <v>0</v>
      </c>
      <c r="T453" t="str">
        <f t="shared" si="41"/>
        <v xml:space="preserve"> -&gt; </v>
      </c>
    </row>
    <row r="454" spans="1:20">
      <c r="A454" s="31"/>
      <c r="B454" s="32"/>
      <c r="C454" s="31"/>
      <c r="D454" s="31"/>
      <c r="E454" s="31"/>
      <c r="F454" s="31"/>
      <c r="G454" s="31"/>
      <c r="H454" s="32"/>
      <c r="I454" s="32"/>
      <c r="J454" s="32"/>
      <c r="K454" s="31"/>
      <c r="L454" s="31"/>
      <c r="M454" s="3" t="str">
        <f t="shared" ca="1" si="42"/>
        <v/>
      </c>
      <c r="P454">
        <f>'Combined Delivery Data'!B484</f>
        <v>0</v>
      </c>
      <c r="Q454">
        <f t="shared" si="38"/>
        <v>0</v>
      </c>
      <c r="R454">
        <f t="shared" si="39"/>
        <v>451</v>
      </c>
      <c r="S454" s="28">
        <f t="shared" si="40"/>
        <v>0</v>
      </c>
      <c r="T454" t="str">
        <f t="shared" si="41"/>
        <v xml:space="preserve"> -&gt; </v>
      </c>
    </row>
    <row r="455" spans="1:20">
      <c r="A455" s="31"/>
      <c r="B455" s="32"/>
      <c r="C455" s="31"/>
      <c r="D455" s="31"/>
      <c r="E455" s="31"/>
      <c r="F455" s="31"/>
      <c r="G455" s="31"/>
      <c r="H455" s="32"/>
      <c r="I455" s="32"/>
      <c r="J455" s="32"/>
      <c r="K455" s="31"/>
      <c r="L455" s="31"/>
      <c r="M455" s="3" t="str">
        <f t="shared" ca="1" si="42"/>
        <v/>
      </c>
      <c r="P455">
        <f>'Combined Delivery Data'!B485</f>
        <v>0</v>
      </c>
      <c r="Q455">
        <f t="shared" si="38"/>
        <v>0</v>
      </c>
      <c r="R455">
        <f t="shared" si="39"/>
        <v>451</v>
      </c>
      <c r="S455" s="28">
        <f t="shared" si="40"/>
        <v>0</v>
      </c>
      <c r="T455" t="str">
        <f t="shared" si="41"/>
        <v xml:space="preserve"> -&gt; </v>
      </c>
    </row>
    <row r="456" spans="1:20">
      <c r="A456" s="31"/>
      <c r="B456" s="32"/>
      <c r="C456" s="31"/>
      <c r="D456" s="31"/>
      <c r="E456" s="31"/>
      <c r="F456" s="31"/>
      <c r="G456" s="31"/>
      <c r="H456" s="32"/>
      <c r="I456" s="32"/>
      <c r="J456" s="32"/>
      <c r="K456" s="31"/>
      <c r="L456" s="31"/>
      <c r="M456" s="3" t="str">
        <f t="shared" ca="1" si="42"/>
        <v/>
      </c>
      <c r="P456">
        <f>'Combined Delivery Data'!B486</f>
        <v>0</v>
      </c>
      <c r="Q456">
        <f t="shared" si="38"/>
        <v>0</v>
      </c>
      <c r="R456">
        <f t="shared" si="39"/>
        <v>451</v>
      </c>
      <c r="S456" s="28">
        <f t="shared" si="40"/>
        <v>0</v>
      </c>
      <c r="T456" t="str">
        <f t="shared" si="41"/>
        <v xml:space="preserve"> -&gt; </v>
      </c>
    </row>
    <row r="457" spans="1:20">
      <c r="A457" s="31"/>
      <c r="B457" s="32"/>
      <c r="C457" s="31"/>
      <c r="D457" s="31"/>
      <c r="E457" s="31"/>
      <c r="F457" s="31"/>
      <c r="G457" s="31"/>
      <c r="H457" s="32"/>
      <c r="I457" s="32"/>
      <c r="J457" s="32"/>
      <c r="K457" s="31"/>
      <c r="L457" s="31"/>
      <c r="M457" s="3" t="str">
        <f t="shared" ca="1" si="42"/>
        <v/>
      </c>
      <c r="P457">
        <f>'Combined Delivery Data'!B487</f>
        <v>0</v>
      </c>
      <c r="Q457">
        <f t="shared" si="38"/>
        <v>0</v>
      </c>
      <c r="R457">
        <f t="shared" si="39"/>
        <v>451</v>
      </c>
      <c r="S457" s="28">
        <f t="shared" si="40"/>
        <v>0</v>
      </c>
      <c r="T457" t="str">
        <f t="shared" si="41"/>
        <v xml:space="preserve"> -&gt; </v>
      </c>
    </row>
    <row r="458" spans="1:20">
      <c r="A458" s="31"/>
      <c r="B458" s="32"/>
      <c r="C458" s="31"/>
      <c r="D458" s="31"/>
      <c r="E458" s="31"/>
      <c r="F458" s="31"/>
      <c r="G458" s="31"/>
      <c r="H458" s="32"/>
      <c r="I458" s="32"/>
      <c r="J458" s="32"/>
      <c r="K458" s="31"/>
      <c r="L458" s="31"/>
      <c r="M458" s="3" t="str">
        <f t="shared" ca="1" si="42"/>
        <v/>
      </c>
      <c r="P458">
        <f>'Combined Delivery Data'!B488</f>
        <v>0</v>
      </c>
      <c r="Q458">
        <f t="shared" si="38"/>
        <v>0</v>
      </c>
      <c r="R458">
        <f t="shared" si="39"/>
        <v>451</v>
      </c>
      <c r="S458" s="28">
        <f t="shared" si="40"/>
        <v>0</v>
      </c>
      <c r="T458" t="str">
        <f t="shared" si="41"/>
        <v xml:space="preserve"> -&gt; </v>
      </c>
    </row>
    <row r="459" spans="1:20">
      <c r="A459" s="31"/>
      <c r="B459" s="32"/>
      <c r="C459" s="31"/>
      <c r="D459" s="31"/>
      <c r="E459" s="31"/>
      <c r="F459" s="31"/>
      <c r="G459" s="31"/>
      <c r="H459" s="32"/>
      <c r="I459" s="32"/>
      <c r="J459" s="32"/>
      <c r="K459" s="31"/>
      <c r="L459" s="31"/>
      <c r="M459" s="3" t="str">
        <f t="shared" ca="1" si="42"/>
        <v/>
      </c>
      <c r="P459">
        <f>'Combined Delivery Data'!B489</f>
        <v>0</v>
      </c>
      <c r="Q459">
        <f t="shared" si="38"/>
        <v>0</v>
      </c>
      <c r="R459">
        <f t="shared" si="39"/>
        <v>451</v>
      </c>
      <c r="S459" s="28">
        <f t="shared" si="40"/>
        <v>0</v>
      </c>
      <c r="T459" t="str">
        <f t="shared" si="41"/>
        <v xml:space="preserve"> -&gt; </v>
      </c>
    </row>
    <row r="460" spans="1:20">
      <c r="A460" s="31"/>
      <c r="B460" s="32"/>
      <c r="C460" s="31"/>
      <c r="D460" s="31"/>
      <c r="E460" s="31"/>
      <c r="F460" s="31"/>
      <c r="G460" s="31"/>
      <c r="H460" s="32"/>
      <c r="I460" s="32"/>
      <c r="J460" s="32"/>
      <c r="K460" s="31"/>
      <c r="L460" s="31"/>
      <c r="M460" s="3" t="str">
        <f t="shared" ca="1" si="42"/>
        <v/>
      </c>
      <c r="P460">
        <f>'Combined Delivery Data'!B490</f>
        <v>0</v>
      </c>
      <c r="Q460">
        <f t="shared" si="38"/>
        <v>0</v>
      </c>
      <c r="R460">
        <f t="shared" si="39"/>
        <v>451</v>
      </c>
      <c r="S460" s="28">
        <f t="shared" si="40"/>
        <v>0</v>
      </c>
      <c r="T460" t="str">
        <f t="shared" si="41"/>
        <v xml:space="preserve"> -&gt; </v>
      </c>
    </row>
    <row r="461" spans="1:20">
      <c r="A461" s="31"/>
      <c r="B461" s="32"/>
      <c r="C461" s="31"/>
      <c r="D461" s="31"/>
      <c r="E461" s="31"/>
      <c r="F461" s="31"/>
      <c r="G461" s="31"/>
      <c r="H461" s="32"/>
      <c r="I461" s="32"/>
      <c r="J461" s="32"/>
      <c r="K461" s="31"/>
      <c r="L461" s="31"/>
      <c r="M461" s="3" t="str">
        <f t="shared" ca="1" si="42"/>
        <v/>
      </c>
      <c r="P461">
        <f>'Combined Delivery Data'!B491</f>
        <v>0</v>
      </c>
      <c r="Q461">
        <f t="shared" si="38"/>
        <v>0</v>
      </c>
      <c r="R461">
        <f t="shared" si="39"/>
        <v>451</v>
      </c>
      <c r="S461" s="28">
        <f t="shared" si="40"/>
        <v>0</v>
      </c>
      <c r="T461" t="str">
        <f t="shared" si="41"/>
        <v xml:space="preserve"> -&gt; </v>
      </c>
    </row>
    <row r="462" spans="1:20">
      <c r="A462" s="31"/>
      <c r="B462" s="32"/>
      <c r="C462" s="31"/>
      <c r="D462" s="31"/>
      <c r="E462" s="31"/>
      <c r="F462" s="31"/>
      <c r="G462" s="31"/>
      <c r="H462" s="32"/>
      <c r="I462" s="32"/>
      <c r="J462" s="32"/>
      <c r="K462" s="31"/>
      <c r="L462" s="31"/>
      <c r="M462" s="3" t="str">
        <f t="shared" ca="1" si="42"/>
        <v/>
      </c>
      <c r="P462">
        <f>'Combined Delivery Data'!B492</f>
        <v>0</v>
      </c>
      <c r="Q462">
        <f t="shared" si="38"/>
        <v>0</v>
      </c>
      <c r="R462">
        <f t="shared" si="39"/>
        <v>451</v>
      </c>
      <c r="S462" s="28">
        <f t="shared" si="40"/>
        <v>0</v>
      </c>
      <c r="T462" t="str">
        <f t="shared" si="41"/>
        <v xml:space="preserve"> -&gt; </v>
      </c>
    </row>
    <row r="463" spans="1:20">
      <c r="A463" s="31"/>
      <c r="B463" s="32"/>
      <c r="C463" s="31"/>
      <c r="D463" s="31"/>
      <c r="E463" s="31"/>
      <c r="F463" s="31"/>
      <c r="G463" s="31"/>
      <c r="H463" s="32"/>
      <c r="I463" s="32"/>
      <c r="J463" s="32"/>
      <c r="K463" s="31"/>
      <c r="L463" s="31"/>
      <c r="M463" s="3" t="str">
        <f t="shared" ca="1" si="42"/>
        <v/>
      </c>
      <c r="P463">
        <f>'Combined Delivery Data'!B493</f>
        <v>0</v>
      </c>
      <c r="Q463">
        <f t="shared" si="38"/>
        <v>0</v>
      </c>
      <c r="R463">
        <f t="shared" si="39"/>
        <v>451</v>
      </c>
      <c r="S463" s="28">
        <f t="shared" si="40"/>
        <v>0</v>
      </c>
      <c r="T463" t="str">
        <f t="shared" si="41"/>
        <v xml:space="preserve"> -&gt; </v>
      </c>
    </row>
    <row r="464" spans="1:20">
      <c r="A464" s="31"/>
      <c r="B464" s="32"/>
      <c r="C464" s="31"/>
      <c r="D464" s="31"/>
      <c r="E464" s="31"/>
      <c r="F464" s="31"/>
      <c r="G464" s="31"/>
      <c r="H464" s="32"/>
      <c r="I464" s="32"/>
      <c r="J464" s="32"/>
      <c r="K464" s="31"/>
      <c r="L464" s="31"/>
      <c r="M464" s="3" t="str">
        <f t="shared" ca="1" si="42"/>
        <v/>
      </c>
      <c r="P464">
        <f>'Combined Delivery Data'!B494</f>
        <v>0</v>
      </c>
      <c r="Q464">
        <f t="shared" si="38"/>
        <v>0</v>
      </c>
      <c r="R464">
        <f t="shared" si="39"/>
        <v>451</v>
      </c>
      <c r="S464" s="28">
        <f t="shared" si="40"/>
        <v>0</v>
      </c>
      <c r="T464" t="str">
        <f t="shared" si="41"/>
        <v xml:space="preserve"> -&gt; </v>
      </c>
    </row>
    <row r="465" spans="1:20">
      <c r="A465" s="31"/>
      <c r="B465" s="32"/>
      <c r="C465" s="31"/>
      <c r="D465" s="31"/>
      <c r="E465" s="31"/>
      <c r="F465" s="31"/>
      <c r="G465" s="31"/>
      <c r="H465" s="32"/>
      <c r="I465" s="32"/>
      <c r="J465" s="32"/>
      <c r="K465" s="31"/>
      <c r="L465" s="31"/>
      <c r="M465" s="3" t="str">
        <f t="shared" ca="1" si="42"/>
        <v/>
      </c>
      <c r="P465">
        <f>'Combined Delivery Data'!B495</f>
        <v>0</v>
      </c>
      <c r="Q465">
        <f t="shared" ref="Q465:Q497" si="43">IF($P465="","",COUNTIF($A$2:$A$497,$P465))</f>
        <v>0</v>
      </c>
      <c r="R465">
        <f t="shared" ref="R465:R497" si="44">IF($P465="","",SUMPRODUCT(($A$2:$A$497=$P465)*($G$2:$G$497&lt;&gt;"Yes")*($G$2:$G$497&lt;&gt;"Did not pass re-test")))</f>
        <v>451</v>
      </c>
      <c r="S465" s="28">
        <f t="shared" si="40"/>
        <v>0</v>
      </c>
      <c r="T465" t="str">
        <f t="shared" si="41"/>
        <v xml:space="preserve"> -&gt; </v>
      </c>
    </row>
    <row r="466" spans="1:20">
      <c r="A466" s="31"/>
      <c r="B466" s="32"/>
      <c r="C466" s="31"/>
      <c r="D466" s="31"/>
      <c r="E466" s="31"/>
      <c r="F466" s="31"/>
      <c r="G466" s="31"/>
      <c r="H466" s="32"/>
      <c r="I466" s="32"/>
      <c r="J466" s="32"/>
      <c r="K466" s="31"/>
      <c r="L466" s="31"/>
      <c r="M466" s="3" t="str">
        <f t="shared" ca="1" si="42"/>
        <v/>
      </c>
      <c r="P466">
        <f>'Combined Delivery Data'!B496</f>
        <v>0</v>
      </c>
      <c r="Q466">
        <f t="shared" si="43"/>
        <v>0</v>
      </c>
      <c r="R466">
        <f t="shared" si="44"/>
        <v>451</v>
      </c>
      <c r="S466" s="28">
        <f t="shared" si="40"/>
        <v>0</v>
      </c>
      <c r="T466" t="str">
        <f t="shared" si="41"/>
        <v xml:space="preserve"> -&gt; </v>
      </c>
    </row>
    <row r="467" spans="1:20">
      <c r="A467" s="31"/>
      <c r="B467" s="32"/>
      <c r="C467" s="31"/>
      <c r="D467" s="31"/>
      <c r="E467" s="31"/>
      <c r="F467" s="31"/>
      <c r="G467" s="31"/>
      <c r="H467" s="32"/>
      <c r="I467" s="32"/>
      <c r="J467" s="32"/>
      <c r="K467" s="31"/>
      <c r="L467" s="31"/>
      <c r="M467" s="3" t="str">
        <f t="shared" ca="1" si="42"/>
        <v/>
      </c>
      <c r="P467">
        <f>'Combined Delivery Data'!B497</f>
        <v>0</v>
      </c>
      <c r="Q467">
        <f t="shared" si="43"/>
        <v>0</v>
      </c>
      <c r="R467">
        <f t="shared" si="44"/>
        <v>451</v>
      </c>
      <c r="S467" s="28">
        <f t="shared" si="40"/>
        <v>0</v>
      </c>
      <c r="T467" t="str">
        <f t="shared" si="41"/>
        <v xml:space="preserve"> -&gt; </v>
      </c>
    </row>
    <row r="468" spans="1:20">
      <c r="A468" s="31"/>
      <c r="B468" s="32"/>
      <c r="C468" s="31"/>
      <c r="D468" s="31"/>
      <c r="E468" s="31"/>
      <c r="F468" s="31"/>
      <c r="G468" s="31"/>
      <c r="H468" s="32"/>
      <c r="I468" s="32"/>
      <c r="J468" s="32"/>
      <c r="K468" s="31"/>
      <c r="L468" s="31"/>
      <c r="M468" s="3" t="str">
        <f t="shared" ca="1" si="42"/>
        <v/>
      </c>
      <c r="P468">
        <f>'Combined Delivery Data'!B498</f>
        <v>0</v>
      </c>
      <c r="Q468">
        <f t="shared" si="43"/>
        <v>0</v>
      </c>
      <c r="R468">
        <f t="shared" si="44"/>
        <v>451</v>
      </c>
      <c r="S468" s="28">
        <f t="shared" si="40"/>
        <v>0</v>
      </c>
      <c r="T468" t="str">
        <f t="shared" si="41"/>
        <v xml:space="preserve"> -&gt; </v>
      </c>
    </row>
    <row r="469" spans="1:20">
      <c r="A469" s="31"/>
      <c r="B469" s="32"/>
      <c r="C469" s="31"/>
      <c r="D469" s="31"/>
      <c r="E469" s="31"/>
      <c r="F469" s="31"/>
      <c r="G469" s="31"/>
      <c r="H469" s="32"/>
      <c r="I469" s="32"/>
      <c r="J469" s="32"/>
      <c r="K469" s="31"/>
      <c r="L469" s="31"/>
      <c r="M469" s="3" t="str">
        <f t="shared" ca="1" si="42"/>
        <v/>
      </c>
      <c r="P469">
        <f>'Combined Delivery Data'!B499</f>
        <v>0</v>
      </c>
      <c r="Q469">
        <f t="shared" si="43"/>
        <v>0</v>
      </c>
      <c r="R469">
        <f t="shared" si="44"/>
        <v>451</v>
      </c>
      <c r="S469" s="28">
        <f t="shared" si="40"/>
        <v>0</v>
      </c>
      <c r="T469" t="str">
        <f t="shared" si="41"/>
        <v xml:space="preserve"> -&gt; </v>
      </c>
    </row>
    <row r="470" spans="1:20">
      <c r="A470" s="31"/>
      <c r="B470" s="32"/>
      <c r="C470" s="31"/>
      <c r="D470" s="31"/>
      <c r="E470" s="31"/>
      <c r="F470" s="31"/>
      <c r="G470" s="31"/>
      <c r="H470" s="32"/>
      <c r="I470" s="32"/>
      <c r="J470" s="32"/>
      <c r="K470" s="31"/>
      <c r="L470" s="31"/>
      <c r="M470" s="3" t="str">
        <f t="shared" ca="1" si="42"/>
        <v/>
      </c>
      <c r="P470">
        <f>'Combined Delivery Data'!B500</f>
        <v>0</v>
      </c>
      <c r="Q470">
        <f t="shared" si="43"/>
        <v>0</v>
      </c>
      <c r="R470">
        <f t="shared" si="44"/>
        <v>451</v>
      </c>
      <c r="S470" s="28">
        <f t="shared" si="40"/>
        <v>0</v>
      </c>
      <c r="T470" t="str">
        <f t="shared" si="41"/>
        <v xml:space="preserve"> -&gt; </v>
      </c>
    </row>
    <row r="471" spans="1:20">
      <c r="A471" s="31"/>
      <c r="B471" s="32"/>
      <c r="C471" s="31"/>
      <c r="D471" s="31"/>
      <c r="E471" s="31"/>
      <c r="F471" s="31"/>
      <c r="G471" s="31"/>
      <c r="H471" s="32"/>
      <c r="I471" s="32"/>
      <c r="J471" s="32"/>
      <c r="K471" s="31"/>
      <c r="L471" s="31"/>
      <c r="M471" s="3" t="str">
        <f t="shared" ca="1" si="42"/>
        <v/>
      </c>
      <c r="P471">
        <f>'Combined Delivery Data'!B501</f>
        <v>0</v>
      </c>
      <c r="Q471">
        <f t="shared" si="43"/>
        <v>0</v>
      </c>
      <c r="R471">
        <f t="shared" si="44"/>
        <v>451</v>
      </c>
      <c r="S471" s="28">
        <f t="shared" si="40"/>
        <v>0</v>
      </c>
      <c r="T471" t="str">
        <f t="shared" si="41"/>
        <v xml:space="preserve"> -&gt; </v>
      </c>
    </row>
    <row r="472" spans="1:20">
      <c r="A472" s="31"/>
      <c r="B472" s="32"/>
      <c r="C472" s="31"/>
      <c r="D472" s="31"/>
      <c r="E472" s="31"/>
      <c r="F472" s="31"/>
      <c r="G472" s="31"/>
      <c r="H472" s="32"/>
      <c r="I472" s="32"/>
      <c r="J472" s="32"/>
      <c r="K472" s="31"/>
      <c r="L472" s="31"/>
      <c r="M472" s="3" t="str">
        <f t="shared" ca="1" si="42"/>
        <v/>
      </c>
      <c r="P472">
        <f>'Combined Delivery Data'!B502</f>
        <v>0</v>
      </c>
      <c r="Q472">
        <f t="shared" si="43"/>
        <v>0</v>
      </c>
      <c r="R472">
        <f t="shared" si="44"/>
        <v>451</v>
      </c>
      <c r="S472" s="28">
        <f t="shared" si="40"/>
        <v>0</v>
      </c>
      <c r="T472" t="str">
        <f t="shared" si="41"/>
        <v xml:space="preserve"> -&gt; </v>
      </c>
    </row>
    <row r="473" spans="1:20">
      <c r="A473" s="31"/>
      <c r="B473" s="32"/>
      <c r="C473" s="31"/>
      <c r="D473" s="31"/>
      <c r="E473" s="31"/>
      <c r="F473" s="31"/>
      <c r="G473" s="31"/>
      <c r="H473" s="32"/>
      <c r="I473" s="32"/>
      <c r="J473" s="32"/>
      <c r="K473" s="31"/>
      <c r="L473" s="31"/>
      <c r="M473" s="3" t="str">
        <f t="shared" ca="1" si="42"/>
        <v/>
      </c>
      <c r="P473">
        <f>'Combined Delivery Data'!B503</f>
        <v>0</v>
      </c>
      <c r="Q473">
        <f t="shared" si="43"/>
        <v>0</v>
      </c>
      <c r="R473">
        <f t="shared" si="44"/>
        <v>451</v>
      </c>
      <c r="S473" s="28">
        <f t="shared" si="40"/>
        <v>0</v>
      </c>
      <c r="T473" t="str">
        <f t="shared" si="41"/>
        <v xml:space="preserve"> -&gt; </v>
      </c>
    </row>
    <row r="474" spans="1:20">
      <c r="A474" s="31"/>
      <c r="B474" s="32"/>
      <c r="C474" s="31"/>
      <c r="D474" s="31"/>
      <c r="E474" s="31"/>
      <c r="F474" s="31"/>
      <c r="G474" s="31"/>
      <c r="H474" s="32"/>
      <c r="I474" s="32"/>
      <c r="J474" s="32"/>
      <c r="K474" s="31"/>
      <c r="L474" s="31"/>
      <c r="M474" s="3" t="str">
        <f t="shared" ca="1" si="42"/>
        <v/>
      </c>
      <c r="P474">
        <f>'Combined Delivery Data'!B504</f>
        <v>0</v>
      </c>
      <c r="Q474">
        <f t="shared" si="43"/>
        <v>0</v>
      </c>
      <c r="R474">
        <f t="shared" si="44"/>
        <v>451</v>
      </c>
      <c r="S474" s="28">
        <f t="shared" si="40"/>
        <v>0</v>
      </c>
      <c r="T474" t="str">
        <f t="shared" si="41"/>
        <v xml:space="preserve"> -&gt; </v>
      </c>
    </row>
    <row r="475" spans="1:20">
      <c r="A475" s="31"/>
      <c r="B475" s="32"/>
      <c r="C475" s="31"/>
      <c r="D475" s="31"/>
      <c r="E475" s="31"/>
      <c r="F475" s="31"/>
      <c r="G475" s="31"/>
      <c r="H475" s="32"/>
      <c r="I475" s="32"/>
      <c r="J475" s="32"/>
      <c r="K475" s="31"/>
      <c r="L475" s="31"/>
      <c r="M475" s="3" t="str">
        <f t="shared" ca="1" si="42"/>
        <v/>
      </c>
      <c r="P475">
        <f>'Combined Delivery Data'!B505</f>
        <v>0</v>
      </c>
      <c r="Q475">
        <f t="shared" si="43"/>
        <v>0</v>
      </c>
      <c r="R475">
        <f t="shared" si="44"/>
        <v>451</v>
      </c>
      <c r="S475" s="28">
        <f t="shared" si="40"/>
        <v>0</v>
      </c>
      <c r="T475" t="str">
        <f t="shared" si="41"/>
        <v xml:space="preserve"> -&gt; </v>
      </c>
    </row>
    <row r="476" spans="1:20">
      <c r="A476" s="31"/>
      <c r="B476" s="32"/>
      <c r="C476" s="31"/>
      <c r="D476" s="31"/>
      <c r="E476" s="31"/>
      <c r="F476" s="31"/>
      <c r="G476" s="31"/>
      <c r="H476" s="32"/>
      <c r="I476" s="32"/>
      <c r="J476" s="32"/>
      <c r="K476" s="31"/>
      <c r="L476" s="31"/>
      <c r="M476" s="3" t="str">
        <f t="shared" ca="1" si="42"/>
        <v/>
      </c>
      <c r="P476">
        <f>'Combined Delivery Data'!B506</f>
        <v>0</v>
      </c>
      <c r="Q476">
        <f t="shared" si="43"/>
        <v>0</v>
      </c>
      <c r="R476">
        <f t="shared" si="44"/>
        <v>451</v>
      </c>
      <c r="S476" s="28">
        <f t="shared" si="40"/>
        <v>0</v>
      </c>
      <c r="T476" t="str">
        <f t="shared" si="41"/>
        <v xml:space="preserve"> -&gt; </v>
      </c>
    </row>
    <row r="477" spans="1:20">
      <c r="A477" s="31"/>
      <c r="B477" s="32"/>
      <c r="C477" s="31"/>
      <c r="D477" s="31"/>
      <c r="E477" s="31"/>
      <c r="F477" s="31"/>
      <c r="G477" s="31"/>
      <c r="H477" s="32"/>
      <c r="I477" s="32"/>
      <c r="J477" s="32"/>
      <c r="K477" s="31"/>
      <c r="L477" s="31"/>
      <c r="M477" s="3" t="str">
        <f t="shared" ca="1" si="42"/>
        <v/>
      </c>
      <c r="P477">
        <f>'Combined Delivery Data'!B507</f>
        <v>0</v>
      </c>
      <c r="Q477">
        <f t="shared" si="43"/>
        <v>0</v>
      </c>
      <c r="R477">
        <f t="shared" si="44"/>
        <v>451</v>
      </c>
      <c r="S477" s="28">
        <f t="shared" si="40"/>
        <v>0</v>
      </c>
      <c r="T477" t="str">
        <f t="shared" si="41"/>
        <v xml:space="preserve"> -&gt; </v>
      </c>
    </row>
    <row r="478" spans="1:20">
      <c r="A478" s="31"/>
      <c r="B478" s="32"/>
      <c r="C478" s="31"/>
      <c r="D478" s="31"/>
      <c r="E478" s="31"/>
      <c r="F478" s="31"/>
      <c r="G478" s="31"/>
      <c r="H478" s="32"/>
      <c r="I478" s="32"/>
      <c r="J478" s="32"/>
      <c r="K478" s="31"/>
      <c r="L478" s="31"/>
      <c r="M478" s="3" t="str">
        <f t="shared" ca="1" si="42"/>
        <v/>
      </c>
      <c r="P478">
        <f>'Combined Delivery Data'!B508</f>
        <v>0</v>
      </c>
      <c r="Q478">
        <f t="shared" si="43"/>
        <v>0</v>
      </c>
      <c r="R478">
        <f t="shared" si="44"/>
        <v>451</v>
      </c>
      <c r="S478" s="28">
        <f t="shared" si="40"/>
        <v>0</v>
      </c>
      <c r="T478" t="str">
        <f t="shared" si="41"/>
        <v xml:space="preserve"> -&gt; </v>
      </c>
    </row>
    <row r="479" spans="1:20">
      <c r="A479" s="31"/>
      <c r="B479" s="32"/>
      <c r="C479" s="31"/>
      <c r="D479" s="31"/>
      <c r="E479" s="31"/>
      <c r="F479" s="31"/>
      <c r="G479" s="31"/>
      <c r="H479" s="32"/>
      <c r="I479" s="32"/>
      <c r="J479" s="32"/>
      <c r="K479" s="31"/>
      <c r="L479" s="31"/>
      <c r="M479" s="3" t="str">
        <f t="shared" ca="1" si="42"/>
        <v/>
      </c>
      <c r="P479">
        <f>'Combined Delivery Data'!B509</f>
        <v>0</v>
      </c>
      <c r="Q479">
        <f t="shared" si="43"/>
        <v>0</v>
      </c>
      <c r="R479">
        <f t="shared" si="44"/>
        <v>451</v>
      </c>
      <c r="S479" s="28">
        <f t="shared" si="40"/>
        <v>0</v>
      </c>
      <c r="T479" t="str">
        <f t="shared" si="41"/>
        <v xml:space="preserve"> -&gt; </v>
      </c>
    </row>
    <row r="480" spans="1:20">
      <c r="A480" s="31"/>
      <c r="B480" s="32"/>
      <c r="C480" s="31"/>
      <c r="D480" s="31"/>
      <c r="E480" s="31"/>
      <c r="F480" s="31"/>
      <c r="G480" s="31"/>
      <c r="H480" s="32"/>
      <c r="I480" s="32"/>
      <c r="J480" s="32"/>
      <c r="K480" s="31"/>
      <c r="L480" s="31"/>
      <c r="M480" s="3" t="str">
        <f t="shared" ca="1" si="42"/>
        <v/>
      </c>
      <c r="P480">
        <f>'Combined Delivery Data'!B510</f>
        <v>0</v>
      </c>
      <c r="Q480">
        <f t="shared" si="43"/>
        <v>0</v>
      </c>
      <c r="R480">
        <f t="shared" si="44"/>
        <v>451</v>
      </c>
      <c r="S480" s="28">
        <f t="shared" si="40"/>
        <v>0</v>
      </c>
      <c r="T480" t="str">
        <f t="shared" si="41"/>
        <v xml:space="preserve"> -&gt; </v>
      </c>
    </row>
    <row r="481" spans="1:20">
      <c r="A481" s="31"/>
      <c r="B481" s="32"/>
      <c r="C481" s="31"/>
      <c r="D481" s="31"/>
      <c r="E481" s="31"/>
      <c r="F481" s="31"/>
      <c r="G481" s="31"/>
      <c r="H481" s="32"/>
      <c r="I481" s="32"/>
      <c r="J481" s="32"/>
      <c r="K481" s="31"/>
      <c r="L481" s="31"/>
      <c r="M481" s="3" t="str">
        <f t="shared" ca="1" si="42"/>
        <v/>
      </c>
      <c r="P481">
        <f>'Combined Delivery Data'!B511</f>
        <v>0</v>
      </c>
      <c r="Q481">
        <f t="shared" si="43"/>
        <v>0</v>
      </c>
      <c r="R481">
        <f t="shared" si="44"/>
        <v>451</v>
      </c>
      <c r="S481" s="28">
        <f t="shared" si="40"/>
        <v>0</v>
      </c>
      <c r="T481" t="str">
        <f t="shared" si="41"/>
        <v xml:space="preserve"> -&gt; </v>
      </c>
    </row>
    <row r="482" spans="1:20">
      <c r="A482" s="31"/>
      <c r="B482" s="32"/>
      <c r="C482" s="31"/>
      <c r="D482" s="31"/>
      <c r="E482" s="31"/>
      <c r="F482" s="31"/>
      <c r="G482" s="31"/>
      <c r="H482" s="32"/>
      <c r="I482" s="32"/>
      <c r="J482" s="32"/>
      <c r="K482" s="31"/>
      <c r="L482" s="31"/>
      <c r="M482" s="3" t="str">
        <f t="shared" ca="1" si="42"/>
        <v/>
      </c>
      <c r="P482">
        <f>'Combined Delivery Data'!B512</f>
        <v>0</v>
      </c>
      <c r="Q482">
        <f t="shared" si="43"/>
        <v>0</v>
      </c>
      <c r="R482">
        <f t="shared" si="44"/>
        <v>451</v>
      </c>
      <c r="S482" s="28">
        <f t="shared" si="40"/>
        <v>0</v>
      </c>
      <c r="T482" t="str">
        <f t="shared" si="41"/>
        <v xml:space="preserve"> -&gt; </v>
      </c>
    </row>
    <row r="483" spans="1:20">
      <c r="A483" s="31"/>
      <c r="B483" s="32"/>
      <c r="C483" s="31"/>
      <c r="D483" s="31"/>
      <c r="E483" s="31"/>
      <c r="F483" s="31"/>
      <c r="G483" s="31"/>
      <c r="H483" s="32"/>
      <c r="I483" s="32"/>
      <c r="J483" s="32"/>
      <c r="K483" s="31"/>
      <c r="L483" s="31"/>
      <c r="M483" s="3" t="str">
        <f t="shared" ca="1" si="42"/>
        <v/>
      </c>
      <c r="P483">
        <f>'Combined Delivery Data'!B513</f>
        <v>0</v>
      </c>
      <c r="Q483">
        <f t="shared" si="43"/>
        <v>0</v>
      </c>
      <c r="R483">
        <f t="shared" si="44"/>
        <v>451</v>
      </c>
      <c r="S483" s="28">
        <f t="shared" si="40"/>
        <v>0</v>
      </c>
      <c r="T483" t="str">
        <f t="shared" si="41"/>
        <v xml:space="preserve"> -&gt; </v>
      </c>
    </row>
    <row r="484" spans="1:20">
      <c r="A484" s="31"/>
      <c r="B484" s="32"/>
      <c r="C484" s="31"/>
      <c r="D484" s="31"/>
      <c r="E484" s="31"/>
      <c r="F484" s="31"/>
      <c r="G484" s="31"/>
      <c r="H484" s="32"/>
      <c r="I484" s="32"/>
      <c r="J484" s="32"/>
      <c r="K484" s="31"/>
      <c r="L484" s="31"/>
      <c r="M484" s="3" t="str">
        <f t="shared" ca="1" si="42"/>
        <v/>
      </c>
      <c r="P484">
        <f>'Combined Delivery Data'!B514</f>
        <v>0</v>
      </c>
      <c r="Q484">
        <f t="shared" si="43"/>
        <v>0</v>
      </c>
      <c r="R484">
        <f t="shared" si="44"/>
        <v>451</v>
      </c>
      <c r="S484" s="28">
        <f t="shared" si="40"/>
        <v>0</v>
      </c>
      <c r="T484" t="str">
        <f t="shared" si="41"/>
        <v xml:space="preserve"> -&gt; </v>
      </c>
    </row>
    <row r="485" spans="1:20">
      <c r="A485" s="31"/>
      <c r="B485" s="32"/>
      <c r="C485" s="31"/>
      <c r="D485" s="31"/>
      <c r="E485" s="31"/>
      <c r="F485" s="31"/>
      <c r="G485" s="31"/>
      <c r="H485" s="32"/>
      <c r="I485" s="32"/>
      <c r="J485" s="32"/>
      <c r="K485" s="31"/>
      <c r="L485" s="31"/>
      <c r="M485" s="3" t="str">
        <f t="shared" ca="1" si="42"/>
        <v/>
      </c>
      <c r="P485">
        <f>'Combined Delivery Data'!B515</f>
        <v>0</v>
      </c>
      <c r="Q485">
        <f t="shared" si="43"/>
        <v>0</v>
      </c>
      <c r="R485">
        <f t="shared" si="44"/>
        <v>451</v>
      </c>
      <c r="S485" s="28">
        <f t="shared" si="40"/>
        <v>0</v>
      </c>
      <c r="T485" t="str">
        <f t="shared" si="41"/>
        <v xml:space="preserve"> -&gt; </v>
      </c>
    </row>
    <row r="486" spans="1:20">
      <c r="A486" s="31"/>
      <c r="B486" s="32"/>
      <c r="C486" s="31"/>
      <c r="D486" s="31"/>
      <c r="E486" s="31"/>
      <c r="F486" s="31"/>
      <c r="G486" s="31"/>
      <c r="H486" s="32"/>
      <c r="I486" s="32"/>
      <c r="J486" s="32"/>
      <c r="K486" s="31"/>
      <c r="L486" s="31"/>
      <c r="M486" s="3" t="str">
        <f t="shared" ca="1" si="42"/>
        <v/>
      </c>
      <c r="P486">
        <f>'Combined Delivery Data'!B516</f>
        <v>0</v>
      </c>
      <c r="Q486">
        <f t="shared" si="43"/>
        <v>0</v>
      </c>
      <c r="R486">
        <f t="shared" si="44"/>
        <v>451</v>
      </c>
      <c r="S486" s="28">
        <f t="shared" si="40"/>
        <v>0</v>
      </c>
      <c r="T486" t="str">
        <f t="shared" si="41"/>
        <v xml:space="preserve"> -&gt; </v>
      </c>
    </row>
    <row r="487" spans="1:20">
      <c r="A487" s="31"/>
      <c r="B487" s="32"/>
      <c r="C487" s="31"/>
      <c r="D487" s="31"/>
      <c r="E487" s="31"/>
      <c r="F487" s="31"/>
      <c r="G487" s="31"/>
      <c r="H487" s="32"/>
      <c r="I487" s="32"/>
      <c r="J487" s="32"/>
      <c r="K487" s="31"/>
      <c r="L487" s="31"/>
      <c r="M487" s="3" t="str">
        <f t="shared" ca="1" si="42"/>
        <v/>
      </c>
      <c r="P487">
        <f>'Combined Delivery Data'!B517</f>
        <v>0</v>
      </c>
      <c r="Q487">
        <f t="shared" si="43"/>
        <v>0</v>
      </c>
      <c r="R487">
        <f t="shared" si="44"/>
        <v>451</v>
      </c>
      <c r="S487" s="28">
        <f t="shared" si="40"/>
        <v>0</v>
      </c>
      <c r="T487" t="str">
        <f t="shared" si="41"/>
        <v xml:space="preserve"> -&gt; </v>
      </c>
    </row>
    <row r="488" spans="1:20">
      <c r="A488" s="31"/>
      <c r="B488" s="32"/>
      <c r="C488" s="31"/>
      <c r="D488" s="31"/>
      <c r="E488" s="31"/>
      <c r="F488" s="31"/>
      <c r="G488" s="31"/>
      <c r="H488" s="32"/>
      <c r="I488" s="32"/>
      <c r="J488" s="32"/>
      <c r="K488" s="31"/>
      <c r="L488" s="31"/>
      <c r="M488" s="3" t="str">
        <f t="shared" ca="1" si="42"/>
        <v/>
      </c>
      <c r="P488">
        <f>'Combined Delivery Data'!B518</f>
        <v>0</v>
      </c>
      <c r="Q488">
        <f t="shared" si="43"/>
        <v>0</v>
      </c>
      <c r="R488">
        <f t="shared" si="44"/>
        <v>451</v>
      </c>
      <c r="S488" s="28">
        <f t="shared" si="40"/>
        <v>0</v>
      </c>
      <c r="T488" t="str">
        <f t="shared" si="41"/>
        <v xml:space="preserve"> -&gt; </v>
      </c>
    </row>
    <row r="489" spans="1:20">
      <c r="A489" s="31"/>
      <c r="B489" s="32"/>
      <c r="C489" s="31"/>
      <c r="D489" s="31"/>
      <c r="E489" s="31"/>
      <c r="F489" s="31"/>
      <c r="G489" s="31"/>
      <c r="H489" s="32"/>
      <c r="I489" s="32"/>
      <c r="J489" s="32"/>
      <c r="K489" s="31"/>
      <c r="L489" s="31"/>
      <c r="M489" s="3" t="str">
        <f t="shared" ca="1" si="42"/>
        <v/>
      </c>
      <c r="P489">
        <f>'Combined Delivery Data'!B519</f>
        <v>0</v>
      </c>
      <c r="Q489">
        <f t="shared" si="43"/>
        <v>0</v>
      </c>
      <c r="R489">
        <f t="shared" si="44"/>
        <v>451</v>
      </c>
      <c r="S489" s="28">
        <f t="shared" si="40"/>
        <v>0</v>
      </c>
      <c r="T489" t="str">
        <f t="shared" si="41"/>
        <v xml:space="preserve"> -&gt; </v>
      </c>
    </row>
    <row r="490" spans="1:20">
      <c r="A490" s="31"/>
      <c r="B490" s="32"/>
      <c r="C490" s="31"/>
      <c r="D490" s="31"/>
      <c r="E490" s="31"/>
      <c r="F490" s="31"/>
      <c r="G490" s="31"/>
      <c r="H490" s="32"/>
      <c r="I490" s="32"/>
      <c r="J490" s="32"/>
      <c r="K490" s="31"/>
      <c r="L490" s="31"/>
      <c r="M490" s="3" t="str">
        <f t="shared" ca="1" si="42"/>
        <v/>
      </c>
      <c r="P490">
        <f>'Combined Delivery Data'!B520</f>
        <v>0</v>
      </c>
      <c r="Q490">
        <f t="shared" si="43"/>
        <v>0</v>
      </c>
      <c r="R490">
        <f t="shared" si="44"/>
        <v>451</v>
      </c>
      <c r="S490" s="28">
        <f t="shared" si="40"/>
        <v>0</v>
      </c>
      <c r="T490" t="str">
        <f t="shared" si="41"/>
        <v xml:space="preserve"> -&gt; </v>
      </c>
    </row>
    <row r="491" spans="1:20">
      <c r="A491" s="31"/>
      <c r="B491" s="32"/>
      <c r="C491" s="31"/>
      <c r="D491" s="31"/>
      <c r="E491" s="31"/>
      <c r="F491" s="31"/>
      <c r="G491" s="31"/>
      <c r="H491" s="32"/>
      <c r="I491" s="32"/>
      <c r="J491" s="32"/>
      <c r="K491" s="31"/>
      <c r="L491" s="31"/>
      <c r="M491" s="3" t="str">
        <f t="shared" ca="1" si="42"/>
        <v/>
      </c>
      <c r="P491">
        <f>'Combined Delivery Data'!B521</f>
        <v>0</v>
      </c>
      <c r="Q491">
        <f t="shared" si="43"/>
        <v>0</v>
      </c>
      <c r="R491">
        <f t="shared" si="44"/>
        <v>451</v>
      </c>
      <c r="S491" s="28">
        <f t="shared" si="40"/>
        <v>0</v>
      </c>
      <c r="T491" t="str">
        <f t="shared" si="41"/>
        <v xml:space="preserve"> -&gt; </v>
      </c>
    </row>
    <row r="492" spans="1:20">
      <c r="A492" s="31"/>
      <c r="B492" s="32"/>
      <c r="C492" s="31"/>
      <c r="D492" s="31"/>
      <c r="E492" s="31"/>
      <c r="F492" s="31"/>
      <c r="G492" s="31"/>
      <c r="H492" s="32"/>
      <c r="I492" s="32"/>
      <c r="J492" s="32"/>
      <c r="K492" s="31"/>
      <c r="L492" s="31"/>
      <c r="M492" s="3" t="str">
        <f t="shared" ca="1" si="42"/>
        <v/>
      </c>
      <c r="P492">
        <f>'Combined Delivery Data'!B522</f>
        <v>0</v>
      </c>
      <c r="Q492">
        <f t="shared" si="43"/>
        <v>0</v>
      </c>
      <c r="R492">
        <f t="shared" si="44"/>
        <v>451</v>
      </c>
      <c r="S492" s="28">
        <f t="shared" si="40"/>
        <v>0</v>
      </c>
      <c r="T492" t="str">
        <f t="shared" si="41"/>
        <v xml:space="preserve"> -&gt; </v>
      </c>
    </row>
    <row r="493" spans="1:20">
      <c r="A493" s="31"/>
      <c r="B493" s="32"/>
      <c r="C493" s="31"/>
      <c r="D493" s="31"/>
      <c r="E493" s="31"/>
      <c r="F493" s="31"/>
      <c r="G493" s="31"/>
      <c r="H493" s="32"/>
      <c r="I493" s="32"/>
      <c r="J493" s="32"/>
      <c r="K493" s="31"/>
      <c r="L493" s="31"/>
      <c r="M493" s="3" t="str">
        <f t="shared" ca="1" si="42"/>
        <v/>
      </c>
      <c r="P493">
        <f>'Combined Delivery Data'!B523</f>
        <v>0</v>
      </c>
      <c r="Q493">
        <f t="shared" si="43"/>
        <v>0</v>
      </c>
      <c r="R493">
        <f t="shared" si="44"/>
        <v>451</v>
      </c>
      <c r="S493" s="28">
        <f t="shared" si="40"/>
        <v>0</v>
      </c>
      <c r="T493" t="str">
        <f t="shared" si="41"/>
        <v xml:space="preserve"> -&gt; </v>
      </c>
    </row>
    <row r="494" spans="1:20">
      <c r="A494" s="31"/>
      <c r="B494" s="32"/>
      <c r="C494" s="31"/>
      <c r="D494" s="31"/>
      <c r="E494" s="31"/>
      <c r="F494" s="31"/>
      <c r="G494" s="31"/>
      <c r="H494" s="32"/>
      <c r="I494" s="32"/>
      <c r="J494" s="32"/>
      <c r="K494" s="31"/>
      <c r="L494" s="31"/>
      <c r="M494" s="3" t="str">
        <f t="shared" ca="1" si="42"/>
        <v/>
      </c>
      <c r="P494">
        <f>'Combined Delivery Data'!B524</f>
        <v>0</v>
      </c>
      <c r="Q494">
        <f t="shared" si="43"/>
        <v>0</v>
      </c>
      <c r="R494">
        <f t="shared" si="44"/>
        <v>451</v>
      </c>
      <c r="S494" s="28">
        <f t="shared" si="40"/>
        <v>0</v>
      </c>
      <c r="T494" t="str">
        <f t="shared" si="41"/>
        <v xml:space="preserve"> -&gt; </v>
      </c>
    </row>
    <row r="495" spans="1:20">
      <c r="A495" s="31"/>
      <c r="B495" s="32"/>
      <c r="C495" s="31"/>
      <c r="D495" s="31"/>
      <c r="E495" s="31"/>
      <c r="F495" s="31"/>
      <c r="G495" s="31"/>
      <c r="H495" s="32"/>
      <c r="I495" s="32"/>
      <c r="J495" s="32"/>
      <c r="K495" s="31"/>
      <c r="L495" s="31"/>
      <c r="M495" s="3" t="str">
        <f t="shared" ca="1" si="42"/>
        <v/>
      </c>
      <c r="P495">
        <f>'Combined Delivery Data'!B525</f>
        <v>0</v>
      </c>
      <c r="Q495">
        <f t="shared" si="43"/>
        <v>0</v>
      </c>
      <c r="R495">
        <f t="shared" si="44"/>
        <v>451</v>
      </c>
      <c r="S495" s="28">
        <f t="shared" si="40"/>
        <v>0</v>
      </c>
      <c r="T495" t="str">
        <f t="shared" si="41"/>
        <v xml:space="preserve"> -&gt; </v>
      </c>
    </row>
    <row r="496" spans="1:20">
      <c r="A496" s="31"/>
      <c r="B496" s="32"/>
      <c r="C496" s="31"/>
      <c r="D496" s="31"/>
      <c r="E496" s="31"/>
      <c r="F496" s="31"/>
      <c r="G496" s="31"/>
      <c r="H496" s="32"/>
      <c r="I496" s="32"/>
      <c r="J496" s="32"/>
      <c r="K496" s="31"/>
      <c r="L496" s="31"/>
      <c r="M496" s="3" t="str">
        <f t="shared" ca="1" si="42"/>
        <v/>
      </c>
      <c r="P496">
        <f>'Combined Delivery Data'!B526</f>
        <v>0</v>
      </c>
      <c r="Q496">
        <f t="shared" si="43"/>
        <v>0</v>
      </c>
      <c r="R496">
        <f t="shared" si="44"/>
        <v>451</v>
      </c>
      <c r="S496" s="28">
        <f t="shared" si="40"/>
        <v>0</v>
      </c>
      <c r="T496" t="str">
        <f t="shared" si="41"/>
        <v xml:space="preserve"> -&gt; </v>
      </c>
    </row>
    <row r="497" spans="1:20">
      <c r="A497" s="31"/>
      <c r="B497" s="32"/>
      <c r="C497" s="31"/>
      <c r="D497" s="31"/>
      <c r="E497" s="31"/>
      <c r="F497" s="31"/>
      <c r="G497" s="31"/>
      <c r="H497" s="32"/>
      <c r="I497" s="32"/>
      <c r="J497" s="32"/>
      <c r="K497" s="31"/>
      <c r="L497" s="31"/>
      <c r="M497" s="3" t="str">
        <f t="shared" ca="1" si="42"/>
        <v/>
      </c>
      <c r="P497">
        <f>'Combined Delivery Data'!B527</f>
        <v>0</v>
      </c>
      <c r="Q497">
        <f t="shared" si="43"/>
        <v>0</v>
      </c>
      <c r="R497">
        <f t="shared" si="44"/>
        <v>451</v>
      </c>
      <c r="S497" s="28">
        <f t="shared" si="40"/>
        <v>0</v>
      </c>
      <c r="T497" t="str">
        <f t="shared" si="41"/>
        <v xml:space="preserve"> -&gt; </v>
      </c>
    </row>
  </sheetData>
  <sheetProtection formatColumns="0" formatRows="0" sort="0" autoFilter="0"/>
  <conditionalFormatting sqref="A4:A7">
    <cfRule type="expression" dxfId="39" priority="20">
      <formula>AND($B4&lt;&gt;"",MOD(ROW(),2)=0)</formula>
    </cfRule>
  </conditionalFormatting>
  <conditionalFormatting sqref="A10:A12">
    <cfRule type="expression" dxfId="38" priority="17">
      <formula>AND($B10&lt;&gt;"",MOD(ROW(),2)=0)</formula>
    </cfRule>
  </conditionalFormatting>
  <conditionalFormatting sqref="A17">
    <cfRule type="expression" dxfId="37" priority="16">
      <formula>AND($B17&lt;&gt;"",MOD(ROW(),2)=0)</formula>
    </cfRule>
  </conditionalFormatting>
  <conditionalFormatting sqref="A21">
    <cfRule type="expression" dxfId="36" priority="14">
      <formula>AND($B21&lt;&gt;"",MOD(ROW(),2)=0)</formula>
    </cfRule>
  </conditionalFormatting>
  <conditionalFormatting sqref="A25:A26">
    <cfRule type="expression" dxfId="35" priority="12">
      <formula>AND($B25&lt;&gt;"",MOD(ROW(),2)=0)</formula>
    </cfRule>
  </conditionalFormatting>
  <conditionalFormatting sqref="A30">
    <cfRule type="expression" dxfId="34" priority="11">
      <formula>AND($B30&lt;&gt;"",MOD(ROW(),2)=0)</formula>
    </cfRule>
  </conditionalFormatting>
  <conditionalFormatting sqref="A35:A37">
    <cfRule type="expression" dxfId="33" priority="7">
      <formula>AND($B35&lt;&gt;"",MOD(ROW(),2)=0)</formula>
    </cfRule>
  </conditionalFormatting>
  <conditionalFormatting sqref="A42">
    <cfRule type="expression" dxfId="32" priority="5">
      <formula>AND($B42&lt;&gt;"",MOD(ROW(),2)=0)</formula>
    </cfRule>
  </conditionalFormatting>
  <conditionalFormatting sqref="A44:A45">
    <cfRule type="expression" dxfId="31" priority="2">
      <formula>AND($B44&lt;&gt;"",MOD(ROW(),2)=0)</formula>
    </cfRule>
  </conditionalFormatting>
  <conditionalFormatting sqref="A2:H2 K2:M2 A3:M3 M3:M10 B4:M7 A8:M9 B10:M12 A13:M16 B17:M17 A18:M20 B21:M21 A22:M24 B25:M26 A27:M27 A28:K29 M28:M29 B30:M30 A31:M34 B35:M37 A38:M41 B42:M42 A43:M43 A47:M497 B44:M46">
    <cfRule type="expression" dxfId="30" priority="30">
      <formula>AND($A2&lt;&gt;"",$G2="Yes")</formula>
    </cfRule>
    <cfRule type="expression" dxfId="29" priority="31">
      <formula>AND($A2&lt;&gt;"",$J2&lt;&gt;"")</formula>
    </cfRule>
    <cfRule type="expression" dxfId="28" priority="32">
      <formula>$A2&lt;&gt;""</formula>
    </cfRule>
  </conditionalFormatting>
  <conditionalFormatting sqref="C2:C197 G2:G197">
    <cfRule type="expression" dxfId="27" priority="33">
      <formula>$A2=""</formula>
    </cfRule>
  </conditionalFormatting>
  <conditionalFormatting sqref="K2:M2 A3:M3 M3:M10 B4:M7 A8:M9 B10:M12 A13:M16 B17:M17 A18:M20 B21:M21 A22:M24 B25:M26 A27:M27 M28:M29 B30:M30 A31:M34 B35:M37 A38:M41 B42:M42 A43:M43 A47:M497 A2:H2 A28:K29 B44:M46">
    <cfRule type="expression" dxfId="26" priority="29">
      <formula>AND($A2&lt;&gt;"",$G2="Did not pass re-test")</formula>
    </cfRule>
  </conditionalFormatting>
  <conditionalFormatting sqref="M2:M497">
    <cfRule type="expression" dxfId="25" priority="23">
      <formula>ISNUMBER(SEARCH("Sent back again",$M2))</formula>
    </cfRule>
    <cfRule type="expression" dxfId="24" priority="24">
      <formula>ISNUMBER(SEARCH("LATE",$M2))</formula>
    </cfRule>
    <cfRule type="expression" dxfId="23" priority="25">
      <formula>ISNUMBER(SEARCH("UNCLAIMED",$M2))</formula>
    </cfRule>
    <cfRule type="expression" dxfId="22" priority="26">
      <formula>ISNUMBER(SEARCH("Missing",$M2))</formula>
    </cfRule>
    <cfRule type="expression" dxfId="21" priority="27">
      <formula>ISNUMBER(SEARCH("Fixed in",$M2))</formula>
    </cfRule>
    <cfRule type="expression" dxfId="20" priority="28">
      <formula>ISNUMBER(SEARCH("Open",$M2))</formula>
    </cfRule>
  </conditionalFormatting>
  <conditionalFormatting sqref="N24">
    <cfRule type="expression" dxfId="19" priority="6">
      <formula>AND($B24&lt;&gt;"",MOD(ROW(),2)=0)</formula>
    </cfRule>
  </conditionalFormatting>
  <conditionalFormatting sqref="A46">
    <cfRule type="expression" dxfId="18" priority="1">
      <formula>AND($B46&lt;&gt;"",MOD(ROW(),2)=0)</formula>
    </cfRule>
  </conditionalFormatting>
  <dataValidations count="5">
    <dataValidation type="date" operator="greaterThanOrEqual" allowBlank="1" showInputMessage="1" showErrorMessage="1" errorTitle="Real date only" error="This column only accepts real dates." promptTitle="Date Sent Back" prompt="Ctrl+; enters today." sqref="I4:J4 B2:B497" xr:uid="{00000000-0002-0000-0300-000006000000}">
      <formula1>DATE(2020,1,1)</formula1>
    </dataValidation>
    <dataValidation type="date" operator="greaterThanOrEqual" allowBlank="1" showInputMessage="1" showErrorMessage="1" errorTitle="Real date only" error="This column only accepts real dates." promptTitle="Picking this up?" prompt="Enter YOUR expected fix date. Until then the row shows UNCLAIMED." sqref="I3 I5:I497" xr:uid="{00000000-0002-0000-0300-000008000000}">
      <formula1>DATE(2020,1,1)</formula1>
    </dataValidation>
    <dataValidation type="date" operator="greaterThanOrEqual" allowBlank="1" showInputMessage="1" showErrorMessage="1" errorTitle="Real date only" error="This column only accepts real dates." promptTitle="Date Fixed" prompt="Enter the date you finished - this STOPS THE CLOCK and turns the row blue: waiting on the sender to re-test and accept." sqref="J3 J5:J497" xr:uid="{00000000-0002-0000-0300-000009000000}">
      <formula1>DATE(2020,1,1)</formula1>
    </dataValidation>
    <dataValidation type="list" allowBlank="1" showInputMessage="1" promptTitle="Fixed By" prompt="Pick the To Stage first - list shows that stage's people." sqref="K2:K497" xr:uid="{00000000-0002-0000-0300-000005000000}">
      <formula1>INDIRECT(SUBSTITUTE($D2," ","_")&amp;"_List")</formula1>
    </dataValidation>
    <dataValidation type="list" allowBlank="1" showInputMessage="1" showErrorMessage="1" sqref="H2:H497" xr:uid="{DAF77D53-E6E7-426A-A654-9ADBF3CB2CB1}">
      <formula1>INDIRECT(SUBSTITUTE($D2," ","_")&amp;"_List")</formula1>
    </dataValidation>
  </dataValidations>
  <pageMargins left="0.75" right="0.75" top="1" bottom="1" header="0.5" footer="0.5"/>
  <headerFooter>
    <oddFooter>&amp;L_x000D_&amp;1#&amp;"Aptos"&amp;10&amp;K000000 This content is for internal use only</oddFooter>
  </headerFooter>
  <legacyDrawing r:id="rId1"/>
  <tableParts count="1">
    <tablePart r:id="rId2"/>
  </tableParts>
  <extLst>
    <ext xmlns:x14="http://schemas.microsoft.com/office/spreadsheetml/2009/9/main" uri="{CCE6A557-97BC-4b89-ADB6-D9C93CAAB3DF}">
      <x14:dataValidations xmlns:xm="http://schemas.microsoft.com/office/excel/2006/main" count="5">
        <x14:dataValidation type="list" allowBlank="1" showInputMessage="1" showErrorMessage="1" promptTitle="From Stage" prompt="Which stage found the problem?" xr:uid="{00000000-0002-0000-0300-000001000000}">
          <x14:formula1>
            <xm:f>'Data Validation'!$J$3:$J$6</xm:f>
          </x14:formula1>
          <xm:sqref>C2:C497</xm:sqref>
        </x14:dataValidation>
        <x14:dataValidation type="list" allowBlank="1" showInputMessage="1" showErrorMessage="1" promptTitle="To Stage" prompt="Which stage needs to fix it?" xr:uid="{00000000-0002-0000-0300-000002000000}">
          <x14:formula1>
            <xm:f>'Data Validation'!$J$3:$J$6</xm:f>
          </x14:formula1>
          <xm:sqref>D2:D497</xm:sqref>
        </x14:dataValidation>
        <x14:dataValidation type="list" allowBlank="1" showInputMessage="1" promptTitle="Sent Back By" prompt="Usually QA - pick a name, or type another." xr:uid="{00000000-0002-0000-0300-000003000000}">
          <x14:formula1>
            <xm:f>'Data Validation'!$H$3:$H$6</xm:f>
          </x14:formula1>
          <xm:sqref>E2:E497</xm:sqref>
        </x14:dataValidation>
        <x14:dataValidation type="list" allowBlank="1" showInputMessage="1" showErrorMessage="1" promptTitle="Resolved? (sender owns this)" prompt="After the fixer enters Date Fixed, re-test: Yes = accepted (row turns green). &quot;Did not pass re-test&quot; = still broken - this attempt closes; log a NEW row for the next attempt." xr:uid="{00000000-0002-0000-0300-000004000000}">
          <x14:formula1>
            <xm:f>'Data Validation'!$L$3:$L$5</xm:f>
          </x14:formula1>
          <xm:sqref>G2:G497</xm:sqref>
        </x14:dataValidation>
        <x14:dataValidation type="list" allowBlank="1" showInputMessage="1" showErrorMessage="1" xr:uid="{43BE092B-93A8-43E9-B519-EB5F441FF52C}">
          <x14:formula1>
            <xm:f>'Combined Delivery Data'!$B$29:$B$100</xm:f>
          </x14:formula1>
          <xm:sqref>A2:A41 A43 A47:A497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808080"/>
  </sheetPr>
  <dimension ref="A1:H15"/>
  <sheetViews>
    <sheetView zoomScaleNormal="100" workbookViewId="0">
      <pane ySplit="2" topLeftCell="A3" activePane="bottomLeft" state="frozen"/>
      <selection pane="bottomLeft" activeCell="G15" sqref="G15"/>
    </sheetView>
  </sheetViews>
  <sheetFormatPr defaultColWidth="8.7109375" defaultRowHeight="15" customHeight="1"/>
  <cols>
    <col min="1" max="3" width="22" customWidth="1"/>
    <col min="5" max="5" width="18.28515625" bestFit="1" customWidth="1"/>
    <col min="6" max="6" width="16.85546875" bestFit="1" customWidth="1"/>
    <col min="7" max="7" width="30.7109375" bestFit="1" customWidth="1"/>
    <col min="8" max="8" width="28.7109375" bestFit="1" customWidth="1"/>
  </cols>
  <sheetData>
    <row r="1" spans="1:8" ht="14.25" hidden="1" customHeight="1">
      <c r="A1" s="272" t="s">
        <v>422</v>
      </c>
      <c r="B1" s="268"/>
      <c r="C1" s="268"/>
    </row>
    <row r="2" spans="1:8" ht="14.25" customHeight="1">
      <c r="A2" s="8" t="s">
        <v>0</v>
      </c>
      <c r="B2" s="8" t="s">
        <v>423</v>
      </c>
      <c r="C2" s="8" t="s">
        <v>424</v>
      </c>
      <c r="E2" t="s">
        <v>425</v>
      </c>
      <c r="F2" t="s">
        <v>426</v>
      </c>
      <c r="G2" t="s">
        <v>427</v>
      </c>
      <c r="H2" t="s">
        <v>428</v>
      </c>
    </row>
    <row r="3" spans="1:8" ht="14.25" customHeight="1">
      <c r="A3" s="11" t="s">
        <v>40</v>
      </c>
      <c r="B3" s="11">
        <v>8</v>
      </c>
      <c r="C3" s="12">
        <v>46142</v>
      </c>
      <c r="E3" t="s">
        <v>429</v>
      </c>
      <c r="F3" s="28">
        <v>46233</v>
      </c>
      <c r="G3" s="28">
        <v>46274</v>
      </c>
    </row>
    <row r="4" spans="1:8" ht="14.25" customHeight="1">
      <c r="A4" s="11" t="s">
        <v>40</v>
      </c>
      <c r="B4" s="11">
        <v>10</v>
      </c>
      <c r="C4" s="12">
        <v>46172</v>
      </c>
      <c r="E4" t="s">
        <v>430</v>
      </c>
      <c r="F4" s="28">
        <v>46264</v>
      </c>
      <c r="G4" s="28">
        <v>46295</v>
      </c>
    </row>
    <row r="5" spans="1:8" ht="14.25" customHeight="1">
      <c r="A5" s="11" t="s">
        <v>40</v>
      </c>
      <c r="B5" s="11">
        <v>9</v>
      </c>
      <c r="C5" s="12">
        <v>46203</v>
      </c>
      <c r="E5" t="s">
        <v>431</v>
      </c>
      <c r="F5" s="28">
        <v>46295</v>
      </c>
      <c r="G5" s="28">
        <v>46325</v>
      </c>
    </row>
    <row r="6" spans="1:8" ht="14.25" customHeight="1">
      <c r="A6" s="11" t="s">
        <v>126</v>
      </c>
      <c r="B6" s="11">
        <v>15</v>
      </c>
      <c r="C6" s="12">
        <v>46233</v>
      </c>
      <c r="E6" t="s">
        <v>432</v>
      </c>
      <c r="F6" s="28">
        <v>46325</v>
      </c>
      <c r="G6" s="28">
        <v>46356</v>
      </c>
    </row>
    <row r="7" spans="1:8" ht="14.25" customHeight="1">
      <c r="A7" s="11" t="s">
        <v>126</v>
      </c>
      <c r="B7" s="11">
        <v>15</v>
      </c>
      <c r="C7" s="12">
        <v>46264</v>
      </c>
      <c r="E7" t="s">
        <v>433</v>
      </c>
      <c r="F7" s="28">
        <v>46356</v>
      </c>
      <c r="G7" s="28">
        <v>46387</v>
      </c>
    </row>
    <row r="8" spans="1:8" ht="14.25" customHeight="1">
      <c r="A8" s="11" t="s">
        <v>126</v>
      </c>
      <c r="B8" s="11">
        <v>17</v>
      </c>
      <c r="C8" s="12">
        <v>46295</v>
      </c>
      <c r="E8" t="s">
        <v>434</v>
      </c>
      <c r="F8" s="28">
        <v>46387</v>
      </c>
      <c r="G8" s="28">
        <v>46417</v>
      </c>
    </row>
    <row r="9" spans="1:8" ht="14.25" customHeight="1">
      <c r="A9" s="11" t="s">
        <v>126</v>
      </c>
      <c r="B9" s="11">
        <v>20</v>
      </c>
      <c r="C9" s="12">
        <v>46325</v>
      </c>
      <c r="E9" t="s">
        <v>435</v>
      </c>
      <c r="F9" s="28">
        <v>46417</v>
      </c>
      <c r="G9" s="28">
        <v>46445</v>
      </c>
    </row>
    <row r="10" spans="1:8" ht="14.25" customHeight="1">
      <c r="A10" s="11" t="s">
        <v>126</v>
      </c>
      <c r="B10" s="11">
        <v>20</v>
      </c>
      <c r="C10" s="12">
        <v>46356</v>
      </c>
      <c r="E10" t="s">
        <v>436</v>
      </c>
      <c r="F10" s="28">
        <v>46446</v>
      </c>
      <c r="G10" s="28">
        <v>46477</v>
      </c>
    </row>
    <row r="11" spans="1:8" ht="14.25" customHeight="1">
      <c r="A11" s="11" t="s">
        <v>335</v>
      </c>
      <c r="B11" s="11">
        <v>18</v>
      </c>
      <c r="C11" s="12">
        <v>46417</v>
      </c>
      <c r="E11" t="s">
        <v>437</v>
      </c>
      <c r="F11" s="28">
        <v>46477</v>
      </c>
      <c r="G11" s="28">
        <v>46480</v>
      </c>
    </row>
    <row r="12" spans="1:8" ht="14.25" customHeight="1">
      <c r="A12" s="11" t="s">
        <v>335</v>
      </c>
      <c r="B12" s="11">
        <v>18</v>
      </c>
      <c r="C12" s="12">
        <v>46446</v>
      </c>
    </row>
    <row r="13" spans="1:8" ht="14.25" customHeight="1">
      <c r="A13" s="11" t="s">
        <v>335</v>
      </c>
      <c r="B13" s="11">
        <v>19</v>
      </c>
      <c r="C13" s="12">
        <v>46477</v>
      </c>
    </row>
    <row r="14" spans="1:8" ht="14.25" customHeight="1">
      <c r="A14" s="11" t="s">
        <v>311</v>
      </c>
      <c r="B14" s="11">
        <v>9</v>
      </c>
      <c r="C14" s="12">
        <v>46387</v>
      </c>
    </row>
    <row r="15" spans="1:8" ht="14.25" customHeight="1">
      <c r="A15" s="11" t="s">
        <v>302</v>
      </c>
      <c r="B15" s="11">
        <v>8</v>
      </c>
      <c r="C15" s="12">
        <v>46387</v>
      </c>
    </row>
  </sheetData>
  <autoFilter ref="A2:C15" xr:uid="{00000000-0009-0000-0000-000005000000}"/>
  <mergeCells count="1">
    <mergeCell ref="A1:C1"/>
  </mergeCells>
  <pageMargins left="0.75" right="0.75" top="1" bottom="1" header="0.511811023622047" footer="0.5"/>
  <pageSetup paperSize="9" orientation="portrait" horizontalDpi="300" verticalDpi="300"/>
  <headerFooter>
    <oddFooter>&amp;L&amp;"Aptos,Regular"&amp;10 _x000D_# This content is for internal use only_x000D_&amp;1#&amp;"Aptos"&amp;10&amp;K000000 This content is for internal use only</oddFooter>
  </headerFooter>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808080"/>
  </sheetPr>
  <dimension ref="A1:J184"/>
  <sheetViews>
    <sheetView zoomScaleNormal="100" workbookViewId="0">
      <pane xSplit="3" ySplit="2" topLeftCell="D137" activePane="bottomRight" state="frozen"/>
      <selection pane="bottomRight"/>
      <selection pane="bottomLeft" activeCell="A3" sqref="A3"/>
      <selection pane="topRight" activeCell="D1" sqref="D1"/>
    </sheetView>
  </sheetViews>
  <sheetFormatPr defaultColWidth="8.7109375" defaultRowHeight="15"/>
  <cols>
    <col min="1" max="1" width="12" customWidth="1"/>
    <col min="2" max="2" width="14" customWidth="1"/>
    <col min="3" max="3" width="34" customWidth="1"/>
    <col min="4" max="5" width="14" customWidth="1"/>
    <col min="6" max="6" width="12" customWidth="1"/>
    <col min="7" max="7" width="10" customWidth="1"/>
    <col min="8" max="8" width="14" customWidth="1"/>
    <col min="9" max="10" width="16" customWidth="1"/>
  </cols>
  <sheetData>
    <row r="1" spans="1:10" ht="14.25" customHeight="1">
      <c r="A1" s="273" t="s">
        <v>438</v>
      </c>
      <c r="B1" s="268"/>
      <c r="C1" s="268"/>
      <c r="D1" s="268"/>
      <c r="E1" s="268"/>
      <c r="F1" s="268"/>
      <c r="G1" s="268"/>
      <c r="H1" s="268"/>
      <c r="I1" s="268"/>
      <c r="J1" s="268"/>
    </row>
    <row r="2" spans="1:10" ht="27" customHeight="1">
      <c r="A2" s="8" t="s">
        <v>0</v>
      </c>
      <c r="B2" s="8" t="s">
        <v>439</v>
      </c>
      <c r="C2" s="8" t="s">
        <v>1</v>
      </c>
      <c r="D2" s="8" t="s">
        <v>440</v>
      </c>
      <c r="E2" s="8" t="s">
        <v>441</v>
      </c>
      <c r="F2" s="8" t="s">
        <v>6</v>
      </c>
      <c r="G2" s="8" t="s">
        <v>5</v>
      </c>
      <c r="H2" s="8" t="s">
        <v>442</v>
      </c>
      <c r="I2" s="8" t="s">
        <v>424</v>
      </c>
      <c r="J2" s="8" t="s">
        <v>443</v>
      </c>
    </row>
    <row r="3" spans="1:10" ht="14.25" customHeight="1">
      <c r="A3" s="9" t="s">
        <v>40</v>
      </c>
      <c r="B3" s="9" t="s">
        <v>263</v>
      </c>
      <c r="C3" s="9" t="s">
        <v>41</v>
      </c>
      <c r="D3" s="9" t="s">
        <v>44</v>
      </c>
      <c r="E3" s="9" t="s">
        <v>46</v>
      </c>
      <c r="F3" s="9"/>
      <c r="G3" s="9"/>
      <c r="H3" s="9"/>
      <c r="I3" s="10">
        <v>46115</v>
      </c>
      <c r="J3" s="10">
        <v>46115</v>
      </c>
    </row>
    <row r="4" spans="1:10" ht="14.25" customHeight="1">
      <c r="A4" s="9" t="s">
        <v>40</v>
      </c>
      <c r="B4" s="9" t="s">
        <v>223</v>
      </c>
      <c r="C4" s="9" t="s">
        <v>41</v>
      </c>
      <c r="D4" s="9" t="s">
        <v>44</v>
      </c>
      <c r="E4" s="9" t="s">
        <v>46</v>
      </c>
      <c r="F4" s="9"/>
      <c r="G4" s="9"/>
      <c r="H4" s="10">
        <v>46115</v>
      </c>
      <c r="I4" s="10">
        <v>46114</v>
      </c>
      <c r="J4" s="10">
        <v>46114</v>
      </c>
    </row>
    <row r="5" spans="1:10" ht="14.25" customHeight="1">
      <c r="A5" s="9" t="s">
        <v>40</v>
      </c>
      <c r="B5" s="9" t="s">
        <v>206</v>
      </c>
      <c r="C5" s="9" t="s">
        <v>41</v>
      </c>
      <c r="D5" s="9" t="s">
        <v>44</v>
      </c>
      <c r="E5" s="9" t="s">
        <v>46</v>
      </c>
      <c r="F5" s="9"/>
      <c r="G5" s="9"/>
      <c r="H5" s="10">
        <v>46114</v>
      </c>
      <c r="I5" s="10">
        <v>46122</v>
      </c>
      <c r="J5" s="10">
        <v>46122</v>
      </c>
    </row>
    <row r="6" spans="1:10" ht="14.25" customHeight="1">
      <c r="A6" s="9" t="s">
        <v>40</v>
      </c>
      <c r="B6" s="9" t="s">
        <v>187</v>
      </c>
      <c r="C6" s="9" t="s">
        <v>41</v>
      </c>
      <c r="D6" s="9" t="s">
        <v>44</v>
      </c>
      <c r="E6" s="9" t="s">
        <v>46</v>
      </c>
      <c r="F6" s="9"/>
      <c r="G6" s="9"/>
      <c r="H6" s="10">
        <v>46122</v>
      </c>
      <c r="I6" s="10"/>
      <c r="J6" s="10"/>
    </row>
    <row r="7" spans="1:10" ht="14.25" customHeight="1">
      <c r="A7" s="9" t="s">
        <v>40</v>
      </c>
      <c r="B7" s="9" t="s">
        <v>42</v>
      </c>
      <c r="C7" s="9" t="s">
        <v>41</v>
      </c>
      <c r="D7" s="9" t="s">
        <v>44</v>
      </c>
      <c r="E7" s="9" t="s">
        <v>46</v>
      </c>
      <c r="F7" s="9"/>
      <c r="G7" s="9"/>
      <c r="H7" s="9"/>
      <c r="I7" s="10"/>
      <c r="J7" s="10"/>
    </row>
    <row r="8" spans="1:10" ht="14.25" customHeight="1">
      <c r="A8" s="9" t="s">
        <v>40</v>
      </c>
      <c r="B8" s="9" t="s">
        <v>263</v>
      </c>
      <c r="C8" s="9" t="s">
        <v>55</v>
      </c>
      <c r="D8" s="9" t="s">
        <v>44</v>
      </c>
      <c r="E8" s="9" t="s">
        <v>46</v>
      </c>
      <c r="F8" s="9"/>
      <c r="G8" s="9"/>
      <c r="H8" s="10"/>
      <c r="I8" s="10">
        <v>46115</v>
      </c>
      <c r="J8" s="10">
        <v>46115</v>
      </c>
    </row>
    <row r="9" spans="1:10" ht="14.25" customHeight="1">
      <c r="A9" s="9" t="s">
        <v>40</v>
      </c>
      <c r="B9" s="9" t="s">
        <v>223</v>
      </c>
      <c r="C9" s="9" t="s">
        <v>55</v>
      </c>
      <c r="D9" s="9" t="s">
        <v>44</v>
      </c>
      <c r="E9" s="9" t="s">
        <v>46</v>
      </c>
      <c r="F9" s="9"/>
      <c r="G9" s="9"/>
      <c r="H9" s="10">
        <v>46115</v>
      </c>
      <c r="I9" s="10">
        <v>46114</v>
      </c>
      <c r="J9" s="10">
        <v>46114</v>
      </c>
    </row>
    <row r="10" spans="1:10" ht="14.25" customHeight="1">
      <c r="A10" s="9" t="s">
        <v>40</v>
      </c>
      <c r="B10" s="9" t="s">
        <v>206</v>
      </c>
      <c r="C10" s="9" t="s">
        <v>55</v>
      </c>
      <c r="D10" s="9" t="s">
        <v>44</v>
      </c>
      <c r="E10" s="9" t="s">
        <v>46</v>
      </c>
      <c r="F10" s="9"/>
      <c r="G10" s="9"/>
      <c r="H10" s="10">
        <v>46114</v>
      </c>
      <c r="I10" s="10">
        <v>46122</v>
      </c>
      <c r="J10" s="10">
        <v>46122</v>
      </c>
    </row>
    <row r="11" spans="1:10" ht="14.25" customHeight="1">
      <c r="A11" s="9" t="s">
        <v>40</v>
      </c>
      <c r="B11" s="9" t="s">
        <v>187</v>
      </c>
      <c r="C11" s="9" t="s">
        <v>55</v>
      </c>
      <c r="D11" s="9" t="s">
        <v>44</v>
      </c>
      <c r="E11" s="9" t="s">
        <v>46</v>
      </c>
      <c r="F11" s="9"/>
      <c r="G11" s="9"/>
      <c r="H11" s="10">
        <v>46122</v>
      </c>
      <c r="I11" s="10"/>
      <c r="J11" s="10"/>
    </row>
    <row r="12" spans="1:10" ht="14.25" customHeight="1">
      <c r="A12" s="9" t="s">
        <v>40</v>
      </c>
      <c r="B12" s="9" t="s">
        <v>42</v>
      </c>
      <c r="C12" s="9" t="s">
        <v>55</v>
      </c>
      <c r="D12" s="9" t="s">
        <v>44</v>
      </c>
      <c r="E12" s="9" t="s">
        <v>46</v>
      </c>
      <c r="F12" s="9"/>
      <c r="G12" s="9"/>
      <c r="H12" s="10"/>
      <c r="I12" s="10"/>
      <c r="J12" s="10"/>
    </row>
    <row r="13" spans="1:10" ht="14.25" customHeight="1">
      <c r="A13" s="9" t="s">
        <v>40</v>
      </c>
      <c r="B13" s="9" t="s">
        <v>263</v>
      </c>
      <c r="C13" s="9" t="s">
        <v>444</v>
      </c>
      <c r="D13" s="9" t="s">
        <v>445</v>
      </c>
      <c r="E13" s="9" t="s">
        <v>46</v>
      </c>
      <c r="F13" s="9"/>
      <c r="G13" s="9"/>
      <c r="H13" s="10"/>
      <c r="I13" s="10">
        <v>46115</v>
      </c>
      <c r="J13" s="10">
        <v>46115</v>
      </c>
    </row>
    <row r="14" spans="1:10" ht="14.25" customHeight="1">
      <c r="A14" s="9" t="s">
        <v>40</v>
      </c>
      <c r="B14" s="9" t="s">
        <v>223</v>
      </c>
      <c r="C14" s="9" t="s">
        <v>444</v>
      </c>
      <c r="D14" s="9" t="s">
        <v>445</v>
      </c>
      <c r="E14" s="9" t="s">
        <v>46</v>
      </c>
      <c r="F14" s="9"/>
      <c r="G14" s="9"/>
      <c r="H14" s="10">
        <v>46115</v>
      </c>
      <c r="I14" s="10">
        <v>46120</v>
      </c>
      <c r="J14" s="10">
        <v>46120</v>
      </c>
    </row>
    <row r="15" spans="1:10" ht="14.25" customHeight="1">
      <c r="A15" s="9" t="s">
        <v>40</v>
      </c>
      <c r="B15" s="9" t="s">
        <v>206</v>
      </c>
      <c r="C15" s="9" t="s">
        <v>444</v>
      </c>
      <c r="D15" s="9" t="s">
        <v>445</v>
      </c>
      <c r="E15" s="9" t="s">
        <v>46</v>
      </c>
      <c r="F15" s="9"/>
      <c r="G15" s="9"/>
      <c r="H15" s="10">
        <v>46120</v>
      </c>
      <c r="I15" s="10">
        <v>46122</v>
      </c>
      <c r="J15" s="10">
        <v>46122</v>
      </c>
    </row>
    <row r="16" spans="1:10" ht="14.25" customHeight="1">
      <c r="A16" s="9" t="s">
        <v>40</v>
      </c>
      <c r="B16" s="9" t="s">
        <v>187</v>
      </c>
      <c r="C16" s="9" t="s">
        <v>444</v>
      </c>
      <c r="D16" s="9" t="s">
        <v>445</v>
      </c>
      <c r="E16" s="9" t="s">
        <v>46</v>
      </c>
      <c r="F16" s="9"/>
      <c r="G16" s="9"/>
      <c r="H16" s="10">
        <v>46122</v>
      </c>
      <c r="I16" s="10"/>
      <c r="J16" s="10"/>
    </row>
    <row r="17" spans="1:10" ht="14.25" customHeight="1">
      <c r="A17" s="9" t="s">
        <v>40</v>
      </c>
      <c r="B17" s="9" t="s">
        <v>42</v>
      </c>
      <c r="C17" s="9" t="s">
        <v>444</v>
      </c>
      <c r="D17" s="9" t="s">
        <v>445</v>
      </c>
      <c r="E17" s="9" t="s">
        <v>46</v>
      </c>
      <c r="F17" s="9"/>
      <c r="G17" s="9"/>
      <c r="H17" s="10"/>
      <c r="I17" s="10"/>
      <c r="J17" s="10"/>
    </row>
    <row r="18" spans="1:10" ht="14.25" customHeight="1">
      <c r="A18" s="9" t="s">
        <v>40</v>
      </c>
      <c r="B18" s="9" t="s">
        <v>263</v>
      </c>
      <c r="C18" s="9" t="s">
        <v>58</v>
      </c>
      <c r="D18" s="9" t="s">
        <v>59</v>
      </c>
      <c r="E18" s="9" t="s">
        <v>60</v>
      </c>
      <c r="F18" s="9"/>
      <c r="G18" s="9"/>
      <c r="H18" s="9"/>
      <c r="I18" s="10">
        <v>46115</v>
      </c>
      <c r="J18" s="10">
        <v>46115</v>
      </c>
    </row>
    <row r="19" spans="1:10" ht="14.25" customHeight="1">
      <c r="A19" s="9" t="s">
        <v>40</v>
      </c>
      <c r="B19" s="9" t="s">
        <v>223</v>
      </c>
      <c r="C19" s="9" t="s">
        <v>58</v>
      </c>
      <c r="D19" s="9" t="s">
        <v>59</v>
      </c>
      <c r="E19" s="9" t="s">
        <v>60</v>
      </c>
      <c r="F19" s="9"/>
      <c r="G19" s="9"/>
      <c r="H19" s="10">
        <v>46115</v>
      </c>
      <c r="I19" s="10">
        <v>46126</v>
      </c>
      <c r="J19" s="10">
        <v>46126</v>
      </c>
    </row>
    <row r="20" spans="1:10" ht="14.25" customHeight="1">
      <c r="A20" s="9" t="s">
        <v>40</v>
      </c>
      <c r="B20" s="9" t="s">
        <v>206</v>
      </c>
      <c r="C20" s="9" t="s">
        <v>58</v>
      </c>
      <c r="D20" s="9" t="s">
        <v>59</v>
      </c>
      <c r="E20" s="9" t="s">
        <v>60</v>
      </c>
      <c r="F20" s="9"/>
      <c r="G20" s="9"/>
      <c r="H20" s="10">
        <v>46126</v>
      </c>
      <c r="I20" s="10">
        <v>46122</v>
      </c>
      <c r="J20" s="10">
        <v>46122</v>
      </c>
    </row>
    <row r="21" spans="1:10" ht="14.25" customHeight="1">
      <c r="A21" s="9" t="s">
        <v>40</v>
      </c>
      <c r="B21" s="9" t="s">
        <v>187</v>
      </c>
      <c r="C21" s="9" t="s">
        <v>58</v>
      </c>
      <c r="D21" s="9" t="s">
        <v>59</v>
      </c>
      <c r="E21" s="9" t="s">
        <v>60</v>
      </c>
      <c r="F21" s="9"/>
      <c r="G21" s="9"/>
      <c r="H21" s="10">
        <v>46122</v>
      </c>
      <c r="I21" s="10"/>
      <c r="J21" s="10"/>
    </row>
    <row r="22" spans="1:10" ht="14.25" customHeight="1">
      <c r="A22" s="9" t="s">
        <v>40</v>
      </c>
      <c r="B22" s="9" t="s">
        <v>42</v>
      </c>
      <c r="C22" s="9" t="s">
        <v>58</v>
      </c>
      <c r="D22" s="9" t="s">
        <v>59</v>
      </c>
      <c r="E22" s="9" t="s">
        <v>60</v>
      </c>
      <c r="F22" s="9"/>
      <c r="G22" s="9"/>
      <c r="H22" s="9"/>
      <c r="I22" s="10"/>
      <c r="J22" s="10"/>
    </row>
    <row r="23" spans="1:10" ht="14.25" customHeight="1">
      <c r="A23" s="9" t="s">
        <v>40</v>
      </c>
      <c r="B23" s="9" t="s">
        <v>263</v>
      </c>
      <c r="C23" s="9" t="s">
        <v>64</v>
      </c>
      <c r="D23" s="9" t="s">
        <v>445</v>
      </c>
      <c r="E23" s="9" t="s">
        <v>46</v>
      </c>
      <c r="F23" s="9"/>
      <c r="G23" s="9"/>
      <c r="H23" s="10"/>
      <c r="I23" s="10">
        <v>46115</v>
      </c>
      <c r="J23" s="10">
        <v>46115</v>
      </c>
    </row>
    <row r="24" spans="1:10" ht="14.25" customHeight="1">
      <c r="A24" s="9" t="s">
        <v>40</v>
      </c>
      <c r="B24" s="9" t="s">
        <v>223</v>
      </c>
      <c r="C24" s="9" t="s">
        <v>64</v>
      </c>
      <c r="D24" s="9" t="s">
        <v>445</v>
      </c>
      <c r="E24" s="9" t="s">
        <v>46</v>
      </c>
      <c r="F24" s="9"/>
      <c r="G24" s="9"/>
      <c r="H24" s="10">
        <v>46115</v>
      </c>
      <c r="I24" s="10">
        <v>46120</v>
      </c>
      <c r="J24" s="10">
        <v>46120</v>
      </c>
    </row>
    <row r="25" spans="1:10" ht="14.25" customHeight="1">
      <c r="A25" s="9" t="s">
        <v>40</v>
      </c>
      <c r="B25" s="9" t="s">
        <v>206</v>
      </c>
      <c r="C25" s="9" t="s">
        <v>64</v>
      </c>
      <c r="D25" s="9" t="s">
        <v>445</v>
      </c>
      <c r="E25" s="9" t="s">
        <v>46</v>
      </c>
      <c r="F25" s="9"/>
      <c r="G25" s="9"/>
      <c r="H25" s="10">
        <v>46120</v>
      </c>
      <c r="I25" s="10">
        <v>46122</v>
      </c>
      <c r="J25" s="10">
        <v>46122</v>
      </c>
    </row>
    <row r="26" spans="1:10" ht="14.25" customHeight="1">
      <c r="A26" s="9" t="s">
        <v>40</v>
      </c>
      <c r="B26" s="9" t="s">
        <v>187</v>
      </c>
      <c r="C26" s="9" t="s">
        <v>64</v>
      </c>
      <c r="D26" s="9" t="s">
        <v>445</v>
      </c>
      <c r="E26" s="9" t="s">
        <v>46</v>
      </c>
      <c r="F26" s="9"/>
      <c r="G26" s="9"/>
      <c r="H26" s="10">
        <v>46122</v>
      </c>
      <c r="I26" s="10"/>
      <c r="J26" s="10"/>
    </row>
    <row r="27" spans="1:10" ht="14.25" customHeight="1">
      <c r="A27" s="9" t="s">
        <v>40</v>
      </c>
      <c r="B27" s="9" t="s">
        <v>42</v>
      </c>
      <c r="C27" s="9" t="s">
        <v>64</v>
      </c>
      <c r="D27" s="9" t="s">
        <v>445</v>
      </c>
      <c r="E27" s="9" t="s">
        <v>46</v>
      </c>
      <c r="F27" s="9"/>
      <c r="G27" s="9"/>
      <c r="H27" s="10"/>
      <c r="I27" s="10"/>
      <c r="J27" s="10"/>
    </row>
    <row r="28" spans="1:10" ht="14.25" customHeight="1">
      <c r="A28" s="9" t="s">
        <v>40</v>
      </c>
      <c r="B28" s="9" t="s">
        <v>263</v>
      </c>
      <c r="C28" s="9" t="s">
        <v>69</v>
      </c>
      <c r="D28" s="9" t="s">
        <v>76</v>
      </c>
      <c r="E28" s="9" t="s">
        <v>60</v>
      </c>
      <c r="F28" s="9"/>
      <c r="G28" s="9"/>
      <c r="H28" s="10"/>
      <c r="I28" s="10">
        <v>46115</v>
      </c>
      <c r="J28" s="10">
        <v>46115</v>
      </c>
    </row>
    <row r="29" spans="1:10" ht="14.25" customHeight="1">
      <c r="A29" s="9" t="s">
        <v>40</v>
      </c>
      <c r="B29" s="9" t="s">
        <v>223</v>
      </c>
      <c r="C29" s="9" t="s">
        <v>69</v>
      </c>
      <c r="D29" s="9" t="s">
        <v>76</v>
      </c>
      <c r="E29" s="9" t="s">
        <v>60</v>
      </c>
      <c r="F29" s="9"/>
      <c r="G29" s="9"/>
      <c r="H29" s="10">
        <v>46115</v>
      </c>
      <c r="I29" s="10">
        <v>46126</v>
      </c>
      <c r="J29" s="10">
        <v>46126</v>
      </c>
    </row>
    <row r="30" spans="1:10" ht="14.25" customHeight="1">
      <c r="A30" s="9" t="s">
        <v>40</v>
      </c>
      <c r="B30" s="9" t="s">
        <v>206</v>
      </c>
      <c r="C30" s="9" t="s">
        <v>69</v>
      </c>
      <c r="D30" s="9" t="s">
        <v>76</v>
      </c>
      <c r="E30" s="9" t="s">
        <v>60</v>
      </c>
      <c r="F30" s="9"/>
      <c r="G30" s="9"/>
      <c r="H30" s="10">
        <v>46126</v>
      </c>
      <c r="I30" s="10">
        <v>46122</v>
      </c>
      <c r="J30" s="10">
        <v>46122</v>
      </c>
    </row>
    <row r="31" spans="1:10" ht="14.25" customHeight="1">
      <c r="A31" s="9" t="s">
        <v>40</v>
      </c>
      <c r="B31" s="9" t="s">
        <v>187</v>
      </c>
      <c r="C31" s="9" t="s">
        <v>69</v>
      </c>
      <c r="D31" s="9" t="s">
        <v>76</v>
      </c>
      <c r="E31" s="9" t="s">
        <v>60</v>
      </c>
      <c r="F31" s="9"/>
      <c r="G31" s="9"/>
      <c r="H31" s="10">
        <v>46122</v>
      </c>
      <c r="I31" s="10"/>
      <c r="J31" s="10"/>
    </row>
    <row r="32" spans="1:10" ht="14.25" customHeight="1">
      <c r="A32" s="9" t="s">
        <v>40</v>
      </c>
      <c r="B32" s="9" t="s">
        <v>42</v>
      </c>
      <c r="C32" s="9" t="s">
        <v>69</v>
      </c>
      <c r="D32" s="9" t="s">
        <v>76</v>
      </c>
      <c r="E32" s="9" t="s">
        <v>60</v>
      </c>
      <c r="F32" s="9"/>
      <c r="G32" s="9"/>
      <c r="H32" s="10"/>
      <c r="I32" s="10"/>
      <c r="J32" s="10"/>
    </row>
    <row r="33" spans="1:10" ht="14.25" customHeight="1">
      <c r="A33" s="9" t="s">
        <v>40</v>
      </c>
      <c r="B33" s="9" t="s">
        <v>263</v>
      </c>
      <c r="C33" s="9" t="s">
        <v>70</v>
      </c>
      <c r="D33" s="9" t="s">
        <v>445</v>
      </c>
      <c r="E33" s="9" t="s">
        <v>60</v>
      </c>
      <c r="F33" s="9"/>
      <c r="G33" s="9"/>
      <c r="H33" s="10"/>
      <c r="I33" s="10">
        <v>46122</v>
      </c>
      <c r="J33" s="10">
        <v>46122</v>
      </c>
    </row>
    <row r="34" spans="1:10" ht="14.25" customHeight="1">
      <c r="A34" s="9" t="s">
        <v>40</v>
      </c>
      <c r="B34" s="9" t="s">
        <v>223</v>
      </c>
      <c r="C34" s="9" t="s">
        <v>70</v>
      </c>
      <c r="D34" s="9" t="s">
        <v>445</v>
      </c>
      <c r="E34" s="9" t="s">
        <v>60</v>
      </c>
      <c r="F34" s="9"/>
      <c r="G34" s="9"/>
      <c r="H34" s="10">
        <v>46122</v>
      </c>
      <c r="I34" s="10">
        <v>46126</v>
      </c>
      <c r="J34" s="10">
        <v>46126</v>
      </c>
    </row>
    <row r="35" spans="1:10" ht="14.25" customHeight="1">
      <c r="A35" s="9" t="s">
        <v>40</v>
      </c>
      <c r="B35" s="9" t="s">
        <v>206</v>
      </c>
      <c r="C35" s="9" t="s">
        <v>70</v>
      </c>
      <c r="D35" s="9" t="s">
        <v>445</v>
      </c>
      <c r="E35" s="9" t="s">
        <v>60</v>
      </c>
      <c r="F35" s="9"/>
      <c r="G35" s="9"/>
      <c r="H35" s="10">
        <v>46126</v>
      </c>
      <c r="I35" s="10">
        <v>46122</v>
      </c>
      <c r="J35" s="10">
        <v>46122</v>
      </c>
    </row>
    <row r="36" spans="1:10" ht="14.25" customHeight="1">
      <c r="A36" s="9" t="s">
        <v>40</v>
      </c>
      <c r="B36" s="9" t="s">
        <v>187</v>
      </c>
      <c r="C36" s="9" t="s">
        <v>70</v>
      </c>
      <c r="D36" s="9" t="s">
        <v>445</v>
      </c>
      <c r="E36" s="9" t="s">
        <v>60</v>
      </c>
      <c r="F36" s="9"/>
      <c r="G36" s="9"/>
      <c r="H36" s="10">
        <v>46122</v>
      </c>
      <c r="I36" s="10"/>
      <c r="J36" s="10"/>
    </row>
    <row r="37" spans="1:10" ht="14.25" customHeight="1">
      <c r="A37" s="9" t="s">
        <v>40</v>
      </c>
      <c r="B37" s="9" t="s">
        <v>42</v>
      </c>
      <c r="C37" s="9" t="s">
        <v>70</v>
      </c>
      <c r="D37" s="9" t="s">
        <v>445</v>
      </c>
      <c r="E37" s="9" t="s">
        <v>60</v>
      </c>
      <c r="F37" s="9"/>
      <c r="G37" s="9"/>
      <c r="H37" s="10"/>
      <c r="I37" s="10"/>
      <c r="J37" s="10"/>
    </row>
    <row r="38" spans="1:10" ht="14.25" customHeight="1">
      <c r="A38" s="9" t="s">
        <v>40</v>
      </c>
      <c r="B38" s="9" t="s">
        <v>263</v>
      </c>
      <c r="C38" s="9" t="s">
        <v>71</v>
      </c>
      <c r="D38" s="9" t="s">
        <v>84</v>
      </c>
      <c r="E38" s="9" t="s">
        <v>60</v>
      </c>
      <c r="F38" s="9"/>
      <c r="G38" s="9"/>
      <c r="H38" s="9"/>
      <c r="I38" s="10">
        <v>46122</v>
      </c>
      <c r="J38" s="10">
        <v>46122</v>
      </c>
    </row>
    <row r="39" spans="1:10" ht="14.25" customHeight="1">
      <c r="A39" s="9" t="s">
        <v>40</v>
      </c>
      <c r="B39" s="9" t="s">
        <v>223</v>
      </c>
      <c r="C39" s="9" t="s">
        <v>71</v>
      </c>
      <c r="D39" s="9" t="s">
        <v>84</v>
      </c>
      <c r="E39" s="9" t="s">
        <v>60</v>
      </c>
      <c r="F39" s="9"/>
      <c r="G39" s="9"/>
      <c r="H39" s="10">
        <v>46122</v>
      </c>
      <c r="I39" s="10">
        <v>46126</v>
      </c>
      <c r="J39" s="10">
        <v>46126</v>
      </c>
    </row>
    <row r="40" spans="1:10" ht="14.25" customHeight="1">
      <c r="A40" s="9" t="s">
        <v>40</v>
      </c>
      <c r="B40" s="9" t="s">
        <v>206</v>
      </c>
      <c r="C40" s="9" t="s">
        <v>71</v>
      </c>
      <c r="D40" s="9" t="s">
        <v>84</v>
      </c>
      <c r="E40" s="9" t="s">
        <v>60</v>
      </c>
      <c r="F40" s="9"/>
      <c r="G40" s="9"/>
      <c r="H40" s="10">
        <v>46126</v>
      </c>
      <c r="I40" s="10">
        <v>46122</v>
      </c>
      <c r="J40" s="10">
        <v>46122</v>
      </c>
    </row>
    <row r="41" spans="1:10" ht="14.25" customHeight="1">
      <c r="A41" s="9" t="s">
        <v>40</v>
      </c>
      <c r="B41" s="9" t="s">
        <v>187</v>
      </c>
      <c r="C41" s="9" t="s">
        <v>71</v>
      </c>
      <c r="D41" s="9" t="s">
        <v>84</v>
      </c>
      <c r="E41" s="9" t="s">
        <v>60</v>
      </c>
      <c r="F41" s="9"/>
      <c r="G41" s="9"/>
      <c r="H41" s="10">
        <v>46122</v>
      </c>
      <c r="I41" s="10"/>
      <c r="J41" s="10"/>
    </row>
    <row r="42" spans="1:10" ht="14.25" customHeight="1">
      <c r="A42" s="9" t="s">
        <v>40</v>
      </c>
      <c r="B42" s="9" t="s">
        <v>42</v>
      </c>
      <c r="C42" s="9" t="s">
        <v>71</v>
      </c>
      <c r="D42" s="9" t="s">
        <v>84</v>
      </c>
      <c r="E42" s="9" t="s">
        <v>60</v>
      </c>
      <c r="F42" s="9"/>
      <c r="G42" s="9"/>
      <c r="H42" s="9"/>
      <c r="I42" s="10"/>
      <c r="J42" s="10"/>
    </row>
    <row r="43" spans="1:10" ht="14.25" customHeight="1">
      <c r="A43" s="9" t="s">
        <v>40</v>
      </c>
      <c r="B43" s="9" t="s">
        <v>263</v>
      </c>
      <c r="C43" s="9" t="s">
        <v>73</v>
      </c>
      <c r="D43" s="9" t="s">
        <v>59</v>
      </c>
      <c r="E43" s="9" t="s">
        <v>60</v>
      </c>
      <c r="F43" s="9"/>
      <c r="G43" s="9"/>
      <c r="H43" s="10"/>
      <c r="I43" s="10">
        <v>46127</v>
      </c>
      <c r="J43" s="10">
        <v>46127</v>
      </c>
    </row>
    <row r="44" spans="1:10" ht="14.25" customHeight="1">
      <c r="A44" s="9" t="s">
        <v>40</v>
      </c>
      <c r="B44" s="9" t="s">
        <v>223</v>
      </c>
      <c r="C44" s="9" t="s">
        <v>73</v>
      </c>
      <c r="D44" s="9" t="s">
        <v>59</v>
      </c>
      <c r="E44" s="9" t="s">
        <v>60</v>
      </c>
      <c r="F44" s="9"/>
      <c r="G44" s="9"/>
      <c r="H44" s="10">
        <v>46127</v>
      </c>
      <c r="I44" s="10">
        <v>46126</v>
      </c>
      <c r="J44" s="10">
        <v>46126</v>
      </c>
    </row>
    <row r="45" spans="1:10" ht="14.25" customHeight="1">
      <c r="A45" s="9" t="s">
        <v>40</v>
      </c>
      <c r="B45" s="9" t="s">
        <v>206</v>
      </c>
      <c r="C45" s="9" t="s">
        <v>73</v>
      </c>
      <c r="D45" s="9" t="s">
        <v>59</v>
      </c>
      <c r="E45" s="9" t="s">
        <v>60</v>
      </c>
      <c r="F45" s="9"/>
      <c r="G45" s="9"/>
      <c r="H45" s="10">
        <v>46126</v>
      </c>
      <c r="I45" s="10">
        <v>46122</v>
      </c>
      <c r="J45" s="10">
        <v>46122</v>
      </c>
    </row>
    <row r="46" spans="1:10" ht="14.25" customHeight="1">
      <c r="A46" s="9" t="s">
        <v>40</v>
      </c>
      <c r="B46" s="9" t="s">
        <v>187</v>
      </c>
      <c r="C46" s="9" t="s">
        <v>73</v>
      </c>
      <c r="D46" s="9" t="s">
        <v>59</v>
      </c>
      <c r="E46" s="9" t="s">
        <v>60</v>
      </c>
      <c r="F46" s="9"/>
      <c r="G46" s="9"/>
      <c r="H46" s="10">
        <v>46122</v>
      </c>
      <c r="I46" s="10"/>
      <c r="J46" s="10"/>
    </row>
    <row r="47" spans="1:10" ht="14.25" customHeight="1">
      <c r="A47" s="9" t="s">
        <v>40</v>
      </c>
      <c r="B47" s="9" t="s">
        <v>42</v>
      </c>
      <c r="C47" s="9" t="s">
        <v>73</v>
      </c>
      <c r="D47" s="9" t="s">
        <v>59</v>
      </c>
      <c r="E47" s="9" t="s">
        <v>60</v>
      </c>
      <c r="F47" s="9"/>
      <c r="G47" s="9"/>
      <c r="H47" s="10"/>
      <c r="I47" s="10"/>
      <c r="J47" s="10"/>
    </row>
    <row r="48" spans="1:10" ht="14.25" customHeight="1">
      <c r="A48" s="9" t="s">
        <v>40</v>
      </c>
      <c r="B48" s="9" t="s">
        <v>263</v>
      </c>
      <c r="C48" s="9" t="s">
        <v>97</v>
      </c>
      <c r="D48" s="9" t="s">
        <v>445</v>
      </c>
      <c r="E48" s="9" t="s">
        <v>60</v>
      </c>
      <c r="F48" s="9"/>
      <c r="G48" s="9"/>
      <c r="H48" s="10"/>
      <c r="I48" s="10"/>
      <c r="J48" s="10"/>
    </row>
    <row r="49" spans="1:10" ht="14.25" customHeight="1">
      <c r="A49" s="9" t="s">
        <v>40</v>
      </c>
      <c r="B49" s="9" t="s">
        <v>223</v>
      </c>
      <c r="C49" s="9" t="s">
        <v>97</v>
      </c>
      <c r="D49" s="9" t="s">
        <v>445</v>
      </c>
      <c r="E49" s="9" t="s">
        <v>60</v>
      </c>
      <c r="F49" s="9"/>
      <c r="G49" s="9"/>
      <c r="H49" s="10"/>
      <c r="I49" s="10">
        <v>46139</v>
      </c>
      <c r="J49" s="10">
        <v>46139</v>
      </c>
    </row>
    <row r="50" spans="1:10" ht="14.25" customHeight="1">
      <c r="A50" s="9" t="s">
        <v>40</v>
      </c>
      <c r="B50" s="9" t="s">
        <v>206</v>
      </c>
      <c r="C50" s="9" t="s">
        <v>97</v>
      </c>
      <c r="D50" s="9" t="s">
        <v>445</v>
      </c>
      <c r="E50" s="9" t="s">
        <v>60</v>
      </c>
      <c r="F50" s="9"/>
      <c r="G50" s="9"/>
      <c r="H50" s="10">
        <v>46139</v>
      </c>
      <c r="I50" s="10">
        <v>46139</v>
      </c>
      <c r="J50" s="10">
        <v>46139</v>
      </c>
    </row>
    <row r="51" spans="1:10" ht="14.25" customHeight="1">
      <c r="A51" s="9" t="s">
        <v>40</v>
      </c>
      <c r="B51" s="9" t="s">
        <v>187</v>
      </c>
      <c r="C51" s="9" t="s">
        <v>97</v>
      </c>
      <c r="D51" s="9" t="s">
        <v>445</v>
      </c>
      <c r="E51" s="9" t="s">
        <v>60</v>
      </c>
      <c r="F51" s="9"/>
      <c r="G51" s="9"/>
      <c r="H51" s="10">
        <v>46139</v>
      </c>
      <c r="I51" s="10"/>
      <c r="J51" s="10"/>
    </row>
    <row r="52" spans="1:10" ht="14.25" customHeight="1">
      <c r="A52" s="9" t="s">
        <v>40</v>
      </c>
      <c r="B52" s="9" t="s">
        <v>42</v>
      </c>
      <c r="C52" s="9" t="s">
        <v>97</v>
      </c>
      <c r="D52" s="9" t="s">
        <v>445</v>
      </c>
      <c r="E52" s="9" t="s">
        <v>60</v>
      </c>
      <c r="F52" s="9"/>
      <c r="G52" s="9"/>
      <c r="H52" s="10"/>
      <c r="I52" s="10"/>
      <c r="J52" s="10"/>
    </row>
    <row r="53" spans="1:10" ht="14.25" customHeight="1">
      <c r="A53" s="9" t="s">
        <v>40</v>
      </c>
      <c r="B53" s="9" t="s">
        <v>263</v>
      </c>
      <c r="C53" s="9" t="s">
        <v>98</v>
      </c>
      <c r="D53" s="9" t="s">
        <v>445</v>
      </c>
      <c r="E53" s="9" t="s">
        <v>60</v>
      </c>
      <c r="F53" s="9"/>
      <c r="G53" s="9"/>
      <c r="H53" s="10"/>
      <c r="I53" s="10"/>
      <c r="J53" s="10"/>
    </row>
    <row r="54" spans="1:10" ht="14.25" customHeight="1">
      <c r="A54" s="9" t="s">
        <v>40</v>
      </c>
      <c r="B54" s="9" t="s">
        <v>223</v>
      </c>
      <c r="C54" s="9" t="s">
        <v>98</v>
      </c>
      <c r="D54" s="9" t="s">
        <v>445</v>
      </c>
      <c r="E54" s="9" t="s">
        <v>60</v>
      </c>
      <c r="F54" s="9"/>
      <c r="G54" s="9"/>
      <c r="H54" s="9"/>
      <c r="I54" s="10">
        <v>46141</v>
      </c>
      <c r="J54" s="10">
        <v>46141</v>
      </c>
    </row>
    <row r="55" spans="1:10" ht="14.25" customHeight="1">
      <c r="A55" s="9" t="s">
        <v>40</v>
      </c>
      <c r="B55" s="9" t="s">
        <v>206</v>
      </c>
      <c r="C55" s="9" t="s">
        <v>98</v>
      </c>
      <c r="D55" s="9" t="s">
        <v>445</v>
      </c>
      <c r="E55" s="9" t="s">
        <v>60</v>
      </c>
      <c r="F55" s="9"/>
      <c r="G55" s="9"/>
      <c r="H55" s="10">
        <v>46141</v>
      </c>
      <c r="I55" s="10">
        <v>46141</v>
      </c>
      <c r="J55" s="10">
        <v>46141</v>
      </c>
    </row>
    <row r="56" spans="1:10" ht="14.25" customHeight="1">
      <c r="A56" s="9" t="s">
        <v>40</v>
      </c>
      <c r="B56" s="9" t="s">
        <v>187</v>
      </c>
      <c r="C56" s="9" t="s">
        <v>98</v>
      </c>
      <c r="D56" s="9" t="s">
        <v>445</v>
      </c>
      <c r="E56" s="9" t="s">
        <v>60</v>
      </c>
      <c r="F56" s="9"/>
      <c r="G56" s="9"/>
      <c r="H56" s="10">
        <v>46141</v>
      </c>
      <c r="I56" s="10"/>
      <c r="J56" s="10"/>
    </row>
    <row r="57" spans="1:10" ht="14.25" customHeight="1">
      <c r="A57" s="9" t="s">
        <v>40</v>
      </c>
      <c r="B57" s="9" t="s">
        <v>42</v>
      </c>
      <c r="C57" s="9" t="s">
        <v>98</v>
      </c>
      <c r="D57" s="9" t="s">
        <v>445</v>
      </c>
      <c r="E57" s="9" t="s">
        <v>60</v>
      </c>
      <c r="F57" s="9"/>
      <c r="G57" s="9"/>
      <c r="H57" s="10"/>
      <c r="I57" s="10"/>
      <c r="J57" s="10"/>
    </row>
    <row r="58" spans="1:10" ht="14.25" customHeight="1">
      <c r="A58" s="9" t="s">
        <v>40</v>
      </c>
      <c r="B58" s="9" t="s">
        <v>263</v>
      </c>
      <c r="C58" s="9" t="s">
        <v>99</v>
      </c>
      <c r="D58" s="9" t="s">
        <v>445</v>
      </c>
      <c r="E58" s="9" t="s">
        <v>46</v>
      </c>
      <c r="F58" s="9"/>
      <c r="G58" s="9"/>
      <c r="H58" s="9"/>
      <c r="I58" s="10"/>
      <c r="J58" s="10"/>
    </row>
    <row r="59" spans="1:10" ht="14.25" customHeight="1">
      <c r="A59" s="9" t="s">
        <v>40</v>
      </c>
      <c r="B59" s="9" t="s">
        <v>223</v>
      </c>
      <c r="C59" s="9" t="s">
        <v>99</v>
      </c>
      <c r="D59" s="9" t="s">
        <v>445</v>
      </c>
      <c r="E59" s="9" t="s">
        <v>46</v>
      </c>
      <c r="F59" s="9"/>
      <c r="G59" s="9"/>
      <c r="H59" s="10"/>
      <c r="I59" s="10">
        <v>46161</v>
      </c>
      <c r="J59" s="10">
        <v>46161</v>
      </c>
    </row>
    <row r="60" spans="1:10" ht="14.25" customHeight="1">
      <c r="A60" s="9" t="s">
        <v>40</v>
      </c>
      <c r="B60" s="9" t="s">
        <v>206</v>
      </c>
      <c r="C60" s="9" t="s">
        <v>99</v>
      </c>
      <c r="D60" s="9" t="s">
        <v>445</v>
      </c>
      <c r="E60" s="9" t="s">
        <v>46</v>
      </c>
      <c r="F60" s="9"/>
      <c r="G60" s="9"/>
      <c r="H60" s="10">
        <v>46161</v>
      </c>
      <c r="I60" s="10">
        <v>46161</v>
      </c>
      <c r="J60" s="10">
        <v>46161</v>
      </c>
    </row>
    <row r="61" spans="1:10" ht="14.25" customHeight="1">
      <c r="A61" s="9" t="s">
        <v>40</v>
      </c>
      <c r="B61" s="9" t="s">
        <v>187</v>
      </c>
      <c r="C61" s="9" t="s">
        <v>99</v>
      </c>
      <c r="D61" s="9" t="s">
        <v>445</v>
      </c>
      <c r="E61" s="9" t="s">
        <v>46</v>
      </c>
      <c r="F61" s="9"/>
      <c r="G61" s="9"/>
      <c r="H61" s="10">
        <v>46161</v>
      </c>
      <c r="I61" s="10"/>
      <c r="J61" s="10"/>
    </row>
    <row r="62" spans="1:10" ht="14.25" customHeight="1">
      <c r="A62" s="9" t="s">
        <v>40</v>
      </c>
      <c r="B62" s="9" t="s">
        <v>42</v>
      </c>
      <c r="C62" s="9" t="s">
        <v>99</v>
      </c>
      <c r="D62" s="9" t="s">
        <v>445</v>
      </c>
      <c r="E62" s="9" t="s">
        <v>46</v>
      </c>
      <c r="F62" s="9"/>
      <c r="G62" s="9"/>
      <c r="H62" s="9"/>
      <c r="I62" s="10"/>
      <c r="J62" s="10"/>
    </row>
    <row r="63" spans="1:10" ht="14.25" customHeight="1">
      <c r="A63" s="9" t="s">
        <v>40</v>
      </c>
      <c r="B63" s="9" t="s">
        <v>263</v>
      </c>
      <c r="C63" s="9" t="s">
        <v>100</v>
      </c>
      <c r="D63" s="9" t="s">
        <v>103</v>
      </c>
      <c r="E63" s="9" t="s">
        <v>46</v>
      </c>
      <c r="F63" s="9"/>
      <c r="G63" s="9"/>
      <c r="H63" s="10"/>
      <c r="I63" s="10"/>
      <c r="J63" s="10"/>
    </row>
    <row r="64" spans="1:10" ht="14.25" customHeight="1">
      <c r="A64" s="9" t="s">
        <v>40</v>
      </c>
      <c r="B64" s="9" t="s">
        <v>223</v>
      </c>
      <c r="C64" s="9" t="s">
        <v>100</v>
      </c>
      <c r="D64" s="9" t="s">
        <v>103</v>
      </c>
      <c r="E64" s="9" t="s">
        <v>46</v>
      </c>
      <c r="F64" s="9"/>
      <c r="G64" s="9"/>
      <c r="H64" s="10"/>
      <c r="I64" s="10">
        <v>46175</v>
      </c>
      <c r="J64" s="10">
        <v>46175</v>
      </c>
    </row>
    <row r="65" spans="1:10" ht="14.25" customHeight="1">
      <c r="A65" s="9" t="s">
        <v>40</v>
      </c>
      <c r="B65" s="9" t="s">
        <v>206</v>
      </c>
      <c r="C65" s="9" t="s">
        <v>100</v>
      </c>
      <c r="D65" s="9" t="s">
        <v>103</v>
      </c>
      <c r="E65" s="9" t="s">
        <v>46</v>
      </c>
      <c r="F65" s="9"/>
      <c r="G65" s="9"/>
      <c r="H65" s="10">
        <v>46175</v>
      </c>
      <c r="I65" s="10">
        <v>46175</v>
      </c>
      <c r="J65" s="10">
        <v>46175</v>
      </c>
    </row>
    <row r="66" spans="1:10" ht="14.25" customHeight="1">
      <c r="A66" s="9" t="s">
        <v>40</v>
      </c>
      <c r="B66" s="9" t="s">
        <v>187</v>
      </c>
      <c r="C66" s="9" t="s">
        <v>100</v>
      </c>
      <c r="D66" s="9" t="s">
        <v>103</v>
      </c>
      <c r="E66" s="9" t="s">
        <v>46</v>
      </c>
      <c r="F66" s="9"/>
      <c r="G66" s="9"/>
      <c r="H66" s="10">
        <v>46175</v>
      </c>
      <c r="I66" s="10"/>
      <c r="J66" s="10"/>
    </row>
    <row r="67" spans="1:10" ht="14.25" customHeight="1">
      <c r="A67" s="9" t="s">
        <v>40</v>
      </c>
      <c r="B67" s="9" t="s">
        <v>42</v>
      </c>
      <c r="C67" s="9" t="s">
        <v>100</v>
      </c>
      <c r="D67" s="9" t="s">
        <v>103</v>
      </c>
      <c r="E67" s="9" t="s">
        <v>46</v>
      </c>
      <c r="F67" s="9"/>
      <c r="G67" s="9"/>
      <c r="H67" s="10"/>
      <c r="I67" s="10">
        <v>46184</v>
      </c>
      <c r="J67" s="10">
        <v>46184</v>
      </c>
    </row>
    <row r="68" spans="1:10" ht="14.25" customHeight="1">
      <c r="A68" s="9" t="s">
        <v>40</v>
      </c>
      <c r="B68" s="9" t="s">
        <v>263</v>
      </c>
      <c r="C68" s="9" t="s">
        <v>74</v>
      </c>
      <c r="D68" s="9" t="s">
        <v>76</v>
      </c>
      <c r="E68" s="9" t="s">
        <v>77</v>
      </c>
      <c r="F68" s="9"/>
      <c r="G68" s="9"/>
      <c r="H68" s="10"/>
      <c r="I68" s="10"/>
      <c r="J68" s="9"/>
    </row>
    <row r="69" spans="1:10" ht="14.25" customHeight="1">
      <c r="A69" s="9" t="s">
        <v>40</v>
      </c>
      <c r="B69" s="9" t="s">
        <v>223</v>
      </c>
      <c r="C69" s="9" t="s">
        <v>74</v>
      </c>
      <c r="D69" s="9" t="s">
        <v>76</v>
      </c>
      <c r="E69" s="9" t="s">
        <v>77</v>
      </c>
      <c r="F69" s="9"/>
      <c r="G69" s="9"/>
      <c r="H69" s="9"/>
      <c r="I69" s="10">
        <v>46134</v>
      </c>
      <c r="J69" s="10">
        <v>46134</v>
      </c>
    </row>
    <row r="70" spans="1:10" ht="14.25" customHeight="1">
      <c r="A70" s="9" t="s">
        <v>40</v>
      </c>
      <c r="B70" s="9" t="s">
        <v>206</v>
      </c>
      <c r="C70" s="9" t="s">
        <v>74</v>
      </c>
      <c r="D70" s="9" t="s">
        <v>76</v>
      </c>
      <c r="E70" s="9" t="s">
        <v>77</v>
      </c>
      <c r="F70" s="9"/>
      <c r="G70" s="9"/>
      <c r="H70" s="10">
        <v>46134</v>
      </c>
      <c r="I70" s="10">
        <v>46134</v>
      </c>
      <c r="J70" s="10">
        <v>46134</v>
      </c>
    </row>
    <row r="71" spans="1:10" ht="14.25" customHeight="1">
      <c r="A71" s="9" t="s">
        <v>40</v>
      </c>
      <c r="B71" s="9" t="s">
        <v>187</v>
      </c>
      <c r="C71" s="9" t="s">
        <v>74</v>
      </c>
      <c r="D71" s="9" t="s">
        <v>76</v>
      </c>
      <c r="E71" s="9" t="s">
        <v>77</v>
      </c>
      <c r="F71" s="9"/>
      <c r="G71" s="9"/>
      <c r="H71" s="10">
        <v>46134</v>
      </c>
      <c r="I71" s="10"/>
      <c r="J71" s="10"/>
    </row>
    <row r="72" spans="1:10" ht="14.25" customHeight="1">
      <c r="A72" s="9" t="s">
        <v>40</v>
      </c>
      <c r="B72" s="9" t="s">
        <v>42</v>
      </c>
      <c r="C72" s="9" t="s">
        <v>74</v>
      </c>
      <c r="D72" s="9" t="s">
        <v>76</v>
      </c>
      <c r="E72" s="9" t="s">
        <v>77</v>
      </c>
      <c r="F72" s="9"/>
      <c r="G72" s="9"/>
      <c r="H72" s="10"/>
      <c r="I72" s="10"/>
      <c r="J72" s="10"/>
    </row>
    <row r="73" spans="1:10" ht="14.25" customHeight="1">
      <c r="A73" s="9" t="s">
        <v>40</v>
      </c>
      <c r="B73" s="9" t="s">
        <v>263</v>
      </c>
      <c r="C73" s="9" t="s">
        <v>80</v>
      </c>
      <c r="D73" s="9" t="s">
        <v>59</v>
      </c>
      <c r="E73" s="9" t="s">
        <v>77</v>
      </c>
      <c r="F73" s="9"/>
      <c r="G73" s="9"/>
      <c r="H73" s="9"/>
      <c r="I73" s="10"/>
      <c r="J73" s="10"/>
    </row>
    <row r="74" spans="1:10" ht="14.25" customHeight="1">
      <c r="A74" s="9" t="s">
        <v>40</v>
      </c>
      <c r="B74" s="9" t="s">
        <v>223</v>
      </c>
      <c r="C74" s="9" t="s">
        <v>80</v>
      </c>
      <c r="D74" s="9" t="s">
        <v>59</v>
      </c>
      <c r="E74" s="9" t="s">
        <v>77</v>
      </c>
      <c r="F74" s="9"/>
      <c r="G74" s="9"/>
      <c r="H74" s="10"/>
      <c r="I74" s="10">
        <v>46139</v>
      </c>
      <c r="J74" s="10">
        <v>46139</v>
      </c>
    </row>
    <row r="75" spans="1:10" ht="14.25" customHeight="1">
      <c r="A75" s="9" t="s">
        <v>40</v>
      </c>
      <c r="B75" s="9" t="s">
        <v>206</v>
      </c>
      <c r="C75" s="9" t="s">
        <v>80</v>
      </c>
      <c r="D75" s="9" t="s">
        <v>59</v>
      </c>
      <c r="E75" s="9" t="s">
        <v>77</v>
      </c>
      <c r="F75" s="9"/>
      <c r="G75" s="9"/>
      <c r="H75" s="10">
        <v>46139</v>
      </c>
      <c r="I75" s="10">
        <v>46139</v>
      </c>
      <c r="J75" s="10">
        <v>46139</v>
      </c>
    </row>
    <row r="76" spans="1:10" ht="14.25" customHeight="1">
      <c r="A76" s="9" t="s">
        <v>40</v>
      </c>
      <c r="B76" s="9" t="s">
        <v>187</v>
      </c>
      <c r="C76" s="9" t="s">
        <v>80</v>
      </c>
      <c r="D76" s="9" t="s">
        <v>59</v>
      </c>
      <c r="E76" s="9" t="s">
        <v>77</v>
      </c>
      <c r="F76" s="9"/>
      <c r="G76" s="9"/>
      <c r="H76" s="10">
        <v>46139</v>
      </c>
      <c r="I76" s="10"/>
      <c r="J76" s="10"/>
    </row>
    <row r="77" spans="1:10" ht="14.25" customHeight="1">
      <c r="A77" s="9" t="s">
        <v>40</v>
      </c>
      <c r="B77" s="9" t="s">
        <v>42</v>
      </c>
      <c r="C77" s="9" t="s">
        <v>80</v>
      </c>
      <c r="D77" s="9" t="s">
        <v>59</v>
      </c>
      <c r="E77" s="9" t="s">
        <v>77</v>
      </c>
      <c r="F77" s="9"/>
      <c r="G77" s="9"/>
      <c r="H77" s="9"/>
      <c r="I77" s="10"/>
      <c r="J77" s="10"/>
    </row>
    <row r="78" spans="1:10" ht="14.25" customHeight="1">
      <c r="A78" s="9" t="s">
        <v>40</v>
      </c>
      <c r="B78" s="9" t="s">
        <v>263</v>
      </c>
      <c r="C78" s="9" t="s">
        <v>83</v>
      </c>
      <c r="D78" s="9" t="s">
        <v>84</v>
      </c>
      <c r="E78" s="9" t="s">
        <v>60</v>
      </c>
      <c r="F78" s="9"/>
      <c r="G78" s="9"/>
      <c r="H78" s="10"/>
      <c r="I78" s="10"/>
      <c r="J78" s="9"/>
    </row>
    <row r="79" spans="1:10" ht="14.25" customHeight="1">
      <c r="A79" s="9" t="s">
        <v>40</v>
      </c>
      <c r="B79" s="9" t="s">
        <v>223</v>
      </c>
      <c r="C79" s="9" t="s">
        <v>83</v>
      </c>
      <c r="D79" s="9" t="s">
        <v>84</v>
      </c>
      <c r="E79" s="9" t="s">
        <v>60</v>
      </c>
      <c r="F79" s="9"/>
      <c r="G79" s="9"/>
      <c r="H79" s="9"/>
      <c r="I79" s="10">
        <v>46147</v>
      </c>
      <c r="J79" s="10">
        <v>46147</v>
      </c>
    </row>
    <row r="80" spans="1:10" ht="14.25" customHeight="1">
      <c r="A80" s="9" t="s">
        <v>40</v>
      </c>
      <c r="B80" s="9" t="s">
        <v>206</v>
      </c>
      <c r="C80" s="9" t="s">
        <v>83</v>
      </c>
      <c r="D80" s="9" t="s">
        <v>84</v>
      </c>
      <c r="E80" s="9" t="s">
        <v>60</v>
      </c>
      <c r="F80" s="9"/>
      <c r="G80" s="9"/>
      <c r="H80" s="10">
        <v>46147</v>
      </c>
      <c r="I80" s="10">
        <v>46147</v>
      </c>
      <c r="J80" s="10">
        <v>46147</v>
      </c>
    </row>
    <row r="81" spans="1:10" ht="14.25" customHeight="1">
      <c r="A81" s="9" t="s">
        <v>40</v>
      </c>
      <c r="B81" s="9" t="s">
        <v>187</v>
      </c>
      <c r="C81" s="9" t="s">
        <v>83</v>
      </c>
      <c r="D81" s="9" t="s">
        <v>84</v>
      </c>
      <c r="E81" s="9" t="s">
        <v>60</v>
      </c>
      <c r="F81" s="9"/>
      <c r="G81" s="9"/>
      <c r="H81" s="10">
        <v>46147</v>
      </c>
      <c r="I81" s="10"/>
      <c r="J81" s="10"/>
    </row>
    <row r="82" spans="1:10" ht="14.25" customHeight="1">
      <c r="A82" s="9" t="s">
        <v>40</v>
      </c>
      <c r="B82" s="9" t="s">
        <v>42</v>
      </c>
      <c r="C82" s="9" t="s">
        <v>83</v>
      </c>
      <c r="D82" s="9" t="s">
        <v>84</v>
      </c>
      <c r="E82" s="9" t="s">
        <v>60</v>
      </c>
      <c r="F82" s="9"/>
      <c r="G82" s="9"/>
      <c r="H82" s="10"/>
      <c r="I82" s="10"/>
      <c r="J82" s="9"/>
    </row>
    <row r="83" spans="1:10" ht="14.25" customHeight="1">
      <c r="A83" s="9" t="s">
        <v>40</v>
      </c>
      <c r="B83" s="9" t="s">
        <v>263</v>
      </c>
      <c r="C83" s="9" t="s">
        <v>87</v>
      </c>
      <c r="D83" s="9" t="s">
        <v>84</v>
      </c>
      <c r="E83" s="9" t="s">
        <v>46</v>
      </c>
      <c r="F83" s="9"/>
      <c r="G83" s="9"/>
      <c r="H83" s="9"/>
      <c r="I83" s="10"/>
      <c r="J83" s="10"/>
    </row>
    <row r="84" spans="1:10" ht="14.25" customHeight="1">
      <c r="A84" s="9" t="s">
        <v>40</v>
      </c>
      <c r="B84" s="9" t="s">
        <v>223</v>
      </c>
      <c r="C84" s="9" t="s">
        <v>87</v>
      </c>
      <c r="D84" s="9" t="s">
        <v>84</v>
      </c>
      <c r="E84" s="9" t="s">
        <v>46</v>
      </c>
      <c r="F84" s="9"/>
      <c r="G84" s="9"/>
      <c r="H84" s="10"/>
      <c r="I84" s="10">
        <v>46175</v>
      </c>
      <c r="J84" s="10">
        <v>46175</v>
      </c>
    </row>
    <row r="85" spans="1:10" ht="14.25" customHeight="1">
      <c r="A85" s="9" t="s">
        <v>40</v>
      </c>
      <c r="B85" s="9" t="s">
        <v>206</v>
      </c>
      <c r="C85" s="9" t="s">
        <v>87</v>
      </c>
      <c r="D85" s="9" t="s">
        <v>84</v>
      </c>
      <c r="E85" s="9" t="s">
        <v>46</v>
      </c>
      <c r="F85" s="9"/>
      <c r="G85" s="9"/>
      <c r="H85" s="10">
        <v>46175</v>
      </c>
      <c r="I85" s="10">
        <v>46179</v>
      </c>
      <c r="J85" s="10">
        <v>46179</v>
      </c>
    </row>
    <row r="86" spans="1:10" ht="14.25" customHeight="1">
      <c r="A86" s="9" t="s">
        <v>40</v>
      </c>
      <c r="B86" s="9" t="s">
        <v>187</v>
      </c>
      <c r="C86" s="9" t="s">
        <v>87</v>
      </c>
      <c r="D86" s="9" t="s">
        <v>84</v>
      </c>
      <c r="E86" s="9" t="s">
        <v>46</v>
      </c>
      <c r="F86" s="9"/>
      <c r="G86" s="9"/>
      <c r="H86" s="10">
        <v>46179</v>
      </c>
      <c r="I86" s="10"/>
      <c r="J86" s="10"/>
    </row>
    <row r="87" spans="1:10" ht="14.25" customHeight="1">
      <c r="A87" s="9" t="s">
        <v>40</v>
      </c>
      <c r="B87" s="9" t="s">
        <v>42</v>
      </c>
      <c r="C87" s="9" t="s">
        <v>87</v>
      </c>
      <c r="D87" s="9" t="s">
        <v>84</v>
      </c>
      <c r="E87" s="9" t="s">
        <v>46</v>
      </c>
      <c r="F87" s="9"/>
      <c r="G87" s="9"/>
      <c r="H87" s="9"/>
      <c r="I87" s="10"/>
      <c r="J87" s="10"/>
    </row>
    <row r="88" spans="1:10" ht="14.25" customHeight="1">
      <c r="A88" s="9" t="s">
        <v>40</v>
      </c>
      <c r="B88" s="9" t="s">
        <v>263</v>
      </c>
      <c r="C88" s="9" t="s">
        <v>90</v>
      </c>
      <c r="D88" s="9" t="s">
        <v>44</v>
      </c>
      <c r="E88" s="9" t="s">
        <v>60</v>
      </c>
      <c r="F88" s="9"/>
      <c r="G88" s="9"/>
      <c r="H88" s="10"/>
      <c r="I88" s="10"/>
      <c r="J88" s="9"/>
    </row>
    <row r="89" spans="1:10" ht="14.25" customHeight="1">
      <c r="A89" s="9" t="s">
        <v>40</v>
      </c>
      <c r="B89" s="9" t="s">
        <v>223</v>
      </c>
      <c r="C89" s="9" t="s">
        <v>90</v>
      </c>
      <c r="D89" s="9" t="s">
        <v>44</v>
      </c>
      <c r="E89" s="9" t="s">
        <v>60</v>
      </c>
      <c r="F89" s="9"/>
      <c r="G89" s="9"/>
      <c r="H89" s="9"/>
      <c r="I89" s="10">
        <v>46143</v>
      </c>
      <c r="J89" s="10">
        <v>46143</v>
      </c>
    </row>
    <row r="90" spans="1:10" ht="14.25" customHeight="1">
      <c r="A90" s="9" t="s">
        <v>40</v>
      </c>
      <c r="B90" s="9" t="s">
        <v>206</v>
      </c>
      <c r="C90" s="9" t="s">
        <v>90</v>
      </c>
      <c r="D90" s="9" t="s">
        <v>44</v>
      </c>
      <c r="E90" s="9" t="s">
        <v>60</v>
      </c>
      <c r="F90" s="9"/>
      <c r="G90" s="9"/>
      <c r="H90" s="10">
        <v>46143</v>
      </c>
      <c r="I90" s="10">
        <v>46175</v>
      </c>
      <c r="J90" s="10">
        <v>46175</v>
      </c>
    </row>
    <row r="91" spans="1:10" ht="14.25" customHeight="1">
      <c r="A91" s="9" t="s">
        <v>40</v>
      </c>
      <c r="B91" s="9" t="s">
        <v>187</v>
      </c>
      <c r="C91" s="9" t="s">
        <v>90</v>
      </c>
      <c r="D91" s="9" t="s">
        <v>44</v>
      </c>
      <c r="E91" s="9" t="s">
        <v>60</v>
      </c>
      <c r="F91" s="9"/>
      <c r="G91" s="9"/>
      <c r="H91" s="10">
        <v>46175</v>
      </c>
      <c r="I91" s="10"/>
      <c r="J91" s="10"/>
    </row>
    <row r="92" spans="1:10" ht="14.25" customHeight="1">
      <c r="A92" s="9" t="s">
        <v>40</v>
      </c>
      <c r="B92" s="9" t="s">
        <v>42</v>
      </c>
      <c r="C92" s="9" t="s">
        <v>90</v>
      </c>
      <c r="D92" s="9" t="s">
        <v>44</v>
      </c>
      <c r="E92" s="9" t="s">
        <v>60</v>
      </c>
      <c r="F92" s="9"/>
      <c r="G92" s="9"/>
      <c r="H92" s="10"/>
      <c r="I92" s="10">
        <v>46184</v>
      </c>
      <c r="J92" s="10">
        <v>46184</v>
      </c>
    </row>
    <row r="93" spans="1:10" ht="14.25" customHeight="1">
      <c r="A93" s="9" t="s">
        <v>40</v>
      </c>
      <c r="B93" s="9" t="s">
        <v>263</v>
      </c>
      <c r="C93" s="9" t="s">
        <v>93</v>
      </c>
      <c r="D93" s="9" t="s">
        <v>44</v>
      </c>
      <c r="E93" s="9" t="s">
        <v>77</v>
      </c>
      <c r="F93" s="9"/>
      <c r="G93" s="9"/>
      <c r="H93" s="9"/>
      <c r="I93" s="10">
        <v>46175</v>
      </c>
      <c r="J93" s="10">
        <v>46175</v>
      </c>
    </row>
    <row r="94" spans="1:10" ht="14.25" customHeight="1">
      <c r="A94" s="9" t="s">
        <v>40</v>
      </c>
      <c r="B94" s="9" t="s">
        <v>223</v>
      </c>
      <c r="C94" s="9" t="s">
        <v>93</v>
      </c>
      <c r="D94" s="9" t="s">
        <v>44</v>
      </c>
      <c r="E94" s="9" t="s">
        <v>77</v>
      </c>
      <c r="F94" s="9"/>
      <c r="G94" s="9"/>
      <c r="H94" s="10">
        <v>46175</v>
      </c>
      <c r="I94" s="10">
        <v>46178</v>
      </c>
      <c r="J94" s="10">
        <v>46178</v>
      </c>
    </row>
    <row r="95" spans="1:10" ht="14.25" customHeight="1">
      <c r="A95" s="9" t="s">
        <v>40</v>
      </c>
      <c r="B95" s="9" t="s">
        <v>206</v>
      </c>
      <c r="C95" s="9" t="s">
        <v>93</v>
      </c>
      <c r="D95" s="9" t="s">
        <v>44</v>
      </c>
      <c r="E95" s="9" t="s">
        <v>77</v>
      </c>
      <c r="F95" s="9"/>
      <c r="G95" s="9"/>
      <c r="H95" s="10">
        <v>46178</v>
      </c>
      <c r="I95" s="10">
        <v>46175</v>
      </c>
      <c r="J95" s="10">
        <v>46175</v>
      </c>
    </row>
    <row r="96" spans="1:10" ht="14.25" customHeight="1">
      <c r="A96" s="9" t="s">
        <v>40</v>
      </c>
      <c r="B96" s="9" t="s">
        <v>187</v>
      </c>
      <c r="C96" s="9" t="s">
        <v>93</v>
      </c>
      <c r="D96" s="9" t="s">
        <v>44</v>
      </c>
      <c r="E96" s="9" t="s">
        <v>77</v>
      </c>
      <c r="F96" s="9"/>
      <c r="G96" s="9"/>
      <c r="H96" s="10">
        <v>46175</v>
      </c>
      <c r="I96" s="10"/>
      <c r="J96" s="10"/>
    </row>
    <row r="97" spans="1:10" ht="14.25" customHeight="1">
      <c r="A97" s="9" t="s">
        <v>40</v>
      </c>
      <c r="B97" s="9" t="s">
        <v>42</v>
      </c>
      <c r="C97" s="9" t="s">
        <v>93</v>
      </c>
      <c r="D97" s="9" t="s">
        <v>44</v>
      </c>
      <c r="E97" s="9" t="s">
        <v>77</v>
      </c>
      <c r="F97" s="9"/>
      <c r="G97" s="9"/>
      <c r="H97" s="9"/>
      <c r="I97" s="10">
        <v>46192</v>
      </c>
      <c r="J97" s="10">
        <v>46192</v>
      </c>
    </row>
    <row r="98" spans="1:10" ht="14.25" customHeight="1">
      <c r="A98" s="9" t="s">
        <v>40</v>
      </c>
      <c r="B98" s="9" t="s">
        <v>263</v>
      </c>
      <c r="C98" s="9" t="s">
        <v>101</v>
      </c>
      <c r="D98" s="9" t="s">
        <v>103</v>
      </c>
      <c r="E98" s="9" t="s">
        <v>60</v>
      </c>
      <c r="F98" s="9"/>
      <c r="G98" s="9"/>
      <c r="H98" s="10"/>
      <c r="I98" s="10">
        <v>46148</v>
      </c>
      <c r="J98" s="10">
        <v>46148</v>
      </c>
    </row>
    <row r="99" spans="1:10" ht="14.25" customHeight="1">
      <c r="A99" s="9" t="s">
        <v>40</v>
      </c>
      <c r="B99" s="9" t="s">
        <v>223</v>
      </c>
      <c r="C99" s="9" t="s">
        <v>101</v>
      </c>
      <c r="D99" s="9" t="s">
        <v>103</v>
      </c>
      <c r="E99" s="9" t="s">
        <v>60</v>
      </c>
      <c r="F99" s="9"/>
      <c r="G99" s="9"/>
      <c r="H99" s="10">
        <v>46148</v>
      </c>
      <c r="I99" s="10">
        <v>46183</v>
      </c>
      <c r="J99" s="10">
        <v>46183</v>
      </c>
    </row>
    <row r="100" spans="1:10" ht="14.25" customHeight="1">
      <c r="A100" s="9" t="s">
        <v>40</v>
      </c>
      <c r="B100" s="9" t="s">
        <v>206</v>
      </c>
      <c r="C100" s="9" t="s">
        <v>101</v>
      </c>
      <c r="D100" s="9" t="s">
        <v>103</v>
      </c>
      <c r="E100" s="9" t="s">
        <v>60</v>
      </c>
      <c r="F100" s="9"/>
      <c r="G100" s="9"/>
      <c r="H100" s="10">
        <v>46183</v>
      </c>
      <c r="I100" s="10">
        <v>46195</v>
      </c>
      <c r="J100" s="10">
        <v>46195</v>
      </c>
    </row>
    <row r="101" spans="1:10" ht="14.25" customHeight="1">
      <c r="A101" s="9" t="s">
        <v>40</v>
      </c>
      <c r="B101" s="9" t="s">
        <v>187</v>
      </c>
      <c r="C101" s="9" t="s">
        <v>101</v>
      </c>
      <c r="D101" s="9" t="s">
        <v>103</v>
      </c>
      <c r="E101" s="9" t="s">
        <v>60</v>
      </c>
      <c r="F101" s="9"/>
      <c r="G101" s="9"/>
      <c r="H101" s="10">
        <v>46195</v>
      </c>
      <c r="I101" s="10"/>
      <c r="J101" s="10"/>
    </row>
    <row r="102" spans="1:10" ht="14.25" customHeight="1">
      <c r="A102" s="9" t="s">
        <v>40</v>
      </c>
      <c r="B102" s="9" t="s">
        <v>42</v>
      </c>
      <c r="C102" s="9" t="s">
        <v>101</v>
      </c>
      <c r="D102" s="9" t="s">
        <v>103</v>
      </c>
      <c r="E102" s="9" t="s">
        <v>60</v>
      </c>
      <c r="F102" s="9"/>
      <c r="G102" s="9"/>
      <c r="H102" s="10"/>
      <c r="I102" s="10"/>
      <c r="J102" s="9"/>
    </row>
    <row r="103" spans="1:10" ht="14.25" customHeight="1">
      <c r="A103" s="9" t="s">
        <v>40</v>
      </c>
      <c r="B103" s="9" t="s">
        <v>263</v>
      </c>
      <c r="C103" s="9" t="s">
        <v>105</v>
      </c>
      <c r="D103" s="9" t="s">
        <v>103</v>
      </c>
      <c r="E103" s="9" t="s">
        <v>77</v>
      </c>
      <c r="F103" s="9"/>
      <c r="G103" s="9"/>
      <c r="H103" s="9"/>
      <c r="I103" s="10">
        <v>46162</v>
      </c>
      <c r="J103" s="10">
        <v>46162</v>
      </c>
    </row>
    <row r="104" spans="1:10" ht="14.25" customHeight="1">
      <c r="A104" s="9" t="s">
        <v>40</v>
      </c>
      <c r="B104" s="9" t="s">
        <v>223</v>
      </c>
      <c r="C104" s="9" t="s">
        <v>105</v>
      </c>
      <c r="D104" s="9" t="s">
        <v>103</v>
      </c>
      <c r="E104" s="9" t="s">
        <v>77</v>
      </c>
      <c r="F104" s="9"/>
      <c r="G104" s="9"/>
      <c r="H104" s="10">
        <v>46162</v>
      </c>
      <c r="I104" s="10">
        <v>46182</v>
      </c>
      <c r="J104" s="10">
        <v>46182</v>
      </c>
    </row>
    <row r="105" spans="1:10" ht="14.25" customHeight="1">
      <c r="A105" s="9" t="s">
        <v>40</v>
      </c>
      <c r="B105" s="9" t="s">
        <v>206</v>
      </c>
      <c r="C105" s="9" t="s">
        <v>105</v>
      </c>
      <c r="D105" s="9" t="s">
        <v>103</v>
      </c>
      <c r="E105" s="9" t="s">
        <v>77</v>
      </c>
      <c r="F105" s="9"/>
      <c r="G105" s="9"/>
      <c r="H105" s="10">
        <v>46182</v>
      </c>
      <c r="I105" s="10">
        <v>46198</v>
      </c>
      <c r="J105" s="10">
        <v>46198</v>
      </c>
    </row>
    <row r="106" spans="1:10" ht="14.25" customHeight="1">
      <c r="A106" s="9" t="s">
        <v>40</v>
      </c>
      <c r="B106" s="9" t="s">
        <v>187</v>
      </c>
      <c r="C106" s="9" t="s">
        <v>105</v>
      </c>
      <c r="D106" s="9" t="s">
        <v>103</v>
      </c>
      <c r="E106" s="9" t="s">
        <v>77</v>
      </c>
      <c r="F106" s="9"/>
      <c r="G106" s="9"/>
      <c r="H106" s="10">
        <v>46198</v>
      </c>
      <c r="I106" s="10"/>
      <c r="J106" s="9"/>
    </row>
    <row r="107" spans="1:10" ht="14.25" customHeight="1">
      <c r="A107" s="9" t="s">
        <v>40</v>
      </c>
      <c r="B107" s="9" t="s">
        <v>42</v>
      </c>
      <c r="C107" s="9" t="s">
        <v>105</v>
      </c>
      <c r="D107" s="9" t="s">
        <v>103</v>
      </c>
      <c r="E107" s="9" t="s">
        <v>77</v>
      </c>
      <c r="F107" s="9"/>
      <c r="G107" s="9"/>
      <c r="H107" s="9"/>
      <c r="I107" s="10"/>
      <c r="J107" s="10"/>
    </row>
    <row r="108" spans="1:10" ht="14.25" customHeight="1">
      <c r="A108" s="9" t="s">
        <v>40</v>
      </c>
      <c r="B108" s="9" t="s">
        <v>263</v>
      </c>
      <c r="C108" s="9" t="s">
        <v>108</v>
      </c>
      <c r="D108" s="9" t="s">
        <v>44</v>
      </c>
      <c r="E108" s="9" t="s">
        <v>60</v>
      </c>
      <c r="F108" s="9"/>
      <c r="G108" s="9"/>
      <c r="H108" s="10"/>
      <c r="I108" s="10">
        <v>46168</v>
      </c>
      <c r="J108" s="10">
        <v>46168</v>
      </c>
    </row>
    <row r="109" spans="1:10" ht="14.25" customHeight="1">
      <c r="A109" s="9" t="s">
        <v>40</v>
      </c>
      <c r="B109" s="9" t="s">
        <v>223</v>
      </c>
      <c r="C109" s="9" t="s">
        <v>108</v>
      </c>
      <c r="D109" s="9" t="s">
        <v>44</v>
      </c>
      <c r="E109" s="9" t="s">
        <v>60</v>
      </c>
      <c r="F109" s="9"/>
      <c r="G109" s="9"/>
      <c r="H109" s="10">
        <v>46168</v>
      </c>
      <c r="I109" s="10">
        <v>46183</v>
      </c>
      <c r="J109" s="10">
        <v>46183</v>
      </c>
    </row>
    <row r="110" spans="1:10" ht="14.25" customHeight="1">
      <c r="A110" s="9" t="s">
        <v>40</v>
      </c>
      <c r="B110" s="9" t="s">
        <v>206</v>
      </c>
      <c r="C110" s="9" t="s">
        <v>108</v>
      </c>
      <c r="D110" s="9" t="s">
        <v>44</v>
      </c>
      <c r="E110" s="9" t="s">
        <v>60</v>
      </c>
      <c r="F110" s="9"/>
      <c r="G110" s="9"/>
      <c r="H110" s="10">
        <v>46183</v>
      </c>
      <c r="I110" s="10">
        <v>46198</v>
      </c>
      <c r="J110" s="10">
        <v>46198</v>
      </c>
    </row>
    <row r="111" spans="1:10" ht="14.25" customHeight="1">
      <c r="A111" s="9" t="s">
        <v>40</v>
      </c>
      <c r="B111" s="9" t="s">
        <v>187</v>
      </c>
      <c r="C111" s="9" t="s">
        <v>108</v>
      </c>
      <c r="D111" s="9" t="s">
        <v>44</v>
      </c>
      <c r="E111" s="9" t="s">
        <v>60</v>
      </c>
      <c r="F111" s="9"/>
      <c r="G111" s="9"/>
      <c r="H111" s="10">
        <v>46198</v>
      </c>
      <c r="I111" s="10"/>
      <c r="J111" s="10"/>
    </row>
    <row r="112" spans="1:10" ht="14.25" customHeight="1">
      <c r="A112" s="9" t="s">
        <v>40</v>
      </c>
      <c r="B112" s="9" t="s">
        <v>42</v>
      </c>
      <c r="C112" s="9" t="s">
        <v>108</v>
      </c>
      <c r="D112" s="9" t="s">
        <v>44</v>
      </c>
      <c r="E112" s="9" t="s">
        <v>60</v>
      </c>
      <c r="F112" s="9"/>
      <c r="G112" s="9"/>
      <c r="H112" s="10"/>
      <c r="I112" s="10"/>
      <c r="J112" s="9"/>
    </row>
    <row r="113" spans="1:10" ht="14.25" customHeight="1">
      <c r="A113" s="9" t="s">
        <v>40</v>
      </c>
      <c r="B113" s="9" t="s">
        <v>263</v>
      </c>
      <c r="C113" s="9" t="s">
        <v>109</v>
      </c>
      <c r="D113" s="9" t="s">
        <v>44</v>
      </c>
      <c r="E113" s="9" t="s">
        <v>60</v>
      </c>
      <c r="F113" s="9"/>
      <c r="G113" s="9"/>
      <c r="H113" s="9"/>
      <c r="I113" s="10">
        <v>46165</v>
      </c>
      <c r="J113" s="10">
        <v>46165</v>
      </c>
    </row>
    <row r="114" spans="1:10" ht="14.25" customHeight="1">
      <c r="A114" s="9" t="s">
        <v>40</v>
      </c>
      <c r="B114" s="9" t="s">
        <v>223</v>
      </c>
      <c r="C114" s="9" t="s">
        <v>109</v>
      </c>
      <c r="D114" s="9" t="s">
        <v>44</v>
      </c>
      <c r="E114" s="9" t="s">
        <v>60</v>
      </c>
      <c r="F114" s="9"/>
      <c r="G114" s="9"/>
      <c r="H114" s="10">
        <v>46165</v>
      </c>
      <c r="I114" s="10">
        <v>46153</v>
      </c>
      <c r="J114" s="10">
        <v>46153</v>
      </c>
    </row>
    <row r="115" spans="1:10" ht="14.25" customHeight="1">
      <c r="A115" s="9" t="s">
        <v>40</v>
      </c>
      <c r="B115" s="9" t="s">
        <v>206</v>
      </c>
      <c r="C115" s="9" t="s">
        <v>109</v>
      </c>
      <c r="D115" s="9" t="s">
        <v>44</v>
      </c>
      <c r="E115" s="9" t="s">
        <v>60</v>
      </c>
      <c r="F115" s="9"/>
      <c r="G115" s="9"/>
      <c r="H115" s="10">
        <v>46153</v>
      </c>
      <c r="I115" s="10">
        <v>46154</v>
      </c>
      <c r="J115" s="10">
        <v>46154</v>
      </c>
    </row>
    <row r="116" spans="1:10" ht="14.25" customHeight="1">
      <c r="A116" s="9" t="s">
        <v>40</v>
      </c>
      <c r="B116" s="9" t="s">
        <v>187</v>
      </c>
      <c r="C116" s="9" t="s">
        <v>109</v>
      </c>
      <c r="D116" s="9" t="s">
        <v>44</v>
      </c>
      <c r="E116" s="9" t="s">
        <v>60</v>
      </c>
      <c r="F116" s="9"/>
      <c r="G116" s="9"/>
      <c r="H116" s="10">
        <v>46154</v>
      </c>
      <c r="I116" s="10"/>
      <c r="J116" s="9"/>
    </row>
    <row r="117" spans="1:10" ht="14.25" customHeight="1">
      <c r="A117" s="9" t="s">
        <v>40</v>
      </c>
      <c r="B117" s="9" t="s">
        <v>42</v>
      </c>
      <c r="C117" s="9" t="s">
        <v>109</v>
      </c>
      <c r="D117" s="9" t="s">
        <v>44</v>
      </c>
      <c r="E117" s="9" t="s">
        <v>60</v>
      </c>
      <c r="F117" s="9"/>
      <c r="G117" s="9"/>
      <c r="H117" s="9"/>
      <c r="I117" s="10">
        <v>46184</v>
      </c>
      <c r="J117" s="10">
        <v>46184</v>
      </c>
    </row>
    <row r="118" spans="1:10" ht="14.25" customHeight="1">
      <c r="A118" s="9" t="s">
        <v>40</v>
      </c>
      <c r="B118" s="9" t="s">
        <v>263</v>
      </c>
      <c r="C118" s="9" t="s">
        <v>113</v>
      </c>
      <c r="D118" s="9" t="s">
        <v>59</v>
      </c>
      <c r="E118" s="9" t="s">
        <v>46</v>
      </c>
      <c r="F118" s="9"/>
      <c r="G118" s="9"/>
      <c r="H118" s="10"/>
      <c r="I118" s="10">
        <v>46162</v>
      </c>
      <c r="J118" s="10">
        <v>46162</v>
      </c>
    </row>
    <row r="119" spans="1:10" ht="14.25" customHeight="1">
      <c r="A119" s="9" t="s">
        <v>40</v>
      </c>
      <c r="B119" s="9" t="s">
        <v>223</v>
      </c>
      <c r="C119" s="9" t="s">
        <v>113</v>
      </c>
      <c r="D119" s="9" t="s">
        <v>59</v>
      </c>
      <c r="E119" s="9" t="s">
        <v>46</v>
      </c>
      <c r="F119" s="9"/>
      <c r="G119" s="9"/>
      <c r="H119" s="10">
        <v>46162</v>
      </c>
      <c r="I119" s="10">
        <v>46186</v>
      </c>
      <c r="J119" s="10">
        <v>46186</v>
      </c>
    </row>
    <row r="120" spans="1:10" ht="14.25" customHeight="1">
      <c r="A120" s="9" t="s">
        <v>40</v>
      </c>
      <c r="B120" s="9" t="s">
        <v>206</v>
      </c>
      <c r="C120" s="9" t="s">
        <v>113</v>
      </c>
      <c r="D120" s="9" t="s">
        <v>59</v>
      </c>
      <c r="E120" s="9" t="s">
        <v>46</v>
      </c>
      <c r="F120" s="9"/>
      <c r="G120" s="9"/>
      <c r="H120" s="10">
        <v>46186</v>
      </c>
      <c r="I120" s="10">
        <v>46188</v>
      </c>
      <c r="J120" s="10">
        <v>46188</v>
      </c>
    </row>
    <row r="121" spans="1:10" ht="14.25" customHeight="1">
      <c r="A121" s="9" t="s">
        <v>40</v>
      </c>
      <c r="B121" s="9" t="s">
        <v>263</v>
      </c>
      <c r="C121" s="9" t="s">
        <v>116</v>
      </c>
      <c r="D121" s="9" t="s">
        <v>59</v>
      </c>
      <c r="E121" s="9" t="s">
        <v>77</v>
      </c>
      <c r="F121" s="9"/>
      <c r="G121" s="9"/>
      <c r="H121" s="9"/>
      <c r="I121" s="10">
        <v>46162</v>
      </c>
      <c r="J121" s="10">
        <v>46162</v>
      </c>
    </row>
    <row r="122" spans="1:10" ht="14.25" customHeight="1">
      <c r="A122" s="9" t="s">
        <v>40</v>
      </c>
      <c r="B122" s="9" t="s">
        <v>223</v>
      </c>
      <c r="C122" s="9" t="s">
        <v>116</v>
      </c>
      <c r="D122" s="9" t="s">
        <v>59</v>
      </c>
      <c r="E122" s="9" t="s">
        <v>77</v>
      </c>
      <c r="F122" s="9"/>
      <c r="G122" s="9"/>
      <c r="H122" s="10">
        <v>46162</v>
      </c>
      <c r="I122" s="10">
        <v>46164</v>
      </c>
      <c r="J122" s="10">
        <v>46164</v>
      </c>
    </row>
    <row r="123" spans="1:10" ht="14.25" customHeight="1">
      <c r="A123" s="9" t="s">
        <v>40</v>
      </c>
      <c r="B123" s="9" t="s">
        <v>206</v>
      </c>
      <c r="C123" s="9" t="s">
        <v>116</v>
      </c>
      <c r="D123" s="9" t="s">
        <v>59</v>
      </c>
      <c r="E123" s="9" t="s">
        <v>77</v>
      </c>
      <c r="F123" s="9"/>
      <c r="G123" s="9"/>
      <c r="H123" s="10">
        <v>46164</v>
      </c>
      <c r="I123" s="10">
        <v>46204</v>
      </c>
      <c r="J123" s="10">
        <v>46204</v>
      </c>
    </row>
    <row r="124" spans="1:10" ht="14.25" customHeight="1">
      <c r="A124" s="9" t="s">
        <v>40</v>
      </c>
      <c r="B124" s="9" t="s">
        <v>187</v>
      </c>
      <c r="C124" s="9" t="s">
        <v>116</v>
      </c>
      <c r="D124" s="9" t="s">
        <v>59</v>
      </c>
      <c r="E124" s="9" t="s">
        <v>77</v>
      </c>
      <c r="F124" s="9"/>
      <c r="G124" s="9"/>
      <c r="H124" s="10">
        <v>46204</v>
      </c>
      <c r="I124" s="10"/>
      <c r="J124" s="9"/>
    </row>
    <row r="125" spans="1:10" ht="14.25" customHeight="1">
      <c r="A125" s="9" t="s">
        <v>40</v>
      </c>
      <c r="B125" s="9" t="s">
        <v>42</v>
      </c>
      <c r="C125" s="9" t="s">
        <v>116</v>
      </c>
      <c r="D125" s="9" t="s">
        <v>59</v>
      </c>
      <c r="E125" s="9" t="s">
        <v>77</v>
      </c>
      <c r="F125" s="9"/>
      <c r="G125" s="9"/>
      <c r="H125" s="9"/>
      <c r="I125" s="10"/>
      <c r="J125" s="10"/>
    </row>
    <row r="126" spans="1:10" ht="14.25" customHeight="1">
      <c r="A126" s="9" t="s">
        <v>40</v>
      </c>
      <c r="B126" s="9" t="s">
        <v>263</v>
      </c>
      <c r="C126" s="9" t="s">
        <v>117</v>
      </c>
      <c r="D126" s="9" t="s">
        <v>65</v>
      </c>
      <c r="E126" s="9" t="s">
        <v>60</v>
      </c>
      <c r="F126" s="9"/>
      <c r="G126" s="9"/>
      <c r="H126" s="10"/>
      <c r="I126" s="10">
        <v>46169</v>
      </c>
      <c r="J126" s="10">
        <v>46169</v>
      </c>
    </row>
    <row r="127" spans="1:10" ht="14.25" customHeight="1">
      <c r="A127" s="9" t="s">
        <v>40</v>
      </c>
      <c r="B127" s="9" t="s">
        <v>223</v>
      </c>
      <c r="C127" s="9" t="s">
        <v>117</v>
      </c>
      <c r="D127" s="9" t="s">
        <v>65</v>
      </c>
      <c r="E127" s="9" t="s">
        <v>60</v>
      </c>
      <c r="F127" s="9"/>
      <c r="G127" s="9"/>
      <c r="H127" s="10">
        <v>46169</v>
      </c>
      <c r="I127" s="10">
        <v>46191</v>
      </c>
      <c r="J127" s="10">
        <v>46191</v>
      </c>
    </row>
    <row r="128" spans="1:10" ht="14.25" customHeight="1">
      <c r="A128" s="9" t="s">
        <v>40</v>
      </c>
      <c r="B128" s="9" t="s">
        <v>206</v>
      </c>
      <c r="C128" s="9" t="s">
        <v>117</v>
      </c>
      <c r="D128" s="9" t="s">
        <v>65</v>
      </c>
      <c r="E128" s="9" t="s">
        <v>60</v>
      </c>
      <c r="F128" s="9"/>
      <c r="G128" s="9"/>
      <c r="H128" s="10">
        <v>46191</v>
      </c>
      <c r="I128" s="10">
        <v>46196</v>
      </c>
      <c r="J128" s="10">
        <v>46196</v>
      </c>
    </row>
    <row r="129" spans="1:10" ht="14.25" customHeight="1">
      <c r="A129" s="9" t="s">
        <v>40</v>
      </c>
      <c r="B129" s="9" t="s">
        <v>187</v>
      </c>
      <c r="C129" s="9" t="s">
        <v>117</v>
      </c>
      <c r="D129" s="9" t="s">
        <v>65</v>
      </c>
      <c r="E129" s="9" t="s">
        <v>60</v>
      </c>
      <c r="F129" s="9"/>
      <c r="G129" s="9"/>
      <c r="H129" s="10">
        <v>46196</v>
      </c>
      <c r="I129" s="9"/>
      <c r="J129" s="9"/>
    </row>
    <row r="130" spans="1:10" ht="14.25" customHeight="1">
      <c r="A130" s="9" t="s">
        <v>40</v>
      </c>
      <c r="B130" s="9" t="s">
        <v>42</v>
      </c>
      <c r="C130" s="9" t="s">
        <v>117</v>
      </c>
      <c r="D130" s="9" t="s">
        <v>65</v>
      </c>
      <c r="E130" s="9" t="s">
        <v>60</v>
      </c>
      <c r="F130" s="9"/>
      <c r="G130" s="9"/>
      <c r="H130" s="9"/>
      <c r="I130" s="10"/>
      <c r="J130" s="9"/>
    </row>
    <row r="131" spans="1:10" ht="14.25" customHeight="1">
      <c r="A131" s="9" t="s">
        <v>40</v>
      </c>
      <c r="B131" s="9" t="s">
        <v>263</v>
      </c>
      <c r="C131" s="9" t="s">
        <v>121</v>
      </c>
      <c r="D131" s="9" t="s">
        <v>103</v>
      </c>
      <c r="E131" s="9" t="s">
        <v>77</v>
      </c>
      <c r="F131" s="9"/>
      <c r="G131" s="9"/>
      <c r="H131" s="9"/>
      <c r="I131" s="10">
        <v>46168</v>
      </c>
      <c r="J131" s="10">
        <v>46168</v>
      </c>
    </row>
    <row r="132" spans="1:10" ht="14.25" customHeight="1">
      <c r="A132" s="9" t="s">
        <v>40</v>
      </c>
      <c r="B132" s="9" t="s">
        <v>223</v>
      </c>
      <c r="C132" s="9" t="s">
        <v>121</v>
      </c>
      <c r="D132" s="9" t="s">
        <v>103</v>
      </c>
      <c r="E132" s="9" t="s">
        <v>77</v>
      </c>
      <c r="F132" s="9"/>
      <c r="G132" s="9"/>
      <c r="H132" s="10">
        <v>46168</v>
      </c>
      <c r="I132" s="10">
        <v>46189</v>
      </c>
      <c r="J132" s="10">
        <v>46189</v>
      </c>
    </row>
    <row r="133" spans="1:10" ht="14.25" customHeight="1">
      <c r="A133" s="9" t="s">
        <v>40</v>
      </c>
      <c r="B133" s="9" t="s">
        <v>206</v>
      </c>
      <c r="C133" s="9" t="s">
        <v>121</v>
      </c>
      <c r="D133" s="9" t="s">
        <v>103</v>
      </c>
      <c r="E133" s="9" t="s">
        <v>77</v>
      </c>
      <c r="F133" s="9"/>
      <c r="G133" s="9"/>
      <c r="H133" s="10">
        <v>46189</v>
      </c>
      <c r="I133" s="10">
        <v>46189</v>
      </c>
      <c r="J133" s="10">
        <v>46189</v>
      </c>
    </row>
    <row r="134" spans="1:10" ht="14.25" customHeight="1">
      <c r="A134" s="9" t="s">
        <v>40</v>
      </c>
      <c r="B134" s="9" t="s">
        <v>187</v>
      </c>
      <c r="C134" s="9" t="s">
        <v>121</v>
      </c>
      <c r="D134" s="9" t="s">
        <v>103</v>
      </c>
      <c r="E134" s="9" t="s">
        <v>77</v>
      </c>
      <c r="F134" s="9"/>
      <c r="G134" s="9"/>
      <c r="H134" s="10">
        <v>46189</v>
      </c>
      <c r="I134" s="9"/>
      <c r="J134" s="9"/>
    </row>
    <row r="135" spans="1:10" ht="14.25" customHeight="1">
      <c r="A135" s="9" t="s">
        <v>40</v>
      </c>
      <c r="B135" s="9" t="s">
        <v>42</v>
      </c>
      <c r="C135" s="9" t="s">
        <v>121</v>
      </c>
      <c r="D135" s="9" t="s">
        <v>103</v>
      </c>
      <c r="E135" s="9" t="s">
        <v>77</v>
      </c>
      <c r="F135" s="9"/>
      <c r="G135" s="9"/>
      <c r="H135" s="9"/>
      <c r="I135" s="10">
        <v>46192</v>
      </c>
      <c r="J135" s="10">
        <v>46192</v>
      </c>
    </row>
    <row r="136" spans="1:10" ht="14.25" customHeight="1">
      <c r="A136" s="9" t="s">
        <v>40</v>
      </c>
      <c r="B136" s="9" t="s">
        <v>263</v>
      </c>
      <c r="C136" s="9" t="s">
        <v>123</v>
      </c>
      <c r="D136" s="9" t="s">
        <v>84</v>
      </c>
      <c r="E136" s="9" t="s">
        <v>77</v>
      </c>
      <c r="F136" s="9"/>
      <c r="G136" s="9"/>
      <c r="H136" s="9"/>
      <c r="I136" s="10">
        <v>46169</v>
      </c>
      <c r="J136" s="10">
        <v>46169</v>
      </c>
    </row>
    <row r="137" spans="1:10" ht="14.25" customHeight="1">
      <c r="A137" s="9" t="s">
        <v>40</v>
      </c>
      <c r="B137" s="9" t="s">
        <v>223</v>
      </c>
      <c r="C137" s="9" t="s">
        <v>123</v>
      </c>
      <c r="D137" s="9" t="s">
        <v>84</v>
      </c>
      <c r="E137" s="9" t="s">
        <v>77</v>
      </c>
      <c r="F137" s="9"/>
      <c r="G137" s="9"/>
      <c r="H137" s="10">
        <v>46169</v>
      </c>
      <c r="I137" s="10">
        <v>46195</v>
      </c>
      <c r="J137" s="10">
        <v>46195</v>
      </c>
    </row>
    <row r="138" spans="1:10" ht="14.25" customHeight="1">
      <c r="A138" s="9" t="s">
        <v>40</v>
      </c>
      <c r="B138" s="9" t="s">
        <v>206</v>
      </c>
      <c r="C138" s="9" t="s">
        <v>123</v>
      </c>
      <c r="D138" s="9" t="s">
        <v>84</v>
      </c>
      <c r="E138" s="9" t="s">
        <v>77</v>
      </c>
      <c r="F138" s="9"/>
      <c r="G138" s="9"/>
      <c r="H138" s="10">
        <v>46195</v>
      </c>
      <c r="I138" s="10">
        <v>46197</v>
      </c>
      <c r="J138" s="10">
        <v>46197</v>
      </c>
    </row>
    <row r="139" spans="1:10" ht="14.25" customHeight="1">
      <c r="A139" s="9" t="s">
        <v>40</v>
      </c>
      <c r="B139" s="9" t="s">
        <v>187</v>
      </c>
      <c r="C139" s="9" t="s">
        <v>123</v>
      </c>
      <c r="D139" s="9" t="s">
        <v>84</v>
      </c>
      <c r="E139" s="9" t="s">
        <v>77</v>
      </c>
      <c r="F139" s="9"/>
      <c r="G139" s="9"/>
      <c r="H139" s="10">
        <v>46197</v>
      </c>
      <c r="I139" s="9"/>
      <c r="J139" s="9"/>
    </row>
    <row r="140" spans="1:10" ht="14.25" customHeight="1">
      <c r="A140" s="9" t="s">
        <v>40</v>
      </c>
      <c r="B140" s="9" t="s">
        <v>42</v>
      </c>
      <c r="C140" s="9" t="s">
        <v>123</v>
      </c>
      <c r="D140" s="9" t="s">
        <v>84</v>
      </c>
      <c r="E140" s="9" t="s">
        <v>77</v>
      </c>
      <c r="F140" s="9"/>
      <c r="G140" s="9"/>
      <c r="H140" s="9"/>
      <c r="I140" s="9"/>
      <c r="J140" s="9"/>
    </row>
    <row r="141" spans="1:10" ht="14.25" customHeight="1">
      <c r="A141" s="9" t="s">
        <v>126</v>
      </c>
      <c r="B141" s="9" t="s">
        <v>263</v>
      </c>
      <c r="C141" s="9" t="s">
        <v>127</v>
      </c>
      <c r="D141" s="9" t="s">
        <v>76</v>
      </c>
      <c r="E141" s="9" t="s">
        <v>60</v>
      </c>
      <c r="F141" s="9"/>
      <c r="G141" s="9" t="s">
        <v>129</v>
      </c>
      <c r="H141" s="9"/>
      <c r="I141" s="9"/>
      <c r="J141" s="9"/>
    </row>
    <row r="142" spans="1:10" ht="14.25" customHeight="1">
      <c r="A142" s="9" t="s">
        <v>126</v>
      </c>
      <c r="B142" s="9" t="s">
        <v>223</v>
      </c>
      <c r="C142" s="9" t="s">
        <v>127</v>
      </c>
      <c r="D142" s="9" t="s">
        <v>76</v>
      </c>
      <c r="E142" s="9" t="s">
        <v>60</v>
      </c>
      <c r="F142" s="9"/>
      <c r="G142" s="9" t="s">
        <v>129</v>
      </c>
      <c r="H142" s="9"/>
      <c r="I142" s="10">
        <v>46213</v>
      </c>
      <c r="J142" s="10">
        <v>46213</v>
      </c>
    </row>
    <row r="143" spans="1:10" ht="14.25" customHeight="1">
      <c r="A143" s="9" t="s">
        <v>126</v>
      </c>
      <c r="B143" s="9" t="s">
        <v>206</v>
      </c>
      <c r="C143" s="9" t="s">
        <v>127</v>
      </c>
      <c r="D143" s="9" t="s">
        <v>76</v>
      </c>
      <c r="E143" s="9" t="s">
        <v>60</v>
      </c>
      <c r="F143" s="9"/>
      <c r="G143" s="9" t="s">
        <v>129</v>
      </c>
      <c r="H143" s="10">
        <v>46213</v>
      </c>
      <c r="I143" s="10">
        <v>46223</v>
      </c>
      <c r="J143" s="10">
        <v>46223</v>
      </c>
    </row>
    <row r="144" spans="1:10" ht="14.25" customHeight="1">
      <c r="A144" s="9" t="s">
        <v>126</v>
      </c>
      <c r="B144" s="9" t="s">
        <v>263</v>
      </c>
      <c r="C144" s="9" t="s">
        <v>135</v>
      </c>
      <c r="D144" s="9" t="s">
        <v>65</v>
      </c>
      <c r="E144" s="9" t="s">
        <v>77</v>
      </c>
      <c r="F144" s="9"/>
      <c r="G144" s="9" t="s">
        <v>129</v>
      </c>
      <c r="H144" s="9"/>
      <c r="I144" s="9"/>
      <c r="J144" s="9"/>
    </row>
    <row r="145" spans="1:10" ht="14.25" customHeight="1">
      <c r="A145" s="9" t="s">
        <v>126</v>
      </c>
      <c r="B145" s="9" t="s">
        <v>223</v>
      </c>
      <c r="C145" s="9" t="s">
        <v>135</v>
      </c>
      <c r="D145" s="9" t="s">
        <v>65</v>
      </c>
      <c r="E145" s="9" t="s">
        <v>77</v>
      </c>
      <c r="F145" s="9"/>
      <c r="G145" s="9" t="s">
        <v>129</v>
      </c>
      <c r="H145" s="9"/>
      <c r="I145" s="10">
        <v>46218</v>
      </c>
      <c r="J145" s="10">
        <v>46218</v>
      </c>
    </row>
    <row r="146" spans="1:10" ht="14.25" customHeight="1">
      <c r="A146" s="9" t="s">
        <v>126</v>
      </c>
      <c r="B146" s="9" t="s">
        <v>206</v>
      </c>
      <c r="C146" s="9" t="s">
        <v>135</v>
      </c>
      <c r="D146" s="9" t="s">
        <v>65</v>
      </c>
      <c r="E146" s="9" t="s">
        <v>77</v>
      </c>
      <c r="F146" s="9"/>
      <c r="G146" s="9" t="s">
        <v>129</v>
      </c>
      <c r="H146" s="10">
        <v>46218</v>
      </c>
      <c r="I146" s="10">
        <v>46223</v>
      </c>
      <c r="J146" s="10">
        <v>46223</v>
      </c>
    </row>
    <row r="147" spans="1:10" ht="14.25" customHeight="1">
      <c r="A147" s="9" t="s">
        <v>126</v>
      </c>
      <c r="B147" s="9" t="s">
        <v>263</v>
      </c>
      <c r="C147" s="9" t="s">
        <v>137</v>
      </c>
      <c r="D147" s="9" t="s">
        <v>65</v>
      </c>
      <c r="E147" s="9" t="s">
        <v>77</v>
      </c>
      <c r="F147" s="9"/>
      <c r="G147" s="9" t="s">
        <v>129</v>
      </c>
      <c r="H147" s="9"/>
      <c r="I147" s="9"/>
      <c r="J147" s="9"/>
    </row>
    <row r="148" spans="1:10" ht="14.25" customHeight="1">
      <c r="A148" s="9" t="s">
        <v>126</v>
      </c>
      <c r="B148" s="9" t="s">
        <v>223</v>
      </c>
      <c r="C148" s="9" t="s">
        <v>137</v>
      </c>
      <c r="D148" s="9" t="s">
        <v>65</v>
      </c>
      <c r="E148" s="9" t="s">
        <v>77</v>
      </c>
      <c r="F148" s="9"/>
      <c r="G148" s="9" t="s">
        <v>129</v>
      </c>
      <c r="H148" s="9"/>
      <c r="I148" s="10">
        <v>46225</v>
      </c>
      <c r="J148" s="10">
        <v>46225</v>
      </c>
    </row>
    <row r="149" spans="1:10" ht="14.25" customHeight="1">
      <c r="A149" s="9" t="s">
        <v>126</v>
      </c>
      <c r="B149" s="9" t="s">
        <v>206</v>
      </c>
      <c r="C149" s="9" t="s">
        <v>137</v>
      </c>
      <c r="D149" s="9" t="s">
        <v>65</v>
      </c>
      <c r="E149" s="9" t="s">
        <v>77</v>
      </c>
      <c r="F149" s="9"/>
      <c r="G149" s="9" t="s">
        <v>129</v>
      </c>
      <c r="H149" s="10">
        <v>46225</v>
      </c>
      <c r="I149" s="10">
        <v>46223</v>
      </c>
      <c r="J149" s="10">
        <v>46223</v>
      </c>
    </row>
    <row r="150" spans="1:10" ht="14.25" customHeight="1">
      <c r="A150" s="9" t="s">
        <v>126</v>
      </c>
      <c r="B150" s="9" t="s">
        <v>263</v>
      </c>
      <c r="C150" s="9" t="s">
        <v>139</v>
      </c>
      <c r="D150" s="9" t="s">
        <v>59</v>
      </c>
      <c r="E150" s="9" t="s">
        <v>46</v>
      </c>
      <c r="F150" s="9"/>
      <c r="G150" s="9" t="s">
        <v>129</v>
      </c>
      <c r="H150" s="9"/>
      <c r="I150" s="9"/>
      <c r="J150" s="9"/>
    </row>
    <row r="151" spans="1:10" ht="14.25" customHeight="1">
      <c r="A151" s="9" t="s">
        <v>126</v>
      </c>
      <c r="B151" s="9" t="s">
        <v>223</v>
      </c>
      <c r="C151" s="9" t="s">
        <v>139</v>
      </c>
      <c r="D151" s="9" t="s">
        <v>59</v>
      </c>
      <c r="E151" s="9" t="s">
        <v>46</v>
      </c>
      <c r="F151" s="9"/>
      <c r="G151" s="9" t="s">
        <v>129</v>
      </c>
      <c r="H151" s="9"/>
      <c r="I151" s="10">
        <v>46227</v>
      </c>
      <c r="J151" s="10">
        <v>46227</v>
      </c>
    </row>
    <row r="152" spans="1:10" ht="14.25" customHeight="1">
      <c r="A152" s="9" t="s">
        <v>126</v>
      </c>
      <c r="B152" s="9" t="s">
        <v>206</v>
      </c>
      <c r="C152" s="9" t="s">
        <v>139</v>
      </c>
      <c r="D152" s="9" t="s">
        <v>59</v>
      </c>
      <c r="E152" s="9" t="s">
        <v>46</v>
      </c>
      <c r="F152" s="9"/>
      <c r="G152" s="9" t="s">
        <v>129</v>
      </c>
      <c r="H152" s="10">
        <v>46227</v>
      </c>
      <c r="I152" s="10">
        <v>46223</v>
      </c>
      <c r="J152" s="10">
        <v>46223</v>
      </c>
    </row>
    <row r="153" spans="1:10" ht="14.25" customHeight="1">
      <c r="A153" s="9" t="s">
        <v>126</v>
      </c>
      <c r="B153" s="9" t="s">
        <v>263</v>
      </c>
      <c r="C153" s="9" t="s">
        <v>141</v>
      </c>
      <c r="D153" s="9" t="s">
        <v>103</v>
      </c>
      <c r="E153" s="9" t="s">
        <v>77</v>
      </c>
      <c r="F153" s="9"/>
      <c r="G153" s="9" t="s">
        <v>129</v>
      </c>
      <c r="H153" s="9"/>
      <c r="I153" s="9"/>
      <c r="J153" s="9"/>
    </row>
    <row r="154" spans="1:10" ht="14.25" customHeight="1">
      <c r="A154" s="9" t="s">
        <v>126</v>
      </c>
      <c r="B154" s="9" t="s">
        <v>223</v>
      </c>
      <c r="C154" s="9" t="s">
        <v>141</v>
      </c>
      <c r="D154" s="9" t="s">
        <v>103</v>
      </c>
      <c r="E154" s="9" t="s">
        <v>77</v>
      </c>
      <c r="F154" s="9"/>
      <c r="G154" s="9" t="s">
        <v>129</v>
      </c>
      <c r="H154" s="9"/>
      <c r="I154" s="10">
        <v>46216</v>
      </c>
      <c r="J154" s="10">
        <v>46216</v>
      </c>
    </row>
    <row r="155" spans="1:10" ht="14.25" customHeight="1">
      <c r="A155" s="9" t="s">
        <v>126</v>
      </c>
      <c r="B155" s="9" t="s">
        <v>206</v>
      </c>
      <c r="C155" s="9" t="s">
        <v>141</v>
      </c>
      <c r="D155" s="9" t="s">
        <v>103</v>
      </c>
      <c r="E155" s="9" t="s">
        <v>77</v>
      </c>
      <c r="F155" s="9"/>
      <c r="G155" s="9" t="s">
        <v>129</v>
      </c>
      <c r="H155" s="10">
        <v>46216</v>
      </c>
      <c r="I155" s="10">
        <v>46225</v>
      </c>
      <c r="J155" s="10">
        <v>46225</v>
      </c>
    </row>
    <row r="156" spans="1:10" ht="14.25" customHeight="1">
      <c r="A156" s="9" t="s">
        <v>126</v>
      </c>
      <c r="B156" s="9" t="s">
        <v>263</v>
      </c>
      <c r="C156" s="9" t="s">
        <v>143</v>
      </c>
      <c r="D156" s="9" t="s">
        <v>84</v>
      </c>
      <c r="E156" s="9" t="s">
        <v>60</v>
      </c>
      <c r="F156" s="9"/>
      <c r="G156" s="9" t="s">
        <v>144</v>
      </c>
      <c r="H156" s="9"/>
      <c r="I156" s="9"/>
      <c r="J156" s="9"/>
    </row>
    <row r="157" spans="1:10">
      <c r="A157" s="3" t="s">
        <v>126</v>
      </c>
      <c r="B157" s="3" t="s">
        <v>263</v>
      </c>
      <c r="C157" s="3" t="s">
        <v>146</v>
      </c>
      <c r="D157" s="3" t="s">
        <v>65</v>
      </c>
      <c r="E157" s="3" t="s">
        <v>46</v>
      </c>
      <c r="F157" s="3"/>
      <c r="G157" s="3" t="s">
        <v>144</v>
      </c>
      <c r="H157" s="3"/>
      <c r="I157" s="3"/>
      <c r="J157" s="3"/>
    </row>
    <row r="158" spans="1:10">
      <c r="A158" s="3" t="s">
        <v>126</v>
      </c>
      <c r="B158" s="3" t="s">
        <v>263</v>
      </c>
      <c r="C158" s="3" t="s">
        <v>149</v>
      </c>
      <c r="D158" s="3" t="s">
        <v>65</v>
      </c>
      <c r="E158" s="3" t="s">
        <v>46</v>
      </c>
      <c r="F158" s="3"/>
      <c r="G158" s="3" t="s">
        <v>144</v>
      </c>
      <c r="H158" s="3"/>
      <c r="I158" s="3"/>
      <c r="J158" s="3"/>
    </row>
    <row r="159" spans="1:10">
      <c r="A159" s="3" t="s">
        <v>126</v>
      </c>
      <c r="B159" s="3" t="s">
        <v>223</v>
      </c>
      <c r="C159" s="3" t="s">
        <v>149</v>
      </c>
      <c r="D159" s="3" t="s">
        <v>65</v>
      </c>
      <c r="E159" s="3" t="s">
        <v>46</v>
      </c>
      <c r="F159" s="3"/>
      <c r="G159" s="3" t="s">
        <v>144</v>
      </c>
      <c r="H159" s="3"/>
      <c r="I159" s="4">
        <v>46221</v>
      </c>
      <c r="J159" s="4">
        <v>46221</v>
      </c>
    </row>
    <row r="160" spans="1:10">
      <c r="A160" s="3" t="s">
        <v>126</v>
      </c>
      <c r="B160" s="3" t="s">
        <v>206</v>
      </c>
      <c r="C160" s="3" t="s">
        <v>149</v>
      </c>
      <c r="D160" s="3" t="s">
        <v>65</v>
      </c>
      <c r="E160" s="3" t="s">
        <v>46</v>
      </c>
      <c r="F160" s="3"/>
      <c r="G160" s="3" t="s">
        <v>144</v>
      </c>
      <c r="H160" s="4">
        <v>46221</v>
      </c>
      <c r="I160" s="4">
        <v>46223</v>
      </c>
      <c r="J160" s="4">
        <v>46223</v>
      </c>
    </row>
    <row r="161" spans="1:10">
      <c r="A161" s="3" t="s">
        <v>126</v>
      </c>
      <c r="B161" s="3" t="s">
        <v>263</v>
      </c>
      <c r="C161" s="3" t="s">
        <v>150</v>
      </c>
      <c r="D161" s="3" t="s">
        <v>84</v>
      </c>
      <c r="E161" s="3" t="s">
        <v>60</v>
      </c>
      <c r="F161" s="3"/>
      <c r="G161" s="3" t="s">
        <v>144</v>
      </c>
      <c r="H161" s="3"/>
      <c r="I161" s="3"/>
      <c r="J161" s="3"/>
    </row>
    <row r="162" spans="1:10">
      <c r="A162" s="3" t="s">
        <v>126</v>
      </c>
      <c r="B162" s="3" t="s">
        <v>223</v>
      </c>
      <c r="C162" s="3" t="s">
        <v>150</v>
      </c>
      <c r="D162" s="3" t="s">
        <v>84</v>
      </c>
      <c r="E162" s="3" t="s">
        <v>60</v>
      </c>
      <c r="F162" s="3"/>
      <c r="G162" s="3" t="s">
        <v>144</v>
      </c>
      <c r="H162" s="3"/>
      <c r="I162" s="4">
        <v>46220</v>
      </c>
      <c r="J162" s="4">
        <v>46220</v>
      </c>
    </row>
    <row r="163" spans="1:10">
      <c r="A163" s="3" t="s">
        <v>126</v>
      </c>
      <c r="B163" s="3" t="s">
        <v>206</v>
      </c>
      <c r="C163" s="3" t="s">
        <v>150</v>
      </c>
      <c r="D163" s="3" t="s">
        <v>84</v>
      </c>
      <c r="E163" s="3" t="s">
        <v>60</v>
      </c>
      <c r="F163" s="3"/>
      <c r="G163" s="3" t="s">
        <v>144</v>
      </c>
      <c r="H163" s="4">
        <v>46220</v>
      </c>
      <c r="I163" s="4">
        <v>46223</v>
      </c>
      <c r="J163" s="4">
        <v>46223</v>
      </c>
    </row>
    <row r="164" spans="1:10">
      <c r="A164" s="3" t="s">
        <v>126</v>
      </c>
      <c r="B164" s="3" t="s">
        <v>263</v>
      </c>
      <c r="C164" s="3" t="s">
        <v>153</v>
      </c>
      <c r="D164" s="3" t="s">
        <v>155</v>
      </c>
      <c r="E164" s="3" t="s">
        <v>60</v>
      </c>
      <c r="F164" s="3"/>
      <c r="G164" s="3" t="s">
        <v>144</v>
      </c>
      <c r="H164" s="3"/>
      <c r="I164" s="3"/>
      <c r="J164" s="3"/>
    </row>
    <row r="165" spans="1:10">
      <c r="A165" s="3" t="s">
        <v>126</v>
      </c>
      <c r="B165" s="3" t="s">
        <v>223</v>
      </c>
      <c r="C165" s="3" t="s">
        <v>153</v>
      </c>
      <c r="D165" s="3" t="s">
        <v>155</v>
      </c>
      <c r="E165" s="3" t="s">
        <v>60</v>
      </c>
      <c r="F165" s="3"/>
      <c r="G165" s="3" t="s">
        <v>144</v>
      </c>
      <c r="H165" s="3"/>
      <c r="I165" s="4">
        <v>46224</v>
      </c>
      <c r="J165" s="4">
        <v>46224</v>
      </c>
    </row>
    <row r="166" spans="1:10">
      <c r="A166" s="3" t="s">
        <v>126</v>
      </c>
      <c r="B166" s="3" t="s">
        <v>206</v>
      </c>
      <c r="C166" s="3" t="s">
        <v>153</v>
      </c>
      <c r="D166" s="3" t="s">
        <v>155</v>
      </c>
      <c r="E166" s="3" t="s">
        <v>60</v>
      </c>
      <c r="F166" s="3"/>
      <c r="G166" s="3" t="s">
        <v>144</v>
      </c>
      <c r="H166" s="4">
        <v>46224</v>
      </c>
      <c r="I166" s="4">
        <v>46223</v>
      </c>
      <c r="J166" s="4">
        <v>46223</v>
      </c>
    </row>
    <row r="167" spans="1:10">
      <c r="A167" s="3" t="s">
        <v>126</v>
      </c>
      <c r="B167" s="3" t="s">
        <v>263</v>
      </c>
      <c r="C167" s="3" t="s">
        <v>156</v>
      </c>
      <c r="D167" s="3" t="s">
        <v>155</v>
      </c>
      <c r="E167" s="3" t="s">
        <v>77</v>
      </c>
      <c r="F167" s="3"/>
      <c r="G167" s="3" t="s">
        <v>144</v>
      </c>
      <c r="H167" s="3"/>
      <c r="I167" s="3"/>
      <c r="J167" s="3"/>
    </row>
    <row r="168" spans="1:10">
      <c r="A168" s="3" t="s">
        <v>126</v>
      </c>
      <c r="B168" s="3" t="s">
        <v>223</v>
      </c>
      <c r="C168" s="3" t="s">
        <v>156</v>
      </c>
      <c r="D168" s="3" t="s">
        <v>155</v>
      </c>
      <c r="E168" s="3" t="s">
        <v>77</v>
      </c>
      <c r="F168" s="3"/>
      <c r="G168" s="3" t="s">
        <v>144</v>
      </c>
      <c r="H168" s="3"/>
      <c r="I168" s="4">
        <v>46225</v>
      </c>
      <c r="J168" s="4">
        <v>46225</v>
      </c>
    </row>
    <row r="169" spans="1:10">
      <c r="A169" s="3" t="s">
        <v>126</v>
      </c>
      <c r="B169" s="3" t="s">
        <v>206</v>
      </c>
      <c r="C169" s="3" t="s">
        <v>156</v>
      </c>
      <c r="D169" s="3" t="s">
        <v>155</v>
      </c>
      <c r="E169" s="3" t="s">
        <v>77</v>
      </c>
      <c r="F169" s="3"/>
      <c r="G169" s="3" t="s">
        <v>144</v>
      </c>
      <c r="H169" s="4">
        <v>46225</v>
      </c>
      <c r="I169" s="4">
        <v>46223</v>
      </c>
      <c r="J169" s="4">
        <v>46223</v>
      </c>
    </row>
    <row r="170" spans="1:10">
      <c r="A170" s="3" t="s">
        <v>126</v>
      </c>
      <c r="B170" s="3" t="s">
        <v>263</v>
      </c>
      <c r="C170" s="3" t="s">
        <v>157</v>
      </c>
      <c r="D170" s="3" t="s">
        <v>76</v>
      </c>
      <c r="E170" s="3" t="s">
        <v>46</v>
      </c>
      <c r="F170" s="3"/>
      <c r="G170" s="3" t="s">
        <v>129</v>
      </c>
      <c r="H170" s="3"/>
      <c r="I170" s="3"/>
      <c r="J170" s="3"/>
    </row>
    <row r="171" spans="1:10">
      <c r="A171" s="3" t="s">
        <v>126</v>
      </c>
      <c r="B171" s="3" t="s">
        <v>223</v>
      </c>
      <c r="C171" s="3" t="s">
        <v>157</v>
      </c>
      <c r="D171" s="3" t="s">
        <v>76</v>
      </c>
      <c r="E171" s="3" t="s">
        <v>46</v>
      </c>
      <c r="F171" s="3"/>
      <c r="G171" s="3" t="s">
        <v>129</v>
      </c>
      <c r="H171" s="3"/>
      <c r="I171" s="4">
        <v>46226</v>
      </c>
      <c r="J171" s="4">
        <v>46226</v>
      </c>
    </row>
    <row r="172" spans="1:10">
      <c r="A172" s="3" t="s">
        <v>126</v>
      </c>
      <c r="B172" s="3" t="s">
        <v>206</v>
      </c>
      <c r="C172" s="3" t="s">
        <v>157</v>
      </c>
      <c r="D172" s="3" t="s">
        <v>76</v>
      </c>
      <c r="E172" s="3" t="s">
        <v>46</v>
      </c>
      <c r="F172" s="3"/>
      <c r="G172" s="3" t="s">
        <v>129</v>
      </c>
      <c r="H172" s="4">
        <v>46226</v>
      </c>
      <c r="I172" s="4">
        <v>46223</v>
      </c>
      <c r="J172" s="4">
        <v>46223</v>
      </c>
    </row>
    <row r="173" spans="1:10">
      <c r="A173" s="3" t="s">
        <v>126</v>
      </c>
      <c r="B173" s="3" t="s">
        <v>263</v>
      </c>
      <c r="C173" s="3" t="s">
        <v>159</v>
      </c>
      <c r="D173" s="3" t="s">
        <v>59</v>
      </c>
      <c r="E173" s="3" t="s">
        <v>60</v>
      </c>
      <c r="F173" s="3"/>
      <c r="G173" s="3" t="s">
        <v>129</v>
      </c>
      <c r="H173" s="3"/>
      <c r="I173" s="3"/>
      <c r="J173" s="3"/>
    </row>
    <row r="174" spans="1:10">
      <c r="A174" s="3" t="s">
        <v>126</v>
      </c>
      <c r="B174" s="3" t="s">
        <v>223</v>
      </c>
      <c r="C174" s="3" t="s">
        <v>159</v>
      </c>
      <c r="D174" s="3" t="s">
        <v>59</v>
      </c>
      <c r="E174" s="3" t="s">
        <v>60</v>
      </c>
      <c r="F174" s="3"/>
      <c r="G174" s="3" t="s">
        <v>129</v>
      </c>
      <c r="H174" s="3"/>
      <c r="I174" s="4">
        <v>46225</v>
      </c>
      <c r="J174" s="4">
        <v>46225</v>
      </c>
    </row>
    <row r="175" spans="1:10">
      <c r="A175" s="3" t="s">
        <v>126</v>
      </c>
      <c r="B175" s="3" t="s">
        <v>206</v>
      </c>
      <c r="C175" s="3" t="s">
        <v>159</v>
      </c>
      <c r="D175" s="3" t="s">
        <v>59</v>
      </c>
      <c r="E175" s="3" t="s">
        <v>60</v>
      </c>
      <c r="F175" s="3"/>
      <c r="G175" s="3" t="s">
        <v>129</v>
      </c>
      <c r="H175" s="4">
        <v>46225</v>
      </c>
      <c r="I175" s="4">
        <v>46223</v>
      </c>
      <c r="J175" s="4">
        <v>46223</v>
      </c>
    </row>
    <row r="176" spans="1:10">
      <c r="A176" s="3" t="s">
        <v>126</v>
      </c>
      <c r="B176" s="3" t="s">
        <v>263</v>
      </c>
      <c r="C176" s="3" t="s">
        <v>161</v>
      </c>
      <c r="D176" s="3" t="s">
        <v>76</v>
      </c>
      <c r="E176" s="3" t="s">
        <v>77</v>
      </c>
      <c r="F176" s="3"/>
      <c r="G176" s="3" t="s">
        <v>144</v>
      </c>
      <c r="H176" s="3"/>
      <c r="I176" s="3"/>
      <c r="J176" s="3"/>
    </row>
    <row r="177" spans="1:10">
      <c r="A177" s="3" t="s">
        <v>126</v>
      </c>
      <c r="B177" s="3" t="s">
        <v>223</v>
      </c>
      <c r="C177" s="3" t="s">
        <v>161</v>
      </c>
      <c r="D177" s="3" t="s">
        <v>76</v>
      </c>
      <c r="E177" s="3" t="s">
        <v>77</v>
      </c>
      <c r="F177" s="3"/>
      <c r="G177" s="3" t="s">
        <v>144</v>
      </c>
      <c r="H177" s="3"/>
      <c r="I177" s="4">
        <v>46225</v>
      </c>
      <c r="J177" s="4">
        <v>46225</v>
      </c>
    </row>
    <row r="178" spans="1:10">
      <c r="A178" s="3" t="s">
        <v>126</v>
      </c>
      <c r="B178" s="3" t="s">
        <v>206</v>
      </c>
      <c r="C178" s="3" t="s">
        <v>161</v>
      </c>
      <c r="D178" s="3" t="s">
        <v>76</v>
      </c>
      <c r="E178" s="3" t="s">
        <v>77</v>
      </c>
      <c r="F178" s="3"/>
      <c r="G178" s="3" t="s">
        <v>144</v>
      </c>
      <c r="H178" s="4">
        <v>46225</v>
      </c>
      <c r="I178" s="4">
        <v>46230</v>
      </c>
      <c r="J178" s="4">
        <v>46230</v>
      </c>
    </row>
    <row r="179" spans="1:10">
      <c r="A179" s="3" t="s">
        <v>126</v>
      </c>
      <c r="B179" s="3" t="s">
        <v>263</v>
      </c>
      <c r="C179" s="3" t="s">
        <v>164</v>
      </c>
      <c r="D179" s="3" t="s">
        <v>103</v>
      </c>
      <c r="E179" s="3"/>
      <c r="F179" s="3"/>
      <c r="G179" s="3"/>
      <c r="H179" s="3"/>
      <c r="I179" s="3"/>
      <c r="J179" s="3"/>
    </row>
    <row r="180" spans="1:10">
      <c r="A180" s="3" t="s">
        <v>126</v>
      </c>
      <c r="B180" s="3" t="s">
        <v>223</v>
      </c>
      <c r="C180" s="3" t="s">
        <v>164</v>
      </c>
      <c r="D180" s="3" t="s">
        <v>103</v>
      </c>
      <c r="E180" s="3"/>
      <c r="F180" s="3"/>
      <c r="G180" s="3"/>
      <c r="H180" s="3"/>
      <c r="I180" s="3"/>
      <c r="J180" s="3"/>
    </row>
    <row r="181" spans="1:10">
      <c r="A181" s="3" t="s">
        <v>126</v>
      </c>
      <c r="B181" s="3" t="s">
        <v>206</v>
      </c>
      <c r="C181" s="3" t="s">
        <v>164</v>
      </c>
      <c r="D181" s="3" t="s">
        <v>103</v>
      </c>
      <c r="E181" s="3"/>
      <c r="F181" s="3"/>
      <c r="G181" s="3"/>
      <c r="H181" s="3"/>
      <c r="I181" s="3"/>
      <c r="J181" s="3"/>
    </row>
    <row r="182" spans="1:10">
      <c r="A182" s="3" t="s">
        <v>126</v>
      </c>
      <c r="B182" s="3" t="s">
        <v>263</v>
      </c>
      <c r="C182" s="3" t="s">
        <v>175</v>
      </c>
      <c r="D182" s="3" t="s">
        <v>84</v>
      </c>
      <c r="E182" s="3"/>
      <c r="F182" s="3"/>
      <c r="G182" s="3"/>
      <c r="H182" s="3"/>
      <c r="I182" s="3"/>
      <c r="J182" s="3"/>
    </row>
    <row r="183" spans="1:10">
      <c r="A183" s="3" t="s">
        <v>126</v>
      </c>
      <c r="B183" s="3" t="s">
        <v>223</v>
      </c>
      <c r="C183" s="3" t="s">
        <v>175</v>
      </c>
      <c r="D183" s="3" t="s">
        <v>84</v>
      </c>
      <c r="E183" s="3"/>
      <c r="F183" s="3"/>
      <c r="G183" s="3"/>
      <c r="H183" s="3"/>
      <c r="I183" s="3"/>
      <c r="J183" s="3"/>
    </row>
    <row r="184" spans="1:10">
      <c r="A184" s="3" t="s">
        <v>126</v>
      </c>
      <c r="B184" s="3" t="s">
        <v>206</v>
      </c>
      <c r="C184" s="3" t="s">
        <v>175</v>
      </c>
      <c r="D184" s="3" t="s">
        <v>84</v>
      </c>
      <c r="E184" s="3"/>
      <c r="F184" s="3"/>
      <c r="G184" s="3"/>
      <c r="H184" s="3"/>
      <c r="I184" s="3"/>
      <c r="J184" s="3"/>
    </row>
  </sheetData>
  <sheetProtection sheet="1"/>
  <autoFilter ref="A2:J156" xr:uid="{00000000-0009-0000-0000-000004000000}"/>
  <mergeCells count="1">
    <mergeCell ref="A1:J1"/>
  </mergeCells>
  <pageMargins left="0.75" right="0.75" top="1" bottom="1" header="0.511811023622047" footer="0.5"/>
  <pageSetup paperSize="9" orientation="portrait" horizontalDpi="300" verticalDpi="300"/>
  <headerFooter>
    <oddFooter>&amp;L&amp;"Aptos,Regular"&amp;10 _x000D_# This content is for internal use only_x000D_&amp;1#&amp;"Aptos"&amp;10&amp;K000000 This content is for internal use only</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808080"/>
  </sheetPr>
  <dimension ref="A1:T19"/>
  <sheetViews>
    <sheetView zoomScaleNormal="100" workbookViewId="0">
      <selection sqref="A1:XFD1048576"/>
    </sheetView>
  </sheetViews>
  <sheetFormatPr defaultColWidth="8.7109375" defaultRowHeight="15"/>
  <cols>
    <col min="1" max="1" width="26" customWidth="1"/>
    <col min="2" max="3" width="14" customWidth="1"/>
    <col min="4" max="5" width="10" customWidth="1"/>
    <col min="6" max="6" width="18" customWidth="1"/>
    <col min="7" max="7" width="16" customWidth="1"/>
    <col min="8" max="8" width="14" customWidth="1"/>
    <col min="10" max="11" width="16" customWidth="1"/>
    <col min="12" max="12" width="20" customWidth="1"/>
    <col min="13" max="13" width="10.42578125" bestFit="1" customWidth="1"/>
  </cols>
  <sheetData>
    <row r="1" spans="1:20" ht="15" customHeight="1">
      <c r="A1" s="1" t="s">
        <v>0</v>
      </c>
      <c r="B1" s="1" t="s">
        <v>9</v>
      </c>
      <c r="C1" s="1" t="s">
        <v>15</v>
      </c>
      <c r="D1" s="1" t="s">
        <v>5</v>
      </c>
      <c r="E1" s="1" t="s">
        <v>446</v>
      </c>
      <c r="F1" s="1" t="s">
        <v>344</v>
      </c>
      <c r="G1" s="5" t="s">
        <v>447</v>
      </c>
      <c r="H1" s="5" t="s">
        <v>20</v>
      </c>
      <c r="I1" t="s">
        <v>35</v>
      </c>
      <c r="J1" s="5" t="s">
        <v>448</v>
      </c>
      <c r="K1" s="5" t="s">
        <v>187</v>
      </c>
      <c r="L1" s="5" t="s">
        <v>361</v>
      </c>
      <c r="M1" s="1" t="s">
        <v>449</v>
      </c>
      <c r="N1" s="1" t="s">
        <v>450</v>
      </c>
      <c r="R1" t="s">
        <v>13</v>
      </c>
      <c r="T1" t="s">
        <v>451</v>
      </c>
    </row>
    <row r="2" spans="1:20" ht="13.5" customHeight="1">
      <c r="A2" s="2" t="s">
        <v>452</v>
      </c>
      <c r="B2" s="2" t="s">
        <v>453</v>
      </c>
      <c r="C2" s="2" t="s">
        <v>454</v>
      </c>
      <c r="D2" s="2" t="s">
        <v>455</v>
      </c>
      <c r="E2" s="2" t="s">
        <v>456</v>
      </c>
      <c r="F2" s="2" t="s">
        <v>457</v>
      </c>
      <c r="G2" t="s">
        <v>458</v>
      </c>
      <c r="H2" t="s">
        <v>459</v>
      </c>
      <c r="I2" t="s">
        <v>460</v>
      </c>
      <c r="J2" s="29" t="s">
        <v>461</v>
      </c>
      <c r="K2" s="29" t="s">
        <v>462</v>
      </c>
      <c r="L2" s="29" t="s">
        <v>463</v>
      </c>
      <c r="M2" t="s">
        <v>144</v>
      </c>
      <c r="N2" t="s">
        <v>464</v>
      </c>
      <c r="R2" t="s">
        <v>257</v>
      </c>
      <c r="T2" t="s">
        <v>49</v>
      </c>
    </row>
    <row r="3" spans="1:20" ht="15" customHeight="1">
      <c r="A3" t="s">
        <v>40</v>
      </c>
      <c r="B3" t="s">
        <v>44</v>
      </c>
      <c r="C3" t="s">
        <v>60</v>
      </c>
      <c r="D3" t="s">
        <v>129</v>
      </c>
      <c r="E3" t="s">
        <v>50</v>
      </c>
      <c r="F3" t="s">
        <v>234</v>
      </c>
      <c r="G3" t="s">
        <v>44</v>
      </c>
      <c r="H3" t="s">
        <v>47</v>
      </c>
      <c r="I3" t="s">
        <v>53</v>
      </c>
      <c r="J3" t="s">
        <v>263</v>
      </c>
      <c r="K3" t="s">
        <v>48</v>
      </c>
      <c r="L3" t="s">
        <v>53</v>
      </c>
      <c r="M3" t="s">
        <v>44</v>
      </c>
      <c r="N3" t="s">
        <v>465</v>
      </c>
      <c r="R3" t="s">
        <v>45</v>
      </c>
      <c r="T3" t="s">
        <v>94</v>
      </c>
    </row>
    <row r="4" spans="1:20" ht="15" customHeight="1">
      <c r="A4" t="s">
        <v>126</v>
      </c>
      <c r="B4" t="s">
        <v>59</v>
      </c>
      <c r="C4" t="s">
        <v>46</v>
      </c>
      <c r="D4" t="s">
        <v>144</v>
      </c>
      <c r="E4" t="s">
        <v>53</v>
      </c>
      <c r="F4" t="s">
        <v>263</v>
      </c>
      <c r="G4" t="s">
        <v>59</v>
      </c>
      <c r="H4" t="s">
        <v>88</v>
      </c>
      <c r="I4" t="s">
        <v>466</v>
      </c>
      <c r="J4" t="s">
        <v>223</v>
      </c>
      <c r="L4" t="s">
        <v>50</v>
      </c>
      <c r="M4" t="s">
        <v>103</v>
      </c>
      <c r="N4" t="s">
        <v>467</v>
      </c>
      <c r="R4" t="s">
        <v>468</v>
      </c>
      <c r="T4" t="s">
        <v>72</v>
      </c>
    </row>
    <row r="5" spans="1:20" ht="15" customHeight="1">
      <c r="A5" t="s">
        <v>335</v>
      </c>
      <c r="B5" t="s">
        <v>445</v>
      </c>
      <c r="C5" t="s">
        <v>77</v>
      </c>
      <c r="F5" t="s">
        <v>223</v>
      </c>
      <c r="G5" t="s">
        <v>445</v>
      </c>
      <c r="H5" t="s">
        <v>129</v>
      </c>
      <c r="I5" t="s">
        <v>254</v>
      </c>
      <c r="J5" t="s">
        <v>206</v>
      </c>
      <c r="L5" t="s">
        <v>469</v>
      </c>
      <c r="M5" t="s">
        <v>88</v>
      </c>
      <c r="N5" t="s">
        <v>470</v>
      </c>
    </row>
    <row r="6" spans="1:20" ht="15" customHeight="1">
      <c r="A6" t="s">
        <v>311</v>
      </c>
      <c r="B6" t="s">
        <v>84</v>
      </c>
      <c r="F6" t="s">
        <v>206</v>
      </c>
      <c r="G6" t="s">
        <v>84</v>
      </c>
      <c r="H6" t="s">
        <v>144</v>
      </c>
      <c r="I6" t="s">
        <v>471</v>
      </c>
      <c r="J6" t="s">
        <v>187</v>
      </c>
      <c r="M6" t="s">
        <v>48</v>
      </c>
      <c r="N6" t="s">
        <v>470</v>
      </c>
    </row>
    <row r="7" spans="1:20" ht="15" customHeight="1">
      <c r="A7" t="s">
        <v>302</v>
      </c>
      <c r="B7" t="s">
        <v>65</v>
      </c>
      <c r="F7" t="s">
        <v>187</v>
      </c>
      <c r="G7" t="s">
        <v>65</v>
      </c>
      <c r="H7" t="s">
        <v>201</v>
      </c>
      <c r="I7" t="s">
        <v>472</v>
      </c>
      <c r="M7" t="s">
        <v>129</v>
      </c>
      <c r="N7" t="s">
        <v>473</v>
      </c>
    </row>
    <row r="8" spans="1:20" ht="15" customHeight="1">
      <c r="B8" t="s">
        <v>76</v>
      </c>
      <c r="F8" t="s">
        <v>128</v>
      </c>
      <c r="G8" t="s">
        <v>76</v>
      </c>
      <c r="I8" t="s">
        <v>171</v>
      </c>
      <c r="M8" t="s">
        <v>60</v>
      </c>
      <c r="N8" t="s">
        <v>474</v>
      </c>
    </row>
    <row r="9" spans="1:20" ht="15" customHeight="1">
      <c r="B9" t="s">
        <v>103</v>
      </c>
      <c r="F9" t="s">
        <v>42</v>
      </c>
      <c r="G9" t="s">
        <v>103</v>
      </c>
      <c r="I9" t="s">
        <v>133</v>
      </c>
      <c r="M9" t="s">
        <v>155</v>
      </c>
      <c r="N9" t="s">
        <v>475</v>
      </c>
    </row>
    <row r="10" spans="1:20" ht="15" customHeight="1">
      <c r="B10" t="s">
        <v>155</v>
      </c>
      <c r="G10" t="s">
        <v>155</v>
      </c>
      <c r="I10" t="s">
        <v>476</v>
      </c>
      <c r="M10" t="s">
        <v>47</v>
      </c>
      <c r="N10" t="s">
        <v>477</v>
      </c>
    </row>
    <row r="11" spans="1:20">
      <c r="B11" t="s">
        <v>478</v>
      </c>
      <c r="G11" t="s">
        <v>60</v>
      </c>
      <c r="M11" t="s">
        <v>76</v>
      </c>
      <c r="N11" t="s">
        <v>479</v>
      </c>
    </row>
    <row r="12" spans="1:20">
      <c r="B12" t="s">
        <v>480</v>
      </c>
      <c r="G12" t="s">
        <v>46</v>
      </c>
      <c r="M12" t="s">
        <v>46</v>
      </c>
      <c r="N12" t="s">
        <v>481</v>
      </c>
    </row>
    <row r="13" spans="1:20">
      <c r="G13" t="s">
        <v>77</v>
      </c>
      <c r="M13" t="s">
        <v>77</v>
      </c>
      <c r="N13" t="s">
        <v>482</v>
      </c>
    </row>
    <row r="14" spans="1:20">
      <c r="M14" t="s">
        <v>84</v>
      </c>
      <c r="N14" t="s">
        <v>483</v>
      </c>
    </row>
    <row r="15" spans="1:20">
      <c r="M15" t="s">
        <v>59</v>
      </c>
      <c r="N15" t="s">
        <v>484</v>
      </c>
    </row>
    <row r="16" spans="1:20">
      <c r="M16" t="s">
        <v>65</v>
      </c>
      <c r="N16" t="s">
        <v>485</v>
      </c>
    </row>
    <row r="17" spans="13:14">
      <c r="M17" t="s">
        <v>445</v>
      </c>
      <c r="N17" t="s">
        <v>485</v>
      </c>
    </row>
    <row r="18" spans="13:14">
      <c r="M18" t="s">
        <v>229</v>
      </c>
      <c r="N18" t="s">
        <v>486</v>
      </c>
    </row>
    <row r="19" spans="13:14">
      <c r="M19" t="s">
        <v>201</v>
      </c>
      <c r="N19" t="s">
        <v>487</v>
      </c>
    </row>
  </sheetData>
  <pageMargins left="0.75" right="0.75" top="1" bottom="1" header="0.511811023622047" footer="0.511811023622047"/>
  <pageSetup paperSize="9" orientation="portrait" horizontalDpi="300" verticalDpi="300"/>
  <headerFooter>
    <oddFooter>&amp;L&amp;"Aptos"&amp;10 &amp;K000000_x000D_# This content is for internal use only_x000D_&amp;1#&amp;"Aptos"&amp;10&amp;K000000 This content is for internal use only</oddFooter>
  </headerFooter>
  <legacy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255FDA-0A35-4985-85CA-403F7C43FD9E}">
  <sheetPr>
    <tabColor rgb="FF7A3A33"/>
    <pageSetUpPr fitToPage="1"/>
  </sheetPr>
  <dimension ref="A1:Z200"/>
  <sheetViews>
    <sheetView showGridLines="0" topLeftCell="A8" workbookViewId="0">
      <selection activeCell="B3" sqref="B3"/>
    </sheetView>
  </sheetViews>
  <sheetFormatPr defaultRowHeight="15"/>
  <cols>
    <col min="1" max="1" width="1.85546875" customWidth="1"/>
    <col min="2" max="2" width="34.28515625" customWidth="1"/>
    <col min="3" max="3" width="11" customWidth="1"/>
    <col min="4" max="5" width="18.28515625" customWidth="1"/>
    <col min="6" max="9" width="11.85546875" customWidth="1"/>
    <col min="10" max="13" width="10.28515625" customWidth="1"/>
    <col min="14" max="14" width="8.42578125" customWidth="1"/>
    <col min="15" max="15" width="22.42578125" customWidth="1"/>
    <col min="16" max="16" width="1.85546875" customWidth="1"/>
  </cols>
  <sheetData>
    <row r="1" spans="1:26" ht="9.75" customHeight="1">
      <c r="A1" s="142"/>
      <c r="B1" s="142"/>
      <c r="C1" s="142"/>
      <c r="D1" s="142"/>
      <c r="E1" s="142"/>
      <c r="F1" s="142"/>
      <c r="G1" s="142"/>
      <c r="H1" s="142"/>
      <c r="I1" s="142"/>
      <c r="J1" s="142"/>
      <c r="K1" s="142"/>
      <c r="L1" s="142"/>
      <c r="M1" s="142"/>
      <c r="N1" s="142"/>
      <c r="O1" s="142"/>
      <c r="P1" s="142"/>
      <c r="Q1" s="142"/>
      <c r="R1" s="142"/>
      <c r="S1" s="142"/>
      <c r="T1" s="142"/>
      <c r="U1" s="142"/>
      <c r="V1" s="142"/>
      <c r="W1" s="142"/>
      <c r="X1" s="142"/>
      <c r="Y1" s="142"/>
      <c r="Z1" s="142"/>
    </row>
    <row r="2" spans="1:26" ht="33.75" customHeight="1">
      <c r="A2" s="142"/>
      <c r="B2" s="143" t="s">
        <v>488</v>
      </c>
      <c r="C2" s="142"/>
      <c r="D2" s="142"/>
      <c r="E2" s="142"/>
      <c r="F2" s="142"/>
      <c r="G2" s="142"/>
      <c r="H2" s="142"/>
      <c r="I2" s="142"/>
      <c r="J2" s="142"/>
      <c r="K2" s="142"/>
      <c r="L2" s="142"/>
      <c r="M2" s="249" t="str">
        <f ca="1">"As of "&amp;TEXT(TODAY(),"d mmm yyyy")&amp;". Live from Combined Delivery Data."</f>
        <v>As of 16 Oct 2026. Live from Combined Delivery Data.</v>
      </c>
      <c r="N2" s="249"/>
      <c r="O2" s="249"/>
      <c r="P2" s="142"/>
      <c r="Q2" s="142"/>
      <c r="R2" s="142"/>
      <c r="S2" s="142"/>
      <c r="T2" s="142"/>
      <c r="U2" s="142"/>
      <c r="V2" s="142"/>
      <c r="W2" s="142"/>
      <c r="X2" s="142"/>
      <c r="Y2" s="142"/>
      <c r="Z2" s="142"/>
    </row>
    <row r="3" spans="1:26" ht="18" customHeight="1">
      <c r="A3" s="142"/>
      <c r="B3" s="144" t="str">
        <f>"GDM migration. "&amp;K17&amp;" reports in the July to November waves. Milestones are the revised committed dates."</f>
        <v>GDM migration. 72 reports in the July to November waves. Milestones are the revised committed dates.</v>
      </c>
      <c r="C3" s="142"/>
      <c r="D3" s="142"/>
      <c r="E3" s="142"/>
      <c r="F3" s="142"/>
      <c r="G3" s="142"/>
      <c r="H3" s="142"/>
      <c r="I3" s="142"/>
      <c r="J3" s="142"/>
      <c r="K3" s="142"/>
      <c r="L3" s="142"/>
      <c r="M3" s="142"/>
      <c r="N3" s="142"/>
      <c r="O3" s="142"/>
      <c r="P3" s="142"/>
      <c r="Q3" s="142"/>
      <c r="R3" s="142"/>
      <c r="S3" s="142"/>
      <c r="T3" s="142"/>
      <c r="U3" s="142"/>
      <c r="V3" s="142"/>
      <c r="W3" s="142"/>
      <c r="X3" s="142"/>
      <c r="Y3" s="142"/>
      <c r="Z3" s="142"/>
    </row>
    <row r="4" spans="1:26" ht="8.25" customHeight="1">
      <c r="A4" s="142"/>
      <c r="B4" s="142"/>
      <c r="C4" s="142"/>
      <c r="D4" s="142"/>
      <c r="E4" s="142"/>
      <c r="F4" s="142"/>
      <c r="G4" s="142"/>
      <c r="H4" s="142"/>
      <c r="I4" s="142"/>
      <c r="J4" s="142"/>
      <c r="K4" s="142"/>
      <c r="L4" s="142"/>
      <c r="M4" s="142"/>
      <c r="N4" s="142"/>
      <c r="O4" s="142"/>
      <c r="P4" s="142"/>
      <c r="Q4" s="142"/>
      <c r="R4" s="142"/>
      <c r="S4" s="142"/>
      <c r="T4" s="142"/>
      <c r="U4" s="142"/>
      <c r="V4" s="142"/>
      <c r="W4" s="142"/>
      <c r="X4" s="142"/>
      <c r="Y4" s="142"/>
      <c r="Z4" s="142"/>
    </row>
    <row r="5" spans="1:26" ht="39.75" customHeight="1">
      <c r="A5" s="142"/>
      <c r="B5" s="145" t="str">
        <f>(C7+E7)&amp;" of "&amp;K17</f>
        <v>30 of 72</v>
      </c>
      <c r="C5" s="250" t="str">
        <f>IF(C7+E7=0,"No CMS reports are blocked.","reports are blocked. "&amp;C7&amp;" are approved and waiting for a production release, "&amp;E7&amp;" are blocked in build or QA.")</f>
        <v>reports are blocked. 27 are approved and waiting for a production release, 3 are blocked in build or QA.</v>
      </c>
      <c r="D5" s="250"/>
      <c r="E5" s="250"/>
      <c r="F5" s="250"/>
      <c r="G5" s="250"/>
      <c r="H5" s="250"/>
      <c r="I5" s="250"/>
      <c r="J5" s="250"/>
      <c r="K5" s="250"/>
      <c r="L5" s="250"/>
      <c r="M5" s="250"/>
      <c r="N5" s="250"/>
      <c r="O5" s="250"/>
      <c r="P5" s="142"/>
      <c r="Q5" s="142"/>
      <c r="R5" s="142"/>
      <c r="S5" s="142"/>
      <c r="T5" s="142"/>
      <c r="U5" s="142"/>
      <c r="V5" s="142"/>
      <c r="W5" s="142"/>
      <c r="X5" s="142"/>
      <c r="Y5" s="142"/>
      <c r="Z5" s="142"/>
    </row>
    <row r="6" spans="1:26" ht="8.25" customHeight="1">
      <c r="A6" s="142"/>
      <c r="B6" s="142"/>
      <c r="C6" s="142"/>
      <c r="D6" s="142"/>
      <c r="E6" s="142"/>
      <c r="F6" s="142"/>
      <c r="G6" s="142"/>
      <c r="H6" s="142"/>
      <c r="I6" s="142"/>
      <c r="J6" s="142"/>
      <c r="K6" s="142"/>
      <c r="L6" s="142"/>
      <c r="M6" s="142"/>
      <c r="N6" s="142"/>
      <c r="O6" s="142"/>
      <c r="P6" s="142"/>
      <c r="Q6" s="142"/>
      <c r="R6" s="142"/>
      <c r="S6" s="142"/>
      <c r="T6" s="142"/>
      <c r="U6" s="142"/>
      <c r="V6" s="142"/>
      <c r="W6" s="142"/>
      <c r="X6" s="142"/>
      <c r="Y6" s="142"/>
      <c r="Z6" s="142"/>
    </row>
    <row r="7" spans="1:26" ht="36" customHeight="1">
      <c r="A7" s="142"/>
      <c r="B7" s="142"/>
      <c r="C7" s="251" cm="1">
        <f t="array" ref="C7">COUNTIFS(cmsDom,"CMS",cmsStatus,"Ready for Release in Prod")</f>
        <v>27</v>
      </c>
      <c r="D7" s="252"/>
      <c r="E7" s="255" cm="1">
        <f t="array" ref="E7">COUNTIFS(cmsDom,"CMS",cmsBlocked,"Yes*",cmsStatus,"&lt;&gt;Ready for Release in Prod",cmsStatus,"&lt;&gt;RELEASED IN PROD")</f>
        <v>3</v>
      </c>
      <c r="F7" s="256"/>
      <c r="G7" s="257" cm="1">
        <f t="array" ref="G7">SUM(COUNTIFS(cmsDom,"CMS",cmsBlocked,"&lt;&gt;Yes*",cmsStatus,{"DB Dev","PBI Dev","QA","DPO Approval"}))</f>
        <v>28</v>
      </c>
      <c r="H7" s="258"/>
      <c r="I7" s="259" cm="1">
        <f t="array" ref="I7">COUNTIFS(cmsDom,"CMS",cmsBlocked,"&lt;&gt;Yes*",cmsStatus,"NOT STARTED")</f>
        <v>12</v>
      </c>
      <c r="J7" s="260"/>
      <c r="K7" s="261" cm="1">
        <f t="array" ref="K7">COUNTIFS(cmsDom,"CMS",cmsStatus,"RELEASED IN PROD")</f>
        <v>2</v>
      </c>
      <c r="L7" s="262"/>
      <c r="M7" s="263" t="s">
        <v>489</v>
      </c>
      <c r="N7" s="264"/>
      <c r="O7" s="265"/>
      <c r="P7" s="142"/>
      <c r="Q7" s="142"/>
      <c r="R7" s="142"/>
      <c r="S7" s="142"/>
      <c r="T7" s="142"/>
      <c r="U7" s="142"/>
      <c r="V7" s="142"/>
      <c r="W7" s="142"/>
      <c r="X7" s="142"/>
      <c r="Y7" s="142"/>
      <c r="Z7" s="142"/>
    </row>
    <row r="8" spans="1:26" ht="30" customHeight="1">
      <c r="A8" s="142"/>
      <c r="B8" s="142"/>
      <c r="C8" s="253" t="s">
        <v>490</v>
      </c>
      <c r="D8" s="254"/>
      <c r="E8" s="253" t="s">
        <v>491</v>
      </c>
      <c r="F8" s="254"/>
      <c r="G8" s="253" t="s">
        <v>492</v>
      </c>
      <c r="H8" s="254"/>
      <c r="I8" s="253" t="s">
        <v>493</v>
      </c>
      <c r="J8" s="254"/>
      <c r="K8" s="253" t="s">
        <v>494</v>
      </c>
      <c r="L8" s="254"/>
      <c r="M8" s="253" t="str" cm="1">
        <f t="array" ref="M8">IF(C7+E7+G7+I7+K7=K17,"Counts reconcile, "&amp;K17&amp;" of "&amp;K17&amp;" reports.","Counts do not reconcile: "&amp;(C7+E7+G7+I7+K7)&amp;" of "&amp;K17&amp;". Check Current Status values.")&amp;CHAR(10)&amp;"Status column behind the dates: "&amp;SUMPRODUCT((cmsDom="CMS")*(cmsCheck&lt;&gt;""))&amp;"."</f>
        <v>Counts reconcile, 72 of 72 reports.
Status column behind the dates: 41.</v>
      </c>
      <c r="N8" s="254"/>
      <c r="O8" s="266"/>
      <c r="P8" s="142"/>
      <c r="Q8" s="142"/>
      <c r="R8" s="142"/>
      <c r="S8" s="142"/>
      <c r="T8" s="142"/>
      <c r="U8" s="142"/>
      <c r="V8" s="142"/>
      <c r="W8" s="142"/>
      <c r="X8" s="142"/>
      <c r="Y8" s="142"/>
      <c r="Z8" s="142"/>
    </row>
    <row r="9" spans="1:26" ht="12" customHeight="1">
      <c r="A9" s="142"/>
      <c r="B9" s="142"/>
      <c r="C9" s="142"/>
      <c r="D9" s="142"/>
      <c r="E9" s="142"/>
      <c r="F9" s="142"/>
      <c r="G9" s="142"/>
      <c r="H9" s="142"/>
      <c r="I9" s="142"/>
      <c r="J9" s="142"/>
      <c r="K9" s="142"/>
      <c r="L9" s="142"/>
      <c r="M9" s="142"/>
      <c r="N9" s="142"/>
      <c r="O9" s="142"/>
      <c r="P9" s="142"/>
      <c r="Q9" s="142"/>
      <c r="R9" s="142"/>
      <c r="S9" s="142"/>
      <c r="T9" s="142"/>
      <c r="U9" s="142"/>
      <c r="V9" s="142"/>
      <c r="W9" s="142"/>
      <c r="X9" s="142"/>
      <c r="Y9" s="142"/>
      <c r="Z9" s="142"/>
    </row>
    <row r="10" spans="1:26" ht="21.75" customHeight="1">
      <c r="A10" s="142"/>
      <c r="B10" s="154" t="s">
        <v>495</v>
      </c>
      <c r="C10" s="227" t="s">
        <v>496</v>
      </c>
      <c r="D10" s="227"/>
      <c r="E10" s="227"/>
      <c r="F10" s="227"/>
      <c r="G10" s="227"/>
      <c r="H10" s="227"/>
      <c r="I10" s="227"/>
      <c r="J10" s="227"/>
      <c r="K10" s="227"/>
      <c r="L10" s="227"/>
      <c r="M10" s="227"/>
      <c r="N10" s="227"/>
      <c r="O10" s="227"/>
      <c r="P10" s="142"/>
      <c r="Q10" s="142"/>
      <c r="R10" s="142"/>
      <c r="S10" s="142"/>
      <c r="T10" s="142"/>
      <c r="U10" s="142"/>
      <c r="V10" s="142"/>
      <c r="W10" s="142"/>
      <c r="X10" s="142"/>
      <c r="Y10" s="142"/>
      <c r="Z10" s="142"/>
    </row>
    <row r="11" spans="1:26" ht="30" customHeight="1">
      <c r="A11" s="142"/>
      <c r="B11" s="159" t="s">
        <v>497</v>
      </c>
      <c r="C11" s="156" t="s">
        <v>498</v>
      </c>
      <c r="D11" s="156" t="s">
        <v>499</v>
      </c>
      <c r="E11" s="156" t="s">
        <v>187</v>
      </c>
      <c r="F11" s="156" t="s">
        <v>206</v>
      </c>
      <c r="G11" s="156" t="s">
        <v>223</v>
      </c>
      <c r="H11" s="156" t="s">
        <v>263</v>
      </c>
      <c r="I11" s="156" t="s">
        <v>493</v>
      </c>
      <c r="J11" s="156" t="s">
        <v>500</v>
      </c>
      <c r="K11" s="156" t="s">
        <v>501</v>
      </c>
      <c r="L11" s="156" t="s">
        <v>502</v>
      </c>
      <c r="M11" s="243" t="s">
        <v>503</v>
      </c>
      <c r="N11" s="244"/>
      <c r="O11" s="245"/>
      <c r="P11" s="142"/>
      <c r="Q11" s="142"/>
      <c r="R11" s="142"/>
      <c r="S11" s="142"/>
      <c r="T11" s="142"/>
      <c r="U11" s="142"/>
      <c r="V11" s="142"/>
      <c r="W11" s="142"/>
      <c r="X11" s="142"/>
      <c r="Y11" s="142"/>
      <c r="Z11" s="142"/>
    </row>
    <row r="12" spans="1:26" ht="21.75" customHeight="1">
      <c r="A12" s="142"/>
      <c r="B12" s="160" t="s">
        <v>130</v>
      </c>
      <c r="C12" s="161" cm="1">
        <f t="array" ref="C12">COUNTIFS(cmsDom,"CMS",cmsMonth,$B12,cmsStatus,"Ready for Release in Prod")</f>
        <v>14</v>
      </c>
      <c r="D12" s="161" cm="1">
        <f t="array" ref="D12">COUNTIFS(cmsDom,"CMS",cmsMonth,$B12,cmsBlocked,"Yes*",cmsStatus,"&lt;&gt;Ready for Release in Prod",cmsStatus,"&lt;&gt;RELEASED IN PROD")</f>
        <v>0</v>
      </c>
      <c r="E12" s="161" cm="1">
        <f t="array" ref="E12">COUNTIFS(cmsDom,"CMS",cmsMonth,$B12,cmsBlocked,"&lt;&gt;Yes*",cmsStatus,"DPO Approval")</f>
        <v>0</v>
      </c>
      <c r="F12" s="161" cm="1">
        <f t="array" ref="F12">COUNTIFS(cmsDom,"CMS",cmsMonth,$B12,cmsBlocked,"&lt;&gt;Yes*",cmsStatus,"QA")</f>
        <v>0</v>
      </c>
      <c r="G12" s="161" cm="1">
        <f t="array" ref="G12">COUNTIFS(cmsDom,"CMS",cmsMonth,$B12,cmsBlocked,"&lt;&gt;Yes*",cmsStatus,"PBI Dev")</f>
        <v>0</v>
      </c>
      <c r="H12" s="161" cm="1">
        <f t="array" ref="H12">COUNTIFS(cmsDom,"CMS",cmsMonth,$B12,cmsBlocked,"&lt;&gt;Yes*",cmsStatus,"DB Dev")</f>
        <v>0</v>
      </c>
      <c r="I12" s="161" cm="1">
        <f t="array" ref="I12">COUNTIFS(cmsDom,"CMS",cmsMonth,$B12,cmsBlocked,"&lt;&gt;Yes*",cmsStatus,"NOT STARTED")</f>
        <v>0</v>
      </c>
      <c r="J12" s="161" cm="1">
        <f t="array" ref="J12">COUNTIFS(cmsDom,"CMS",cmsMonth,$B12,cmsStatus,"RELEASED IN PROD")</f>
        <v>0</v>
      </c>
      <c r="K12" s="161" cm="1">
        <f t="array" ref="K12">COUNTIFS(cmsDom,"CMS",cmsMonth,$B12)</f>
        <v>14</v>
      </c>
      <c r="L12" s="162">
        <f>_xlfn.XLOOKUP($B12&amp;" Reports",DimRebaseline[Delivery Wave],DimRebaseline[Revised Committed Milestone],"")</f>
        <v>46274</v>
      </c>
      <c r="M12" s="246" t="str">
        <f ca="1">IF($K12=0,"",IF($J12=$K12,"Delivered",IF($L12="","No milestone in Dim Table",IF(TODAY()&gt;$L12,TEXT(TODAY()-$L12,"0")&amp;" days past milestone, "&amp;($K12-$J12)&amp;" of "&amp;$K12&amp;" not released",TEXT($L12-TODAY(),"0")&amp;" days to milestone"&amp;IF($D12&gt;0,", "&amp;$D12&amp;" blocked","")))))</f>
        <v>37 days past milestone, 14 of 14 not released</v>
      </c>
      <c r="N12" s="247"/>
      <c r="O12" s="248"/>
      <c r="P12" s="142"/>
      <c r="Q12" s="142"/>
      <c r="R12" s="142"/>
      <c r="S12" s="142"/>
      <c r="T12" s="142"/>
      <c r="U12" s="142"/>
      <c r="V12" s="142"/>
      <c r="W12" s="142"/>
      <c r="X12" s="142"/>
      <c r="Y12" s="142"/>
      <c r="Z12" s="142"/>
    </row>
    <row r="13" spans="1:26" ht="21.75" customHeight="1">
      <c r="A13" s="142"/>
      <c r="B13" s="166" t="s">
        <v>166</v>
      </c>
      <c r="C13" s="167" cm="1">
        <f t="array" ref="C13">COUNTIFS(cmsDom,"CMS",cmsMonth,$B13,cmsStatus,"Ready for Release in Prod")</f>
        <v>11</v>
      </c>
      <c r="D13" s="167" cm="1">
        <f t="array" ref="D13">COUNTIFS(cmsDom,"CMS",cmsMonth,$B13,cmsBlocked,"Yes*",cmsStatus,"&lt;&gt;Ready for Release in Prod",cmsStatus,"&lt;&gt;RELEASED IN PROD")</f>
        <v>0</v>
      </c>
      <c r="E13" s="167" cm="1">
        <f t="array" ref="E13">COUNTIFS(cmsDom,"CMS",cmsMonth,$B13,cmsBlocked,"&lt;&gt;Yes*",cmsStatus,"DPO Approval")</f>
        <v>1</v>
      </c>
      <c r="F13" s="167" cm="1">
        <f t="array" ref="F13">COUNTIFS(cmsDom,"CMS",cmsMonth,$B13,cmsBlocked,"&lt;&gt;Yes*",cmsStatus,"QA")</f>
        <v>0</v>
      </c>
      <c r="G13" s="167" cm="1">
        <f t="array" ref="G13">COUNTIFS(cmsDom,"CMS",cmsMonth,$B13,cmsBlocked,"&lt;&gt;Yes*",cmsStatus,"PBI Dev")</f>
        <v>0</v>
      </c>
      <c r="H13" s="167" cm="1">
        <f t="array" ref="H13">COUNTIFS(cmsDom,"CMS",cmsMonth,$B13,cmsBlocked,"&lt;&gt;Yes*",cmsStatus,"DB Dev")</f>
        <v>0</v>
      </c>
      <c r="I13" s="167" cm="1">
        <f t="array" ref="I13">COUNTIFS(cmsDom,"CMS",cmsMonth,$B13,cmsBlocked,"&lt;&gt;Yes*",cmsStatus,"NOT STARTED")</f>
        <v>0</v>
      </c>
      <c r="J13" s="167" cm="1">
        <f t="array" ref="J13">COUNTIFS(cmsDom,"CMS",cmsMonth,$B13,cmsStatus,"RELEASED IN PROD")</f>
        <v>0</v>
      </c>
      <c r="K13" s="167" cm="1">
        <f t="array" ref="K13">COUNTIFS(cmsDom,"CMS",cmsMonth,$B13)</f>
        <v>12</v>
      </c>
      <c r="L13" s="168">
        <f>_xlfn.XLOOKUP($B13&amp;" Reports",DimRebaseline[Delivery Wave],DimRebaseline[Revised Committed Milestone],"")</f>
        <v>46295</v>
      </c>
      <c r="M13" s="237" t="str">
        <f ca="1">IF($K13=0,"",IF($J13=$K13,"Delivered",IF($L13="","No milestone in Dim Table",IF(TODAY()&gt;$L13,TEXT(TODAY()-$L13,"0")&amp;" days past milestone, "&amp;($K13-$J13)&amp;" of "&amp;$K13&amp;" not released",TEXT($L13-TODAY(),"0")&amp;" days to milestone"&amp;IF($D13&gt;0,", "&amp;$D13&amp;" blocked","")))))</f>
        <v>16 days past milestone, 12 of 12 not released</v>
      </c>
      <c r="N13" s="238"/>
      <c r="O13" s="239"/>
      <c r="P13" s="142"/>
      <c r="Q13" s="142"/>
      <c r="R13" s="142"/>
      <c r="S13" s="142"/>
      <c r="T13" s="142"/>
      <c r="U13" s="142"/>
      <c r="V13" s="142"/>
      <c r="W13" s="142"/>
      <c r="X13" s="142"/>
      <c r="Y13" s="142"/>
      <c r="Z13" s="142"/>
    </row>
    <row r="14" spans="1:26" ht="21.75" customHeight="1">
      <c r="A14" s="142"/>
      <c r="B14" s="166" t="s">
        <v>194</v>
      </c>
      <c r="C14" s="167" cm="1">
        <f t="array" ref="C14">COUNTIFS(cmsDom,"CMS",cmsMonth,$B14,cmsStatus,"Ready for Release in Prod")</f>
        <v>2</v>
      </c>
      <c r="D14" s="167" cm="1">
        <f t="array" ref="D14">COUNTIFS(cmsDom,"CMS",cmsMonth,$B14,cmsBlocked,"Yes*",cmsStatus,"&lt;&gt;Ready for Release in Prod",cmsStatus,"&lt;&gt;RELEASED IN PROD")</f>
        <v>2</v>
      </c>
      <c r="E14" s="167" cm="1">
        <f t="array" ref="E14">COUNTIFS(cmsDom,"CMS",cmsMonth,$B14,cmsBlocked,"&lt;&gt;Yes*",cmsStatus,"DPO Approval")</f>
        <v>6</v>
      </c>
      <c r="F14" s="167" cm="1">
        <f t="array" ref="F14">COUNTIFS(cmsDom,"CMS",cmsMonth,$B14,cmsBlocked,"&lt;&gt;Yes*",cmsStatus,"QA")</f>
        <v>3</v>
      </c>
      <c r="G14" s="167" cm="1">
        <f t="array" ref="G14">COUNTIFS(cmsDom,"CMS",cmsMonth,$B14,cmsBlocked,"&lt;&gt;Yes*",cmsStatus,"PBI Dev")</f>
        <v>2</v>
      </c>
      <c r="H14" s="167" cm="1">
        <f t="array" ref="H14">COUNTIFS(cmsDom,"CMS",cmsMonth,$B14,cmsBlocked,"&lt;&gt;Yes*",cmsStatus,"DB Dev")</f>
        <v>0</v>
      </c>
      <c r="I14" s="167" cm="1">
        <f t="array" ref="I14">COUNTIFS(cmsDom,"CMS",cmsMonth,$B14,cmsBlocked,"&lt;&gt;Yes*",cmsStatus,"NOT STARTED")</f>
        <v>1</v>
      </c>
      <c r="J14" s="167" cm="1">
        <f t="array" ref="J14">COUNTIFS(cmsDom,"CMS",cmsMonth,$B14,cmsStatus,"RELEASED IN PROD")</f>
        <v>2</v>
      </c>
      <c r="K14" s="167" cm="1">
        <f t="array" ref="K14">COUNTIFS(cmsDom,"CMS",cmsMonth,$B14)</f>
        <v>18</v>
      </c>
      <c r="L14" s="168">
        <f>_xlfn.XLOOKUP($B14&amp;" Reports",DimRebaseline[Delivery Wave],DimRebaseline[Revised Committed Milestone],"")</f>
        <v>46325</v>
      </c>
      <c r="M14" s="237" t="str">
        <f ca="1">IF($K14=0,"",IF($J14=$K14,"Delivered",IF($L14="","No milestone in Dim Table",IF(TODAY()&gt;$L14,TEXT(TODAY()-$L14,"0")&amp;" days past milestone, "&amp;($K14-$J14)&amp;" of "&amp;$K14&amp;" not released",TEXT($L14-TODAY(),"0")&amp;" days to milestone"&amp;IF($D14&gt;0,", "&amp;$D14&amp;" blocked","")))))</f>
        <v>14 days to milestone, 2 blocked</v>
      </c>
      <c r="N14" s="238"/>
      <c r="O14" s="239"/>
      <c r="P14" s="142"/>
      <c r="Q14" s="142"/>
      <c r="R14" s="142"/>
      <c r="S14" s="142"/>
      <c r="T14" s="142"/>
      <c r="U14" s="142"/>
      <c r="V14" s="142"/>
      <c r="W14" s="142"/>
      <c r="X14" s="142"/>
      <c r="Y14" s="142"/>
      <c r="Z14" s="142"/>
    </row>
    <row r="15" spans="1:26" ht="21.75" customHeight="1">
      <c r="A15" s="142"/>
      <c r="B15" s="166" t="s">
        <v>244</v>
      </c>
      <c r="C15" s="167" cm="1">
        <f t="array" ref="C15">COUNTIFS(cmsDom,"CMS",cmsMonth,$B15,cmsStatus,"Ready for Release in Prod")</f>
        <v>0</v>
      </c>
      <c r="D15" s="167" cm="1">
        <f t="array" ref="D15">COUNTIFS(cmsDom,"CMS",cmsMonth,$B15,cmsBlocked,"Yes*",cmsStatus,"&lt;&gt;Ready for Release in Prod",cmsStatus,"&lt;&gt;RELEASED IN PROD")</f>
        <v>1</v>
      </c>
      <c r="E15" s="167" cm="1">
        <f t="array" ref="E15">COUNTIFS(cmsDom,"CMS",cmsMonth,$B15,cmsBlocked,"&lt;&gt;Yes*",cmsStatus,"DPO Approval")</f>
        <v>1</v>
      </c>
      <c r="F15" s="167" cm="1">
        <f t="array" ref="F15">COUNTIFS(cmsDom,"CMS",cmsMonth,$B15,cmsBlocked,"&lt;&gt;Yes*",cmsStatus,"QA")</f>
        <v>5</v>
      </c>
      <c r="G15" s="167" cm="1">
        <f t="array" ref="G15">COUNTIFS(cmsDom,"CMS",cmsMonth,$B15,cmsBlocked,"&lt;&gt;Yes*",cmsStatus,"PBI Dev")</f>
        <v>2</v>
      </c>
      <c r="H15" s="167" cm="1">
        <f t="array" ref="H15">COUNTIFS(cmsDom,"CMS",cmsMonth,$B15,cmsBlocked,"&lt;&gt;Yes*",cmsStatus,"DB Dev")</f>
        <v>1</v>
      </c>
      <c r="I15" s="167" cm="1">
        <f t="array" ref="I15">COUNTIFS(cmsDom,"CMS",cmsMonth,$B15,cmsBlocked,"&lt;&gt;Yes*",cmsStatus,"NOT STARTED")</f>
        <v>3</v>
      </c>
      <c r="J15" s="167" cm="1">
        <f t="array" ref="J15">COUNTIFS(cmsDom,"CMS",cmsMonth,$B15,cmsStatus,"RELEASED IN PROD")</f>
        <v>0</v>
      </c>
      <c r="K15" s="167" cm="1">
        <f t="array" ref="K15">COUNTIFS(cmsDom,"CMS",cmsMonth,$B15)</f>
        <v>13</v>
      </c>
      <c r="L15" s="168">
        <f>_xlfn.XLOOKUP($B15&amp;" Reports",DimRebaseline[Delivery Wave],DimRebaseline[Revised Committed Milestone],"")</f>
        <v>46356</v>
      </c>
      <c r="M15" s="237" t="str">
        <f ca="1">IF($K15=0,"",IF($J15=$K15,"Delivered",IF($L15="","No milestone in Dim Table",IF(TODAY()&gt;$L15,TEXT(TODAY()-$L15,"0")&amp;" days past milestone, "&amp;($K15-$J15)&amp;" of "&amp;$K15&amp;" not released",TEXT($L15-TODAY(),"0")&amp;" days to milestone"&amp;IF($D15&gt;0,", "&amp;$D15&amp;" blocked","")))))</f>
        <v>45 days to milestone, 1 blocked</v>
      </c>
      <c r="N15" s="238"/>
      <c r="O15" s="239"/>
      <c r="P15" s="142"/>
      <c r="Q15" s="142"/>
      <c r="R15" s="142"/>
      <c r="S15" s="142"/>
      <c r="T15" s="142"/>
      <c r="U15" s="142"/>
      <c r="V15" s="142"/>
      <c r="W15" s="142"/>
      <c r="X15" s="142"/>
      <c r="Y15" s="142"/>
      <c r="Z15" s="142"/>
    </row>
    <row r="16" spans="1:26" ht="21.75" customHeight="1">
      <c r="A16" s="142"/>
      <c r="B16" s="163" t="s">
        <v>272</v>
      </c>
      <c r="C16" s="164" cm="1">
        <f t="array" ref="C16">COUNTIFS(cmsDom,"CMS",cmsMonth,$B16,cmsStatus,"Ready for Release in Prod")</f>
        <v>0</v>
      </c>
      <c r="D16" s="164" cm="1">
        <f t="array" ref="D16">COUNTIFS(cmsDom,"CMS",cmsMonth,$B16,cmsBlocked,"Yes*",cmsStatus,"&lt;&gt;Ready for Release in Prod",cmsStatus,"&lt;&gt;RELEASED IN PROD")</f>
        <v>0</v>
      </c>
      <c r="E16" s="164" cm="1">
        <f t="array" ref="E16">COUNTIFS(cmsDom,"CMS",cmsMonth,$B16,cmsBlocked,"&lt;&gt;Yes*",cmsStatus,"DPO Approval")</f>
        <v>0</v>
      </c>
      <c r="F16" s="164" cm="1">
        <f t="array" ref="F16">COUNTIFS(cmsDom,"CMS",cmsMonth,$B16,cmsBlocked,"&lt;&gt;Yes*",cmsStatus,"QA")</f>
        <v>0</v>
      </c>
      <c r="G16" s="164" cm="1">
        <f t="array" ref="G16">COUNTIFS(cmsDom,"CMS",cmsMonth,$B16,cmsBlocked,"&lt;&gt;Yes*",cmsStatus,"PBI Dev")</f>
        <v>4</v>
      </c>
      <c r="H16" s="164" cm="1">
        <f t="array" ref="H16">COUNTIFS(cmsDom,"CMS",cmsMonth,$B16,cmsBlocked,"&lt;&gt;Yes*",cmsStatus,"DB Dev")</f>
        <v>3</v>
      </c>
      <c r="I16" s="164" cm="1">
        <f t="array" ref="I16">COUNTIFS(cmsDom,"CMS",cmsMonth,$B16,cmsBlocked,"&lt;&gt;Yes*",cmsStatus,"NOT STARTED")</f>
        <v>8</v>
      </c>
      <c r="J16" s="164" cm="1">
        <f t="array" ref="J16">COUNTIFS(cmsDom,"CMS",cmsMonth,$B16,cmsStatus,"RELEASED IN PROD")</f>
        <v>0</v>
      </c>
      <c r="K16" s="164" cm="1">
        <f t="array" ref="K16">COUNTIFS(cmsDom,"CMS",cmsMonth,$B16)</f>
        <v>15</v>
      </c>
      <c r="L16" s="165">
        <f>_xlfn.XLOOKUP($B16&amp;" Reports",DimRebaseline[Delivery Wave],DimRebaseline[Revised Committed Milestone],"")</f>
        <v>46387</v>
      </c>
      <c r="M16" s="240" t="str">
        <f ca="1">IF($K16=0,"",IF($J16=$K16,"Delivered",IF($L16="","No milestone in Dim Table",IF(TODAY()&gt;$L16,TEXT(TODAY()-$L16,"0")&amp;" days past milestone, "&amp;($K16-$J16)&amp;" of "&amp;$K16&amp;" not released",TEXT($L16-TODAY(),"0")&amp;" days to milestone"&amp;IF($D16&gt;0,", "&amp;$D16&amp;" blocked","")))))</f>
        <v>76 days to milestone</v>
      </c>
      <c r="N16" s="241"/>
      <c r="O16" s="242"/>
      <c r="P16" s="142"/>
      <c r="Q16" s="142"/>
      <c r="R16" s="142"/>
      <c r="S16" s="142"/>
      <c r="T16" s="142"/>
      <c r="U16" s="142"/>
      <c r="V16" s="142"/>
      <c r="W16" s="142"/>
      <c r="X16" s="142"/>
      <c r="Y16" s="142"/>
      <c r="Z16" s="142"/>
    </row>
    <row r="17" spans="1:26" ht="24" customHeight="1">
      <c r="A17" s="142"/>
      <c r="B17" s="157" t="s">
        <v>504</v>
      </c>
      <c r="C17" s="169">
        <f t="shared" ref="C17:K17" si="0">SUM(C12:C16)</f>
        <v>27</v>
      </c>
      <c r="D17" s="169">
        <f t="shared" si="0"/>
        <v>3</v>
      </c>
      <c r="E17" s="169">
        <f t="shared" si="0"/>
        <v>8</v>
      </c>
      <c r="F17" s="169">
        <f t="shared" si="0"/>
        <v>8</v>
      </c>
      <c r="G17" s="169">
        <f t="shared" si="0"/>
        <v>8</v>
      </c>
      <c r="H17" s="169">
        <f t="shared" si="0"/>
        <v>4</v>
      </c>
      <c r="I17" s="169">
        <f t="shared" si="0"/>
        <v>12</v>
      </c>
      <c r="J17" s="169">
        <f t="shared" si="0"/>
        <v>2</v>
      </c>
      <c r="K17" s="169">
        <f t="shared" si="0"/>
        <v>72</v>
      </c>
      <c r="L17" s="158"/>
      <c r="M17" s="224" t="str">
        <f>IF(SUM(C17:J17)=K17,"","Counts do not add up to the report total")</f>
        <v/>
      </c>
      <c r="N17" s="225"/>
      <c r="O17" s="226"/>
      <c r="P17" s="142"/>
      <c r="Q17" s="142"/>
      <c r="R17" s="142"/>
      <c r="S17" s="142"/>
      <c r="T17" s="142"/>
      <c r="U17" s="142"/>
      <c r="V17" s="142"/>
      <c r="W17" s="142"/>
      <c r="X17" s="142"/>
      <c r="Y17" s="142"/>
      <c r="Z17" s="142"/>
    </row>
    <row r="18" spans="1:26" ht="12" customHeight="1">
      <c r="A18" s="142"/>
      <c r="B18" s="142"/>
      <c r="C18" s="142"/>
      <c r="D18" s="142"/>
      <c r="E18" s="142"/>
      <c r="F18" s="142"/>
      <c r="G18" s="142"/>
      <c r="H18" s="142"/>
      <c r="I18" s="142"/>
      <c r="J18" s="142"/>
      <c r="K18" s="142"/>
      <c r="L18" s="142"/>
      <c r="M18" s="142"/>
      <c r="N18" s="142"/>
      <c r="O18" s="142"/>
      <c r="P18" s="142"/>
      <c r="Q18" s="142"/>
      <c r="R18" s="142"/>
      <c r="S18" s="142"/>
      <c r="T18" s="142"/>
      <c r="U18" s="142"/>
      <c r="V18" s="142"/>
      <c r="W18" s="142"/>
      <c r="X18" s="142"/>
      <c r="Y18" s="142"/>
      <c r="Z18" s="142"/>
    </row>
    <row r="19" spans="1:26" ht="21.75" customHeight="1">
      <c r="A19" s="142"/>
      <c r="B19" s="154" t="s">
        <v>505</v>
      </c>
      <c r="C19" s="227" t="s">
        <v>506</v>
      </c>
      <c r="D19" s="227"/>
      <c r="E19" s="227"/>
      <c r="F19" s="227"/>
      <c r="G19" s="227"/>
      <c r="H19" s="227"/>
      <c r="I19" s="227"/>
      <c r="J19" s="227"/>
      <c r="K19" s="227"/>
      <c r="L19" s="227"/>
      <c r="M19" s="227"/>
      <c r="N19" s="227"/>
      <c r="O19" s="227"/>
      <c r="P19" s="142"/>
      <c r="Q19" s="142"/>
      <c r="R19" s="142"/>
      <c r="S19" s="142"/>
      <c r="T19" s="142"/>
      <c r="U19" s="142"/>
      <c r="V19" s="142"/>
      <c r="W19" s="142"/>
      <c r="X19" s="142"/>
      <c r="Y19" s="142"/>
      <c r="Z19" s="142"/>
    </row>
    <row r="20" spans="1:26" ht="15" customHeight="1">
      <c r="A20" s="142"/>
      <c r="B20" s="149"/>
      <c r="C20" s="147"/>
      <c r="D20" s="147"/>
      <c r="E20" s="147"/>
      <c r="F20" s="147"/>
      <c r="G20" s="147"/>
      <c r="H20" s="147"/>
      <c r="I20" s="147"/>
      <c r="J20" s="147"/>
      <c r="K20" s="147"/>
      <c r="L20" s="147"/>
      <c r="M20" s="147"/>
      <c r="N20" s="147"/>
      <c r="O20" s="151"/>
      <c r="P20" s="142"/>
      <c r="Q20" s="142"/>
      <c r="R20" s="142"/>
      <c r="S20" s="142"/>
      <c r="T20" s="142"/>
      <c r="U20" s="142"/>
      <c r="V20" s="142"/>
      <c r="W20" s="142"/>
      <c r="X20" s="142"/>
      <c r="Y20" s="142"/>
      <c r="Z20" s="142"/>
    </row>
    <row r="21" spans="1:26" ht="15" customHeight="1">
      <c r="A21" s="142"/>
      <c r="B21" s="153"/>
      <c r="C21" s="146"/>
      <c r="D21" s="146"/>
      <c r="E21" s="146"/>
      <c r="F21" s="146"/>
      <c r="G21" s="146"/>
      <c r="H21" s="146"/>
      <c r="I21" s="146"/>
      <c r="J21" s="146"/>
      <c r="K21" s="146"/>
      <c r="L21" s="146"/>
      <c r="M21" s="146"/>
      <c r="N21" s="146"/>
      <c r="O21" s="155"/>
      <c r="P21" s="142"/>
      <c r="Q21" s="142"/>
      <c r="R21" s="142"/>
      <c r="S21" s="142"/>
      <c r="T21" s="142"/>
      <c r="U21" s="142"/>
      <c r="V21" s="142"/>
      <c r="W21" s="142"/>
      <c r="X21" s="142"/>
      <c r="Y21" s="142"/>
      <c r="Z21" s="142"/>
    </row>
    <row r="22" spans="1:26" ht="15" customHeight="1">
      <c r="A22" s="142"/>
      <c r="B22" s="153"/>
      <c r="C22" s="146"/>
      <c r="D22" s="146"/>
      <c r="E22" s="146"/>
      <c r="F22" s="146"/>
      <c r="G22" s="146"/>
      <c r="H22" s="146"/>
      <c r="I22" s="146"/>
      <c r="J22" s="146"/>
      <c r="K22" s="146"/>
      <c r="L22" s="146"/>
      <c r="M22" s="146"/>
      <c r="N22" s="146"/>
      <c r="O22" s="155"/>
      <c r="P22" s="142"/>
      <c r="Q22" s="142"/>
      <c r="R22" s="142"/>
      <c r="S22" s="142"/>
      <c r="T22" s="142"/>
      <c r="U22" s="142"/>
      <c r="V22" s="142"/>
      <c r="W22" s="142"/>
      <c r="X22" s="142"/>
      <c r="Y22" s="142"/>
      <c r="Z22" s="142"/>
    </row>
    <row r="23" spans="1:26" ht="15" customHeight="1">
      <c r="A23" s="142"/>
      <c r="B23" s="153"/>
      <c r="C23" s="146"/>
      <c r="D23" s="146"/>
      <c r="E23" s="146"/>
      <c r="F23" s="146"/>
      <c r="G23" s="146"/>
      <c r="H23" s="146"/>
      <c r="I23" s="146"/>
      <c r="J23" s="146"/>
      <c r="K23" s="146"/>
      <c r="L23" s="146"/>
      <c r="M23" s="146"/>
      <c r="N23" s="146"/>
      <c r="O23" s="155"/>
      <c r="P23" s="142"/>
      <c r="Q23" s="142"/>
      <c r="R23" s="142"/>
      <c r="S23" s="142"/>
      <c r="T23" s="142"/>
      <c r="U23" s="142"/>
      <c r="V23" s="142"/>
      <c r="W23" s="142"/>
      <c r="X23" s="142"/>
      <c r="Y23" s="142"/>
      <c r="Z23" s="142"/>
    </row>
    <row r="24" spans="1:26" ht="15" customHeight="1">
      <c r="A24" s="142"/>
      <c r="B24" s="153"/>
      <c r="C24" s="146"/>
      <c r="D24" s="146"/>
      <c r="E24" s="146"/>
      <c r="F24" s="146"/>
      <c r="G24" s="146"/>
      <c r="H24" s="146"/>
      <c r="I24" s="146"/>
      <c r="J24" s="146"/>
      <c r="K24" s="146"/>
      <c r="L24" s="146"/>
      <c r="M24" s="146"/>
      <c r="N24" s="146"/>
      <c r="O24" s="155"/>
      <c r="P24" s="142"/>
      <c r="Q24" s="142"/>
      <c r="R24" s="142"/>
      <c r="S24" s="142"/>
      <c r="T24" s="142"/>
      <c r="U24" s="142"/>
      <c r="V24" s="142"/>
      <c r="W24" s="142"/>
      <c r="X24" s="142"/>
      <c r="Y24" s="142"/>
      <c r="Z24" s="142"/>
    </row>
    <row r="25" spans="1:26" ht="15" customHeight="1">
      <c r="A25" s="142"/>
      <c r="B25" s="153"/>
      <c r="C25" s="146"/>
      <c r="D25" s="146"/>
      <c r="E25" s="146"/>
      <c r="F25" s="146"/>
      <c r="G25" s="146"/>
      <c r="H25" s="146"/>
      <c r="I25" s="146"/>
      <c r="J25" s="146"/>
      <c r="K25" s="146"/>
      <c r="L25" s="146"/>
      <c r="M25" s="146"/>
      <c r="N25" s="146"/>
      <c r="O25" s="155"/>
      <c r="P25" s="142"/>
      <c r="Q25" s="142"/>
      <c r="R25" s="142"/>
      <c r="S25" s="142"/>
      <c r="T25" s="142"/>
      <c r="U25" s="142"/>
      <c r="V25" s="142"/>
      <c r="W25" s="142"/>
      <c r="X25" s="142"/>
      <c r="Y25" s="142"/>
      <c r="Z25" s="142"/>
    </row>
    <row r="26" spans="1:26" ht="15" customHeight="1">
      <c r="A26" s="142"/>
      <c r="B26" s="153"/>
      <c r="C26" s="146"/>
      <c r="D26" s="146"/>
      <c r="E26" s="146"/>
      <c r="F26" s="146"/>
      <c r="G26" s="146"/>
      <c r="H26" s="146"/>
      <c r="I26" s="146"/>
      <c r="J26" s="146"/>
      <c r="K26" s="146"/>
      <c r="L26" s="146"/>
      <c r="M26" s="146"/>
      <c r="N26" s="146"/>
      <c r="O26" s="155"/>
      <c r="P26" s="142"/>
      <c r="Q26" s="142"/>
      <c r="R26" s="142"/>
      <c r="S26" s="142"/>
      <c r="T26" s="142"/>
      <c r="U26" s="142"/>
      <c r="V26" s="142"/>
      <c r="W26" s="142"/>
      <c r="X26" s="142"/>
      <c r="Y26" s="142"/>
      <c r="Z26" s="142"/>
    </row>
    <row r="27" spans="1:26" ht="15" customHeight="1">
      <c r="A27" s="142"/>
      <c r="B27" s="153"/>
      <c r="C27" s="146"/>
      <c r="D27" s="146"/>
      <c r="E27" s="146"/>
      <c r="F27" s="146"/>
      <c r="G27" s="146"/>
      <c r="H27" s="146"/>
      <c r="I27" s="146"/>
      <c r="J27" s="146"/>
      <c r="K27" s="146"/>
      <c r="L27" s="146"/>
      <c r="M27" s="146"/>
      <c r="N27" s="146"/>
      <c r="O27" s="155"/>
      <c r="P27" s="142"/>
      <c r="Q27" s="142"/>
      <c r="R27" s="142"/>
      <c r="S27" s="142"/>
      <c r="T27" s="142"/>
      <c r="U27" s="142"/>
      <c r="V27" s="142"/>
      <c r="W27" s="142"/>
      <c r="X27" s="142"/>
      <c r="Y27" s="142"/>
      <c r="Z27" s="142"/>
    </row>
    <row r="28" spans="1:26" ht="15" customHeight="1">
      <c r="A28" s="142"/>
      <c r="B28" s="153"/>
      <c r="C28" s="146"/>
      <c r="D28" s="146"/>
      <c r="E28" s="146"/>
      <c r="F28" s="146"/>
      <c r="G28" s="146"/>
      <c r="H28" s="146"/>
      <c r="I28" s="146"/>
      <c r="J28" s="146"/>
      <c r="K28" s="146"/>
      <c r="L28" s="146"/>
      <c r="M28" s="146"/>
      <c r="N28" s="146"/>
      <c r="O28" s="155"/>
      <c r="P28" s="142"/>
      <c r="Q28" s="142"/>
      <c r="R28" s="142"/>
      <c r="S28" s="142"/>
      <c r="T28" s="142"/>
      <c r="U28" s="142"/>
      <c r="V28" s="142"/>
      <c r="W28" s="142"/>
      <c r="X28" s="142"/>
      <c r="Y28" s="142"/>
      <c r="Z28" s="142"/>
    </row>
    <row r="29" spans="1:26" ht="15" customHeight="1">
      <c r="A29" s="142"/>
      <c r="B29" s="153"/>
      <c r="C29" s="146"/>
      <c r="D29" s="146"/>
      <c r="E29" s="146"/>
      <c r="F29" s="146"/>
      <c r="G29" s="146"/>
      <c r="H29" s="146"/>
      <c r="I29" s="146"/>
      <c r="J29" s="146"/>
      <c r="K29" s="146"/>
      <c r="L29" s="146"/>
      <c r="M29" s="146"/>
      <c r="N29" s="146"/>
      <c r="O29" s="155"/>
      <c r="P29" s="142"/>
      <c r="Q29" s="142"/>
      <c r="R29" s="142"/>
      <c r="S29" s="142"/>
      <c r="T29" s="142"/>
      <c r="U29" s="142"/>
      <c r="V29" s="142"/>
      <c r="W29" s="142"/>
      <c r="X29" s="142"/>
      <c r="Y29" s="142"/>
      <c r="Z29" s="142"/>
    </row>
    <row r="30" spans="1:26" ht="15" customHeight="1">
      <c r="A30" s="142"/>
      <c r="B30" s="153"/>
      <c r="C30" s="146"/>
      <c r="D30" s="146"/>
      <c r="E30" s="146"/>
      <c r="F30" s="146"/>
      <c r="G30" s="146"/>
      <c r="H30" s="146"/>
      <c r="I30" s="146"/>
      <c r="J30" s="146"/>
      <c r="K30" s="146"/>
      <c r="L30" s="146"/>
      <c r="M30" s="146"/>
      <c r="N30" s="146"/>
      <c r="O30" s="155"/>
      <c r="P30" s="142"/>
      <c r="Q30" s="142"/>
      <c r="R30" s="142"/>
      <c r="S30" s="142"/>
      <c r="T30" s="142"/>
      <c r="U30" s="142"/>
      <c r="V30" s="142"/>
      <c r="W30" s="142"/>
      <c r="X30" s="142"/>
      <c r="Y30" s="142"/>
      <c r="Z30" s="142"/>
    </row>
    <row r="31" spans="1:26" ht="15" customHeight="1">
      <c r="A31" s="142"/>
      <c r="B31" s="153"/>
      <c r="C31" s="146"/>
      <c r="D31" s="146"/>
      <c r="E31" s="146"/>
      <c r="F31" s="146"/>
      <c r="G31" s="146"/>
      <c r="H31" s="146"/>
      <c r="I31" s="146"/>
      <c r="J31" s="146"/>
      <c r="K31" s="146"/>
      <c r="L31" s="146"/>
      <c r="M31" s="146"/>
      <c r="N31" s="146"/>
      <c r="O31" s="155"/>
      <c r="P31" s="142"/>
      <c r="Q31" s="142"/>
      <c r="R31" s="142"/>
      <c r="S31" s="142"/>
      <c r="T31" s="142"/>
      <c r="U31" s="142"/>
      <c r="V31" s="142"/>
      <c r="W31" s="142"/>
      <c r="X31" s="142"/>
      <c r="Y31" s="142"/>
      <c r="Z31" s="142"/>
    </row>
    <row r="32" spans="1:26" ht="15" customHeight="1">
      <c r="A32" s="142"/>
      <c r="B32" s="153"/>
      <c r="C32" s="146"/>
      <c r="D32" s="146"/>
      <c r="E32" s="146"/>
      <c r="F32" s="146"/>
      <c r="G32" s="146"/>
      <c r="H32" s="146"/>
      <c r="I32" s="146"/>
      <c r="J32" s="146"/>
      <c r="K32" s="146"/>
      <c r="L32" s="146"/>
      <c r="M32" s="146"/>
      <c r="N32" s="146"/>
      <c r="O32" s="155"/>
      <c r="P32" s="142"/>
      <c r="Q32" s="142"/>
      <c r="R32" s="142"/>
      <c r="S32" s="142"/>
      <c r="T32" s="142"/>
      <c r="U32" s="142"/>
      <c r="V32" s="142"/>
      <c r="W32" s="142"/>
      <c r="X32" s="142"/>
      <c r="Y32" s="142"/>
      <c r="Z32" s="142"/>
    </row>
    <row r="33" spans="1:26" ht="15" customHeight="1">
      <c r="A33" s="142"/>
      <c r="B33" s="150"/>
      <c r="C33" s="148"/>
      <c r="D33" s="148"/>
      <c r="E33" s="148"/>
      <c r="F33" s="148"/>
      <c r="G33" s="148"/>
      <c r="H33" s="148"/>
      <c r="I33" s="148"/>
      <c r="J33" s="148"/>
      <c r="K33" s="148"/>
      <c r="L33" s="148"/>
      <c r="M33" s="148"/>
      <c r="N33" s="148"/>
      <c r="O33" s="152"/>
      <c r="P33" s="142"/>
      <c r="Q33" s="142"/>
      <c r="R33" s="142"/>
      <c r="S33" s="142"/>
      <c r="T33" s="142"/>
      <c r="U33" s="142"/>
      <c r="V33" s="142"/>
      <c r="W33" s="142"/>
      <c r="X33" s="142"/>
      <c r="Y33" s="142"/>
      <c r="Z33" s="142"/>
    </row>
    <row r="34" spans="1:26" ht="12" customHeight="1">
      <c r="A34" s="142"/>
      <c r="B34" s="142"/>
      <c r="C34" s="142"/>
      <c r="D34" s="142"/>
      <c r="E34" s="142"/>
      <c r="F34" s="142"/>
      <c r="G34" s="142"/>
      <c r="H34" s="142"/>
      <c r="I34" s="142"/>
      <c r="J34" s="142"/>
      <c r="K34" s="142"/>
      <c r="L34" s="142"/>
      <c r="M34" s="142"/>
      <c r="N34" s="142"/>
      <c r="O34" s="142"/>
      <c r="P34" s="142"/>
      <c r="Q34" s="142"/>
      <c r="R34" s="142"/>
      <c r="S34" s="142"/>
      <c r="T34" s="142"/>
      <c r="U34" s="142"/>
      <c r="V34" s="142"/>
      <c r="W34" s="142"/>
      <c r="X34" s="142"/>
      <c r="Y34" s="142"/>
      <c r="Z34" s="142"/>
    </row>
    <row r="35" spans="1:26" ht="21.75" customHeight="1">
      <c r="A35" s="142"/>
      <c r="B35" s="154" t="str" cm="1">
        <f t="array" ref="B35">"Status column behind the dates ("&amp;SUMPRODUCT((cmsDom="CMS")*(cmsCheck&lt;&gt;""))&amp;")"</f>
        <v>Status column behind the dates (41)</v>
      </c>
      <c r="C35" s="227" t="s">
        <v>507</v>
      </c>
      <c r="D35" s="227"/>
      <c r="E35" s="227"/>
      <c r="F35" s="227"/>
      <c r="G35" s="227"/>
      <c r="H35" s="227"/>
      <c r="I35" s="227"/>
      <c r="J35" s="227"/>
      <c r="K35" s="227"/>
      <c r="L35" s="227"/>
      <c r="M35" s="227"/>
      <c r="N35" s="227"/>
      <c r="O35" s="227"/>
      <c r="P35" s="142"/>
      <c r="Q35" s="142"/>
      <c r="R35" s="142"/>
      <c r="S35" s="142"/>
      <c r="T35" s="142"/>
      <c r="U35" s="142"/>
      <c r="V35" s="142"/>
      <c r="W35" s="142"/>
      <c r="X35" s="142"/>
      <c r="Y35" s="142"/>
      <c r="Z35" s="142"/>
    </row>
    <row r="36" spans="1:26" ht="21.75" customHeight="1">
      <c r="A36" s="142"/>
      <c r="B36" s="172" t="s">
        <v>508</v>
      </c>
      <c r="C36" s="170" t="s">
        <v>497</v>
      </c>
      <c r="D36" s="170" t="s">
        <v>509</v>
      </c>
      <c r="E36" s="170" t="s">
        <v>439</v>
      </c>
      <c r="F36" s="170" t="s">
        <v>510</v>
      </c>
      <c r="G36" s="170"/>
      <c r="H36" s="170"/>
      <c r="I36" s="170"/>
      <c r="J36" s="170"/>
      <c r="K36" s="170"/>
      <c r="L36" s="170"/>
      <c r="M36" s="170"/>
      <c r="N36" s="170"/>
      <c r="O36" s="171"/>
      <c r="P36" s="142"/>
      <c r="Q36" s="142"/>
      <c r="R36" s="142"/>
      <c r="S36" s="142"/>
      <c r="T36" s="142"/>
      <c r="U36" s="142"/>
      <c r="V36" s="142"/>
      <c r="W36" s="142"/>
      <c r="X36" s="142"/>
      <c r="Y36" s="142"/>
      <c r="Z36" s="142"/>
    </row>
    <row r="37" spans="1:26" ht="18" customHeight="1">
      <c r="A37" s="142"/>
      <c r="B37" s="177" t="str" cm="1">
        <f t="array" ref="B37:F46">_xlfn.LET(_xlpm.keep,(cmsDom="CMS")*(cmsCheck&lt;&gt;""),_xlpm.dbp,IF(cmsDBDev="","",cmsDBDev),_xlpm.pbp,IF(cmsPBIDev="","",cmsPBIDev),_xlpm.qap,IF(cmsQA="","",cmsQA),_xlpm.dpp,IF(cmsDPO="","",cmsDPO),_xlpm.who,IF(LEFT(cmsCheck,4)="Move",IF(ISNUMBER(SEARCH("PBI Dev",cmsCheck)),_xlpm.dbp,IF(ISNUMBER(SEARCH("QA",cmsCheck)),_xlpm.pbp,IF(ISNUMBER(SEARCH("DPO",cmsCheck)),_xlpm.qap,IF(ISNUMBER(SEARCH("Ready",cmsCheck)),_xlpm.dpp,"")))),IF(cmsStatus="DB Dev",_xlpm.dbp,IF(cmsStatus="PBI Dev",_xlpm.pbp,IF(cmsStatus="QA",_xlpm.qap,IF(cmsStatus="DPO Approval",_xlpm.dpp,""))))),_xlpm.out,_xlfn._xlws.FILTER(CHOOSE({1,2,3,4,5},cmsName,cmsMonth,cmsStatus,cmsCheck,_xlpm.who),_xlpm.keep),IFERROR(INDEX(_xlpm.out,_xlfn.SEQUENCE(MIN(10,ROWS(_xlpm.out))),_xlfn.SEQUENCE(1,5)),"Nothing to update"))</f>
        <v>RPT_02_CO Flue Warning Tag Control</v>
      </c>
      <c r="C37" s="173" t="str">
        <v>July</v>
      </c>
      <c r="D37" s="173" t="str">
        <v>Ready for Release in Prod</v>
      </c>
      <c r="E37" s="173" t="str">
        <v>Blocked - log it on Rework Log</v>
      </c>
      <c r="F37" s="173" t="str">
        <v/>
      </c>
      <c r="G37" s="173"/>
      <c r="H37" s="173"/>
      <c r="I37" s="173"/>
      <c r="J37" s="173"/>
      <c r="K37" s="173"/>
      <c r="L37" s="173"/>
      <c r="M37" s="173"/>
      <c r="N37" s="173"/>
      <c r="O37" s="174"/>
      <c r="P37" s="142"/>
      <c r="Q37" s="142"/>
      <c r="R37" s="142"/>
      <c r="S37" s="142"/>
      <c r="T37" s="142"/>
      <c r="U37" s="142"/>
      <c r="V37" s="142"/>
      <c r="W37" s="142"/>
      <c r="X37" s="142"/>
      <c r="Y37" s="142"/>
      <c r="Z37" s="142"/>
    </row>
    <row r="38" spans="1:26" ht="18" customHeight="1">
      <c r="A38" s="142"/>
      <c r="B38" s="177" t="str">
        <v>RPT_02_Warning Tag HEFPA</v>
      </c>
      <c r="C38" s="173" t="str">
        <v>July</v>
      </c>
      <c r="D38" s="173" t="str">
        <v>Ready for Release in Prod</v>
      </c>
      <c r="E38" s="173" t="str">
        <v>Blocked - log it on Rework Log</v>
      </c>
      <c r="F38" s="173" t="str">
        <v/>
      </c>
      <c r="G38" s="173"/>
      <c r="H38" s="173"/>
      <c r="I38" s="173"/>
      <c r="J38" s="173"/>
      <c r="K38" s="173"/>
      <c r="L38" s="173"/>
      <c r="M38" s="173"/>
      <c r="N38" s="173"/>
      <c r="O38" s="174"/>
      <c r="P38" s="142"/>
      <c r="Q38" s="142"/>
      <c r="R38" s="142"/>
      <c r="S38" s="142"/>
      <c r="T38" s="142"/>
      <c r="U38" s="142"/>
      <c r="V38" s="142"/>
      <c r="W38" s="142"/>
      <c r="X38" s="142"/>
      <c r="Y38" s="142"/>
      <c r="Z38" s="142"/>
    </row>
    <row r="39" spans="1:26" ht="18" customHeight="1">
      <c r="A39" s="142"/>
      <c r="B39" s="177" t="str">
        <v>RPT_02_Warning tag Printout</v>
      </c>
      <c r="C39" s="173" t="str">
        <v>July</v>
      </c>
      <c r="D39" s="173" t="str">
        <v>Ready for Release in Prod</v>
      </c>
      <c r="E39" s="173" t="str">
        <v>Blocked - log it on Rework Log</v>
      </c>
      <c r="F39" s="173" t="str">
        <v/>
      </c>
      <c r="G39" s="173"/>
      <c r="H39" s="173"/>
      <c r="I39" s="173"/>
      <c r="J39" s="173"/>
      <c r="K39" s="173"/>
      <c r="L39" s="173"/>
      <c r="M39" s="173"/>
      <c r="N39" s="173"/>
      <c r="O39" s="174"/>
      <c r="P39" s="142"/>
      <c r="Q39" s="142"/>
      <c r="R39" s="142"/>
      <c r="S39" s="142"/>
      <c r="T39" s="142"/>
      <c r="U39" s="142"/>
      <c r="V39" s="142"/>
      <c r="W39" s="142"/>
      <c r="X39" s="142"/>
      <c r="Y39" s="142"/>
      <c r="Z39" s="142"/>
    </row>
    <row r="40" spans="1:26" ht="18" customHeight="1">
      <c r="A40" s="142"/>
      <c r="B40" s="177" t="str">
        <v>RPT_02_Corrosion</v>
      </c>
      <c r="C40" s="173" t="str">
        <v>July</v>
      </c>
      <c r="D40" s="173" t="str">
        <v>Ready for Release in Prod</v>
      </c>
      <c r="E40" s="173" t="str">
        <v>Blocked - log it on Rework Log</v>
      </c>
      <c r="F40" s="173" t="str">
        <v/>
      </c>
      <c r="G40" s="173"/>
      <c r="H40" s="173"/>
      <c r="I40" s="173"/>
      <c r="J40" s="173"/>
      <c r="K40" s="173"/>
      <c r="L40" s="173"/>
      <c r="M40" s="173"/>
      <c r="N40" s="173"/>
      <c r="O40" s="174"/>
      <c r="P40" s="142"/>
      <c r="Q40" s="142"/>
      <c r="R40" s="142"/>
      <c r="S40" s="142"/>
      <c r="T40" s="142"/>
      <c r="U40" s="142"/>
      <c r="V40" s="142"/>
      <c r="W40" s="142"/>
      <c r="X40" s="142"/>
      <c r="Y40" s="142"/>
      <c r="Z40" s="142"/>
    </row>
    <row r="41" spans="1:26" ht="18" customHeight="1">
      <c r="A41" s="142"/>
      <c r="B41" s="177" t="str">
        <v>RPT_02_House Pipe Test Comment Control</v>
      </c>
      <c r="C41" s="173" t="str">
        <v>July</v>
      </c>
      <c r="D41" s="173" t="str">
        <v>Ready for Release in Prod</v>
      </c>
      <c r="E41" s="173" t="str">
        <v>Blocked - log it on Rework Log</v>
      </c>
      <c r="F41" s="173" t="str">
        <v/>
      </c>
      <c r="G41" s="173"/>
      <c r="H41" s="173"/>
      <c r="I41" s="173"/>
      <c r="J41" s="173"/>
      <c r="K41" s="173"/>
      <c r="L41" s="173"/>
      <c r="M41" s="173"/>
      <c r="N41" s="173"/>
      <c r="O41" s="174"/>
      <c r="P41" s="142"/>
      <c r="Q41" s="142"/>
      <c r="R41" s="142"/>
      <c r="S41" s="142"/>
      <c r="T41" s="142"/>
      <c r="U41" s="142"/>
      <c r="V41" s="142"/>
      <c r="W41" s="142"/>
      <c r="X41" s="142"/>
      <c r="Y41" s="142"/>
      <c r="Z41" s="142"/>
    </row>
    <row r="42" spans="1:26" ht="18" customHeight="1">
      <c r="A42" s="142"/>
      <c r="B42" s="177" t="str">
        <v>RPT_02_Required Regulator Inspection Performed Control</v>
      </c>
      <c r="C42" s="173" t="str">
        <v>July</v>
      </c>
      <c r="D42" s="173" t="str">
        <v>Ready for Release in Prod</v>
      </c>
      <c r="E42" s="173" t="str">
        <v>Blocked - log it on Rework Log</v>
      </c>
      <c r="F42" s="173" t="str">
        <v/>
      </c>
      <c r="G42" s="173"/>
      <c r="H42" s="173"/>
      <c r="I42" s="173"/>
      <c r="J42" s="173"/>
      <c r="K42" s="173"/>
      <c r="L42" s="173"/>
      <c r="M42" s="173"/>
      <c r="N42" s="173"/>
      <c r="O42" s="174"/>
      <c r="P42" s="142"/>
      <c r="Q42" s="142"/>
      <c r="R42" s="142"/>
      <c r="S42" s="142"/>
      <c r="T42" s="142"/>
      <c r="U42" s="142"/>
      <c r="V42" s="142"/>
      <c r="W42" s="142"/>
      <c r="X42" s="142"/>
      <c r="Y42" s="142"/>
      <c r="Z42" s="142"/>
    </row>
    <row r="43" spans="1:26" ht="18" customHeight="1">
      <c r="A43" s="142"/>
      <c r="B43" s="177" t="str">
        <v>RPT_02_Service Regulator Inspections</v>
      </c>
      <c r="C43" s="173" t="str">
        <v>July</v>
      </c>
      <c r="D43" s="173" t="str">
        <v>Ready for Release in Prod</v>
      </c>
      <c r="E43" s="173" t="str">
        <v>Blocked - log it on Rework Log</v>
      </c>
      <c r="F43" s="173" t="str">
        <v/>
      </c>
      <c r="G43" s="173"/>
      <c r="H43" s="173"/>
      <c r="I43" s="173"/>
      <c r="J43" s="173"/>
      <c r="K43" s="173"/>
      <c r="L43" s="173"/>
      <c r="M43" s="173"/>
      <c r="N43" s="173"/>
      <c r="O43" s="174"/>
      <c r="P43" s="142"/>
      <c r="Q43" s="142"/>
      <c r="R43" s="142"/>
      <c r="S43" s="142"/>
      <c r="T43" s="142"/>
      <c r="U43" s="142"/>
      <c r="V43" s="142"/>
      <c r="W43" s="142"/>
      <c r="X43" s="142"/>
      <c r="Y43" s="142"/>
      <c r="Z43" s="142"/>
    </row>
    <row r="44" spans="1:26" ht="18" customHeight="1">
      <c r="A44" s="142"/>
      <c r="B44" s="177" t="str">
        <v>RPT_02_Service Regulator Inspection Printout</v>
      </c>
      <c r="C44" s="173" t="str">
        <v>July</v>
      </c>
      <c r="D44" s="173" t="str">
        <v>Ready for Release in Prod</v>
      </c>
      <c r="E44" s="173" t="str">
        <v>Blocked - log it on Rework Log</v>
      </c>
      <c r="F44" s="173" t="str">
        <v/>
      </c>
      <c r="G44" s="173"/>
      <c r="H44" s="173"/>
      <c r="I44" s="173"/>
      <c r="J44" s="173"/>
      <c r="K44" s="173"/>
      <c r="L44" s="173"/>
      <c r="M44" s="173"/>
      <c r="N44" s="173"/>
      <c r="O44" s="174"/>
      <c r="P44" s="142"/>
      <c r="Q44" s="142"/>
      <c r="R44" s="142"/>
      <c r="S44" s="142"/>
      <c r="T44" s="142"/>
      <c r="U44" s="142"/>
      <c r="V44" s="142"/>
      <c r="W44" s="142"/>
      <c r="X44" s="142"/>
      <c r="Y44" s="142"/>
      <c r="Z44" s="142"/>
    </row>
    <row r="45" spans="1:26" ht="18" customHeight="1">
      <c r="A45" s="142"/>
      <c r="B45" s="177" t="str">
        <v>RPT_02_20 Year Regulator Inspection</v>
      </c>
      <c r="C45" s="173" t="str">
        <v>July</v>
      </c>
      <c r="D45" s="173" t="str">
        <v>Ready for Release in Prod</v>
      </c>
      <c r="E45" s="173" t="str">
        <v>Blocked - log it on Rework Log</v>
      </c>
      <c r="F45" s="173" t="str">
        <v/>
      </c>
      <c r="G45" s="173"/>
      <c r="H45" s="173"/>
      <c r="I45" s="173"/>
      <c r="J45" s="173"/>
      <c r="K45" s="173"/>
      <c r="L45" s="173"/>
      <c r="M45" s="173"/>
      <c r="N45" s="173"/>
      <c r="O45" s="174"/>
      <c r="P45" s="142"/>
      <c r="Q45" s="142"/>
      <c r="R45" s="142"/>
      <c r="S45" s="142"/>
      <c r="T45" s="142"/>
      <c r="U45" s="142"/>
      <c r="V45" s="142"/>
      <c r="W45" s="142"/>
      <c r="X45" s="142"/>
      <c r="Y45" s="142"/>
      <c r="Z45" s="142"/>
    </row>
    <row r="46" spans="1:26" ht="18" customHeight="1">
      <c r="A46" s="142"/>
      <c r="B46" s="178" t="str">
        <v>RPT_02_Fixed Factor</v>
      </c>
      <c r="C46" s="175" t="str">
        <v>July</v>
      </c>
      <c r="D46" s="175" t="str">
        <v>Ready for Release in Prod</v>
      </c>
      <c r="E46" s="175" t="str">
        <v>Blocked - log it on Rework Log</v>
      </c>
      <c r="F46" s="175" t="str">
        <v/>
      </c>
      <c r="G46" s="175"/>
      <c r="H46" s="175"/>
      <c r="I46" s="175"/>
      <c r="J46" s="175"/>
      <c r="K46" s="175"/>
      <c r="L46" s="175"/>
      <c r="M46" s="175"/>
      <c r="N46" s="175"/>
      <c r="O46" s="176"/>
      <c r="P46" s="142"/>
      <c r="Q46" s="142"/>
      <c r="R46" s="142"/>
      <c r="S46" s="142"/>
      <c r="T46" s="142"/>
      <c r="U46" s="142"/>
      <c r="V46" s="142"/>
      <c r="W46" s="142"/>
      <c r="X46" s="142"/>
      <c r="Y46" s="142"/>
      <c r="Z46" s="142"/>
    </row>
    <row r="47" spans="1:26" ht="12" customHeight="1">
      <c r="A47" s="142"/>
      <c r="B47" s="142"/>
      <c r="C47" s="142"/>
      <c r="D47" s="142"/>
      <c r="E47" s="142"/>
      <c r="F47" s="142"/>
      <c r="G47" s="142"/>
      <c r="H47" s="142"/>
      <c r="I47" s="142"/>
      <c r="J47" s="142"/>
      <c r="K47" s="142"/>
      <c r="L47" s="142"/>
      <c r="M47" s="142"/>
      <c r="N47" s="142"/>
      <c r="O47" s="142"/>
      <c r="P47" s="142"/>
      <c r="Q47" s="142"/>
      <c r="R47" s="142"/>
      <c r="S47" s="142"/>
      <c r="T47" s="142"/>
      <c r="U47" s="142"/>
      <c r="V47" s="142"/>
      <c r="W47" s="142"/>
      <c r="X47" s="142"/>
      <c r="Y47" s="142"/>
      <c r="Z47" s="142"/>
    </row>
    <row r="48" spans="1:26" ht="21.75" customHeight="1">
      <c r="A48" s="142"/>
      <c r="B48" s="154" t="s">
        <v>501</v>
      </c>
      <c r="C48" s="227"/>
      <c r="D48" s="227"/>
      <c r="E48" s="227"/>
      <c r="F48" s="227"/>
      <c r="G48" s="227"/>
      <c r="H48" s="227"/>
      <c r="I48" s="227"/>
      <c r="J48" s="227"/>
      <c r="K48" s="227"/>
      <c r="L48" s="227"/>
      <c r="M48" s="227"/>
      <c r="N48" s="227"/>
      <c r="O48" s="227"/>
      <c r="P48" s="142"/>
      <c r="Q48" s="142"/>
      <c r="R48" s="142"/>
      <c r="S48" s="142"/>
      <c r="T48" s="142"/>
      <c r="U48" s="142"/>
      <c r="V48" s="142"/>
      <c r="W48" s="142"/>
      <c r="X48" s="142"/>
      <c r="Y48" s="142"/>
      <c r="Z48" s="142"/>
    </row>
    <row r="49" spans="1:26" ht="15.75" customHeight="1">
      <c r="A49" s="142"/>
      <c r="B49" s="228"/>
      <c r="C49" s="230" t="s">
        <v>497</v>
      </c>
      <c r="D49" s="230"/>
      <c r="E49" s="230" t="s">
        <v>439</v>
      </c>
      <c r="F49" s="230"/>
      <c r="G49" s="230" t="s">
        <v>449</v>
      </c>
      <c r="H49" s="230"/>
      <c r="I49" s="147"/>
      <c r="J49" s="147"/>
      <c r="K49" s="147"/>
      <c r="L49" s="147"/>
      <c r="M49" s="147"/>
      <c r="N49" s="147"/>
      <c r="O49" s="151"/>
      <c r="P49" s="142"/>
      <c r="Q49" s="142"/>
      <c r="R49" s="142"/>
      <c r="S49" s="142"/>
      <c r="T49" s="142"/>
      <c r="U49" s="142"/>
      <c r="V49" s="142"/>
      <c r="W49" s="142"/>
      <c r="X49" s="142"/>
      <c r="Y49" s="142"/>
      <c r="Z49" s="142"/>
    </row>
    <row r="50" spans="1:26" ht="26.25" customHeight="1">
      <c r="A50" s="142"/>
      <c r="B50" s="229"/>
      <c r="C50" s="231" t="s">
        <v>511</v>
      </c>
      <c r="D50" s="232"/>
      <c r="E50" s="231" t="s">
        <v>511</v>
      </c>
      <c r="F50" s="232"/>
      <c r="G50" s="231" t="s">
        <v>511</v>
      </c>
      <c r="H50" s="233"/>
      <c r="I50" s="234" t="str">
        <f>IF(ISTEXT(B53),"No reports match",IF(ROWS(_xlfn.ANCHORARRAY(B53))=1,"1 report","" &amp; ROWS(_xlfn.ANCHORARRAY(B53)) &amp; " reports"))</f>
        <v>No reports match</v>
      </c>
      <c r="J50" s="235"/>
      <c r="K50" s="235"/>
      <c r="L50" s="235"/>
      <c r="M50" s="235"/>
      <c r="N50" s="235"/>
      <c r="O50" s="236"/>
      <c r="P50" s="142"/>
      <c r="Q50" s="142"/>
      <c r="R50" s="142"/>
      <c r="S50" s="142"/>
      <c r="T50" s="142"/>
      <c r="U50" s="142"/>
      <c r="V50" s="142"/>
      <c r="W50" s="142"/>
      <c r="X50" s="142"/>
      <c r="Y50" s="142"/>
      <c r="Z50" s="142"/>
    </row>
    <row r="51" spans="1:26" ht="8.25" customHeight="1">
      <c r="A51" s="142"/>
      <c r="B51" s="142"/>
      <c r="C51" s="142"/>
      <c r="D51" s="142"/>
      <c r="E51" s="142"/>
      <c r="F51" s="142"/>
      <c r="G51" s="142"/>
      <c r="H51" s="142"/>
      <c r="I51" s="142"/>
      <c r="J51" s="142"/>
      <c r="K51" s="142"/>
      <c r="L51" s="142"/>
      <c r="M51" s="142"/>
      <c r="N51" s="142"/>
      <c r="O51" s="142"/>
      <c r="P51" s="142"/>
      <c r="Q51" s="142"/>
      <c r="R51" s="142"/>
      <c r="S51" s="142"/>
      <c r="T51" s="142"/>
      <c r="U51" s="142"/>
      <c r="V51" s="142"/>
      <c r="W51" s="142"/>
      <c r="X51" s="142"/>
      <c r="Y51" s="142"/>
      <c r="Z51" s="142"/>
    </row>
    <row r="52" spans="1:26" ht="30" customHeight="1">
      <c r="A52" s="142"/>
      <c r="B52" s="180" t="s">
        <v>508</v>
      </c>
      <c r="C52" s="179" t="s">
        <v>497</v>
      </c>
      <c r="D52" s="179" t="s">
        <v>509</v>
      </c>
      <c r="E52" s="179" t="s">
        <v>35</v>
      </c>
      <c r="F52" s="179" t="s">
        <v>512</v>
      </c>
      <c r="G52" s="179" t="s">
        <v>513</v>
      </c>
      <c r="H52" s="179" t="s">
        <v>514</v>
      </c>
      <c r="I52" s="179" t="s">
        <v>515</v>
      </c>
      <c r="J52" s="181" t="s">
        <v>516</v>
      </c>
      <c r="K52" s="181" t="s">
        <v>517</v>
      </c>
      <c r="L52" s="181" t="s">
        <v>518</v>
      </c>
      <c r="M52" s="181" t="s">
        <v>519</v>
      </c>
      <c r="N52" s="181" t="s">
        <v>520</v>
      </c>
      <c r="O52" s="179" t="s">
        <v>521</v>
      </c>
      <c r="P52" s="142"/>
      <c r="Q52" s="142"/>
      <c r="R52" s="142"/>
      <c r="S52" s="142"/>
      <c r="T52" s="142"/>
      <c r="U52" s="142"/>
      <c r="V52" s="142"/>
      <c r="W52" s="142"/>
      <c r="X52" s="142"/>
      <c r="Y52" s="142"/>
      <c r="Z52" s="142"/>
    </row>
    <row r="53" spans="1:26" ht="18" customHeight="1">
      <c r="A53" s="142"/>
      <c r="B53" s="183" t="str" cm="1">
        <f t="array" ref="B53:O124">_xlfn.LET(_xlpm.selMonth,$C$50,_xlpm.selStatus,$E$50,_xlpm.selPerson,$G$50,_xlpm.bucket,IF(cmsStatus="RELEASED IN PROD","Released",IF(cmsStatus="Ready for Release in Prod","Waiting for release",IF(LEFT(cmsBlocked,3)="Yes","Blocked in build/QA",IF(cmsStatus="NOT STARTED","Not started",cmsStatus)))),_xlpm.db,IF(cmsDBDev="","",cmsDBDev),_xlpm.pbi,IF(cmsPBIDev="","",cmsPBIDev),_xlpm.qa,IF(cmsQA="","",cmsQA),_xlpm.dpo,IF(cmsDPO="","",cmsDPO),_xlpm.person,IF(_xlpm.selPerson="All",1,(_xlpm.db=_xlpm.selPerson)+(_xlpm.pbi=_xlpm.selPerson)+(_xlpm.qa=_xlpm.selPerson)+ISNUMBER(SEARCH(_xlpm.selPerson,_xlpm.dpo))),_xlpm.keep,(cmsDom="CMS")*IF(_xlpm.selMonth="All",1,cmsMonth=_xlpm.selMonth)*IF(_xlpm.selStatus="All",1,_xlpm.bucket=_xlpm.selStatus)*(_xlpm.person&gt;0),_xlpm.doneDB,IF(cmsDBDone="","",cmsDBDone),_xlpm.donePBI,IF(cmsPBIDone="","",cmsPBIDone),_xlpm.doneQA,IF(cmsQADone="","",cmsQADone),_xlpm.doneDPO,IF(cmsDPODone="","",cmsDPODone),_xlpm.rw,COUNTIF(ReworkLog[Report Name],cmsName),_xlpm.chk,IF(cmsCheck="","",cmsCheck),_xlpm.bl,IF(cmsBlocked="","",cmsBlocked),_xlpm.out,_xlfn._xlws.FILTER(CHOOSE({1,2,3,4,5,6,7,8,9,10,11,12,13,14},cmsName,cmsMonth,cmsStatus,_xlpm.bl,_xlpm.db,_xlpm.pbi,_xlpm.qa,_xlpm.dpo,_xlpm.doneDB,_xlpm.donePBI,_xlpm.doneQA,_xlpm.doneDPO,_xlpm.rw,_xlpm.chk),_xlpm.keep),IFERROR(_xlpm.out,"No reports match these filters"))</f>
        <v>RPT_02_CO Flue Warning Tag Control</v>
      </c>
      <c r="C53" s="173" t="str">
        <v>July</v>
      </c>
      <c r="D53" s="173" t="str">
        <v>Ready for Release in Prod</v>
      </c>
      <c r="E53" s="173" t="str">
        <v>Yes – Blocked in Prod</v>
      </c>
      <c r="F53" s="173" t="str">
        <v>Rupa</v>
      </c>
      <c r="G53" s="173" t="str">
        <v>Navya</v>
      </c>
      <c r="H53" s="173" t="str">
        <v>Kushal</v>
      </c>
      <c r="I53" s="173" t="str">
        <v>Jeanne Waldron, Anthony Massimino</v>
      </c>
      <c r="J53" s="184">
        <v>46245</v>
      </c>
      <c r="K53" s="184">
        <v>46245</v>
      </c>
      <c r="L53" s="184">
        <v>46252</v>
      </c>
      <c r="M53" s="184">
        <v>46273</v>
      </c>
      <c r="N53" s="185">
        <v>1</v>
      </c>
      <c r="O53" s="173" t="str">
        <v>Blocked - log it on Rework Log</v>
      </c>
      <c r="P53" s="142"/>
      <c r="Q53" s="142"/>
      <c r="R53" s="142"/>
      <c r="S53" s="142"/>
      <c r="T53" s="142"/>
      <c r="U53" s="142"/>
      <c r="V53" s="142"/>
      <c r="W53" s="142"/>
      <c r="X53" s="142"/>
      <c r="Y53" s="142"/>
      <c r="Z53" s="142"/>
    </row>
    <row r="54" spans="1:26" ht="18" customHeight="1">
      <c r="A54" s="142"/>
      <c r="B54" s="183" t="str">
        <v>RPT_02_Warning Tag HEFPA</v>
      </c>
      <c r="C54" s="173" t="str">
        <v>July</v>
      </c>
      <c r="D54" s="173" t="str">
        <v>Ready for Release in Prod</v>
      </c>
      <c r="E54" s="173" t="str">
        <v>Yes – Blocked in Prod</v>
      </c>
      <c r="F54" s="173" t="str">
        <v>Sree</v>
      </c>
      <c r="G54" s="173" t="str">
        <v>Shraddha</v>
      </c>
      <c r="H54" s="173" t="str">
        <v>Kushal</v>
      </c>
      <c r="I54" s="173" t="str">
        <v>Jeanne Waldron, Anthony Massimino</v>
      </c>
      <c r="J54" s="184">
        <v>46255</v>
      </c>
      <c r="K54" s="184">
        <v>46246</v>
      </c>
      <c r="L54" s="184">
        <v>46255</v>
      </c>
      <c r="M54" s="184">
        <v>46273</v>
      </c>
      <c r="N54" s="185">
        <v>3</v>
      </c>
      <c r="O54" s="173" t="str">
        <v>Blocked - log it on Rework Log</v>
      </c>
      <c r="P54" s="142"/>
      <c r="Q54" s="142"/>
      <c r="R54" s="142"/>
      <c r="S54" s="142"/>
      <c r="T54" s="142"/>
      <c r="U54" s="142"/>
      <c r="V54" s="142"/>
      <c r="W54" s="142"/>
      <c r="X54" s="142"/>
      <c r="Y54" s="142"/>
      <c r="Z54" s="142"/>
    </row>
    <row r="55" spans="1:26" ht="18" customHeight="1">
      <c r="A55" s="142"/>
      <c r="B55" s="183" t="str">
        <v>RPT_02_Warning tag Printout</v>
      </c>
      <c r="C55" s="173" t="str">
        <v>July</v>
      </c>
      <c r="D55" s="173" t="str">
        <v>Ready for Release in Prod</v>
      </c>
      <c r="E55" s="173" t="str">
        <v>Yes – Blocked in Prod</v>
      </c>
      <c r="F55" s="173" t="str">
        <v>Sree</v>
      </c>
      <c r="G55" s="173" t="str">
        <v>Shraddha</v>
      </c>
      <c r="H55" s="173" t="str">
        <v>Kushal</v>
      </c>
      <c r="I55" s="173" t="str">
        <v>Jeanne Waldron, Anthony Massimino</v>
      </c>
      <c r="J55" s="184">
        <v>46246</v>
      </c>
      <c r="K55" s="184">
        <v>46251</v>
      </c>
      <c r="L55" s="184">
        <v>46258</v>
      </c>
      <c r="M55" s="184">
        <v>46273</v>
      </c>
      <c r="N55" s="185">
        <v>1</v>
      </c>
      <c r="O55" s="173" t="str">
        <v>Blocked - log it on Rework Log</v>
      </c>
      <c r="P55" s="142"/>
      <c r="Q55" s="142"/>
      <c r="R55" s="142"/>
      <c r="S55" s="142"/>
      <c r="T55" s="142"/>
      <c r="U55" s="142"/>
      <c r="V55" s="142"/>
      <c r="W55" s="142"/>
      <c r="X55" s="142"/>
      <c r="Y55" s="142"/>
      <c r="Z55" s="142"/>
    </row>
    <row r="56" spans="1:26" ht="18" customHeight="1">
      <c r="A56" s="142"/>
      <c r="B56" s="183" t="str">
        <v>RPT_02_Corrosion</v>
      </c>
      <c r="C56" s="173" t="str">
        <v>July</v>
      </c>
      <c r="D56" s="173" t="str">
        <v>Ready for Release in Prod</v>
      </c>
      <c r="E56" s="173" t="str">
        <v>Yes – Blocked in Prod</v>
      </c>
      <c r="F56" s="173" t="str">
        <v>Siva</v>
      </c>
      <c r="G56" s="173" t="str">
        <v>Sarath</v>
      </c>
      <c r="H56" s="173" t="str">
        <v>Preety</v>
      </c>
      <c r="I56" s="173" t="str">
        <v>Jeanne Waldron, Anthony Massimino</v>
      </c>
      <c r="J56" s="184">
        <v>46266</v>
      </c>
      <c r="K56" s="184">
        <v>46253</v>
      </c>
      <c r="L56" s="184">
        <v>46269</v>
      </c>
      <c r="M56" s="184">
        <v>46273</v>
      </c>
      <c r="N56" s="185">
        <v>2</v>
      </c>
      <c r="O56" s="173" t="str">
        <v>Blocked - log it on Rework Log</v>
      </c>
      <c r="P56" s="142"/>
      <c r="Q56" s="142"/>
      <c r="R56" s="142"/>
      <c r="S56" s="142"/>
      <c r="T56" s="142"/>
      <c r="U56" s="142"/>
      <c r="V56" s="142"/>
      <c r="W56" s="142"/>
      <c r="X56" s="142"/>
      <c r="Y56" s="142"/>
      <c r="Z56" s="142"/>
    </row>
    <row r="57" spans="1:26" ht="18" customHeight="1">
      <c r="A57" s="142"/>
      <c r="B57" s="183" t="str">
        <v>RPT_02_House Pipe Test Comment Control</v>
      </c>
      <c r="C57" s="173" t="str">
        <v>July</v>
      </c>
      <c r="D57" s="173" t="str">
        <v>Ready for Release in Prod</v>
      </c>
      <c r="E57" s="173" t="str">
        <v>Yes – Blocked in Prod</v>
      </c>
      <c r="F57" s="173" t="str">
        <v>Geetha</v>
      </c>
      <c r="G57" s="173" t="str">
        <v>Shraddha</v>
      </c>
      <c r="H57" s="173" t="str">
        <v>Preety</v>
      </c>
      <c r="I57" s="173" t="str">
        <v>Jeanne Waldron, Anthony Massimino</v>
      </c>
      <c r="J57" s="184">
        <v>46251</v>
      </c>
      <c r="K57" s="184">
        <v>46244</v>
      </c>
      <c r="L57" s="184">
        <v>46254</v>
      </c>
      <c r="M57" s="184">
        <v>46273</v>
      </c>
      <c r="N57" s="185">
        <v>1</v>
      </c>
      <c r="O57" s="173" t="str">
        <v>Blocked - log it on Rework Log</v>
      </c>
      <c r="P57" s="142"/>
      <c r="Q57" s="142"/>
      <c r="R57" s="142"/>
      <c r="S57" s="142"/>
      <c r="T57" s="142"/>
      <c r="U57" s="142"/>
      <c r="V57" s="142"/>
      <c r="W57" s="142"/>
      <c r="X57" s="142"/>
      <c r="Y57" s="142"/>
      <c r="Z57" s="142"/>
    </row>
    <row r="58" spans="1:26" ht="18" customHeight="1">
      <c r="A58" s="142"/>
      <c r="B58" s="183" t="str">
        <v>RPT_02_Required Regulator Inspection Performed Control</v>
      </c>
      <c r="C58" s="173" t="str">
        <v>July</v>
      </c>
      <c r="D58" s="173" t="str">
        <v>Ready for Release in Prod</v>
      </c>
      <c r="E58" s="173" t="str">
        <v>Yes – Blocked in Prod</v>
      </c>
      <c r="F58" s="173" t="str">
        <v>Siddu</v>
      </c>
      <c r="G58" s="173" t="str">
        <v>Navya</v>
      </c>
      <c r="H58" s="173" t="str">
        <v>Bardia</v>
      </c>
      <c r="I58" s="173" t="str">
        <v>Jeanne Waldron, Anthony Massimino</v>
      </c>
      <c r="J58" s="184">
        <v>46252</v>
      </c>
      <c r="K58" s="184">
        <v>46251</v>
      </c>
      <c r="L58" s="184">
        <v>46255</v>
      </c>
      <c r="M58" s="184">
        <v>46273</v>
      </c>
      <c r="N58" s="185">
        <v>2</v>
      </c>
      <c r="O58" s="173" t="str">
        <v>Blocked - log it on Rework Log</v>
      </c>
      <c r="P58" s="142"/>
      <c r="Q58" s="142"/>
      <c r="R58" s="142"/>
      <c r="S58" s="142"/>
      <c r="T58" s="142"/>
      <c r="U58" s="142"/>
      <c r="V58" s="142"/>
      <c r="W58" s="142"/>
      <c r="X58" s="142"/>
      <c r="Y58" s="142"/>
      <c r="Z58" s="142"/>
    </row>
    <row r="59" spans="1:26" ht="18" customHeight="1">
      <c r="A59" s="142"/>
      <c r="B59" s="183" t="str">
        <v>RPT_02_Service Regulator Inspections</v>
      </c>
      <c r="C59" s="173" t="str">
        <v>July</v>
      </c>
      <c r="D59" s="173" t="str">
        <v>Ready for Release in Prod</v>
      </c>
      <c r="E59" s="173" t="str">
        <v>Yes – Blocked in Prod</v>
      </c>
      <c r="F59" s="173" t="str">
        <v>Sree</v>
      </c>
      <c r="G59" s="173" t="str">
        <v>Sarath</v>
      </c>
      <c r="H59" s="173" t="str">
        <v>Bardia</v>
      </c>
      <c r="I59" s="173" t="str">
        <v>Jeanne Waldron, Anthony Massimino</v>
      </c>
      <c r="J59" s="184">
        <v>46258</v>
      </c>
      <c r="K59" s="184">
        <v>46266</v>
      </c>
      <c r="L59" s="184">
        <v>46267</v>
      </c>
      <c r="M59" s="184">
        <v>46273</v>
      </c>
      <c r="N59" s="185">
        <v>3</v>
      </c>
      <c r="O59" s="173" t="str">
        <v>Blocked - log it on Rework Log</v>
      </c>
      <c r="P59" s="142"/>
      <c r="Q59" s="142"/>
      <c r="R59" s="142"/>
      <c r="S59" s="142"/>
      <c r="T59" s="142"/>
      <c r="U59" s="142"/>
      <c r="V59" s="142"/>
      <c r="W59" s="142"/>
      <c r="X59" s="142"/>
      <c r="Y59" s="142"/>
      <c r="Z59" s="142"/>
    </row>
    <row r="60" spans="1:26" ht="18" customHeight="1">
      <c r="A60" s="142"/>
      <c r="B60" s="183" t="str">
        <v>RPT_02_Service Regulator Inspection Printout</v>
      </c>
      <c r="C60" s="173" t="str">
        <v>July</v>
      </c>
      <c r="D60" s="173" t="str">
        <v>Ready for Release in Prod</v>
      </c>
      <c r="E60" s="182" t="str">
        <v>Yes – Blocked in Prod</v>
      </c>
      <c r="F60" s="173" t="str">
        <v>Sree</v>
      </c>
      <c r="G60" s="173" t="str">
        <v>Shraddha</v>
      </c>
      <c r="H60" s="173" t="str">
        <v>Bardia</v>
      </c>
      <c r="I60" s="173" t="str">
        <v>Jeanne Waldron, Anthony Massimino</v>
      </c>
      <c r="J60" s="184">
        <v>46258</v>
      </c>
      <c r="K60" s="184">
        <v>46246</v>
      </c>
      <c r="L60" s="184">
        <v>46267</v>
      </c>
      <c r="M60" s="184">
        <v>46273</v>
      </c>
      <c r="N60" s="185">
        <v>1</v>
      </c>
      <c r="O60" s="173" t="str">
        <v>Blocked - log it on Rework Log</v>
      </c>
      <c r="P60" s="142"/>
      <c r="Q60" s="142"/>
      <c r="R60" s="142"/>
      <c r="S60" s="142"/>
      <c r="T60" s="142"/>
      <c r="U60" s="142"/>
      <c r="V60" s="142"/>
      <c r="W60" s="142"/>
      <c r="X60" s="142"/>
      <c r="Y60" s="142"/>
      <c r="Z60" s="142"/>
    </row>
    <row r="61" spans="1:26" ht="18" customHeight="1">
      <c r="A61" s="142"/>
      <c r="B61" s="183" t="str">
        <v>RPT_02_20 Year Regulator Inspection</v>
      </c>
      <c r="C61" s="173" t="str">
        <v>July</v>
      </c>
      <c r="D61" s="182" t="str">
        <v>Ready for Release in Prod</v>
      </c>
      <c r="E61" s="173" t="str">
        <v>Yes – Blocked in Prod</v>
      </c>
      <c r="F61" s="173" t="str">
        <v>Siddu</v>
      </c>
      <c r="G61" s="173" t="str">
        <v>Navya</v>
      </c>
      <c r="H61" s="173" t="str">
        <v>Bardia</v>
      </c>
      <c r="I61" s="173" t="str">
        <v>Natalie Lattanzio</v>
      </c>
      <c r="J61" s="184">
        <v>46255</v>
      </c>
      <c r="K61" s="184">
        <v>46255</v>
      </c>
      <c r="L61" s="184">
        <v>46255</v>
      </c>
      <c r="M61" s="184">
        <v>46269</v>
      </c>
      <c r="N61" s="185">
        <v>1</v>
      </c>
      <c r="O61" s="173" t="str">
        <v>Blocked - log it on Rework Log</v>
      </c>
      <c r="P61" s="142"/>
      <c r="Q61" s="142"/>
      <c r="R61" s="142"/>
      <c r="S61" s="142"/>
      <c r="T61" s="142"/>
      <c r="U61" s="142"/>
      <c r="V61" s="142"/>
      <c r="W61" s="142"/>
      <c r="X61" s="142"/>
      <c r="Y61" s="142"/>
      <c r="Z61" s="142"/>
    </row>
    <row r="62" spans="1:26" ht="18" customHeight="1">
      <c r="A62" s="142"/>
      <c r="B62" s="183" t="str">
        <v>RPT_02_Fixed Factor</v>
      </c>
      <c r="C62" s="173" t="str">
        <v>July</v>
      </c>
      <c r="D62" s="173" t="str">
        <v>Ready for Release in Prod</v>
      </c>
      <c r="E62" s="173" t="str">
        <v>Yes – Blocked in Prod</v>
      </c>
      <c r="F62" s="173" t="str">
        <v>Nick</v>
      </c>
      <c r="G62" s="173" t="str">
        <v>Navya</v>
      </c>
      <c r="H62" s="173" t="str">
        <v>Bardia</v>
      </c>
      <c r="I62" s="173" t="str">
        <v>Natalie Lattanzio</v>
      </c>
      <c r="J62" s="184">
        <v>46254</v>
      </c>
      <c r="K62" s="184">
        <v>46254</v>
      </c>
      <c r="L62" s="184">
        <v>46254</v>
      </c>
      <c r="M62" s="184">
        <v>46269</v>
      </c>
      <c r="N62" s="185">
        <v>2</v>
      </c>
      <c r="O62" s="173" t="str">
        <v>Blocked - log it on Rework Log</v>
      </c>
      <c r="P62" s="142"/>
      <c r="Q62" s="142"/>
      <c r="R62" s="142"/>
      <c r="S62" s="142"/>
      <c r="T62" s="142"/>
      <c r="U62" s="142"/>
      <c r="V62" s="142"/>
      <c r="W62" s="142"/>
      <c r="X62" s="142"/>
      <c r="Y62" s="142"/>
      <c r="Z62" s="142"/>
    </row>
    <row r="63" spans="1:26" ht="18" customHeight="1">
      <c r="A63" s="142"/>
      <c r="B63" s="183" t="str">
        <v>RPT_02_Fixed Factor Printout</v>
      </c>
      <c r="C63" s="173" t="str">
        <v>July</v>
      </c>
      <c r="D63" s="173" t="str">
        <v>Ready for Release in Prod</v>
      </c>
      <c r="E63" s="173" t="str">
        <v>Yes – Blocked in Prod</v>
      </c>
      <c r="F63" s="173" t="str">
        <v>Nick</v>
      </c>
      <c r="G63" s="173" t="str">
        <v>Shraddha</v>
      </c>
      <c r="H63" s="173" t="str">
        <v>Preety</v>
      </c>
      <c r="I63" s="173" t="str">
        <v>Natalie Lattanzio</v>
      </c>
      <c r="J63" s="184">
        <v>46245</v>
      </c>
      <c r="K63" s="184">
        <v>46258</v>
      </c>
      <c r="L63" s="184">
        <v>46258</v>
      </c>
      <c r="M63" s="184">
        <v>46269</v>
      </c>
      <c r="N63" s="185">
        <v>2</v>
      </c>
      <c r="O63" s="173" t="str">
        <v>Blocked - log it on Rework Log</v>
      </c>
      <c r="P63" s="142"/>
      <c r="Q63" s="142"/>
      <c r="R63" s="142"/>
      <c r="S63" s="142"/>
      <c r="T63" s="142"/>
      <c r="U63" s="142"/>
      <c r="V63" s="142"/>
      <c r="W63" s="142"/>
      <c r="X63" s="142"/>
      <c r="Y63" s="142"/>
      <c r="Z63" s="142"/>
    </row>
    <row r="64" spans="1:26" ht="18" customHeight="1">
      <c r="A64" s="142"/>
      <c r="B64" s="183" t="str">
        <v>RPT_02_Work Order Completion Printout</v>
      </c>
      <c r="C64" s="173" t="str">
        <v>July</v>
      </c>
      <c r="D64" s="173" t="str">
        <v>Ready for Release in Prod</v>
      </c>
      <c r="E64" s="173" t="str">
        <v>Yes – Blocked in Prod</v>
      </c>
      <c r="F64" s="173" t="str">
        <v>Rupa</v>
      </c>
      <c r="G64" s="173" t="str">
        <v>Shraddha</v>
      </c>
      <c r="H64" s="173" t="str">
        <v>Preety</v>
      </c>
      <c r="I64" s="173" t="str">
        <v>Jeanne Waldron, Anthony Massimino</v>
      </c>
      <c r="J64" s="184">
        <v>46251</v>
      </c>
      <c r="K64" s="184">
        <v>46255</v>
      </c>
      <c r="L64" s="184">
        <v>46258</v>
      </c>
      <c r="M64" s="184">
        <v>46273</v>
      </c>
      <c r="N64" s="185">
        <v>1</v>
      </c>
      <c r="O64" s="173" t="str">
        <v>Blocked - log it on Rework Log</v>
      </c>
      <c r="P64" s="142"/>
      <c r="Q64" s="142"/>
      <c r="R64" s="142"/>
      <c r="S64" s="142"/>
      <c r="T64" s="142"/>
      <c r="U64" s="142"/>
      <c r="V64" s="142"/>
      <c r="W64" s="142"/>
      <c r="X64" s="142"/>
      <c r="Y64" s="142"/>
      <c r="Z64" s="142"/>
    </row>
    <row r="65" spans="1:26" ht="18" customHeight="1">
      <c r="A65" s="142"/>
      <c r="B65" s="183" t="str">
        <v>RPT_02_GRO Control</v>
      </c>
      <c r="C65" s="173" t="str">
        <v>July</v>
      </c>
      <c r="D65" s="173" t="str">
        <v>Ready for Release in Prod</v>
      </c>
      <c r="E65" s="173" t="str">
        <v>Yes – Blocked in Prod</v>
      </c>
      <c r="F65" s="173" t="str">
        <v>Siva</v>
      </c>
      <c r="G65" s="173" t="str">
        <v>Navya</v>
      </c>
      <c r="H65" s="173" t="str">
        <v>Preety</v>
      </c>
      <c r="I65" s="173" t="str">
        <v>Jeanne Waldron, Anthony Massimino</v>
      </c>
      <c r="J65" s="184">
        <v>46248</v>
      </c>
      <c r="K65" s="184">
        <v>46251</v>
      </c>
      <c r="L65" s="184">
        <v>46258</v>
      </c>
      <c r="M65" s="184">
        <v>46273</v>
      </c>
      <c r="N65" s="185">
        <v>0</v>
      </c>
      <c r="O65" s="173" t="str">
        <v>Blocked - log it on Rework Log</v>
      </c>
      <c r="P65" s="142"/>
      <c r="Q65" s="142"/>
      <c r="R65" s="142"/>
      <c r="S65" s="142"/>
      <c r="T65" s="142"/>
      <c r="U65" s="142"/>
      <c r="V65" s="142"/>
      <c r="W65" s="142"/>
      <c r="X65" s="142"/>
      <c r="Y65" s="142"/>
      <c r="Z65" s="142"/>
    </row>
    <row r="66" spans="1:26" ht="18" customHeight="1">
      <c r="A66" s="142"/>
      <c r="B66" s="183" t="str">
        <v>RPT_02_GRO Monitor</v>
      </c>
      <c r="C66" s="173" t="str">
        <v>July</v>
      </c>
      <c r="D66" s="173" t="str">
        <v>Ready for Release in Prod</v>
      </c>
      <c r="E66" s="173" t="str">
        <v>Yes – Blocked in Prod</v>
      </c>
      <c r="F66" s="173" t="str">
        <v>Rupa</v>
      </c>
      <c r="G66" s="173" t="str">
        <v>Sarath</v>
      </c>
      <c r="H66" s="173" t="str">
        <v>Preety</v>
      </c>
      <c r="I66" s="173" t="str">
        <v>Natalie Lattanzio</v>
      </c>
      <c r="J66" s="184">
        <v>46245</v>
      </c>
      <c r="K66" s="184">
        <v>46248</v>
      </c>
      <c r="L66" s="184">
        <v>46261</v>
      </c>
      <c r="M66" s="184">
        <v>46269</v>
      </c>
      <c r="N66" s="185">
        <v>0</v>
      </c>
      <c r="O66" s="173" t="str">
        <v>Blocked - log it on Rework Log</v>
      </c>
      <c r="P66" s="142"/>
      <c r="Q66" s="142"/>
      <c r="R66" s="142"/>
      <c r="S66" s="142"/>
      <c r="T66" s="142"/>
      <c r="U66" s="142"/>
      <c r="V66" s="142"/>
      <c r="W66" s="142"/>
      <c r="X66" s="142"/>
      <c r="Y66" s="142"/>
      <c r="Z66" s="142"/>
    </row>
    <row r="67" spans="1:26" ht="18" customHeight="1">
      <c r="A67" s="142"/>
      <c r="B67" s="183" t="str">
        <v>RPT_02_Public Buildings Inspection</v>
      </c>
      <c r="C67" s="173" t="str">
        <v>August</v>
      </c>
      <c r="D67" s="173" t="str">
        <v>Ready for Release in Prod</v>
      </c>
      <c r="E67" s="173" t="str">
        <v>Yes – Blocked in Prod</v>
      </c>
      <c r="F67" s="173" t="str">
        <v>Geetha</v>
      </c>
      <c r="G67" s="173" t="str">
        <v>Navya</v>
      </c>
      <c r="H67" s="173" t="str">
        <v>Preety</v>
      </c>
      <c r="I67" s="173" t="str">
        <v>Jeanne Waldron, Anthony Massimino</v>
      </c>
      <c r="J67" s="184">
        <v>46252</v>
      </c>
      <c r="K67" s="184">
        <v>46295</v>
      </c>
      <c r="L67" s="184">
        <v>46296</v>
      </c>
      <c r="M67" s="184">
        <v>46296</v>
      </c>
      <c r="N67" s="185">
        <v>3</v>
      </c>
      <c r="O67" s="173" t="str">
        <v>Blocked - log it on Rework Log</v>
      </c>
      <c r="P67" s="142"/>
      <c r="Q67" s="142"/>
      <c r="R67" s="142"/>
      <c r="S67" s="142"/>
      <c r="T67" s="142"/>
      <c r="U67" s="142"/>
      <c r="V67" s="142"/>
      <c r="W67" s="142"/>
      <c r="X67" s="142"/>
      <c r="Y67" s="142"/>
      <c r="Z67" s="142"/>
    </row>
    <row r="68" spans="1:26" ht="18" customHeight="1">
      <c r="A68" s="142"/>
      <c r="B68" s="183" t="str">
        <v>RPT_02_Investigate Wall Check and Service Check</v>
      </c>
      <c r="C68" s="173" t="str">
        <v>August</v>
      </c>
      <c r="D68" s="173" t="str">
        <v>Ready for Release in Prod</v>
      </c>
      <c r="E68" s="173" t="str">
        <v>Yes – needs DPO Approval to fix</v>
      </c>
      <c r="F68" s="173" t="str">
        <v>Siva</v>
      </c>
      <c r="G68" s="173" t="str">
        <v>Sarath</v>
      </c>
      <c r="H68" s="173" t="str">
        <v>Preety</v>
      </c>
      <c r="I68" s="173" t="str">
        <v>Shaunna Peters</v>
      </c>
      <c r="J68" s="184">
        <v>46255</v>
      </c>
      <c r="K68" s="184">
        <v>46258</v>
      </c>
      <c r="L68" s="184">
        <v>46273</v>
      </c>
      <c r="M68" s="184">
        <v>46283</v>
      </c>
      <c r="N68" s="185">
        <v>3</v>
      </c>
      <c r="O68" s="173" t="str">
        <v>Blocked - log it on Rework Log</v>
      </c>
      <c r="P68" s="142"/>
      <c r="Q68" s="142"/>
      <c r="R68" s="142"/>
      <c r="S68" s="142"/>
      <c r="T68" s="142"/>
      <c r="U68" s="142"/>
      <c r="V68" s="142"/>
      <c r="W68" s="142"/>
      <c r="X68" s="142"/>
      <c r="Y68" s="142"/>
      <c r="Z68" s="142"/>
    </row>
    <row r="69" spans="1:26" ht="18" customHeight="1">
      <c r="A69" s="142"/>
      <c r="B69" s="183" t="str">
        <v>RPT_02_Cut Out Orders</v>
      </c>
      <c r="C69" s="173" t="str">
        <v>August</v>
      </c>
      <c r="D69" s="173" t="str">
        <v>Ready for Release in Prod</v>
      </c>
      <c r="E69" s="173" t="str">
        <v>Yes – Blocked in Prod</v>
      </c>
      <c r="F69" s="173" t="str">
        <v>Fetwi</v>
      </c>
      <c r="G69" s="173" t="str">
        <v>Shraddha</v>
      </c>
      <c r="H69" s="173" t="str">
        <v>Preety</v>
      </c>
      <c r="I69" s="173" t="str">
        <v>Shaunna Peters</v>
      </c>
      <c r="J69" s="184">
        <v>46244</v>
      </c>
      <c r="K69" s="184">
        <v>46265</v>
      </c>
      <c r="L69" s="184">
        <v>46265</v>
      </c>
      <c r="M69" s="184">
        <v>46283</v>
      </c>
      <c r="N69" s="185">
        <v>1</v>
      </c>
      <c r="O69" s="173" t="str">
        <v>Blocked - log it on Rework Log</v>
      </c>
      <c r="P69" s="142"/>
      <c r="Q69" s="142"/>
      <c r="R69" s="142"/>
      <c r="S69" s="142"/>
      <c r="T69" s="142"/>
      <c r="U69" s="142"/>
      <c r="V69" s="142"/>
      <c r="W69" s="142"/>
      <c r="X69" s="142"/>
      <c r="Y69" s="142"/>
      <c r="Z69" s="142"/>
    </row>
    <row r="70" spans="1:26" ht="18" customHeight="1">
      <c r="A70" s="142"/>
      <c r="B70" s="183" t="str">
        <v>RPT_02_Gas Trouble</v>
      </c>
      <c r="C70" s="173" t="str">
        <v>August</v>
      </c>
      <c r="D70" s="173" t="str">
        <v>Ready for Release in Prod</v>
      </c>
      <c r="E70" s="173" t="str">
        <v>Yes – Blocked in Prod</v>
      </c>
      <c r="F70" s="173" t="str">
        <v>Siddu</v>
      </c>
      <c r="G70" s="173" t="str">
        <v>Navya</v>
      </c>
      <c r="H70" s="173" t="str">
        <v>Preety</v>
      </c>
      <c r="I70" s="173" t="str">
        <v>Jeanne Waldron, Anthony Massimino</v>
      </c>
      <c r="J70" s="184">
        <v>46244</v>
      </c>
      <c r="K70" s="184">
        <v>46261</v>
      </c>
      <c r="L70" s="184">
        <v>46266</v>
      </c>
      <c r="M70" s="184">
        <v>46283</v>
      </c>
      <c r="N70" s="185">
        <v>1</v>
      </c>
      <c r="O70" s="173" t="str">
        <v>Blocked - log it on Rework Log</v>
      </c>
      <c r="P70" s="142"/>
      <c r="Q70" s="142"/>
      <c r="R70" s="142"/>
      <c r="S70" s="142"/>
      <c r="T70" s="142"/>
      <c r="U70" s="142"/>
      <c r="V70" s="142"/>
      <c r="W70" s="142"/>
      <c r="X70" s="142"/>
      <c r="Y70" s="142"/>
      <c r="Z70" s="142"/>
    </row>
    <row r="71" spans="1:26" ht="18" customHeight="1">
      <c r="A71" s="142"/>
      <c r="B71" s="183" t="str">
        <v>RPT_02_Wall Check Control</v>
      </c>
      <c r="C71" s="173" t="str">
        <v>August</v>
      </c>
      <c r="D71" s="173" t="str">
        <v>Ready for Release in Prod</v>
      </c>
      <c r="E71" s="173" t="str">
        <v>Yes – Blocked in Prod</v>
      </c>
      <c r="F71" s="173" t="str">
        <v>Nick</v>
      </c>
      <c r="G71" s="173" t="str">
        <v>Shraddha</v>
      </c>
      <c r="H71" s="173" t="str">
        <v>Kushal</v>
      </c>
      <c r="I71" s="173" t="str">
        <v>Jeanne Waldron, Anthony Massimino</v>
      </c>
      <c r="J71" s="184">
        <v>46246</v>
      </c>
      <c r="K71" s="184">
        <v>46261</v>
      </c>
      <c r="L71" s="184">
        <v>46265</v>
      </c>
      <c r="M71" s="184">
        <v>46283</v>
      </c>
      <c r="N71" s="185">
        <v>0</v>
      </c>
      <c r="O71" s="173" t="str">
        <v>Blocked - log it on Rework Log</v>
      </c>
      <c r="P71" s="142"/>
      <c r="Q71" s="142"/>
      <c r="R71" s="142"/>
      <c r="S71" s="142"/>
      <c r="T71" s="142"/>
      <c r="U71" s="142"/>
      <c r="V71" s="142"/>
      <c r="W71" s="142"/>
      <c r="X71" s="142"/>
      <c r="Y71" s="142"/>
      <c r="Z71" s="142"/>
    </row>
    <row r="72" spans="1:26" ht="18" customHeight="1">
      <c r="A72" s="142"/>
      <c r="B72" s="183" t="str">
        <v>RPT_02_High Pressure Steel Inside Inspection</v>
      </c>
      <c r="C72" s="173" t="str">
        <v>August</v>
      </c>
      <c r="D72" s="173" t="str">
        <v>Ready for Release in Prod</v>
      </c>
      <c r="E72" s="173" t="str">
        <v>Yes – Blocked in Prod</v>
      </c>
      <c r="F72" s="173" t="str">
        <v>Geetha</v>
      </c>
      <c r="G72" s="173" t="str">
        <v>Sarath</v>
      </c>
      <c r="H72" s="173" t="str">
        <v>Bardia</v>
      </c>
      <c r="I72" s="173" t="str">
        <v>Shaunna Peters</v>
      </c>
      <c r="J72" s="184">
        <v>46253</v>
      </c>
      <c r="K72" s="184">
        <v>46255</v>
      </c>
      <c r="L72" s="184">
        <v>46269</v>
      </c>
      <c r="M72" s="184">
        <v>46283</v>
      </c>
      <c r="N72" s="185">
        <v>0</v>
      </c>
      <c r="O72" s="173" t="str">
        <v>Blocked - log it on Rework Log</v>
      </c>
      <c r="P72" s="142"/>
      <c r="Q72" s="142"/>
      <c r="R72" s="142"/>
      <c r="S72" s="142"/>
      <c r="T72" s="142"/>
      <c r="U72" s="142"/>
      <c r="V72" s="142"/>
      <c r="W72" s="142"/>
      <c r="X72" s="142"/>
      <c r="Y72" s="142"/>
      <c r="Z72" s="142"/>
    </row>
    <row r="73" spans="1:26" ht="18" customHeight="1">
      <c r="A73" s="142"/>
      <c r="B73" s="183" t="str">
        <v>RPT_02_Large Gas Outage</v>
      </c>
      <c r="C73" s="173" t="str">
        <v>August</v>
      </c>
      <c r="D73" s="173" t="str">
        <v>Ready for Release in Prod</v>
      </c>
      <c r="E73" s="173" t="str">
        <v>Yes – Blocked in Prod</v>
      </c>
      <c r="F73" s="173" t="str">
        <v>Nick</v>
      </c>
      <c r="G73" s="173" t="str">
        <v>Sarath</v>
      </c>
      <c r="H73" s="173" t="str">
        <v>Kushal</v>
      </c>
      <c r="I73" s="173" t="str">
        <v>Brooke Allen</v>
      </c>
      <c r="J73" s="184">
        <v>46265</v>
      </c>
      <c r="K73" s="184">
        <v>46266</v>
      </c>
      <c r="L73" s="184">
        <v>46286</v>
      </c>
      <c r="M73" s="184">
        <v>46302</v>
      </c>
      <c r="N73" s="185">
        <v>5</v>
      </c>
      <c r="O73" s="173" t="str">
        <v>Blocked - log it on Rework Log</v>
      </c>
      <c r="P73" s="142"/>
      <c r="Q73" s="142"/>
      <c r="R73" s="142"/>
      <c r="S73" s="142"/>
      <c r="T73" s="142"/>
      <c r="U73" s="142"/>
      <c r="V73" s="142"/>
      <c r="W73" s="142"/>
      <c r="X73" s="142"/>
      <c r="Y73" s="142"/>
      <c r="Z73" s="142"/>
    </row>
    <row r="74" spans="1:26" ht="18" customHeight="1">
      <c r="A74" s="142"/>
      <c r="B74" s="183" t="str">
        <v>RPT_02_Fitting Work</v>
      </c>
      <c r="C74" s="173" t="str">
        <v>August</v>
      </c>
      <c r="D74" s="173" t="str">
        <v>Ready for Release in Prod</v>
      </c>
      <c r="E74" s="173" t="str">
        <v>Yes – Blocked in Prod</v>
      </c>
      <c r="F74" s="173" t="str">
        <v>Fetwi</v>
      </c>
      <c r="G74" s="173" t="str">
        <v>Navya</v>
      </c>
      <c r="H74" s="173" t="str">
        <v>Bardia</v>
      </c>
      <c r="I74" s="173" t="str">
        <v>Shaunna Peters</v>
      </c>
      <c r="J74" s="184">
        <v>46245</v>
      </c>
      <c r="K74" s="184">
        <v>46252</v>
      </c>
      <c r="L74" s="184">
        <v>46273</v>
      </c>
      <c r="M74" s="184">
        <v>46283</v>
      </c>
      <c r="N74" s="185">
        <v>1</v>
      </c>
      <c r="O74" s="173" t="str">
        <v>Blocked - log it on Rework Log</v>
      </c>
      <c r="P74" s="142"/>
      <c r="Q74" s="142"/>
      <c r="R74" s="142"/>
      <c r="S74" s="142"/>
      <c r="T74" s="142"/>
      <c r="U74" s="142"/>
      <c r="V74" s="142"/>
      <c r="W74" s="142"/>
      <c r="X74" s="142"/>
      <c r="Y74" s="142"/>
      <c r="Z74" s="142"/>
    </row>
    <row r="75" spans="1:26" ht="18" customHeight="1">
      <c r="A75" s="142"/>
      <c r="B75" s="183" t="str">
        <v>RPT_02_Field Collector Report</v>
      </c>
      <c r="C75" s="173" t="str">
        <v>August</v>
      </c>
      <c r="D75" s="173" t="str">
        <v>Ready for Release in Prod</v>
      </c>
      <c r="E75" s="173" t="str">
        <v>Yes – Blocked in Prod</v>
      </c>
      <c r="F75" s="173" t="str">
        <v>Rupa</v>
      </c>
      <c r="G75" s="173" t="str">
        <v>Shraddha</v>
      </c>
      <c r="H75" s="173" t="str">
        <v>Bardia</v>
      </c>
      <c r="I75" s="173" t="str">
        <v>Jeanne Timmons, Shaunna Peters</v>
      </c>
      <c r="J75" s="184">
        <v>46248</v>
      </c>
      <c r="K75" s="184">
        <v>46260</v>
      </c>
      <c r="L75" s="184">
        <v>46276</v>
      </c>
      <c r="M75" s="184">
        <v>46283</v>
      </c>
      <c r="N75" s="185">
        <v>0</v>
      </c>
      <c r="O75" s="173" t="str">
        <v>Blocked - log it on Rework Log</v>
      </c>
      <c r="P75" s="142"/>
      <c r="Q75" s="142"/>
      <c r="R75" s="142"/>
      <c r="S75" s="142"/>
      <c r="T75" s="142"/>
      <c r="U75" s="142"/>
      <c r="V75" s="142"/>
      <c r="W75" s="142"/>
      <c r="X75" s="142"/>
      <c r="Y75" s="142"/>
      <c r="Z75" s="142"/>
    </row>
    <row r="76" spans="1:26" ht="18" customHeight="1">
      <c r="A76" s="142"/>
      <c r="B76" s="183" t="str">
        <v>RPT_02_Turn On for Non-Payment</v>
      </c>
      <c r="C76" s="173" t="str">
        <v>August</v>
      </c>
      <c r="D76" s="173" t="str">
        <v>DPO Approval</v>
      </c>
      <c r="E76" s="173" t="str">
        <v>No</v>
      </c>
      <c r="F76" s="173" t="str">
        <v>Sree</v>
      </c>
      <c r="G76" s="173" t="str">
        <v>Sarath</v>
      </c>
      <c r="H76" s="173" t="str">
        <v>Kushal</v>
      </c>
      <c r="I76" s="173" t="str">
        <v>Bryan Patterson, Reginald Durham, Shaunna Peters, Simone Brooks, Bill Contreras</v>
      </c>
      <c r="J76" s="184">
        <v>46252</v>
      </c>
      <c r="K76" s="184">
        <v>46267</v>
      </c>
      <c r="L76" s="184">
        <v>46290</v>
      </c>
      <c r="M76" s="184" t="str">
        <v/>
      </c>
      <c r="N76" s="185">
        <v>2</v>
      </c>
      <c r="O76" s="173" t="str">
        <v>Open rework row - mark Blocked or close it</v>
      </c>
      <c r="P76" s="142"/>
      <c r="Q76" s="142"/>
      <c r="R76" s="142"/>
      <c r="S76" s="142"/>
      <c r="T76" s="142"/>
      <c r="U76" s="142"/>
      <c r="V76" s="142"/>
      <c r="W76" s="142"/>
      <c r="X76" s="142"/>
      <c r="Y76" s="142"/>
      <c r="Z76" s="142"/>
    </row>
    <row r="77" spans="1:26" ht="18" customHeight="1">
      <c r="A77" s="142"/>
      <c r="B77" s="183" t="str">
        <v>RPT_02_Collector Payment Recap</v>
      </c>
      <c r="C77" s="173" t="str">
        <v>August</v>
      </c>
      <c r="D77" s="173" t="str">
        <v>Ready for Release in Prod</v>
      </c>
      <c r="E77" s="173" t="str">
        <v>Yes – Blocked in Prod</v>
      </c>
      <c r="F77" s="173" t="str">
        <v>Rupa</v>
      </c>
      <c r="G77" s="173" t="str">
        <v>Shraddha</v>
      </c>
      <c r="H77" s="173" t="str">
        <v>Bardia</v>
      </c>
      <c r="I77" s="173" t="str">
        <v>Oneil Lashley</v>
      </c>
      <c r="J77" s="184">
        <v>46251</v>
      </c>
      <c r="K77" s="184">
        <v>46262</v>
      </c>
      <c r="L77" s="184">
        <v>46281</v>
      </c>
      <c r="M77" s="184">
        <v>46286</v>
      </c>
      <c r="N77" s="185">
        <v>1</v>
      </c>
      <c r="O77" s="173" t="str">
        <v>Blocked - log it on Rework Log</v>
      </c>
      <c r="P77" s="142"/>
      <c r="Q77" s="142"/>
      <c r="R77" s="142"/>
      <c r="S77" s="142"/>
      <c r="T77" s="142"/>
      <c r="U77" s="142"/>
      <c r="V77" s="142"/>
      <c r="W77" s="142"/>
      <c r="X77" s="142"/>
      <c r="Y77" s="142"/>
      <c r="Z77" s="142"/>
    </row>
    <row r="78" spans="1:26" ht="18" customHeight="1">
      <c r="A78" s="142"/>
      <c r="B78" s="183" t="str">
        <v>RPT_02_Incentive Management</v>
      </c>
      <c r="C78" s="173" t="str">
        <v>August</v>
      </c>
      <c r="D78" s="173" t="str">
        <v>Ready for Release in Prod</v>
      </c>
      <c r="E78" s="173" t="str">
        <v>Yes – Blocked in Prod</v>
      </c>
      <c r="F78" s="173" t="str">
        <v>Siddu</v>
      </c>
      <c r="G78" s="173" t="str">
        <v>Navya</v>
      </c>
      <c r="H78" s="173" t="str">
        <v>Preety</v>
      </c>
      <c r="I78" s="173" t="str">
        <v>Reginald Durham</v>
      </c>
      <c r="J78" s="184">
        <v>46253</v>
      </c>
      <c r="K78" s="184">
        <v>46262</v>
      </c>
      <c r="L78" s="184">
        <v>46269</v>
      </c>
      <c r="M78" s="184">
        <v>46282</v>
      </c>
      <c r="N78" s="185">
        <v>0</v>
      </c>
      <c r="O78" s="173" t="str">
        <v>Blocked - log it on Rework Log</v>
      </c>
      <c r="P78" s="142"/>
      <c r="Q78" s="142"/>
      <c r="R78" s="142"/>
      <c r="S78" s="142"/>
      <c r="T78" s="142"/>
      <c r="U78" s="142"/>
      <c r="V78" s="142"/>
      <c r="W78" s="142"/>
      <c r="X78" s="142"/>
      <c r="Y78" s="142"/>
      <c r="Z78" s="142"/>
    </row>
    <row r="79" spans="1:26" ht="18" customHeight="1">
      <c r="A79" s="142"/>
      <c r="B79" s="183" t="str">
        <v>RPT_02_UTC Report</v>
      </c>
      <c r="C79" s="173" t="str">
        <v>September</v>
      </c>
      <c r="D79" s="173" t="str">
        <v>DPO Approval</v>
      </c>
      <c r="E79" s="173" t="str">
        <v>No</v>
      </c>
      <c r="F79" s="173" t="str">
        <v>Rupa</v>
      </c>
      <c r="G79" s="173" t="str">
        <v>Shraddha</v>
      </c>
      <c r="H79" s="173" t="str">
        <v>Preety</v>
      </c>
      <c r="I79" s="173" t="str">
        <v>Simone Brooks</v>
      </c>
      <c r="J79" s="184">
        <v>46253</v>
      </c>
      <c r="K79" s="184">
        <v>46295</v>
      </c>
      <c r="L79" s="184" t="str">
        <v/>
      </c>
      <c r="M79" s="184" t="str">
        <v/>
      </c>
      <c r="N79" s="185">
        <v>1</v>
      </c>
      <c r="O79" s="173" t="str">
        <v/>
      </c>
      <c r="P79" s="142"/>
      <c r="Q79" s="142"/>
      <c r="R79" s="142"/>
      <c r="S79" s="142"/>
      <c r="T79" s="142"/>
      <c r="U79" s="142"/>
      <c r="V79" s="142"/>
      <c r="W79" s="142"/>
      <c r="X79" s="142"/>
      <c r="Y79" s="142"/>
      <c r="Z79" s="142"/>
    </row>
    <row r="80" spans="1:26" ht="18" customHeight="1">
      <c r="A80" s="142"/>
      <c r="B80" s="183" t="str">
        <v>RPT_02_Adjacent Property Checks</v>
      </c>
      <c r="C80" s="173" t="str">
        <v>September</v>
      </c>
      <c r="D80" s="173" t="str">
        <v>DPO Approval</v>
      </c>
      <c r="E80" s="173" t="str">
        <v>Yes – needs DPO Approval to fix</v>
      </c>
      <c r="F80" s="173" t="str">
        <v>Rupa</v>
      </c>
      <c r="G80" s="173" t="str">
        <v>Navya</v>
      </c>
      <c r="H80" s="173" t="str">
        <v>Olu</v>
      </c>
      <c r="I80" s="173" t="str">
        <v>Anthony Massimino</v>
      </c>
      <c r="J80" s="184">
        <v>46253</v>
      </c>
      <c r="K80" s="184">
        <v>46266</v>
      </c>
      <c r="L80" s="184">
        <v>46288</v>
      </c>
      <c r="M80" s="184" t="str">
        <v/>
      </c>
      <c r="N80" s="185">
        <v>0</v>
      </c>
      <c r="O80" s="173" t="str">
        <v>Blocked - log it on Rework Log</v>
      </c>
      <c r="P80" s="142"/>
      <c r="Q80" s="142"/>
      <c r="R80" s="142"/>
      <c r="S80" s="142"/>
      <c r="T80" s="142"/>
      <c r="U80" s="142"/>
      <c r="V80" s="142"/>
      <c r="W80" s="142"/>
      <c r="X80" s="142"/>
      <c r="Y80" s="142"/>
      <c r="Z80" s="142"/>
    </row>
    <row r="81" spans="1:26" ht="18" customHeight="1">
      <c r="A81" s="142"/>
      <c r="B81" s="183" t="str">
        <v>RPT_02_High Bill Investigations</v>
      </c>
      <c r="C81" s="173" t="str">
        <v>September</v>
      </c>
      <c r="D81" s="173" t="str">
        <v>Ready for Release in Prod</v>
      </c>
      <c r="E81" s="173" t="str">
        <v>Yes – Blocked in Prod</v>
      </c>
      <c r="F81" s="173" t="str">
        <v>Sree</v>
      </c>
      <c r="G81" s="173" t="str">
        <v>Sarath</v>
      </c>
      <c r="H81" s="173" t="str">
        <v>Preety</v>
      </c>
      <c r="I81" s="173" t="str">
        <v>Oneil Lashley</v>
      </c>
      <c r="J81" s="184" t="str">
        <v/>
      </c>
      <c r="K81" s="184">
        <v>46268</v>
      </c>
      <c r="L81" s="184">
        <v>46282</v>
      </c>
      <c r="M81" s="184">
        <v>46286</v>
      </c>
      <c r="N81" s="185">
        <v>1</v>
      </c>
      <c r="O81" s="173" t="str">
        <v>Blocked - log it on Rework Log</v>
      </c>
      <c r="P81" s="142"/>
      <c r="Q81" s="142"/>
      <c r="R81" s="142"/>
      <c r="S81" s="142"/>
      <c r="T81" s="142"/>
      <c r="U81" s="142"/>
      <c r="V81" s="142"/>
      <c r="W81" s="142"/>
      <c r="X81" s="142"/>
      <c r="Y81" s="142"/>
      <c r="Z81" s="142"/>
    </row>
    <row r="82" spans="1:26" ht="18" customHeight="1">
      <c r="A82" s="142"/>
      <c r="B82" s="183" t="str">
        <v>RPT_02_Emergency Order Type</v>
      </c>
      <c r="C82" s="173" t="str">
        <v>September</v>
      </c>
      <c r="D82" s="173" t="str">
        <v>QA</v>
      </c>
      <c r="E82" s="173" t="str">
        <v>No</v>
      </c>
      <c r="F82" s="173" t="str">
        <v>Sree</v>
      </c>
      <c r="G82" s="173" t="str">
        <v>Shraddha</v>
      </c>
      <c r="H82" s="173" t="str">
        <v>Kushal</v>
      </c>
      <c r="I82" s="173" t="str">
        <v>Jeanne Waldron, Anthony Massimino</v>
      </c>
      <c r="J82" s="184">
        <v>46298</v>
      </c>
      <c r="K82" s="184">
        <v>46301</v>
      </c>
      <c r="L82" s="184" t="str">
        <v/>
      </c>
      <c r="M82" s="184" t="str">
        <v/>
      </c>
      <c r="N82" s="185">
        <v>1</v>
      </c>
      <c r="O82" s="173" t="str">
        <v>Move status back to PBI Dev</v>
      </c>
      <c r="P82" s="142"/>
      <c r="Q82" s="142"/>
      <c r="R82" s="142"/>
      <c r="S82" s="142"/>
      <c r="T82" s="142"/>
      <c r="U82" s="142"/>
      <c r="V82" s="142"/>
      <c r="W82" s="142"/>
      <c r="X82" s="142"/>
      <c r="Y82" s="142"/>
      <c r="Z82" s="142"/>
    </row>
    <row r="83" spans="1:26" ht="18" customHeight="1">
      <c r="A83" s="142"/>
      <c r="B83" s="183" t="str">
        <v>RPT_02_Cut Out Curb Box</v>
      </c>
      <c r="C83" s="173" t="str">
        <v>September</v>
      </c>
      <c r="D83" s="173" t="str">
        <v>RELEASED IN PROD</v>
      </c>
      <c r="E83" s="173" t="str">
        <v>Yes – Blocked in Prod</v>
      </c>
      <c r="F83" s="173" t="str">
        <v>Fetwi</v>
      </c>
      <c r="G83" s="173" t="str">
        <v>Navya</v>
      </c>
      <c r="H83" s="173" t="str">
        <v>Preety</v>
      </c>
      <c r="I83" s="173" t="str">
        <v>Oneil Lashley</v>
      </c>
      <c r="J83" s="184">
        <v>46253</v>
      </c>
      <c r="K83" s="184">
        <v>46266</v>
      </c>
      <c r="L83" s="184">
        <v>46290</v>
      </c>
      <c r="M83" s="184">
        <v>46301</v>
      </c>
      <c r="N83" s="185">
        <v>1</v>
      </c>
      <c r="O83" s="173" t="str">
        <v>Blocked - log it on Rework Log</v>
      </c>
      <c r="P83" s="142"/>
      <c r="Q83" s="142"/>
      <c r="R83" s="142"/>
      <c r="S83" s="142"/>
      <c r="T83" s="142"/>
      <c r="U83" s="142"/>
      <c r="V83" s="142"/>
      <c r="W83" s="142"/>
      <c r="X83" s="142"/>
      <c r="Y83" s="142"/>
      <c r="Z83" s="142"/>
    </row>
    <row r="84" spans="1:26" ht="18" customHeight="1">
      <c r="A84" s="142"/>
      <c r="B84" s="183" t="str">
        <v>RPT_02_New York Incident</v>
      </c>
      <c r="C84" s="173" t="str">
        <v>September</v>
      </c>
      <c r="D84" s="173" t="str">
        <v>RELEASED IN PROD</v>
      </c>
      <c r="E84" s="173" t="str">
        <v>No</v>
      </c>
      <c r="F84" s="173" t="str">
        <v>Nick</v>
      </c>
      <c r="G84" s="173" t="str">
        <v>Sarath</v>
      </c>
      <c r="H84" s="173" t="str">
        <v>Preety</v>
      </c>
      <c r="I84" s="173" t="str">
        <v>Bryan Patterson, Reginald Durham, Bill Contreras</v>
      </c>
      <c r="J84" s="184">
        <v>46255</v>
      </c>
      <c r="K84" s="184">
        <v>46273</v>
      </c>
      <c r="L84" s="184">
        <v>46286</v>
      </c>
      <c r="M84" s="184">
        <v>46295</v>
      </c>
      <c r="N84" s="185">
        <v>1</v>
      </c>
      <c r="O84" s="173" t="str">
        <v/>
      </c>
      <c r="P84" s="142"/>
      <c r="Q84" s="142"/>
      <c r="R84" s="142"/>
      <c r="S84" s="142"/>
      <c r="T84" s="142"/>
      <c r="U84" s="142"/>
      <c r="V84" s="142"/>
      <c r="W84" s="142"/>
      <c r="X84" s="142"/>
      <c r="Y84" s="142"/>
      <c r="Z84" s="142"/>
    </row>
    <row r="85" spans="1:26" ht="18" customHeight="1">
      <c r="A85" s="142"/>
      <c r="B85" s="183" t="str">
        <v>RPT_02_Outside Repeat Leaks</v>
      </c>
      <c r="C85" s="173" t="str">
        <v>September</v>
      </c>
      <c r="D85" s="173" t="str">
        <v>DPO Approval</v>
      </c>
      <c r="E85" s="173" t="str">
        <v>No</v>
      </c>
      <c r="F85" s="173" t="str">
        <v>Fetwi</v>
      </c>
      <c r="G85" s="173" t="str">
        <v>Navya</v>
      </c>
      <c r="H85" s="173" t="str">
        <v>Preety</v>
      </c>
      <c r="I85" s="173" t="str">
        <v>Reginald Durham, Simone Brooks, Bill Contreras</v>
      </c>
      <c r="J85" s="184">
        <v>46255</v>
      </c>
      <c r="K85" s="184">
        <v>46268</v>
      </c>
      <c r="L85" s="184">
        <v>46295</v>
      </c>
      <c r="M85" s="184" t="str">
        <v/>
      </c>
      <c r="N85" s="185">
        <v>1</v>
      </c>
      <c r="O85" s="173" t="str">
        <v/>
      </c>
      <c r="P85" s="142"/>
      <c r="Q85" s="142"/>
      <c r="R85" s="142"/>
      <c r="S85" s="142"/>
      <c r="T85" s="142"/>
      <c r="U85" s="142"/>
      <c r="V85" s="142"/>
      <c r="W85" s="142"/>
      <c r="X85" s="142"/>
      <c r="Y85" s="142"/>
      <c r="Z85" s="142"/>
    </row>
    <row r="86" spans="1:26" ht="18" customHeight="1">
      <c r="A86" s="142"/>
      <c r="B86" s="183" t="str">
        <v>RPT_02_Meter Change</v>
      </c>
      <c r="C86" s="173" t="str">
        <v>September</v>
      </c>
      <c r="D86" s="173" t="str">
        <v>DPO Approval</v>
      </c>
      <c r="E86" s="173" t="str">
        <v>Yes – needs DPO Approval to fix</v>
      </c>
      <c r="F86" s="173" t="str">
        <v>Siddu</v>
      </c>
      <c r="G86" s="173" t="str">
        <v>Shraddha</v>
      </c>
      <c r="H86" s="173" t="str">
        <v>Olu</v>
      </c>
      <c r="I86" s="173" t="str">
        <v>Michelle Fitten</v>
      </c>
      <c r="J86" s="184">
        <v>46259</v>
      </c>
      <c r="K86" s="184">
        <v>46282</v>
      </c>
      <c r="L86" s="184">
        <v>46289</v>
      </c>
      <c r="M86" s="184" t="str">
        <v/>
      </c>
      <c r="N86" s="185">
        <v>0</v>
      </c>
      <c r="O86" s="173" t="str">
        <v>Blocked - log it on Rework Log</v>
      </c>
      <c r="P86" s="142"/>
      <c r="Q86" s="142"/>
      <c r="R86" s="142"/>
      <c r="S86" s="142"/>
      <c r="T86" s="142"/>
      <c r="U86" s="142"/>
      <c r="V86" s="142"/>
      <c r="W86" s="142"/>
      <c r="X86" s="142"/>
      <c r="Y86" s="142"/>
      <c r="Z86" s="142"/>
    </row>
    <row r="87" spans="1:26" ht="18" customHeight="1">
      <c r="A87" s="142"/>
      <c r="B87" s="183" t="str">
        <v>RPT_02_Field Order Value</v>
      </c>
      <c r="C87" s="173" t="str">
        <v>September</v>
      </c>
      <c r="D87" s="173" t="str">
        <v>DPO Approval</v>
      </c>
      <c r="E87" s="173" t="str">
        <v>No</v>
      </c>
      <c r="F87" s="173" t="str">
        <v>Siddu</v>
      </c>
      <c r="G87" s="173" t="str">
        <v>Navya</v>
      </c>
      <c r="H87" s="173" t="str">
        <v>Preety</v>
      </c>
      <c r="I87" s="173" t="str">
        <v>Alex Giangolini</v>
      </c>
      <c r="J87" s="184">
        <v>46266</v>
      </c>
      <c r="K87" s="184">
        <v>46294</v>
      </c>
      <c r="L87" s="184">
        <v>46300</v>
      </c>
      <c r="M87" s="184" t="str">
        <v/>
      </c>
      <c r="N87" s="185">
        <v>1</v>
      </c>
      <c r="O87" s="173" t="str">
        <v/>
      </c>
      <c r="P87" s="142"/>
      <c r="Q87" s="142"/>
      <c r="R87" s="142"/>
      <c r="S87" s="142"/>
      <c r="T87" s="142"/>
      <c r="U87" s="142"/>
      <c r="V87" s="142"/>
      <c r="W87" s="142"/>
      <c r="X87" s="142"/>
      <c r="Y87" s="142"/>
      <c r="Z87" s="142"/>
    </row>
    <row r="88" spans="1:26" ht="18" customHeight="1">
      <c r="A88" s="142"/>
      <c r="B88" s="183" t="str">
        <v>RPT_02_Same Day Reconnect</v>
      </c>
      <c r="C88" s="173" t="str">
        <v>September</v>
      </c>
      <c r="D88" s="173" t="str">
        <v>QA</v>
      </c>
      <c r="E88" s="173" t="str">
        <v>No</v>
      </c>
      <c r="F88" s="173" t="str">
        <v>Geetha</v>
      </c>
      <c r="G88" s="173" t="str">
        <v>Navya</v>
      </c>
      <c r="H88" s="173" t="str">
        <v>Preety</v>
      </c>
      <c r="I88" s="173" t="str">
        <v>Bryan Patterson</v>
      </c>
      <c r="J88" s="184">
        <v>46266</v>
      </c>
      <c r="K88" s="184">
        <v>46269</v>
      </c>
      <c r="L88" s="184" t="str">
        <v/>
      </c>
      <c r="M88" s="184" t="str">
        <v/>
      </c>
      <c r="N88" s="185">
        <v>0</v>
      </c>
      <c r="O88" s="173" t="str">
        <v/>
      </c>
      <c r="P88" s="142"/>
      <c r="Q88" s="142"/>
      <c r="R88" s="142"/>
      <c r="S88" s="142"/>
      <c r="T88" s="142"/>
      <c r="U88" s="142"/>
      <c r="V88" s="142"/>
      <c r="W88" s="142"/>
      <c r="X88" s="142"/>
      <c r="Y88" s="142"/>
      <c r="Z88" s="142"/>
    </row>
    <row r="89" spans="1:26" ht="18" customHeight="1">
      <c r="A89" s="142"/>
      <c r="B89" s="183" t="str">
        <v>RPT_02_Site Specific Analysis</v>
      </c>
      <c r="C89" s="173" t="str">
        <v>September</v>
      </c>
      <c r="D89" s="173" t="str">
        <v>DPO Approval</v>
      </c>
      <c r="E89" s="173" t="str">
        <v>No</v>
      </c>
      <c r="F89" s="173" t="str">
        <v>Nick</v>
      </c>
      <c r="G89" s="173" t="str">
        <v>Shraddha</v>
      </c>
      <c r="H89" s="173" t="str">
        <v>Olu</v>
      </c>
      <c r="I89" s="173" t="str">
        <v>Jeanne Waldron, Anthony Massimino</v>
      </c>
      <c r="J89" s="184">
        <v>46265</v>
      </c>
      <c r="K89" s="184">
        <v>46273</v>
      </c>
      <c r="L89" s="184">
        <v>46288</v>
      </c>
      <c r="M89" s="184" t="str">
        <v/>
      </c>
      <c r="N89" s="185">
        <v>0</v>
      </c>
      <c r="O89" s="173" t="str">
        <v/>
      </c>
      <c r="P89" s="142"/>
      <c r="Q89" s="142"/>
      <c r="R89" s="142"/>
      <c r="S89" s="142"/>
      <c r="T89" s="142"/>
      <c r="U89" s="142"/>
      <c r="V89" s="142"/>
      <c r="W89" s="142"/>
      <c r="X89" s="142"/>
      <c r="Y89" s="142"/>
      <c r="Z89" s="142"/>
    </row>
    <row r="90" spans="1:26" ht="18" customHeight="1">
      <c r="A90" s="142"/>
      <c r="B90" s="183" t="str">
        <v>RPT_02_PSC Wire Down Response Time</v>
      </c>
      <c r="C90" s="173" t="str">
        <v>September</v>
      </c>
      <c r="D90" s="173" t="str">
        <v>PBI Dev</v>
      </c>
      <c r="E90" s="173" t="str">
        <v>No</v>
      </c>
      <c r="F90" s="173" t="str">
        <v>Fetwi</v>
      </c>
      <c r="G90" s="173" t="str">
        <v>Sarath</v>
      </c>
      <c r="H90" s="173" t="str">
        <v/>
      </c>
      <c r="I90" s="173" t="str">
        <v>Bryan Patterson</v>
      </c>
      <c r="J90" s="184">
        <v>46282</v>
      </c>
      <c r="K90" s="184" t="str">
        <v/>
      </c>
      <c r="L90" s="184" t="str">
        <v/>
      </c>
      <c r="M90" s="184" t="str">
        <v/>
      </c>
      <c r="N90" s="185">
        <v>0</v>
      </c>
      <c r="O90" s="173" t="str">
        <v/>
      </c>
      <c r="P90" s="142"/>
      <c r="Q90" s="142"/>
      <c r="R90" s="142"/>
      <c r="S90" s="142"/>
      <c r="T90" s="142"/>
      <c r="U90" s="142"/>
      <c r="V90" s="142"/>
      <c r="W90" s="142"/>
      <c r="X90" s="142"/>
      <c r="Y90" s="142"/>
      <c r="Z90" s="142"/>
    </row>
    <row r="91" spans="1:26" ht="18" customHeight="1">
      <c r="A91" s="142"/>
      <c r="B91" s="183" t="str">
        <v>RPT_02_Hazardous Above Ground Leak</v>
      </c>
      <c r="C91" s="173" t="str">
        <v>September</v>
      </c>
      <c r="D91" s="173" t="str">
        <v>DPO Approval</v>
      </c>
      <c r="E91" s="173" t="str">
        <v>No</v>
      </c>
      <c r="F91" s="173" t="str">
        <v>Fetwi</v>
      </c>
      <c r="G91" s="173" t="str">
        <v>Navya</v>
      </c>
      <c r="H91" s="173" t="str">
        <v>Kushal</v>
      </c>
      <c r="I91" s="173" t="str">
        <v>Reginald Durham, Simone Brooks, Shaunna Peters, Bill Contreras</v>
      </c>
      <c r="J91" s="184">
        <v>46254</v>
      </c>
      <c r="K91" s="184">
        <v>46254</v>
      </c>
      <c r="L91" s="184" t="str">
        <v/>
      </c>
      <c r="M91" s="184" t="str">
        <v/>
      </c>
      <c r="N91" s="185">
        <v>1</v>
      </c>
      <c r="O91" s="173" t="str">
        <v>This is in QA</v>
      </c>
      <c r="P91" s="142"/>
      <c r="Q91" s="142"/>
      <c r="R91" s="142"/>
      <c r="S91" s="142"/>
      <c r="T91" s="142"/>
      <c r="U91" s="142"/>
      <c r="V91" s="142"/>
      <c r="W91" s="142"/>
      <c r="X91" s="142"/>
      <c r="Y91" s="142"/>
      <c r="Z91" s="142"/>
    </row>
    <row r="92" spans="1:26" ht="18" customHeight="1">
      <c r="A92" s="142"/>
      <c r="B92" s="183" t="str">
        <v>RPT_02_AMI Contractor Completion Report</v>
      </c>
      <c r="C92" s="173" t="str">
        <v>September</v>
      </c>
      <c r="D92" s="173" t="str">
        <v>PBI Dev</v>
      </c>
      <c r="E92" s="173" t="str">
        <v>No</v>
      </c>
      <c r="F92" s="173" t="str">
        <v>Michael</v>
      </c>
      <c r="G92" s="173" t="str">
        <v>Shraddha</v>
      </c>
      <c r="H92" s="173" t="str">
        <v/>
      </c>
      <c r="I92" s="173" t="str">
        <v>Meredith Dube</v>
      </c>
      <c r="J92" s="184">
        <v>46258</v>
      </c>
      <c r="K92" s="184" t="str">
        <v/>
      </c>
      <c r="L92" s="184" t="str">
        <v/>
      </c>
      <c r="M92" s="184" t="str">
        <v/>
      </c>
      <c r="N92" s="185">
        <v>0</v>
      </c>
      <c r="O92" s="173" t="str">
        <v/>
      </c>
      <c r="P92" s="142"/>
      <c r="Q92" s="142"/>
      <c r="R92" s="142"/>
      <c r="S92" s="142"/>
      <c r="T92" s="142"/>
      <c r="U92" s="142"/>
      <c r="V92" s="142"/>
      <c r="W92" s="142"/>
      <c r="X92" s="142"/>
      <c r="Y92" s="142"/>
      <c r="Z92" s="142"/>
    </row>
    <row r="93" spans="1:26" ht="18" customHeight="1">
      <c r="A93" s="142"/>
      <c r="B93" s="183" t="str">
        <v>RPT_02_Collection Statistic</v>
      </c>
      <c r="C93" s="173" t="str">
        <v>September</v>
      </c>
      <c r="D93" s="173" t="str">
        <v>NOT STARTED</v>
      </c>
      <c r="E93" s="173" t="str">
        <v>No</v>
      </c>
      <c r="F93" s="173" t="str">
        <v>Siva</v>
      </c>
      <c r="G93" s="173" t="str">
        <v>Sarath</v>
      </c>
      <c r="H93" s="173" t="str">
        <v/>
      </c>
      <c r="I93" s="173" t="str">
        <v>Brett Palmeri</v>
      </c>
      <c r="J93" s="184" t="str">
        <v/>
      </c>
      <c r="K93" s="184" t="str">
        <v/>
      </c>
      <c r="L93" s="184" t="str">
        <v/>
      </c>
      <c r="M93" s="184" t="str">
        <v/>
      </c>
      <c r="N93" s="185">
        <v>0</v>
      </c>
      <c r="O93" s="173" t="str">
        <v/>
      </c>
      <c r="P93" s="142"/>
      <c r="Q93" s="142"/>
      <c r="R93" s="142"/>
      <c r="S93" s="142"/>
      <c r="T93" s="142"/>
      <c r="U93" s="142"/>
      <c r="V93" s="142"/>
      <c r="W93" s="142"/>
      <c r="X93" s="142"/>
      <c r="Y93" s="142"/>
      <c r="Z93" s="142"/>
    </row>
    <row r="94" spans="1:26" ht="18" customHeight="1">
      <c r="A94" s="142"/>
      <c r="B94" s="183" t="str">
        <v>RPT_02_First and Last Job</v>
      </c>
      <c r="C94" s="173" t="str">
        <v>September</v>
      </c>
      <c r="D94" s="173" t="str">
        <v>QA</v>
      </c>
      <c r="E94" s="173" t="str">
        <v>No</v>
      </c>
      <c r="F94" s="173" t="str">
        <v>Sree</v>
      </c>
      <c r="G94" s="173" t="str">
        <v>Shraddha</v>
      </c>
      <c r="H94" s="173" t="str">
        <v/>
      </c>
      <c r="I94" s="173" t="str">
        <v>Oneil Lashley</v>
      </c>
      <c r="J94" s="184">
        <v>46276</v>
      </c>
      <c r="K94" s="184">
        <v>46303</v>
      </c>
      <c r="L94" s="184" t="str">
        <v/>
      </c>
      <c r="M94" s="184" t="str">
        <v/>
      </c>
      <c r="N94" s="185">
        <v>0</v>
      </c>
      <c r="O94" s="173" t="str">
        <v/>
      </c>
      <c r="P94" s="142"/>
      <c r="Q94" s="142"/>
      <c r="R94" s="142"/>
      <c r="S94" s="142"/>
      <c r="T94" s="142"/>
      <c r="U94" s="142"/>
      <c r="V94" s="142"/>
      <c r="W94" s="142"/>
      <c r="X94" s="142"/>
      <c r="Y94" s="142"/>
      <c r="Z94" s="142"/>
    </row>
    <row r="95" spans="1:26" ht="18" customHeight="1">
      <c r="A95" s="142"/>
      <c r="B95" s="183" t="str">
        <v>RPT_02_Rate Class</v>
      </c>
      <c r="C95" s="173" t="str">
        <v>September</v>
      </c>
      <c r="D95" s="173" t="str">
        <v>Ready for Release in Prod</v>
      </c>
      <c r="E95" s="173" t="str">
        <v>Yes – Blocked in Prod</v>
      </c>
      <c r="F95" s="173" t="str">
        <v>Fetwi</v>
      </c>
      <c r="G95" s="173" t="str">
        <v>Navya</v>
      </c>
      <c r="H95" s="173" t="str">
        <v>Preety</v>
      </c>
      <c r="I95" s="173" t="str">
        <v>Zishan Momin</v>
      </c>
      <c r="J95" s="184">
        <v>46259</v>
      </c>
      <c r="K95" s="184">
        <v>46281</v>
      </c>
      <c r="L95" s="184">
        <v>46293</v>
      </c>
      <c r="M95" s="184">
        <v>46297</v>
      </c>
      <c r="N95" s="185">
        <v>0</v>
      </c>
      <c r="O95" s="173" t="str">
        <v>Blocked - log it on Rework Log</v>
      </c>
      <c r="P95" s="142"/>
      <c r="Q95" s="142"/>
      <c r="R95" s="142"/>
      <c r="S95" s="142"/>
      <c r="T95" s="142"/>
      <c r="U95" s="142"/>
      <c r="V95" s="142"/>
      <c r="W95" s="142"/>
      <c r="X95" s="142"/>
      <c r="Y95" s="142"/>
      <c r="Z95" s="142"/>
    </row>
    <row r="96" spans="1:26" ht="18" customHeight="1">
      <c r="A96" s="142"/>
      <c r="B96" s="183" t="str">
        <v>RPT_04_Leak Recheck Times</v>
      </c>
      <c r="C96" s="173" t="str">
        <v>September</v>
      </c>
      <c r="D96" s="173" t="str">
        <v>DPO Approval</v>
      </c>
      <c r="E96" s="173" t="str">
        <v>No</v>
      </c>
      <c r="F96" s="173" t="str">
        <v>Rupa</v>
      </c>
      <c r="G96" s="173" t="str">
        <v>Shraddha</v>
      </c>
      <c r="H96" s="173" t="str">
        <v>Preety</v>
      </c>
      <c r="I96" s="173" t="str">
        <v>Shaunna Peters</v>
      </c>
      <c r="J96" s="184">
        <v>46258</v>
      </c>
      <c r="K96" s="184">
        <v>46276</v>
      </c>
      <c r="L96" s="184">
        <v>46301</v>
      </c>
      <c r="M96" s="184" t="str">
        <v/>
      </c>
      <c r="N96" s="185">
        <v>0</v>
      </c>
      <c r="O96" s="173" t="str">
        <v/>
      </c>
      <c r="P96" s="142"/>
      <c r="Q96" s="142"/>
      <c r="R96" s="142"/>
      <c r="S96" s="142"/>
      <c r="T96" s="142"/>
      <c r="U96" s="142"/>
      <c r="V96" s="142"/>
      <c r="W96" s="142"/>
      <c r="X96" s="142"/>
      <c r="Y96" s="142"/>
      <c r="Z96" s="142"/>
    </row>
    <row r="97" spans="1:26" ht="18" customHeight="1">
      <c r="A97" s="142"/>
      <c r="B97" s="183" t="str">
        <v>RPT_02_Service Resource Activity</v>
      </c>
      <c r="C97" s="173" t="str">
        <v>October</v>
      </c>
      <c r="D97" s="173" t="str">
        <v>DPO Approval</v>
      </c>
      <c r="E97" s="173" t="str">
        <v/>
      </c>
      <c r="F97" s="173" t="str">
        <v>Rupa</v>
      </c>
      <c r="G97" s="173" t="str">
        <v>Shraddha</v>
      </c>
      <c r="H97" s="173" t="str">
        <v>Preety</v>
      </c>
      <c r="I97" s="173" t="str">
        <v>Simone Brooks</v>
      </c>
      <c r="J97" s="184">
        <v>46259</v>
      </c>
      <c r="K97" s="184">
        <v>46289</v>
      </c>
      <c r="L97" s="184">
        <v>46298</v>
      </c>
      <c r="M97" s="184" t="str">
        <v/>
      </c>
      <c r="N97" s="185">
        <v>0</v>
      </c>
      <c r="O97" s="173" t="str">
        <v/>
      </c>
      <c r="P97" s="142"/>
      <c r="Q97" s="142"/>
      <c r="R97" s="142"/>
      <c r="S97" s="142"/>
      <c r="T97" s="142"/>
      <c r="U97" s="142"/>
      <c r="V97" s="142"/>
      <c r="W97" s="142"/>
      <c r="X97" s="142"/>
      <c r="Y97" s="142"/>
      <c r="Z97" s="142"/>
    </row>
    <row r="98" spans="1:26" ht="18" customHeight="1">
      <c r="A98" s="142"/>
      <c r="B98" s="183" t="str">
        <v>RPT_02_Incomplete Service Appointments</v>
      </c>
      <c r="C98" s="173" t="str">
        <v>October</v>
      </c>
      <c r="D98" s="173" t="str">
        <v>QA</v>
      </c>
      <c r="E98" s="173" t="str">
        <v/>
      </c>
      <c r="F98" s="173" t="str">
        <v>Michael</v>
      </c>
      <c r="G98" s="173" t="str">
        <v>Shraddha</v>
      </c>
      <c r="H98" s="173" t="str">
        <v>Preety</v>
      </c>
      <c r="I98" s="173" t="str">
        <v>Shaunna Peters</v>
      </c>
      <c r="J98" s="184">
        <v>46269</v>
      </c>
      <c r="K98" s="184">
        <v>46303</v>
      </c>
      <c r="L98" s="184" t="str">
        <v/>
      </c>
      <c r="M98" s="184" t="str">
        <v/>
      </c>
      <c r="N98" s="185">
        <v>0</v>
      </c>
      <c r="O98" s="173" t="str">
        <v/>
      </c>
      <c r="P98" s="142"/>
      <c r="Q98" s="142"/>
      <c r="R98" s="142"/>
      <c r="S98" s="142"/>
      <c r="T98" s="142"/>
      <c r="U98" s="142"/>
      <c r="V98" s="142"/>
      <c r="W98" s="142"/>
      <c r="X98" s="142"/>
      <c r="Y98" s="142"/>
      <c r="Z98" s="142"/>
    </row>
    <row r="99" spans="1:26" ht="18" customHeight="1">
      <c r="A99" s="142"/>
      <c r="B99" s="183" t="str">
        <v>RPT_02_Emergency Response Time Review Report</v>
      </c>
      <c r="C99" s="173" t="str">
        <v>October</v>
      </c>
      <c r="D99" s="173" t="str">
        <v>NOT STARTED</v>
      </c>
      <c r="E99" s="173" t="str">
        <v/>
      </c>
      <c r="F99" s="173" t="str">
        <v>Siva</v>
      </c>
      <c r="G99" s="173" t="str">
        <v/>
      </c>
      <c r="H99" s="173" t="str">
        <v/>
      </c>
      <c r="I99" s="173" t="str">
        <v>Christina Illingworth</v>
      </c>
      <c r="J99" s="184" t="str">
        <v/>
      </c>
      <c r="K99" s="184" t="str">
        <v/>
      </c>
      <c r="L99" s="184" t="str">
        <v/>
      </c>
      <c r="M99" s="184" t="str">
        <v/>
      </c>
      <c r="N99" s="185">
        <v>0</v>
      </c>
      <c r="O99" s="173" t="str">
        <v/>
      </c>
      <c r="P99" s="142"/>
      <c r="Q99" s="142"/>
      <c r="R99" s="142"/>
      <c r="S99" s="142"/>
      <c r="T99" s="142"/>
      <c r="U99" s="142"/>
      <c r="V99" s="142"/>
      <c r="W99" s="142"/>
      <c r="X99" s="142"/>
      <c r="Y99" s="142"/>
      <c r="Z99" s="142"/>
    </row>
    <row r="100" spans="1:26" ht="18" customHeight="1">
      <c r="A100" s="142"/>
      <c r="B100" s="183" t="str">
        <v>RPT_02_Personal Injury and Shock Investigation</v>
      </c>
      <c r="C100" s="173" t="str">
        <v>October</v>
      </c>
      <c r="D100" s="173" t="str">
        <v>NOT STARTED</v>
      </c>
      <c r="E100" s="173" t="str">
        <v/>
      </c>
      <c r="F100" s="173" t="str">
        <v>Siva</v>
      </c>
      <c r="G100" s="173" t="str">
        <v/>
      </c>
      <c r="H100" s="173" t="str">
        <v/>
      </c>
      <c r="I100" s="173" t="str">
        <v>Christina Illingworth</v>
      </c>
      <c r="J100" s="184" t="str">
        <v/>
      </c>
      <c r="K100" s="184" t="str">
        <v/>
      </c>
      <c r="L100" s="184" t="str">
        <v/>
      </c>
      <c r="M100" s="184" t="str">
        <v/>
      </c>
      <c r="N100" s="185">
        <v>0</v>
      </c>
      <c r="O100" s="173" t="str">
        <v/>
      </c>
      <c r="P100" s="142"/>
      <c r="Q100" s="142"/>
      <c r="R100" s="142"/>
      <c r="S100" s="142"/>
      <c r="T100" s="142"/>
      <c r="U100" s="142"/>
      <c r="V100" s="142"/>
      <c r="W100" s="142"/>
      <c r="X100" s="142"/>
      <c r="Y100" s="142"/>
      <c r="Z100" s="142"/>
    </row>
    <row r="101" spans="1:26" ht="18" customHeight="1">
      <c r="A101" s="142"/>
      <c r="B101" s="183" t="str">
        <v>RPT_02_Emergency Response Statistics</v>
      </c>
      <c r="C101" s="173" t="str">
        <v>October</v>
      </c>
      <c r="D101" s="173" t="str">
        <v>NOT STARTED</v>
      </c>
      <c r="E101" s="173" t="str">
        <v/>
      </c>
      <c r="F101" s="173" t="str">
        <v>Nick</v>
      </c>
      <c r="G101" s="173" t="str">
        <v/>
      </c>
      <c r="H101" s="173" t="str">
        <v/>
      </c>
      <c r="I101" s="173" t="str">
        <v>Christina Illingworth</v>
      </c>
      <c r="J101" s="184" t="str">
        <v/>
      </c>
      <c r="K101" s="184" t="str">
        <v/>
      </c>
      <c r="L101" s="184" t="str">
        <v/>
      </c>
      <c r="M101" s="184" t="str">
        <v/>
      </c>
      <c r="N101" s="185">
        <v>0</v>
      </c>
      <c r="O101" s="173" t="str">
        <v/>
      </c>
      <c r="P101" s="142"/>
      <c r="Q101" s="142"/>
      <c r="R101" s="142"/>
      <c r="S101" s="142"/>
      <c r="T101" s="142"/>
      <c r="U101" s="142"/>
      <c r="V101" s="142"/>
      <c r="W101" s="142"/>
      <c r="X101" s="142"/>
      <c r="Y101" s="142"/>
      <c r="Z101" s="142"/>
    </row>
    <row r="102" spans="1:26" ht="18" customHeight="1">
      <c r="A102" s="142"/>
      <c r="B102" s="183" t="str">
        <v>RPT_02_Emergency Time Adjustments Log</v>
      </c>
      <c r="C102" s="173" t="str">
        <v>October</v>
      </c>
      <c r="D102" s="173" t="str">
        <v>PBI Dev</v>
      </c>
      <c r="E102" s="182" t="str">
        <v>Yes – needs DB Dev to fix</v>
      </c>
      <c r="F102" s="173" t="str">
        <v>Fetwi</v>
      </c>
      <c r="G102" s="173" t="str">
        <v>Navya</v>
      </c>
      <c r="H102" s="173" t="str">
        <v/>
      </c>
      <c r="I102" s="173" t="str">
        <v>Bryan Patterson, Reginald Durham, Shaunna Peters, Simone Brooks, Bill Contreras</v>
      </c>
      <c r="J102" s="184">
        <v>46266</v>
      </c>
      <c r="K102" s="184" t="str">
        <v/>
      </c>
      <c r="L102" s="184" t="str">
        <v/>
      </c>
      <c r="M102" s="184" t="str">
        <v/>
      </c>
      <c r="N102" s="185">
        <v>0</v>
      </c>
      <c r="O102" s="173" t="str">
        <v>Blocked - log it on Rework Log</v>
      </c>
      <c r="P102" s="142"/>
      <c r="Q102" s="142"/>
      <c r="R102" s="142"/>
      <c r="S102" s="142"/>
      <c r="T102" s="142"/>
      <c r="U102" s="142"/>
      <c r="V102" s="142"/>
      <c r="W102" s="142"/>
      <c r="X102" s="142"/>
      <c r="Y102" s="142"/>
      <c r="Z102" s="142"/>
    </row>
    <row r="103" spans="1:26" ht="18" customHeight="1">
      <c r="A103" s="142"/>
      <c r="B103" s="183" t="str">
        <v>RPT_02_PSC Soft Off Report</v>
      </c>
      <c r="C103" s="173" t="str">
        <v>October</v>
      </c>
      <c r="D103" s="173" t="str">
        <v>PBI Dev</v>
      </c>
      <c r="E103" s="182" t="str">
        <v/>
      </c>
      <c r="F103" s="173" t="str">
        <v>Rupa</v>
      </c>
      <c r="G103" s="173" t="str">
        <v>Navya</v>
      </c>
      <c r="H103" s="173" t="str">
        <v/>
      </c>
      <c r="I103" s="173" t="str">
        <v>Angela Keegan</v>
      </c>
      <c r="J103" s="184">
        <v>46266</v>
      </c>
      <c r="K103" s="184" t="str">
        <v/>
      </c>
      <c r="L103" s="184" t="str">
        <v/>
      </c>
      <c r="M103" s="184" t="str">
        <v/>
      </c>
      <c r="N103" s="185">
        <v>0</v>
      </c>
      <c r="O103" s="173" t="str">
        <v/>
      </c>
      <c r="P103" s="142"/>
      <c r="Q103" s="142"/>
      <c r="R103" s="142"/>
      <c r="S103" s="142"/>
      <c r="T103" s="142"/>
      <c r="U103" s="142"/>
      <c r="V103" s="142"/>
      <c r="W103" s="142"/>
      <c r="X103" s="142"/>
      <c r="Y103" s="142"/>
      <c r="Z103" s="142"/>
    </row>
    <row r="104" spans="1:26" ht="18" customHeight="1">
      <c r="A104" s="142"/>
      <c r="B104" s="183" t="str">
        <v>RPT_02_Service Interruptions</v>
      </c>
      <c r="C104" s="173" t="str">
        <v>October</v>
      </c>
      <c r="D104" s="182" t="str">
        <v>QA</v>
      </c>
      <c r="E104" s="173" t="str">
        <v>No</v>
      </c>
      <c r="F104" s="173" t="str">
        <v>Geetha</v>
      </c>
      <c r="G104" s="173" t="str">
        <v>Navya</v>
      </c>
      <c r="H104" s="173" t="str">
        <v>Preety</v>
      </c>
      <c r="I104" s="173" t="str">
        <v>Bryan Patterson, Reginald Durham, Bill Contreras</v>
      </c>
      <c r="J104" s="184">
        <v>46280</v>
      </c>
      <c r="K104" s="184" t="str">
        <v/>
      </c>
      <c r="L104" s="184" t="str">
        <v/>
      </c>
      <c r="M104" s="184" t="str">
        <v/>
      </c>
      <c r="N104" s="185">
        <v>0</v>
      </c>
      <c r="O104" s="173" t="str">
        <v/>
      </c>
      <c r="P104" s="142"/>
      <c r="Q104" s="142"/>
      <c r="R104" s="142"/>
      <c r="S104" s="142"/>
      <c r="T104" s="142"/>
      <c r="U104" s="142"/>
      <c r="V104" s="142"/>
      <c r="W104" s="142"/>
      <c r="X104" s="142"/>
      <c r="Y104" s="142"/>
      <c r="Z104" s="142"/>
    </row>
    <row r="105" spans="1:26" ht="18" customHeight="1">
      <c r="A105" s="142"/>
      <c r="B105" s="183" t="str">
        <v>RPT_02_Duty to Inspect</v>
      </c>
      <c r="C105" s="173" t="str">
        <v>October</v>
      </c>
      <c r="D105" s="173" t="str">
        <v>QA</v>
      </c>
      <c r="E105" s="173" t="str">
        <v/>
      </c>
      <c r="F105" s="173" t="str">
        <v>Geetha</v>
      </c>
      <c r="G105" s="173" t="str">
        <v>Navya</v>
      </c>
      <c r="H105" s="173" t="str">
        <v>Preety</v>
      </c>
      <c r="I105" s="173" t="str">
        <v>Bryan Patterson</v>
      </c>
      <c r="J105" s="184">
        <v>46287</v>
      </c>
      <c r="K105" s="184">
        <v>46294</v>
      </c>
      <c r="L105" s="184" t="str">
        <v/>
      </c>
      <c r="M105" s="184" t="str">
        <v/>
      </c>
      <c r="N105" s="185">
        <v>0</v>
      </c>
      <c r="O105" s="173" t="str">
        <v/>
      </c>
      <c r="P105" s="142"/>
      <c r="Q105" s="142"/>
      <c r="R105" s="142"/>
      <c r="S105" s="142"/>
      <c r="T105" s="142"/>
      <c r="U105" s="142"/>
      <c r="V105" s="142"/>
      <c r="W105" s="142"/>
      <c r="X105" s="142"/>
      <c r="Y105" s="142"/>
      <c r="Z105" s="142"/>
    </row>
    <row r="106" spans="1:26" ht="18" customHeight="1">
      <c r="A106" s="142"/>
      <c r="B106" s="183" t="str">
        <v>RPT_02_Service Appointment Life Cycle</v>
      </c>
      <c r="C106" s="173" t="str">
        <v>October</v>
      </c>
      <c r="D106" s="173" t="str">
        <v>DB Dev</v>
      </c>
      <c r="E106" s="173" t="str">
        <v/>
      </c>
      <c r="F106" s="173" t="str">
        <v>Nick</v>
      </c>
      <c r="G106" s="173" t="str">
        <v>Shraddha</v>
      </c>
      <c r="H106" s="173" t="str">
        <v>Preety</v>
      </c>
      <c r="I106" s="173" t="str">
        <v>Megan Piccarreto</v>
      </c>
      <c r="J106" s="184">
        <v>46283</v>
      </c>
      <c r="K106" s="184" t="str">
        <v/>
      </c>
      <c r="L106" s="184" t="str">
        <v/>
      </c>
      <c r="M106" s="184" t="str">
        <v/>
      </c>
      <c r="N106" s="185">
        <v>0</v>
      </c>
      <c r="O106" s="173" t="str">
        <v>Move status to PBI Dev</v>
      </c>
      <c r="P106" s="142"/>
      <c r="Q106" s="142"/>
      <c r="R106" s="142"/>
      <c r="S106" s="142"/>
      <c r="T106" s="142"/>
      <c r="U106" s="142"/>
      <c r="V106" s="142"/>
      <c r="W106" s="142"/>
      <c r="X106" s="142"/>
      <c r="Y106" s="142"/>
      <c r="Z106" s="142"/>
    </row>
    <row r="107" spans="1:26" ht="18" customHeight="1">
      <c r="A107" s="142"/>
      <c r="B107" s="183" t="str">
        <v>RPT_02_PSC Inactive Account</v>
      </c>
      <c r="C107" s="173" t="str">
        <v>October</v>
      </c>
      <c r="D107" s="173" t="str">
        <v>QA</v>
      </c>
      <c r="E107" s="173" t="str">
        <v/>
      </c>
      <c r="F107" s="173" t="str">
        <v>Rupa</v>
      </c>
      <c r="G107" s="173" t="str">
        <v>Shraddha</v>
      </c>
      <c r="H107" s="173" t="str">
        <v>Preety</v>
      </c>
      <c r="I107" s="173" t="str">
        <v>Reginald Durham, Simone Brooks</v>
      </c>
      <c r="J107" s="184">
        <v>46268</v>
      </c>
      <c r="K107" s="184">
        <v>46294</v>
      </c>
      <c r="L107" s="184" t="str">
        <v/>
      </c>
      <c r="M107" s="184" t="str">
        <v/>
      </c>
      <c r="N107" s="185">
        <v>0</v>
      </c>
      <c r="O107" s="173" t="str">
        <v/>
      </c>
      <c r="P107" s="142"/>
      <c r="Q107" s="142"/>
      <c r="R107" s="142"/>
      <c r="S107" s="142"/>
      <c r="T107" s="142"/>
      <c r="U107" s="142"/>
      <c r="V107" s="142"/>
      <c r="W107" s="142"/>
      <c r="X107" s="142"/>
      <c r="Y107" s="142"/>
      <c r="Z107" s="142"/>
    </row>
    <row r="108" spans="1:26" ht="18" customHeight="1">
      <c r="A108" s="142"/>
      <c r="B108" s="183" t="str">
        <v>RPT_02_Service Resource Performance</v>
      </c>
      <c r="C108" s="173" t="str">
        <v>October</v>
      </c>
      <c r="D108" s="173" t="str">
        <v>PBI Dev</v>
      </c>
      <c r="E108" s="173" t="str">
        <v/>
      </c>
      <c r="F108" s="173" t="str">
        <v>Rupa</v>
      </c>
      <c r="G108" s="173" t="str">
        <v>Navya</v>
      </c>
      <c r="H108" s="173" t="str">
        <v/>
      </c>
      <c r="I108" s="173" t="str">
        <v>Oneil Lashley</v>
      </c>
      <c r="J108" s="184">
        <v>46286</v>
      </c>
      <c r="K108" s="184" t="str">
        <v/>
      </c>
      <c r="L108" s="184" t="str">
        <v/>
      </c>
      <c r="M108" s="184" t="str">
        <v/>
      </c>
      <c r="N108" s="185">
        <v>0</v>
      </c>
      <c r="O108" s="173" t="str">
        <v/>
      </c>
      <c r="P108" s="142"/>
      <c r="Q108" s="142"/>
      <c r="R108" s="142"/>
      <c r="S108" s="142"/>
      <c r="T108" s="142"/>
      <c r="U108" s="142"/>
      <c r="V108" s="142"/>
      <c r="W108" s="142"/>
      <c r="X108" s="142"/>
      <c r="Y108" s="142"/>
      <c r="Z108" s="142"/>
    </row>
    <row r="109" spans="1:26" ht="18" customHeight="1">
      <c r="A109" s="142"/>
      <c r="B109" s="183" t="str">
        <v>RPT_02_Emergency Leak Response Metric (6 sub reports)</v>
      </c>
      <c r="C109" s="173" t="str">
        <v>October</v>
      </c>
      <c r="D109" s="173" t="str">
        <v>QA</v>
      </c>
      <c r="E109" s="173" t="str">
        <v/>
      </c>
      <c r="F109" s="173" t="str">
        <v>Fetwi</v>
      </c>
      <c r="G109" s="173" t="str">
        <v>Navya</v>
      </c>
      <c r="H109" s="173" t="str">
        <v/>
      </c>
      <c r="I109" s="173" t="str">
        <v>Bryan Patterson, Reginald Durham, Shaunna Peters, Simone Brooks, Bill Contreras</v>
      </c>
      <c r="J109" s="184">
        <v>46286</v>
      </c>
      <c r="K109" s="184" t="str">
        <v/>
      </c>
      <c r="L109" s="184" t="str">
        <v/>
      </c>
      <c r="M109" s="184" t="str">
        <v/>
      </c>
      <c r="N109" s="185">
        <v>0</v>
      </c>
      <c r="O109" s="173" t="str">
        <v/>
      </c>
      <c r="P109" s="142"/>
      <c r="Q109" s="142"/>
      <c r="R109" s="142"/>
      <c r="S109" s="142"/>
      <c r="T109" s="142"/>
      <c r="U109" s="142"/>
      <c r="V109" s="142"/>
      <c r="W109" s="142"/>
      <c r="X109" s="142"/>
      <c r="Y109" s="142"/>
      <c r="Z109" s="142"/>
    </row>
    <row r="110" spans="1:26" ht="18" customHeight="1">
      <c r="A110" s="142"/>
      <c r="B110" s="183" t="str">
        <v>RPT_02_Fixed Factor Mismatch</v>
      </c>
      <c r="C110" s="173" t="str">
        <v>November</v>
      </c>
      <c r="D110" s="173" t="str">
        <v>NOT STARTED</v>
      </c>
      <c r="E110" s="173" t="str">
        <v/>
      </c>
      <c r="F110" s="173" t="str">
        <v>Siddu</v>
      </c>
      <c r="G110" s="173" t="str">
        <v>Navya</v>
      </c>
      <c r="H110" s="173" t="str">
        <v/>
      </c>
      <c r="I110" s="173" t="str">
        <v>Matthew Menicucci</v>
      </c>
      <c r="J110" s="184">
        <v>46290</v>
      </c>
      <c r="K110" s="184" t="str">
        <v/>
      </c>
      <c r="L110" s="184" t="str">
        <v/>
      </c>
      <c r="M110" s="184" t="str">
        <v/>
      </c>
      <c r="N110" s="185">
        <v>0</v>
      </c>
      <c r="O110" s="173" t="str">
        <v>Move status to PBI Dev</v>
      </c>
      <c r="P110" s="142"/>
      <c r="Q110" s="142"/>
      <c r="R110" s="142"/>
      <c r="S110" s="142"/>
      <c r="T110" s="142"/>
      <c r="U110" s="142"/>
      <c r="V110" s="142"/>
      <c r="W110" s="142"/>
      <c r="X110" s="142"/>
      <c r="Y110" s="142"/>
      <c r="Z110" s="142"/>
    </row>
    <row r="111" spans="1:26" ht="18" customHeight="1">
      <c r="A111" s="142"/>
      <c r="B111" s="183" t="str">
        <v>RPT_02_Light Up Orders</v>
      </c>
      <c r="C111" s="173" t="str">
        <v>November</v>
      </c>
      <c r="D111" s="173" t="str">
        <v>NOT STARTED</v>
      </c>
      <c r="E111" s="173" t="str">
        <v/>
      </c>
      <c r="F111" s="173" t="str">
        <v>Siva</v>
      </c>
      <c r="G111" s="173" t="str">
        <v>Navya</v>
      </c>
      <c r="H111" s="173" t="str">
        <v/>
      </c>
      <c r="I111" s="173" t="str">
        <v>Shaunna Peters</v>
      </c>
      <c r="J111" s="184" t="str">
        <v/>
      </c>
      <c r="K111" s="184" t="str">
        <v/>
      </c>
      <c r="L111" s="184" t="str">
        <v/>
      </c>
      <c r="M111" s="184" t="str">
        <v/>
      </c>
      <c r="N111" s="185">
        <v>0</v>
      </c>
      <c r="O111" s="173" t="str">
        <v/>
      </c>
      <c r="P111" s="142"/>
      <c r="Q111" s="142"/>
      <c r="R111" s="142"/>
      <c r="S111" s="142"/>
      <c r="T111" s="142"/>
      <c r="U111" s="142"/>
      <c r="V111" s="142"/>
      <c r="W111" s="142"/>
      <c r="X111" s="142"/>
      <c r="Y111" s="142"/>
      <c r="Z111" s="142"/>
    </row>
    <row r="112" spans="1:26" ht="18" customHeight="1">
      <c r="A112" s="142"/>
      <c r="B112" s="183" t="str">
        <v>RPT_02_Meter To Billing Report</v>
      </c>
      <c r="C112" s="173" t="str">
        <v>November</v>
      </c>
      <c r="D112" s="173" t="str">
        <v>NOT STARTED</v>
      </c>
      <c r="E112" s="173" t="str">
        <v/>
      </c>
      <c r="F112" s="173" t="str">
        <v>Siva</v>
      </c>
      <c r="G112" s="173" t="str">
        <v>Shraddha</v>
      </c>
      <c r="H112" s="173" t="str">
        <v/>
      </c>
      <c r="I112" s="173" t="str">
        <v>Shaunna Peters</v>
      </c>
      <c r="J112" s="184" t="str">
        <v/>
      </c>
      <c r="K112" s="184" t="str">
        <v/>
      </c>
      <c r="L112" s="184" t="str">
        <v/>
      </c>
      <c r="M112" s="184" t="str">
        <v/>
      </c>
      <c r="N112" s="185">
        <v>0</v>
      </c>
      <c r="O112" s="173" t="str">
        <v/>
      </c>
      <c r="P112" s="142"/>
      <c r="Q112" s="142"/>
      <c r="R112" s="142"/>
      <c r="S112" s="142"/>
      <c r="T112" s="142"/>
      <c r="U112" s="142"/>
      <c r="V112" s="142"/>
      <c r="W112" s="142"/>
      <c r="X112" s="142"/>
      <c r="Y112" s="142"/>
      <c r="Z112" s="142"/>
    </row>
    <row r="113" spans="1:26" ht="18" customHeight="1">
      <c r="A113" s="142"/>
      <c r="B113" s="183" t="str">
        <v>RPT_02_Install Meter Orders</v>
      </c>
      <c r="C113" s="173" t="str">
        <v>November</v>
      </c>
      <c r="D113" s="173" t="str">
        <v>NOT STARTED</v>
      </c>
      <c r="E113" s="173" t="str">
        <v/>
      </c>
      <c r="F113" s="173" t="str">
        <v>Michael</v>
      </c>
      <c r="G113" s="173" t="str">
        <v>Shraddha</v>
      </c>
      <c r="H113" s="173" t="str">
        <v/>
      </c>
      <c r="I113" s="173" t="str">
        <v>Shaunna Peters</v>
      </c>
      <c r="J113" s="184">
        <v>46282</v>
      </c>
      <c r="K113" s="184" t="str">
        <v/>
      </c>
      <c r="L113" s="184" t="str">
        <v/>
      </c>
      <c r="M113" s="184" t="str">
        <v/>
      </c>
      <c r="N113" s="185">
        <v>0</v>
      </c>
      <c r="O113" s="173" t="str">
        <v>Move status to PBI Dev</v>
      </c>
      <c r="P113" s="142"/>
      <c r="Q113" s="142"/>
      <c r="R113" s="142"/>
      <c r="S113" s="142"/>
      <c r="T113" s="142"/>
      <c r="U113" s="142"/>
      <c r="V113" s="142"/>
      <c r="W113" s="142"/>
      <c r="X113" s="142"/>
      <c r="Y113" s="142"/>
      <c r="Z113" s="142"/>
    </row>
    <row r="114" spans="1:26" ht="18" customHeight="1">
      <c r="A114" s="142"/>
      <c r="B114" s="183" t="str">
        <v>RPT_02_Non Emergency Orders</v>
      </c>
      <c r="C114" s="173" t="str">
        <v>November</v>
      </c>
      <c r="D114" s="173" t="str">
        <v>NOT STARTED</v>
      </c>
      <c r="E114" s="173" t="str">
        <v/>
      </c>
      <c r="F114" s="173" t="str">
        <v>Michael</v>
      </c>
      <c r="G114" s="173" t="str">
        <v>Navya</v>
      </c>
      <c r="H114" s="173" t="str">
        <v/>
      </c>
      <c r="I114" s="173" t="str">
        <v>Shaunna Peters</v>
      </c>
      <c r="J114" s="184">
        <v>46303</v>
      </c>
      <c r="K114" s="184" t="str">
        <v/>
      </c>
      <c r="L114" s="184" t="str">
        <v/>
      </c>
      <c r="M114" s="184" t="str">
        <v/>
      </c>
      <c r="N114" s="185">
        <v>0</v>
      </c>
      <c r="O114" s="173" t="str">
        <v>Move status to PBI Dev</v>
      </c>
      <c r="P114" s="142"/>
      <c r="Q114" s="142"/>
      <c r="R114" s="142"/>
      <c r="S114" s="142"/>
      <c r="T114" s="142"/>
      <c r="U114" s="142"/>
      <c r="V114" s="142"/>
      <c r="W114" s="142"/>
      <c r="X114" s="142"/>
      <c r="Y114" s="142"/>
      <c r="Z114" s="142"/>
    </row>
    <row r="115" spans="1:26" ht="18" customHeight="1">
      <c r="A115" s="142"/>
      <c r="B115" s="183" t="str">
        <v>RPT_02_Carbon Monoxide</v>
      </c>
      <c r="C115" s="173" t="str">
        <v>November</v>
      </c>
      <c r="D115" s="173" t="str">
        <v>NOT STARTED</v>
      </c>
      <c r="E115" s="173" t="str">
        <v/>
      </c>
      <c r="F115" s="173" t="str">
        <v>Sree</v>
      </c>
      <c r="G115" s="173" t="str">
        <v>Navya</v>
      </c>
      <c r="H115" s="173" t="str">
        <v/>
      </c>
      <c r="I115" s="173" t="str">
        <v>Bryan Patterson, Reginald Durham, Simone Brooks, Bill Contreras</v>
      </c>
      <c r="J115" s="184">
        <v>46273</v>
      </c>
      <c r="K115" s="184" t="str">
        <v/>
      </c>
      <c r="L115" s="184" t="str">
        <v/>
      </c>
      <c r="M115" s="184" t="str">
        <v/>
      </c>
      <c r="N115" s="185">
        <v>0</v>
      </c>
      <c r="O115" s="173" t="str">
        <v>Move status to PBI Dev</v>
      </c>
      <c r="P115" s="142"/>
      <c r="Q115" s="142"/>
      <c r="R115" s="142"/>
      <c r="S115" s="142"/>
      <c r="T115" s="142"/>
      <c r="U115" s="142"/>
      <c r="V115" s="142"/>
      <c r="W115" s="142"/>
      <c r="X115" s="142"/>
      <c r="Y115" s="142"/>
      <c r="Z115" s="142"/>
    </row>
    <row r="116" spans="1:26" ht="18" customHeight="1">
      <c r="A116" s="142"/>
      <c r="B116" s="183" t="str">
        <v>RPT_02_All Jobs</v>
      </c>
      <c r="C116" s="173" t="str">
        <v>November</v>
      </c>
      <c r="D116" s="173" t="str">
        <v>NOT STARTED</v>
      </c>
      <c r="E116" s="173" t="str">
        <v/>
      </c>
      <c r="F116" s="173" t="str">
        <v>Siddu</v>
      </c>
      <c r="G116" s="173" t="str">
        <v>Shraddha</v>
      </c>
      <c r="H116" s="173" t="str">
        <v/>
      </c>
      <c r="I116" s="173" t="str">
        <v>Shaunna Peters</v>
      </c>
      <c r="J116" s="184">
        <v>46275</v>
      </c>
      <c r="K116" s="184" t="str">
        <v/>
      </c>
      <c r="L116" s="184" t="str">
        <v/>
      </c>
      <c r="M116" s="184" t="str">
        <v/>
      </c>
      <c r="N116" s="185">
        <v>0</v>
      </c>
      <c r="O116" s="173" t="str">
        <v>Move status to PBI Dev</v>
      </c>
      <c r="P116" s="142"/>
      <c r="Q116" s="142"/>
      <c r="R116" s="142"/>
      <c r="S116" s="142"/>
      <c r="T116" s="142"/>
      <c r="U116" s="142"/>
      <c r="V116" s="142"/>
      <c r="W116" s="142"/>
      <c r="X116" s="142"/>
      <c r="Y116" s="142"/>
      <c r="Z116" s="142"/>
    </row>
    <row r="117" spans="1:26" ht="18" customHeight="1">
      <c r="A117" s="142"/>
      <c r="B117" s="183" t="str">
        <v>RPT_02_BCP Service Appointment WOs</v>
      </c>
      <c r="C117" s="173" t="str">
        <v>November</v>
      </c>
      <c r="D117" s="173" t="str">
        <v>PBI Dev</v>
      </c>
      <c r="E117" s="173" t="str">
        <v/>
      </c>
      <c r="F117" s="173" t="str">
        <v>Nick</v>
      </c>
      <c r="G117" s="173" t="str">
        <v>Navya</v>
      </c>
      <c r="H117" s="173" t="str">
        <v/>
      </c>
      <c r="I117" s="173" t="str">
        <v>Reginald Durham, Bill Contreras</v>
      </c>
      <c r="J117" s="184">
        <v>46308</v>
      </c>
      <c r="K117" s="184" t="str">
        <v/>
      </c>
      <c r="L117" s="184" t="str">
        <v/>
      </c>
      <c r="M117" s="184" t="str">
        <v/>
      </c>
      <c r="N117" s="185">
        <v>0</v>
      </c>
      <c r="O117" s="173" t="str">
        <v/>
      </c>
      <c r="P117" s="142"/>
      <c r="Q117" s="142"/>
      <c r="R117" s="142"/>
      <c r="S117" s="142"/>
      <c r="T117" s="142"/>
      <c r="U117" s="142"/>
      <c r="V117" s="142"/>
      <c r="W117" s="142"/>
      <c r="X117" s="142"/>
      <c r="Y117" s="142"/>
      <c r="Z117" s="142"/>
    </row>
    <row r="118" spans="1:26" ht="18" customHeight="1">
      <c r="A118" s="142"/>
      <c r="B118" s="183" t="str">
        <v>RPT_02_Meter Order Tracking</v>
      </c>
      <c r="C118" s="173" t="str">
        <v>November</v>
      </c>
      <c r="D118" s="173" t="str">
        <v>PBI Dev</v>
      </c>
      <c r="E118" s="173" t="str">
        <v/>
      </c>
      <c r="F118" s="173" t="str">
        <v>Nick</v>
      </c>
      <c r="G118" s="173" t="str">
        <v>Shraddha</v>
      </c>
      <c r="H118" s="173" t="str">
        <v/>
      </c>
      <c r="I118" s="173" t="str">
        <v>Oneil Lashley</v>
      </c>
      <c r="J118" s="184">
        <v>46301</v>
      </c>
      <c r="K118" s="184" t="str">
        <v/>
      </c>
      <c r="L118" s="184" t="str">
        <v/>
      </c>
      <c r="M118" s="184" t="str">
        <v/>
      </c>
      <c r="N118" s="185">
        <v>0</v>
      </c>
      <c r="O118" s="173" t="str">
        <v/>
      </c>
      <c r="P118" s="142"/>
      <c r="Q118" s="142"/>
      <c r="R118" s="142"/>
      <c r="S118" s="142"/>
      <c r="T118" s="142"/>
      <c r="U118" s="142"/>
      <c r="V118" s="142"/>
      <c r="W118" s="142"/>
      <c r="X118" s="142"/>
      <c r="Y118" s="142"/>
      <c r="Z118" s="142"/>
    </row>
    <row r="119" spans="1:26" ht="18" customHeight="1">
      <c r="A119" s="142"/>
      <c r="B119" s="183" t="str">
        <v>RPT_02_Tech Availability, Utilization &amp; Absence</v>
      </c>
      <c r="C119" s="173" t="str">
        <v>November</v>
      </c>
      <c r="D119" s="173" t="str">
        <v>DB Dev</v>
      </c>
      <c r="E119" s="182" t="str">
        <v/>
      </c>
      <c r="F119" s="173" t="str">
        <v>Rupa</v>
      </c>
      <c r="G119" s="173" t="str">
        <v>Shraddha</v>
      </c>
      <c r="H119" s="173" t="str">
        <v/>
      </c>
      <c r="I119" s="173" t="str">
        <v>Reginald Durham, Bill Contreras, Bill Contreras</v>
      </c>
      <c r="J119" s="184" t="str">
        <v/>
      </c>
      <c r="K119" s="184" t="str">
        <v/>
      </c>
      <c r="L119" s="184" t="str">
        <v/>
      </c>
      <c r="M119" s="184" t="str">
        <v/>
      </c>
      <c r="N119" s="185">
        <v>0</v>
      </c>
      <c r="O119" s="173" t="str">
        <v/>
      </c>
      <c r="P119" s="142"/>
      <c r="Q119" s="142"/>
      <c r="R119" s="142"/>
      <c r="S119" s="142"/>
      <c r="T119" s="142"/>
      <c r="U119" s="142"/>
      <c r="V119" s="142"/>
      <c r="W119" s="142"/>
      <c r="X119" s="142"/>
      <c r="Y119" s="142"/>
      <c r="Z119" s="142"/>
    </row>
    <row r="120" spans="1:26" ht="18" customHeight="1">
      <c r="A120" s="142"/>
      <c r="B120" s="183" t="str">
        <v>RPT_02_Job Productivity</v>
      </c>
      <c r="C120" s="173" t="str">
        <v>November</v>
      </c>
      <c r="D120" s="182" t="str">
        <v>PBI Dev</v>
      </c>
      <c r="E120" s="173" t="str">
        <v/>
      </c>
      <c r="F120" s="173" t="str">
        <v>Rupa</v>
      </c>
      <c r="G120" s="173" t="str">
        <v>Navya</v>
      </c>
      <c r="H120" s="173" t="str">
        <v/>
      </c>
      <c r="I120" s="173" t="str">
        <v>Laura Capasso, Michelle Fitten, Anthony Jenson</v>
      </c>
      <c r="J120" s="184" t="str">
        <v/>
      </c>
      <c r="K120" s="184" t="str">
        <v/>
      </c>
      <c r="L120" s="184" t="str">
        <v/>
      </c>
      <c r="M120" s="184" t="str">
        <v/>
      </c>
      <c r="N120" s="185">
        <v>0</v>
      </c>
      <c r="O120" s="173" t="str">
        <v/>
      </c>
      <c r="P120" s="142"/>
      <c r="Q120" s="142"/>
      <c r="R120" s="142"/>
      <c r="S120" s="142"/>
      <c r="T120" s="142"/>
      <c r="U120" s="142"/>
      <c r="V120" s="142"/>
      <c r="W120" s="142"/>
      <c r="X120" s="142"/>
      <c r="Y120" s="142"/>
      <c r="Z120" s="142"/>
    </row>
    <row r="121" spans="1:26" ht="18" customHeight="1">
      <c r="A121" s="142"/>
      <c r="B121" s="183" t="str">
        <v>RPT_02_Post Capacity Service Appointments</v>
      </c>
      <c r="C121" s="173" t="str">
        <v>November</v>
      </c>
      <c r="D121" s="173" t="str">
        <v>DB Dev</v>
      </c>
      <c r="E121" s="173" t="str">
        <v/>
      </c>
      <c r="F121" s="173" t="str">
        <v>Greeta</v>
      </c>
      <c r="G121" s="173" t="str">
        <v>Shraddha</v>
      </c>
      <c r="H121" s="173" t="str">
        <v/>
      </c>
      <c r="I121" s="173" t="str">
        <v>Ryan Flaherty</v>
      </c>
      <c r="J121" s="184" t="str">
        <v/>
      </c>
      <c r="K121" s="184" t="str">
        <v/>
      </c>
      <c r="L121" s="184" t="str">
        <v/>
      </c>
      <c r="M121" s="184" t="str">
        <v/>
      </c>
      <c r="N121" s="185">
        <v>0</v>
      </c>
      <c r="O121" s="173" t="str">
        <v/>
      </c>
      <c r="P121" s="142"/>
      <c r="Q121" s="142"/>
      <c r="R121" s="142"/>
      <c r="S121" s="142"/>
      <c r="T121" s="142"/>
      <c r="U121" s="142"/>
      <c r="V121" s="142"/>
      <c r="W121" s="142"/>
      <c r="X121" s="142"/>
      <c r="Y121" s="142"/>
      <c r="Z121" s="142"/>
    </row>
    <row r="122" spans="1:26" ht="18" customHeight="1">
      <c r="A122" s="142"/>
      <c r="B122" s="183" t="str">
        <v>RPT_02_Check Estimate</v>
      </c>
      <c r="C122" s="173" t="str">
        <v>November</v>
      </c>
      <c r="D122" s="173" t="str">
        <v>PBI Dev</v>
      </c>
      <c r="E122" s="173" t="str">
        <v/>
      </c>
      <c r="F122" s="173" t="str">
        <v>Greeta</v>
      </c>
      <c r="G122" s="173" t="str">
        <v>Navya</v>
      </c>
      <c r="H122" s="173" t="str">
        <v/>
      </c>
      <c r="I122" s="173" t="str">
        <v>Shaunna Peters</v>
      </c>
      <c r="J122" s="184">
        <v>46296</v>
      </c>
      <c r="K122" s="184" t="str">
        <v/>
      </c>
      <c r="L122" s="184" t="str">
        <v/>
      </c>
      <c r="M122" s="184" t="str">
        <v/>
      </c>
      <c r="N122" s="185">
        <v>0</v>
      </c>
      <c r="O122" s="173" t="str">
        <v/>
      </c>
      <c r="P122" s="142"/>
      <c r="Q122" s="142"/>
      <c r="R122" s="142"/>
      <c r="S122" s="142"/>
      <c r="T122" s="142"/>
      <c r="U122" s="142"/>
      <c r="V122" s="142"/>
      <c r="W122" s="142"/>
      <c r="X122" s="142"/>
      <c r="Y122" s="142"/>
      <c r="Z122" s="142"/>
    </row>
    <row r="123" spans="1:26" ht="18" customHeight="1">
      <c r="A123" s="142"/>
      <c r="B123" s="183" t="str">
        <v>RPT_02_Service Appointments (5 sub reports)</v>
      </c>
      <c r="C123" s="173" t="str">
        <v>November</v>
      </c>
      <c r="D123" s="173" t="str">
        <v>DB Dev</v>
      </c>
      <c r="E123" s="173" t="str">
        <v/>
      </c>
      <c r="F123" s="173" t="str">
        <v>Sree</v>
      </c>
      <c r="G123" s="173" t="str">
        <v>Navya</v>
      </c>
      <c r="H123" s="173" t="str">
        <v/>
      </c>
      <c r="I123" s="173" t="str">
        <v>Reginald Durham, Bill Contreras, Megan Piccarreto, Bryan Patterson, Bill Contreras</v>
      </c>
      <c r="J123" s="184" t="str">
        <v/>
      </c>
      <c r="K123" s="184" t="str">
        <v/>
      </c>
      <c r="L123" s="184" t="str">
        <v/>
      </c>
      <c r="M123" s="184" t="str">
        <v/>
      </c>
      <c r="N123" s="185">
        <v>0</v>
      </c>
      <c r="O123" s="173" t="str">
        <v/>
      </c>
      <c r="P123" s="142"/>
      <c r="Q123" s="142"/>
      <c r="R123" s="142"/>
      <c r="S123" s="142"/>
      <c r="T123" s="142"/>
      <c r="U123" s="142"/>
      <c r="V123" s="142"/>
      <c r="W123" s="142"/>
      <c r="X123" s="142"/>
      <c r="Y123" s="142"/>
      <c r="Z123" s="142"/>
    </row>
    <row r="124" spans="1:26" ht="18" customHeight="1">
      <c r="A124" s="142"/>
      <c r="B124" s="183" t="str">
        <v>RPT_02_Job Unit Count</v>
      </c>
      <c r="C124" s="173" t="str">
        <v>November</v>
      </c>
      <c r="D124" s="173" t="str">
        <v>NOT STARTED</v>
      </c>
      <c r="E124" s="173" t="str">
        <v/>
      </c>
      <c r="F124" s="173" t="str">
        <v>Siddu</v>
      </c>
      <c r="G124" s="173" t="str">
        <v>Shraddha</v>
      </c>
      <c r="H124" s="173" t="str">
        <v/>
      </c>
      <c r="I124" s="173" t="str">
        <v>Laura Capasso, Michelle Fitten</v>
      </c>
      <c r="J124" s="184">
        <v>46297</v>
      </c>
      <c r="K124" s="184" t="str">
        <v/>
      </c>
      <c r="L124" s="184" t="str">
        <v/>
      </c>
      <c r="M124" s="184" t="str">
        <v/>
      </c>
      <c r="N124" s="185">
        <v>0</v>
      </c>
      <c r="O124" s="173" t="str">
        <v>Move status to PBI Dev</v>
      </c>
      <c r="P124" s="142"/>
      <c r="Q124" s="142"/>
      <c r="R124" s="142"/>
      <c r="S124" s="142"/>
      <c r="T124" s="142"/>
      <c r="U124" s="142"/>
      <c r="V124" s="142"/>
      <c r="W124" s="142"/>
      <c r="X124" s="142"/>
      <c r="Y124" s="142"/>
      <c r="Z124" s="142"/>
    </row>
    <row r="125" spans="1:26" ht="18" customHeight="1">
      <c r="A125" s="142"/>
      <c r="B125" s="183"/>
      <c r="C125" s="173"/>
      <c r="D125" s="173"/>
      <c r="E125" s="182"/>
      <c r="F125" s="173"/>
      <c r="G125" s="173"/>
      <c r="H125" s="173"/>
      <c r="I125" s="173"/>
      <c r="J125" s="184"/>
      <c r="K125" s="184"/>
      <c r="L125" s="184"/>
      <c r="M125" s="184"/>
      <c r="N125" s="185"/>
      <c r="O125" s="173"/>
      <c r="P125" s="142"/>
      <c r="Q125" s="142"/>
      <c r="R125" s="142"/>
      <c r="S125" s="142"/>
      <c r="T125" s="142"/>
      <c r="U125" s="142"/>
      <c r="V125" s="142"/>
      <c r="W125" s="142"/>
      <c r="X125" s="142"/>
      <c r="Y125" s="142"/>
      <c r="Z125" s="142"/>
    </row>
    <row r="126" spans="1:26" ht="18" customHeight="1">
      <c r="A126" s="142"/>
      <c r="B126" s="183"/>
      <c r="C126" s="173"/>
      <c r="D126" s="173"/>
      <c r="E126" s="182"/>
      <c r="F126" s="173"/>
      <c r="G126" s="173"/>
      <c r="H126" s="173"/>
      <c r="I126" s="173"/>
      <c r="J126" s="184"/>
      <c r="K126" s="184"/>
      <c r="L126" s="184"/>
      <c r="M126" s="184"/>
      <c r="N126" s="185"/>
      <c r="O126" s="173"/>
      <c r="P126" s="142"/>
      <c r="Q126" s="142"/>
      <c r="R126" s="142"/>
      <c r="S126" s="142"/>
      <c r="T126" s="142"/>
      <c r="U126" s="142"/>
      <c r="V126" s="142"/>
      <c r="W126" s="142"/>
      <c r="X126" s="142"/>
      <c r="Y126" s="142"/>
      <c r="Z126" s="142"/>
    </row>
    <row r="127" spans="1:26" ht="18" customHeight="1">
      <c r="A127" s="142"/>
      <c r="B127" s="183"/>
      <c r="C127" s="173"/>
      <c r="D127" s="182"/>
      <c r="E127" s="173"/>
      <c r="F127" s="173"/>
      <c r="G127" s="173"/>
      <c r="H127" s="173"/>
      <c r="I127" s="173"/>
      <c r="J127" s="184"/>
      <c r="K127" s="184"/>
      <c r="L127" s="184"/>
      <c r="M127" s="184"/>
      <c r="N127" s="185"/>
      <c r="O127" s="173"/>
      <c r="P127" s="142"/>
      <c r="Q127" s="142"/>
      <c r="R127" s="142"/>
      <c r="S127" s="142"/>
      <c r="T127" s="142"/>
      <c r="U127" s="142"/>
      <c r="V127" s="142"/>
      <c r="W127" s="142"/>
      <c r="X127" s="142"/>
      <c r="Y127" s="142"/>
      <c r="Z127" s="142"/>
    </row>
    <row r="128" spans="1:26" ht="18" customHeight="1">
      <c r="A128" s="142"/>
      <c r="B128" s="183"/>
      <c r="C128" s="173"/>
      <c r="D128" s="173"/>
      <c r="E128" s="173"/>
      <c r="F128" s="173"/>
      <c r="G128" s="173"/>
      <c r="H128" s="173"/>
      <c r="I128" s="173"/>
      <c r="J128" s="184"/>
      <c r="K128" s="184"/>
      <c r="L128" s="184"/>
      <c r="M128" s="184"/>
      <c r="N128" s="185"/>
      <c r="O128" s="173"/>
      <c r="P128" s="142"/>
      <c r="Q128" s="142"/>
      <c r="R128" s="142"/>
      <c r="S128" s="142"/>
      <c r="T128" s="142"/>
      <c r="U128" s="142"/>
      <c r="V128" s="142"/>
      <c r="W128" s="142"/>
      <c r="X128" s="142"/>
      <c r="Y128" s="142"/>
      <c r="Z128" s="142"/>
    </row>
    <row r="129" spans="1:26" ht="18" customHeight="1">
      <c r="A129" s="142"/>
      <c r="B129" s="183"/>
      <c r="C129" s="173"/>
      <c r="D129" s="173"/>
      <c r="E129" s="173"/>
      <c r="F129" s="173"/>
      <c r="G129" s="173"/>
      <c r="H129" s="173"/>
      <c r="I129" s="173"/>
      <c r="J129" s="184"/>
      <c r="K129" s="184"/>
      <c r="L129" s="184"/>
      <c r="M129" s="184"/>
      <c r="N129" s="185"/>
      <c r="O129" s="173"/>
      <c r="P129" s="142"/>
      <c r="Q129" s="142"/>
      <c r="R129" s="142"/>
      <c r="S129" s="142"/>
      <c r="T129" s="142"/>
      <c r="U129" s="142"/>
      <c r="V129" s="142"/>
      <c r="W129" s="142"/>
      <c r="X129" s="142"/>
      <c r="Y129" s="142"/>
      <c r="Z129" s="142"/>
    </row>
    <row r="130" spans="1:26" ht="18" customHeight="1">
      <c r="A130" s="142"/>
      <c r="B130" s="183"/>
      <c r="C130" s="173"/>
      <c r="D130" s="173"/>
      <c r="E130" s="173"/>
      <c r="F130" s="173"/>
      <c r="G130" s="173"/>
      <c r="H130" s="173"/>
      <c r="I130" s="173"/>
      <c r="J130" s="184"/>
      <c r="K130" s="184"/>
      <c r="L130" s="184"/>
      <c r="M130" s="184"/>
      <c r="N130" s="185"/>
      <c r="O130" s="173"/>
      <c r="P130" s="142"/>
      <c r="Q130" s="142"/>
      <c r="R130" s="142"/>
      <c r="S130" s="142"/>
      <c r="T130" s="142"/>
      <c r="U130" s="142"/>
      <c r="V130" s="142"/>
      <c r="W130" s="142"/>
      <c r="X130" s="142"/>
      <c r="Y130" s="142"/>
      <c r="Z130" s="142"/>
    </row>
    <row r="131" spans="1:26" ht="18" customHeight="1">
      <c r="A131" s="142"/>
      <c r="B131" s="183"/>
      <c r="C131" s="173"/>
      <c r="D131" s="173"/>
      <c r="E131" s="173"/>
      <c r="F131" s="173"/>
      <c r="G131" s="173"/>
      <c r="H131" s="173"/>
      <c r="I131" s="173"/>
      <c r="J131" s="184"/>
      <c r="K131" s="184"/>
      <c r="L131" s="184"/>
      <c r="M131" s="184"/>
      <c r="N131" s="185"/>
      <c r="O131" s="173"/>
      <c r="P131" s="142"/>
      <c r="Q131" s="142"/>
      <c r="R131" s="142"/>
      <c r="S131" s="142"/>
      <c r="T131" s="142"/>
      <c r="U131" s="142"/>
      <c r="V131" s="142"/>
      <c r="W131" s="142"/>
      <c r="X131" s="142"/>
      <c r="Y131" s="142"/>
      <c r="Z131" s="142"/>
    </row>
    <row r="132" spans="1:26" ht="18" customHeight="1">
      <c r="A132" s="142"/>
      <c r="B132" s="183"/>
      <c r="C132" s="173"/>
      <c r="D132" s="173"/>
      <c r="E132" s="173"/>
      <c r="F132" s="173"/>
      <c r="G132" s="173"/>
      <c r="H132" s="173"/>
      <c r="I132" s="173"/>
      <c r="J132" s="184"/>
      <c r="K132" s="184"/>
      <c r="L132" s="184"/>
      <c r="M132" s="184"/>
      <c r="N132" s="185"/>
      <c r="O132" s="173"/>
      <c r="P132" s="142"/>
      <c r="Q132" s="142"/>
      <c r="R132" s="142"/>
      <c r="S132" s="142"/>
      <c r="T132" s="142"/>
      <c r="U132" s="142"/>
      <c r="V132" s="142"/>
      <c r="W132" s="142"/>
      <c r="X132" s="142"/>
      <c r="Y132" s="142"/>
      <c r="Z132" s="142"/>
    </row>
    <row r="133" spans="1:26" ht="18" customHeight="1">
      <c r="A133" s="142"/>
      <c r="B133" s="183"/>
      <c r="C133" s="173"/>
      <c r="D133" s="173"/>
      <c r="E133" s="173"/>
      <c r="F133" s="173"/>
      <c r="G133" s="173"/>
      <c r="H133" s="173"/>
      <c r="I133" s="173"/>
      <c r="J133" s="184"/>
      <c r="K133" s="184"/>
      <c r="L133" s="184"/>
      <c r="M133" s="184"/>
      <c r="N133" s="185"/>
      <c r="O133" s="173"/>
      <c r="P133" s="142"/>
      <c r="Q133" s="142"/>
      <c r="R133" s="142"/>
      <c r="S133" s="142"/>
      <c r="T133" s="142"/>
      <c r="U133" s="142"/>
      <c r="V133" s="142"/>
      <c r="W133" s="142"/>
      <c r="X133" s="142"/>
      <c r="Y133" s="142"/>
      <c r="Z133" s="142"/>
    </row>
    <row r="134" spans="1:26" ht="18" customHeight="1">
      <c r="A134" s="142"/>
      <c r="B134" s="183"/>
      <c r="C134" s="173"/>
      <c r="D134" s="173"/>
      <c r="E134" s="173"/>
      <c r="F134" s="173"/>
      <c r="G134" s="173"/>
      <c r="H134" s="173"/>
      <c r="I134" s="173"/>
      <c r="J134" s="184"/>
      <c r="K134" s="184"/>
      <c r="L134" s="184"/>
      <c r="M134" s="184"/>
      <c r="N134" s="185"/>
      <c r="O134" s="173"/>
      <c r="P134" s="142"/>
      <c r="Q134" s="142"/>
      <c r="R134" s="142"/>
      <c r="S134" s="142"/>
      <c r="T134" s="142"/>
      <c r="U134" s="142"/>
      <c r="V134" s="142"/>
      <c r="W134" s="142"/>
      <c r="X134" s="142"/>
      <c r="Y134" s="142"/>
      <c r="Z134" s="142"/>
    </row>
    <row r="135" spans="1:26" ht="18" customHeight="1">
      <c r="A135" s="142"/>
      <c r="B135" s="183"/>
      <c r="C135" s="173"/>
      <c r="D135" s="173"/>
      <c r="E135" s="173"/>
      <c r="F135" s="173"/>
      <c r="G135" s="173"/>
      <c r="H135" s="173"/>
      <c r="I135" s="173"/>
      <c r="J135" s="184"/>
      <c r="K135" s="184"/>
      <c r="L135" s="184"/>
      <c r="M135" s="184"/>
      <c r="N135" s="185"/>
      <c r="O135" s="173"/>
      <c r="P135" s="142"/>
      <c r="Q135" s="142"/>
      <c r="R135" s="142"/>
      <c r="S135" s="142"/>
      <c r="T135" s="142"/>
      <c r="U135" s="142"/>
      <c r="V135" s="142"/>
      <c r="W135" s="142"/>
      <c r="X135" s="142"/>
      <c r="Y135" s="142"/>
      <c r="Z135" s="142"/>
    </row>
    <row r="136" spans="1:26" ht="18" customHeight="1">
      <c r="A136" s="142"/>
      <c r="B136" s="183"/>
      <c r="C136" s="173"/>
      <c r="D136" s="173"/>
      <c r="E136" s="173"/>
      <c r="F136" s="173"/>
      <c r="G136" s="173"/>
      <c r="H136" s="173"/>
      <c r="I136" s="173"/>
      <c r="J136" s="184"/>
      <c r="K136" s="184"/>
      <c r="L136" s="184"/>
      <c r="M136" s="184"/>
      <c r="N136" s="185"/>
      <c r="O136" s="173"/>
      <c r="P136" s="142"/>
      <c r="Q136" s="142"/>
      <c r="R136" s="142"/>
      <c r="S136" s="142"/>
      <c r="T136" s="142"/>
      <c r="U136" s="142"/>
      <c r="V136" s="142"/>
      <c r="W136" s="142"/>
      <c r="X136" s="142"/>
      <c r="Y136" s="142"/>
      <c r="Z136" s="142"/>
    </row>
    <row r="137" spans="1:26" ht="18" customHeight="1">
      <c r="A137" s="142"/>
      <c r="B137" s="183"/>
      <c r="C137" s="173"/>
      <c r="D137" s="173"/>
      <c r="E137" s="173"/>
      <c r="F137" s="173"/>
      <c r="G137" s="173"/>
      <c r="H137" s="173"/>
      <c r="I137" s="173"/>
      <c r="J137" s="184"/>
      <c r="K137" s="184"/>
      <c r="L137" s="184"/>
      <c r="M137" s="184"/>
      <c r="N137" s="185"/>
      <c r="O137" s="173"/>
      <c r="P137" s="142"/>
      <c r="Q137" s="142"/>
      <c r="R137" s="142"/>
      <c r="S137" s="142"/>
      <c r="T137" s="142"/>
      <c r="U137" s="142"/>
      <c r="V137" s="142"/>
      <c r="W137" s="142"/>
      <c r="X137" s="142"/>
      <c r="Y137" s="142"/>
      <c r="Z137" s="142"/>
    </row>
    <row r="138" spans="1:26" ht="18" customHeight="1">
      <c r="A138" s="142"/>
      <c r="B138" s="183"/>
      <c r="C138" s="173"/>
      <c r="D138" s="173"/>
      <c r="E138" s="173"/>
      <c r="F138" s="173"/>
      <c r="G138" s="173"/>
      <c r="H138" s="173"/>
      <c r="I138" s="173"/>
      <c r="J138" s="184"/>
      <c r="K138" s="184"/>
      <c r="L138" s="184"/>
      <c r="M138" s="184"/>
      <c r="N138" s="185"/>
      <c r="O138" s="173"/>
      <c r="P138" s="142"/>
      <c r="Q138" s="142"/>
      <c r="R138" s="142"/>
      <c r="S138" s="142"/>
      <c r="T138" s="142"/>
      <c r="U138" s="142"/>
      <c r="V138" s="142"/>
      <c r="W138" s="142"/>
      <c r="X138" s="142"/>
      <c r="Y138" s="142"/>
      <c r="Z138" s="142"/>
    </row>
    <row r="139" spans="1:26" ht="18" customHeight="1">
      <c r="A139" s="142"/>
      <c r="B139" s="183"/>
      <c r="C139" s="173"/>
      <c r="D139" s="173"/>
      <c r="E139" s="173"/>
      <c r="F139" s="173"/>
      <c r="G139" s="173"/>
      <c r="H139" s="173"/>
      <c r="I139" s="173"/>
      <c r="J139" s="184"/>
      <c r="K139" s="184"/>
      <c r="L139" s="184"/>
      <c r="M139" s="184"/>
      <c r="N139" s="185"/>
      <c r="O139" s="173"/>
      <c r="P139" s="142"/>
      <c r="Q139" s="142"/>
      <c r="R139" s="142"/>
      <c r="S139" s="142"/>
      <c r="T139" s="142"/>
      <c r="U139" s="142"/>
      <c r="V139" s="142"/>
      <c r="W139" s="142"/>
      <c r="X139" s="142"/>
      <c r="Y139" s="142"/>
      <c r="Z139" s="142"/>
    </row>
    <row r="140" spans="1:26" ht="18" customHeight="1">
      <c r="A140" s="142"/>
      <c r="B140" s="183"/>
      <c r="C140" s="173"/>
      <c r="D140" s="173"/>
      <c r="E140" s="173"/>
      <c r="F140" s="173"/>
      <c r="G140" s="173"/>
      <c r="H140" s="173"/>
      <c r="I140" s="173"/>
      <c r="J140" s="184"/>
      <c r="K140" s="184"/>
      <c r="L140" s="184"/>
      <c r="M140" s="184"/>
      <c r="N140" s="185"/>
      <c r="O140" s="173"/>
      <c r="P140" s="142"/>
      <c r="Q140" s="142"/>
      <c r="R140" s="142"/>
      <c r="S140" s="142"/>
      <c r="T140" s="142"/>
      <c r="U140" s="142"/>
      <c r="V140" s="142"/>
      <c r="W140" s="142"/>
      <c r="X140" s="142"/>
      <c r="Y140" s="142"/>
      <c r="Z140" s="142"/>
    </row>
    <row r="141" spans="1:26" ht="15" customHeight="1">
      <c r="A141" s="142"/>
      <c r="B141" s="142"/>
      <c r="C141" s="142"/>
      <c r="D141" s="142"/>
      <c r="E141" s="142"/>
      <c r="F141" s="142"/>
      <c r="G141" s="142"/>
      <c r="H141" s="142"/>
      <c r="I141" s="142"/>
      <c r="J141" s="142"/>
      <c r="K141" s="142"/>
      <c r="L141" s="142"/>
      <c r="M141" s="142"/>
      <c r="N141" s="142"/>
      <c r="O141" s="142"/>
      <c r="P141" s="142"/>
      <c r="Q141" s="142"/>
      <c r="R141" s="142"/>
      <c r="S141" s="142"/>
      <c r="T141" s="142"/>
      <c r="U141" s="142"/>
      <c r="V141" s="142"/>
      <c r="W141" s="142"/>
      <c r="X141" s="142"/>
      <c r="Y141" s="142"/>
      <c r="Z141" s="142"/>
    </row>
    <row r="142" spans="1:26" ht="15" customHeight="1">
      <c r="A142" s="142"/>
      <c r="B142" s="142"/>
      <c r="C142" s="142"/>
      <c r="D142" s="142"/>
      <c r="E142" s="142"/>
      <c r="F142" s="142"/>
      <c r="G142" s="142"/>
      <c r="H142" s="142"/>
      <c r="I142" s="142"/>
      <c r="J142" s="142"/>
      <c r="K142" s="142"/>
      <c r="L142" s="142"/>
      <c r="M142" s="142"/>
      <c r="N142" s="142"/>
      <c r="O142" s="142"/>
      <c r="P142" s="142"/>
      <c r="Q142" s="142"/>
      <c r="R142" s="142"/>
      <c r="S142" s="142"/>
      <c r="T142" s="142"/>
      <c r="U142" s="142"/>
      <c r="V142" s="142"/>
      <c r="W142" s="142"/>
      <c r="X142" s="142"/>
      <c r="Y142" s="142"/>
      <c r="Z142" s="142"/>
    </row>
    <row r="143" spans="1:26" ht="15" customHeight="1">
      <c r="A143" s="142"/>
      <c r="B143" s="142"/>
      <c r="C143" s="142"/>
      <c r="D143" s="142"/>
      <c r="E143" s="142"/>
      <c r="F143" s="142"/>
      <c r="G143" s="142"/>
      <c r="H143" s="142"/>
      <c r="I143" s="142"/>
      <c r="J143" s="142"/>
      <c r="K143" s="142"/>
      <c r="L143" s="142"/>
      <c r="M143" s="142"/>
      <c r="N143" s="142"/>
      <c r="O143" s="142"/>
      <c r="P143" s="142"/>
      <c r="Q143" s="142"/>
      <c r="R143" s="142"/>
      <c r="S143" s="142"/>
      <c r="T143" s="142"/>
      <c r="U143" s="142"/>
      <c r="V143" s="142"/>
      <c r="W143" s="142"/>
      <c r="X143" s="142"/>
      <c r="Y143" s="142"/>
      <c r="Z143" s="142"/>
    </row>
    <row r="144" spans="1:26" ht="15" customHeight="1">
      <c r="A144" s="142"/>
      <c r="B144" s="142"/>
      <c r="C144" s="142"/>
      <c r="D144" s="142"/>
      <c r="E144" s="142"/>
      <c r="F144" s="142"/>
      <c r="G144" s="142"/>
      <c r="H144" s="142"/>
      <c r="I144" s="142"/>
      <c r="J144" s="142"/>
      <c r="K144" s="142"/>
      <c r="L144" s="142"/>
      <c r="M144" s="142"/>
      <c r="N144" s="142"/>
      <c r="O144" s="142"/>
      <c r="P144" s="142"/>
      <c r="Q144" s="142"/>
      <c r="R144" s="142"/>
      <c r="S144" s="142"/>
      <c r="T144" s="142"/>
      <c r="U144" s="142"/>
      <c r="V144" s="142"/>
      <c r="W144" s="142"/>
      <c r="X144" s="142"/>
      <c r="Y144" s="142"/>
      <c r="Z144" s="142"/>
    </row>
    <row r="145" spans="1:26" ht="15" customHeight="1">
      <c r="A145" s="142"/>
      <c r="B145" s="142"/>
      <c r="C145" s="142"/>
      <c r="D145" s="142"/>
      <c r="E145" s="142"/>
      <c r="F145" s="142"/>
      <c r="G145" s="142"/>
      <c r="H145" s="142"/>
      <c r="I145" s="142"/>
      <c r="J145" s="142"/>
      <c r="K145" s="142"/>
      <c r="L145" s="142"/>
      <c r="M145" s="142"/>
      <c r="N145" s="142"/>
      <c r="O145" s="142"/>
      <c r="P145" s="142"/>
      <c r="Q145" s="142"/>
      <c r="R145" s="142"/>
      <c r="S145" s="142"/>
      <c r="T145" s="142"/>
      <c r="U145" s="142"/>
      <c r="V145" s="142"/>
      <c r="W145" s="142"/>
      <c r="X145" s="142"/>
      <c r="Y145" s="142"/>
      <c r="Z145" s="142"/>
    </row>
    <row r="146" spans="1:26" ht="15" customHeight="1">
      <c r="A146" s="142"/>
      <c r="B146" s="142"/>
      <c r="C146" s="142"/>
      <c r="D146" s="142"/>
      <c r="E146" s="142"/>
      <c r="F146" s="142"/>
      <c r="G146" s="142"/>
      <c r="H146" s="142"/>
      <c r="I146" s="142"/>
      <c r="J146" s="142"/>
      <c r="K146" s="142"/>
      <c r="L146" s="142"/>
      <c r="M146" s="142"/>
      <c r="N146" s="142"/>
      <c r="O146" s="142"/>
      <c r="P146" s="142"/>
      <c r="Q146" s="142"/>
      <c r="R146" s="142"/>
      <c r="S146" s="142"/>
      <c r="T146" s="142"/>
      <c r="U146" s="142"/>
      <c r="V146" s="142"/>
      <c r="W146" s="142"/>
      <c r="X146" s="142"/>
      <c r="Y146" s="142"/>
      <c r="Z146" s="142"/>
    </row>
    <row r="147" spans="1:26" ht="15" customHeight="1">
      <c r="A147" s="142"/>
      <c r="B147" s="142"/>
      <c r="C147" s="142"/>
      <c r="D147" s="142"/>
      <c r="E147" s="142"/>
      <c r="F147" s="142"/>
      <c r="G147" s="142"/>
      <c r="H147" s="142"/>
      <c r="I147" s="142"/>
      <c r="J147" s="142"/>
      <c r="K147" s="142"/>
      <c r="L147" s="142"/>
      <c r="M147" s="142"/>
      <c r="N147" s="142"/>
      <c r="O147" s="142"/>
      <c r="P147" s="142"/>
      <c r="Q147" s="142"/>
      <c r="R147" s="142"/>
      <c r="S147" s="142"/>
      <c r="T147" s="142"/>
      <c r="U147" s="142"/>
      <c r="V147" s="142"/>
      <c r="W147" s="142"/>
      <c r="X147" s="142"/>
      <c r="Y147" s="142"/>
      <c r="Z147" s="142"/>
    </row>
    <row r="148" spans="1:26" ht="15" customHeight="1">
      <c r="A148" s="142"/>
      <c r="B148" s="142"/>
      <c r="C148" s="142"/>
      <c r="D148" s="142"/>
      <c r="E148" s="142"/>
      <c r="F148" s="142"/>
      <c r="G148" s="142"/>
      <c r="H148" s="142"/>
      <c r="I148" s="142"/>
      <c r="J148" s="142"/>
      <c r="K148" s="142"/>
      <c r="L148" s="142"/>
      <c r="M148" s="142"/>
      <c r="N148" s="142"/>
      <c r="O148" s="142"/>
      <c r="P148" s="142"/>
      <c r="Q148" s="142"/>
      <c r="R148" s="142"/>
      <c r="S148" s="142"/>
      <c r="T148" s="142"/>
      <c r="U148" s="142"/>
      <c r="V148" s="142"/>
      <c r="W148" s="142"/>
      <c r="X148" s="142"/>
      <c r="Y148" s="142"/>
      <c r="Z148" s="142"/>
    </row>
    <row r="149" spans="1:26" ht="15" customHeight="1">
      <c r="A149" s="142"/>
      <c r="B149" s="142"/>
      <c r="C149" s="142"/>
      <c r="D149" s="142"/>
      <c r="E149" s="142"/>
      <c r="F149" s="142"/>
      <c r="G149" s="142"/>
      <c r="H149" s="142"/>
      <c r="I149" s="142"/>
      <c r="J149" s="142"/>
      <c r="K149" s="142"/>
      <c r="L149" s="142"/>
      <c r="M149" s="142"/>
      <c r="N149" s="142"/>
      <c r="O149" s="142"/>
      <c r="P149" s="142"/>
      <c r="Q149" s="142"/>
      <c r="R149" s="142"/>
      <c r="S149" s="142"/>
      <c r="T149" s="142"/>
      <c r="U149" s="142"/>
      <c r="V149" s="142"/>
      <c r="W149" s="142"/>
      <c r="X149" s="142"/>
      <c r="Y149" s="142"/>
      <c r="Z149" s="142"/>
    </row>
    <row r="150" spans="1:26" ht="15" customHeight="1">
      <c r="A150" s="142"/>
      <c r="B150" s="142"/>
      <c r="C150" s="142"/>
      <c r="D150" s="142"/>
      <c r="E150" s="142"/>
      <c r="F150" s="142"/>
      <c r="G150" s="142"/>
      <c r="H150" s="142"/>
      <c r="I150" s="142"/>
      <c r="J150" s="142"/>
      <c r="K150" s="142"/>
      <c r="L150" s="142"/>
      <c r="M150" s="142"/>
      <c r="N150" s="142"/>
      <c r="O150" s="142"/>
      <c r="P150" s="142"/>
      <c r="Q150" s="142"/>
      <c r="R150" s="142"/>
      <c r="S150" s="142"/>
      <c r="T150" s="142"/>
      <c r="U150" s="142"/>
      <c r="V150" s="142"/>
      <c r="W150" s="142"/>
      <c r="X150" s="142"/>
      <c r="Y150" s="142"/>
      <c r="Z150" s="142"/>
    </row>
    <row r="151" spans="1:26" ht="15" customHeight="1">
      <c r="A151" s="142"/>
      <c r="B151" s="142"/>
      <c r="C151" s="142"/>
      <c r="D151" s="142"/>
      <c r="E151" s="142"/>
      <c r="F151" s="142"/>
      <c r="G151" s="142"/>
      <c r="H151" s="142"/>
      <c r="I151" s="142"/>
      <c r="J151" s="142"/>
      <c r="K151" s="142"/>
      <c r="L151" s="142"/>
      <c r="M151" s="142"/>
      <c r="N151" s="142"/>
      <c r="O151" s="142"/>
      <c r="P151" s="142"/>
      <c r="Q151" s="142"/>
      <c r="R151" s="142"/>
      <c r="S151" s="142"/>
      <c r="T151" s="142"/>
      <c r="U151" s="142"/>
      <c r="V151" s="142"/>
      <c r="W151" s="142"/>
      <c r="X151" s="142"/>
      <c r="Y151" s="142"/>
      <c r="Z151" s="142"/>
    </row>
    <row r="152" spans="1:26" ht="15" customHeight="1">
      <c r="A152" s="142"/>
      <c r="B152" s="142"/>
      <c r="C152" s="142"/>
      <c r="D152" s="142"/>
      <c r="E152" s="142"/>
      <c r="F152" s="142"/>
      <c r="G152" s="142"/>
      <c r="H152" s="142"/>
      <c r="I152" s="142"/>
      <c r="J152" s="142"/>
      <c r="K152" s="142"/>
      <c r="L152" s="142"/>
      <c r="M152" s="142"/>
      <c r="N152" s="142"/>
      <c r="O152" s="142"/>
      <c r="P152" s="142"/>
      <c r="Q152" s="142"/>
      <c r="R152" s="142"/>
      <c r="S152" s="142"/>
      <c r="T152" s="142"/>
      <c r="U152" s="142"/>
      <c r="V152" s="142"/>
      <c r="W152" s="142"/>
      <c r="X152" s="142"/>
      <c r="Y152" s="142"/>
      <c r="Z152" s="142"/>
    </row>
    <row r="153" spans="1:26" ht="15" customHeight="1">
      <c r="A153" s="142"/>
      <c r="B153" s="142"/>
      <c r="C153" s="142"/>
      <c r="D153" s="142"/>
      <c r="E153" s="142"/>
      <c r="F153" s="142"/>
      <c r="G153" s="142"/>
      <c r="H153" s="142"/>
      <c r="I153" s="142"/>
      <c r="J153" s="142"/>
      <c r="K153" s="142"/>
      <c r="L153" s="142"/>
      <c r="M153" s="142"/>
      <c r="N153" s="142"/>
      <c r="O153" s="142"/>
      <c r="P153" s="142"/>
      <c r="Q153" s="142"/>
      <c r="R153" s="142"/>
      <c r="S153" s="142"/>
      <c r="T153" s="142"/>
      <c r="U153" s="142"/>
      <c r="V153" s="142"/>
      <c r="W153" s="142"/>
      <c r="X153" s="142"/>
      <c r="Y153" s="142"/>
      <c r="Z153" s="142"/>
    </row>
    <row r="154" spans="1:26" ht="15" customHeight="1">
      <c r="A154" s="142"/>
      <c r="B154" s="142"/>
      <c r="C154" s="142"/>
      <c r="D154" s="142"/>
      <c r="E154" s="142"/>
      <c r="F154" s="142"/>
      <c r="G154" s="142"/>
      <c r="H154" s="142"/>
      <c r="I154" s="142"/>
      <c r="J154" s="142"/>
      <c r="K154" s="142"/>
      <c r="L154" s="142"/>
      <c r="M154" s="142"/>
      <c r="N154" s="142"/>
      <c r="O154" s="142"/>
      <c r="P154" s="142"/>
      <c r="Q154" s="142"/>
      <c r="R154" s="142"/>
      <c r="S154" s="142"/>
      <c r="T154" s="142"/>
      <c r="U154" s="142"/>
      <c r="V154" s="142"/>
      <c r="W154" s="142"/>
      <c r="X154" s="142"/>
      <c r="Y154" s="142"/>
      <c r="Z154" s="142"/>
    </row>
    <row r="155" spans="1:26" ht="15" customHeight="1">
      <c r="A155" s="142"/>
      <c r="B155" s="142"/>
      <c r="C155" s="142"/>
      <c r="D155" s="142"/>
      <c r="E155" s="142"/>
      <c r="F155" s="142"/>
      <c r="G155" s="142"/>
      <c r="H155" s="142"/>
      <c r="I155" s="142"/>
      <c r="J155" s="142"/>
      <c r="K155" s="142"/>
      <c r="L155" s="142"/>
      <c r="M155" s="142"/>
      <c r="N155" s="142"/>
      <c r="O155" s="142"/>
      <c r="P155" s="142"/>
      <c r="Q155" s="142"/>
      <c r="R155" s="142"/>
      <c r="S155" s="142"/>
      <c r="T155" s="142"/>
      <c r="U155" s="142"/>
      <c r="V155" s="142"/>
      <c r="W155" s="142"/>
      <c r="X155" s="142"/>
      <c r="Y155" s="142"/>
      <c r="Z155" s="142"/>
    </row>
    <row r="156" spans="1:26" ht="15" customHeight="1">
      <c r="A156" s="142"/>
      <c r="B156" s="142"/>
      <c r="C156" s="142"/>
      <c r="D156" s="142"/>
      <c r="E156" s="142"/>
      <c r="F156" s="142"/>
      <c r="G156" s="142"/>
      <c r="H156" s="142"/>
      <c r="I156" s="142"/>
      <c r="J156" s="142"/>
      <c r="K156" s="142"/>
      <c r="L156" s="142"/>
      <c r="M156" s="142"/>
      <c r="N156" s="142"/>
      <c r="O156" s="142"/>
      <c r="P156" s="142"/>
      <c r="Q156" s="142"/>
      <c r="R156" s="142"/>
      <c r="S156" s="142"/>
      <c r="T156" s="142"/>
      <c r="U156" s="142"/>
      <c r="V156" s="142"/>
      <c r="W156" s="142"/>
      <c r="X156" s="142"/>
      <c r="Y156" s="142"/>
      <c r="Z156" s="142"/>
    </row>
    <row r="157" spans="1:26" ht="15" customHeight="1">
      <c r="A157" s="142"/>
      <c r="B157" s="142"/>
      <c r="C157" s="142"/>
      <c r="D157" s="142"/>
      <c r="E157" s="142"/>
      <c r="F157" s="142"/>
      <c r="G157" s="142"/>
      <c r="H157" s="142"/>
      <c r="I157" s="142"/>
      <c r="J157" s="142"/>
      <c r="K157" s="142"/>
      <c r="L157" s="142"/>
      <c r="M157" s="142"/>
      <c r="N157" s="142"/>
      <c r="O157" s="142"/>
      <c r="P157" s="142"/>
      <c r="Q157" s="142"/>
      <c r="R157" s="142"/>
      <c r="S157" s="142"/>
      <c r="T157" s="142"/>
      <c r="U157" s="142"/>
      <c r="V157" s="142"/>
      <c r="W157" s="142"/>
      <c r="X157" s="142"/>
      <c r="Y157" s="142"/>
      <c r="Z157" s="142"/>
    </row>
    <row r="158" spans="1:26" ht="15" customHeight="1">
      <c r="A158" s="142"/>
      <c r="B158" s="142"/>
      <c r="C158" s="142"/>
      <c r="D158" s="142"/>
      <c r="E158" s="142"/>
      <c r="F158" s="142"/>
      <c r="G158" s="142"/>
      <c r="H158" s="142"/>
      <c r="I158" s="142"/>
      <c r="J158" s="142"/>
      <c r="K158" s="142"/>
      <c r="L158" s="142"/>
      <c r="M158" s="142"/>
      <c r="N158" s="142"/>
      <c r="O158" s="142"/>
      <c r="P158" s="142"/>
      <c r="Q158" s="142"/>
      <c r="R158" s="142"/>
      <c r="S158" s="142"/>
      <c r="T158" s="142"/>
      <c r="U158" s="142"/>
      <c r="V158" s="142"/>
      <c r="W158" s="142"/>
      <c r="X158" s="142"/>
      <c r="Y158" s="142"/>
      <c r="Z158" s="142"/>
    </row>
    <row r="159" spans="1:26" ht="15" customHeight="1">
      <c r="A159" s="142"/>
      <c r="B159" s="142"/>
      <c r="C159" s="142"/>
      <c r="D159" s="142"/>
      <c r="E159" s="142"/>
      <c r="F159" s="142"/>
      <c r="G159" s="142"/>
      <c r="H159" s="142"/>
      <c r="I159" s="142"/>
      <c r="J159" s="142"/>
      <c r="K159" s="142"/>
      <c r="L159" s="142"/>
      <c r="M159" s="142"/>
      <c r="N159" s="142"/>
      <c r="O159" s="142"/>
      <c r="P159" s="142"/>
      <c r="Q159" s="142"/>
      <c r="R159" s="142"/>
      <c r="S159" s="142"/>
      <c r="T159" s="142"/>
      <c r="U159" s="142"/>
      <c r="V159" s="142"/>
      <c r="W159" s="142"/>
      <c r="X159" s="142"/>
      <c r="Y159" s="142"/>
      <c r="Z159" s="142"/>
    </row>
    <row r="160" spans="1:26" ht="15" customHeight="1">
      <c r="A160" s="142"/>
      <c r="B160" s="142"/>
      <c r="C160" s="142"/>
      <c r="D160" s="142"/>
      <c r="E160" s="142"/>
      <c r="F160" s="142"/>
      <c r="G160" s="142"/>
      <c r="H160" s="142"/>
      <c r="I160" s="142"/>
      <c r="J160" s="142"/>
      <c r="K160" s="142"/>
      <c r="L160" s="142"/>
      <c r="M160" s="142"/>
      <c r="N160" s="142"/>
      <c r="O160" s="142"/>
      <c r="P160" s="142"/>
      <c r="Q160" s="142"/>
      <c r="R160" s="142"/>
      <c r="S160" s="142"/>
      <c r="T160" s="142"/>
      <c r="U160" s="142"/>
      <c r="V160" s="142"/>
      <c r="W160" s="142"/>
      <c r="X160" s="142"/>
      <c r="Y160" s="142"/>
      <c r="Z160" s="142"/>
    </row>
    <row r="161" spans="1:26" ht="15" customHeight="1">
      <c r="A161" s="142"/>
      <c r="B161" s="142"/>
      <c r="C161" s="142"/>
      <c r="D161" s="142"/>
      <c r="E161" s="142"/>
      <c r="F161" s="142"/>
      <c r="G161" s="142"/>
      <c r="H161" s="142"/>
      <c r="I161" s="142"/>
      <c r="J161" s="142"/>
      <c r="K161" s="142"/>
      <c r="L161" s="142"/>
      <c r="M161" s="142"/>
      <c r="N161" s="142"/>
      <c r="O161" s="142"/>
      <c r="P161" s="142"/>
      <c r="Q161" s="142"/>
      <c r="R161" s="142"/>
      <c r="S161" s="142"/>
      <c r="T161" s="142"/>
      <c r="U161" s="142"/>
      <c r="V161" s="142"/>
      <c r="W161" s="142"/>
      <c r="X161" s="142"/>
      <c r="Y161" s="142"/>
      <c r="Z161" s="142"/>
    </row>
    <row r="162" spans="1:26" ht="15" customHeight="1">
      <c r="A162" s="142"/>
      <c r="B162" s="142"/>
      <c r="C162" s="142"/>
      <c r="D162" s="142"/>
      <c r="E162" s="142"/>
      <c r="F162" s="142"/>
      <c r="G162" s="142"/>
      <c r="H162" s="142"/>
      <c r="I162" s="142"/>
      <c r="J162" s="142"/>
      <c r="K162" s="142"/>
      <c r="L162" s="142"/>
      <c r="M162" s="142"/>
      <c r="N162" s="142"/>
      <c r="O162" s="142"/>
      <c r="P162" s="142"/>
      <c r="Q162" s="142"/>
      <c r="R162" s="142"/>
      <c r="S162" s="142"/>
      <c r="T162" s="142"/>
      <c r="U162" s="142"/>
      <c r="V162" s="142"/>
      <c r="W162" s="142"/>
      <c r="X162" s="142"/>
      <c r="Y162" s="142"/>
      <c r="Z162" s="142"/>
    </row>
    <row r="163" spans="1:26" ht="15" customHeight="1">
      <c r="A163" s="142"/>
      <c r="B163" s="142"/>
      <c r="C163" s="142"/>
      <c r="D163" s="142"/>
      <c r="E163" s="142"/>
      <c r="F163" s="142"/>
      <c r="G163" s="142"/>
      <c r="H163" s="142"/>
      <c r="I163" s="142"/>
      <c r="J163" s="142"/>
      <c r="K163" s="142"/>
      <c r="L163" s="142"/>
      <c r="M163" s="142"/>
      <c r="N163" s="142"/>
      <c r="O163" s="142"/>
      <c r="P163" s="142"/>
      <c r="Q163" s="142"/>
      <c r="R163" s="142"/>
      <c r="S163" s="142"/>
      <c r="T163" s="142"/>
      <c r="U163" s="142"/>
      <c r="V163" s="142"/>
      <c r="W163" s="142"/>
      <c r="X163" s="142"/>
      <c r="Y163" s="142"/>
      <c r="Z163" s="142"/>
    </row>
    <row r="164" spans="1:26" ht="15" customHeight="1">
      <c r="A164" s="142"/>
      <c r="B164" s="142"/>
      <c r="C164" s="142"/>
      <c r="D164" s="142"/>
      <c r="E164" s="142"/>
      <c r="F164" s="142"/>
      <c r="G164" s="142"/>
      <c r="H164" s="142"/>
      <c r="I164" s="142"/>
      <c r="J164" s="142"/>
      <c r="K164" s="142"/>
      <c r="L164" s="142"/>
      <c r="M164" s="142"/>
      <c r="N164" s="142"/>
      <c r="O164" s="142"/>
      <c r="P164" s="142"/>
      <c r="Q164" s="142"/>
      <c r="R164" s="142"/>
      <c r="S164" s="142"/>
      <c r="T164" s="142"/>
      <c r="U164" s="142"/>
      <c r="V164" s="142"/>
      <c r="W164" s="142"/>
      <c r="X164" s="142"/>
      <c r="Y164" s="142"/>
      <c r="Z164" s="142"/>
    </row>
    <row r="165" spans="1:26" ht="15" customHeight="1">
      <c r="A165" s="142"/>
      <c r="B165" s="142"/>
      <c r="C165" s="142"/>
      <c r="D165" s="142"/>
      <c r="E165" s="142"/>
      <c r="F165" s="142"/>
      <c r="G165" s="142"/>
      <c r="H165" s="142"/>
      <c r="I165" s="142"/>
      <c r="J165" s="142"/>
      <c r="K165" s="142"/>
      <c r="L165" s="142"/>
      <c r="M165" s="142"/>
      <c r="N165" s="142"/>
      <c r="O165" s="142"/>
      <c r="P165" s="142"/>
      <c r="Q165" s="142"/>
      <c r="R165" s="142"/>
      <c r="S165" s="142"/>
      <c r="T165" s="142"/>
      <c r="U165" s="142"/>
      <c r="V165" s="142"/>
      <c r="W165" s="142"/>
      <c r="X165" s="142"/>
      <c r="Y165" s="142"/>
      <c r="Z165" s="142"/>
    </row>
    <row r="166" spans="1:26" ht="15" customHeight="1">
      <c r="A166" s="142"/>
      <c r="B166" s="142"/>
      <c r="C166" s="142"/>
      <c r="D166" s="142"/>
      <c r="E166" s="142"/>
      <c r="F166" s="142"/>
      <c r="G166" s="142"/>
      <c r="H166" s="142"/>
      <c r="I166" s="142"/>
      <c r="J166" s="142"/>
      <c r="K166" s="142"/>
      <c r="L166" s="142"/>
      <c r="M166" s="142"/>
      <c r="N166" s="142"/>
      <c r="O166" s="142"/>
      <c r="P166" s="142"/>
      <c r="Q166" s="142"/>
      <c r="R166" s="142"/>
      <c r="S166" s="142"/>
      <c r="T166" s="142"/>
      <c r="U166" s="142"/>
      <c r="V166" s="142"/>
      <c r="W166" s="142"/>
      <c r="X166" s="142"/>
      <c r="Y166" s="142"/>
      <c r="Z166" s="142"/>
    </row>
    <row r="167" spans="1:26" ht="15" customHeight="1">
      <c r="A167" s="142"/>
      <c r="B167" s="142"/>
      <c r="C167" s="142"/>
      <c r="D167" s="142"/>
      <c r="E167" s="142"/>
      <c r="F167" s="142"/>
      <c r="G167" s="142"/>
      <c r="H167" s="142"/>
      <c r="I167" s="142"/>
      <c r="J167" s="142"/>
      <c r="K167" s="142"/>
      <c r="L167" s="142"/>
      <c r="M167" s="142"/>
      <c r="N167" s="142"/>
      <c r="O167" s="142"/>
      <c r="P167" s="142"/>
      <c r="Q167" s="142"/>
      <c r="R167" s="142"/>
      <c r="S167" s="142"/>
      <c r="T167" s="142"/>
      <c r="U167" s="142"/>
      <c r="V167" s="142"/>
      <c r="W167" s="142"/>
      <c r="X167" s="142"/>
      <c r="Y167" s="142"/>
      <c r="Z167" s="142"/>
    </row>
    <row r="168" spans="1:26" ht="15" customHeight="1">
      <c r="A168" s="142"/>
      <c r="B168" s="142"/>
      <c r="C168" s="142"/>
      <c r="D168" s="142"/>
      <c r="E168" s="142"/>
      <c r="F168" s="142"/>
      <c r="G168" s="142"/>
      <c r="H168" s="142"/>
      <c r="I168" s="142"/>
      <c r="J168" s="142"/>
      <c r="K168" s="142"/>
      <c r="L168" s="142"/>
      <c r="M168" s="142"/>
      <c r="N168" s="142"/>
      <c r="O168" s="142"/>
      <c r="P168" s="142"/>
      <c r="Q168" s="142"/>
      <c r="R168" s="142"/>
      <c r="S168" s="142"/>
      <c r="T168" s="142"/>
      <c r="U168" s="142"/>
      <c r="V168" s="142"/>
      <c r="W168" s="142"/>
      <c r="X168" s="142"/>
      <c r="Y168" s="142"/>
      <c r="Z168" s="142"/>
    </row>
    <row r="169" spans="1:26" ht="15" customHeight="1">
      <c r="A169" s="142"/>
      <c r="B169" s="142"/>
      <c r="C169" s="142"/>
      <c r="D169" s="142"/>
      <c r="E169" s="142"/>
      <c r="F169" s="142"/>
      <c r="G169" s="142"/>
      <c r="H169" s="142"/>
      <c r="I169" s="142"/>
      <c r="J169" s="142"/>
      <c r="K169" s="142"/>
      <c r="L169" s="142"/>
      <c r="M169" s="142"/>
      <c r="N169" s="142"/>
      <c r="O169" s="142"/>
      <c r="P169" s="142"/>
      <c r="Q169" s="142"/>
      <c r="R169" s="142"/>
      <c r="S169" s="142"/>
      <c r="T169" s="142"/>
      <c r="U169" s="142"/>
      <c r="V169" s="142"/>
      <c r="W169" s="142"/>
      <c r="X169" s="142"/>
      <c r="Y169" s="142"/>
      <c r="Z169" s="142"/>
    </row>
    <row r="170" spans="1:26" ht="15" customHeight="1">
      <c r="A170" s="142"/>
      <c r="B170" s="142"/>
      <c r="C170" s="142"/>
      <c r="D170" s="142"/>
      <c r="E170" s="142"/>
      <c r="F170" s="142"/>
      <c r="G170" s="142"/>
      <c r="H170" s="142"/>
      <c r="I170" s="142"/>
      <c r="J170" s="142"/>
      <c r="K170" s="142"/>
      <c r="L170" s="142"/>
      <c r="M170" s="142"/>
      <c r="N170" s="142"/>
      <c r="O170" s="142"/>
      <c r="P170" s="142"/>
      <c r="Q170" s="142"/>
      <c r="R170" s="142"/>
      <c r="S170" s="142"/>
      <c r="T170" s="142"/>
      <c r="U170" s="142"/>
      <c r="V170" s="142"/>
      <c r="W170" s="142"/>
      <c r="X170" s="142"/>
      <c r="Y170" s="142"/>
      <c r="Z170" s="142"/>
    </row>
    <row r="171" spans="1:26" ht="15" customHeight="1">
      <c r="A171" s="142"/>
      <c r="B171" s="142"/>
      <c r="C171" s="142"/>
      <c r="D171" s="142"/>
      <c r="E171" s="142"/>
      <c r="F171" s="142"/>
      <c r="G171" s="142"/>
      <c r="H171" s="142"/>
      <c r="I171" s="142"/>
      <c r="J171" s="142"/>
      <c r="K171" s="142"/>
      <c r="L171" s="142"/>
      <c r="M171" s="142"/>
      <c r="N171" s="142"/>
      <c r="O171" s="142"/>
      <c r="P171" s="142"/>
      <c r="Q171" s="142"/>
      <c r="R171" s="142"/>
      <c r="S171" s="142"/>
      <c r="T171" s="142"/>
      <c r="U171" s="142"/>
      <c r="V171" s="142"/>
      <c r="W171" s="142"/>
      <c r="X171" s="142"/>
      <c r="Y171" s="142"/>
      <c r="Z171" s="142"/>
    </row>
    <row r="172" spans="1:26" ht="15" customHeight="1">
      <c r="A172" s="142"/>
      <c r="B172" s="142"/>
      <c r="C172" s="142"/>
      <c r="D172" s="142"/>
      <c r="E172" s="142"/>
      <c r="F172" s="142"/>
      <c r="G172" s="142"/>
      <c r="H172" s="142"/>
      <c r="I172" s="142"/>
      <c r="J172" s="142"/>
      <c r="K172" s="142"/>
      <c r="L172" s="142"/>
      <c r="M172" s="142"/>
      <c r="N172" s="142"/>
      <c r="O172" s="142"/>
      <c r="P172" s="142"/>
      <c r="Q172" s="142"/>
      <c r="R172" s="142"/>
      <c r="S172" s="142"/>
      <c r="T172" s="142"/>
      <c r="U172" s="142"/>
      <c r="V172" s="142"/>
      <c r="W172" s="142"/>
      <c r="X172" s="142"/>
      <c r="Y172" s="142"/>
      <c r="Z172" s="142"/>
    </row>
    <row r="173" spans="1:26" ht="15" customHeight="1">
      <c r="A173" s="142"/>
      <c r="B173" s="142"/>
      <c r="C173" s="142"/>
      <c r="D173" s="142"/>
      <c r="E173" s="142"/>
      <c r="F173" s="142"/>
      <c r="G173" s="142"/>
      <c r="H173" s="142"/>
      <c r="I173" s="142"/>
      <c r="J173" s="142"/>
      <c r="K173" s="142"/>
      <c r="L173" s="142"/>
      <c r="M173" s="142"/>
      <c r="N173" s="142"/>
      <c r="O173" s="142"/>
      <c r="P173" s="142"/>
      <c r="Q173" s="142"/>
      <c r="R173" s="142"/>
      <c r="S173" s="142"/>
      <c r="T173" s="142"/>
      <c r="U173" s="142"/>
      <c r="V173" s="142"/>
      <c r="W173" s="142"/>
      <c r="X173" s="142"/>
      <c r="Y173" s="142"/>
      <c r="Z173" s="142"/>
    </row>
    <row r="174" spans="1:26" ht="15" customHeight="1">
      <c r="A174" s="142"/>
      <c r="B174" s="142"/>
      <c r="C174" s="142"/>
      <c r="D174" s="142"/>
      <c r="E174" s="142"/>
      <c r="F174" s="142"/>
      <c r="G174" s="142"/>
      <c r="H174" s="142"/>
      <c r="I174" s="142"/>
      <c r="J174" s="142"/>
      <c r="K174" s="142"/>
      <c r="L174" s="142"/>
      <c r="M174" s="142"/>
      <c r="N174" s="142"/>
      <c r="O174" s="142"/>
      <c r="P174" s="142"/>
      <c r="Q174" s="142"/>
      <c r="R174" s="142"/>
      <c r="S174" s="142"/>
      <c r="T174" s="142"/>
      <c r="U174" s="142"/>
      <c r="V174" s="142"/>
      <c r="W174" s="142"/>
      <c r="X174" s="142"/>
      <c r="Y174" s="142"/>
      <c r="Z174" s="142"/>
    </row>
    <row r="175" spans="1:26" ht="15" customHeight="1">
      <c r="A175" s="142"/>
      <c r="B175" s="142"/>
      <c r="C175" s="142"/>
      <c r="D175" s="142"/>
      <c r="E175" s="142"/>
      <c r="F175" s="142"/>
      <c r="G175" s="142"/>
      <c r="H175" s="142"/>
      <c r="I175" s="142"/>
      <c r="J175" s="142"/>
      <c r="K175" s="142"/>
      <c r="L175" s="142"/>
      <c r="M175" s="142"/>
      <c r="N175" s="142"/>
      <c r="O175" s="142"/>
      <c r="P175" s="142"/>
      <c r="Q175" s="142"/>
      <c r="R175" s="142"/>
      <c r="S175" s="142"/>
      <c r="T175" s="142"/>
      <c r="U175" s="142"/>
      <c r="V175" s="142"/>
      <c r="W175" s="142"/>
      <c r="X175" s="142"/>
      <c r="Y175" s="142"/>
      <c r="Z175" s="142"/>
    </row>
    <row r="176" spans="1:26" ht="15" customHeight="1">
      <c r="A176" s="142"/>
      <c r="B176" s="142"/>
      <c r="C176" s="142"/>
      <c r="D176" s="142"/>
      <c r="E176" s="142"/>
      <c r="F176" s="142"/>
      <c r="G176" s="142"/>
      <c r="H176" s="142"/>
      <c r="I176" s="142"/>
      <c r="J176" s="142"/>
      <c r="K176" s="142"/>
      <c r="L176" s="142"/>
      <c r="M176" s="142"/>
      <c r="N176" s="142"/>
      <c r="O176" s="142"/>
      <c r="P176" s="142"/>
      <c r="Q176" s="142"/>
      <c r="R176" s="142"/>
      <c r="S176" s="142"/>
      <c r="T176" s="142"/>
      <c r="U176" s="142"/>
      <c r="V176" s="142"/>
      <c r="W176" s="142"/>
      <c r="X176" s="142"/>
      <c r="Y176" s="142"/>
      <c r="Z176" s="142"/>
    </row>
    <row r="177" spans="1:26" ht="15" customHeight="1">
      <c r="A177" s="142"/>
      <c r="B177" s="142"/>
      <c r="C177" s="142"/>
      <c r="D177" s="142"/>
      <c r="E177" s="142"/>
      <c r="F177" s="142"/>
      <c r="G177" s="142"/>
      <c r="H177" s="142"/>
      <c r="I177" s="142"/>
      <c r="J177" s="142"/>
      <c r="K177" s="142"/>
      <c r="L177" s="142"/>
      <c r="M177" s="142"/>
      <c r="N177" s="142"/>
      <c r="O177" s="142"/>
      <c r="P177" s="142"/>
      <c r="Q177" s="142"/>
      <c r="R177" s="142"/>
      <c r="S177" s="142"/>
      <c r="T177" s="142"/>
      <c r="U177" s="142"/>
      <c r="V177" s="142"/>
      <c r="W177" s="142"/>
      <c r="X177" s="142"/>
      <c r="Y177" s="142"/>
      <c r="Z177" s="142"/>
    </row>
    <row r="178" spans="1:26" ht="15" customHeight="1">
      <c r="A178" s="142"/>
      <c r="B178" s="142"/>
      <c r="C178" s="142"/>
      <c r="D178" s="142"/>
      <c r="E178" s="142"/>
      <c r="F178" s="142"/>
      <c r="G178" s="142"/>
      <c r="H178" s="142"/>
      <c r="I178" s="142"/>
      <c r="J178" s="142"/>
      <c r="K178" s="142"/>
      <c r="L178" s="142"/>
      <c r="M178" s="142"/>
      <c r="N178" s="142"/>
      <c r="O178" s="142"/>
      <c r="P178" s="142"/>
      <c r="Q178" s="142"/>
      <c r="R178" s="142"/>
      <c r="S178" s="142"/>
      <c r="T178" s="142"/>
      <c r="U178" s="142"/>
      <c r="V178" s="142"/>
      <c r="W178" s="142"/>
      <c r="X178" s="142"/>
      <c r="Y178" s="142"/>
      <c r="Z178" s="142"/>
    </row>
    <row r="179" spans="1:26" ht="15" customHeight="1">
      <c r="A179" s="142"/>
      <c r="B179" s="142"/>
      <c r="C179" s="142"/>
      <c r="D179" s="142"/>
      <c r="E179" s="142"/>
      <c r="F179" s="142"/>
      <c r="G179" s="142"/>
      <c r="H179" s="142"/>
      <c r="I179" s="142"/>
      <c r="J179" s="142"/>
      <c r="K179" s="142"/>
      <c r="L179" s="142"/>
      <c r="M179" s="142"/>
      <c r="N179" s="142"/>
      <c r="O179" s="142"/>
      <c r="P179" s="142"/>
      <c r="Q179" s="142"/>
      <c r="R179" s="142"/>
      <c r="S179" s="142"/>
      <c r="T179" s="142"/>
      <c r="U179" s="142"/>
      <c r="V179" s="142"/>
      <c r="W179" s="142"/>
      <c r="X179" s="142"/>
      <c r="Y179" s="142"/>
      <c r="Z179" s="142"/>
    </row>
    <row r="180" spans="1:26" ht="15" customHeight="1">
      <c r="A180" s="142"/>
      <c r="B180" s="142"/>
      <c r="C180" s="142"/>
      <c r="D180" s="142"/>
      <c r="E180" s="142"/>
      <c r="F180" s="142"/>
      <c r="G180" s="142"/>
      <c r="H180" s="142"/>
      <c r="I180" s="142"/>
      <c r="J180" s="142"/>
      <c r="K180" s="142"/>
      <c r="L180" s="142"/>
      <c r="M180" s="142"/>
      <c r="N180" s="142"/>
      <c r="O180" s="142"/>
      <c r="P180" s="142"/>
      <c r="Q180" s="142"/>
      <c r="R180" s="142"/>
      <c r="S180" s="142"/>
      <c r="T180" s="142"/>
      <c r="U180" s="142"/>
      <c r="V180" s="142"/>
      <c r="W180" s="142"/>
      <c r="X180" s="142"/>
      <c r="Y180" s="142"/>
      <c r="Z180" s="142"/>
    </row>
    <row r="181" spans="1:26" ht="15" customHeight="1">
      <c r="A181" s="142"/>
      <c r="B181" s="142"/>
      <c r="C181" s="142"/>
      <c r="D181" s="142"/>
      <c r="E181" s="142"/>
      <c r="F181" s="142"/>
      <c r="G181" s="142"/>
      <c r="H181" s="142"/>
      <c r="I181" s="142"/>
      <c r="J181" s="142"/>
      <c r="K181" s="142"/>
      <c r="L181" s="142"/>
      <c r="M181" s="142"/>
      <c r="N181" s="142"/>
      <c r="O181" s="142"/>
      <c r="P181" s="142"/>
      <c r="Q181" s="142"/>
      <c r="R181" s="142"/>
      <c r="S181" s="142"/>
      <c r="T181" s="142"/>
      <c r="U181" s="142"/>
      <c r="V181" s="142"/>
      <c r="W181" s="142"/>
      <c r="X181" s="142"/>
      <c r="Y181" s="142"/>
      <c r="Z181" s="142"/>
    </row>
    <row r="182" spans="1:26" ht="15" customHeight="1">
      <c r="A182" s="142"/>
      <c r="B182" s="142"/>
      <c r="C182" s="142"/>
      <c r="D182" s="142"/>
      <c r="E182" s="142"/>
      <c r="F182" s="142"/>
      <c r="G182" s="142"/>
      <c r="H182" s="142"/>
      <c r="I182" s="142"/>
      <c r="J182" s="142"/>
      <c r="K182" s="142"/>
      <c r="L182" s="142"/>
      <c r="M182" s="142"/>
      <c r="N182" s="142"/>
      <c r="O182" s="142"/>
      <c r="P182" s="142"/>
      <c r="Q182" s="142"/>
      <c r="R182" s="142"/>
      <c r="S182" s="142"/>
      <c r="T182" s="142"/>
      <c r="U182" s="142"/>
      <c r="V182" s="142"/>
      <c r="W182" s="142"/>
      <c r="X182" s="142"/>
      <c r="Y182" s="142"/>
      <c r="Z182" s="142"/>
    </row>
    <row r="183" spans="1:26" ht="15" customHeight="1">
      <c r="A183" s="142"/>
      <c r="B183" s="142"/>
      <c r="C183" s="142"/>
      <c r="D183" s="142"/>
      <c r="E183" s="142"/>
      <c r="F183" s="142"/>
      <c r="G183" s="142"/>
      <c r="H183" s="142"/>
      <c r="I183" s="142"/>
      <c r="J183" s="142"/>
      <c r="K183" s="142"/>
      <c r="L183" s="142"/>
      <c r="M183" s="142"/>
      <c r="N183" s="142"/>
      <c r="O183" s="142"/>
      <c r="P183" s="142"/>
      <c r="Q183" s="142"/>
      <c r="R183" s="142"/>
      <c r="S183" s="142"/>
      <c r="T183" s="142"/>
      <c r="U183" s="142"/>
      <c r="V183" s="142"/>
      <c r="W183" s="142"/>
      <c r="X183" s="142"/>
      <c r="Y183" s="142"/>
      <c r="Z183" s="142"/>
    </row>
    <row r="184" spans="1:26" ht="15" customHeight="1">
      <c r="A184" s="142"/>
      <c r="B184" s="142"/>
      <c r="C184" s="142"/>
      <c r="D184" s="142"/>
      <c r="E184" s="142"/>
      <c r="F184" s="142"/>
      <c r="G184" s="142"/>
      <c r="H184" s="142"/>
      <c r="I184" s="142"/>
      <c r="J184" s="142"/>
      <c r="K184" s="142"/>
      <c r="L184" s="142"/>
      <c r="M184" s="142"/>
      <c r="N184" s="142"/>
      <c r="O184" s="142"/>
      <c r="P184" s="142"/>
      <c r="Q184" s="142"/>
      <c r="R184" s="142"/>
      <c r="S184" s="142"/>
      <c r="T184" s="142"/>
      <c r="U184" s="142"/>
      <c r="V184" s="142"/>
      <c r="W184" s="142"/>
      <c r="X184" s="142"/>
      <c r="Y184" s="142"/>
      <c r="Z184" s="142"/>
    </row>
    <row r="185" spans="1:26" ht="15" customHeight="1">
      <c r="A185" s="142"/>
      <c r="B185" s="142"/>
      <c r="C185" s="142"/>
      <c r="D185" s="142"/>
      <c r="E185" s="142"/>
      <c r="F185" s="142"/>
      <c r="G185" s="142"/>
      <c r="H185" s="142"/>
      <c r="I185" s="142"/>
      <c r="J185" s="142"/>
      <c r="K185" s="142"/>
      <c r="L185" s="142"/>
      <c r="M185" s="142"/>
      <c r="N185" s="142"/>
      <c r="O185" s="142"/>
      <c r="P185" s="142"/>
      <c r="Q185" s="142"/>
      <c r="R185" s="142"/>
      <c r="S185" s="142"/>
      <c r="T185" s="142"/>
      <c r="U185" s="142"/>
      <c r="V185" s="142"/>
      <c r="W185" s="142"/>
      <c r="X185" s="142"/>
      <c r="Y185" s="142"/>
      <c r="Z185" s="142"/>
    </row>
    <row r="186" spans="1:26" ht="15" customHeight="1">
      <c r="A186" s="142"/>
      <c r="B186" s="142"/>
      <c r="C186" s="142"/>
      <c r="D186" s="142"/>
      <c r="E186" s="142"/>
      <c r="F186" s="142"/>
      <c r="G186" s="142"/>
      <c r="H186" s="142"/>
      <c r="I186" s="142"/>
      <c r="J186" s="142"/>
      <c r="K186" s="142"/>
      <c r="L186" s="142"/>
      <c r="M186" s="142"/>
      <c r="N186" s="142"/>
      <c r="O186" s="142"/>
      <c r="P186" s="142"/>
      <c r="Q186" s="142"/>
      <c r="R186" s="142"/>
      <c r="S186" s="142"/>
      <c r="T186" s="142"/>
      <c r="U186" s="142"/>
      <c r="V186" s="142"/>
      <c r="W186" s="142"/>
      <c r="X186" s="142"/>
      <c r="Y186" s="142"/>
      <c r="Z186" s="142"/>
    </row>
    <row r="187" spans="1:26" ht="15" customHeight="1">
      <c r="A187" s="142"/>
      <c r="B187" s="142"/>
      <c r="C187" s="142"/>
      <c r="D187" s="142"/>
      <c r="E187" s="142"/>
      <c r="F187" s="142"/>
      <c r="G187" s="142"/>
      <c r="H187" s="142"/>
      <c r="I187" s="142"/>
      <c r="J187" s="142"/>
      <c r="K187" s="142"/>
      <c r="L187" s="142"/>
      <c r="M187" s="142"/>
      <c r="N187" s="142"/>
      <c r="O187" s="142"/>
      <c r="P187" s="142"/>
      <c r="Q187" s="142"/>
      <c r="R187" s="142"/>
      <c r="S187" s="142"/>
      <c r="T187" s="142"/>
      <c r="U187" s="142"/>
      <c r="V187" s="142"/>
      <c r="W187" s="142"/>
      <c r="X187" s="142"/>
      <c r="Y187" s="142"/>
      <c r="Z187" s="142"/>
    </row>
    <row r="188" spans="1:26" ht="15" customHeight="1">
      <c r="A188" s="142"/>
      <c r="B188" s="142"/>
      <c r="C188" s="142"/>
      <c r="D188" s="142"/>
      <c r="E188" s="142"/>
      <c r="F188" s="142"/>
      <c r="G188" s="142"/>
      <c r="H188" s="142"/>
      <c r="I188" s="142"/>
      <c r="J188" s="142"/>
      <c r="K188" s="142"/>
      <c r="L188" s="142"/>
      <c r="M188" s="142"/>
      <c r="N188" s="142"/>
      <c r="O188" s="142"/>
      <c r="P188" s="142"/>
      <c r="Q188" s="142"/>
      <c r="R188" s="142"/>
      <c r="S188" s="142"/>
      <c r="T188" s="142"/>
      <c r="U188" s="142"/>
      <c r="V188" s="142"/>
      <c r="W188" s="142"/>
      <c r="X188" s="142"/>
      <c r="Y188" s="142"/>
      <c r="Z188" s="142"/>
    </row>
    <row r="189" spans="1:26" ht="15" customHeight="1">
      <c r="A189" s="142"/>
      <c r="B189" s="142"/>
      <c r="C189" s="142"/>
      <c r="D189" s="142"/>
      <c r="E189" s="142"/>
      <c r="F189" s="142"/>
      <c r="G189" s="142"/>
      <c r="H189" s="142"/>
      <c r="I189" s="142"/>
      <c r="J189" s="142"/>
      <c r="K189" s="142"/>
      <c r="L189" s="142"/>
      <c r="M189" s="142"/>
      <c r="N189" s="142"/>
      <c r="O189" s="142"/>
      <c r="P189" s="142"/>
      <c r="Q189" s="142"/>
      <c r="R189" s="142"/>
      <c r="S189" s="142"/>
      <c r="T189" s="142"/>
      <c r="U189" s="142"/>
      <c r="V189" s="142"/>
      <c r="W189" s="142"/>
      <c r="X189" s="142"/>
      <c r="Y189" s="142"/>
      <c r="Z189" s="142"/>
    </row>
    <row r="190" spans="1:26" ht="15" customHeight="1">
      <c r="A190" s="142"/>
      <c r="B190" s="142"/>
      <c r="C190" s="142"/>
      <c r="D190" s="142"/>
      <c r="E190" s="142"/>
      <c r="F190" s="142"/>
      <c r="G190" s="142"/>
      <c r="H190" s="142"/>
      <c r="I190" s="142"/>
      <c r="J190" s="142"/>
      <c r="K190" s="142"/>
      <c r="L190" s="142"/>
      <c r="M190" s="142"/>
      <c r="N190" s="142"/>
      <c r="O190" s="142"/>
      <c r="P190" s="142"/>
      <c r="Q190" s="142"/>
      <c r="R190" s="142"/>
      <c r="S190" s="142"/>
      <c r="T190" s="142"/>
      <c r="U190" s="142"/>
      <c r="V190" s="142"/>
      <c r="W190" s="142"/>
      <c r="X190" s="142"/>
      <c r="Y190" s="142"/>
      <c r="Z190" s="142"/>
    </row>
    <row r="191" spans="1:26" ht="15" customHeight="1">
      <c r="A191" s="142"/>
      <c r="B191" s="142"/>
      <c r="C191" s="142"/>
      <c r="D191" s="142"/>
      <c r="E191" s="142"/>
      <c r="F191" s="142"/>
      <c r="G191" s="142"/>
      <c r="H191" s="142"/>
      <c r="I191" s="142"/>
      <c r="J191" s="142"/>
      <c r="K191" s="142"/>
      <c r="L191" s="142"/>
      <c r="M191" s="142"/>
      <c r="N191" s="142"/>
      <c r="O191" s="142"/>
      <c r="P191" s="142"/>
      <c r="Q191" s="142"/>
      <c r="R191" s="142"/>
      <c r="S191" s="142"/>
      <c r="T191" s="142"/>
      <c r="U191" s="142"/>
      <c r="V191" s="142"/>
      <c r="W191" s="142"/>
      <c r="X191" s="142"/>
      <c r="Y191" s="142"/>
      <c r="Z191" s="142"/>
    </row>
    <row r="192" spans="1:26" ht="15" customHeight="1">
      <c r="A192" s="142"/>
      <c r="B192" s="142"/>
      <c r="C192" s="142"/>
      <c r="D192" s="142"/>
      <c r="E192" s="142"/>
      <c r="F192" s="142"/>
      <c r="G192" s="142"/>
      <c r="H192" s="142"/>
      <c r="I192" s="142"/>
      <c r="J192" s="142"/>
      <c r="K192" s="142"/>
      <c r="L192" s="142"/>
      <c r="M192" s="142"/>
      <c r="N192" s="142"/>
      <c r="O192" s="142"/>
      <c r="P192" s="142"/>
      <c r="Q192" s="142"/>
      <c r="R192" s="142"/>
      <c r="S192" s="142"/>
      <c r="T192" s="142"/>
      <c r="U192" s="142"/>
      <c r="V192" s="142"/>
      <c r="W192" s="142"/>
      <c r="X192" s="142"/>
      <c r="Y192" s="142"/>
      <c r="Z192" s="142"/>
    </row>
    <row r="193" spans="1:26" ht="15" customHeight="1">
      <c r="A193" s="142"/>
      <c r="B193" s="142"/>
      <c r="C193" s="142"/>
      <c r="D193" s="142"/>
      <c r="E193" s="142"/>
      <c r="F193" s="142"/>
      <c r="G193" s="142"/>
      <c r="H193" s="142"/>
      <c r="I193" s="142"/>
      <c r="J193" s="142"/>
      <c r="K193" s="142"/>
      <c r="L193" s="142"/>
      <c r="M193" s="142"/>
      <c r="N193" s="142"/>
      <c r="O193" s="142"/>
      <c r="P193" s="142"/>
      <c r="Q193" s="142"/>
      <c r="R193" s="142"/>
      <c r="S193" s="142"/>
      <c r="T193" s="142"/>
      <c r="U193" s="142"/>
      <c r="V193" s="142"/>
      <c r="W193" s="142"/>
      <c r="X193" s="142"/>
      <c r="Y193" s="142"/>
      <c r="Z193" s="142"/>
    </row>
    <row r="194" spans="1:26" ht="15" customHeight="1">
      <c r="A194" s="142"/>
      <c r="B194" s="142"/>
      <c r="C194" s="142"/>
      <c r="D194" s="142"/>
      <c r="E194" s="142"/>
      <c r="F194" s="142"/>
      <c r="G194" s="142"/>
      <c r="H194" s="142"/>
      <c r="I194" s="142"/>
      <c r="J194" s="142"/>
      <c r="K194" s="142"/>
      <c r="L194" s="142"/>
      <c r="M194" s="142"/>
      <c r="N194" s="142"/>
      <c r="O194" s="142"/>
      <c r="P194" s="142"/>
      <c r="Q194" s="142"/>
      <c r="R194" s="142"/>
      <c r="S194" s="142"/>
      <c r="T194" s="142"/>
      <c r="U194" s="142"/>
      <c r="V194" s="142"/>
      <c r="W194" s="142"/>
      <c r="X194" s="142"/>
      <c r="Y194" s="142"/>
      <c r="Z194" s="142"/>
    </row>
    <row r="195" spans="1:26" ht="15" customHeight="1">
      <c r="A195" s="142"/>
      <c r="B195" s="142"/>
      <c r="C195" s="142"/>
      <c r="D195" s="142"/>
      <c r="E195" s="142"/>
      <c r="F195" s="142"/>
      <c r="G195" s="142"/>
      <c r="H195" s="142"/>
      <c r="I195" s="142"/>
      <c r="J195" s="142"/>
      <c r="K195" s="142"/>
      <c r="L195" s="142"/>
      <c r="M195" s="142"/>
      <c r="N195" s="142"/>
      <c r="O195" s="142"/>
      <c r="P195" s="142"/>
      <c r="Q195" s="142"/>
      <c r="R195" s="142"/>
      <c r="S195" s="142"/>
      <c r="T195" s="142"/>
      <c r="U195" s="142"/>
      <c r="V195" s="142"/>
      <c r="W195" s="142"/>
      <c r="X195" s="142"/>
      <c r="Y195" s="142"/>
      <c r="Z195" s="142"/>
    </row>
    <row r="196" spans="1:26" ht="15" customHeight="1">
      <c r="A196" s="142"/>
      <c r="B196" s="142"/>
      <c r="C196" s="142"/>
      <c r="D196" s="142"/>
      <c r="E196" s="142"/>
      <c r="F196" s="142"/>
      <c r="G196" s="142"/>
      <c r="H196" s="142"/>
      <c r="I196" s="142"/>
      <c r="J196" s="142"/>
      <c r="K196" s="142"/>
      <c r="L196" s="142"/>
      <c r="M196" s="142"/>
      <c r="N196" s="142"/>
      <c r="O196" s="142"/>
      <c r="P196" s="142"/>
      <c r="Q196" s="142"/>
      <c r="R196" s="142"/>
      <c r="S196" s="142"/>
      <c r="T196" s="142"/>
      <c r="U196" s="142"/>
      <c r="V196" s="142"/>
      <c r="W196" s="142"/>
      <c r="X196" s="142"/>
      <c r="Y196" s="142"/>
      <c r="Z196" s="142"/>
    </row>
    <row r="197" spans="1:26" ht="15" customHeight="1">
      <c r="A197" s="142"/>
      <c r="B197" s="142"/>
      <c r="C197" s="142"/>
      <c r="D197" s="142"/>
      <c r="E197" s="142"/>
      <c r="F197" s="142"/>
      <c r="G197" s="142"/>
      <c r="H197" s="142"/>
      <c r="I197" s="142"/>
      <c r="J197" s="142"/>
      <c r="K197" s="142"/>
      <c r="L197" s="142"/>
      <c r="M197" s="142"/>
      <c r="N197" s="142"/>
      <c r="O197" s="142"/>
      <c r="P197" s="142"/>
      <c r="Q197" s="142"/>
      <c r="R197" s="142"/>
      <c r="S197" s="142"/>
      <c r="T197" s="142"/>
      <c r="U197" s="142"/>
      <c r="V197" s="142"/>
      <c r="W197" s="142"/>
      <c r="X197" s="142"/>
      <c r="Y197" s="142"/>
      <c r="Z197" s="142"/>
    </row>
    <row r="198" spans="1:26" ht="15" customHeight="1">
      <c r="A198" s="142"/>
      <c r="B198" s="142"/>
      <c r="C198" s="142"/>
      <c r="D198" s="142"/>
      <c r="E198" s="142"/>
      <c r="F198" s="142"/>
      <c r="G198" s="142"/>
      <c r="H198" s="142"/>
      <c r="I198" s="142"/>
      <c r="J198" s="142"/>
      <c r="K198" s="142"/>
      <c r="L198" s="142"/>
      <c r="M198" s="142"/>
      <c r="N198" s="142"/>
      <c r="O198" s="142"/>
      <c r="P198" s="142"/>
      <c r="Q198" s="142"/>
      <c r="R198" s="142"/>
      <c r="S198" s="142"/>
      <c r="T198" s="142"/>
      <c r="U198" s="142"/>
      <c r="V198" s="142"/>
      <c r="W198" s="142"/>
      <c r="X198" s="142"/>
      <c r="Y198" s="142"/>
      <c r="Z198" s="142"/>
    </row>
    <row r="199" spans="1:26" ht="15" customHeight="1">
      <c r="A199" s="142"/>
      <c r="B199" s="142"/>
      <c r="C199" s="142"/>
      <c r="D199" s="142"/>
      <c r="E199" s="142"/>
      <c r="F199" s="142"/>
      <c r="G199" s="142"/>
      <c r="H199" s="142"/>
      <c r="I199" s="142"/>
      <c r="J199" s="142"/>
      <c r="K199" s="142"/>
      <c r="L199" s="142"/>
      <c r="M199" s="142"/>
      <c r="N199" s="142"/>
      <c r="O199" s="142"/>
      <c r="P199" s="142"/>
      <c r="Q199" s="142"/>
      <c r="R199" s="142"/>
      <c r="S199" s="142"/>
      <c r="T199" s="142"/>
      <c r="U199" s="142"/>
      <c r="V199" s="142"/>
      <c r="W199" s="142"/>
      <c r="X199" s="142"/>
      <c r="Y199" s="142"/>
      <c r="Z199" s="142"/>
    </row>
    <row r="200" spans="1:26" ht="15" customHeight="1">
      <c r="A200" s="142"/>
      <c r="B200" s="142"/>
      <c r="C200" s="142"/>
      <c r="D200" s="142"/>
      <c r="E200" s="142"/>
      <c r="F200" s="142"/>
      <c r="G200" s="142"/>
      <c r="H200" s="142"/>
      <c r="I200" s="142"/>
      <c r="J200" s="142"/>
      <c r="K200" s="142"/>
      <c r="L200" s="142"/>
      <c r="M200" s="142"/>
      <c r="N200" s="142"/>
      <c r="O200" s="142"/>
      <c r="P200" s="142"/>
      <c r="Q200" s="142"/>
      <c r="R200" s="142"/>
      <c r="S200" s="142"/>
      <c r="T200" s="142"/>
      <c r="U200" s="142"/>
      <c r="V200" s="142"/>
      <c r="W200" s="142"/>
      <c r="X200" s="142"/>
      <c r="Y200" s="142"/>
      <c r="Z200" s="142"/>
    </row>
  </sheetData>
  <mergeCells count="33">
    <mergeCell ref="M2:O2"/>
    <mergeCell ref="C5:O5"/>
    <mergeCell ref="C7:D7"/>
    <mergeCell ref="C8:D8"/>
    <mergeCell ref="E7:F7"/>
    <mergeCell ref="E8:F8"/>
    <mergeCell ref="G7:H7"/>
    <mergeCell ref="G8:H8"/>
    <mergeCell ref="I7:J7"/>
    <mergeCell ref="I8:J8"/>
    <mergeCell ref="K7:L7"/>
    <mergeCell ref="K8:L8"/>
    <mergeCell ref="M7:O7"/>
    <mergeCell ref="M8:O8"/>
    <mergeCell ref="M14:O14"/>
    <mergeCell ref="M15:O15"/>
    <mergeCell ref="M16:O16"/>
    <mergeCell ref="C10:O10"/>
    <mergeCell ref="M11:O11"/>
    <mergeCell ref="M12:O12"/>
    <mergeCell ref="M13:O13"/>
    <mergeCell ref="M17:O17"/>
    <mergeCell ref="C19:O19"/>
    <mergeCell ref="C35:O35"/>
    <mergeCell ref="C48:O48"/>
    <mergeCell ref="B49:B50"/>
    <mergeCell ref="C49:D49"/>
    <mergeCell ref="E49:F49"/>
    <mergeCell ref="G49:H49"/>
    <mergeCell ref="C50:D50"/>
    <mergeCell ref="E50:F50"/>
    <mergeCell ref="G50:H50"/>
    <mergeCell ref="I50:O50"/>
  </mergeCells>
  <conditionalFormatting sqref="B37:O46">
    <cfRule type="expression" dxfId="16" priority="12">
      <formula>AND(MOD(ROW(),2)=1,LEN($B37)&gt;0)</formula>
    </cfRule>
  </conditionalFormatting>
  <conditionalFormatting sqref="B53:O140">
    <cfRule type="expression" dxfId="15" priority="13">
      <formula>AND(MOD(ROW(),2)=0,LEN($B53)&gt;0)</formula>
    </cfRule>
  </conditionalFormatting>
  <conditionalFormatting sqref="C12:C16">
    <cfRule type="cellIs" dxfId="14" priority="1" operator="greaterThan">
      <formula>0</formula>
    </cfRule>
  </conditionalFormatting>
  <conditionalFormatting sqref="D12:D16">
    <cfRule type="cellIs" dxfId="13" priority="2" operator="greaterThan">
      <formula>0</formula>
    </cfRule>
  </conditionalFormatting>
  <conditionalFormatting sqref="D53:D140">
    <cfRule type="expression" dxfId="12" priority="14">
      <formula>$D53="Ready for Release in Prod"</formula>
    </cfRule>
    <cfRule type="expression" dxfId="11" priority="17">
      <formula>$D53="RELEASED IN PROD"</formula>
    </cfRule>
  </conditionalFormatting>
  <conditionalFormatting sqref="E12:E16">
    <cfRule type="cellIs" dxfId="10" priority="3" operator="greaterThan">
      <formula>0</formula>
    </cfRule>
  </conditionalFormatting>
  <conditionalFormatting sqref="E53:E140">
    <cfRule type="expression" dxfId="9" priority="15">
      <formula>LEFT($E53,3)="Yes"</formula>
    </cfRule>
  </conditionalFormatting>
  <conditionalFormatting sqref="F12:F16">
    <cfRule type="cellIs" dxfId="8" priority="4" operator="greaterThan">
      <formula>0</formula>
    </cfRule>
  </conditionalFormatting>
  <conditionalFormatting sqref="G12:G16">
    <cfRule type="cellIs" dxfId="7" priority="5" operator="greaterThan">
      <formula>0</formula>
    </cfRule>
  </conditionalFormatting>
  <conditionalFormatting sqref="H12:H16">
    <cfRule type="cellIs" dxfId="6" priority="6" operator="greaterThan">
      <formula>0</formula>
    </cfRule>
  </conditionalFormatting>
  <conditionalFormatting sqref="I12:I16">
    <cfRule type="cellIs" dxfId="5" priority="7" operator="greaterThan">
      <formula>0</formula>
    </cfRule>
  </conditionalFormatting>
  <conditionalFormatting sqref="J12:J16">
    <cfRule type="cellIs" dxfId="4" priority="8" operator="greaterThan">
      <formula>0</formula>
    </cfRule>
  </conditionalFormatting>
  <conditionalFormatting sqref="M12:O16">
    <cfRule type="expression" dxfId="3" priority="9">
      <formula>ISNUMBER(SEARCH("past",$M12))</formula>
    </cfRule>
    <cfRule type="expression" dxfId="2" priority="10">
      <formula>$M12="Delivered"</formula>
    </cfRule>
  </conditionalFormatting>
  <conditionalFormatting sqref="M17:O17">
    <cfRule type="expression" dxfId="1" priority="11">
      <formula>LEN($M17)&gt;0</formula>
    </cfRule>
  </conditionalFormatting>
  <conditionalFormatting sqref="O53:O140">
    <cfRule type="expression" dxfId="0" priority="16">
      <formula>LEN($O53)&gt;0</formula>
    </cfRule>
  </conditionalFormatting>
  <printOptions horizontalCentered="1" gridLinesSet="0"/>
  <pageMargins left="0.7" right="0.7" top="0.75" bottom="0.75" header="0.3" footer="0.3"/>
  <pageSetup paperSize="0" firstPageNumber="0" orientation="landscape" horizontalDpi="0" verticalDpi="0" copies="0"/>
  <drawing r:id="rId1"/>
  <extLst>
    <ext xmlns:x14="http://schemas.microsoft.com/office/spreadsheetml/2009/9/main" uri="{CCE6A557-97BC-4b89-ADB6-D9C93CAAB3DF}">
      <x14:dataValidations xmlns:xm="http://schemas.microsoft.com/office/excel/2006/main" count="3">
        <x14:dataValidation type="list" allowBlank="1" showInputMessage="1" showErrorMessage="1" xr:uid="{E646A47A-57B2-47A3-B945-1EC58AEBBF25}">
          <x14:formula1>
            <xm:f>'Dashboard Lists'!$A$2:$A$20</xm:f>
          </x14:formula1>
          <xm:sqref>C50:D50</xm:sqref>
        </x14:dataValidation>
        <x14:dataValidation type="list" allowBlank="1" showInputMessage="1" showErrorMessage="1" xr:uid="{713C7957-0B88-4BCA-AA3E-A67E812C3D6C}">
          <x14:formula1>
            <xm:f>'Dashboard Lists'!$B$2:$B$10</xm:f>
          </x14:formula1>
          <xm:sqref>E50:F50</xm:sqref>
        </x14:dataValidation>
        <x14:dataValidation type="list" allowBlank="1" showInputMessage="1" showErrorMessage="1" xr:uid="{86D40A13-F4F9-4467-BE46-A5D136FE8C2C}">
          <x14:formula1>
            <xm:f>'Dashboard Lists'!$C$2:$C$80</xm:f>
          </x14:formula1>
          <xm:sqref>G50:H50</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783A11-7A7E-4830-93A2-3AD8E7D66ADA}">
  <dimension ref="A1:E73"/>
  <sheetViews>
    <sheetView workbookViewId="0">
      <pane ySplit="1" topLeftCell="A32" activePane="bottomLeft" state="frozen"/>
      <selection pane="bottomLeft" activeCell="B46" sqref="B46"/>
    </sheetView>
  </sheetViews>
  <sheetFormatPr defaultRowHeight="15"/>
  <cols>
    <col min="1" max="1" width="53.42578125" bestFit="1" customWidth="1"/>
    <col min="2" max="2" width="10.7109375" bestFit="1" customWidth="1"/>
    <col min="3" max="3" width="23.85546875" bestFit="1" customWidth="1"/>
    <col min="4" max="4" width="23.5703125" bestFit="1" customWidth="1"/>
    <col min="5" max="5" width="17.85546875" bestFit="1" customWidth="1"/>
  </cols>
  <sheetData>
    <row r="1" spans="1:5">
      <c r="A1" t="s">
        <v>1</v>
      </c>
      <c r="B1" t="s">
        <v>522</v>
      </c>
      <c r="C1" t="s">
        <v>523</v>
      </c>
      <c r="D1" t="s">
        <v>35</v>
      </c>
      <c r="E1" t="s">
        <v>524</v>
      </c>
    </row>
    <row r="2" spans="1:5">
      <c r="A2" t="s">
        <v>127</v>
      </c>
      <c r="B2" t="s">
        <v>130</v>
      </c>
      <c r="C2" t="s">
        <v>128</v>
      </c>
      <c r="D2" t="s">
        <v>133</v>
      </c>
      <c r="E2" t="str">
        <f t="shared" ref="E2:E33" si="0">IF(C2="Ready for Release in Prod","Blocked in Prod",IF(C2="RELEASED IN PROD","Released",IF(LEFT(D2,3)="Yes","Blocked - Build/QA",IF(C2="NOT STARTED","Not Started",C2))))</f>
        <v>Blocked in Prod</v>
      </c>
    </row>
    <row r="3" spans="1:5">
      <c r="A3" t="s">
        <v>135</v>
      </c>
      <c r="B3" t="s">
        <v>130</v>
      </c>
      <c r="C3" t="s">
        <v>128</v>
      </c>
      <c r="D3" t="s">
        <v>133</v>
      </c>
      <c r="E3" t="str">
        <f t="shared" si="0"/>
        <v>Blocked in Prod</v>
      </c>
    </row>
    <row r="4" spans="1:5">
      <c r="A4" t="s">
        <v>137</v>
      </c>
      <c r="B4" t="s">
        <v>130</v>
      </c>
      <c r="C4" t="s">
        <v>128</v>
      </c>
      <c r="D4" t="s">
        <v>133</v>
      </c>
      <c r="E4" t="str">
        <f t="shared" si="0"/>
        <v>Blocked in Prod</v>
      </c>
    </row>
    <row r="5" spans="1:5">
      <c r="A5" t="s">
        <v>139</v>
      </c>
      <c r="B5" t="s">
        <v>130</v>
      </c>
      <c r="C5" t="s">
        <v>128</v>
      </c>
      <c r="D5" t="s">
        <v>133</v>
      </c>
      <c r="E5" t="str">
        <f t="shared" si="0"/>
        <v>Blocked in Prod</v>
      </c>
    </row>
    <row r="6" spans="1:5">
      <c r="A6" t="s">
        <v>141</v>
      </c>
      <c r="B6" t="s">
        <v>130</v>
      </c>
      <c r="C6" t="s">
        <v>128</v>
      </c>
      <c r="D6" t="s">
        <v>133</v>
      </c>
      <c r="E6" t="str">
        <f t="shared" si="0"/>
        <v>Blocked in Prod</v>
      </c>
    </row>
    <row r="7" spans="1:5">
      <c r="A7" t="s">
        <v>143</v>
      </c>
      <c r="B7" t="s">
        <v>130</v>
      </c>
      <c r="C7" t="s">
        <v>128</v>
      </c>
      <c r="D7" t="s">
        <v>133</v>
      </c>
      <c r="E7" t="str">
        <f t="shared" si="0"/>
        <v>Blocked in Prod</v>
      </c>
    </row>
    <row r="8" spans="1:5">
      <c r="A8" t="s">
        <v>146</v>
      </c>
      <c r="B8" t="s">
        <v>130</v>
      </c>
      <c r="C8" t="s">
        <v>128</v>
      </c>
      <c r="D8" t="s">
        <v>133</v>
      </c>
      <c r="E8" t="str">
        <f t="shared" si="0"/>
        <v>Blocked in Prod</v>
      </c>
    </row>
    <row r="9" spans="1:5">
      <c r="A9" t="s">
        <v>149</v>
      </c>
      <c r="B9" t="s">
        <v>130</v>
      </c>
      <c r="C9" t="s">
        <v>128</v>
      </c>
      <c r="D9" t="s">
        <v>133</v>
      </c>
      <c r="E9" t="str">
        <f t="shared" si="0"/>
        <v>Blocked in Prod</v>
      </c>
    </row>
    <row r="10" spans="1:5">
      <c r="A10" t="s">
        <v>150</v>
      </c>
      <c r="B10" t="s">
        <v>130</v>
      </c>
      <c r="C10" t="s">
        <v>128</v>
      </c>
      <c r="D10" t="s">
        <v>133</v>
      </c>
      <c r="E10" t="str">
        <f t="shared" si="0"/>
        <v>Blocked in Prod</v>
      </c>
    </row>
    <row r="11" spans="1:5">
      <c r="A11" t="s">
        <v>153</v>
      </c>
      <c r="B11" t="s">
        <v>130</v>
      </c>
      <c r="C11" t="s">
        <v>128</v>
      </c>
      <c r="D11" t="s">
        <v>133</v>
      </c>
      <c r="E11" t="str">
        <f t="shared" si="0"/>
        <v>Blocked in Prod</v>
      </c>
    </row>
    <row r="12" spans="1:5">
      <c r="A12" t="s">
        <v>156</v>
      </c>
      <c r="B12" t="s">
        <v>130</v>
      </c>
      <c r="C12" t="s">
        <v>128</v>
      </c>
      <c r="D12" t="s">
        <v>133</v>
      </c>
      <c r="E12" t="str">
        <f t="shared" si="0"/>
        <v>Blocked in Prod</v>
      </c>
    </row>
    <row r="13" spans="1:5">
      <c r="A13" t="s">
        <v>157</v>
      </c>
      <c r="B13" t="s">
        <v>130</v>
      </c>
      <c r="C13" t="s">
        <v>128</v>
      </c>
      <c r="D13" t="s">
        <v>133</v>
      </c>
      <c r="E13" t="str">
        <f t="shared" si="0"/>
        <v>Blocked in Prod</v>
      </c>
    </row>
    <row r="14" spans="1:5">
      <c r="A14" t="s">
        <v>159</v>
      </c>
      <c r="B14" t="s">
        <v>130</v>
      </c>
      <c r="C14" t="s">
        <v>128</v>
      </c>
      <c r="D14" t="s">
        <v>133</v>
      </c>
      <c r="E14" t="str">
        <f t="shared" si="0"/>
        <v>Blocked in Prod</v>
      </c>
    </row>
    <row r="15" spans="1:5">
      <c r="A15" t="s">
        <v>161</v>
      </c>
      <c r="B15" t="s">
        <v>130</v>
      </c>
      <c r="C15" t="s">
        <v>128</v>
      </c>
      <c r="D15" t="s">
        <v>133</v>
      </c>
      <c r="E15" t="str">
        <f t="shared" si="0"/>
        <v>Blocked in Prod</v>
      </c>
    </row>
    <row r="16" spans="1:5">
      <c r="A16" t="s">
        <v>164</v>
      </c>
      <c r="B16" t="s">
        <v>166</v>
      </c>
      <c r="C16" t="s">
        <v>223</v>
      </c>
      <c r="D16" t="s">
        <v>471</v>
      </c>
      <c r="E16" t="str">
        <f t="shared" si="0"/>
        <v>Blocked - Build/QA</v>
      </c>
    </row>
    <row r="17" spans="1:5">
      <c r="A17" t="s">
        <v>169</v>
      </c>
      <c r="B17" t="s">
        <v>166</v>
      </c>
      <c r="C17" t="s">
        <v>128</v>
      </c>
      <c r="D17" t="s">
        <v>133</v>
      </c>
      <c r="E17" t="str">
        <f t="shared" si="0"/>
        <v>Blocked in Prod</v>
      </c>
    </row>
    <row r="18" spans="1:5">
      <c r="A18" t="s">
        <v>173</v>
      </c>
      <c r="B18" t="s">
        <v>166</v>
      </c>
      <c r="C18" t="s">
        <v>128</v>
      </c>
      <c r="D18" t="s">
        <v>133</v>
      </c>
      <c r="E18" t="str">
        <f t="shared" si="0"/>
        <v>Blocked in Prod</v>
      </c>
    </row>
    <row r="19" spans="1:5">
      <c r="A19" t="s">
        <v>175</v>
      </c>
      <c r="B19" t="s">
        <v>166</v>
      </c>
      <c r="C19" t="s">
        <v>128</v>
      </c>
      <c r="D19" t="s">
        <v>133</v>
      </c>
      <c r="E19" t="str">
        <f t="shared" si="0"/>
        <v>Blocked in Prod</v>
      </c>
    </row>
    <row r="20" spans="1:5">
      <c r="A20" t="s">
        <v>177</v>
      </c>
      <c r="B20" t="s">
        <v>166</v>
      </c>
      <c r="C20" t="s">
        <v>128</v>
      </c>
      <c r="D20" t="s">
        <v>133</v>
      </c>
      <c r="E20" t="str">
        <f t="shared" si="0"/>
        <v>Blocked in Prod</v>
      </c>
    </row>
    <row r="21" spans="1:5">
      <c r="A21" t="s">
        <v>179</v>
      </c>
      <c r="B21" t="s">
        <v>166</v>
      </c>
      <c r="C21" t="s">
        <v>128</v>
      </c>
      <c r="D21" t="s">
        <v>133</v>
      </c>
      <c r="E21" t="str">
        <f t="shared" si="0"/>
        <v>Blocked in Prod</v>
      </c>
    </row>
    <row r="22" spans="1:5">
      <c r="A22" t="s">
        <v>181</v>
      </c>
      <c r="B22" t="s">
        <v>166</v>
      </c>
      <c r="C22" t="s">
        <v>187</v>
      </c>
      <c r="D22" t="s">
        <v>53</v>
      </c>
      <c r="E22" t="str">
        <f t="shared" si="0"/>
        <v>DPO Approval</v>
      </c>
    </row>
    <row r="23" spans="1:5">
      <c r="A23" t="s">
        <v>183</v>
      </c>
      <c r="B23" t="s">
        <v>166</v>
      </c>
      <c r="C23" t="s">
        <v>128</v>
      </c>
      <c r="D23" t="s">
        <v>133</v>
      </c>
      <c r="E23" t="str">
        <f t="shared" si="0"/>
        <v>Blocked in Prod</v>
      </c>
    </row>
    <row r="24" spans="1:5">
      <c r="A24" t="s">
        <v>184</v>
      </c>
      <c r="B24" t="s">
        <v>166</v>
      </c>
      <c r="C24" t="s">
        <v>128</v>
      </c>
      <c r="D24" t="s">
        <v>133</v>
      </c>
      <c r="E24" t="str">
        <f t="shared" si="0"/>
        <v>Blocked in Prod</v>
      </c>
    </row>
    <row r="25" spans="1:5">
      <c r="A25" t="s">
        <v>186</v>
      </c>
      <c r="B25" t="s">
        <v>166</v>
      </c>
      <c r="C25" t="s">
        <v>187</v>
      </c>
      <c r="D25" t="s">
        <v>53</v>
      </c>
      <c r="E25" t="str">
        <f t="shared" si="0"/>
        <v>DPO Approval</v>
      </c>
    </row>
    <row r="26" spans="1:5">
      <c r="A26" t="s">
        <v>190</v>
      </c>
      <c r="B26" t="s">
        <v>166</v>
      </c>
      <c r="C26" t="s">
        <v>128</v>
      </c>
      <c r="D26" t="s">
        <v>133</v>
      </c>
      <c r="E26" t="str">
        <f t="shared" si="0"/>
        <v>Blocked in Prod</v>
      </c>
    </row>
    <row r="27" spans="1:5">
      <c r="A27" t="s">
        <v>191</v>
      </c>
      <c r="B27" t="s">
        <v>166</v>
      </c>
      <c r="C27" t="s">
        <v>128</v>
      </c>
      <c r="D27" t="s">
        <v>133</v>
      </c>
      <c r="E27" t="str">
        <f t="shared" si="0"/>
        <v>Blocked in Prod</v>
      </c>
    </row>
    <row r="28" spans="1:5">
      <c r="A28" t="s">
        <v>193</v>
      </c>
      <c r="B28" t="s">
        <v>194</v>
      </c>
      <c r="C28" t="s">
        <v>187</v>
      </c>
      <c r="D28" t="s">
        <v>53</v>
      </c>
      <c r="E28" t="str">
        <f t="shared" si="0"/>
        <v>DPO Approval</v>
      </c>
    </row>
    <row r="29" spans="1:5">
      <c r="A29" t="s">
        <v>199</v>
      </c>
      <c r="B29" t="s">
        <v>194</v>
      </c>
      <c r="C29" t="s">
        <v>187</v>
      </c>
      <c r="D29" t="s">
        <v>53</v>
      </c>
      <c r="E29" t="str">
        <f t="shared" si="0"/>
        <v>DPO Approval</v>
      </c>
    </row>
    <row r="30" spans="1:5">
      <c r="A30" t="s">
        <v>204</v>
      </c>
      <c r="B30" t="s">
        <v>194</v>
      </c>
      <c r="C30" t="s">
        <v>128</v>
      </c>
      <c r="D30" t="s">
        <v>133</v>
      </c>
      <c r="E30" t="str">
        <f t="shared" si="0"/>
        <v>Blocked in Prod</v>
      </c>
    </row>
    <row r="31" spans="1:5">
      <c r="A31" t="s">
        <v>205</v>
      </c>
      <c r="B31" t="s">
        <v>194</v>
      </c>
      <c r="C31" t="s">
        <v>223</v>
      </c>
      <c r="D31" t="s">
        <v>466</v>
      </c>
      <c r="E31" t="str">
        <f t="shared" si="0"/>
        <v>Blocked - Build/QA</v>
      </c>
    </row>
    <row r="32" spans="1:5">
      <c r="A32" t="s">
        <v>208</v>
      </c>
      <c r="B32" t="s">
        <v>194</v>
      </c>
      <c r="C32" t="s">
        <v>187</v>
      </c>
      <c r="D32" t="s">
        <v>53</v>
      </c>
      <c r="E32" t="str">
        <f t="shared" si="0"/>
        <v>DPO Approval</v>
      </c>
    </row>
    <row r="33" spans="1:5">
      <c r="A33" t="s">
        <v>210</v>
      </c>
      <c r="B33" t="s">
        <v>194</v>
      </c>
      <c r="C33" t="s">
        <v>128</v>
      </c>
      <c r="D33" t="s">
        <v>133</v>
      </c>
      <c r="E33" t="str">
        <f t="shared" si="0"/>
        <v>Blocked in Prod</v>
      </c>
    </row>
    <row r="34" spans="1:5">
      <c r="A34" t="s">
        <v>212</v>
      </c>
      <c r="B34" t="s">
        <v>194</v>
      </c>
      <c r="C34" t="s">
        <v>187</v>
      </c>
      <c r="D34" t="s">
        <v>254</v>
      </c>
      <c r="E34" t="str">
        <f t="shared" ref="E34:E65" si="1">IF(C34="Ready for Release in Prod","Blocked in Prod",IF(C34="RELEASED IN PROD","Released",IF(LEFT(D34,3)="Yes","Blocked - Build/QA",IF(C34="NOT STARTED","Not Started",C34))))</f>
        <v>Blocked - Build/QA</v>
      </c>
    </row>
    <row r="35" spans="1:5">
      <c r="A35" t="s">
        <v>215</v>
      </c>
      <c r="B35" t="s">
        <v>194</v>
      </c>
      <c r="C35" t="s">
        <v>187</v>
      </c>
      <c r="D35" t="s">
        <v>53</v>
      </c>
      <c r="E35" t="str">
        <f t="shared" si="1"/>
        <v>DPO Approval</v>
      </c>
    </row>
    <row r="36" spans="1:5">
      <c r="A36" t="s">
        <v>217</v>
      </c>
      <c r="B36" t="s">
        <v>194</v>
      </c>
      <c r="C36" t="s">
        <v>206</v>
      </c>
      <c r="D36" t="s">
        <v>53</v>
      </c>
      <c r="E36" t="str">
        <f t="shared" si="1"/>
        <v>QA</v>
      </c>
    </row>
    <row r="37" spans="1:5">
      <c r="A37" t="s">
        <v>219</v>
      </c>
      <c r="B37" t="s">
        <v>194</v>
      </c>
      <c r="C37" t="s">
        <v>206</v>
      </c>
      <c r="D37" t="s">
        <v>53</v>
      </c>
      <c r="E37" t="str">
        <f t="shared" si="1"/>
        <v>QA</v>
      </c>
    </row>
    <row r="38" spans="1:5">
      <c r="A38" t="s">
        <v>221</v>
      </c>
      <c r="B38" t="s">
        <v>194</v>
      </c>
      <c r="C38" t="s">
        <v>187</v>
      </c>
      <c r="D38" t="s">
        <v>53</v>
      </c>
      <c r="E38" t="str">
        <f t="shared" si="1"/>
        <v>DPO Approval</v>
      </c>
    </row>
    <row r="39" spans="1:5">
      <c r="A39" t="s">
        <v>222</v>
      </c>
      <c r="B39" t="s">
        <v>194</v>
      </c>
      <c r="C39" t="s">
        <v>223</v>
      </c>
      <c r="D39" t="s">
        <v>53</v>
      </c>
      <c r="E39" t="str">
        <f t="shared" si="1"/>
        <v>PBI Dev</v>
      </c>
    </row>
    <row r="40" spans="1:5">
      <c r="A40" t="s">
        <v>224</v>
      </c>
      <c r="B40" t="s">
        <v>194</v>
      </c>
      <c r="C40" t="s">
        <v>263</v>
      </c>
      <c r="D40" t="s">
        <v>53</v>
      </c>
      <c r="E40" t="str">
        <f t="shared" si="1"/>
        <v>DB Dev</v>
      </c>
    </row>
    <row r="41" spans="1:5">
      <c r="A41" t="s">
        <v>228</v>
      </c>
      <c r="B41" t="s">
        <v>194</v>
      </c>
      <c r="C41" t="s">
        <v>223</v>
      </c>
      <c r="D41" t="s">
        <v>53</v>
      </c>
      <c r="E41" t="str">
        <f t="shared" si="1"/>
        <v>PBI Dev</v>
      </c>
    </row>
    <row r="42" spans="1:5">
      <c r="A42" t="s">
        <v>233</v>
      </c>
      <c r="B42" t="s">
        <v>194</v>
      </c>
      <c r="C42" t="s">
        <v>234</v>
      </c>
      <c r="D42" t="s">
        <v>53</v>
      </c>
      <c r="E42" t="str">
        <f t="shared" si="1"/>
        <v>Not Started</v>
      </c>
    </row>
    <row r="43" spans="1:5">
      <c r="A43" t="s">
        <v>237</v>
      </c>
      <c r="B43" t="s">
        <v>194</v>
      </c>
      <c r="C43" t="s">
        <v>223</v>
      </c>
      <c r="D43" t="s">
        <v>466</v>
      </c>
      <c r="E43" t="str">
        <f t="shared" si="1"/>
        <v>Blocked - Build/QA</v>
      </c>
    </row>
    <row r="44" spans="1:5">
      <c r="A44" t="s">
        <v>239</v>
      </c>
      <c r="B44" t="s">
        <v>194</v>
      </c>
      <c r="C44" t="s">
        <v>187</v>
      </c>
      <c r="D44" t="s">
        <v>53</v>
      </c>
      <c r="E44" t="str">
        <f t="shared" si="1"/>
        <v>DPO Approval</v>
      </c>
    </row>
    <row r="45" spans="1:5">
      <c r="A45" t="s">
        <v>242</v>
      </c>
      <c r="B45" t="s">
        <v>194</v>
      </c>
      <c r="C45" t="s">
        <v>223</v>
      </c>
      <c r="D45" t="s">
        <v>53</v>
      </c>
      <c r="E45" t="str">
        <f t="shared" si="1"/>
        <v>PBI Dev</v>
      </c>
    </row>
    <row r="46" spans="1:5">
      <c r="A46" t="s">
        <v>243</v>
      </c>
      <c r="B46" t="s">
        <v>244</v>
      </c>
      <c r="C46" t="s">
        <v>206</v>
      </c>
      <c r="E46" t="str">
        <f t="shared" si="1"/>
        <v>QA</v>
      </c>
    </row>
    <row r="47" spans="1:5">
      <c r="A47" t="s">
        <v>247</v>
      </c>
      <c r="B47" t="s">
        <v>244</v>
      </c>
      <c r="C47" t="s">
        <v>223</v>
      </c>
      <c r="E47" t="str">
        <f t="shared" si="1"/>
        <v>PBI Dev</v>
      </c>
    </row>
    <row r="48" spans="1:5">
      <c r="A48" t="s">
        <v>248</v>
      </c>
      <c r="B48" t="s">
        <v>244</v>
      </c>
      <c r="C48" t="s">
        <v>234</v>
      </c>
      <c r="E48" t="str">
        <f t="shared" si="1"/>
        <v>Not Started</v>
      </c>
    </row>
    <row r="49" spans="1:5">
      <c r="A49" t="s">
        <v>250</v>
      </c>
      <c r="B49" t="s">
        <v>244</v>
      </c>
      <c r="C49" t="s">
        <v>234</v>
      </c>
      <c r="E49" t="str">
        <f t="shared" si="1"/>
        <v>Not Started</v>
      </c>
    </row>
    <row r="50" spans="1:5">
      <c r="A50" t="s">
        <v>251</v>
      </c>
      <c r="B50" t="s">
        <v>244</v>
      </c>
      <c r="C50" t="s">
        <v>234</v>
      </c>
      <c r="E50" t="str">
        <f t="shared" si="1"/>
        <v>Not Started</v>
      </c>
    </row>
    <row r="51" spans="1:5">
      <c r="A51" t="s">
        <v>252</v>
      </c>
      <c r="B51" t="s">
        <v>244</v>
      </c>
      <c r="C51" t="s">
        <v>223</v>
      </c>
      <c r="D51" t="s">
        <v>254</v>
      </c>
      <c r="E51" t="str">
        <f t="shared" si="1"/>
        <v>Blocked - Build/QA</v>
      </c>
    </row>
    <row r="52" spans="1:5">
      <c r="A52" t="s">
        <v>256</v>
      </c>
      <c r="B52" t="s">
        <v>244</v>
      </c>
      <c r="C52" t="s">
        <v>223</v>
      </c>
      <c r="E52" t="str">
        <f t="shared" si="1"/>
        <v>PBI Dev</v>
      </c>
    </row>
    <row r="53" spans="1:5">
      <c r="A53" t="s">
        <v>260</v>
      </c>
      <c r="B53" t="s">
        <v>244</v>
      </c>
      <c r="C53" t="s">
        <v>234</v>
      </c>
      <c r="E53" t="str">
        <f t="shared" si="1"/>
        <v>Not Started</v>
      </c>
    </row>
    <row r="54" spans="1:5">
      <c r="A54" t="s">
        <v>261</v>
      </c>
      <c r="B54" t="s">
        <v>244</v>
      </c>
      <c r="C54" t="s">
        <v>234</v>
      </c>
      <c r="E54" t="str">
        <f t="shared" si="1"/>
        <v>Not Started</v>
      </c>
    </row>
    <row r="55" spans="1:5">
      <c r="A55" t="s">
        <v>262</v>
      </c>
      <c r="B55" t="s">
        <v>244</v>
      </c>
      <c r="C55" t="s">
        <v>263</v>
      </c>
      <c r="E55" t="str">
        <f t="shared" si="1"/>
        <v>DB Dev</v>
      </c>
    </row>
    <row r="56" spans="1:5">
      <c r="A56" t="s">
        <v>266</v>
      </c>
      <c r="B56" t="s">
        <v>244</v>
      </c>
      <c r="C56" t="s">
        <v>223</v>
      </c>
      <c r="E56" t="str">
        <f t="shared" si="1"/>
        <v>PBI Dev</v>
      </c>
    </row>
    <row r="57" spans="1:5">
      <c r="A57" t="s">
        <v>268</v>
      </c>
      <c r="B57" t="s">
        <v>244</v>
      </c>
      <c r="C57" t="s">
        <v>223</v>
      </c>
      <c r="E57" t="str">
        <f t="shared" si="1"/>
        <v>PBI Dev</v>
      </c>
    </row>
    <row r="58" spans="1:5">
      <c r="A58" t="s">
        <v>269</v>
      </c>
      <c r="B58" t="s">
        <v>244</v>
      </c>
      <c r="C58" t="s">
        <v>234</v>
      </c>
      <c r="E58" t="str">
        <f t="shared" si="1"/>
        <v>Not Started</v>
      </c>
    </row>
    <row r="59" spans="1:5">
      <c r="A59" t="s">
        <v>271</v>
      </c>
      <c r="B59" t="s">
        <v>272</v>
      </c>
      <c r="C59" t="s">
        <v>234</v>
      </c>
      <c r="E59" t="str">
        <f t="shared" si="1"/>
        <v>Not Started</v>
      </c>
    </row>
    <row r="60" spans="1:5">
      <c r="A60" t="s">
        <v>275</v>
      </c>
      <c r="B60" t="s">
        <v>272</v>
      </c>
      <c r="C60" t="s">
        <v>234</v>
      </c>
      <c r="E60" t="str">
        <f t="shared" si="1"/>
        <v>Not Started</v>
      </c>
    </row>
    <row r="61" spans="1:5">
      <c r="A61" t="s">
        <v>276</v>
      </c>
      <c r="B61" t="s">
        <v>272</v>
      </c>
      <c r="C61" t="s">
        <v>234</v>
      </c>
      <c r="E61" t="str">
        <f t="shared" si="1"/>
        <v>Not Started</v>
      </c>
    </row>
    <row r="62" spans="1:5">
      <c r="A62" t="s">
        <v>278</v>
      </c>
      <c r="B62" t="s">
        <v>272</v>
      </c>
      <c r="C62" t="s">
        <v>234</v>
      </c>
      <c r="E62" t="str">
        <f t="shared" si="1"/>
        <v>Not Started</v>
      </c>
    </row>
    <row r="63" spans="1:5">
      <c r="A63" t="s">
        <v>279</v>
      </c>
      <c r="B63" t="s">
        <v>272</v>
      </c>
      <c r="C63" t="s">
        <v>234</v>
      </c>
      <c r="E63" t="str">
        <f t="shared" si="1"/>
        <v>Not Started</v>
      </c>
    </row>
    <row r="64" spans="1:5">
      <c r="A64" t="s">
        <v>281</v>
      </c>
      <c r="B64" t="s">
        <v>272</v>
      </c>
      <c r="C64" t="s">
        <v>234</v>
      </c>
      <c r="E64" t="str">
        <f t="shared" si="1"/>
        <v>Not Started</v>
      </c>
    </row>
    <row r="65" spans="1:5">
      <c r="A65" t="s">
        <v>283</v>
      </c>
      <c r="B65" t="s">
        <v>272</v>
      </c>
      <c r="C65" t="s">
        <v>234</v>
      </c>
      <c r="E65" t="str">
        <f t="shared" si="1"/>
        <v>Not Started</v>
      </c>
    </row>
    <row r="66" spans="1:5">
      <c r="A66" t="s">
        <v>285</v>
      </c>
      <c r="B66" t="s">
        <v>272</v>
      </c>
      <c r="C66" t="s">
        <v>234</v>
      </c>
      <c r="E66" t="str">
        <f t="shared" ref="E66:E73" si="2">IF(C66="Ready for Release in Prod","Blocked in Prod",IF(C66="RELEASED IN PROD","Released",IF(LEFT(D66,3)="Yes","Blocked - Build/QA",IF(C66="NOT STARTED","Not Started",C66))))</f>
        <v>Not Started</v>
      </c>
    </row>
    <row r="67" spans="1:5">
      <c r="A67" t="s">
        <v>287</v>
      </c>
      <c r="B67" t="s">
        <v>272</v>
      </c>
      <c r="C67" t="s">
        <v>234</v>
      </c>
      <c r="E67" t="str">
        <f t="shared" si="2"/>
        <v>Not Started</v>
      </c>
    </row>
    <row r="68" spans="1:5">
      <c r="A68" t="s">
        <v>288</v>
      </c>
      <c r="B68" t="s">
        <v>272</v>
      </c>
      <c r="C68" t="s">
        <v>234</v>
      </c>
      <c r="E68" t="str">
        <f t="shared" si="2"/>
        <v>Not Started</v>
      </c>
    </row>
    <row r="69" spans="1:5">
      <c r="A69" t="s">
        <v>291</v>
      </c>
      <c r="B69" t="s">
        <v>272</v>
      </c>
      <c r="C69" t="s">
        <v>234</v>
      </c>
      <c r="E69" t="str">
        <f t="shared" si="2"/>
        <v>Not Started</v>
      </c>
    </row>
    <row r="70" spans="1:5">
      <c r="A70" t="s">
        <v>293</v>
      </c>
      <c r="B70" t="s">
        <v>272</v>
      </c>
      <c r="C70" t="s">
        <v>234</v>
      </c>
      <c r="E70" t="str">
        <f t="shared" si="2"/>
        <v>Not Started</v>
      </c>
    </row>
    <row r="71" spans="1:5">
      <c r="A71" t="s">
        <v>296</v>
      </c>
      <c r="B71" t="s">
        <v>272</v>
      </c>
      <c r="C71" t="s">
        <v>234</v>
      </c>
      <c r="E71" t="str">
        <f t="shared" si="2"/>
        <v>Not Started</v>
      </c>
    </row>
    <row r="72" spans="1:5">
      <c r="A72" t="s">
        <v>297</v>
      </c>
      <c r="B72" t="s">
        <v>272</v>
      </c>
      <c r="C72" t="s">
        <v>234</v>
      </c>
      <c r="E72" t="str">
        <f t="shared" si="2"/>
        <v>Not Started</v>
      </c>
    </row>
    <row r="73" spans="1:5">
      <c r="A73" t="s">
        <v>300</v>
      </c>
      <c r="B73" t="s">
        <v>272</v>
      </c>
      <c r="C73" t="s">
        <v>234</v>
      </c>
      <c r="E73" t="str">
        <f t="shared" si="2"/>
        <v>Not Started</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FA7377-0EB4-4FBE-BDC1-73EC50E8966F}">
  <dimension ref="A1:C18"/>
  <sheetViews>
    <sheetView workbookViewId="0"/>
  </sheetViews>
  <sheetFormatPr defaultRowHeight="15"/>
  <sheetData>
    <row r="1" spans="1:3">
      <c r="A1" t="s">
        <v>525</v>
      </c>
      <c r="B1" t="s">
        <v>526</v>
      </c>
      <c r="C1" t="s">
        <v>527</v>
      </c>
    </row>
    <row r="2" spans="1:3">
      <c r="A2" t="s">
        <v>511</v>
      </c>
      <c r="B2" t="s">
        <v>511</v>
      </c>
      <c r="C2" t="s">
        <v>511</v>
      </c>
    </row>
    <row r="3" spans="1:3">
      <c r="A3" t="str" cm="1">
        <f t="array" ref="A3:A7">_xlfn.LET(_xlpm.u,_xlfn.UNIQUE(_xlfn._xlws.FILTER(cmsMonth,(cmsDom="CMS")*(cmsMonth&lt;&gt;""))),_xlfn.SORTBY(_xlpm.u,MONTH(DATEVALUE("1 "&amp;_xlpm.u&amp;" 2026"))))</f>
        <v>July</v>
      </c>
      <c r="B3" t="s">
        <v>498</v>
      </c>
      <c r="C3" t="str" cm="1">
        <f t="array" ref="C3:C18">_xlfn.LET(_xlpm.v,_xlfn.VSTACK(cmsDBDev,cmsPBIDev,cmsQA),_xlpm.d,_xlfn.VSTACK(cmsDom,cmsDom,cmsDom),_xlfn._xlws.SORT(_xlfn.UNIQUE(_xlfn._xlws.FILTER(_xlpm.v,(_xlpm.d="CMS")*(_xlpm.v&lt;&gt;"")))))</f>
        <v>Bardia</v>
      </c>
    </row>
    <row r="4" spans="1:3">
      <c r="A4" t="str">
        <v>August</v>
      </c>
      <c r="B4" t="s">
        <v>499</v>
      </c>
      <c r="C4" t="str">
        <v>Fetwi</v>
      </c>
    </row>
    <row r="5" spans="1:3">
      <c r="A5" t="str">
        <v>September</v>
      </c>
      <c r="B5" t="s">
        <v>187</v>
      </c>
      <c r="C5" t="str">
        <v>Geetha</v>
      </c>
    </row>
    <row r="6" spans="1:3">
      <c r="A6" t="str">
        <v>October</v>
      </c>
      <c r="B6" t="s">
        <v>206</v>
      </c>
      <c r="C6" t="str">
        <v>Greeta</v>
      </c>
    </row>
    <row r="7" spans="1:3">
      <c r="A7" t="str">
        <v>November</v>
      </c>
      <c r="B7" t="s">
        <v>223</v>
      </c>
      <c r="C7" t="str">
        <v>Kushal</v>
      </c>
    </row>
    <row r="8" spans="1:3">
      <c r="B8" t="s">
        <v>263</v>
      </c>
      <c r="C8" t="str">
        <v>Michael</v>
      </c>
    </row>
    <row r="9" spans="1:3">
      <c r="B9" t="s">
        <v>493</v>
      </c>
      <c r="C9" t="str">
        <v>Navya</v>
      </c>
    </row>
    <row r="10" spans="1:3">
      <c r="B10" t="s">
        <v>500</v>
      </c>
      <c r="C10" t="str">
        <v>Nick</v>
      </c>
    </row>
    <row r="11" spans="1:3">
      <c r="C11" t="str">
        <v>Olu</v>
      </c>
    </row>
    <row r="12" spans="1:3">
      <c r="C12" t="str">
        <v>Preety</v>
      </c>
    </row>
    <row r="13" spans="1:3">
      <c r="C13" t="str">
        <v>Rupa</v>
      </c>
    </row>
    <row r="14" spans="1:3">
      <c r="C14" t="str">
        <v>Sarath</v>
      </c>
    </row>
    <row r="15" spans="1:3">
      <c r="C15" t="str">
        <v>Shraddha</v>
      </c>
    </row>
    <row r="16" spans="1:3">
      <c r="C16" t="str">
        <v>Siddu</v>
      </c>
    </row>
    <row r="17" spans="3:3">
      <c r="C17" t="str">
        <v>Siva</v>
      </c>
    </row>
    <row r="18" spans="3:3">
      <c r="C18" t="str">
        <v>Sree</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0F25E908627E74CA9E3B41B4F2428CB" ma:contentTypeVersion="17" ma:contentTypeDescription="Create a new document." ma:contentTypeScope="" ma:versionID="a9fb4cca5412940b6105f2471855426b">
  <xsd:schema xmlns:xsd="http://www.w3.org/2001/XMLSchema" xmlns:xs="http://www.w3.org/2001/XMLSchema" xmlns:p="http://schemas.microsoft.com/office/2006/metadata/properties" xmlns:ns2="5b9cbbf0-fbbf-4687-be4c-62cb1159071c" xmlns:ns3="6d32ee4e-79d4-4fe0-ad34-1cbae873c51e" xmlns:ns4="cadce026-d35b-4a62-a2ee-1436bb44fb55" targetNamespace="http://schemas.microsoft.com/office/2006/metadata/properties" ma:root="true" ma:fieldsID="e34bb8cf3ea169b21b5bccb39a277567" ns2:_="" ns3:_="" ns4:_="">
    <xsd:import namespace="5b9cbbf0-fbbf-4687-be4c-62cb1159071c"/>
    <xsd:import namespace="6d32ee4e-79d4-4fe0-ad34-1cbae873c51e"/>
    <xsd:import namespace="cadce026-d35b-4a62-a2ee-1436bb44fb55"/>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AutoKeyPoints" minOccurs="0"/>
                <xsd:element ref="ns3:MediaServiceKeyPoints" minOccurs="0"/>
                <xsd:element ref="ns2:SharedWithUsers" minOccurs="0"/>
                <xsd:element ref="ns2:SharedWithDetails" minOccurs="0"/>
                <xsd:element ref="ns3:MediaServiceDateTaken" minOccurs="0"/>
                <xsd:element ref="ns3:MediaServiceAutoTags" minOccurs="0"/>
                <xsd:element ref="ns3:MediaLengthInSeconds" minOccurs="0"/>
                <xsd:element ref="ns3:MediaServiceOCR" minOccurs="0"/>
                <xsd:element ref="ns3:MediaServiceGenerationTime" minOccurs="0"/>
                <xsd:element ref="ns3:MediaServiceEventHashCode" minOccurs="0"/>
                <xsd:element ref="ns3:lcf76f155ced4ddcb4097134ff3c332f" minOccurs="0"/>
                <xsd:element ref="ns4:TaxCatchAll"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b9cbbf0-fbbf-4687-be4c-62cb1159071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d32ee4e-79d4-4fe0-ad34-1cbae873c51e"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DateTaken" ma:index="17" nillable="true" ma:displayName="MediaServiceDateTaken" ma:hidden="true" ma:internalName="MediaServiceDateTaken" ma:readOnly="true">
      <xsd:simpleType>
        <xsd:restriction base="dms:Text"/>
      </xsd:simpleType>
    </xsd:element>
    <xsd:element name="MediaServiceAutoTags" ma:index="18" nillable="true" ma:displayName="Tags" ma:internalName="MediaServiceAutoTags"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f571c05a-9bf0-4b0b-ad97-e13aed49ba3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6" nillable="true" ma:displayName="MediaServiceObjectDetectorVersions" ma:hidden="true" ma:indexed="true" ma:internalName="MediaServiceObjectDetectorVersions" ma:readOnly="true">
      <xsd:simpleType>
        <xsd:restriction base="dms:Text"/>
      </xsd:simpleType>
    </xsd:element>
    <xsd:element name="MediaServiceSearchProperties" ma:index="27"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adce026-d35b-4a62-a2ee-1436bb44fb55" elementFormDefault="qualified">
    <xsd:import namespace="http://schemas.microsoft.com/office/2006/documentManagement/types"/>
    <xsd:import namespace="http://schemas.microsoft.com/office/infopath/2007/PartnerControls"/>
    <xsd:element name="TaxCatchAll" ma:index="25" nillable="true" ma:displayName="Taxonomy Catch All Column" ma:hidden="true" ma:list="{dddf615e-da29-4e80-be50-da76ec1163a9}" ma:internalName="TaxCatchAll" ma:showField="CatchAllData" ma:web="5b9cbbf0-fbbf-4687-be4c-62cb1159071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p:properties xmlns:p="http://schemas.microsoft.com/office/2006/metadata/properties" xmlns:xsi="http://www.w3.org/2001/XMLSchema-instance" xmlns:pc="http://schemas.microsoft.com/office/infopath/2007/PartnerControls">
  <documentManagement>
    <TaxCatchAll xmlns="cadce026-d35b-4a62-a2ee-1436bb44fb55" xsi:nil="true"/>
    <lcf76f155ced4ddcb4097134ff3c332f xmlns="6d32ee4e-79d4-4fe0-ad34-1cbae873c51e">
      <Terms xmlns="http://schemas.microsoft.com/office/infopath/2007/PartnerControls"/>
    </lcf76f155ced4ddcb4097134ff3c332f>
    <_dlc_DocId xmlns="5b9cbbf0-fbbf-4687-be4c-62cb1159071c">HUQDAXWCRDCJ-209014101-8781</_dlc_DocId>
    <_dlc_DocIdUrl xmlns="5b9cbbf0-fbbf-4687-be4c-62cb1159071c">
      <Url>https://nationalgridplc.sharepoint.com/sites/GRP-INT-GasBusinessEnablement-DataManagement/_layouts/15/DocIdRedir.aspx?ID=HUQDAXWCRDCJ-209014101-8781</Url>
      <Description>HUQDAXWCRDCJ-209014101-8781</Description>
    </_dlc_DocIdUrl>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4BA0970-9A29-4941-880B-66A35426966B}"/>
</file>

<file path=customXml/itemProps2.xml><?xml version="1.0" encoding="utf-8"?>
<ds:datastoreItem xmlns:ds="http://schemas.openxmlformats.org/officeDocument/2006/customXml" ds:itemID="{5D565648-A6A0-41BF-86C3-DCBEA404F718}"/>
</file>

<file path=customXml/itemProps3.xml><?xml version="1.0" encoding="utf-8"?>
<ds:datastoreItem xmlns:ds="http://schemas.openxmlformats.org/officeDocument/2006/customXml" ds:itemID="{AD54C7CB-11A4-40CF-B95E-1D5833A38355}"/>
</file>

<file path=customXml/itemProps4.xml><?xml version="1.0" encoding="utf-8"?>
<ds:datastoreItem xmlns:ds="http://schemas.openxmlformats.org/officeDocument/2006/customXml" ds:itemID="{4550CFC1-C6B8-4442-974F-39E6BA114AF6}"/>
</file>

<file path=docMetadata/LabelInfo.xml><?xml version="1.0" encoding="utf-8"?>
<clbl:labelList xmlns:clbl="http://schemas.microsoft.com/office/2020/mipLabelMetadata">
  <clbl:label id="{a4fa5948-508a-4aff-b875-319c4640d60d}" enabled="1" method="Standard" siteId="{fdf0ccaa-0346-4b63-8c15-21bf34a62d18}" contentBits="2"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Yuhua Niu</cp:lastModifiedBy>
  <cp:revision>0</cp:revision>
  <dcterms:created xsi:type="dcterms:W3CDTF">2026-07-21T14:32:59Z</dcterms:created>
  <dcterms:modified xsi:type="dcterms:W3CDTF">2026-10-16T12:50:48Z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0x010100F0F25E908627E74CA9E3B41B4F2428CB</vt:lpwstr>
  </property>
  <property fmtid="{D5CDD505-2E9C-101B-9397-08002B2CF9AE}" pid="3" name="_dlc_DocIdItemGuid">
    <vt:lpwstr>353f1336-897f-48dd-a90d-e6f25c86f1bf</vt:lpwstr>
  </property>
  <property fmtid="{D5CDD505-2E9C-101B-9397-08002B2CF9AE}" pid="4" name="MediaServiceImageTags">
    <vt:lpwstr/>
  </property>
  <property fmtid="{D5CDD505-2E9C-101B-9397-08002B2CF9AE}" pid="5" name="MSIP_Label_8bd75a54-f2be-4ffa-b165-74c609d83991_Enabled">
    <vt:lpwstr>true</vt:lpwstr>
  </property>
  <property fmtid="{D5CDD505-2E9C-101B-9397-08002B2CF9AE}" pid="6" name="MSIP_Label_8bd75a54-f2be-4ffa-b165-74c609d83991_SetDate">
    <vt:lpwstr>2026-10-15T16:36:25Z</vt:lpwstr>
  </property>
  <property fmtid="{D5CDD505-2E9C-101B-9397-08002B2CF9AE}" pid="7" name="MSIP_Label_8bd75a54-f2be-4ffa-b165-74c609d83991_Method">
    <vt:lpwstr>Standard</vt:lpwstr>
  </property>
  <property fmtid="{D5CDD505-2E9C-101B-9397-08002B2CF9AE}" pid="8" name="MSIP_Label_8bd75a54-f2be-4ffa-b165-74c609d83991_Name">
    <vt:lpwstr>Internal use only</vt:lpwstr>
  </property>
  <property fmtid="{D5CDD505-2E9C-101B-9397-08002B2CF9AE}" pid="9" name="MSIP_Label_8bd75a54-f2be-4ffa-b165-74c609d83991_SiteId">
    <vt:lpwstr>f98a6a53-25f3-4212-901c-c7787fcd3495</vt:lpwstr>
  </property>
  <property fmtid="{D5CDD505-2E9C-101B-9397-08002B2CF9AE}" pid="10" name="MSIP_Label_8bd75a54-f2be-4ffa-b165-74c609d83991_ActionId">
    <vt:lpwstr>c5162870-5a3f-42c9-89f6-4aa8cb35f675</vt:lpwstr>
  </property>
  <property fmtid="{D5CDD505-2E9C-101B-9397-08002B2CF9AE}" pid="11" name="MSIP_Label_8bd75a54-f2be-4ffa-b165-74c609d83991_ContentBits">
    <vt:lpwstr>0</vt:lpwstr>
  </property>
  <property fmtid="{D5CDD505-2E9C-101B-9397-08002B2CF9AE}" pid="12" name="MSIP_Label_8bd75a54-f2be-4ffa-b165-74c609d83991_Tag">
    <vt:lpwstr>10, 3, 0, 2</vt:lpwstr>
  </property>
</Properties>
</file>