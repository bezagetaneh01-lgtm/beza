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38" documentId="13_ncr:1_{52745E9B-3AA1-4770-AAD3-E6166BFC13AE}" xr6:coauthVersionLast="47" xr6:coauthVersionMax="47" xr10:uidLastSave="{7F3148B8-8426-417E-A59C-64ACFF2B4AFD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/>
  <c r="D92" i="2"/>
  <c r="D29" i="2" a="1"/>
  <c r="D29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9" i="2" a="1"/>
  <c r="D39" i="2"/>
  <c r="D36" i="2" a="1"/>
  <c r="D36" i="2"/>
  <c r="D35" i="2" a="1"/>
  <c r="D35" i="2"/>
  <c r="D32" i="2" a="1"/>
  <c r="D32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<sst xmlns="http://schemas.openxmlformats.org/spreadsheetml/2006/main" count="2685" uniqueCount="349">
  <si>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</si>
  <si>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</si>
  <si>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</si>
  <si>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</si>
  <si>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</si>
  <si>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</si>
  <si>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</si>
  <si>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</si>
  <si>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</si>
  <si>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</si>
  <si>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</si>
  <si>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</si>
  <si>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</si>
  <si>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</si>
  <si>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</si>
  <si>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</si>
  <si>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</si>
  <si>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</si>
  <si>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</si>
  <si>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</si>
  <si>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</si>
  <si>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</si>
  <si>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</si>
  <si>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</si>
  <si>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</si>
  <si>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</si>
  <si>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</si>
  <si>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</si>
  <si>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</si>
  <si>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</si>
  <si>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</si>
  <si>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</si>
  <si>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</si>
  <si>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</si>
  <si>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</si>
  <si>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</si>
  <si>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</si>
  <si>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</si>
  <si>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</si>
  <si>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</si>
  <si>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</si>
  <si>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</si>
  <si>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</si>
  <si>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</si>
  <si>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</si>
  <si>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</si>
  <si>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</si>
  <si>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</si>
  <si>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</si>
  <si>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</si>
  <si>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</si>
  <si>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</si>
  <si>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</si>
  <si>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</si>
  <si>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</si>
  <si>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</si>
  <si>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</si>
  <si>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</si>
  <si>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</si>
  <si>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</si>
  <si>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</si>
  <si>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</si>
  <si>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</si>
  <si>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</si>
  <si>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</si>
  <si>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</si>
  <si>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</si>
  <si>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</si>
  <si>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</si>
  <si>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</si>
  <si>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</si>
  <si>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</si>
  <si>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</si>
  <si>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</si>
  <si>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</si>
  <si>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</si>
  <si>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</si>
  <si>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</si>
  <si>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</si>
  <si>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</si>
  <si>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</si>
  <si>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</si>
  <si>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</si>
  <si>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</si>
  <si>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</si>
  <si>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</si>
  <si>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</si>
  <si>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</si>
  <si>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</si>
  <si>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</si>
  <si>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</si>
  <si>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</si>
  <si>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</si>
  <si>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</si>
  <si>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</si>
  <si>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</si>
  <si>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</si>
  <si>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</si>
  <si>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</si>
  <si>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</si>
  <si>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</si>
  <si>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</si>
  <si>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</si>
  <si>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</si>
  <si>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</si>
  <si>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</si>
  <si>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</si>
  <si>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</si>
  <si>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</si>
  <si>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</si>
  <si>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</si>
  <si>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</si>
  <si>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</si>
  <si>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</si>
  <si>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</si>
  <si>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</si>
  <si>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</si>
  <si>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</si>
  <si>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</si>
  <si>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</si>
  <si>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</si>
  <si>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</si>
  <si>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</si>
  <si>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</si>
  <si>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</si>
  <si>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</si>
  <si>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</si>
  <si>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</si>
  <si>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</si>
  <si>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</si>
  <si>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</si>
  <si>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</si>
  <si>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</si>
  <si>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</si>
  <si>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</si>
  <si>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</si>
  <si>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</si>
  <si>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</si>
  <si>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</si>
  <si>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</si>
  <si>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</si>
  <si>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</si>
  <si>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</si>
  <si>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</si>
  <si>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</si>
  <si>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</si>
  <si>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</si>
  <si>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</si>
  <si>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</si>
  <si>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</si>
  <si>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</si>
  <si>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</si>
  <si>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</si>
  <si>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</si>
  <si>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</si>
  <si>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</si>
  <si>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</si>
  <si>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</si>
  <si>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</si>
  <si>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</si>
  <si>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QA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</si>
  <si>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</si>
  <si>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</si>
  <si>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</si>
  <si>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</si>
  <si>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</si>
  <si>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</si>
  <si>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</si>
  <si>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</si>
  <si>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</si>
  <si>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</si>
  <si>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</si>
  <si>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</si>
  <si>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</si>
  <si>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</si>
  <si>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</si>
  <si>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</si>
  <si>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</si>
  <si>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</si>
  <si>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</si>
  <si>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</si>
  <si>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</si>
  <si>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</si>
  <si>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</si>
  <si>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</si>
  <si>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</si>
  <si>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</si>
  <si>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</si>
  <si>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</si>
  <si>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</si>
  <si>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</si>
  <si>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</si>
  <si>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</si>
  <si>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</si>
  <si>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</si>
  <si>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</si>
  <si>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</si>
  <si>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</si>
  <si>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</si>
  <si>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</si>
  <si>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</si>
  <si>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</si>
  <si>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</si>
  <si>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</si>
  <si>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</si>
  <si>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</si>
  <si>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</si>
  <si>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</si>
  <si>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</si>
  <si>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</si>
  <si>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</si>
  <si>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</si>
  <si>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</si>
  <si>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</si>
  <si>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</si>
  <si>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D92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</si>
  <si>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</si>
  <si>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</si>
  <si>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</si>
  <si>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</si>
  <si>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</si>
  <si>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</si>
  <si>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PI3, S1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</si>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</sst>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0" fillId="0" borderId="0" xfId="0" applyAlignment="1" applyProtection="1">
      <alignment wrapText="1"/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>
    <filterColumn colId="0">
      <filters>
        <filter val="CMS"/>
      </filters>
    </filterColumn>
  </autoFilter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V50" activePane="topRight" state="frozen"/>
      <selection pane="topRight" activeCell="A73" sqref="A73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46244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46245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46248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129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/>
      </c>
      <c r="AJ32" s="41" t="s">
        <v>130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131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46244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132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133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46246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135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136</v>
      </c>
      <c r="C35" s="33" t="s">
        <v>137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134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46251</v>
      </c>
      <c r="T35" s="70"/>
      <c r="U35" s="55" t="s">
        <v>134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138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/>
      </c>
      <c r="AJ35" s="41" t="s">
        <v>139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140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134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129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/>
      </c>
      <c r="AJ36" s="41" t="s">
        <v>139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141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46246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142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143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144</v>
      </c>
      <c r="F38" s="34" t="s">
        <v>134</v>
      </c>
      <c r="G38" s="33"/>
      <c r="H38" s="50">
        <v>46234</v>
      </c>
      <c r="I38" s="62" t="s">
        <v>120</v>
      </c>
      <c r="J38" s="33" t="s">
        <v>145</v>
      </c>
      <c r="K38" s="4">
        <v>46213</v>
      </c>
      <c r="L38" s="36">
        <v>46246</v>
      </c>
      <c r="M38" s="35">
        <v>46245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146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Blocked - needs PBI Dev to fix</v>
      </c>
      <c r="E39" s="33">
        <v>11</v>
      </c>
      <c r="F39" s="34" t="s">
        <v>134</v>
      </c>
      <c r="G39" s="33"/>
      <c r="H39" s="50">
        <v>46234</v>
      </c>
      <c r="I39" s="62" t="s">
        <v>120</v>
      </c>
      <c r="J39" s="33" t="s">
        <v>145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138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>Blocked - log it on Rework Log</v>
      </c>
      <c r="AJ39" s="41" t="s">
        <v>139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147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148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149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150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151</v>
      </c>
      <c r="C42" s="33" t="s">
        <v>137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Blocked - needs PBI Dev to fix</v>
      </c>
      <c r="E42" s="33">
        <v>15</v>
      </c>
      <c r="F42" s="34" t="s">
        <v>134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152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138</v>
      </c>
      <c r="AI42" s="48"/>
      <c r="AJ42" s="45" t="s">
        <v>153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154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Blocked - needs DB Dev to fix</v>
      </c>
      <c r="E43" s="33" t="s">
        <v>155</v>
      </c>
      <c r="F43" s="34" t="s">
        <v>134</v>
      </c>
      <c r="G43" s="33"/>
      <c r="H43" s="50">
        <v>46265</v>
      </c>
      <c r="I43" s="62" t="s">
        <v>156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157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/>
      <c r="X43" s="36"/>
      <c r="Y43" s="36"/>
      <c r="Z43" s="53">
        <v>46260</v>
      </c>
      <c r="AA43" s="36"/>
      <c r="AB43" s="36"/>
      <c r="AC43" s="33"/>
      <c r="AD43" s="38"/>
      <c r="AE43" s="36"/>
      <c r="AF43" s="39"/>
      <c r="AG43" s="33"/>
      <c r="AH43" s="40" t="s">
        <v>129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>Blocked - log it on Rework Log</v>
      </c>
      <c r="AJ43" s="41" t="s">
        <v>158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159</v>
      </c>
      <c r="C44" s="33" t="s">
        <v>160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156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157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/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161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162</v>
      </c>
      <c r="C45" s="33" t="s">
        <v>160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156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157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>
        <v>46254</v>
      </c>
      <c r="X45" s="36"/>
      <c r="Y45" s="36"/>
      <c r="Z45" s="53">
        <v>46260</v>
      </c>
      <c r="AA45" s="36"/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163</v>
      </c>
      <c r="C46" s="33" t="s">
        <v>137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119</v>
      </c>
      <c r="G46" s="33"/>
      <c r="H46" s="50">
        <v>46265</v>
      </c>
      <c r="I46" s="62" t="s">
        <v>156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/>
      <c r="X46" s="36"/>
      <c r="Y46" s="36"/>
      <c r="Z46" s="53">
        <v>46260</v>
      </c>
      <c r="AA46" s="36"/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165</v>
      </c>
      <c r="C47" s="33" t="s">
        <v>137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156</v>
      </c>
      <c r="J47" s="33" t="s">
        <v>145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/>
      <c r="X47" s="36"/>
      <c r="Y47" s="36"/>
      <c r="Z47" s="53">
        <v>46260</v>
      </c>
      <c r="AA47" s="36"/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167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168</v>
      </c>
      <c r="C48" s="33" t="s">
        <v>160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134</v>
      </c>
      <c r="G48" s="33"/>
      <c r="H48" s="50">
        <v>46265</v>
      </c>
      <c r="I48" s="62" t="s">
        <v>156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/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169</v>
      </c>
      <c r="C49" s="33" t="s">
        <v>137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156</v>
      </c>
      <c r="J49" s="33" t="s">
        <v>145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/>
      <c r="T49" s="70"/>
      <c r="U49" s="55" t="s">
        <v>119</v>
      </c>
      <c r="V49" s="60">
        <v>46255</v>
      </c>
      <c r="W49" s="36"/>
      <c r="X49" s="36"/>
      <c r="Y49" s="36"/>
      <c r="Z49" s="53">
        <v>46260</v>
      </c>
      <c r="AA49" s="36"/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170</v>
      </c>
      <c r="C50" s="33" t="s">
        <v>160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156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/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171</v>
      </c>
      <c r="C51" s="33" t="s">
        <v>137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134</v>
      </c>
      <c r="G51" s="33"/>
      <c r="H51" s="50">
        <v>46265</v>
      </c>
      <c r="I51" s="62" t="s">
        <v>156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134</v>
      </c>
      <c r="V51" s="60">
        <v>46255</v>
      </c>
      <c r="W51" s="36"/>
      <c r="X51" s="36"/>
      <c r="Y51" s="36"/>
      <c r="Z51" s="53">
        <v>46260</v>
      </c>
      <c r="AA51" s="36"/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172</v>
      </c>
      <c r="C52" s="33" t="s">
        <v>137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119</v>
      </c>
      <c r="G52" s="33"/>
      <c r="H52" s="50">
        <v>46265</v>
      </c>
      <c r="I52" s="62" t="s">
        <v>156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44</v>
      </c>
      <c r="Q52" s="4">
        <v>46241</v>
      </c>
      <c r="R52" s="36"/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173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174</v>
      </c>
      <c r="C53" s="33" t="s">
        <v>137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156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/>
      <c r="X53" s="36"/>
      <c r="Y53" s="36"/>
      <c r="Z53" s="53">
        <v>46260</v>
      </c>
      <c r="AA53" s="36"/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175</v>
      </c>
      <c r="C54" s="33" t="s">
        <v>137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156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176</v>
      </c>
      <c r="C55" s="33" t="s">
        <v>137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73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180</v>
      </c>
      <c r="C56" s="33" t="s">
        <v>137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177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 t="s">
        <v>57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173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181</v>
      </c>
      <c r="C57" s="33" t="s">
        <v>182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44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173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183</v>
      </c>
      <c r="C58" s="33" t="s">
        <v>182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177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73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184</v>
      </c>
      <c r="C59" s="33" t="s">
        <v>137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57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185</v>
      </c>
      <c r="C60" s="33" t="s">
        <v>137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145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44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186</v>
      </c>
      <c r="C61" s="33" t="s">
        <v>160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177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57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187</v>
      </c>
      <c r="C62" s="33" t="s">
        <v>182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73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188</v>
      </c>
      <c r="C63" s="33" t="s">
        <v>182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44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189</v>
      </c>
      <c r="C64" s="33" t="s">
        <v>182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177</v>
      </c>
      <c r="J64" s="33" t="s">
        <v>98</v>
      </c>
      <c r="K64" s="4">
        <v>46276</v>
      </c>
      <c r="L64" s="36"/>
      <c r="M64" s="36"/>
      <c r="N64" s="36"/>
      <c r="O64" s="36" t="s">
        <v>178</v>
      </c>
      <c r="P64" s="64" t="s">
        <v>57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190</v>
      </c>
      <c r="C65" s="33" t="s">
        <v>128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177</v>
      </c>
      <c r="J65" s="33" t="s">
        <v>145</v>
      </c>
      <c r="K65" s="4">
        <v>46276</v>
      </c>
      <c r="L65" s="36"/>
      <c r="M65" s="36"/>
      <c r="N65" s="36"/>
      <c r="O65" s="36" t="s">
        <v>178</v>
      </c>
      <c r="P65" s="64" t="s">
        <v>73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191</v>
      </c>
      <c r="C66" s="33" t="s">
        <v>182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177</v>
      </c>
      <c r="J66" s="33" t="s">
        <v>42</v>
      </c>
      <c r="K66" s="4">
        <v>46276</v>
      </c>
      <c r="L66" s="36"/>
      <c r="M66" s="36"/>
      <c r="N66" s="36"/>
      <c r="O66" s="36" t="s">
        <v>178</v>
      </c>
      <c r="P66" s="64" t="s">
        <v>44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192</v>
      </c>
      <c r="C67" s="33" t="s">
        <v>182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177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57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/>
      <c r="X67" s="36"/>
      <c r="Y67" s="36"/>
      <c r="Z67" s="53">
        <v>46295</v>
      </c>
      <c r="AA67" s="36"/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193</v>
      </c>
      <c r="C68" s="33" t="s">
        <v>137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177</v>
      </c>
      <c r="J68" s="33" t="s">
        <v>194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73</v>
      </c>
      <c r="Q68" s="4">
        <v>46286</v>
      </c>
      <c r="R68" s="36"/>
      <c r="S68" s="36"/>
      <c r="T68" s="70" t="s">
        <v>195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196</v>
      </c>
      <c r="C69" s="33" t="s">
        <v>182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56</v>
      </c>
      <c r="K69" s="4">
        <v>46276</v>
      </c>
      <c r="L69" s="36"/>
      <c r="M69" s="36"/>
      <c r="N69" s="36"/>
      <c r="O69" s="36" t="s">
        <v>178</v>
      </c>
      <c r="P69" s="64" t="s">
        <v>44</v>
      </c>
      <c r="Q69" s="4">
        <v>46286</v>
      </c>
      <c r="R69" s="36"/>
      <c r="S69" s="36"/>
      <c r="T69" s="70" t="s">
        <v>195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197</v>
      </c>
      <c r="C70" s="33" t="s">
        <v>182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44</v>
      </c>
      <c r="Q70" s="4">
        <v>46286</v>
      </c>
      <c r="R70" s="36"/>
      <c r="S70" s="36"/>
      <c r="T70" s="70" t="s">
        <v>195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198</v>
      </c>
      <c r="C71" s="33" t="s">
        <v>182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57</v>
      </c>
      <c r="Q71" s="4">
        <v>46286</v>
      </c>
      <c r="R71" s="36"/>
      <c r="S71" s="36"/>
      <c r="T71" s="70" t="s">
        <v>195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199</v>
      </c>
      <c r="C72" s="33" t="s">
        <v>137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177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 t="s">
        <v>73</v>
      </c>
      <c r="Q72" s="4">
        <v>46286</v>
      </c>
      <c r="R72" s="36"/>
      <c r="S72" s="36"/>
      <c r="T72" s="70" t="s">
        <v>195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>
      <c r="A73" s="82" t="s">
        <v>116</v>
      </c>
      <c r="B73" s="31" t="s">
        <v>200</v>
      </c>
      <c r="C73" s="31" t="s">
        <v>137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201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178</v>
      </c>
      <c r="P73" s="67"/>
      <c r="Q73" s="51"/>
      <c r="R73" s="43"/>
      <c r="S73" s="44"/>
      <c r="T73" s="71" t="s">
        <v>202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203</v>
      </c>
      <c r="C74" s="31" t="s">
        <v>182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201</v>
      </c>
      <c r="J74" s="55"/>
      <c r="K74" s="51"/>
      <c r="L74" s="43"/>
      <c r="M74" s="44"/>
      <c r="N74" s="44"/>
      <c r="O74" s="44" t="s">
        <v>204</v>
      </c>
      <c r="P74" s="76"/>
      <c r="Q74" s="51"/>
      <c r="R74" s="43"/>
      <c r="S74" s="44"/>
      <c r="T74" s="71" t="s">
        <v>202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205</v>
      </c>
      <c r="C75" s="31" t="s">
        <v>182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201</v>
      </c>
      <c r="J75" s="55"/>
      <c r="K75" s="51"/>
      <c r="L75" s="43"/>
      <c r="M75" s="44"/>
      <c r="N75" s="44"/>
      <c r="O75" s="44" t="s">
        <v>204</v>
      </c>
      <c r="P75" s="76"/>
      <c r="Q75" s="51"/>
      <c r="R75" s="43"/>
      <c r="S75" s="44"/>
      <c r="T75" s="71" t="s">
        <v>202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206</v>
      </c>
      <c r="C76" s="31" t="s">
        <v>182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201</v>
      </c>
      <c r="J76" s="55"/>
      <c r="K76" s="51"/>
      <c r="L76" s="43"/>
      <c r="M76" s="44"/>
      <c r="N76" s="44"/>
      <c r="O76" s="44" t="s">
        <v>204</v>
      </c>
      <c r="P76" s="76"/>
      <c r="Q76" s="51"/>
      <c r="R76" s="43"/>
      <c r="S76" s="44"/>
      <c r="T76" s="71" t="s">
        <v>202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207</v>
      </c>
      <c r="C77" s="31" t="s">
        <v>182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201</v>
      </c>
      <c r="J77" s="55"/>
      <c r="K77" s="51"/>
      <c r="L77" s="43"/>
      <c r="M77" s="44"/>
      <c r="N77" s="44"/>
      <c r="O77" s="44" t="s">
        <v>204</v>
      </c>
      <c r="P77" s="76"/>
      <c r="Q77" s="51"/>
      <c r="R77" s="43"/>
      <c r="S77" s="44"/>
      <c r="T77" s="71" t="s">
        <v>202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208</v>
      </c>
      <c r="C78" s="31" t="s">
        <v>182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201</v>
      </c>
      <c r="J78" s="55" t="s">
        <v>42</v>
      </c>
      <c r="K78" s="51"/>
      <c r="L78" s="43"/>
      <c r="M78" s="44"/>
      <c r="N78" s="44"/>
      <c r="O78" s="44" t="s">
        <v>204</v>
      </c>
      <c r="P78" s="76"/>
      <c r="Q78" s="51"/>
      <c r="R78" s="43"/>
      <c r="S78" s="44"/>
      <c r="T78" s="71" t="s">
        <v>202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209</v>
      </c>
      <c r="C79" s="31" t="s">
        <v>182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201</v>
      </c>
      <c r="J79" s="55"/>
      <c r="K79" s="51"/>
      <c r="L79" s="43"/>
      <c r="M79" s="44"/>
      <c r="N79" s="44"/>
      <c r="O79" s="44" t="s">
        <v>204</v>
      </c>
      <c r="P79" s="76"/>
      <c r="Q79" s="51"/>
      <c r="R79" s="43"/>
      <c r="S79" s="44"/>
      <c r="T79" s="71" t="s">
        <v>202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210</v>
      </c>
      <c r="C80" s="31" t="s">
        <v>182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201</v>
      </c>
      <c r="J80" s="55"/>
      <c r="K80" s="51"/>
      <c r="L80" s="43"/>
      <c r="M80" s="44"/>
      <c r="N80" s="44"/>
      <c r="O80" s="44" t="s">
        <v>204</v>
      </c>
      <c r="P80" s="76"/>
      <c r="Q80" s="51"/>
      <c r="R80" s="43"/>
      <c r="S80" s="44"/>
      <c r="T80" s="71" t="s">
        <v>202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211</v>
      </c>
      <c r="C81" s="31" t="s">
        <v>182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201</v>
      </c>
      <c r="J81" s="55"/>
      <c r="K81" s="51"/>
      <c r="L81" s="43"/>
      <c r="M81" s="44"/>
      <c r="N81" s="44"/>
      <c r="O81" s="44" t="s">
        <v>204</v>
      </c>
      <c r="P81" s="76"/>
      <c r="Q81" s="51"/>
      <c r="R81" s="43"/>
      <c r="S81" s="44"/>
      <c r="T81" s="70" t="s">
        <v>212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213</v>
      </c>
      <c r="C82" s="31" t="s">
        <v>182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201</v>
      </c>
      <c r="J82" s="55"/>
      <c r="K82" s="51"/>
      <c r="L82" s="43"/>
      <c r="M82" s="44"/>
      <c r="N82" s="44"/>
      <c r="O82" s="36" t="s">
        <v>214</v>
      </c>
      <c r="P82" s="76"/>
      <c r="Q82" s="51"/>
      <c r="R82" s="43"/>
      <c r="S82" s="44"/>
      <c r="T82" s="70" t="s">
        <v>212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215</v>
      </c>
      <c r="B83" s="31" t="s">
        <v>216</v>
      </c>
      <c r="C83" s="31" t="s">
        <v>182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201</v>
      </c>
      <c r="J83" s="55"/>
      <c r="K83" s="51"/>
      <c r="L83" s="43"/>
      <c r="M83" s="44"/>
      <c r="N83" s="44"/>
      <c r="O83" s="36" t="s">
        <v>214</v>
      </c>
      <c r="P83" s="76"/>
      <c r="Q83" s="51"/>
      <c r="R83" s="43"/>
      <c r="S83" s="44"/>
      <c r="T83" s="70" t="s">
        <v>212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217</v>
      </c>
      <c r="C84" s="31" t="s">
        <v>182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201</v>
      </c>
      <c r="J84" s="55"/>
      <c r="K84" s="51"/>
      <c r="L84" s="43"/>
      <c r="M84" s="44"/>
      <c r="N84" s="44"/>
      <c r="O84" s="36" t="s">
        <v>214</v>
      </c>
      <c r="P84" s="76"/>
      <c r="Q84" s="51"/>
      <c r="R84" s="43"/>
      <c r="S84" s="44"/>
      <c r="T84" s="70" t="s">
        <v>212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218</v>
      </c>
      <c r="C85" s="31" t="s">
        <v>182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219</v>
      </c>
      <c r="F85" s="31"/>
      <c r="G85" s="31"/>
      <c r="H85" s="50">
        <v>46325</v>
      </c>
      <c r="I85" s="57" t="s">
        <v>201</v>
      </c>
      <c r="J85" s="55"/>
      <c r="K85" s="51"/>
      <c r="L85" s="43"/>
      <c r="M85" s="44"/>
      <c r="N85" s="44"/>
      <c r="O85" s="36" t="s">
        <v>214</v>
      </c>
      <c r="P85" s="76"/>
      <c r="Q85" s="51"/>
      <c r="R85" s="43"/>
      <c r="S85" s="44"/>
      <c r="T85" s="70" t="s">
        <v>212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220</v>
      </c>
      <c r="C86" s="31" t="s">
        <v>182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221</v>
      </c>
      <c r="J86" s="55"/>
      <c r="K86" s="51"/>
      <c r="L86" s="43"/>
      <c r="M86" s="44"/>
      <c r="N86" s="44"/>
      <c r="O86" s="36" t="s">
        <v>222</v>
      </c>
      <c r="P86" s="76"/>
      <c r="Q86" s="51"/>
      <c r="R86" s="43"/>
      <c r="S86" s="44"/>
      <c r="T86" s="70" t="s">
        <v>212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223</v>
      </c>
      <c r="C87" s="31" t="s">
        <v>182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221</v>
      </c>
      <c r="J87" s="55"/>
      <c r="K87" s="51"/>
      <c r="L87" s="43"/>
      <c r="M87" s="44"/>
      <c r="N87" s="44"/>
      <c r="O87" s="36" t="s">
        <v>222</v>
      </c>
      <c r="P87" s="76"/>
      <c r="Q87" s="51"/>
      <c r="R87" s="43"/>
      <c r="S87" s="44"/>
      <c r="T87" s="70" t="s">
        <v>212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224</v>
      </c>
      <c r="C88" s="31" t="s">
        <v>182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221</v>
      </c>
      <c r="J88" s="55"/>
      <c r="K88" s="51"/>
      <c r="L88" s="43"/>
      <c r="M88" s="44"/>
      <c r="N88" s="44"/>
      <c r="O88" s="36" t="s">
        <v>222</v>
      </c>
      <c r="P88" s="76"/>
      <c r="Q88" s="51"/>
      <c r="R88" s="43"/>
      <c r="S88" s="44"/>
      <c r="T88" s="70" t="s">
        <v>225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226</v>
      </c>
      <c r="C89" s="31" t="s">
        <v>182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221</v>
      </c>
      <c r="J89" s="55"/>
      <c r="K89" s="51"/>
      <c r="L89" s="43"/>
      <c r="M89" s="44"/>
      <c r="N89" s="44"/>
      <c r="O89" s="36" t="s">
        <v>222</v>
      </c>
      <c r="P89" s="76"/>
      <c r="Q89" s="51"/>
      <c r="R89" s="43"/>
      <c r="S89" s="44"/>
      <c r="T89" s="70" t="s">
        <v>225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227</v>
      </c>
      <c r="C90" s="31" t="s">
        <v>182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221</v>
      </c>
      <c r="J90" s="55"/>
      <c r="K90" s="51"/>
      <c r="L90" s="43"/>
      <c r="M90" s="44"/>
      <c r="N90" s="44"/>
      <c r="O90" s="36" t="s">
        <v>222</v>
      </c>
      <c r="P90" s="76"/>
      <c r="Q90" s="51"/>
      <c r="R90" s="43"/>
      <c r="S90" s="44"/>
      <c r="T90" s="70" t="s">
        <v>225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228</v>
      </c>
      <c r="C91" s="31" t="s">
        <v>182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221</v>
      </c>
      <c r="J91" s="55"/>
      <c r="K91" s="51"/>
      <c r="L91" s="43"/>
      <c r="M91" s="44"/>
      <c r="N91" s="44"/>
      <c r="O91" s="36" t="s">
        <v>222</v>
      </c>
      <c r="P91" s="76"/>
      <c r="Q91" s="51"/>
      <c r="R91" s="43"/>
      <c r="S91" s="44"/>
      <c r="T91" s="70" t="s">
        <v>225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229</v>
      </c>
      <c r="C92" s="31" t="s">
        <v>182</v>
      </c>
      <c r="D92" t="str">
        <f ca="1">"len="&amp;LEN(_xlfn.FORMULATEXT(D29))&amp;" M:"&amp;ISNUMBER(SEARCH("M29&gt;=sent",_xlfn.FORMULATEXT(D29)))&amp;" S:"&amp;ISNUMBER(SEARCH("S29&gt;=sent",_xlfn.FORMULATEXT(D29)))&amp;" X:"&amp;ISNUMBER(SEARCH("X29&gt;=sent",_xlfn.FORMULATEXT(D29)))&amp;" AB:"&amp;ISNUMBER(SEARCH("AB29&gt;=sent",_xlfn.FORMULATEXT(D29)))&amp;" end:"&amp;RIGHT(_xlfn.FORMULATEXT(D29),25)</f>
        <v>len=2126 M:TRUE S:TRUE X:TRUE AB:TRUE end:D","Delivered",""))))))))</v>
      </c>
      <c r="E92" s="31">
        <v>73</v>
      </c>
      <c r="F92" s="31"/>
      <c r="G92" s="31"/>
      <c r="H92" s="50">
        <v>46356</v>
      </c>
      <c r="I92" s="57" t="s">
        <v>221</v>
      </c>
      <c r="J92" s="55"/>
      <c r="K92" s="51"/>
      <c r="L92" s="43"/>
      <c r="M92" s="44"/>
      <c r="N92" s="44"/>
      <c r="O92" s="36" t="s">
        <v>230</v>
      </c>
      <c r="P92" s="76"/>
      <c r="Q92" s="51"/>
      <c r="R92" s="43"/>
      <c r="S92" s="44"/>
      <c r="T92" s="70" t="s">
        <v>225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231</v>
      </c>
      <c r="C93" s="31" t="s">
        <v>182</v>
      </c>
      <c r="D93" t="str">
        <f ca="1">"len="&amp;LEN(_xlfn.FORMULATEXT(D29))&amp;" M:"&amp;ISNUMBER(SEARCH("M29&gt;=sent",_xlfn.FORMULATEXT(D29)))&amp;" S:"&amp;ISNUMBER(SEARCH("S29&gt;=sent",_xlfn.FORMULATEXT(D29)))&amp;" X:"&amp;ISNUMBER(SEARCH("X29&gt;=sent",_xlfn.FORMULATEXT(D29)))&amp;" AB:"&amp;ISNUMBER(SEARCH("AB29&gt;=sent",_xlfn.FORMULATEXT(D29)))&amp;" end:"&amp;RIGHT(_xlfn.FORMULATEXT(D29),25)</f>
        <v>len=2126 M:TRUE S:TRUE X:TRUE AB:TRUE end:D","Delivered",""))))))))</v>
      </c>
      <c r="E93" s="31">
        <v>74</v>
      </c>
      <c r="F93" s="31"/>
      <c r="G93" s="31"/>
      <c r="H93" s="50">
        <v>46356</v>
      </c>
      <c r="I93" s="57" t="s">
        <v>221</v>
      </c>
      <c r="J93" s="55"/>
      <c r="K93" s="51"/>
      <c r="L93" s="43"/>
      <c r="M93" s="44"/>
      <c r="N93" s="44"/>
      <c r="O93" s="36" t="s">
        <v>230</v>
      </c>
      <c r="P93" s="76"/>
      <c r="Q93" s="51"/>
      <c r="R93" s="43"/>
      <c r="S93" s="44"/>
      <c r="T93" s="70" t="s">
        <v>225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232</v>
      </c>
      <c r="C94" s="31" t="s">
        <v>182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221</v>
      </c>
      <c r="J94" s="55"/>
      <c r="K94" s="51"/>
      <c r="L94" s="43"/>
      <c r="M94" s="44"/>
      <c r="N94" s="44"/>
      <c r="O94" s="36" t="s">
        <v>230</v>
      </c>
      <c r="P94" s="76"/>
      <c r="Q94" s="51"/>
      <c r="R94" s="43"/>
      <c r="S94" s="44"/>
      <c r="T94" s="70" t="s">
        <v>225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233</v>
      </c>
      <c r="C95" s="31" t="s">
        <v>182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221</v>
      </c>
      <c r="J95" s="55"/>
      <c r="K95" s="51"/>
      <c r="L95" s="43"/>
      <c r="M95" s="44"/>
      <c r="N95" s="44"/>
      <c r="O95" s="36" t="s">
        <v>230</v>
      </c>
      <c r="P95" s="76"/>
      <c r="Q95" s="51"/>
      <c r="R95" s="43"/>
      <c r="S95" s="44"/>
      <c r="T95" s="70" t="s">
        <v>234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235</v>
      </c>
      <c r="C96" s="31" t="s">
        <v>182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221</v>
      </c>
      <c r="J96" s="55"/>
      <c r="K96" s="51"/>
      <c r="L96" s="43"/>
      <c r="M96" s="44"/>
      <c r="N96" s="44"/>
      <c r="O96" s="36" t="s">
        <v>230</v>
      </c>
      <c r="P96" s="76"/>
      <c r="Q96" s="51"/>
      <c r="R96" s="43"/>
      <c r="S96" s="44"/>
      <c r="T96" s="70" t="s">
        <v>234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236</v>
      </c>
      <c r="C97" s="31" t="s">
        <v>182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221</v>
      </c>
      <c r="J97" s="55"/>
      <c r="K97" s="51"/>
      <c r="L97" s="43"/>
      <c r="M97" s="44"/>
      <c r="N97" s="44"/>
      <c r="O97" s="36" t="s">
        <v>230</v>
      </c>
      <c r="P97" s="76"/>
      <c r="Q97" s="51"/>
      <c r="R97" s="43"/>
      <c r="S97" s="44"/>
      <c r="T97" s="70" t="s">
        <v>234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237</v>
      </c>
      <c r="C98" s="31" t="s">
        <v>182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221</v>
      </c>
      <c r="J98" s="55"/>
      <c r="K98" s="51"/>
      <c r="L98" s="43"/>
      <c r="M98" s="44"/>
      <c r="N98" s="44"/>
      <c r="O98" s="36" t="s">
        <v>230</v>
      </c>
      <c r="P98" s="76"/>
      <c r="Q98" s="51"/>
      <c r="R98" s="43"/>
      <c r="S98" s="44"/>
      <c r="T98" s="70" t="s">
        <v>234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238</v>
      </c>
      <c r="C99" s="31" t="s">
        <v>182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239</v>
      </c>
      <c r="F99" s="31"/>
      <c r="G99" s="31"/>
      <c r="H99" s="50">
        <v>46356</v>
      </c>
      <c r="I99" s="57" t="s">
        <v>221</v>
      </c>
      <c r="J99" s="55"/>
      <c r="K99" s="51"/>
      <c r="L99" s="43"/>
      <c r="M99" s="44"/>
      <c r="N99" s="44"/>
      <c r="O99" s="36" t="s">
        <v>230</v>
      </c>
      <c r="P99" s="76"/>
      <c r="Q99" s="51"/>
      <c r="R99" s="43"/>
      <c r="S99" s="44"/>
      <c r="T99" s="70" t="s">
        <v>234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240</v>
      </c>
      <c r="C100" s="31" t="s">
        <v>182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221</v>
      </c>
      <c r="J100" s="55"/>
      <c r="K100" s="51"/>
      <c r="L100" s="43"/>
      <c r="M100" s="44"/>
      <c r="N100" s="44"/>
      <c r="O100" s="36" t="s">
        <v>230</v>
      </c>
      <c r="P100" s="76"/>
      <c r="Q100" s="51"/>
      <c r="R100" s="43"/>
      <c r="S100" s="44"/>
      <c r="T100" s="70" t="s">
        <v>234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241</v>
      </c>
      <c r="B101" s="31" t="s">
        <v>242</v>
      </c>
      <c r="C101" s="31" t="s">
        <v>182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243</v>
      </c>
      <c r="J101" s="55"/>
      <c r="L101" s="43"/>
      <c r="M101" s="31"/>
      <c r="N101" s="31"/>
      <c r="O101" s="36" t="s">
        <v>244</v>
      </c>
      <c r="P101" s="76"/>
      <c r="R101" s="43"/>
      <c r="S101" s="31"/>
      <c r="T101" s="70" t="s">
        <v>234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241</v>
      </c>
      <c r="B102" s="31" t="s">
        <v>245</v>
      </c>
      <c r="C102" s="31" t="s">
        <v>182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243</v>
      </c>
      <c r="J102" s="55"/>
      <c r="L102" s="43"/>
      <c r="M102" s="31"/>
      <c r="N102" s="31"/>
      <c r="O102" s="36" t="s">
        <v>244</v>
      </c>
      <c r="P102" s="76"/>
      <c r="R102" s="43"/>
      <c r="S102" s="31"/>
      <c r="T102" s="70" t="s">
        <v>246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241</v>
      </c>
      <c r="B103" s="31" t="s">
        <v>247</v>
      </c>
      <c r="C103" s="31" t="s">
        <v>182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243</v>
      </c>
      <c r="J103" s="55"/>
      <c r="L103" s="43"/>
      <c r="M103" s="31"/>
      <c r="N103" s="31"/>
      <c r="O103" s="36" t="s">
        <v>244</v>
      </c>
      <c r="P103" s="76"/>
      <c r="R103" s="43"/>
      <c r="S103" s="31"/>
      <c r="T103" s="70" t="s">
        <v>246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248</v>
      </c>
      <c r="B104" s="31" t="s">
        <v>249</v>
      </c>
      <c r="C104" s="31" t="s">
        <v>182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243</v>
      </c>
      <c r="J104" s="55"/>
      <c r="L104" s="43"/>
      <c r="M104" s="31"/>
      <c r="N104" s="31"/>
      <c r="O104" s="36" t="s">
        <v>244</v>
      </c>
      <c r="P104" s="76"/>
      <c r="R104" s="43"/>
      <c r="S104" s="31"/>
      <c r="T104" s="70" t="s">
        <v>246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241</v>
      </c>
      <c r="B105" s="31" t="s">
        <v>250</v>
      </c>
      <c r="C105" s="31" t="s">
        <v>182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243</v>
      </c>
      <c r="J105" s="55"/>
      <c r="L105" s="43"/>
      <c r="M105" s="31"/>
      <c r="N105" s="31"/>
      <c r="O105" s="36" t="s">
        <v>244</v>
      </c>
      <c r="P105" s="76"/>
      <c r="R105" s="43"/>
      <c r="S105" s="31"/>
      <c r="T105" s="70" t="s">
        <v>246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241</v>
      </c>
      <c r="B106" s="31" t="s">
        <v>251</v>
      </c>
      <c r="C106" s="31" t="s">
        <v>182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243</v>
      </c>
      <c r="J106" s="55"/>
      <c r="L106" s="43"/>
      <c r="M106" s="31"/>
      <c r="N106" s="31"/>
      <c r="O106" s="36" t="s">
        <v>244</v>
      </c>
      <c r="P106" s="76"/>
      <c r="R106" s="43"/>
      <c r="S106" s="31"/>
      <c r="T106" s="70" t="s">
        <v>246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241</v>
      </c>
      <c r="B107" s="31" t="s">
        <v>252</v>
      </c>
      <c r="C107" s="31" t="s">
        <v>182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243</v>
      </c>
      <c r="J107" s="55"/>
      <c r="L107" s="43"/>
      <c r="M107" s="31"/>
      <c r="N107" s="31"/>
      <c r="O107" s="36" t="s">
        <v>244</v>
      </c>
      <c r="P107" s="76"/>
      <c r="R107" s="43"/>
      <c r="S107" s="31"/>
      <c r="T107" s="70" t="s">
        <v>246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241</v>
      </c>
      <c r="B108" s="31" t="s">
        <v>253</v>
      </c>
      <c r="C108" s="31" t="s">
        <v>182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243</v>
      </c>
      <c r="J108" s="55"/>
      <c r="L108" s="43"/>
      <c r="M108" s="31"/>
      <c r="N108" s="31"/>
      <c r="O108" s="36" t="s">
        <v>254</v>
      </c>
      <c r="P108" s="76"/>
      <c r="R108" s="43"/>
      <c r="S108" s="31"/>
      <c r="T108" s="70" t="s">
        <v>246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248</v>
      </c>
      <c r="B109" s="31" t="s">
        <v>255</v>
      </c>
      <c r="C109" s="31" t="s">
        <v>182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243</v>
      </c>
      <c r="J109" s="55"/>
      <c r="L109" s="43"/>
      <c r="M109" s="31"/>
      <c r="N109" s="31"/>
      <c r="O109" s="36" t="s">
        <v>254</v>
      </c>
      <c r="P109" s="76"/>
      <c r="R109" s="43"/>
      <c r="S109" s="31"/>
      <c r="T109" s="70" t="s">
        <v>256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241</v>
      </c>
      <c r="B110" s="31" t="s">
        <v>257</v>
      </c>
      <c r="C110" s="31" t="s">
        <v>182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243</v>
      </c>
      <c r="J110" s="55"/>
      <c r="L110" s="43"/>
      <c r="M110" s="31"/>
      <c r="N110" s="31"/>
      <c r="O110" s="36" t="s">
        <v>254</v>
      </c>
      <c r="P110" s="76"/>
      <c r="R110" s="43"/>
      <c r="S110" s="31"/>
      <c r="T110" s="70" t="s">
        <v>256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248</v>
      </c>
      <c r="B111" s="31" t="s">
        <v>258</v>
      </c>
      <c r="C111" s="31" t="s">
        <v>182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243</v>
      </c>
      <c r="J111" s="55"/>
      <c r="L111" s="43"/>
      <c r="M111" s="31"/>
      <c r="N111" s="31"/>
      <c r="O111" s="36" t="s">
        <v>254</v>
      </c>
      <c r="P111" s="76"/>
      <c r="R111" s="43"/>
      <c r="S111" s="31"/>
      <c r="T111" s="70" t="s">
        <v>256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248</v>
      </c>
      <c r="B112" s="31" t="s">
        <v>259</v>
      </c>
      <c r="C112" s="31" t="s">
        <v>182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243</v>
      </c>
      <c r="J112" s="55"/>
      <c r="L112" s="43"/>
      <c r="M112" s="31"/>
      <c r="N112" s="31"/>
      <c r="O112" s="36" t="s">
        <v>254</v>
      </c>
      <c r="P112" s="76"/>
      <c r="R112" s="43"/>
      <c r="S112" s="31"/>
      <c r="T112" s="70" t="s">
        <v>256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248</v>
      </c>
      <c r="B113" s="31" t="s">
        <v>260</v>
      </c>
      <c r="C113" s="31" t="s">
        <v>182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243</v>
      </c>
      <c r="J113" s="55"/>
      <c r="L113" s="43"/>
      <c r="M113" s="31"/>
      <c r="N113" s="31"/>
      <c r="O113" s="36" t="s">
        <v>254</v>
      </c>
      <c r="P113" s="76"/>
      <c r="R113" s="43"/>
      <c r="S113" s="31"/>
      <c r="T113" s="70" t="s">
        <v>256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248</v>
      </c>
      <c r="B114" s="31" t="s">
        <v>261</v>
      </c>
      <c r="C114" s="31" t="s">
        <v>182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243</v>
      </c>
      <c r="J114" s="55"/>
      <c r="L114" s="43"/>
      <c r="M114" s="31"/>
      <c r="N114" s="31"/>
      <c r="O114" s="36" t="s">
        <v>262</v>
      </c>
      <c r="P114" s="76"/>
      <c r="R114" s="43"/>
      <c r="S114" s="31"/>
      <c r="T114" s="70" t="s">
        <v>256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248</v>
      </c>
      <c r="B115" s="31" t="s">
        <v>263</v>
      </c>
      <c r="C115" s="31" t="s">
        <v>182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243</v>
      </c>
      <c r="J115" s="55"/>
      <c r="L115" s="43"/>
      <c r="M115" s="31"/>
      <c r="N115" s="31"/>
      <c r="O115" s="36" t="s">
        <v>262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G43:V73 A74:AF100 T96:T101 A101:AC526 A2:F115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Q2:R73 S2:S28 S30:S73 Z2:Z100 K2:M526 U2:V100 Q74:S526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264</v>
      </c>
    </row>
    <row r="2" spans="1:5">
      <c r="A2" s="6" t="s">
        <v>265</v>
      </c>
    </row>
    <row r="4" spans="1:5" ht="21.95" customHeight="1">
      <c r="A4" s="5" t="s">
        <v>266</v>
      </c>
      <c r="B4" s="83"/>
      <c r="C4" s="84"/>
      <c r="D4" s="84"/>
      <c r="E4" s="84"/>
    </row>
    <row r="6" spans="1:5" ht="15">
      <c r="A6" s="42" t="s">
        <v>0</v>
      </c>
      <c r="B6" s="80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267</v>
      </c>
      <c r="B7" s="80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0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0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0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0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0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0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268</v>
      </c>
      <c r="B14" s="79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269</v>
      </c>
      <c r="B15" s="79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270</v>
      </c>
      <c r="B16" s="79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271</v>
      </c>
      <c r="B17" s="79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272</v>
      </c>
      <c r="B18" s="79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273</v>
      </c>
      <c r="B19" s="79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274</v>
      </c>
      <c r="B20" s="79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0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0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79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0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0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275</v>
      </c>
      <c r="B26" s="80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276</v>
      </c>
      <c r="B27" s="80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277</v>
      </c>
      <c r="B28" s="80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278</v>
      </c>
      <c r="B29" s="80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0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F3" activePane="bottomLeft" state="frozen"/>
      <selection pane="bottomLeft" activeCell="M3" sqref="M3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1" t="s">
        <v>279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P1" s="88" t="s">
        <v>280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281</v>
      </c>
      <c r="C2" s="17" t="s">
        <v>282</v>
      </c>
      <c r="D2" s="17" t="s">
        <v>283</v>
      </c>
      <c r="E2" s="17" t="s">
        <v>284</v>
      </c>
      <c r="F2" s="17" t="s">
        <v>285</v>
      </c>
      <c r="G2" s="17" t="s">
        <v>286</v>
      </c>
      <c r="H2" s="30" t="s">
        <v>287</v>
      </c>
      <c r="I2" s="30" t="s">
        <v>288</v>
      </c>
      <c r="J2" s="30" t="s">
        <v>289</v>
      </c>
      <c r="K2" s="30" t="s">
        <v>290</v>
      </c>
      <c r="L2" s="30" t="s">
        <v>291</v>
      </c>
      <c r="M2" s="21" t="s">
        <v>292</v>
      </c>
      <c r="N2" s="21" t="s">
        <v>293</v>
      </c>
      <c r="P2" s="13" t="s">
        <v>1</v>
      </c>
      <c r="Q2" s="13" t="s">
        <v>275</v>
      </c>
      <c r="R2" s="13" t="s">
        <v>276</v>
      </c>
      <c r="S2" s="13" t="s">
        <v>277</v>
      </c>
      <c r="T2" s="13" t="s">
        <v>278</v>
      </c>
    </row>
    <row r="3" spans="1:20">
      <c r="A3" s="33" t="s">
        <v>133</v>
      </c>
      <c r="B3" s="36">
        <v>46230</v>
      </c>
      <c r="C3" s="33" t="s">
        <v>160</v>
      </c>
      <c r="D3" s="33" t="s">
        <v>128</v>
      </c>
      <c r="E3" s="33" t="s">
        <v>134</v>
      </c>
      <c r="F3" s="33" t="s">
        <v>294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160</v>
      </c>
      <c r="D4" s="31" t="s">
        <v>128</v>
      </c>
      <c r="E4" s="31" t="s">
        <v>134</v>
      </c>
      <c r="F4" s="31" t="s">
        <v>295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296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160</v>
      </c>
      <c r="D5" s="31" t="s">
        <v>128</v>
      </c>
      <c r="E5" s="31" t="s">
        <v>119</v>
      </c>
      <c r="F5" s="31" t="s">
        <v>297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160</v>
      </c>
      <c r="D6" s="31" t="s">
        <v>128</v>
      </c>
      <c r="E6" s="31" t="s">
        <v>119</v>
      </c>
      <c r="F6" s="31" t="s">
        <v>298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160</v>
      </c>
      <c r="D7" s="31" t="s">
        <v>128</v>
      </c>
      <c r="E7" s="31" t="s">
        <v>119</v>
      </c>
      <c r="F7" s="31" t="s">
        <v>299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160</v>
      </c>
      <c r="D8" s="31" t="s">
        <v>128</v>
      </c>
      <c r="E8" s="31" t="s">
        <v>119</v>
      </c>
      <c r="F8" s="31" t="s">
        <v>300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301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143</v>
      </c>
      <c r="B9" s="32">
        <v>46251</v>
      </c>
      <c r="C9" s="31" t="s">
        <v>160</v>
      </c>
      <c r="D9" s="31" t="s">
        <v>128</v>
      </c>
      <c r="E9" s="31" t="s">
        <v>134</v>
      </c>
      <c r="F9" s="31" t="s">
        <v>302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301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160</v>
      </c>
      <c r="D10" s="31" t="s">
        <v>128</v>
      </c>
      <c r="E10" s="31" t="s">
        <v>134</v>
      </c>
      <c r="F10" s="31" t="s">
        <v>295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301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160</v>
      </c>
      <c r="D11" s="31" t="s">
        <v>128</v>
      </c>
      <c r="E11" s="31" t="s">
        <v>119</v>
      </c>
      <c r="F11" s="31" t="s">
        <v>297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141</v>
      </c>
      <c r="B12" s="32">
        <v>46254</v>
      </c>
      <c r="C12" s="31" t="s">
        <v>160</v>
      </c>
      <c r="D12" s="31" t="s">
        <v>128</v>
      </c>
      <c r="E12" s="31" t="s">
        <v>134</v>
      </c>
      <c r="F12" s="31" t="s">
        <v>303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304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160</v>
      </c>
      <c r="D13" s="31" t="s">
        <v>128</v>
      </c>
      <c r="E13" s="31" t="s">
        <v>119</v>
      </c>
      <c r="F13" s="31" t="s">
        <v>305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304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136</v>
      </c>
      <c r="B14" s="32">
        <v>46258</v>
      </c>
      <c r="C14" s="31" t="s">
        <v>160</v>
      </c>
      <c r="D14" s="31" t="s">
        <v>137</v>
      </c>
      <c r="E14" s="31" t="s">
        <v>134</v>
      </c>
      <c r="F14" s="31" t="s">
        <v>306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146</v>
      </c>
      <c r="B15" s="32">
        <v>46258</v>
      </c>
      <c r="C15" s="31" t="s">
        <v>160</v>
      </c>
      <c r="D15" s="31" t="s">
        <v>137</v>
      </c>
      <c r="E15" s="31" t="s">
        <v>134</v>
      </c>
      <c r="F15" s="31" t="s">
        <v>307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304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140</v>
      </c>
      <c r="B16" s="32">
        <v>46258</v>
      </c>
      <c r="C16" s="31" t="s">
        <v>160</v>
      </c>
      <c r="D16" s="31" t="s">
        <v>128</v>
      </c>
      <c r="E16" s="31" t="s">
        <v>134</v>
      </c>
      <c r="F16" s="31" t="s">
        <v>308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304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160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160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160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160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160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160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160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160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160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160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160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160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160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160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160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160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160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160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160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160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160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160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160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160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160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160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160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160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160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160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160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160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160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160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160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160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160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160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160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160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160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160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160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160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160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160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160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160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160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160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160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160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160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160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160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160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160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160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160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160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160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160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160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160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160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160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160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160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160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160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160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160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160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160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160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160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160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160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160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160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160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160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160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160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160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160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160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160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160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160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160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160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160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160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160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160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160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160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160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160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160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160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160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160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160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160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160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160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160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160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160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160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160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160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160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160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160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160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160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160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160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160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160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160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160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160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160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160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160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160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160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160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160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160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160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160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160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160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160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160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160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160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160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160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160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160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160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160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160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160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160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160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160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160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160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160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160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160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160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160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160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160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160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160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160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160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160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160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160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160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160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160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160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160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160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160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160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160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160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160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160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160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160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160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309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310</v>
      </c>
      <c r="C2" s="8" t="s">
        <v>1</v>
      </c>
      <c r="D2" s="8" t="s">
        <v>311</v>
      </c>
      <c r="E2" s="8" t="s">
        <v>312</v>
      </c>
      <c r="F2" s="8" t="s">
        <v>6</v>
      </c>
      <c r="G2" s="8" t="s">
        <v>5</v>
      </c>
      <c r="H2" s="8" t="s">
        <v>313</v>
      </c>
      <c r="I2" s="8" t="s">
        <v>314</v>
      </c>
      <c r="J2" s="8" t="s">
        <v>315</v>
      </c>
    </row>
    <row r="3" spans="1:10" ht="14.25" customHeight="1">
      <c r="A3" s="9" t="s">
        <v>38</v>
      </c>
      <c r="B3" s="9" t="s">
        <v>128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137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160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128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137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160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128</v>
      </c>
      <c r="C13" s="9" t="s">
        <v>316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137</v>
      </c>
      <c r="C14" s="9" t="s">
        <v>316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160</v>
      </c>
      <c r="C15" s="9" t="s">
        <v>316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316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316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128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137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160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128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137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160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128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137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160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128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137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160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128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137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160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128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137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160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128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137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160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128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137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160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128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137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160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128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137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160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128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137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160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128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137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160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128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137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160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128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137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160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128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137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160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128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137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160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128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137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160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128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137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160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128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137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160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128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137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160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128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137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160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128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137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160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128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137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160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128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137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160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128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137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160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128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137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160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128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137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160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128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137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160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128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137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160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128</v>
      </c>
      <c r="C153" s="9" t="s">
        <v>131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137</v>
      </c>
      <c r="C154" s="9" t="s">
        <v>131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160</v>
      </c>
      <c r="C155" s="9" t="s">
        <v>131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128</v>
      </c>
      <c r="C156" s="9" t="s">
        <v>133</v>
      </c>
      <c r="D156" s="9" t="s">
        <v>80</v>
      </c>
      <c r="E156" s="9" t="s">
        <v>57</v>
      </c>
      <c r="F156" s="9"/>
      <c r="G156" s="9" t="s">
        <v>134</v>
      </c>
      <c r="H156" s="9"/>
      <c r="I156" s="9"/>
      <c r="J156" s="9"/>
    </row>
    <row r="157" spans="1:10">
      <c r="A157" s="3" t="s">
        <v>116</v>
      </c>
      <c r="B157" s="3" t="s">
        <v>128</v>
      </c>
      <c r="C157" s="3" t="s">
        <v>136</v>
      </c>
      <c r="D157" s="3" t="s">
        <v>109</v>
      </c>
      <c r="E157" s="3" t="s">
        <v>44</v>
      </c>
      <c r="F157" s="3"/>
      <c r="G157" s="3" t="s">
        <v>134</v>
      </c>
      <c r="H157" s="3"/>
      <c r="I157" s="3"/>
      <c r="J157" s="3"/>
    </row>
    <row r="158" spans="1:10">
      <c r="A158" s="3" t="s">
        <v>116</v>
      </c>
      <c r="B158" s="3" t="s">
        <v>128</v>
      </c>
      <c r="C158" s="3" t="s">
        <v>140</v>
      </c>
      <c r="D158" s="3" t="s">
        <v>109</v>
      </c>
      <c r="E158" s="3" t="s">
        <v>44</v>
      </c>
      <c r="F158" s="3"/>
      <c r="G158" s="3" t="s">
        <v>134</v>
      </c>
      <c r="H158" s="3"/>
      <c r="I158" s="3"/>
      <c r="J158" s="3"/>
    </row>
    <row r="159" spans="1:10">
      <c r="A159" s="3" t="s">
        <v>116</v>
      </c>
      <c r="B159" s="3" t="s">
        <v>137</v>
      </c>
      <c r="C159" s="3" t="s">
        <v>140</v>
      </c>
      <c r="D159" s="3" t="s">
        <v>109</v>
      </c>
      <c r="E159" s="3" t="s">
        <v>44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160</v>
      </c>
      <c r="C160" s="3" t="s">
        <v>140</v>
      </c>
      <c r="D160" s="3" t="s">
        <v>109</v>
      </c>
      <c r="E160" s="3" t="s">
        <v>44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128</v>
      </c>
      <c r="C161" s="3" t="s">
        <v>141</v>
      </c>
      <c r="D161" s="3" t="s">
        <v>80</v>
      </c>
      <c r="E161" s="3" t="s">
        <v>57</v>
      </c>
      <c r="F161" s="3"/>
      <c r="G161" s="3" t="s">
        <v>134</v>
      </c>
      <c r="H161" s="3"/>
      <c r="I161" s="3"/>
      <c r="J161" s="3"/>
    </row>
    <row r="162" spans="1:10">
      <c r="A162" s="3" t="s">
        <v>116</v>
      </c>
      <c r="B162" s="3" t="s">
        <v>137</v>
      </c>
      <c r="C162" s="3" t="s">
        <v>141</v>
      </c>
      <c r="D162" s="3" t="s">
        <v>80</v>
      </c>
      <c r="E162" s="3" t="s">
        <v>57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160</v>
      </c>
      <c r="C163" s="3" t="s">
        <v>141</v>
      </c>
      <c r="D163" s="3" t="s">
        <v>80</v>
      </c>
      <c r="E163" s="3" t="s">
        <v>57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128</v>
      </c>
      <c r="C164" s="3" t="s">
        <v>143</v>
      </c>
      <c r="D164" s="3" t="s">
        <v>145</v>
      </c>
      <c r="E164" s="3" t="s">
        <v>57</v>
      </c>
      <c r="F164" s="3"/>
      <c r="G164" s="3" t="s">
        <v>134</v>
      </c>
      <c r="H164" s="3"/>
      <c r="I164" s="3"/>
      <c r="J164" s="3"/>
    </row>
    <row r="165" spans="1:10">
      <c r="A165" s="3" t="s">
        <v>116</v>
      </c>
      <c r="B165" s="3" t="s">
        <v>137</v>
      </c>
      <c r="C165" s="3" t="s">
        <v>143</v>
      </c>
      <c r="D165" s="3" t="s">
        <v>145</v>
      </c>
      <c r="E165" s="3" t="s">
        <v>57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160</v>
      </c>
      <c r="C166" s="3" t="s">
        <v>143</v>
      </c>
      <c r="D166" s="3" t="s">
        <v>145</v>
      </c>
      <c r="E166" s="3" t="s">
        <v>57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128</v>
      </c>
      <c r="C167" s="3" t="s">
        <v>146</v>
      </c>
      <c r="D167" s="3" t="s">
        <v>145</v>
      </c>
      <c r="E167" s="3" t="s">
        <v>73</v>
      </c>
      <c r="F167" s="3"/>
      <c r="G167" s="3" t="s">
        <v>134</v>
      </c>
      <c r="H167" s="3"/>
      <c r="I167" s="3"/>
      <c r="J167" s="3"/>
    </row>
    <row r="168" spans="1:10">
      <c r="A168" s="3" t="s">
        <v>116</v>
      </c>
      <c r="B168" s="3" t="s">
        <v>137</v>
      </c>
      <c r="C168" s="3" t="s">
        <v>146</v>
      </c>
      <c r="D168" s="3" t="s">
        <v>145</v>
      </c>
      <c r="E168" s="3" t="s">
        <v>73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160</v>
      </c>
      <c r="C169" s="3" t="s">
        <v>146</v>
      </c>
      <c r="D169" s="3" t="s">
        <v>145</v>
      </c>
      <c r="E169" s="3" t="s">
        <v>73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128</v>
      </c>
      <c r="C170" s="3" t="s">
        <v>147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137</v>
      </c>
      <c r="C171" s="3" t="s">
        <v>147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160</v>
      </c>
      <c r="C172" s="3" t="s">
        <v>147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128</v>
      </c>
      <c r="C173" s="3" t="s">
        <v>149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137</v>
      </c>
      <c r="C174" s="3" t="s">
        <v>149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160</v>
      </c>
      <c r="C175" s="3" t="s">
        <v>149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128</v>
      </c>
      <c r="C176" s="3" t="s">
        <v>151</v>
      </c>
      <c r="D176" s="3" t="s">
        <v>72</v>
      </c>
      <c r="E176" s="3" t="s">
        <v>73</v>
      </c>
      <c r="F176" s="3"/>
      <c r="G176" s="3" t="s">
        <v>134</v>
      </c>
      <c r="H176" s="3"/>
      <c r="I176" s="3"/>
      <c r="J176" s="3"/>
    </row>
    <row r="177" spans="1:10">
      <c r="A177" s="3" t="s">
        <v>116</v>
      </c>
      <c r="B177" s="3" t="s">
        <v>137</v>
      </c>
      <c r="C177" s="3" t="s">
        <v>151</v>
      </c>
      <c r="D177" s="3" t="s">
        <v>72</v>
      </c>
      <c r="E177" s="3" t="s">
        <v>73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160</v>
      </c>
      <c r="C178" s="3" t="s">
        <v>151</v>
      </c>
      <c r="D178" s="3" t="s">
        <v>72</v>
      </c>
      <c r="E178" s="3" t="s">
        <v>73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128</v>
      </c>
      <c r="C179" s="3" t="s">
        <v>154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137</v>
      </c>
      <c r="C180" s="3" t="s">
        <v>154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160</v>
      </c>
      <c r="C181" s="3" t="s">
        <v>154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128</v>
      </c>
      <c r="C182" s="3" t="s">
        <v>163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137</v>
      </c>
      <c r="C183" s="3" t="s">
        <v>163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160</v>
      </c>
      <c r="C184" s="3" t="s">
        <v>163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317</v>
      </c>
      <c r="B1" s="84"/>
      <c r="C1" s="84"/>
    </row>
    <row r="2" spans="1:3" ht="14.25" customHeight="1">
      <c r="A2" s="8" t="s">
        <v>0</v>
      </c>
      <c r="B2" s="8" t="s">
        <v>318</v>
      </c>
      <c r="C2" s="8" t="s">
        <v>314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319</v>
      </c>
      <c r="B11" s="11">
        <v>18</v>
      </c>
      <c r="C11" s="12">
        <v>46386</v>
      </c>
    </row>
    <row r="12" spans="1:3" ht="14.25" customHeight="1">
      <c r="A12" s="11" t="s">
        <v>319</v>
      </c>
      <c r="B12" s="11">
        <v>18</v>
      </c>
      <c r="C12" s="12">
        <v>46417</v>
      </c>
    </row>
    <row r="13" spans="1:3" ht="14.25" customHeight="1">
      <c r="A13" s="11" t="s">
        <v>319</v>
      </c>
      <c r="B13" s="11">
        <v>19</v>
      </c>
      <c r="C13" s="12">
        <v>46446</v>
      </c>
    </row>
    <row r="14" spans="1:3" ht="14.25" customHeight="1">
      <c r="A14" s="11" t="s">
        <v>248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320</v>
      </c>
      <c r="F1" s="1" t="s">
        <v>267</v>
      </c>
      <c r="G1" s="5" t="s">
        <v>321</v>
      </c>
      <c r="H1" s="5" t="s">
        <v>20</v>
      </c>
      <c r="I1" t="s">
        <v>33</v>
      </c>
      <c r="J1" s="5" t="s">
        <v>322</v>
      </c>
      <c r="K1" s="5" t="s">
        <v>118</v>
      </c>
      <c r="L1" s="5" t="s">
        <v>286</v>
      </c>
      <c r="M1" s="1" t="s">
        <v>323</v>
      </c>
      <c r="N1" s="1" t="s">
        <v>324</v>
      </c>
      <c r="R1" t="s">
        <v>13</v>
      </c>
    </row>
    <row r="2" spans="1:18" ht="13.5" customHeight="1">
      <c r="A2" s="2" t="s">
        <v>325</v>
      </c>
      <c r="B2" s="2" t="s">
        <v>326</v>
      </c>
      <c r="C2" s="2" t="s">
        <v>327</v>
      </c>
      <c r="D2" s="2" t="s">
        <v>328</v>
      </c>
      <c r="E2" s="2" t="s">
        <v>329</v>
      </c>
      <c r="F2" s="2" t="s">
        <v>330</v>
      </c>
      <c r="G2" t="s">
        <v>331</v>
      </c>
      <c r="H2" t="s">
        <v>332</v>
      </c>
      <c r="I2" t="s">
        <v>333</v>
      </c>
      <c r="J2" s="29" t="s">
        <v>334</v>
      </c>
      <c r="K2" s="29" t="s">
        <v>335</v>
      </c>
      <c r="L2" s="29" t="s">
        <v>336</v>
      </c>
      <c r="M2" t="s">
        <v>134</v>
      </c>
      <c r="N2" s="45" t="s">
        <v>337</v>
      </c>
      <c r="R2" t="s">
        <v>338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182</v>
      </c>
      <c r="G3" t="s">
        <v>42</v>
      </c>
      <c r="H3" t="s">
        <v>45</v>
      </c>
      <c r="I3" t="s">
        <v>50</v>
      </c>
      <c r="J3" t="s">
        <v>128</v>
      </c>
      <c r="K3" t="s">
        <v>46</v>
      </c>
      <c r="L3" t="s">
        <v>50</v>
      </c>
      <c r="M3" t="s">
        <v>42</v>
      </c>
      <c r="N3" s="45" t="s">
        <v>339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134</v>
      </c>
      <c r="E4" t="s">
        <v>50</v>
      </c>
      <c r="F4" t="s">
        <v>128</v>
      </c>
      <c r="G4" t="s">
        <v>56</v>
      </c>
      <c r="H4" t="s">
        <v>84</v>
      </c>
      <c r="I4" t="s">
        <v>340</v>
      </c>
      <c r="J4" t="s">
        <v>137</v>
      </c>
      <c r="L4" t="s">
        <v>47</v>
      </c>
      <c r="M4" t="s">
        <v>98</v>
      </c>
      <c r="N4" s="45" t="s">
        <v>339</v>
      </c>
      <c r="R4" t="s">
        <v>341</v>
      </c>
    </row>
    <row r="5" spans="1:18" ht="15" customHeight="1">
      <c r="A5" t="s">
        <v>319</v>
      </c>
      <c r="B5" t="s">
        <v>62</v>
      </c>
      <c r="C5" t="s">
        <v>73</v>
      </c>
      <c r="F5" t="s">
        <v>137</v>
      </c>
      <c r="G5" t="s">
        <v>62</v>
      </c>
      <c r="H5" t="s">
        <v>119</v>
      </c>
      <c r="I5" t="s">
        <v>129</v>
      </c>
      <c r="J5" t="s">
        <v>160</v>
      </c>
      <c r="L5" t="s">
        <v>342</v>
      </c>
      <c r="M5" t="s">
        <v>84</v>
      </c>
      <c r="N5" s="45" t="s">
        <v>339</v>
      </c>
    </row>
    <row r="6" spans="1:18" ht="15" customHeight="1">
      <c r="A6" t="s">
        <v>248</v>
      </c>
      <c r="B6" t="s">
        <v>80</v>
      </c>
      <c r="F6" t="s">
        <v>160</v>
      </c>
      <c r="G6" t="s">
        <v>80</v>
      </c>
      <c r="H6" t="s">
        <v>134</v>
      </c>
      <c r="I6" t="s">
        <v>138</v>
      </c>
      <c r="J6" t="s">
        <v>118</v>
      </c>
      <c r="M6" t="s">
        <v>46</v>
      </c>
      <c r="N6" s="45" t="s">
        <v>339</v>
      </c>
    </row>
    <row r="7" spans="1:18" ht="15" customHeight="1">
      <c r="A7" t="s">
        <v>241</v>
      </c>
      <c r="B7" t="s">
        <v>109</v>
      </c>
      <c r="F7" t="s">
        <v>118</v>
      </c>
      <c r="G7" t="s">
        <v>109</v>
      </c>
      <c r="I7" t="s">
        <v>343</v>
      </c>
      <c r="M7" t="s">
        <v>119</v>
      </c>
      <c r="N7" s="45" t="s">
        <v>339</v>
      </c>
    </row>
    <row r="8" spans="1:18" ht="15" customHeight="1">
      <c r="B8" t="s">
        <v>72</v>
      </c>
      <c r="F8" t="s">
        <v>40</v>
      </c>
      <c r="G8" t="s">
        <v>72</v>
      </c>
      <c r="I8" t="s">
        <v>344</v>
      </c>
      <c r="M8" t="s">
        <v>57</v>
      </c>
      <c r="N8" s="45" t="s">
        <v>339</v>
      </c>
    </row>
    <row r="9" spans="1:18" ht="15" customHeight="1">
      <c r="B9" t="s">
        <v>98</v>
      </c>
      <c r="G9" t="s">
        <v>98</v>
      </c>
      <c r="I9" t="s">
        <v>345</v>
      </c>
      <c r="M9" t="s">
        <v>145</v>
      </c>
      <c r="N9" s="45" t="s">
        <v>339</v>
      </c>
    </row>
    <row r="10" spans="1:18" ht="15" customHeight="1">
      <c r="B10" t="s">
        <v>145</v>
      </c>
      <c r="G10" t="s">
        <v>145</v>
      </c>
      <c r="M10" t="s">
        <v>45</v>
      </c>
      <c r="N10" s="45" t="s">
        <v>339</v>
      </c>
    </row>
    <row r="11" spans="1:18">
      <c r="B11" t="s">
        <v>346</v>
      </c>
      <c r="G11" t="s">
        <v>57</v>
      </c>
      <c r="M11" t="s">
        <v>72</v>
      </c>
      <c r="N11" s="45" t="s">
        <v>339</v>
      </c>
    </row>
    <row r="12" spans="1:18">
      <c r="B12" t="s">
        <v>347</v>
      </c>
      <c r="G12" t="s">
        <v>44</v>
      </c>
      <c r="M12" t="s">
        <v>44</v>
      </c>
      <c r="N12" s="45" t="s">
        <v>339</v>
      </c>
    </row>
    <row r="13" spans="1:18">
      <c r="G13" t="s">
        <v>73</v>
      </c>
      <c r="M13" t="s">
        <v>73</v>
      </c>
      <c r="N13" s="45" t="s">
        <v>339</v>
      </c>
    </row>
    <row r="14" spans="1:18">
      <c r="M14" t="s">
        <v>80</v>
      </c>
      <c r="N14" s="45" t="s">
        <v>348</v>
      </c>
    </row>
    <row r="15" spans="1:18">
      <c r="M15" t="s">
        <v>56</v>
      </c>
      <c r="N15" s="45" t="s">
        <v>339</v>
      </c>
    </row>
    <row r="16" spans="1:18">
      <c r="M16" t="s">
        <v>109</v>
      </c>
      <c r="N16" s="45" t="s">
        <v>339</v>
      </c>
    </row>
    <row r="17" spans="13:14">
      <c r="M17" t="s">
        <v>62</v>
      </c>
      <c r="N17" s="45" t="s">
        <v>339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2026-08-25T21:42:21Z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