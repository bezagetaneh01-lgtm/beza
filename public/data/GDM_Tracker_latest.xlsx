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70" documentId="13_ncr:1_{52745E9B-3AA1-4770-AAD3-E6166BFC13AE}" xr6:coauthVersionLast="47" xr6:coauthVersionMax="47" xr10:uidLastSave="{90DBED59-D48E-4062-B351-89767A7B87ED}"/>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<sst xmlns="http://schemas.openxmlformats.org/spreadsheetml/2006/main" count="3642" uniqueCount="523">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</sst>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1">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2</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November"/>
        <filter val="October"/>
        <filter val="September"/>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43" activePane="bottomLeft" state="frozen"/>
      <selection pane="bottomLeft" activeCell="A93" sqref="A93:XFD93"/>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206</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264</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60" priority="63">
      <formula>AND($B2&lt;&gt;"",MOD(ROW(),2)=0)</formula>
    </cfRule>
  </conditionalFormatting>
  <conditionalFormatting sqref="C2:C116">
    <cfRule type="expression" dxfId="159" priority="624">
      <formula>LEFT($AK2,4)="Move"</formula>
    </cfRule>
  </conditionalFormatting>
  <conditionalFormatting sqref="D2:D528">
    <cfRule type="expression" dxfId="158" priority="47">
      <formula>ISNUMBER(SEARCH("Blocked",$D2))</formula>
    </cfRule>
    <cfRule type="expression" dxfId="157" priority="48">
      <formula>ISNUMBER(SEARCH("overdue",$D2))</formula>
    </cfRule>
    <cfRule type="expression" dxfId="156" priority="49">
      <formula>ISNUMBER(SEARCH("no target",$D2))</formula>
    </cfRule>
    <cfRule type="expression" dxfId="155" priority="50">
      <formula>ISNUMBER(SEARCH("Review",$D2))</formula>
    </cfRule>
    <cfRule type="expression" dxfId="154" priority="51">
      <formula>OR($D2="On track",$D2="Delivered")</formula>
    </cfRule>
  </conditionalFormatting>
  <conditionalFormatting sqref="D88">
    <cfRule type="expression" dxfId="153" priority="623">
      <formula>AND($B50&lt;&gt;"",MOD(ROW(),2)=0)</formula>
    </cfRule>
  </conditionalFormatting>
  <conditionalFormatting sqref="J2:O116">
    <cfRule type="expression" dxfId="152" priority="25">
      <formula>$AJ2="Yes – needs DB Dev to fix"</formula>
    </cfRule>
  </conditionalFormatting>
  <conditionalFormatting sqref="J117:O193">
    <cfRule type="expression" dxfId="151" priority="30">
      <formula>$AH117="Yes – needs DB Dev to fix"</formula>
    </cfRule>
  </conditionalFormatting>
  <conditionalFormatting sqref="K41">
    <cfRule type="expression" dxfId="150" priority="606">
      <formula>AND($B41&lt;&gt;"",MOD(ROW(),2)=0)</formula>
    </cfRule>
    <cfRule type="expression" dxfId="149" priority="607">
      <formula>$AJ41="Yes – needs DB Dev to fix"</formula>
    </cfRule>
  </conditionalFormatting>
  <conditionalFormatting sqref="K42">
    <cfRule type="expression" dxfId="148" priority="609">
      <formula>$AJ41="Yes – needs DB Dev to fix"</formula>
    </cfRule>
    <cfRule type="expression" dxfId="147" priority="608">
      <formula>AND($B41&lt;&gt;"",MOD(ROW(),2)=0)</formula>
    </cfRule>
  </conditionalFormatting>
  <conditionalFormatting sqref="K73:L100">
    <cfRule type="expression" dxfId="146" priority="122">
      <formula>$AF73="Yes – needs DB Dev to fix"</formula>
    </cfRule>
  </conditionalFormatting>
  <conditionalFormatting sqref="K101:L116">
    <cfRule type="expression" dxfId="145" priority="352">
      <formula>$AA101="Yes – needs DB Dev to fix"</formula>
    </cfRule>
  </conditionalFormatting>
  <conditionalFormatting sqref="K117:L528">
    <cfRule type="expression" dxfId="144" priority="579">
      <formula>$X117="Yes – needs DB Dev to fix"</formula>
    </cfRule>
  </conditionalFormatting>
  <conditionalFormatting sqref="M73">
    <cfRule type="expression" dxfId="143" priority="29">
      <formula>$AF73="Yes – needs DB Dev to fix"</formula>
    </cfRule>
  </conditionalFormatting>
  <conditionalFormatting sqref="M79:M81">
    <cfRule type="expression" dxfId="142" priority="3">
      <formula>$AF79="Yes – needs DB Dev to fix"</formula>
    </cfRule>
  </conditionalFormatting>
  <conditionalFormatting sqref="M83:M84">
    <cfRule type="expression" dxfId="141" priority="5">
      <formula>$AF83="Yes – needs DB Dev to fix"</formula>
    </cfRule>
  </conditionalFormatting>
  <conditionalFormatting sqref="M91">
    <cfRule type="expression" dxfId="140" priority="9">
      <formula>$AF91="Yes – needs DB Dev to fix"</formula>
    </cfRule>
  </conditionalFormatting>
  <conditionalFormatting sqref="M93:M94">
    <cfRule type="expression" dxfId="139" priority="2">
      <formula>$AF93="Yes – needs DB Dev to fix"</formula>
    </cfRule>
  </conditionalFormatting>
  <conditionalFormatting sqref="M73:P100">
    <cfRule type="expression" dxfId="138" priority="307">
      <formula>$AD73="Yes – needs PBI Dev to fix"</formula>
    </cfRule>
  </conditionalFormatting>
  <conditionalFormatting sqref="M101:P116">
    <cfRule type="expression" dxfId="137" priority="354">
      <formula>$AA101="Yes – needs PBI Dev to fix"</formula>
    </cfRule>
  </conditionalFormatting>
  <conditionalFormatting sqref="M117:P528">
    <cfRule type="expression" dxfId="136" priority="580">
      <formula>$X117="Yes – needs PBI Dev to fix"</formula>
    </cfRule>
  </conditionalFormatting>
  <conditionalFormatting sqref="N58">
    <cfRule type="expression" dxfId="135" priority="10">
      <formula>$AD58="Yes – needs PBI Dev to fix"</formula>
    </cfRule>
  </conditionalFormatting>
  <conditionalFormatting sqref="N70">
    <cfRule type="expression" dxfId="134" priority="11">
      <formula>$AD70="Yes – needs PBI Dev to fix"</formula>
    </cfRule>
  </conditionalFormatting>
  <conditionalFormatting sqref="N82">
    <cfRule type="expression" dxfId="133" priority="7">
      <formula>$AD82="Yes – needs PBI Dev to fix"</formula>
    </cfRule>
  </conditionalFormatting>
  <conditionalFormatting sqref="O101:O113">
    <cfRule type="expression" dxfId="132" priority="4">
      <formula>$AD101="Yes – needs PBI Dev to fix"</formula>
    </cfRule>
  </conditionalFormatting>
  <conditionalFormatting sqref="Q73:Q100">
    <cfRule type="expression" dxfId="131" priority="23">
      <formula>$AJ73="Yes – needs DB Dev to fix"</formula>
    </cfRule>
    <cfRule type="expression" dxfId="130" priority="24">
      <formula>$AF73="Yes – needs DB Dev to fix"</formula>
    </cfRule>
    <cfRule type="expression" dxfId="129" priority="126">
      <formula>$AF73="Yes – needs PBI Dev to fix"</formula>
    </cfRule>
  </conditionalFormatting>
  <conditionalFormatting sqref="Q101:R116 V101:V116 X101:X116">
    <cfRule type="expression" dxfId="128" priority="22">
      <formula>$AA101="Yes – needs QA to fix"</formula>
    </cfRule>
  </conditionalFormatting>
  <conditionalFormatting sqref="Q117:R528">
    <cfRule type="expression" dxfId="127" priority="581">
      <formula>$X117="Yes – needs QA to fix"</formula>
    </cfRule>
  </conditionalFormatting>
  <conditionalFormatting sqref="Q2:U64 U10:V19 X10:X19 J29 M29:P29 J32:J33 M32:P33 K40:K41 M40:P41 Q65 T65:U65 Q66:U115 V101:V115 X101:X116 Q116:V116">
    <cfRule type="expression" dxfId="126" priority="37">
      <formula>$AJ2="Yes – needs PBI Dev to fix"</formula>
    </cfRule>
  </conditionalFormatting>
  <conditionalFormatting sqref="R58">
    <cfRule type="expression" dxfId="125" priority="324">
      <formula>$AJ65="Yes – needs PBI Dev to fix"</formula>
    </cfRule>
    <cfRule type="expression" dxfId="124" priority="322">
      <formula>AND($B65&lt;&gt;"",MOD(ROW(),2)=0)</formula>
    </cfRule>
  </conditionalFormatting>
  <conditionalFormatting sqref="R60">
    <cfRule type="expression" dxfId="123" priority="15">
      <formula>$AJ67="Yes – needs PBI Dev to fix"</formula>
    </cfRule>
    <cfRule type="expression" dxfId="122" priority="14">
      <formula>AND($B67&lt;&gt;"",MOD(ROW(),2)=0)</formula>
    </cfRule>
  </conditionalFormatting>
  <conditionalFormatting sqref="R60:S60">
    <cfRule type="expression" dxfId="121" priority="12">
      <formula>AND($B67&lt;&gt;"",MOD(ROW(),2)=0)</formula>
    </cfRule>
    <cfRule type="expression" dxfId="120" priority="13">
      <formula>$AJ67="Yes – needs PBI Dev to fix"</formula>
    </cfRule>
  </conditionalFormatting>
  <conditionalFormatting sqref="R73:U100 T96:T101">
    <cfRule type="expression" dxfId="119" priority="128">
      <formula>$AF73="Yes – needs QA to fix"</formula>
    </cfRule>
  </conditionalFormatting>
  <conditionalFormatting sqref="S101:U116">
    <cfRule type="expression" dxfId="118" priority="368">
      <formula>$AA101="Yes – needs DPO Approval to fix"</formula>
    </cfRule>
  </conditionalFormatting>
  <conditionalFormatting sqref="S117:U528">
    <cfRule type="expression" dxfId="117" priority="582">
      <formula>$X117="Yes – needs DPO Approval to fix"</formula>
    </cfRule>
  </conditionalFormatting>
  <conditionalFormatting sqref="U101:V528 X101:X528">
    <cfRule type="expression" dxfId="116" priority="55">
      <formula>$V101="Yes"</formula>
    </cfRule>
  </conditionalFormatting>
  <conditionalFormatting sqref="U73:Y100">
    <cfRule type="expression" dxfId="115" priority="130">
      <formula>$AF73="Yes – needs DPO Approval to fix"</formula>
    </cfRule>
  </conditionalFormatting>
  <conditionalFormatting sqref="X117:X528">
    <cfRule type="expression" dxfId="114" priority="583">
      <formula>LEFT($X117,3)="Yes"</formula>
    </cfRule>
  </conditionalFormatting>
  <conditionalFormatting sqref="X73:Z100">
    <cfRule type="expression" dxfId="113" priority="482">
      <formula>$Y73="Yes"</formula>
    </cfRule>
  </conditionalFormatting>
  <conditionalFormatting sqref="Z117:AA528">
    <cfRule type="expression" dxfId="112" priority="60">
      <formula>ISNUMBER(SEARCH("log it",$Z117))</formula>
    </cfRule>
    <cfRule type="expression" dxfId="111" priority="60">
      <formula>ISNUMBER(SEARCH("Open rework",$Z117))</formula>
    </cfRule>
    <cfRule type="expression" dxfId="110" priority="62">
      <formula>$Z117&lt;&gt;""</formula>
    </cfRule>
    <cfRule type="expression" dxfId="109" priority="61">
      <formula>ISNUMBER(SEARCH("Duplicate",$Z117))</formula>
    </cfRule>
    <cfRule type="expression" dxfId="108" priority="60">
      <formula>ISNUMBER(SEARCH("Move old",$Z117))</formula>
    </cfRule>
  </conditionalFormatting>
  <conditionalFormatting sqref="AA3">
    <cfRule type="expression" dxfId="107" priority="611">
      <formula>$AJ3="Yes – needs DPO Approval to fix"</formula>
    </cfRule>
    <cfRule type="expression" dxfId="106" priority="610">
      <formula>AND($B3&lt;&gt;"",MOD(ROW(),2)=0)</formula>
    </cfRule>
  </conditionalFormatting>
  <conditionalFormatting sqref="AA101:AA115 U116:AA116 U2:Z54 U55:X55 Z55 U56:Z58 U59:X59 Z59 U60:Z70 U71:W71 Z71 U72:Z116">
    <cfRule type="expression" dxfId="105" priority="20">
      <formula>$AJ2="Yes – needs QA to fix"</formula>
    </cfRule>
  </conditionalFormatting>
  <conditionalFormatting sqref="AA101:AA116">
    <cfRule type="expression" dxfId="104" priority="17">
      <formula>$AJ101="Yes – needs PBI Dev to fix"</formula>
    </cfRule>
    <cfRule type="expression" dxfId="103" priority="18">
      <formula>$AA101="Yes – needs QA to fix"</formula>
    </cfRule>
    <cfRule type="expression" dxfId="102" priority="19">
      <formula>$V101="Yes"</formula>
    </cfRule>
    <cfRule type="expression" dxfId="101" priority="376">
      <formula>LEFT($AA101,3)="Yes"</formula>
    </cfRule>
  </conditionalFormatting>
  <conditionalFormatting sqref="AA2:AE2 AB3:AE3 AA4:AE100">
    <cfRule type="expression" dxfId="100" priority="104">
      <formula>$AJ2="Yes – needs DPO Approval to fix"</formula>
    </cfRule>
  </conditionalFormatting>
  <conditionalFormatting sqref="AB101:AC116">
    <cfRule type="expression" dxfId="99" priority="384">
      <formula>ISNUMBER(SEARCH("Open rework",$AB101))</formula>
    </cfRule>
    <cfRule type="expression" dxfId="98" priority="385">
      <formula>ISNUMBER(SEARCH("Move old",$AB101))</formula>
    </cfRule>
    <cfRule type="expression" dxfId="97" priority="386">
      <formula>ISNUMBER(SEARCH("log it",$AB101))</formula>
    </cfRule>
    <cfRule type="expression" dxfId="96" priority="387">
      <formula>ISNUMBER(SEARCH("Duplicate",$AB101))</formula>
    </cfRule>
    <cfRule type="expression" dxfId="95" priority="388">
      <formula>$AB101&lt;&gt;""</formula>
    </cfRule>
  </conditionalFormatting>
  <conditionalFormatting sqref="AF2:AF116">
    <cfRule type="expression" dxfId="94" priority="76">
      <formula>$AF2="Yes"</formula>
    </cfRule>
  </conditionalFormatting>
  <conditionalFormatting sqref="AF73:AF100">
    <cfRule type="expression" dxfId="93" priority="134">
      <formula>LEFT($AF73,3)="Yes"</formula>
    </cfRule>
  </conditionalFormatting>
  <conditionalFormatting sqref="AG73:AG100">
    <cfRule type="expression" dxfId="92" priority="144">
      <formula>$AG73&lt;&gt;""</formula>
    </cfRule>
    <cfRule type="expression" dxfId="91" priority="141">
      <formula>ISNUMBER(SEARCH("Move old",$AG73))</formula>
    </cfRule>
    <cfRule type="expression" dxfId="90" priority="143">
      <formula>ISNUMBER(SEARCH("Duplicate",$AG73))</formula>
    </cfRule>
    <cfRule type="expression" dxfId="89" priority="142">
      <formula>ISNUMBER(SEARCH("log it",$AG73))</formula>
    </cfRule>
    <cfRule type="expression" dxfId="88" priority="140">
      <formula>ISNUMBER(SEARCH("Open rework",$AG73))</formula>
    </cfRule>
  </conditionalFormatting>
  <conditionalFormatting sqref="AJ2:AJ116">
    <cfRule type="expression" dxfId="87" priority="78">
      <formula>LEFT($AJ2,3)="Yes"</formula>
    </cfRule>
  </conditionalFormatting>
  <conditionalFormatting sqref="AK2:AK116">
    <cfRule type="expression" dxfId="86" priority="86">
      <formula>ISNUMBER(SEARCH("Move old",$AK2))</formula>
    </cfRule>
    <cfRule type="expression" dxfId="85" priority="84">
      <formula>ISNUMBER(SEARCH("log it",$AK2))</formula>
    </cfRule>
    <cfRule type="expression" dxfId="84" priority="85">
      <formula>ISNUMBER(SEARCH("Open rework",$AK2))</formula>
    </cfRule>
    <cfRule type="expression" dxfId="83" priority="88">
      <formula>$AK2&lt;&gt;""</formula>
    </cfRule>
    <cfRule type="expression" dxfId="82" priority="87">
      <formula>ISNUMBER(SEARCH("Duplicate",$AK2))</formula>
    </cfRule>
  </conditionalFormatting>
  <conditionalFormatting sqref="AL45:AL47">
    <cfRule type="expression" dxfId="81" priority="27">
      <formula>AND($B49&lt;&gt;"",MOD(ROW(),2)=0)</formula>
    </cfRule>
  </conditionalFormatting>
  <conditionalFormatting sqref="L110">
    <cfRule type="expression" dxfId="80" priority="1">
      <formula>$AA110="Yes – needs PBI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3:M94 K2:K116 L2:L109 L111: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10 M95:M116 M85:M92"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0"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41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27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21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13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13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34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13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17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48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2</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79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9</v>
      </c>
      <c r="H17" s="169">
        <f t="shared" si="0"/>
        <v>3</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Yuhua Niu</cp:lastModifiedBy>
  <cp:revision>0</cp:revision>
  <dcterms:created xsi:type="dcterms:W3CDTF">2026-07-21T14:32:59Z</dcterms:created>
  <dcterms:modified xsi:type="dcterms:W3CDTF">2026-10-13T15:28:14Z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