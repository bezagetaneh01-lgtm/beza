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12" documentId="13_ncr:1_{52745E9B-3AA1-4770-AAD3-E6166BFC13AE}" xr6:coauthVersionLast="47" xr6:coauthVersionMax="47" xr10:uidLastSave="{24696EE5-88B0-4C7E-91E2-98307B44CF06}"/>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<sst xmlns="http://schemas.openxmlformats.org/spreadsheetml/2006/main" count="3226" uniqueCount="473">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</sst>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Y1" activePane="topRight" state="frozen"/>
      <selection pane="topRight" activeCell="AB62" sqref="AB6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to DPO Approval</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c r="Y62" s="36"/>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193</v>
      </c>
      <c r="P79" s="74" t="s">
        <v>46</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251</v>
      </c>
      <c r="O81" s="149" t="s">
        <v>248</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255</v>
      </c>
      <c r="U82" s="46"/>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idden="1">
      <c r="A84" s="31" t="s">
        <v>126</v>
      </c>
      <c r="B84" s="31" t="s">
        <v>261</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c r="M86" s="44"/>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270</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273</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272</v>
      </c>
      <c r="P93" s="74"/>
      <c r="Q93" s="49">
        <v>46339</v>
      </c>
      <c r="R93" s="43"/>
      <c r="S93" s="44"/>
      <c r="T93" s="68" t="s">
        <v>269</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272</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272</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287</v>
      </c>
      <c r="P97" s="74"/>
      <c r="Q97" s="49">
        <v>46339</v>
      </c>
      <c r="R97" s="43"/>
      <c r="S97" s="44"/>
      <c r="T97" s="68" t="s">
        <v>282</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c r="K98" s="49">
        <v>46332</v>
      </c>
      <c r="L98" s="43"/>
      <c r="M98" s="44"/>
      <c r="N98" s="44"/>
      <c r="O98" s="36" t="s">
        <v>287</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248</v>
      </c>
      <c r="P99" s="74"/>
      <c r="Q99" s="49">
        <v>46339</v>
      </c>
      <c r="R99" s="43"/>
      <c r="S99" s="44"/>
      <c r="T99" s="68" t="s">
        <v>282</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287</v>
      </c>
      <c r="P100" s="74"/>
      <c r="Q100" s="49">
        <v>46339</v>
      </c>
      <c r="R100" s="43"/>
      <c r="S100" s="44"/>
      <c r="T100" s="68" t="s">
        <v>282</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295</v>
      </c>
      <c r="B101" s="31" t="s">
        <v>296</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282</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295</v>
      </c>
      <c r="B102" s="31" t="s">
        <v>300</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295</v>
      </c>
      <c r="B103" s="31" t="s">
        <v>303</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295</v>
      </c>
      <c r="B105" s="31" t="s">
        <v>308</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295</v>
      </c>
      <c r="B106" s="31" t="s">
        <v>310</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295</v>
      </c>
      <c r="B107" s="31" t="s">
        <v>312</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295</v>
      </c>
      <c r="B108" s="31" t="s">
        <v>314</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295</v>
      </c>
      <c r="B110" s="31" t="s">
        <v>320</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2" priority="43">
      <formula>ISNUMBER(SEARCH("Blocked",$D2))</formula>
    </cfRule>
    <cfRule type="expression" dxfId="141" priority="44">
      <formula>ISNUMBER(SEARCH("overdue",$D2))</formula>
    </cfRule>
    <cfRule type="expression" dxfId="140" priority="45">
      <formula>ISNUMBER(SEARCH("no target",$D2))</formula>
    </cfRule>
    <cfRule type="expression" dxfId="139" priority="46">
      <formula>ISNUMBER(SEARCH("Review",$D2))</formula>
    </cfRule>
    <cfRule type="expression" dxfId="138" priority="47">
      <formula>OR($D2="On track",$D2="Delivered")</formula>
    </cfRule>
  </conditionalFormatting>
  <conditionalFormatting sqref="J2:O115">
    <cfRule type="expression" dxfId="137" priority="21">
      <formula>$AJ2="Yes – needs DB Dev to fix"</formula>
    </cfRule>
  </conditionalFormatting>
  <conditionalFormatting sqref="J116:O192">
    <cfRule type="expression" dxfId="136" priority="26">
      <formula>$AH116="Yes – needs DB Dev to fix"</formula>
    </cfRule>
  </conditionalFormatting>
  <conditionalFormatting sqref="K41">
    <cfRule type="expression" dxfId="135" priority="602">
      <formula>AND($B41&lt;&gt;"",MOD(ROW(),2)=0)</formula>
    </cfRule>
    <cfRule type="expression" dxfId="134" priority="603">
      <formula>$AJ41="Yes – needs DB Dev to fix"</formula>
    </cfRule>
  </conditionalFormatting>
  <conditionalFormatting sqref="K42">
    <cfRule type="expression" dxfId="133" priority="604">
      <formula>AND($B41&lt;&gt;"",MOD(ROW(),2)=0)</formula>
    </cfRule>
    <cfRule type="expression" dxfId="132" priority="605">
      <formula>$AJ41="Yes – needs DB Dev to fix"</formula>
    </cfRule>
  </conditionalFormatting>
  <conditionalFormatting sqref="K73:L100">
    <cfRule type="expression" dxfId="131" priority="118">
      <formula>$AF73="Yes – needs DB Dev to fix"</formula>
    </cfRule>
  </conditionalFormatting>
  <conditionalFormatting sqref="K101:L115">
    <cfRule type="expression" dxfId="130" priority="348">
      <formula>$AA101="Yes – needs DB Dev to fix"</formula>
    </cfRule>
  </conditionalFormatting>
  <conditionalFormatting sqref="K116:L527">
    <cfRule type="expression" dxfId="129" priority="575">
      <formula>$X116="Yes – needs DB Dev to fix"</formula>
    </cfRule>
  </conditionalFormatting>
  <conditionalFormatting sqref="M73">
    <cfRule type="expression" dxfId="128" priority="25">
      <formula>$AF73="Yes – needs DB Dev to fix"</formula>
    </cfRule>
  </conditionalFormatting>
  <conditionalFormatting sqref="M79">
    <cfRule type="expression" dxfId="127" priority="12">
      <formula>$AF79="Yes – needs DB Dev to fix"</formula>
    </cfRule>
  </conditionalFormatting>
  <conditionalFormatting sqref="M73:P100">
    <cfRule type="expression" dxfId="126" priority="303">
      <formula>$AD73="Yes – needs PBI Dev to fix"</formula>
    </cfRule>
  </conditionalFormatting>
  <conditionalFormatting sqref="M101:P115">
    <cfRule type="expression" dxfId="125" priority="350">
      <formula>$AA101="Yes – needs PBI Dev to fix"</formula>
    </cfRule>
  </conditionalFormatting>
  <conditionalFormatting sqref="M116:P527">
    <cfRule type="expression" dxfId="124" priority="576">
      <formula>$X116="Yes – needs PBI Dev to fix"</formula>
    </cfRule>
  </conditionalFormatting>
  <conditionalFormatting sqref="O101:O113">
    <cfRule type="expression" dxfId="123" priority="24">
      <formula>$AD101="Yes – needs PBI Dev to fix"</formula>
    </cfRule>
  </conditionalFormatting>
  <conditionalFormatting sqref="Q73:Q100">
    <cfRule type="expression" dxfId="122" priority="19">
      <formula>$AJ73="Yes – needs DB Dev to fix"</formula>
    </cfRule>
    <cfRule type="expression" dxfId="121" priority="20">
      <formula>$AF73="Yes – needs DB Dev to fix"</formula>
    </cfRule>
    <cfRule type="expression" dxfId="120" priority="122">
      <formula>$AF73="Yes – needs PBI Dev to fix"</formula>
    </cfRule>
  </conditionalFormatting>
  <conditionalFormatting sqref="Q101:R115 V101:V115 X101:X115">
    <cfRule type="expression" dxfId="119" priority="18">
      <formula>$AA101="Yes – needs QA to fix"</formula>
    </cfRule>
  </conditionalFormatting>
  <conditionalFormatting sqref="Q116:R527">
    <cfRule type="expression" dxfId="118" priority="577">
      <formula>$X116="Yes – needs QA to fix"</formula>
    </cfRule>
  </conditionalFormatting>
  <conditionalFormatting sqref="U10:V19 X10:X19 J29 M29:P29 J32:J33 M32:P33 K40:K41 M40:P41 Q65 T65:U65 V101:V115 X101:X115 Q2:U64 Q66:U115">
    <cfRule type="expression" dxfId="117" priority="33">
      <formula>$AJ2="Yes – needs PBI Dev to fix"</formula>
    </cfRule>
  </conditionalFormatting>
  <conditionalFormatting sqref="R58">
    <cfRule type="expression" dxfId="116" priority="318">
      <formula>AND($B65&lt;&gt;"",MOD(ROW(),2)=0)</formula>
    </cfRule>
    <cfRule type="expression" dxfId="115" priority="320">
      <formula>$AJ65="Yes – needs PBI Dev to fix"</formula>
    </cfRule>
  </conditionalFormatting>
  <conditionalFormatting sqref="R73:U100 T96:T101">
    <cfRule type="expression" dxfId="114" priority="124">
      <formula>$AF73="Yes – needs QA to fix"</formula>
    </cfRule>
  </conditionalFormatting>
  <conditionalFormatting sqref="S101:U115">
    <cfRule type="expression" dxfId="113" priority="364">
      <formula>$AA101="Yes – needs DPO Approval to fix"</formula>
    </cfRule>
  </conditionalFormatting>
  <conditionalFormatting sqref="S116:U527">
    <cfRule type="expression" dxfId="112" priority="578">
      <formula>$X116="Yes – needs DPO Approval to fix"</formula>
    </cfRule>
  </conditionalFormatting>
  <conditionalFormatting sqref="U101:V527 X101:X527">
    <cfRule type="expression" dxfId="111" priority="51">
      <formula>$V101="Yes"</formula>
    </cfRule>
  </conditionalFormatting>
  <conditionalFormatting sqref="U73:Y100">
    <cfRule type="expression" dxfId="110" priority="126">
      <formula>$AF73="Yes – needs DPO Approval to fix"</formula>
    </cfRule>
  </conditionalFormatting>
  <conditionalFormatting sqref="X116:X527">
    <cfRule type="expression" dxfId="109" priority="579">
      <formula>LEFT($X116,3)="Yes"</formula>
    </cfRule>
  </conditionalFormatting>
  <conditionalFormatting sqref="X73:Z100">
    <cfRule type="expression" dxfId="108" priority="478">
      <formula>$Y73="Yes"</formula>
    </cfRule>
  </conditionalFormatting>
  <conditionalFormatting sqref="Z116:AA527">
    <cfRule type="expression" dxfId="107" priority="56">
      <formula>ISNUMBER(SEARCH("Move old",$Z116))</formula>
    </cfRule>
    <cfRule type="expression" dxfId="106" priority="56">
      <formula>ISNUMBER(SEARCH("log it",$Z116))</formula>
    </cfRule>
    <cfRule type="expression" dxfId="105" priority="56">
      <formula>ISNUMBER(SEARCH("Open rework",$Z116))</formula>
    </cfRule>
    <cfRule type="expression" dxfId="104" priority="57">
      <formula>ISNUMBER(SEARCH("Duplicate",$Z116))</formula>
    </cfRule>
    <cfRule type="expression" dxfId="103" priority="58">
      <formula>$Z116&lt;&gt;""</formula>
    </cfRule>
  </conditionalFormatting>
  <conditionalFormatting sqref="Z116:AC527 G2:V40 N3:N44 L41:V42 T65:V65 G41:J42 Z2:AL2 Z3 Z4:AL41 Z42:AK42 Z43:AL44 Z45:AK47 Z101:AE115 AB3:AL3 G65:Q65 Z48:AL72 Z73:AH100 G43:V64 G66:V73 A2:F87 W2:Y527 A74:V527">
    <cfRule type="expression" dxfId="102" priority="59">
      <formula>AND($B2&lt;&gt;"",MOD(ROW(),2)=0)</formula>
    </cfRule>
  </conditionalFormatting>
  <conditionalFormatting sqref="AA3">
    <cfRule type="expression" dxfId="101" priority="606">
      <formula>AND($B3&lt;&gt;"",MOD(ROW(),2)=0)</formula>
    </cfRule>
    <cfRule type="expression" dxfId="100" priority="607">
      <formula>$AJ3="Yes – needs DPO Approval to fix"</formula>
    </cfRule>
  </conditionalFormatting>
  <conditionalFormatting sqref="AA101:AA115 U2:Z115">
    <cfRule type="expression" dxfId="99" priority="16">
      <formula>$AJ2="Yes – needs QA to fix"</formula>
    </cfRule>
  </conditionalFormatting>
  <conditionalFormatting sqref="AA101:AA115">
    <cfRule type="expression" dxfId="98" priority="13">
      <formula>$AJ101="Yes – needs PBI Dev to fix"</formula>
    </cfRule>
    <cfRule type="expression" dxfId="97" priority="14">
      <formula>$AA101="Yes – needs QA to fix"</formula>
    </cfRule>
    <cfRule type="expression" dxfId="96" priority="15">
      <formula>$V101="Yes"</formula>
    </cfRule>
    <cfRule type="expression" dxfId="95" priority="372">
      <formula>LEFT($AA101,3)="Yes"</formula>
    </cfRule>
  </conditionalFormatting>
  <conditionalFormatting sqref="AA2:AE2 AB3:AE3 AA4:AE100">
    <cfRule type="expression" dxfId="94" priority="100">
      <formula>$AJ2="Yes – needs DPO Approval to fix"</formula>
    </cfRule>
  </conditionalFormatting>
  <conditionalFormatting sqref="AB101:AC115">
    <cfRule type="expression" dxfId="93" priority="380">
      <formula>ISNUMBER(SEARCH("Open rework",$AB101))</formula>
    </cfRule>
    <cfRule type="expression" dxfId="92" priority="381">
      <formula>ISNUMBER(SEARCH("Move old",$AB101))</formula>
    </cfRule>
    <cfRule type="expression" dxfId="91" priority="382">
      <formula>ISNUMBER(SEARCH("log it",$AB101))</formula>
    </cfRule>
    <cfRule type="expression" dxfId="90" priority="383">
      <formula>ISNUMBER(SEARCH("Duplicate",$AB101))</formula>
    </cfRule>
    <cfRule type="expression" dxfId="89" priority="384">
      <formula>$AB101&lt;&gt;""</formula>
    </cfRule>
  </conditionalFormatting>
  <conditionalFormatting sqref="AF2:AF115">
    <cfRule type="expression" dxfId="88" priority="72">
      <formula>$AF2="Yes"</formula>
    </cfRule>
  </conditionalFormatting>
  <conditionalFormatting sqref="AF73:AF100">
    <cfRule type="expression" dxfId="87" priority="130">
      <formula>LEFT($AF73,3)="Yes"</formula>
    </cfRule>
  </conditionalFormatting>
  <conditionalFormatting sqref="AG73:AG100">
    <cfRule type="expression" dxfId="86" priority="136">
      <formula>ISNUMBER(SEARCH("Open rework",$AG73))</formula>
    </cfRule>
    <cfRule type="expression" dxfId="85" priority="137">
      <formula>ISNUMBER(SEARCH("Move old",$AG73))</formula>
    </cfRule>
    <cfRule type="expression" dxfId="84" priority="138">
      <formula>ISNUMBER(SEARCH("log it",$AG73))</formula>
    </cfRule>
    <cfRule type="expression" dxfId="83" priority="139">
      <formula>ISNUMBER(SEARCH("Duplicate",$AG73))</formula>
    </cfRule>
    <cfRule type="expression" dxfId="82" priority="140">
      <formula>$AG73&lt;&gt;""</formula>
    </cfRule>
  </conditionalFormatting>
  <conditionalFormatting sqref="AJ2:AJ115">
    <cfRule type="expression" dxfId="81" priority="74">
      <formula>LEFT($AJ2,3)="Yes"</formula>
    </cfRule>
  </conditionalFormatting>
  <conditionalFormatting sqref="AK2:AK115">
    <cfRule type="expression" dxfId="80" priority="80">
      <formula>ISNUMBER(SEARCH("log it",$AK2))</formula>
    </cfRule>
    <cfRule type="expression" dxfId="79" priority="81">
      <formula>ISNUMBER(SEARCH("Open rework",$AK2))</formula>
    </cfRule>
    <cfRule type="expression" dxfId="78" priority="82">
      <formula>ISNUMBER(SEARCH("Move old",$AK2))</formula>
    </cfRule>
    <cfRule type="expression" dxfId="77" priority="83">
      <formula>ISNUMBER(SEARCH("Duplicate",$AK2))</formula>
    </cfRule>
    <cfRule type="expression" dxfId="76" priority="84">
      <formula>$AK2&lt;&gt;""</formula>
    </cfRule>
  </conditionalFormatting>
  <conditionalFormatting sqref="AL45:AL47">
    <cfRule type="expression" dxfId="75" priority="23">
      <formula>AND($B49&lt;&gt;"",MOD(ROW(),2)=0)</formula>
    </cfRule>
  </conditionalFormatting>
  <conditionalFormatting sqref="D88">
    <cfRule type="expression" dxfId="74" priority="619">
      <formula>AND($B50&lt;&gt;"",MOD(ROW(),2)=0)</formula>
    </cfRule>
  </conditionalFormatting>
  <conditionalFormatting sqref="R60">
    <cfRule type="expression" dxfId="73" priority="10">
      <formula>AND($B67&lt;&gt;"",MOD(ROW(),2)=0)</formula>
    </cfRule>
    <cfRule type="expression" dxfId="72" priority="11">
      <formula>$AJ67="Yes – needs PBI Dev to fix"</formula>
    </cfRule>
  </conditionalFormatting>
  <conditionalFormatting sqref="R60:S60">
    <cfRule type="expression" dxfId="71" priority="8">
      <formula>AND($B67&lt;&gt;"",MOD(ROW(),2)=0)</formula>
    </cfRule>
    <cfRule type="expression" dxfId="70" priority="9">
      <formula>$AJ67="Yes – needs PBI Dev to fix"</formula>
    </cfRule>
  </conditionalFormatting>
  <conditionalFormatting sqref="N70">
    <cfRule type="expression" dxfId="69" priority="7">
      <formula>$AD70="Yes – needs PBI Dev to fix"</formula>
    </cfRule>
  </conditionalFormatting>
  <conditionalFormatting sqref="N58">
    <cfRule type="expression" dxfId="68" priority="6">
      <formula>$AD58="Yes – needs PBI Dev to fix"</formula>
    </cfRule>
  </conditionalFormatting>
  <conditionalFormatting sqref="M91">
    <cfRule type="expression" dxfId="67" priority="5">
      <formula>$AF91="Yes – needs DB Dev to fix"</formula>
    </cfRule>
  </conditionalFormatting>
  <conditionalFormatting sqref="M80">
    <cfRule type="expression" dxfId="66" priority="4">
      <formula>$AF80="Yes – needs DB Dev to fix"</formula>
    </cfRule>
  </conditionalFormatting>
  <conditionalFormatting sqref="N82">
    <cfRule type="expression" dxfId="65" priority="3">
      <formula>$AD82="Yes – needs PBI Dev to fix"</formula>
    </cfRule>
  </conditionalFormatting>
  <conditionalFormatting sqref="M83">
    <cfRule type="expression" dxfId="64" priority="2">
      <formula>$AF83="Yes – needs DB Dev to fix"</formula>
    </cfRule>
  </conditionalFormatting>
  <conditionalFormatting sqref="C2:C115">
    <cfRule type="expression" dxfId="63" priority="620">
      <formula>LEFT($AK2,4)="Move"</formula>
    </cfRule>
  </conditionalFormatting>
  <conditionalFormatting sqref="M84">
    <cfRule type="expression" dxfId="62" priority="1">
      <formula>$AF84="Yes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2" t="str">
        <f>IF($B$4="","",IFERROR(INDEX('Combined Delivery Data'!$A:$A,MATCH($B$4,'Combined Delivery Data'!$B:$B,0)),""))</f>
        <v/>
      </c>
      <c r="C6" s="176"/>
      <c r="D6" s="176"/>
      <c r="E6" s="177"/>
    </row>
    <row r="7" spans="1:5">
      <c r="A7" s="42" t="s">
        <v>332</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333</v>
      </c>
      <c r="B14" s="171" t="str">
        <f>IF($B$4="","",IFERROR(INDEX('Combined Delivery Data'!$K:$K,MATCH($B$4,'Combined Delivery Data'!$B:$B,0)),""))</f>
        <v/>
      </c>
      <c r="C14" s="176"/>
      <c r="D14" s="176"/>
      <c r="E14" s="177"/>
    </row>
    <row r="15" spans="1:5">
      <c r="A15" s="42" t="s">
        <v>334</v>
      </c>
      <c r="B15" s="171" t="str">
        <f>IF($B$4="","",IFERROR(INDEX('Combined Delivery Data'!$L:$L,MATCH($B$4,'Combined Delivery Data'!$B:$B,0)),""))</f>
        <v/>
      </c>
      <c r="C15" s="176"/>
      <c r="D15" s="176"/>
      <c r="E15" s="177"/>
    </row>
    <row r="16" spans="1:5">
      <c r="A16" s="42" t="s">
        <v>335</v>
      </c>
      <c r="B16" s="171" t="str">
        <f>IF($B$4="","",IFERROR(INDEX('Combined Delivery Data'!$M:$M,MATCH($B$4,'Combined Delivery Data'!$B:$B,0)),""))</f>
        <v/>
      </c>
      <c r="C16" s="176"/>
      <c r="D16" s="176"/>
      <c r="E16" s="177"/>
    </row>
    <row r="17" spans="1:5">
      <c r="A17" s="42" t="s">
        <v>336</v>
      </c>
      <c r="B17" s="171" t="str">
        <f>IF($B$4="","",IFERROR(INDEX('Combined Delivery Data'!$O:$O,MATCH($B$4,'Combined Delivery Data'!$B:$B,0)),""))</f>
        <v/>
      </c>
      <c r="C17" s="176"/>
      <c r="D17" s="176"/>
      <c r="E17" s="177"/>
    </row>
    <row r="18" spans="1:5">
      <c r="A18" s="42" t="s">
        <v>337</v>
      </c>
      <c r="B18" s="171" t="str">
        <f>IF($B$4="","",IFERROR(INDEX('Combined Delivery Data'!$Q:$Q,MATCH($B$4,'Combined Delivery Data'!$B:$B,0)),""))</f>
        <v/>
      </c>
      <c r="C18" s="176"/>
      <c r="D18" s="176"/>
      <c r="E18" s="177"/>
    </row>
    <row r="19" spans="1:5">
      <c r="A19" s="42" t="s">
        <v>338</v>
      </c>
      <c r="B19" s="171" t="str">
        <f>IF($B$4="","",IFERROR(INDEX('Combined Delivery Data'!$R:$R,MATCH($B$4,'Combined Delivery Data'!$B:$B,0)),""))</f>
        <v/>
      </c>
      <c r="C19" s="176"/>
      <c r="D19" s="176"/>
      <c r="E19" s="177"/>
    </row>
    <row r="20" spans="1:5">
      <c r="A20" s="42" t="s">
        <v>339</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185</v>
      </c>
      <c r="D3" s="33" t="s">
        <v>257</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257</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257</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257</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257</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257</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257</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257</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257</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257</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257</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257</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374</v>
      </c>
      <c r="G17" s="31" t="s">
        <v>50</v>
      </c>
      <c r="H17" s="32" t="s">
        <v>46</v>
      </c>
      <c r="I17" s="32"/>
      <c r="J17" s="32"/>
      <c r="K17" s="31"/>
      <c r="L17" s="31"/>
      <c r="M17" s="3"/>
      <c r="S17" s="28"/>
    </row>
    <row r="18" spans="1:20">
      <c r="A18" s="33" t="s">
        <v>180</v>
      </c>
      <c r="B18" s="32">
        <v>46261</v>
      </c>
      <c r="C18" s="31" t="s">
        <v>185</v>
      </c>
      <c r="D18" s="31" t="s">
        <v>257</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257</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257</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257</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257</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257</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257</v>
      </c>
      <c r="E33" s="31" t="s">
        <v>198</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257</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257</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257</v>
      </c>
      <c r="E37" s="31" t="s">
        <v>129</v>
      </c>
      <c r="F37" s="31" t="s">
        <v>395</v>
      </c>
      <c r="G37" s="31" t="s">
        <v>53</v>
      </c>
      <c r="H37" s="32" t="s">
        <v>65</v>
      </c>
      <c r="I37" s="32"/>
      <c r="J37" s="32">
        <v>46288</v>
      </c>
      <c r="K37" s="31"/>
      <c r="L37" s="31"/>
      <c r="M37" s="3" t="str">
        <f t="shared" ca="1" si="4"/>
        <v>Fixed</v>
      </c>
      <c r="N37" t="s">
        <v>369</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257</v>
      </c>
      <c r="E38" s="31" t="s">
        <v>129</v>
      </c>
      <c r="F38" s="31" t="s">
        <v>396</v>
      </c>
      <c r="G38" s="31" t="s">
        <v>50</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257</v>
      </c>
      <c r="E40" s="31" t="s">
        <v>47</v>
      </c>
      <c r="F40" s="31" t="s">
        <v>400</v>
      </c>
      <c r="G40" s="31" t="s">
        <v>50</v>
      </c>
      <c r="H40" s="32" t="s">
        <v>44</v>
      </c>
      <c r="I40" s="32">
        <v>46283</v>
      </c>
      <c r="J40" s="32">
        <v>46283</v>
      </c>
      <c r="K40" s="31"/>
      <c r="L40" s="31" t="s">
        <v>401</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402</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257</v>
      </c>
      <c r="E42" s="31" t="s">
        <v>47</v>
      </c>
      <c r="F42" s="31" t="s">
        <v>403</v>
      </c>
      <c r="G42" s="31" t="s">
        <v>50</v>
      </c>
      <c r="H42" s="32" t="s">
        <v>154</v>
      </c>
      <c r="I42" s="32">
        <v>46282</v>
      </c>
      <c r="J42" s="32">
        <v>46282</v>
      </c>
      <c r="K42" s="31"/>
      <c r="L42" s="31" t="s">
        <v>404</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405</v>
      </c>
      <c r="G43" s="31" t="s">
        <v>53</v>
      </c>
      <c r="H43" s="32"/>
      <c r="I43" s="32"/>
      <c r="J43" s="32"/>
      <c r="K43" s="31"/>
      <c r="L43" s="31"/>
      <c r="M43" s="3" t="str">
        <f t="shared" ca="1" si="4"/>
        <v>UNCLAIMED 1 d</v>
      </c>
      <c r="N43" t="s">
        <v>50</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257</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257</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257</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332</v>
      </c>
      <c r="G1" s="5" t="s">
        <v>432</v>
      </c>
      <c r="H1" s="5" t="s">
        <v>20</v>
      </c>
      <c r="I1" t="s">
        <v>35</v>
      </c>
      <c r="J1" s="5" t="s">
        <v>433</v>
      </c>
      <c r="K1" s="5" t="s">
        <v>164</v>
      </c>
      <c r="L1" s="5" t="s">
        <v>351</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450</v>
      </c>
      <c r="R3" t="s">
        <v>45</v>
      </c>
      <c r="T3" t="s">
        <v>94</v>
      </c>
    </row>
    <row r="4" spans="1:20" ht="15" customHeight="1">
      <c r="A4" t="s">
        <v>126</v>
      </c>
      <c r="B4" t="s">
        <v>59</v>
      </c>
      <c r="C4" t="s">
        <v>46</v>
      </c>
      <c r="D4" t="s">
        <v>143</v>
      </c>
      <c r="E4" t="s">
        <v>53</v>
      </c>
      <c r="F4" t="s">
        <v>257</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213</v>
      </c>
      <c r="J5" t="s">
        <v>185</v>
      </c>
      <c r="L5" t="s">
        <v>453</v>
      </c>
      <c r="M5" t="s">
        <v>88</v>
      </c>
      <c r="N5" t="s">
        <v>454</v>
      </c>
    </row>
    <row r="6" spans="1:20" ht="15" customHeight="1">
      <c r="A6" t="s">
        <v>305</v>
      </c>
      <c r="B6" t="s">
        <v>84</v>
      </c>
      <c r="F6" t="s">
        <v>185</v>
      </c>
      <c r="G6" t="s">
        <v>84</v>
      </c>
      <c r="H6" t="s">
        <v>143</v>
      </c>
      <c r="I6" t="s">
        <v>455</v>
      </c>
      <c r="J6" t="s">
        <v>164</v>
      </c>
      <c r="M6" t="s">
        <v>48</v>
      </c>
      <c r="N6" t="s">
        <v>454</v>
      </c>
    </row>
    <row r="7" spans="1:20" ht="15" customHeight="1">
      <c r="A7" t="s">
        <v>295</v>
      </c>
      <c r="B7" t="s">
        <v>65</v>
      </c>
      <c r="F7" t="s">
        <v>164</v>
      </c>
      <c r="G7" t="s">
        <v>65</v>
      </c>
      <c r="H7" t="s">
        <v>198</v>
      </c>
      <c r="I7" t="s">
        <v>456</v>
      </c>
      <c r="M7" t="s">
        <v>129</v>
      </c>
      <c r="N7" t="s">
        <v>457</v>
      </c>
    </row>
    <row r="8" spans="1:20" ht="15" customHeight="1">
      <c r="B8" t="s">
        <v>76</v>
      </c>
      <c r="F8" t="s">
        <v>128</v>
      </c>
      <c r="G8" t="s">
        <v>76</v>
      </c>
      <c r="I8" t="s">
        <v>458</v>
      </c>
      <c r="M8" t="s">
        <v>60</v>
      </c>
      <c r="N8" t="s">
        <v>459</v>
      </c>
    </row>
    <row r="9" spans="1:20" ht="15" customHeight="1">
      <c r="B9" t="s">
        <v>103</v>
      </c>
      <c r="F9" t="s">
        <v>42</v>
      </c>
      <c r="G9" t="s">
        <v>103</v>
      </c>
      <c r="I9" t="s">
        <v>460</v>
      </c>
      <c r="M9" t="s">
        <v>154</v>
      </c>
      <c r="N9" t="s">
        <v>461</v>
      </c>
    </row>
    <row r="10" spans="1:20" ht="15" customHeight="1">
      <c r="B10" t="s">
        <v>154</v>
      </c>
      <c r="G10" t="s">
        <v>154</v>
      </c>
      <c r="M10" t="s">
        <v>47</v>
      </c>
      <c r="N10" t="s">
        <v>462</v>
      </c>
    </row>
    <row r="11" spans="1:20">
      <c r="B11" t="s">
        <v>463</v>
      </c>
      <c r="G11" t="s">
        <v>60</v>
      </c>
      <c r="M11" t="s">
        <v>76</v>
      </c>
      <c r="N11" t="s">
        <v>464</v>
      </c>
    </row>
    <row r="12" spans="1:20">
      <c r="B12" t="s">
        <v>465</v>
      </c>
      <c r="G12" t="s">
        <v>46</v>
      </c>
      <c r="M12" t="s">
        <v>46</v>
      </c>
      <c r="N12" t="s">
        <v>466</v>
      </c>
    </row>
    <row r="13" spans="1:20">
      <c r="G13" t="s">
        <v>77</v>
      </c>
      <c r="M13" t="s">
        <v>77</v>
      </c>
      <c r="N13" t="s">
        <v>467</v>
      </c>
    </row>
    <row r="14" spans="1:20">
      <c r="M14" t="s">
        <v>84</v>
      </c>
      <c r="N14" t="s">
        <v>468</v>
      </c>
    </row>
    <row r="15" spans="1:20">
      <c r="M15" t="s">
        <v>59</v>
      </c>
      <c r="N15" t="s">
        <v>469</v>
      </c>
    </row>
    <row r="16" spans="1:20">
      <c r="M16" t="s">
        <v>65</v>
      </c>
      <c r="N16" t="s">
        <v>470</v>
      </c>
    </row>
    <row r="17" spans="13:14">
      <c r="M17" t="s">
        <v>430</v>
      </c>
      <c r="N17" t="s">
        <v>470</v>
      </c>
    </row>
    <row r="18" spans="13:14">
      <c r="M18" t="s">
        <v>226</v>
      </c>
      <c r="N18" t="s">
        <v>471</v>
      </c>
    </row>
    <row r="19" spans="13:14">
      <c r="M19" t="s">
        <v>198</v>
      </c>
      <c r="N19" t="s">
        <v>472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2026-09-23T18:37:48Z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