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62" documentId="13_ncr:1_{52745E9B-3AA1-4770-AAD3-E6166BFC13AE}" xr6:coauthVersionLast="47" xr6:coauthVersionMax="47" xr10:uidLastSave="{6A5F7687-6AB5-431D-91D2-7AFA06D6670B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<sst xmlns="http://schemas.openxmlformats.org/spreadsheetml/2006/main" count="2978" uniqueCount="421">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</sst>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opLeftCell="A39" zoomScaleNormal="100" workbookViewId="0">
      <pane xSplit="2" topLeftCell="F1" activePane="topRight" state="frozen"/>
      <selection pane="topRight" activeCell="A36" sqref="A36:XFD3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 ht="14.45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 ht="14.45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 ht="14.45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>Open rework row - mark Blocked? or close it</v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 ht="14.45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 ht="14.45" hidden="1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 ht="14.45" hidden="1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 ht="14.45" hidden="1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 ht="14.45" hidden="1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 ht="14.45" hidden="1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 ht="14.45" hidden="1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 ht="14.45" hidden="1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>Open rework row - mark Blocked? or close it</v>
      </c>
      <c r="AK39" s="41" t="s">
        <v>153</v>
      </c>
      <c r="AL39" s="32" t="str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 ht="14.45" hidden="1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>Open rework row - mark Blocked? or close it</v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 ht="14.45" hidden="1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 ht="14.45" hidden="1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46280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47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46272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47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140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150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4" customFormat="1" ht="14.45" hidden="1">
      <c r="A68" s="83" t="s">
        <v>126</v>
      </c>
      <c r="B68" s="80" t="s">
        <v>224</v>
      </c>
      <c r="C68" s="83" t="s">
        <v>150</v>
      </c>
      <c r="D68" s="84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3">
        <v>44</v>
      </c>
      <c r="F68" s="85" t="s">
        <v>129</v>
      </c>
      <c r="G68" s="83"/>
      <c r="H68" s="86">
        <v>46295</v>
      </c>
      <c r="I68" s="87" t="s">
        <v>199</v>
      </c>
      <c r="J68" s="83" t="s">
        <v>225</v>
      </c>
      <c r="K68" s="88">
        <v>46276</v>
      </c>
      <c r="L68" s="89">
        <v>46258</v>
      </c>
      <c r="M68" s="89">
        <v>46258</v>
      </c>
      <c r="N68" s="89"/>
      <c r="O68" s="89" t="s">
        <v>200</v>
      </c>
      <c r="P68" s="90" t="s">
        <v>76</v>
      </c>
      <c r="Q68" s="88">
        <v>46286</v>
      </c>
      <c r="R68" s="89"/>
      <c r="S68" s="89"/>
      <c r="T68" s="91" t="s">
        <v>226</v>
      </c>
      <c r="U68" s="83"/>
      <c r="V68" s="92">
        <v>46290</v>
      </c>
      <c r="W68" s="89"/>
      <c r="X68" s="89"/>
      <c r="Y68" s="89"/>
      <c r="Z68" s="93">
        <v>46295</v>
      </c>
      <c r="AA68" s="89"/>
      <c r="AB68" s="89"/>
      <c r="AC68" s="80" t="s">
        <v>227</v>
      </c>
      <c r="AD68" s="83" t="s">
        <v>71</v>
      </c>
      <c r="AE68" s="94"/>
      <c r="AF68" s="89"/>
      <c r="AG68" s="95"/>
      <c r="AH68" s="83"/>
      <c r="AI68" s="96" t="s">
        <v>52</v>
      </c>
      <c r="AJ68" s="97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8" t="s">
        <v>228</v>
      </c>
      <c r="AL68" s="99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9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1" customFormat="1" ht="14.45" hidden="1">
      <c r="A69" s="100" t="s">
        <v>126</v>
      </c>
      <c r="B69" s="81" t="s">
        <v>229</v>
      </c>
      <c r="C69" s="100" t="s">
        <v>207</v>
      </c>
      <c r="D69" s="101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0">
        <v>45</v>
      </c>
      <c r="F69" s="102" t="s">
        <v>147</v>
      </c>
      <c r="G69" s="100"/>
      <c r="H69" s="103">
        <v>46295</v>
      </c>
      <c r="I69" s="104" t="s">
        <v>199</v>
      </c>
      <c r="J69" s="100" t="s">
        <v>58</v>
      </c>
      <c r="K69" s="105">
        <v>46276</v>
      </c>
      <c r="L69" s="106"/>
      <c r="M69" s="106"/>
      <c r="N69" s="106"/>
      <c r="O69" s="106" t="s">
        <v>200</v>
      </c>
      <c r="P69" s="107" t="s">
        <v>45</v>
      </c>
      <c r="Q69" s="105">
        <v>46286</v>
      </c>
      <c r="R69" s="106"/>
      <c r="S69" s="106"/>
      <c r="T69" s="108" t="s">
        <v>226</v>
      </c>
      <c r="U69" s="100"/>
      <c r="V69" s="109">
        <v>46290</v>
      </c>
      <c r="W69" s="106"/>
      <c r="X69" s="106"/>
      <c r="Y69" s="106"/>
      <c r="Z69" s="110">
        <v>46295</v>
      </c>
      <c r="AA69" s="106"/>
      <c r="AB69" s="106"/>
      <c r="AC69" s="81" t="s">
        <v>230</v>
      </c>
      <c r="AD69" s="100" t="s">
        <v>71</v>
      </c>
      <c r="AE69" s="111"/>
      <c r="AF69" s="106"/>
      <c r="AG69" s="112"/>
      <c r="AH69" s="100"/>
      <c r="AI69" s="113" t="s">
        <v>52</v>
      </c>
      <c r="AJ69" s="11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5" t="s">
        <v>231</v>
      </c>
      <c r="AL69" s="116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6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8:AK72 G43:V64 G66:V73 T65:V65 G65:Q65 W45:AJ47">
    <cfRule type="expression" dxfId="109" priority="37">
      <formula>AND($B2&lt;&gt;"",MOD(ROW(),2)=0)</formula>
    </cfRule>
  </conditionalFormatting>
  <conditionalFormatting sqref="D2:D527">
    <cfRule type="expression" dxfId="108" priority="21">
      <formula>ISNUMBER(SEARCH("Blocked",$D2))</formula>
    </cfRule>
    <cfRule type="expression" dxfId="107" priority="22">
      <formula>ISNUMBER(SEARCH("overdue",$D2))</formula>
    </cfRule>
    <cfRule type="expression" dxfId="106" priority="23">
      <formula>ISNUMBER(SEARCH("no target",$D2))</formula>
    </cfRule>
    <cfRule type="expression" dxfId="105" priority="24">
      <formula>ISNUMBER(SEARCH("Review",$D2))</formula>
    </cfRule>
    <cfRule type="expression" dxfId="104" priority="25">
      <formula>OR($D2="On track",$D2="Delivered")</formula>
    </cfRule>
  </conditionalFormatting>
  <conditionalFormatting sqref="J2:O192">
    <cfRule type="expression" dxfId="103" priority="4">
      <formula>$AI2="Yes – needs DB Dev to fix"</formula>
    </cfRule>
  </conditionalFormatting>
  <conditionalFormatting sqref="K41">
    <cfRule type="expression" dxfId="102" priority="287">
      <formula>AND($B41&lt;&gt;"",MOD(ROW(),2)=0)</formula>
    </cfRule>
    <cfRule type="expression" dxfId="101" priority="288">
      <formula>$AI41="Yes – needs DB Dev to fix"</formula>
    </cfRule>
  </conditionalFormatting>
  <conditionalFormatting sqref="K42">
    <cfRule type="expression" dxfId="100" priority="289">
      <formula>AND($B41&lt;&gt;"",MOD(ROW(),2)=0)</formula>
    </cfRule>
    <cfRule type="expression" dxfId="99" priority="290">
      <formula>$AI41="Yes – needs DB Dev to fix"</formula>
    </cfRule>
  </conditionalFormatting>
  <conditionalFormatting sqref="K73:L100">
    <cfRule type="expression" dxfId="98" priority="96">
      <formula>$AE73="Yes – needs DB Dev to fix"</formula>
    </cfRule>
  </conditionalFormatting>
  <conditionalFormatting sqref="K101:L527">
    <cfRule type="expression" dxfId="97" priority="30">
      <formula>$Z101="Yes – needs DB Dev to fix"</formula>
    </cfRule>
  </conditionalFormatting>
  <conditionalFormatting sqref="M73">
    <cfRule type="expression" dxfId="96" priority="3">
      <formula>$AE73="Yes – needs DB Dev to fix"</formula>
    </cfRule>
  </conditionalFormatting>
  <conditionalFormatting sqref="M73:P100">
    <cfRule type="expression" dxfId="95" priority="281">
      <formula>$AC73="Yes – needs PBI Dev to fix"</formula>
    </cfRule>
  </conditionalFormatting>
  <conditionalFormatting sqref="M101:P527">
    <cfRule type="expression" dxfId="94" priority="283">
      <formula>$Z101="Yes – needs PBI Dev to fix"</formula>
    </cfRule>
  </conditionalFormatting>
  <conditionalFormatting sqref="O101:O113">
    <cfRule type="expression" dxfId="93" priority="2">
      <formula>$AC101="Yes – needs PBI Dev to fix"</formula>
    </cfRule>
  </conditionalFormatting>
  <conditionalFormatting sqref="Q73:Q100">
    <cfRule type="expression" dxfId="92" priority="100">
      <formula>$AE73="Yes – needs PBI Dev to fix"</formula>
    </cfRule>
  </conditionalFormatting>
  <conditionalFormatting sqref="Q101:R527">
    <cfRule type="expression" dxfId="91" priority="32">
      <formula>$Z101="Yes – needs QA to fix"</formula>
    </cfRule>
  </conditionalFormatting>
  <conditionalFormatting sqref="J29 M29:P29 J32:J33 M32:P33 K40:K41 M40:P41 Q2:U64 Q66:U115 T65:U65 Q65">
    <cfRule type="expression" dxfId="90" priority="11">
      <formula>$AI2="Yes – needs PBI Dev to fix"</formula>
    </cfRule>
  </conditionalFormatting>
  <conditionalFormatting sqref="R73:U100 T96:T101">
    <cfRule type="expression" dxfId="89" priority="102">
      <formula>$AE73="Yes – needs QA to fix"</formula>
    </cfRule>
  </conditionalFormatting>
  <conditionalFormatting sqref="S101:U527">
    <cfRule type="expression" dxfId="88" priority="33">
      <formula>$Z101="Yes – needs DPO Approval to fix"</formula>
    </cfRule>
  </conditionalFormatting>
  <conditionalFormatting sqref="U10:V19">
    <cfRule type="expression" dxfId="87" priority="20">
      <formula>$AI10="Yes – needs PBI Dev to fix"</formula>
    </cfRule>
  </conditionalFormatting>
  <conditionalFormatting sqref="U101:V527">
    <cfRule type="expression" dxfId="86" priority="29">
      <formula>$V101="Yes"</formula>
    </cfRule>
  </conditionalFormatting>
  <conditionalFormatting sqref="U73:W100">
    <cfRule type="expression" dxfId="85" priority="104">
      <formula>$AE73="Yes – needs DPO Approval to fix"</formula>
    </cfRule>
  </conditionalFormatting>
  <conditionalFormatting sqref="U2:Y115">
    <cfRule type="expression" dxfId="84" priority="75">
      <formula>$AI2="Yes – needs QA to fix"</formula>
    </cfRule>
  </conditionalFormatting>
  <conditionalFormatting sqref="X73:Y100">
    <cfRule type="expression" dxfId="83" priority="106">
      <formula>$X73="Yes"</formula>
    </cfRule>
  </conditionalFormatting>
  <conditionalFormatting sqref="Z3">
    <cfRule type="expression" dxfId="82" priority="291">
      <formula>AND($B3&lt;&gt;"",MOD(ROW(),2)=0)</formula>
    </cfRule>
    <cfRule type="expression" dxfId="81" priority="292">
      <formula>$AI3="Yes – needs DPO Approval to fix"</formula>
    </cfRule>
  </conditionalFormatting>
  <conditionalFormatting sqref="Z101:Z527">
    <cfRule type="expression" dxfId="80" priority="26">
      <formula>LEFT($Z101,3)="Yes"</formula>
    </cfRule>
  </conditionalFormatting>
  <conditionalFormatting sqref="Z2:AD2 AA3:AD3 Z4:AD100">
    <cfRule type="expression" dxfId="79" priority="78">
      <formula>$AI2="Yes – needs DPO Approval to fix"</formula>
    </cfRule>
  </conditionalFormatting>
  <conditionalFormatting sqref="AA101:AB527">
    <cfRule type="expression" dxfId="78" priority="34">
      <formula>ISNUMBER(SEARCH("Open rework",$AA101))</formula>
    </cfRule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5">
      <formula>ISNUMBER(SEARCH("Duplicate",$AA101))</formula>
    </cfRule>
    <cfRule type="expression" dxfId="74" priority="36">
      <formula>$AA101&lt;&gt;""</formula>
    </cfRule>
  </conditionalFormatting>
  <conditionalFormatting sqref="AE2:AE115">
    <cfRule type="expression" dxfId="73" priority="50">
      <formula>$AE2="Yes"</formula>
    </cfRule>
  </conditionalFormatting>
  <conditionalFormatting sqref="AE73:AE100">
    <cfRule type="expression" dxfId="72" priority="108">
      <formula>LEFT($AE73,3)="Yes"</formula>
    </cfRule>
  </conditionalFormatting>
  <conditionalFormatting sqref="AF73:AF100">
    <cfRule type="expression" dxfId="71" priority="114">
      <formula>ISNUMBER(SEARCH("Open rework",$AF73))</formula>
    </cfRule>
    <cfRule type="expression" dxfId="70" priority="115">
      <formula>ISNUMBER(SEARCH("Move old",$AF73))</formula>
    </cfRule>
    <cfRule type="expression" dxfId="69" priority="116">
      <formula>ISNUMBER(SEARCH("log it",$AF73))</formula>
    </cfRule>
    <cfRule type="expression" dxfId="68" priority="117">
      <formula>ISNUMBER(SEARCH("Duplicate",$AF73))</formula>
    </cfRule>
    <cfRule type="expression" dxfId="67" priority="118">
      <formula>$AF73&lt;&gt;""</formula>
    </cfRule>
  </conditionalFormatting>
  <conditionalFormatting sqref="AI2:AI115">
    <cfRule type="expression" dxfId="66" priority="52">
      <formula>LEFT($AI2,3)="Yes"</formula>
    </cfRule>
  </conditionalFormatting>
  <conditionalFormatting sqref="AJ2:AJ115">
    <cfRule type="expression" dxfId="65" priority="58">
      <formula>ISNUMBER(SEARCH("log it",$AJ2))</formula>
    </cfRule>
    <cfRule type="expression" dxfId="64" priority="59">
      <formula>ISNUMBER(SEARCH("Open rework",$AJ2))</formula>
    </cfRule>
    <cfRule type="expression" dxfId="63" priority="60">
      <formula>ISNUMBER(SEARCH("Move old",$AJ2))</formula>
    </cfRule>
    <cfRule type="expression" dxfId="62" priority="61">
      <formula>ISNUMBER(SEARCH("Duplicate",$AJ2))</formula>
    </cfRule>
    <cfRule type="expression" dxfId="61" priority="62">
      <formula>$AJ2&lt;&gt;""</formula>
    </cfRule>
  </conditionalFormatting>
  <conditionalFormatting sqref="AK45:AK46">
    <cfRule type="expression" dxfId="60" priority="1">
      <formula>AND($B49&lt;&gt;"",MOD(ROW(),2)=0)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R58">
    <cfRule type="expression" dxfId="58" priority="296">
      <formula>AND($B65&lt;&gt;"",MOD(ROW(),2)=0)</formula>
    </cfRule>
  </conditionalFormatting>
  <conditionalFormatting sqref="R58">
    <cfRule type="expression" dxfId="5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Q2:R64 Z2:Z100 W2:X72 U2:V100 AB2:AB3 S30:S64 Q65 Q66:S527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118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118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13" activePane="bottomLeft" state="frozen"/>
      <selection pane="bottomLeft" activeCell="F30" sqref="F3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338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191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3" t="s">
        <v>187</v>
      </c>
      <c r="B27" s="32">
        <v>46267</v>
      </c>
      <c r="C27" s="31" t="s">
        <v>140</v>
      </c>
      <c r="D27" s="31" t="s">
        <v>155</v>
      </c>
      <c r="E27" s="31" t="s">
        <v>129</v>
      </c>
      <c r="F27" s="31" t="s">
        <v>369</v>
      </c>
      <c r="G27" s="31" t="s">
        <v>52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162</v>
      </c>
      <c r="B28" s="32">
        <v>46267</v>
      </c>
      <c r="C28" s="31" t="s">
        <v>140</v>
      </c>
      <c r="D28" s="31" t="s">
        <v>150</v>
      </c>
      <c r="E28" s="31" t="s">
        <v>147</v>
      </c>
      <c r="F28" s="31" t="s">
        <v>380</v>
      </c>
      <c r="G28" s="31" t="s">
        <v>52</v>
      </c>
      <c r="H28" s="32"/>
      <c r="I28" s="32"/>
      <c r="J28" s="32"/>
      <c r="K28" s="31"/>
      <c r="L28" s="31"/>
      <c r="M28" s="3" t="str">
        <f t="shared" ca="1" si="0"/>
        <v>UNCLAIMED 0 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>
        <v>46267</v>
      </c>
      <c r="C29" s="31" t="s">
        <v>140</v>
      </c>
      <c r="D29" s="31" t="s">
        <v>150</v>
      </c>
      <c r="E29" s="31" t="s">
        <v>129</v>
      </c>
      <c r="F29" s="31" t="s">
        <v>380</v>
      </c>
      <c r="G29" s="31" t="s">
        <v>52</v>
      </c>
      <c r="H29" s="32"/>
      <c r="I29" s="32"/>
      <c r="J29" s="32"/>
      <c r="K29" s="31"/>
      <c r="L29" s="31"/>
      <c r="M29" s="3" t="str">
        <f t="shared" ca="1" si="0"/>
        <v>UNCLAIMED 0 d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163</v>
      </c>
      <c r="B30" s="32">
        <v>46267</v>
      </c>
      <c r="C30" s="31" t="s">
        <v>140</v>
      </c>
      <c r="D30" s="31" t="s">
        <v>150</v>
      </c>
      <c r="E30" s="31" t="s">
        <v>129</v>
      </c>
      <c r="F30" s="31" t="s">
        <v>380</v>
      </c>
      <c r="G30" s="31" t="s">
        <v>52</v>
      </c>
      <c r="H30" s="32"/>
      <c r="I30" s="32"/>
      <c r="J30" s="32"/>
      <c r="K30" s="31"/>
      <c r="L30" s="31"/>
      <c r="M30" s="3" t="str">
        <f t="shared" ca="1" si="0"/>
        <v>UNCLAIMED 0 d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1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1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1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469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469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469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469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469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469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469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469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469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469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469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469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469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469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469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469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469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469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469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469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469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469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469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469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469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469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469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469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469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469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469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469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469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469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469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469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469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469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469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469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469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469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469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469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469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469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469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469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469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469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469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469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469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469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469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469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469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469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469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469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469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469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469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469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469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469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469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469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469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469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469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469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469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469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469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469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469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469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469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469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469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469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469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469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469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469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469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469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469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469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469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469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469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469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469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469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469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469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469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469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469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469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469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469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469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469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469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469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469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469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469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469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469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469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469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469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469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469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469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469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469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469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469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469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469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469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469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469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469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469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469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469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469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469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469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469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469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469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469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469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469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469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469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469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469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469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469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469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469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469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469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469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469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469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469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469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469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469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469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469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469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469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469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469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469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469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469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469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469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469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469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469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469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469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469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469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469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469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469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469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469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469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469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469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469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469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469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469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469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469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469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469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469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469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469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469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469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469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469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469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469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469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469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469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469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469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469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469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469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469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469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469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469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469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469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469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469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469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469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469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469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469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469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469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469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469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469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469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469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469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469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469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469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469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469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469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469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469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469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469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469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469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469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469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469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469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469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469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469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469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469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469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469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469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469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469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469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469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469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469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469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469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469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469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469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469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469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469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469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469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469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469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469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469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469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469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469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469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469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469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469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469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469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469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469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469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469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469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469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469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469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469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469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469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469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469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469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469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469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469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469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469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469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469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469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469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469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469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469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469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469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469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469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469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469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469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469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469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469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469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469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469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469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469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469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469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469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469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469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469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469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469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469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469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469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469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469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469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469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469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469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469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469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469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469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469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469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469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469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469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469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469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469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469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469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469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469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469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469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469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469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469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469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469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469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469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469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469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469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469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469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469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469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469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469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469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469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469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469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469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469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469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469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469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469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469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469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469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469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469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469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469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469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469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469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469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469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469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469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469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469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469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469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469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469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469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469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469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469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469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B26:M27 A28:M499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B26:M27 A28:M499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381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382</v>
      </c>
      <c r="C2" s="8" t="s">
        <v>1</v>
      </c>
      <c r="D2" s="8" t="s">
        <v>383</v>
      </c>
      <c r="E2" s="8" t="s">
        <v>384</v>
      </c>
      <c r="F2" s="8" t="s">
        <v>6</v>
      </c>
      <c r="G2" s="8" t="s">
        <v>5</v>
      </c>
      <c r="H2" s="8" t="s">
        <v>385</v>
      </c>
      <c r="I2" s="8" t="s">
        <v>386</v>
      </c>
      <c r="J2" s="8" t="s">
        <v>387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388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388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388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388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388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389</v>
      </c>
      <c r="B1" s="121"/>
      <c r="C1" s="121"/>
    </row>
    <row r="2" spans="1:3" ht="14.25" customHeight="1">
      <c r="A2" s="8" t="s">
        <v>0</v>
      </c>
      <c r="B2" s="8" t="s">
        <v>390</v>
      </c>
      <c r="C2" s="8" t="s">
        <v>386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391</v>
      </c>
      <c r="B11" s="11">
        <v>18</v>
      </c>
      <c r="C11" s="12">
        <v>46386</v>
      </c>
    </row>
    <row r="12" spans="1:3" ht="14.25" customHeight="1">
      <c r="A12" s="11" t="s">
        <v>391</v>
      </c>
      <c r="B12" s="11">
        <v>18</v>
      </c>
      <c r="C12" s="12">
        <v>46417</v>
      </c>
    </row>
    <row r="13" spans="1:3" ht="14.25" customHeight="1">
      <c r="A13" s="11" t="s">
        <v>391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392</v>
      </c>
      <c r="F1" s="1" t="s">
        <v>326</v>
      </c>
      <c r="G1" s="5" t="s">
        <v>393</v>
      </c>
      <c r="H1" s="5" t="s">
        <v>20</v>
      </c>
      <c r="I1" t="s">
        <v>34</v>
      </c>
      <c r="J1" s="5" t="s">
        <v>394</v>
      </c>
      <c r="K1" s="5" t="s">
        <v>128</v>
      </c>
      <c r="L1" s="5" t="s">
        <v>345</v>
      </c>
      <c r="M1" s="1" t="s">
        <v>395</v>
      </c>
      <c r="N1" s="1" t="s">
        <v>396</v>
      </c>
      <c r="R1" t="s">
        <v>13</v>
      </c>
      <c r="T1" t="s">
        <v>397</v>
      </c>
    </row>
    <row r="2" spans="1:20" ht="13.5" customHeight="1">
      <c r="A2" s="2" t="s">
        <v>398</v>
      </c>
      <c r="B2" s="2" t="s">
        <v>399</v>
      </c>
      <c r="C2" s="2" t="s">
        <v>400</v>
      </c>
      <c r="D2" s="2" t="s">
        <v>401</v>
      </c>
      <c r="E2" s="2" t="s">
        <v>402</v>
      </c>
      <c r="F2" s="2" t="s">
        <v>403</v>
      </c>
      <c r="G2" t="s">
        <v>404</v>
      </c>
      <c r="H2" t="s">
        <v>405</v>
      </c>
      <c r="I2" t="s">
        <v>406</v>
      </c>
      <c r="J2" s="29" t="s">
        <v>407</v>
      </c>
      <c r="K2" s="29" t="s">
        <v>408</v>
      </c>
      <c r="L2" s="29" t="s">
        <v>409</v>
      </c>
      <c r="M2" t="s">
        <v>147</v>
      </c>
      <c r="N2" s="45" t="s">
        <v>410</v>
      </c>
      <c r="R2" t="s">
        <v>411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412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413</v>
      </c>
      <c r="J4" t="s">
        <v>150</v>
      </c>
      <c r="L4" t="s">
        <v>49</v>
      </c>
      <c r="M4" t="s">
        <v>102</v>
      </c>
      <c r="N4" s="45" t="s">
        <v>412</v>
      </c>
      <c r="R4" t="s">
        <v>173</v>
      </c>
      <c r="T4" t="s">
        <v>71</v>
      </c>
    </row>
    <row r="5" spans="1:20" ht="15" customHeight="1">
      <c r="A5" t="s">
        <v>391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414</v>
      </c>
      <c r="M5" t="s">
        <v>87</v>
      </c>
      <c r="N5" s="45" t="s">
        <v>412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412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415</v>
      </c>
      <c r="M7" t="s">
        <v>129</v>
      </c>
      <c r="N7" s="45" t="s">
        <v>412</v>
      </c>
    </row>
    <row r="8" spans="1:20" ht="15" customHeight="1">
      <c r="B8" t="s">
        <v>75</v>
      </c>
      <c r="F8" t="s">
        <v>41</v>
      </c>
      <c r="G8" t="s">
        <v>75</v>
      </c>
      <c r="I8" t="s">
        <v>416</v>
      </c>
      <c r="M8" t="s">
        <v>59</v>
      </c>
      <c r="N8" s="45" t="s">
        <v>412</v>
      </c>
    </row>
    <row r="9" spans="1:20" ht="15" customHeight="1">
      <c r="B9" t="s">
        <v>102</v>
      </c>
      <c r="G9" t="s">
        <v>102</v>
      </c>
      <c r="I9" t="s">
        <v>417</v>
      </c>
      <c r="M9" t="s">
        <v>161</v>
      </c>
      <c r="N9" s="45" t="s">
        <v>412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412</v>
      </c>
    </row>
    <row r="11" spans="1:20">
      <c r="B11" t="s">
        <v>418</v>
      </c>
      <c r="G11" t="s">
        <v>59</v>
      </c>
      <c r="M11" t="s">
        <v>75</v>
      </c>
      <c r="N11" s="45" t="s">
        <v>412</v>
      </c>
    </row>
    <row r="12" spans="1:20">
      <c r="B12" t="s">
        <v>419</v>
      </c>
      <c r="G12" t="s">
        <v>45</v>
      </c>
      <c r="M12" t="s">
        <v>45</v>
      </c>
      <c r="N12" s="45" t="s">
        <v>412</v>
      </c>
    </row>
    <row r="13" spans="1:20">
      <c r="G13" t="s">
        <v>76</v>
      </c>
      <c r="M13" t="s">
        <v>76</v>
      </c>
      <c r="N13" s="45" t="s">
        <v>412</v>
      </c>
    </row>
    <row r="14" spans="1:20">
      <c r="M14" t="s">
        <v>83</v>
      </c>
      <c r="N14" s="45" t="s">
        <v>420</v>
      </c>
    </row>
    <row r="15" spans="1:20">
      <c r="M15" t="s">
        <v>58</v>
      </c>
      <c r="N15" s="45" t="s">
        <v>412</v>
      </c>
    </row>
    <row r="16" spans="1:20">
      <c r="M16" t="s">
        <v>117</v>
      </c>
      <c r="N16" s="45" t="s">
        <v>412</v>
      </c>
    </row>
    <row r="17" spans="13:14">
      <c r="M17" t="s">
        <v>64</v>
      </c>
      <c r="N17" s="45" t="s">
        <v>412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2026-09-02T15:49:11Z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